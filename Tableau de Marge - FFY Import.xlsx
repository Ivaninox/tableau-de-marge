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heikhy/Desktop/"/>
    </mc:Choice>
  </mc:AlternateContent>
  <xr:revisionPtr revIDLastSave="0" documentId="8_{FEBB94B2-C4F9-7346-BA97-5D8081452666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Marges (sans AO) 2025" sheetId="6" r:id="rId1"/>
    <sheet name="Marges (avec AO) 2025" sheetId="7" r:id="rId2"/>
    <sheet name="Pessac 2024-2025" sheetId="8" r:id="rId3"/>
    <sheet name="Gif-sur-Yvette 2024-2025" sheetId="9" r:id="rId4"/>
    <sheet name="Marges 2024 " sheetId="11" r:id="rId5"/>
    <sheet name="Marges 2022 - 2023 " sheetId="13" r:id="rId6"/>
  </sheets>
  <definedNames>
    <definedName name="_xlnm._FilterDatabase" localSheetId="2" hidden="1">'Pessac 2024-2025'!$A$2:$I$171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90" i="13" l="1"/>
  <c r="AC990" i="13"/>
  <c r="AB990" i="13"/>
  <c r="T990" i="13"/>
  <c r="Q990" i="13"/>
  <c r="P990" i="13"/>
  <c r="AF989" i="13"/>
  <c r="AC989" i="13"/>
  <c r="AB989" i="13"/>
  <c r="T989" i="13"/>
  <c r="Q989" i="13"/>
  <c r="P989" i="13"/>
  <c r="AD988" i="13"/>
  <c r="R988" i="13"/>
  <c r="AD987" i="13"/>
  <c r="R987" i="13"/>
  <c r="AD986" i="13"/>
  <c r="R986" i="13"/>
  <c r="AD985" i="13"/>
  <c r="R985" i="13"/>
  <c r="AD984" i="13"/>
  <c r="R984" i="13"/>
  <c r="AD983" i="13"/>
  <c r="R983" i="13"/>
  <c r="AD982" i="13"/>
  <c r="R982" i="13"/>
  <c r="AD981" i="13"/>
  <c r="R981" i="13"/>
  <c r="AD980" i="13"/>
  <c r="R980" i="13"/>
  <c r="AD979" i="13"/>
  <c r="R979" i="13"/>
  <c r="AD978" i="13"/>
  <c r="R978" i="13"/>
  <c r="AD977" i="13"/>
  <c r="R977" i="13"/>
  <c r="AD976" i="13"/>
  <c r="AE974" i="13" s="1"/>
  <c r="AG974" i="13" s="1"/>
  <c r="AH974" i="13" s="1"/>
  <c r="R976" i="13"/>
  <c r="R975" i="13"/>
  <c r="R974" i="13"/>
  <c r="AD973" i="13"/>
  <c r="R973" i="13"/>
  <c r="AD972" i="13"/>
  <c r="R972" i="13"/>
  <c r="AD969" i="13"/>
  <c r="R969" i="13"/>
  <c r="AD968" i="13"/>
  <c r="AE965" i="13" s="1"/>
  <c r="R968" i="13"/>
  <c r="R967" i="13"/>
  <c r="R966" i="13"/>
  <c r="AG965" i="13"/>
  <c r="AH965" i="13" s="1"/>
  <c r="R965" i="13"/>
  <c r="AD963" i="13"/>
  <c r="R963" i="13"/>
  <c r="AD962" i="13"/>
  <c r="R962" i="13"/>
  <c r="AD961" i="13"/>
  <c r="R961" i="13"/>
  <c r="AD960" i="13"/>
  <c r="R960" i="13"/>
  <c r="AD959" i="13"/>
  <c r="R959" i="13"/>
  <c r="AD958" i="13"/>
  <c r="AE957" i="13" s="1"/>
  <c r="AG957" i="13" s="1"/>
  <c r="AH957" i="13" s="1"/>
  <c r="R958" i="13"/>
  <c r="AD957" i="13"/>
  <c r="R957" i="13"/>
  <c r="AH955" i="13"/>
  <c r="AE955" i="13"/>
  <c r="AG955" i="13" s="1"/>
  <c r="V955" i="13"/>
  <c r="U955" i="13"/>
  <c r="S955" i="13"/>
  <c r="AH953" i="13"/>
  <c r="AE953" i="13"/>
  <c r="AG953" i="13" s="1"/>
  <c r="U953" i="13"/>
  <c r="V953" i="13" s="1"/>
  <c r="S953" i="13"/>
  <c r="AD951" i="13"/>
  <c r="R951" i="13"/>
  <c r="AD950" i="13"/>
  <c r="R950" i="13"/>
  <c r="AD949" i="13"/>
  <c r="R949" i="13"/>
  <c r="R948" i="13"/>
  <c r="R947" i="13"/>
  <c r="R946" i="13"/>
  <c r="AD945" i="13"/>
  <c r="R945" i="13"/>
  <c r="S945" i="13" s="1"/>
  <c r="U945" i="13" s="1"/>
  <c r="V945" i="13" s="1"/>
  <c r="R943" i="13"/>
  <c r="AH942" i="13"/>
  <c r="AE942" i="13"/>
  <c r="AG942" i="13" s="1"/>
  <c r="R942" i="13"/>
  <c r="S942" i="13" s="1"/>
  <c r="U942" i="13" s="1"/>
  <c r="V942" i="13" s="1"/>
  <c r="AE936" i="13"/>
  <c r="AG936" i="13" s="1"/>
  <c r="AH936" i="13" s="1"/>
  <c r="R936" i="13"/>
  <c r="S936" i="13" s="1"/>
  <c r="U936" i="13" s="1"/>
  <c r="V936" i="13" s="1"/>
  <c r="AE930" i="13"/>
  <c r="AG930" i="13" s="1"/>
  <c r="AH930" i="13" s="1"/>
  <c r="S930" i="13"/>
  <c r="U930" i="13" s="1"/>
  <c r="V930" i="13" s="1"/>
  <c r="R930" i="13"/>
  <c r="AE924" i="13"/>
  <c r="AG924" i="13" s="1"/>
  <c r="AH924" i="13" s="1"/>
  <c r="S924" i="13"/>
  <c r="U924" i="13" s="1"/>
  <c r="V924" i="13" s="1"/>
  <c r="R924" i="13"/>
  <c r="AH918" i="13"/>
  <c r="AE918" i="13"/>
  <c r="AG918" i="13" s="1"/>
  <c r="R918" i="13"/>
  <c r="S918" i="13" s="1"/>
  <c r="U918" i="13" s="1"/>
  <c r="V918" i="13" s="1"/>
  <c r="AD915" i="13"/>
  <c r="R915" i="13"/>
  <c r="AD914" i="13"/>
  <c r="R914" i="13"/>
  <c r="AD913" i="13"/>
  <c r="R913" i="13"/>
  <c r="AD912" i="13"/>
  <c r="R912" i="13"/>
  <c r="AD911" i="13"/>
  <c r="R911" i="13"/>
  <c r="AD910" i="13"/>
  <c r="R910" i="13"/>
  <c r="AD909" i="13"/>
  <c r="R909" i="13"/>
  <c r="AD908" i="13"/>
  <c r="R908" i="13"/>
  <c r="AD907" i="13"/>
  <c r="R907" i="13"/>
  <c r="AD906" i="13"/>
  <c r="R906" i="13"/>
  <c r="R905" i="13"/>
  <c r="AD904" i="13"/>
  <c r="R904" i="13"/>
  <c r="AD903" i="13"/>
  <c r="R903" i="13"/>
  <c r="R902" i="13"/>
  <c r="S902" i="13" s="1"/>
  <c r="U902" i="13" s="1"/>
  <c r="V902" i="13" s="1"/>
  <c r="AH900" i="13"/>
  <c r="AE900" i="13"/>
  <c r="AG900" i="13" s="1"/>
  <c r="S900" i="13"/>
  <c r="U900" i="13" s="1"/>
  <c r="V900" i="13" s="1"/>
  <c r="R900" i="13"/>
  <c r="R899" i="13"/>
  <c r="R898" i="13"/>
  <c r="R897" i="13"/>
  <c r="AD896" i="13"/>
  <c r="R896" i="13"/>
  <c r="AD895" i="13"/>
  <c r="R895" i="13"/>
  <c r="AD891" i="13"/>
  <c r="R891" i="13"/>
  <c r="V889" i="13"/>
  <c r="U889" i="13"/>
  <c r="S889" i="13"/>
  <c r="AG883" i="13"/>
  <c r="AE883" i="13"/>
  <c r="U883" i="13"/>
  <c r="S883" i="13"/>
  <c r="R883" i="13"/>
  <c r="AF882" i="13"/>
  <c r="AC882" i="13"/>
  <c r="AB882" i="13"/>
  <c r="T882" i="13"/>
  <c r="Q882" i="13"/>
  <c r="P882" i="13"/>
  <c r="AF881" i="13"/>
  <c r="AC881" i="13"/>
  <c r="AB881" i="13"/>
  <c r="T881" i="13"/>
  <c r="Q881" i="13"/>
  <c r="P881" i="13"/>
  <c r="AD880" i="13"/>
  <c r="R880" i="13"/>
  <c r="AD879" i="13"/>
  <c r="R879" i="13"/>
  <c r="AD878" i="13"/>
  <c r="R878" i="13"/>
  <c r="AD877" i="13"/>
  <c r="R877" i="13"/>
  <c r="AD876" i="13"/>
  <c r="R876" i="13"/>
  <c r="AD875" i="13"/>
  <c r="R875" i="13"/>
  <c r="R874" i="13"/>
  <c r="R873" i="13"/>
  <c r="AD872" i="13"/>
  <c r="R872" i="13"/>
  <c r="AD870" i="13"/>
  <c r="R870" i="13"/>
  <c r="AD869" i="13"/>
  <c r="R869" i="13"/>
  <c r="AD868" i="13"/>
  <c r="R868" i="13"/>
  <c r="AD867" i="13"/>
  <c r="R867" i="13"/>
  <c r="AD866" i="13"/>
  <c r="R866" i="13"/>
  <c r="AD865" i="13"/>
  <c r="R865" i="13"/>
  <c r="AD864" i="13"/>
  <c r="R864" i="13"/>
  <c r="AD863" i="13"/>
  <c r="R863" i="13"/>
  <c r="R862" i="13"/>
  <c r="R861" i="13"/>
  <c r="S861" i="13" s="1"/>
  <c r="U861" i="13" s="1"/>
  <c r="V861" i="13" s="1"/>
  <c r="AH859" i="13"/>
  <c r="AE859" i="13"/>
  <c r="AG859" i="13" s="1"/>
  <c r="V859" i="13"/>
  <c r="S859" i="13"/>
  <c r="U859" i="13" s="1"/>
  <c r="R859" i="13"/>
  <c r="AE857" i="13"/>
  <c r="AG857" i="13" s="1"/>
  <c r="AH857" i="13" s="1"/>
  <c r="V857" i="13"/>
  <c r="S857" i="13"/>
  <c r="U857" i="13" s="1"/>
  <c r="AH852" i="13"/>
  <c r="AE852" i="13"/>
  <c r="AG852" i="13" s="1"/>
  <c r="R852" i="13"/>
  <c r="S852" i="13" s="1"/>
  <c r="U852" i="13" s="1"/>
  <c r="V852" i="13" s="1"/>
  <c r="AD850" i="13"/>
  <c r="AE850" i="13" s="1"/>
  <c r="AG850" i="13" s="1"/>
  <c r="AH850" i="13" s="1"/>
  <c r="U850" i="13"/>
  <c r="V850" i="13" s="1"/>
  <c r="S850" i="13"/>
  <c r="R850" i="13"/>
  <c r="AE848" i="13"/>
  <c r="AG848" i="13" s="1"/>
  <c r="AH848" i="13" s="1"/>
  <c r="AD848" i="13"/>
  <c r="S848" i="13"/>
  <c r="U848" i="13" s="1"/>
  <c r="V848" i="13" s="1"/>
  <c r="R848" i="13"/>
  <c r="AE845" i="13"/>
  <c r="AG845" i="13" s="1"/>
  <c r="AH845" i="13" s="1"/>
  <c r="R845" i="13"/>
  <c r="S845" i="13" s="1"/>
  <c r="U845" i="13" s="1"/>
  <c r="V845" i="13" s="1"/>
  <c r="AD843" i="13"/>
  <c r="R843" i="13"/>
  <c r="AD842" i="13"/>
  <c r="R842" i="13"/>
  <c r="S841" i="13" s="1"/>
  <c r="U841" i="13" s="1"/>
  <c r="V841" i="13" s="1"/>
  <c r="AD841" i="13"/>
  <c r="AE841" i="13" s="1"/>
  <c r="AG841" i="13" s="1"/>
  <c r="AH841" i="13" s="1"/>
  <c r="R841" i="13"/>
  <c r="R839" i="13"/>
  <c r="R838" i="13"/>
  <c r="AD837" i="13"/>
  <c r="AE837" i="13" s="1"/>
  <c r="AG837" i="13" s="1"/>
  <c r="AH837" i="13" s="1"/>
  <c r="R837" i="13"/>
  <c r="S837" i="13" s="1"/>
  <c r="U837" i="13" s="1"/>
  <c r="V837" i="13" s="1"/>
  <c r="AH833" i="13"/>
  <c r="AG833" i="13"/>
  <c r="AE833" i="13"/>
  <c r="V833" i="13"/>
  <c r="U833" i="13"/>
  <c r="S833" i="13"/>
  <c r="AD832" i="13"/>
  <c r="R832" i="13"/>
  <c r="AD831" i="13"/>
  <c r="R831" i="13"/>
  <c r="AD830" i="13"/>
  <c r="AE829" i="13" s="1"/>
  <c r="AG829" i="13" s="1"/>
  <c r="AH829" i="13" s="1"/>
  <c r="R830" i="13"/>
  <c r="R829" i="13"/>
  <c r="AE827" i="13"/>
  <c r="AG827" i="13" s="1"/>
  <c r="AH827" i="13" s="1"/>
  <c r="R827" i="13"/>
  <c r="S827" i="13" s="1"/>
  <c r="U827" i="13" s="1"/>
  <c r="V827" i="13" s="1"/>
  <c r="I826" i="13"/>
  <c r="AE825" i="13"/>
  <c r="AG825" i="13" s="1"/>
  <c r="AH825" i="13" s="1"/>
  <c r="V825" i="13"/>
  <c r="R825" i="13"/>
  <c r="S825" i="13" s="1"/>
  <c r="U825" i="13" s="1"/>
  <c r="I825" i="13"/>
  <c r="G824" i="13"/>
  <c r="AE823" i="13"/>
  <c r="AG823" i="13" s="1"/>
  <c r="AH823" i="13" s="1"/>
  <c r="AD823" i="13"/>
  <c r="R823" i="13"/>
  <c r="S823" i="13" s="1"/>
  <c r="U823" i="13" s="1"/>
  <c r="V823" i="13" s="1"/>
  <c r="G823" i="13"/>
  <c r="G822" i="13"/>
  <c r="AG821" i="13"/>
  <c r="AH821" i="13" s="1"/>
  <c r="AE821" i="13"/>
  <c r="U821" i="13"/>
  <c r="V821" i="13" s="1"/>
  <c r="R821" i="13"/>
  <c r="S821" i="13" s="1"/>
  <c r="G821" i="13"/>
  <c r="G820" i="13"/>
  <c r="G819" i="13"/>
  <c r="AG818" i="13"/>
  <c r="AH818" i="13" s="1"/>
  <c r="AE818" i="13"/>
  <c r="S818" i="13"/>
  <c r="U818" i="13" s="1"/>
  <c r="V818" i="13" s="1"/>
  <c r="G818" i="13"/>
  <c r="G817" i="13"/>
  <c r="H816" i="13"/>
  <c r="J816" i="13" s="1"/>
  <c r="K816" i="13" s="1"/>
  <c r="G816" i="13"/>
  <c r="AG815" i="13"/>
  <c r="AH815" i="13" s="1"/>
  <c r="AE815" i="13"/>
  <c r="U815" i="13"/>
  <c r="V815" i="13" s="1"/>
  <c r="S815" i="13"/>
  <c r="G815" i="13"/>
  <c r="G814" i="13"/>
  <c r="G813" i="13"/>
  <c r="G812" i="13"/>
  <c r="H811" i="13" s="1"/>
  <c r="J811" i="13" s="1"/>
  <c r="K811" i="13" s="1"/>
  <c r="G811" i="13"/>
  <c r="AE810" i="13"/>
  <c r="AG810" i="13" s="1"/>
  <c r="AH810" i="13" s="1"/>
  <c r="R810" i="13"/>
  <c r="S810" i="13" s="1"/>
  <c r="U810" i="13" s="1"/>
  <c r="V810" i="13" s="1"/>
  <c r="G810" i="13"/>
  <c r="R809" i="13"/>
  <c r="G809" i="13"/>
  <c r="AD808" i="13"/>
  <c r="R808" i="13"/>
  <c r="G808" i="13"/>
  <c r="AD807" i="13"/>
  <c r="AE807" i="13" s="1"/>
  <c r="AG807" i="13" s="1"/>
  <c r="AH807" i="13" s="1"/>
  <c r="R807" i="13"/>
  <c r="S807" i="13" s="1"/>
  <c r="U807" i="13" s="1"/>
  <c r="V807" i="13" s="1"/>
  <c r="G807" i="13"/>
  <c r="G806" i="13"/>
  <c r="AD805" i="13"/>
  <c r="R805" i="13"/>
  <c r="G805" i="13"/>
  <c r="AD804" i="13"/>
  <c r="R804" i="13"/>
  <c r="G804" i="13"/>
  <c r="H800" i="13" s="1"/>
  <c r="J800" i="13" s="1"/>
  <c r="AD803" i="13"/>
  <c r="R803" i="13"/>
  <c r="G803" i="13"/>
  <c r="AD802" i="13"/>
  <c r="R802" i="13"/>
  <c r="G802" i="13"/>
  <c r="AD801" i="13"/>
  <c r="R801" i="13"/>
  <c r="G801" i="13"/>
  <c r="AD800" i="13"/>
  <c r="R800" i="13"/>
  <c r="K800" i="13"/>
  <c r="G800" i="13"/>
  <c r="AD799" i="13"/>
  <c r="R799" i="13"/>
  <c r="G799" i="13"/>
  <c r="AD798" i="13"/>
  <c r="R798" i="13"/>
  <c r="G798" i="13"/>
  <c r="AD797" i="13"/>
  <c r="R797" i="13"/>
  <c r="G797" i="13"/>
  <c r="AD796" i="13"/>
  <c r="R796" i="13"/>
  <c r="G796" i="13"/>
  <c r="H796" i="13" s="1"/>
  <c r="J796" i="13" s="1"/>
  <c r="K796" i="13" s="1"/>
  <c r="AD795" i="13"/>
  <c r="AE792" i="13" s="1"/>
  <c r="AG792" i="13" s="1"/>
  <c r="AH792" i="13" s="1"/>
  <c r="R795" i="13"/>
  <c r="G795" i="13"/>
  <c r="R794" i="13"/>
  <c r="G794" i="13"/>
  <c r="AD793" i="13"/>
  <c r="R793" i="13"/>
  <c r="G793" i="13"/>
  <c r="R792" i="13"/>
  <c r="G792" i="13"/>
  <c r="G791" i="13"/>
  <c r="AD790" i="13"/>
  <c r="AE790" i="13" s="1"/>
  <c r="AG790" i="13" s="1"/>
  <c r="AH790" i="13" s="1"/>
  <c r="R790" i="13"/>
  <c r="S790" i="13" s="1"/>
  <c r="U790" i="13" s="1"/>
  <c r="V790" i="13" s="1"/>
  <c r="G790" i="13"/>
  <c r="AD789" i="13"/>
  <c r="R789" i="13"/>
  <c r="I789" i="13"/>
  <c r="AD788" i="13"/>
  <c r="R788" i="13"/>
  <c r="AD787" i="13"/>
  <c r="R787" i="13"/>
  <c r="G787" i="13"/>
  <c r="H785" i="13" s="1"/>
  <c r="J785" i="13" s="1"/>
  <c r="K785" i="13" s="1"/>
  <c r="AD786" i="13"/>
  <c r="R786" i="13"/>
  <c r="G786" i="13"/>
  <c r="AD785" i="13"/>
  <c r="R785" i="13"/>
  <c r="G785" i="13"/>
  <c r="AD784" i="13"/>
  <c r="R784" i="13"/>
  <c r="K784" i="13"/>
  <c r="J784" i="13"/>
  <c r="G784" i="13"/>
  <c r="H784" i="13" s="1"/>
  <c r="AD783" i="13"/>
  <c r="R783" i="13"/>
  <c r="G783" i="13"/>
  <c r="AD782" i="13"/>
  <c r="R782" i="13"/>
  <c r="G782" i="13"/>
  <c r="R781" i="13"/>
  <c r="G781" i="13"/>
  <c r="R780" i="13"/>
  <c r="G780" i="13"/>
  <c r="AF779" i="13"/>
  <c r="AC779" i="13"/>
  <c r="AB779" i="13"/>
  <c r="T779" i="13"/>
  <c r="Q779" i="13"/>
  <c r="P779" i="13"/>
  <c r="G779" i="13"/>
  <c r="AF778" i="13"/>
  <c r="AC778" i="13"/>
  <c r="AB778" i="13"/>
  <c r="T778" i="13"/>
  <c r="Q778" i="13"/>
  <c r="P778" i="13"/>
  <c r="G778" i="13"/>
  <c r="G777" i="13"/>
  <c r="G776" i="13"/>
  <c r="AH775" i="13"/>
  <c r="AG775" i="13"/>
  <c r="AE775" i="13"/>
  <c r="S775" i="13"/>
  <c r="U775" i="13" s="1"/>
  <c r="V775" i="13" s="1"/>
  <c r="G775" i="13"/>
  <c r="G774" i="13"/>
  <c r="H774" i="13" s="1"/>
  <c r="J774" i="13" s="1"/>
  <c r="K774" i="13" s="1"/>
  <c r="AH773" i="13"/>
  <c r="AG773" i="13"/>
  <c r="AE773" i="13"/>
  <c r="U773" i="13"/>
  <c r="V773" i="13" s="1"/>
  <c r="S773" i="13"/>
  <c r="G773" i="13"/>
  <c r="AD772" i="13"/>
  <c r="R772" i="13"/>
  <c r="S771" i="13" s="1"/>
  <c r="U771" i="13" s="1"/>
  <c r="V771" i="13" s="1"/>
  <c r="G772" i="13"/>
  <c r="AG771" i="13"/>
  <c r="AH771" i="13" s="1"/>
  <c r="AE771" i="13"/>
  <c r="AD771" i="13"/>
  <c r="R771" i="13"/>
  <c r="G771" i="13"/>
  <c r="AD770" i="13"/>
  <c r="R770" i="13"/>
  <c r="G770" i="13"/>
  <c r="G769" i="13"/>
  <c r="R768" i="13"/>
  <c r="G768" i="13"/>
  <c r="AD767" i="13"/>
  <c r="R767" i="13"/>
  <c r="S767" i="13" s="1"/>
  <c r="U767" i="13" s="1"/>
  <c r="V767" i="13" s="1"/>
  <c r="G767" i="13"/>
  <c r="H764" i="13" s="1"/>
  <c r="J764" i="13" s="1"/>
  <c r="K764" i="13" s="1"/>
  <c r="G766" i="13"/>
  <c r="AE765" i="13"/>
  <c r="AG765" i="13" s="1"/>
  <c r="AH765" i="13" s="1"/>
  <c r="R765" i="13"/>
  <c r="S765" i="13" s="1"/>
  <c r="U765" i="13" s="1"/>
  <c r="V765" i="13" s="1"/>
  <c r="G765" i="13"/>
  <c r="AD764" i="13"/>
  <c r="R764" i="13"/>
  <c r="G764" i="13"/>
  <c r="AE763" i="13"/>
  <c r="AG763" i="13" s="1"/>
  <c r="AH763" i="13" s="1"/>
  <c r="R763" i="13"/>
  <c r="S763" i="13" s="1"/>
  <c r="U763" i="13" s="1"/>
  <c r="V763" i="13" s="1"/>
  <c r="G763" i="13"/>
  <c r="G762" i="13"/>
  <c r="AH761" i="13"/>
  <c r="AG761" i="13"/>
  <c r="AE761" i="13"/>
  <c r="V761" i="13"/>
  <c r="R761" i="13"/>
  <c r="S761" i="13" s="1"/>
  <c r="U761" i="13" s="1"/>
  <c r="G761" i="13"/>
  <c r="G760" i="13"/>
  <c r="H760" i="13" s="1"/>
  <c r="J760" i="13" s="1"/>
  <c r="K760" i="13" s="1"/>
  <c r="J759" i="13"/>
  <c r="K759" i="13" s="1"/>
  <c r="G759" i="13"/>
  <c r="H759" i="13" s="1"/>
  <c r="H758" i="13"/>
  <c r="J758" i="13" s="1"/>
  <c r="K758" i="13" s="1"/>
  <c r="G758" i="13"/>
  <c r="G757" i="13"/>
  <c r="G756" i="13"/>
  <c r="J755" i="13"/>
  <c r="H755" i="13"/>
  <c r="G755" i="13"/>
  <c r="AG754" i="13"/>
  <c r="AH754" i="13" s="1"/>
  <c r="AE754" i="13"/>
  <c r="V754" i="13"/>
  <c r="U754" i="13"/>
  <c r="S754" i="13"/>
  <c r="I754" i="13"/>
  <c r="I788" i="13" s="1"/>
  <c r="F754" i="13"/>
  <c r="E754" i="13"/>
  <c r="AD753" i="13"/>
  <c r="R753" i="13"/>
  <c r="I753" i="13"/>
  <c r="F753" i="13"/>
  <c r="E753" i="13"/>
  <c r="AD752" i="13"/>
  <c r="R752" i="13"/>
  <c r="G752" i="13"/>
  <c r="AD751" i="13"/>
  <c r="R751" i="13"/>
  <c r="G751" i="13"/>
  <c r="AD750" i="13"/>
  <c r="R750" i="13"/>
  <c r="G750" i="13"/>
  <c r="AD749" i="13"/>
  <c r="R749" i="13"/>
  <c r="G749" i="13"/>
  <c r="AD748" i="13"/>
  <c r="AE743" i="13" s="1"/>
  <c r="AG743" i="13" s="1"/>
  <c r="AH743" i="13" s="1"/>
  <c r="R748" i="13"/>
  <c r="G748" i="13"/>
  <c r="AD747" i="13"/>
  <c r="R747" i="13"/>
  <c r="G747" i="13"/>
  <c r="AD746" i="13"/>
  <c r="R746" i="13"/>
  <c r="G746" i="13"/>
  <c r="G745" i="13"/>
  <c r="R744" i="13"/>
  <c r="G744" i="13"/>
  <c r="H742" i="13" s="1"/>
  <c r="J742" i="13" s="1"/>
  <c r="K742" i="13" s="1"/>
  <c r="S743" i="13"/>
  <c r="U743" i="13" s="1"/>
  <c r="V743" i="13" s="1"/>
  <c r="R743" i="13"/>
  <c r="G743" i="13"/>
  <c r="G742" i="13"/>
  <c r="G741" i="13"/>
  <c r="G740" i="13"/>
  <c r="G739" i="13"/>
  <c r="G738" i="13"/>
  <c r="G737" i="13"/>
  <c r="G736" i="13"/>
  <c r="G735" i="13"/>
  <c r="H734" i="13" s="1"/>
  <c r="J734" i="13" s="1"/>
  <c r="K734" i="13" s="1"/>
  <c r="G734" i="13"/>
  <c r="G733" i="13"/>
  <c r="J732" i="13"/>
  <c r="G732" i="13"/>
  <c r="H732" i="13" s="1"/>
  <c r="AG731" i="13"/>
  <c r="AH731" i="13" s="1"/>
  <c r="AE731" i="13"/>
  <c r="V731" i="13"/>
  <c r="S731" i="13"/>
  <c r="U731" i="13" s="1"/>
  <c r="R731" i="13"/>
  <c r="G731" i="13"/>
  <c r="R730" i="13"/>
  <c r="G730" i="13"/>
  <c r="G729" i="13"/>
  <c r="G728" i="13"/>
  <c r="G727" i="13"/>
  <c r="G726" i="13"/>
  <c r="G725" i="13"/>
  <c r="AE724" i="13"/>
  <c r="AG724" i="13" s="1"/>
  <c r="AH724" i="13" s="1"/>
  <c r="V724" i="13"/>
  <c r="S724" i="13"/>
  <c r="U724" i="13" s="1"/>
  <c r="G724" i="13"/>
  <c r="AD723" i="13"/>
  <c r="AE716" i="13" s="1"/>
  <c r="AG716" i="13" s="1"/>
  <c r="AH716" i="13" s="1"/>
  <c r="R723" i="13"/>
  <c r="G723" i="13"/>
  <c r="AD722" i="13"/>
  <c r="R722" i="13"/>
  <c r="G722" i="13"/>
  <c r="AD721" i="13"/>
  <c r="R721" i="13"/>
  <c r="G721" i="13"/>
  <c r="AD720" i="13"/>
  <c r="R720" i="13"/>
  <c r="G720" i="13"/>
  <c r="K719" i="13"/>
  <c r="J719" i="13"/>
  <c r="G719" i="13"/>
  <c r="H719" i="13" s="1"/>
  <c r="AD718" i="13"/>
  <c r="R718" i="13"/>
  <c r="G718" i="13"/>
  <c r="R717" i="13"/>
  <c r="G717" i="13"/>
  <c r="V716" i="13"/>
  <c r="R716" i="13"/>
  <c r="S716" i="13" s="1"/>
  <c r="U716" i="13" s="1"/>
  <c r="G716" i="13"/>
  <c r="AD715" i="13"/>
  <c r="R715" i="13"/>
  <c r="G715" i="13"/>
  <c r="AD714" i="13"/>
  <c r="AE714" i="13" s="1"/>
  <c r="AG714" i="13" s="1"/>
  <c r="AH714" i="13" s="1"/>
  <c r="U714" i="13"/>
  <c r="V714" i="13" s="1"/>
  <c r="R714" i="13"/>
  <c r="S714" i="13" s="1"/>
  <c r="G714" i="13"/>
  <c r="AD713" i="13"/>
  <c r="R713" i="13"/>
  <c r="G713" i="13"/>
  <c r="AD712" i="13"/>
  <c r="R712" i="13"/>
  <c r="K712" i="13"/>
  <c r="G712" i="13"/>
  <c r="H712" i="13" s="1"/>
  <c r="J712" i="13" s="1"/>
  <c r="AD711" i="13"/>
  <c r="R711" i="13"/>
  <c r="G711" i="13"/>
  <c r="H710" i="13" s="1"/>
  <c r="AD710" i="13"/>
  <c r="R710" i="13"/>
  <c r="K710" i="13"/>
  <c r="J710" i="13"/>
  <c r="G710" i="13"/>
  <c r="AD709" i="13"/>
  <c r="R709" i="13"/>
  <c r="G709" i="13"/>
  <c r="AD708" i="13"/>
  <c r="R708" i="13"/>
  <c r="G708" i="13"/>
  <c r="H706" i="13" s="1"/>
  <c r="J706" i="13" s="1"/>
  <c r="K706" i="13" s="1"/>
  <c r="AD707" i="13"/>
  <c r="R707" i="13"/>
  <c r="G707" i="13"/>
  <c r="AD706" i="13"/>
  <c r="R706" i="13"/>
  <c r="G706" i="13"/>
  <c r="AD705" i="13"/>
  <c r="R705" i="13"/>
  <c r="G705" i="13"/>
  <c r="R704" i="13"/>
  <c r="G704" i="13"/>
  <c r="R703" i="13"/>
  <c r="G703" i="13"/>
  <c r="G702" i="13"/>
  <c r="G701" i="13"/>
  <c r="AE700" i="13"/>
  <c r="AG700" i="13" s="1"/>
  <c r="AH700" i="13" s="1"/>
  <c r="V700" i="13"/>
  <c r="U700" i="13"/>
  <c r="S700" i="13"/>
  <c r="G700" i="13"/>
  <c r="AD699" i="13"/>
  <c r="AE698" i="13" s="1"/>
  <c r="AG698" i="13" s="1"/>
  <c r="AH698" i="13" s="1"/>
  <c r="R699" i="13"/>
  <c r="G699" i="13"/>
  <c r="R698" i="13"/>
  <c r="S698" i="13" s="1"/>
  <c r="U698" i="13" s="1"/>
  <c r="V698" i="13" s="1"/>
  <c r="G698" i="13"/>
  <c r="G697" i="13"/>
  <c r="AH696" i="13"/>
  <c r="AE696" i="13"/>
  <c r="AG696" i="13" s="1"/>
  <c r="U696" i="13"/>
  <c r="V696" i="13" s="1"/>
  <c r="S696" i="13"/>
  <c r="R696" i="13"/>
  <c r="G696" i="13"/>
  <c r="R695" i="13"/>
  <c r="G695" i="13"/>
  <c r="AD694" i="13"/>
  <c r="R694" i="13"/>
  <c r="K694" i="13"/>
  <c r="J694" i="13"/>
  <c r="H694" i="13"/>
  <c r="AD693" i="13"/>
  <c r="R693" i="13"/>
  <c r="I693" i="13"/>
  <c r="F693" i="13"/>
  <c r="E693" i="13"/>
  <c r="AD692" i="13"/>
  <c r="V692" i="13"/>
  <c r="U692" i="13"/>
  <c r="R692" i="13"/>
  <c r="S692" i="13" s="1"/>
  <c r="I692" i="13"/>
  <c r="F692" i="13"/>
  <c r="E692" i="13"/>
  <c r="G691" i="13"/>
  <c r="AH690" i="13"/>
  <c r="AE690" i="13"/>
  <c r="AG690" i="13" s="1"/>
  <c r="U690" i="13"/>
  <c r="V690" i="13" s="1"/>
  <c r="S690" i="13"/>
  <c r="R690" i="13"/>
  <c r="G690" i="13"/>
  <c r="G689" i="13"/>
  <c r="H689" i="13" s="1"/>
  <c r="J689" i="13" s="1"/>
  <c r="K689" i="13" s="1"/>
  <c r="AD688" i="13"/>
  <c r="R688" i="13"/>
  <c r="K688" i="13"/>
  <c r="J688" i="13"/>
  <c r="H688" i="13"/>
  <c r="G688" i="13"/>
  <c r="AD687" i="13"/>
  <c r="R687" i="13"/>
  <c r="G687" i="13"/>
  <c r="AD686" i="13"/>
  <c r="R686" i="13"/>
  <c r="G686" i="13"/>
  <c r="AD685" i="13"/>
  <c r="R685" i="13"/>
  <c r="G685" i="13"/>
  <c r="AD684" i="13"/>
  <c r="R684" i="13"/>
  <c r="G684" i="13"/>
  <c r="AD683" i="13"/>
  <c r="R683" i="13"/>
  <c r="G683" i="13"/>
  <c r="AD682" i="13"/>
  <c r="AD778" i="13" s="1"/>
  <c r="R682" i="13"/>
  <c r="G682" i="13"/>
  <c r="AD681" i="13"/>
  <c r="R681" i="13"/>
  <c r="G681" i="13"/>
  <c r="H680" i="13" s="1"/>
  <c r="AD680" i="13"/>
  <c r="R680" i="13"/>
  <c r="K680" i="13"/>
  <c r="J680" i="13"/>
  <c r="G680" i="13"/>
  <c r="AD679" i="13"/>
  <c r="R679" i="13"/>
  <c r="G679" i="13"/>
  <c r="AD678" i="13"/>
  <c r="R678" i="13"/>
  <c r="G678" i="13"/>
  <c r="AD677" i="13"/>
  <c r="R677" i="13"/>
  <c r="G677" i="13"/>
  <c r="AD676" i="13"/>
  <c r="R676" i="13"/>
  <c r="G676" i="13"/>
  <c r="H676" i="13" s="1"/>
  <c r="AD675" i="13"/>
  <c r="R675" i="13"/>
  <c r="G675" i="13"/>
  <c r="AD674" i="13"/>
  <c r="R674" i="13"/>
  <c r="G674" i="13"/>
  <c r="R673" i="13"/>
  <c r="G673" i="13"/>
  <c r="R672" i="13"/>
  <c r="G672" i="13"/>
  <c r="AD671" i="13"/>
  <c r="R671" i="13"/>
  <c r="G671" i="13"/>
  <c r="R670" i="13"/>
  <c r="G670" i="13"/>
  <c r="AF669" i="13"/>
  <c r="AC669" i="13"/>
  <c r="AB669" i="13"/>
  <c r="T669" i="13"/>
  <c r="Q669" i="13"/>
  <c r="P669" i="13"/>
  <c r="G669" i="13"/>
  <c r="AF668" i="13"/>
  <c r="AC668" i="13"/>
  <c r="AB668" i="13"/>
  <c r="T668" i="13"/>
  <c r="Q668" i="13"/>
  <c r="P668" i="13"/>
  <c r="G668" i="13"/>
  <c r="G667" i="13"/>
  <c r="H665" i="13" s="1"/>
  <c r="J665" i="13" s="1"/>
  <c r="K665" i="13" s="1"/>
  <c r="AE666" i="13"/>
  <c r="AG666" i="13" s="1"/>
  <c r="AH666" i="13" s="1"/>
  <c r="AD666" i="13"/>
  <c r="R666" i="13"/>
  <c r="S666" i="13" s="1"/>
  <c r="U666" i="13" s="1"/>
  <c r="V666" i="13" s="1"/>
  <c r="G666" i="13"/>
  <c r="G665" i="13"/>
  <c r="AE664" i="13"/>
  <c r="AG664" i="13" s="1"/>
  <c r="AH664" i="13" s="1"/>
  <c r="S664" i="13"/>
  <c r="U664" i="13" s="1"/>
  <c r="V664" i="13" s="1"/>
  <c r="G664" i="13"/>
  <c r="AD663" i="13"/>
  <c r="R663" i="13"/>
  <c r="G663" i="13"/>
  <c r="AD662" i="13"/>
  <c r="R662" i="13"/>
  <c r="G662" i="13"/>
  <c r="H662" i="13" s="1"/>
  <c r="J662" i="13" s="1"/>
  <c r="K662" i="13" s="1"/>
  <c r="AD661" i="13"/>
  <c r="R661" i="13"/>
  <c r="G661" i="13"/>
  <c r="R660" i="13"/>
  <c r="G660" i="13"/>
  <c r="G659" i="13"/>
  <c r="AD658" i="13"/>
  <c r="R658" i="13"/>
  <c r="S657" i="13" s="1"/>
  <c r="U657" i="13" s="1"/>
  <c r="V657" i="13" s="1"/>
  <c r="G658" i="13"/>
  <c r="AE657" i="13"/>
  <c r="AG657" i="13" s="1"/>
  <c r="AH657" i="13" s="1"/>
  <c r="G657" i="13"/>
  <c r="AD656" i="13"/>
  <c r="R656" i="13"/>
  <c r="G656" i="13"/>
  <c r="AD655" i="13"/>
  <c r="R655" i="13"/>
  <c r="J655" i="13"/>
  <c r="K655" i="13" s="1"/>
  <c r="H655" i="13"/>
  <c r="G655" i="13"/>
  <c r="AD654" i="13"/>
  <c r="R654" i="13"/>
  <c r="AD653" i="13"/>
  <c r="R653" i="13"/>
  <c r="AD652" i="13"/>
  <c r="R652" i="13"/>
  <c r="AD651" i="13"/>
  <c r="R651" i="13"/>
  <c r="AD650" i="13"/>
  <c r="R650" i="13"/>
  <c r="AD649" i="13"/>
  <c r="R649" i="13"/>
  <c r="AD648" i="13"/>
  <c r="R648" i="13"/>
  <c r="R647" i="13"/>
  <c r="G647" i="13"/>
  <c r="H647" i="13" s="1"/>
  <c r="J647" i="13" s="1"/>
  <c r="K647" i="13" s="1"/>
  <c r="V646" i="13"/>
  <c r="S646" i="13"/>
  <c r="U646" i="13" s="1"/>
  <c r="R646" i="13"/>
  <c r="AG644" i="13"/>
  <c r="AH644" i="13" s="1"/>
  <c r="AD644" i="13"/>
  <c r="AE644" i="13" s="1"/>
  <c r="S644" i="13"/>
  <c r="U644" i="13" s="1"/>
  <c r="V644" i="13" s="1"/>
  <c r="R644" i="13"/>
  <c r="AE642" i="13"/>
  <c r="AG642" i="13" s="1"/>
  <c r="AH642" i="13" s="1"/>
  <c r="S642" i="13"/>
  <c r="U642" i="13" s="1"/>
  <c r="V642" i="13" s="1"/>
  <c r="G640" i="13"/>
  <c r="H640" i="13" s="1"/>
  <c r="J640" i="13" s="1"/>
  <c r="K640" i="13" s="1"/>
  <c r="AE639" i="13"/>
  <c r="AG639" i="13" s="1"/>
  <c r="AH639" i="13" s="1"/>
  <c r="V639" i="13"/>
  <c r="U639" i="13"/>
  <c r="S639" i="13"/>
  <c r="R639" i="13"/>
  <c r="AE637" i="13"/>
  <c r="AG637" i="13" s="1"/>
  <c r="AH637" i="13" s="1"/>
  <c r="V637" i="13"/>
  <c r="S637" i="13"/>
  <c r="U637" i="13" s="1"/>
  <c r="AD636" i="13"/>
  <c r="R636" i="13"/>
  <c r="R635" i="13"/>
  <c r="G635" i="13"/>
  <c r="AD634" i="13"/>
  <c r="R634" i="13"/>
  <c r="G634" i="13"/>
  <c r="H634" i="13" s="1"/>
  <c r="J634" i="13" s="1"/>
  <c r="K634" i="13" s="1"/>
  <c r="AD633" i="13"/>
  <c r="R633" i="13"/>
  <c r="S631" i="13" s="1"/>
  <c r="U631" i="13" s="1"/>
  <c r="I633" i="13"/>
  <c r="G633" i="13"/>
  <c r="F633" i="13"/>
  <c r="E633" i="13"/>
  <c r="AD632" i="13"/>
  <c r="R632" i="13"/>
  <c r="I632" i="13"/>
  <c r="F632" i="13"/>
  <c r="E632" i="13"/>
  <c r="V631" i="13"/>
  <c r="R631" i="13"/>
  <c r="AD630" i="13"/>
  <c r="R630" i="13"/>
  <c r="AD629" i="13"/>
  <c r="R629" i="13"/>
  <c r="AD628" i="13"/>
  <c r="R628" i="13"/>
  <c r="AD627" i="13"/>
  <c r="R627" i="13"/>
  <c r="G627" i="13"/>
  <c r="AD626" i="13"/>
  <c r="R626" i="13"/>
  <c r="K626" i="13"/>
  <c r="G626" i="13"/>
  <c r="H626" i="13" s="1"/>
  <c r="J626" i="13" s="1"/>
  <c r="AD625" i="13"/>
  <c r="R625" i="13"/>
  <c r="G625" i="13"/>
  <c r="H624" i="13" s="1"/>
  <c r="J624" i="13" s="1"/>
  <c r="K624" i="13" s="1"/>
  <c r="AD624" i="13"/>
  <c r="R624" i="13"/>
  <c r="G624" i="13"/>
  <c r="AD623" i="13"/>
  <c r="R623" i="13"/>
  <c r="AD622" i="13"/>
  <c r="R622" i="13"/>
  <c r="H622" i="13"/>
  <c r="J622" i="13" s="1"/>
  <c r="K622" i="13" s="1"/>
  <c r="AD621" i="13"/>
  <c r="R621" i="13"/>
  <c r="AD620" i="13"/>
  <c r="R620" i="13"/>
  <c r="G620" i="13"/>
  <c r="R619" i="13"/>
  <c r="R618" i="13"/>
  <c r="R616" i="13"/>
  <c r="AD615" i="13"/>
  <c r="R615" i="13"/>
  <c r="AD614" i="13"/>
  <c r="R614" i="13"/>
  <c r="AD613" i="13"/>
  <c r="R613" i="13"/>
  <c r="AD612" i="13"/>
  <c r="R612" i="13"/>
  <c r="H612" i="13"/>
  <c r="AD611" i="13"/>
  <c r="R611" i="13"/>
  <c r="I611" i="13"/>
  <c r="F611" i="13"/>
  <c r="E611" i="13"/>
  <c r="I610" i="13"/>
  <c r="F610" i="13"/>
  <c r="E610" i="13"/>
  <c r="G609" i="13"/>
  <c r="AE608" i="13"/>
  <c r="AG608" i="13" s="1"/>
  <c r="AH608" i="13" s="1"/>
  <c r="U608" i="13"/>
  <c r="V608" i="13" s="1"/>
  <c r="S608" i="13"/>
  <c r="G608" i="13"/>
  <c r="H606" i="13" s="1"/>
  <c r="J606" i="13" s="1"/>
  <c r="K606" i="13" s="1"/>
  <c r="R607" i="13"/>
  <c r="G605" i="13"/>
  <c r="H604" i="13" s="1"/>
  <c r="AG604" i="13"/>
  <c r="AH604" i="13" s="1"/>
  <c r="AE604" i="13"/>
  <c r="S604" i="13"/>
  <c r="U604" i="13" s="1"/>
  <c r="V604" i="13" s="1"/>
  <c r="R604" i="13"/>
  <c r="J604" i="13"/>
  <c r="K604" i="13" s="1"/>
  <c r="J603" i="13"/>
  <c r="K603" i="13" s="1"/>
  <c r="H603" i="13"/>
  <c r="G603" i="13"/>
  <c r="AH602" i="13"/>
  <c r="AG602" i="13"/>
  <c r="AE602" i="13"/>
  <c r="S602" i="13"/>
  <c r="U602" i="13" s="1"/>
  <c r="V602" i="13" s="1"/>
  <c r="R602" i="13"/>
  <c r="G602" i="13"/>
  <c r="G601" i="13"/>
  <c r="AD600" i="13"/>
  <c r="R600" i="13"/>
  <c r="AD599" i="13"/>
  <c r="R599" i="13"/>
  <c r="G599" i="13"/>
  <c r="H599" i="13" s="1"/>
  <c r="J599" i="13" s="1"/>
  <c r="K599" i="13" s="1"/>
  <c r="AD598" i="13"/>
  <c r="AE598" i="13" s="1"/>
  <c r="AG598" i="13" s="1"/>
  <c r="AH598" i="13" s="1"/>
  <c r="V598" i="13"/>
  <c r="R598" i="13"/>
  <c r="S598" i="13" s="1"/>
  <c r="U598" i="13" s="1"/>
  <c r="G597" i="13"/>
  <c r="H595" i="13" s="1"/>
  <c r="J595" i="13" s="1"/>
  <c r="K595" i="13" s="1"/>
  <c r="AD596" i="13"/>
  <c r="R596" i="13"/>
  <c r="AD595" i="13"/>
  <c r="R595" i="13"/>
  <c r="AD594" i="13"/>
  <c r="R594" i="13"/>
  <c r="G594" i="13"/>
  <c r="G611" i="13" s="1"/>
  <c r="AD593" i="13"/>
  <c r="R593" i="13"/>
  <c r="R592" i="13"/>
  <c r="G592" i="13"/>
  <c r="G591" i="13"/>
  <c r="AE589" i="13"/>
  <c r="AG589" i="13" s="1"/>
  <c r="AH589" i="13" s="1"/>
  <c r="U589" i="13"/>
  <c r="V589" i="13" s="1"/>
  <c r="S589" i="13"/>
  <c r="G589" i="13"/>
  <c r="H589" i="13" s="1"/>
  <c r="AD588" i="13"/>
  <c r="R588" i="13"/>
  <c r="I588" i="13"/>
  <c r="F588" i="13"/>
  <c r="E588" i="13"/>
  <c r="AD587" i="13"/>
  <c r="R587" i="13"/>
  <c r="I587" i="13"/>
  <c r="F587" i="13"/>
  <c r="E587" i="13"/>
  <c r="AD586" i="13"/>
  <c r="R586" i="13"/>
  <c r="AD585" i="13"/>
  <c r="R585" i="13"/>
  <c r="AD584" i="13"/>
  <c r="R584" i="13"/>
  <c r="AD583" i="13"/>
  <c r="R583" i="13"/>
  <c r="AD582" i="13"/>
  <c r="R582" i="13"/>
  <c r="G582" i="13"/>
  <c r="AD581" i="13"/>
  <c r="R581" i="13"/>
  <c r="G581" i="13"/>
  <c r="AD580" i="13"/>
  <c r="R580" i="13"/>
  <c r="AD579" i="13"/>
  <c r="R579" i="13"/>
  <c r="G579" i="13"/>
  <c r="AD578" i="13"/>
  <c r="R578" i="13"/>
  <c r="AD577" i="13"/>
  <c r="R577" i="13"/>
  <c r="G577" i="13"/>
  <c r="AD576" i="13"/>
  <c r="R576" i="13"/>
  <c r="G576" i="13"/>
  <c r="AD575" i="13"/>
  <c r="R575" i="13"/>
  <c r="AD574" i="13"/>
  <c r="R574" i="13"/>
  <c r="G574" i="13"/>
  <c r="G573" i="13"/>
  <c r="R572" i="13"/>
  <c r="R571" i="13"/>
  <c r="G571" i="13"/>
  <c r="R570" i="13"/>
  <c r="AD568" i="13"/>
  <c r="R568" i="13"/>
  <c r="AD567" i="13"/>
  <c r="R567" i="13"/>
  <c r="K567" i="13"/>
  <c r="H567" i="13"/>
  <c r="J567" i="13" s="1"/>
  <c r="AD566" i="13"/>
  <c r="AE565" i="13" s="1"/>
  <c r="AG565" i="13" s="1"/>
  <c r="AH565" i="13" s="1"/>
  <c r="R566" i="13"/>
  <c r="AD565" i="13"/>
  <c r="U565" i="13"/>
  <c r="V565" i="13" s="1"/>
  <c r="S565" i="13"/>
  <c r="R565" i="13"/>
  <c r="J565" i="13"/>
  <c r="K565" i="13" s="1"/>
  <c r="H565" i="13"/>
  <c r="AD564" i="13"/>
  <c r="R564" i="13"/>
  <c r="G564" i="13"/>
  <c r="AD563" i="13"/>
  <c r="R563" i="13"/>
  <c r="G563" i="13"/>
  <c r="AD562" i="13"/>
  <c r="R562" i="13"/>
  <c r="G562" i="13"/>
  <c r="AD561" i="13"/>
  <c r="R561" i="13"/>
  <c r="G561" i="13"/>
  <c r="H561" i="13" s="1"/>
  <c r="J561" i="13" s="1"/>
  <c r="K561" i="13" s="1"/>
  <c r="AD560" i="13"/>
  <c r="S560" i="13"/>
  <c r="R560" i="13"/>
  <c r="G560" i="13"/>
  <c r="AF559" i="13"/>
  <c r="AC559" i="13"/>
  <c r="AB559" i="13"/>
  <c r="T559" i="13"/>
  <c r="Q559" i="13"/>
  <c r="P559" i="13"/>
  <c r="AF558" i="13"/>
  <c r="AC558" i="13"/>
  <c r="AB558" i="13"/>
  <c r="T558" i="13"/>
  <c r="Q558" i="13"/>
  <c r="P558" i="13"/>
  <c r="AD557" i="13"/>
  <c r="R557" i="13"/>
  <c r="AD556" i="13"/>
  <c r="R556" i="13"/>
  <c r="AD555" i="13"/>
  <c r="AE553" i="13" s="1"/>
  <c r="AG553" i="13" s="1"/>
  <c r="AH553" i="13" s="1"/>
  <c r="R555" i="13"/>
  <c r="R554" i="13"/>
  <c r="S553" i="13" s="1"/>
  <c r="U553" i="13" s="1"/>
  <c r="V553" i="13" s="1"/>
  <c r="R553" i="13"/>
  <c r="H552" i="13"/>
  <c r="J552" i="13" s="1"/>
  <c r="K552" i="13" s="1"/>
  <c r="G551" i="13"/>
  <c r="G550" i="13"/>
  <c r="AE548" i="13"/>
  <c r="AG548" i="13" s="1"/>
  <c r="AH548" i="13" s="1"/>
  <c r="U548" i="13"/>
  <c r="V548" i="13" s="1"/>
  <c r="S548" i="13"/>
  <c r="R548" i="13"/>
  <c r="AD547" i="13"/>
  <c r="R547" i="13"/>
  <c r="G547" i="13"/>
  <c r="AD546" i="13"/>
  <c r="R546" i="13"/>
  <c r="G546" i="13"/>
  <c r="AD545" i="13"/>
  <c r="R545" i="13"/>
  <c r="G545" i="13"/>
  <c r="AD544" i="13"/>
  <c r="R544" i="13"/>
  <c r="G544" i="13"/>
  <c r="AD543" i="13"/>
  <c r="R543" i="13"/>
  <c r="G543" i="13"/>
  <c r="AD542" i="13"/>
  <c r="R542" i="13"/>
  <c r="G542" i="13"/>
  <c r="AD541" i="13"/>
  <c r="R541" i="13"/>
  <c r="G541" i="13"/>
  <c r="AD540" i="13"/>
  <c r="R540" i="13"/>
  <c r="G540" i="13"/>
  <c r="AD539" i="13"/>
  <c r="R539" i="13"/>
  <c r="G539" i="13"/>
  <c r="AD538" i="13"/>
  <c r="R538" i="13"/>
  <c r="G538" i="13"/>
  <c r="AD537" i="13"/>
  <c r="R537" i="13"/>
  <c r="G536" i="13"/>
  <c r="AD535" i="13"/>
  <c r="R535" i="13"/>
  <c r="G535" i="13"/>
  <c r="AD534" i="13"/>
  <c r="R534" i="13"/>
  <c r="R533" i="13"/>
  <c r="G533" i="13"/>
  <c r="AE532" i="13"/>
  <c r="AG532" i="13" s="1"/>
  <c r="AH532" i="13" s="1"/>
  <c r="R532" i="13"/>
  <c r="AD531" i="13"/>
  <c r="R531" i="13"/>
  <c r="G530" i="13"/>
  <c r="AD529" i="13"/>
  <c r="R529" i="13"/>
  <c r="R528" i="13"/>
  <c r="AG527" i="13"/>
  <c r="AH527" i="13" s="1"/>
  <c r="AE527" i="13"/>
  <c r="R527" i="13"/>
  <c r="AE525" i="13"/>
  <c r="AG525" i="13" s="1"/>
  <c r="AH525" i="13" s="1"/>
  <c r="V525" i="13"/>
  <c r="S525" i="13"/>
  <c r="U525" i="13" s="1"/>
  <c r="R524" i="13"/>
  <c r="R523" i="13"/>
  <c r="R522" i="13"/>
  <c r="R521" i="13"/>
  <c r="AD520" i="13"/>
  <c r="AE520" i="13" s="1"/>
  <c r="AG520" i="13" s="1"/>
  <c r="AH520" i="13" s="1"/>
  <c r="V520" i="13"/>
  <c r="S520" i="13"/>
  <c r="U520" i="13" s="1"/>
  <c r="R520" i="13"/>
  <c r="AH517" i="13"/>
  <c r="AG517" i="13"/>
  <c r="AE517" i="13"/>
  <c r="U517" i="13"/>
  <c r="V517" i="13" s="1"/>
  <c r="S517" i="13"/>
  <c r="AD516" i="13"/>
  <c r="R516" i="13"/>
  <c r="J516" i="13"/>
  <c r="K516" i="13" s="1"/>
  <c r="H516" i="13"/>
  <c r="R515" i="13"/>
  <c r="AD514" i="13"/>
  <c r="R514" i="13"/>
  <c r="AF513" i="13"/>
  <c r="AC513" i="13"/>
  <c r="AB513" i="13"/>
  <c r="T513" i="13"/>
  <c r="Q513" i="13"/>
  <c r="P513" i="13"/>
  <c r="AF512" i="13"/>
  <c r="AC512" i="13"/>
  <c r="AB512" i="13"/>
  <c r="T512" i="13"/>
  <c r="Q512" i="13"/>
  <c r="P512" i="13"/>
  <c r="AD510" i="13"/>
  <c r="R510" i="13"/>
  <c r="AD509" i="13"/>
  <c r="R509" i="13"/>
  <c r="AH508" i="13"/>
  <c r="AD508" i="13"/>
  <c r="AE508" i="13" s="1"/>
  <c r="AG508" i="13" s="1"/>
  <c r="R508" i="13"/>
  <c r="J508" i="13"/>
  <c r="K508" i="13" s="1"/>
  <c r="H508" i="13"/>
  <c r="AE506" i="13"/>
  <c r="AG506" i="13" s="1"/>
  <c r="AH506" i="13" s="1"/>
  <c r="U506" i="13"/>
  <c r="V506" i="13" s="1"/>
  <c r="S506" i="13"/>
  <c r="AD504" i="13"/>
  <c r="R504" i="13"/>
  <c r="AD503" i="13"/>
  <c r="R503" i="13"/>
  <c r="R502" i="13"/>
  <c r="AD501" i="13"/>
  <c r="R501" i="13"/>
  <c r="S501" i="13" s="1"/>
  <c r="U501" i="13" s="1"/>
  <c r="V501" i="13" s="1"/>
  <c r="K495" i="13"/>
  <c r="H495" i="13"/>
  <c r="J495" i="13" s="1"/>
  <c r="AD494" i="13"/>
  <c r="R494" i="13"/>
  <c r="H494" i="13"/>
  <c r="J494" i="13" s="1"/>
  <c r="K494" i="13" s="1"/>
  <c r="AE492" i="13"/>
  <c r="AG492" i="13" s="1"/>
  <c r="AH492" i="13" s="1"/>
  <c r="S492" i="13"/>
  <c r="U492" i="13" s="1"/>
  <c r="V492" i="13" s="1"/>
  <c r="R492" i="13"/>
  <c r="AD491" i="13"/>
  <c r="R491" i="13"/>
  <c r="R490" i="13"/>
  <c r="S489" i="13" s="1"/>
  <c r="AG489" i="13"/>
  <c r="AH489" i="13" s="1"/>
  <c r="AE489" i="13"/>
  <c r="AD489" i="13"/>
  <c r="U489" i="13"/>
  <c r="V489" i="13" s="1"/>
  <c r="R489" i="13"/>
  <c r="AD487" i="13"/>
  <c r="R487" i="13"/>
  <c r="AD485" i="13"/>
  <c r="AE484" i="13" s="1"/>
  <c r="AG484" i="13" s="1"/>
  <c r="AH484" i="13" s="1"/>
  <c r="R485" i="13"/>
  <c r="V484" i="13"/>
  <c r="S484" i="13"/>
  <c r="U484" i="13" s="1"/>
  <c r="R484" i="13"/>
  <c r="AH482" i="13"/>
  <c r="AG482" i="13"/>
  <c r="AE482" i="13"/>
  <c r="V482" i="13"/>
  <c r="S482" i="13"/>
  <c r="U482" i="13" s="1"/>
  <c r="AD481" i="13"/>
  <c r="R481" i="13"/>
  <c r="AD480" i="13"/>
  <c r="R480" i="13"/>
  <c r="AD479" i="13"/>
  <c r="R479" i="13"/>
  <c r="AD478" i="13"/>
  <c r="R478" i="13"/>
  <c r="AE477" i="13"/>
  <c r="AG477" i="13" s="1"/>
  <c r="AH477" i="13" s="1"/>
  <c r="R477" i="13"/>
  <c r="S477" i="13" s="1"/>
  <c r="U477" i="13" s="1"/>
  <c r="V477" i="13" s="1"/>
  <c r="AH475" i="13"/>
  <c r="AG475" i="13"/>
  <c r="AE475" i="13"/>
  <c r="S475" i="13"/>
  <c r="U475" i="13" s="1"/>
  <c r="V475" i="13" s="1"/>
  <c r="AD474" i="13"/>
  <c r="R474" i="13"/>
  <c r="J474" i="13"/>
  <c r="K474" i="13" s="1"/>
  <c r="H474" i="13"/>
  <c r="AD473" i="13"/>
  <c r="AE471" i="13" s="1"/>
  <c r="AG471" i="13" s="1"/>
  <c r="AH471" i="13" s="1"/>
  <c r="R473" i="13"/>
  <c r="R471" i="13"/>
  <c r="AD470" i="13"/>
  <c r="R470" i="13"/>
  <c r="AD469" i="13"/>
  <c r="R469" i="13"/>
  <c r="AD468" i="13"/>
  <c r="R468" i="13"/>
  <c r="AD467" i="13"/>
  <c r="R467" i="13"/>
  <c r="R466" i="13"/>
  <c r="H466" i="13"/>
  <c r="J466" i="13" s="1"/>
  <c r="K466" i="13" s="1"/>
  <c r="AD465" i="13"/>
  <c r="R465" i="13"/>
  <c r="AD464" i="13"/>
  <c r="R464" i="13"/>
  <c r="G464" i="13"/>
  <c r="G463" i="13"/>
  <c r="AD462" i="13"/>
  <c r="R462" i="13"/>
  <c r="G462" i="13"/>
  <c r="AD461" i="13"/>
  <c r="AE458" i="13" s="1"/>
  <c r="AG458" i="13" s="1"/>
  <c r="AH458" i="13" s="1"/>
  <c r="R461" i="13"/>
  <c r="R460" i="13"/>
  <c r="G460" i="13"/>
  <c r="AD459" i="13"/>
  <c r="R459" i="13"/>
  <c r="AD458" i="13"/>
  <c r="V458" i="13"/>
  <c r="S458" i="13"/>
  <c r="U458" i="13" s="1"/>
  <c r="R458" i="13"/>
  <c r="G458" i="13"/>
  <c r="G457" i="13"/>
  <c r="AD456" i="13"/>
  <c r="R456" i="13"/>
  <c r="G456" i="13"/>
  <c r="R455" i="13"/>
  <c r="G455" i="13"/>
  <c r="G454" i="13"/>
  <c r="AD453" i="13"/>
  <c r="R453" i="13"/>
  <c r="G453" i="13"/>
  <c r="AD452" i="13"/>
  <c r="R452" i="13"/>
  <c r="G452" i="13"/>
  <c r="AD451" i="13"/>
  <c r="R451" i="13"/>
  <c r="G451" i="13"/>
  <c r="AD450" i="13"/>
  <c r="R450" i="13"/>
  <c r="AD448" i="13"/>
  <c r="R448" i="13"/>
  <c r="AD447" i="13"/>
  <c r="AE442" i="13" s="1"/>
  <c r="R447" i="13"/>
  <c r="G447" i="13"/>
  <c r="AD446" i="13"/>
  <c r="R446" i="13"/>
  <c r="AD445" i="13"/>
  <c r="R445" i="13"/>
  <c r="G445" i="13"/>
  <c r="G444" i="13"/>
  <c r="AD443" i="13"/>
  <c r="R443" i="13"/>
  <c r="G443" i="13"/>
  <c r="G442" i="13"/>
  <c r="AF441" i="13"/>
  <c r="AC441" i="13"/>
  <c r="T441" i="13"/>
  <c r="Q441" i="13"/>
  <c r="G441" i="13"/>
  <c r="AF440" i="13"/>
  <c r="AC440" i="13"/>
  <c r="AB440" i="13"/>
  <c r="T440" i="13"/>
  <c r="Q440" i="13"/>
  <c r="P440" i="13"/>
  <c r="G440" i="13"/>
  <c r="AD439" i="13"/>
  <c r="R439" i="13"/>
  <c r="AD438" i="13"/>
  <c r="R438" i="13"/>
  <c r="G438" i="13"/>
  <c r="G437" i="13"/>
  <c r="AD436" i="13"/>
  <c r="AE435" i="13" s="1"/>
  <c r="AG435" i="13" s="1"/>
  <c r="AH435" i="13" s="1"/>
  <c r="R436" i="13"/>
  <c r="G436" i="13"/>
  <c r="AD435" i="13"/>
  <c r="R435" i="13"/>
  <c r="G435" i="13"/>
  <c r="H434" i="13"/>
  <c r="AD433" i="13"/>
  <c r="AE433" i="13" s="1"/>
  <c r="AG433" i="13" s="1"/>
  <c r="AH433" i="13" s="1"/>
  <c r="V433" i="13"/>
  <c r="U433" i="13"/>
  <c r="R433" i="13"/>
  <c r="S433" i="13" s="1"/>
  <c r="AD431" i="13"/>
  <c r="R431" i="13"/>
  <c r="J431" i="13"/>
  <c r="K431" i="13" s="1"/>
  <c r="H431" i="13"/>
  <c r="AD430" i="13"/>
  <c r="R430" i="13"/>
  <c r="AD429" i="13"/>
  <c r="R429" i="13"/>
  <c r="AD428" i="13"/>
  <c r="R428" i="13"/>
  <c r="AD427" i="13"/>
  <c r="R427" i="13"/>
  <c r="K427" i="13"/>
  <c r="J427" i="13"/>
  <c r="H427" i="13"/>
  <c r="AD426" i="13"/>
  <c r="R426" i="13"/>
  <c r="G426" i="13"/>
  <c r="AD425" i="13"/>
  <c r="R425" i="13"/>
  <c r="G425" i="13"/>
  <c r="AD424" i="13"/>
  <c r="R424" i="13"/>
  <c r="G424" i="13"/>
  <c r="AD423" i="13"/>
  <c r="R423" i="13"/>
  <c r="G423" i="13"/>
  <c r="AD422" i="13"/>
  <c r="R422" i="13"/>
  <c r="H422" i="13"/>
  <c r="J422" i="13" s="1"/>
  <c r="K422" i="13" s="1"/>
  <c r="AD421" i="13"/>
  <c r="R421" i="13"/>
  <c r="G421" i="13"/>
  <c r="AD420" i="13"/>
  <c r="R420" i="13"/>
  <c r="G420" i="13"/>
  <c r="AD419" i="13"/>
  <c r="R419" i="13"/>
  <c r="J419" i="13"/>
  <c r="K419" i="13" s="1"/>
  <c r="H419" i="13"/>
  <c r="G419" i="13"/>
  <c r="AD418" i="13"/>
  <c r="R418" i="13"/>
  <c r="AD416" i="13"/>
  <c r="R416" i="13"/>
  <c r="AD415" i="13"/>
  <c r="R415" i="13"/>
  <c r="J415" i="13"/>
  <c r="K415" i="13" s="1"/>
  <c r="H415" i="13"/>
  <c r="AD414" i="13"/>
  <c r="R414" i="13"/>
  <c r="AD413" i="13"/>
  <c r="R413" i="13"/>
  <c r="AD412" i="13"/>
  <c r="R412" i="13"/>
  <c r="AD411" i="13"/>
  <c r="R411" i="13"/>
  <c r="AD410" i="13"/>
  <c r="R410" i="13"/>
  <c r="H410" i="13"/>
  <c r="AD409" i="13"/>
  <c r="R409" i="13"/>
  <c r="I409" i="13"/>
  <c r="G409" i="13"/>
  <c r="F409" i="13"/>
  <c r="E409" i="13"/>
  <c r="I408" i="13"/>
  <c r="G408" i="13"/>
  <c r="F408" i="13"/>
  <c r="E408" i="13"/>
  <c r="AE407" i="13"/>
  <c r="AG407" i="13" s="1"/>
  <c r="AH407" i="13" s="1"/>
  <c r="R407" i="13"/>
  <c r="S407" i="13" s="1"/>
  <c r="U407" i="13" s="1"/>
  <c r="V407" i="13" s="1"/>
  <c r="J406" i="13"/>
  <c r="K406" i="13" s="1"/>
  <c r="H406" i="13"/>
  <c r="AE405" i="13"/>
  <c r="AG405" i="13" s="1"/>
  <c r="AH405" i="13" s="1"/>
  <c r="S405" i="13"/>
  <c r="U405" i="13" s="1"/>
  <c r="V405" i="13" s="1"/>
  <c r="R405" i="13"/>
  <c r="AD404" i="13"/>
  <c r="R404" i="13"/>
  <c r="AD403" i="13"/>
  <c r="V403" i="13"/>
  <c r="S403" i="13"/>
  <c r="U403" i="13" s="1"/>
  <c r="R403" i="13"/>
  <c r="J403" i="13"/>
  <c r="K403" i="13" s="1"/>
  <c r="H403" i="13"/>
  <c r="AD401" i="13"/>
  <c r="R401" i="13"/>
  <c r="J401" i="13"/>
  <c r="K401" i="13" s="1"/>
  <c r="H401" i="13"/>
  <c r="AD400" i="13"/>
  <c r="R400" i="13"/>
  <c r="AD399" i="13"/>
  <c r="R399" i="13"/>
  <c r="AD398" i="13"/>
  <c r="R398" i="13"/>
  <c r="H398" i="13"/>
  <c r="J398" i="13" s="1"/>
  <c r="K398" i="13" s="1"/>
  <c r="AD397" i="13"/>
  <c r="R397" i="13"/>
  <c r="AD396" i="13"/>
  <c r="AE396" i="13" s="1"/>
  <c r="AG396" i="13" s="1"/>
  <c r="AH396" i="13" s="1"/>
  <c r="S396" i="13"/>
  <c r="U396" i="13" s="1"/>
  <c r="V396" i="13" s="1"/>
  <c r="R396" i="13"/>
  <c r="AE394" i="13"/>
  <c r="AG394" i="13" s="1"/>
  <c r="AH394" i="13" s="1"/>
  <c r="S394" i="13"/>
  <c r="U394" i="13" s="1"/>
  <c r="V394" i="13" s="1"/>
  <c r="J394" i="13"/>
  <c r="K394" i="13" s="1"/>
  <c r="H394" i="13"/>
  <c r="AG392" i="13"/>
  <c r="AH392" i="13" s="1"/>
  <c r="AE392" i="13"/>
  <c r="U392" i="13"/>
  <c r="V392" i="13" s="1"/>
  <c r="S392" i="13"/>
  <c r="AD391" i="13"/>
  <c r="R391" i="13"/>
  <c r="AD390" i="13"/>
  <c r="R390" i="13"/>
  <c r="AD389" i="13"/>
  <c r="R389" i="13"/>
  <c r="R388" i="13"/>
  <c r="R387" i="13"/>
  <c r="H387" i="13"/>
  <c r="J387" i="13" s="1"/>
  <c r="K387" i="13" s="1"/>
  <c r="AD386" i="13"/>
  <c r="R386" i="13"/>
  <c r="AD385" i="13"/>
  <c r="R385" i="13"/>
  <c r="AD384" i="13"/>
  <c r="R384" i="13"/>
  <c r="AD383" i="13"/>
  <c r="R383" i="13"/>
  <c r="AD382" i="13"/>
  <c r="R382" i="13"/>
  <c r="R381" i="13"/>
  <c r="R380" i="13"/>
  <c r="R379" i="13"/>
  <c r="R378" i="13"/>
  <c r="K378" i="13"/>
  <c r="J378" i="13"/>
  <c r="H378" i="13"/>
  <c r="R377" i="13"/>
  <c r="R376" i="13"/>
  <c r="R375" i="13"/>
  <c r="K374" i="13"/>
  <c r="J374" i="13"/>
  <c r="H374" i="13"/>
  <c r="AD373" i="13"/>
  <c r="AE363" i="13" s="1"/>
  <c r="R373" i="13"/>
  <c r="I373" i="13"/>
  <c r="G373" i="13"/>
  <c r="F373" i="13"/>
  <c r="E373" i="13"/>
  <c r="I372" i="13"/>
  <c r="G372" i="13"/>
  <c r="F372" i="13"/>
  <c r="E372" i="13"/>
  <c r="R371" i="13"/>
  <c r="H367" i="13"/>
  <c r="J367" i="13" s="1"/>
  <c r="K367" i="13" s="1"/>
  <c r="J366" i="13"/>
  <c r="K366" i="13" s="1"/>
  <c r="H366" i="13"/>
  <c r="J365" i="13"/>
  <c r="K365" i="13" s="1"/>
  <c r="H365" i="13"/>
  <c r="AG363" i="13"/>
  <c r="AH363" i="13" s="1"/>
  <c r="AD362" i="13"/>
  <c r="R362" i="13"/>
  <c r="R361" i="13"/>
  <c r="AD360" i="13"/>
  <c r="R360" i="13"/>
  <c r="K360" i="13"/>
  <c r="H360" i="13"/>
  <c r="J360" i="13" s="1"/>
  <c r="R359" i="13"/>
  <c r="R357" i="13"/>
  <c r="AH356" i="13"/>
  <c r="AD356" i="13"/>
  <c r="AE356" i="13" s="1"/>
  <c r="AG356" i="13" s="1"/>
  <c r="R356" i="13"/>
  <c r="S356" i="13" s="1"/>
  <c r="U356" i="13" s="1"/>
  <c r="V356" i="13" s="1"/>
  <c r="AD355" i="13"/>
  <c r="R355" i="13"/>
  <c r="H354" i="13"/>
  <c r="J354" i="13" s="1"/>
  <c r="K354" i="13" s="1"/>
  <c r="AE353" i="13"/>
  <c r="AG353" i="13" s="1"/>
  <c r="AH353" i="13" s="1"/>
  <c r="R353" i="13"/>
  <c r="K352" i="13"/>
  <c r="J352" i="13"/>
  <c r="H352" i="13"/>
  <c r="AE348" i="13"/>
  <c r="R348" i="13"/>
  <c r="S348" i="13" s="1"/>
  <c r="K348" i="13"/>
  <c r="H348" i="13"/>
  <c r="J348" i="13" s="1"/>
  <c r="AF347" i="13"/>
  <c r="AC347" i="13"/>
  <c r="AB347" i="13"/>
  <c r="T347" i="13"/>
  <c r="Q347" i="13"/>
  <c r="P347" i="13"/>
  <c r="AF346" i="13"/>
  <c r="AC346" i="13"/>
  <c r="AB346" i="13"/>
  <c r="AB441" i="13" s="1"/>
  <c r="T346" i="13"/>
  <c r="Q346" i="13"/>
  <c r="P346" i="13"/>
  <c r="J345" i="13"/>
  <c r="K345" i="13" s="1"/>
  <c r="H345" i="13"/>
  <c r="H343" i="13"/>
  <c r="J343" i="13" s="1"/>
  <c r="K343" i="13" s="1"/>
  <c r="AD342" i="13"/>
  <c r="R342" i="13"/>
  <c r="AD341" i="13"/>
  <c r="R341" i="13"/>
  <c r="J341" i="13"/>
  <c r="H341" i="13"/>
  <c r="AD340" i="13"/>
  <c r="R340" i="13"/>
  <c r="I340" i="13"/>
  <c r="F340" i="13"/>
  <c r="E340" i="13"/>
  <c r="AD339" i="13"/>
  <c r="R339" i="13"/>
  <c r="I339" i="13"/>
  <c r="F339" i="13"/>
  <c r="E339" i="13"/>
  <c r="AD338" i="13"/>
  <c r="R338" i="13"/>
  <c r="G338" i="13"/>
  <c r="AD337" i="13"/>
  <c r="R337" i="13"/>
  <c r="G337" i="13"/>
  <c r="AD336" i="13"/>
  <c r="R336" i="13"/>
  <c r="G336" i="13"/>
  <c r="AD335" i="13"/>
  <c r="R335" i="13"/>
  <c r="G335" i="13"/>
  <c r="H334" i="13" s="1"/>
  <c r="J334" i="13" s="1"/>
  <c r="AD334" i="13"/>
  <c r="R334" i="13"/>
  <c r="K334" i="13"/>
  <c r="AD333" i="13"/>
  <c r="R333" i="13"/>
  <c r="AD332" i="13"/>
  <c r="R332" i="13"/>
  <c r="G332" i="13"/>
  <c r="R331" i="13"/>
  <c r="G331" i="13"/>
  <c r="AE330" i="13"/>
  <c r="AG330" i="13" s="1"/>
  <c r="AH330" i="13" s="1"/>
  <c r="R330" i="13"/>
  <c r="G330" i="13"/>
  <c r="G329" i="13"/>
  <c r="AD328" i="13"/>
  <c r="R328" i="13"/>
  <c r="H328" i="13"/>
  <c r="J328" i="13" s="1"/>
  <c r="K328" i="13" s="1"/>
  <c r="R327" i="13"/>
  <c r="G327" i="13"/>
  <c r="R326" i="13"/>
  <c r="G326" i="13"/>
  <c r="AG325" i="13"/>
  <c r="AH325" i="13" s="1"/>
  <c r="AD325" i="13"/>
  <c r="AE325" i="13" s="1"/>
  <c r="R325" i="13"/>
  <c r="S325" i="13" s="1"/>
  <c r="U325" i="13" s="1"/>
  <c r="V325" i="13" s="1"/>
  <c r="G325" i="13"/>
  <c r="H323" i="13"/>
  <c r="J323" i="13" s="1"/>
  <c r="K323" i="13" s="1"/>
  <c r="G323" i="13"/>
  <c r="G322" i="13"/>
  <c r="G321" i="13"/>
  <c r="AD320" i="13"/>
  <c r="R320" i="13"/>
  <c r="AD319" i="13"/>
  <c r="R319" i="13"/>
  <c r="G319" i="13"/>
  <c r="AD318" i="13"/>
  <c r="R318" i="13"/>
  <c r="S318" i="13" s="1"/>
  <c r="U318" i="13" s="1"/>
  <c r="V318" i="13" s="1"/>
  <c r="G318" i="13"/>
  <c r="AD317" i="13"/>
  <c r="R317" i="13"/>
  <c r="AD316" i="13"/>
  <c r="R316" i="13"/>
  <c r="AH315" i="13"/>
  <c r="AE315" i="13"/>
  <c r="AG315" i="13" s="1"/>
  <c r="AD315" i="13"/>
  <c r="R315" i="13"/>
  <c r="G314" i="13"/>
  <c r="G313" i="13"/>
  <c r="AE312" i="13"/>
  <c r="AG312" i="13" s="1"/>
  <c r="AH312" i="13" s="1"/>
  <c r="S312" i="13"/>
  <c r="U312" i="13" s="1"/>
  <c r="V312" i="13" s="1"/>
  <c r="R312" i="13"/>
  <c r="J312" i="13"/>
  <c r="K312" i="13" s="1"/>
  <c r="H312" i="13"/>
  <c r="G312" i="13"/>
  <c r="AH310" i="13"/>
  <c r="AE310" i="13"/>
  <c r="AG310" i="13" s="1"/>
  <c r="U310" i="13"/>
  <c r="V310" i="13" s="1"/>
  <c r="S310" i="13"/>
  <c r="G310" i="13"/>
  <c r="G309" i="13"/>
  <c r="AG308" i="13"/>
  <c r="AH308" i="13" s="1"/>
  <c r="AE308" i="13"/>
  <c r="V308" i="13"/>
  <c r="U308" i="13"/>
  <c r="S308" i="13"/>
  <c r="G308" i="13"/>
  <c r="G307" i="13"/>
  <c r="K306" i="13"/>
  <c r="H306" i="13"/>
  <c r="J306" i="13" s="1"/>
  <c r="G305" i="13"/>
  <c r="K304" i="13"/>
  <c r="H304" i="13"/>
  <c r="J304" i="13" s="1"/>
  <c r="AG303" i="13"/>
  <c r="AH303" i="13" s="1"/>
  <c r="AE303" i="13"/>
  <c r="V303" i="13"/>
  <c r="U303" i="13"/>
  <c r="R303" i="13"/>
  <c r="S303" i="13" s="1"/>
  <c r="G303" i="13"/>
  <c r="G302" i="13"/>
  <c r="G301" i="13"/>
  <c r="G300" i="13"/>
  <c r="AD299" i="13"/>
  <c r="AE298" i="13" s="1"/>
  <c r="AG298" i="13" s="1"/>
  <c r="AH298" i="13" s="1"/>
  <c r="R299" i="13"/>
  <c r="G299" i="13"/>
  <c r="AD298" i="13"/>
  <c r="R298" i="13"/>
  <c r="G298" i="13"/>
  <c r="AH297" i="13"/>
  <c r="AG297" i="13"/>
  <c r="AE297" i="13"/>
  <c r="U297" i="13"/>
  <c r="V297" i="13" s="1"/>
  <c r="S297" i="13"/>
  <c r="R297" i="13"/>
  <c r="AH296" i="13"/>
  <c r="AE296" i="13"/>
  <c r="AG296" i="13" s="1"/>
  <c r="S296" i="13"/>
  <c r="U296" i="13" s="1"/>
  <c r="V296" i="13" s="1"/>
  <c r="R296" i="13"/>
  <c r="G295" i="13"/>
  <c r="G294" i="13"/>
  <c r="AG293" i="13"/>
  <c r="AH293" i="13" s="1"/>
  <c r="AE293" i="13"/>
  <c r="R293" i="13"/>
  <c r="S293" i="13" s="1"/>
  <c r="U293" i="13" s="1"/>
  <c r="V293" i="13" s="1"/>
  <c r="G293" i="13"/>
  <c r="H291" i="13" s="1"/>
  <c r="J291" i="13" s="1"/>
  <c r="K291" i="13" s="1"/>
  <c r="G292" i="13"/>
  <c r="AD291" i="13"/>
  <c r="R291" i="13"/>
  <c r="AD290" i="13"/>
  <c r="R290" i="13"/>
  <c r="AD289" i="13"/>
  <c r="AE289" i="13" s="1"/>
  <c r="AG289" i="13" s="1"/>
  <c r="AH289" i="13" s="1"/>
  <c r="U289" i="13"/>
  <c r="V289" i="13" s="1"/>
  <c r="S289" i="13"/>
  <c r="R289" i="13"/>
  <c r="AH287" i="13"/>
  <c r="AG287" i="13"/>
  <c r="AE287" i="13"/>
  <c r="S287" i="13"/>
  <c r="U287" i="13" s="1"/>
  <c r="V287" i="13" s="1"/>
  <c r="R287" i="13"/>
  <c r="G287" i="13"/>
  <c r="H281" i="13" s="1"/>
  <c r="J281" i="13" s="1"/>
  <c r="K281" i="13" s="1"/>
  <c r="R286" i="13"/>
  <c r="G286" i="13"/>
  <c r="AG285" i="13"/>
  <c r="AH285" i="13" s="1"/>
  <c r="AE285" i="13"/>
  <c r="R285" i="13"/>
  <c r="S285" i="13" s="1"/>
  <c r="U285" i="13" s="1"/>
  <c r="V285" i="13" s="1"/>
  <c r="G285" i="13"/>
  <c r="G284" i="13"/>
  <c r="AE283" i="13"/>
  <c r="AG283" i="13" s="1"/>
  <c r="AH283" i="13" s="1"/>
  <c r="U283" i="13"/>
  <c r="V283" i="13" s="1"/>
  <c r="S283" i="13"/>
  <c r="G283" i="13"/>
  <c r="R282" i="13"/>
  <c r="R281" i="13"/>
  <c r="R280" i="13"/>
  <c r="AD279" i="13"/>
  <c r="R279" i="13"/>
  <c r="AD278" i="13"/>
  <c r="R278" i="13"/>
  <c r="AD277" i="13"/>
  <c r="R277" i="13"/>
  <c r="AD276" i="13"/>
  <c r="R276" i="13"/>
  <c r="AD275" i="13"/>
  <c r="AE274" i="13" s="1"/>
  <c r="AG274" i="13" s="1"/>
  <c r="AH274" i="13" s="1"/>
  <c r="R275" i="13"/>
  <c r="G274" i="13"/>
  <c r="H271" i="13" s="1"/>
  <c r="J271" i="13" s="1"/>
  <c r="K271" i="13" s="1"/>
  <c r="G273" i="13"/>
  <c r="G272" i="13"/>
  <c r="G271" i="13"/>
  <c r="AD268" i="13"/>
  <c r="R268" i="13"/>
  <c r="AD266" i="13"/>
  <c r="AE266" i="13" s="1"/>
  <c r="AG266" i="13" s="1"/>
  <c r="AH266" i="13" s="1"/>
  <c r="V266" i="13"/>
  <c r="U266" i="13"/>
  <c r="S266" i="13"/>
  <c r="R266" i="13"/>
  <c r="G266" i="13"/>
  <c r="G265" i="13"/>
  <c r="G264" i="13"/>
  <c r="AD263" i="13"/>
  <c r="AE257" i="13" s="1"/>
  <c r="AG257" i="13" s="1"/>
  <c r="AH257" i="13" s="1"/>
  <c r="R263" i="13"/>
  <c r="K263" i="13"/>
  <c r="J263" i="13"/>
  <c r="H263" i="13"/>
  <c r="AD262" i="13"/>
  <c r="R262" i="13"/>
  <c r="AD261" i="13"/>
  <c r="R261" i="13"/>
  <c r="AD259" i="13"/>
  <c r="R259" i="13"/>
  <c r="R346" i="13" s="1"/>
  <c r="AD258" i="13"/>
  <c r="R258" i="13"/>
  <c r="AD257" i="13"/>
  <c r="R257" i="13"/>
  <c r="G256" i="13"/>
  <c r="AG255" i="13"/>
  <c r="AH255" i="13" s="1"/>
  <c r="AE255" i="13"/>
  <c r="S255" i="13"/>
  <c r="U255" i="13" s="1"/>
  <c r="V255" i="13" s="1"/>
  <c r="G255" i="13"/>
  <c r="R254" i="13"/>
  <c r="G254" i="13"/>
  <c r="AD253" i="13"/>
  <c r="S253" i="13"/>
  <c r="R253" i="13"/>
  <c r="G253" i="13"/>
  <c r="AF252" i="13"/>
  <c r="AC252" i="13"/>
  <c r="AB252" i="13"/>
  <c r="T252" i="13"/>
  <c r="Q252" i="13"/>
  <c r="P252" i="13"/>
  <c r="G252" i="13"/>
  <c r="AF251" i="13"/>
  <c r="AC251" i="13"/>
  <c r="AB251" i="13"/>
  <c r="T251" i="13"/>
  <c r="Q251" i="13"/>
  <c r="P251" i="13"/>
  <c r="G251" i="13"/>
  <c r="R250" i="13"/>
  <c r="G250" i="13"/>
  <c r="AE249" i="13"/>
  <c r="AG249" i="13" s="1"/>
  <c r="AH249" i="13" s="1"/>
  <c r="U249" i="13"/>
  <c r="V249" i="13" s="1"/>
  <c r="S249" i="13"/>
  <c r="G249" i="13"/>
  <c r="AD248" i="13"/>
  <c r="R248" i="13"/>
  <c r="AD247" i="13"/>
  <c r="R247" i="13"/>
  <c r="R246" i="13"/>
  <c r="H246" i="13"/>
  <c r="J246" i="13" s="1"/>
  <c r="K246" i="13" s="1"/>
  <c r="G246" i="13"/>
  <c r="R245" i="13"/>
  <c r="AD244" i="13"/>
  <c r="R244" i="13"/>
  <c r="G244" i="13"/>
  <c r="AD243" i="13"/>
  <c r="R243" i="13"/>
  <c r="I243" i="13"/>
  <c r="AD242" i="13"/>
  <c r="R242" i="13"/>
  <c r="I242" i="13"/>
  <c r="F242" i="13"/>
  <c r="E242" i="13"/>
  <c r="R241" i="13"/>
  <c r="R240" i="13"/>
  <c r="G240" i="13"/>
  <c r="AD239" i="13"/>
  <c r="R239" i="13"/>
  <c r="G239" i="13"/>
  <c r="AD238" i="13"/>
  <c r="R238" i="13"/>
  <c r="G238" i="13"/>
  <c r="AD237" i="13"/>
  <c r="R237" i="13"/>
  <c r="AD236" i="13"/>
  <c r="R236" i="13"/>
  <c r="G236" i="13"/>
  <c r="AD235" i="13"/>
  <c r="R235" i="13"/>
  <c r="G235" i="13"/>
  <c r="H234" i="13" s="1"/>
  <c r="J234" i="13" s="1"/>
  <c r="K234" i="13" s="1"/>
  <c r="AD234" i="13"/>
  <c r="R234" i="13"/>
  <c r="G234" i="13"/>
  <c r="AD233" i="13"/>
  <c r="R233" i="13"/>
  <c r="AD232" i="13"/>
  <c r="R232" i="13"/>
  <c r="AD231" i="13"/>
  <c r="R231" i="13"/>
  <c r="AD230" i="13"/>
  <c r="R230" i="13"/>
  <c r="G230" i="13"/>
  <c r="AD229" i="13"/>
  <c r="R229" i="13"/>
  <c r="G229" i="13"/>
  <c r="AD228" i="13"/>
  <c r="S228" i="13"/>
  <c r="U228" i="13" s="1"/>
  <c r="V228" i="13" s="1"/>
  <c r="R228" i="13"/>
  <c r="G228" i="13"/>
  <c r="H228" i="13" s="1"/>
  <c r="J228" i="13" s="1"/>
  <c r="K228" i="13" s="1"/>
  <c r="AE226" i="13"/>
  <c r="AG226" i="13" s="1"/>
  <c r="AH226" i="13" s="1"/>
  <c r="S226" i="13"/>
  <c r="U226" i="13" s="1"/>
  <c r="V226" i="13" s="1"/>
  <c r="G225" i="13"/>
  <c r="AH224" i="13"/>
  <c r="AG224" i="13"/>
  <c r="AE224" i="13"/>
  <c r="AD224" i="13"/>
  <c r="V224" i="13"/>
  <c r="R224" i="13"/>
  <c r="S224" i="13" s="1"/>
  <c r="U224" i="13" s="1"/>
  <c r="R223" i="13"/>
  <c r="S222" i="13" s="1"/>
  <c r="U222" i="13" s="1"/>
  <c r="V222" i="13" s="1"/>
  <c r="G223" i="13"/>
  <c r="AG222" i="13"/>
  <c r="AH222" i="13" s="1"/>
  <c r="AE222" i="13"/>
  <c r="R222" i="13"/>
  <c r="G222" i="13"/>
  <c r="G221" i="13"/>
  <c r="G220" i="13"/>
  <c r="G219" i="13"/>
  <c r="G218" i="13"/>
  <c r="R217" i="13"/>
  <c r="G217" i="13"/>
  <c r="H215" i="13" s="1"/>
  <c r="J215" i="13" s="1"/>
  <c r="K215" i="13"/>
  <c r="G215" i="13"/>
  <c r="AH214" i="13"/>
  <c r="AG214" i="13"/>
  <c r="AE214" i="13"/>
  <c r="U214" i="13"/>
  <c r="V214" i="13" s="1"/>
  <c r="S214" i="13"/>
  <c r="G214" i="13"/>
  <c r="H212" i="13" s="1"/>
  <c r="J212" i="13"/>
  <c r="K212" i="13" s="1"/>
  <c r="G212" i="13"/>
  <c r="AE211" i="13"/>
  <c r="AG211" i="13" s="1"/>
  <c r="AH211" i="13" s="1"/>
  <c r="S211" i="13"/>
  <c r="U211" i="13" s="1"/>
  <c r="V211" i="13" s="1"/>
  <c r="G210" i="13"/>
  <c r="G209" i="13"/>
  <c r="J207" i="13"/>
  <c r="K207" i="13" s="1"/>
  <c r="H207" i="13"/>
  <c r="G207" i="13"/>
  <c r="G206" i="13"/>
  <c r="AH205" i="13"/>
  <c r="AE205" i="13"/>
  <c r="AG205" i="13" s="1"/>
  <c r="R205" i="13"/>
  <c r="S205" i="13" s="1"/>
  <c r="U205" i="13" s="1"/>
  <c r="V205" i="13" s="1"/>
  <c r="G205" i="13"/>
  <c r="G204" i="13"/>
  <c r="G203" i="13"/>
  <c r="G202" i="13"/>
  <c r="H197" i="13" s="1"/>
  <c r="J197" i="13" s="1"/>
  <c r="K197" i="13" s="1"/>
  <c r="G201" i="13"/>
  <c r="G200" i="13"/>
  <c r="G199" i="13"/>
  <c r="AE198" i="13"/>
  <c r="AG198" i="13" s="1"/>
  <c r="AH198" i="13" s="1"/>
  <c r="R198" i="13"/>
  <c r="S198" i="13" s="1"/>
  <c r="U198" i="13" s="1"/>
  <c r="V198" i="13" s="1"/>
  <c r="R197" i="13"/>
  <c r="AD196" i="13"/>
  <c r="R196" i="13"/>
  <c r="G196" i="13"/>
  <c r="AE195" i="13"/>
  <c r="AG195" i="13" s="1"/>
  <c r="AH195" i="13" s="1"/>
  <c r="AD195" i="13"/>
  <c r="S195" i="13"/>
  <c r="U195" i="13" s="1"/>
  <c r="V195" i="13" s="1"/>
  <c r="R195" i="13"/>
  <c r="G195" i="13"/>
  <c r="G194" i="13"/>
  <c r="G193" i="13"/>
  <c r="G192" i="13"/>
  <c r="R191" i="13"/>
  <c r="G191" i="13"/>
  <c r="AD190" i="13"/>
  <c r="R190" i="13"/>
  <c r="S188" i="13" s="1"/>
  <c r="U188" i="13" s="1"/>
  <c r="V188" i="13" s="1"/>
  <c r="G190" i="13"/>
  <c r="AD189" i="13"/>
  <c r="R189" i="13"/>
  <c r="G189" i="13"/>
  <c r="AD188" i="13"/>
  <c r="R188" i="13"/>
  <c r="F188" i="13"/>
  <c r="F243" i="13" s="1"/>
  <c r="R187" i="13"/>
  <c r="G187" i="13"/>
  <c r="H186" i="13" s="1"/>
  <c r="J186" i="13" s="1"/>
  <c r="K186" i="13" s="1"/>
  <c r="AD186" i="13"/>
  <c r="R186" i="13"/>
  <c r="G186" i="13"/>
  <c r="G185" i="13"/>
  <c r="AD184" i="13"/>
  <c r="R184" i="13"/>
  <c r="AD183" i="13"/>
  <c r="R183" i="13"/>
  <c r="G183" i="13"/>
  <c r="G182" i="13"/>
  <c r="AD181" i="13"/>
  <c r="R181" i="13"/>
  <c r="S180" i="13"/>
  <c r="U180" i="13" s="1"/>
  <c r="V180" i="13" s="1"/>
  <c r="G180" i="13"/>
  <c r="H180" i="13" s="1"/>
  <c r="J180" i="13" s="1"/>
  <c r="K180" i="13" s="1"/>
  <c r="R179" i="13"/>
  <c r="G179" i="13"/>
  <c r="AG178" i="13"/>
  <c r="AH178" i="13" s="1"/>
  <c r="AE178" i="13"/>
  <c r="S178" i="13"/>
  <c r="U178" i="13" s="1"/>
  <c r="V178" i="13" s="1"/>
  <c r="G178" i="13"/>
  <c r="G177" i="13"/>
  <c r="G176" i="13"/>
  <c r="AE175" i="13"/>
  <c r="AG175" i="13" s="1"/>
  <c r="AH175" i="13" s="1"/>
  <c r="V175" i="13"/>
  <c r="U175" i="13"/>
  <c r="S175" i="13"/>
  <c r="R174" i="13"/>
  <c r="R173" i="13"/>
  <c r="G173" i="13"/>
  <c r="AE172" i="13"/>
  <c r="U172" i="13"/>
  <c r="S172" i="13"/>
  <c r="G172" i="13"/>
  <c r="AF171" i="13"/>
  <c r="AC171" i="13"/>
  <c r="AB171" i="13"/>
  <c r="T171" i="13"/>
  <c r="Q171" i="13"/>
  <c r="P171" i="13"/>
  <c r="G171" i="13"/>
  <c r="AF170" i="13"/>
  <c r="AC170" i="13"/>
  <c r="AB170" i="13"/>
  <c r="T170" i="13"/>
  <c r="Q170" i="13"/>
  <c r="P170" i="13"/>
  <c r="J169" i="13"/>
  <c r="K169" i="13" s="1"/>
  <c r="G169" i="13"/>
  <c r="H169" i="13" s="1"/>
  <c r="AD167" i="13"/>
  <c r="R167" i="13"/>
  <c r="AE166" i="13"/>
  <c r="AG166" i="13" s="1"/>
  <c r="AH166" i="13" s="1"/>
  <c r="S166" i="13"/>
  <c r="U166" i="13" s="1"/>
  <c r="V166" i="13" s="1"/>
  <c r="G164" i="13"/>
  <c r="AD163" i="13"/>
  <c r="R163" i="13"/>
  <c r="K163" i="13"/>
  <c r="G163" i="13"/>
  <c r="H163" i="13" s="1"/>
  <c r="J163" i="13" s="1"/>
  <c r="AD162" i="13"/>
  <c r="R162" i="13"/>
  <c r="AD161" i="13"/>
  <c r="R161" i="13"/>
  <c r="AD160" i="13"/>
  <c r="R160" i="13"/>
  <c r="AD159" i="13"/>
  <c r="R159" i="13"/>
  <c r="R158" i="13"/>
  <c r="G157" i="13"/>
  <c r="E156" i="13"/>
  <c r="G155" i="13"/>
  <c r="AD154" i="13"/>
  <c r="R154" i="13"/>
  <c r="S151" i="13" s="1"/>
  <c r="G154" i="13"/>
  <c r="G153" i="13"/>
  <c r="R152" i="13"/>
  <c r="G152" i="13"/>
  <c r="AE151" i="13"/>
  <c r="AG151" i="13" s="1"/>
  <c r="AH151" i="13" s="1"/>
  <c r="U151" i="13"/>
  <c r="V151" i="13" s="1"/>
  <c r="G151" i="13"/>
  <c r="J150" i="13"/>
  <c r="K150" i="13" s="1"/>
  <c r="G150" i="13"/>
  <c r="H150" i="13" s="1"/>
  <c r="R149" i="13"/>
  <c r="R148" i="13"/>
  <c r="G148" i="13"/>
  <c r="AD147" i="13"/>
  <c r="R147" i="13"/>
  <c r="G147" i="13"/>
  <c r="AD146" i="13"/>
  <c r="R146" i="13"/>
  <c r="S142" i="13" s="1"/>
  <c r="U142" i="13" s="1"/>
  <c r="V142" i="13" s="1"/>
  <c r="AD145" i="13"/>
  <c r="R145" i="13"/>
  <c r="AD144" i="13"/>
  <c r="R144" i="13"/>
  <c r="AG142" i="13"/>
  <c r="AH142" i="13" s="1"/>
  <c r="AE142" i="13"/>
  <c r="AD141" i="13"/>
  <c r="R141" i="13"/>
  <c r="AD140" i="13"/>
  <c r="R140" i="13"/>
  <c r="R139" i="13"/>
  <c r="R138" i="13"/>
  <c r="AD137" i="13"/>
  <c r="AE134" i="13" s="1"/>
  <c r="AG134" i="13" s="1"/>
  <c r="R137" i="13"/>
  <c r="AD136" i="13"/>
  <c r="R136" i="13"/>
  <c r="G136" i="13"/>
  <c r="AD135" i="13"/>
  <c r="R135" i="13"/>
  <c r="J135" i="13"/>
  <c r="K135" i="13" s="1"/>
  <c r="H135" i="13"/>
  <c r="G135" i="13"/>
  <c r="AH134" i="13"/>
  <c r="S134" i="13"/>
  <c r="U134" i="13" s="1"/>
  <c r="V134" i="13" s="1"/>
  <c r="G133" i="13"/>
  <c r="AE132" i="13"/>
  <c r="AG132" i="13" s="1"/>
  <c r="AH132" i="13" s="1"/>
  <c r="V132" i="13"/>
  <c r="U132" i="13"/>
  <c r="S132" i="13"/>
  <c r="AD130" i="13"/>
  <c r="AD170" i="13" s="1"/>
  <c r="R130" i="13"/>
  <c r="AD129" i="13"/>
  <c r="R129" i="13"/>
  <c r="AD128" i="13"/>
  <c r="R128" i="13"/>
  <c r="AD127" i="13"/>
  <c r="R127" i="13"/>
  <c r="H127" i="13"/>
  <c r="J127" i="13" s="1"/>
  <c r="K127" i="13" s="1"/>
  <c r="AD126" i="13"/>
  <c r="R126" i="13"/>
  <c r="AD125" i="13"/>
  <c r="R125" i="13"/>
  <c r="AD124" i="13"/>
  <c r="R124" i="13"/>
  <c r="R123" i="13"/>
  <c r="AD122" i="13"/>
  <c r="R122" i="13"/>
  <c r="S121" i="13"/>
  <c r="U121" i="13" s="1"/>
  <c r="V121" i="13" s="1"/>
  <c r="AD119" i="13"/>
  <c r="R119" i="13"/>
  <c r="H119" i="13"/>
  <c r="AD118" i="13"/>
  <c r="R118" i="13"/>
  <c r="AD117" i="13"/>
  <c r="R117" i="13"/>
  <c r="AD116" i="13"/>
  <c r="R116" i="13"/>
  <c r="R115" i="13"/>
  <c r="AE114" i="13"/>
  <c r="AG114" i="13" s="1"/>
  <c r="AH114" i="13" s="1"/>
  <c r="R114" i="13"/>
  <c r="AH112" i="13"/>
  <c r="AE112" i="13"/>
  <c r="AG112" i="13" s="1"/>
  <c r="AD112" i="13"/>
  <c r="S112" i="13"/>
  <c r="U112" i="13" s="1"/>
  <c r="V112" i="13" s="1"/>
  <c r="R112" i="13"/>
  <c r="G112" i="13"/>
  <c r="AD111" i="13"/>
  <c r="R111" i="13"/>
  <c r="J111" i="13"/>
  <c r="G111" i="13"/>
  <c r="H111" i="13" s="1"/>
  <c r="AH110" i="13"/>
  <c r="AE110" i="13"/>
  <c r="AG110" i="13" s="1"/>
  <c r="R110" i="13"/>
  <c r="F110" i="13"/>
  <c r="R109" i="13"/>
  <c r="F109" i="13"/>
  <c r="AD108" i="13"/>
  <c r="R108" i="13"/>
  <c r="AE107" i="13"/>
  <c r="AG107" i="13" s="1"/>
  <c r="AH107" i="13" s="1"/>
  <c r="S107" i="13"/>
  <c r="U107" i="13" s="1"/>
  <c r="V107" i="13" s="1"/>
  <c r="R107" i="13"/>
  <c r="G107" i="13"/>
  <c r="G106" i="13"/>
  <c r="H102" i="13" s="1"/>
  <c r="J102" i="13" s="1"/>
  <c r="K102" i="13" s="1"/>
  <c r="G105" i="13"/>
  <c r="AH103" i="13"/>
  <c r="AE103" i="13"/>
  <c r="AG103" i="13" s="1"/>
  <c r="S103" i="13"/>
  <c r="U103" i="13" s="1"/>
  <c r="V103" i="13" s="1"/>
  <c r="R103" i="13"/>
  <c r="G103" i="13"/>
  <c r="AE101" i="13"/>
  <c r="AG101" i="13" s="1"/>
  <c r="AH101" i="13" s="1"/>
  <c r="V101" i="13"/>
  <c r="S101" i="13"/>
  <c r="U101" i="13" s="1"/>
  <c r="G101" i="13"/>
  <c r="AD100" i="13"/>
  <c r="R100" i="13"/>
  <c r="G100" i="13"/>
  <c r="S99" i="13"/>
  <c r="R99" i="13"/>
  <c r="AF98" i="13"/>
  <c r="AC98" i="13"/>
  <c r="AB98" i="13"/>
  <c r="T98" i="13"/>
  <c r="Q98" i="13"/>
  <c r="P98" i="13"/>
  <c r="AF97" i="13"/>
  <c r="AC97" i="13"/>
  <c r="AB97" i="13"/>
  <c r="T97" i="13"/>
  <c r="R97" i="13"/>
  <c r="Q97" i="13"/>
  <c r="P97" i="13"/>
  <c r="AD96" i="13"/>
  <c r="R96" i="13"/>
  <c r="G96" i="13"/>
  <c r="AD95" i="13"/>
  <c r="R95" i="13"/>
  <c r="G95" i="13"/>
  <c r="R94" i="13"/>
  <c r="AG93" i="13"/>
  <c r="AH93" i="13" s="1"/>
  <c r="AE93" i="13"/>
  <c r="R93" i="13"/>
  <c r="G93" i="13"/>
  <c r="AD92" i="13"/>
  <c r="R92" i="13"/>
  <c r="G92" i="13"/>
  <c r="AD91" i="13"/>
  <c r="R91" i="13"/>
  <c r="G91" i="13"/>
  <c r="H91" i="13" s="1"/>
  <c r="J91" i="13" s="1"/>
  <c r="K91" i="13" s="1"/>
  <c r="AD90" i="13"/>
  <c r="R90" i="13"/>
  <c r="AD89" i="13"/>
  <c r="R89" i="13"/>
  <c r="J89" i="13"/>
  <c r="K89" i="13" s="1"/>
  <c r="H89" i="13"/>
  <c r="R88" i="13"/>
  <c r="S87" i="13" s="1"/>
  <c r="U87" i="13" s="1"/>
  <c r="V87" i="13" s="1"/>
  <c r="I88" i="13"/>
  <c r="H88" i="13"/>
  <c r="J88" i="13" s="1"/>
  <c r="K88" i="13" s="1"/>
  <c r="G88" i="13"/>
  <c r="R87" i="13"/>
  <c r="AH85" i="13"/>
  <c r="AG85" i="13"/>
  <c r="AE85" i="13"/>
  <c r="R85" i="13"/>
  <c r="S85" i="13" s="1"/>
  <c r="U85" i="13" s="1"/>
  <c r="V85" i="13" s="1"/>
  <c r="G83" i="13"/>
  <c r="I82" i="13"/>
  <c r="G82" i="13"/>
  <c r="H82" i="13" s="1"/>
  <c r="AD81" i="13"/>
  <c r="R81" i="13"/>
  <c r="G81" i="13"/>
  <c r="AD78" i="13"/>
  <c r="R78" i="13"/>
  <c r="R77" i="13"/>
  <c r="G77" i="13"/>
  <c r="R76" i="13"/>
  <c r="G76" i="13"/>
  <c r="AH75" i="13"/>
  <c r="AE75" i="13"/>
  <c r="AG75" i="13" s="1"/>
  <c r="AH73" i="13"/>
  <c r="AG73" i="13"/>
  <c r="AE73" i="13"/>
  <c r="V73" i="13"/>
  <c r="S73" i="13"/>
  <c r="U73" i="13" s="1"/>
  <c r="AH71" i="13"/>
  <c r="AG71" i="13"/>
  <c r="AE71" i="13"/>
  <c r="S71" i="13"/>
  <c r="AF70" i="13"/>
  <c r="AC70" i="13"/>
  <c r="AB70" i="13"/>
  <c r="Q70" i="13"/>
  <c r="P70" i="13"/>
  <c r="AF69" i="13"/>
  <c r="AC69" i="13"/>
  <c r="AB69" i="13"/>
  <c r="Q69" i="13"/>
  <c r="P69" i="13"/>
  <c r="R68" i="13"/>
  <c r="R67" i="13"/>
  <c r="AG66" i="13"/>
  <c r="AH66" i="13" s="1"/>
  <c r="AD66" i="13"/>
  <c r="AE66" i="13" s="1"/>
  <c r="V66" i="13"/>
  <c r="R66" i="13"/>
  <c r="S66" i="13" s="1"/>
  <c r="U66" i="13" s="1"/>
  <c r="G66" i="13"/>
  <c r="AD65" i="13"/>
  <c r="R65" i="13"/>
  <c r="G65" i="13"/>
  <c r="AD64" i="13"/>
  <c r="AE64" i="13" s="1"/>
  <c r="AG64" i="13" s="1"/>
  <c r="AH64" i="13" s="1"/>
  <c r="S64" i="13"/>
  <c r="U64" i="13" s="1"/>
  <c r="V64" i="13" s="1"/>
  <c r="R64" i="13"/>
  <c r="G64" i="13"/>
  <c r="AD63" i="13"/>
  <c r="R63" i="13"/>
  <c r="G63" i="13"/>
  <c r="AD62" i="13"/>
  <c r="R62" i="13"/>
  <c r="G62" i="13"/>
  <c r="R61" i="13"/>
  <c r="G61" i="13"/>
  <c r="V60" i="13"/>
  <c r="S60" i="13"/>
  <c r="U60" i="13" s="1"/>
  <c r="R60" i="13"/>
  <c r="AD59" i="13"/>
  <c r="R59" i="13"/>
  <c r="AD58" i="13"/>
  <c r="R58" i="13"/>
  <c r="AD57" i="13"/>
  <c r="R57" i="13"/>
  <c r="R56" i="13"/>
  <c r="AG55" i="13"/>
  <c r="AH55" i="13" s="1"/>
  <c r="AD55" i="13"/>
  <c r="AE55" i="13" s="1"/>
  <c r="R55" i="13"/>
  <c r="J55" i="13"/>
  <c r="K55" i="13" s="1"/>
  <c r="H55" i="13"/>
  <c r="AD53" i="13"/>
  <c r="AE52" i="13" s="1"/>
  <c r="AG52" i="13" s="1"/>
  <c r="AH52" i="13" s="1"/>
  <c r="R53" i="13"/>
  <c r="AD52" i="13"/>
  <c r="R52" i="13"/>
  <c r="G52" i="13"/>
  <c r="G51" i="13"/>
  <c r="H51" i="13" s="1"/>
  <c r="J51" i="13" s="1"/>
  <c r="K51" i="13" s="1"/>
  <c r="AD50" i="13"/>
  <c r="R50" i="13"/>
  <c r="K50" i="13"/>
  <c r="J50" i="13"/>
  <c r="H50" i="13"/>
  <c r="AD49" i="13"/>
  <c r="R49" i="13"/>
  <c r="G49" i="13"/>
  <c r="R48" i="13"/>
  <c r="J48" i="13"/>
  <c r="K48" i="13" s="1"/>
  <c r="G48" i="13"/>
  <c r="H48" i="13" s="1"/>
  <c r="AD47" i="13"/>
  <c r="R47" i="13"/>
  <c r="G47" i="13"/>
  <c r="AD46" i="13"/>
  <c r="R46" i="13"/>
  <c r="G46" i="13"/>
  <c r="H45" i="13" s="1"/>
  <c r="J45" i="13" s="1"/>
  <c r="K45" i="13" s="1"/>
  <c r="AD45" i="13"/>
  <c r="R45" i="13"/>
  <c r="E45" i="13"/>
  <c r="AD44" i="13"/>
  <c r="R44" i="13"/>
  <c r="S36" i="13" s="1"/>
  <c r="U36" i="13" s="1"/>
  <c r="G44" i="13"/>
  <c r="AD43" i="13"/>
  <c r="R43" i="13"/>
  <c r="E43" i="13"/>
  <c r="AD42" i="13"/>
  <c r="R42" i="13"/>
  <c r="E42" i="13"/>
  <c r="AD41" i="13"/>
  <c r="R41" i="13"/>
  <c r="G41" i="13"/>
  <c r="AD40" i="13"/>
  <c r="R40" i="13"/>
  <c r="G40" i="13"/>
  <c r="AD39" i="13"/>
  <c r="R39" i="13"/>
  <c r="G39" i="13"/>
  <c r="AD38" i="13"/>
  <c r="R38" i="13"/>
  <c r="G38" i="13"/>
  <c r="AD37" i="13"/>
  <c r="R37" i="13"/>
  <c r="H37" i="13"/>
  <c r="J37" i="13" s="1"/>
  <c r="K37" i="13" s="1"/>
  <c r="V36" i="13"/>
  <c r="R36" i="13"/>
  <c r="G36" i="13"/>
  <c r="AD35" i="13"/>
  <c r="R35" i="13"/>
  <c r="K35" i="13"/>
  <c r="H35" i="13"/>
  <c r="J35" i="13" s="1"/>
  <c r="G35" i="13"/>
  <c r="AD34" i="13"/>
  <c r="R34" i="13"/>
  <c r="G34" i="13"/>
  <c r="V33" i="13"/>
  <c r="S33" i="13"/>
  <c r="U33" i="13" s="1"/>
  <c r="G33" i="13"/>
  <c r="R32" i="13"/>
  <c r="E32" i="13"/>
  <c r="AG31" i="13"/>
  <c r="AH31" i="13" s="1"/>
  <c r="AE31" i="13"/>
  <c r="U31" i="13"/>
  <c r="V31" i="13" s="1"/>
  <c r="R31" i="13"/>
  <c r="S31" i="13" s="1"/>
  <c r="E31" i="13"/>
  <c r="AD30" i="13"/>
  <c r="R30" i="13"/>
  <c r="AF29" i="13"/>
  <c r="AD29" i="13"/>
  <c r="AE29" i="13" s="1"/>
  <c r="AG29" i="13" s="1"/>
  <c r="AH29" i="13" s="1"/>
  <c r="T29" i="13"/>
  <c r="R29" i="13"/>
  <c r="S29" i="13" s="1"/>
  <c r="G29" i="13"/>
  <c r="AD28" i="13"/>
  <c r="R28" i="13"/>
  <c r="G28" i="13"/>
  <c r="AD27" i="13"/>
  <c r="R27" i="13"/>
  <c r="G27" i="13"/>
  <c r="H26" i="13" s="1"/>
  <c r="J26" i="13" s="1"/>
  <c r="K26" i="13" s="1"/>
  <c r="AD26" i="13"/>
  <c r="R26" i="13"/>
  <c r="G26" i="13"/>
  <c r="AD25" i="13"/>
  <c r="R25" i="13"/>
  <c r="G25" i="13"/>
  <c r="AD24" i="13"/>
  <c r="R24" i="13"/>
  <c r="G24" i="13"/>
  <c r="H21" i="13" s="1"/>
  <c r="J21" i="13" s="1"/>
  <c r="K21" i="13" s="1"/>
  <c r="E24" i="13"/>
  <c r="AD23" i="13"/>
  <c r="R23" i="13"/>
  <c r="G23" i="13"/>
  <c r="R22" i="13"/>
  <c r="G22" i="13"/>
  <c r="G109" i="13" s="1"/>
  <c r="AD21" i="13"/>
  <c r="AE21" i="13" s="1"/>
  <c r="AG21" i="13" s="1"/>
  <c r="AH21" i="13" s="1"/>
  <c r="R21" i="13"/>
  <c r="I21" i="13"/>
  <c r="E21" i="13"/>
  <c r="AD19" i="13"/>
  <c r="R19" i="13"/>
  <c r="AD18" i="13"/>
  <c r="R18" i="13"/>
  <c r="AD17" i="13"/>
  <c r="R17" i="13"/>
  <c r="K17" i="13"/>
  <c r="J17" i="13"/>
  <c r="H17" i="13"/>
  <c r="AD16" i="13"/>
  <c r="AE15" i="13" s="1"/>
  <c r="AG15" i="13" s="1"/>
  <c r="AH15" i="13" s="1"/>
  <c r="R16" i="13"/>
  <c r="G15" i="13"/>
  <c r="R14" i="13"/>
  <c r="R69" i="13" s="1"/>
  <c r="H14" i="13"/>
  <c r="J14" i="13" s="1"/>
  <c r="AD13" i="13"/>
  <c r="R13" i="13"/>
  <c r="G13" i="13"/>
  <c r="K11" i="13"/>
  <c r="J11" i="13"/>
  <c r="H11" i="13"/>
  <c r="G7" i="13"/>
  <c r="G6" i="13"/>
  <c r="AE5" i="13"/>
  <c r="AG5" i="13" s="1"/>
  <c r="AH5" i="13" s="1"/>
  <c r="U5" i="13"/>
  <c r="V5" i="13" s="1"/>
  <c r="S5" i="13"/>
  <c r="K5" i="13"/>
  <c r="G5" i="13"/>
  <c r="H5" i="13" s="1"/>
  <c r="J5" i="13" s="1"/>
  <c r="T1386" i="11"/>
  <c r="T1388" i="11" s="1"/>
  <c r="Q1386" i="11"/>
  <c r="P1386" i="11"/>
  <c r="I1386" i="11"/>
  <c r="F1386" i="11"/>
  <c r="E1386" i="11"/>
  <c r="E1388" i="11" s="1"/>
  <c r="T1385" i="11"/>
  <c r="Q1385" i="11"/>
  <c r="P1385" i="11"/>
  <c r="I1385" i="11"/>
  <c r="F1385" i="11"/>
  <c r="E1385" i="11"/>
  <c r="S1381" i="11"/>
  <c r="U1381" i="11" s="1"/>
  <c r="V1381" i="11" s="1"/>
  <c r="H1381" i="11"/>
  <c r="J1381" i="11" s="1"/>
  <c r="K1381" i="11" s="1"/>
  <c r="G1381" i="11"/>
  <c r="U1377" i="11"/>
  <c r="V1377" i="11" s="1"/>
  <c r="S1377" i="11"/>
  <c r="H1377" i="11"/>
  <c r="J1377" i="11" s="1"/>
  <c r="K1377" i="11" s="1"/>
  <c r="G1377" i="11"/>
  <c r="U1374" i="11"/>
  <c r="V1374" i="11" s="1"/>
  <c r="S1374" i="11"/>
  <c r="J1374" i="11"/>
  <c r="K1374" i="11" s="1"/>
  <c r="H1374" i="11"/>
  <c r="G1374" i="11"/>
  <c r="V1372" i="11"/>
  <c r="U1372" i="11"/>
  <c r="S1372" i="11"/>
  <c r="K1372" i="11"/>
  <c r="H1372" i="11"/>
  <c r="J1372" i="11" s="1"/>
  <c r="G1372" i="11"/>
  <c r="U1370" i="11"/>
  <c r="V1370" i="11" s="1"/>
  <c r="S1370" i="11"/>
  <c r="G1370" i="11"/>
  <c r="H1370" i="11" s="1"/>
  <c r="J1370" i="11" s="1"/>
  <c r="K1370" i="11" s="1"/>
  <c r="G1364" i="11"/>
  <c r="S1363" i="11"/>
  <c r="U1363" i="11" s="1"/>
  <c r="V1363" i="11" s="1"/>
  <c r="J1363" i="11"/>
  <c r="K1363" i="11" s="1"/>
  <c r="G1363" i="11"/>
  <c r="H1363" i="11" s="1"/>
  <c r="R1361" i="11"/>
  <c r="G1361" i="11"/>
  <c r="R1360" i="11"/>
  <c r="G1360" i="11"/>
  <c r="S1359" i="11"/>
  <c r="U1359" i="11" s="1"/>
  <c r="V1359" i="11" s="1"/>
  <c r="R1359" i="11"/>
  <c r="G1359" i="11"/>
  <c r="R1355" i="11"/>
  <c r="G1355" i="11"/>
  <c r="R1354" i="11"/>
  <c r="G1354" i="11"/>
  <c r="R1353" i="11"/>
  <c r="G1353" i="11"/>
  <c r="R1352" i="11"/>
  <c r="G1352" i="11"/>
  <c r="R1351" i="11"/>
  <c r="G1351" i="11"/>
  <c r="G1350" i="11"/>
  <c r="S1349" i="11"/>
  <c r="U1349" i="11" s="1"/>
  <c r="V1349" i="11" s="1"/>
  <c r="K1349" i="11"/>
  <c r="H1349" i="11"/>
  <c r="J1349" i="11" s="1"/>
  <c r="G1349" i="11"/>
  <c r="S1345" i="11"/>
  <c r="U1345" i="11" s="1"/>
  <c r="V1345" i="11" s="1"/>
  <c r="H1345" i="11"/>
  <c r="J1345" i="11" s="1"/>
  <c r="K1345" i="11" s="1"/>
  <c r="S1341" i="11"/>
  <c r="U1341" i="11" s="1"/>
  <c r="V1341" i="11" s="1"/>
  <c r="J1341" i="11"/>
  <c r="K1341" i="11" s="1"/>
  <c r="H1341" i="11"/>
  <c r="R1339" i="11"/>
  <c r="G1339" i="11"/>
  <c r="R1338" i="11"/>
  <c r="G1338" i="11"/>
  <c r="R1337" i="11"/>
  <c r="G1337" i="11"/>
  <c r="S1336" i="11"/>
  <c r="U1336" i="11" s="1"/>
  <c r="V1336" i="11" s="1"/>
  <c r="R1336" i="11"/>
  <c r="G1336" i="11"/>
  <c r="U1330" i="11"/>
  <c r="V1330" i="11" s="1"/>
  <c r="S1330" i="11"/>
  <c r="H1330" i="11"/>
  <c r="J1330" i="11" s="1"/>
  <c r="K1330" i="11" s="1"/>
  <c r="G1330" i="11"/>
  <c r="R1326" i="11"/>
  <c r="G1326" i="11"/>
  <c r="R1325" i="11"/>
  <c r="G1325" i="11"/>
  <c r="R1324" i="11"/>
  <c r="G1324" i="11"/>
  <c r="R1323" i="11"/>
  <c r="G1323" i="11"/>
  <c r="R1322" i="11"/>
  <c r="G1322" i="11"/>
  <c r="R1321" i="11"/>
  <c r="G1321" i="11"/>
  <c r="R1320" i="11"/>
  <c r="G1320" i="11"/>
  <c r="R1319" i="11"/>
  <c r="R1385" i="11" s="1"/>
  <c r="G1319" i="11"/>
  <c r="R1318" i="11"/>
  <c r="G1318" i="11"/>
  <c r="R1317" i="11"/>
  <c r="G1317" i="11"/>
  <c r="R1316" i="11"/>
  <c r="G1316" i="11"/>
  <c r="G1315" i="11"/>
  <c r="G1314" i="11"/>
  <c r="V1309" i="11"/>
  <c r="S1309" i="11"/>
  <c r="U1309" i="11" s="1"/>
  <c r="J1309" i="11"/>
  <c r="K1309" i="11" s="1"/>
  <c r="H1309" i="11"/>
  <c r="G1309" i="11"/>
  <c r="V1302" i="11"/>
  <c r="S1302" i="11"/>
  <c r="U1302" i="11" s="1"/>
  <c r="H1302" i="11"/>
  <c r="J1302" i="11" s="1"/>
  <c r="T1301" i="11"/>
  <c r="Q1301" i="11"/>
  <c r="P1301" i="11"/>
  <c r="I1301" i="11"/>
  <c r="F1301" i="11"/>
  <c r="E1301" i="11"/>
  <c r="T1300" i="11"/>
  <c r="Q1300" i="11"/>
  <c r="P1300" i="11"/>
  <c r="I1300" i="11"/>
  <c r="F1300" i="11"/>
  <c r="E1300" i="11"/>
  <c r="G1296" i="11"/>
  <c r="S1295" i="11"/>
  <c r="U1295" i="11" s="1"/>
  <c r="V1295" i="11" s="1"/>
  <c r="G1295" i="11"/>
  <c r="H1295" i="11" s="1"/>
  <c r="J1295" i="11" s="1"/>
  <c r="K1295" i="11" s="1"/>
  <c r="G1291" i="11"/>
  <c r="V1290" i="11"/>
  <c r="S1290" i="11"/>
  <c r="U1290" i="11" s="1"/>
  <c r="G1290" i="11"/>
  <c r="S1284" i="11"/>
  <c r="U1284" i="11" s="1"/>
  <c r="V1284" i="11" s="1"/>
  <c r="G1284" i="11"/>
  <c r="H1284" i="11" s="1"/>
  <c r="J1284" i="11" s="1"/>
  <c r="K1284" i="11" s="1"/>
  <c r="R1277" i="11"/>
  <c r="G1277" i="11"/>
  <c r="R1276" i="11"/>
  <c r="G1276" i="11"/>
  <c r="R1275" i="11"/>
  <c r="G1275" i="11"/>
  <c r="K1274" i="11"/>
  <c r="H1274" i="11"/>
  <c r="J1274" i="11" s="1"/>
  <c r="G1274" i="11"/>
  <c r="R1268" i="11"/>
  <c r="G1268" i="11"/>
  <c r="R1267" i="11"/>
  <c r="G1267" i="11"/>
  <c r="R1266" i="11"/>
  <c r="G1266" i="11"/>
  <c r="S1265" i="11"/>
  <c r="U1265" i="11" s="1"/>
  <c r="V1265" i="11" s="1"/>
  <c r="G1265" i="11"/>
  <c r="H1265" i="11" s="1"/>
  <c r="J1265" i="11" s="1"/>
  <c r="K1265" i="11" s="1"/>
  <c r="R1259" i="11"/>
  <c r="G1259" i="11"/>
  <c r="R1258" i="11"/>
  <c r="S1258" i="11" s="1"/>
  <c r="U1258" i="11" s="1"/>
  <c r="V1258" i="11" s="1"/>
  <c r="H1258" i="11"/>
  <c r="J1258" i="11" s="1"/>
  <c r="K1258" i="11" s="1"/>
  <c r="G1258" i="11"/>
  <c r="S1253" i="11"/>
  <c r="U1253" i="11" s="1"/>
  <c r="V1253" i="11" s="1"/>
  <c r="J1253" i="11"/>
  <c r="K1253" i="11" s="1"/>
  <c r="H1253" i="11"/>
  <c r="G1253" i="11"/>
  <c r="U1248" i="11"/>
  <c r="V1248" i="11" s="1"/>
  <c r="S1248" i="11"/>
  <c r="K1248" i="11"/>
  <c r="G1248" i="11"/>
  <c r="H1248" i="11" s="1"/>
  <c r="J1248" i="11" s="1"/>
  <c r="R1246" i="11"/>
  <c r="G1246" i="11"/>
  <c r="R1245" i="11"/>
  <c r="G1245" i="11"/>
  <c r="R1244" i="11"/>
  <c r="G1244" i="11"/>
  <c r="R1243" i="11"/>
  <c r="S1242" i="11" s="1"/>
  <c r="U1242" i="11" s="1"/>
  <c r="V1242" i="11" s="1"/>
  <c r="G1243" i="11"/>
  <c r="R1242" i="11"/>
  <c r="G1242" i="11"/>
  <c r="R1240" i="11"/>
  <c r="G1240" i="11"/>
  <c r="R1239" i="11"/>
  <c r="G1239" i="11"/>
  <c r="R1238" i="11"/>
  <c r="S1237" i="11" s="1"/>
  <c r="U1237" i="11" s="1"/>
  <c r="V1237" i="11" s="1"/>
  <c r="G1238" i="11"/>
  <c r="G1237" i="11"/>
  <c r="U1229" i="11"/>
  <c r="V1229" i="11" s="1"/>
  <c r="S1229" i="11"/>
  <c r="J1229" i="11"/>
  <c r="K1229" i="11" s="1"/>
  <c r="H1229" i="11"/>
  <c r="G1229" i="11"/>
  <c r="R1227" i="11"/>
  <c r="G1227" i="11"/>
  <c r="R1226" i="11"/>
  <c r="G1226" i="11"/>
  <c r="R1225" i="11"/>
  <c r="G1225" i="11"/>
  <c r="R1224" i="11"/>
  <c r="G1224" i="11"/>
  <c r="R1223" i="11"/>
  <c r="S1219" i="11" s="1"/>
  <c r="G1223" i="11"/>
  <c r="R1222" i="11"/>
  <c r="G1222" i="11"/>
  <c r="R1221" i="11"/>
  <c r="G1221" i="11"/>
  <c r="R1220" i="11"/>
  <c r="G1220" i="11"/>
  <c r="G1219" i="11"/>
  <c r="T1218" i="11"/>
  <c r="Q1218" i="11"/>
  <c r="P1218" i="11"/>
  <c r="I1218" i="11"/>
  <c r="I1388" i="11" s="1"/>
  <c r="F1218" i="11"/>
  <c r="F1388" i="11" s="1"/>
  <c r="E1218" i="11"/>
  <c r="T1217" i="11"/>
  <c r="Q1217" i="11"/>
  <c r="P1217" i="11"/>
  <c r="I1217" i="11"/>
  <c r="F1217" i="11"/>
  <c r="E1217" i="11"/>
  <c r="S1213" i="11"/>
  <c r="U1213" i="11" s="1"/>
  <c r="V1213" i="11" s="1"/>
  <c r="J1213" i="11"/>
  <c r="K1213" i="11" s="1"/>
  <c r="H1213" i="11"/>
  <c r="G1213" i="11"/>
  <c r="V1207" i="11"/>
  <c r="U1207" i="11"/>
  <c r="S1207" i="11"/>
  <c r="G1207" i="11"/>
  <c r="H1207" i="11" s="1"/>
  <c r="J1207" i="11" s="1"/>
  <c r="K1207" i="11" s="1"/>
  <c r="R1204" i="11"/>
  <c r="G1204" i="11"/>
  <c r="R1203" i="11"/>
  <c r="G1203" i="11"/>
  <c r="R1202" i="11"/>
  <c r="G1202" i="11"/>
  <c r="R1201" i="11"/>
  <c r="G1201" i="11"/>
  <c r="G1200" i="11"/>
  <c r="R1199" i="11"/>
  <c r="G1199" i="11"/>
  <c r="S1198" i="11"/>
  <c r="U1198" i="11" s="1"/>
  <c r="V1198" i="11" s="1"/>
  <c r="G1198" i="11"/>
  <c r="S1196" i="11"/>
  <c r="U1196" i="11" s="1"/>
  <c r="V1196" i="11" s="1"/>
  <c r="R1196" i="11"/>
  <c r="G1196" i="11"/>
  <c r="H1196" i="11" s="1"/>
  <c r="J1196" i="11" s="1"/>
  <c r="K1196" i="11" s="1"/>
  <c r="R1189" i="11"/>
  <c r="G1189" i="11"/>
  <c r="R1188" i="11"/>
  <c r="G1188" i="11"/>
  <c r="R1187" i="11"/>
  <c r="G1187" i="11"/>
  <c r="R1186" i="11"/>
  <c r="S1185" i="11" s="1"/>
  <c r="U1185" i="11" s="1"/>
  <c r="V1185" i="11" s="1"/>
  <c r="G1186" i="11"/>
  <c r="G1185" i="11"/>
  <c r="H1185" i="11" s="1"/>
  <c r="J1185" i="11" s="1"/>
  <c r="K1185" i="11" s="1"/>
  <c r="U1183" i="11"/>
  <c r="V1183" i="11" s="1"/>
  <c r="S1183" i="11"/>
  <c r="J1183" i="11"/>
  <c r="K1183" i="11" s="1"/>
  <c r="H1183" i="11"/>
  <c r="R1167" i="11"/>
  <c r="G1167" i="11"/>
  <c r="R1161" i="11"/>
  <c r="G1161" i="11"/>
  <c r="G1160" i="11"/>
  <c r="R1159" i="11"/>
  <c r="G1159" i="11"/>
  <c r="G1158" i="11"/>
  <c r="R1157" i="11"/>
  <c r="G1157" i="11"/>
  <c r="R1156" i="11"/>
  <c r="G1156" i="11"/>
  <c r="G1155" i="11"/>
  <c r="G1154" i="11"/>
  <c r="G1153" i="11"/>
  <c r="R1152" i="11"/>
  <c r="G1152" i="11"/>
  <c r="R1151" i="11"/>
  <c r="G1151" i="11"/>
  <c r="R1150" i="11"/>
  <c r="G1150" i="11"/>
  <c r="R1149" i="11"/>
  <c r="G1149" i="11"/>
  <c r="R1148" i="11"/>
  <c r="G1148" i="11"/>
  <c r="R1147" i="11"/>
  <c r="G1147" i="11"/>
  <c r="R1146" i="11"/>
  <c r="G1146" i="11"/>
  <c r="R1145" i="11"/>
  <c r="G1145" i="11"/>
  <c r="R1144" i="11"/>
  <c r="G1144" i="11"/>
  <c r="R1143" i="11"/>
  <c r="G1143" i="11"/>
  <c r="R1142" i="11"/>
  <c r="G1142" i="11"/>
  <c r="R1141" i="11"/>
  <c r="G1141" i="11"/>
  <c r="R1140" i="11"/>
  <c r="G1140" i="11"/>
  <c r="R1139" i="11"/>
  <c r="G1139" i="11"/>
  <c r="R1138" i="11"/>
  <c r="G1138" i="11"/>
  <c r="R1137" i="11"/>
  <c r="G1137" i="11"/>
  <c r="R1136" i="11"/>
  <c r="G1136" i="11"/>
  <c r="S1132" i="11"/>
  <c r="U1132" i="11" s="1"/>
  <c r="V1132" i="11" s="1"/>
  <c r="K1132" i="11"/>
  <c r="H1132" i="11"/>
  <c r="J1132" i="11" s="1"/>
  <c r="G1132" i="11"/>
  <c r="U1127" i="11"/>
  <c r="V1127" i="11" s="1"/>
  <c r="S1127" i="11"/>
  <c r="J1127" i="11"/>
  <c r="K1127" i="11" s="1"/>
  <c r="G1127" i="11"/>
  <c r="H1127" i="11" s="1"/>
  <c r="R1125" i="11"/>
  <c r="G1125" i="11"/>
  <c r="R1124" i="11"/>
  <c r="G1124" i="11"/>
  <c r="R1123" i="11"/>
  <c r="G1123" i="11"/>
  <c r="R1122" i="11"/>
  <c r="S1119" i="11" s="1"/>
  <c r="U1119" i="11" s="1"/>
  <c r="V1119" i="11" s="1"/>
  <c r="G1122" i="11"/>
  <c r="R1121" i="11"/>
  <c r="G1121" i="11"/>
  <c r="R1120" i="11"/>
  <c r="G1120" i="11"/>
  <c r="R1119" i="11"/>
  <c r="G1119" i="11"/>
  <c r="H1119" i="11" s="1"/>
  <c r="J1119" i="11" s="1"/>
  <c r="K1119" i="11" s="1"/>
  <c r="R1117" i="11"/>
  <c r="G1117" i="11"/>
  <c r="R1116" i="11"/>
  <c r="G1116" i="11"/>
  <c r="R1115" i="11"/>
  <c r="G1115" i="11"/>
  <c r="R1114" i="11"/>
  <c r="G1114" i="11"/>
  <c r="R1113" i="11"/>
  <c r="G1113" i="11"/>
  <c r="R1112" i="11"/>
  <c r="G1112" i="11"/>
  <c r="R1111" i="11"/>
  <c r="G1111" i="11"/>
  <c r="R1110" i="11"/>
  <c r="G1110" i="11"/>
  <c r="R1109" i="11"/>
  <c r="G1109" i="11"/>
  <c r="R1102" i="11"/>
  <c r="G1102" i="11"/>
  <c r="R1101" i="11"/>
  <c r="G1101" i="11"/>
  <c r="R1100" i="11"/>
  <c r="S1098" i="11" s="1"/>
  <c r="U1098" i="11" s="1"/>
  <c r="V1098" i="11" s="1"/>
  <c r="G1100" i="11"/>
  <c r="R1099" i="11"/>
  <c r="G1099" i="11"/>
  <c r="G1098" i="11"/>
  <c r="R1094" i="11"/>
  <c r="G1094" i="11"/>
  <c r="K1093" i="11"/>
  <c r="J1093" i="11"/>
  <c r="G1093" i="11"/>
  <c r="H1093" i="11" s="1"/>
  <c r="U1089" i="11"/>
  <c r="S1089" i="11"/>
  <c r="H1089" i="11"/>
  <c r="F1087" i="11"/>
  <c r="T1085" i="11"/>
  <c r="Q1085" i="11"/>
  <c r="P1085" i="11"/>
  <c r="I1085" i="11"/>
  <c r="F1085" i="11"/>
  <c r="E1085" i="11"/>
  <c r="T1084" i="11"/>
  <c r="Q1084" i="11"/>
  <c r="P1084" i="11"/>
  <c r="I1084" i="11"/>
  <c r="F1084" i="11"/>
  <c r="E1084" i="11"/>
  <c r="V1082" i="11"/>
  <c r="R1082" i="11"/>
  <c r="S1082" i="11" s="1"/>
  <c r="U1082" i="11" s="1"/>
  <c r="J1082" i="11"/>
  <c r="K1082" i="11" s="1"/>
  <c r="G1082" i="11"/>
  <c r="H1082" i="11" s="1"/>
  <c r="R1075" i="11"/>
  <c r="G1075" i="11"/>
  <c r="R1074" i="11"/>
  <c r="G1074" i="11"/>
  <c r="R1073" i="11"/>
  <c r="S1071" i="11" s="1"/>
  <c r="G1073" i="11"/>
  <c r="R1072" i="11"/>
  <c r="G1072" i="11"/>
  <c r="U1071" i="11"/>
  <c r="V1071" i="11" s="1"/>
  <c r="G1071" i="11"/>
  <c r="S1065" i="11"/>
  <c r="U1065" i="11" s="1"/>
  <c r="V1065" i="11" s="1"/>
  <c r="K1065" i="11"/>
  <c r="J1065" i="11"/>
  <c r="H1065" i="11"/>
  <c r="U1062" i="11"/>
  <c r="V1062" i="11" s="1"/>
  <c r="S1062" i="11"/>
  <c r="K1062" i="11"/>
  <c r="J1062" i="11"/>
  <c r="H1062" i="11"/>
  <c r="R1060" i="11"/>
  <c r="S1059" i="11" s="1"/>
  <c r="G1060" i="11"/>
  <c r="H1059" i="11" s="1"/>
  <c r="J1059" i="11" s="1"/>
  <c r="K1059" i="11" s="1"/>
  <c r="V1059" i="11"/>
  <c r="U1059" i="11"/>
  <c r="G1059" i="11"/>
  <c r="R1055" i="11"/>
  <c r="G1055" i="11"/>
  <c r="H1054" i="11" s="1"/>
  <c r="U1054" i="11"/>
  <c r="V1054" i="11" s="1"/>
  <c r="S1054" i="11"/>
  <c r="J1054" i="11"/>
  <c r="K1054" i="11" s="1"/>
  <c r="G1054" i="11"/>
  <c r="V1052" i="11"/>
  <c r="S1052" i="11"/>
  <c r="U1052" i="11" s="1"/>
  <c r="J1052" i="11"/>
  <c r="K1052" i="11" s="1"/>
  <c r="H1052" i="11"/>
  <c r="R1050" i="11"/>
  <c r="G1050" i="11"/>
  <c r="R1049" i="11"/>
  <c r="G1049" i="11"/>
  <c r="R1048" i="11"/>
  <c r="K1048" i="11"/>
  <c r="G1048" i="11"/>
  <c r="H1048" i="11" s="1"/>
  <c r="J1048" i="11" s="1"/>
  <c r="U1044" i="11"/>
  <c r="V1044" i="11" s="1"/>
  <c r="S1044" i="11"/>
  <c r="J1044" i="11"/>
  <c r="K1044" i="11" s="1"/>
  <c r="H1044" i="11"/>
  <c r="R1038" i="11"/>
  <c r="G1038" i="11"/>
  <c r="R1037" i="11"/>
  <c r="G1037" i="11"/>
  <c r="R1036" i="11"/>
  <c r="G1036" i="11"/>
  <c r="R1035" i="11"/>
  <c r="G1035" i="11"/>
  <c r="G1034" i="11"/>
  <c r="H1034" i="11" s="1"/>
  <c r="J1034" i="11" s="1"/>
  <c r="K1034" i="11" s="1"/>
  <c r="R1032" i="11"/>
  <c r="S1032" i="11" s="1"/>
  <c r="U1032" i="11" s="1"/>
  <c r="V1032" i="11" s="1"/>
  <c r="K1032" i="11"/>
  <c r="J1032" i="11"/>
  <c r="G1032" i="11"/>
  <c r="H1032" i="11" s="1"/>
  <c r="R1030" i="11"/>
  <c r="G1030" i="11"/>
  <c r="R1029" i="11"/>
  <c r="G1029" i="11"/>
  <c r="R1028" i="11"/>
  <c r="G1028" i="11"/>
  <c r="R1027" i="11"/>
  <c r="G1027" i="11"/>
  <c r="R1026" i="11"/>
  <c r="G1026" i="11"/>
  <c r="R1025" i="11"/>
  <c r="G1025" i="11"/>
  <c r="R1024" i="11"/>
  <c r="G1024" i="11"/>
  <c r="R1023" i="11"/>
  <c r="G1023" i="11"/>
  <c r="R1022" i="11"/>
  <c r="G1022" i="11"/>
  <c r="R1021" i="11"/>
  <c r="G1021" i="11"/>
  <c r="R1020" i="11"/>
  <c r="G1020" i="11"/>
  <c r="R1019" i="11"/>
  <c r="G1019" i="11"/>
  <c r="G1018" i="11"/>
  <c r="G1017" i="11"/>
  <c r="V1015" i="11"/>
  <c r="U1015" i="11"/>
  <c r="S1015" i="11"/>
  <c r="H1015" i="11"/>
  <c r="J1015" i="11" s="1"/>
  <c r="K1015" i="11" s="1"/>
  <c r="G1015" i="11"/>
  <c r="S1013" i="11"/>
  <c r="U1013" i="11" s="1"/>
  <c r="V1013" i="11" s="1"/>
  <c r="K1013" i="11"/>
  <c r="J1013" i="11"/>
  <c r="G1013" i="11"/>
  <c r="H1013" i="11" s="1"/>
  <c r="G1011" i="11"/>
  <c r="R1010" i="11"/>
  <c r="G1010" i="11"/>
  <c r="R1009" i="11"/>
  <c r="G1009" i="11"/>
  <c r="R1008" i="11"/>
  <c r="G1008" i="11"/>
  <c r="R1007" i="11"/>
  <c r="G1007" i="11"/>
  <c r="R1006" i="11"/>
  <c r="G1006" i="11"/>
  <c r="R1005" i="11"/>
  <c r="G1005" i="11"/>
  <c r="G1004" i="11"/>
  <c r="R1002" i="11"/>
  <c r="G1002" i="11"/>
  <c r="R1001" i="11"/>
  <c r="G1001" i="11"/>
  <c r="R1000" i="11"/>
  <c r="G1000" i="11"/>
  <c r="G999" i="11"/>
  <c r="V995" i="11"/>
  <c r="U995" i="11"/>
  <c r="S995" i="11"/>
  <c r="J995" i="11"/>
  <c r="K995" i="11" s="1"/>
  <c r="G995" i="11"/>
  <c r="H995" i="11" s="1"/>
  <c r="R993" i="11"/>
  <c r="G993" i="11"/>
  <c r="T992" i="11"/>
  <c r="Q992" i="11"/>
  <c r="Q1087" i="11" s="1"/>
  <c r="P992" i="11"/>
  <c r="I992" i="11"/>
  <c r="F992" i="11"/>
  <c r="E992" i="11"/>
  <c r="T991" i="11"/>
  <c r="R991" i="11"/>
  <c r="Q991" i="11"/>
  <c r="P991" i="11"/>
  <c r="I991" i="11"/>
  <c r="G991" i="11"/>
  <c r="F991" i="11"/>
  <c r="E991" i="11"/>
  <c r="V988" i="11"/>
  <c r="U988" i="11"/>
  <c r="S988" i="11"/>
  <c r="K988" i="11"/>
  <c r="H988" i="11"/>
  <c r="J988" i="11" s="1"/>
  <c r="G988" i="11"/>
  <c r="U983" i="11"/>
  <c r="V983" i="11" s="1"/>
  <c r="S983" i="11"/>
  <c r="J983" i="11"/>
  <c r="K983" i="11" s="1"/>
  <c r="G983" i="11"/>
  <c r="H983" i="11" s="1"/>
  <c r="S981" i="11"/>
  <c r="U981" i="11" s="1"/>
  <c r="V981" i="11" s="1"/>
  <c r="G981" i="11"/>
  <c r="H981" i="11" s="1"/>
  <c r="J981" i="11" s="1"/>
  <c r="K981" i="11" s="1"/>
  <c r="R980" i="11"/>
  <c r="G980" i="11"/>
  <c r="R977" i="11"/>
  <c r="H977" i="11"/>
  <c r="J977" i="11" s="1"/>
  <c r="K977" i="11" s="1"/>
  <c r="G977" i="11"/>
  <c r="S974" i="11"/>
  <c r="U974" i="11" s="1"/>
  <c r="V974" i="11" s="1"/>
  <c r="G974" i="11"/>
  <c r="H974" i="11" s="1"/>
  <c r="J974" i="11" s="1"/>
  <c r="K974" i="11" s="1"/>
  <c r="U969" i="11"/>
  <c r="V969" i="11" s="1"/>
  <c r="S969" i="11"/>
  <c r="K969" i="11"/>
  <c r="H969" i="11"/>
  <c r="J969" i="11" s="1"/>
  <c r="G969" i="11"/>
  <c r="R967" i="11"/>
  <c r="G967" i="11"/>
  <c r="R966" i="11"/>
  <c r="S965" i="11" s="1"/>
  <c r="G966" i="11"/>
  <c r="R965" i="11"/>
  <c r="G965" i="11"/>
  <c r="T964" i="11"/>
  <c r="T1087" i="11" s="1"/>
  <c r="Q964" i="11"/>
  <c r="P964" i="11"/>
  <c r="I964" i="11"/>
  <c r="I1087" i="11" s="1"/>
  <c r="F964" i="11"/>
  <c r="E964" i="11"/>
  <c r="E1087" i="11" s="1"/>
  <c r="T963" i="11"/>
  <c r="Q963" i="11"/>
  <c r="P963" i="11"/>
  <c r="I963" i="11"/>
  <c r="F963" i="11"/>
  <c r="E963" i="11"/>
  <c r="R961" i="11"/>
  <c r="S961" i="11" s="1"/>
  <c r="U961" i="11" s="1"/>
  <c r="V961" i="11" s="1"/>
  <c r="K961" i="11"/>
  <c r="J961" i="11"/>
  <c r="H961" i="11"/>
  <c r="G961" i="11"/>
  <c r="R957" i="11"/>
  <c r="S956" i="11" s="1"/>
  <c r="U956" i="11" s="1"/>
  <c r="V956" i="11" s="1"/>
  <c r="G957" i="11"/>
  <c r="H956" i="11"/>
  <c r="J956" i="11" s="1"/>
  <c r="K956" i="11" s="1"/>
  <c r="G948" i="11"/>
  <c r="H947" i="11" s="1"/>
  <c r="J947" i="11" s="1"/>
  <c r="U947" i="11"/>
  <c r="V947" i="11" s="1"/>
  <c r="S947" i="11"/>
  <c r="K947" i="11"/>
  <c r="G947" i="11"/>
  <c r="U945" i="11"/>
  <c r="V945" i="11" s="1"/>
  <c r="S945" i="11"/>
  <c r="H945" i="11"/>
  <c r="J945" i="11" s="1"/>
  <c r="K945" i="11" s="1"/>
  <c r="G945" i="11"/>
  <c r="R943" i="11"/>
  <c r="G943" i="11"/>
  <c r="R942" i="11"/>
  <c r="G942" i="11"/>
  <c r="R941" i="11"/>
  <c r="G941" i="11"/>
  <c r="R940" i="11"/>
  <c r="G940" i="11"/>
  <c r="R939" i="11"/>
  <c r="G939" i="11"/>
  <c r="R938" i="11"/>
  <c r="G938" i="11"/>
  <c r="R937" i="11"/>
  <c r="G937" i="11"/>
  <c r="R936" i="11"/>
  <c r="G936" i="11"/>
  <c r="R935" i="11"/>
  <c r="G935" i="11"/>
  <c r="R934" i="11"/>
  <c r="G934" i="11"/>
  <c r="R933" i="11"/>
  <c r="S932" i="11" s="1"/>
  <c r="U932" i="11" s="1"/>
  <c r="V932" i="11" s="1"/>
  <c r="G933" i="11"/>
  <c r="G932" i="11"/>
  <c r="H932" i="11" s="1"/>
  <c r="J932" i="11" s="1"/>
  <c r="K932" i="11" s="1"/>
  <c r="V928" i="11"/>
  <c r="U928" i="11"/>
  <c r="S928" i="11"/>
  <c r="G928" i="11"/>
  <c r="H928" i="11" s="1"/>
  <c r="J928" i="11" s="1"/>
  <c r="K928" i="11" s="1"/>
  <c r="R927" i="11"/>
  <c r="G927" i="11"/>
  <c r="R926" i="11"/>
  <c r="G926" i="11"/>
  <c r="R925" i="11"/>
  <c r="G925" i="11"/>
  <c r="R924" i="11"/>
  <c r="G924" i="11"/>
  <c r="R923" i="11"/>
  <c r="G923" i="11"/>
  <c r="R922" i="11"/>
  <c r="G922" i="11"/>
  <c r="R921" i="11"/>
  <c r="S916" i="11" s="1"/>
  <c r="U916" i="11" s="1"/>
  <c r="G921" i="11"/>
  <c r="R920" i="11"/>
  <c r="G920" i="11"/>
  <c r="R919" i="11"/>
  <c r="G919" i="11"/>
  <c r="R918" i="11"/>
  <c r="G918" i="11"/>
  <c r="R917" i="11"/>
  <c r="G917" i="11"/>
  <c r="H916" i="11" s="1"/>
  <c r="J916" i="11" s="1"/>
  <c r="V916" i="11"/>
  <c r="K916" i="11"/>
  <c r="G916" i="11"/>
  <c r="R915" i="11"/>
  <c r="G915" i="11"/>
  <c r="R914" i="11"/>
  <c r="S909" i="11" s="1"/>
  <c r="U909" i="11" s="1"/>
  <c r="V909" i="11" s="1"/>
  <c r="G914" i="11"/>
  <c r="R913" i="11"/>
  <c r="G913" i="11"/>
  <c r="R912" i="11"/>
  <c r="G912" i="11"/>
  <c r="R911" i="11"/>
  <c r="G911" i="11"/>
  <c r="R910" i="11"/>
  <c r="G910" i="11"/>
  <c r="R909" i="11"/>
  <c r="H909" i="11"/>
  <c r="J909" i="11" s="1"/>
  <c r="K909" i="11" s="1"/>
  <c r="G909" i="11"/>
  <c r="R908" i="11"/>
  <c r="G908" i="11"/>
  <c r="R906" i="11"/>
  <c r="G906" i="11"/>
  <c r="H902" i="11" s="1"/>
  <c r="R905" i="11"/>
  <c r="G905" i="11"/>
  <c r="R904" i="11"/>
  <c r="G904" i="11"/>
  <c r="R903" i="11"/>
  <c r="G903" i="11"/>
  <c r="R902" i="11"/>
  <c r="S902" i="11" s="1"/>
  <c r="U902" i="11" s="1"/>
  <c r="V902" i="11" s="1"/>
  <c r="J902" i="11"/>
  <c r="K902" i="11" s="1"/>
  <c r="G902" i="11"/>
  <c r="V900" i="11"/>
  <c r="S900" i="11"/>
  <c r="U900" i="11" s="1"/>
  <c r="H900" i="11"/>
  <c r="J900" i="11" s="1"/>
  <c r="K900" i="11" s="1"/>
  <c r="G900" i="11"/>
  <c r="R897" i="11"/>
  <c r="G897" i="11"/>
  <c r="R896" i="11"/>
  <c r="G896" i="11"/>
  <c r="R895" i="11"/>
  <c r="G895" i="11"/>
  <c r="R894" i="11"/>
  <c r="G894" i="11"/>
  <c r="R893" i="11"/>
  <c r="G893" i="11"/>
  <c r="R892" i="11"/>
  <c r="R963" i="11" s="1"/>
  <c r="G892" i="11"/>
  <c r="R891" i="11"/>
  <c r="G891" i="11"/>
  <c r="V887" i="11"/>
  <c r="U887" i="11"/>
  <c r="S887" i="11"/>
  <c r="K887" i="11"/>
  <c r="G887" i="11"/>
  <c r="H887" i="11" s="1"/>
  <c r="J887" i="11" s="1"/>
  <c r="R884" i="11"/>
  <c r="G884" i="11"/>
  <c r="R883" i="11"/>
  <c r="G883" i="11"/>
  <c r="R882" i="11"/>
  <c r="G882" i="11"/>
  <c r="R881" i="11"/>
  <c r="G881" i="11"/>
  <c r="R880" i="11"/>
  <c r="G880" i="11"/>
  <c r="R879" i="11"/>
  <c r="G879" i="11"/>
  <c r="S878" i="11"/>
  <c r="R878" i="11"/>
  <c r="G878" i="11"/>
  <c r="Q876" i="11"/>
  <c r="P876" i="11"/>
  <c r="T874" i="11"/>
  <c r="Q874" i="11"/>
  <c r="P874" i="11"/>
  <c r="F874" i="11"/>
  <c r="E874" i="11"/>
  <c r="T873" i="11"/>
  <c r="Q873" i="11"/>
  <c r="P873" i="11"/>
  <c r="F873" i="11"/>
  <c r="E873" i="11"/>
  <c r="R870" i="11"/>
  <c r="G870" i="11"/>
  <c r="R869" i="11"/>
  <c r="G869" i="11"/>
  <c r="R868" i="11"/>
  <c r="G868" i="11"/>
  <c r="R867" i="11"/>
  <c r="G867" i="11"/>
  <c r="R866" i="11"/>
  <c r="G866" i="11"/>
  <c r="R865" i="11"/>
  <c r="G865" i="11"/>
  <c r="R864" i="11"/>
  <c r="G864" i="11"/>
  <c r="R863" i="11"/>
  <c r="G863" i="11"/>
  <c r="R862" i="11"/>
  <c r="G862" i="11"/>
  <c r="R861" i="11"/>
  <c r="G861" i="11"/>
  <c r="R860" i="11"/>
  <c r="G860" i="11"/>
  <c r="R859" i="11"/>
  <c r="G859" i="11"/>
  <c r="S858" i="11"/>
  <c r="U858" i="11" s="1"/>
  <c r="V858" i="11" s="1"/>
  <c r="G858" i="11"/>
  <c r="H858" i="11" s="1"/>
  <c r="J858" i="11" s="1"/>
  <c r="K858" i="11" s="1"/>
  <c r="R856" i="11"/>
  <c r="S856" i="11" s="1"/>
  <c r="U856" i="11" s="1"/>
  <c r="V856" i="11" s="1"/>
  <c r="H856" i="11"/>
  <c r="J856" i="11" s="1"/>
  <c r="K856" i="11" s="1"/>
  <c r="G856" i="11"/>
  <c r="U853" i="11"/>
  <c r="V853" i="11" s="1"/>
  <c r="S853" i="11"/>
  <c r="J853" i="11"/>
  <c r="K853" i="11" s="1"/>
  <c r="H853" i="11"/>
  <c r="G853" i="11"/>
  <c r="R851" i="11"/>
  <c r="S851" i="11" s="1"/>
  <c r="U851" i="11" s="1"/>
  <c r="V851" i="11" s="1"/>
  <c r="G851" i="11"/>
  <c r="H851" i="11" s="1"/>
  <c r="J851" i="11" s="1"/>
  <c r="K851" i="11" s="1"/>
  <c r="R849" i="11"/>
  <c r="G849" i="11"/>
  <c r="R848" i="11"/>
  <c r="G848" i="11"/>
  <c r="R847" i="11"/>
  <c r="G847" i="11"/>
  <c r="R846" i="11"/>
  <c r="G846" i="11"/>
  <c r="R845" i="11"/>
  <c r="G845" i="11"/>
  <c r="H844" i="11" s="1"/>
  <c r="J844" i="11" s="1"/>
  <c r="K844" i="11" s="1"/>
  <c r="R844" i="11"/>
  <c r="G844" i="11"/>
  <c r="R842" i="11"/>
  <c r="G842" i="11"/>
  <c r="R841" i="11"/>
  <c r="G841" i="11"/>
  <c r="R840" i="11"/>
  <c r="G840" i="11"/>
  <c r="R839" i="11"/>
  <c r="G839" i="11"/>
  <c r="R838" i="11"/>
  <c r="G838" i="11"/>
  <c r="R837" i="11"/>
  <c r="G837" i="11"/>
  <c r="R836" i="11"/>
  <c r="G836" i="11"/>
  <c r="G835" i="11"/>
  <c r="R834" i="11"/>
  <c r="G834" i="11"/>
  <c r="R833" i="11"/>
  <c r="G833" i="11"/>
  <c r="R830" i="11"/>
  <c r="G830" i="11"/>
  <c r="R829" i="11"/>
  <c r="G829" i="11"/>
  <c r="R828" i="11"/>
  <c r="G828" i="11"/>
  <c r="R827" i="11"/>
  <c r="G827" i="11"/>
  <c r="R826" i="11"/>
  <c r="G826" i="11"/>
  <c r="R825" i="11"/>
  <c r="G825" i="11"/>
  <c r="R824" i="11"/>
  <c r="G824" i="11"/>
  <c r="G823" i="11"/>
  <c r="R822" i="11"/>
  <c r="G822" i="11"/>
  <c r="R821" i="11"/>
  <c r="S820" i="11" s="1"/>
  <c r="U820" i="11" s="1"/>
  <c r="G821" i="11"/>
  <c r="V820" i="11"/>
  <c r="R820" i="11"/>
  <c r="G820" i="11"/>
  <c r="H820" i="11" s="1"/>
  <c r="J820" i="11" s="1"/>
  <c r="K820" i="11" s="1"/>
  <c r="R819" i="11"/>
  <c r="G819" i="11"/>
  <c r="R818" i="11"/>
  <c r="G818" i="11"/>
  <c r="R817" i="11"/>
  <c r="G817" i="11"/>
  <c r="R816" i="11"/>
  <c r="G816" i="11"/>
  <c r="R815" i="11"/>
  <c r="G815" i="11"/>
  <c r="R814" i="11"/>
  <c r="G814" i="11"/>
  <c r="R813" i="11"/>
  <c r="G813" i="11"/>
  <c r="R812" i="11"/>
  <c r="G812" i="11"/>
  <c r="R811" i="11"/>
  <c r="G811" i="11"/>
  <c r="R810" i="11"/>
  <c r="G810" i="11"/>
  <c r="R809" i="11"/>
  <c r="G809" i="11"/>
  <c r="R808" i="11"/>
  <c r="G808" i="11"/>
  <c r="S806" i="11"/>
  <c r="U806" i="11" s="1"/>
  <c r="V806" i="11" s="1"/>
  <c r="K806" i="11"/>
  <c r="G806" i="11"/>
  <c r="H806" i="11" s="1"/>
  <c r="J806" i="11" s="1"/>
  <c r="U804" i="11"/>
  <c r="V804" i="11" s="1"/>
  <c r="S804" i="11"/>
  <c r="K804" i="11"/>
  <c r="G804" i="11"/>
  <c r="H804" i="11" s="1"/>
  <c r="J804" i="11" s="1"/>
  <c r="V802" i="11"/>
  <c r="S802" i="11"/>
  <c r="U802" i="11" s="1"/>
  <c r="H802" i="11"/>
  <c r="J802" i="11" s="1"/>
  <c r="K802" i="11" s="1"/>
  <c r="R800" i="11"/>
  <c r="G800" i="11"/>
  <c r="H796" i="11" s="1"/>
  <c r="J796" i="11" s="1"/>
  <c r="K796" i="11" s="1"/>
  <c r="R799" i="11"/>
  <c r="S796" i="11" s="1"/>
  <c r="U796" i="11" s="1"/>
  <c r="G799" i="11"/>
  <c r="G798" i="11"/>
  <c r="R797" i="11"/>
  <c r="G797" i="11"/>
  <c r="V796" i="11"/>
  <c r="R796" i="11"/>
  <c r="G796" i="11"/>
  <c r="R793" i="11"/>
  <c r="G793" i="11"/>
  <c r="R792" i="11"/>
  <c r="G792" i="11"/>
  <c r="R791" i="11"/>
  <c r="G791" i="11"/>
  <c r="R790" i="11"/>
  <c r="G790" i="11"/>
  <c r="R789" i="11"/>
  <c r="G789" i="11"/>
  <c r="R786" i="11"/>
  <c r="G786" i="11"/>
  <c r="R785" i="11"/>
  <c r="G785" i="11"/>
  <c r="H783" i="11" s="1"/>
  <c r="J783" i="11" s="1"/>
  <c r="K783" i="11" s="1"/>
  <c r="R784" i="11"/>
  <c r="G784" i="11"/>
  <c r="R783" i="11"/>
  <c r="G783" i="11"/>
  <c r="R780" i="11"/>
  <c r="G780" i="11"/>
  <c r="R779" i="11"/>
  <c r="G779" i="11"/>
  <c r="R778" i="11"/>
  <c r="G778" i="11"/>
  <c r="R777" i="11"/>
  <c r="G777" i="11"/>
  <c r="R776" i="11"/>
  <c r="G776" i="11"/>
  <c r="R775" i="11"/>
  <c r="G775" i="11"/>
  <c r="R774" i="11"/>
  <c r="G774" i="11"/>
  <c r="H771" i="11" s="1"/>
  <c r="J771" i="11" s="1"/>
  <c r="K771" i="11" s="1"/>
  <c r="R773" i="11"/>
  <c r="G773" i="11"/>
  <c r="R772" i="11"/>
  <c r="G772" i="11"/>
  <c r="R771" i="11"/>
  <c r="G771" i="11"/>
  <c r="R769" i="11"/>
  <c r="S769" i="11" s="1"/>
  <c r="U769" i="11" s="1"/>
  <c r="V769" i="11" s="1"/>
  <c r="G769" i="11"/>
  <c r="H769" i="11" s="1"/>
  <c r="J769" i="11" s="1"/>
  <c r="K769" i="11" s="1"/>
  <c r="U767" i="11"/>
  <c r="V767" i="11" s="1"/>
  <c r="S767" i="11"/>
  <c r="H767" i="11"/>
  <c r="J767" i="11" s="1"/>
  <c r="K767" i="11" s="1"/>
  <c r="R764" i="11"/>
  <c r="G764" i="11"/>
  <c r="R763" i="11"/>
  <c r="G763" i="11"/>
  <c r="R762" i="11"/>
  <c r="G762" i="11"/>
  <c r="R761" i="11"/>
  <c r="G761" i="11"/>
  <c r="R760" i="11"/>
  <c r="G760" i="11"/>
  <c r="R759" i="11"/>
  <c r="G759" i="11"/>
  <c r="R758" i="11"/>
  <c r="G758" i="11"/>
  <c r="R757" i="11"/>
  <c r="G757" i="11"/>
  <c r="R756" i="11"/>
  <c r="S756" i="11" s="1"/>
  <c r="U756" i="11" s="1"/>
  <c r="V756" i="11" s="1"/>
  <c r="G756" i="11"/>
  <c r="G749" i="11"/>
  <c r="R741" i="11"/>
  <c r="S739" i="11" s="1"/>
  <c r="G741" i="11"/>
  <c r="U739" i="11"/>
  <c r="V739" i="11" s="1"/>
  <c r="T739" i="11"/>
  <c r="I739" i="11"/>
  <c r="H739" i="11"/>
  <c r="J739" i="11" s="1"/>
  <c r="K739" i="11" s="1"/>
  <c r="G739" i="11"/>
  <c r="R737" i="11"/>
  <c r="G737" i="11"/>
  <c r="R736" i="11"/>
  <c r="G736" i="11"/>
  <c r="R735" i="11"/>
  <c r="G735" i="11"/>
  <c r="R734" i="11"/>
  <c r="S733" i="11" s="1"/>
  <c r="U733" i="11" s="1"/>
  <c r="G734" i="11"/>
  <c r="V733" i="11"/>
  <c r="G733" i="11"/>
  <c r="R730" i="11"/>
  <c r="G730" i="11"/>
  <c r="R729" i="11"/>
  <c r="G729" i="11"/>
  <c r="R728" i="11"/>
  <c r="G728" i="11"/>
  <c r="R727" i="11"/>
  <c r="G727" i="11"/>
  <c r="R726" i="11"/>
  <c r="G726" i="11"/>
  <c r="R725" i="11"/>
  <c r="G725" i="11"/>
  <c r="R724" i="11"/>
  <c r="G724" i="11"/>
  <c r="R723" i="11"/>
  <c r="S722" i="11" s="1"/>
  <c r="U722" i="11" s="1"/>
  <c r="V722" i="11" s="1"/>
  <c r="G723" i="11"/>
  <c r="R722" i="11"/>
  <c r="H722" i="11"/>
  <c r="J722" i="11" s="1"/>
  <c r="K722" i="11" s="1"/>
  <c r="G722" i="11"/>
  <c r="V719" i="11"/>
  <c r="S719" i="11"/>
  <c r="U719" i="11" s="1"/>
  <c r="J719" i="11"/>
  <c r="K719" i="11" s="1"/>
  <c r="H719" i="11"/>
  <c r="R716" i="11"/>
  <c r="G716" i="11"/>
  <c r="R715" i="11"/>
  <c r="G715" i="11"/>
  <c r="R714" i="11"/>
  <c r="G714" i="11"/>
  <c r="R713" i="11"/>
  <c r="H713" i="11"/>
  <c r="J713" i="11" s="1"/>
  <c r="K713" i="11" s="1"/>
  <c r="G713" i="11"/>
  <c r="V710" i="11"/>
  <c r="S710" i="11"/>
  <c r="U710" i="11" s="1"/>
  <c r="R710" i="11"/>
  <c r="G710" i="11"/>
  <c r="H710" i="11" s="1"/>
  <c r="J710" i="11" s="1"/>
  <c r="K710" i="11" s="1"/>
  <c r="R708" i="11"/>
  <c r="G708" i="11"/>
  <c r="R707" i="11"/>
  <c r="G707" i="11"/>
  <c r="R706" i="11"/>
  <c r="G706" i="11"/>
  <c r="R705" i="11"/>
  <c r="G705" i="11"/>
  <c r="R704" i="11"/>
  <c r="G704" i="11"/>
  <c r="R703" i="11"/>
  <c r="G703" i="11"/>
  <c r="R702" i="11"/>
  <c r="G702" i="11"/>
  <c r="R701" i="11"/>
  <c r="G701" i="11"/>
  <c r="R700" i="11"/>
  <c r="G700" i="11"/>
  <c r="S699" i="11"/>
  <c r="U699" i="11" s="1"/>
  <c r="V699" i="11" s="1"/>
  <c r="R699" i="11"/>
  <c r="G699" i="11"/>
  <c r="R697" i="11"/>
  <c r="G697" i="11"/>
  <c r="R696" i="11"/>
  <c r="G696" i="11"/>
  <c r="R695" i="11"/>
  <c r="G695" i="11"/>
  <c r="R694" i="11"/>
  <c r="G694" i="11"/>
  <c r="R693" i="11"/>
  <c r="G693" i="11"/>
  <c r="R692" i="11"/>
  <c r="G692" i="11"/>
  <c r="R691" i="11"/>
  <c r="G691" i="11"/>
  <c r="H688" i="11" s="1"/>
  <c r="R690" i="11"/>
  <c r="G690" i="11"/>
  <c r="R689" i="11"/>
  <c r="G689" i="11"/>
  <c r="R688" i="11"/>
  <c r="G688" i="11"/>
  <c r="V685" i="11"/>
  <c r="U685" i="11"/>
  <c r="S685" i="11"/>
  <c r="K685" i="11"/>
  <c r="G685" i="11"/>
  <c r="H685" i="11" s="1"/>
  <c r="J685" i="11" s="1"/>
  <c r="T684" i="11"/>
  <c r="Q684" i="11"/>
  <c r="P684" i="11"/>
  <c r="I684" i="11"/>
  <c r="F684" i="11"/>
  <c r="E684" i="11"/>
  <c r="T683" i="11"/>
  <c r="Q683" i="11"/>
  <c r="P683" i="11"/>
  <c r="I683" i="11"/>
  <c r="F683" i="11"/>
  <c r="E683" i="11"/>
  <c r="S681" i="11"/>
  <c r="U681" i="11" s="1"/>
  <c r="V681" i="11" s="1"/>
  <c r="G681" i="11"/>
  <c r="H681" i="11" s="1"/>
  <c r="J681" i="11" s="1"/>
  <c r="K681" i="11" s="1"/>
  <c r="U679" i="11"/>
  <c r="V679" i="11" s="1"/>
  <c r="S679" i="11"/>
  <c r="G679" i="11"/>
  <c r="H679" i="11" s="1"/>
  <c r="J679" i="11" s="1"/>
  <c r="K679" i="11" s="1"/>
  <c r="R677" i="11"/>
  <c r="G677" i="11"/>
  <c r="R676" i="11"/>
  <c r="G676" i="11"/>
  <c r="H673" i="11" s="1"/>
  <c r="J673" i="11" s="1"/>
  <c r="K673" i="11" s="1"/>
  <c r="G675" i="11"/>
  <c r="R674" i="11"/>
  <c r="G674" i="11"/>
  <c r="V673" i="11"/>
  <c r="S673" i="11"/>
  <c r="U673" i="11" s="1"/>
  <c r="R673" i="11"/>
  <c r="G673" i="11"/>
  <c r="S671" i="11"/>
  <c r="U671" i="11" s="1"/>
  <c r="V671" i="11" s="1"/>
  <c r="H671" i="11"/>
  <c r="J671" i="11" s="1"/>
  <c r="K671" i="11" s="1"/>
  <c r="G671" i="11"/>
  <c r="R669" i="11"/>
  <c r="G669" i="11"/>
  <c r="R668" i="11"/>
  <c r="S666" i="11" s="1"/>
  <c r="U666" i="11" s="1"/>
  <c r="V666" i="11" s="1"/>
  <c r="G668" i="11"/>
  <c r="H666" i="11" s="1"/>
  <c r="J666" i="11" s="1"/>
  <c r="K666" i="11"/>
  <c r="R664" i="11"/>
  <c r="G664" i="11"/>
  <c r="R663" i="11"/>
  <c r="G663" i="11"/>
  <c r="R661" i="11"/>
  <c r="G661" i="11"/>
  <c r="R660" i="11"/>
  <c r="S659" i="11" s="1"/>
  <c r="G660" i="11"/>
  <c r="U659" i="11"/>
  <c r="V659" i="11" s="1"/>
  <c r="R659" i="11"/>
  <c r="G659" i="11"/>
  <c r="R656" i="11"/>
  <c r="G656" i="11"/>
  <c r="R655" i="11"/>
  <c r="G655" i="11"/>
  <c r="R654" i="11"/>
  <c r="G654" i="11"/>
  <c r="R653" i="11"/>
  <c r="G653" i="11"/>
  <c r="R652" i="11"/>
  <c r="G652" i="11"/>
  <c r="R651" i="11"/>
  <c r="G651" i="11"/>
  <c r="R650" i="11"/>
  <c r="G650" i="11"/>
  <c r="R649" i="11"/>
  <c r="G649" i="11"/>
  <c r="U647" i="11"/>
  <c r="V647" i="11" s="1"/>
  <c r="S647" i="11"/>
  <c r="K647" i="11"/>
  <c r="J647" i="11"/>
  <c r="H647" i="11"/>
  <c r="G647" i="11"/>
  <c r="S640" i="11"/>
  <c r="U640" i="11" s="1"/>
  <c r="V640" i="11" s="1"/>
  <c r="G640" i="11"/>
  <c r="H640" i="11" s="1"/>
  <c r="J640" i="11" s="1"/>
  <c r="K640" i="11" s="1"/>
  <c r="V638" i="11"/>
  <c r="U638" i="11"/>
  <c r="S638" i="11"/>
  <c r="G638" i="11"/>
  <c r="H638" i="11" s="1"/>
  <c r="J638" i="11" s="1"/>
  <c r="K638" i="11" s="1"/>
  <c r="R636" i="11"/>
  <c r="G636" i="11"/>
  <c r="R635" i="11"/>
  <c r="S631" i="11" s="1"/>
  <c r="U631" i="11" s="1"/>
  <c r="V631" i="11" s="1"/>
  <c r="G635" i="11"/>
  <c r="R634" i="11"/>
  <c r="G634" i="11"/>
  <c r="R633" i="11"/>
  <c r="G633" i="11"/>
  <c r="R632" i="11"/>
  <c r="G632" i="11"/>
  <c r="G631" i="11"/>
  <c r="R629" i="11"/>
  <c r="G629" i="11"/>
  <c r="R628" i="11"/>
  <c r="G628" i="11"/>
  <c r="R627" i="11"/>
  <c r="G627" i="11"/>
  <c r="R626" i="11"/>
  <c r="G626" i="11"/>
  <c r="R625" i="11"/>
  <c r="G625" i="11"/>
  <c r="G624" i="11"/>
  <c r="R621" i="11"/>
  <c r="G621" i="11"/>
  <c r="R620" i="11"/>
  <c r="G620" i="11"/>
  <c r="R619" i="11"/>
  <c r="S618" i="11" s="1"/>
  <c r="U618" i="11" s="1"/>
  <c r="V618" i="11" s="1"/>
  <c r="G619" i="11"/>
  <c r="G618" i="11"/>
  <c r="R617" i="11"/>
  <c r="G617" i="11"/>
  <c r="R616" i="11"/>
  <c r="G616" i="11"/>
  <c r="R615" i="11"/>
  <c r="G615" i="11"/>
  <c r="R614" i="11"/>
  <c r="G614" i="11"/>
  <c r="G607" i="11"/>
  <c r="U601" i="11"/>
  <c r="V601" i="11" s="1"/>
  <c r="S601" i="11"/>
  <c r="G601" i="11"/>
  <c r="G597" i="11"/>
  <c r="H595" i="11" s="1"/>
  <c r="U595" i="11"/>
  <c r="S595" i="11"/>
  <c r="K595" i="11"/>
  <c r="J595" i="11"/>
  <c r="T594" i="11"/>
  <c r="T876" i="11" s="1"/>
  <c r="Q594" i="11"/>
  <c r="P594" i="11"/>
  <c r="I594" i="11"/>
  <c r="F594" i="11"/>
  <c r="E594" i="11"/>
  <c r="E876" i="11" s="1"/>
  <c r="T593" i="11"/>
  <c r="Q593" i="11"/>
  <c r="P593" i="11"/>
  <c r="I593" i="11"/>
  <c r="F593" i="11"/>
  <c r="E593" i="11"/>
  <c r="V591" i="11"/>
  <c r="S591" i="11"/>
  <c r="U591" i="11" s="1"/>
  <c r="J591" i="11"/>
  <c r="K591" i="11" s="1"/>
  <c r="H591" i="11"/>
  <c r="R590" i="11"/>
  <c r="G590" i="11"/>
  <c r="R589" i="11"/>
  <c r="G589" i="11"/>
  <c r="R588" i="11"/>
  <c r="G588" i="11"/>
  <c r="R587" i="11"/>
  <c r="S586" i="11" s="1"/>
  <c r="U586" i="11" s="1"/>
  <c r="V586" i="11" s="1"/>
  <c r="G587" i="11"/>
  <c r="G586" i="11"/>
  <c r="H586" i="11" s="1"/>
  <c r="J586" i="11" s="1"/>
  <c r="K586" i="11" s="1"/>
  <c r="R584" i="11"/>
  <c r="G584" i="11"/>
  <c r="R583" i="11"/>
  <c r="G583" i="11"/>
  <c r="R582" i="11"/>
  <c r="G582" i="11"/>
  <c r="R581" i="11"/>
  <c r="G581" i="11"/>
  <c r="R580" i="11"/>
  <c r="S578" i="11" s="1"/>
  <c r="G580" i="11"/>
  <c r="R579" i="11"/>
  <c r="G579" i="11"/>
  <c r="U578" i="11"/>
  <c r="V578" i="11" s="1"/>
  <c r="G578" i="11"/>
  <c r="V576" i="11"/>
  <c r="S576" i="11"/>
  <c r="U576" i="11" s="1"/>
  <c r="K576" i="11"/>
  <c r="H576" i="11"/>
  <c r="J576" i="11" s="1"/>
  <c r="G576" i="11"/>
  <c r="R574" i="11"/>
  <c r="G574" i="11"/>
  <c r="R573" i="11"/>
  <c r="G573" i="11"/>
  <c r="R572" i="11"/>
  <c r="G572" i="11"/>
  <c r="R571" i="11"/>
  <c r="G571" i="11"/>
  <c r="R570" i="11"/>
  <c r="G570" i="11"/>
  <c r="R569" i="11"/>
  <c r="G569" i="11"/>
  <c r="R568" i="11"/>
  <c r="G568" i="11"/>
  <c r="R567" i="11"/>
  <c r="G567" i="11"/>
  <c r="H565" i="11" s="1"/>
  <c r="J565" i="11" s="1"/>
  <c r="K565" i="11" s="1"/>
  <c r="R566" i="11"/>
  <c r="S565" i="11" s="1"/>
  <c r="U565" i="11" s="1"/>
  <c r="V565" i="11" s="1"/>
  <c r="G566" i="11"/>
  <c r="G565" i="11"/>
  <c r="V563" i="11"/>
  <c r="U563" i="11"/>
  <c r="S563" i="11"/>
  <c r="K563" i="11"/>
  <c r="H563" i="11"/>
  <c r="J563" i="11" s="1"/>
  <c r="G563" i="11"/>
  <c r="R561" i="11"/>
  <c r="G561" i="11"/>
  <c r="R560" i="11"/>
  <c r="G560" i="11"/>
  <c r="R559" i="11"/>
  <c r="G559" i="11"/>
  <c r="R558" i="11"/>
  <c r="S554" i="11" s="1"/>
  <c r="U554" i="11" s="1"/>
  <c r="V554" i="11" s="1"/>
  <c r="G558" i="11"/>
  <c r="R557" i="11"/>
  <c r="G557" i="11"/>
  <c r="R556" i="11"/>
  <c r="G556" i="11"/>
  <c r="R555" i="11"/>
  <c r="G555" i="11"/>
  <c r="G554" i="11"/>
  <c r="R547" i="11"/>
  <c r="G547" i="11"/>
  <c r="R546" i="11"/>
  <c r="G546" i="11"/>
  <c r="G545" i="11"/>
  <c r="H545" i="11" s="1"/>
  <c r="J545" i="11" s="1"/>
  <c r="K545" i="11" s="1"/>
  <c r="G539" i="11"/>
  <c r="R535" i="11"/>
  <c r="S534" i="11" s="1"/>
  <c r="U534" i="11" s="1"/>
  <c r="V534" i="11" s="1"/>
  <c r="G535" i="11"/>
  <c r="H534" i="11"/>
  <c r="J534" i="11" s="1"/>
  <c r="K534" i="11" s="1"/>
  <c r="R532" i="11"/>
  <c r="G532" i="11"/>
  <c r="R531" i="11"/>
  <c r="G531" i="11"/>
  <c r="R530" i="11"/>
  <c r="G530" i="11"/>
  <c r="R529" i="11"/>
  <c r="S529" i="11" s="1"/>
  <c r="U529" i="11" s="1"/>
  <c r="V529" i="11" s="1"/>
  <c r="G529" i="11"/>
  <c r="H529" i="11" s="1"/>
  <c r="J529" i="11" s="1"/>
  <c r="K529" i="11" s="1"/>
  <c r="R528" i="11"/>
  <c r="G528" i="11"/>
  <c r="R527" i="11"/>
  <c r="G527" i="11"/>
  <c r="R526" i="11"/>
  <c r="G526" i="11"/>
  <c r="R525" i="11"/>
  <c r="G525" i="11"/>
  <c r="R524" i="11"/>
  <c r="G524" i="11"/>
  <c r="R523" i="11"/>
  <c r="G523" i="11"/>
  <c r="R522" i="11"/>
  <c r="G522" i="11"/>
  <c r="G521" i="11"/>
  <c r="G520" i="11"/>
  <c r="H520" i="11" s="1"/>
  <c r="J520" i="11" s="1"/>
  <c r="K520" i="11" s="1"/>
  <c r="U518" i="11"/>
  <c r="V518" i="11" s="1"/>
  <c r="S518" i="11"/>
  <c r="G518" i="11"/>
  <c r="H518" i="11" s="1"/>
  <c r="J518" i="11" s="1"/>
  <c r="K518" i="11" s="1"/>
  <c r="G516" i="11"/>
  <c r="S515" i="11"/>
  <c r="U515" i="11" s="1"/>
  <c r="V515" i="11" s="1"/>
  <c r="G515" i="11"/>
  <c r="H515" i="11" s="1"/>
  <c r="J515" i="11" s="1"/>
  <c r="K515" i="11" s="1"/>
  <c r="S513" i="11"/>
  <c r="U513" i="11" s="1"/>
  <c r="V513" i="11" s="1"/>
  <c r="H513" i="11"/>
  <c r="J513" i="11" s="1"/>
  <c r="K513" i="11" s="1"/>
  <c r="G513" i="11"/>
  <c r="R512" i="11"/>
  <c r="G512" i="11"/>
  <c r="R511" i="11"/>
  <c r="G511" i="11"/>
  <c r="R510" i="11"/>
  <c r="G510" i="11"/>
  <c r="R509" i="11"/>
  <c r="G509" i="11"/>
  <c r="R508" i="11"/>
  <c r="S504" i="11" s="1"/>
  <c r="U504" i="11" s="1"/>
  <c r="V504" i="11" s="1"/>
  <c r="G508" i="11"/>
  <c r="R507" i="11"/>
  <c r="G507" i="11"/>
  <c r="H504" i="11" s="1"/>
  <c r="J504" i="11" s="1"/>
  <c r="K504" i="11" s="1"/>
  <c r="R506" i="11"/>
  <c r="G506" i="11"/>
  <c r="R505" i="11"/>
  <c r="G505" i="11"/>
  <c r="G504" i="11"/>
  <c r="R502" i="11"/>
  <c r="G502" i="11"/>
  <c r="R501" i="11"/>
  <c r="G501" i="11"/>
  <c r="G500" i="11"/>
  <c r="R499" i="11"/>
  <c r="G499" i="11"/>
  <c r="R498" i="11"/>
  <c r="G498" i="11"/>
  <c r="H498" i="11" s="1"/>
  <c r="J498" i="11" s="1"/>
  <c r="K498" i="11" s="1"/>
  <c r="V496" i="11"/>
  <c r="U496" i="11"/>
  <c r="S496" i="11"/>
  <c r="K496" i="11"/>
  <c r="J496" i="11"/>
  <c r="G496" i="11"/>
  <c r="H496" i="11" s="1"/>
  <c r="R494" i="11"/>
  <c r="G494" i="11"/>
  <c r="R493" i="11"/>
  <c r="G493" i="11"/>
  <c r="G492" i="11"/>
  <c r="R491" i="11"/>
  <c r="S490" i="11" s="1"/>
  <c r="U490" i="11" s="1"/>
  <c r="V490" i="11" s="1"/>
  <c r="G491" i="11"/>
  <c r="R490" i="11"/>
  <c r="H490" i="11"/>
  <c r="J490" i="11" s="1"/>
  <c r="K490" i="11" s="1"/>
  <c r="G490" i="11"/>
  <c r="R489" i="11"/>
  <c r="G489" i="11"/>
  <c r="R488" i="11"/>
  <c r="S487" i="11" s="1"/>
  <c r="U487" i="11" s="1"/>
  <c r="V487" i="11" s="1"/>
  <c r="G488" i="11"/>
  <c r="H487" i="11"/>
  <c r="J487" i="11" s="1"/>
  <c r="K487" i="11" s="1"/>
  <c r="G487" i="11"/>
  <c r="R485" i="11"/>
  <c r="G485" i="11"/>
  <c r="R484" i="11"/>
  <c r="G484" i="11"/>
  <c r="R483" i="11"/>
  <c r="G483" i="11"/>
  <c r="R482" i="11"/>
  <c r="G482" i="11"/>
  <c r="R481" i="11"/>
  <c r="G481" i="11"/>
  <c r="R480" i="11"/>
  <c r="G480" i="11"/>
  <c r="R479" i="11"/>
  <c r="G479" i="11"/>
  <c r="K478" i="11"/>
  <c r="G478" i="11"/>
  <c r="H478" i="11" s="1"/>
  <c r="J478" i="11" s="1"/>
  <c r="R477" i="11"/>
  <c r="G477" i="11"/>
  <c r="R476" i="11"/>
  <c r="G476" i="11"/>
  <c r="R475" i="11"/>
  <c r="G475" i="11"/>
  <c r="H472" i="11" s="1"/>
  <c r="J472" i="11" s="1"/>
  <c r="K472" i="11" s="1"/>
  <c r="R474" i="11"/>
  <c r="G474" i="11"/>
  <c r="R473" i="11"/>
  <c r="S472" i="11" s="1"/>
  <c r="U472" i="11" s="1"/>
  <c r="V472" i="11" s="1"/>
  <c r="G473" i="11"/>
  <c r="R472" i="11"/>
  <c r="G472" i="11"/>
  <c r="R471" i="11"/>
  <c r="G471" i="11"/>
  <c r="R470" i="11"/>
  <c r="G470" i="11"/>
  <c r="R469" i="11"/>
  <c r="G469" i="11"/>
  <c r="H468" i="11"/>
  <c r="J468" i="11" s="1"/>
  <c r="K468" i="11" s="1"/>
  <c r="G468" i="11"/>
  <c r="S461" i="11"/>
  <c r="U461" i="11" s="1"/>
  <c r="V461" i="11" s="1"/>
  <c r="G461" i="11"/>
  <c r="H461" i="11" s="1"/>
  <c r="J461" i="11" s="1"/>
  <c r="K461" i="11" s="1"/>
  <c r="R459" i="11"/>
  <c r="G459" i="11"/>
  <c r="R458" i="11"/>
  <c r="G458" i="11"/>
  <c r="R457" i="11"/>
  <c r="G457" i="11"/>
  <c r="R456" i="11"/>
  <c r="G456" i="11"/>
  <c r="R455" i="11"/>
  <c r="G455" i="11"/>
  <c r="S454" i="11"/>
  <c r="U454" i="11" s="1"/>
  <c r="V454" i="11" s="1"/>
  <c r="R454" i="11"/>
  <c r="G454" i="11"/>
  <c r="H454" i="11" s="1"/>
  <c r="J454" i="11" s="1"/>
  <c r="K454" i="11" s="1"/>
  <c r="U452" i="11"/>
  <c r="S452" i="11"/>
  <c r="J452" i="11"/>
  <c r="G452" i="11"/>
  <c r="H452" i="11" s="1"/>
  <c r="F450" i="11"/>
  <c r="T448" i="11"/>
  <c r="Q448" i="11"/>
  <c r="P448" i="11"/>
  <c r="I448" i="11"/>
  <c r="F448" i="11"/>
  <c r="E448" i="11"/>
  <c r="T447" i="11"/>
  <c r="Q447" i="11"/>
  <c r="P447" i="11"/>
  <c r="I447" i="11"/>
  <c r="F447" i="11"/>
  <c r="E447" i="11"/>
  <c r="R441" i="11"/>
  <c r="G441" i="11"/>
  <c r="R440" i="11"/>
  <c r="G440" i="11"/>
  <c r="G439" i="11"/>
  <c r="H439" i="11" s="1"/>
  <c r="J439" i="11" s="1"/>
  <c r="K439" i="11" s="1"/>
  <c r="R438" i="11"/>
  <c r="G438" i="11"/>
  <c r="R437" i="11"/>
  <c r="G437" i="11"/>
  <c r="R436" i="11"/>
  <c r="G436" i="11"/>
  <c r="R435" i="11"/>
  <c r="G435" i="11"/>
  <c r="R434" i="11"/>
  <c r="G434" i="11"/>
  <c r="R433" i="11"/>
  <c r="G433" i="11"/>
  <c r="R432" i="11"/>
  <c r="G432" i="11"/>
  <c r="U430" i="11"/>
  <c r="V430" i="11" s="1"/>
  <c r="S430" i="11"/>
  <c r="K430" i="11"/>
  <c r="J430" i="11"/>
  <c r="G430" i="11"/>
  <c r="H430" i="11" s="1"/>
  <c r="S422" i="11"/>
  <c r="U422" i="11" s="1"/>
  <c r="V422" i="11" s="1"/>
  <c r="K422" i="11"/>
  <c r="J422" i="11"/>
  <c r="H422" i="11"/>
  <c r="G422" i="11"/>
  <c r="V418" i="11"/>
  <c r="S418" i="11"/>
  <c r="U418" i="11" s="1"/>
  <c r="H418" i="11"/>
  <c r="J418" i="11" s="1"/>
  <c r="K418" i="11" s="1"/>
  <c r="G418" i="11"/>
  <c r="S414" i="11"/>
  <c r="U414" i="11" s="1"/>
  <c r="V414" i="11" s="1"/>
  <c r="H414" i="11"/>
  <c r="J414" i="11" s="1"/>
  <c r="K414" i="11" s="1"/>
  <c r="G414" i="11"/>
  <c r="R413" i="11"/>
  <c r="G413" i="11"/>
  <c r="R412" i="11"/>
  <c r="G412" i="11"/>
  <c r="R411" i="11"/>
  <c r="G411" i="11"/>
  <c r="R410" i="11"/>
  <c r="G410" i="11"/>
  <c r="R409" i="11"/>
  <c r="G409" i="11"/>
  <c r="R408" i="11"/>
  <c r="G408" i="11"/>
  <c r="R407" i="11"/>
  <c r="G407" i="11"/>
  <c r="R406" i="11"/>
  <c r="S405" i="11" s="1"/>
  <c r="U405" i="11" s="1"/>
  <c r="V405" i="11" s="1"/>
  <c r="G406" i="11"/>
  <c r="G405" i="11"/>
  <c r="R404" i="11"/>
  <c r="G404" i="11"/>
  <c r="R403" i="11"/>
  <c r="G403" i="11"/>
  <c r="R402" i="11"/>
  <c r="G402" i="11"/>
  <c r="R401" i="11"/>
  <c r="G401" i="11"/>
  <c r="R400" i="11"/>
  <c r="G400" i="11"/>
  <c r="R399" i="11"/>
  <c r="G399" i="11"/>
  <c r="R398" i="11"/>
  <c r="G398" i="11"/>
  <c r="R397" i="11"/>
  <c r="G397" i="11"/>
  <c r="R396" i="11"/>
  <c r="G396" i="11"/>
  <c r="S395" i="11"/>
  <c r="U395" i="11" s="1"/>
  <c r="V395" i="11" s="1"/>
  <c r="H395" i="11"/>
  <c r="J395" i="11" s="1"/>
  <c r="K395" i="11" s="1"/>
  <c r="G395" i="11"/>
  <c r="R394" i="11"/>
  <c r="G394" i="11"/>
  <c r="R393" i="11"/>
  <c r="G393" i="11"/>
  <c r="R392" i="11"/>
  <c r="G392" i="11"/>
  <c r="R391" i="11"/>
  <c r="G391" i="11"/>
  <c r="R390" i="11"/>
  <c r="G390" i="11"/>
  <c r="R389" i="11"/>
  <c r="G389" i="11"/>
  <c r="R388" i="11"/>
  <c r="G388" i="11"/>
  <c r="R387" i="11"/>
  <c r="G387" i="11"/>
  <c r="R386" i="11"/>
  <c r="G386" i="11"/>
  <c r="R385" i="11"/>
  <c r="G385" i="11"/>
  <c r="R384" i="11"/>
  <c r="G384" i="11"/>
  <c r="K383" i="11"/>
  <c r="G383" i="11"/>
  <c r="H383" i="11" s="1"/>
  <c r="J383" i="11" s="1"/>
  <c r="U379" i="11"/>
  <c r="V379" i="11" s="1"/>
  <c r="S379" i="11"/>
  <c r="H379" i="11"/>
  <c r="J379" i="11" s="1"/>
  <c r="K379" i="11" s="1"/>
  <c r="R378" i="11"/>
  <c r="G378" i="11"/>
  <c r="R377" i="11"/>
  <c r="G377" i="11"/>
  <c r="R376" i="11"/>
  <c r="G376" i="11"/>
  <c r="H375" i="11" s="1"/>
  <c r="J375" i="11" s="1"/>
  <c r="K375" i="11" s="1"/>
  <c r="R375" i="11"/>
  <c r="G375" i="11"/>
  <c r="R374" i="11"/>
  <c r="G374" i="11"/>
  <c r="R369" i="11"/>
  <c r="G369" i="11"/>
  <c r="R368" i="11"/>
  <c r="G368" i="11"/>
  <c r="S366" i="11"/>
  <c r="U366" i="11" s="1"/>
  <c r="V366" i="11" s="1"/>
  <c r="G366" i="11"/>
  <c r="R365" i="11"/>
  <c r="G365" i="11"/>
  <c r="R364" i="11"/>
  <c r="G364" i="11"/>
  <c r="R363" i="11"/>
  <c r="G363" i="11"/>
  <c r="R362" i="11"/>
  <c r="S358" i="11" s="1"/>
  <c r="G362" i="11"/>
  <c r="R361" i="11"/>
  <c r="G361" i="11"/>
  <c r="R360" i="11"/>
  <c r="G360" i="11"/>
  <c r="R359" i="11"/>
  <c r="G359" i="11"/>
  <c r="U358" i="11"/>
  <c r="V358" i="11" s="1"/>
  <c r="R358" i="11"/>
  <c r="G358" i="11"/>
  <c r="H358" i="11" s="1"/>
  <c r="J358" i="11" s="1"/>
  <c r="K358" i="11" s="1"/>
  <c r="R357" i="11"/>
  <c r="G357" i="11"/>
  <c r="R356" i="11"/>
  <c r="G356" i="11"/>
  <c r="R355" i="11"/>
  <c r="G355" i="11"/>
  <c r="R354" i="11"/>
  <c r="G354" i="11"/>
  <c r="R353" i="11"/>
  <c r="G353" i="11"/>
  <c r="R352" i="11"/>
  <c r="G352" i="11"/>
  <c r="R351" i="11"/>
  <c r="G351" i="11"/>
  <c r="R350" i="11"/>
  <c r="G350" i="11"/>
  <c r="R349" i="11"/>
  <c r="G349" i="11"/>
  <c r="R348" i="11"/>
  <c r="G348" i="11"/>
  <c r="R347" i="11"/>
  <c r="G347" i="11"/>
  <c r="R346" i="11"/>
  <c r="G346" i="11"/>
  <c r="G345" i="11"/>
  <c r="R344" i="11"/>
  <c r="G344" i="11"/>
  <c r="R343" i="11"/>
  <c r="G343" i="11"/>
  <c r="G342" i="11"/>
  <c r="R341" i="11"/>
  <c r="G341" i="11"/>
  <c r="R340" i="11"/>
  <c r="G340" i="11"/>
  <c r="R339" i="11"/>
  <c r="G339" i="11"/>
  <c r="R338" i="11"/>
  <c r="G338" i="11"/>
  <c r="R337" i="11"/>
  <c r="G337" i="11"/>
  <c r="R336" i="11"/>
  <c r="G336" i="11"/>
  <c r="R335" i="11"/>
  <c r="G335" i="11"/>
  <c r="R334" i="11"/>
  <c r="G334" i="11"/>
  <c r="R333" i="11"/>
  <c r="G333" i="11"/>
  <c r="R332" i="11"/>
  <c r="G332" i="11"/>
  <c r="R331" i="11"/>
  <c r="G331" i="11"/>
  <c r="R330" i="11"/>
  <c r="G330" i="11"/>
  <c r="R329" i="11"/>
  <c r="G329" i="11"/>
  <c r="S328" i="11"/>
  <c r="U328" i="11" s="1"/>
  <c r="V328" i="11" s="1"/>
  <c r="G328" i="11"/>
  <c r="H328" i="11" s="1"/>
  <c r="J328" i="11" s="1"/>
  <c r="K328" i="11" s="1"/>
  <c r="R327" i="11"/>
  <c r="G327" i="11"/>
  <c r="R326" i="11"/>
  <c r="G326" i="11"/>
  <c r="R325" i="11"/>
  <c r="G325" i="11"/>
  <c r="R324" i="11"/>
  <c r="G324" i="11"/>
  <c r="U323" i="11"/>
  <c r="V323" i="11" s="1"/>
  <c r="S323" i="11"/>
  <c r="G323" i="11"/>
  <c r="R322" i="11"/>
  <c r="G322" i="11"/>
  <c r="R321" i="11"/>
  <c r="G321" i="11"/>
  <c r="R320" i="11"/>
  <c r="G320" i="11"/>
  <c r="R319" i="11"/>
  <c r="G319" i="11"/>
  <c r="R318" i="11"/>
  <c r="G318" i="11"/>
  <c r="R317" i="11"/>
  <c r="G317" i="11"/>
  <c r="R316" i="11"/>
  <c r="G316" i="11"/>
  <c r="H311" i="11" s="1"/>
  <c r="J311" i="11" s="1"/>
  <c r="K311" i="11" s="1"/>
  <c r="R315" i="11"/>
  <c r="G315" i="11"/>
  <c r="R314" i="11"/>
  <c r="G314" i="11"/>
  <c r="R313" i="11"/>
  <c r="G313" i="11"/>
  <c r="R312" i="11"/>
  <c r="S311" i="11" s="1"/>
  <c r="U311" i="11" s="1"/>
  <c r="V311" i="11" s="1"/>
  <c r="G312" i="11"/>
  <c r="G311" i="11"/>
  <c r="R310" i="11"/>
  <c r="G310" i="11"/>
  <c r="R309" i="11"/>
  <c r="G309" i="11"/>
  <c r="R308" i="11"/>
  <c r="G308" i="11"/>
  <c r="R307" i="11"/>
  <c r="G307" i="11"/>
  <c r="R306" i="11"/>
  <c r="G306" i="11"/>
  <c r="R305" i="11"/>
  <c r="G305" i="11"/>
  <c r="R304" i="11"/>
  <c r="G304" i="11"/>
  <c r="R303" i="11"/>
  <c r="G303" i="11"/>
  <c r="R302" i="11"/>
  <c r="G302" i="11"/>
  <c r="R301" i="11"/>
  <c r="G301" i="11"/>
  <c r="G300" i="11"/>
  <c r="R299" i="11"/>
  <c r="G299" i="11"/>
  <c r="V298" i="11"/>
  <c r="S298" i="11"/>
  <c r="U298" i="11" s="1"/>
  <c r="R298" i="11"/>
  <c r="G298" i="11"/>
  <c r="S295" i="11"/>
  <c r="U295" i="11" s="1"/>
  <c r="V295" i="11" s="1"/>
  <c r="H295" i="11"/>
  <c r="J295" i="11" s="1"/>
  <c r="K295" i="11" s="1"/>
  <c r="R292" i="11"/>
  <c r="G292" i="11"/>
  <c r="R291" i="11"/>
  <c r="G291" i="11"/>
  <c r="R290" i="11"/>
  <c r="G290" i="11"/>
  <c r="R289" i="11"/>
  <c r="G289" i="11"/>
  <c r="R288" i="11"/>
  <c r="G288" i="11"/>
  <c r="R287" i="11"/>
  <c r="G287" i="11"/>
  <c r="R286" i="11"/>
  <c r="G286" i="11"/>
  <c r="R285" i="11"/>
  <c r="G285" i="11"/>
  <c r="R284" i="11"/>
  <c r="G284" i="11"/>
  <c r="G283" i="11"/>
  <c r="R282" i="11"/>
  <c r="G282" i="11"/>
  <c r="G281" i="11"/>
  <c r="R280" i="11"/>
  <c r="S278" i="11" s="1"/>
  <c r="U278" i="11" s="1"/>
  <c r="V278" i="11" s="1"/>
  <c r="G280" i="11"/>
  <c r="R279" i="11"/>
  <c r="G279" i="11"/>
  <c r="G278" i="11"/>
  <c r="V272" i="11"/>
  <c r="U272" i="11"/>
  <c r="S272" i="11"/>
  <c r="K272" i="11"/>
  <c r="H272" i="11"/>
  <c r="J272" i="11" s="1"/>
  <c r="G270" i="11"/>
  <c r="R269" i="11"/>
  <c r="G269" i="11"/>
  <c r="R268" i="11"/>
  <c r="G268" i="11"/>
  <c r="R267" i="11"/>
  <c r="G267" i="11"/>
  <c r="R266" i="11"/>
  <c r="G266" i="11"/>
  <c r="R265" i="11"/>
  <c r="G265" i="11"/>
  <c r="R264" i="11"/>
  <c r="G264" i="11"/>
  <c r="G263" i="11"/>
  <c r="R262" i="11"/>
  <c r="S262" i="11" s="1"/>
  <c r="U262" i="11" s="1"/>
  <c r="V262" i="11" s="1"/>
  <c r="G262" i="11"/>
  <c r="R259" i="11"/>
  <c r="G259" i="11"/>
  <c r="R258" i="11"/>
  <c r="G258" i="11"/>
  <c r="R257" i="11"/>
  <c r="G257" i="11"/>
  <c r="R256" i="11"/>
  <c r="G256" i="11"/>
  <c r="G255" i="11"/>
  <c r="R254" i="11"/>
  <c r="G254" i="11"/>
  <c r="R253" i="11"/>
  <c r="G253" i="11"/>
  <c r="R252" i="11"/>
  <c r="G252" i="11"/>
  <c r="R251" i="11"/>
  <c r="G251" i="11"/>
  <c r="R250" i="11"/>
  <c r="G250" i="11"/>
  <c r="G249" i="11"/>
  <c r="S248" i="11"/>
  <c r="U248" i="11" s="1"/>
  <c r="V248" i="11" s="1"/>
  <c r="R248" i="11"/>
  <c r="G248" i="11"/>
  <c r="R246" i="11"/>
  <c r="G246" i="11"/>
  <c r="R245" i="11"/>
  <c r="G245" i="11"/>
  <c r="R244" i="11"/>
  <c r="G244" i="11"/>
  <c r="R243" i="11"/>
  <c r="G243" i="11"/>
  <c r="R242" i="11"/>
  <c r="G242" i="11"/>
  <c r="R241" i="11"/>
  <c r="G241" i="11"/>
  <c r="S240" i="11"/>
  <c r="R240" i="11"/>
  <c r="G240" i="11"/>
  <c r="U237" i="11"/>
  <c r="S237" i="11"/>
  <c r="H237" i="11"/>
  <c r="J237" i="11" s="1"/>
  <c r="G237" i="11"/>
  <c r="T236" i="11"/>
  <c r="Q236" i="11"/>
  <c r="P236" i="11"/>
  <c r="I236" i="11"/>
  <c r="F236" i="11"/>
  <c r="E236" i="11"/>
  <c r="T235" i="11"/>
  <c r="Q235" i="11"/>
  <c r="P235" i="11"/>
  <c r="I235" i="11"/>
  <c r="F235" i="11"/>
  <c r="E235" i="11"/>
  <c r="S232" i="11"/>
  <c r="U232" i="11" s="1"/>
  <c r="V232" i="11" s="1"/>
  <c r="G232" i="11"/>
  <c r="H232" i="11" s="1"/>
  <c r="J232" i="11" s="1"/>
  <c r="K232" i="11" s="1"/>
  <c r="S230" i="11"/>
  <c r="U230" i="11" s="1"/>
  <c r="V230" i="11" s="1"/>
  <c r="K230" i="11"/>
  <c r="G230" i="11"/>
  <c r="H230" i="11" s="1"/>
  <c r="J230" i="11" s="1"/>
  <c r="V226" i="11"/>
  <c r="S226" i="11"/>
  <c r="U226" i="11" s="1"/>
  <c r="G226" i="11"/>
  <c r="H226" i="11" s="1"/>
  <c r="J226" i="11" s="1"/>
  <c r="K226" i="11" s="1"/>
  <c r="R224" i="11"/>
  <c r="G224" i="11"/>
  <c r="R223" i="11"/>
  <c r="G223" i="11"/>
  <c r="R222" i="11"/>
  <c r="G222" i="11"/>
  <c r="R221" i="11"/>
  <c r="G221" i="11"/>
  <c r="R220" i="11"/>
  <c r="G220" i="11"/>
  <c r="R219" i="11"/>
  <c r="G219" i="11"/>
  <c r="R218" i="11"/>
  <c r="G218" i="11"/>
  <c r="R217" i="11"/>
  <c r="G217" i="11"/>
  <c r="R216" i="11"/>
  <c r="G216" i="11"/>
  <c r="G215" i="11"/>
  <c r="R213" i="11"/>
  <c r="G213" i="11"/>
  <c r="R212" i="11"/>
  <c r="G212" i="11"/>
  <c r="R211" i="11"/>
  <c r="G211" i="11"/>
  <c r="R210" i="11"/>
  <c r="G210" i="11"/>
  <c r="R209" i="11"/>
  <c r="G209" i="11"/>
  <c r="R208" i="11"/>
  <c r="G208" i="11"/>
  <c r="R207" i="11"/>
  <c r="G207" i="11"/>
  <c r="R206" i="11"/>
  <c r="G206" i="11"/>
  <c r="R205" i="11"/>
  <c r="S201" i="11" s="1"/>
  <c r="U201" i="11" s="1"/>
  <c r="V201" i="11" s="1"/>
  <c r="G205" i="11"/>
  <c r="R204" i="11"/>
  <c r="G204" i="11"/>
  <c r="R203" i="11"/>
  <c r="G203" i="11"/>
  <c r="R202" i="11"/>
  <c r="G202" i="11"/>
  <c r="H201" i="11"/>
  <c r="J201" i="11" s="1"/>
  <c r="K201" i="11" s="1"/>
  <c r="G201" i="11"/>
  <c r="R199" i="11"/>
  <c r="G199" i="11"/>
  <c r="R198" i="11"/>
  <c r="G198" i="11"/>
  <c r="R197" i="11"/>
  <c r="G197" i="11"/>
  <c r="R196" i="11"/>
  <c r="G196" i="11"/>
  <c r="R195" i="11"/>
  <c r="S191" i="11" s="1"/>
  <c r="U191" i="11" s="1"/>
  <c r="V191" i="11" s="1"/>
  <c r="G195" i="11"/>
  <c r="R194" i="11"/>
  <c r="G194" i="11"/>
  <c r="R193" i="11"/>
  <c r="G193" i="11"/>
  <c r="R192" i="11"/>
  <c r="G192" i="11"/>
  <c r="H191" i="11" s="1"/>
  <c r="J191" i="11" s="1"/>
  <c r="K191" i="11" s="1"/>
  <c r="G191" i="11"/>
  <c r="R189" i="11"/>
  <c r="G189" i="11"/>
  <c r="R186" i="11"/>
  <c r="G186" i="11"/>
  <c r="H185" i="11" s="1"/>
  <c r="J185" i="11" s="1"/>
  <c r="K185" i="11" s="1"/>
  <c r="S185" i="11"/>
  <c r="U185" i="11" s="1"/>
  <c r="V185" i="11" s="1"/>
  <c r="G185" i="11"/>
  <c r="S181" i="11"/>
  <c r="U181" i="11" s="1"/>
  <c r="V181" i="11" s="1"/>
  <c r="G181" i="11"/>
  <c r="H181" i="11" s="1"/>
  <c r="J181" i="11" s="1"/>
  <c r="K181" i="11" s="1"/>
  <c r="R179" i="11"/>
  <c r="G179" i="11"/>
  <c r="R178" i="11"/>
  <c r="G178" i="11"/>
  <c r="R177" i="11"/>
  <c r="G177" i="11"/>
  <c r="R176" i="11"/>
  <c r="G176" i="11"/>
  <c r="G175" i="11"/>
  <c r="R174" i="11"/>
  <c r="G174" i="11"/>
  <c r="R173" i="11"/>
  <c r="G173" i="11"/>
  <c r="R172" i="11"/>
  <c r="G172" i="11"/>
  <c r="R171" i="11"/>
  <c r="G171" i="11"/>
  <c r="R170" i="11"/>
  <c r="G170" i="11"/>
  <c r="G169" i="11"/>
  <c r="R168" i="11"/>
  <c r="G168" i="11"/>
  <c r="R167" i="11"/>
  <c r="G167" i="11"/>
  <c r="H167" i="11" s="1"/>
  <c r="J167" i="11" s="1"/>
  <c r="K167" i="11" s="1"/>
  <c r="S165" i="11"/>
  <c r="U165" i="11" s="1"/>
  <c r="V165" i="11" s="1"/>
  <c r="J165" i="11"/>
  <c r="K165" i="11" s="1"/>
  <c r="H165" i="11"/>
  <c r="G165" i="11"/>
  <c r="U161" i="11"/>
  <c r="V161" i="11" s="1"/>
  <c r="S161" i="11"/>
  <c r="J161" i="11"/>
  <c r="K161" i="11" s="1"/>
  <c r="H161" i="11"/>
  <c r="G161" i="11"/>
  <c r="R158" i="11"/>
  <c r="G158" i="11"/>
  <c r="R157" i="11"/>
  <c r="G157" i="11"/>
  <c r="R156" i="11"/>
  <c r="G156" i="11"/>
  <c r="R155" i="11"/>
  <c r="G155" i="11"/>
  <c r="R154" i="11"/>
  <c r="G154" i="11"/>
  <c r="G153" i="11"/>
  <c r="G152" i="11"/>
  <c r="H152" i="11" s="1"/>
  <c r="J152" i="11" s="1"/>
  <c r="K152" i="11" s="1"/>
  <c r="S149" i="11"/>
  <c r="U149" i="11" s="1"/>
  <c r="V149" i="11" s="1"/>
  <c r="H149" i="11"/>
  <c r="J149" i="11" s="1"/>
  <c r="K149" i="11" s="1"/>
  <c r="R148" i="11"/>
  <c r="G148" i="11"/>
  <c r="R147" i="11"/>
  <c r="G147" i="11"/>
  <c r="G146" i="11"/>
  <c r="H145" i="11"/>
  <c r="J145" i="11" s="1"/>
  <c r="K145" i="11" s="1"/>
  <c r="G145" i="11"/>
  <c r="S140" i="11"/>
  <c r="U140" i="11" s="1"/>
  <c r="V140" i="11" s="1"/>
  <c r="G140" i="11"/>
  <c r="H140" i="11" s="1"/>
  <c r="J140" i="11" s="1"/>
  <c r="K140" i="11" s="1"/>
  <c r="S136" i="11"/>
  <c r="K136" i="11"/>
  <c r="J136" i="11"/>
  <c r="H136" i="11"/>
  <c r="G136" i="11"/>
  <c r="V130" i="11"/>
  <c r="S130" i="11"/>
  <c r="U130" i="11" s="1"/>
  <c r="G130" i="11"/>
  <c r="H130" i="11" s="1"/>
  <c r="J130" i="11" s="1"/>
  <c r="K130" i="11" s="1"/>
  <c r="V128" i="11"/>
  <c r="U128" i="11"/>
  <c r="S128" i="11"/>
  <c r="H128" i="11"/>
  <c r="J128" i="11" s="1"/>
  <c r="K128" i="11" s="1"/>
  <c r="G128" i="11"/>
  <c r="V125" i="11"/>
  <c r="U125" i="11"/>
  <c r="S125" i="11"/>
  <c r="J125" i="11"/>
  <c r="K125" i="11" s="1"/>
  <c r="H125" i="11"/>
  <c r="R122" i="11"/>
  <c r="S122" i="11" s="1"/>
  <c r="U122" i="11" s="1"/>
  <c r="V122" i="11" s="1"/>
  <c r="H122" i="11"/>
  <c r="J122" i="11" s="1"/>
  <c r="K122" i="11" s="1"/>
  <c r="G122" i="11"/>
  <c r="R121" i="11"/>
  <c r="S119" i="11" s="1"/>
  <c r="U119" i="11" s="1"/>
  <c r="V119" i="11" s="1"/>
  <c r="G121" i="11"/>
  <c r="G120" i="11"/>
  <c r="H119" i="11" s="1"/>
  <c r="J119" i="11" s="1"/>
  <c r="K119" i="11" s="1"/>
  <c r="G119" i="11"/>
  <c r="G110" i="11"/>
  <c r="G109" i="11"/>
  <c r="G103" i="11"/>
  <c r="G102" i="11"/>
  <c r="G101" i="11"/>
  <c r="G100" i="11"/>
  <c r="V94" i="11"/>
  <c r="S94" i="11"/>
  <c r="U94" i="11" s="1"/>
  <c r="R91" i="11"/>
  <c r="G91" i="11"/>
  <c r="R90" i="11"/>
  <c r="G90" i="11"/>
  <c r="R89" i="11"/>
  <c r="G89" i="11"/>
  <c r="R86" i="11"/>
  <c r="G86" i="11"/>
  <c r="V85" i="11"/>
  <c r="S85" i="11"/>
  <c r="U85" i="11" s="1"/>
  <c r="S82" i="11"/>
  <c r="U82" i="11" s="1"/>
  <c r="V82" i="11" s="1"/>
  <c r="G82" i="11"/>
  <c r="S78" i="11"/>
  <c r="J78" i="11"/>
  <c r="H78" i="11"/>
  <c r="G78" i="11"/>
  <c r="T77" i="11"/>
  <c r="Q77" i="11"/>
  <c r="Q450" i="11" s="1"/>
  <c r="P77" i="11"/>
  <c r="P450" i="11" s="1"/>
  <c r="I77" i="11"/>
  <c r="I450" i="11" s="1"/>
  <c r="F77" i="11"/>
  <c r="E77" i="11"/>
  <c r="T76" i="11"/>
  <c r="Q76" i="11"/>
  <c r="P76" i="11"/>
  <c r="I76" i="11"/>
  <c r="F76" i="11"/>
  <c r="E76" i="11"/>
  <c r="S73" i="11"/>
  <c r="U73" i="11" s="1"/>
  <c r="V73" i="11" s="1"/>
  <c r="H73" i="11"/>
  <c r="J73" i="11" s="1"/>
  <c r="K73" i="11" s="1"/>
  <c r="G73" i="11"/>
  <c r="V67" i="11"/>
  <c r="S67" i="11"/>
  <c r="U67" i="11" s="1"/>
  <c r="K67" i="11"/>
  <c r="J67" i="11"/>
  <c r="H67" i="11"/>
  <c r="G67" i="11"/>
  <c r="S63" i="11"/>
  <c r="U63" i="11" s="1"/>
  <c r="V63" i="11" s="1"/>
  <c r="H63" i="11"/>
  <c r="J63" i="11" s="1"/>
  <c r="K63" i="11" s="1"/>
  <c r="V58" i="11"/>
  <c r="U58" i="11"/>
  <c r="S58" i="11"/>
  <c r="J58" i="11"/>
  <c r="K58" i="11" s="1"/>
  <c r="G58" i="11"/>
  <c r="H58" i="11" s="1"/>
  <c r="U53" i="11"/>
  <c r="V53" i="11" s="1"/>
  <c r="S53" i="11"/>
  <c r="J53" i="11"/>
  <c r="K53" i="11" s="1"/>
  <c r="H53" i="11"/>
  <c r="G53" i="11"/>
  <c r="U47" i="11"/>
  <c r="V47" i="11" s="1"/>
  <c r="S47" i="11"/>
  <c r="G47" i="11"/>
  <c r="H47" i="11" s="1"/>
  <c r="J47" i="11" s="1"/>
  <c r="K47" i="11" s="1"/>
  <c r="R41" i="11"/>
  <c r="S39" i="11" s="1"/>
  <c r="U39" i="11" s="1"/>
  <c r="V39" i="11" s="1"/>
  <c r="G41" i="11"/>
  <c r="H39" i="11"/>
  <c r="J39" i="11" s="1"/>
  <c r="K39" i="11" s="1"/>
  <c r="G39" i="11"/>
  <c r="S33" i="11"/>
  <c r="U33" i="11" s="1"/>
  <c r="V33" i="11" s="1"/>
  <c r="J33" i="11"/>
  <c r="K33" i="11" s="1"/>
  <c r="G33" i="11"/>
  <c r="H33" i="11" s="1"/>
  <c r="R32" i="11"/>
  <c r="G32" i="11"/>
  <c r="R31" i="11"/>
  <c r="G31" i="11"/>
  <c r="G29" i="11"/>
  <c r="G28" i="11"/>
  <c r="S26" i="11"/>
  <c r="U26" i="11" s="1"/>
  <c r="V26" i="11" s="1"/>
  <c r="K26" i="11"/>
  <c r="H26" i="11"/>
  <c r="J26" i="11" s="1"/>
  <c r="V22" i="11"/>
  <c r="U22" i="11"/>
  <c r="S22" i="11"/>
  <c r="G22" i="11"/>
  <c r="H22" i="11" s="1"/>
  <c r="J22" i="11" s="1"/>
  <c r="K22" i="11" s="1"/>
  <c r="S19" i="11"/>
  <c r="U19" i="11" s="1"/>
  <c r="V19" i="11" s="1"/>
  <c r="K19" i="11"/>
  <c r="J19" i="11"/>
  <c r="H19" i="11"/>
  <c r="G19" i="11"/>
  <c r="S15" i="11"/>
  <c r="U15" i="11" s="1"/>
  <c r="V15" i="11" s="1"/>
  <c r="G15" i="11"/>
  <c r="U12" i="11"/>
  <c r="S12" i="11"/>
  <c r="R12" i="11"/>
  <c r="H12" i="11"/>
  <c r="G12" i="11"/>
  <c r="S5" i="11"/>
  <c r="U5" i="11" s="1"/>
  <c r="V5" i="11" s="1"/>
  <c r="K5" i="11"/>
  <c r="J5" i="11"/>
  <c r="H5" i="11"/>
  <c r="O137" i="9"/>
  <c r="D137" i="9"/>
  <c r="S135" i="9"/>
  <c r="P135" i="9"/>
  <c r="O135" i="9"/>
  <c r="H135" i="9"/>
  <c r="E135" i="9"/>
  <c r="D135" i="9"/>
  <c r="U134" i="9"/>
  <c r="S134" i="9"/>
  <c r="P134" i="9"/>
  <c r="O134" i="9"/>
  <c r="J134" i="9"/>
  <c r="H134" i="9"/>
  <c r="E134" i="9"/>
  <c r="D134" i="9"/>
  <c r="Q133" i="9"/>
  <c r="F133" i="9"/>
  <c r="Q132" i="9"/>
  <c r="F132" i="9"/>
  <c r="Q131" i="9"/>
  <c r="R126" i="9" s="1"/>
  <c r="F131" i="9"/>
  <c r="Q130" i="9"/>
  <c r="F130" i="9"/>
  <c r="Q129" i="9"/>
  <c r="F129" i="9"/>
  <c r="Q128" i="9"/>
  <c r="F128" i="9"/>
  <c r="Q127" i="9"/>
  <c r="F127" i="9"/>
  <c r="Q126" i="9"/>
  <c r="F126" i="9"/>
  <c r="S125" i="9"/>
  <c r="P125" i="9"/>
  <c r="O125" i="9"/>
  <c r="H125" i="9"/>
  <c r="E125" i="9"/>
  <c r="D125" i="9"/>
  <c r="U124" i="9"/>
  <c r="S124" i="9"/>
  <c r="Q124" i="9"/>
  <c r="P124" i="9"/>
  <c r="O124" i="9"/>
  <c r="J124" i="9"/>
  <c r="H124" i="9"/>
  <c r="E124" i="9"/>
  <c r="D124" i="9"/>
  <c r="Q123" i="9"/>
  <c r="F123" i="9"/>
  <c r="Q122" i="9"/>
  <c r="F122" i="9"/>
  <c r="Q121" i="9"/>
  <c r="F121" i="9"/>
  <c r="Q120" i="9"/>
  <c r="F120" i="9"/>
  <c r="Q119" i="9"/>
  <c r="F119" i="9"/>
  <c r="Q118" i="9"/>
  <c r="F118" i="9"/>
  <c r="Q117" i="9"/>
  <c r="R116" i="9" s="1"/>
  <c r="T116" i="9" s="1"/>
  <c r="F117" i="9"/>
  <c r="F116" i="9"/>
  <c r="S115" i="9"/>
  <c r="P115" i="9"/>
  <c r="P137" i="9" s="1"/>
  <c r="O115" i="9"/>
  <c r="H115" i="9"/>
  <c r="H137" i="9" s="1"/>
  <c r="E115" i="9"/>
  <c r="E137" i="9" s="1"/>
  <c r="D115" i="9"/>
  <c r="U114" i="9"/>
  <c r="S114" i="9"/>
  <c r="P114" i="9"/>
  <c r="O114" i="9"/>
  <c r="J114" i="9"/>
  <c r="H114" i="9"/>
  <c r="G114" i="9"/>
  <c r="E114" i="9"/>
  <c r="D114" i="9"/>
  <c r="Q111" i="9"/>
  <c r="F111" i="9"/>
  <c r="Q110" i="9"/>
  <c r="F110" i="9"/>
  <c r="Q109" i="9"/>
  <c r="F109" i="9"/>
  <c r="G106" i="9" s="1"/>
  <c r="Q108" i="9"/>
  <c r="F108" i="9"/>
  <c r="Q107" i="9"/>
  <c r="F107" i="9"/>
  <c r="Q106" i="9"/>
  <c r="F106" i="9"/>
  <c r="S104" i="9"/>
  <c r="E104" i="9"/>
  <c r="S102" i="9"/>
  <c r="P102" i="9"/>
  <c r="O102" i="9"/>
  <c r="H102" i="9"/>
  <c r="H104" i="9" s="1"/>
  <c r="F102" i="9"/>
  <c r="E102" i="9"/>
  <c r="D102" i="9"/>
  <c r="U101" i="9"/>
  <c r="S101" i="9"/>
  <c r="P101" i="9"/>
  <c r="O101" i="9"/>
  <c r="J101" i="9"/>
  <c r="H101" i="9"/>
  <c r="E101" i="9"/>
  <c r="D101" i="9"/>
  <c r="Q99" i="9"/>
  <c r="F99" i="9"/>
  <c r="Q98" i="9"/>
  <c r="F98" i="9"/>
  <c r="Q97" i="9"/>
  <c r="F97" i="9"/>
  <c r="Q96" i="9"/>
  <c r="R92" i="9" s="1"/>
  <c r="F96" i="9"/>
  <c r="Q95" i="9"/>
  <c r="F95" i="9"/>
  <c r="Q94" i="9"/>
  <c r="F94" i="9"/>
  <c r="Q93" i="9"/>
  <c r="F93" i="9"/>
  <c r="F92" i="9"/>
  <c r="S91" i="9"/>
  <c r="P91" i="9"/>
  <c r="O91" i="9"/>
  <c r="O104" i="9" s="1"/>
  <c r="H91" i="9"/>
  <c r="E91" i="9"/>
  <c r="D91" i="9"/>
  <c r="D104" i="9" s="1"/>
  <c r="U90" i="9"/>
  <c r="S90" i="9"/>
  <c r="P90" i="9"/>
  <c r="O90" i="9"/>
  <c r="J90" i="9"/>
  <c r="H90" i="9"/>
  <c r="E90" i="9"/>
  <c r="D90" i="9"/>
  <c r="Q89" i="9"/>
  <c r="F89" i="9"/>
  <c r="Q88" i="9"/>
  <c r="F88" i="9"/>
  <c r="Q87" i="9"/>
  <c r="F87" i="9"/>
  <c r="Q86" i="9"/>
  <c r="F86" i="9"/>
  <c r="F84" i="9"/>
  <c r="Q83" i="9"/>
  <c r="F83" i="9"/>
  <c r="Q82" i="9"/>
  <c r="F82" i="9"/>
  <c r="Q81" i="9"/>
  <c r="F81" i="9"/>
  <c r="S79" i="9"/>
  <c r="O79" i="9"/>
  <c r="S77" i="9"/>
  <c r="P77" i="9"/>
  <c r="O77" i="9"/>
  <c r="H77" i="9"/>
  <c r="E77" i="9"/>
  <c r="D77" i="9"/>
  <c r="U76" i="9"/>
  <c r="S76" i="9"/>
  <c r="P76" i="9"/>
  <c r="O76" i="9"/>
  <c r="J76" i="9"/>
  <c r="H76" i="9"/>
  <c r="E76" i="9"/>
  <c r="D76" i="9"/>
  <c r="Q75" i="9"/>
  <c r="F75" i="9"/>
  <c r="Q74" i="9"/>
  <c r="F74" i="9"/>
  <c r="F77" i="9" s="1"/>
  <c r="Q73" i="9"/>
  <c r="F73" i="9"/>
  <c r="Q72" i="9"/>
  <c r="F72" i="9"/>
  <c r="Q71" i="9"/>
  <c r="F71" i="9"/>
  <c r="Q69" i="9"/>
  <c r="Q77" i="9" s="1"/>
  <c r="F69" i="9"/>
  <c r="F68" i="9"/>
  <c r="Q67" i="9"/>
  <c r="F67" i="9"/>
  <c r="S66" i="9"/>
  <c r="P66" i="9"/>
  <c r="O66" i="9"/>
  <c r="H66" i="9"/>
  <c r="E66" i="9"/>
  <c r="D66" i="9"/>
  <c r="U65" i="9"/>
  <c r="S65" i="9"/>
  <c r="P65" i="9"/>
  <c r="O65" i="9"/>
  <c r="J65" i="9"/>
  <c r="H65" i="9"/>
  <c r="E65" i="9"/>
  <c r="D65" i="9"/>
  <c r="Q64" i="9"/>
  <c r="F64" i="9"/>
  <c r="Q63" i="9"/>
  <c r="F63" i="9"/>
  <c r="Q62" i="9"/>
  <c r="Q65" i="9" s="1"/>
  <c r="F62" i="9"/>
  <c r="Q61" i="9"/>
  <c r="F61" i="9"/>
  <c r="Q60" i="9"/>
  <c r="F60" i="9"/>
  <c r="Q59" i="9"/>
  <c r="F59" i="9"/>
  <c r="Q57" i="9"/>
  <c r="F57" i="9"/>
  <c r="F56" i="9"/>
  <c r="S54" i="9"/>
  <c r="P54" i="9"/>
  <c r="O54" i="9"/>
  <c r="H54" i="9"/>
  <c r="H79" i="9" s="1"/>
  <c r="E54" i="9"/>
  <c r="D54" i="9"/>
  <c r="D79" i="9" s="1"/>
  <c r="U53" i="9"/>
  <c r="S53" i="9"/>
  <c r="P53" i="9"/>
  <c r="O53" i="9"/>
  <c r="J53" i="9"/>
  <c r="H53" i="9"/>
  <c r="E53" i="9"/>
  <c r="D53" i="9"/>
  <c r="U51" i="9"/>
  <c r="R51" i="9"/>
  <c r="T51" i="9" s="1"/>
  <c r="F51" i="9"/>
  <c r="G51" i="9" s="1"/>
  <c r="I51" i="9" s="1"/>
  <c r="J51" i="9" s="1"/>
  <c r="Q49" i="9"/>
  <c r="F49" i="9"/>
  <c r="Q48" i="9"/>
  <c r="F48" i="9"/>
  <c r="Q47" i="9"/>
  <c r="F47" i="9"/>
  <c r="Q46" i="9"/>
  <c r="F46" i="9"/>
  <c r="Q45" i="9"/>
  <c r="F45" i="9"/>
  <c r="Q44" i="9"/>
  <c r="F44" i="9"/>
  <c r="F43" i="9"/>
  <c r="E41" i="9"/>
  <c r="S39" i="9"/>
  <c r="P39" i="9"/>
  <c r="O39" i="9"/>
  <c r="H39" i="9"/>
  <c r="E39" i="9"/>
  <c r="D39" i="9"/>
  <c r="U38" i="9"/>
  <c r="S38" i="9"/>
  <c r="P38" i="9"/>
  <c r="O38" i="9"/>
  <c r="J38" i="9"/>
  <c r="H38" i="9"/>
  <c r="E38" i="9"/>
  <c r="D38" i="9"/>
  <c r="Q36" i="9"/>
  <c r="F36" i="9"/>
  <c r="Q35" i="9"/>
  <c r="F35" i="9"/>
  <c r="Q34" i="9"/>
  <c r="R30" i="9" s="1"/>
  <c r="F34" i="9"/>
  <c r="Q33" i="9"/>
  <c r="F33" i="9"/>
  <c r="Q32" i="9"/>
  <c r="F32" i="9"/>
  <c r="Q31" i="9"/>
  <c r="F31" i="9"/>
  <c r="F30" i="9"/>
  <c r="S29" i="9"/>
  <c r="P29" i="9"/>
  <c r="O29" i="9"/>
  <c r="H29" i="9"/>
  <c r="E29" i="9"/>
  <c r="D29" i="9"/>
  <c r="U28" i="9"/>
  <c r="S28" i="9"/>
  <c r="P28" i="9"/>
  <c r="O28" i="9"/>
  <c r="J28" i="9"/>
  <c r="H28" i="9"/>
  <c r="E28" i="9"/>
  <c r="D28" i="9"/>
  <c r="Q25" i="9"/>
  <c r="F25" i="9"/>
  <c r="Q24" i="9"/>
  <c r="F24" i="9"/>
  <c r="Q23" i="9"/>
  <c r="F23" i="9"/>
  <c r="Q22" i="9"/>
  <c r="F22" i="9"/>
  <c r="Q21" i="9"/>
  <c r="F21" i="9"/>
  <c r="F28" i="9" s="1"/>
  <c r="Q20" i="9"/>
  <c r="F20" i="9"/>
  <c r="F19" i="9"/>
  <c r="R17" i="9"/>
  <c r="F17" i="9"/>
  <c r="G17" i="9" s="1"/>
  <c r="S16" i="9"/>
  <c r="S41" i="9" s="1"/>
  <c r="P16" i="9"/>
  <c r="P41" i="9" s="1"/>
  <c r="O16" i="9"/>
  <c r="O41" i="9" s="1"/>
  <c r="H16" i="9"/>
  <c r="H41" i="9" s="1"/>
  <c r="E16" i="9"/>
  <c r="D16" i="9"/>
  <c r="U15" i="9"/>
  <c r="S15" i="9"/>
  <c r="P15" i="9"/>
  <c r="O15" i="9"/>
  <c r="J15" i="9"/>
  <c r="H15" i="9"/>
  <c r="E15" i="9"/>
  <c r="D15" i="9"/>
  <c r="Q12" i="9"/>
  <c r="F12" i="9"/>
  <c r="Q11" i="9"/>
  <c r="F11" i="9"/>
  <c r="Q10" i="9"/>
  <c r="F10" i="9"/>
  <c r="Q9" i="9"/>
  <c r="F9" i="9"/>
  <c r="Q8" i="9"/>
  <c r="F8" i="9"/>
  <c r="Q7" i="9"/>
  <c r="F7" i="9"/>
  <c r="Q6" i="9"/>
  <c r="F6" i="9"/>
  <c r="Q5" i="9"/>
  <c r="Q16" i="9" s="1"/>
  <c r="F5" i="9"/>
  <c r="Q4" i="9"/>
  <c r="F4" i="9"/>
  <c r="F3" i="9"/>
  <c r="O317" i="8"/>
  <c r="H317" i="8"/>
  <c r="T315" i="8"/>
  <c r="S315" i="8"/>
  <c r="U315" i="8" s="1"/>
  <c r="R315" i="8"/>
  <c r="P315" i="8"/>
  <c r="O315" i="8"/>
  <c r="J315" i="8"/>
  <c r="I315" i="8"/>
  <c r="H315" i="8"/>
  <c r="G315" i="8"/>
  <c r="E315" i="8"/>
  <c r="D315" i="8"/>
  <c r="U314" i="8"/>
  <c r="T314" i="8"/>
  <c r="S314" i="8"/>
  <c r="R314" i="8"/>
  <c r="Q314" i="8"/>
  <c r="P314" i="8"/>
  <c r="O314" i="8"/>
  <c r="J314" i="8"/>
  <c r="I314" i="8"/>
  <c r="H314" i="8"/>
  <c r="G314" i="8"/>
  <c r="E314" i="8"/>
  <c r="D314" i="8"/>
  <c r="Q308" i="8"/>
  <c r="F308" i="8"/>
  <c r="Q307" i="8"/>
  <c r="F307" i="8"/>
  <c r="Q306" i="8"/>
  <c r="F306" i="8"/>
  <c r="Q305" i="8"/>
  <c r="F305" i="8"/>
  <c r="Q304" i="8"/>
  <c r="F304" i="8"/>
  <c r="Q303" i="8"/>
  <c r="F303" i="8"/>
  <c r="Q302" i="8"/>
  <c r="F302" i="8"/>
  <c r="Q301" i="8"/>
  <c r="F301" i="8"/>
  <c r="Q300" i="8"/>
  <c r="F300" i="8"/>
  <c r="Q299" i="8"/>
  <c r="F299" i="8"/>
  <c r="F298" i="8"/>
  <c r="S297" i="8"/>
  <c r="S317" i="8" s="1"/>
  <c r="P297" i="8"/>
  <c r="P317" i="8" s="1"/>
  <c r="O297" i="8"/>
  <c r="H297" i="8"/>
  <c r="E297" i="8"/>
  <c r="E317" i="8" s="1"/>
  <c r="D297" i="8"/>
  <c r="U296" i="8"/>
  <c r="S296" i="8"/>
  <c r="P296" i="8"/>
  <c r="O296" i="8"/>
  <c r="J296" i="8"/>
  <c r="H296" i="8"/>
  <c r="E296" i="8"/>
  <c r="D296" i="8"/>
  <c r="Q292" i="8"/>
  <c r="F292" i="8"/>
  <c r="Q291" i="8"/>
  <c r="F291" i="8"/>
  <c r="Q290" i="8"/>
  <c r="F290" i="8"/>
  <c r="Q289" i="8"/>
  <c r="F289" i="8"/>
  <c r="Q288" i="8"/>
  <c r="F288" i="8"/>
  <c r="Q287" i="8"/>
  <c r="F287" i="8"/>
  <c r="Q286" i="8"/>
  <c r="F286" i="8"/>
  <c r="Q285" i="8"/>
  <c r="F285" i="8"/>
  <c r="Q284" i="8"/>
  <c r="F284" i="8"/>
  <c r="Q283" i="8"/>
  <c r="F283" i="8"/>
  <c r="Q282" i="8"/>
  <c r="F282" i="8"/>
  <c r="F281" i="8"/>
  <c r="S280" i="8"/>
  <c r="P280" i="8"/>
  <c r="O280" i="8"/>
  <c r="H280" i="8"/>
  <c r="E280" i="8"/>
  <c r="D280" i="8"/>
  <c r="D317" i="8" s="1"/>
  <c r="U279" i="8"/>
  <c r="S279" i="8"/>
  <c r="Q279" i="8"/>
  <c r="P279" i="8"/>
  <c r="O279" i="8"/>
  <c r="J279" i="8"/>
  <c r="H279" i="8"/>
  <c r="E279" i="8"/>
  <c r="D279" i="8"/>
  <c r="Q273" i="8"/>
  <c r="F273" i="8"/>
  <c r="Q272" i="8"/>
  <c r="F272" i="8"/>
  <c r="Q271" i="8"/>
  <c r="F271" i="8"/>
  <c r="Q270" i="8"/>
  <c r="F270" i="8"/>
  <c r="Q269" i="8"/>
  <c r="F269" i="8"/>
  <c r="Q268" i="8"/>
  <c r="F268" i="8"/>
  <c r="Q267" i="8"/>
  <c r="R264" i="8" s="1"/>
  <c r="F267" i="8"/>
  <c r="Q266" i="8"/>
  <c r="F266" i="8"/>
  <c r="Q265" i="8"/>
  <c r="F265" i="8"/>
  <c r="O262" i="8"/>
  <c r="E262" i="8"/>
  <c r="S260" i="8"/>
  <c r="Q260" i="8"/>
  <c r="P260" i="8"/>
  <c r="O260" i="8"/>
  <c r="H260" i="8"/>
  <c r="E260" i="8"/>
  <c r="D260" i="8"/>
  <c r="S259" i="8"/>
  <c r="P259" i="8"/>
  <c r="O259" i="8"/>
  <c r="H259" i="8"/>
  <c r="E259" i="8"/>
  <c r="D259" i="8"/>
  <c r="Q255" i="8"/>
  <c r="F255" i="8"/>
  <c r="Q254" i="8"/>
  <c r="F254" i="8"/>
  <c r="Q253" i="8"/>
  <c r="F253" i="8"/>
  <c r="Q252" i="8"/>
  <c r="F252" i="8"/>
  <c r="Q251" i="8"/>
  <c r="F251" i="8"/>
  <c r="Q250" i="8"/>
  <c r="F250" i="8"/>
  <c r="Q249" i="8"/>
  <c r="F249" i="8"/>
  <c r="Q248" i="8"/>
  <c r="F248" i="8"/>
  <c r="Q247" i="8"/>
  <c r="F247" i="8"/>
  <c r="Q246" i="8"/>
  <c r="F246" i="8"/>
  <c r="S244" i="8"/>
  <c r="Q244" i="8"/>
  <c r="P244" i="8"/>
  <c r="P262" i="8" s="1"/>
  <c r="O244" i="8"/>
  <c r="H244" i="8"/>
  <c r="E244" i="8"/>
  <c r="D244" i="8"/>
  <c r="S243" i="8"/>
  <c r="P243" i="8"/>
  <c r="O243" i="8"/>
  <c r="H243" i="8"/>
  <c r="E243" i="8"/>
  <c r="D243" i="8"/>
  <c r="Q237" i="8"/>
  <c r="F237" i="8"/>
  <c r="Q236" i="8"/>
  <c r="F236" i="8"/>
  <c r="Q235" i="8"/>
  <c r="F235" i="8"/>
  <c r="Q234" i="8"/>
  <c r="F234" i="8"/>
  <c r="Q233" i="8"/>
  <c r="F233" i="8"/>
  <c r="Q232" i="8"/>
  <c r="F232" i="8"/>
  <c r="Q231" i="8"/>
  <c r="F231" i="8"/>
  <c r="Q230" i="8"/>
  <c r="F230" i="8"/>
  <c r="Q229" i="8"/>
  <c r="F229" i="8"/>
  <c r="G226" i="8" s="1"/>
  <c r="Q228" i="8"/>
  <c r="F228" i="8"/>
  <c r="F226" i="8"/>
  <c r="S225" i="8"/>
  <c r="P225" i="8"/>
  <c r="O225" i="8"/>
  <c r="H225" i="8"/>
  <c r="E225" i="8"/>
  <c r="D225" i="8"/>
  <c r="D262" i="8" s="1"/>
  <c r="S224" i="8"/>
  <c r="P224" i="8"/>
  <c r="O224" i="8"/>
  <c r="H224" i="8"/>
  <c r="E224" i="8"/>
  <c r="D224" i="8"/>
  <c r="Q219" i="8"/>
  <c r="F219" i="8"/>
  <c r="Q218" i="8"/>
  <c r="F218" i="8"/>
  <c r="Q217" i="8"/>
  <c r="F217" i="8"/>
  <c r="Q216" i="8"/>
  <c r="F216" i="8"/>
  <c r="Q215" i="8"/>
  <c r="F215" i="8"/>
  <c r="Q214" i="8"/>
  <c r="F214" i="8"/>
  <c r="Q213" i="8"/>
  <c r="F213" i="8"/>
  <c r="Q212" i="8"/>
  <c r="F212" i="8"/>
  <c r="F225" i="8" s="1"/>
  <c r="Q211" i="8"/>
  <c r="F211" i="8"/>
  <c r="F224" i="8" s="1"/>
  <c r="G209" i="8"/>
  <c r="F209" i="8"/>
  <c r="P207" i="8"/>
  <c r="O207" i="8"/>
  <c r="S205" i="8"/>
  <c r="P205" i="8"/>
  <c r="O205" i="8"/>
  <c r="H205" i="8"/>
  <c r="H207" i="8" s="1"/>
  <c r="E205" i="8"/>
  <c r="D205" i="8"/>
  <c r="U204" i="8"/>
  <c r="S204" i="8"/>
  <c r="P204" i="8"/>
  <c r="O204" i="8"/>
  <c r="J204" i="8"/>
  <c r="H204" i="8"/>
  <c r="E204" i="8"/>
  <c r="D204" i="8"/>
  <c r="Q199" i="8"/>
  <c r="F199" i="8"/>
  <c r="Q198" i="8"/>
  <c r="F198" i="8"/>
  <c r="Q197" i="8"/>
  <c r="F197" i="8"/>
  <c r="Q196" i="8"/>
  <c r="F196" i="8"/>
  <c r="F204" i="8" s="1"/>
  <c r="Q195" i="8"/>
  <c r="F195" i="8"/>
  <c r="Q194" i="8"/>
  <c r="F194" i="8"/>
  <c r="Q193" i="8"/>
  <c r="F193" i="8"/>
  <c r="Q192" i="8"/>
  <c r="F192" i="8"/>
  <c r="F190" i="8"/>
  <c r="S189" i="8"/>
  <c r="S207" i="8" s="1"/>
  <c r="P189" i="8"/>
  <c r="O189" i="8"/>
  <c r="H189" i="8"/>
  <c r="E189" i="8"/>
  <c r="E207" i="8" s="1"/>
  <c r="D189" i="8"/>
  <c r="D207" i="8" s="1"/>
  <c r="U188" i="8"/>
  <c r="S188" i="8"/>
  <c r="P188" i="8"/>
  <c r="O188" i="8"/>
  <c r="J188" i="8"/>
  <c r="H188" i="8"/>
  <c r="E188" i="8"/>
  <c r="D188" i="8"/>
  <c r="Q181" i="8"/>
  <c r="F181" i="8"/>
  <c r="Q180" i="8"/>
  <c r="F180" i="8"/>
  <c r="Q179" i="8"/>
  <c r="F179" i="8"/>
  <c r="Q178" i="8"/>
  <c r="F178" i="8"/>
  <c r="Q177" i="8"/>
  <c r="F177" i="8"/>
  <c r="Q176" i="8"/>
  <c r="F176" i="8"/>
  <c r="Q175" i="8"/>
  <c r="F175" i="8"/>
  <c r="Q174" i="8"/>
  <c r="F174" i="8"/>
  <c r="F173" i="8"/>
  <c r="S171" i="8"/>
  <c r="O171" i="8"/>
  <c r="E171" i="8"/>
  <c r="S169" i="8"/>
  <c r="R169" i="8"/>
  <c r="Q169" i="8"/>
  <c r="P169" i="8"/>
  <c r="O169" i="8"/>
  <c r="H169" i="8"/>
  <c r="E169" i="8"/>
  <c r="D169" i="8"/>
  <c r="U168" i="8"/>
  <c r="S168" i="8"/>
  <c r="R168" i="8"/>
  <c r="P168" i="8"/>
  <c r="O168" i="8"/>
  <c r="J168" i="8"/>
  <c r="H168" i="8"/>
  <c r="E168" i="8"/>
  <c r="D168" i="8"/>
  <c r="Q162" i="8"/>
  <c r="F162" i="8"/>
  <c r="Q161" i="8"/>
  <c r="F161" i="8"/>
  <c r="Q160" i="8"/>
  <c r="F160" i="8"/>
  <c r="Q159" i="8"/>
  <c r="F159" i="8"/>
  <c r="Q158" i="8"/>
  <c r="F158" i="8"/>
  <c r="F168" i="8" s="1"/>
  <c r="Q157" i="8"/>
  <c r="F157" i="8"/>
  <c r="Q156" i="8"/>
  <c r="F156" i="8"/>
  <c r="Q155" i="8"/>
  <c r="F155" i="8"/>
  <c r="F154" i="8"/>
  <c r="R153" i="8"/>
  <c r="T153" i="8" s="1"/>
  <c r="F153" i="8"/>
  <c r="S152" i="8"/>
  <c r="P152" i="8"/>
  <c r="O152" i="8"/>
  <c r="H152" i="8"/>
  <c r="E152" i="8"/>
  <c r="D152" i="8"/>
  <c r="U151" i="8"/>
  <c r="S151" i="8"/>
  <c r="P151" i="8"/>
  <c r="O151" i="8"/>
  <c r="J151" i="8"/>
  <c r="H151" i="8"/>
  <c r="E151" i="8"/>
  <c r="D151" i="8"/>
  <c r="Q145" i="8"/>
  <c r="F145" i="8"/>
  <c r="Q144" i="8"/>
  <c r="F144" i="8"/>
  <c r="Q143" i="8"/>
  <c r="F143" i="8"/>
  <c r="Q142" i="8"/>
  <c r="F142" i="8"/>
  <c r="Q141" i="8"/>
  <c r="F141" i="8"/>
  <c r="F151" i="8" s="1"/>
  <c r="Q140" i="8"/>
  <c r="F140" i="8"/>
  <c r="F139" i="8"/>
  <c r="F138" i="8"/>
  <c r="S137" i="8"/>
  <c r="P137" i="8"/>
  <c r="O137" i="8"/>
  <c r="H137" i="8"/>
  <c r="H171" i="8" s="1"/>
  <c r="E137" i="8"/>
  <c r="D137" i="8"/>
  <c r="D171" i="8" s="1"/>
  <c r="U136" i="8"/>
  <c r="S136" i="8"/>
  <c r="P136" i="8"/>
  <c r="O136" i="8"/>
  <c r="J136" i="8"/>
  <c r="H136" i="8"/>
  <c r="E136" i="8"/>
  <c r="D136" i="8"/>
  <c r="Q131" i="8"/>
  <c r="F131" i="8"/>
  <c r="Q130" i="8"/>
  <c r="F130" i="8"/>
  <c r="Q129" i="8"/>
  <c r="F129" i="8"/>
  <c r="Q128" i="8"/>
  <c r="F128" i="8"/>
  <c r="Q127" i="8"/>
  <c r="Q137" i="8" s="1"/>
  <c r="F127" i="8"/>
  <c r="Q126" i="8"/>
  <c r="F126" i="8"/>
  <c r="Q125" i="8"/>
  <c r="F125" i="8"/>
  <c r="Q124" i="8"/>
  <c r="F124" i="8"/>
  <c r="F137" i="8" s="1"/>
  <c r="Q123" i="8"/>
  <c r="F123" i="8"/>
  <c r="I121" i="8"/>
  <c r="G121" i="8"/>
  <c r="F121" i="8"/>
  <c r="S117" i="8"/>
  <c r="P117" i="8"/>
  <c r="O117" i="8"/>
  <c r="H117" i="8"/>
  <c r="E117" i="8"/>
  <c r="D117" i="8"/>
  <c r="U116" i="8"/>
  <c r="S116" i="8"/>
  <c r="P116" i="8"/>
  <c r="O116" i="8"/>
  <c r="J116" i="8"/>
  <c r="H116" i="8"/>
  <c r="E116" i="8"/>
  <c r="D116" i="8"/>
  <c r="Q109" i="8"/>
  <c r="R102" i="8" s="1"/>
  <c r="F109" i="8"/>
  <c r="Q108" i="8"/>
  <c r="F108" i="8"/>
  <c r="Q107" i="8"/>
  <c r="F107" i="8"/>
  <c r="Q106" i="8"/>
  <c r="F106" i="8"/>
  <c r="F116" i="8" s="1"/>
  <c r="Q105" i="8"/>
  <c r="F105" i="8"/>
  <c r="F102" i="8"/>
  <c r="S101" i="8"/>
  <c r="P101" i="8"/>
  <c r="O101" i="8"/>
  <c r="H101" i="8"/>
  <c r="H119" i="8" s="1"/>
  <c r="F101" i="8"/>
  <c r="E101" i="8"/>
  <c r="E119" i="8" s="1"/>
  <c r="D101" i="8"/>
  <c r="U100" i="8"/>
  <c r="S100" i="8"/>
  <c r="P100" i="8"/>
  <c r="O100" i="8"/>
  <c r="J100" i="8"/>
  <c r="H100" i="8"/>
  <c r="E100" i="8"/>
  <c r="D100" i="8"/>
  <c r="Q93" i="8"/>
  <c r="F93" i="8"/>
  <c r="Q92" i="8"/>
  <c r="F92" i="8"/>
  <c r="Q91" i="8"/>
  <c r="F91" i="8"/>
  <c r="Q90" i="8"/>
  <c r="F90" i="8"/>
  <c r="Q89" i="8"/>
  <c r="F89" i="8"/>
  <c r="Q88" i="8"/>
  <c r="F88" i="8"/>
  <c r="Q87" i="8"/>
  <c r="F87" i="8"/>
  <c r="Q86" i="8"/>
  <c r="F86" i="8"/>
  <c r="Q85" i="8"/>
  <c r="F85" i="8"/>
  <c r="F100" i="8" s="1"/>
  <c r="Q84" i="8"/>
  <c r="F84" i="8"/>
  <c r="F83" i="8"/>
  <c r="S82" i="8"/>
  <c r="S119" i="8" s="1"/>
  <c r="P82" i="8"/>
  <c r="O82" i="8"/>
  <c r="H82" i="8"/>
  <c r="E82" i="8"/>
  <c r="D82" i="8"/>
  <c r="U81" i="8"/>
  <c r="S81" i="8"/>
  <c r="P81" i="8"/>
  <c r="O81" i="8"/>
  <c r="J81" i="8"/>
  <c r="H81" i="8"/>
  <c r="E81" i="8"/>
  <c r="D81" i="8"/>
  <c r="Q75" i="8"/>
  <c r="F75" i="8"/>
  <c r="Q74" i="8"/>
  <c r="F74" i="8"/>
  <c r="Q72" i="8"/>
  <c r="F72" i="8"/>
  <c r="Q71" i="8"/>
  <c r="F71" i="8"/>
  <c r="Q70" i="8"/>
  <c r="F70" i="8"/>
  <c r="Q69" i="8"/>
  <c r="F69" i="8"/>
  <c r="Q68" i="8"/>
  <c r="Q81" i="8" s="1"/>
  <c r="F68" i="8"/>
  <c r="Q67" i="8"/>
  <c r="F67" i="8"/>
  <c r="Q66" i="8"/>
  <c r="F66" i="8"/>
  <c r="Q65" i="8"/>
  <c r="Q82" i="8" s="1"/>
  <c r="F65" i="8"/>
  <c r="F64" i="8"/>
  <c r="S60" i="8"/>
  <c r="P60" i="8"/>
  <c r="P62" i="8" s="1"/>
  <c r="O60" i="8"/>
  <c r="H60" i="8"/>
  <c r="H62" i="8" s="1"/>
  <c r="F60" i="8"/>
  <c r="E60" i="8"/>
  <c r="D60" i="8"/>
  <c r="U59" i="8"/>
  <c r="S59" i="8"/>
  <c r="P59" i="8"/>
  <c r="O59" i="8"/>
  <c r="J59" i="8"/>
  <c r="H59" i="8"/>
  <c r="E59" i="8"/>
  <c r="D59" i="8"/>
  <c r="Q52" i="8"/>
  <c r="F52" i="8"/>
  <c r="Q51" i="8"/>
  <c r="F51" i="8"/>
  <c r="Q50" i="8"/>
  <c r="F50" i="8"/>
  <c r="Q49" i="8"/>
  <c r="F49" i="8"/>
  <c r="Q48" i="8"/>
  <c r="F48" i="8"/>
  <c r="Q47" i="8"/>
  <c r="F47" i="8"/>
  <c r="Q46" i="8"/>
  <c r="F46" i="8"/>
  <c r="Q45" i="8"/>
  <c r="F45" i="8"/>
  <c r="Q44" i="8"/>
  <c r="F44" i="8"/>
  <c r="Q43" i="8"/>
  <c r="F43" i="8"/>
  <c r="Q42" i="8"/>
  <c r="F42" i="8"/>
  <c r="Q41" i="8"/>
  <c r="F41" i="8"/>
  <c r="F40" i="8"/>
  <c r="G40" i="8" s="1"/>
  <c r="I40" i="8" s="1"/>
  <c r="J40" i="8" s="1"/>
  <c r="Q33" i="8"/>
  <c r="F33" i="8"/>
  <c r="Q32" i="8"/>
  <c r="F32" i="8"/>
  <c r="Q31" i="8"/>
  <c r="F31" i="8"/>
  <c r="Q30" i="8"/>
  <c r="F30" i="8"/>
  <c r="Q29" i="8"/>
  <c r="F29" i="8"/>
  <c r="Q28" i="8"/>
  <c r="F28" i="8"/>
  <c r="Q27" i="8"/>
  <c r="F27" i="8"/>
  <c r="Q26" i="8"/>
  <c r="F26" i="8"/>
  <c r="Q25" i="8"/>
  <c r="F25" i="8"/>
  <c r="Q24" i="8"/>
  <c r="F24" i="8"/>
  <c r="Q23" i="8"/>
  <c r="F23" i="8"/>
  <c r="F59" i="8" s="1"/>
  <c r="F22" i="8"/>
  <c r="S21" i="8"/>
  <c r="S62" i="8" s="1"/>
  <c r="P21" i="8"/>
  <c r="O21" i="8"/>
  <c r="H21" i="8"/>
  <c r="E21" i="8"/>
  <c r="E62" i="8" s="1"/>
  <c r="D21" i="8"/>
  <c r="D62" i="8" s="1"/>
  <c r="U20" i="8"/>
  <c r="S20" i="8"/>
  <c r="P20" i="8"/>
  <c r="O20" i="8"/>
  <c r="J20" i="8"/>
  <c r="H20" i="8"/>
  <c r="E20" i="8"/>
  <c r="D20" i="8"/>
  <c r="Q12" i="8"/>
  <c r="F12" i="8"/>
  <c r="Q11" i="8"/>
  <c r="F11" i="8"/>
  <c r="Q10" i="8"/>
  <c r="F10" i="8"/>
  <c r="Q9" i="8"/>
  <c r="F9" i="8"/>
  <c r="Q8" i="8"/>
  <c r="F8" i="8"/>
  <c r="Q7" i="8"/>
  <c r="F7" i="8"/>
  <c r="Q6" i="8"/>
  <c r="F6" i="8"/>
  <c r="Q5" i="8"/>
  <c r="F5" i="8"/>
  <c r="F21" i="8" s="1"/>
  <c r="F62" i="8" s="1"/>
  <c r="F4" i="8"/>
  <c r="F3" i="8"/>
  <c r="S1488" i="7"/>
  <c r="P1488" i="7"/>
  <c r="O1488" i="7"/>
  <c r="H1488" i="7"/>
  <c r="E1488" i="7"/>
  <c r="D1488" i="7"/>
  <c r="S1487" i="7"/>
  <c r="P1487" i="7"/>
  <c r="O1487" i="7"/>
  <c r="H1487" i="7"/>
  <c r="E1487" i="7"/>
  <c r="D1487" i="7"/>
  <c r="F1481" i="7"/>
  <c r="U1480" i="7"/>
  <c r="R1480" i="7"/>
  <c r="T1480" i="7" s="1"/>
  <c r="I1480" i="7"/>
  <c r="J1480" i="7" s="1"/>
  <c r="G1480" i="7"/>
  <c r="Q1479" i="7"/>
  <c r="F1479" i="7"/>
  <c r="Q1478" i="7"/>
  <c r="F1478" i="7"/>
  <c r="Q1477" i="7"/>
  <c r="F1477" i="7"/>
  <c r="Q1476" i="7"/>
  <c r="F1476" i="7"/>
  <c r="Q1475" i="7"/>
  <c r="F1475" i="7"/>
  <c r="Q1474" i="7"/>
  <c r="F1474" i="7"/>
  <c r="Q1473" i="7"/>
  <c r="R1473" i="7" s="1"/>
  <c r="T1473" i="7" s="1"/>
  <c r="U1473" i="7" s="1"/>
  <c r="I1473" i="7"/>
  <c r="J1473" i="7" s="1"/>
  <c r="F1473" i="7"/>
  <c r="G1473" i="7" s="1"/>
  <c r="Q1471" i="7"/>
  <c r="F1471" i="7"/>
  <c r="Q1470" i="7"/>
  <c r="F1470" i="7"/>
  <c r="Q1469" i="7"/>
  <c r="F1469" i="7"/>
  <c r="Q1468" i="7"/>
  <c r="F1468" i="7"/>
  <c r="Q1467" i="7"/>
  <c r="F1467" i="7"/>
  <c r="Q1466" i="7"/>
  <c r="F1466" i="7"/>
  <c r="Q1465" i="7"/>
  <c r="F1465" i="7"/>
  <c r="Q1464" i="7"/>
  <c r="F1464" i="7"/>
  <c r="Q1463" i="7"/>
  <c r="R1462" i="7" s="1"/>
  <c r="T1462" i="7" s="1"/>
  <c r="U1462" i="7" s="1"/>
  <c r="F1463" i="7"/>
  <c r="Q1462" i="7"/>
  <c r="F1462" i="7"/>
  <c r="Q1460" i="7"/>
  <c r="F1460" i="7"/>
  <c r="R1458" i="7"/>
  <c r="T1458" i="7" s="1"/>
  <c r="U1458" i="7" s="1"/>
  <c r="Q1458" i="7"/>
  <c r="F1458" i="7"/>
  <c r="G1458" i="7" s="1"/>
  <c r="I1458" i="7" s="1"/>
  <c r="J1458" i="7" s="1"/>
  <c r="Q1453" i="7"/>
  <c r="F1453" i="7"/>
  <c r="Q1452" i="7"/>
  <c r="F1452" i="7"/>
  <c r="Q1451" i="7"/>
  <c r="F1451" i="7"/>
  <c r="Q1450" i="7"/>
  <c r="F1450" i="7"/>
  <c r="G1450" i="7" s="1"/>
  <c r="I1450" i="7" s="1"/>
  <c r="J1450" i="7" s="1"/>
  <c r="Q1446" i="7"/>
  <c r="F1446" i="7"/>
  <c r="Q1445" i="7"/>
  <c r="F1445" i="7"/>
  <c r="Q1444" i="7"/>
  <c r="F1444" i="7"/>
  <c r="Q1443" i="7"/>
  <c r="F1443" i="7"/>
  <c r="Q1442" i="7"/>
  <c r="F1442" i="7"/>
  <c r="Q1441" i="7"/>
  <c r="F1441" i="7"/>
  <c r="Q1440" i="7"/>
  <c r="F1440" i="7"/>
  <c r="Q1439" i="7"/>
  <c r="F1439" i="7"/>
  <c r="Q1438" i="7"/>
  <c r="F1438" i="7"/>
  <c r="Q1437" i="7"/>
  <c r="F1437" i="7"/>
  <c r="F1434" i="7"/>
  <c r="Q1433" i="7"/>
  <c r="F1433" i="7"/>
  <c r="Q1432" i="7"/>
  <c r="G1432" i="7"/>
  <c r="I1432" i="7" s="1"/>
  <c r="J1432" i="7" s="1"/>
  <c r="F1432" i="7"/>
  <c r="R1430" i="7"/>
  <c r="I1430" i="7"/>
  <c r="J1430" i="7" s="1"/>
  <c r="G1430" i="7"/>
  <c r="T1427" i="7"/>
  <c r="U1427" i="7" s="1"/>
  <c r="R1427" i="7"/>
  <c r="G1427" i="7"/>
  <c r="S1426" i="7"/>
  <c r="P1426" i="7"/>
  <c r="P1490" i="7" s="1"/>
  <c r="O1426" i="7"/>
  <c r="H1426" i="7"/>
  <c r="E1426" i="7"/>
  <c r="D1426" i="7"/>
  <c r="S1425" i="7"/>
  <c r="P1425" i="7"/>
  <c r="O1425" i="7"/>
  <c r="H1425" i="7"/>
  <c r="E1425" i="7"/>
  <c r="D1425" i="7"/>
  <c r="Q1424" i="7"/>
  <c r="F1424" i="7"/>
  <c r="Q1423" i="7"/>
  <c r="F1423" i="7"/>
  <c r="Q1422" i="7"/>
  <c r="F1422" i="7"/>
  <c r="Q1421" i="7"/>
  <c r="F1421" i="7"/>
  <c r="Q1420" i="7"/>
  <c r="F1420" i="7"/>
  <c r="Q1419" i="7"/>
  <c r="F1419" i="7"/>
  <c r="G1417" i="7" s="1"/>
  <c r="I1417" i="7" s="1"/>
  <c r="J1417" i="7" s="1"/>
  <c r="Q1418" i="7"/>
  <c r="F1418" i="7"/>
  <c r="Q1417" i="7"/>
  <c r="F1417" i="7"/>
  <c r="Q1415" i="7"/>
  <c r="R1415" i="7" s="1"/>
  <c r="T1415" i="7" s="1"/>
  <c r="U1415" i="7" s="1"/>
  <c r="I1415" i="7"/>
  <c r="J1415" i="7" s="1"/>
  <c r="G1415" i="7"/>
  <c r="F1415" i="7"/>
  <c r="Q1410" i="7"/>
  <c r="F1410" i="7"/>
  <c r="Q1409" i="7"/>
  <c r="F1409" i="7"/>
  <c r="Q1408" i="7"/>
  <c r="F1408" i="7"/>
  <c r="Q1407" i="7"/>
  <c r="F1407" i="7"/>
  <c r="G1407" i="7" s="1"/>
  <c r="I1407" i="7" s="1"/>
  <c r="J1407" i="7" s="1"/>
  <c r="U1405" i="7"/>
  <c r="T1405" i="7"/>
  <c r="R1405" i="7"/>
  <c r="G1405" i="7"/>
  <c r="I1405" i="7" s="1"/>
  <c r="J1405" i="7" s="1"/>
  <c r="Q1404" i="7"/>
  <c r="F1404" i="7"/>
  <c r="Q1403" i="7"/>
  <c r="F1403" i="7"/>
  <c r="Q1402" i="7"/>
  <c r="R1399" i="7" s="1"/>
  <c r="T1399" i="7" s="1"/>
  <c r="U1399" i="7" s="1"/>
  <c r="F1402" i="7"/>
  <c r="G1399" i="7" s="1"/>
  <c r="I1399" i="7" s="1"/>
  <c r="J1399" i="7" s="1"/>
  <c r="Q1401" i="7"/>
  <c r="F1401" i="7"/>
  <c r="F1400" i="7"/>
  <c r="F1399" i="7"/>
  <c r="Q1397" i="7"/>
  <c r="F1397" i="7"/>
  <c r="Q1396" i="7"/>
  <c r="R1394" i="7" s="1"/>
  <c r="T1394" i="7" s="1"/>
  <c r="U1394" i="7" s="1"/>
  <c r="F1396" i="7"/>
  <c r="F1395" i="7"/>
  <c r="F1394" i="7"/>
  <c r="Q1392" i="7"/>
  <c r="F1392" i="7"/>
  <c r="Q1391" i="7"/>
  <c r="R1389" i="7" s="1"/>
  <c r="T1389" i="7" s="1"/>
  <c r="U1389" i="7" s="1"/>
  <c r="F1391" i="7"/>
  <c r="F1390" i="7"/>
  <c r="F1389" i="7"/>
  <c r="R1387" i="7"/>
  <c r="T1387" i="7" s="1"/>
  <c r="U1387" i="7" s="1"/>
  <c r="I1387" i="7"/>
  <c r="J1387" i="7" s="1"/>
  <c r="G1387" i="7"/>
  <c r="F1387" i="7"/>
  <c r="R1384" i="7"/>
  <c r="T1384" i="7" s="1"/>
  <c r="U1384" i="7" s="1"/>
  <c r="G1384" i="7"/>
  <c r="I1384" i="7" s="1"/>
  <c r="J1384" i="7" s="1"/>
  <c r="Q1383" i="7"/>
  <c r="F1383" i="7"/>
  <c r="Q1382" i="7"/>
  <c r="F1382" i="7"/>
  <c r="Q1381" i="7"/>
  <c r="F1381" i="7"/>
  <c r="Q1380" i="7"/>
  <c r="F1380" i="7"/>
  <c r="Q1379" i="7"/>
  <c r="F1379" i="7"/>
  <c r="F1378" i="7"/>
  <c r="Q1377" i="7"/>
  <c r="F1377" i="7"/>
  <c r="Q1376" i="7"/>
  <c r="F1376" i="7"/>
  <c r="U1369" i="7"/>
  <c r="T1369" i="7"/>
  <c r="R1369" i="7"/>
  <c r="J1369" i="7"/>
  <c r="I1369" i="7"/>
  <c r="G1369" i="7"/>
  <c r="R1364" i="7"/>
  <c r="T1364" i="7" s="1"/>
  <c r="U1364" i="7" s="1"/>
  <c r="J1364" i="7"/>
  <c r="I1364" i="7"/>
  <c r="G1364" i="7"/>
  <c r="F1364" i="7"/>
  <c r="Q1362" i="7"/>
  <c r="R1362" i="7" s="1"/>
  <c r="T1362" i="7" s="1"/>
  <c r="U1362" i="7" s="1"/>
  <c r="F1362" i="7"/>
  <c r="G1362" i="7" s="1"/>
  <c r="I1362" i="7" s="1"/>
  <c r="J1362" i="7" s="1"/>
  <c r="Q1360" i="7"/>
  <c r="R1360" i="7" s="1"/>
  <c r="T1360" i="7" s="1"/>
  <c r="U1360" i="7" s="1"/>
  <c r="J1360" i="7"/>
  <c r="F1360" i="7"/>
  <c r="G1360" i="7" s="1"/>
  <c r="I1360" i="7" s="1"/>
  <c r="R1358" i="7"/>
  <c r="T1358" i="7" s="1"/>
  <c r="U1358" i="7" s="1"/>
  <c r="Q1358" i="7"/>
  <c r="G1358" i="7"/>
  <c r="I1358" i="7" s="1"/>
  <c r="J1358" i="7" s="1"/>
  <c r="F1358" i="7"/>
  <c r="Q1356" i="7"/>
  <c r="F1356" i="7"/>
  <c r="Q1355" i="7"/>
  <c r="R1354" i="7" s="1"/>
  <c r="T1354" i="7" s="1"/>
  <c r="U1354" i="7" s="1"/>
  <c r="F1355" i="7"/>
  <c r="Q1354" i="7"/>
  <c r="F1354" i="7"/>
  <c r="G1354" i="7" s="1"/>
  <c r="I1354" i="7" s="1"/>
  <c r="J1354" i="7" s="1"/>
  <c r="Q1353" i="7"/>
  <c r="F1353" i="7"/>
  <c r="Q1352" i="7"/>
  <c r="F1352" i="7"/>
  <c r="Q1351" i="7"/>
  <c r="F1351" i="7"/>
  <c r="Q1350" i="7"/>
  <c r="F1350" i="7"/>
  <c r="Q1349" i="7"/>
  <c r="F1349" i="7"/>
  <c r="Q1348" i="7"/>
  <c r="F1348" i="7"/>
  <c r="Q1347" i="7"/>
  <c r="F1347" i="7"/>
  <c r="F1346" i="7"/>
  <c r="Q1343" i="7"/>
  <c r="F1343" i="7"/>
  <c r="Q1342" i="7"/>
  <c r="F1342" i="7"/>
  <c r="Q1341" i="7"/>
  <c r="F1341" i="7"/>
  <c r="G1337" i="7" s="1"/>
  <c r="I1337" i="7" s="1"/>
  <c r="J1337" i="7" s="1"/>
  <c r="Q1340" i="7"/>
  <c r="R1337" i="7" s="1"/>
  <c r="T1337" i="7" s="1"/>
  <c r="U1337" i="7" s="1"/>
  <c r="F1340" i="7"/>
  <c r="F1339" i="7"/>
  <c r="Q1338" i="7"/>
  <c r="F1338" i="7"/>
  <c r="Q1337" i="7"/>
  <c r="F1337" i="7"/>
  <c r="R1330" i="7"/>
  <c r="T1330" i="7" s="1"/>
  <c r="U1330" i="7" s="1"/>
  <c r="I1330" i="7"/>
  <c r="J1330" i="7" s="1"/>
  <c r="G1330" i="7"/>
  <c r="F1330" i="7"/>
  <c r="R1327" i="7"/>
  <c r="T1327" i="7" s="1"/>
  <c r="U1327" i="7" s="1"/>
  <c r="Q1327" i="7"/>
  <c r="F1327" i="7"/>
  <c r="G1327" i="7" s="1"/>
  <c r="I1327" i="7" s="1"/>
  <c r="J1327" i="7" s="1"/>
  <c r="Q1324" i="7"/>
  <c r="F1324" i="7"/>
  <c r="Q1323" i="7"/>
  <c r="F1323" i="7"/>
  <c r="Q1322" i="7"/>
  <c r="F1322" i="7"/>
  <c r="Q1321" i="7"/>
  <c r="F1321" i="7"/>
  <c r="Q1320" i="7"/>
  <c r="R1320" i="7" s="1"/>
  <c r="T1320" i="7" s="1"/>
  <c r="U1320" i="7" s="1"/>
  <c r="F1320" i="7"/>
  <c r="G1320" i="7" s="1"/>
  <c r="I1320" i="7" s="1"/>
  <c r="J1320" i="7" s="1"/>
  <c r="Q1314" i="7"/>
  <c r="F1314" i="7"/>
  <c r="Q1313" i="7"/>
  <c r="F1313" i="7"/>
  <c r="Q1312" i="7"/>
  <c r="F1312" i="7"/>
  <c r="Q1311" i="7"/>
  <c r="F1311" i="7"/>
  <c r="Q1310" i="7"/>
  <c r="F1310" i="7"/>
  <c r="Q1309" i="7"/>
  <c r="F1309" i="7"/>
  <c r="Q1308" i="7"/>
  <c r="F1308" i="7"/>
  <c r="Q1307" i="7"/>
  <c r="F1307" i="7"/>
  <c r="Q1306" i="7"/>
  <c r="F1306" i="7"/>
  <c r="Q1305" i="7"/>
  <c r="F1305" i="7"/>
  <c r="G1304" i="7" s="1"/>
  <c r="I1304" i="7"/>
  <c r="J1304" i="7" s="1"/>
  <c r="F1304" i="7"/>
  <c r="Q1298" i="7"/>
  <c r="F1298" i="7"/>
  <c r="Q1297" i="7"/>
  <c r="F1297" i="7"/>
  <c r="Q1296" i="7"/>
  <c r="F1296" i="7"/>
  <c r="Q1295" i="7"/>
  <c r="F1295" i="7"/>
  <c r="Q1294" i="7"/>
  <c r="F1294" i="7"/>
  <c r="Q1293" i="7"/>
  <c r="F1293" i="7"/>
  <c r="Q1292" i="7"/>
  <c r="F1292" i="7"/>
  <c r="Q1291" i="7"/>
  <c r="F1291" i="7"/>
  <c r="Q1290" i="7"/>
  <c r="F1290" i="7"/>
  <c r="Q1289" i="7"/>
  <c r="F1289" i="7"/>
  <c r="F1287" i="7"/>
  <c r="R1280" i="7"/>
  <c r="J1280" i="7"/>
  <c r="I1280" i="7"/>
  <c r="G1280" i="7"/>
  <c r="S1279" i="7"/>
  <c r="P1279" i="7"/>
  <c r="O1279" i="7"/>
  <c r="H1279" i="7"/>
  <c r="H1490" i="7" s="1"/>
  <c r="E1279" i="7"/>
  <c r="E1490" i="7" s="1"/>
  <c r="D1279" i="7"/>
  <c r="S1278" i="7"/>
  <c r="P1278" i="7"/>
  <c r="O1278" i="7"/>
  <c r="H1278" i="7"/>
  <c r="E1278" i="7"/>
  <c r="D1278" i="7"/>
  <c r="T1276" i="7"/>
  <c r="U1276" i="7" s="1"/>
  <c r="R1276" i="7"/>
  <c r="J1276" i="7"/>
  <c r="G1276" i="7"/>
  <c r="I1276" i="7" s="1"/>
  <c r="Q1271" i="7"/>
  <c r="F1271" i="7"/>
  <c r="Q1270" i="7"/>
  <c r="F1270" i="7"/>
  <c r="Q1269" i="7"/>
  <c r="F1269" i="7"/>
  <c r="Q1268" i="7"/>
  <c r="R1267" i="7" s="1"/>
  <c r="T1267" i="7" s="1"/>
  <c r="U1267" i="7" s="1"/>
  <c r="F1268" i="7"/>
  <c r="F1267" i="7"/>
  <c r="G1267" i="7" s="1"/>
  <c r="I1267" i="7" s="1"/>
  <c r="J1267" i="7" s="1"/>
  <c r="Q1265" i="7"/>
  <c r="F1265" i="7"/>
  <c r="Q1264" i="7"/>
  <c r="F1264" i="7"/>
  <c r="R1263" i="7"/>
  <c r="T1263" i="7" s="1"/>
  <c r="U1263" i="7" s="1"/>
  <c r="Q1263" i="7"/>
  <c r="G1263" i="7"/>
  <c r="I1263" i="7" s="1"/>
  <c r="J1263" i="7" s="1"/>
  <c r="F1263" i="7"/>
  <c r="Q1261" i="7"/>
  <c r="F1261" i="7"/>
  <c r="Q1260" i="7"/>
  <c r="F1260" i="7"/>
  <c r="Q1259" i="7"/>
  <c r="F1259" i="7"/>
  <c r="Q1258" i="7"/>
  <c r="F1258" i="7"/>
  <c r="G1258" i="7" s="1"/>
  <c r="I1258" i="7" s="1"/>
  <c r="J1258" i="7" s="1"/>
  <c r="Q1255" i="7"/>
  <c r="F1255" i="7"/>
  <c r="Q1254" i="7"/>
  <c r="F1254" i="7"/>
  <c r="Q1253" i="7"/>
  <c r="F1253" i="7"/>
  <c r="Q1252" i="7"/>
  <c r="F1252" i="7"/>
  <c r="R1251" i="7"/>
  <c r="T1251" i="7" s="1"/>
  <c r="U1251" i="7" s="1"/>
  <c r="Q1251" i="7"/>
  <c r="G1251" i="7"/>
  <c r="I1251" i="7" s="1"/>
  <c r="J1251" i="7" s="1"/>
  <c r="F1251" i="7"/>
  <c r="U1249" i="7"/>
  <c r="R1249" i="7"/>
  <c r="T1249" i="7" s="1"/>
  <c r="G1249" i="7"/>
  <c r="I1249" i="7" s="1"/>
  <c r="J1249" i="7" s="1"/>
  <c r="R1247" i="7"/>
  <c r="T1247" i="7" s="1"/>
  <c r="U1247" i="7" s="1"/>
  <c r="F1247" i="7"/>
  <c r="G1247" i="7" s="1"/>
  <c r="I1247" i="7" s="1"/>
  <c r="J1247" i="7" s="1"/>
  <c r="R1245" i="7"/>
  <c r="T1245" i="7" s="1"/>
  <c r="U1245" i="7" s="1"/>
  <c r="J1245" i="7"/>
  <c r="I1245" i="7"/>
  <c r="F1245" i="7"/>
  <c r="G1245" i="7" s="1"/>
  <c r="U1239" i="7"/>
  <c r="R1239" i="7"/>
  <c r="T1239" i="7" s="1"/>
  <c r="G1239" i="7"/>
  <c r="I1239" i="7" s="1"/>
  <c r="J1239" i="7" s="1"/>
  <c r="Q1233" i="7"/>
  <c r="F1233" i="7"/>
  <c r="U1232" i="7"/>
  <c r="R1232" i="7"/>
  <c r="T1232" i="7" s="1"/>
  <c r="F1232" i="7"/>
  <c r="Q1227" i="7"/>
  <c r="F1227" i="7"/>
  <c r="Q1226" i="7"/>
  <c r="F1226" i="7"/>
  <c r="Q1225" i="7"/>
  <c r="F1225" i="7"/>
  <c r="Q1224" i="7"/>
  <c r="F1224" i="7"/>
  <c r="Q1223" i="7"/>
  <c r="F1223" i="7"/>
  <c r="Q1222" i="7"/>
  <c r="F1222" i="7"/>
  <c r="Q1221" i="7"/>
  <c r="F1221" i="7"/>
  <c r="Q1220" i="7"/>
  <c r="R1217" i="7" s="1"/>
  <c r="T1217" i="7" s="1"/>
  <c r="U1217" i="7" s="1"/>
  <c r="F1220" i="7"/>
  <c r="Q1219" i="7"/>
  <c r="F1219" i="7"/>
  <c r="F1217" i="7"/>
  <c r="R1210" i="7"/>
  <c r="T1210" i="7" s="1"/>
  <c r="U1210" i="7" s="1"/>
  <c r="J1210" i="7"/>
  <c r="I1210" i="7"/>
  <c r="G1210" i="7"/>
  <c r="Q1207" i="7"/>
  <c r="F1207" i="7"/>
  <c r="Q1206" i="7"/>
  <c r="F1206" i="7"/>
  <c r="Q1205" i="7"/>
  <c r="F1205" i="7"/>
  <c r="Q1204" i="7"/>
  <c r="F1204" i="7"/>
  <c r="Q1203" i="7"/>
  <c r="F1203" i="7"/>
  <c r="Q1202" i="7"/>
  <c r="F1202" i="7"/>
  <c r="S1200" i="7"/>
  <c r="S1198" i="7"/>
  <c r="P1198" i="7"/>
  <c r="O1198" i="7"/>
  <c r="H1198" i="7"/>
  <c r="E1198" i="7"/>
  <c r="D1198" i="7"/>
  <c r="S1197" i="7"/>
  <c r="P1197" i="7"/>
  <c r="O1197" i="7"/>
  <c r="H1197" i="7"/>
  <c r="E1197" i="7"/>
  <c r="D1197" i="7"/>
  <c r="Q1191" i="7"/>
  <c r="F1191" i="7"/>
  <c r="Q1190" i="7"/>
  <c r="F1190" i="7"/>
  <c r="Q1189" i="7"/>
  <c r="R1188" i="7" s="1"/>
  <c r="F1189" i="7"/>
  <c r="T1188" i="7"/>
  <c r="U1188" i="7" s="1"/>
  <c r="G1188" i="7"/>
  <c r="I1188" i="7" s="1"/>
  <c r="J1188" i="7" s="1"/>
  <c r="F1188" i="7"/>
  <c r="F1186" i="7"/>
  <c r="U1185" i="7"/>
  <c r="R1185" i="7"/>
  <c r="T1185" i="7" s="1"/>
  <c r="I1185" i="7"/>
  <c r="J1185" i="7" s="1"/>
  <c r="F1185" i="7"/>
  <c r="G1185" i="7" s="1"/>
  <c r="F1178" i="7"/>
  <c r="G1177" i="7" s="1"/>
  <c r="R1177" i="7"/>
  <c r="T1177" i="7" s="1"/>
  <c r="U1177" i="7" s="1"/>
  <c r="I1177" i="7"/>
  <c r="J1177" i="7" s="1"/>
  <c r="U1170" i="7"/>
  <c r="T1170" i="7"/>
  <c r="R1170" i="7"/>
  <c r="J1170" i="7"/>
  <c r="I1170" i="7"/>
  <c r="G1170" i="7"/>
  <c r="Q1167" i="7"/>
  <c r="R1167" i="7" s="1"/>
  <c r="T1167" i="7" s="1"/>
  <c r="U1167" i="7" s="1"/>
  <c r="J1167" i="7"/>
  <c r="I1167" i="7"/>
  <c r="G1167" i="7"/>
  <c r="F1167" i="7"/>
  <c r="U1162" i="7"/>
  <c r="T1162" i="7"/>
  <c r="R1162" i="7"/>
  <c r="F1162" i="7"/>
  <c r="G1162" i="7" s="1"/>
  <c r="I1162" i="7" s="1"/>
  <c r="J1162" i="7" s="1"/>
  <c r="Q1160" i="7"/>
  <c r="F1160" i="7"/>
  <c r="Q1159" i="7"/>
  <c r="F1159" i="7"/>
  <c r="Q1158" i="7"/>
  <c r="G1158" i="7"/>
  <c r="I1158" i="7" s="1"/>
  <c r="J1158" i="7" s="1"/>
  <c r="F1158" i="7"/>
  <c r="Q1156" i="7"/>
  <c r="F1156" i="7"/>
  <c r="Q1155" i="7"/>
  <c r="F1155" i="7"/>
  <c r="G1154" i="7" s="1"/>
  <c r="I1154" i="7" s="1"/>
  <c r="J1154" i="7" s="1"/>
  <c r="T1154" i="7"/>
  <c r="U1154" i="7" s="1"/>
  <c r="Q1154" i="7"/>
  <c r="R1154" i="7" s="1"/>
  <c r="F1154" i="7"/>
  <c r="F1151" i="7"/>
  <c r="Q1143" i="7"/>
  <c r="F1143" i="7"/>
  <c r="Q1142" i="7"/>
  <c r="F1142" i="7"/>
  <c r="Q1141" i="7"/>
  <c r="F1141" i="7"/>
  <c r="F1140" i="7"/>
  <c r="Q1139" i="7"/>
  <c r="F1139" i="7"/>
  <c r="Q1138" i="7"/>
  <c r="F1138" i="7"/>
  <c r="Q1137" i="7"/>
  <c r="F1137" i="7"/>
  <c r="Q1136" i="7"/>
  <c r="F1136" i="7"/>
  <c r="Q1135" i="7"/>
  <c r="F1135" i="7"/>
  <c r="Q1134" i="7"/>
  <c r="F1134" i="7"/>
  <c r="Q1133" i="7"/>
  <c r="F1133" i="7"/>
  <c r="G1133" i="7" s="1"/>
  <c r="I1133" i="7" s="1"/>
  <c r="J1133" i="7" s="1"/>
  <c r="U1130" i="7"/>
  <c r="R1130" i="7"/>
  <c r="T1130" i="7" s="1"/>
  <c r="J1130" i="7"/>
  <c r="G1130" i="7"/>
  <c r="I1130" i="7" s="1"/>
  <c r="R1128" i="7"/>
  <c r="T1128" i="7" s="1"/>
  <c r="U1128" i="7" s="1"/>
  <c r="Q1128" i="7"/>
  <c r="J1128" i="7"/>
  <c r="F1128" i="7"/>
  <c r="G1128" i="7" s="1"/>
  <c r="I1128" i="7" s="1"/>
  <c r="T1124" i="7"/>
  <c r="U1124" i="7" s="1"/>
  <c r="R1124" i="7"/>
  <c r="G1124" i="7"/>
  <c r="I1124" i="7" s="1"/>
  <c r="J1124" i="7" s="1"/>
  <c r="T1121" i="7"/>
  <c r="U1121" i="7" s="1"/>
  <c r="R1121" i="7"/>
  <c r="G1121" i="7"/>
  <c r="I1121" i="7" s="1"/>
  <c r="J1121" i="7" s="1"/>
  <c r="Q1117" i="7"/>
  <c r="F1117" i="7"/>
  <c r="Q1116" i="7"/>
  <c r="F1116" i="7"/>
  <c r="Q1115" i="7"/>
  <c r="F1115" i="7"/>
  <c r="Q1114" i="7"/>
  <c r="F1114" i="7"/>
  <c r="U1111" i="7"/>
  <c r="T1111" i="7"/>
  <c r="R1111" i="7"/>
  <c r="G1111" i="7"/>
  <c r="I1111" i="7" s="1"/>
  <c r="J1111" i="7" s="1"/>
  <c r="Q1104" i="7"/>
  <c r="F1104" i="7"/>
  <c r="Q1103" i="7"/>
  <c r="F1103" i="7"/>
  <c r="Q1102" i="7"/>
  <c r="F1102" i="7"/>
  <c r="G1100" i="7" s="1"/>
  <c r="I1100" i="7" s="1"/>
  <c r="J1100" i="7" s="1"/>
  <c r="Q1101" i="7"/>
  <c r="R1100" i="7" s="1"/>
  <c r="T1100" i="7" s="1"/>
  <c r="U1100" i="7" s="1"/>
  <c r="F1101" i="7"/>
  <c r="F1100" i="7"/>
  <c r="Q1097" i="7"/>
  <c r="F1097" i="7"/>
  <c r="Q1096" i="7"/>
  <c r="R1093" i="7" s="1"/>
  <c r="T1093" i="7" s="1"/>
  <c r="U1093" i="7" s="1"/>
  <c r="F1096" i="7"/>
  <c r="Q1095" i="7"/>
  <c r="F1095" i="7"/>
  <c r="Q1094" i="7"/>
  <c r="F1094" i="7"/>
  <c r="Q1093" i="7"/>
  <c r="G1093" i="7"/>
  <c r="I1093" i="7" s="1"/>
  <c r="J1093" i="7" s="1"/>
  <c r="F1093" i="7"/>
  <c r="T1088" i="7"/>
  <c r="U1088" i="7" s="1"/>
  <c r="R1088" i="7"/>
  <c r="G1088" i="7"/>
  <c r="I1088" i="7" s="1"/>
  <c r="J1088" i="7" s="1"/>
  <c r="Q1087" i="7"/>
  <c r="F1087" i="7"/>
  <c r="Q1086" i="7"/>
  <c r="F1086" i="7"/>
  <c r="Q1085" i="7"/>
  <c r="F1085" i="7"/>
  <c r="Q1084" i="7"/>
  <c r="F1084" i="7"/>
  <c r="Q1083" i="7"/>
  <c r="F1083" i="7"/>
  <c r="Q1082" i="7"/>
  <c r="F1082" i="7"/>
  <c r="R1081" i="7"/>
  <c r="T1081" i="7" s="1"/>
  <c r="U1081" i="7" s="1"/>
  <c r="Q1081" i="7"/>
  <c r="F1081" i="7"/>
  <c r="R1074" i="7"/>
  <c r="T1074" i="7" s="1"/>
  <c r="U1074" i="7" s="1"/>
  <c r="G1074" i="7"/>
  <c r="I1074" i="7" s="1"/>
  <c r="J1074" i="7" s="1"/>
  <c r="Q1068" i="7"/>
  <c r="R1067" i="7" s="1"/>
  <c r="T1067" i="7" s="1"/>
  <c r="F1068" i="7"/>
  <c r="U1067" i="7"/>
  <c r="F1067" i="7"/>
  <c r="G1067" i="7" s="1"/>
  <c r="I1067" i="7" s="1"/>
  <c r="J1067" i="7" s="1"/>
  <c r="T1059" i="7"/>
  <c r="U1059" i="7" s="1"/>
  <c r="R1059" i="7"/>
  <c r="J1059" i="7"/>
  <c r="I1059" i="7"/>
  <c r="G1059" i="7"/>
  <c r="F1059" i="7"/>
  <c r="Q1057" i="7"/>
  <c r="F1057" i="7"/>
  <c r="Q1056" i="7"/>
  <c r="F1056" i="7"/>
  <c r="Q1055" i="7"/>
  <c r="F1055" i="7"/>
  <c r="S1054" i="7"/>
  <c r="P1054" i="7"/>
  <c r="P1200" i="7" s="1"/>
  <c r="O1054" i="7"/>
  <c r="H1054" i="7"/>
  <c r="E1054" i="7"/>
  <c r="D1054" i="7"/>
  <c r="S1053" i="7"/>
  <c r="P1053" i="7"/>
  <c r="O1053" i="7"/>
  <c r="H1053" i="7"/>
  <c r="E1053" i="7"/>
  <c r="D1053" i="7"/>
  <c r="Q1052" i="7"/>
  <c r="F1052" i="7"/>
  <c r="Q1051" i="7"/>
  <c r="F1051" i="7"/>
  <c r="Q1050" i="7"/>
  <c r="F1050" i="7"/>
  <c r="Q1049" i="7"/>
  <c r="F1049" i="7"/>
  <c r="F1047" i="7"/>
  <c r="Q1046" i="7"/>
  <c r="F1046" i="7"/>
  <c r="Q1045" i="7"/>
  <c r="F1045" i="7"/>
  <c r="Q1044" i="7"/>
  <c r="F1044" i="7"/>
  <c r="Q1042" i="7"/>
  <c r="F1042" i="7"/>
  <c r="Q1041" i="7"/>
  <c r="F1041" i="7"/>
  <c r="Q1040" i="7"/>
  <c r="R1035" i="7" s="1"/>
  <c r="T1035" i="7" s="1"/>
  <c r="F1040" i="7"/>
  <c r="Q1039" i="7"/>
  <c r="F1039" i="7"/>
  <c r="Q1038" i="7"/>
  <c r="F1038" i="7"/>
  <c r="Q1037" i="7"/>
  <c r="F1037" i="7"/>
  <c r="Q1036" i="7"/>
  <c r="F1036" i="7"/>
  <c r="U1035" i="7"/>
  <c r="F1035" i="7"/>
  <c r="Q1030" i="7"/>
  <c r="F1030" i="7"/>
  <c r="Q1029" i="7"/>
  <c r="F1029" i="7"/>
  <c r="Q1028" i="7"/>
  <c r="F1028" i="7"/>
  <c r="Q1027" i="7"/>
  <c r="F1027" i="7"/>
  <c r="Q1026" i="7"/>
  <c r="F1026" i="7"/>
  <c r="Q1025" i="7"/>
  <c r="F1025" i="7"/>
  <c r="Q1024" i="7"/>
  <c r="F1024" i="7"/>
  <c r="Q1023" i="7"/>
  <c r="F1023" i="7"/>
  <c r="G1021" i="7" s="1"/>
  <c r="I1021" i="7" s="1"/>
  <c r="J1021" i="7" s="1"/>
  <c r="F1021" i="7"/>
  <c r="R1015" i="7"/>
  <c r="T1015" i="7" s="1"/>
  <c r="U1015" i="7" s="1"/>
  <c r="F1015" i="7"/>
  <c r="G1015" i="7" s="1"/>
  <c r="I1015" i="7" s="1"/>
  <c r="J1015" i="7" s="1"/>
  <c r="R1008" i="7"/>
  <c r="T1008" i="7" s="1"/>
  <c r="U1008" i="7" s="1"/>
  <c r="I1008" i="7"/>
  <c r="J1008" i="7" s="1"/>
  <c r="F1008" i="7"/>
  <c r="G1008" i="7" s="1"/>
  <c r="Q1004" i="7"/>
  <c r="F1004" i="7"/>
  <c r="F1003" i="7"/>
  <c r="Q1002" i="7"/>
  <c r="F1002" i="7"/>
  <c r="Q1001" i="7"/>
  <c r="F1001" i="7"/>
  <c r="Q1000" i="7"/>
  <c r="F1000" i="7"/>
  <c r="Q999" i="7"/>
  <c r="R999" i="7" s="1"/>
  <c r="T999" i="7" s="1"/>
  <c r="U999" i="7" s="1"/>
  <c r="F999" i="7"/>
  <c r="Q997" i="7"/>
  <c r="F997" i="7"/>
  <c r="Q996" i="7"/>
  <c r="F996" i="7"/>
  <c r="Q995" i="7"/>
  <c r="F995" i="7"/>
  <c r="Q994" i="7"/>
  <c r="F994" i="7"/>
  <c r="Q993" i="7"/>
  <c r="F993" i="7"/>
  <c r="Q992" i="7"/>
  <c r="F992" i="7"/>
  <c r="Q991" i="7"/>
  <c r="F991" i="7"/>
  <c r="Q990" i="7"/>
  <c r="R990" i="7" s="1"/>
  <c r="T990" i="7" s="1"/>
  <c r="U990" i="7" s="1"/>
  <c r="F990" i="7"/>
  <c r="Q987" i="7"/>
  <c r="F987" i="7"/>
  <c r="Q986" i="7"/>
  <c r="F986" i="7"/>
  <c r="Q985" i="7"/>
  <c r="F985" i="7"/>
  <c r="Q984" i="7"/>
  <c r="F984" i="7"/>
  <c r="Q983" i="7"/>
  <c r="F983" i="7"/>
  <c r="Q982" i="7"/>
  <c r="F982" i="7"/>
  <c r="Q981" i="7"/>
  <c r="F981" i="7"/>
  <c r="Q980" i="7"/>
  <c r="F980" i="7"/>
  <c r="F979" i="7"/>
  <c r="Q976" i="7"/>
  <c r="F976" i="7"/>
  <c r="Q975" i="7"/>
  <c r="R970" i="7" s="1"/>
  <c r="T970" i="7" s="1"/>
  <c r="U970" i="7" s="1"/>
  <c r="F975" i="7"/>
  <c r="Q974" i="7"/>
  <c r="F974" i="7"/>
  <c r="Q971" i="7"/>
  <c r="F971" i="7"/>
  <c r="Q970" i="7"/>
  <c r="G970" i="7"/>
  <c r="I970" i="7" s="1"/>
  <c r="J970" i="7" s="1"/>
  <c r="F970" i="7"/>
  <c r="Q969" i="7"/>
  <c r="F969" i="7"/>
  <c r="Q968" i="7"/>
  <c r="F968" i="7"/>
  <c r="Q967" i="7"/>
  <c r="F967" i="7"/>
  <c r="Q966" i="7"/>
  <c r="F966" i="7"/>
  <c r="F964" i="7"/>
  <c r="G961" i="7" s="1"/>
  <c r="I961" i="7" s="1"/>
  <c r="J961" i="7" s="1"/>
  <c r="Q963" i="7"/>
  <c r="F963" i="7"/>
  <c r="Q962" i="7"/>
  <c r="F962" i="7"/>
  <c r="Q961" i="7"/>
  <c r="F961" i="7"/>
  <c r="Q959" i="7"/>
  <c r="R959" i="7" s="1"/>
  <c r="T959" i="7" s="1"/>
  <c r="U959" i="7" s="1"/>
  <c r="F959" i="7"/>
  <c r="G959" i="7" s="1"/>
  <c r="I959" i="7" s="1"/>
  <c r="J959" i="7" s="1"/>
  <c r="Q953" i="7"/>
  <c r="F953" i="7"/>
  <c r="Q952" i="7"/>
  <c r="F952" i="7"/>
  <c r="Q951" i="7"/>
  <c r="F951" i="7"/>
  <c r="Q950" i="7"/>
  <c r="F950" i="7"/>
  <c r="Q949" i="7"/>
  <c r="F949" i="7"/>
  <c r="F948" i="7"/>
  <c r="F947" i="7"/>
  <c r="Q941" i="7"/>
  <c r="F941" i="7"/>
  <c r="Q940" i="7"/>
  <c r="F940" i="7"/>
  <c r="U939" i="7"/>
  <c r="R939" i="7"/>
  <c r="T939" i="7" s="1"/>
  <c r="G939" i="7"/>
  <c r="I939" i="7" s="1"/>
  <c r="J939" i="7" s="1"/>
  <c r="F939" i="7"/>
  <c r="Q937" i="7"/>
  <c r="F937" i="7"/>
  <c r="Q936" i="7"/>
  <c r="F936" i="7"/>
  <c r="Q935" i="7"/>
  <c r="F935" i="7"/>
  <c r="Q934" i="7"/>
  <c r="F934" i="7"/>
  <c r="Q933" i="7"/>
  <c r="F933" i="7"/>
  <c r="Q932" i="7"/>
  <c r="F932" i="7"/>
  <c r="Q931" i="7"/>
  <c r="F931" i="7"/>
  <c r="Q930" i="7"/>
  <c r="F930" i="7"/>
  <c r="G928" i="7" s="1"/>
  <c r="F929" i="7"/>
  <c r="J928" i="7"/>
  <c r="I928" i="7"/>
  <c r="F928" i="7"/>
  <c r="T926" i="7"/>
  <c r="U926" i="7" s="1"/>
  <c r="R926" i="7"/>
  <c r="Q926" i="7"/>
  <c r="J926" i="7"/>
  <c r="F926" i="7"/>
  <c r="G926" i="7" s="1"/>
  <c r="I926" i="7" s="1"/>
  <c r="Q914" i="7"/>
  <c r="F914" i="7"/>
  <c r="Q913" i="7"/>
  <c r="F913" i="7"/>
  <c r="R912" i="7"/>
  <c r="F912" i="7"/>
  <c r="S911" i="7"/>
  <c r="Q911" i="7"/>
  <c r="P911" i="7"/>
  <c r="O911" i="7"/>
  <c r="O1200" i="7" s="1"/>
  <c r="H911" i="7"/>
  <c r="E911" i="7"/>
  <c r="D911" i="7"/>
  <c r="D1200" i="7" s="1"/>
  <c r="S910" i="7"/>
  <c r="P910" i="7"/>
  <c r="O910" i="7"/>
  <c r="H910" i="7"/>
  <c r="E910" i="7"/>
  <c r="D910" i="7"/>
  <c r="U907" i="7"/>
  <c r="T907" i="7"/>
  <c r="R907" i="7"/>
  <c r="Q907" i="7"/>
  <c r="G907" i="7"/>
  <c r="I907" i="7" s="1"/>
  <c r="J907" i="7" s="1"/>
  <c r="F907" i="7"/>
  <c r="Q905" i="7"/>
  <c r="R904" i="7" s="1"/>
  <c r="T904" i="7" s="1"/>
  <c r="U904" i="7" s="1"/>
  <c r="F905" i="7"/>
  <c r="Q904" i="7"/>
  <c r="G904" i="7"/>
  <c r="I904" i="7" s="1"/>
  <c r="J904" i="7" s="1"/>
  <c r="F904" i="7"/>
  <c r="U902" i="7"/>
  <c r="R902" i="7"/>
  <c r="T902" i="7" s="1"/>
  <c r="J902" i="7"/>
  <c r="I902" i="7"/>
  <c r="F902" i="7"/>
  <c r="G902" i="7" s="1"/>
  <c r="R900" i="7"/>
  <c r="T900" i="7" s="1"/>
  <c r="U900" i="7" s="1"/>
  <c r="J900" i="7"/>
  <c r="I900" i="7"/>
  <c r="G900" i="7"/>
  <c r="F899" i="7"/>
  <c r="G898" i="7" s="1"/>
  <c r="I898" i="7" s="1"/>
  <c r="J898" i="7" s="1"/>
  <c r="R898" i="7"/>
  <c r="T898" i="7" s="1"/>
  <c r="U898" i="7" s="1"/>
  <c r="F895" i="7"/>
  <c r="F894" i="7"/>
  <c r="Q886" i="7"/>
  <c r="F886" i="7"/>
  <c r="Q885" i="7"/>
  <c r="F885" i="7"/>
  <c r="Q884" i="7"/>
  <c r="F884" i="7"/>
  <c r="Q883" i="7"/>
  <c r="F883" i="7"/>
  <c r="Q881" i="7"/>
  <c r="F881" i="7"/>
  <c r="Q880" i="7"/>
  <c r="F880" i="7"/>
  <c r="F879" i="7"/>
  <c r="Q878" i="7"/>
  <c r="F878" i="7"/>
  <c r="Q877" i="7"/>
  <c r="F877" i="7"/>
  <c r="Q876" i="7"/>
  <c r="F876" i="7"/>
  <c r="Q875" i="7"/>
  <c r="F875" i="7"/>
  <c r="Q874" i="7"/>
  <c r="F874" i="7"/>
  <c r="Q873" i="7"/>
  <c r="F873" i="7"/>
  <c r="Q872" i="7"/>
  <c r="F872" i="7"/>
  <c r="Q871" i="7"/>
  <c r="F871" i="7"/>
  <c r="Q870" i="7"/>
  <c r="F870" i="7"/>
  <c r="Q869" i="7"/>
  <c r="G869" i="7"/>
  <c r="I869" i="7" s="1"/>
  <c r="J869" i="7" s="1"/>
  <c r="F869" i="7"/>
  <c r="T866" i="7"/>
  <c r="U866" i="7" s="1"/>
  <c r="R866" i="7"/>
  <c r="Q866" i="7"/>
  <c r="F866" i="7"/>
  <c r="G866" i="7" s="1"/>
  <c r="I866" i="7" s="1"/>
  <c r="J866" i="7" s="1"/>
  <c r="F865" i="7"/>
  <c r="U864" i="7"/>
  <c r="R864" i="7"/>
  <c r="T864" i="7" s="1"/>
  <c r="F864" i="7"/>
  <c r="Q861" i="7"/>
  <c r="F861" i="7"/>
  <c r="Q860" i="7"/>
  <c r="F860" i="7"/>
  <c r="R859" i="7"/>
  <c r="T859" i="7" s="1"/>
  <c r="U859" i="7" s="1"/>
  <c r="Q859" i="7"/>
  <c r="F859" i="7"/>
  <c r="T852" i="7"/>
  <c r="U852" i="7" s="1"/>
  <c r="R852" i="7"/>
  <c r="I852" i="7"/>
  <c r="J852" i="7" s="1"/>
  <c r="G852" i="7"/>
  <c r="F852" i="7"/>
  <c r="Q845" i="7"/>
  <c r="F845" i="7"/>
  <c r="Q844" i="7"/>
  <c r="F844" i="7"/>
  <c r="Q843" i="7"/>
  <c r="F843" i="7"/>
  <c r="Q842" i="7"/>
  <c r="F842" i="7"/>
  <c r="Q841" i="7"/>
  <c r="F841" i="7"/>
  <c r="Q840" i="7"/>
  <c r="F840" i="7"/>
  <c r="Q839" i="7"/>
  <c r="F839" i="7"/>
  <c r="Q838" i="7"/>
  <c r="F838" i="7"/>
  <c r="G837" i="7"/>
  <c r="F837" i="7"/>
  <c r="Q833" i="7"/>
  <c r="F833" i="7"/>
  <c r="Q832" i="7"/>
  <c r="F832" i="7"/>
  <c r="Q831" i="7"/>
  <c r="F831" i="7"/>
  <c r="Q830" i="7"/>
  <c r="F830" i="7"/>
  <c r="G828" i="7" s="1"/>
  <c r="I828" i="7" s="1"/>
  <c r="J828" i="7" s="1"/>
  <c r="Q829" i="7"/>
  <c r="R828" i="7" s="1"/>
  <c r="T828" i="7" s="1"/>
  <c r="U828" i="7" s="1"/>
  <c r="F829" i="7"/>
  <c r="F828" i="7"/>
  <c r="T822" i="7"/>
  <c r="R822" i="7"/>
  <c r="F822" i="7"/>
  <c r="G822" i="7" s="1"/>
  <c r="I822" i="7" s="1"/>
  <c r="J822" i="7" s="1"/>
  <c r="S818" i="7"/>
  <c r="P818" i="7"/>
  <c r="O818" i="7"/>
  <c r="H818" i="7"/>
  <c r="E818" i="7"/>
  <c r="D818" i="7"/>
  <c r="S817" i="7"/>
  <c r="P817" i="7"/>
  <c r="O817" i="7"/>
  <c r="H817" i="7"/>
  <c r="E817" i="7"/>
  <c r="D817" i="7"/>
  <c r="R813" i="7"/>
  <c r="T813" i="7" s="1"/>
  <c r="U813" i="7" s="1"/>
  <c r="Q813" i="7"/>
  <c r="J813" i="7"/>
  <c r="F813" i="7"/>
  <c r="G813" i="7" s="1"/>
  <c r="I813" i="7" s="1"/>
  <c r="T805" i="7"/>
  <c r="U805" i="7" s="1"/>
  <c r="R805" i="7"/>
  <c r="G805" i="7"/>
  <c r="I805" i="7" s="1"/>
  <c r="J805" i="7" s="1"/>
  <c r="F805" i="7"/>
  <c r="U797" i="7"/>
  <c r="T797" i="7"/>
  <c r="R797" i="7"/>
  <c r="I797" i="7"/>
  <c r="J797" i="7" s="1"/>
  <c r="F797" i="7"/>
  <c r="G797" i="7" s="1"/>
  <c r="Q795" i="7"/>
  <c r="F795" i="7"/>
  <c r="Q794" i="7"/>
  <c r="F794" i="7"/>
  <c r="Q793" i="7"/>
  <c r="F793" i="7"/>
  <c r="Q792" i="7"/>
  <c r="F792" i="7"/>
  <c r="Q791" i="7"/>
  <c r="F791" i="7"/>
  <c r="Q790" i="7"/>
  <c r="F790" i="7"/>
  <c r="Q789" i="7"/>
  <c r="F789" i="7"/>
  <c r="Q788" i="7"/>
  <c r="F788" i="7"/>
  <c r="Q787" i="7"/>
  <c r="R785" i="7" s="1"/>
  <c r="T785" i="7" s="1"/>
  <c r="U785" i="7" s="1"/>
  <c r="F787" i="7"/>
  <c r="Q786" i="7"/>
  <c r="F786" i="7"/>
  <c r="F785" i="7"/>
  <c r="R780" i="7"/>
  <c r="T780" i="7" s="1"/>
  <c r="U780" i="7" s="1"/>
  <c r="F780" i="7"/>
  <c r="G780" i="7" s="1"/>
  <c r="I780" i="7" s="1"/>
  <c r="J780" i="7" s="1"/>
  <c r="T773" i="7"/>
  <c r="U773" i="7" s="1"/>
  <c r="R773" i="7"/>
  <c r="J773" i="7"/>
  <c r="G773" i="7"/>
  <c r="I773" i="7" s="1"/>
  <c r="R766" i="7"/>
  <c r="T766" i="7" s="1"/>
  <c r="U766" i="7" s="1"/>
  <c r="G766" i="7"/>
  <c r="I766" i="7" s="1"/>
  <c r="J766" i="7" s="1"/>
  <c r="Q765" i="7"/>
  <c r="F765" i="7"/>
  <c r="Q764" i="7"/>
  <c r="F764" i="7"/>
  <c r="Q763" i="7"/>
  <c r="F763" i="7"/>
  <c r="Q762" i="7"/>
  <c r="F762" i="7"/>
  <c r="Q761" i="7"/>
  <c r="F761" i="7"/>
  <c r="Q760" i="7"/>
  <c r="F760" i="7"/>
  <c r="Q759" i="7"/>
  <c r="F759" i="7"/>
  <c r="Q758" i="7"/>
  <c r="F758" i="7"/>
  <c r="Q757" i="7"/>
  <c r="F757" i="7"/>
  <c r="Q756" i="7"/>
  <c r="F756" i="7"/>
  <c r="Q755" i="7"/>
  <c r="F755" i="7"/>
  <c r="Q754" i="7"/>
  <c r="F754" i="7"/>
  <c r="Q753" i="7"/>
  <c r="F753" i="7"/>
  <c r="Q752" i="7"/>
  <c r="F752" i="7"/>
  <c r="Q751" i="7"/>
  <c r="R750" i="7" s="1"/>
  <c r="T750" i="7" s="1"/>
  <c r="U750" i="7" s="1"/>
  <c r="F751" i="7"/>
  <c r="G750" i="7"/>
  <c r="I750" i="7" s="1"/>
  <c r="J750" i="7" s="1"/>
  <c r="F750" i="7"/>
  <c r="Q739" i="7"/>
  <c r="F739" i="7"/>
  <c r="Q738" i="7"/>
  <c r="F738" i="7"/>
  <c r="Q737" i="7"/>
  <c r="F737" i="7"/>
  <c r="Q736" i="7"/>
  <c r="F736" i="7"/>
  <c r="Q735" i="7"/>
  <c r="F735" i="7"/>
  <c r="Q734" i="7"/>
  <c r="F734" i="7"/>
  <c r="Q733" i="7"/>
  <c r="F733" i="7"/>
  <c r="Q732" i="7"/>
  <c r="F732" i="7"/>
  <c r="Q731" i="7"/>
  <c r="F731" i="7"/>
  <c r="Q730" i="7"/>
  <c r="F730" i="7"/>
  <c r="F728" i="7"/>
  <c r="G728" i="7" s="1"/>
  <c r="I728" i="7" s="1"/>
  <c r="J728" i="7" s="1"/>
  <c r="R725" i="7"/>
  <c r="T725" i="7" s="1"/>
  <c r="U725" i="7" s="1"/>
  <c r="G725" i="7"/>
  <c r="I725" i="7" s="1"/>
  <c r="J725" i="7" s="1"/>
  <c r="Q724" i="7"/>
  <c r="F724" i="7"/>
  <c r="Q723" i="7"/>
  <c r="F723" i="7"/>
  <c r="Q722" i="7"/>
  <c r="F722" i="7"/>
  <c r="U721" i="7"/>
  <c r="R721" i="7"/>
  <c r="T721" i="7" s="1"/>
  <c r="Q721" i="7"/>
  <c r="F721" i="7"/>
  <c r="U718" i="7"/>
  <c r="T718" i="7"/>
  <c r="R718" i="7"/>
  <c r="G718" i="7"/>
  <c r="I718" i="7" s="1"/>
  <c r="J718" i="7" s="1"/>
  <c r="Q716" i="7"/>
  <c r="F716" i="7"/>
  <c r="Q715" i="7"/>
  <c r="F715" i="7"/>
  <c r="Q714" i="7"/>
  <c r="F714" i="7"/>
  <c r="Q713" i="7"/>
  <c r="F713" i="7"/>
  <c r="Q712" i="7"/>
  <c r="F712" i="7"/>
  <c r="Q711" i="7"/>
  <c r="R708" i="7" s="1"/>
  <c r="T708" i="7" s="1"/>
  <c r="U708" i="7" s="1"/>
  <c r="F711" i="7"/>
  <c r="Q710" i="7"/>
  <c r="F710" i="7"/>
  <c r="Q709" i="7"/>
  <c r="F709" i="7"/>
  <c r="Q708" i="7"/>
  <c r="F708" i="7"/>
  <c r="Q706" i="7"/>
  <c r="F706" i="7"/>
  <c r="Q705" i="7"/>
  <c r="F705" i="7"/>
  <c r="Q704" i="7"/>
  <c r="F704" i="7"/>
  <c r="Q703" i="7"/>
  <c r="F703" i="7"/>
  <c r="Q702" i="7"/>
  <c r="R702" i="7" s="1"/>
  <c r="T702" i="7" s="1"/>
  <c r="U702" i="7" s="1"/>
  <c r="J702" i="7"/>
  <c r="I702" i="7"/>
  <c r="F702" i="7"/>
  <c r="G702" i="7" s="1"/>
  <c r="Q701" i="7"/>
  <c r="F701" i="7"/>
  <c r="Q700" i="7"/>
  <c r="F700" i="7"/>
  <c r="Q699" i="7"/>
  <c r="F699" i="7"/>
  <c r="T698" i="7"/>
  <c r="U698" i="7" s="1"/>
  <c r="Q698" i="7"/>
  <c r="R698" i="7" s="1"/>
  <c r="F698" i="7"/>
  <c r="U695" i="7"/>
  <c r="T695" i="7"/>
  <c r="R695" i="7"/>
  <c r="I695" i="7"/>
  <c r="J695" i="7" s="1"/>
  <c r="G695" i="7"/>
  <c r="T692" i="7"/>
  <c r="U692" i="7" s="1"/>
  <c r="R692" i="7"/>
  <c r="G692" i="7"/>
  <c r="I692" i="7" s="1"/>
  <c r="J692" i="7" s="1"/>
  <c r="Q687" i="7"/>
  <c r="F687" i="7"/>
  <c r="Q686" i="7"/>
  <c r="F686" i="7"/>
  <c r="Q685" i="7"/>
  <c r="R683" i="7" s="1"/>
  <c r="F685" i="7"/>
  <c r="Q684" i="7"/>
  <c r="F684" i="7"/>
  <c r="T683" i="7"/>
  <c r="U683" i="7" s="1"/>
  <c r="F683" i="7"/>
  <c r="Q676" i="7"/>
  <c r="F676" i="7"/>
  <c r="Q675" i="7"/>
  <c r="F675" i="7"/>
  <c r="Q674" i="7"/>
  <c r="F674" i="7"/>
  <c r="F673" i="7"/>
  <c r="R670" i="7"/>
  <c r="T670" i="7" s="1"/>
  <c r="U670" i="7" s="1"/>
  <c r="J670" i="7"/>
  <c r="I670" i="7"/>
  <c r="G670" i="7"/>
  <c r="T667" i="7"/>
  <c r="U667" i="7" s="1"/>
  <c r="R667" i="7"/>
  <c r="G667" i="7"/>
  <c r="I667" i="7" s="1"/>
  <c r="J667" i="7" s="1"/>
  <c r="R664" i="7"/>
  <c r="T664" i="7" s="1"/>
  <c r="U664" i="7" s="1"/>
  <c r="G664" i="7"/>
  <c r="I664" i="7" s="1"/>
  <c r="J664" i="7" s="1"/>
  <c r="T656" i="7"/>
  <c r="U656" i="7" s="1"/>
  <c r="R656" i="7"/>
  <c r="J656" i="7"/>
  <c r="I656" i="7"/>
  <c r="G656" i="7"/>
  <c r="R651" i="7"/>
  <c r="T651" i="7" s="1"/>
  <c r="U651" i="7" s="1"/>
  <c r="G651" i="7"/>
  <c r="I651" i="7" s="1"/>
  <c r="J651" i="7" s="1"/>
  <c r="F647" i="7"/>
  <c r="U646" i="7"/>
  <c r="T646" i="7"/>
  <c r="R646" i="7"/>
  <c r="F646" i="7"/>
  <c r="R642" i="7"/>
  <c r="T642" i="7" s="1"/>
  <c r="U642" i="7" s="1"/>
  <c r="G642" i="7"/>
  <c r="I642" i="7" s="1"/>
  <c r="J642" i="7" s="1"/>
  <c r="F642" i="7"/>
  <c r="Q636" i="7"/>
  <c r="F636" i="7"/>
  <c r="Q635" i="7"/>
  <c r="F635" i="7"/>
  <c r="Q634" i="7"/>
  <c r="F634" i="7"/>
  <c r="Q633" i="7"/>
  <c r="F633" i="7"/>
  <c r="Q632" i="7"/>
  <c r="F632" i="7"/>
  <c r="Q631" i="7"/>
  <c r="F631" i="7"/>
  <c r="Q630" i="7"/>
  <c r="F630" i="7"/>
  <c r="Q629" i="7"/>
  <c r="F629" i="7"/>
  <c r="F628" i="7"/>
  <c r="F627" i="7"/>
  <c r="Q626" i="7"/>
  <c r="F626" i="7"/>
  <c r="Q625" i="7"/>
  <c r="F625" i="7"/>
  <c r="Q624" i="7"/>
  <c r="F624" i="7"/>
  <c r="Q623" i="7"/>
  <c r="F623" i="7"/>
  <c r="Q622" i="7"/>
  <c r="F622" i="7"/>
  <c r="Q620" i="7"/>
  <c r="F620" i="7"/>
  <c r="F619" i="7"/>
  <c r="Q618" i="7"/>
  <c r="F618" i="7"/>
  <c r="S617" i="7"/>
  <c r="P617" i="7"/>
  <c r="O617" i="7"/>
  <c r="H617" i="7"/>
  <c r="E617" i="7"/>
  <c r="D617" i="7"/>
  <c r="S616" i="7"/>
  <c r="P616" i="7"/>
  <c r="O616" i="7"/>
  <c r="H616" i="7"/>
  <c r="E616" i="7"/>
  <c r="D616" i="7"/>
  <c r="Q614" i="7"/>
  <c r="F614" i="7"/>
  <c r="Q613" i="7"/>
  <c r="F613" i="7"/>
  <c r="Q612" i="7"/>
  <c r="F612" i="7"/>
  <c r="Q611" i="7"/>
  <c r="F611" i="7"/>
  <c r="F610" i="7"/>
  <c r="R605" i="7"/>
  <c r="T605" i="7" s="1"/>
  <c r="U605" i="7" s="1"/>
  <c r="I605" i="7"/>
  <c r="J605" i="7" s="1"/>
  <c r="F605" i="7"/>
  <c r="G605" i="7" s="1"/>
  <c r="Q602" i="7"/>
  <c r="F602" i="7"/>
  <c r="Q601" i="7"/>
  <c r="F601" i="7"/>
  <c r="G601" i="7" s="1"/>
  <c r="I601" i="7" s="1"/>
  <c r="J601" i="7" s="1"/>
  <c r="R594" i="7"/>
  <c r="T594" i="7" s="1"/>
  <c r="U594" i="7" s="1"/>
  <c r="G594" i="7"/>
  <c r="I594" i="7" s="1"/>
  <c r="J594" i="7" s="1"/>
  <c r="T588" i="7"/>
  <c r="U588" i="7" s="1"/>
  <c r="R588" i="7"/>
  <c r="G588" i="7"/>
  <c r="I588" i="7" s="1"/>
  <c r="J588" i="7" s="1"/>
  <c r="F588" i="7"/>
  <c r="Q586" i="7"/>
  <c r="F586" i="7"/>
  <c r="Q585" i="7"/>
  <c r="F585" i="7"/>
  <c r="Q584" i="7"/>
  <c r="R582" i="7" s="1"/>
  <c r="T582" i="7" s="1"/>
  <c r="U582" i="7" s="1"/>
  <c r="F584" i="7"/>
  <c r="F583" i="7"/>
  <c r="Q582" i="7"/>
  <c r="F582" i="7"/>
  <c r="F580" i="7"/>
  <c r="U579" i="7"/>
  <c r="R579" i="7"/>
  <c r="T579" i="7" s="1"/>
  <c r="F579" i="7"/>
  <c r="G579" i="7" s="1"/>
  <c r="I579" i="7" s="1"/>
  <c r="J579" i="7" s="1"/>
  <c r="Q575" i="7"/>
  <c r="F575" i="7"/>
  <c r="Q574" i="7"/>
  <c r="F574" i="7"/>
  <c r="Q573" i="7"/>
  <c r="F573" i="7"/>
  <c r="Q572" i="7"/>
  <c r="F572" i="7"/>
  <c r="Q571" i="7"/>
  <c r="R566" i="7" s="1"/>
  <c r="T566" i="7" s="1"/>
  <c r="U566" i="7" s="1"/>
  <c r="F571" i="7"/>
  <c r="Q570" i="7"/>
  <c r="F570" i="7"/>
  <c r="Q569" i="7"/>
  <c r="F569" i="7"/>
  <c r="Q568" i="7"/>
  <c r="F568" i="7"/>
  <c r="F567" i="7"/>
  <c r="F566" i="7"/>
  <c r="Q562" i="7"/>
  <c r="F562" i="7"/>
  <c r="Q561" i="7"/>
  <c r="F561" i="7"/>
  <c r="Q560" i="7"/>
  <c r="F560" i="7"/>
  <c r="Q559" i="7"/>
  <c r="F559" i="7"/>
  <c r="Q557" i="7"/>
  <c r="F557" i="7"/>
  <c r="Q556" i="7"/>
  <c r="F556" i="7"/>
  <c r="Q555" i="7"/>
  <c r="F555" i="7"/>
  <c r="Q554" i="7"/>
  <c r="F554" i="7"/>
  <c r="Q553" i="7"/>
  <c r="R549" i="7" s="1"/>
  <c r="T549" i="7" s="1"/>
  <c r="U549" i="7" s="1"/>
  <c r="F553" i="7"/>
  <c r="Q552" i="7"/>
  <c r="F552" i="7"/>
  <c r="F551" i="7"/>
  <c r="F549" i="7"/>
  <c r="R547" i="7"/>
  <c r="T547" i="7" s="1"/>
  <c r="U547" i="7" s="1"/>
  <c r="Q547" i="7"/>
  <c r="J547" i="7"/>
  <c r="I547" i="7"/>
  <c r="G547" i="7"/>
  <c r="F547" i="7"/>
  <c r="U542" i="7"/>
  <c r="T542" i="7"/>
  <c r="R542" i="7"/>
  <c r="F542" i="7"/>
  <c r="G542" i="7" s="1"/>
  <c r="I542" i="7" s="1"/>
  <c r="J542" i="7" s="1"/>
  <c r="U536" i="7"/>
  <c r="T536" i="7"/>
  <c r="R536" i="7"/>
  <c r="I536" i="7"/>
  <c r="J536" i="7" s="1"/>
  <c r="F536" i="7"/>
  <c r="G536" i="7" s="1"/>
  <c r="T530" i="7"/>
  <c r="U530" i="7" s="1"/>
  <c r="R530" i="7"/>
  <c r="G530" i="7"/>
  <c r="I530" i="7" s="1"/>
  <c r="J530" i="7" s="1"/>
  <c r="F530" i="7"/>
  <c r="R527" i="7"/>
  <c r="T527" i="7" s="1"/>
  <c r="U527" i="7" s="1"/>
  <c r="J527" i="7"/>
  <c r="I527" i="7"/>
  <c r="G527" i="7"/>
  <c r="F527" i="7"/>
  <c r="R525" i="7"/>
  <c r="T525" i="7" s="1"/>
  <c r="U525" i="7" s="1"/>
  <c r="G525" i="7"/>
  <c r="I525" i="7" s="1"/>
  <c r="J525" i="7" s="1"/>
  <c r="F525" i="7"/>
  <c r="Q524" i="7"/>
  <c r="F524" i="7"/>
  <c r="Q523" i="7"/>
  <c r="F523" i="7"/>
  <c r="Q522" i="7"/>
  <c r="F522" i="7"/>
  <c r="Q521" i="7"/>
  <c r="F521" i="7"/>
  <c r="Q520" i="7"/>
  <c r="F520" i="7"/>
  <c r="Q519" i="7"/>
  <c r="F519" i="7"/>
  <c r="G515" i="7" s="1"/>
  <c r="I515" i="7" s="1"/>
  <c r="J515" i="7" s="1"/>
  <c r="Q517" i="7"/>
  <c r="F517" i="7"/>
  <c r="F516" i="7"/>
  <c r="Q509" i="7"/>
  <c r="F509" i="7"/>
  <c r="Q508" i="7"/>
  <c r="F508" i="7"/>
  <c r="Q507" i="7"/>
  <c r="F507" i="7"/>
  <c r="Q506" i="7"/>
  <c r="F506" i="7"/>
  <c r="Q505" i="7"/>
  <c r="F505" i="7"/>
  <c r="Q504" i="7"/>
  <c r="F504" i="7"/>
  <c r="F503" i="7"/>
  <c r="F502" i="7"/>
  <c r="R496" i="7"/>
  <c r="I496" i="7"/>
  <c r="G496" i="7"/>
  <c r="S495" i="7"/>
  <c r="P495" i="7"/>
  <c r="P820" i="7" s="1"/>
  <c r="O495" i="7"/>
  <c r="H495" i="7"/>
  <c r="E495" i="7"/>
  <c r="D495" i="7"/>
  <c r="D820" i="7" s="1"/>
  <c r="S494" i="7"/>
  <c r="P494" i="7"/>
  <c r="O494" i="7"/>
  <c r="H494" i="7"/>
  <c r="E494" i="7"/>
  <c r="D494" i="7"/>
  <c r="U491" i="7"/>
  <c r="T491" i="7"/>
  <c r="R491" i="7"/>
  <c r="I491" i="7"/>
  <c r="J491" i="7" s="1"/>
  <c r="G491" i="7"/>
  <c r="F491" i="7"/>
  <c r="U486" i="7"/>
  <c r="R486" i="7"/>
  <c r="T486" i="7" s="1"/>
  <c r="J486" i="7"/>
  <c r="I486" i="7"/>
  <c r="F486" i="7"/>
  <c r="G486" i="7" s="1"/>
  <c r="Q479" i="7"/>
  <c r="F479" i="7"/>
  <c r="G477" i="7" s="1"/>
  <c r="I477" i="7" s="1"/>
  <c r="J477" i="7" s="1"/>
  <c r="Q478" i="7"/>
  <c r="R477" i="7" s="1"/>
  <c r="T477" i="7" s="1"/>
  <c r="U477" i="7" s="1"/>
  <c r="F478" i="7"/>
  <c r="F477" i="7"/>
  <c r="Q471" i="7"/>
  <c r="F471" i="7"/>
  <c r="R470" i="7"/>
  <c r="T470" i="7" s="1"/>
  <c r="U470" i="7" s="1"/>
  <c r="F470" i="7"/>
  <c r="G470" i="7" s="1"/>
  <c r="I470" i="7" s="1"/>
  <c r="J470" i="7" s="1"/>
  <c r="U467" i="7"/>
  <c r="T467" i="7"/>
  <c r="R467" i="7"/>
  <c r="J467" i="7"/>
  <c r="I467" i="7"/>
  <c r="G467" i="7"/>
  <c r="T464" i="7"/>
  <c r="U464" i="7" s="1"/>
  <c r="R464" i="7"/>
  <c r="I464" i="7"/>
  <c r="J464" i="7" s="1"/>
  <c r="G464" i="7"/>
  <c r="Q459" i="7"/>
  <c r="R457" i="7" s="1"/>
  <c r="T457" i="7" s="1"/>
  <c r="U457" i="7" s="1"/>
  <c r="F459" i="7"/>
  <c r="G457" i="7"/>
  <c r="I457" i="7" s="1"/>
  <c r="J457" i="7" s="1"/>
  <c r="F457" i="7"/>
  <c r="Q453" i="7"/>
  <c r="F453" i="7"/>
  <c r="R452" i="7"/>
  <c r="T452" i="7" s="1"/>
  <c r="U452" i="7" s="1"/>
  <c r="Q452" i="7"/>
  <c r="F452" i="7"/>
  <c r="G452" i="7" s="1"/>
  <c r="I452" i="7" s="1"/>
  <c r="J452" i="7" s="1"/>
  <c r="Q450" i="7"/>
  <c r="F450" i="7"/>
  <c r="Q449" i="7"/>
  <c r="F449" i="7"/>
  <c r="Q448" i="7"/>
  <c r="R446" i="7" s="1"/>
  <c r="T446" i="7" s="1"/>
  <c r="U446" i="7" s="1"/>
  <c r="F448" i="7"/>
  <c r="G446" i="7"/>
  <c r="I446" i="7" s="1"/>
  <c r="J446" i="7" s="1"/>
  <c r="F446" i="7"/>
  <c r="T444" i="7"/>
  <c r="U444" i="7" s="1"/>
  <c r="R444" i="7"/>
  <c r="Q444" i="7"/>
  <c r="G444" i="7"/>
  <c r="I444" i="7" s="1"/>
  <c r="J444" i="7" s="1"/>
  <c r="F444" i="7"/>
  <c r="Q439" i="7"/>
  <c r="R438" i="7" s="1"/>
  <c r="T438" i="7" s="1"/>
  <c r="F439" i="7"/>
  <c r="U438" i="7"/>
  <c r="J438" i="7"/>
  <c r="G438" i="7"/>
  <c r="I438" i="7" s="1"/>
  <c r="F438" i="7"/>
  <c r="Q433" i="7"/>
  <c r="F433" i="7"/>
  <c r="Q432" i="7"/>
  <c r="F432" i="7"/>
  <c r="Q431" i="7"/>
  <c r="F431" i="7"/>
  <c r="Q430" i="7"/>
  <c r="F430" i="7"/>
  <c r="Q429" i="7"/>
  <c r="F429" i="7"/>
  <c r="Q428" i="7"/>
  <c r="F428" i="7"/>
  <c r="G423" i="7" s="1"/>
  <c r="Q427" i="7"/>
  <c r="F427" i="7"/>
  <c r="Q426" i="7"/>
  <c r="F426" i="7"/>
  <c r="Q425" i="7"/>
  <c r="F425" i="7"/>
  <c r="R423" i="7"/>
  <c r="T423" i="7" s="1"/>
  <c r="U423" i="7" s="1"/>
  <c r="Q423" i="7"/>
  <c r="I423" i="7"/>
  <c r="J423" i="7" s="1"/>
  <c r="F423" i="7"/>
  <c r="Q422" i="7"/>
  <c r="F422" i="7"/>
  <c r="Q421" i="7"/>
  <c r="F421" i="7"/>
  <c r="Q420" i="7"/>
  <c r="R419" i="7" s="1"/>
  <c r="F420" i="7"/>
  <c r="G419" i="7" s="1"/>
  <c r="I419" i="7" s="1"/>
  <c r="J419" i="7" s="1"/>
  <c r="T419" i="7"/>
  <c r="U419" i="7" s="1"/>
  <c r="Q419" i="7"/>
  <c r="F419" i="7"/>
  <c r="Q417" i="7"/>
  <c r="J417" i="7"/>
  <c r="G417" i="7"/>
  <c r="I417" i="7" s="1"/>
  <c r="F417" i="7"/>
  <c r="G415" i="7"/>
  <c r="I415" i="7" s="1"/>
  <c r="J415" i="7" s="1"/>
  <c r="F415" i="7"/>
  <c r="F410" i="7"/>
  <c r="R409" i="7"/>
  <c r="T409" i="7" s="1"/>
  <c r="U409" i="7" s="1"/>
  <c r="Q409" i="7"/>
  <c r="G409" i="7"/>
  <c r="I409" i="7" s="1"/>
  <c r="J409" i="7" s="1"/>
  <c r="F409" i="7"/>
  <c r="Q404" i="7"/>
  <c r="F404" i="7"/>
  <c r="Q403" i="7"/>
  <c r="F403" i="7"/>
  <c r="Q402" i="7"/>
  <c r="F402" i="7"/>
  <c r="Q401" i="7"/>
  <c r="F401" i="7"/>
  <c r="Q400" i="7"/>
  <c r="F400" i="7"/>
  <c r="Q399" i="7"/>
  <c r="F399" i="7"/>
  <c r="Q398" i="7"/>
  <c r="F398" i="7"/>
  <c r="Q397" i="7"/>
  <c r="F397" i="7"/>
  <c r="Q396" i="7"/>
  <c r="F396" i="7"/>
  <c r="F394" i="7"/>
  <c r="G394" i="7" s="1"/>
  <c r="I394" i="7" s="1"/>
  <c r="J394" i="7" s="1"/>
  <c r="F389" i="7"/>
  <c r="G388" i="7" s="1"/>
  <c r="I388" i="7" s="1"/>
  <c r="J388" i="7" s="1"/>
  <c r="T388" i="7"/>
  <c r="U388" i="7" s="1"/>
  <c r="Q388" i="7"/>
  <c r="R388" i="7" s="1"/>
  <c r="F388" i="7"/>
  <c r="R386" i="7"/>
  <c r="T386" i="7" s="1"/>
  <c r="U386" i="7" s="1"/>
  <c r="G386" i="7"/>
  <c r="I386" i="7" s="1"/>
  <c r="J386" i="7" s="1"/>
  <c r="F386" i="7"/>
  <c r="T384" i="7"/>
  <c r="U384" i="7" s="1"/>
  <c r="R384" i="7"/>
  <c r="F384" i="7"/>
  <c r="G384" i="7" s="1"/>
  <c r="I384" i="7" s="1"/>
  <c r="J384" i="7" s="1"/>
  <c r="T382" i="7"/>
  <c r="U382" i="7" s="1"/>
  <c r="R382" i="7"/>
  <c r="Q382" i="7"/>
  <c r="F382" i="7"/>
  <c r="G382" i="7" s="1"/>
  <c r="I382" i="7" s="1"/>
  <c r="J382" i="7" s="1"/>
  <c r="Q376" i="7"/>
  <c r="F376" i="7"/>
  <c r="R375" i="7"/>
  <c r="T375" i="7" s="1"/>
  <c r="U375" i="7" s="1"/>
  <c r="F375" i="7"/>
  <c r="Q369" i="7"/>
  <c r="R368" i="7" s="1"/>
  <c r="T368" i="7" s="1"/>
  <c r="F369" i="7"/>
  <c r="U368" i="7"/>
  <c r="G368" i="7"/>
  <c r="I368" i="7" s="1"/>
  <c r="J368" i="7" s="1"/>
  <c r="Q365" i="7"/>
  <c r="F365" i="7"/>
  <c r="T364" i="7"/>
  <c r="U364" i="7" s="1"/>
  <c r="R364" i="7"/>
  <c r="F364" i="7"/>
  <c r="Q362" i="7"/>
  <c r="R362" i="7" s="1"/>
  <c r="T362" i="7" s="1"/>
  <c r="U362" i="7" s="1"/>
  <c r="F362" i="7"/>
  <c r="G362" i="7" s="1"/>
  <c r="I362" i="7" s="1"/>
  <c r="J362" i="7" s="1"/>
  <c r="Q360" i="7"/>
  <c r="F360" i="7"/>
  <c r="Q359" i="7"/>
  <c r="F359" i="7"/>
  <c r="Q358" i="7"/>
  <c r="F358" i="7"/>
  <c r="Q357" i="7"/>
  <c r="F357" i="7"/>
  <c r="Q356" i="7"/>
  <c r="F356" i="7"/>
  <c r="G354" i="7" s="1"/>
  <c r="I354" i="7" s="1"/>
  <c r="Q355" i="7"/>
  <c r="F355" i="7"/>
  <c r="J354" i="7"/>
  <c r="F354" i="7"/>
  <c r="U352" i="7"/>
  <c r="T352" i="7"/>
  <c r="R352" i="7"/>
  <c r="Q352" i="7"/>
  <c r="I352" i="7"/>
  <c r="F352" i="7"/>
  <c r="G352" i="7" s="1"/>
  <c r="P350" i="7"/>
  <c r="H350" i="7"/>
  <c r="E350" i="7"/>
  <c r="S348" i="7"/>
  <c r="P348" i="7"/>
  <c r="O348" i="7"/>
  <c r="H348" i="7"/>
  <c r="E348" i="7"/>
  <c r="D348" i="7"/>
  <c r="S347" i="7"/>
  <c r="P347" i="7"/>
  <c r="O347" i="7"/>
  <c r="H347" i="7"/>
  <c r="E347" i="7"/>
  <c r="D347" i="7"/>
  <c r="R345" i="7"/>
  <c r="T345" i="7" s="1"/>
  <c r="U345" i="7" s="1"/>
  <c r="Q345" i="7"/>
  <c r="I345" i="7"/>
  <c r="J345" i="7" s="1"/>
  <c r="G345" i="7"/>
  <c r="F345" i="7"/>
  <c r="Q336" i="7"/>
  <c r="F336" i="7"/>
  <c r="Q335" i="7"/>
  <c r="F335" i="7"/>
  <c r="F334" i="7"/>
  <c r="R328" i="7"/>
  <c r="T328" i="7" s="1"/>
  <c r="U328" i="7" s="1"/>
  <c r="F328" i="7"/>
  <c r="G328" i="7" s="1"/>
  <c r="I328" i="7" s="1"/>
  <c r="J328" i="7" s="1"/>
  <c r="Q326" i="7"/>
  <c r="R324" i="7" s="1"/>
  <c r="T324" i="7" s="1"/>
  <c r="U324" i="7" s="1"/>
  <c r="F326" i="7"/>
  <c r="Q325" i="7"/>
  <c r="F325" i="7"/>
  <c r="Q324" i="7"/>
  <c r="F324" i="7"/>
  <c r="Q321" i="7"/>
  <c r="F321" i="7"/>
  <c r="R320" i="7"/>
  <c r="T320" i="7" s="1"/>
  <c r="U320" i="7" s="1"/>
  <c r="F320" i="7"/>
  <c r="G320" i="7" s="1"/>
  <c r="I320" i="7" s="1"/>
  <c r="J320" i="7" s="1"/>
  <c r="Q316" i="7"/>
  <c r="R316" i="7" s="1"/>
  <c r="T316" i="7" s="1"/>
  <c r="U316" i="7" s="1"/>
  <c r="G316" i="7"/>
  <c r="I316" i="7" s="1"/>
  <c r="J316" i="7" s="1"/>
  <c r="F316" i="7"/>
  <c r="Q312" i="7"/>
  <c r="F312" i="7"/>
  <c r="Q311" i="7"/>
  <c r="F311" i="7"/>
  <c r="Q310" i="7"/>
  <c r="F310" i="7"/>
  <c r="Q309" i="7"/>
  <c r="F309" i="7"/>
  <c r="Q308" i="7"/>
  <c r="F308" i="7"/>
  <c r="Q307" i="7"/>
  <c r="F307" i="7"/>
  <c r="Q306" i="7"/>
  <c r="F306" i="7"/>
  <c r="F305" i="7"/>
  <c r="G305" i="7" s="1"/>
  <c r="I305" i="7" s="1"/>
  <c r="J305" i="7" s="1"/>
  <c r="Q299" i="7"/>
  <c r="R298" i="7" s="1"/>
  <c r="F299" i="7"/>
  <c r="U298" i="7"/>
  <c r="T298" i="7"/>
  <c r="J298" i="7"/>
  <c r="G298" i="7"/>
  <c r="I298" i="7" s="1"/>
  <c r="F298" i="7"/>
  <c r="R291" i="7"/>
  <c r="T291" i="7" s="1"/>
  <c r="U291" i="7" s="1"/>
  <c r="F291" i="7"/>
  <c r="G291" i="7" s="1"/>
  <c r="I291" i="7" s="1"/>
  <c r="J291" i="7" s="1"/>
  <c r="T288" i="7"/>
  <c r="U288" i="7" s="1"/>
  <c r="Q288" i="7"/>
  <c r="R288" i="7" s="1"/>
  <c r="J288" i="7"/>
  <c r="G288" i="7"/>
  <c r="I288" i="7" s="1"/>
  <c r="F288" i="7"/>
  <c r="Q281" i="7"/>
  <c r="F281" i="7"/>
  <c r="Q280" i="7"/>
  <c r="F280" i="7"/>
  <c r="Q279" i="7"/>
  <c r="F279" i="7"/>
  <c r="Q278" i="7"/>
  <c r="F278" i="7"/>
  <c r="R277" i="7"/>
  <c r="T277" i="7" s="1"/>
  <c r="U277" i="7" s="1"/>
  <c r="F277" i="7"/>
  <c r="R274" i="7"/>
  <c r="T274" i="7" s="1"/>
  <c r="U274" i="7" s="1"/>
  <c r="G274" i="7"/>
  <c r="I274" i="7" s="1"/>
  <c r="J274" i="7" s="1"/>
  <c r="F274" i="7"/>
  <c r="Q271" i="7"/>
  <c r="R271" i="7" s="1"/>
  <c r="T271" i="7" s="1"/>
  <c r="U271" i="7" s="1"/>
  <c r="I271" i="7"/>
  <c r="J271" i="7" s="1"/>
  <c r="G271" i="7"/>
  <c r="F271" i="7"/>
  <c r="Q268" i="7"/>
  <c r="F268" i="7"/>
  <c r="Q267" i="7"/>
  <c r="F267" i="7"/>
  <c r="G267" i="7" s="1"/>
  <c r="I267" i="7" s="1"/>
  <c r="J267" i="7" s="1"/>
  <c r="Q265" i="7"/>
  <c r="F265" i="7"/>
  <c r="Q264" i="7"/>
  <c r="R261" i="7" s="1"/>
  <c r="T261" i="7" s="1"/>
  <c r="U261" i="7" s="1"/>
  <c r="F264" i="7"/>
  <c r="Q263" i="7"/>
  <c r="F263" i="7"/>
  <c r="Q262" i="7"/>
  <c r="F262" i="7"/>
  <c r="Q261" i="7"/>
  <c r="F261" i="7"/>
  <c r="Q254" i="7"/>
  <c r="F254" i="7"/>
  <c r="Q253" i="7"/>
  <c r="F253" i="7"/>
  <c r="Q252" i="7"/>
  <c r="R247" i="7" s="1"/>
  <c r="T247" i="7" s="1"/>
  <c r="U247" i="7" s="1"/>
  <c r="F252" i="7"/>
  <c r="Q251" i="7"/>
  <c r="F251" i="7"/>
  <c r="Q250" i="7"/>
  <c r="F250" i="7"/>
  <c r="F247" i="7"/>
  <c r="R243" i="7"/>
  <c r="T243" i="7" s="1"/>
  <c r="U243" i="7" s="1"/>
  <c r="G243" i="7"/>
  <c r="I243" i="7" s="1"/>
  <c r="J243" i="7" s="1"/>
  <c r="Q241" i="7"/>
  <c r="F241" i="7"/>
  <c r="Q240" i="7"/>
  <c r="F240" i="7"/>
  <c r="Q239" i="7"/>
  <c r="F239" i="7"/>
  <c r="Q238" i="7"/>
  <c r="F238" i="7"/>
  <c r="Q237" i="7"/>
  <c r="F237" i="7"/>
  <c r="Q236" i="7"/>
  <c r="F236" i="7"/>
  <c r="Q235" i="7"/>
  <c r="F235" i="7"/>
  <c r="F233" i="7"/>
  <c r="F232" i="7"/>
  <c r="G232" i="7" s="1"/>
  <c r="I232" i="7" s="1"/>
  <c r="J232" i="7" s="1"/>
  <c r="Q230" i="7"/>
  <c r="F230" i="7"/>
  <c r="Q229" i="7"/>
  <c r="F229" i="7"/>
  <c r="Q228" i="7"/>
  <c r="F228" i="7"/>
  <c r="Q227" i="7"/>
  <c r="F227" i="7"/>
  <c r="Q226" i="7"/>
  <c r="F226" i="7"/>
  <c r="Q225" i="7"/>
  <c r="F225" i="7"/>
  <c r="R224" i="7"/>
  <c r="F224" i="7"/>
  <c r="S223" i="7"/>
  <c r="S350" i="7" s="1"/>
  <c r="P223" i="7"/>
  <c r="O223" i="7"/>
  <c r="H223" i="7"/>
  <c r="E223" i="7"/>
  <c r="D223" i="7"/>
  <c r="S222" i="7"/>
  <c r="P222" i="7"/>
  <c r="O222" i="7"/>
  <c r="H222" i="7"/>
  <c r="E222" i="7"/>
  <c r="D222" i="7"/>
  <c r="R212" i="7"/>
  <c r="T212" i="7" s="1"/>
  <c r="U212" i="7" s="1"/>
  <c r="J212" i="7"/>
  <c r="G212" i="7"/>
  <c r="I212" i="7" s="1"/>
  <c r="F212" i="7"/>
  <c r="Q208" i="7"/>
  <c r="F208" i="7"/>
  <c r="Q207" i="7"/>
  <c r="F207" i="7"/>
  <c r="Q206" i="7"/>
  <c r="R203" i="7" s="1"/>
  <c r="F206" i="7"/>
  <c r="F205" i="7"/>
  <c r="T203" i="7"/>
  <c r="U203" i="7" s="1"/>
  <c r="F203" i="7"/>
  <c r="F199" i="7"/>
  <c r="R198" i="7"/>
  <c r="T198" i="7" s="1"/>
  <c r="U198" i="7" s="1"/>
  <c r="F198" i="7"/>
  <c r="G198" i="7" s="1"/>
  <c r="I198" i="7" s="1"/>
  <c r="J198" i="7" s="1"/>
  <c r="R195" i="7"/>
  <c r="T195" i="7" s="1"/>
  <c r="U195" i="7" s="1"/>
  <c r="I195" i="7"/>
  <c r="J195" i="7" s="1"/>
  <c r="G195" i="7"/>
  <c r="F195" i="7"/>
  <c r="R192" i="7"/>
  <c r="T192" i="7" s="1"/>
  <c r="U192" i="7" s="1"/>
  <c r="G192" i="7"/>
  <c r="I192" i="7" s="1"/>
  <c r="J192" i="7" s="1"/>
  <c r="F192" i="7"/>
  <c r="R186" i="7"/>
  <c r="T186" i="7" s="1"/>
  <c r="U186" i="7" s="1"/>
  <c r="I186" i="7"/>
  <c r="J186" i="7" s="1"/>
  <c r="F186" i="7"/>
  <c r="G186" i="7" s="1"/>
  <c r="T182" i="7"/>
  <c r="U182" i="7" s="1"/>
  <c r="R182" i="7"/>
  <c r="G182" i="7"/>
  <c r="I182" i="7" s="1"/>
  <c r="J182" i="7" s="1"/>
  <c r="F182" i="7"/>
  <c r="R179" i="7"/>
  <c r="T179" i="7" s="1"/>
  <c r="U179" i="7" s="1"/>
  <c r="F179" i="7"/>
  <c r="G179" i="7" s="1"/>
  <c r="I179" i="7" s="1"/>
  <c r="J179" i="7" s="1"/>
  <c r="Q177" i="7"/>
  <c r="F177" i="7"/>
  <c r="Q176" i="7"/>
  <c r="F176" i="7"/>
  <c r="Q175" i="7"/>
  <c r="F175" i="7"/>
  <c r="Q174" i="7"/>
  <c r="F174" i="7"/>
  <c r="Q173" i="7"/>
  <c r="F173" i="7"/>
  <c r="Q172" i="7"/>
  <c r="R169" i="7" s="1"/>
  <c r="T169" i="7" s="1"/>
  <c r="U169" i="7" s="1"/>
  <c r="F172" i="7"/>
  <c r="Q171" i="7"/>
  <c r="F171" i="7"/>
  <c r="G169" i="7" s="1"/>
  <c r="I169" i="7" s="1"/>
  <c r="J169" i="7" s="1"/>
  <c r="F170" i="7"/>
  <c r="F169" i="7"/>
  <c r="R165" i="7"/>
  <c r="T165" i="7" s="1"/>
  <c r="U165" i="7" s="1"/>
  <c r="G165" i="7"/>
  <c r="I165" i="7" s="1"/>
  <c r="J165" i="7" s="1"/>
  <c r="F165" i="7"/>
  <c r="Q162" i="7"/>
  <c r="F162" i="7"/>
  <c r="Q161" i="7"/>
  <c r="F161" i="7"/>
  <c r="Q160" i="7"/>
  <c r="F160" i="7"/>
  <c r="Q159" i="7"/>
  <c r="F159" i="7"/>
  <c r="Q158" i="7"/>
  <c r="R156" i="7" s="1"/>
  <c r="T156" i="7" s="1"/>
  <c r="U156" i="7" s="1"/>
  <c r="F158" i="7"/>
  <c r="Q157" i="7"/>
  <c r="F157" i="7"/>
  <c r="F156" i="7"/>
  <c r="G156" i="7" s="1"/>
  <c r="I156" i="7" s="1"/>
  <c r="J156" i="7" s="1"/>
  <c r="R154" i="7"/>
  <c r="T154" i="7" s="1"/>
  <c r="U154" i="7" s="1"/>
  <c r="F154" i="7"/>
  <c r="G154" i="7" s="1"/>
  <c r="I154" i="7" s="1"/>
  <c r="J154" i="7" s="1"/>
  <c r="Q147" i="7"/>
  <c r="F147" i="7"/>
  <c r="Q146" i="7"/>
  <c r="F146" i="7"/>
  <c r="Q145" i="7"/>
  <c r="F145" i="7"/>
  <c r="Q144" i="7"/>
  <c r="F144" i="7"/>
  <c r="Q143" i="7"/>
  <c r="F143" i="7"/>
  <c r="Q142" i="7"/>
  <c r="F142" i="7"/>
  <c r="Q141" i="7"/>
  <c r="F141" i="7"/>
  <c r="Q140" i="7"/>
  <c r="F140" i="7"/>
  <c r="Q139" i="7"/>
  <c r="F139" i="7"/>
  <c r="Q138" i="7"/>
  <c r="F138" i="7"/>
  <c r="F137" i="7"/>
  <c r="G137" i="7" s="1"/>
  <c r="I137" i="7" s="1"/>
  <c r="J137" i="7" s="1"/>
  <c r="Q132" i="7"/>
  <c r="F132" i="7"/>
  <c r="Q131" i="7"/>
  <c r="F131" i="7"/>
  <c r="Q130" i="7"/>
  <c r="F130" i="7"/>
  <c r="Q129" i="7"/>
  <c r="R128" i="7" s="1"/>
  <c r="T128" i="7" s="1"/>
  <c r="U128" i="7" s="1"/>
  <c r="F129" i="7"/>
  <c r="F128" i="7"/>
  <c r="Q126" i="7"/>
  <c r="F126" i="7"/>
  <c r="Q125" i="7"/>
  <c r="F125" i="7"/>
  <c r="Q124" i="7"/>
  <c r="F124" i="7"/>
  <c r="Q123" i="7"/>
  <c r="F123" i="7"/>
  <c r="Q122" i="7"/>
  <c r="F122" i="7"/>
  <c r="F121" i="7"/>
  <c r="G121" i="7" s="1"/>
  <c r="I121" i="7" s="1"/>
  <c r="J121" i="7" s="1"/>
  <c r="Q119" i="7"/>
  <c r="Q222" i="7" s="1"/>
  <c r="F119" i="7"/>
  <c r="Q118" i="7"/>
  <c r="F118" i="7"/>
  <c r="Q117" i="7"/>
  <c r="F117" i="7"/>
  <c r="T114" i="7"/>
  <c r="R114" i="7"/>
  <c r="J114" i="7"/>
  <c r="G114" i="7"/>
  <c r="I114" i="7" s="1"/>
  <c r="F114" i="7"/>
  <c r="R111" i="7"/>
  <c r="T111" i="7" s="1"/>
  <c r="U111" i="7" s="1"/>
  <c r="F111" i="7"/>
  <c r="S110" i="7"/>
  <c r="P110" i="7"/>
  <c r="O110" i="7"/>
  <c r="H110" i="7"/>
  <c r="E110" i="7"/>
  <c r="D110" i="7"/>
  <c r="D350" i="7" s="1"/>
  <c r="S109" i="7"/>
  <c r="P109" i="7"/>
  <c r="O109" i="7"/>
  <c r="H109" i="7"/>
  <c r="E109" i="7"/>
  <c r="D109" i="7"/>
  <c r="Q106" i="7"/>
  <c r="F106" i="7"/>
  <c r="Q105" i="7"/>
  <c r="F105" i="7"/>
  <c r="Q104" i="7"/>
  <c r="F104" i="7"/>
  <c r="Q103" i="7"/>
  <c r="F103" i="7"/>
  <c r="Q102" i="7"/>
  <c r="F102" i="7"/>
  <c r="Q101" i="7"/>
  <c r="F101" i="7"/>
  <c r="Q100" i="7"/>
  <c r="F100" i="7"/>
  <c r="Q99" i="7"/>
  <c r="F99" i="7"/>
  <c r="Q98" i="7"/>
  <c r="F98" i="7"/>
  <c r="F97" i="7"/>
  <c r="Q91" i="7"/>
  <c r="F91" i="7"/>
  <c r="Q90" i="7"/>
  <c r="F90" i="7"/>
  <c r="Q88" i="7"/>
  <c r="F88" i="7"/>
  <c r="Q87" i="7"/>
  <c r="F87" i="7"/>
  <c r="Q86" i="7"/>
  <c r="F86" i="7"/>
  <c r="Q85" i="7"/>
  <c r="F85" i="7"/>
  <c r="Q84" i="7"/>
  <c r="R80" i="7" s="1"/>
  <c r="T80" i="7" s="1"/>
  <c r="U80" i="7" s="1"/>
  <c r="F84" i="7"/>
  <c r="Q83" i="7"/>
  <c r="F83" i="7"/>
  <c r="Q82" i="7"/>
  <c r="F82" i="7"/>
  <c r="Q81" i="7"/>
  <c r="F81" i="7"/>
  <c r="F80" i="7"/>
  <c r="G80" i="7" s="1"/>
  <c r="I80" i="7" s="1"/>
  <c r="J80" i="7" s="1"/>
  <c r="U77" i="7"/>
  <c r="T77" i="7"/>
  <c r="R77" i="7"/>
  <c r="F77" i="7"/>
  <c r="G77" i="7" s="1"/>
  <c r="I77" i="7" s="1"/>
  <c r="J77" i="7" s="1"/>
  <c r="F74" i="7"/>
  <c r="T73" i="7"/>
  <c r="U73" i="7" s="1"/>
  <c r="R73" i="7"/>
  <c r="F73" i="7"/>
  <c r="G73" i="7" s="1"/>
  <c r="I73" i="7" s="1"/>
  <c r="J73" i="7" s="1"/>
  <c r="Q71" i="7"/>
  <c r="F71" i="7"/>
  <c r="Q70" i="7"/>
  <c r="F70" i="7"/>
  <c r="Q69" i="7"/>
  <c r="F69" i="7"/>
  <c r="Q68" i="7"/>
  <c r="R66" i="7" s="1"/>
  <c r="T66" i="7" s="1"/>
  <c r="U66" i="7" s="1"/>
  <c r="F68" i="7"/>
  <c r="Q67" i="7"/>
  <c r="F67" i="7"/>
  <c r="G66" i="7"/>
  <c r="I66" i="7" s="1"/>
  <c r="J66" i="7" s="1"/>
  <c r="F66" i="7"/>
  <c r="R64" i="7"/>
  <c r="T64" i="7" s="1"/>
  <c r="U64" i="7" s="1"/>
  <c r="F64" i="7"/>
  <c r="G64" i="7" s="1"/>
  <c r="I64" i="7" s="1"/>
  <c r="J64" i="7" s="1"/>
  <c r="U61" i="7"/>
  <c r="T61" i="7"/>
  <c r="R61" i="7"/>
  <c r="I61" i="7"/>
  <c r="J61" i="7" s="1"/>
  <c r="F61" i="7"/>
  <c r="G61" i="7" s="1"/>
  <c r="U58" i="7"/>
  <c r="T58" i="7"/>
  <c r="R58" i="7"/>
  <c r="I58" i="7"/>
  <c r="J58" i="7" s="1"/>
  <c r="G58" i="7"/>
  <c r="F58" i="7"/>
  <c r="R55" i="7"/>
  <c r="T55" i="7" s="1"/>
  <c r="U55" i="7" s="1"/>
  <c r="J55" i="7"/>
  <c r="G55" i="7"/>
  <c r="I55" i="7" s="1"/>
  <c r="F55" i="7"/>
  <c r="T52" i="7"/>
  <c r="U52" i="7" s="1"/>
  <c r="R52" i="7"/>
  <c r="J52" i="7"/>
  <c r="F52" i="7"/>
  <c r="G52" i="7" s="1"/>
  <c r="I52" i="7" s="1"/>
  <c r="Q49" i="7"/>
  <c r="R43" i="7" s="1"/>
  <c r="T43" i="7" s="1"/>
  <c r="F49" i="7"/>
  <c r="Q48" i="7"/>
  <c r="F48" i="7"/>
  <c r="Q47" i="7"/>
  <c r="F47" i="7"/>
  <c r="Q46" i="7"/>
  <c r="F46" i="7"/>
  <c r="Q45" i="7"/>
  <c r="F45" i="7"/>
  <c r="F44" i="7"/>
  <c r="U43" i="7"/>
  <c r="F43" i="7"/>
  <c r="T40" i="7"/>
  <c r="U40" i="7" s="1"/>
  <c r="R40" i="7"/>
  <c r="G40" i="7"/>
  <c r="I40" i="7" s="1"/>
  <c r="J40" i="7" s="1"/>
  <c r="F40" i="7"/>
  <c r="T37" i="7"/>
  <c r="U37" i="7" s="1"/>
  <c r="R37" i="7"/>
  <c r="F37" i="7"/>
  <c r="G37" i="7" s="1"/>
  <c r="I37" i="7" s="1"/>
  <c r="J37" i="7" s="1"/>
  <c r="Q34" i="7"/>
  <c r="F34" i="7"/>
  <c r="Q33" i="7"/>
  <c r="F33" i="7"/>
  <c r="Q32" i="7"/>
  <c r="F32" i="7"/>
  <c r="Q31" i="7"/>
  <c r="F31" i="7"/>
  <c r="Q30" i="7"/>
  <c r="F30" i="7"/>
  <c r="Q29" i="7"/>
  <c r="F29" i="7"/>
  <c r="Q28" i="7"/>
  <c r="R26" i="7" s="1"/>
  <c r="T26" i="7" s="1"/>
  <c r="F28" i="7"/>
  <c r="F27" i="7"/>
  <c r="U26" i="7"/>
  <c r="G26" i="7"/>
  <c r="I26" i="7" s="1"/>
  <c r="J26" i="7" s="1"/>
  <c r="F26" i="7"/>
  <c r="Q23" i="7"/>
  <c r="F23" i="7"/>
  <c r="Q22" i="7"/>
  <c r="F22" i="7"/>
  <c r="Q21" i="7"/>
  <c r="F21" i="7"/>
  <c r="Q20" i="7"/>
  <c r="F20" i="7"/>
  <c r="G16" i="7" s="1"/>
  <c r="I16" i="7" s="1"/>
  <c r="J16" i="7" s="1"/>
  <c r="Q19" i="7"/>
  <c r="F19" i="7"/>
  <c r="Q18" i="7"/>
  <c r="F18" i="7"/>
  <c r="T14" i="7"/>
  <c r="U14" i="7" s="1"/>
  <c r="R14" i="7"/>
  <c r="G14" i="7"/>
  <c r="F14" i="7"/>
  <c r="R12" i="7"/>
  <c r="G12" i="7"/>
  <c r="F12" i="7"/>
  <c r="T5" i="7"/>
  <c r="U5" i="7" s="1"/>
  <c r="R5" i="7"/>
  <c r="G5" i="7"/>
  <c r="I5" i="7" s="1"/>
  <c r="J5" i="7" s="1"/>
  <c r="S1210" i="6"/>
  <c r="P1210" i="6"/>
  <c r="P1212" i="6" s="1"/>
  <c r="O1210" i="6"/>
  <c r="H1210" i="6"/>
  <c r="E1210" i="6"/>
  <c r="D1210" i="6"/>
  <c r="S1209" i="6"/>
  <c r="P1209" i="6"/>
  <c r="O1209" i="6"/>
  <c r="H1209" i="6"/>
  <c r="E1209" i="6"/>
  <c r="D1209" i="6"/>
  <c r="F1203" i="6"/>
  <c r="G1202" i="6" s="1"/>
  <c r="I1202" i="6" s="1"/>
  <c r="J1202" i="6" s="1"/>
  <c r="T1202" i="6"/>
  <c r="U1202" i="6" s="1"/>
  <c r="R1202" i="6"/>
  <c r="Q1201" i="6"/>
  <c r="F1201" i="6"/>
  <c r="Q1200" i="6"/>
  <c r="F1200" i="6"/>
  <c r="Q1199" i="6"/>
  <c r="F1199" i="6"/>
  <c r="Q1198" i="6"/>
  <c r="F1198" i="6"/>
  <c r="Q1197" i="6"/>
  <c r="F1197" i="6"/>
  <c r="Q1196" i="6"/>
  <c r="F1196" i="6"/>
  <c r="Q1195" i="6"/>
  <c r="I1195" i="6"/>
  <c r="J1195" i="6" s="1"/>
  <c r="G1195" i="6"/>
  <c r="F1195" i="6"/>
  <c r="Q1193" i="6"/>
  <c r="F1193" i="6"/>
  <c r="Q1192" i="6"/>
  <c r="F1192" i="6"/>
  <c r="Q1191" i="6"/>
  <c r="F1191" i="6"/>
  <c r="Q1190" i="6"/>
  <c r="F1190" i="6"/>
  <c r="Q1189" i="6"/>
  <c r="F1189" i="6"/>
  <c r="Q1188" i="6"/>
  <c r="F1188" i="6"/>
  <c r="Q1187" i="6"/>
  <c r="F1187" i="6"/>
  <c r="Q1186" i="6"/>
  <c r="F1186" i="6"/>
  <c r="Q1185" i="6"/>
  <c r="R1184" i="6" s="1"/>
  <c r="T1184" i="6" s="1"/>
  <c r="U1184" i="6" s="1"/>
  <c r="F1185" i="6"/>
  <c r="Q1184" i="6"/>
  <c r="F1184" i="6"/>
  <c r="Q1182" i="6"/>
  <c r="F1182" i="6"/>
  <c r="T1180" i="6"/>
  <c r="U1180" i="6" s="1"/>
  <c r="R1180" i="6"/>
  <c r="Q1180" i="6"/>
  <c r="F1180" i="6"/>
  <c r="Q1175" i="6"/>
  <c r="F1175" i="6"/>
  <c r="Q1174" i="6"/>
  <c r="F1174" i="6"/>
  <c r="Q1173" i="6"/>
  <c r="F1173" i="6"/>
  <c r="Q1172" i="6"/>
  <c r="F1172" i="6"/>
  <c r="F1170" i="6"/>
  <c r="Q1169" i="6"/>
  <c r="F1169" i="6"/>
  <c r="R1168" i="6"/>
  <c r="T1168" i="6" s="1"/>
  <c r="U1168" i="6" s="1"/>
  <c r="Q1168" i="6"/>
  <c r="F1168" i="6"/>
  <c r="T1166" i="6"/>
  <c r="U1166" i="6" s="1"/>
  <c r="R1166" i="6"/>
  <c r="G1166" i="6"/>
  <c r="I1166" i="6" s="1"/>
  <c r="J1166" i="6" s="1"/>
  <c r="R1163" i="6"/>
  <c r="G1163" i="6"/>
  <c r="S1162" i="6"/>
  <c r="P1162" i="6"/>
  <c r="O1162" i="6"/>
  <c r="H1162" i="6"/>
  <c r="E1162" i="6"/>
  <c r="D1162" i="6"/>
  <c r="S1161" i="6"/>
  <c r="P1161" i="6"/>
  <c r="O1161" i="6"/>
  <c r="H1161" i="6"/>
  <c r="E1161" i="6"/>
  <c r="D1161" i="6"/>
  <c r="T1159" i="6"/>
  <c r="U1159" i="6" s="1"/>
  <c r="R1159" i="6"/>
  <c r="Q1159" i="6"/>
  <c r="F1159" i="6"/>
  <c r="G1159" i="6" s="1"/>
  <c r="I1159" i="6" s="1"/>
  <c r="J1159" i="6" s="1"/>
  <c r="Q1154" i="6"/>
  <c r="F1154" i="6"/>
  <c r="Q1153" i="6"/>
  <c r="F1153" i="6"/>
  <c r="Q1152" i="6"/>
  <c r="F1152" i="6"/>
  <c r="Q1151" i="6"/>
  <c r="F1151" i="6"/>
  <c r="U1149" i="6"/>
  <c r="R1149" i="6"/>
  <c r="T1149" i="6" s="1"/>
  <c r="J1149" i="6"/>
  <c r="I1149" i="6"/>
  <c r="G1149" i="6"/>
  <c r="Q1148" i="6"/>
  <c r="F1148" i="6"/>
  <c r="Q1147" i="6"/>
  <c r="F1147" i="6"/>
  <c r="Q1146" i="6"/>
  <c r="F1146" i="6"/>
  <c r="Q1145" i="6"/>
  <c r="F1145" i="6"/>
  <c r="F1144" i="6"/>
  <c r="F1143" i="6"/>
  <c r="Q1141" i="6"/>
  <c r="F1141" i="6"/>
  <c r="Q1140" i="6"/>
  <c r="R1138" i="6" s="1"/>
  <c r="T1138" i="6" s="1"/>
  <c r="U1138" i="6" s="1"/>
  <c r="F1140" i="6"/>
  <c r="F1139" i="6"/>
  <c r="G1138" i="6"/>
  <c r="I1138" i="6" s="1"/>
  <c r="J1138" i="6" s="1"/>
  <c r="F1138" i="6"/>
  <c r="Q1136" i="6"/>
  <c r="F1136" i="6"/>
  <c r="Q1135" i="6"/>
  <c r="F1135" i="6"/>
  <c r="F1134" i="6"/>
  <c r="F1133" i="6"/>
  <c r="G1133" i="6" s="1"/>
  <c r="I1133" i="6" s="1"/>
  <c r="J1133" i="6" s="1"/>
  <c r="T1131" i="6"/>
  <c r="U1131" i="6" s="1"/>
  <c r="R1131" i="6"/>
  <c r="J1131" i="6"/>
  <c r="I1131" i="6"/>
  <c r="F1131" i="6"/>
  <c r="G1131" i="6" s="1"/>
  <c r="T1128" i="6"/>
  <c r="U1128" i="6" s="1"/>
  <c r="R1128" i="6"/>
  <c r="G1128" i="6"/>
  <c r="I1128" i="6" s="1"/>
  <c r="J1128" i="6" s="1"/>
  <c r="Q1127" i="6"/>
  <c r="F1127" i="6"/>
  <c r="Q1126" i="6"/>
  <c r="F1126" i="6"/>
  <c r="Q1125" i="6"/>
  <c r="F1125" i="6"/>
  <c r="Q1124" i="6"/>
  <c r="F1124" i="6"/>
  <c r="Q1123" i="6"/>
  <c r="F1123" i="6"/>
  <c r="G1120" i="6" s="1"/>
  <c r="I1120" i="6" s="1"/>
  <c r="J1120" i="6" s="1"/>
  <c r="F1122" i="6"/>
  <c r="Q1121" i="6"/>
  <c r="F1121" i="6"/>
  <c r="Q1120" i="6"/>
  <c r="F1120" i="6"/>
  <c r="U1113" i="6"/>
  <c r="R1113" i="6"/>
  <c r="T1113" i="6" s="1"/>
  <c r="G1113" i="6"/>
  <c r="I1113" i="6" s="1"/>
  <c r="J1113" i="6" s="1"/>
  <c r="T1108" i="6"/>
  <c r="U1108" i="6" s="1"/>
  <c r="R1108" i="6"/>
  <c r="I1108" i="6"/>
  <c r="J1108" i="6" s="1"/>
  <c r="F1108" i="6"/>
  <c r="G1108" i="6" s="1"/>
  <c r="U1106" i="6"/>
  <c r="Q1106" i="6"/>
  <c r="R1106" i="6" s="1"/>
  <c r="T1106" i="6" s="1"/>
  <c r="I1106" i="6"/>
  <c r="J1106" i="6" s="1"/>
  <c r="G1106" i="6"/>
  <c r="F1106" i="6"/>
  <c r="T1104" i="6"/>
  <c r="U1104" i="6" s="1"/>
  <c r="R1104" i="6"/>
  <c r="Q1104" i="6"/>
  <c r="J1104" i="6"/>
  <c r="I1104" i="6"/>
  <c r="G1104" i="6"/>
  <c r="F1104" i="6"/>
  <c r="U1102" i="6"/>
  <c r="T1102" i="6"/>
  <c r="Q1102" i="6"/>
  <c r="R1102" i="6" s="1"/>
  <c r="F1102" i="6"/>
  <c r="G1102" i="6" s="1"/>
  <c r="I1102" i="6" s="1"/>
  <c r="J1102" i="6" s="1"/>
  <c r="Q1100" i="6"/>
  <c r="F1100" i="6"/>
  <c r="Q1099" i="6"/>
  <c r="F1099" i="6"/>
  <c r="G1098" i="6" s="1"/>
  <c r="I1098" i="6" s="1"/>
  <c r="J1098" i="6" s="1"/>
  <c r="T1098" i="6"/>
  <c r="U1098" i="6" s="1"/>
  <c r="R1098" i="6"/>
  <c r="Q1098" i="6"/>
  <c r="F1098" i="6"/>
  <c r="Q1095" i="6"/>
  <c r="F1095" i="6"/>
  <c r="Q1094" i="6"/>
  <c r="F1094" i="6"/>
  <c r="G1089" i="6" s="1"/>
  <c r="I1089" i="6" s="1"/>
  <c r="J1089" i="6" s="1"/>
  <c r="Q1093" i="6"/>
  <c r="F1093" i="6"/>
  <c r="Q1092" i="6"/>
  <c r="F1092" i="6"/>
  <c r="F1091" i="6"/>
  <c r="Q1090" i="6"/>
  <c r="F1090" i="6"/>
  <c r="Q1089" i="6"/>
  <c r="F1089" i="6"/>
  <c r="T1082" i="6"/>
  <c r="U1082" i="6" s="1"/>
  <c r="R1082" i="6"/>
  <c r="F1082" i="6"/>
  <c r="G1082" i="6" s="1"/>
  <c r="I1082" i="6" s="1"/>
  <c r="J1082" i="6" s="1"/>
  <c r="Q1079" i="6"/>
  <c r="R1079" i="6" s="1"/>
  <c r="T1079" i="6" s="1"/>
  <c r="U1079" i="6" s="1"/>
  <c r="F1079" i="6"/>
  <c r="G1079" i="6" s="1"/>
  <c r="I1079" i="6" s="1"/>
  <c r="J1079" i="6" s="1"/>
  <c r="Q1076" i="6"/>
  <c r="F1076" i="6"/>
  <c r="Q1075" i="6"/>
  <c r="F1075" i="6"/>
  <c r="Q1074" i="6"/>
  <c r="F1074" i="6"/>
  <c r="Q1073" i="6"/>
  <c r="F1073" i="6"/>
  <c r="R1072" i="6"/>
  <c r="T1072" i="6" s="1"/>
  <c r="U1072" i="6" s="1"/>
  <c r="Q1072" i="6"/>
  <c r="G1072" i="6"/>
  <c r="I1072" i="6" s="1"/>
  <c r="J1072" i="6" s="1"/>
  <c r="F1072" i="6"/>
  <c r="F1069" i="6"/>
  <c r="Q1066" i="6"/>
  <c r="F1066" i="6"/>
  <c r="Q1065" i="6"/>
  <c r="F1065" i="6"/>
  <c r="Q1064" i="6"/>
  <c r="F1064" i="6"/>
  <c r="Q1063" i="6"/>
  <c r="F1063" i="6"/>
  <c r="Q1062" i="6"/>
  <c r="F1062" i="6"/>
  <c r="Q1061" i="6"/>
  <c r="F1061" i="6"/>
  <c r="Q1060" i="6"/>
  <c r="F1060" i="6"/>
  <c r="Q1059" i="6"/>
  <c r="F1059" i="6"/>
  <c r="Q1058" i="6"/>
  <c r="F1058" i="6"/>
  <c r="F1161" i="6" s="1"/>
  <c r="Q1057" i="6"/>
  <c r="Q1161" i="6" s="1"/>
  <c r="F1057" i="6"/>
  <c r="F1056" i="6"/>
  <c r="R1049" i="6"/>
  <c r="G1049" i="6"/>
  <c r="S1048" i="6"/>
  <c r="S1212" i="6" s="1"/>
  <c r="P1048" i="6"/>
  <c r="O1048" i="6"/>
  <c r="O1212" i="6" s="1"/>
  <c r="H1048" i="6"/>
  <c r="H1212" i="6" s="1"/>
  <c r="E1048" i="6"/>
  <c r="E1212" i="6" s="1"/>
  <c r="D1048" i="6"/>
  <c r="D1212" i="6" s="1"/>
  <c r="S1047" i="6"/>
  <c r="P1047" i="6"/>
  <c r="O1047" i="6"/>
  <c r="H1047" i="6"/>
  <c r="E1047" i="6"/>
  <c r="D1047" i="6"/>
  <c r="T1045" i="6"/>
  <c r="U1045" i="6" s="1"/>
  <c r="R1045" i="6"/>
  <c r="G1045" i="6"/>
  <c r="I1045" i="6" s="1"/>
  <c r="J1045" i="6" s="1"/>
  <c r="Q1040" i="6"/>
  <c r="F1040" i="6"/>
  <c r="Q1039" i="6"/>
  <c r="F1039" i="6"/>
  <c r="Q1038" i="6"/>
  <c r="F1038" i="6"/>
  <c r="G1036" i="6" s="1"/>
  <c r="I1036" i="6" s="1"/>
  <c r="J1036" i="6" s="1"/>
  <c r="Q1037" i="6"/>
  <c r="F1037" i="6"/>
  <c r="T1036" i="6"/>
  <c r="U1036" i="6" s="1"/>
  <c r="R1036" i="6"/>
  <c r="F1036" i="6"/>
  <c r="Q1034" i="6"/>
  <c r="F1034" i="6"/>
  <c r="G1032" i="6" s="1"/>
  <c r="I1032" i="6" s="1"/>
  <c r="J1032" i="6" s="1"/>
  <c r="Q1033" i="6"/>
  <c r="F1033" i="6"/>
  <c r="T1032" i="6"/>
  <c r="U1032" i="6" s="1"/>
  <c r="R1032" i="6"/>
  <c r="Q1032" i="6"/>
  <c r="F1032" i="6"/>
  <c r="Q1030" i="6"/>
  <c r="F1030" i="6"/>
  <c r="Q1029" i="6"/>
  <c r="F1029" i="6"/>
  <c r="Q1028" i="6"/>
  <c r="R1027" i="6" s="1"/>
  <c r="T1027" i="6" s="1"/>
  <c r="U1027" i="6" s="1"/>
  <c r="F1028" i="6"/>
  <c r="G1027" i="6" s="1"/>
  <c r="I1027" i="6" s="1"/>
  <c r="J1027" i="6" s="1"/>
  <c r="Q1027" i="6"/>
  <c r="F1027" i="6"/>
  <c r="Q1024" i="6"/>
  <c r="F1024" i="6"/>
  <c r="Q1023" i="6"/>
  <c r="F1023" i="6"/>
  <c r="Q1022" i="6"/>
  <c r="F1022" i="6"/>
  <c r="Q1021" i="6"/>
  <c r="F1021" i="6"/>
  <c r="Q1020" i="6"/>
  <c r="J1020" i="6"/>
  <c r="F1020" i="6"/>
  <c r="G1020" i="6" s="1"/>
  <c r="I1020" i="6" s="1"/>
  <c r="T1018" i="6"/>
  <c r="U1018" i="6" s="1"/>
  <c r="R1018" i="6"/>
  <c r="I1018" i="6"/>
  <c r="J1018" i="6" s="1"/>
  <c r="G1018" i="6"/>
  <c r="R1016" i="6"/>
  <c r="T1016" i="6" s="1"/>
  <c r="U1016" i="6" s="1"/>
  <c r="F1016" i="6"/>
  <c r="G1016" i="6" s="1"/>
  <c r="I1016" i="6" s="1"/>
  <c r="J1016" i="6" s="1"/>
  <c r="U1014" i="6"/>
  <c r="T1014" i="6"/>
  <c r="R1014" i="6"/>
  <c r="J1014" i="6"/>
  <c r="G1014" i="6"/>
  <c r="I1014" i="6" s="1"/>
  <c r="F1014" i="6"/>
  <c r="R1008" i="6"/>
  <c r="T1008" i="6" s="1"/>
  <c r="U1008" i="6" s="1"/>
  <c r="G1008" i="6"/>
  <c r="I1008" i="6" s="1"/>
  <c r="J1008" i="6" s="1"/>
  <c r="Q1002" i="6"/>
  <c r="F1002" i="6"/>
  <c r="G1001" i="6"/>
  <c r="I1001" i="6" s="1"/>
  <c r="J1001" i="6" s="1"/>
  <c r="F1001" i="6"/>
  <c r="T994" i="6"/>
  <c r="R994" i="6"/>
  <c r="I994" i="6"/>
  <c r="G994" i="6"/>
  <c r="S992" i="6"/>
  <c r="P992" i="6"/>
  <c r="S990" i="6"/>
  <c r="P990" i="6"/>
  <c r="O990" i="6"/>
  <c r="H990" i="6"/>
  <c r="E990" i="6"/>
  <c r="D990" i="6"/>
  <c r="D992" i="6" s="1"/>
  <c r="S989" i="6"/>
  <c r="P989" i="6"/>
  <c r="O989" i="6"/>
  <c r="H989" i="6"/>
  <c r="E989" i="6"/>
  <c r="D989" i="6"/>
  <c r="Q983" i="6"/>
  <c r="F983" i="6"/>
  <c r="Q982" i="6"/>
  <c r="F982" i="6"/>
  <c r="Q981" i="6"/>
  <c r="F981" i="6"/>
  <c r="U980" i="6"/>
  <c r="T980" i="6"/>
  <c r="R980" i="6"/>
  <c r="F980" i="6"/>
  <c r="F978" i="6"/>
  <c r="R977" i="6"/>
  <c r="T977" i="6" s="1"/>
  <c r="U977" i="6" s="1"/>
  <c r="J977" i="6"/>
  <c r="I977" i="6"/>
  <c r="G977" i="6"/>
  <c r="F977" i="6"/>
  <c r="F970" i="6"/>
  <c r="U969" i="6"/>
  <c r="T969" i="6"/>
  <c r="R969" i="6"/>
  <c r="G969" i="6"/>
  <c r="I969" i="6" s="1"/>
  <c r="J969" i="6" s="1"/>
  <c r="U962" i="6"/>
  <c r="T962" i="6"/>
  <c r="R962" i="6"/>
  <c r="J962" i="6"/>
  <c r="I962" i="6"/>
  <c r="G962" i="6"/>
  <c r="Q959" i="6"/>
  <c r="R959" i="6" s="1"/>
  <c r="T959" i="6" s="1"/>
  <c r="U959" i="6" s="1"/>
  <c r="I959" i="6"/>
  <c r="J959" i="6" s="1"/>
  <c r="G959" i="6"/>
  <c r="F959" i="6"/>
  <c r="U954" i="6"/>
  <c r="T954" i="6"/>
  <c r="R954" i="6"/>
  <c r="G954" i="6"/>
  <c r="I954" i="6" s="1"/>
  <c r="J954" i="6" s="1"/>
  <c r="F954" i="6"/>
  <c r="Q952" i="6"/>
  <c r="F952" i="6"/>
  <c r="Q951" i="6"/>
  <c r="F951" i="6"/>
  <c r="Q950" i="6"/>
  <c r="F950" i="6"/>
  <c r="Q948" i="6"/>
  <c r="F948" i="6"/>
  <c r="Q947" i="6"/>
  <c r="F947" i="6"/>
  <c r="Q946" i="6"/>
  <c r="G946" i="6"/>
  <c r="I946" i="6" s="1"/>
  <c r="J946" i="6" s="1"/>
  <c r="F946" i="6"/>
  <c r="F943" i="6"/>
  <c r="G925" i="6" s="1"/>
  <c r="I925" i="6" s="1"/>
  <c r="J925" i="6" s="1"/>
  <c r="Q935" i="6"/>
  <c r="F935" i="6"/>
  <c r="Q934" i="6"/>
  <c r="F934" i="6"/>
  <c r="Q933" i="6"/>
  <c r="F933" i="6"/>
  <c r="F932" i="6"/>
  <c r="Q931" i="6"/>
  <c r="F931" i="6"/>
  <c r="Q930" i="6"/>
  <c r="F930" i="6"/>
  <c r="Q929" i="6"/>
  <c r="F929" i="6"/>
  <c r="Q928" i="6"/>
  <c r="F928" i="6"/>
  <c r="Q927" i="6"/>
  <c r="F927" i="6"/>
  <c r="Q926" i="6"/>
  <c r="F926" i="6"/>
  <c r="Q925" i="6"/>
  <c r="F925" i="6"/>
  <c r="T922" i="6"/>
  <c r="U922" i="6" s="1"/>
  <c r="R922" i="6"/>
  <c r="I922" i="6"/>
  <c r="J922" i="6" s="1"/>
  <c r="G922" i="6"/>
  <c r="Q920" i="6"/>
  <c r="R920" i="6" s="1"/>
  <c r="T920" i="6" s="1"/>
  <c r="U920" i="6" s="1"/>
  <c r="J920" i="6"/>
  <c r="I920" i="6"/>
  <c r="G920" i="6"/>
  <c r="F920" i="6"/>
  <c r="U916" i="6"/>
  <c r="T916" i="6"/>
  <c r="R916" i="6"/>
  <c r="G916" i="6"/>
  <c r="I916" i="6" s="1"/>
  <c r="J916" i="6" s="1"/>
  <c r="T913" i="6"/>
  <c r="U913" i="6" s="1"/>
  <c r="R913" i="6"/>
  <c r="G913" i="6"/>
  <c r="I913" i="6" s="1"/>
  <c r="J913" i="6" s="1"/>
  <c r="Q909" i="6"/>
  <c r="F909" i="6"/>
  <c r="Q908" i="6"/>
  <c r="F908" i="6"/>
  <c r="Q907" i="6"/>
  <c r="F907" i="6"/>
  <c r="G906" i="6" s="1"/>
  <c r="I906" i="6" s="1"/>
  <c r="J906" i="6" s="1"/>
  <c r="R906" i="6"/>
  <c r="T906" i="6" s="1"/>
  <c r="U906" i="6" s="1"/>
  <c r="Q906" i="6"/>
  <c r="F906" i="6"/>
  <c r="R903" i="6"/>
  <c r="T903" i="6" s="1"/>
  <c r="U903" i="6" s="1"/>
  <c r="G903" i="6"/>
  <c r="I903" i="6" s="1"/>
  <c r="J903" i="6" s="1"/>
  <c r="Q896" i="6"/>
  <c r="F896" i="6"/>
  <c r="Q895" i="6"/>
  <c r="F895" i="6"/>
  <c r="Q894" i="6"/>
  <c r="F894" i="6"/>
  <c r="Q893" i="6"/>
  <c r="F893" i="6"/>
  <c r="J892" i="6"/>
  <c r="G892" i="6"/>
  <c r="I892" i="6" s="1"/>
  <c r="F892" i="6"/>
  <c r="Q889" i="6"/>
  <c r="F889" i="6"/>
  <c r="Q888" i="6"/>
  <c r="F888" i="6"/>
  <c r="G885" i="6" s="1"/>
  <c r="I885" i="6" s="1"/>
  <c r="J885" i="6" s="1"/>
  <c r="Q887" i="6"/>
  <c r="F887" i="6"/>
  <c r="Q886" i="6"/>
  <c r="F886" i="6"/>
  <c r="Q885" i="6"/>
  <c r="F885" i="6"/>
  <c r="R880" i="6"/>
  <c r="T880" i="6" s="1"/>
  <c r="U880" i="6" s="1"/>
  <c r="I880" i="6"/>
  <c r="J880" i="6" s="1"/>
  <c r="G880" i="6"/>
  <c r="Q879" i="6"/>
  <c r="F879" i="6"/>
  <c r="Q878" i="6"/>
  <c r="F878" i="6"/>
  <c r="Q877" i="6"/>
  <c r="F877" i="6"/>
  <c r="Q876" i="6"/>
  <c r="F876" i="6"/>
  <c r="Q875" i="6"/>
  <c r="F875" i="6"/>
  <c r="Q874" i="6"/>
  <c r="F874" i="6"/>
  <c r="Q873" i="6"/>
  <c r="F873" i="6"/>
  <c r="T866" i="6"/>
  <c r="U866" i="6" s="1"/>
  <c r="R866" i="6"/>
  <c r="I866" i="6"/>
  <c r="J866" i="6" s="1"/>
  <c r="G866" i="6"/>
  <c r="Q860" i="6"/>
  <c r="R859" i="6" s="1"/>
  <c r="T859" i="6" s="1"/>
  <c r="U859" i="6" s="1"/>
  <c r="F860" i="6"/>
  <c r="F859" i="6"/>
  <c r="R851" i="6"/>
  <c r="T851" i="6" s="1"/>
  <c r="U851" i="6" s="1"/>
  <c r="F851" i="6"/>
  <c r="G851" i="6" s="1"/>
  <c r="I851" i="6" s="1"/>
  <c r="J851" i="6" s="1"/>
  <c r="Q849" i="6"/>
  <c r="F849" i="6"/>
  <c r="Q848" i="6"/>
  <c r="F848" i="6"/>
  <c r="Q847" i="6"/>
  <c r="F847" i="6"/>
  <c r="S846" i="6"/>
  <c r="P846" i="6"/>
  <c r="O846" i="6"/>
  <c r="O992" i="6" s="1"/>
  <c r="H846" i="6"/>
  <c r="H992" i="6" s="1"/>
  <c r="E846" i="6"/>
  <c r="E992" i="6" s="1"/>
  <c r="D846" i="6"/>
  <c r="S845" i="6"/>
  <c r="P845" i="6"/>
  <c r="O845" i="6"/>
  <c r="H845" i="6"/>
  <c r="E845" i="6"/>
  <c r="D845" i="6"/>
  <c r="R839" i="6"/>
  <c r="T839" i="6" s="1"/>
  <c r="U839" i="6" s="1"/>
  <c r="J839" i="6"/>
  <c r="I839" i="6"/>
  <c r="G839" i="6"/>
  <c r="F839" i="6"/>
  <c r="U832" i="6"/>
  <c r="R832" i="6"/>
  <c r="T832" i="6" s="1"/>
  <c r="F832" i="6"/>
  <c r="G832" i="6" s="1"/>
  <c r="I832" i="6" s="1"/>
  <c r="J832" i="6" s="1"/>
  <c r="Q828" i="6"/>
  <c r="F828" i="6"/>
  <c r="F827" i="6"/>
  <c r="Q826" i="6"/>
  <c r="F826" i="6"/>
  <c r="Q825" i="6"/>
  <c r="F825" i="6"/>
  <c r="Q824" i="6"/>
  <c r="F824" i="6"/>
  <c r="G823" i="6" s="1"/>
  <c r="I823" i="6" s="1"/>
  <c r="J823" i="6" s="1"/>
  <c r="Q823" i="6"/>
  <c r="F823" i="6"/>
  <c r="Q821" i="6"/>
  <c r="F821" i="6"/>
  <c r="Q820" i="6"/>
  <c r="F820" i="6"/>
  <c r="Q819" i="6"/>
  <c r="F819" i="6"/>
  <c r="Q818" i="6"/>
  <c r="F818" i="6"/>
  <c r="Q817" i="6"/>
  <c r="F817" i="6"/>
  <c r="Q816" i="6"/>
  <c r="F816" i="6"/>
  <c r="Q815" i="6"/>
  <c r="F815" i="6"/>
  <c r="Q814" i="6"/>
  <c r="F814" i="6"/>
  <c r="Q811" i="6"/>
  <c r="F811" i="6"/>
  <c r="Q810" i="6"/>
  <c r="F810" i="6"/>
  <c r="Q809" i="6"/>
  <c r="F809" i="6"/>
  <c r="Q808" i="6"/>
  <c r="F808" i="6"/>
  <c r="Q807" i="6"/>
  <c r="F807" i="6"/>
  <c r="Q806" i="6"/>
  <c r="F806" i="6"/>
  <c r="Q805" i="6"/>
  <c r="F805" i="6"/>
  <c r="Q804" i="6"/>
  <c r="F804" i="6"/>
  <c r="F803" i="6"/>
  <c r="G803" i="6" s="1"/>
  <c r="I803" i="6" s="1"/>
  <c r="J803" i="6" s="1"/>
  <c r="Q800" i="6"/>
  <c r="F800" i="6"/>
  <c r="Q799" i="6"/>
  <c r="F799" i="6"/>
  <c r="Q798" i="6"/>
  <c r="F798" i="6"/>
  <c r="Q795" i="6"/>
  <c r="F795" i="6"/>
  <c r="Q794" i="6"/>
  <c r="R794" i="6" s="1"/>
  <c r="T794" i="6" s="1"/>
  <c r="U794" i="6" s="1"/>
  <c r="F794" i="6"/>
  <c r="G794" i="6" s="1"/>
  <c r="I794" i="6" s="1"/>
  <c r="J794" i="6" s="1"/>
  <c r="Q792" i="6"/>
  <c r="R792" i="6" s="1"/>
  <c r="T792" i="6" s="1"/>
  <c r="U792" i="6" s="1"/>
  <c r="I792" i="6"/>
  <c r="J792" i="6" s="1"/>
  <c r="F792" i="6"/>
  <c r="G792" i="6" s="1"/>
  <c r="Q786" i="6"/>
  <c r="F786" i="6"/>
  <c r="Q785" i="6"/>
  <c r="F785" i="6"/>
  <c r="Q784" i="6"/>
  <c r="F784" i="6"/>
  <c r="Q783" i="6"/>
  <c r="R780" i="6" s="1"/>
  <c r="T780" i="6" s="1"/>
  <c r="U780" i="6" s="1"/>
  <c r="F783" i="6"/>
  <c r="Q782" i="6"/>
  <c r="F782" i="6"/>
  <c r="F781" i="6"/>
  <c r="F780" i="6"/>
  <c r="Q774" i="6"/>
  <c r="F774" i="6"/>
  <c r="G772" i="6" s="1"/>
  <c r="I772" i="6" s="1"/>
  <c r="J772" i="6" s="1"/>
  <c r="Q773" i="6"/>
  <c r="F773" i="6"/>
  <c r="U772" i="6"/>
  <c r="T772" i="6"/>
  <c r="R772" i="6"/>
  <c r="F772" i="6"/>
  <c r="Q770" i="6"/>
  <c r="F770" i="6"/>
  <c r="Q769" i="6"/>
  <c r="F769" i="6"/>
  <c r="Q768" i="6"/>
  <c r="F768" i="6"/>
  <c r="Q767" i="6"/>
  <c r="F767" i="6"/>
  <c r="Q766" i="6"/>
  <c r="F766" i="6"/>
  <c r="Q765" i="6"/>
  <c r="F765" i="6"/>
  <c r="Q764" i="6"/>
  <c r="F764" i="6"/>
  <c r="Q763" i="6"/>
  <c r="F763" i="6"/>
  <c r="F762" i="6"/>
  <c r="F761" i="6"/>
  <c r="G761" i="6" s="1"/>
  <c r="I761" i="6" s="1"/>
  <c r="J761" i="6" s="1"/>
  <c r="T759" i="6"/>
  <c r="U759" i="6" s="1"/>
  <c r="R759" i="6"/>
  <c r="Q759" i="6"/>
  <c r="G759" i="6"/>
  <c r="I759" i="6" s="1"/>
  <c r="J759" i="6" s="1"/>
  <c r="F759" i="6"/>
  <c r="Q747" i="6"/>
  <c r="F747" i="6"/>
  <c r="Q746" i="6"/>
  <c r="F746" i="6"/>
  <c r="G745" i="6"/>
  <c r="F745" i="6"/>
  <c r="S744" i="6"/>
  <c r="P744" i="6"/>
  <c r="O744" i="6"/>
  <c r="H744" i="6"/>
  <c r="E744" i="6"/>
  <c r="D744" i="6"/>
  <c r="S743" i="6"/>
  <c r="P743" i="6"/>
  <c r="O743" i="6"/>
  <c r="H743" i="6"/>
  <c r="E743" i="6"/>
  <c r="D743" i="6"/>
  <c r="R740" i="6"/>
  <c r="T740" i="6" s="1"/>
  <c r="U740" i="6" s="1"/>
  <c r="Q740" i="6"/>
  <c r="F740" i="6"/>
  <c r="G740" i="6" s="1"/>
  <c r="I740" i="6" s="1"/>
  <c r="J740" i="6" s="1"/>
  <c r="Q738" i="6"/>
  <c r="F738" i="6"/>
  <c r="R737" i="6"/>
  <c r="T737" i="6" s="1"/>
  <c r="U737" i="6" s="1"/>
  <c r="Q737" i="6"/>
  <c r="I737" i="6"/>
  <c r="J737" i="6" s="1"/>
  <c r="G737" i="6"/>
  <c r="F737" i="6"/>
  <c r="R735" i="6"/>
  <c r="T735" i="6" s="1"/>
  <c r="U735" i="6" s="1"/>
  <c r="G735" i="6"/>
  <c r="I735" i="6" s="1"/>
  <c r="J735" i="6" s="1"/>
  <c r="F735" i="6"/>
  <c r="R733" i="6"/>
  <c r="T733" i="6" s="1"/>
  <c r="U733" i="6" s="1"/>
  <c r="I733" i="6"/>
  <c r="J733" i="6" s="1"/>
  <c r="G733" i="6"/>
  <c r="F732" i="6"/>
  <c r="G731" i="6" s="1"/>
  <c r="I731" i="6" s="1"/>
  <c r="J731" i="6" s="1"/>
  <c r="R731" i="6"/>
  <c r="T731" i="6" s="1"/>
  <c r="U731" i="6" s="1"/>
  <c r="F728" i="6"/>
  <c r="F727" i="6"/>
  <c r="Q719" i="6"/>
  <c r="F719" i="6"/>
  <c r="Q718" i="6"/>
  <c r="F718" i="6"/>
  <c r="Q717" i="6"/>
  <c r="F717" i="6"/>
  <c r="Q716" i="6"/>
  <c r="F716" i="6"/>
  <c r="Q714" i="6"/>
  <c r="F714" i="6"/>
  <c r="Q713" i="6"/>
  <c r="F713" i="6"/>
  <c r="F712" i="6"/>
  <c r="Q711" i="6"/>
  <c r="F711" i="6"/>
  <c r="Q710" i="6"/>
  <c r="F710" i="6"/>
  <c r="Q709" i="6"/>
  <c r="F709" i="6"/>
  <c r="Q708" i="6"/>
  <c r="F708" i="6"/>
  <c r="Q707" i="6"/>
  <c r="F707" i="6"/>
  <c r="Q706" i="6"/>
  <c r="F706" i="6"/>
  <c r="Q705" i="6"/>
  <c r="F705" i="6"/>
  <c r="Q704" i="6"/>
  <c r="F704" i="6"/>
  <c r="Q703" i="6"/>
  <c r="F703" i="6"/>
  <c r="Q702" i="6"/>
  <c r="F702" i="6"/>
  <c r="R699" i="6"/>
  <c r="T699" i="6" s="1"/>
  <c r="U699" i="6" s="1"/>
  <c r="Q699" i="6"/>
  <c r="J699" i="6"/>
  <c r="I699" i="6"/>
  <c r="F699" i="6"/>
  <c r="G699" i="6" s="1"/>
  <c r="F698" i="6"/>
  <c r="T697" i="6"/>
  <c r="U697" i="6" s="1"/>
  <c r="R697" i="6"/>
  <c r="G697" i="6"/>
  <c r="I697" i="6" s="1"/>
  <c r="J697" i="6" s="1"/>
  <c r="F697" i="6"/>
  <c r="Q694" i="6"/>
  <c r="R692" i="6" s="1"/>
  <c r="T692" i="6" s="1"/>
  <c r="F694" i="6"/>
  <c r="Q693" i="6"/>
  <c r="F693" i="6"/>
  <c r="U692" i="6"/>
  <c r="Q692" i="6"/>
  <c r="G692" i="6"/>
  <c r="I692" i="6" s="1"/>
  <c r="J692" i="6" s="1"/>
  <c r="F692" i="6"/>
  <c r="R685" i="6"/>
  <c r="T685" i="6" s="1"/>
  <c r="U685" i="6" s="1"/>
  <c r="G685" i="6"/>
  <c r="I685" i="6" s="1"/>
  <c r="J685" i="6" s="1"/>
  <c r="F685" i="6"/>
  <c r="Q681" i="6"/>
  <c r="F681" i="6"/>
  <c r="Q680" i="6"/>
  <c r="F680" i="6"/>
  <c r="Q679" i="6"/>
  <c r="F679" i="6"/>
  <c r="Q678" i="6"/>
  <c r="F678" i="6"/>
  <c r="Q677" i="6"/>
  <c r="F677" i="6"/>
  <c r="F676" i="6"/>
  <c r="T670" i="6"/>
  <c r="R670" i="6"/>
  <c r="G670" i="6"/>
  <c r="F670" i="6"/>
  <c r="H668" i="6"/>
  <c r="S666" i="6"/>
  <c r="P666" i="6"/>
  <c r="O666" i="6"/>
  <c r="H666" i="6"/>
  <c r="E666" i="6"/>
  <c r="D666" i="6"/>
  <c r="S665" i="6"/>
  <c r="P665" i="6"/>
  <c r="O665" i="6"/>
  <c r="H665" i="6"/>
  <c r="E665" i="6"/>
  <c r="D665" i="6"/>
  <c r="R661" i="6"/>
  <c r="T661" i="6" s="1"/>
  <c r="U661" i="6" s="1"/>
  <c r="G661" i="6"/>
  <c r="I661" i="6" s="1"/>
  <c r="J661" i="6" s="1"/>
  <c r="F661" i="6"/>
  <c r="R653" i="6"/>
  <c r="T653" i="6" s="1"/>
  <c r="U653" i="6" s="1"/>
  <c r="F653" i="6"/>
  <c r="G653" i="6" s="1"/>
  <c r="I653" i="6" s="1"/>
  <c r="J653" i="6" s="1"/>
  <c r="U645" i="6"/>
  <c r="T645" i="6"/>
  <c r="R645" i="6"/>
  <c r="J645" i="6"/>
  <c r="G645" i="6"/>
  <c r="I645" i="6" s="1"/>
  <c r="F645" i="6"/>
  <c r="Q643" i="6"/>
  <c r="F643" i="6"/>
  <c r="Q642" i="6"/>
  <c r="F642" i="6"/>
  <c r="Q641" i="6"/>
  <c r="F641" i="6"/>
  <c r="Q640" i="6"/>
  <c r="F640" i="6"/>
  <c r="Q639" i="6"/>
  <c r="F639" i="6"/>
  <c r="Q638" i="6"/>
  <c r="F638" i="6"/>
  <c r="Q637" i="6"/>
  <c r="F637" i="6"/>
  <c r="Q636" i="6"/>
  <c r="R633" i="6" s="1"/>
  <c r="T633" i="6" s="1"/>
  <c r="U633" i="6" s="1"/>
  <c r="F636" i="6"/>
  <c r="Q635" i="6"/>
  <c r="F635" i="6"/>
  <c r="Q634" i="6"/>
  <c r="F634" i="6"/>
  <c r="F633" i="6"/>
  <c r="G633" i="6" s="1"/>
  <c r="I633" i="6" s="1"/>
  <c r="J633" i="6" s="1"/>
  <c r="R628" i="6"/>
  <c r="T628" i="6" s="1"/>
  <c r="U628" i="6" s="1"/>
  <c r="F628" i="6"/>
  <c r="G628" i="6" s="1"/>
  <c r="I628" i="6" s="1"/>
  <c r="J628" i="6" s="1"/>
  <c r="R621" i="6"/>
  <c r="T621" i="6" s="1"/>
  <c r="U621" i="6" s="1"/>
  <c r="I621" i="6"/>
  <c r="J621" i="6" s="1"/>
  <c r="G621" i="6"/>
  <c r="T614" i="6"/>
  <c r="U614" i="6" s="1"/>
  <c r="R614" i="6"/>
  <c r="G614" i="6"/>
  <c r="I614" i="6" s="1"/>
  <c r="J614" i="6" s="1"/>
  <c r="Q613" i="6"/>
  <c r="F613" i="6"/>
  <c r="Q612" i="6"/>
  <c r="F612" i="6"/>
  <c r="Q611" i="6"/>
  <c r="F611" i="6"/>
  <c r="Q610" i="6"/>
  <c r="F610" i="6"/>
  <c r="Q609" i="6"/>
  <c r="F609" i="6"/>
  <c r="Q608" i="6"/>
  <c r="F608" i="6"/>
  <c r="Q607" i="6"/>
  <c r="F607" i="6"/>
  <c r="Q606" i="6"/>
  <c r="F606" i="6"/>
  <c r="Q605" i="6"/>
  <c r="F605" i="6"/>
  <c r="Q604" i="6"/>
  <c r="F604" i="6"/>
  <c r="Q603" i="6"/>
  <c r="F603" i="6"/>
  <c r="Q602" i="6"/>
  <c r="F602" i="6"/>
  <c r="Q601" i="6"/>
  <c r="R598" i="6" s="1"/>
  <c r="T598" i="6" s="1"/>
  <c r="U598" i="6" s="1"/>
  <c r="F601" i="6"/>
  <c r="Q600" i="6"/>
  <c r="F600" i="6"/>
  <c r="Q599" i="6"/>
  <c r="F599" i="6"/>
  <c r="G598" i="6"/>
  <c r="I598" i="6" s="1"/>
  <c r="J598" i="6" s="1"/>
  <c r="F598" i="6"/>
  <c r="Q587" i="6"/>
  <c r="F587" i="6"/>
  <c r="Q586" i="6"/>
  <c r="F586" i="6"/>
  <c r="Q585" i="6"/>
  <c r="F585" i="6"/>
  <c r="Q584" i="6"/>
  <c r="F584" i="6"/>
  <c r="Q583" i="6"/>
  <c r="F583" i="6"/>
  <c r="Q582" i="6"/>
  <c r="F582" i="6"/>
  <c r="Q581" i="6"/>
  <c r="F581" i="6"/>
  <c r="Q580" i="6"/>
  <c r="F580" i="6"/>
  <c r="Q579" i="6"/>
  <c r="F579" i="6"/>
  <c r="Q578" i="6"/>
  <c r="R576" i="6" s="1"/>
  <c r="T576" i="6" s="1"/>
  <c r="U576" i="6" s="1"/>
  <c r="F578" i="6"/>
  <c r="F576" i="6"/>
  <c r="T573" i="6"/>
  <c r="U573" i="6" s="1"/>
  <c r="R573" i="6"/>
  <c r="J573" i="6"/>
  <c r="I573" i="6"/>
  <c r="G573" i="6"/>
  <c r="Q572" i="6"/>
  <c r="F572" i="6"/>
  <c r="Q571" i="6"/>
  <c r="F571" i="6"/>
  <c r="Q570" i="6"/>
  <c r="R569" i="6" s="1"/>
  <c r="F570" i="6"/>
  <c r="T569" i="6"/>
  <c r="U569" i="6" s="1"/>
  <c r="Q569" i="6"/>
  <c r="F569" i="6"/>
  <c r="U566" i="6"/>
  <c r="T566" i="6"/>
  <c r="R566" i="6"/>
  <c r="I566" i="6"/>
  <c r="J566" i="6" s="1"/>
  <c r="G566" i="6"/>
  <c r="Q564" i="6"/>
  <c r="F564" i="6"/>
  <c r="Q563" i="6"/>
  <c r="F563" i="6"/>
  <c r="Q562" i="6"/>
  <c r="F562" i="6"/>
  <c r="Q561" i="6"/>
  <c r="F561" i="6"/>
  <c r="Q560" i="6"/>
  <c r="F560" i="6"/>
  <c r="Q559" i="6"/>
  <c r="F559" i="6"/>
  <c r="Q558" i="6"/>
  <c r="F558" i="6"/>
  <c r="Q557" i="6"/>
  <c r="R556" i="6" s="1"/>
  <c r="T556" i="6" s="1"/>
  <c r="U556" i="6" s="1"/>
  <c r="F557" i="6"/>
  <c r="Q556" i="6"/>
  <c r="G556" i="6"/>
  <c r="I556" i="6" s="1"/>
  <c r="J556" i="6" s="1"/>
  <c r="F556" i="6"/>
  <c r="Q554" i="6"/>
  <c r="F554" i="6"/>
  <c r="Q553" i="6"/>
  <c r="F553" i="6"/>
  <c r="Q552" i="6"/>
  <c r="F552" i="6"/>
  <c r="Q551" i="6"/>
  <c r="F551" i="6"/>
  <c r="Q550" i="6"/>
  <c r="R550" i="6" s="1"/>
  <c r="T550" i="6" s="1"/>
  <c r="U550" i="6" s="1"/>
  <c r="I550" i="6"/>
  <c r="J550" i="6" s="1"/>
  <c r="G550" i="6"/>
  <c r="F550" i="6"/>
  <c r="Q549" i="6"/>
  <c r="F549" i="6"/>
  <c r="Q548" i="6"/>
  <c r="F548" i="6"/>
  <c r="Q547" i="6"/>
  <c r="F547" i="6"/>
  <c r="T546" i="6"/>
  <c r="U546" i="6" s="1"/>
  <c r="R546" i="6"/>
  <c r="Q546" i="6"/>
  <c r="J546" i="6"/>
  <c r="F546" i="6"/>
  <c r="G546" i="6" s="1"/>
  <c r="I546" i="6" s="1"/>
  <c r="U543" i="6"/>
  <c r="T543" i="6"/>
  <c r="R543" i="6"/>
  <c r="G543" i="6"/>
  <c r="I543" i="6" s="1"/>
  <c r="J543" i="6" s="1"/>
  <c r="U540" i="6"/>
  <c r="R540" i="6"/>
  <c r="T540" i="6" s="1"/>
  <c r="I540" i="6"/>
  <c r="J540" i="6" s="1"/>
  <c r="G540" i="6"/>
  <c r="Q535" i="6"/>
  <c r="F535" i="6"/>
  <c r="Q534" i="6"/>
  <c r="F534" i="6"/>
  <c r="Q533" i="6"/>
  <c r="F533" i="6"/>
  <c r="Q532" i="6"/>
  <c r="R531" i="6" s="1"/>
  <c r="T531" i="6" s="1"/>
  <c r="U531" i="6" s="1"/>
  <c r="F532" i="6"/>
  <c r="F531" i="6"/>
  <c r="G531" i="6" s="1"/>
  <c r="I531" i="6" s="1"/>
  <c r="J531" i="6" s="1"/>
  <c r="Q524" i="6"/>
  <c r="F524" i="6"/>
  <c r="Q523" i="6"/>
  <c r="F523" i="6"/>
  <c r="Q522" i="6"/>
  <c r="F522" i="6"/>
  <c r="G521" i="6" s="1"/>
  <c r="I521" i="6" s="1"/>
  <c r="J521" i="6" s="1"/>
  <c r="F521" i="6"/>
  <c r="R518" i="6"/>
  <c r="T518" i="6" s="1"/>
  <c r="U518" i="6" s="1"/>
  <c r="I518" i="6"/>
  <c r="J518" i="6" s="1"/>
  <c r="G518" i="6"/>
  <c r="R515" i="6"/>
  <c r="T515" i="6" s="1"/>
  <c r="U515" i="6" s="1"/>
  <c r="I515" i="6"/>
  <c r="J515" i="6" s="1"/>
  <c r="G515" i="6"/>
  <c r="U512" i="6"/>
  <c r="T512" i="6"/>
  <c r="R512" i="6"/>
  <c r="J512" i="6"/>
  <c r="I512" i="6"/>
  <c r="G512" i="6"/>
  <c r="R504" i="6"/>
  <c r="T504" i="6" s="1"/>
  <c r="U504" i="6" s="1"/>
  <c r="G504" i="6"/>
  <c r="I504" i="6" s="1"/>
  <c r="J504" i="6" s="1"/>
  <c r="U499" i="6"/>
  <c r="R499" i="6"/>
  <c r="T499" i="6" s="1"/>
  <c r="I499" i="6"/>
  <c r="J499" i="6" s="1"/>
  <c r="G499" i="6"/>
  <c r="F498" i="6"/>
  <c r="F495" i="6"/>
  <c r="R494" i="6"/>
  <c r="F494" i="6"/>
  <c r="U490" i="6"/>
  <c r="T490" i="6"/>
  <c r="R490" i="6"/>
  <c r="G490" i="6"/>
  <c r="F490" i="6"/>
  <c r="S489" i="6"/>
  <c r="P489" i="6"/>
  <c r="O489" i="6"/>
  <c r="H489" i="6"/>
  <c r="E489" i="6"/>
  <c r="D489" i="6"/>
  <c r="D668" i="6" s="1"/>
  <c r="S488" i="6"/>
  <c r="P488" i="6"/>
  <c r="O488" i="6"/>
  <c r="H488" i="6"/>
  <c r="E488" i="6"/>
  <c r="D488" i="6"/>
  <c r="Q486" i="6"/>
  <c r="R482" i="6" s="1"/>
  <c r="T482" i="6" s="1"/>
  <c r="U482" i="6" s="1"/>
  <c r="F486" i="6"/>
  <c r="Q485" i="6"/>
  <c r="F485" i="6"/>
  <c r="Q484" i="6"/>
  <c r="F484" i="6"/>
  <c r="Q483" i="6"/>
  <c r="F483" i="6"/>
  <c r="F482" i="6"/>
  <c r="R477" i="6"/>
  <c r="T477" i="6" s="1"/>
  <c r="U477" i="6" s="1"/>
  <c r="J477" i="6"/>
  <c r="I477" i="6"/>
  <c r="G477" i="6"/>
  <c r="F477" i="6"/>
  <c r="Q474" i="6"/>
  <c r="F474" i="6"/>
  <c r="Q473" i="6"/>
  <c r="R473" i="6" s="1"/>
  <c r="T473" i="6" s="1"/>
  <c r="U473" i="6" s="1"/>
  <c r="G473" i="6"/>
  <c r="I473" i="6" s="1"/>
  <c r="J473" i="6" s="1"/>
  <c r="F473" i="6"/>
  <c r="U466" i="6"/>
  <c r="R466" i="6"/>
  <c r="T466" i="6" s="1"/>
  <c r="G466" i="6"/>
  <c r="I466" i="6" s="1"/>
  <c r="J466" i="6" s="1"/>
  <c r="R460" i="6"/>
  <c r="T460" i="6" s="1"/>
  <c r="U460" i="6" s="1"/>
  <c r="F460" i="6"/>
  <c r="G460" i="6" s="1"/>
  <c r="I460" i="6" s="1"/>
  <c r="J460" i="6" s="1"/>
  <c r="Q458" i="6"/>
  <c r="F458" i="6"/>
  <c r="Q457" i="6"/>
  <c r="F457" i="6"/>
  <c r="Q456" i="6"/>
  <c r="F456" i="6"/>
  <c r="F455" i="6"/>
  <c r="Q454" i="6"/>
  <c r="F454" i="6"/>
  <c r="G454" i="6" s="1"/>
  <c r="I454" i="6" s="1"/>
  <c r="J454" i="6" s="1"/>
  <c r="F452" i="6"/>
  <c r="F488" i="6" s="1"/>
  <c r="U451" i="6"/>
  <c r="T451" i="6"/>
  <c r="R451" i="6"/>
  <c r="F451" i="6"/>
  <c r="Q447" i="6"/>
  <c r="F447" i="6"/>
  <c r="Q446" i="6"/>
  <c r="F446" i="6"/>
  <c r="Q445" i="6"/>
  <c r="F445" i="6"/>
  <c r="Q444" i="6"/>
  <c r="F444" i="6"/>
  <c r="Q443" i="6"/>
  <c r="F443" i="6"/>
  <c r="Q442" i="6"/>
  <c r="F442" i="6"/>
  <c r="Q441" i="6"/>
  <c r="F441" i="6"/>
  <c r="Q440" i="6"/>
  <c r="R438" i="6" s="1"/>
  <c r="T438" i="6" s="1"/>
  <c r="U438" i="6" s="1"/>
  <c r="F440" i="6"/>
  <c r="F439" i="6"/>
  <c r="J438" i="6"/>
  <c r="F438" i="6"/>
  <c r="G438" i="6" s="1"/>
  <c r="I438" i="6" s="1"/>
  <c r="Q434" i="6"/>
  <c r="F434" i="6"/>
  <c r="Q433" i="6"/>
  <c r="F433" i="6"/>
  <c r="Q432" i="6"/>
  <c r="F432" i="6"/>
  <c r="Q431" i="6"/>
  <c r="F431" i="6"/>
  <c r="Q429" i="6"/>
  <c r="F429" i="6"/>
  <c r="Q428" i="6"/>
  <c r="F428" i="6"/>
  <c r="Q427" i="6"/>
  <c r="F427" i="6"/>
  <c r="Q426" i="6"/>
  <c r="F426" i="6"/>
  <c r="Q425" i="6"/>
  <c r="F425" i="6"/>
  <c r="Q424" i="6"/>
  <c r="F424" i="6"/>
  <c r="F423" i="6"/>
  <c r="R421" i="6"/>
  <c r="T421" i="6" s="1"/>
  <c r="U421" i="6" s="1"/>
  <c r="G421" i="6"/>
  <c r="I421" i="6" s="1"/>
  <c r="J421" i="6" s="1"/>
  <c r="F421" i="6"/>
  <c r="U419" i="6"/>
  <c r="T419" i="6"/>
  <c r="R419" i="6"/>
  <c r="Q419" i="6"/>
  <c r="G419" i="6"/>
  <c r="I419" i="6" s="1"/>
  <c r="J419" i="6" s="1"/>
  <c r="F419" i="6"/>
  <c r="U414" i="6"/>
  <c r="R414" i="6"/>
  <c r="T414" i="6" s="1"/>
  <c r="F414" i="6"/>
  <c r="G414" i="6" s="1"/>
  <c r="I414" i="6" s="1"/>
  <c r="J414" i="6" s="1"/>
  <c r="R408" i="6"/>
  <c r="T408" i="6" s="1"/>
  <c r="U408" i="6" s="1"/>
  <c r="I408" i="6"/>
  <c r="J408" i="6" s="1"/>
  <c r="G408" i="6"/>
  <c r="F408" i="6"/>
  <c r="U402" i="6"/>
  <c r="R402" i="6"/>
  <c r="T402" i="6" s="1"/>
  <c r="G402" i="6"/>
  <c r="I402" i="6" s="1"/>
  <c r="J402" i="6" s="1"/>
  <c r="F402" i="6"/>
  <c r="Q399" i="6"/>
  <c r="R399" i="6" s="1"/>
  <c r="G399" i="6"/>
  <c r="I399" i="6" s="1"/>
  <c r="J399" i="6" s="1"/>
  <c r="F399" i="6"/>
  <c r="R397" i="6"/>
  <c r="T397" i="6" s="1"/>
  <c r="U397" i="6" s="1"/>
  <c r="G397" i="6"/>
  <c r="F397" i="6"/>
  <c r="R391" i="6"/>
  <c r="T391" i="6" s="1"/>
  <c r="G391" i="6"/>
  <c r="I391" i="6" s="1"/>
  <c r="S390" i="6"/>
  <c r="S668" i="6" s="1"/>
  <c r="P390" i="6"/>
  <c r="O390" i="6"/>
  <c r="O668" i="6" s="1"/>
  <c r="H390" i="6"/>
  <c r="E390" i="6"/>
  <c r="D390" i="6"/>
  <c r="S389" i="6"/>
  <c r="P389" i="6"/>
  <c r="O389" i="6"/>
  <c r="H389" i="6"/>
  <c r="E389" i="6"/>
  <c r="D389" i="6"/>
  <c r="R386" i="6"/>
  <c r="T386" i="6" s="1"/>
  <c r="U386" i="6" s="1"/>
  <c r="F386" i="6"/>
  <c r="G386" i="6" s="1"/>
  <c r="I386" i="6" s="1"/>
  <c r="J386" i="6" s="1"/>
  <c r="T381" i="6"/>
  <c r="U381" i="6" s="1"/>
  <c r="R381" i="6"/>
  <c r="Q381" i="6"/>
  <c r="F381" i="6"/>
  <c r="G381" i="6" s="1"/>
  <c r="I381" i="6" s="1"/>
  <c r="J381" i="6" s="1"/>
  <c r="Q374" i="6"/>
  <c r="F374" i="6"/>
  <c r="Q373" i="6"/>
  <c r="F373" i="6"/>
  <c r="R372" i="6"/>
  <c r="T372" i="6" s="1"/>
  <c r="U372" i="6" s="1"/>
  <c r="F372" i="6"/>
  <c r="Q366" i="6"/>
  <c r="F366" i="6"/>
  <c r="T365" i="6"/>
  <c r="U365" i="6" s="1"/>
  <c r="R365" i="6"/>
  <c r="F365" i="6"/>
  <c r="T362" i="6"/>
  <c r="U362" i="6" s="1"/>
  <c r="R362" i="6"/>
  <c r="U359" i="6"/>
  <c r="T359" i="6"/>
  <c r="R359" i="6"/>
  <c r="J359" i="6"/>
  <c r="G359" i="6"/>
  <c r="I359" i="6" s="1"/>
  <c r="Q354" i="6"/>
  <c r="F354" i="6"/>
  <c r="T352" i="6"/>
  <c r="U352" i="6" s="1"/>
  <c r="R352" i="6"/>
  <c r="G352" i="6"/>
  <c r="I352" i="6" s="1"/>
  <c r="J352" i="6" s="1"/>
  <c r="F352" i="6"/>
  <c r="Q348" i="6"/>
  <c r="F348" i="6"/>
  <c r="Q347" i="6"/>
  <c r="R347" i="6" s="1"/>
  <c r="T347" i="6" s="1"/>
  <c r="U347" i="6" s="1"/>
  <c r="F347" i="6"/>
  <c r="G347" i="6" s="1"/>
  <c r="I347" i="6" s="1"/>
  <c r="J347" i="6" s="1"/>
  <c r="Q345" i="6"/>
  <c r="F345" i="6"/>
  <c r="Q344" i="6"/>
  <c r="R341" i="6" s="1"/>
  <c r="T341" i="6" s="1"/>
  <c r="U341" i="6" s="1"/>
  <c r="F344" i="6"/>
  <c r="Q343" i="6"/>
  <c r="F343" i="6"/>
  <c r="I341" i="6"/>
  <c r="J341" i="6" s="1"/>
  <c r="G341" i="6"/>
  <c r="F341" i="6"/>
  <c r="U339" i="6"/>
  <c r="Q339" i="6"/>
  <c r="R339" i="6" s="1"/>
  <c r="T339" i="6" s="1"/>
  <c r="F339" i="6"/>
  <c r="G339" i="6" s="1"/>
  <c r="I339" i="6" s="1"/>
  <c r="J339" i="6" s="1"/>
  <c r="Q334" i="6"/>
  <c r="R333" i="6" s="1"/>
  <c r="F334" i="6"/>
  <c r="T333" i="6"/>
  <c r="U333" i="6" s="1"/>
  <c r="Q333" i="6"/>
  <c r="F333" i="6"/>
  <c r="G333" i="6" s="1"/>
  <c r="I333" i="6" s="1"/>
  <c r="J333" i="6" s="1"/>
  <c r="Q328" i="6"/>
  <c r="F328" i="6"/>
  <c r="Q327" i="6"/>
  <c r="F327" i="6"/>
  <c r="Q326" i="6"/>
  <c r="F326" i="6"/>
  <c r="Q325" i="6"/>
  <c r="F325" i="6"/>
  <c r="Q324" i="6"/>
  <c r="F324" i="6"/>
  <c r="Q323" i="6"/>
  <c r="F323" i="6"/>
  <c r="G318" i="6" s="1"/>
  <c r="I318" i="6" s="1"/>
  <c r="J318" i="6" s="1"/>
  <c r="Q322" i="6"/>
  <c r="F322" i="6"/>
  <c r="Q321" i="6"/>
  <c r="F321" i="6"/>
  <c r="Q320" i="6"/>
  <c r="F320" i="6"/>
  <c r="Q318" i="6"/>
  <c r="Q390" i="6" s="1"/>
  <c r="F318" i="6"/>
  <c r="Q317" i="6"/>
  <c r="F317" i="6"/>
  <c r="Q316" i="6"/>
  <c r="F316" i="6"/>
  <c r="Q315" i="6"/>
  <c r="R312" i="6" s="1"/>
  <c r="T312" i="6" s="1"/>
  <c r="U312" i="6" s="1"/>
  <c r="F315" i="6"/>
  <c r="Q314" i="6"/>
  <c r="F314" i="6"/>
  <c r="Q312" i="6"/>
  <c r="I312" i="6"/>
  <c r="J312" i="6" s="1"/>
  <c r="F312" i="6"/>
  <c r="G312" i="6" s="1"/>
  <c r="R310" i="6"/>
  <c r="T310" i="6" s="1"/>
  <c r="U310" i="6" s="1"/>
  <c r="F310" i="6"/>
  <c r="G310" i="6" s="1"/>
  <c r="I310" i="6" s="1"/>
  <c r="J310" i="6" s="1"/>
  <c r="F305" i="6"/>
  <c r="T304" i="6"/>
  <c r="U304" i="6" s="1"/>
  <c r="R304" i="6"/>
  <c r="Q304" i="6"/>
  <c r="F304" i="6"/>
  <c r="G304" i="6" s="1"/>
  <c r="I304" i="6" s="1"/>
  <c r="J304" i="6" s="1"/>
  <c r="F299" i="6"/>
  <c r="Q298" i="6"/>
  <c r="R298" i="6" s="1"/>
  <c r="T298" i="6" s="1"/>
  <c r="U298" i="6" s="1"/>
  <c r="F298" i="6"/>
  <c r="R296" i="6"/>
  <c r="T296" i="6" s="1"/>
  <c r="U296" i="6" s="1"/>
  <c r="F296" i="6"/>
  <c r="G296" i="6" s="1"/>
  <c r="I296" i="6" s="1"/>
  <c r="J296" i="6" s="1"/>
  <c r="Q294" i="6"/>
  <c r="R294" i="6" s="1"/>
  <c r="T294" i="6" s="1"/>
  <c r="U294" i="6" s="1"/>
  <c r="I294" i="6"/>
  <c r="J294" i="6" s="1"/>
  <c r="F294" i="6"/>
  <c r="G294" i="6" s="1"/>
  <c r="Q288" i="6"/>
  <c r="R287" i="6" s="1"/>
  <c r="T287" i="6" s="1"/>
  <c r="U287" i="6" s="1"/>
  <c r="F288" i="6"/>
  <c r="I287" i="6"/>
  <c r="J287" i="6" s="1"/>
  <c r="G287" i="6"/>
  <c r="F287" i="6"/>
  <c r="Q281" i="6"/>
  <c r="R280" i="6" s="1"/>
  <c r="F281" i="6"/>
  <c r="T280" i="6"/>
  <c r="U280" i="6" s="1"/>
  <c r="G280" i="6"/>
  <c r="I280" i="6" s="1"/>
  <c r="J280" i="6" s="1"/>
  <c r="Q277" i="6"/>
  <c r="R276" i="6" s="1"/>
  <c r="T276" i="6" s="1"/>
  <c r="U276" i="6" s="1"/>
  <c r="F277" i="6"/>
  <c r="J276" i="6"/>
  <c r="F276" i="6"/>
  <c r="G276" i="6" s="1"/>
  <c r="I276" i="6" s="1"/>
  <c r="Q274" i="6"/>
  <c r="R274" i="6" s="1"/>
  <c r="T274" i="6" s="1"/>
  <c r="U274" i="6" s="1"/>
  <c r="I274" i="6"/>
  <c r="J274" i="6" s="1"/>
  <c r="F274" i="6"/>
  <c r="G274" i="6" s="1"/>
  <c r="Q272" i="6"/>
  <c r="G272" i="6"/>
  <c r="F272" i="6"/>
  <c r="S270" i="6"/>
  <c r="H270" i="6"/>
  <c r="D270" i="6"/>
  <c r="S268" i="6"/>
  <c r="P268" i="6"/>
  <c r="O268" i="6"/>
  <c r="H268" i="6"/>
  <c r="E268" i="6"/>
  <c r="D268" i="6"/>
  <c r="S267" i="6"/>
  <c r="P267" i="6"/>
  <c r="O267" i="6"/>
  <c r="H267" i="6"/>
  <c r="E267" i="6"/>
  <c r="D267" i="6"/>
  <c r="U265" i="6"/>
  <c r="R265" i="6"/>
  <c r="T265" i="6" s="1"/>
  <c r="Q265" i="6"/>
  <c r="F265" i="6"/>
  <c r="G265" i="6" s="1"/>
  <c r="I265" i="6" s="1"/>
  <c r="J265" i="6" s="1"/>
  <c r="Q256" i="6"/>
  <c r="F256" i="6"/>
  <c r="Q255" i="6"/>
  <c r="R254" i="6" s="1"/>
  <c r="T254" i="6" s="1"/>
  <c r="U254" i="6" s="1"/>
  <c r="F255" i="6"/>
  <c r="F254" i="6"/>
  <c r="G254" i="6" s="1"/>
  <c r="I254" i="6" s="1"/>
  <c r="J254" i="6" s="1"/>
  <c r="U248" i="6"/>
  <c r="T248" i="6"/>
  <c r="R248" i="6"/>
  <c r="F248" i="6"/>
  <c r="G248" i="6" s="1"/>
  <c r="I248" i="6" s="1"/>
  <c r="J248" i="6" s="1"/>
  <c r="Q246" i="6"/>
  <c r="F246" i="6"/>
  <c r="Q245" i="6"/>
  <c r="F245" i="6"/>
  <c r="T244" i="6"/>
  <c r="U244" i="6" s="1"/>
  <c r="R244" i="6"/>
  <c r="Q244" i="6"/>
  <c r="G244" i="6"/>
  <c r="I244" i="6" s="1"/>
  <c r="J244" i="6" s="1"/>
  <c r="F244" i="6"/>
  <c r="Q241" i="6"/>
  <c r="F241" i="6"/>
  <c r="R240" i="6"/>
  <c r="T240" i="6" s="1"/>
  <c r="U240" i="6" s="1"/>
  <c r="G240" i="6"/>
  <c r="I240" i="6" s="1"/>
  <c r="J240" i="6" s="1"/>
  <c r="F240" i="6"/>
  <c r="U236" i="6"/>
  <c r="Q236" i="6"/>
  <c r="R236" i="6" s="1"/>
  <c r="T236" i="6" s="1"/>
  <c r="I236" i="6"/>
  <c r="J236" i="6" s="1"/>
  <c r="G236" i="6"/>
  <c r="F236" i="6"/>
  <c r="Q232" i="6"/>
  <c r="F232" i="6"/>
  <c r="Q231" i="6"/>
  <c r="F231" i="6"/>
  <c r="Q230" i="6"/>
  <c r="F230" i="6"/>
  <c r="Q229" i="6"/>
  <c r="F229" i="6"/>
  <c r="Q228" i="6"/>
  <c r="F228" i="6"/>
  <c r="Q227" i="6"/>
  <c r="F227" i="6"/>
  <c r="Q226" i="6"/>
  <c r="R225" i="6" s="1"/>
  <c r="T225" i="6" s="1"/>
  <c r="U225" i="6" s="1"/>
  <c r="F226" i="6"/>
  <c r="F225" i="6"/>
  <c r="G225" i="6" s="1"/>
  <c r="I225" i="6" s="1"/>
  <c r="J225" i="6" s="1"/>
  <c r="Q218" i="6"/>
  <c r="F218" i="6"/>
  <c r="Q217" i="6"/>
  <c r="F217" i="6"/>
  <c r="Q216" i="6"/>
  <c r="F216" i="6"/>
  <c r="Q215" i="6"/>
  <c r="R214" i="6" s="1"/>
  <c r="T214" i="6" s="1"/>
  <c r="U214" i="6" s="1"/>
  <c r="F215" i="6"/>
  <c r="G214" i="6" s="1"/>
  <c r="I214" i="6" s="1"/>
  <c r="J214" i="6" s="1"/>
  <c r="F214" i="6"/>
  <c r="Q208" i="6"/>
  <c r="F208" i="6"/>
  <c r="R207" i="6"/>
  <c r="T207" i="6" s="1"/>
  <c r="U207" i="6" s="1"/>
  <c r="J207" i="6"/>
  <c r="I207" i="6"/>
  <c r="G207" i="6"/>
  <c r="F207" i="6"/>
  <c r="U200" i="6"/>
  <c r="T200" i="6"/>
  <c r="R200" i="6"/>
  <c r="F200" i="6"/>
  <c r="G200" i="6" s="1"/>
  <c r="I200" i="6" s="1"/>
  <c r="J200" i="6" s="1"/>
  <c r="T197" i="6"/>
  <c r="U197" i="6" s="1"/>
  <c r="R197" i="6"/>
  <c r="Q197" i="6"/>
  <c r="J197" i="6"/>
  <c r="I197" i="6"/>
  <c r="G197" i="6"/>
  <c r="F197" i="6"/>
  <c r="R194" i="6"/>
  <c r="T194" i="6" s="1"/>
  <c r="U194" i="6" s="1"/>
  <c r="J194" i="6"/>
  <c r="I194" i="6"/>
  <c r="F194" i="6"/>
  <c r="G194" i="6" s="1"/>
  <c r="Q191" i="6"/>
  <c r="R191" i="6" s="1"/>
  <c r="T191" i="6" s="1"/>
  <c r="U191" i="6" s="1"/>
  <c r="F191" i="6"/>
  <c r="G191" i="6" s="1"/>
  <c r="I191" i="6" s="1"/>
  <c r="J191" i="6" s="1"/>
  <c r="Q188" i="6"/>
  <c r="F188" i="6"/>
  <c r="Q187" i="6"/>
  <c r="I187" i="6"/>
  <c r="J187" i="6" s="1"/>
  <c r="G187" i="6"/>
  <c r="F187" i="6"/>
  <c r="Q185" i="6"/>
  <c r="R181" i="6" s="1"/>
  <c r="T181" i="6" s="1"/>
  <c r="U181" i="6" s="1"/>
  <c r="F185" i="6"/>
  <c r="Q184" i="6"/>
  <c r="F184" i="6"/>
  <c r="Q183" i="6"/>
  <c r="F183" i="6"/>
  <c r="Q182" i="6"/>
  <c r="F182" i="6"/>
  <c r="Q181" i="6"/>
  <c r="F181" i="6"/>
  <c r="R177" i="6"/>
  <c r="T177" i="6" s="1"/>
  <c r="U177" i="6" s="1"/>
  <c r="G177" i="6"/>
  <c r="I177" i="6" s="1"/>
  <c r="J177" i="6" s="1"/>
  <c r="Q175" i="6"/>
  <c r="F175" i="6"/>
  <c r="Q174" i="6"/>
  <c r="F174" i="6"/>
  <c r="Q173" i="6"/>
  <c r="F173" i="6"/>
  <c r="Q172" i="6"/>
  <c r="F172" i="6"/>
  <c r="Q171" i="6"/>
  <c r="Q268" i="6" s="1"/>
  <c r="F171" i="6"/>
  <c r="F267" i="6" s="1"/>
  <c r="Q170" i="6"/>
  <c r="F170" i="6"/>
  <c r="Q169" i="6"/>
  <c r="F169" i="6"/>
  <c r="F167" i="6"/>
  <c r="G166" i="6"/>
  <c r="I166" i="6" s="1"/>
  <c r="F166" i="6"/>
  <c r="S165" i="6"/>
  <c r="P165" i="6"/>
  <c r="O165" i="6"/>
  <c r="H165" i="6"/>
  <c r="E165" i="6"/>
  <c r="D165" i="6"/>
  <c r="S164" i="6"/>
  <c r="P164" i="6"/>
  <c r="O164" i="6"/>
  <c r="H164" i="6"/>
  <c r="E164" i="6"/>
  <c r="D164" i="6"/>
  <c r="U154" i="6"/>
  <c r="T154" i="6"/>
  <c r="R154" i="6"/>
  <c r="I154" i="6"/>
  <c r="J154" i="6" s="1"/>
  <c r="G154" i="6"/>
  <c r="F154" i="6"/>
  <c r="Q150" i="6"/>
  <c r="F150" i="6"/>
  <c r="Q149" i="6"/>
  <c r="F149" i="6"/>
  <c r="G145" i="6" s="1"/>
  <c r="I145" i="6" s="1"/>
  <c r="J145" i="6" s="1"/>
  <c r="Q148" i="6"/>
  <c r="R145" i="6" s="1"/>
  <c r="T145" i="6" s="1"/>
  <c r="F148" i="6"/>
  <c r="F147" i="6"/>
  <c r="U145" i="6"/>
  <c r="F145" i="6"/>
  <c r="F141" i="6"/>
  <c r="T140" i="6"/>
  <c r="U140" i="6" s="1"/>
  <c r="R140" i="6"/>
  <c r="F140" i="6"/>
  <c r="R137" i="6"/>
  <c r="T137" i="6" s="1"/>
  <c r="U137" i="6" s="1"/>
  <c r="I137" i="6"/>
  <c r="J137" i="6" s="1"/>
  <c r="G137" i="6"/>
  <c r="F137" i="6"/>
  <c r="U134" i="6"/>
  <c r="T134" i="6"/>
  <c r="R134" i="6"/>
  <c r="I134" i="6"/>
  <c r="J134" i="6" s="1"/>
  <c r="G134" i="6"/>
  <c r="F134" i="6"/>
  <c r="U128" i="6"/>
  <c r="T128" i="6"/>
  <c r="R128" i="6"/>
  <c r="F128" i="6"/>
  <c r="G128" i="6" s="1"/>
  <c r="I128" i="6" s="1"/>
  <c r="J128" i="6" s="1"/>
  <c r="T124" i="6"/>
  <c r="U124" i="6" s="1"/>
  <c r="R124" i="6"/>
  <c r="F124" i="6"/>
  <c r="G124" i="6" s="1"/>
  <c r="I124" i="6" s="1"/>
  <c r="J124" i="6" s="1"/>
  <c r="R121" i="6"/>
  <c r="T121" i="6" s="1"/>
  <c r="U121" i="6" s="1"/>
  <c r="J121" i="6"/>
  <c r="I121" i="6"/>
  <c r="F121" i="6"/>
  <c r="G121" i="6" s="1"/>
  <c r="Q119" i="6"/>
  <c r="F119" i="6"/>
  <c r="Q118" i="6"/>
  <c r="F118" i="6"/>
  <c r="Q117" i="6"/>
  <c r="F117" i="6"/>
  <c r="Q116" i="6"/>
  <c r="F116" i="6"/>
  <c r="Q115" i="6"/>
  <c r="F115" i="6"/>
  <c r="Q114" i="6"/>
  <c r="F114" i="6"/>
  <c r="Q113" i="6"/>
  <c r="F113" i="6"/>
  <c r="F112" i="6"/>
  <c r="R111" i="6"/>
  <c r="T111" i="6" s="1"/>
  <c r="U111" i="6" s="1"/>
  <c r="I111" i="6"/>
  <c r="J111" i="6" s="1"/>
  <c r="G111" i="6"/>
  <c r="F111" i="6"/>
  <c r="R107" i="6"/>
  <c r="T107" i="6" s="1"/>
  <c r="U107" i="6" s="1"/>
  <c r="G107" i="6"/>
  <c r="I107" i="6" s="1"/>
  <c r="J107" i="6" s="1"/>
  <c r="F107" i="6"/>
  <c r="Q102" i="6"/>
  <c r="F102" i="6"/>
  <c r="Q101" i="6"/>
  <c r="R98" i="6" s="1"/>
  <c r="T98" i="6" s="1"/>
  <c r="U98" i="6" s="1"/>
  <c r="F101" i="6"/>
  <c r="Q100" i="6"/>
  <c r="F100" i="6"/>
  <c r="Q99" i="6"/>
  <c r="F99" i="6"/>
  <c r="F98" i="6"/>
  <c r="G98" i="6" s="1"/>
  <c r="I98" i="6" s="1"/>
  <c r="J98" i="6" s="1"/>
  <c r="Q96" i="6"/>
  <c r="F96" i="6"/>
  <c r="Q95" i="6"/>
  <c r="F95" i="6"/>
  <c r="Q94" i="6"/>
  <c r="F94" i="6"/>
  <c r="Q93" i="6"/>
  <c r="F93" i="6"/>
  <c r="Q92" i="6"/>
  <c r="R91" i="6" s="1"/>
  <c r="F92" i="6"/>
  <c r="T91" i="6"/>
  <c r="U91" i="6" s="1"/>
  <c r="F91" i="6"/>
  <c r="G91" i="6" s="1"/>
  <c r="I91" i="6" s="1"/>
  <c r="J91" i="6" s="1"/>
  <c r="Q89" i="6"/>
  <c r="Q164" i="6" s="1"/>
  <c r="F89" i="6"/>
  <c r="Q88" i="6"/>
  <c r="F88" i="6"/>
  <c r="Q87" i="6"/>
  <c r="F87" i="6"/>
  <c r="G87" i="6" s="1"/>
  <c r="I87" i="6" s="1"/>
  <c r="J87" i="6" s="1"/>
  <c r="T84" i="6"/>
  <c r="U84" i="6" s="1"/>
  <c r="R84" i="6"/>
  <c r="J84" i="6"/>
  <c r="I84" i="6"/>
  <c r="F84" i="6"/>
  <c r="G84" i="6" s="1"/>
  <c r="R81" i="6"/>
  <c r="G81" i="6"/>
  <c r="F81" i="6"/>
  <c r="S80" i="6"/>
  <c r="P80" i="6"/>
  <c r="P270" i="6" s="1"/>
  <c r="O80" i="6"/>
  <c r="H80" i="6"/>
  <c r="E80" i="6"/>
  <c r="D80" i="6"/>
  <c r="S79" i="6"/>
  <c r="Q79" i="6"/>
  <c r="P79" i="6"/>
  <c r="O79" i="6"/>
  <c r="H79" i="6"/>
  <c r="E79" i="6"/>
  <c r="D79" i="6"/>
  <c r="R77" i="6"/>
  <c r="T77" i="6" s="1"/>
  <c r="U77" i="6" s="1"/>
  <c r="F77" i="6"/>
  <c r="G77" i="6" s="1"/>
  <c r="I77" i="6" s="1"/>
  <c r="J77" i="6" s="1"/>
  <c r="F74" i="6"/>
  <c r="R73" i="6"/>
  <c r="T73" i="6" s="1"/>
  <c r="U73" i="6" s="1"/>
  <c r="I73" i="6"/>
  <c r="J73" i="6" s="1"/>
  <c r="F73" i="6"/>
  <c r="G73" i="6" s="1"/>
  <c r="Q71" i="6"/>
  <c r="F71" i="6"/>
  <c r="Q70" i="6"/>
  <c r="R66" i="6" s="1"/>
  <c r="T66" i="6" s="1"/>
  <c r="U66" i="6" s="1"/>
  <c r="F70" i="6"/>
  <c r="Q69" i="6"/>
  <c r="F69" i="6"/>
  <c r="Q68" i="6"/>
  <c r="F68" i="6"/>
  <c r="Q67" i="6"/>
  <c r="F67" i="6"/>
  <c r="F66" i="6"/>
  <c r="G66" i="6" s="1"/>
  <c r="I66" i="6" s="1"/>
  <c r="J66" i="6" s="1"/>
  <c r="R64" i="6"/>
  <c r="T64" i="6" s="1"/>
  <c r="U64" i="6" s="1"/>
  <c r="J64" i="6"/>
  <c r="I64" i="6"/>
  <c r="F64" i="6"/>
  <c r="G64" i="6" s="1"/>
  <c r="R61" i="6"/>
  <c r="T61" i="6" s="1"/>
  <c r="U61" i="6" s="1"/>
  <c r="G61" i="6"/>
  <c r="I61" i="6" s="1"/>
  <c r="J61" i="6" s="1"/>
  <c r="F61" i="6"/>
  <c r="T58" i="6"/>
  <c r="U58" i="6" s="1"/>
  <c r="R58" i="6"/>
  <c r="J58" i="6"/>
  <c r="F58" i="6"/>
  <c r="G58" i="6" s="1"/>
  <c r="I58" i="6" s="1"/>
  <c r="R55" i="6"/>
  <c r="T55" i="6" s="1"/>
  <c r="U55" i="6" s="1"/>
  <c r="G55" i="6"/>
  <c r="I55" i="6" s="1"/>
  <c r="J55" i="6" s="1"/>
  <c r="F55" i="6"/>
  <c r="U52" i="6"/>
  <c r="T52" i="6"/>
  <c r="R52" i="6"/>
  <c r="G52" i="6"/>
  <c r="I52" i="6" s="1"/>
  <c r="J52" i="6" s="1"/>
  <c r="F52" i="6"/>
  <c r="Q49" i="6"/>
  <c r="F49" i="6"/>
  <c r="Q48" i="6"/>
  <c r="F48" i="6"/>
  <c r="Q47" i="6"/>
  <c r="F47" i="6"/>
  <c r="Q46" i="6"/>
  <c r="F46" i="6"/>
  <c r="Q45" i="6"/>
  <c r="F45" i="6"/>
  <c r="F44" i="6"/>
  <c r="F43" i="6"/>
  <c r="R40" i="6"/>
  <c r="T40" i="6" s="1"/>
  <c r="U40" i="6" s="1"/>
  <c r="J40" i="6"/>
  <c r="I40" i="6"/>
  <c r="G40" i="6"/>
  <c r="F40" i="6"/>
  <c r="U37" i="6"/>
  <c r="R37" i="6"/>
  <c r="T37" i="6" s="1"/>
  <c r="G37" i="6"/>
  <c r="I37" i="6" s="1"/>
  <c r="J37" i="6" s="1"/>
  <c r="F37" i="6"/>
  <c r="Q34" i="6"/>
  <c r="F34" i="6"/>
  <c r="Q33" i="6"/>
  <c r="F33" i="6"/>
  <c r="Q32" i="6"/>
  <c r="F32" i="6"/>
  <c r="Q31" i="6"/>
  <c r="F31" i="6"/>
  <c r="Q30" i="6"/>
  <c r="F30" i="6"/>
  <c r="Q29" i="6"/>
  <c r="F29" i="6"/>
  <c r="Q28" i="6"/>
  <c r="R26" i="6" s="1"/>
  <c r="T26" i="6" s="1"/>
  <c r="U26" i="6" s="1"/>
  <c r="F28" i="6"/>
  <c r="F27" i="6"/>
  <c r="F26" i="6"/>
  <c r="G26" i="6" s="1"/>
  <c r="I26" i="6" s="1"/>
  <c r="J26" i="6" s="1"/>
  <c r="Q23" i="6"/>
  <c r="F23" i="6"/>
  <c r="Q22" i="6"/>
  <c r="F22" i="6"/>
  <c r="Q21" i="6"/>
  <c r="F21" i="6"/>
  <c r="Q20" i="6"/>
  <c r="F20" i="6"/>
  <c r="Q19" i="6"/>
  <c r="F19" i="6"/>
  <c r="Q18" i="6"/>
  <c r="F18" i="6"/>
  <c r="G16" i="6"/>
  <c r="I16" i="6" s="1"/>
  <c r="J16" i="6" s="1"/>
  <c r="R14" i="6"/>
  <c r="T14" i="6" s="1"/>
  <c r="U14" i="6" s="1"/>
  <c r="J14" i="6"/>
  <c r="F14" i="6"/>
  <c r="G14" i="6" s="1"/>
  <c r="I14" i="6" s="1"/>
  <c r="R12" i="6"/>
  <c r="F12" i="6"/>
  <c r="T5" i="6"/>
  <c r="U5" i="6" s="1"/>
  <c r="R5" i="6"/>
  <c r="J5" i="6"/>
  <c r="I5" i="6"/>
  <c r="G5" i="6"/>
  <c r="H771" i="13" l="1"/>
  <c r="H825" i="13" s="1"/>
  <c r="J166" i="6"/>
  <c r="T399" i="6"/>
  <c r="U399" i="6" s="1"/>
  <c r="T125" i="9"/>
  <c r="U125" i="9" s="1"/>
  <c r="U116" i="9"/>
  <c r="R135" i="9"/>
  <c r="T126" i="9"/>
  <c r="R134" i="9"/>
  <c r="K237" i="11"/>
  <c r="J688" i="11"/>
  <c r="R318" i="6"/>
  <c r="T318" i="6" s="1"/>
  <c r="U318" i="6" s="1"/>
  <c r="U670" i="6"/>
  <c r="G1047" i="6"/>
  <c r="T124" i="9"/>
  <c r="H1219" i="11"/>
  <c r="G1301" i="11"/>
  <c r="G1300" i="11"/>
  <c r="G365" i="6"/>
  <c r="I365" i="6" s="1"/>
  <c r="J365" i="6" s="1"/>
  <c r="G362" i="6"/>
  <c r="I362" i="6" s="1"/>
  <c r="J362" i="6" s="1"/>
  <c r="Q666" i="6"/>
  <c r="Q846" i="6"/>
  <c r="R745" i="6"/>
  <c r="Q845" i="6"/>
  <c r="G224" i="8"/>
  <c r="G225" i="8"/>
  <c r="I209" i="8"/>
  <c r="R19" i="9"/>
  <c r="T19" i="9" s="1"/>
  <c r="U19" i="9" s="1"/>
  <c r="Q28" i="9"/>
  <c r="Q29" i="9"/>
  <c r="J391" i="6"/>
  <c r="F743" i="6"/>
  <c r="R823" i="6"/>
  <c r="T823" i="6" s="1"/>
  <c r="U823" i="6" s="1"/>
  <c r="U114" i="7"/>
  <c r="F617" i="7"/>
  <c r="Q1053" i="7"/>
  <c r="F80" i="6"/>
  <c r="F79" i="6"/>
  <c r="I81" i="6"/>
  <c r="R166" i="6"/>
  <c r="U391" i="6"/>
  <c r="T494" i="6"/>
  <c r="Q743" i="6"/>
  <c r="Q744" i="6"/>
  <c r="R676" i="6"/>
  <c r="T676" i="6" s="1"/>
  <c r="U676" i="6" s="1"/>
  <c r="R885" i="6"/>
  <c r="T885" i="6" s="1"/>
  <c r="U885" i="6" s="1"/>
  <c r="T12" i="7"/>
  <c r="G117" i="7"/>
  <c r="I117" i="7" s="1"/>
  <c r="J117" i="7" s="1"/>
  <c r="AE33" i="13"/>
  <c r="AG33" i="13" s="1"/>
  <c r="AH33" i="13" s="1"/>
  <c r="AD70" i="13"/>
  <c r="G12" i="6"/>
  <c r="R16" i="6"/>
  <c r="T16" i="6" s="1"/>
  <c r="U16" i="6" s="1"/>
  <c r="Q80" i="6"/>
  <c r="Q270" i="6" s="1"/>
  <c r="E270" i="6"/>
  <c r="F390" i="6"/>
  <c r="F389" i="6"/>
  <c r="R454" i="6"/>
  <c r="T454" i="6" s="1"/>
  <c r="U454" i="6" s="1"/>
  <c r="F665" i="6"/>
  <c r="F666" i="6"/>
  <c r="R803" i="6"/>
  <c r="T803" i="6" s="1"/>
  <c r="U803" i="6" s="1"/>
  <c r="R814" i="6"/>
  <c r="T814" i="6" s="1"/>
  <c r="U814" i="6" s="1"/>
  <c r="R946" i="6"/>
  <c r="T946" i="6" s="1"/>
  <c r="U946" i="6" s="1"/>
  <c r="I1049" i="6"/>
  <c r="F109" i="7"/>
  <c r="F110" i="7"/>
  <c r="R232" i="7"/>
  <c r="T232" i="7" s="1"/>
  <c r="U232" i="7" s="1"/>
  <c r="R1021" i="7"/>
  <c r="T1021" i="7" s="1"/>
  <c r="U1021" i="7" s="1"/>
  <c r="Q297" i="8"/>
  <c r="Q317" i="8" s="1"/>
  <c r="R281" i="8"/>
  <c r="R165" i="6"/>
  <c r="T81" i="6"/>
  <c r="G298" i="6"/>
  <c r="I298" i="6" s="1"/>
  <c r="J298" i="6" s="1"/>
  <c r="I490" i="6"/>
  <c r="G569" i="6"/>
  <c r="I569" i="6" s="1"/>
  <c r="J569" i="6" s="1"/>
  <c r="I14" i="7"/>
  <c r="J14" i="7" s="1"/>
  <c r="F223" i="7"/>
  <c r="F222" i="7"/>
  <c r="G111" i="7"/>
  <c r="F1054" i="7"/>
  <c r="F1197" i="7"/>
  <c r="F262" i="8"/>
  <c r="R101" i="9"/>
  <c r="R102" i="9"/>
  <c r="T92" i="9"/>
  <c r="I272" i="6"/>
  <c r="G314" i="6"/>
  <c r="I314" i="6" s="1"/>
  <c r="J314" i="6" s="1"/>
  <c r="I397" i="6"/>
  <c r="J397" i="6" s="1"/>
  <c r="G702" i="6"/>
  <c r="I702" i="6" s="1"/>
  <c r="J702" i="6" s="1"/>
  <c r="G780" i="6"/>
  <c r="I780" i="6" s="1"/>
  <c r="J780" i="6" s="1"/>
  <c r="F990" i="6"/>
  <c r="F989" i="6"/>
  <c r="Q990" i="6"/>
  <c r="T1049" i="6"/>
  <c r="O820" i="7"/>
  <c r="Q1054" i="7"/>
  <c r="Q1488" i="7"/>
  <c r="R1436" i="7"/>
  <c r="T1436" i="7" s="1"/>
  <c r="U1436" i="7" s="1"/>
  <c r="U224" i="8"/>
  <c r="J224" i="8"/>
  <c r="J259" i="8"/>
  <c r="J243" i="8"/>
  <c r="U259" i="8"/>
  <c r="U243" i="8"/>
  <c r="R38" i="9"/>
  <c r="R39" i="9"/>
  <c r="T30" i="9"/>
  <c r="R87" i="6"/>
  <c r="T87" i="6" s="1"/>
  <c r="U87" i="6" s="1"/>
  <c r="Q165" i="6"/>
  <c r="G451" i="6"/>
  <c r="I451" i="6" s="1"/>
  <c r="J451" i="6" s="1"/>
  <c r="I670" i="6"/>
  <c r="F845" i="6"/>
  <c r="F846" i="6"/>
  <c r="F992" i="6" s="1"/>
  <c r="G847" i="6"/>
  <c r="G950" i="6"/>
  <c r="I950" i="6" s="1"/>
  <c r="J950" i="6" s="1"/>
  <c r="F1048" i="6"/>
  <c r="G1232" i="7"/>
  <c r="I1232" i="7" s="1"/>
  <c r="J1232" i="7" s="1"/>
  <c r="F1278" i="7"/>
  <c r="F189" i="8"/>
  <c r="G173" i="8"/>
  <c r="F188" i="8"/>
  <c r="Q110" i="7"/>
  <c r="Q109" i="7"/>
  <c r="R16" i="7"/>
  <c r="T16" i="7" s="1"/>
  <c r="U16" i="7" s="1"/>
  <c r="Q488" i="6"/>
  <c r="Q489" i="6"/>
  <c r="Q668" i="6" s="1"/>
  <c r="I1163" i="6"/>
  <c r="I837" i="7"/>
  <c r="F164" i="6"/>
  <c r="Q1047" i="6"/>
  <c r="R1001" i="6"/>
  <c r="Q1048" i="6"/>
  <c r="R314" i="6"/>
  <c r="T314" i="6" s="1"/>
  <c r="U314" i="6" s="1"/>
  <c r="P668" i="6"/>
  <c r="I745" i="6"/>
  <c r="G1048" i="6"/>
  <c r="R1120" i="6"/>
  <c r="T1120" i="6" s="1"/>
  <c r="U1120" i="6" s="1"/>
  <c r="G1143" i="6"/>
  <c r="I1143" i="6" s="1"/>
  <c r="J1143" i="6" s="1"/>
  <c r="Q1210" i="6"/>
  <c r="Q1209" i="6"/>
  <c r="T224" i="7"/>
  <c r="Q1425" i="7"/>
  <c r="Q21" i="8"/>
  <c r="R3" i="8"/>
  <c r="Q20" i="8"/>
  <c r="K452" i="11"/>
  <c r="H614" i="11"/>
  <c r="J614" i="11" s="1"/>
  <c r="K614" i="11" s="1"/>
  <c r="G683" i="11"/>
  <c r="G708" i="7"/>
  <c r="I708" i="7" s="1"/>
  <c r="J708" i="7" s="1"/>
  <c r="R728" i="7"/>
  <c r="T728" i="7" s="1"/>
  <c r="U728" i="7" s="1"/>
  <c r="R1202" i="7"/>
  <c r="Q1279" i="7"/>
  <c r="Q1278" i="7"/>
  <c r="F1425" i="7"/>
  <c r="F134" i="9"/>
  <c r="G126" i="9"/>
  <c r="H82" i="11"/>
  <c r="G235" i="11"/>
  <c r="V452" i="11"/>
  <c r="R702" i="6"/>
  <c r="T702" i="6" s="1"/>
  <c r="U702" i="6" s="1"/>
  <c r="R925" i="6"/>
  <c r="T925" i="6" s="1"/>
  <c r="U925" i="6" s="1"/>
  <c r="I1048" i="6"/>
  <c r="J994" i="6"/>
  <c r="R1020" i="6"/>
  <c r="T1020" i="6" s="1"/>
  <c r="U1020" i="6" s="1"/>
  <c r="R1089" i="6"/>
  <c r="T1089" i="6" s="1"/>
  <c r="U1089" i="6" s="1"/>
  <c r="T1163" i="6"/>
  <c r="F348" i="7"/>
  <c r="G224" i="7"/>
  <c r="F347" i="7"/>
  <c r="R354" i="7"/>
  <c r="T354" i="7" s="1"/>
  <c r="Q495" i="7"/>
  <c r="Q494" i="7"/>
  <c r="Q617" i="7"/>
  <c r="R1258" i="7"/>
  <c r="T1258" i="7" s="1"/>
  <c r="U1258" i="7" s="1"/>
  <c r="T1430" i="7"/>
  <c r="G22" i="8"/>
  <c r="F29" i="9"/>
  <c r="R593" i="11"/>
  <c r="Q989" i="6"/>
  <c r="G873" i="6"/>
  <c r="I873" i="6" s="1"/>
  <c r="J873" i="6" s="1"/>
  <c r="I1047" i="6"/>
  <c r="R1143" i="6"/>
  <c r="T1143" i="6" s="1"/>
  <c r="U1143" i="6" s="1"/>
  <c r="G1151" i="6"/>
  <c r="I1151" i="6" s="1"/>
  <c r="J1151" i="6" s="1"/>
  <c r="G1184" i="6"/>
  <c r="I1184" i="6" s="1"/>
  <c r="J1184" i="6" s="1"/>
  <c r="Q348" i="7"/>
  <c r="R415" i="7"/>
  <c r="T415" i="7" s="1"/>
  <c r="U415" i="7" s="1"/>
  <c r="J496" i="7"/>
  <c r="Q817" i="7"/>
  <c r="G627" i="7"/>
  <c r="I627" i="7" s="1"/>
  <c r="J627" i="7" s="1"/>
  <c r="R837" i="7"/>
  <c r="Q910" i="7"/>
  <c r="O119" i="8"/>
  <c r="T264" i="8"/>
  <c r="R280" i="8"/>
  <c r="R279" i="8"/>
  <c r="F90" i="9"/>
  <c r="F91" i="9"/>
  <c r="F104" i="9" s="1"/>
  <c r="G81" i="9"/>
  <c r="R235" i="11"/>
  <c r="S145" i="11"/>
  <c r="U145" i="11" s="1"/>
  <c r="V145" i="11" s="1"/>
  <c r="U240" i="11"/>
  <c r="V240" i="11" s="1"/>
  <c r="G814" i="6"/>
  <c r="I814" i="6" s="1"/>
  <c r="J814" i="6" s="1"/>
  <c r="R847" i="6"/>
  <c r="G859" i="6"/>
  <c r="I859" i="6" s="1"/>
  <c r="J859" i="6" s="1"/>
  <c r="R892" i="6"/>
  <c r="T892" i="6" s="1"/>
  <c r="U892" i="6" s="1"/>
  <c r="R1056" i="6"/>
  <c r="T1056" i="6" s="1"/>
  <c r="U1056" i="6" s="1"/>
  <c r="R1151" i="6"/>
  <c r="T1151" i="6" s="1"/>
  <c r="U1151" i="6" s="1"/>
  <c r="Q347" i="7"/>
  <c r="J352" i="7"/>
  <c r="R417" i="7"/>
  <c r="T417" i="7" s="1"/>
  <c r="U417" i="7" s="1"/>
  <c r="F495" i="7"/>
  <c r="G549" i="7"/>
  <c r="I549" i="7" s="1"/>
  <c r="J549" i="7" s="1"/>
  <c r="R618" i="7"/>
  <c r="G785" i="7"/>
  <c r="I785" i="7" s="1"/>
  <c r="J785" i="7" s="1"/>
  <c r="R869" i="7"/>
  <c r="T869" i="7" s="1"/>
  <c r="U869" i="7" s="1"/>
  <c r="T912" i="7"/>
  <c r="G947" i="7"/>
  <c r="I947" i="7" s="1"/>
  <c r="J947" i="7" s="1"/>
  <c r="F1198" i="7"/>
  <c r="R272" i="6"/>
  <c r="Q389" i="6"/>
  <c r="G372" i="6"/>
  <c r="I372" i="6" s="1"/>
  <c r="J372" i="6" s="1"/>
  <c r="G576" i="6"/>
  <c r="I576" i="6" s="1"/>
  <c r="J576" i="6" s="1"/>
  <c r="R950" i="6"/>
  <c r="T950" i="6" s="1"/>
  <c r="U950" i="6" s="1"/>
  <c r="U994" i="6"/>
  <c r="G1172" i="6"/>
  <c r="I1172" i="6" s="1"/>
  <c r="J1172" i="6" s="1"/>
  <c r="R1209" i="6"/>
  <c r="G247" i="7"/>
  <c r="I247" i="7" s="1"/>
  <c r="J247" i="7" s="1"/>
  <c r="G324" i="7"/>
  <c r="I324" i="7" s="1"/>
  <c r="J324" i="7" s="1"/>
  <c r="R394" i="7"/>
  <c r="T394" i="7" s="1"/>
  <c r="U394" i="7" s="1"/>
  <c r="H820" i="7"/>
  <c r="T496" i="7"/>
  <c r="R1044" i="7"/>
  <c r="T1044" i="7" s="1"/>
  <c r="U1044" i="7" s="1"/>
  <c r="G1055" i="7"/>
  <c r="G1081" i="7"/>
  <c r="I1081" i="7" s="1"/>
  <c r="J1081" i="7" s="1"/>
  <c r="Q1198" i="7"/>
  <c r="Q1200" i="7" s="1"/>
  <c r="G1346" i="7"/>
  <c r="I1346" i="7" s="1"/>
  <c r="J1346" i="7" s="1"/>
  <c r="R1376" i="7"/>
  <c r="T1376" i="7" s="1"/>
  <c r="U1376" i="7" s="1"/>
  <c r="F20" i="8"/>
  <c r="R22" i="8"/>
  <c r="Q59" i="8"/>
  <c r="Q60" i="8"/>
  <c r="I226" i="8"/>
  <c r="G244" i="8"/>
  <c r="G243" i="8"/>
  <c r="F243" i="8"/>
  <c r="F54" i="9"/>
  <c r="F79" i="9" s="1"/>
  <c r="G43" i="9"/>
  <c r="F66" i="9"/>
  <c r="G55" i="9"/>
  <c r="F65" i="9"/>
  <c r="Q125" i="9"/>
  <c r="R236" i="11"/>
  <c r="R447" i="11"/>
  <c r="R43" i="6"/>
  <c r="T43" i="6" s="1"/>
  <c r="U43" i="6" s="1"/>
  <c r="O270" i="6"/>
  <c r="G140" i="6"/>
  <c r="I140" i="6" s="1"/>
  <c r="J140" i="6" s="1"/>
  <c r="F268" i="6"/>
  <c r="Q267" i="6"/>
  <c r="F489" i="6"/>
  <c r="R873" i="6"/>
  <c r="T873" i="6" s="1"/>
  <c r="U873" i="6" s="1"/>
  <c r="F1047" i="6"/>
  <c r="R1172" i="6"/>
  <c r="T1172" i="6" s="1"/>
  <c r="U1172" i="6" s="1"/>
  <c r="G43" i="7"/>
  <c r="I43" i="7" s="1"/>
  <c r="J43" i="7" s="1"/>
  <c r="R97" i="7"/>
  <c r="T97" i="7" s="1"/>
  <c r="U97" i="7" s="1"/>
  <c r="R495" i="7"/>
  <c r="F494" i="7"/>
  <c r="Q818" i="7"/>
  <c r="G1217" i="7"/>
  <c r="I1217" i="7" s="1"/>
  <c r="J1217" i="7" s="1"/>
  <c r="T1280" i="7"/>
  <c r="R1407" i="7"/>
  <c r="T1407" i="7" s="1"/>
  <c r="U1407" i="7" s="1"/>
  <c r="G1462" i="7"/>
  <c r="I1462" i="7" s="1"/>
  <c r="J1462" i="7" s="1"/>
  <c r="G136" i="8"/>
  <c r="G137" i="8"/>
  <c r="F314" i="8"/>
  <c r="Q91" i="9"/>
  <c r="Q104" i="9" s="1"/>
  <c r="F124" i="9"/>
  <c r="F125" i="9"/>
  <c r="G116" i="9"/>
  <c r="U136" i="11"/>
  <c r="V136" i="11" s="1"/>
  <c r="H248" i="11"/>
  <c r="J248" i="11" s="1"/>
  <c r="K248" i="11" s="1"/>
  <c r="G873" i="11"/>
  <c r="G676" i="6"/>
  <c r="I676" i="6" s="1"/>
  <c r="J676" i="6" s="1"/>
  <c r="G980" i="6"/>
  <c r="I980" i="6" s="1"/>
  <c r="J980" i="6" s="1"/>
  <c r="Q1162" i="6"/>
  <c r="G1168" i="6"/>
  <c r="I1168" i="6" s="1"/>
  <c r="J1168" i="6" s="1"/>
  <c r="F1209" i="6"/>
  <c r="F1210" i="6"/>
  <c r="R117" i="7"/>
  <c r="G128" i="7"/>
  <c r="I128" i="7" s="1"/>
  <c r="J128" i="7" s="1"/>
  <c r="G203" i="7"/>
  <c r="I203" i="7" s="1"/>
  <c r="J203" i="7" s="1"/>
  <c r="G502" i="7"/>
  <c r="F616" i="7"/>
  <c r="R610" i="7"/>
  <c r="T610" i="7" s="1"/>
  <c r="U610" i="7" s="1"/>
  <c r="R1346" i="7"/>
  <c r="T1346" i="7" s="1"/>
  <c r="U1346" i="7" s="1"/>
  <c r="G83" i="8"/>
  <c r="R117" i="8"/>
  <c r="R116" i="8"/>
  <c r="T102" i="8"/>
  <c r="I137" i="8"/>
  <c r="J121" i="8"/>
  <c r="I136" i="8"/>
  <c r="R209" i="8"/>
  <c r="F296" i="8"/>
  <c r="G281" i="8"/>
  <c r="R124" i="9"/>
  <c r="R125" i="9"/>
  <c r="U1219" i="11"/>
  <c r="F165" i="6"/>
  <c r="G494" i="6"/>
  <c r="I494" i="6" s="1"/>
  <c r="J494" i="6" s="1"/>
  <c r="Q665" i="6"/>
  <c r="F744" i="6"/>
  <c r="R1133" i="6"/>
  <c r="T1133" i="6" s="1"/>
  <c r="U1133" i="6" s="1"/>
  <c r="G97" i="7"/>
  <c r="I97" i="7" s="1"/>
  <c r="J97" i="7" s="1"/>
  <c r="G261" i="7"/>
  <c r="I261" i="7" s="1"/>
  <c r="J261" i="7" s="1"/>
  <c r="R305" i="7"/>
  <c r="T305" i="7" s="1"/>
  <c r="U305" i="7" s="1"/>
  <c r="E820" i="7"/>
  <c r="G582" i="7"/>
  <c r="I582" i="7" s="1"/>
  <c r="J582" i="7" s="1"/>
  <c r="G999" i="7"/>
  <c r="I999" i="7" s="1"/>
  <c r="J999" i="7" s="1"/>
  <c r="G64" i="8"/>
  <c r="F81" i="8"/>
  <c r="G138" i="8"/>
  <c r="F152" i="8"/>
  <c r="F171" i="8" s="1"/>
  <c r="H262" i="8"/>
  <c r="F38" i="9"/>
  <c r="G30" i="9"/>
  <c r="F39" i="9"/>
  <c r="Q135" i="9"/>
  <c r="V595" i="11"/>
  <c r="H1017" i="11"/>
  <c r="J1017" i="11" s="1"/>
  <c r="K1017" i="11" s="1"/>
  <c r="R64" i="8"/>
  <c r="Q39" i="9"/>
  <c r="Q41" i="9" s="1"/>
  <c r="Q38" i="9"/>
  <c r="K732" i="13"/>
  <c r="E668" i="6"/>
  <c r="R521" i="6"/>
  <c r="T521" i="6" s="1"/>
  <c r="U521" i="6" s="1"/>
  <c r="R1195" i="6"/>
  <c r="T1195" i="6" s="1"/>
  <c r="U1195" i="6" s="1"/>
  <c r="O350" i="7"/>
  <c r="R601" i="7"/>
  <c r="T601" i="7" s="1"/>
  <c r="U601" i="7" s="1"/>
  <c r="R627" i="7"/>
  <c r="T627" i="7" s="1"/>
  <c r="U627" i="7" s="1"/>
  <c r="G673" i="7"/>
  <c r="I673" i="7" s="1"/>
  <c r="J673" i="7" s="1"/>
  <c r="G683" i="7"/>
  <c r="I683" i="7" s="1"/>
  <c r="J683" i="7" s="1"/>
  <c r="R1114" i="7"/>
  <c r="T1114" i="7" s="1"/>
  <c r="U1114" i="7" s="1"/>
  <c r="G1376" i="7"/>
  <c r="I1376" i="7" s="1"/>
  <c r="J1376" i="7" s="1"/>
  <c r="T169" i="8"/>
  <c r="U169" i="8" s="1"/>
  <c r="T168" i="8"/>
  <c r="Q189" i="8"/>
  <c r="Q207" i="8" s="1"/>
  <c r="G245" i="8"/>
  <c r="F260" i="8"/>
  <c r="F259" i="8"/>
  <c r="F280" i="8"/>
  <c r="G264" i="8"/>
  <c r="F279" i="8"/>
  <c r="G29" i="9"/>
  <c r="Q114" i="9"/>
  <c r="V12" i="11"/>
  <c r="H342" i="11"/>
  <c r="J342" i="11" s="1"/>
  <c r="K342" i="11" s="1"/>
  <c r="R684" i="11"/>
  <c r="P1087" i="11"/>
  <c r="S442" i="13"/>
  <c r="R513" i="13"/>
  <c r="R512" i="13"/>
  <c r="AG442" i="13"/>
  <c r="O1490" i="7"/>
  <c r="F1487" i="7"/>
  <c r="S520" i="11"/>
  <c r="U520" i="11" s="1"/>
  <c r="V520" i="11" s="1"/>
  <c r="H728" i="13"/>
  <c r="J728" i="13" s="1"/>
  <c r="K728" i="13" s="1"/>
  <c r="T12" i="6"/>
  <c r="G43" i="6"/>
  <c r="I43" i="6" s="1"/>
  <c r="J43" i="6" s="1"/>
  <c r="R187" i="6"/>
  <c r="T187" i="6" s="1"/>
  <c r="U187" i="6" s="1"/>
  <c r="G482" i="6"/>
  <c r="I482" i="6" s="1"/>
  <c r="J482" i="6" s="1"/>
  <c r="I12" i="7"/>
  <c r="R137" i="7"/>
  <c r="T137" i="7" s="1"/>
  <c r="U137" i="7" s="1"/>
  <c r="G334" i="7"/>
  <c r="I334" i="7" s="1"/>
  <c r="J334" i="7" s="1"/>
  <c r="G646" i="7"/>
  <c r="I646" i="7" s="1"/>
  <c r="J646" i="7" s="1"/>
  <c r="U822" i="7"/>
  <c r="Q1197" i="7"/>
  <c r="R1055" i="7"/>
  <c r="F1426" i="7"/>
  <c r="I1427" i="7"/>
  <c r="R40" i="8"/>
  <c r="T40" i="8" s="1"/>
  <c r="U40" i="8" s="1"/>
  <c r="F117" i="8"/>
  <c r="G102" i="8"/>
  <c r="Q152" i="8"/>
  <c r="Q171" i="8" s="1"/>
  <c r="Q151" i="8"/>
  <c r="U153" i="8"/>
  <c r="F244" i="8"/>
  <c r="Q280" i="8"/>
  <c r="I17" i="9"/>
  <c r="G115" i="9"/>
  <c r="I106" i="9"/>
  <c r="Q115" i="9"/>
  <c r="G76" i="11"/>
  <c r="H15" i="11"/>
  <c r="H76" i="11" s="1"/>
  <c r="R77" i="11"/>
  <c r="H278" i="11"/>
  <c r="J278" i="11" s="1"/>
  <c r="K278" i="11" s="1"/>
  <c r="H298" i="11"/>
  <c r="J298" i="11" s="1"/>
  <c r="K298" i="11" s="1"/>
  <c r="F876" i="11"/>
  <c r="R992" i="11"/>
  <c r="S977" i="11"/>
  <c r="U977" i="11" s="1"/>
  <c r="V977" i="11" s="1"/>
  <c r="S1136" i="11"/>
  <c r="U1136" i="11" s="1"/>
  <c r="V1136" i="11" s="1"/>
  <c r="S353" i="13"/>
  <c r="U353" i="13" s="1"/>
  <c r="V353" i="13" s="1"/>
  <c r="R441" i="13"/>
  <c r="R440" i="13"/>
  <c r="J434" i="13"/>
  <c r="K434" i="13" s="1"/>
  <c r="G181" i="6"/>
  <c r="I181" i="6" s="1"/>
  <c r="J181" i="6" s="1"/>
  <c r="R761" i="6"/>
  <c r="T761" i="6" s="1"/>
  <c r="U761" i="6" s="1"/>
  <c r="F1162" i="6"/>
  <c r="G1056" i="6"/>
  <c r="I1056" i="6" s="1"/>
  <c r="J1056" i="6" s="1"/>
  <c r="R121" i="7"/>
  <c r="T121" i="7" s="1"/>
  <c r="U121" i="7" s="1"/>
  <c r="R334" i="7"/>
  <c r="T334" i="7" s="1"/>
  <c r="U334" i="7" s="1"/>
  <c r="R515" i="7"/>
  <c r="T515" i="7" s="1"/>
  <c r="U515" i="7" s="1"/>
  <c r="E1200" i="7"/>
  <c r="G1202" i="7"/>
  <c r="F1279" i="7"/>
  <c r="F1490" i="7" s="1"/>
  <c r="S1490" i="7"/>
  <c r="Q1426" i="7"/>
  <c r="R1287" i="7"/>
  <c r="F1488" i="7"/>
  <c r="G3" i="8"/>
  <c r="D119" i="8"/>
  <c r="R226" i="8"/>
  <c r="Q243" i="8"/>
  <c r="Q296" i="8"/>
  <c r="R29" i="9"/>
  <c r="R28" i="9"/>
  <c r="T17" i="9"/>
  <c r="Q66" i="9"/>
  <c r="R55" i="9"/>
  <c r="T450" i="11"/>
  <c r="H215" i="11"/>
  <c r="J215" i="11" s="1"/>
  <c r="K215" i="11" s="1"/>
  <c r="R1301" i="11"/>
  <c r="G593" i="11"/>
  <c r="I110" i="13"/>
  <c r="I109" i="13"/>
  <c r="R961" i="7"/>
  <c r="T961" i="7" s="1"/>
  <c r="U961" i="7" s="1"/>
  <c r="R1304" i="7"/>
  <c r="T1304" i="7" s="1"/>
  <c r="U1304" i="7" s="1"/>
  <c r="D1490" i="7"/>
  <c r="Q117" i="8"/>
  <c r="Q116" i="8"/>
  <c r="G153" i="8"/>
  <c r="R298" i="8"/>
  <c r="T298" i="8" s="1"/>
  <c r="U298" i="8" s="1"/>
  <c r="F16" i="9"/>
  <c r="F41" i="9" s="1"/>
  <c r="G3" i="9"/>
  <c r="F15" i="9"/>
  <c r="E79" i="9"/>
  <c r="G67" i="9"/>
  <c r="H28" i="11"/>
  <c r="J28" i="11" s="1"/>
  <c r="K28" i="11" s="1"/>
  <c r="K78" i="11"/>
  <c r="U447" i="11"/>
  <c r="V237" i="11"/>
  <c r="S478" i="11"/>
  <c r="U478" i="11" s="1"/>
  <c r="V478" i="11" s="1"/>
  <c r="H578" i="11"/>
  <c r="J578" i="11" s="1"/>
  <c r="K578" i="11" s="1"/>
  <c r="H965" i="11"/>
  <c r="G992" i="11"/>
  <c r="R171" i="13"/>
  <c r="S110" i="13"/>
  <c r="Q223" i="7"/>
  <c r="G364" i="7"/>
  <c r="I364" i="7" s="1"/>
  <c r="J364" i="7" s="1"/>
  <c r="Q616" i="7"/>
  <c r="R502" i="7"/>
  <c r="T502" i="7" s="1"/>
  <c r="U502" i="7" s="1"/>
  <c r="F817" i="7"/>
  <c r="G618" i="7"/>
  <c r="F818" i="7"/>
  <c r="R673" i="7"/>
  <c r="T673" i="7" s="1"/>
  <c r="U673" i="7" s="1"/>
  <c r="G698" i="7"/>
  <c r="I698" i="7" s="1"/>
  <c r="J698" i="7" s="1"/>
  <c r="G721" i="7"/>
  <c r="I721" i="7" s="1"/>
  <c r="J721" i="7" s="1"/>
  <c r="F910" i="7"/>
  <c r="G912" i="7"/>
  <c r="F1053" i="7"/>
  <c r="G979" i="7"/>
  <c r="I979" i="7" s="1"/>
  <c r="J979" i="7" s="1"/>
  <c r="G990" i="7"/>
  <c r="I990" i="7" s="1"/>
  <c r="J990" i="7" s="1"/>
  <c r="Q225" i="8"/>
  <c r="Q262" i="8" s="1"/>
  <c r="R245" i="8"/>
  <c r="Q259" i="8"/>
  <c r="Q315" i="8"/>
  <c r="Q134" i="9"/>
  <c r="H756" i="11"/>
  <c r="J756" i="11" s="1"/>
  <c r="K756" i="11" s="1"/>
  <c r="U878" i="11"/>
  <c r="S363" i="13"/>
  <c r="U363" i="13" s="1"/>
  <c r="V363" i="13" s="1"/>
  <c r="G277" i="7"/>
  <c r="I277" i="7" s="1"/>
  <c r="J277" i="7" s="1"/>
  <c r="G375" i="7"/>
  <c r="I375" i="7" s="1"/>
  <c r="J375" i="7" s="1"/>
  <c r="S820" i="7"/>
  <c r="G566" i="7"/>
  <c r="I566" i="7" s="1"/>
  <c r="J566" i="7" s="1"/>
  <c r="G610" i="7"/>
  <c r="I610" i="7" s="1"/>
  <c r="J610" i="7" s="1"/>
  <c r="R928" i="7"/>
  <c r="T928" i="7" s="1"/>
  <c r="U928" i="7" s="1"/>
  <c r="G1044" i="7"/>
  <c r="I1044" i="7" s="1"/>
  <c r="J1044" i="7" s="1"/>
  <c r="R1133" i="7"/>
  <c r="T1133" i="7" s="1"/>
  <c r="U1133" i="7" s="1"/>
  <c r="Q1487" i="7"/>
  <c r="G1436" i="7"/>
  <c r="I1436" i="7" s="1"/>
  <c r="J1436" i="7" s="1"/>
  <c r="Q204" i="8"/>
  <c r="R190" i="8"/>
  <c r="Q54" i="9"/>
  <c r="Q79" i="9" s="1"/>
  <c r="Q53" i="9"/>
  <c r="R43" i="9"/>
  <c r="Q102" i="9"/>
  <c r="Q101" i="9"/>
  <c r="U78" i="11"/>
  <c r="H262" i="11"/>
  <c r="J262" i="11" s="1"/>
  <c r="K262" i="11" s="1"/>
  <c r="H432" i="11"/>
  <c r="J432" i="11" s="1"/>
  <c r="K432" i="11" s="1"/>
  <c r="S713" i="11"/>
  <c r="U713" i="11" s="1"/>
  <c r="V713" i="11" s="1"/>
  <c r="S833" i="11"/>
  <c r="U833" i="11" s="1"/>
  <c r="V833" i="11" s="1"/>
  <c r="G1386" i="11"/>
  <c r="AE36" i="13"/>
  <c r="AG36" i="13" s="1"/>
  <c r="AH36" i="13" s="1"/>
  <c r="AD251" i="13"/>
  <c r="AD252" i="13"/>
  <c r="AE180" i="13"/>
  <c r="AE228" i="13"/>
  <c r="AG228" i="13" s="1"/>
  <c r="AH228" i="13" s="1"/>
  <c r="AD441" i="13"/>
  <c r="AE358" i="13"/>
  <c r="AG358" i="13" s="1"/>
  <c r="AH358" i="13" s="1"/>
  <c r="R979" i="7"/>
  <c r="T979" i="7" s="1"/>
  <c r="U979" i="7" s="1"/>
  <c r="G1035" i="7"/>
  <c r="I1035" i="7" s="1"/>
  <c r="J1035" i="7" s="1"/>
  <c r="R1432" i="7"/>
  <c r="T1432" i="7" s="1"/>
  <c r="U1432" i="7" s="1"/>
  <c r="R138" i="8"/>
  <c r="Q168" i="8"/>
  <c r="Q205" i="8"/>
  <c r="S137" i="9"/>
  <c r="F135" i="9"/>
  <c r="S342" i="11"/>
  <c r="U342" i="11" s="1"/>
  <c r="V342" i="11" s="1"/>
  <c r="H649" i="11"/>
  <c r="J649" i="11" s="1"/>
  <c r="K649" i="11" s="1"/>
  <c r="G964" i="11"/>
  <c r="G1087" i="11" s="1"/>
  <c r="S891" i="11"/>
  <c r="U891" i="11" s="1"/>
  <c r="V891" i="11" s="1"/>
  <c r="E110" i="13"/>
  <c r="E109" i="13"/>
  <c r="T70" i="13"/>
  <c r="U29" i="13"/>
  <c r="V29" i="13" s="1"/>
  <c r="T69" i="13"/>
  <c r="H1200" i="7"/>
  <c r="G1114" i="7"/>
  <c r="I1114" i="7" s="1"/>
  <c r="J1114" i="7" s="1"/>
  <c r="G1389" i="7"/>
  <c r="I1389" i="7" s="1"/>
  <c r="J1389" i="7" s="1"/>
  <c r="R1488" i="7"/>
  <c r="F82" i="8"/>
  <c r="F119" i="8" s="1"/>
  <c r="Q100" i="8"/>
  <c r="R83" i="8"/>
  <c r="G190" i="8"/>
  <c r="F205" i="8"/>
  <c r="F297" i="8"/>
  <c r="F317" i="8" s="1"/>
  <c r="F315" i="8"/>
  <c r="F115" i="9"/>
  <c r="S28" i="11"/>
  <c r="H85" i="11"/>
  <c r="J85" i="11" s="1"/>
  <c r="K85" i="11" s="1"/>
  <c r="G448" i="11"/>
  <c r="H240" i="11"/>
  <c r="J240" i="11" s="1"/>
  <c r="K240" i="11" s="1"/>
  <c r="G447" i="11"/>
  <c r="H405" i="11"/>
  <c r="J405" i="11" s="1"/>
  <c r="K405" i="11" s="1"/>
  <c r="R594" i="11"/>
  <c r="H659" i="11"/>
  <c r="J659" i="11" s="1"/>
  <c r="K659" i="11" s="1"/>
  <c r="S808" i="11"/>
  <c r="U808" i="11" s="1"/>
  <c r="V808" i="11" s="1"/>
  <c r="R1084" i="11"/>
  <c r="S1004" i="11"/>
  <c r="U1004" i="11" s="1"/>
  <c r="V1004" i="11" s="1"/>
  <c r="H1136" i="11"/>
  <c r="J1136" i="11" s="1"/>
  <c r="K1136" i="11" s="1"/>
  <c r="J119" i="13"/>
  <c r="K119" i="13" s="1"/>
  <c r="R251" i="13"/>
  <c r="H297" i="13"/>
  <c r="J297" i="13" s="1"/>
  <c r="K297" i="13" s="1"/>
  <c r="S618" i="13"/>
  <c r="U618" i="13" s="1"/>
  <c r="V618" i="13" s="1"/>
  <c r="G1180" i="6"/>
  <c r="I1180" i="6" s="1"/>
  <c r="J1180" i="6" s="1"/>
  <c r="R267" i="7"/>
  <c r="T267" i="7" s="1"/>
  <c r="U267" i="7" s="1"/>
  <c r="G859" i="7"/>
  <c r="I859" i="7" s="1"/>
  <c r="J859" i="7" s="1"/>
  <c r="R947" i="7"/>
  <c r="T947" i="7" s="1"/>
  <c r="U947" i="7" s="1"/>
  <c r="R1158" i="7"/>
  <c r="T1158" i="7" s="1"/>
  <c r="U1158" i="7" s="1"/>
  <c r="R1417" i="7"/>
  <c r="T1417" i="7" s="1"/>
  <c r="U1417" i="7" s="1"/>
  <c r="R1450" i="7"/>
  <c r="T1450" i="7" s="1"/>
  <c r="U1450" i="7" s="1"/>
  <c r="P119" i="8"/>
  <c r="R173" i="8"/>
  <c r="Q188" i="8"/>
  <c r="G298" i="8"/>
  <c r="I298" i="8" s="1"/>
  <c r="J298" i="8" s="1"/>
  <c r="P79" i="9"/>
  <c r="Q76" i="9"/>
  <c r="Q90" i="9"/>
  <c r="R81" i="9"/>
  <c r="R106" i="9"/>
  <c r="G77" i="11"/>
  <c r="S152" i="11"/>
  <c r="U152" i="11" s="1"/>
  <c r="V152" i="11" s="1"/>
  <c r="S468" i="11"/>
  <c r="H554" i="11"/>
  <c r="J554" i="11" s="1"/>
  <c r="K554" i="11" s="1"/>
  <c r="H601" i="11"/>
  <c r="S624" i="11"/>
  <c r="U624" i="11" s="1"/>
  <c r="V624" i="11" s="1"/>
  <c r="H822" i="11"/>
  <c r="J822" i="11" s="1"/>
  <c r="K822" i="11" s="1"/>
  <c r="S844" i="11"/>
  <c r="U844" i="11" s="1"/>
  <c r="V844" i="11" s="1"/>
  <c r="S991" i="11"/>
  <c r="H1004" i="11"/>
  <c r="J1004" i="11" s="1"/>
  <c r="K1004" i="11" s="1"/>
  <c r="R1217" i="11"/>
  <c r="R1218" i="11"/>
  <c r="R1388" i="11" s="1"/>
  <c r="S1093" i="11"/>
  <c r="R1300" i="11"/>
  <c r="S97" i="13"/>
  <c r="U71" i="13"/>
  <c r="H146" i="13"/>
  <c r="J146" i="13" s="1"/>
  <c r="K146" i="13" s="1"/>
  <c r="H189" i="13"/>
  <c r="J189" i="13" s="1"/>
  <c r="K189" i="13" s="1"/>
  <c r="H372" i="13"/>
  <c r="Q101" i="8"/>
  <c r="Q119" i="8" s="1"/>
  <c r="F136" i="8"/>
  <c r="Q224" i="8"/>
  <c r="S262" i="8"/>
  <c r="F53" i="9"/>
  <c r="R67" i="9"/>
  <c r="P104" i="9"/>
  <c r="F114" i="9"/>
  <c r="J12" i="11"/>
  <c r="S167" i="11"/>
  <c r="U167" i="11" s="1"/>
  <c r="V167" i="11" s="1"/>
  <c r="H323" i="11"/>
  <c r="J323" i="11" s="1"/>
  <c r="K323" i="11" s="1"/>
  <c r="H366" i="11"/>
  <c r="J366" i="11" s="1"/>
  <c r="K366" i="11" s="1"/>
  <c r="S649" i="11"/>
  <c r="U649" i="11" s="1"/>
  <c r="V649" i="11" s="1"/>
  <c r="H878" i="11"/>
  <c r="U965" i="11"/>
  <c r="S992" i="11"/>
  <c r="J1089" i="11"/>
  <c r="R1386" i="11"/>
  <c r="S1314" i="11"/>
  <c r="AD69" i="13"/>
  <c r="AE12" i="13"/>
  <c r="J82" i="13"/>
  <c r="K82" i="13" s="1"/>
  <c r="U251" i="13"/>
  <c r="V172" i="13"/>
  <c r="V251" i="13" s="1"/>
  <c r="U252" i="13"/>
  <c r="V252" i="13" s="1"/>
  <c r="S358" i="13"/>
  <c r="U358" i="13" s="1"/>
  <c r="V358" i="13" s="1"/>
  <c r="G610" i="13"/>
  <c r="S771" i="11"/>
  <c r="U771" i="11" s="1"/>
  <c r="V771" i="11" s="1"/>
  <c r="H789" i="11"/>
  <c r="J789" i="11" s="1"/>
  <c r="K789" i="11" s="1"/>
  <c r="R964" i="11"/>
  <c r="H891" i="11"/>
  <c r="J891" i="11" s="1"/>
  <c r="K891" i="11" s="1"/>
  <c r="H999" i="11"/>
  <c r="J999" i="11" s="1"/>
  <c r="K999" i="11" s="1"/>
  <c r="K14" i="13"/>
  <c r="R98" i="13"/>
  <c r="S75" i="13"/>
  <c r="U75" i="13" s="1"/>
  <c r="V75" i="13" s="1"/>
  <c r="U99" i="13"/>
  <c r="H244" i="13"/>
  <c r="G340" i="13"/>
  <c r="G339" i="13"/>
  <c r="H670" i="13"/>
  <c r="J670" i="13" s="1"/>
  <c r="K670" i="13" s="1"/>
  <c r="Q136" i="8"/>
  <c r="R121" i="8"/>
  <c r="F169" i="8"/>
  <c r="G92" i="9"/>
  <c r="F101" i="9"/>
  <c r="G236" i="11"/>
  <c r="S375" i="11"/>
  <c r="U375" i="11" s="1"/>
  <c r="V375" i="11" s="1"/>
  <c r="H593" i="11"/>
  <c r="H594" i="11"/>
  <c r="S545" i="11"/>
  <c r="U545" i="11" s="1"/>
  <c r="V545" i="11" s="1"/>
  <c r="S688" i="11"/>
  <c r="U688" i="11" s="1"/>
  <c r="U873" i="11" s="1"/>
  <c r="S783" i="11"/>
  <c r="U783" i="11" s="1"/>
  <c r="V783" i="11" s="1"/>
  <c r="S789" i="11"/>
  <c r="U789" i="11" s="1"/>
  <c r="V789" i="11" s="1"/>
  <c r="R873" i="11"/>
  <c r="S993" i="11"/>
  <c r="S1034" i="11"/>
  <c r="U1034" i="11" s="1"/>
  <c r="V1034" i="11" s="1"/>
  <c r="Q1388" i="11"/>
  <c r="G1385" i="11"/>
  <c r="H1314" i="11"/>
  <c r="J1314" i="11" s="1"/>
  <c r="K1314" i="11" s="1"/>
  <c r="S93" i="13"/>
  <c r="U93" i="13" s="1"/>
  <c r="V93" i="13" s="1"/>
  <c r="S158" i="13"/>
  <c r="U158" i="13" s="1"/>
  <c r="V158" i="13" s="1"/>
  <c r="AE318" i="13"/>
  <c r="AG318" i="13" s="1"/>
  <c r="AH318" i="13" s="1"/>
  <c r="J408" i="13"/>
  <c r="J409" i="13"/>
  <c r="K409" i="13" s="1"/>
  <c r="S466" i="13"/>
  <c r="U466" i="13" s="1"/>
  <c r="V466" i="13" s="1"/>
  <c r="S532" i="13"/>
  <c r="U532" i="13" s="1"/>
  <c r="V532" i="13" s="1"/>
  <c r="F911" i="7"/>
  <c r="F1200" i="7" s="1"/>
  <c r="G864" i="7"/>
  <c r="I864" i="7" s="1"/>
  <c r="J864" i="7" s="1"/>
  <c r="G1287" i="7"/>
  <c r="I1287" i="7" s="1"/>
  <c r="J1287" i="7" s="1"/>
  <c r="G1394" i="7"/>
  <c r="I1394" i="7" s="1"/>
  <c r="J1394" i="7" s="1"/>
  <c r="O62" i="8"/>
  <c r="P171" i="8"/>
  <c r="G19" i="9"/>
  <c r="I19" i="9" s="1"/>
  <c r="J19" i="9" s="1"/>
  <c r="R448" i="11"/>
  <c r="S383" i="11"/>
  <c r="U383" i="11" s="1"/>
  <c r="V383" i="11" s="1"/>
  <c r="S432" i="11"/>
  <c r="U432" i="11" s="1"/>
  <c r="V432" i="11" s="1"/>
  <c r="G594" i="11"/>
  <c r="G876" i="11" s="1"/>
  <c r="H624" i="11"/>
  <c r="J624" i="11" s="1"/>
  <c r="K624" i="11" s="1"/>
  <c r="H699" i="11"/>
  <c r="J699" i="11" s="1"/>
  <c r="K699" i="11" s="1"/>
  <c r="H733" i="11"/>
  <c r="J733" i="11" s="1"/>
  <c r="K733" i="11" s="1"/>
  <c r="I873" i="11"/>
  <c r="I874" i="11"/>
  <c r="I876" i="11" s="1"/>
  <c r="S822" i="11"/>
  <c r="U822" i="11" s="1"/>
  <c r="V822" i="11" s="1"/>
  <c r="H993" i="11"/>
  <c r="G1084" i="11"/>
  <c r="G1085" i="11"/>
  <c r="S1017" i="11"/>
  <c r="U1017" i="11" s="1"/>
  <c r="V1017" i="11" s="1"/>
  <c r="S1048" i="11"/>
  <c r="U1048" i="11" s="1"/>
  <c r="V1048" i="11" s="1"/>
  <c r="H1071" i="11"/>
  <c r="J1071" i="11" s="1"/>
  <c r="K1071" i="11" s="1"/>
  <c r="H1098" i="11"/>
  <c r="J1098" i="11" s="1"/>
  <c r="K1098" i="11" s="1"/>
  <c r="H1109" i="11"/>
  <c r="J1109" i="11" s="1"/>
  <c r="K1109" i="11" s="1"/>
  <c r="H1336" i="11"/>
  <c r="J1336" i="11" s="1"/>
  <c r="K1336" i="11" s="1"/>
  <c r="AE158" i="13"/>
  <c r="AG158" i="13" s="1"/>
  <c r="AH158" i="13" s="1"/>
  <c r="S274" i="13"/>
  <c r="U274" i="13" s="1"/>
  <c r="V274" i="13" s="1"/>
  <c r="U560" i="13"/>
  <c r="AE660" i="13"/>
  <c r="AG660" i="13" s="1"/>
  <c r="AH660" i="13" s="1"/>
  <c r="S965" i="13"/>
  <c r="U965" i="13" s="1"/>
  <c r="V965" i="13" s="1"/>
  <c r="F76" i="9"/>
  <c r="R76" i="11"/>
  <c r="E450" i="11"/>
  <c r="H94" i="11"/>
  <c r="J94" i="11" s="1"/>
  <c r="K94" i="11" s="1"/>
  <c r="S215" i="11"/>
  <c r="U215" i="11" s="1"/>
  <c r="V215" i="11" s="1"/>
  <c r="H447" i="11"/>
  <c r="S498" i="11"/>
  <c r="U498" i="11" s="1"/>
  <c r="V498" i="11" s="1"/>
  <c r="H808" i="11"/>
  <c r="J808" i="11" s="1"/>
  <c r="K808" i="11" s="1"/>
  <c r="R874" i="11"/>
  <c r="R1085" i="11"/>
  <c r="V1089" i="11"/>
  <c r="S1109" i="11"/>
  <c r="U1109" i="11" s="1"/>
  <c r="V1109" i="11" s="1"/>
  <c r="P1388" i="11"/>
  <c r="H1359" i="11"/>
  <c r="J1359" i="11" s="1"/>
  <c r="K1359" i="11" s="1"/>
  <c r="R252" i="13"/>
  <c r="R347" i="13"/>
  <c r="AD440" i="13"/>
  <c r="J373" i="13"/>
  <c r="K373" i="13" s="1"/>
  <c r="R778" i="13"/>
  <c r="S670" i="13"/>
  <c r="R779" i="13"/>
  <c r="S439" i="11"/>
  <c r="U439" i="11" s="1"/>
  <c r="V439" i="11" s="1"/>
  <c r="S874" i="11"/>
  <c r="G963" i="11"/>
  <c r="G1218" i="11"/>
  <c r="G1388" i="11" s="1"/>
  <c r="S1385" i="11"/>
  <c r="S21" i="13"/>
  <c r="U21" i="13" s="1"/>
  <c r="V21" i="13" s="1"/>
  <c r="AD98" i="13"/>
  <c r="AD97" i="13"/>
  <c r="AE121" i="13"/>
  <c r="AG121" i="13" s="1"/>
  <c r="AH121" i="13" s="1"/>
  <c r="AG172" i="13"/>
  <c r="AE188" i="13"/>
  <c r="AG188" i="13" s="1"/>
  <c r="AH188" i="13" s="1"/>
  <c r="H218" i="13"/>
  <c r="J218" i="13" s="1"/>
  <c r="K218" i="13" s="1"/>
  <c r="H408" i="13"/>
  <c r="AE381" i="13"/>
  <c r="AG381" i="13" s="1"/>
  <c r="AH381" i="13" s="1"/>
  <c r="AD512" i="13"/>
  <c r="AD513" i="13"/>
  <c r="S527" i="13"/>
  <c r="U527" i="13" s="1"/>
  <c r="V527" i="13" s="1"/>
  <c r="H571" i="13"/>
  <c r="J571" i="13" s="1"/>
  <c r="K571" i="13" s="1"/>
  <c r="H704" i="13"/>
  <c r="J704" i="13" s="1"/>
  <c r="K704" i="13" s="1"/>
  <c r="Q15" i="9"/>
  <c r="R3" i="9"/>
  <c r="D41" i="9"/>
  <c r="H631" i="11"/>
  <c r="J631" i="11" s="1"/>
  <c r="K631" i="11" s="1"/>
  <c r="G684" i="11"/>
  <c r="G874" i="11"/>
  <c r="H1237" i="11"/>
  <c r="J1237" i="11" s="1"/>
  <c r="K1237" i="11" s="1"/>
  <c r="S1274" i="11"/>
  <c r="S1300" i="11" s="1"/>
  <c r="H1290" i="11"/>
  <c r="J1290" i="11" s="1"/>
  <c r="K1290" i="11" s="1"/>
  <c r="S46" i="13"/>
  <c r="U46" i="13" s="1"/>
  <c r="V46" i="13" s="1"/>
  <c r="S55" i="13"/>
  <c r="U55" i="13" s="1"/>
  <c r="V55" i="13" s="1"/>
  <c r="S298" i="13"/>
  <c r="U298" i="13" s="1"/>
  <c r="V298" i="13" s="1"/>
  <c r="H373" i="13"/>
  <c r="S435" i="13"/>
  <c r="U435" i="13" s="1"/>
  <c r="V435" i="13" s="1"/>
  <c r="AD558" i="13"/>
  <c r="AE514" i="13"/>
  <c r="AD559" i="13"/>
  <c r="AD669" i="13"/>
  <c r="H618" i="11"/>
  <c r="J618" i="11" s="1"/>
  <c r="K618" i="11" s="1"/>
  <c r="H1242" i="11"/>
  <c r="J1242" i="11" s="1"/>
  <c r="K1242" i="11" s="1"/>
  <c r="R70" i="13"/>
  <c r="H33" i="13"/>
  <c r="J33" i="13" s="1"/>
  <c r="K33" i="13" s="1"/>
  <c r="K111" i="13"/>
  <c r="H171" i="13"/>
  <c r="J171" i="13" s="1"/>
  <c r="K171" i="13" s="1"/>
  <c r="U253" i="13"/>
  <c r="J372" i="13"/>
  <c r="P441" i="13"/>
  <c r="AG348" i="13"/>
  <c r="AE501" i="13"/>
  <c r="AG501" i="13" s="1"/>
  <c r="AH501" i="13" s="1"/>
  <c r="AE592" i="13"/>
  <c r="AG592" i="13" s="1"/>
  <c r="AH592" i="13" s="1"/>
  <c r="K755" i="13"/>
  <c r="R683" i="11"/>
  <c r="S614" i="11"/>
  <c r="H833" i="11"/>
  <c r="J833" i="11" s="1"/>
  <c r="K833" i="11" s="1"/>
  <c r="H1198" i="11"/>
  <c r="J1198" i="11" s="1"/>
  <c r="K1198" i="11" s="1"/>
  <c r="G1217" i="11"/>
  <c r="S12" i="13"/>
  <c r="G110" i="13"/>
  <c r="AE46" i="13"/>
  <c r="AG46" i="13" s="1"/>
  <c r="AH46" i="13" s="1"/>
  <c r="AE60" i="13"/>
  <c r="AG60" i="13" s="1"/>
  <c r="AH60" i="13" s="1"/>
  <c r="H74" i="13"/>
  <c r="J74" i="13" s="1"/>
  <c r="K74" i="13" s="1"/>
  <c r="AE87" i="13"/>
  <c r="H97" i="13"/>
  <c r="J97" i="13" s="1"/>
  <c r="K97" i="13" s="1"/>
  <c r="R170" i="13"/>
  <c r="S252" i="13"/>
  <c r="S251" i="13"/>
  <c r="AD346" i="13"/>
  <c r="AE253" i="13"/>
  <c r="AD347" i="13"/>
  <c r="K341" i="13"/>
  <c r="R668" i="13"/>
  <c r="R669" i="13"/>
  <c r="AE570" i="13"/>
  <c r="AG570" i="13" s="1"/>
  <c r="AH570" i="13" s="1"/>
  <c r="H611" i="13"/>
  <c r="J589" i="13"/>
  <c r="H610" i="13"/>
  <c r="S15" i="13"/>
  <c r="U15" i="13" s="1"/>
  <c r="V15" i="13" s="1"/>
  <c r="AE97" i="13"/>
  <c r="E243" i="13"/>
  <c r="G156" i="13"/>
  <c r="G243" i="13" s="1"/>
  <c r="S315" i="13"/>
  <c r="U315" i="13" s="1"/>
  <c r="V315" i="13" s="1"/>
  <c r="S381" i="13"/>
  <c r="U381" i="13" s="1"/>
  <c r="V381" i="13" s="1"/>
  <c r="AE388" i="13"/>
  <c r="AG388" i="13" s="1"/>
  <c r="AH388" i="13" s="1"/>
  <c r="AE466" i="13"/>
  <c r="AG466" i="13" s="1"/>
  <c r="AH466" i="13" s="1"/>
  <c r="K1302" i="11"/>
  <c r="J1385" i="11"/>
  <c r="H1386" i="11"/>
  <c r="H61" i="13"/>
  <c r="J61" i="13" s="1"/>
  <c r="K61" i="13" s="1"/>
  <c r="AD171" i="13"/>
  <c r="AE99" i="13"/>
  <c r="S257" i="13"/>
  <c r="U257" i="13" s="1"/>
  <c r="V257" i="13" s="1"/>
  <c r="S335" i="13"/>
  <c r="U335" i="13" s="1"/>
  <c r="V335" i="13" s="1"/>
  <c r="S471" i="13"/>
  <c r="U471" i="13" s="1"/>
  <c r="V471" i="13" s="1"/>
  <c r="S570" i="13"/>
  <c r="U570" i="13" s="1"/>
  <c r="V570" i="13" s="1"/>
  <c r="AE631" i="13"/>
  <c r="AG631" i="13" s="1"/>
  <c r="AH631" i="13" s="1"/>
  <c r="G692" i="13"/>
  <c r="G693" i="13"/>
  <c r="J676" i="13"/>
  <c r="AE692" i="13"/>
  <c r="AG692" i="13" s="1"/>
  <c r="AH692" i="13" s="1"/>
  <c r="S52" i="13"/>
  <c r="U52" i="13" s="1"/>
  <c r="V52" i="13" s="1"/>
  <c r="S114" i="13"/>
  <c r="U114" i="13" s="1"/>
  <c r="V114" i="13" s="1"/>
  <c r="AE335" i="13"/>
  <c r="AG335" i="13" s="1"/>
  <c r="AH335" i="13" s="1"/>
  <c r="S409" i="13"/>
  <c r="U409" i="13" s="1"/>
  <c r="V409" i="13" s="1"/>
  <c r="AE450" i="13"/>
  <c r="AG450" i="13" s="1"/>
  <c r="AH450" i="13" s="1"/>
  <c r="S514" i="13"/>
  <c r="R559" i="13"/>
  <c r="H530" i="13"/>
  <c r="J530" i="13" s="1"/>
  <c r="K530" i="13" s="1"/>
  <c r="S703" i="13"/>
  <c r="U703" i="13" s="1"/>
  <c r="V703" i="13" s="1"/>
  <c r="H722" i="13"/>
  <c r="J722" i="13" s="1"/>
  <c r="K722" i="13" s="1"/>
  <c r="U348" i="13"/>
  <c r="AE409" i="13"/>
  <c r="AG409" i="13" s="1"/>
  <c r="AH409" i="13" s="1"/>
  <c r="S508" i="13"/>
  <c r="U508" i="13" s="1"/>
  <c r="V508" i="13" s="1"/>
  <c r="AE611" i="13"/>
  <c r="AG611" i="13" s="1"/>
  <c r="AH611" i="13" s="1"/>
  <c r="H746" i="13"/>
  <c r="J746" i="13" s="1"/>
  <c r="K746" i="13" s="1"/>
  <c r="F788" i="13"/>
  <c r="F789" i="13"/>
  <c r="H817" i="13"/>
  <c r="J817" i="13" s="1"/>
  <c r="K817" i="13" s="1"/>
  <c r="S999" i="11"/>
  <c r="U999" i="11" s="1"/>
  <c r="V999" i="11" s="1"/>
  <c r="AE646" i="13"/>
  <c r="AG646" i="13" s="1"/>
  <c r="AH646" i="13" s="1"/>
  <c r="H659" i="13"/>
  <c r="J659" i="13" s="1"/>
  <c r="K659" i="13" s="1"/>
  <c r="G754" i="13"/>
  <c r="G753" i="13"/>
  <c r="G788" i="13" s="1"/>
  <c r="H695" i="13"/>
  <c r="AE703" i="13"/>
  <c r="AG703" i="13" s="1"/>
  <c r="AH703" i="13" s="1"/>
  <c r="S873" i="13"/>
  <c r="U873" i="13" s="1"/>
  <c r="V873" i="13" s="1"/>
  <c r="AH883" i="13"/>
  <c r="G588" i="13"/>
  <c r="G587" i="13"/>
  <c r="S450" i="13"/>
  <c r="U450" i="13" s="1"/>
  <c r="V450" i="13" s="1"/>
  <c r="R881" i="13"/>
  <c r="S780" i="13"/>
  <c r="R882" i="13"/>
  <c r="H806" i="13"/>
  <c r="J806" i="13" s="1"/>
  <c r="K806" i="13" s="1"/>
  <c r="H253" i="13"/>
  <c r="J253" i="13" s="1"/>
  <c r="K253" i="13" s="1"/>
  <c r="H409" i="13"/>
  <c r="S388" i="13"/>
  <c r="U388" i="13" s="1"/>
  <c r="V388" i="13" s="1"/>
  <c r="H588" i="13"/>
  <c r="J410" i="13"/>
  <c r="R558" i="13"/>
  <c r="S611" i="13"/>
  <c r="U611" i="13" s="1"/>
  <c r="V611" i="13" s="1"/>
  <c r="AE767" i="13"/>
  <c r="AG767" i="13" s="1"/>
  <c r="AH767" i="13" s="1"/>
  <c r="H779" i="13"/>
  <c r="J779" i="13" s="1"/>
  <c r="K779" i="13" s="1"/>
  <c r="S792" i="13"/>
  <c r="U792" i="13" s="1"/>
  <c r="V792" i="13" s="1"/>
  <c r="S829" i="13"/>
  <c r="U829" i="13" s="1"/>
  <c r="V829" i="13" s="1"/>
  <c r="H238" i="13"/>
  <c r="J238" i="13" s="1"/>
  <c r="K238" i="13" s="1"/>
  <c r="S330" i="13"/>
  <c r="U330" i="13" s="1"/>
  <c r="V330" i="13" s="1"/>
  <c r="AE403" i="13"/>
  <c r="AG403" i="13" s="1"/>
  <c r="AH403" i="13" s="1"/>
  <c r="H714" i="13"/>
  <c r="J714" i="13" s="1"/>
  <c r="K714" i="13" s="1"/>
  <c r="AD881" i="13"/>
  <c r="H318" i="13"/>
  <c r="J318" i="13" s="1"/>
  <c r="K318" i="13" s="1"/>
  <c r="AD668" i="13"/>
  <c r="E789" i="13"/>
  <c r="E788" i="13"/>
  <c r="H826" i="13"/>
  <c r="H790" i="13"/>
  <c r="J790" i="13" s="1"/>
  <c r="S895" i="13"/>
  <c r="R989" i="13"/>
  <c r="R990" i="13"/>
  <c r="S592" i="13"/>
  <c r="U592" i="13" s="1"/>
  <c r="V592" i="13" s="1"/>
  <c r="S660" i="13"/>
  <c r="U660" i="13" s="1"/>
  <c r="V660" i="13" s="1"/>
  <c r="H682" i="13"/>
  <c r="J682" i="13" s="1"/>
  <c r="K682" i="13" s="1"/>
  <c r="H740" i="13"/>
  <c r="J740" i="13" s="1"/>
  <c r="K740" i="13" s="1"/>
  <c r="AE861" i="13"/>
  <c r="AG861" i="13" s="1"/>
  <c r="AH861" i="13" s="1"/>
  <c r="V883" i="13"/>
  <c r="AE945" i="13"/>
  <c r="AG945" i="13" s="1"/>
  <c r="AH945" i="13" s="1"/>
  <c r="H580" i="13"/>
  <c r="J580" i="13" s="1"/>
  <c r="K580" i="13" s="1"/>
  <c r="H632" i="13"/>
  <c r="J612" i="13"/>
  <c r="AE618" i="13"/>
  <c r="AG618" i="13" s="1"/>
  <c r="AH618" i="13" s="1"/>
  <c r="H701" i="13"/>
  <c r="J701" i="13" s="1"/>
  <c r="K701" i="13" s="1"/>
  <c r="AE873" i="13"/>
  <c r="AG873" i="13" s="1"/>
  <c r="AH873" i="13" s="1"/>
  <c r="S957" i="13"/>
  <c r="U957" i="13" s="1"/>
  <c r="V957" i="13" s="1"/>
  <c r="AD779" i="13"/>
  <c r="AE670" i="13"/>
  <c r="H738" i="13"/>
  <c r="AE780" i="13"/>
  <c r="AD882" i="13"/>
  <c r="AE889" i="13"/>
  <c r="AD989" i="13"/>
  <c r="AD990" i="13"/>
  <c r="G632" i="13"/>
  <c r="AE902" i="13"/>
  <c r="AG902" i="13" s="1"/>
  <c r="AH902" i="13" s="1"/>
  <c r="AE560" i="13"/>
  <c r="H617" i="13"/>
  <c r="J617" i="13" s="1"/>
  <c r="K617" i="13" s="1"/>
  <c r="AE990" i="13"/>
  <c r="G825" i="13"/>
  <c r="H822" i="13"/>
  <c r="J822" i="13" s="1"/>
  <c r="K822" i="13" s="1"/>
  <c r="G826" i="13"/>
  <c r="AE895" i="13"/>
  <c r="AG895" i="13" s="1"/>
  <c r="AH895" i="13" s="1"/>
  <c r="S974" i="13"/>
  <c r="U974" i="13" s="1"/>
  <c r="V974" i="13" s="1"/>
  <c r="J771" i="13" l="1"/>
  <c r="K771" i="13" s="1"/>
  <c r="J789" i="13"/>
  <c r="K789" i="13" s="1"/>
  <c r="AG87" i="13"/>
  <c r="AE98" i="13"/>
  <c r="S873" i="11"/>
  <c r="H152" i="13"/>
  <c r="J152" i="13" s="1"/>
  <c r="K152" i="13" s="1"/>
  <c r="H1084" i="11"/>
  <c r="J993" i="11"/>
  <c r="H1085" i="11"/>
  <c r="J243" i="13"/>
  <c r="K243" i="13" s="1"/>
  <c r="V99" i="13"/>
  <c r="R1087" i="11"/>
  <c r="J1218" i="11"/>
  <c r="K1089" i="11"/>
  <c r="J1217" i="11"/>
  <c r="U1093" i="11"/>
  <c r="S1218" i="11"/>
  <c r="S1217" i="11"/>
  <c r="U468" i="11"/>
  <c r="S593" i="11"/>
  <c r="R188" i="8"/>
  <c r="R189" i="8"/>
  <c r="T173" i="8"/>
  <c r="F137" i="9"/>
  <c r="S964" i="11"/>
  <c r="G15" i="9"/>
  <c r="I3" i="9"/>
  <c r="G16" i="9"/>
  <c r="H587" i="13"/>
  <c r="J873" i="11"/>
  <c r="I28" i="9"/>
  <c r="J17" i="9"/>
  <c r="I29" i="9"/>
  <c r="J29" i="9" s="1"/>
  <c r="G1488" i="7"/>
  <c r="G260" i="8"/>
  <c r="G259" i="8"/>
  <c r="I245" i="8"/>
  <c r="I64" i="8"/>
  <c r="G82" i="8"/>
  <c r="G81" i="8"/>
  <c r="J137" i="8"/>
  <c r="R494" i="7"/>
  <c r="G53" i="9"/>
  <c r="I43" i="9"/>
  <c r="G54" i="9"/>
  <c r="R616" i="7"/>
  <c r="U354" i="7"/>
  <c r="T495" i="7"/>
  <c r="J82" i="11"/>
  <c r="H236" i="11"/>
  <c r="H235" i="11"/>
  <c r="T347" i="7"/>
  <c r="U224" i="7"/>
  <c r="T348" i="7"/>
  <c r="U348" i="7" s="1"/>
  <c r="G267" i="6"/>
  <c r="R164" i="6"/>
  <c r="R109" i="7"/>
  <c r="T489" i="6"/>
  <c r="U489" i="6" s="1"/>
  <c r="J447" i="11"/>
  <c r="J633" i="13"/>
  <c r="K633" i="13" s="1"/>
  <c r="K612" i="13"/>
  <c r="J632" i="13"/>
  <c r="U614" i="11"/>
  <c r="S684" i="11"/>
  <c r="AE558" i="13"/>
  <c r="AG514" i="13"/>
  <c r="AE559" i="13"/>
  <c r="H110" i="13"/>
  <c r="S1085" i="11"/>
  <c r="S1084" i="11"/>
  <c r="U993" i="11"/>
  <c r="S170" i="13"/>
  <c r="H1217" i="11"/>
  <c r="K12" i="11"/>
  <c r="I1425" i="7"/>
  <c r="V1219" i="11"/>
  <c r="T117" i="8"/>
  <c r="U117" i="8" s="1"/>
  <c r="T116" i="8"/>
  <c r="U102" i="8"/>
  <c r="S236" i="11"/>
  <c r="R617" i="7"/>
  <c r="I126" i="9"/>
  <c r="G135" i="9"/>
  <c r="G134" i="9"/>
  <c r="G1210" i="6"/>
  <c r="R80" i="6"/>
  <c r="R1162" i="6"/>
  <c r="G666" i="6"/>
  <c r="R110" i="7"/>
  <c r="R268" i="6"/>
  <c r="R267" i="6"/>
  <c r="T166" i="6"/>
  <c r="T745" i="6"/>
  <c r="R846" i="6"/>
  <c r="R845" i="6"/>
  <c r="G1426" i="7"/>
  <c r="R53" i="9"/>
  <c r="R54" i="9"/>
  <c r="T43" i="9"/>
  <c r="G20" i="8"/>
  <c r="G21" i="8"/>
  <c r="G62" i="8" s="1"/>
  <c r="I3" i="8"/>
  <c r="I1488" i="7"/>
  <c r="J1488" i="7" s="1"/>
  <c r="J1427" i="7"/>
  <c r="I1487" i="7"/>
  <c r="H633" i="13"/>
  <c r="U514" i="13"/>
  <c r="S558" i="13"/>
  <c r="S559" i="13"/>
  <c r="J1386" i="11"/>
  <c r="K1386" i="11" s="1"/>
  <c r="S346" i="13"/>
  <c r="G101" i="9"/>
  <c r="I92" i="9"/>
  <c r="G102" i="9"/>
  <c r="H1218" i="11"/>
  <c r="G242" i="13"/>
  <c r="G450" i="11"/>
  <c r="H242" i="13"/>
  <c r="R876" i="11"/>
  <c r="G1425" i="7"/>
  <c r="G1054" i="7"/>
  <c r="G1053" i="7"/>
  <c r="I912" i="7"/>
  <c r="U448" i="11"/>
  <c r="V448" i="11" s="1"/>
  <c r="R65" i="9"/>
  <c r="R66" i="9"/>
  <c r="T55" i="9"/>
  <c r="AE512" i="13"/>
  <c r="I1426" i="7"/>
  <c r="J1426" i="7" s="1"/>
  <c r="T117" i="7"/>
  <c r="R223" i="7"/>
  <c r="R222" i="7"/>
  <c r="F820" i="7"/>
  <c r="T847" i="6"/>
  <c r="R989" i="6"/>
  <c r="R990" i="6"/>
  <c r="G347" i="7"/>
  <c r="I224" i="7"/>
  <c r="G348" i="7"/>
  <c r="R743" i="6"/>
  <c r="J594" i="11"/>
  <c r="F1212" i="6"/>
  <c r="T1162" i="6"/>
  <c r="U1162" i="6" s="1"/>
  <c r="T1161" i="6"/>
  <c r="U1049" i="6"/>
  <c r="J272" i="6"/>
  <c r="I389" i="6"/>
  <c r="I390" i="6"/>
  <c r="G665" i="6"/>
  <c r="F350" i="7"/>
  <c r="T488" i="6"/>
  <c r="T109" i="7"/>
  <c r="T110" i="7"/>
  <c r="U12" i="7"/>
  <c r="I164" i="6"/>
  <c r="I165" i="6"/>
  <c r="J165" i="6" s="1"/>
  <c r="J81" i="6"/>
  <c r="Q992" i="6"/>
  <c r="T743" i="6"/>
  <c r="T135" i="9"/>
  <c r="U135" i="9" s="1"/>
  <c r="U126" i="9"/>
  <c r="T134" i="9"/>
  <c r="I268" i="6"/>
  <c r="J268" i="6" s="1"/>
  <c r="R114" i="9"/>
  <c r="T106" i="9"/>
  <c r="R115" i="9"/>
  <c r="R137" i="9" s="1"/>
  <c r="S594" i="11"/>
  <c r="G169" i="8"/>
  <c r="G168" i="8"/>
  <c r="I153" i="8"/>
  <c r="T1287" i="7"/>
  <c r="U1287" i="7" s="1"/>
  <c r="R1426" i="7"/>
  <c r="R1198" i="7"/>
  <c r="R1197" i="7"/>
  <c r="T1055" i="7"/>
  <c r="T80" i="6"/>
  <c r="U12" i="6"/>
  <c r="T79" i="6"/>
  <c r="AG512" i="13"/>
  <c r="AH442" i="13"/>
  <c r="AG513" i="13"/>
  <c r="AH513" i="13" s="1"/>
  <c r="I116" i="9"/>
  <c r="G124" i="9"/>
  <c r="G125" i="9"/>
  <c r="R1425" i="7"/>
  <c r="R1054" i="7"/>
  <c r="G60" i="8"/>
  <c r="G59" i="8"/>
  <c r="I22" i="8"/>
  <c r="J593" i="11"/>
  <c r="Q350" i="7"/>
  <c r="R1161" i="6"/>
  <c r="I666" i="6"/>
  <c r="J666" i="6" s="1"/>
  <c r="J490" i="6"/>
  <c r="I665" i="6"/>
  <c r="G743" i="6"/>
  <c r="I267" i="6"/>
  <c r="AE989" i="13"/>
  <c r="AG889" i="13"/>
  <c r="V348" i="13"/>
  <c r="U441" i="13"/>
  <c r="V441" i="13" s="1"/>
  <c r="U440" i="13"/>
  <c r="H693" i="13"/>
  <c r="AG99" i="13"/>
  <c r="AE170" i="13"/>
  <c r="AE171" i="13"/>
  <c r="AE346" i="13"/>
  <c r="AG253" i="13"/>
  <c r="AE347" i="13"/>
  <c r="U346" i="13"/>
  <c r="V253" i="13"/>
  <c r="U347" i="13"/>
  <c r="V347" i="13" s="1"/>
  <c r="AH172" i="13"/>
  <c r="S778" i="13"/>
  <c r="U670" i="13"/>
  <c r="S779" i="13"/>
  <c r="H448" i="11"/>
  <c r="R137" i="8"/>
  <c r="T121" i="8"/>
  <c r="R136" i="8"/>
  <c r="U992" i="11"/>
  <c r="V992" i="11" s="1"/>
  <c r="V965" i="11"/>
  <c r="U991" i="11"/>
  <c r="R77" i="9"/>
  <c r="R76" i="9"/>
  <c r="T67" i="9"/>
  <c r="U97" i="13"/>
  <c r="V71" i="13"/>
  <c r="U98" i="13"/>
  <c r="V98" i="13" s="1"/>
  <c r="T81" i="9"/>
  <c r="R90" i="9"/>
  <c r="R91" i="9"/>
  <c r="R104" i="9" s="1"/>
  <c r="H243" i="13"/>
  <c r="G205" i="8"/>
  <c r="I190" i="8"/>
  <c r="G204" i="8"/>
  <c r="R204" i="8"/>
  <c r="R205" i="8"/>
  <c r="T190" i="8"/>
  <c r="U110" i="13"/>
  <c r="V110" i="13" s="1"/>
  <c r="S171" i="13"/>
  <c r="T29" i="9"/>
  <c r="U29" i="9" s="1"/>
  <c r="T28" i="9"/>
  <c r="U17" i="9"/>
  <c r="R450" i="11"/>
  <c r="AE513" i="13"/>
  <c r="G28" i="9"/>
  <c r="G110" i="7"/>
  <c r="R81" i="8"/>
  <c r="T64" i="8"/>
  <c r="R82" i="8"/>
  <c r="G39" i="9"/>
  <c r="G38" i="9"/>
  <c r="I30" i="9"/>
  <c r="G101" i="8"/>
  <c r="G100" i="8"/>
  <c r="I83" i="8"/>
  <c r="T1426" i="7"/>
  <c r="U1426" i="7" s="1"/>
  <c r="U1280" i="7"/>
  <c r="I1055" i="7"/>
  <c r="G1197" i="7"/>
  <c r="G1198" i="7"/>
  <c r="T1053" i="7"/>
  <c r="T1054" i="7"/>
  <c r="U1054" i="7" s="1"/>
  <c r="U912" i="7"/>
  <c r="I494" i="7"/>
  <c r="S447" i="11"/>
  <c r="T280" i="8"/>
  <c r="U280" i="8" s="1"/>
  <c r="T279" i="8"/>
  <c r="U264" i="8"/>
  <c r="R1487" i="7"/>
  <c r="R1210" i="6"/>
  <c r="J837" i="7"/>
  <c r="I910" i="7"/>
  <c r="G990" i="6"/>
  <c r="G989" i="6"/>
  <c r="I847" i="6"/>
  <c r="G488" i="6"/>
  <c r="G1162" i="6"/>
  <c r="F270" i="6"/>
  <c r="R666" i="6"/>
  <c r="T744" i="6"/>
  <c r="U744" i="6" s="1"/>
  <c r="R488" i="6"/>
  <c r="S347" i="13"/>
  <c r="AE252" i="13"/>
  <c r="V688" i="11"/>
  <c r="U874" i="11"/>
  <c r="V874" i="11" s="1"/>
  <c r="J109" i="13"/>
  <c r="AH346" i="13"/>
  <c r="J878" i="11"/>
  <c r="H964" i="11"/>
  <c r="H963" i="11"/>
  <c r="R100" i="8"/>
  <c r="T83" i="8"/>
  <c r="R101" i="8"/>
  <c r="J15" i="11"/>
  <c r="K15" i="11" s="1"/>
  <c r="H77" i="11"/>
  <c r="H450" i="11" s="1"/>
  <c r="G617" i="7"/>
  <c r="G297" i="8"/>
  <c r="G317" i="8" s="1"/>
  <c r="I281" i="8"/>
  <c r="G296" i="8"/>
  <c r="I244" i="8"/>
  <c r="J244" i="8" s="1"/>
  <c r="I243" i="8"/>
  <c r="J226" i="8"/>
  <c r="R1053" i="7"/>
  <c r="S448" i="11"/>
  <c r="T1488" i="7"/>
  <c r="U1488" i="7" s="1"/>
  <c r="T1487" i="7"/>
  <c r="U1430" i="7"/>
  <c r="T1209" i="6"/>
  <c r="T1210" i="6"/>
  <c r="U1210" i="6" s="1"/>
  <c r="U1163" i="6"/>
  <c r="Q1490" i="7"/>
  <c r="R21" i="8"/>
  <c r="T3" i="8"/>
  <c r="R20" i="8"/>
  <c r="G911" i="7"/>
  <c r="G222" i="7"/>
  <c r="G223" i="7"/>
  <c r="I111" i="7"/>
  <c r="G489" i="6"/>
  <c r="G1161" i="6"/>
  <c r="F668" i="6"/>
  <c r="I488" i="6"/>
  <c r="R489" i="6"/>
  <c r="S668" i="13"/>
  <c r="U668" i="13"/>
  <c r="V560" i="13"/>
  <c r="U669" i="13"/>
  <c r="V669" i="13" s="1"/>
  <c r="S98" i="13"/>
  <c r="G116" i="8"/>
  <c r="G117" i="8"/>
  <c r="I102" i="8"/>
  <c r="I264" i="8"/>
  <c r="G279" i="8"/>
  <c r="G280" i="8"/>
  <c r="I911" i="7"/>
  <c r="T616" i="7"/>
  <c r="T617" i="7"/>
  <c r="U617" i="7" s="1"/>
  <c r="U496" i="7"/>
  <c r="T666" i="6"/>
  <c r="U666" i="6" s="1"/>
  <c r="R1279" i="7"/>
  <c r="R1490" i="7" s="1"/>
  <c r="T1202" i="7"/>
  <c r="R1278" i="7"/>
  <c r="Q62" i="8"/>
  <c r="G1212" i="6"/>
  <c r="G910" i="7"/>
  <c r="I1162" i="6"/>
  <c r="J1162" i="6" s="1"/>
  <c r="I1161" i="6"/>
  <c r="J1049" i="6"/>
  <c r="R79" i="6"/>
  <c r="K688" i="11"/>
  <c r="J874" i="11"/>
  <c r="K874" i="11" s="1"/>
  <c r="S440" i="13"/>
  <c r="K676" i="13"/>
  <c r="J693" i="13"/>
  <c r="K693" i="13" s="1"/>
  <c r="J692" i="13"/>
  <c r="S70" i="13"/>
  <c r="S69" i="13"/>
  <c r="U12" i="13"/>
  <c r="J738" i="13"/>
  <c r="S882" i="13"/>
  <c r="S881" i="13"/>
  <c r="U780" i="13"/>
  <c r="K589" i="13"/>
  <c r="J611" i="13"/>
  <c r="K611" i="13" s="1"/>
  <c r="J610" i="13"/>
  <c r="AG440" i="13"/>
  <c r="AH348" i="13"/>
  <c r="AG441" i="13"/>
  <c r="AH441" i="13" s="1"/>
  <c r="J242" i="13"/>
  <c r="H874" i="11"/>
  <c r="U1274" i="11"/>
  <c r="V1274" i="11" s="1"/>
  <c r="S1301" i="11"/>
  <c r="S669" i="13"/>
  <c r="S683" i="11"/>
  <c r="H1385" i="11"/>
  <c r="U236" i="11"/>
  <c r="V236" i="11" s="1"/>
  <c r="V78" i="11"/>
  <c r="U235" i="11"/>
  <c r="H109" i="13"/>
  <c r="R260" i="8"/>
  <c r="R259" i="8"/>
  <c r="T245" i="8"/>
  <c r="H992" i="11"/>
  <c r="H991" i="11"/>
  <c r="J965" i="11"/>
  <c r="G77" i="9"/>
  <c r="I67" i="9"/>
  <c r="G76" i="9"/>
  <c r="I1202" i="7"/>
  <c r="G1278" i="7"/>
  <c r="G1279" i="7"/>
  <c r="G1490" i="7" s="1"/>
  <c r="Q137" i="9"/>
  <c r="G789" i="13"/>
  <c r="S512" i="13"/>
  <c r="U442" i="13"/>
  <c r="S513" i="13"/>
  <c r="G494" i="7"/>
  <c r="R224" i="8"/>
  <c r="R225" i="8"/>
  <c r="T209" i="8"/>
  <c r="R744" i="6"/>
  <c r="R911" i="7"/>
  <c r="R1200" i="7" s="1"/>
  <c r="R910" i="7"/>
  <c r="T837" i="7"/>
  <c r="G846" i="6"/>
  <c r="G992" i="6" s="1"/>
  <c r="Q1212" i="6"/>
  <c r="I1209" i="6"/>
  <c r="J1163" i="6"/>
  <c r="I1210" i="6"/>
  <c r="J1210" i="6" s="1"/>
  <c r="I744" i="6"/>
  <c r="J744" i="6" s="1"/>
  <c r="I743" i="6"/>
  <c r="J670" i="6"/>
  <c r="G268" i="6"/>
  <c r="G389" i="6"/>
  <c r="R665" i="6"/>
  <c r="I489" i="6"/>
  <c r="J489" i="6" s="1"/>
  <c r="I225" i="8"/>
  <c r="J209" i="8"/>
  <c r="I224" i="8"/>
  <c r="H873" i="11"/>
  <c r="R16" i="9"/>
  <c r="R41" i="9" s="1"/>
  <c r="R15" i="9"/>
  <c r="T3" i="9"/>
  <c r="AE882" i="13"/>
  <c r="AG780" i="13"/>
  <c r="AE881" i="13"/>
  <c r="S441" i="13"/>
  <c r="AE440" i="13"/>
  <c r="J110" i="13"/>
  <c r="K110" i="13" s="1"/>
  <c r="S1386" i="11"/>
  <c r="U1314" i="11"/>
  <c r="H684" i="11"/>
  <c r="H876" i="11" s="1"/>
  <c r="J601" i="11"/>
  <c r="H683" i="11"/>
  <c r="U28" i="11"/>
  <c r="S76" i="11"/>
  <c r="AG180" i="13"/>
  <c r="AH180" i="13" s="1"/>
  <c r="AE251" i="13"/>
  <c r="S235" i="11"/>
  <c r="U963" i="11"/>
  <c r="V878" i="11"/>
  <c r="U964" i="11"/>
  <c r="I618" i="7"/>
  <c r="G817" i="7"/>
  <c r="G818" i="7"/>
  <c r="I115" i="9"/>
  <c r="I114" i="9"/>
  <c r="J106" i="9"/>
  <c r="G152" i="8"/>
  <c r="I138" i="8"/>
  <c r="G151" i="8"/>
  <c r="G495" i="7"/>
  <c r="G820" i="7" s="1"/>
  <c r="I502" i="7"/>
  <c r="G616" i="7"/>
  <c r="I495" i="7"/>
  <c r="G66" i="9"/>
  <c r="G65" i="9"/>
  <c r="I55" i="9"/>
  <c r="T22" i="8"/>
  <c r="R60" i="8"/>
  <c r="R59" i="8"/>
  <c r="R818" i="7"/>
  <c r="R820" i="7" s="1"/>
  <c r="T618" i="7"/>
  <c r="R817" i="7"/>
  <c r="R347" i="7"/>
  <c r="J745" i="6"/>
  <c r="I845" i="6"/>
  <c r="I846" i="6"/>
  <c r="R1048" i="6"/>
  <c r="R1212" i="6" s="1"/>
  <c r="R1047" i="6"/>
  <c r="T1001" i="6"/>
  <c r="G1209" i="6"/>
  <c r="G189" i="8"/>
  <c r="G207" i="8" s="1"/>
  <c r="G188" i="8"/>
  <c r="I173" i="8"/>
  <c r="U30" i="9"/>
  <c r="T38" i="9"/>
  <c r="T39" i="9"/>
  <c r="U39" i="9" s="1"/>
  <c r="T101" i="9"/>
  <c r="U92" i="9"/>
  <c r="T102" i="9"/>
  <c r="U102" i="9" s="1"/>
  <c r="G390" i="6"/>
  <c r="G668" i="6" s="1"/>
  <c r="T281" i="8"/>
  <c r="R297" i="8"/>
  <c r="R317" i="8" s="1"/>
  <c r="R296" i="8"/>
  <c r="U494" i="6"/>
  <c r="T665" i="6"/>
  <c r="G164" i="6"/>
  <c r="G262" i="8"/>
  <c r="H692" i="13"/>
  <c r="S989" i="13"/>
  <c r="AG560" i="13"/>
  <c r="AE669" i="13"/>
  <c r="AE668" i="13"/>
  <c r="AG670" i="13"/>
  <c r="AE779" i="13"/>
  <c r="AE778" i="13"/>
  <c r="S990" i="13"/>
  <c r="U895" i="13"/>
  <c r="H753" i="13"/>
  <c r="H789" i="13" s="1"/>
  <c r="J695" i="13"/>
  <c r="H754" i="13"/>
  <c r="J826" i="13"/>
  <c r="K826" i="13" s="1"/>
  <c r="J825" i="13"/>
  <c r="K790" i="13"/>
  <c r="J587" i="13"/>
  <c r="J588" i="13"/>
  <c r="K588" i="13" s="1"/>
  <c r="K410" i="13"/>
  <c r="F826" i="13"/>
  <c r="F825" i="13"/>
  <c r="AE441" i="13"/>
  <c r="H340" i="13"/>
  <c r="H339" i="13"/>
  <c r="J244" i="13"/>
  <c r="AG12" i="13"/>
  <c r="AE70" i="13"/>
  <c r="AE69" i="13"/>
  <c r="S77" i="11"/>
  <c r="S450" i="11" s="1"/>
  <c r="T138" i="8"/>
  <c r="R151" i="8"/>
  <c r="R152" i="8"/>
  <c r="S963" i="11"/>
  <c r="T226" i="8"/>
  <c r="R244" i="8"/>
  <c r="R243" i="8"/>
  <c r="G137" i="9"/>
  <c r="G1487" i="7"/>
  <c r="I109" i="7"/>
  <c r="J12" i="7"/>
  <c r="I110" i="7"/>
  <c r="T494" i="7"/>
  <c r="G171" i="8"/>
  <c r="R390" i="6"/>
  <c r="R668" i="6" s="1"/>
  <c r="T272" i="6"/>
  <c r="R389" i="6"/>
  <c r="I81" i="9"/>
  <c r="G91" i="9"/>
  <c r="G104" i="9" s="1"/>
  <c r="G90" i="9"/>
  <c r="Q820" i="7"/>
  <c r="J1048" i="6"/>
  <c r="I1212" i="6"/>
  <c r="J1212" i="6" s="1"/>
  <c r="R348" i="7"/>
  <c r="G845" i="6"/>
  <c r="F207" i="8"/>
  <c r="G744" i="6"/>
  <c r="G109" i="7"/>
  <c r="T164" i="6"/>
  <c r="U81" i="6"/>
  <c r="T165" i="6"/>
  <c r="U165" i="6" s="1"/>
  <c r="G79" i="6"/>
  <c r="G80" i="6"/>
  <c r="I12" i="6"/>
  <c r="G165" i="6"/>
  <c r="H1301" i="11"/>
  <c r="J1219" i="11"/>
  <c r="H1300" i="11"/>
  <c r="J448" i="11"/>
  <c r="K448" i="11" s="1"/>
  <c r="R262" i="8" l="1"/>
  <c r="H788" i="13"/>
  <c r="R62" i="8"/>
  <c r="AG251" i="13"/>
  <c r="J153" i="8"/>
  <c r="I169" i="8"/>
  <c r="J169" i="8" s="1"/>
  <c r="I168" i="8"/>
  <c r="U847" i="6"/>
  <c r="T989" i="6"/>
  <c r="T990" i="6"/>
  <c r="U990" i="6" s="1"/>
  <c r="U1084" i="11"/>
  <c r="U1085" i="11"/>
  <c r="V1085" i="11" s="1"/>
  <c r="V993" i="11"/>
  <c r="R207" i="8"/>
  <c r="J502" i="7"/>
  <c r="I616" i="7"/>
  <c r="I617" i="7"/>
  <c r="J617" i="7" s="1"/>
  <c r="J115" i="9"/>
  <c r="K738" i="13"/>
  <c r="U83" i="8"/>
  <c r="T101" i="8"/>
  <c r="U101" i="8" s="1"/>
  <c r="T100" i="8"/>
  <c r="J1055" i="7"/>
  <c r="I1198" i="7"/>
  <c r="J1198" i="7" s="1"/>
  <c r="I1197" i="7"/>
  <c r="R119" i="8"/>
  <c r="AH440" i="13"/>
  <c r="I59" i="8"/>
  <c r="I60" i="8"/>
  <c r="J60" i="8" s="1"/>
  <c r="J22" i="8"/>
  <c r="I1054" i="7"/>
  <c r="J1054" i="7" s="1"/>
  <c r="J912" i="7"/>
  <c r="I1053" i="7"/>
  <c r="J92" i="9"/>
  <c r="I102" i="9"/>
  <c r="J102" i="9" s="1"/>
  <c r="I101" i="9"/>
  <c r="K82" i="11"/>
  <c r="J236" i="11"/>
  <c r="K236" i="11" s="1"/>
  <c r="J235" i="11"/>
  <c r="U170" i="13"/>
  <c r="J1301" i="11"/>
  <c r="K1301" i="11" s="1"/>
  <c r="K1219" i="11"/>
  <c r="J1300" i="11"/>
  <c r="U245" i="8"/>
  <c r="T260" i="8"/>
  <c r="U260" i="8" s="1"/>
  <c r="T259" i="8"/>
  <c r="U1425" i="7"/>
  <c r="J910" i="7"/>
  <c r="U1487" i="7"/>
  <c r="U817" i="7"/>
  <c r="U222" i="7"/>
  <c r="U910" i="7"/>
  <c r="U494" i="7"/>
  <c r="J222" i="7"/>
  <c r="J1278" i="7"/>
  <c r="J1425" i="7"/>
  <c r="U1053" i="7"/>
  <c r="J347" i="7"/>
  <c r="J616" i="7"/>
  <c r="J1487" i="7"/>
  <c r="U347" i="7"/>
  <c r="J1197" i="7"/>
  <c r="U1278" i="7"/>
  <c r="J1053" i="7"/>
  <c r="U1197" i="7"/>
  <c r="J109" i="7"/>
  <c r="J817" i="7"/>
  <c r="U616" i="7"/>
  <c r="U109" i="7"/>
  <c r="J494" i="7"/>
  <c r="U138" i="8"/>
  <c r="T151" i="8"/>
  <c r="T152" i="8"/>
  <c r="U152" i="8" s="1"/>
  <c r="V12" i="13"/>
  <c r="U70" i="13"/>
  <c r="V70" i="13" s="1"/>
  <c r="U69" i="13"/>
  <c r="I222" i="7"/>
  <c r="I223" i="7"/>
  <c r="J223" i="7" s="1"/>
  <c r="J111" i="7"/>
  <c r="T1425" i="7"/>
  <c r="T82" i="8"/>
  <c r="T81" i="8"/>
  <c r="U64" i="8"/>
  <c r="T76" i="9"/>
  <c r="T77" i="9"/>
  <c r="U77" i="9" s="1"/>
  <c r="U67" i="9"/>
  <c r="T137" i="8"/>
  <c r="T136" i="8"/>
  <c r="U121" i="8"/>
  <c r="AH512" i="13"/>
  <c r="U43" i="9"/>
  <c r="T53" i="9"/>
  <c r="T54" i="9"/>
  <c r="T268" i="6"/>
  <c r="U268" i="6" s="1"/>
  <c r="U166" i="6"/>
  <c r="T267" i="6"/>
  <c r="J77" i="11"/>
  <c r="AG558" i="13"/>
  <c r="AH514" i="13"/>
  <c r="AG559" i="13"/>
  <c r="AH559" i="13" s="1"/>
  <c r="U495" i="7"/>
  <c r="G119" i="8"/>
  <c r="V170" i="13"/>
  <c r="AH87" i="13"/>
  <c r="AG98" i="13"/>
  <c r="AH98" i="13" s="1"/>
  <c r="AG97" i="13"/>
  <c r="K695" i="13"/>
  <c r="J754" i="13"/>
  <c r="K754" i="13" s="1"/>
  <c r="J753" i="13"/>
  <c r="J788" i="13" s="1"/>
  <c r="T1048" i="6"/>
  <c r="U1001" i="6"/>
  <c r="T1047" i="6"/>
  <c r="I1278" i="7"/>
  <c r="J1202" i="7"/>
  <c r="I1279" i="7"/>
  <c r="I989" i="6"/>
  <c r="J847" i="6"/>
  <c r="I990" i="6"/>
  <c r="J990" i="6" s="1"/>
  <c r="J190" i="8"/>
  <c r="I205" i="8"/>
  <c r="J205" i="8" s="1"/>
  <c r="I204" i="8"/>
  <c r="R171" i="8"/>
  <c r="S876" i="11"/>
  <c r="K594" i="11"/>
  <c r="J876" i="11"/>
  <c r="K876" i="11" s="1"/>
  <c r="V514" i="13"/>
  <c r="U559" i="13"/>
  <c r="V559" i="13" s="1"/>
  <c r="U558" i="13"/>
  <c r="R79" i="9"/>
  <c r="J76" i="11"/>
  <c r="J64" i="8"/>
  <c r="I82" i="8"/>
  <c r="I81" i="8"/>
  <c r="V468" i="11"/>
  <c r="U594" i="11"/>
  <c r="U593" i="11"/>
  <c r="U171" i="13"/>
  <c r="V171" i="13" s="1"/>
  <c r="J110" i="7"/>
  <c r="I79" i="6"/>
  <c r="I80" i="6"/>
  <c r="J12" i="6"/>
  <c r="V895" i="13"/>
  <c r="U989" i="13"/>
  <c r="U990" i="13"/>
  <c r="V990" i="13" s="1"/>
  <c r="V442" i="13"/>
  <c r="U513" i="13"/>
  <c r="V513" i="13" s="1"/>
  <c r="U512" i="13"/>
  <c r="I1200" i="7"/>
  <c r="J1200" i="7" s="1"/>
  <c r="J911" i="7"/>
  <c r="I297" i="8"/>
  <c r="I296" i="8"/>
  <c r="J281" i="8"/>
  <c r="H1087" i="11"/>
  <c r="G350" i="7"/>
  <c r="T270" i="6"/>
  <c r="U270" i="6" s="1"/>
  <c r="U80" i="6"/>
  <c r="U117" i="7"/>
  <c r="T222" i="7"/>
  <c r="T223" i="7"/>
  <c r="U223" i="7" s="1"/>
  <c r="R270" i="6"/>
  <c r="G41" i="9"/>
  <c r="T818" i="7"/>
  <c r="U818" i="7" s="1"/>
  <c r="T817" i="7"/>
  <c r="U618" i="7"/>
  <c r="I91" i="9"/>
  <c r="J81" i="9"/>
  <c r="I90" i="9"/>
  <c r="I151" i="8"/>
  <c r="J138" i="8"/>
  <c r="I152" i="8"/>
  <c r="G270" i="6"/>
  <c r="U272" i="6"/>
  <c r="T390" i="6"/>
  <c r="T389" i="6"/>
  <c r="AG669" i="13"/>
  <c r="AH669" i="13" s="1"/>
  <c r="AG668" i="13"/>
  <c r="AH560" i="13"/>
  <c r="T60" i="8"/>
  <c r="U60" i="8" s="1"/>
  <c r="U22" i="8"/>
  <c r="T59" i="8"/>
  <c r="V28" i="11"/>
  <c r="U77" i="11"/>
  <c r="U76" i="11"/>
  <c r="J225" i="8"/>
  <c r="U837" i="7"/>
  <c r="T911" i="7"/>
  <c r="T910" i="7"/>
  <c r="G1200" i="7"/>
  <c r="J964" i="11"/>
  <c r="J963" i="11"/>
  <c r="K878" i="11"/>
  <c r="I101" i="8"/>
  <c r="J101" i="8" s="1"/>
  <c r="J83" i="8"/>
  <c r="I100" i="8"/>
  <c r="AG346" i="13"/>
  <c r="AH253" i="13"/>
  <c r="AG347" i="13"/>
  <c r="AH347" i="13" s="1"/>
  <c r="T1198" i="7"/>
  <c r="U1198" i="7" s="1"/>
  <c r="T1197" i="7"/>
  <c r="U1055" i="7"/>
  <c r="T114" i="9"/>
  <c r="T115" i="9"/>
  <c r="U106" i="9"/>
  <c r="R350" i="7"/>
  <c r="V614" i="11"/>
  <c r="U683" i="11"/>
  <c r="U684" i="11"/>
  <c r="V684" i="11" s="1"/>
  <c r="G79" i="9"/>
  <c r="J245" i="8"/>
  <c r="I259" i="8"/>
  <c r="I260" i="8"/>
  <c r="J260" i="8" s="1"/>
  <c r="I16" i="9"/>
  <c r="I15" i="9"/>
  <c r="J3" i="9"/>
  <c r="S1388" i="11"/>
  <c r="AH12" i="13"/>
  <c r="AG70" i="13"/>
  <c r="AH70" i="13" s="1"/>
  <c r="AG69" i="13"/>
  <c r="I992" i="6"/>
  <c r="J992" i="6" s="1"/>
  <c r="J846" i="6"/>
  <c r="J55" i="9"/>
  <c r="I66" i="9"/>
  <c r="J66" i="9" s="1"/>
  <c r="I65" i="9"/>
  <c r="AG881" i="13"/>
  <c r="AH780" i="13"/>
  <c r="AG882" i="13"/>
  <c r="AH882" i="13" s="1"/>
  <c r="J67" i="9"/>
  <c r="I76" i="9"/>
  <c r="I77" i="9"/>
  <c r="J77" i="9" s="1"/>
  <c r="U881" i="13"/>
  <c r="U882" i="13"/>
  <c r="V882" i="13" s="1"/>
  <c r="V780" i="13"/>
  <c r="U778" i="13"/>
  <c r="U779" i="13"/>
  <c r="V779" i="13" s="1"/>
  <c r="V670" i="13"/>
  <c r="AH889" i="13"/>
  <c r="AG989" i="13"/>
  <c r="AG990" i="13"/>
  <c r="AH990" i="13" s="1"/>
  <c r="J390" i="6"/>
  <c r="I668" i="6"/>
  <c r="J668" i="6" s="1"/>
  <c r="I347" i="7"/>
  <c r="J224" i="7"/>
  <c r="I348" i="7"/>
  <c r="J348" i="7" s="1"/>
  <c r="U1300" i="11"/>
  <c r="J43" i="9"/>
  <c r="I54" i="9"/>
  <c r="I53" i="9"/>
  <c r="V1093" i="11"/>
  <c r="U1217" i="11"/>
  <c r="U1218" i="11"/>
  <c r="J1084" i="11"/>
  <c r="J1085" i="11"/>
  <c r="K1085" i="11" s="1"/>
  <c r="K993" i="11"/>
  <c r="J339" i="13"/>
  <c r="K244" i="13"/>
  <c r="J340" i="13"/>
  <c r="K340" i="13" s="1"/>
  <c r="I818" i="7"/>
  <c r="J818" i="7" s="1"/>
  <c r="J618" i="7"/>
  <c r="I817" i="7"/>
  <c r="K601" i="11"/>
  <c r="J684" i="11"/>
  <c r="K684" i="11" s="1"/>
  <c r="J683" i="11"/>
  <c r="J264" i="8"/>
  <c r="I279" i="8"/>
  <c r="I280" i="8"/>
  <c r="J280" i="8" s="1"/>
  <c r="T66" i="9"/>
  <c r="U66" i="9" s="1"/>
  <c r="U55" i="9"/>
  <c r="T65" i="9"/>
  <c r="R992" i="6"/>
  <c r="U1301" i="11"/>
  <c r="V1301" i="11" s="1"/>
  <c r="S1087" i="11"/>
  <c r="T297" i="8"/>
  <c r="T296" i="8"/>
  <c r="U281" i="8"/>
  <c r="U226" i="8"/>
  <c r="T243" i="8"/>
  <c r="T244" i="8"/>
  <c r="U244" i="8" s="1"/>
  <c r="AH670" i="13"/>
  <c r="AG779" i="13"/>
  <c r="AH779" i="13" s="1"/>
  <c r="AG778" i="13"/>
  <c r="U1087" i="11"/>
  <c r="V1087" i="11" s="1"/>
  <c r="V964" i="11"/>
  <c r="J991" i="11"/>
  <c r="K965" i="11"/>
  <c r="J992" i="11"/>
  <c r="K992" i="11" s="1"/>
  <c r="T1278" i="7"/>
  <c r="U1202" i="7"/>
  <c r="T1279" i="7"/>
  <c r="J102" i="8"/>
  <c r="I116" i="8"/>
  <c r="I117" i="8"/>
  <c r="J117" i="8" s="1"/>
  <c r="I39" i="9"/>
  <c r="J39" i="9" s="1"/>
  <c r="I38" i="9"/>
  <c r="J30" i="9"/>
  <c r="U81" i="9"/>
  <c r="T90" i="9"/>
  <c r="T91" i="9"/>
  <c r="AG252" i="13"/>
  <c r="AH252" i="13" s="1"/>
  <c r="J116" i="9"/>
  <c r="I124" i="9"/>
  <c r="I125" i="9"/>
  <c r="J125" i="9" s="1"/>
  <c r="U110" i="7"/>
  <c r="T350" i="7"/>
  <c r="U350" i="7" s="1"/>
  <c r="T845" i="6"/>
  <c r="T846" i="6"/>
  <c r="U745" i="6"/>
  <c r="J126" i="9"/>
  <c r="I135" i="9"/>
  <c r="J135" i="9" s="1"/>
  <c r="I134" i="9"/>
  <c r="I189" i="8"/>
  <c r="I188" i="8"/>
  <c r="J173" i="8"/>
  <c r="I820" i="7"/>
  <c r="J820" i="7" s="1"/>
  <c r="J495" i="7"/>
  <c r="V1314" i="11"/>
  <c r="U1386" i="11"/>
  <c r="V1386" i="11" s="1"/>
  <c r="U1385" i="11"/>
  <c r="T16" i="9"/>
  <c r="U3" i="9"/>
  <c r="T15" i="9"/>
  <c r="T224" i="8"/>
  <c r="T225" i="8"/>
  <c r="U209" i="8"/>
  <c r="T20" i="8"/>
  <c r="T21" i="8"/>
  <c r="U3" i="8"/>
  <c r="T205" i="8"/>
  <c r="U205" i="8" s="1"/>
  <c r="T204" i="8"/>
  <c r="U190" i="8"/>
  <c r="AH170" i="13"/>
  <c r="AG171" i="13"/>
  <c r="AH171" i="13" s="1"/>
  <c r="AG170" i="13"/>
  <c r="AH99" i="13"/>
  <c r="H1388" i="11"/>
  <c r="J3" i="8"/>
  <c r="I21" i="8"/>
  <c r="I20" i="8"/>
  <c r="T189" i="8"/>
  <c r="T188" i="8"/>
  <c r="U173" i="8"/>
  <c r="K1218" i="11"/>
  <c r="J1388" i="11"/>
  <c r="K1388" i="11" s="1"/>
  <c r="J152" i="8" l="1"/>
  <c r="I171" i="8"/>
  <c r="J171" i="8" s="1"/>
  <c r="I41" i="9"/>
  <c r="J41" i="9" s="1"/>
  <c r="J16" i="9"/>
  <c r="I1490" i="7"/>
  <c r="J1490" i="7" s="1"/>
  <c r="J1279" i="7"/>
  <c r="J450" i="11"/>
  <c r="K450" i="11" s="1"/>
  <c r="K77" i="11"/>
  <c r="I62" i="8"/>
  <c r="J62" i="8" s="1"/>
  <c r="J21" i="8"/>
  <c r="I207" i="8"/>
  <c r="J207" i="8" s="1"/>
  <c r="J189" i="8"/>
  <c r="I262" i="8"/>
  <c r="J262" i="8" s="1"/>
  <c r="I350" i="7"/>
  <c r="J350" i="7" s="1"/>
  <c r="T104" i="9"/>
  <c r="U104" i="9" s="1"/>
  <c r="U91" i="9"/>
  <c r="J91" i="9"/>
  <c r="I104" i="9"/>
  <c r="J104" i="9" s="1"/>
  <c r="K242" i="13"/>
  <c r="U16" i="9"/>
  <c r="T41" i="9"/>
  <c r="U41" i="9" s="1"/>
  <c r="T317" i="8"/>
  <c r="U317" i="8" s="1"/>
  <c r="U297" i="8"/>
  <c r="J54" i="9"/>
  <c r="I79" i="9"/>
  <c r="J79" i="9" s="1"/>
  <c r="T668" i="6"/>
  <c r="U668" i="6" s="1"/>
  <c r="U390" i="6"/>
  <c r="AH558" i="13"/>
  <c r="AH251" i="13"/>
  <c r="AH668" i="13"/>
  <c r="T62" i="8"/>
  <c r="U62" i="8" s="1"/>
  <c r="U21" i="8"/>
  <c r="U1279" i="7"/>
  <c r="T1490" i="7"/>
  <c r="U1490" i="7" s="1"/>
  <c r="U450" i="11"/>
  <c r="V450" i="11" s="1"/>
  <c r="V77" i="11"/>
  <c r="T820" i="7"/>
  <c r="U820" i="7" s="1"/>
  <c r="U82" i="8"/>
  <c r="T119" i="8"/>
  <c r="U119" i="8" s="1"/>
  <c r="K964" i="11"/>
  <c r="J1087" i="11"/>
  <c r="K1087" i="11" s="1"/>
  <c r="U876" i="11"/>
  <c r="V876" i="11" s="1"/>
  <c r="V594" i="11"/>
  <c r="T1212" i="6"/>
  <c r="U1212" i="6" s="1"/>
  <c r="U1048" i="6"/>
  <c r="T79" i="9"/>
  <c r="U79" i="9" s="1"/>
  <c r="U54" i="9"/>
  <c r="T207" i="8"/>
  <c r="U207" i="8" s="1"/>
  <c r="U189" i="8"/>
  <c r="T137" i="9"/>
  <c r="U137" i="9" s="1"/>
  <c r="U115" i="9"/>
  <c r="I137" i="9"/>
  <c r="J137" i="9" s="1"/>
  <c r="J1161" i="6"/>
  <c r="J488" i="6"/>
  <c r="U1209" i="6"/>
  <c r="U1047" i="6"/>
  <c r="U845" i="6"/>
  <c r="J743" i="6"/>
  <c r="J389" i="6"/>
  <c r="J79" i="6"/>
  <c r="J267" i="6"/>
  <c r="U164" i="6"/>
  <c r="U79" i="6"/>
  <c r="U665" i="6"/>
  <c r="J665" i="6"/>
  <c r="J164" i="6"/>
  <c r="J1047" i="6"/>
  <c r="J845" i="6"/>
  <c r="U989" i="6"/>
  <c r="U267" i="6"/>
  <c r="J989" i="6"/>
  <c r="U488" i="6"/>
  <c r="J1209" i="6"/>
  <c r="U389" i="6"/>
  <c r="U1161" i="6"/>
  <c r="U743" i="6"/>
  <c r="I119" i="8"/>
  <c r="J119" i="8" s="1"/>
  <c r="J82" i="8"/>
  <c r="T171" i="8"/>
  <c r="U171" i="8" s="1"/>
  <c r="U137" i="8"/>
  <c r="AH97" i="13"/>
  <c r="T992" i="6"/>
  <c r="U992" i="6" s="1"/>
  <c r="U846" i="6"/>
  <c r="T262" i="8"/>
  <c r="U262" i="8" s="1"/>
  <c r="U225" i="8"/>
  <c r="V1218" i="11"/>
  <c r="U1388" i="11"/>
  <c r="V1388" i="11" s="1"/>
  <c r="U911" i="7"/>
  <c r="T1200" i="7"/>
  <c r="U1200" i="7" s="1"/>
  <c r="I317" i="8"/>
  <c r="J317" i="8" s="1"/>
  <c r="J297" i="8"/>
  <c r="J80" i="6"/>
  <c r="I270" i="6"/>
  <c r="J270" i="6" s="1"/>
  <c r="V69" i="13"/>
  <c r="K109" i="13" s="1"/>
  <c r="AH69" i="13"/>
  <c r="K963" i="11"/>
  <c r="K991" i="11"/>
  <c r="K235" i="11"/>
  <c r="V991" i="11"/>
  <c r="V1217" i="11"/>
  <c r="K1385" i="11"/>
  <c r="V593" i="11"/>
  <c r="V873" i="11"/>
  <c r="K683" i="11"/>
  <c r="K1084" i="11"/>
  <c r="K1300" i="11"/>
  <c r="K1217" i="11"/>
  <c r="K593" i="11"/>
  <c r="V963" i="11"/>
  <c r="V1300" i="11"/>
  <c r="V1385" i="11"/>
  <c r="V235" i="11"/>
  <c r="V683" i="11"/>
  <c r="V76" i="11"/>
  <c r="K447" i="11"/>
  <c r="V1084" i="11"/>
  <c r="K873" i="11"/>
  <c r="K76" i="11"/>
  <c r="V44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tc={2a762b5e-a47f-4fd0-9060-9e0c162f4dbf}</author>
    <author>tc={78084e58-d302-403d-86fd-cb240d3bf2a1}</author>
    <author>tc={bafe9519-146b-49cc-8e65-73bd8e5c64a6}</author>
    <author>tc={ba5aa28d-fed6-42f6-ae54-c58fcfecff57}</author>
    <author>tc={9046efbb-1b94-4fbf-b58d-88fcd0a72f0c}</author>
  </authors>
  <commentList>
    <comment ref="H702" authorId="0" shapeId="0" xr:uid="{2A762B5E-A47F-4FD0-9060-9E0C162F4D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J'ai fait une erreur sur le prix de vente c'est 58K et non 68K... @sifax.amarouche@flyingforyou.fr</t>
      </text>
    </comment>
    <comment ref="F721" authorId="1" shapeId="0" xr:uid="{78084E58-D302-403D-86FD-CB240D3BF2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@imessias@flyingforyou.fr @sifax.amarouche@flyingforyou.fr Ce n'est pas le bon montant non ?</t>
      </text>
    </comment>
    <comment ref="C777" authorId="2" shapeId="0" xr:uid="{BAFE9519-146B-49CC-8E65-73BD8E5C64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  Bellal a acheté un caddie sur place, est-ce que tu l'as pris en compte dans les frais sur place ?</t>
      </text>
    </comment>
    <comment ref="B916" authorId="3" shapeId="0" xr:uid="{BA5AA28D-FED6-42F6-AE54-C58FCFECFF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Il manque Raouf non ?
Réponse :
    @cheikh.kane@flyingforyou.fr Non, c’est une campagne qui a été jumelée avec JPEE925. Nadjib et Letifi sont partis ensemble pour réaliser les deux missions sur la même journée, en aller-retour. 
Pour la marge de JPEE925, j’ai mis uniquement Nadjib, et pour ENGGR925, uniquement Letifi.</t>
      </text>
    </comment>
    <comment ref="B925" authorId="4" shapeId="0" xr:uid="{9046EFBB-1B94-4FBF-B58D-88FCD0A72F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Est-ce que ça prend en compte le vendredi qu'on a rajouté à la dernière minute ?
Réponse :
    Oui, bien sûr.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tc={edb63902-97d6-4673-90c8-27f3a15b5bc9}</author>
    <author>tc={d702c66b-c1b4-4ea6-ac09-095a961f3ebe}</author>
    <author>tc={0fedc874-7637-443d-9b96-90044d0c5c0e}</author>
    <author>tc={7d6159ba-7b6e-4082-bd1b-4b3bc94da3d5}</author>
    <author>tc={9b487e39-fb32-4d4b-80bd-98b38c02893d}</author>
    <author>tc={f1398464-4834-480a-a4ea-ea3be9f63082}</author>
    <author>tc={01815566-0834-4349-a700-9dfece04a15b}</author>
  </authors>
  <commentList>
    <comment ref="C240" authorId="0" shapeId="0" xr:uid="{EDB63902-97D6-4673-90C8-27F3A15B5B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je pense que ce n'est pas le bon nom de campagne. Est-ce que tu peux vérifier stp. Merci</t>
      </text>
    </comment>
    <comment ref="C565" authorId="1" shapeId="0" xr:uid="{D702C66B-C1B4-4EA6-AC09-095A961F3E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@thiago.oliveira@flyingforyou.fr Doublon avec l'opé en haut, je pense que c'est pas le bon code opé</t>
      </text>
    </comment>
    <comment ref="F730" authorId="2" shapeId="0" xr:uid="{0FEDC874-7637-443D-9B96-90044D0C5C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, pourquoi on lui paie 17€/h ? Ou c'est juste une erreur de frappe</t>
      </text>
    </comment>
    <comment ref="E1159" authorId="3" shapeId="0" xr:uid="{7D6159BA-7B6E-4082-BD1B-4B3BC94DA3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confirme le nombre d'heure après sur le site YoungOnes. j'ai trouvé 7 créneaux de 7h, mais je ne suis pas sûr qu'on paierait tous. Je te laisse vérifier</t>
      </text>
    </comment>
    <comment ref="E1167" authorId="4" shapeId="0" xr:uid="{9B487E39-FB32-4D4B-80BD-98B38C0289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sûr de ça ? Il a bossé qu'une seule journée, non ?
Réponse :
    Il n'a pas fait 18h dans une journée de 24h mdr ahah</t>
      </text>
    </comment>
    <comment ref="D1175" authorId="5" shapeId="0" xr:uid="{F1398464-4834-480A-A4EA-EA3BE9F630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fais qu'une seule ligne pour les BOX.</t>
      </text>
    </comment>
    <comment ref="G1182" authorId="6" shapeId="0" xr:uid="{01815566-0834-4349-A700-9DFECE04A1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@sifax.amarouche@flyingforyou.fr je te laisse mettre à jour cette information. Si on fait appel à notre assurance, ce montant ne devra pas conster sur le tableau de marge, car ça ne sort pas de notre poche. Il faudra mettre juste la franchise.</t>
      </text>
    </comment>
  </commentList>
</comments>
</file>

<file path=xl/sharedStrings.xml><?xml version="1.0" encoding="utf-8"?>
<sst xmlns="http://schemas.openxmlformats.org/spreadsheetml/2006/main" count="13613" uniqueCount="2112">
  <si>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</si>
  <si>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</si>
  <si>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</si>
  <si>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</si>
  <si>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</si>
  <si>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</si>
  <si>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</si>
  <si>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</si>
  <si>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</si>
  <si>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</si>
  <si>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</si>
  <si>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</si>
  <si>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Opé</t>
  </si>
  <si>
    <t>Frais</t>
  </si>
  <si>
    <t>Nb heures Totales</t>
  </si>
  <si>
    <t>Taux Horaire</t>
  </si>
  <si>
    <t>Coûts</t>
  </si>
  <si>
    <t>Coût de production</t>
  </si>
  <si>
    <t>Vente</t>
  </si>
  <si>
    <t>Bénéfice</t>
  </si>
  <si>
    <t>Marge Brute</t>
  </si>
  <si>
    <t>Template
Mois</t>
  </si>
  <si>
    <t>XXX000</t>
  </si>
  <si>
    <t>Raouf</t>
  </si>
  <si>
    <t xml:space="preserve">Katia </t>
  </si>
  <si>
    <t>Yazid Ali Yahia</t>
  </si>
  <si>
    <t>Youcef Aissaoui</t>
  </si>
  <si>
    <t>Adlane</t>
  </si>
  <si>
    <t>Tismé</t>
  </si>
  <si>
    <t>Hakim</t>
  </si>
  <si>
    <t>Kamelia</t>
  </si>
  <si>
    <t>Letifi</t>
  </si>
  <si>
    <t>Nassim</t>
  </si>
  <si>
    <t>Impression</t>
  </si>
  <si>
    <t>PESS0126</t>
  </si>
  <si>
    <t>Raouf extra</t>
  </si>
  <si>
    <t>Nicolas Nourrit</t>
  </si>
  <si>
    <t>Gustave</t>
  </si>
  <si>
    <t>Nouredine</t>
  </si>
  <si>
    <t>Claudia</t>
  </si>
  <si>
    <t>Oualid</t>
  </si>
  <si>
    <t>Yohan</t>
  </si>
  <si>
    <t>Champs Eddine</t>
  </si>
  <si>
    <t>Bezman</t>
  </si>
  <si>
    <t>Péage</t>
  </si>
  <si>
    <t>Essence</t>
  </si>
  <si>
    <t>SNCF</t>
  </si>
  <si>
    <t>Airbnb</t>
  </si>
  <si>
    <t>Dépenses sur place</t>
  </si>
  <si>
    <t>Moustapha</t>
  </si>
  <si>
    <t>Youcef</t>
  </si>
  <si>
    <t>Raouf Extra</t>
  </si>
  <si>
    <t>Aziz</t>
  </si>
  <si>
    <t>Ibrahim</t>
  </si>
  <si>
    <t>Abderahmane</t>
  </si>
  <si>
    <t>Nounou</t>
  </si>
  <si>
    <t>Staffme</t>
  </si>
  <si>
    <t>Yazid Said Mansour</t>
  </si>
  <si>
    <t>Nassim Graichi</t>
  </si>
  <si>
    <t>Elea</t>
  </si>
  <si>
    <t>Aymen</t>
  </si>
  <si>
    <t>Nabil</t>
  </si>
  <si>
    <t>Tahar</t>
  </si>
  <si>
    <t>Nadjib</t>
  </si>
  <si>
    <t>Haizer</t>
  </si>
  <si>
    <t>Moustapha Mazouz</t>
  </si>
  <si>
    <t>PESS0226</t>
  </si>
  <si>
    <t>Ayham</t>
  </si>
  <si>
    <t>Wassim</t>
  </si>
  <si>
    <t>Chamsdine</t>
  </si>
  <si>
    <t>Yazid</t>
  </si>
  <si>
    <t>Dialo</t>
  </si>
  <si>
    <t>Adlan</t>
  </si>
  <si>
    <t>Yazid said mansour</t>
  </si>
  <si>
    <t xml:space="preserve">Koceila </t>
  </si>
  <si>
    <t>Koceila</t>
  </si>
  <si>
    <t xml:space="preserve">Nadjib </t>
  </si>
  <si>
    <t>Abdessamad</t>
  </si>
  <si>
    <t>Noureddine</t>
  </si>
  <si>
    <t>Souhil</t>
  </si>
  <si>
    <t>Khaled</t>
  </si>
  <si>
    <t>Adem</t>
  </si>
  <si>
    <t>Box</t>
  </si>
  <si>
    <t xml:space="preserve">Essence </t>
  </si>
  <si>
    <t>Moyennes Février 2026</t>
  </si>
  <si>
    <t>TOTAUX Février 2026</t>
  </si>
  <si>
    <t>Ivan</t>
  </si>
  <si>
    <t>Cheikh</t>
  </si>
  <si>
    <t>Train SNCF</t>
  </si>
  <si>
    <t>PESS0326</t>
  </si>
  <si>
    <t>Stéphane Gustave</t>
  </si>
  <si>
    <t xml:space="preserve">nabil </t>
  </si>
  <si>
    <t>Othman</t>
  </si>
  <si>
    <t xml:space="preserve">Dépenses sur place </t>
  </si>
  <si>
    <t xml:space="preserve">Impression </t>
  </si>
  <si>
    <t>Salim</t>
  </si>
  <si>
    <t>Amine</t>
  </si>
  <si>
    <t>Anis</t>
  </si>
  <si>
    <t xml:space="preserve">Amine </t>
  </si>
  <si>
    <t>Milo</t>
  </si>
  <si>
    <t>Alyssia</t>
  </si>
  <si>
    <t>Marcel</t>
  </si>
  <si>
    <t>Sifax</t>
  </si>
  <si>
    <t>Moyennes Mars 2026</t>
  </si>
  <si>
    <t>TOTAUX Mars 2026</t>
  </si>
  <si>
    <t>TOTAUX Q1 2026</t>
  </si>
  <si>
    <t>Ibrahim Chetouani</t>
  </si>
  <si>
    <t>Koceila Bennabi</t>
  </si>
  <si>
    <t>JANVIER</t>
  </si>
  <si>
    <t>Moyennes JANVIER 2026</t>
  </si>
  <si>
    <t>TOTAUX JANVIER 2026</t>
  </si>
  <si>
    <t>Tableau de Marges 2025 - Brute (Hors AO)</t>
  </si>
  <si>
    <t>Tableau de Marges 2025 - EXTERNE (Hors AO)</t>
  </si>
  <si>
    <t>WPD0125</t>
  </si>
  <si>
    <t>Akmez</t>
  </si>
  <si>
    <t>impression</t>
  </si>
  <si>
    <t>SNC0125</t>
  </si>
  <si>
    <t>UXCO0125</t>
  </si>
  <si>
    <t>Sofiane</t>
  </si>
  <si>
    <t>Marwane elgouzy</t>
  </si>
  <si>
    <t>Nolwen Dervaux</t>
  </si>
  <si>
    <t>Pacôme Daffran</t>
  </si>
  <si>
    <t>lila Menguelti</t>
  </si>
  <si>
    <t>Katia souci</t>
  </si>
  <si>
    <t>Ludovic Ezzine</t>
  </si>
  <si>
    <t>FEV0125</t>
  </si>
  <si>
    <t>Mohammed Amine</t>
  </si>
  <si>
    <t>Ipmression</t>
  </si>
  <si>
    <t>RWER125</t>
  </si>
  <si>
    <t>RWEA125</t>
  </si>
  <si>
    <t>ANT0125</t>
  </si>
  <si>
    <t>RWEB125</t>
  </si>
  <si>
    <t>RWEC125</t>
  </si>
  <si>
    <t>RWEF125</t>
  </si>
  <si>
    <t>ENGN125</t>
  </si>
  <si>
    <t>ORBAL125 - 817</t>
  </si>
  <si>
    <t>ECLA125</t>
  </si>
  <si>
    <t xml:space="preserve">Lydia </t>
  </si>
  <si>
    <t>Iman</t>
  </si>
  <si>
    <t>Silina</t>
  </si>
  <si>
    <t>Jiji</t>
  </si>
  <si>
    <t>Moyennes Janvier 2025</t>
  </si>
  <si>
    <t>TOTAUX Janvier 2025</t>
  </si>
  <si>
    <t>RWEMR125</t>
  </si>
  <si>
    <t>RWEVM125</t>
  </si>
  <si>
    <t>PRE125</t>
  </si>
  <si>
    <t>Djiji</t>
  </si>
  <si>
    <t>Lydia</t>
  </si>
  <si>
    <t>BOLN225</t>
  </si>
  <si>
    <t>BOL225</t>
  </si>
  <si>
    <t>Katia</t>
  </si>
  <si>
    <t>Abdoul</t>
  </si>
  <si>
    <t>Floriane</t>
  </si>
  <si>
    <t>frais de vie</t>
  </si>
  <si>
    <t>RWEH225</t>
  </si>
  <si>
    <t>Getaround</t>
  </si>
  <si>
    <t>LAZA0225</t>
  </si>
  <si>
    <t>tahar</t>
  </si>
  <si>
    <t>ibrahim</t>
  </si>
  <si>
    <t>yazid</t>
  </si>
  <si>
    <t>nassim</t>
  </si>
  <si>
    <t xml:space="preserve">Mohamed amine </t>
  </si>
  <si>
    <t xml:space="preserve">essence </t>
  </si>
  <si>
    <t>RWEC225</t>
  </si>
  <si>
    <t>RWEM225</t>
  </si>
  <si>
    <t>airbnb</t>
  </si>
  <si>
    <t>JPEE225</t>
  </si>
  <si>
    <t>EUROM225</t>
  </si>
  <si>
    <t>EUROH225</t>
  </si>
  <si>
    <t>COR0125</t>
  </si>
  <si>
    <t>NPH0225</t>
  </si>
  <si>
    <t>Mohammed amine</t>
  </si>
  <si>
    <t>Nounou BOLT</t>
  </si>
  <si>
    <t>BOR225</t>
  </si>
  <si>
    <t xml:space="preserve">Envoie des flyers </t>
  </si>
  <si>
    <t>Moyennes Février 2025</t>
  </si>
  <si>
    <t>TOTAUX Février 2025</t>
  </si>
  <si>
    <t>BEAU225</t>
  </si>
  <si>
    <t>Mahyedine</t>
  </si>
  <si>
    <t>RWESGM225</t>
  </si>
  <si>
    <t>ORBAL - 4 799</t>
  </si>
  <si>
    <t>17.45-325-1</t>
  </si>
  <si>
    <t>YGEO325</t>
  </si>
  <si>
    <t>COR0325</t>
  </si>
  <si>
    <t>ENG325</t>
  </si>
  <si>
    <t xml:space="preserve">Récupération des flyers </t>
  </si>
  <si>
    <t>BOR0325</t>
  </si>
  <si>
    <t>REN0325</t>
  </si>
  <si>
    <t>Frais de vie</t>
  </si>
  <si>
    <t>BRU325</t>
  </si>
  <si>
    <t>Jefferson</t>
  </si>
  <si>
    <t>Nathan</t>
  </si>
  <si>
    <t>Mohammed</t>
  </si>
  <si>
    <t>Péages</t>
  </si>
  <si>
    <t>ORBAL - 9 040</t>
  </si>
  <si>
    <t xml:space="preserve">Yazid SaidMensour </t>
  </si>
  <si>
    <t>Repassage</t>
  </si>
  <si>
    <t>17.45-325-2</t>
  </si>
  <si>
    <t>CUI0225</t>
  </si>
  <si>
    <t>WPD325</t>
  </si>
  <si>
    <t>SOL0325</t>
  </si>
  <si>
    <t>BAG325</t>
  </si>
  <si>
    <t>Moyennes Mars 2025</t>
  </si>
  <si>
    <t>TOTAUX Mars 2025</t>
  </si>
  <si>
    <t>TOTAUX Q1 2025</t>
  </si>
  <si>
    <t>YGEO425</t>
  </si>
  <si>
    <t>YGEOTVX425</t>
  </si>
  <si>
    <t>17.45-325-3</t>
  </si>
  <si>
    <t>EIF425</t>
  </si>
  <si>
    <t>Bellal</t>
  </si>
  <si>
    <t xml:space="preserve">Getaround </t>
  </si>
  <si>
    <t>KAL425</t>
  </si>
  <si>
    <t>péage</t>
  </si>
  <si>
    <t>ARGEO425</t>
  </si>
  <si>
    <t>YGEOTVX425 ( BIS )</t>
  </si>
  <si>
    <t>OSWB0425 - Huningue</t>
  </si>
  <si>
    <t>Émé</t>
  </si>
  <si>
    <t>Resto Émé + Marcel</t>
  </si>
  <si>
    <t>ENG425</t>
  </si>
  <si>
    <t>RWEM425</t>
  </si>
  <si>
    <t>BRU425</t>
  </si>
  <si>
    <t>PRE425</t>
  </si>
  <si>
    <t>Nouredine New Sm</t>
  </si>
  <si>
    <t>BEAU425</t>
  </si>
  <si>
    <t>Salim SI AMMOUR</t>
  </si>
  <si>
    <t xml:space="preserve">Dépenses Bellal ( Essece + Péage ) </t>
  </si>
  <si>
    <t>Nassim graichi</t>
  </si>
  <si>
    <t>mahieddine farsi</t>
  </si>
  <si>
    <t>Yazid ALI YAHIA</t>
  </si>
  <si>
    <t>noureddine assem</t>
  </si>
  <si>
    <t>haizer Abdelaziz rahmani</t>
  </si>
  <si>
    <t>Mohamed Amine letifi</t>
  </si>
  <si>
    <t>RWEA425</t>
  </si>
  <si>
    <t>BRUT425</t>
  </si>
  <si>
    <t xml:space="preserve">Letifi </t>
  </si>
  <si>
    <t>Récup des flyers ( Toufik )</t>
  </si>
  <si>
    <t>Toufik</t>
  </si>
  <si>
    <t>Jeferson</t>
  </si>
  <si>
    <t>OSWB0425 (Bis)</t>
  </si>
  <si>
    <t>OSWH0425 - Bâle</t>
  </si>
  <si>
    <t>dépenses sur place</t>
  </si>
  <si>
    <t>RWEPLS425</t>
  </si>
  <si>
    <t>getaround</t>
  </si>
  <si>
    <t>RWELB425</t>
  </si>
  <si>
    <t>EDPPL425</t>
  </si>
  <si>
    <t>Yazid Said mansour</t>
  </si>
  <si>
    <t>ENGLGF425</t>
  </si>
  <si>
    <t>Envoie des fyers</t>
  </si>
  <si>
    <t>RWEX425</t>
  </si>
  <si>
    <t>frais sur place</t>
  </si>
  <si>
    <t>RWEV425 - Vernusse</t>
  </si>
  <si>
    <t>Moyennes Avril 2025</t>
  </si>
  <si>
    <t>TOTAUX Avril 2025</t>
  </si>
  <si>
    <t>VSB425</t>
  </si>
  <si>
    <t>Hotel</t>
  </si>
  <si>
    <t>YGEO525</t>
  </si>
  <si>
    <t>Valentine</t>
  </si>
  <si>
    <t>RWEFP0525</t>
  </si>
  <si>
    <t>RWEEP425</t>
  </si>
  <si>
    <t xml:space="preserve">Frais de vie </t>
  </si>
  <si>
    <t>LMH525</t>
  </si>
  <si>
    <t>RWELC525</t>
  </si>
  <si>
    <t>OBAL125 - 5878</t>
  </si>
  <si>
    <t>WIND525</t>
  </si>
  <si>
    <t>Tahar benyahia</t>
  </si>
  <si>
    <t>Ibrahim chetouani</t>
  </si>
  <si>
    <t>Nouredine Assem</t>
  </si>
  <si>
    <t>Nadjib SM</t>
  </si>
  <si>
    <t>Nadjib Chef d'équipe</t>
  </si>
  <si>
    <t>Nadjib extra</t>
  </si>
  <si>
    <t xml:space="preserve">Malek </t>
  </si>
  <si>
    <t>Getaroiund</t>
  </si>
  <si>
    <t>KPC0525</t>
  </si>
  <si>
    <t>OBAL125 - 8750</t>
  </si>
  <si>
    <t>RWEC525</t>
  </si>
  <si>
    <t>AGE525</t>
  </si>
  <si>
    <t>17.45-425 - Hand</t>
  </si>
  <si>
    <t>RWEV525</t>
  </si>
  <si>
    <t xml:space="preserve">envoie des flyers </t>
  </si>
  <si>
    <t>MJC525</t>
  </si>
  <si>
    <t>Malek Derib</t>
  </si>
  <si>
    <t>Moyennes Mai 2025</t>
  </si>
  <si>
    <t>TOTAUX Mai 2025</t>
  </si>
  <si>
    <t>NOT625</t>
  </si>
  <si>
    <t>RWESMT625</t>
  </si>
  <si>
    <t>Uthmann</t>
  </si>
  <si>
    <t>RWEMGC625</t>
  </si>
  <si>
    <t>Tarek</t>
  </si>
  <si>
    <t>RWEBV625</t>
  </si>
  <si>
    <t>Amine Letifi</t>
  </si>
  <si>
    <t xml:space="preserve">Dépense sur place </t>
  </si>
  <si>
    <t xml:space="preserve">Turo </t>
  </si>
  <si>
    <t>ENGGB625</t>
  </si>
  <si>
    <t>Karim Alata</t>
  </si>
  <si>
    <t>ENGM625</t>
  </si>
  <si>
    <t>Eden Siaut</t>
  </si>
  <si>
    <t>ENGNS625</t>
  </si>
  <si>
    <t>MONT0625</t>
  </si>
  <si>
    <t>Tinou</t>
  </si>
  <si>
    <t>Envoie des flyers</t>
  </si>
  <si>
    <t>?</t>
  </si>
  <si>
    <t>BRU625</t>
  </si>
  <si>
    <t>Moahamed Saoudi</t>
  </si>
  <si>
    <t>RWERSCR625</t>
  </si>
  <si>
    <t>Malek</t>
  </si>
  <si>
    <t>RWEF625</t>
  </si>
  <si>
    <t>Dépense sur place</t>
  </si>
  <si>
    <t>BAG625</t>
  </si>
  <si>
    <t>Tamira</t>
  </si>
  <si>
    <t>17.45H-625</t>
  </si>
  <si>
    <t>Jimmy</t>
  </si>
  <si>
    <t>MAU625</t>
  </si>
  <si>
    <t>killian Attiogbe ( Bike )</t>
  </si>
  <si>
    <t>Amine ( Bike )</t>
  </si>
  <si>
    <t>Nounou ( Box )</t>
  </si>
  <si>
    <t>Ibrahim ( Box )</t>
  </si>
  <si>
    <t>Haizer ( Box )</t>
  </si>
  <si>
    <t>killian Attiogbe ( Box )</t>
  </si>
  <si>
    <t>Haizer ( Hand )</t>
  </si>
  <si>
    <t>Nounou ( Hand )</t>
  </si>
  <si>
    <t>Ibrahim ( Hand )</t>
  </si>
  <si>
    <t>Impression Totale ( Flyers et Branding)</t>
  </si>
  <si>
    <t>RWELSC625</t>
  </si>
  <si>
    <t>FREE625</t>
  </si>
  <si>
    <t>Anis skendraoui</t>
  </si>
  <si>
    <t>Mohand</t>
  </si>
  <si>
    <t>ENER625</t>
  </si>
  <si>
    <t>LAE625</t>
  </si>
  <si>
    <t>Bellal extra</t>
  </si>
  <si>
    <t>Samule</t>
  </si>
  <si>
    <t>Mohamed Amine Letifi</t>
  </si>
  <si>
    <t>Marvel</t>
  </si>
  <si>
    <t>Antonin</t>
  </si>
  <si>
    <t>Amandine</t>
  </si>
  <si>
    <t>SNCF Mohamed Amine Letifi + Tinou</t>
  </si>
  <si>
    <t>Airbnb + Hotel</t>
  </si>
  <si>
    <t>SNCF Yazid</t>
  </si>
  <si>
    <t>KEE625</t>
  </si>
  <si>
    <t>malek darib</t>
  </si>
  <si>
    <t>dioulde thiam</t>
  </si>
  <si>
    <t>khaled mahmoudi</t>
  </si>
  <si>
    <t>mohand bouhamam</t>
  </si>
  <si>
    <t>lamine arab</t>
  </si>
  <si>
    <t>islam zoughli</t>
  </si>
  <si>
    <t>koceila bennabi</t>
  </si>
  <si>
    <t>abdessamad Kher</t>
  </si>
  <si>
    <t>Ibrahim CHETOUANI</t>
  </si>
  <si>
    <t>RWEQBST625</t>
  </si>
  <si>
    <t xml:space="preserve">Raouf Extra </t>
  </si>
  <si>
    <t xml:space="preserve">Raouf </t>
  </si>
  <si>
    <t>EGN625</t>
  </si>
  <si>
    <t>ENGM562</t>
  </si>
  <si>
    <t>JUV625</t>
  </si>
  <si>
    <t>Jonathan PHILOMENE</t>
  </si>
  <si>
    <t>REN0625</t>
  </si>
  <si>
    <t>ENGG625</t>
  </si>
  <si>
    <t>Turo</t>
  </si>
  <si>
    <t>RWEL725</t>
  </si>
  <si>
    <t>Moyennes Juin 2025</t>
  </si>
  <si>
    <t>TOTAUX Juin 2025</t>
  </si>
  <si>
    <t>TOTAUX Q2 2025</t>
  </si>
  <si>
    <t>COR725</t>
  </si>
  <si>
    <t>BRU725</t>
  </si>
  <si>
    <t>Abdesalem</t>
  </si>
  <si>
    <t>Saoudi Mohammed</t>
  </si>
  <si>
    <t>Aicha</t>
  </si>
  <si>
    <t>RWER725</t>
  </si>
  <si>
    <t>Heetch</t>
  </si>
  <si>
    <t>MAU725</t>
  </si>
  <si>
    <t>Khaled Dimanche</t>
  </si>
  <si>
    <t>VW725</t>
  </si>
  <si>
    <t>OBAL225 - 3467</t>
  </si>
  <si>
    <t>Jalil</t>
  </si>
  <si>
    <t xml:space="preserve">Frais de déplacement </t>
  </si>
  <si>
    <t>VIT625</t>
  </si>
  <si>
    <t>Alexandra Méton (émé)</t>
  </si>
  <si>
    <t>Ismael (Uthmann)</t>
  </si>
  <si>
    <t>Rayane</t>
  </si>
  <si>
    <t>Alyssia hamdad</t>
  </si>
  <si>
    <t>JIJI Nait Chabane</t>
  </si>
  <si>
    <t>Messaoud NAIT CHABANE</t>
  </si>
  <si>
    <t>Emerique FFY 🎈</t>
  </si>
  <si>
    <t>Uthmann FFY 🎈</t>
  </si>
  <si>
    <t>Lenny Maboundou</t>
  </si>
  <si>
    <t>Raouf FFY</t>
  </si>
  <si>
    <t>Marcel FFY</t>
  </si>
  <si>
    <t>Baidy</t>
  </si>
  <si>
    <t>box de 20m² chez Bluespace</t>
  </si>
  <si>
    <t xml:space="preserve">Deux camions de 20m³ avec hayon </t>
  </si>
  <si>
    <t>Flagbag</t>
  </si>
  <si>
    <t>Uber Raouf</t>
  </si>
  <si>
    <t xml:space="preserve">les poubelles </t>
  </si>
  <si>
    <t>Location du Parvis de la défense</t>
  </si>
  <si>
    <t>rouleaux film palettes + grand sac poubelle</t>
  </si>
  <si>
    <t>Ivan et Cheikh</t>
  </si>
  <si>
    <t>essence</t>
  </si>
  <si>
    <t>NEX0725</t>
  </si>
  <si>
    <t>Uthmann Extra</t>
  </si>
  <si>
    <t>Uthmann FFY</t>
  </si>
  <si>
    <t>YGEO725</t>
  </si>
  <si>
    <t>RP0725</t>
  </si>
  <si>
    <t>BAG725</t>
  </si>
  <si>
    <t>ENG725</t>
  </si>
  <si>
    <t>Moyennes Juillet 2025</t>
  </si>
  <si>
    <t>TOTAUX Juillet 2025</t>
  </si>
  <si>
    <t>UXCO825</t>
  </si>
  <si>
    <t>Juba Bike</t>
  </si>
  <si>
    <t>Les staffés</t>
  </si>
  <si>
    <t xml:space="preserve">impression flyers </t>
  </si>
  <si>
    <t xml:space="preserve">impression voiles </t>
  </si>
  <si>
    <t>impression bache</t>
  </si>
  <si>
    <t>impression casquettes</t>
  </si>
  <si>
    <t>impression k-ways</t>
  </si>
  <si>
    <t>impression totebag</t>
  </si>
  <si>
    <t>péages</t>
  </si>
  <si>
    <t>OBAL225 - 1017</t>
  </si>
  <si>
    <t>OBAL225 - 30692</t>
  </si>
  <si>
    <t>abdesselem tariket</t>
  </si>
  <si>
    <t>Abdesamad</t>
  </si>
  <si>
    <t>Jonathan</t>
  </si>
  <si>
    <t>EYS825</t>
  </si>
  <si>
    <t>Ayoub</t>
  </si>
  <si>
    <t xml:space="preserve">frais sur place </t>
  </si>
  <si>
    <t xml:space="preserve">péage </t>
  </si>
  <si>
    <t>DEL0725</t>
  </si>
  <si>
    <t>OBAL225 - 2747</t>
  </si>
  <si>
    <t>JACK825</t>
  </si>
  <si>
    <t xml:space="preserve">Abdeslem Hand </t>
  </si>
  <si>
    <t xml:space="preserve">Abdeslem Box </t>
  </si>
  <si>
    <t xml:space="preserve">Abdeslem Régisseur </t>
  </si>
  <si>
    <t xml:space="preserve">Abdeslem location de voiture </t>
  </si>
  <si>
    <t>Daria hand</t>
  </si>
  <si>
    <t>Daria Box</t>
  </si>
  <si>
    <t>Issam Box</t>
  </si>
  <si>
    <t>Impression des flyers</t>
  </si>
  <si>
    <t>MAI825</t>
  </si>
  <si>
    <t>Meziane</t>
  </si>
  <si>
    <t>Rahman</t>
  </si>
  <si>
    <t>Caddies</t>
  </si>
  <si>
    <t>HER825</t>
  </si>
  <si>
    <t>Nadji</t>
  </si>
  <si>
    <t>Nasro</t>
  </si>
  <si>
    <t>BRU825</t>
  </si>
  <si>
    <t>Abdeslem</t>
  </si>
  <si>
    <t>Issam</t>
  </si>
  <si>
    <t>Dépenses sur places</t>
  </si>
  <si>
    <t>VSB0925</t>
  </si>
  <si>
    <t xml:space="preserve">Péage </t>
  </si>
  <si>
    <t>BAR0825</t>
  </si>
  <si>
    <t>StaffMe</t>
  </si>
  <si>
    <t>Moyennes Août 2025</t>
  </si>
  <si>
    <t>TOTAUX Août 2025</t>
  </si>
  <si>
    <t>OPT922</t>
  </si>
  <si>
    <t>H2A925</t>
  </si>
  <si>
    <t>EIF925</t>
  </si>
  <si>
    <t>PNE925</t>
  </si>
  <si>
    <t>OBAL225 - 20 890</t>
  </si>
  <si>
    <t>Yaazid Said Mansour</t>
  </si>
  <si>
    <t xml:space="preserve">Souhil </t>
  </si>
  <si>
    <t>ENGG925</t>
  </si>
  <si>
    <t>COVAL825</t>
  </si>
  <si>
    <t>Alexendre</t>
  </si>
  <si>
    <t>Walid</t>
  </si>
  <si>
    <t>Abderrahmane</t>
  </si>
  <si>
    <t>Yazid repassage</t>
  </si>
  <si>
    <t>ONE0925</t>
  </si>
  <si>
    <t>Youva</t>
  </si>
  <si>
    <t>Hakim Belabes</t>
  </si>
  <si>
    <t>FSGTF925</t>
  </si>
  <si>
    <t>SOG0925</t>
  </si>
  <si>
    <t>JPEE925</t>
  </si>
  <si>
    <t>ENGGR925</t>
  </si>
  <si>
    <t>OBAL225 - 1377</t>
  </si>
  <si>
    <t>Mustapha</t>
  </si>
  <si>
    <t xml:space="preserve">Ali ya </t>
  </si>
  <si>
    <t>box de 20m² chez Bluespace + 18 m²</t>
  </si>
  <si>
    <t>stop trottoir</t>
  </si>
  <si>
    <t>BAG925</t>
  </si>
  <si>
    <t>ENAC1025</t>
  </si>
  <si>
    <t>VSBB1025</t>
  </si>
  <si>
    <t>ENGC925</t>
  </si>
  <si>
    <t>TISS0925</t>
  </si>
  <si>
    <t>Sifax extra</t>
  </si>
  <si>
    <t>Parking</t>
  </si>
  <si>
    <t>VSBUR1025</t>
  </si>
  <si>
    <t>Simon</t>
  </si>
  <si>
    <t>Ines</t>
  </si>
  <si>
    <t>ENER1025</t>
  </si>
  <si>
    <t>Moyennes septembre 2025</t>
  </si>
  <si>
    <t>TOTAUX septembre 2025</t>
  </si>
  <si>
    <t>TOTAUX Q3 2025</t>
  </si>
  <si>
    <t>TISS1025</t>
  </si>
  <si>
    <t>REN1025</t>
  </si>
  <si>
    <t>KAL1025</t>
  </si>
  <si>
    <t>OBAL225 - 1 322</t>
  </si>
  <si>
    <t>OBAL225 - 1 591</t>
  </si>
  <si>
    <t>ENG1025</t>
  </si>
  <si>
    <t>VIR1025</t>
  </si>
  <si>
    <t>Location du parvis</t>
  </si>
  <si>
    <t>OBAL225 - 49291</t>
  </si>
  <si>
    <t>Yazid Ali Ya</t>
  </si>
  <si>
    <t>BOCO1025</t>
  </si>
  <si>
    <t>BRU1025</t>
  </si>
  <si>
    <t>ENGB1025</t>
  </si>
  <si>
    <t>Moyennes Octobre 2025</t>
  </si>
  <si>
    <t>TOTAUX Octobre 2025</t>
  </si>
  <si>
    <t xml:space="preserve">MEL1125 </t>
  </si>
  <si>
    <t xml:space="preserve">Chef d'équipe </t>
  </si>
  <si>
    <t>SMs</t>
  </si>
  <si>
    <t>Juba repassage</t>
  </si>
  <si>
    <t>VIT1025</t>
  </si>
  <si>
    <t>Raouf Dimanche</t>
  </si>
  <si>
    <t>Lydia Dimanche</t>
  </si>
  <si>
    <t>Adlan Dimanche</t>
  </si>
  <si>
    <t xml:space="preserve">box de 20m² chez Bluespace </t>
  </si>
  <si>
    <t>LEG1025</t>
  </si>
  <si>
    <t>jimmy</t>
  </si>
  <si>
    <t xml:space="preserve">Alyssia </t>
  </si>
  <si>
    <t>Impression Flyers</t>
  </si>
  <si>
    <t>Impression Kit</t>
  </si>
  <si>
    <t>PRAD1025</t>
  </si>
  <si>
    <t>StafMe</t>
  </si>
  <si>
    <t>TAC1125</t>
  </si>
  <si>
    <t>Essense</t>
  </si>
  <si>
    <t>PET1025</t>
  </si>
  <si>
    <t>Abderrahmane Ghouila</t>
  </si>
  <si>
    <t>Tahar Benyahia</t>
  </si>
  <si>
    <t>Abdessamad Kher</t>
  </si>
  <si>
    <t>Moustafa Elamine Aissaoui</t>
  </si>
  <si>
    <t xml:space="preserve">STE1125 </t>
  </si>
  <si>
    <t xml:space="preserve">CSSM1105 </t>
  </si>
  <si>
    <t xml:space="preserve">CSV1105 </t>
  </si>
  <si>
    <t>CSM1105</t>
  </si>
  <si>
    <t xml:space="preserve">ENGG1125 </t>
  </si>
  <si>
    <t xml:space="preserve">VSB1125 </t>
  </si>
  <si>
    <t xml:space="preserve">LIX1125 </t>
  </si>
  <si>
    <t>Inès Bouaraba</t>
  </si>
  <si>
    <t>Anis Skendraoui</t>
  </si>
  <si>
    <t>Joss Brice Ndongo Essoungou</t>
  </si>
  <si>
    <t>Safia Simonnet</t>
  </si>
  <si>
    <t xml:space="preserve">ERG1125 </t>
  </si>
  <si>
    <t xml:space="preserve">APC1125 </t>
  </si>
  <si>
    <t>OBAL225 - 9 358</t>
  </si>
  <si>
    <t>OBAL225 - 9 822</t>
  </si>
  <si>
    <t>Abderahman</t>
  </si>
  <si>
    <t xml:space="preserve">OBAL225 - 17 185 </t>
  </si>
  <si>
    <t xml:space="preserve">SAOM1125 </t>
  </si>
  <si>
    <t xml:space="preserve">LPP1125 </t>
  </si>
  <si>
    <t xml:space="preserve">APC1125 ( repassage </t>
  </si>
  <si>
    <t>Moyennes Novembre 2025</t>
  </si>
  <si>
    <t>TOTAUX Novembre 2025</t>
  </si>
  <si>
    <t>ENGBV</t>
  </si>
  <si>
    <t>ENG1225</t>
  </si>
  <si>
    <t>BRU1225</t>
  </si>
  <si>
    <t>Rauof</t>
  </si>
  <si>
    <t xml:space="preserve">LAR1225 </t>
  </si>
  <si>
    <t xml:space="preserve">OBAL225 - 5735 </t>
  </si>
  <si>
    <t>Véhicule Tismé</t>
  </si>
  <si>
    <t>letifi</t>
  </si>
  <si>
    <t>OBAL225 - 47911</t>
  </si>
  <si>
    <t xml:space="preserve">Yazid Ali Ya </t>
  </si>
  <si>
    <t>Moustapha SM ( V )</t>
  </si>
  <si>
    <t xml:space="preserve">Aziz Dehissi </t>
  </si>
  <si>
    <t>Hamza Saib</t>
  </si>
  <si>
    <t xml:space="preserve">Nadjib Hannachi </t>
  </si>
  <si>
    <t>DEL1225</t>
  </si>
  <si>
    <t>Letifi repassage</t>
  </si>
  <si>
    <t>IBE1252</t>
  </si>
  <si>
    <t xml:space="preserve">Frais sur place </t>
  </si>
  <si>
    <t>Moyennes Décembre 2025</t>
  </si>
  <si>
    <t>TOTAUX Décembre 2025</t>
  </si>
  <si>
    <t>TOTAUX Q4 2025</t>
  </si>
  <si>
    <t>Tableau de Marges 2025 - Brute (Avec AO)</t>
  </si>
  <si>
    <t>Tableau de Marges 2025 - EXTERNE (Avec AO)</t>
  </si>
  <si>
    <t>PESS0125</t>
  </si>
  <si>
    <t>Raouf auto</t>
  </si>
  <si>
    <t xml:space="preserve">Toufik young ones </t>
  </si>
  <si>
    <t>Amine ( pessac )</t>
  </si>
  <si>
    <t>Meziane ( Pessac )</t>
  </si>
  <si>
    <t>Toufik Mécano</t>
  </si>
  <si>
    <t>Nathan ( pessac )</t>
  </si>
  <si>
    <t xml:space="preserve">Mohamed ( Pessac ) </t>
  </si>
  <si>
    <t>GIF0125</t>
  </si>
  <si>
    <t>Nouredine assem</t>
  </si>
  <si>
    <t>Malika</t>
  </si>
  <si>
    <t>PESS0225</t>
  </si>
  <si>
    <t>Mohamed Amine</t>
  </si>
  <si>
    <t>Toufik ( Pessac )</t>
  </si>
  <si>
    <t>Amine ( pessac)</t>
  </si>
  <si>
    <t>Max ( Pessac )</t>
  </si>
  <si>
    <t>GIF0225</t>
  </si>
  <si>
    <t>Nouredine New SM</t>
  </si>
  <si>
    <t>MARS</t>
  </si>
  <si>
    <t>GIF0325</t>
  </si>
  <si>
    <t>PESS0325</t>
  </si>
  <si>
    <t>Faiza</t>
  </si>
  <si>
    <t>Florian</t>
  </si>
  <si>
    <t>Mohammed Saoudi</t>
  </si>
  <si>
    <t>SNCF ( Raouf )</t>
  </si>
  <si>
    <t>GIF0425</t>
  </si>
  <si>
    <t>GIFT325</t>
  </si>
  <si>
    <t>PESS0425</t>
  </si>
  <si>
    <t>Max</t>
  </si>
  <si>
    <t xml:space="preserve">Nassim </t>
  </si>
  <si>
    <t>PESS0525</t>
  </si>
  <si>
    <t>GIF0525</t>
  </si>
  <si>
    <t>Tahar repassage</t>
  </si>
  <si>
    <t>Mohammed Amine Letifi</t>
  </si>
  <si>
    <t>GIF06,0725</t>
  </si>
  <si>
    <t>Yazid Ali ya</t>
  </si>
  <si>
    <t>PESS0625</t>
  </si>
  <si>
    <t>SNCF ÉMÉ</t>
  </si>
  <si>
    <t>PESS0725</t>
  </si>
  <si>
    <t>Ruben Clairicia</t>
  </si>
  <si>
    <t>Aïcha GBANDI</t>
  </si>
  <si>
    <t xml:space="preserve">aucune ammende pour l'instant </t>
  </si>
  <si>
    <t>GIF0825</t>
  </si>
  <si>
    <t>PESS0925</t>
  </si>
  <si>
    <t xml:space="preserve">Saoudi </t>
  </si>
  <si>
    <t>Daria</t>
  </si>
  <si>
    <t>GIF0925 + VIR0825</t>
  </si>
  <si>
    <t>abderrahmane ghouila</t>
  </si>
  <si>
    <t>youcef Aissaoui</t>
  </si>
  <si>
    <t xml:space="preserve">GIF1025 </t>
  </si>
  <si>
    <t>Amende</t>
  </si>
  <si>
    <t>PESS1025</t>
  </si>
  <si>
    <t>Saoudi</t>
  </si>
  <si>
    <t>Léopold</t>
  </si>
  <si>
    <t>Matthias</t>
  </si>
  <si>
    <t>abdessalem</t>
  </si>
  <si>
    <t>Moustafa</t>
  </si>
  <si>
    <t>Emy</t>
  </si>
  <si>
    <t>PESS1125</t>
  </si>
  <si>
    <t>Nabil Aallal</t>
  </si>
  <si>
    <t>Yassine Berrhazi</t>
  </si>
  <si>
    <t>Nabil Boutchicha</t>
  </si>
  <si>
    <t>Elea Bonet</t>
  </si>
  <si>
    <t>Abdesselem Tariket</t>
  </si>
  <si>
    <t>Otmane Elkarkouri</t>
  </si>
  <si>
    <t>Noureddine Assem</t>
  </si>
  <si>
    <t xml:space="preserve">GIF1125 </t>
  </si>
  <si>
    <t>Youcef ( Repassage )</t>
  </si>
  <si>
    <t xml:space="preserve">GIF1225 </t>
  </si>
  <si>
    <t>PESS1225</t>
  </si>
  <si>
    <t>François Lefevre</t>
  </si>
  <si>
    <t>Ory Francois</t>
  </si>
  <si>
    <t>Yohan Deturck</t>
  </si>
  <si>
    <t>Chams Eddine Djoudi</t>
  </si>
  <si>
    <t>PESSAC 2024/2025 - TOUTES LES CAMPAGNES</t>
  </si>
  <si>
    <t>PESSAC 2024/2025 - TOUTES LES CAMPAGNES (Externe)</t>
  </si>
  <si>
    <t>NOVEMBRE</t>
  </si>
  <si>
    <t>PESS1124</t>
  </si>
  <si>
    <t>Paul ( pessac )</t>
  </si>
  <si>
    <t xml:space="preserve">Mohamed ( Pessac ) 15 </t>
  </si>
  <si>
    <t>Mohamed ( Pessac ) 17</t>
  </si>
  <si>
    <t>Mohamed ( Pessac ) repassage</t>
  </si>
  <si>
    <t>Train Cheikh + FDV + Getaround</t>
  </si>
  <si>
    <t>Moyennes NOVEMBRE 2024</t>
  </si>
  <si>
    <t>TOTAUX NOVEMBRE 2024</t>
  </si>
  <si>
    <t>DÉCEMBRE</t>
  </si>
  <si>
    <t>PESS1224 M.M</t>
  </si>
  <si>
    <t>Sarr ( youngones )</t>
  </si>
  <si>
    <t xml:space="preserve">Toufik auto </t>
  </si>
  <si>
    <t>Florian ( Pessac )</t>
  </si>
  <si>
    <t>PESS1224</t>
  </si>
  <si>
    <t>Amine pessac</t>
  </si>
  <si>
    <t>Moyennes DÉCEMBRE 2024</t>
  </si>
  <si>
    <t>TOTAUX DÉCEMBRE 2024</t>
  </si>
  <si>
    <t>TOTAUX Q4 2024</t>
  </si>
  <si>
    <t>Moyennes JANVIER 2025</t>
  </si>
  <si>
    <t>TOTAUX JANVIER 2025</t>
  </si>
  <si>
    <t>FÉVRIER</t>
  </si>
  <si>
    <t>Moyennes FÉVRIER 2025</t>
  </si>
  <si>
    <t>TOTAUX FÉVRIER 2025</t>
  </si>
  <si>
    <t>Moyennes MARS 2025</t>
  </si>
  <si>
    <t>TOTAUX MARS 2025</t>
  </si>
  <si>
    <t>AVRIL</t>
  </si>
  <si>
    <t>Moyennes Septembre 2025</t>
  </si>
  <si>
    <t>TOTAUX Septembre 2025</t>
  </si>
  <si>
    <t xml:space="preserve">Novembre </t>
  </si>
  <si>
    <t>GIF-SUR-YVETTE 2025/2026 - TOUTES LES CAMPAGNES</t>
  </si>
  <si>
    <t>GIF-SUR-YVETTE 2025/2026 - TOUTES LES CAMPAGNES (Externe)</t>
  </si>
  <si>
    <t>GIFS125</t>
  </si>
  <si>
    <t>Juillet/Août</t>
  </si>
  <si>
    <t>Tableau de Marges 2024 - Brute</t>
  </si>
  <si>
    <t xml:space="preserve">Tableau de Marges 2024 - EXTERNE </t>
  </si>
  <si>
    <t>ENG0124</t>
  </si>
  <si>
    <t>Ibrahim Cheteuani</t>
  </si>
  <si>
    <t>Envoi flyers La poste</t>
  </si>
  <si>
    <t>ENEC0124 
Château-Garnier</t>
  </si>
  <si>
    <t>Essence + péage (2 campagnes)</t>
  </si>
  <si>
    <t>Train Akmez</t>
  </si>
  <si>
    <t>ENEP0124 
Payroux</t>
  </si>
  <si>
    <t>Airbnb Akmez</t>
  </si>
  <si>
    <t>ENEL0124 
La chapelle-Bâton</t>
  </si>
  <si>
    <t xml:space="preserve">Essence + péage </t>
  </si>
  <si>
    <t>Getaround Akmez</t>
  </si>
  <si>
    <t>RWEV0124
Vernusse</t>
  </si>
  <si>
    <t>Manon</t>
  </si>
  <si>
    <t>Frais de déplacement</t>
  </si>
  <si>
    <t>ORBAS223 
2914</t>
  </si>
  <si>
    <t>Brandon</t>
  </si>
  <si>
    <t>Location véhicule Brandon</t>
  </si>
  <si>
    <t xml:space="preserve">Ali Ya </t>
  </si>
  <si>
    <t>SAM124
St Martin l'Ars</t>
  </si>
  <si>
    <t>ENER0124
Brienne-le-Château</t>
  </si>
  <si>
    <t>Essence + péage</t>
  </si>
  <si>
    <t>Getaround Brandon</t>
  </si>
  <si>
    <t xml:space="preserve">SNCF </t>
  </si>
  <si>
    <t xml:space="preserve">Airbnb total </t>
  </si>
  <si>
    <t>SOL0124
Maux</t>
  </si>
  <si>
    <t>Turo Akmez</t>
  </si>
  <si>
    <t>RWEC0124
Cressia</t>
  </si>
  <si>
    <t>RWEB0124
Buxières</t>
  </si>
  <si>
    <t>SOLM124</t>
  </si>
  <si>
    <t>Romain</t>
  </si>
  <si>
    <t>Location véhicule Romain</t>
  </si>
  <si>
    <t>Frais d'essence et péage</t>
  </si>
  <si>
    <t>ENEA124</t>
  </si>
  <si>
    <t>Train Brandon</t>
  </si>
  <si>
    <t>Airbnb Brandon</t>
  </si>
  <si>
    <t>Turo Brandon</t>
  </si>
  <si>
    <t>RWEST224</t>
  </si>
  <si>
    <t>Moyennes Janvier 2024</t>
  </si>
  <si>
    <t>TOTAUX Janvier 2024</t>
  </si>
  <si>
    <t>RWEQB224</t>
  </si>
  <si>
    <t>Essence + péage (+RWEST)</t>
  </si>
  <si>
    <t>ENES224
Saint-Aubert</t>
  </si>
  <si>
    <t>ENA0224</t>
  </si>
  <si>
    <t>Marie (distribution + logistique)</t>
  </si>
  <si>
    <t>Anissa</t>
  </si>
  <si>
    <t>Student Pop</t>
  </si>
  <si>
    <t>Billets de train</t>
  </si>
  <si>
    <t>Hanane</t>
  </si>
  <si>
    <t>Coûts de déplacement (Uber flyers)</t>
  </si>
  <si>
    <t>Impression flyers</t>
  </si>
  <si>
    <t>STA0124
IDF Mobilités</t>
  </si>
  <si>
    <t>Katia Juju</t>
  </si>
  <si>
    <t>Lounis</t>
  </si>
  <si>
    <t>Emerique</t>
  </si>
  <si>
    <t>Thiago</t>
  </si>
  <si>
    <t>Mazarine</t>
  </si>
  <si>
    <t>Alyssia Hamdad</t>
  </si>
  <si>
    <t xml:space="preserve">Hanane </t>
  </si>
  <si>
    <t>Ali Ya</t>
  </si>
  <si>
    <t xml:space="preserve">Location véhicule Sifax </t>
  </si>
  <si>
    <t>Branding (pull, casquette, totebag)</t>
  </si>
  <si>
    <t>Essence véhicules</t>
  </si>
  <si>
    <t>Boulangerie</t>
  </si>
  <si>
    <t>Courses Auchan (boissons + ustensiles)</t>
  </si>
  <si>
    <t>Paniers Viennoiseries x8</t>
  </si>
  <si>
    <t>Amazon Ustensiles</t>
  </si>
  <si>
    <t>Uber déplacements (Thiago + Mazarine)</t>
  </si>
  <si>
    <t>184SFR</t>
  </si>
  <si>
    <t>L'hadj</t>
  </si>
  <si>
    <t>ENER224</t>
  </si>
  <si>
    <t xml:space="preserve">Envoi de 300 flyers via La Poste </t>
  </si>
  <si>
    <t>RWERBR224</t>
  </si>
  <si>
    <t>Getaround + essence + nettoyage</t>
  </si>
  <si>
    <t xml:space="preserve">Train </t>
  </si>
  <si>
    <t>ORBAL 4145</t>
  </si>
  <si>
    <t>ENEBBV224</t>
  </si>
  <si>
    <t>RWEMC224</t>
  </si>
  <si>
    <t>RWESV224</t>
  </si>
  <si>
    <t xml:space="preserve">Essence Akmez </t>
  </si>
  <si>
    <t>Voiture Akmez</t>
  </si>
  <si>
    <t>ORBAL124 
3 897</t>
  </si>
  <si>
    <t>JPEE224</t>
  </si>
  <si>
    <t>Location véhicule</t>
  </si>
  <si>
    <t>STE0224</t>
  </si>
  <si>
    <t>Darib</t>
  </si>
  <si>
    <t>Aziz Rahmani</t>
  </si>
  <si>
    <t>Slimane</t>
  </si>
  <si>
    <t>Voiture location Brandon</t>
  </si>
  <si>
    <t>RWEBL224</t>
  </si>
  <si>
    <t>Location véhicule (avec les Hermites)</t>
  </si>
  <si>
    <t>Billet de train Akmez</t>
  </si>
  <si>
    <t>RWES0224</t>
  </si>
  <si>
    <t>ORBAS124 - 42260</t>
  </si>
  <si>
    <t>aziz rahmani</t>
  </si>
  <si>
    <t>Darib Malik</t>
  </si>
  <si>
    <t>Ibrahim cheteuani</t>
  </si>
  <si>
    <t>Ghani Taleb</t>
  </si>
  <si>
    <t>RWEH224</t>
  </si>
  <si>
    <t>ENESP224</t>
  </si>
  <si>
    <t>Billet de train Cheikh</t>
  </si>
  <si>
    <t>Frais de vie (Airbnb+Repas)</t>
  </si>
  <si>
    <t>STEVP224</t>
  </si>
  <si>
    <t>IBrahim cheteuani</t>
  </si>
  <si>
    <t>STEVM224</t>
  </si>
  <si>
    <t>JImmy</t>
  </si>
  <si>
    <t>mahyedine</t>
  </si>
  <si>
    <t xml:space="preserve">mohamed amine </t>
  </si>
  <si>
    <t>noureddine Assem</t>
  </si>
  <si>
    <t>lounis</t>
  </si>
  <si>
    <t>STEVC224</t>
  </si>
  <si>
    <t>RWESG224</t>
  </si>
  <si>
    <t>Location voiture</t>
  </si>
  <si>
    <t>RWEL224</t>
  </si>
  <si>
    <t>RWEC224</t>
  </si>
  <si>
    <t xml:space="preserve">Airbnb </t>
  </si>
  <si>
    <t>Moyennes Février 2024</t>
  </si>
  <si>
    <t>TOTAUX Février 2024</t>
  </si>
  <si>
    <t>RWEB224</t>
  </si>
  <si>
    <t>FFBAD224</t>
  </si>
  <si>
    <t xml:space="preserve">Hanane AMAL </t>
  </si>
  <si>
    <t xml:space="preserve">Redha </t>
  </si>
  <si>
    <t xml:space="preserve">Silina </t>
  </si>
  <si>
    <t>AVN0224</t>
  </si>
  <si>
    <t>Emma FFY</t>
  </si>
  <si>
    <t xml:space="preserve">Mazarine FFY </t>
  </si>
  <si>
    <t>Tassadit Abrous</t>
  </si>
  <si>
    <t>Kit Branding</t>
  </si>
  <si>
    <t>SOSO0324</t>
  </si>
  <si>
    <t>nouredine</t>
  </si>
  <si>
    <t xml:space="preserve">Brandon </t>
  </si>
  <si>
    <t>RWESA324</t>
  </si>
  <si>
    <t>Billet de train</t>
  </si>
  <si>
    <t>Essence + frais voiture</t>
  </si>
  <si>
    <t>Franchise accident voiture</t>
  </si>
  <si>
    <t>PAV324</t>
  </si>
  <si>
    <t xml:space="preserve">ali ya </t>
  </si>
  <si>
    <t>Darib malik</t>
  </si>
  <si>
    <t>ghani Taleb</t>
  </si>
  <si>
    <t xml:space="preserve">redha </t>
  </si>
  <si>
    <t>Location voiture Emma</t>
  </si>
  <si>
    <t>Location voiture Brandon</t>
  </si>
  <si>
    <t>ENESM324</t>
  </si>
  <si>
    <t>STEVC324
St-Leu-la-Foret</t>
  </si>
  <si>
    <t>STEVCP324
Chatenay</t>
  </si>
  <si>
    <t>Nadir Bouchakour</t>
  </si>
  <si>
    <t>STEVR324
Paris 16ème
Radioeat</t>
  </si>
  <si>
    <t>STEVB324
Bagneux</t>
  </si>
  <si>
    <t>STEVS324
Sucy-en-Brie</t>
  </si>
  <si>
    <t>STENP324
Neuilly &amp; Paris 16</t>
  </si>
  <si>
    <t>STEVL324
Laval</t>
  </si>
  <si>
    <t>François David</t>
  </si>
  <si>
    <t>Location véhicule François</t>
  </si>
  <si>
    <t>STEVAP324
Asnières/Clichy</t>
  </si>
  <si>
    <t>Bial Zoughli</t>
  </si>
  <si>
    <t xml:space="preserve">EIF324
</t>
  </si>
  <si>
    <t>Impression d-ja</t>
  </si>
  <si>
    <t>Train SM</t>
  </si>
  <si>
    <t>STEVSP324</t>
  </si>
  <si>
    <t>bilal zoughli</t>
  </si>
  <si>
    <t>Koceila Bennobi</t>
  </si>
  <si>
    <t>Raouf Bansaid</t>
  </si>
  <si>
    <t>STEVSG324</t>
  </si>
  <si>
    <t>redha SM</t>
  </si>
  <si>
    <t>STEVIS324</t>
  </si>
  <si>
    <t>RWEN324
Noyant d'Allier</t>
  </si>
  <si>
    <t>Envoi de flyers via La poste (erreur)</t>
  </si>
  <si>
    <t>SNCF Billet de train</t>
  </si>
  <si>
    <t>RWEEF324
Epineuil-le-Fleuriel</t>
  </si>
  <si>
    <t>Frais de déplacement - essence</t>
  </si>
  <si>
    <t>FENE324</t>
  </si>
  <si>
    <t>Train SNC</t>
  </si>
  <si>
    <t>StafMe (1 SM x 2j)</t>
  </si>
  <si>
    <t>Student Pop (6 SM x 2j)</t>
  </si>
  <si>
    <t xml:space="preserve">RWESF324
Fresnes </t>
  </si>
  <si>
    <t>OZE0324
HAND ET BOX</t>
  </si>
  <si>
    <t>Redha</t>
  </si>
  <si>
    <t>STEVD324
Deauville</t>
  </si>
  <si>
    <t xml:space="preserve">StafMe </t>
  </si>
  <si>
    <t>Moyennes mars 2024</t>
  </si>
  <si>
    <t>TOTAUX mars 2024</t>
  </si>
  <si>
    <t>TOTAUX Q1 2024</t>
  </si>
  <si>
    <t>ENG424</t>
  </si>
  <si>
    <t>LIB0324</t>
  </si>
  <si>
    <t xml:space="preserve">Lydia Dimanche </t>
  </si>
  <si>
    <t>Tassadit</t>
  </si>
  <si>
    <t>SAM424
La Roche-l'Abeille</t>
  </si>
  <si>
    <t>STEP424
Pari 16</t>
  </si>
  <si>
    <t>STEC424
Courbevoie</t>
  </si>
  <si>
    <t>Bilal</t>
  </si>
  <si>
    <t>Mayhedine</t>
  </si>
  <si>
    <t>STEPC424</t>
  </si>
  <si>
    <t>Brahimi Wassim</t>
  </si>
  <si>
    <t>kheloufi Rédha</t>
  </si>
  <si>
    <t>Raouf BENSAID</t>
  </si>
  <si>
    <t>Rayane nasri</t>
  </si>
  <si>
    <t xml:space="preserve">Said imine </t>
  </si>
  <si>
    <t>Youcef Tiar</t>
  </si>
  <si>
    <t>Location semaine - voiture Brandon</t>
  </si>
  <si>
    <t>STEBB424
Boulogne</t>
  </si>
  <si>
    <t>STECV424</t>
  </si>
  <si>
    <t>YTR424</t>
  </si>
  <si>
    <t>Lucille (BD)</t>
  </si>
  <si>
    <t>STEMV424
Vanves et Malakoff</t>
  </si>
  <si>
    <t>STEPSE424</t>
  </si>
  <si>
    <t>COG424</t>
  </si>
  <si>
    <t>STELGC424</t>
  </si>
  <si>
    <t>OZE0424</t>
  </si>
  <si>
    <t>STEPV424</t>
  </si>
  <si>
    <t>Jose Marius</t>
  </si>
  <si>
    <t>Raouf Bensaid</t>
  </si>
  <si>
    <t>STEPARIS424</t>
  </si>
  <si>
    <t xml:space="preserve">WTN424
Wall </t>
  </si>
  <si>
    <t>Envoie Chronopost à Lyon</t>
  </si>
  <si>
    <t xml:space="preserve">Romain </t>
  </si>
  <si>
    <t>Romain voiture + essence</t>
  </si>
  <si>
    <t xml:space="preserve">Agece Paperboys </t>
  </si>
  <si>
    <t>Train Marseille</t>
  </si>
  <si>
    <t xml:space="preserve">Uber allée gare de Lyon </t>
  </si>
  <si>
    <t xml:space="preserve">Frais de vie Marseille </t>
  </si>
  <si>
    <t>Déplacement voiture Marseille</t>
  </si>
  <si>
    <t>Balais / sceau Marseille</t>
  </si>
  <si>
    <t xml:space="preserve">STEVL424
Laval </t>
  </si>
  <si>
    <t xml:space="preserve">Student Pop </t>
  </si>
  <si>
    <t>STEVER424</t>
  </si>
  <si>
    <t>ali ya</t>
  </si>
  <si>
    <t>bilal</t>
  </si>
  <si>
    <t>STEEFS424</t>
  </si>
  <si>
    <t>José Marius</t>
  </si>
  <si>
    <t>Nadim</t>
  </si>
  <si>
    <t>RWEV424
Vallières</t>
  </si>
  <si>
    <t>STEVV524</t>
  </si>
  <si>
    <t>Ghani</t>
  </si>
  <si>
    <t>Abdenour</t>
  </si>
  <si>
    <t>OBAL124 - 1974</t>
  </si>
  <si>
    <t>RWEF424
Fouquescourt</t>
  </si>
  <si>
    <t>Moyennes avril 2024</t>
  </si>
  <si>
    <t>TOTAUX avril 2024</t>
  </si>
  <si>
    <t>MAI</t>
  </si>
  <si>
    <t>RWEBV424
Brécy et Villabon</t>
  </si>
  <si>
    <t>Envoi flyers via La Poste (mairies)</t>
  </si>
  <si>
    <t>Frais de déplacement akmez</t>
  </si>
  <si>
    <t xml:space="preserve">Impression flyers </t>
  </si>
  <si>
    <t>Frais de déplacement Romain</t>
  </si>
  <si>
    <t>INN524</t>
  </si>
  <si>
    <t>SNCF Brandon</t>
  </si>
  <si>
    <t>Essence + peage Brandon</t>
  </si>
  <si>
    <t xml:space="preserve">Frais de vie Brandon </t>
  </si>
  <si>
    <t>SNCF Akmez</t>
  </si>
  <si>
    <t>Essence + peage Akmez</t>
  </si>
  <si>
    <t>Frais de vie Akmez</t>
  </si>
  <si>
    <t>STEIB524
Igny et Bièvres</t>
  </si>
  <si>
    <t>Oualid Bensaid</t>
  </si>
  <si>
    <t>STEVJ524
Paris 17</t>
  </si>
  <si>
    <t>STEP524</t>
  </si>
  <si>
    <t>STEYC524</t>
  </si>
  <si>
    <t>RWEP524</t>
  </si>
  <si>
    <t>BOR524</t>
  </si>
  <si>
    <t>RWER524</t>
  </si>
  <si>
    <t>MAL524
Box et Hand</t>
  </si>
  <si>
    <t xml:space="preserve">Jose Marius Dodo </t>
  </si>
  <si>
    <t>Amoro Sidibe</t>
  </si>
  <si>
    <t xml:space="preserve">Emerique </t>
  </si>
  <si>
    <t>Anissa AYA</t>
  </si>
  <si>
    <t>Sarah Mouchache : Chef d'équipe</t>
  </si>
  <si>
    <t>PRE0524</t>
  </si>
  <si>
    <t>Prime déplacement Dodo</t>
  </si>
  <si>
    <t>Prime déplacement</t>
  </si>
  <si>
    <t>Sarah Mouchache</t>
  </si>
  <si>
    <t>Impression kit branding</t>
  </si>
  <si>
    <t>FSGT524</t>
  </si>
  <si>
    <t>Matthias RIVIERRE</t>
  </si>
  <si>
    <t>Silina Ali Ya</t>
  </si>
  <si>
    <t>RWEA624</t>
  </si>
  <si>
    <t>Péages + Essence</t>
  </si>
  <si>
    <t>STEBB624</t>
  </si>
  <si>
    <t>RWEO624</t>
  </si>
  <si>
    <t>RWEB524</t>
  </si>
  <si>
    <t>Moyennes mai 2024</t>
  </si>
  <si>
    <t>TOTAUX mai 2024</t>
  </si>
  <si>
    <t>JUIN</t>
  </si>
  <si>
    <t>INN624</t>
  </si>
  <si>
    <t>MJC524</t>
  </si>
  <si>
    <t>Al Ya</t>
  </si>
  <si>
    <t>Mohamed Bouhamam</t>
  </si>
  <si>
    <t>Nacim Aguenaous</t>
  </si>
  <si>
    <t>Nadim Khoudja</t>
  </si>
  <si>
    <t>Oualid bensaid</t>
  </si>
  <si>
    <t>Sarah</t>
  </si>
  <si>
    <t>Prime Ali Ya</t>
  </si>
  <si>
    <t>DAN0624</t>
  </si>
  <si>
    <t>Émérique</t>
  </si>
  <si>
    <t>Kouceila</t>
  </si>
  <si>
    <t>Nacim</t>
  </si>
  <si>
    <t>ENO624</t>
  </si>
  <si>
    <t>Achat de scotch</t>
  </si>
  <si>
    <t>STESVM624</t>
  </si>
  <si>
    <t>arezki arkoub</t>
  </si>
  <si>
    <t>Khaled mahmoudi</t>
  </si>
  <si>
    <t xml:space="preserve">Uber Sifax - Récuperation flyers BOX </t>
  </si>
  <si>
    <t>KAL624</t>
  </si>
  <si>
    <t>Jeremy</t>
  </si>
  <si>
    <t>Envoi des flyers chez Jeremy</t>
  </si>
  <si>
    <t>STECF624</t>
  </si>
  <si>
    <t>Benali</t>
  </si>
  <si>
    <t>Yacine Benmeziane</t>
  </si>
  <si>
    <t>Essence Benali</t>
  </si>
  <si>
    <t>STEP624</t>
  </si>
  <si>
    <t xml:space="preserve">ENER624
+
ENERF624 </t>
  </si>
  <si>
    <t>Frais de vie ( Akmez + Ghani )</t>
  </si>
  <si>
    <t>essence + péage Raouf</t>
  </si>
  <si>
    <t>Booking Raouf</t>
  </si>
  <si>
    <t>Getaround V1</t>
  </si>
  <si>
    <t>Frais de déplacement ( Akmez + Ghani )</t>
  </si>
  <si>
    <t>Akmez V2</t>
  </si>
  <si>
    <t>Billet de train Akmez V2</t>
  </si>
  <si>
    <t>Hotel Akmez V2</t>
  </si>
  <si>
    <t>Frais de vie Akmez V2</t>
  </si>
  <si>
    <t>Getaround V2</t>
  </si>
  <si>
    <t>Impression V2</t>
  </si>
  <si>
    <t>Frais de déplacement Akmez V2</t>
  </si>
  <si>
    <t>STEH624</t>
  </si>
  <si>
    <t>ERG324
Orléat</t>
  </si>
  <si>
    <t>ENOA624</t>
  </si>
  <si>
    <t>NEE624</t>
  </si>
  <si>
    <t>Thilleli</t>
  </si>
  <si>
    <t>Ali ya</t>
  </si>
  <si>
    <t>STEPARIS624</t>
  </si>
  <si>
    <t xml:space="preserve">oualid </t>
  </si>
  <si>
    <t>Essence Raouf</t>
  </si>
  <si>
    <t>FREE624</t>
  </si>
  <si>
    <t>Impression 1k flyers</t>
  </si>
  <si>
    <t>RWEBB424
Broussey</t>
  </si>
  <si>
    <t>Envoi de flyers via La Poste</t>
  </si>
  <si>
    <t>JPEE624
Tivernon</t>
  </si>
  <si>
    <t>RWEB624
Bouzonville</t>
  </si>
  <si>
    <t>SLC624</t>
  </si>
  <si>
    <t xml:space="preserve">Nouredine </t>
  </si>
  <si>
    <t>KEE624</t>
  </si>
  <si>
    <t>STET624</t>
  </si>
  <si>
    <t>MAT624</t>
  </si>
  <si>
    <t>Eden</t>
  </si>
  <si>
    <t>Ilan</t>
  </si>
  <si>
    <t>LR624</t>
  </si>
  <si>
    <t>ghani</t>
  </si>
  <si>
    <t>ENG624
Arcueil</t>
  </si>
  <si>
    <t>Ibrahim C.</t>
  </si>
  <si>
    <t>ENGG624
Hazebrouck</t>
  </si>
  <si>
    <t>ENG724
Gentilly</t>
  </si>
  <si>
    <t>STEL624
L'Isle-Adam</t>
  </si>
  <si>
    <t>Arkoub Arezki</t>
  </si>
  <si>
    <t>Aziz Rahmani (Haizer)</t>
  </si>
  <si>
    <t xml:space="preserve">Benali </t>
  </si>
  <si>
    <t xml:space="preserve">Khaled </t>
  </si>
  <si>
    <t>Frais de déplacement (essence)</t>
  </si>
  <si>
    <t>Moyennes juin 2024</t>
  </si>
  <si>
    <t>TOTAUX juin 2024</t>
  </si>
  <si>
    <t>TOTAUX Q2 2024</t>
  </si>
  <si>
    <t>JUILLET</t>
  </si>
  <si>
    <t>STEM724
Meudon</t>
  </si>
  <si>
    <t>Getaround Raouf</t>
  </si>
  <si>
    <t>JPEE724 
Dialan</t>
  </si>
  <si>
    <t>Booking</t>
  </si>
  <si>
    <t>STELRP724
Plessis-Robinson</t>
  </si>
  <si>
    <t>Thomas Rollot</t>
  </si>
  <si>
    <t>Frais d'essence Benali</t>
  </si>
  <si>
    <t>ENG724
Noisy</t>
  </si>
  <si>
    <t>GEO724
Neuilly - Geoffroy</t>
  </si>
  <si>
    <t xml:space="preserve">Manel </t>
  </si>
  <si>
    <t>Essenve voiture + frais Getaround</t>
  </si>
  <si>
    <t>FEV724
Perreux - Mathieu</t>
  </si>
  <si>
    <t>Haizer (Aziz)</t>
  </si>
  <si>
    <t>STEELB724
ENGHIEN LES BAINS</t>
  </si>
  <si>
    <t>José Marius Dodo</t>
  </si>
  <si>
    <t>HPC724</t>
  </si>
  <si>
    <t>Frais de déplacement (véhicule + essence)</t>
  </si>
  <si>
    <t>Train</t>
  </si>
  <si>
    <t>STECSH724
Conflans</t>
  </si>
  <si>
    <t>COG724
Suresnes</t>
  </si>
  <si>
    <t>STA724
Petit déjeuner</t>
  </si>
  <si>
    <t>Selina</t>
  </si>
  <si>
    <t>Yazid (50+10 uber)</t>
  </si>
  <si>
    <t>Ghenima</t>
  </si>
  <si>
    <t>Amazon</t>
  </si>
  <si>
    <t>Auchan</t>
  </si>
  <si>
    <t>ORG724</t>
  </si>
  <si>
    <t>Manel Kerkoub</t>
  </si>
  <si>
    <t>Impression flyers et stickers</t>
  </si>
  <si>
    <t>Branding</t>
  </si>
  <si>
    <t>ENG724-bis</t>
  </si>
  <si>
    <t>Moyennes juillet 2024</t>
  </si>
  <si>
    <t>TOTAUX juillet 2024</t>
  </si>
  <si>
    <t>AOÛT</t>
  </si>
  <si>
    <t>FSGT824</t>
  </si>
  <si>
    <t>RWEMG824</t>
  </si>
  <si>
    <t>Gateraound</t>
  </si>
  <si>
    <t>JPEE824</t>
  </si>
  <si>
    <t>ENG824</t>
  </si>
  <si>
    <t>Tote bag Yazid</t>
  </si>
  <si>
    <t>RWEE824</t>
  </si>
  <si>
    <t>SAM824</t>
  </si>
  <si>
    <t>RWEA824</t>
  </si>
  <si>
    <t>Moyennes AOÛT 2024</t>
  </si>
  <si>
    <t>TOTAUX AOÛT 2024</t>
  </si>
  <si>
    <t>SEPTEMBRE</t>
  </si>
  <si>
    <t>ENGN924</t>
  </si>
  <si>
    <t>ENGSA923</t>
  </si>
  <si>
    <t>STEV924</t>
  </si>
  <si>
    <t>STEFV924</t>
  </si>
  <si>
    <t>Yanis Fellani</t>
  </si>
  <si>
    <t>Marcel Ambomo</t>
  </si>
  <si>
    <t>COG924</t>
  </si>
  <si>
    <t>ORBAL224 - SOSH</t>
  </si>
  <si>
    <t>ORBAL 41 493</t>
  </si>
  <si>
    <t>Arezki Arkoub</t>
  </si>
  <si>
    <t>Lydia ( Sifax )</t>
  </si>
  <si>
    <t>Soufil Ait Medjbar</t>
  </si>
  <si>
    <t>ENGN924 BIS</t>
  </si>
  <si>
    <t>STEL924</t>
  </si>
  <si>
    <t>ENGG924</t>
  </si>
  <si>
    <t>ENGB924</t>
  </si>
  <si>
    <t>mohamed</t>
  </si>
  <si>
    <t>ENE924</t>
  </si>
  <si>
    <t>RWEEP924</t>
  </si>
  <si>
    <t>RWESG924</t>
  </si>
  <si>
    <t>RWEEL924</t>
  </si>
  <si>
    <t>ERD924</t>
  </si>
  <si>
    <t>STEM924</t>
  </si>
  <si>
    <t xml:space="preserve">frais de vie </t>
  </si>
  <si>
    <t>gateround</t>
  </si>
  <si>
    <t>le19M924</t>
  </si>
  <si>
    <t>Jiji Nait</t>
  </si>
  <si>
    <t>Moyennes Septembre 2024</t>
  </si>
  <si>
    <t>Moyennes septembre 2024</t>
  </si>
  <si>
    <t>TOTAUX Septembre 2024</t>
  </si>
  <si>
    <t>TOTAUX septembre 2024</t>
  </si>
  <si>
    <t>TOTAUX Q3 2024</t>
  </si>
  <si>
    <t>OCTOBRE</t>
  </si>
  <si>
    <t>HPC1024</t>
  </si>
  <si>
    <t>Gateround</t>
  </si>
  <si>
    <t>ENERT924</t>
  </si>
  <si>
    <t>RIO1024</t>
  </si>
  <si>
    <t>Nassim Hammoum</t>
  </si>
  <si>
    <t>ORBAL - 39 298</t>
  </si>
  <si>
    <t>Fatah Chirifi</t>
  </si>
  <si>
    <t>Koceila Benobi</t>
  </si>
  <si>
    <t>Mhammed Bouhamem</t>
  </si>
  <si>
    <t>Nassim Grachi</t>
  </si>
  <si>
    <t>EST1024</t>
  </si>
  <si>
    <t>ÉMÉ</t>
  </si>
  <si>
    <t>Alexandra</t>
  </si>
  <si>
    <t>RWEMG1024</t>
  </si>
  <si>
    <t>QENER1024</t>
  </si>
  <si>
    <t>VIT924</t>
  </si>
  <si>
    <t>Ali Ya (Nasro)</t>
  </si>
  <si>
    <t>Ben Asma</t>
  </si>
  <si>
    <t>Julia Zammit</t>
  </si>
  <si>
    <t>Julia Zammit logisticien (chef d'équipe)</t>
  </si>
  <si>
    <t>Messaoud Nait</t>
  </si>
  <si>
    <t>Mohand Bouhaman</t>
  </si>
  <si>
    <t>Nassim Hammoun</t>
  </si>
  <si>
    <t>Ghenima Ait (Yazid)</t>
  </si>
  <si>
    <t>Malika FFY</t>
  </si>
  <si>
    <t>Thiago extra</t>
  </si>
  <si>
    <t>Akmez FFY</t>
  </si>
  <si>
    <t>YoungOnes</t>
  </si>
  <si>
    <t>camion de 20m³ avec hayon ( 1 mois )</t>
  </si>
  <si>
    <t>5 triporteurs réfrigérés et 1 vélo cargo</t>
  </si>
  <si>
    <t>Les poubelles</t>
  </si>
  <si>
    <t>Nassim assistant Akmez</t>
  </si>
  <si>
    <t>Uber Sifax</t>
  </si>
  <si>
    <t>Uber Thiago</t>
  </si>
  <si>
    <t>adhesif</t>
  </si>
  <si>
    <t xml:space="preserve">les bacs </t>
  </si>
  <si>
    <t>Camion de 20m³ avec hayon pour 2 week end</t>
  </si>
  <si>
    <t xml:space="preserve">Les box supplaimentaires </t>
  </si>
  <si>
    <t>Camion de 20m³ avec hayon pour 3 week end</t>
  </si>
  <si>
    <t>Camion de 20m³ avec hayon pour 4 week end</t>
  </si>
  <si>
    <t>Coûts mise en fourrière camion</t>
  </si>
  <si>
    <t>Camion de 20m³ avec hayon pour 5 week end</t>
  </si>
  <si>
    <t xml:space="preserve">Réparation triporters </t>
  </si>
  <si>
    <t>Réparation triporters V2</t>
  </si>
  <si>
    <t>BOR1024</t>
  </si>
  <si>
    <t>Salim Si Ammour</t>
  </si>
  <si>
    <t>VOI1024</t>
  </si>
  <si>
    <t>ENG1024</t>
  </si>
  <si>
    <t>Nassim Graich</t>
  </si>
  <si>
    <t>MAT1024</t>
  </si>
  <si>
    <t>WKN1124</t>
  </si>
  <si>
    <t>RWEV1124</t>
  </si>
  <si>
    <t>Moyennes OCTOBRE 2024</t>
  </si>
  <si>
    <t>TOTAUX OCTOBRE 2024</t>
  </si>
  <si>
    <t>ORBAL224-1024</t>
  </si>
  <si>
    <t xml:space="preserve">Ibrahim </t>
  </si>
  <si>
    <t>BOR1124</t>
  </si>
  <si>
    <t>OBAL224 - 8 776</t>
  </si>
  <si>
    <t>SPIN1124</t>
  </si>
  <si>
    <t>Messaoud</t>
  </si>
  <si>
    <t xml:space="preserve">Ali ya hand </t>
  </si>
  <si>
    <t>Ali ya box</t>
  </si>
  <si>
    <t>JPEE1124</t>
  </si>
  <si>
    <t xml:space="preserve">airbnb </t>
  </si>
  <si>
    <t>KAL1124</t>
  </si>
  <si>
    <t>PRIN1124</t>
  </si>
  <si>
    <t>totes-bags</t>
  </si>
  <si>
    <t>casquettes</t>
  </si>
  <si>
    <t>K-ways</t>
  </si>
  <si>
    <t>Flagsbags</t>
  </si>
  <si>
    <t>UCLY1124</t>
  </si>
  <si>
    <t>peage</t>
  </si>
  <si>
    <t>SPIN1124 - Bis</t>
  </si>
  <si>
    <t>Yazid box</t>
  </si>
  <si>
    <t>Yazid Hand</t>
  </si>
  <si>
    <t>52.60</t>
  </si>
  <si>
    <t>frais de ménage</t>
  </si>
  <si>
    <t xml:space="preserve">Train Mohamed Amine </t>
  </si>
  <si>
    <t>RWEL1124</t>
  </si>
  <si>
    <t>GAS1124</t>
  </si>
  <si>
    <t>RWESF1124</t>
  </si>
  <si>
    <t>LYO1124</t>
  </si>
  <si>
    <t>SNCF TAHAR</t>
  </si>
  <si>
    <t>TAHAR</t>
  </si>
  <si>
    <t>Déplacement</t>
  </si>
  <si>
    <t>RWEEF1224</t>
  </si>
  <si>
    <t>EMM1124</t>
  </si>
  <si>
    <t xml:space="preserve">Yazid </t>
  </si>
  <si>
    <t>Noredine</t>
  </si>
  <si>
    <t xml:space="preserve">Bilal </t>
  </si>
  <si>
    <t>ERG1224</t>
  </si>
  <si>
    <t>PRE1224</t>
  </si>
  <si>
    <t xml:space="preserve">Célia </t>
  </si>
  <si>
    <t>TOT1224</t>
  </si>
  <si>
    <t>RWER1224</t>
  </si>
  <si>
    <t>FML1224</t>
  </si>
  <si>
    <t>KEO1224</t>
  </si>
  <si>
    <t>SOLVEO1224</t>
  </si>
  <si>
    <t xml:space="preserve">Akmez </t>
  </si>
  <si>
    <t>ENGCR1224</t>
  </si>
  <si>
    <t>ENGN1224</t>
  </si>
  <si>
    <t>RWESFRE0125</t>
  </si>
  <si>
    <t>SOL0124 - Montilly</t>
  </si>
  <si>
    <t>SOL0124 - Vaumas</t>
  </si>
  <si>
    <t>CER823</t>
  </si>
  <si>
    <t>Jonathan (comptage)</t>
  </si>
  <si>
    <t>Syfax (comptage)</t>
  </si>
  <si>
    <t>Maéva (comptage)</t>
  </si>
  <si>
    <t>Juliette (comptage)</t>
  </si>
  <si>
    <t>Syfax</t>
  </si>
  <si>
    <t>CMV823</t>
  </si>
  <si>
    <t>Prime Kadi déplacement</t>
  </si>
  <si>
    <t>Kadi</t>
  </si>
  <si>
    <t>Sylla Papou</t>
  </si>
  <si>
    <t>Sylla Papou prime du mardi (pas de jornaux)</t>
  </si>
  <si>
    <t>Sylla Solo</t>
  </si>
  <si>
    <t>Ali Guechi</t>
  </si>
  <si>
    <t>Ali Guechi prime du mardi (pas de jornaux)</t>
  </si>
  <si>
    <t>Ibrahim prime du mardi (pas de jornaux)</t>
  </si>
  <si>
    <t>Lubna</t>
  </si>
  <si>
    <t>Camille</t>
  </si>
  <si>
    <t>Darib prime du mardi (pas de jornaux)</t>
  </si>
  <si>
    <t>Islem</t>
  </si>
  <si>
    <t>CERBIS923</t>
  </si>
  <si>
    <t>CER923</t>
  </si>
  <si>
    <t>Ibrahim (pas de paiement, erreur sur le terrain)</t>
  </si>
  <si>
    <t>Ali Guechi (pas de paiement, erreur sur le terrain)</t>
  </si>
  <si>
    <t>Alex</t>
  </si>
  <si>
    <t>CMV923 + CERVINVIT923</t>
  </si>
  <si>
    <t>Mathis</t>
  </si>
  <si>
    <t>Brandon Invit</t>
  </si>
  <si>
    <t>Brandon CMV</t>
  </si>
  <si>
    <t>Souhil Invit</t>
  </si>
  <si>
    <t>Souhil CMV</t>
  </si>
  <si>
    <t>Yazid Invit</t>
  </si>
  <si>
    <t>Yazid CMV</t>
  </si>
  <si>
    <t>Noureddine Invit</t>
  </si>
  <si>
    <t>Noureddine CMV</t>
  </si>
  <si>
    <t>Ali Guechi Invit</t>
  </si>
  <si>
    <t>Ali Guechi CMV</t>
  </si>
  <si>
    <t>Jonathan Invit</t>
  </si>
  <si>
    <t>Jonathan CMV</t>
  </si>
  <si>
    <t>Ibrahim Invit</t>
  </si>
  <si>
    <t>Ibrahim CMV</t>
  </si>
  <si>
    <t xml:space="preserve">Location Camion </t>
  </si>
  <si>
    <t>CERBIS1023</t>
  </si>
  <si>
    <t>CER1023</t>
  </si>
  <si>
    <t>CERC1023</t>
  </si>
  <si>
    <t>CERTAD1023</t>
  </si>
  <si>
    <t>CMV1023</t>
  </si>
  <si>
    <t>David</t>
  </si>
  <si>
    <t>I'hadj</t>
  </si>
  <si>
    <t>Ryadh</t>
  </si>
  <si>
    <t>CERB1123</t>
  </si>
  <si>
    <t>Maéva</t>
  </si>
  <si>
    <t>CERP1123</t>
  </si>
  <si>
    <t>CERV1123</t>
  </si>
  <si>
    <t>CERL1223</t>
  </si>
  <si>
    <t>Emma</t>
  </si>
  <si>
    <t>CMV1223</t>
  </si>
  <si>
    <t>Said el Assad</t>
  </si>
  <si>
    <t xml:space="preserve">Ibrahim Cheteuani </t>
  </si>
  <si>
    <t>CERVOEUX1223</t>
  </si>
  <si>
    <t>Karim Saidi</t>
  </si>
  <si>
    <t>Elhadj</t>
  </si>
  <si>
    <t>Mohand Bouhamam</t>
  </si>
  <si>
    <t xml:space="preserve">Jonathan </t>
  </si>
  <si>
    <t>Nassim Ghettas</t>
  </si>
  <si>
    <t>Ibrahim Chateuani</t>
  </si>
  <si>
    <t>l'hadj</t>
  </si>
  <si>
    <t>Tableau de Marges 2022</t>
  </si>
  <si>
    <t>Tableau de Marges 2023 BRUT</t>
  </si>
  <si>
    <t>Tableau de Marges 2023 EXTERNE</t>
  </si>
  <si>
    <t>Coûts RH</t>
  </si>
  <si>
    <t>SM1</t>
  </si>
  <si>
    <t>XX</t>
  </si>
  <si>
    <t>X</t>
  </si>
  <si>
    <t>XXX</t>
  </si>
  <si>
    <t>SM2</t>
  </si>
  <si>
    <t>SM3</t>
  </si>
  <si>
    <t>Frais d'essence</t>
  </si>
  <si>
    <t>STEPH</t>
  </si>
  <si>
    <t>Ameur</t>
  </si>
  <si>
    <t>Chahin</t>
  </si>
  <si>
    <t>ENE0123</t>
  </si>
  <si>
    <t>Jaja</t>
  </si>
  <si>
    <t>Salin</t>
  </si>
  <si>
    <t>Jaja Prime</t>
  </si>
  <si>
    <t>TRAV122</t>
  </si>
  <si>
    <t>Jacob</t>
  </si>
  <si>
    <t>ANI1222</t>
  </si>
  <si>
    <t>GIN122 - Nantes</t>
  </si>
  <si>
    <t>Mehdi</t>
  </si>
  <si>
    <t>Hôtel</t>
  </si>
  <si>
    <t>LAFORET122</t>
  </si>
  <si>
    <t>Orange 50017</t>
  </si>
  <si>
    <t>Monia (Kadi)</t>
  </si>
  <si>
    <t>Damla (Kadi)</t>
  </si>
  <si>
    <t>Fadela</t>
  </si>
  <si>
    <t>Dalila</t>
  </si>
  <si>
    <t>10962 - Orange</t>
  </si>
  <si>
    <t>Mehdi (Kadi)</t>
  </si>
  <si>
    <t>Zaina</t>
  </si>
  <si>
    <t>Rachid</t>
  </si>
  <si>
    <t>Damla</t>
  </si>
  <si>
    <t>Matthieu</t>
  </si>
  <si>
    <t>Monia</t>
  </si>
  <si>
    <t>SFR 4667</t>
  </si>
  <si>
    <t>TIZ123</t>
  </si>
  <si>
    <t>Marie</t>
  </si>
  <si>
    <t>GIN122 - Orléans</t>
  </si>
  <si>
    <t>DE123</t>
  </si>
  <si>
    <t>Damia</t>
  </si>
  <si>
    <t>SAM122</t>
  </si>
  <si>
    <t>BOR123</t>
  </si>
  <si>
    <t>26902 - Orange</t>
  </si>
  <si>
    <t>John</t>
  </si>
  <si>
    <t>Cout de vie A.</t>
  </si>
  <si>
    <t>Amran</t>
  </si>
  <si>
    <t>Assistance Ouicar</t>
  </si>
  <si>
    <t>OuiCar</t>
  </si>
  <si>
    <t>Coût de vie Mae.</t>
  </si>
  <si>
    <t>Amad</t>
  </si>
  <si>
    <t>Voiture Maéva</t>
  </si>
  <si>
    <t>EGLA122</t>
  </si>
  <si>
    <t>Hôtel Maéva</t>
  </si>
  <si>
    <t>Meriem</t>
  </si>
  <si>
    <t>ANI123</t>
  </si>
  <si>
    <t>Jaja logistique</t>
  </si>
  <si>
    <t>TSG</t>
  </si>
  <si>
    <t>Otba</t>
  </si>
  <si>
    <t>ACCO122</t>
  </si>
  <si>
    <t>Abdel Malek</t>
  </si>
  <si>
    <t>GIN122 - Versailles</t>
  </si>
  <si>
    <t>POU123</t>
  </si>
  <si>
    <t>Stationnement</t>
  </si>
  <si>
    <t>LIT122</t>
  </si>
  <si>
    <t>VILL123</t>
  </si>
  <si>
    <t>Ryan</t>
  </si>
  <si>
    <t>4689 x 126 SFR</t>
  </si>
  <si>
    <t>SFR Grand Est</t>
  </si>
  <si>
    <t>Ilyes</t>
  </si>
  <si>
    <t>Chiara</t>
  </si>
  <si>
    <t>ANI2829</t>
  </si>
  <si>
    <t>Rayhan</t>
  </si>
  <si>
    <t>Kadi SM</t>
  </si>
  <si>
    <t>ILO1122</t>
  </si>
  <si>
    <t xml:space="preserve">Transport Chiara </t>
  </si>
  <si>
    <t>Campagne faite en 1/23</t>
  </si>
  <si>
    <t>Transport Ilyes</t>
  </si>
  <si>
    <t>Repas Jaja</t>
  </si>
  <si>
    <t>Moyennes Janvier 2023</t>
  </si>
  <si>
    <t>Repas Salim</t>
  </si>
  <si>
    <t>TOTAUX Janvier 2023</t>
  </si>
  <si>
    <t>Location + Nettoyage Véhicule</t>
  </si>
  <si>
    <t>ENEB223</t>
  </si>
  <si>
    <t>Frais Péage</t>
  </si>
  <si>
    <t>Frais Essence</t>
  </si>
  <si>
    <t>ENES223</t>
  </si>
  <si>
    <t>CRUST</t>
  </si>
  <si>
    <t>LAF223</t>
  </si>
  <si>
    <t xml:space="preserve">Cheikh déplacement </t>
  </si>
  <si>
    <t xml:space="preserve">Cheikh travail </t>
  </si>
  <si>
    <t>Panier Repas Ryan</t>
  </si>
  <si>
    <t>-</t>
  </si>
  <si>
    <t>Panier Repas Equipe Kadi</t>
  </si>
  <si>
    <t>FLOW1221</t>
  </si>
  <si>
    <t>Essence &amp; Péage Ryan</t>
  </si>
  <si>
    <t>Essence &amp; Péage Kadi</t>
  </si>
  <si>
    <t>TAD223</t>
  </si>
  <si>
    <t>Frais Airbnb</t>
  </si>
  <si>
    <t>Frais Repas Jaja</t>
  </si>
  <si>
    <t>QUO223</t>
  </si>
  <si>
    <t>ENER122</t>
  </si>
  <si>
    <t>80SFR122</t>
  </si>
  <si>
    <t>Mohamed</t>
  </si>
  <si>
    <t>8057 x 134 SFR</t>
  </si>
  <si>
    <t>Moyenne Février 2023</t>
  </si>
  <si>
    <t>TOTAUX Février 2023</t>
  </si>
  <si>
    <t>SIN323</t>
  </si>
  <si>
    <t>Kadi (3 animateurs)</t>
  </si>
  <si>
    <t>ENEM223</t>
  </si>
  <si>
    <t>ACCRO</t>
  </si>
  <si>
    <t>BOR323</t>
  </si>
  <si>
    <t xml:space="preserve">Ameur </t>
  </si>
  <si>
    <t>Envoi des flyers</t>
  </si>
  <si>
    <t>Diana</t>
  </si>
  <si>
    <t xml:space="preserve">Kilian </t>
  </si>
  <si>
    <t>Coût de déplacement</t>
  </si>
  <si>
    <t>Yann</t>
  </si>
  <si>
    <t xml:space="preserve">Kadi </t>
  </si>
  <si>
    <t>Moyennes Janvier 2022</t>
  </si>
  <si>
    <t>TOTAUX Janvier 2022</t>
  </si>
  <si>
    <t>ALT323 - BOX</t>
  </si>
  <si>
    <t>Pokawa Rennes</t>
  </si>
  <si>
    <t>ACC323</t>
  </si>
  <si>
    <t>Frais de vie Salim</t>
  </si>
  <si>
    <t>Frais de vie Jaja</t>
  </si>
  <si>
    <t>IDE223</t>
  </si>
  <si>
    <t>Pokawa Nancy</t>
  </si>
  <si>
    <t>Nousseiba</t>
  </si>
  <si>
    <t>Dihia</t>
  </si>
  <si>
    <t>Aghiles</t>
  </si>
  <si>
    <t>ALT323</t>
  </si>
  <si>
    <t>Frais de vie Cheikh</t>
  </si>
  <si>
    <t>Véhicule de location</t>
  </si>
  <si>
    <t>Pokawa Toulouse</t>
  </si>
  <si>
    <t>Abdel</t>
  </si>
  <si>
    <t>Frais de stationnement</t>
  </si>
  <si>
    <t>BOR323 - 3</t>
  </si>
  <si>
    <t>AIR323</t>
  </si>
  <si>
    <t>Pokawa Mulhouse</t>
  </si>
  <si>
    <t>Kadi HAND</t>
  </si>
  <si>
    <t>Anis HAND</t>
  </si>
  <si>
    <t>Lavage vehicule</t>
  </si>
  <si>
    <t>Kadi BOX</t>
  </si>
  <si>
    <t>Anis BOX</t>
  </si>
  <si>
    <t>PFC323</t>
  </si>
  <si>
    <t>StudentPop</t>
  </si>
  <si>
    <t>Carte avantage SNCF</t>
  </si>
  <si>
    <t>FIT222</t>
  </si>
  <si>
    <t>SIDE222</t>
  </si>
  <si>
    <t>ANI323</t>
  </si>
  <si>
    <t>COR122</t>
  </si>
  <si>
    <t xml:space="preserve">Kadi Péage + gazoil </t>
  </si>
  <si>
    <t>Lili</t>
  </si>
  <si>
    <t>Amadou</t>
  </si>
  <si>
    <t>Cout de déplacement</t>
  </si>
  <si>
    <t>Lilya (Kadi)</t>
  </si>
  <si>
    <t>POU223, 2025, 323</t>
  </si>
  <si>
    <t>Meriem (Kadi)</t>
  </si>
  <si>
    <t>Akli (Kadi)</t>
  </si>
  <si>
    <t>Dmytro</t>
  </si>
  <si>
    <t>Wissem (Kadi)</t>
  </si>
  <si>
    <t>BION222</t>
  </si>
  <si>
    <t>Impression POU2025</t>
  </si>
  <si>
    <t>Impression POU323</t>
  </si>
  <si>
    <t>TOU323</t>
  </si>
  <si>
    <t>Déplacement Maéva</t>
  </si>
  <si>
    <t>Taxes séjour</t>
  </si>
  <si>
    <t>Coût de vie Maéva</t>
  </si>
  <si>
    <t>Transport</t>
  </si>
  <si>
    <t>Copines Marie</t>
  </si>
  <si>
    <t>Moyenne Mars 2023</t>
  </si>
  <si>
    <t>COD222</t>
  </si>
  <si>
    <t>TOTAUX Mars 2023</t>
  </si>
  <si>
    <t>BLO323</t>
  </si>
  <si>
    <t>ENEF423</t>
  </si>
  <si>
    <t>Mehdy (Kadi)</t>
  </si>
  <si>
    <t>Renvoi des flyers restants</t>
  </si>
  <si>
    <t>Zak (Kadi)</t>
  </si>
  <si>
    <t>Sid Ali (Kadi)</t>
  </si>
  <si>
    <t>ENE323</t>
  </si>
  <si>
    <t>LAFO222</t>
  </si>
  <si>
    <t>VDP423</t>
  </si>
  <si>
    <t>Nourriture</t>
  </si>
  <si>
    <t>Logement</t>
  </si>
  <si>
    <t>Angeline</t>
  </si>
  <si>
    <t>Yassine</t>
  </si>
  <si>
    <t>Syssilia</t>
  </si>
  <si>
    <t>BRA423</t>
  </si>
  <si>
    <t>Colle</t>
  </si>
  <si>
    <t>LBG222</t>
  </si>
  <si>
    <t>Guillaume</t>
  </si>
  <si>
    <t>Akli Hns (Kadi)</t>
  </si>
  <si>
    <t>Yanis (Kadi)</t>
  </si>
  <si>
    <t>Diana (Kadi)</t>
  </si>
  <si>
    <t>Les Zafficheurs</t>
  </si>
  <si>
    <t>Aghiles (Kadi)</t>
  </si>
  <si>
    <t>Akli Am (Kadi)</t>
  </si>
  <si>
    <t>KEE223</t>
  </si>
  <si>
    <t>RAJ222</t>
  </si>
  <si>
    <t>BAY423</t>
  </si>
  <si>
    <t>Sid Ali</t>
  </si>
  <si>
    <t>Samy</t>
  </si>
  <si>
    <t>Yanis</t>
  </si>
  <si>
    <t>DIG423</t>
  </si>
  <si>
    <t>Rayanne Ameur</t>
  </si>
  <si>
    <t>Pokawa Levallois</t>
  </si>
  <si>
    <t>Déplacement Uber</t>
  </si>
  <si>
    <t>Louiza (Kadi)</t>
  </si>
  <si>
    <t>Main à Main</t>
  </si>
  <si>
    <t>ENEC423</t>
  </si>
  <si>
    <t>ADFJ222</t>
  </si>
  <si>
    <t>Couts d'envoi (La poste)</t>
  </si>
  <si>
    <t>LAF423</t>
  </si>
  <si>
    <t>Pokawa Paris</t>
  </si>
  <si>
    <t>Isabelle StaffMe</t>
  </si>
  <si>
    <t>Valentin</t>
  </si>
  <si>
    <t>Grand Est</t>
  </si>
  <si>
    <t>Essence + peage Ryan</t>
  </si>
  <si>
    <t>Rayanne</t>
  </si>
  <si>
    <t>Frais Ryan</t>
  </si>
  <si>
    <t>ORBAS123 - 4888</t>
  </si>
  <si>
    <t>Fraies Essence (Kadi)</t>
  </si>
  <si>
    <t>ORBAS123 - 3428 Écouen 1</t>
  </si>
  <si>
    <t>Frais de Vie (Kadi)</t>
  </si>
  <si>
    <t>Kilométrage Ilyes</t>
  </si>
  <si>
    <t>ORBAS123 - 3428 Écouen 2</t>
  </si>
  <si>
    <t>Kilométrage Chiara</t>
  </si>
  <si>
    <t>Pokawa Montpellier</t>
  </si>
  <si>
    <t>Kadi 1</t>
  </si>
  <si>
    <t>BOXY
Vague 1 a 3</t>
  </si>
  <si>
    <t>Kadi 2</t>
  </si>
  <si>
    <t>Location Camion</t>
  </si>
  <si>
    <t>Ghiles</t>
  </si>
  <si>
    <t xml:space="preserve">Amazon </t>
  </si>
  <si>
    <t>Boulangerie Event</t>
  </si>
  <si>
    <t>Courses Auchan</t>
  </si>
  <si>
    <t>Enceinte</t>
  </si>
  <si>
    <t>MEP322</t>
  </si>
  <si>
    <t xml:space="preserve">Micro </t>
  </si>
  <si>
    <t>Soraya Event</t>
  </si>
  <si>
    <t>Romain Store</t>
  </si>
  <si>
    <t>Romain Hand</t>
  </si>
  <si>
    <t>FRAC222</t>
  </si>
  <si>
    <t>Ghiles (Kadi)</t>
  </si>
  <si>
    <t>Romain Déplacement</t>
  </si>
  <si>
    <t>Akmez Board</t>
  </si>
  <si>
    <t>Ryan Board REB</t>
  </si>
  <si>
    <t>Ryan Board EME</t>
  </si>
  <si>
    <t>Moyennes Février 2022</t>
  </si>
  <si>
    <t>Kadi Bike</t>
  </si>
  <si>
    <t>TOTAUX Février 2022</t>
  </si>
  <si>
    <t>Jimmy Hand</t>
  </si>
  <si>
    <t>Mon Primeur</t>
  </si>
  <si>
    <t>Jimmy Prime Hand</t>
  </si>
  <si>
    <t>Akmez Hand</t>
  </si>
  <si>
    <t>ADFJ322</t>
  </si>
  <si>
    <t>Emma A.</t>
  </si>
  <si>
    <t>Ryan Hand</t>
  </si>
  <si>
    <t>Maeva</t>
  </si>
  <si>
    <t>Akmez Store</t>
  </si>
  <si>
    <t>Juliette</t>
  </si>
  <si>
    <t xml:space="preserve">Frais d'essence </t>
  </si>
  <si>
    <t>Wissam</t>
  </si>
  <si>
    <t>ORBAS123 - 642 St Pierre</t>
  </si>
  <si>
    <t>Louiza</t>
  </si>
  <si>
    <t>Chef D'équipe</t>
  </si>
  <si>
    <t>Moyenne Avril 2023</t>
  </si>
  <si>
    <t>Diane</t>
  </si>
  <si>
    <t>TOTAUX Avril 2023</t>
  </si>
  <si>
    <t>Pokawa Metz</t>
  </si>
  <si>
    <t>NUX523</t>
  </si>
  <si>
    <t>Any (Staffme)</t>
  </si>
  <si>
    <t>Sarah (Staffme)</t>
  </si>
  <si>
    <t>VIL523</t>
  </si>
  <si>
    <t>HUB423</t>
  </si>
  <si>
    <t>Kadi Paris</t>
  </si>
  <si>
    <t>Frais Location de véhicule</t>
  </si>
  <si>
    <t>Frais de péage</t>
  </si>
  <si>
    <t>Soraya</t>
  </si>
  <si>
    <t xml:space="preserve">Cheikh </t>
  </si>
  <si>
    <t>Mohamed Sid</t>
  </si>
  <si>
    <t>Pokawa Rouen</t>
  </si>
  <si>
    <t xml:space="preserve">Ilyes </t>
  </si>
  <si>
    <t>Jules (Staffme)</t>
  </si>
  <si>
    <t>Maxime passant mystère</t>
  </si>
  <si>
    <t>Menadi (Staffme)</t>
  </si>
  <si>
    <t>StudentPop (Lille, Strasbourg, Brest, Thionville)</t>
  </si>
  <si>
    <t>Menoune (Staffme)</t>
  </si>
  <si>
    <t>AIK523</t>
  </si>
  <si>
    <t>Kadi + 1</t>
  </si>
  <si>
    <t xml:space="preserve">Booking </t>
  </si>
  <si>
    <t>Kadi péage / essence</t>
  </si>
  <si>
    <t>Frais de péages</t>
  </si>
  <si>
    <t>Kadi Frais</t>
  </si>
  <si>
    <t>Airbnb Kadi</t>
  </si>
  <si>
    <t>Frais de vie Ameur</t>
  </si>
  <si>
    <t>La Poste flyers Maxime</t>
  </si>
  <si>
    <t>Schlouk Strasbourg</t>
  </si>
  <si>
    <t>Déplacement photos Maxime</t>
  </si>
  <si>
    <t>Elie Benichou (Staffme)</t>
  </si>
  <si>
    <t>Thomas G. (Staffme)</t>
  </si>
  <si>
    <t>SOC423</t>
  </si>
  <si>
    <t>Impression branding</t>
  </si>
  <si>
    <t>Schlouk Paris</t>
  </si>
  <si>
    <t>Ryan Store</t>
  </si>
  <si>
    <t>Medhi</t>
  </si>
  <si>
    <t>BOR523 - NORD</t>
  </si>
  <si>
    <t>Diane (Kadi)</t>
  </si>
  <si>
    <t>TIP523</t>
  </si>
  <si>
    <t>Sabrin (Kadi)</t>
  </si>
  <si>
    <t>ENG523</t>
  </si>
  <si>
    <t>EST523</t>
  </si>
  <si>
    <t>NAS322</t>
  </si>
  <si>
    <t>Romane</t>
  </si>
  <si>
    <t>BOR523 - Drugeac</t>
  </si>
  <si>
    <t>Myriam</t>
  </si>
  <si>
    <t>ORBAS123-1930</t>
  </si>
  <si>
    <t>FITN322</t>
  </si>
  <si>
    <t>ORBAS123-1116</t>
  </si>
  <si>
    <t>EIF523</t>
  </si>
  <si>
    <t>Supports flyers Amazon</t>
  </si>
  <si>
    <t>Selvitys</t>
  </si>
  <si>
    <t>TOT523</t>
  </si>
  <si>
    <t>EAT622</t>
  </si>
  <si>
    <t>BASIC322</t>
  </si>
  <si>
    <t>Aibnb</t>
  </si>
  <si>
    <t>ENEF523</t>
  </si>
  <si>
    <t>ENES523</t>
  </si>
  <si>
    <t>Prime kilométrique Lili</t>
  </si>
  <si>
    <t>RDP322</t>
  </si>
  <si>
    <t xml:space="preserve">Jaja </t>
  </si>
  <si>
    <t>WKN523</t>
  </si>
  <si>
    <t>Frais de repas Salim</t>
  </si>
  <si>
    <t>MAE523</t>
  </si>
  <si>
    <t>Frais de repas Jaja</t>
  </si>
  <si>
    <t>SHIN322</t>
  </si>
  <si>
    <t>POU523</t>
  </si>
  <si>
    <t xml:space="preserve">Salim </t>
  </si>
  <si>
    <t xml:space="preserve">Lili </t>
  </si>
  <si>
    <t>Déplacement Jimmy</t>
  </si>
  <si>
    <t>Kadi (Salim)</t>
  </si>
  <si>
    <t>Déplacement Otba</t>
  </si>
  <si>
    <t>LAFO322</t>
  </si>
  <si>
    <t>Déplacement Kadi</t>
  </si>
  <si>
    <t xml:space="preserve">Amadou </t>
  </si>
  <si>
    <t>ARC523</t>
  </si>
  <si>
    <t>Kadi Hand</t>
  </si>
  <si>
    <t>Kadi (1)</t>
  </si>
  <si>
    <t>Ryan BOX</t>
  </si>
  <si>
    <t>Kadi (2)</t>
  </si>
  <si>
    <t>Akmez BOX</t>
  </si>
  <si>
    <t xml:space="preserve">Tahina BOX </t>
  </si>
  <si>
    <t>19M523</t>
  </si>
  <si>
    <t xml:space="preserve">Tahina  </t>
  </si>
  <si>
    <t>HMA222</t>
  </si>
  <si>
    <t>Lynda (Kadi)</t>
  </si>
  <si>
    <t>HUB523</t>
  </si>
  <si>
    <t>Feraht</t>
  </si>
  <si>
    <t>Moyennes Mars 2022</t>
  </si>
  <si>
    <t>Wed</t>
  </si>
  <si>
    <t>TOTAUX Mars 2022</t>
  </si>
  <si>
    <t>Amir</t>
  </si>
  <si>
    <t>LUC322</t>
  </si>
  <si>
    <t>Manal</t>
  </si>
  <si>
    <t>Manary</t>
  </si>
  <si>
    <t>POK422</t>
  </si>
  <si>
    <t>Romain passant mystère</t>
  </si>
  <si>
    <t>Prime de déplacement Thionville</t>
  </si>
  <si>
    <t>MED422</t>
  </si>
  <si>
    <t>2h30</t>
  </si>
  <si>
    <t>Moyenne Mai 2023</t>
  </si>
  <si>
    <t xml:space="preserve">Mehdi </t>
  </si>
  <si>
    <t>1h20</t>
  </si>
  <si>
    <t>TOTAUX Mai 2023</t>
  </si>
  <si>
    <t>ESS422</t>
  </si>
  <si>
    <t>ENERFIP523</t>
  </si>
  <si>
    <t>Déplacement (Essence + Péage)</t>
  </si>
  <si>
    <t>LID422</t>
  </si>
  <si>
    <t>DIM523 - Issy</t>
  </si>
  <si>
    <t>LBL422</t>
  </si>
  <si>
    <t xml:space="preserve">Manon </t>
  </si>
  <si>
    <t>DIM523 - Clichy</t>
  </si>
  <si>
    <t>Koffi</t>
  </si>
  <si>
    <t>ORBAS 6294</t>
  </si>
  <si>
    <t>FEV422</t>
  </si>
  <si>
    <t>92,96 + 30</t>
  </si>
  <si>
    <t>15 x 20</t>
  </si>
  <si>
    <t>BOXY
BLOC 2</t>
  </si>
  <si>
    <t>91&amp;92SFR422</t>
  </si>
  <si>
    <t>Amazon Events</t>
  </si>
  <si>
    <t>88-89-90SFR422</t>
  </si>
  <si>
    <t>Boulangerie Events</t>
  </si>
  <si>
    <t>STUD422</t>
  </si>
  <si>
    <t xml:space="preserve">Eléonore </t>
  </si>
  <si>
    <t>Courses Auchan Events</t>
  </si>
  <si>
    <t>Soraya Event Mouroux</t>
  </si>
  <si>
    <t xml:space="preserve">Adrien </t>
  </si>
  <si>
    <t>Valentin Event Mouroux</t>
  </si>
  <si>
    <t>Soraya Event Melun</t>
  </si>
  <si>
    <t>Akmez Event Melun</t>
  </si>
  <si>
    <t>Moyennes Avril 2022</t>
  </si>
  <si>
    <t>Essence Camion BIKE</t>
  </si>
  <si>
    <t>TOTAUX Avril 2022</t>
  </si>
  <si>
    <t>Jimmy BIKE</t>
  </si>
  <si>
    <t>MED422bis</t>
  </si>
  <si>
    <t xml:space="preserve">Essence BOXY </t>
  </si>
  <si>
    <t xml:space="preserve">Waldir </t>
  </si>
  <si>
    <t>Ryan Hand Melun</t>
  </si>
  <si>
    <t>Ryan store Melun</t>
  </si>
  <si>
    <t>Ryan Board Mouroux</t>
  </si>
  <si>
    <t>BAZ522</t>
  </si>
  <si>
    <t xml:space="preserve">Meriem </t>
  </si>
  <si>
    <t>Akmez Board Melun</t>
  </si>
  <si>
    <t>Salim (Kadi)</t>
  </si>
  <si>
    <t>Ryan Hand Mouroux</t>
  </si>
  <si>
    <t xml:space="preserve">Guillaume </t>
  </si>
  <si>
    <t>Ryan Store Mouroux</t>
  </si>
  <si>
    <t>FREE623</t>
  </si>
  <si>
    <t>Lydia (Kadi)</t>
  </si>
  <si>
    <t>Ali</t>
  </si>
  <si>
    <t>Waldir</t>
  </si>
  <si>
    <t>JOH522</t>
  </si>
  <si>
    <t>MJC623</t>
  </si>
  <si>
    <t xml:space="preserve">Student pop </t>
  </si>
  <si>
    <t xml:space="preserve">Prime Jaja </t>
  </si>
  <si>
    <t>Prime Salim</t>
  </si>
  <si>
    <t>TOT623</t>
  </si>
  <si>
    <t>NAN522</t>
  </si>
  <si>
    <t>ENER623</t>
  </si>
  <si>
    <t>MFC323</t>
  </si>
  <si>
    <t>Jimmy HAND</t>
  </si>
  <si>
    <t>PIFF922</t>
  </si>
  <si>
    <t>Mohamed BOX</t>
  </si>
  <si>
    <t>Jimmy STORE</t>
  </si>
  <si>
    <t>Jimmy Hand PFC</t>
  </si>
  <si>
    <t>SFR 93&amp;94&amp;95&amp;96</t>
  </si>
  <si>
    <t>Romane Hand PFC</t>
  </si>
  <si>
    <t>Impression Branding</t>
  </si>
  <si>
    <t>EST522</t>
  </si>
  <si>
    <t>150SFR</t>
  </si>
  <si>
    <t>Sylla</t>
  </si>
  <si>
    <t>ORBAS 3012</t>
  </si>
  <si>
    <t>LAV622</t>
  </si>
  <si>
    <t>ENG623</t>
  </si>
  <si>
    <t>Moyennes Mai 2022</t>
  </si>
  <si>
    <t>TOTAUX Mai 2022</t>
  </si>
  <si>
    <t>EST623</t>
  </si>
  <si>
    <t>Islem - Dimanche</t>
  </si>
  <si>
    <t>MJC622</t>
  </si>
  <si>
    <t>Islem - Semaine</t>
  </si>
  <si>
    <t xml:space="preserve">Meriam </t>
  </si>
  <si>
    <t>Ali - Dimanche</t>
  </si>
  <si>
    <t xml:space="preserve">Ali - Semaine </t>
  </si>
  <si>
    <t xml:space="preserve">Sid Ali </t>
  </si>
  <si>
    <t>Valentin - Dimanche</t>
  </si>
  <si>
    <t>Valentin - Frais déplacement</t>
  </si>
  <si>
    <t>RUN622  - Montreuil</t>
  </si>
  <si>
    <t>Valentin - Semaine</t>
  </si>
  <si>
    <t xml:space="preserve">Amran </t>
  </si>
  <si>
    <t xml:space="preserve">Abdel - Dimanche </t>
  </si>
  <si>
    <t xml:space="preserve">Lycia </t>
  </si>
  <si>
    <t>Romane - Frais logistique</t>
  </si>
  <si>
    <t>Romane - Dimanche</t>
  </si>
  <si>
    <t>RUN622 - Noisy-le-Grand</t>
  </si>
  <si>
    <t>Nicolas - Dimanche</t>
  </si>
  <si>
    <t xml:space="preserve">Nicolas - Semaine </t>
  </si>
  <si>
    <t>Dalia</t>
  </si>
  <si>
    <t>Tahina - Dimanche</t>
  </si>
  <si>
    <t>LAG622</t>
  </si>
  <si>
    <t>Camille - Dimanche</t>
  </si>
  <si>
    <t>Jimmy - Dimanche</t>
  </si>
  <si>
    <t>Jimmy - Semaine</t>
  </si>
  <si>
    <t>Masil</t>
  </si>
  <si>
    <t>Otba - Dimanche</t>
  </si>
  <si>
    <t>Otba - Semaine</t>
  </si>
  <si>
    <t>KIC622</t>
  </si>
  <si>
    <t>Massil</t>
  </si>
  <si>
    <t>Lydia (Kadi) - Dimanche</t>
  </si>
  <si>
    <t>Lydia (Kadi) - Semaine</t>
  </si>
  <si>
    <t>Lynda (Kadi) - Dimanche</t>
  </si>
  <si>
    <t>Kadi - 4 animateurs dimanche (mais il a mis 17€/h</t>
  </si>
  <si>
    <t>RUN622 - Adidas</t>
  </si>
  <si>
    <t>Romain - Dimanche</t>
  </si>
  <si>
    <t>EST623-B</t>
  </si>
  <si>
    <t>FRA622</t>
  </si>
  <si>
    <t>HUB623</t>
  </si>
  <si>
    <t>Ishak</t>
  </si>
  <si>
    <t>Thibault</t>
  </si>
  <si>
    <t>Moyenne juin 2023</t>
  </si>
  <si>
    <t>TOTAUX juin 2023</t>
  </si>
  <si>
    <t>Kadi (Massil)</t>
  </si>
  <si>
    <t>IDE623</t>
  </si>
  <si>
    <t>Jimmy déplacement / logistique</t>
  </si>
  <si>
    <t xml:space="preserve">Jimmy Hand   </t>
  </si>
  <si>
    <t>Romane déplacement / logistique</t>
  </si>
  <si>
    <t>Massil (Kadi)</t>
  </si>
  <si>
    <t xml:space="preserve">Romane Hand </t>
  </si>
  <si>
    <t xml:space="preserve">Lydia Kadi </t>
  </si>
  <si>
    <t>GTB623</t>
  </si>
  <si>
    <t>Yasmine</t>
  </si>
  <si>
    <t>Matériel</t>
  </si>
  <si>
    <t>Akmez logistique</t>
  </si>
  <si>
    <t>Dalila (Kadi)</t>
  </si>
  <si>
    <t>Yazid (Kadi)</t>
  </si>
  <si>
    <t>ORBAS 56037</t>
  </si>
  <si>
    <t>Ayrton (7th sky)</t>
  </si>
  <si>
    <t>Jérémy</t>
  </si>
  <si>
    <t>Patrice (7th sky)</t>
  </si>
  <si>
    <t xml:space="preserve">Faustin - Valentin </t>
  </si>
  <si>
    <t>POK622</t>
  </si>
  <si>
    <t>ELI623</t>
  </si>
  <si>
    <t>Kadi (Dalila)</t>
  </si>
  <si>
    <t xml:space="preserve">Valentin </t>
  </si>
  <si>
    <t>ORBAS 14598</t>
  </si>
  <si>
    <t>Jéremy</t>
  </si>
  <si>
    <t>Naël</t>
  </si>
  <si>
    <t>UXBC922</t>
  </si>
  <si>
    <t>ENE723</t>
  </si>
  <si>
    <t>ORBAS 40602</t>
  </si>
  <si>
    <t xml:space="preserve">Anis </t>
  </si>
  <si>
    <t>ORBAS 1080</t>
  </si>
  <si>
    <t>155SFR</t>
  </si>
  <si>
    <t>Brahim déplacement</t>
  </si>
  <si>
    <t>Brahim</t>
  </si>
  <si>
    <t>le19M623</t>
  </si>
  <si>
    <t>Lydia (KADI)</t>
  </si>
  <si>
    <t>SEV723</t>
  </si>
  <si>
    <t>Éléonore</t>
  </si>
  <si>
    <t>Déplacement - train</t>
  </si>
  <si>
    <t>AMO622</t>
  </si>
  <si>
    <t>ROS622</t>
  </si>
  <si>
    <t>Frais Postaux</t>
  </si>
  <si>
    <t>Hadama</t>
  </si>
  <si>
    <t>Uber</t>
  </si>
  <si>
    <t>Adrien</t>
  </si>
  <si>
    <t>FIX723</t>
  </si>
  <si>
    <t>Impression branding + flyers</t>
  </si>
  <si>
    <t>FIB723</t>
  </si>
  <si>
    <t>JUN622</t>
  </si>
  <si>
    <t>HUB723</t>
  </si>
  <si>
    <t>Jimmy jour férié</t>
  </si>
  <si>
    <t>Moyenne juillet 2023</t>
  </si>
  <si>
    <t>TOTAUX juillet 2023</t>
  </si>
  <si>
    <t>ORBAS 4331</t>
  </si>
  <si>
    <t>MAI622</t>
  </si>
  <si>
    <t>Manon (Mam)</t>
  </si>
  <si>
    <t>Amran (Mam)</t>
  </si>
  <si>
    <t>WKN823</t>
  </si>
  <si>
    <t>Jaja (Mam)</t>
  </si>
  <si>
    <t>Envoi flyers La Poste</t>
  </si>
  <si>
    <t>Kadi (Mam)</t>
  </si>
  <si>
    <t>Dalila (Mam)</t>
  </si>
  <si>
    <t>Waldir (Wall)</t>
  </si>
  <si>
    <t>Jaja (Wall)</t>
  </si>
  <si>
    <t>Manon (Wall)</t>
  </si>
  <si>
    <t>BOR823</t>
  </si>
  <si>
    <t>Maeva (Wall)</t>
  </si>
  <si>
    <t>Akmez (Wall)</t>
  </si>
  <si>
    <t>ORBAS 30674</t>
  </si>
  <si>
    <t>LEM622</t>
  </si>
  <si>
    <t>Prime brahim</t>
  </si>
  <si>
    <t>PICIDF823</t>
  </si>
  <si>
    <t>Hasan</t>
  </si>
  <si>
    <t>Jimmy déplacement</t>
  </si>
  <si>
    <t>Aurore</t>
  </si>
  <si>
    <t>Hichem</t>
  </si>
  <si>
    <t>Roshan</t>
  </si>
  <si>
    <t>ENEA823</t>
  </si>
  <si>
    <t>ENE823</t>
  </si>
  <si>
    <t>Hôtel Bookinb</t>
  </si>
  <si>
    <t>Impression lettre d'excuse</t>
  </si>
  <si>
    <t>ALCO622</t>
  </si>
  <si>
    <t>Essence et péage</t>
  </si>
  <si>
    <t>160SFR</t>
  </si>
  <si>
    <t>Moyenne août 2023</t>
  </si>
  <si>
    <t>TOTAUX août 2023</t>
  </si>
  <si>
    <t>Kadi x6</t>
  </si>
  <si>
    <t>INS823</t>
  </si>
  <si>
    <t>ANI622</t>
  </si>
  <si>
    <t>FTSG622</t>
  </si>
  <si>
    <t>LEF623</t>
  </si>
  <si>
    <t>Lydia KADI vague 1</t>
  </si>
  <si>
    <t>Jimmy vague 1</t>
  </si>
  <si>
    <t>OXY622</t>
  </si>
  <si>
    <t>Jimmy vague 2</t>
  </si>
  <si>
    <t xml:space="preserve">Ali vague 2 </t>
  </si>
  <si>
    <t>FREE622</t>
  </si>
  <si>
    <t>MAN622</t>
  </si>
  <si>
    <t>Ahmed</t>
  </si>
  <si>
    <t>Hajar</t>
  </si>
  <si>
    <t>Véhicule Location</t>
  </si>
  <si>
    <t>Moyennes Juin 2022</t>
  </si>
  <si>
    <t>TOTAUX Juin 2022</t>
  </si>
  <si>
    <t>WUN722</t>
  </si>
  <si>
    <t>Dalida</t>
  </si>
  <si>
    <t>ENE923</t>
  </si>
  <si>
    <t>Impression flyers erreur Akmez</t>
  </si>
  <si>
    <t>SOR923</t>
  </si>
  <si>
    <t>Adrien B.</t>
  </si>
  <si>
    <t>ZOR722</t>
  </si>
  <si>
    <t>TND923</t>
  </si>
  <si>
    <t>UNIV722</t>
  </si>
  <si>
    <t>EUROP722</t>
  </si>
  <si>
    <t>101SFR722</t>
  </si>
  <si>
    <t>20491 x SFR</t>
  </si>
  <si>
    <t>HAND923</t>
  </si>
  <si>
    <t>Airbnb Maéva</t>
  </si>
  <si>
    <t>Moyennes Juillet 2022</t>
  </si>
  <si>
    <t>TOTAUX Juillet 2022</t>
  </si>
  <si>
    <t>CIT923</t>
  </si>
  <si>
    <t>MEL722</t>
  </si>
  <si>
    <t>Kadi + Lydia</t>
  </si>
  <si>
    <t>Frais de Vie</t>
  </si>
  <si>
    <t>EST822</t>
  </si>
  <si>
    <t>Manon L</t>
  </si>
  <si>
    <t>SUBMON823</t>
  </si>
  <si>
    <t>SFR 107+108+109+110</t>
  </si>
  <si>
    <t>Kadi (Sid Ali)</t>
  </si>
  <si>
    <t>Kadi (Zak)</t>
  </si>
  <si>
    <t>BRA922</t>
  </si>
  <si>
    <t>ORBAS123 - 32815</t>
  </si>
  <si>
    <t>Moyennes Août 2022</t>
  </si>
  <si>
    <t>TOTAUX Août 2022</t>
  </si>
  <si>
    <t>Ibrahim (Jaja)</t>
  </si>
  <si>
    <t>SOL923</t>
  </si>
  <si>
    <t>JPEE923</t>
  </si>
  <si>
    <t>VIC922</t>
  </si>
  <si>
    <t>Essence + peage</t>
  </si>
  <si>
    <t>SAM923</t>
  </si>
  <si>
    <t>EIF923</t>
  </si>
  <si>
    <t>Camion</t>
  </si>
  <si>
    <t>MAUD923</t>
  </si>
  <si>
    <t>LDF922</t>
  </si>
  <si>
    <t>Annabelle (SP)</t>
  </si>
  <si>
    <t>Elsa (SP)</t>
  </si>
  <si>
    <t>Camille (SP)</t>
  </si>
  <si>
    <t>Frais de vie Akli</t>
  </si>
  <si>
    <t>CLI922</t>
  </si>
  <si>
    <t>REP923</t>
  </si>
  <si>
    <t>Nor</t>
  </si>
  <si>
    <t>PAR922</t>
  </si>
  <si>
    <t>Axel</t>
  </si>
  <si>
    <t>ORBAS123 - 10043</t>
  </si>
  <si>
    <t>TIT922</t>
  </si>
  <si>
    <t>amran</t>
  </si>
  <si>
    <t>ENEBIS923</t>
  </si>
  <si>
    <t>UNI922</t>
  </si>
  <si>
    <t>Richard</t>
  </si>
  <si>
    <t>ENETER923</t>
  </si>
  <si>
    <t>Moyenne septembre 2023</t>
  </si>
  <si>
    <t>Frais Impression flyer</t>
  </si>
  <si>
    <t>TOTAUX septembre 2023</t>
  </si>
  <si>
    <t>POD922</t>
  </si>
  <si>
    <t>Kadi (Zones à finir)</t>
  </si>
  <si>
    <t>ERA922 BIS - Melun</t>
  </si>
  <si>
    <t>Frais d'essence (Fadela)</t>
  </si>
  <si>
    <t>ERA922 - Eragny</t>
  </si>
  <si>
    <t>SOG922</t>
  </si>
  <si>
    <t>IFO922</t>
  </si>
  <si>
    <t>PIT922</t>
  </si>
  <si>
    <t>ENG1023</t>
  </si>
  <si>
    <t>Moyennes Septembre 2022</t>
  </si>
  <si>
    <t>19M923</t>
  </si>
  <si>
    <t>TOTAUX Septembre 2022</t>
  </si>
  <si>
    <t>PRO1022</t>
  </si>
  <si>
    <t>QUO1022</t>
  </si>
  <si>
    <t>Malkeet</t>
  </si>
  <si>
    <t>Emad</t>
  </si>
  <si>
    <t>ENGREE1023</t>
  </si>
  <si>
    <t>POI1022</t>
  </si>
  <si>
    <t xml:space="preserve">Essence et peage </t>
  </si>
  <si>
    <t>COURT1023</t>
  </si>
  <si>
    <t>NAT1022</t>
  </si>
  <si>
    <t>LUD1022</t>
  </si>
  <si>
    <t>ENE1022</t>
  </si>
  <si>
    <t>PLU1022</t>
  </si>
  <si>
    <t>CAM1022</t>
  </si>
  <si>
    <t>EST1023</t>
  </si>
  <si>
    <t>ORBAS 11883</t>
  </si>
  <si>
    <t>Nerlita</t>
  </si>
  <si>
    <t>Valentin Lefa</t>
  </si>
  <si>
    <t>JHO1022</t>
  </si>
  <si>
    <t>Prime de déplacement Lefa</t>
  </si>
  <si>
    <t>TAM922</t>
  </si>
  <si>
    <t>Candice</t>
  </si>
  <si>
    <t>IJJ1023</t>
  </si>
  <si>
    <t>Frais de repas</t>
  </si>
  <si>
    <t>ANI1022</t>
  </si>
  <si>
    <t>Voiture</t>
  </si>
  <si>
    <t>Train + Logement</t>
  </si>
  <si>
    <t>TEK1023</t>
  </si>
  <si>
    <t>BASIT1022</t>
  </si>
  <si>
    <t>Sam (SM Valentin)</t>
  </si>
  <si>
    <t>LID1022</t>
  </si>
  <si>
    <t>Staffme 1</t>
  </si>
  <si>
    <t>StaffMe Lyon</t>
  </si>
  <si>
    <t xml:space="preserve">Staffme 2 </t>
  </si>
  <si>
    <t>Billet train</t>
  </si>
  <si>
    <t>Essence + péage Brandon</t>
  </si>
  <si>
    <t>HIT1022</t>
  </si>
  <si>
    <t>Essence + péage Valentin</t>
  </si>
  <si>
    <t>Essence + péage Alex</t>
  </si>
  <si>
    <t>Camion Valentin</t>
  </si>
  <si>
    <t>Camion FFY (Alex et Brandon)</t>
  </si>
  <si>
    <t>LIS1022</t>
  </si>
  <si>
    <t>MOISS1023</t>
  </si>
  <si>
    <t xml:space="preserve">Abdel </t>
  </si>
  <si>
    <t>LUD1022 V2</t>
  </si>
  <si>
    <t xml:space="preserve">Ali Guechi </t>
  </si>
  <si>
    <t>Moyennes Octobre 2022</t>
  </si>
  <si>
    <t>TOTAUX Octobre 2022</t>
  </si>
  <si>
    <t>ENER1023</t>
  </si>
  <si>
    <t>EST1122</t>
  </si>
  <si>
    <t xml:space="preserve">Déplacement Valentin (essence et péage) </t>
  </si>
  <si>
    <t>EPI1122</t>
  </si>
  <si>
    <t xml:space="preserve">Déplacement Alex (essence et péage) </t>
  </si>
  <si>
    <t>EST2211</t>
  </si>
  <si>
    <t>Voiture Alex</t>
  </si>
  <si>
    <t>MEN1122</t>
  </si>
  <si>
    <t>Impression (tout compris)</t>
  </si>
  <si>
    <t>Massi</t>
  </si>
  <si>
    <t>LUD1022 V3</t>
  </si>
  <si>
    <t>COGE1023</t>
  </si>
  <si>
    <t>165SFR</t>
  </si>
  <si>
    <t>VIR1122</t>
  </si>
  <si>
    <t>19M1023</t>
  </si>
  <si>
    <t>VJJ1023</t>
  </si>
  <si>
    <t>HUI1122</t>
  </si>
  <si>
    <t>ENER923</t>
  </si>
  <si>
    <t>Envoi du matériel chez Marie</t>
  </si>
  <si>
    <t>Moyenne octobre 2023</t>
  </si>
  <si>
    <t>SEZ1122</t>
  </si>
  <si>
    <t>TOTAUX octobre 2023</t>
  </si>
  <si>
    <t>SLC1022</t>
  </si>
  <si>
    <t>EST2121</t>
  </si>
  <si>
    <t>MEN1222</t>
  </si>
  <si>
    <t>Moyennes Novembre 2022</t>
  </si>
  <si>
    <t>TOTAUX Novembre 2022</t>
  </si>
  <si>
    <t>FIL1122</t>
  </si>
  <si>
    <t>ENG1123</t>
  </si>
  <si>
    <t>8120xSFR</t>
  </si>
  <si>
    <t>EST1222</t>
  </si>
  <si>
    <t>Anis Matoub</t>
  </si>
  <si>
    <t>FRO1122</t>
  </si>
  <si>
    <t>ORBAS123 - 2983</t>
  </si>
  <si>
    <t>RWECLC1123</t>
  </si>
  <si>
    <t>STO1122</t>
  </si>
  <si>
    <t>Envoi de flyers à la mairie</t>
  </si>
  <si>
    <t xml:space="preserve">essence + péage </t>
  </si>
  <si>
    <t xml:space="preserve">Asma StaffMe (direct) </t>
  </si>
  <si>
    <t>BAY1123</t>
  </si>
  <si>
    <t>TOTA1222</t>
  </si>
  <si>
    <t>Frais de déplacement Alex</t>
  </si>
  <si>
    <t>LE1222</t>
  </si>
  <si>
    <t>ENE1123</t>
  </si>
  <si>
    <t>Prime Jaja BOX</t>
  </si>
  <si>
    <t>Prime Romain BOX</t>
  </si>
  <si>
    <t>Interne (émé et Massi)</t>
  </si>
  <si>
    <t>ENG1123 - Antony</t>
  </si>
  <si>
    <t>ENO1222</t>
  </si>
  <si>
    <t>ARC1123</t>
  </si>
  <si>
    <t>Ali Guechi (pas payé)</t>
  </si>
  <si>
    <t>Moyennes Décembre 2022</t>
  </si>
  <si>
    <t>JPEE1123</t>
  </si>
  <si>
    <t>TOTAUX Décembre 2022</t>
  </si>
  <si>
    <t>RWE1123 - Paudy</t>
  </si>
  <si>
    <t>TOT1123</t>
  </si>
  <si>
    <t xml:space="preserve">Envoi Flyers </t>
  </si>
  <si>
    <t>EXO923</t>
  </si>
  <si>
    <t>TASS1123</t>
  </si>
  <si>
    <t>Manon (pote de Manon)</t>
  </si>
  <si>
    <t>TAC1123</t>
  </si>
  <si>
    <t xml:space="preserve">Frais de déplacement (essence péage) </t>
  </si>
  <si>
    <t>RWEP1123 - Plaigne</t>
  </si>
  <si>
    <t>Pénalités Getaround</t>
  </si>
  <si>
    <t>Location véhicule + frais de retard</t>
  </si>
  <si>
    <t>RWESCC1123 - Songy</t>
  </si>
  <si>
    <t>ORBAS123 
17 830</t>
  </si>
  <si>
    <t>Hugues</t>
  </si>
  <si>
    <t>Billet de train Brandon - Tours &gt; Paris</t>
  </si>
  <si>
    <t>ORBAS123 
26 245</t>
  </si>
  <si>
    <t>Moyenne novembre 2023</t>
  </si>
  <si>
    <t>TOTAUX novembre 2023</t>
  </si>
  <si>
    <t>SCI1223</t>
  </si>
  <si>
    <t>Location véhicule + frais</t>
  </si>
  <si>
    <t xml:space="preserve">Uber Aller </t>
  </si>
  <si>
    <t>ENERF1223</t>
  </si>
  <si>
    <t>Frais déplacement Manon (voiture, essence, péage)</t>
  </si>
  <si>
    <t>Prime de déplacement Romane</t>
  </si>
  <si>
    <t>Location Airbnb</t>
  </si>
  <si>
    <t>174SFR x ORBAS 3232</t>
  </si>
  <si>
    <t>Ibrahim Djbiha</t>
  </si>
  <si>
    <t>ENG1223 - Antony</t>
  </si>
  <si>
    <t>ENES1223 - 
Saint-Maxire</t>
  </si>
  <si>
    <t>Location voiture OuiCar</t>
  </si>
  <si>
    <t>RWEG1223 -
Gannat</t>
  </si>
  <si>
    <t>RWE1223 -
Bossay</t>
  </si>
  <si>
    <t>RWEP1223 - Plaigne</t>
  </si>
  <si>
    <t xml:space="preserve">Location véhicule </t>
  </si>
  <si>
    <t>Airbnb (76,73€ remboursés par Airbnb, erreur du site)</t>
  </si>
  <si>
    <t>Envoi des flyers aux 3 mairies (La Poste)</t>
  </si>
  <si>
    <t xml:space="preserve">ORBAS223
3638 </t>
  </si>
  <si>
    <t>AID1223</t>
  </si>
  <si>
    <t>Eme</t>
  </si>
  <si>
    <t xml:space="preserve">Elhadj </t>
  </si>
  <si>
    <t>ENG1223 - 
Busigny</t>
  </si>
  <si>
    <t>RWELC1223 - 
Chapelle</t>
  </si>
  <si>
    <t>PLA1223</t>
  </si>
  <si>
    <t>Elhadji</t>
  </si>
  <si>
    <t>179SFR</t>
  </si>
  <si>
    <t>Corentin</t>
  </si>
  <si>
    <t>Karim Allata</t>
  </si>
  <si>
    <t xml:space="preserve">Karim Allata - Prime de déplacement </t>
  </si>
  <si>
    <t>Location Getaround Brandon (Cergy Compris)</t>
  </si>
  <si>
    <t>Moyenne décembre 2023</t>
  </si>
  <si>
    <t>TOTAUX décembre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</si>
</sst>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%"/>
    <numFmt numFmtId="166" formatCode="#,##0\ [$€-1]"/>
    <numFmt numFmtId="167" formatCode="#,##0.00&quot;€&quot;"/>
    <numFmt numFmtId="168" formatCode="#,##0.00\ [$€-1]"/>
  </numFmts>
  <fonts count="2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29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Work sans&quot;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1"/>
      <color rgb="FF050505"/>
      <name val="PolySans"/>
    </font>
    <font>
      <sz val="11"/>
      <color rgb="FF050505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9F9F9"/>
        <bgColor rgb="FFF9F9F9"/>
      </patternFill>
    </fill>
    <fill>
      <patternFill patternType="solid">
        <fgColor rgb="FFF6C377"/>
        <bgColor rgb="FFF6C377"/>
      </patternFill>
    </fill>
    <fill>
      <patternFill patternType="solid">
        <fgColor theme="1"/>
        <bgColor theme="1"/>
      </patternFill>
    </fill>
    <fill>
      <patternFill patternType="solid">
        <fgColor rgb="FFEA9999"/>
        <bgColor rgb="FFEA9999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3" fillId="0" borderId="0" xfId="0" applyFont="1" applyAlignment="1">
      <alignment horizontal="left"/>
    </xf>
    <xf numFmtId="165" fontId="4" fillId="0" borderId="0" xfId="0" applyNumberFormat="1" applyFont="1"/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5" fontId="7" fillId="5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3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right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6" borderId="0" xfId="0" applyFont="1" applyFill="1" applyAlignment="1">
      <alignment horizontal="right"/>
    </xf>
    <xf numFmtId="0" fontId="9" fillId="0" borderId="0" xfId="0" applyFont="1"/>
    <xf numFmtId="0" fontId="9" fillId="0" borderId="22" xfId="0" applyFont="1" applyBorder="1"/>
    <xf numFmtId="0" fontId="9" fillId="0" borderId="22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" fillId="0" borderId="0" xfId="0" applyFont="1"/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right" vertical="center"/>
    </xf>
    <xf numFmtId="2" fontId="12" fillId="7" borderId="28" xfId="0" applyNumberFormat="1" applyFont="1" applyFill="1" applyBorder="1"/>
    <xf numFmtId="10" fontId="12" fillId="8" borderId="28" xfId="0" applyNumberFormat="1" applyFont="1" applyFill="1" applyBorder="1"/>
    <xf numFmtId="10" fontId="12" fillId="7" borderId="28" xfId="0" applyNumberFormat="1" applyFont="1" applyFill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 textRotation="90"/>
    </xf>
    <xf numFmtId="2" fontId="12" fillId="10" borderId="28" xfId="0" applyNumberFormat="1" applyFont="1" applyFill="1" applyBorder="1"/>
    <xf numFmtId="10" fontId="12" fillId="10" borderId="28" xfId="0" applyNumberFormat="1" applyFont="1" applyFill="1" applyBorder="1"/>
    <xf numFmtId="0" fontId="1" fillId="11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165" fontId="13" fillId="5" borderId="6" xfId="0" applyNumberFormat="1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2" fontId="12" fillId="7" borderId="27" xfId="0" applyNumberFormat="1" applyFont="1" applyFill="1" applyBorder="1"/>
    <xf numFmtId="0" fontId="9" fillId="6" borderId="18" xfId="0" applyFont="1" applyFill="1" applyBorder="1" applyAlignment="1">
      <alignment horizontal="right"/>
    </xf>
    <xf numFmtId="0" fontId="1" fillId="0" borderId="22" xfId="0" applyFont="1" applyBorder="1"/>
    <xf numFmtId="0" fontId="15" fillId="9" borderId="0" xfId="0" applyFont="1" applyFill="1"/>
    <xf numFmtId="0" fontId="16" fillId="9" borderId="0" xfId="0" applyFont="1" applyFill="1"/>
    <xf numFmtId="0" fontId="9" fillId="9" borderId="0" xfId="0" applyFont="1" applyFill="1"/>
    <xf numFmtId="0" fontId="1" fillId="9" borderId="0" xfId="0" applyFont="1" applyFill="1"/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1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2" xfId="0" applyFont="1" applyBorder="1" applyAlignment="1">
      <alignment horizontal="left"/>
    </xf>
    <xf numFmtId="2" fontId="18" fillId="7" borderId="28" xfId="0" applyNumberFormat="1" applyFont="1" applyFill="1" applyBorder="1" applyAlignment="1">
      <alignment horizontal="right"/>
    </xf>
    <xf numFmtId="10" fontId="18" fillId="8" borderId="28" xfId="0" applyNumberFormat="1" applyFont="1" applyFill="1" applyBorder="1" applyAlignment="1">
      <alignment horizontal="right"/>
    </xf>
    <xf numFmtId="10" fontId="18" fillId="7" borderId="28" xfId="0" applyNumberFormat="1" applyFont="1" applyFill="1" applyBorder="1" applyAlignment="1">
      <alignment horizontal="right"/>
    </xf>
    <xf numFmtId="0" fontId="17" fillId="9" borderId="0" xfId="0" applyFont="1" applyFill="1" applyAlignment="1">
      <alignment horizontal="center"/>
    </xf>
    <xf numFmtId="0" fontId="17" fillId="9" borderId="18" xfId="0" applyFont="1" applyFill="1" applyBorder="1" applyAlignment="1">
      <alignment horizontal="center"/>
    </xf>
    <xf numFmtId="2" fontId="18" fillId="9" borderId="18" xfId="0" applyNumberFormat="1" applyFont="1" applyFill="1" applyBorder="1" applyAlignment="1">
      <alignment horizontal="right"/>
    </xf>
    <xf numFmtId="2" fontId="18" fillId="9" borderId="0" xfId="0" applyNumberFormat="1" applyFont="1" applyFill="1" applyAlignment="1">
      <alignment horizontal="right"/>
    </xf>
    <xf numFmtId="10" fontId="18" fillId="9" borderId="0" xfId="0" applyNumberFormat="1" applyFont="1" applyFill="1" applyAlignment="1">
      <alignment horizontal="right"/>
    </xf>
    <xf numFmtId="0" fontId="9" fillId="0" borderId="18" xfId="0" applyFont="1" applyBorder="1" applyAlignment="1">
      <alignment horizontal="left" vertical="center"/>
    </xf>
    <xf numFmtId="0" fontId="9" fillId="0" borderId="8" xfId="0" applyFont="1" applyBorder="1" applyAlignment="1">
      <alignment horizontal="right" vertical="center"/>
    </xf>
    <xf numFmtId="0" fontId="19" fillId="12" borderId="22" xfId="0" applyFont="1" applyFill="1" applyBorder="1"/>
    <xf numFmtId="0" fontId="20" fillId="12" borderId="22" xfId="0" applyFont="1" applyFill="1" applyBorder="1"/>
    <xf numFmtId="0" fontId="9" fillId="6" borderId="22" xfId="0" applyFont="1" applyFill="1" applyBorder="1" applyAlignment="1">
      <alignment horizontal="right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right"/>
    </xf>
    <xf numFmtId="2" fontId="18" fillId="7" borderId="19" xfId="0" applyNumberFormat="1" applyFont="1" applyFill="1" applyBorder="1" applyAlignment="1">
      <alignment horizontal="right"/>
    </xf>
    <xf numFmtId="2" fontId="18" fillId="7" borderId="25" xfId="0" applyNumberFormat="1" applyFont="1" applyFill="1" applyBorder="1" applyAlignment="1">
      <alignment horizontal="right"/>
    </xf>
    <xf numFmtId="2" fontId="18" fillId="7" borderId="37" xfId="0" applyNumberFormat="1" applyFont="1" applyFill="1" applyBorder="1" applyAlignment="1">
      <alignment horizontal="right"/>
    </xf>
    <xf numFmtId="2" fontId="18" fillId="7" borderId="30" xfId="0" applyNumberFormat="1" applyFont="1" applyFill="1" applyBorder="1" applyAlignment="1">
      <alignment horizontal="right"/>
    </xf>
    <xf numFmtId="10" fontId="18" fillId="7" borderId="19" xfId="0" applyNumberFormat="1" applyFont="1" applyFill="1" applyBorder="1" applyAlignment="1">
      <alignment horizontal="right"/>
    </xf>
    <xf numFmtId="0" fontId="9" fillId="0" borderId="8" xfId="0" applyFont="1" applyBorder="1"/>
    <xf numFmtId="0" fontId="9" fillId="0" borderId="22" xfId="0" applyFont="1" applyBorder="1" applyAlignment="1">
      <alignment horizontal="center" vertical="center"/>
    </xf>
    <xf numFmtId="0" fontId="17" fillId="12" borderId="0" xfId="0" applyFont="1" applyFill="1" applyAlignment="1">
      <alignment horizontal="center"/>
    </xf>
    <xf numFmtId="0" fontId="17" fillId="12" borderId="18" xfId="0" applyFont="1" applyFill="1" applyBorder="1" applyAlignment="1">
      <alignment horizontal="center"/>
    </xf>
    <xf numFmtId="2" fontId="18" fillId="12" borderId="18" xfId="0" applyNumberFormat="1" applyFont="1" applyFill="1" applyBorder="1" applyAlignment="1">
      <alignment horizontal="right"/>
    </xf>
    <xf numFmtId="2" fontId="18" fillId="12" borderId="0" xfId="0" applyNumberFormat="1" applyFont="1" applyFill="1" applyAlignment="1">
      <alignment horizontal="right"/>
    </xf>
    <xf numFmtId="10" fontId="18" fillId="12" borderId="0" xfId="0" applyNumberFormat="1" applyFont="1" applyFill="1" applyAlignment="1">
      <alignment horizontal="right"/>
    </xf>
    <xf numFmtId="0" fontId="5" fillId="3" borderId="36" xfId="0" applyFont="1" applyFill="1" applyBorder="1" applyAlignment="1">
      <alignment horizontal="center" vertical="center" textRotation="90"/>
    </xf>
    <xf numFmtId="165" fontId="10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/>
    </xf>
    <xf numFmtId="2" fontId="12" fillId="7" borderId="30" xfId="0" applyNumberFormat="1" applyFont="1" applyFill="1" applyBorder="1"/>
    <xf numFmtId="10" fontId="12" fillId="7" borderId="19" xfId="0" applyNumberFormat="1" applyFont="1" applyFill="1" applyBorder="1"/>
    <xf numFmtId="2" fontId="18" fillId="7" borderId="23" xfId="0" applyNumberFormat="1" applyFont="1" applyFill="1" applyBorder="1" applyAlignment="1">
      <alignment horizontal="right"/>
    </xf>
    <xf numFmtId="10" fontId="18" fillId="8" borderId="23" xfId="0" applyNumberFormat="1" applyFont="1" applyFill="1" applyBorder="1" applyAlignment="1">
      <alignment horizontal="right"/>
    </xf>
    <xf numFmtId="2" fontId="12" fillId="7" borderId="23" xfId="0" applyNumberFormat="1" applyFont="1" applyFill="1" applyBorder="1"/>
    <xf numFmtId="10" fontId="12" fillId="8" borderId="23" xfId="0" applyNumberFormat="1" applyFont="1" applyFill="1" applyBorder="1"/>
    <xf numFmtId="0" fontId="11" fillId="12" borderId="0" xfId="0" applyFont="1" applyFill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2" fontId="12" fillId="12" borderId="18" xfId="0" applyNumberFormat="1" applyFont="1" applyFill="1" applyBorder="1"/>
    <xf numFmtId="2" fontId="12" fillId="12" borderId="0" xfId="0" applyNumberFormat="1" applyFont="1" applyFill="1"/>
    <xf numFmtId="10" fontId="12" fillId="12" borderId="0" xfId="0" applyNumberFormat="1" applyFont="1" applyFill="1"/>
    <xf numFmtId="0" fontId="1" fillId="12" borderId="0" xfId="0" applyFont="1" applyFill="1"/>
    <xf numFmtId="0" fontId="9" fillId="0" borderId="14" xfId="0" applyFont="1" applyBorder="1"/>
    <xf numFmtId="0" fontId="9" fillId="0" borderId="0" xfId="0" applyFont="1" applyAlignment="1">
      <alignment horizontal="center"/>
    </xf>
    <xf numFmtId="0" fontId="1" fillId="0" borderId="22" xfId="0" applyFont="1" applyBorder="1" applyAlignment="1">
      <alignment horizontal="right"/>
    </xf>
    <xf numFmtId="0" fontId="9" fillId="6" borderId="8" xfId="0" applyFont="1" applyFill="1" applyBorder="1" applyAlignment="1">
      <alignment horizontal="right"/>
    </xf>
    <xf numFmtId="0" fontId="9" fillId="6" borderId="0" xfId="0" applyFont="1" applyFill="1"/>
    <xf numFmtId="0" fontId="22" fillId="4" borderId="0" xfId="0" applyFont="1" applyFill="1" applyAlignment="1">
      <alignment horizontal="left"/>
    </xf>
    <xf numFmtId="2" fontId="12" fillId="8" borderId="28" xfId="0" applyNumberFormat="1" applyFont="1" applyFill="1" applyBorder="1"/>
    <xf numFmtId="0" fontId="22" fillId="4" borderId="0" xfId="0" applyFont="1" applyFill="1" applyAlignment="1">
      <alignment horizontal="right"/>
    </xf>
    <xf numFmtId="0" fontId="22" fillId="6" borderId="0" xfId="0" applyFont="1" applyFill="1" applyAlignment="1">
      <alignment horizontal="right"/>
    </xf>
    <xf numFmtId="0" fontId="9" fillId="4" borderId="0" xfId="0" applyFont="1" applyFill="1"/>
    <xf numFmtId="0" fontId="23" fillId="0" borderId="1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65" fontId="10" fillId="4" borderId="26" xfId="0" applyNumberFormat="1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9" fillId="4" borderId="18" xfId="0" applyFont="1" applyFill="1" applyBorder="1"/>
    <xf numFmtId="0" fontId="9" fillId="4" borderId="18" xfId="0" applyFont="1" applyFill="1" applyBorder="1" applyAlignment="1">
      <alignment horizontal="right"/>
    </xf>
    <xf numFmtId="0" fontId="9" fillId="4" borderId="2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 textRotation="90"/>
    </xf>
    <xf numFmtId="0" fontId="9" fillId="6" borderId="18" xfId="0" applyFont="1" applyFill="1" applyBorder="1"/>
    <xf numFmtId="2" fontId="12" fillId="7" borderId="44" xfId="0" applyNumberFormat="1" applyFont="1" applyFill="1" applyBorder="1"/>
    <xf numFmtId="165" fontId="10" fillId="5" borderId="0" xfId="0" applyNumberFormat="1" applyFont="1" applyFill="1" applyAlignment="1">
      <alignment horizontal="center" vertical="center"/>
    </xf>
    <xf numFmtId="0" fontId="9" fillId="0" borderId="51" xfId="0" applyFont="1" applyBorder="1"/>
    <xf numFmtId="0" fontId="9" fillId="0" borderId="51" xfId="0" applyFont="1" applyBorder="1" applyAlignment="1">
      <alignment horizontal="right"/>
    </xf>
    <xf numFmtId="0" fontId="9" fillId="0" borderId="46" xfId="0" applyFont="1" applyBorder="1" applyAlignment="1">
      <alignment horizontal="right"/>
    </xf>
    <xf numFmtId="0" fontId="9" fillId="0" borderId="46" xfId="0" applyFont="1" applyBorder="1"/>
    <xf numFmtId="0" fontId="9" fillId="0" borderId="51" xfId="0" applyFont="1" applyBorder="1" applyAlignment="1">
      <alignment horizontal="center" vertical="center"/>
    </xf>
    <xf numFmtId="2" fontId="18" fillId="7" borderId="27" xfId="0" applyNumberFormat="1" applyFont="1" applyFill="1" applyBorder="1" applyAlignment="1">
      <alignment horizontal="right"/>
    </xf>
    <xf numFmtId="10" fontId="18" fillId="7" borderId="27" xfId="0" applyNumberFormat="1" applyFont="1" applyFill="1" applyBorder="1" applyAlignment="1">
      <alignment horizontal="right"/>
    </xf>
    <xf numFmtId="2" fontId="18" fillId="7" borderId="3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0" fontId="3" fillId="0" borderId="5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1" fillId="6" borderId="22" xfId="0" applyFont="1" applyFill="1" applyBorder="1" applyAlignment="1">
      <alignment horizontal="right"/>
    </xf>
    <xf numFmtId="0" fontId="1" fillId="6" borderId="22" xfId="0" applyFont="1" applyFill="1" applyBorder="1"/>
    <xf numFmtId="0" fontId="3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2" fontId="12" fillId="7" borderId="19" xfId="0" applyNumberFormat="1" applyFont="1" applyFill="1" applyBorder="1"/>
    <xf numFmtId="10" fontId="12" fillId="0" borderId="19" xfId="0" applyNumberFormat="1" applyFont="1" applyBorder="1"/>
    <xf numFmtId="0" fontId="2" fillId="0" borderId="0" xfId="0" applyFont="1" applyAlignment="1">
      <alignment horizontal="left"/>
    </xf>
    <xf numFmtId="10" fontId="18" fillId="8" borderId="27" xfId="0" applyNumberFormat="1" applyFont="1" applyFill="1" applyBorder="1" applyAlignment="1">
      <alignment horizontal="right"/>
    </xf>
    <xf numFmtId="2" fontId="18" fillId="7" borderId="32" xfId="0" applyNumberFormat="1" applyFont="1" applyFill="1" applyBorder="1" applyAlignment="1">
      <alignment horizontal="right"/>
    </xf>
    <xf numFmtId="10" fontId="18" fillId="0" borderId="32" xfId="0" applyNumberFormat="1" applyFont="1" applyBorder="1" applyAlignment="1">
      <alignment horizontal="right"/>
    </xf>
    <xf numFmtId="166" fontId="12" fillId="7" borderId="28" xfId="0" applyNumberFormat="1" applyFont="1" applyFill="1" applyBorder="1"/>
    <xf numFmtId="165" fontId="12" fillId="7" borderId="28" xfId="0" applyNumberFormat="1" applyFont="1" applyFill="1" applyBorder="1"/>
    <xf numFmtId="165" fontId="12" fillId="14" borderId="28" xfId="0" applyNumberFormat="1" applyFont="1" applyFill="1" applyBorder="1"/>
    <xf numFmtId="0" fontId="3" fillId="0" borderId="2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1" fillId="0" borderId="51" xfId="0" applyFont="1" applyBorder="1" applyAlignment="1">
      <alignment horizontal="right"/>
    </xf>
    <xf numFmtId="0" fontId="1" fillId="0" borderId="51" xfId="0" applyFont="1" applyBorder="1"/>
    <xf numFmtId="0" fontId="1" fillId="0" borderId="0" xfId="0" applyFont="1" applyAlignment="1">
      <alignment horizontal="left"/>
    </xf>
    <xf numFmtId="0" fontId="2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25" fillId="0" borderId="0" xfId="0" applyFont="1"/>
    <xf numFmtId="0" fontId="3" fillId="0" borderId="0" xfId="0" applyFont="1"/>
    <xf numFmtId="0" fontId="1" fillId="6" borderId="0" xfId="0" applyFont="1" applyFill="1"/>
    <xf numFmtId="0" fontId="1" fillId="6" borderId="0" xfId="0" applyFont="1" applyFill="1" applyAlignment="1">
      <alignment horizontal="right"/>
    </xf>
    <xf numFmtId="167" fontId="9" fillId="0" borderId="0" xfId="0" applyNumberFormat="1" applyFont="1" applyAlignment="1">
      <alignment horizontal="right"/>
    </xf>
    <xf numFmtId="0" fontId="3" fillId="0" borderId="22" xfId="0" applyFont="1" applyBorder="1"/>
    <xf numFmtId="165" fontId="4" fillId="0" borderId="61" xfId="0" applyNumberFormat="1" applyFont="1" applyBorder="1" applyAlignment="1">
      <alignment horizontal="center" vertical="center"/>
    </xf>
    <xf numFmtId="165" fontId="4" fillId="0" borderId="48" xfId="0" applyNumberFormat="1" applyFont="1" applyBorder="1" applyAlignment="1">
      <alignment horizontal="center" vertical="center"/>
    </xf>
    <xf numFmtId="0" fontId="23" fillId="0" borderId="17" xfId="0" applyFont="1" applyBorder="1"/>
    <xf numFmtId="0" fontId="9" fillId="0" borderId="20" xfId="0" applyFont="1" applyBorder="1"/>
    <xf numFmtId="0" fontId="9" fillId="0" borderId="21" xfId="0" applyFont="1" applyBorder="1"/>
    <xf numFmtId="0" fontId="25" fillId="0" borderId="51" xfId="0" applyFont="1" applyBorder="1"/>
    <xf numFmtId="0" fontId="8" fillId="0" borderId="17" xfId="0" applyFont="1" applyBorder="1"/>
    <xf numFmtId="4" fontId="9" fillId="0" borderId="0" xfId="0" applyNumberFormat="1" applyFont="1" applyAlignment="1">
      <alignment horizontal="right"/>
    </xf>
    <xf numFmtId="0" fontId="9" fillId="6" borderId="22" xfId="0" applyFont="1" applyFill="1" applyBorder="1"/>
    <xf numFmtId="0" fontId="9" fillId="4" borderId="0" xfId="0" applyFont="1" applyFill="1" applyAlignment="1">
      <alignment horizontal="right"/>
    </xf>
    <xf numFmtId="0" fontId="1" fillId="0" borderId="52" xfId="0" applyFont="1" applyBorder="1" applyAlignment="1">
      <alignment horizontal="center" vertical="center"/>
    </xf>
    <xf numFmtId="165" fontId="4" fillId="0" borderId="62" xfId="0" applyNumberFormat="1" applyFont="1" applyBorder="1" applyAlignment="1">
      <alignment horizontal="center" vertical="center"/>
    </xf>
    <xf numFmtId="165" fontId="12" fillId="8" borderId="28" xfId="0" applyNumberFormat="1" applyFont="1" applyFill="1" applyBorder="1"/>
    <xf numFmtId="0" fontId="21" fillId="0" borderId="0" xfId="0" applyFont="1" applyAlignment="1">
      <alignment horizontal="right"/>
    </xf>
    <xf numFmtId="10" fontId="18" fillId="0" borderId="33" xfId="0" applyNumberFormat="1" applyFont="1" applyBorder="1" applyAlignment="1">
      <alignment horizontal="right"/>
    </xf>
    <xf numFmtId="0" fontId="23" fillId="0" borderId="20" xfId="0" applyFont="1" applyBorder="1"/>
    <xf numFmtId="0" fontId="8" fillId="0" borderId="54" xfId="0" applyFont="1" applyBorder="1"/>
    <xf numFmtId="0" fontId="9" fillId="0" borderId="52" xfId="0" applyFont="1" applyBorder="1" applyAlignment="1">
      <alignment horizontal="center" vertical="center"/>
    </xf>
    <xf numFmtId="165" fontId="10" fillId="0" borderId="62" xfId="0" applyNumberFormat="1" applyFont="1" applyBorder="1" applyAlignment="1">
      <alignment horizontal="center" vertical="center"/>
    </xf>
    <xf numFmtId="0" fontId="23" fillId="0" borderId="50" xfId="0" applyFont="1" applyBorder="1"/>
    <xf numFmtId="0" fontId="9" fillId="6" borderId="0" xfId="0" applyFont="1" applyFill="1" applyAlignment="1">
      <alignment horizontal="center" vertical="center"/>
    </xf>
    <xf numFmtId="0" fontId="9" fillId="6" borderId="46" xfId="0" applyFont="1" applyFill="1" applyBorder="1" applyAlignment="1">
      <alignment horizontal="center" vertical="center"/>
    </xf>
    <xf numFmtId="0" fontId="23" fillId="0" borderId="53" xfId="0" applyFont="1" applyBorder="1"/>
    <xf numFmtId="0" fontId="9" fillId="0" borderId="46" xfId="0" applyFont="1" applyBorder="1" applyAlignment="1">
      <alignment horizontal="center" vertical="center"/>
    </xf>
    <xf numFmtId="0" fontId="9" fillId="4" borderId="51" xfId="0" applyFont="1" applyFill="1" applyBorder="1"/>
    <xf numFmtId="0" fontId="9" fillId="4" borderId="51" xfId="0" applyFont="1" applyFill="1" applyBorder="1" applyAlignment="1">
      <alignment horizontal="right"/>
    </xf>
    <xf numFmtId="4" fontId="9" fillId="4" borderId="51" xfId="0" applyNumberFormat="1" applyFont="1" applyFill="1" applyBorder="1" applyAlignment="1">
      <alignment horizontal="right"/>
    </xf>
    <xf numFmtId="4" fontId="9" fillId="4" borderId="0" xfId="0" applyNumberFormat="1" applyFont="1" applyFill="1" applyAlignment="1">
      <alignment horizontal="right"/>
    </xf>
    <xf numFmtId="0" fontId="9" fillId="0" borderId="63" xfId="0" applyFont="1" applyBorder="1"/>
    <xf numFmtId="0" fontId="9" fillId="0" borderId="14" xfId="0" applyFont="1" applyBorder="1" applyAlignment="1">
      <alignment horizontal="right"/>
    </xf>
    <xf numFmtId="4" fontId="9" fillId="0" borderId="0" xfId="0" applyNumberFormat="1" applyFont="1"/>
    <xf numFmtId="0" fontId="3" fillId="0" borderId="51" xfId="0" applyFont="1" applyBorder="1" applyAlignment="1">
      <alignment horizontal="left"/>
    </xf>
    <xf numFmtId="165" fontId="4" fillId="0" borderId="31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left"/>
    </xf>
    <xf numFmtId="0" fontId="1" fillId="0" borderId="46" xfId="0" applyFont="1" applyBorder="1"/>
    <xf numFmtId="0" fontId="8" fillId="0" borderId="18" xfId="0" applyFont="1" applyBorder="1" applyAlignment="1">
      <alignment horizontal="right"/>
    </xf>
    <xf numFmtId="168" fontId="1" fillId="0" borderId="14" xfId="0" applyNumberFormat="1" applyFont="1" applyBorder="1" applyAlignment="1">
      <alignment horizontal="right"/>
    </xf>
    <xf numFmtId="0" fontId="1" fillId="9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2" borderId="46" xfId="0" applyFont="1" applyFill="1" applyBorder="1"/>
    <xf numFmtId="0" fontId="1" fillId="0" borderId="46" xfId="0" applyFont="1" applyBorder="1" applyAlignment="1">
      <alignment horizontal="right"/>
    </xf>
    <xf numFmtId="0" fontId="3" fillId="0" borderId="65" xfId="0" applyFont="1" applyBorder="1" applyAlignment="1">
      <alignment horizontal="left"/>
    </xf>
    <xf numFmtId="0" fontId="1" fillId="0" borderId="65" xfId="0" applyFont="1" applyBorder="1"/>
    <xf numFmtId="0" fontId="1" fillId="0" borderId="65" xfId="0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1" fillId="4" borderId="0" xfId="0" applyFont="1" applyFill="1"/>
    <xf numFmtId="0" fontId="1" fillId="0" borderId="22" xfId="0" applyFont="1" applyBorder="1" applyAlignment="1">
      <alignment horizontal="right" vertical="center"/>
    </xf>
    <xf numFmtId="0" fontId="3" fillId="0" borderId="59" xfId="0" applyFont="1" applyBorder="1" applyAlignment="1">
      <alignment horizontal="left"/>
    </xf>
    <xf numFmtId="0" fontId="1" fillId="0" borderId="46" xfId="0" applyFont="1" applyBorder="1" applyAlignment="1">
      <alignment horizontal="right" vertical="center"/>
    </xf>
    <xf numFmtId="0" fontId="8" fillId="0" borderId="66" xfId="0" applyFont="1" applyBorder="1"/>
    <xf numFmtId="0" fontId="9" fillId="0" borderId="57" xfId="0" applyFont="1" applyBorder="1"/>
    <xf numFmtId="0" fontId="9" fillId="0" borderId="67" xfId="0" applyFont="1" applyBorder="1"/>
    <xf numFmtId="0" fontId="8" fillId="0" borderId="68" xfId="0" applyFont="1" applyBorder="1"/>
    <xf numFmtId="0" fontId="9" fillId="0" borderId="43" xfId="0" applyFont="1" applyBorder="1"/>
    <xf numFmtId="0" fontId="9" fillId="0" borderId="43" xfId="0" applyFont="1" applyBorder="1" applyAlignment="1">
      <alignment horizontal="right"/>
    </xf>
    <xf numFmtId="0" fontId="9" fillId="0" borderId="43" xfId="0" applyFont="1" applyBorder="1" applyAlignment="1">
      <alignment horizontal="center" vertical="center"/>
    </xf>
    <xf numFmtId="165" fontId="10" fillId="13" borderId="69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left"/>
    </xf>
    <xf numFmtId="0" fontId="1" fillId="0" borderId="18" xfId="0" applyFont="1" applyBorder="1"/>
    <xf numFmtId="0" fontId="1" fillId="0" borderId="18" xfId="0" applyFont="1" applyBorder="1" applyAlignment="1">
      <alignment horizontal="right"/>
    </xf>
    <xf numFmtId="0" fontId="1" fillId="0" borderId="59" xfId="0" applyFont="1" applyBorder="1"/>
    <xf numFmtId="0" fontId="3" fillId="0" borderId="70" xfId="0" applyFont="1" applyBorder="1" applyAlignment="1">
      <alignment horizontal="left"/>
    </xf>
    <xf numFmtId="10" fontId="18" fillId="8" borderId="33" xfId="0" applyNumberFormat="1" applyFont="1" applyFill="1" applyBorder="1" applyAlignment="1">
      <alignment horizontal="right"/>
    </xf>
    <xf numFmtId="0" fontId="0" fillId="0" borderId="0" xfId="0"/>
    <xf numFmtId="4" fontId="9" fillId="0" borderId="8" xfId="0" applyNumberFormat="1" applyFont="1" applyBorder="1" applyAlignment="1">
      <alignment horizontal="center" vertical="center"/>
    </xf>
    <xf numFmtId="0" fontId="6" fillId="0" borderId="14" xfId="0" applyFont="1" applyBorder="1"/>
    <xf numFmtId="0" fontId="1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5" fontId="10" fillId="5" borderId="9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5" xfId="0" applyFont="1" applyBorder="1"/>
    <xf numFmtId="0" fontId="8" fillId="0" borderId="17" xfId="0" applyFont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0" fontId="8" fillId="0" borderId="18" xfId="0" applyFont="1" applyBorder="1" applyAlignment="1">
      <alignment horizontal="center" vertical="center"/>
    </xf>
    <xf numFmtId="0" fontId="6" fillId="0" borderId="22" xfId="0" applyFont="1" applyBorder="1"/>
    <xf numFmtId="0" fontId="6" fillId="0" borderId="16" xfId="0" applyFont="1" applyBorder="1"/>
    <xf numFmtId="0" fontId="6" fillId="0" borderId="24" xfId="0" applyFont="1" applyBorder="1"/>
    <xf numFmtId="0" fontId="11" fillId="7" borderId="25" xfId="0" applyFont="1" applyFill="1" applyBorder="1" applyAlignment="1">
      <alignment horizontal="center" vertical="center"/>
    </xf>
    <xf numFmtId="0" fontId="6" fillId="0" borderId="26" xfId="0" applyFont="1" applyBorder="1"/>
    <xf numFmtId="0" fontId="6" fillId="0" borderId="27" xfId="0" applyFont="1" applyBorder="1"/>
    <xf numFmtId="0" fontId="11" fillId="7" borderId="29" xfId="0" applyFont="1" applyFill="1" applyBorder="1" applyAlignment="1">
      <alignment horizontal="center" vertical="center"/>
    </xf>
    <xf numFmtId="0" fontId="6" fillId="0" borderId="18" xfId="0" applyFont="1" applyBorder="1"/>
    <xf numFmtId="0" fontId="6" fillId="0" borderId="30" xfId="0" applyFont="1" applyBorder="1"/>
    <xf numFmtId="0" fontId="11" fillId="10" borderId="25" xfId="0" applyFont="1" applyFill="1" applyBorder="1" applyAlignment="1">
      <alignment horizontal="center" vertical="center"/>
    </xf>
    <xf numFmtId="0" fontId="6" fillId="0" borderId="31" xfId="0" applyFont="1" applyBorder="1"/>
    <xf numFmtId="165" fontId="4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/>
    <xf numFmtId="0" fontId="6" fillId="0" borderId="13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5" xfId="0" applyFont="1" applyBorder="1"/>
    <xf numFmtId="0" fontId="14" fillId="3" borderId="1" xfId="0" applyFont="1" applyFill="1" applyBorder="1" applyAlignment="1">
      <alignment horizontal="center" vertical="center" textRotation="90"/>
    </xf>
    <xf numFmtId="0" fontId="6" fillId="0" borderId="36" xfId="0" applyFont="1" applyBorder="1"/>
    <xf numFmtId="0" fontId="6" fillId="0" borderId="3" xfId="0" applyFont="1" applyBorder="1"/>
    <xf numFmtId="0" fontId="7" fillId="11" borderId="0" xfId="0" applyFont="1" applyFill="1" applyAlignment="1">
      <alignment horizont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4" fontId="9" fillId="0" borderId="8" xfId="0" applyNumberFormat="1" applyFont="1" applyBorder="1" applyAlignment="1">
      <alignment horizontal="center"/>
    </xf>
    <xf numFmtId="165" fontId="10" fillId="5" borderId="9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 textRotation="90"/>
    </xf>
    <xf numFmtId="0" fontId="17" fillId="7" borderId="25" xfId="0" applyFont="1" applyFill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4" fontId="8" fillId="0" borderId="17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38" xfId="0" applyFont="1" applyFill="1" applyBorder="1" applyAlignment="1">
      <alignment horizontal="center" vertical="center" textRotation="90"/>
    </xf>
    <xf numFmtId="0" fontId="6" fillId="0" borderId="39" xfId="0" applyFont="1" applyBorder="1"/>
    <xf numFmtId="0" fontId="5" fillId="3" borderId="41" xfId="0" applyFont="1" applyFill="1" applyBorder="1" applyAlignment="1">
      <alignment horizontal="center" vertical="center" textRotation="90"/>
    </xf>
    <xf numFmtId="0" fontId="5" fillId="3" borderId="36" xfId="0" applyFont="1" applyFill="1" applyBorder="1" applyAlignment="1">
      <alignment horizontal="center" vertical="center" textRotation="90"/>
    </xf>
    <xf numFmtId="0" fontId="8" fillId="0" borderId="4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textRotation="90"/>
    </xf>
    <xf numFmtId="0" fontId="8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6" fillId="0" borderId="46" xfId="0" applyFont="1" applyBorder="1"/>
    <xf numFmtId="165" fontId="10" fillId="5" borderId="45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11" fillId="7" borderId="42" xfId="0" applyFont="1" applyFill="1" applyBorder="1" applyAlignment="1">
      <alignment horizontal="center" vertical="center"/>
    </xf>
    <xf numFmtId="0" fontId="6" fillId="0" borderId="43" xfId="0" applyFont="1" applyBorder="1"/>
    <xf numFmtId="0" fontId="6" fillId="0" borderId="44" xfId="0" applyFont="1" applyBorder="1"/>
    <xf numFmtId="0" fontId="8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6" fillId="0" borderId="49" xfId="0" applyFont="1" applyBorder="1"/>
    <xf numFmtId="165" fontId="10" fillId="5" borderId="47" xfId="0" applyNumberFormat="1" applyFont="1" applyFill="1" applyBorder="1" applyAlignment="1">
      <alignment horizontal="center" vertical="center"/>
    </xf>
    <xf numFmtId="0" fontId="6" fillId="0" borderId="48" xfId="0" applyFont="1" applyBorder="1"/>
    <xf numFmtId="0" fontId="11" fillId="10" borderId="42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textRotation="90"/>
    </xf>
    <xf numFmtId="0" fontId="3" fillId="0" borderId="8" xfId="0" applyFont="1" applyBorder="1" applyAlignment="1">
      <alignment horizontal="center" vertical="center"/>
    </xf>
    <xf numFmtId="165" fontId="10" fillId="13" borderId="12" xfId="0" applyNumberFormat="1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65" fontId="10" fillId="5" borderId="12" xfId="0" applyNumberFormat="1" applyFont="1" applyFill="1" applyBorder="1" applyAlignment="1">
      <alignment horizontal="center" vertical="center"/>
    </xf>
    <xf numFmtId="4" fontId="9" fillId="0" borderId="18" xfId="0" applyNumberFormat="1" applyFont="1" applyBorder="1" applyAlignment="1">
      <alignment horizontal="center" vertical="center"/>
    </xf>
    <xf numFmtId="165" fontId="10" fillId="13" borderId="47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165" fontId="10" fillId="5" borderId="3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/>
    </xf>
    <xf numFmtId="0" fontId="6" fillId="0" borderId="56" xfId="0" applyFont="1" applyBorder="1"/>
    <xf numFmtId="0" fontId="1" fillId="0" borderId="51" xfId="0" applyFont="1" applyBorder="1" applyAlignment="1">
      <alignment horizontal="center" vertical="center"/>
    </xf>
    <xf numFmtId="165" fontId="4" fillId="0" borderId="6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17" fillId="7" borderId="5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/>
    <xf numFmtId="0" fontId="1" fillId="0" borderId="0" xfId="0" applyFont="1"/>
    <xf numFmtId="165" fontId="4" fillId="0" borderId="32" xfId="0" applyNumberFormat="1" applyFont="1" applyBorder="1" applyAlignment="1">
      <alignment horizontal="center" vertical="center"/>
    </xf>
    <xf numFmtId="0" fontId="23" fillId="0" borderId="51" xfId="0" applyFont="1" applyBorder="1" applyAlignment="1">
      <alignment horizontal="center" wrapText="1"/>
    </xf>
    <xf numFmtId="165" fontId="4" fillId="0" borderId="12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165" fontId="10" fillId="5" borderId="47" xfId="0" applyNumberFormat="1" applyFont="1" applyFill="1" applyBorder="1" applyAlignment="1">
      <alignment horizontal="center"/>
    </xf>
    <xf numFmtId="165" fontId="10" fillId="0" borderId="31" xfId="0" applyNumberFormat="1" applyFont="1" applyBorder="1" applyAlignment="1">
      <alignment horizontal="center" vertical="center"/>
    </xf>
    <xf numFmtId="165" fontId="4" fillId="15" borderId="12" xfId="0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horizontal="left" wrapText="1"/>
    </xf>
    <xf numFmtId="4" fontId="9" fillId="0" borderId="51" xfId="0" applyNumberFormat="1" applyFont="1" applyBorder="1" applyAlignment="1">
      <alignment horizontal="center" vertical="center"/>
    </xf>
    <xf numFmtId="165" fontId="10" fillId="0" borderId="60" xfId="0" applyNumberFormat="1" applyFont="1" applyBorder="1" applyAlignment="1">
      <alignment horizontal="center" vertical="center"/>
    </xf>
    <xf numFmtId="4" fontId="1" fillId="0" borderId="5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5" fontId="4" fillId="15" borderId="9" xfId="0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165" fontId="4" fillId="0" borderId="64" xfId="0" applyNumberFormat="1" applyFont="1" applyBorder="1" applyAlignment="1">
      <alignment horizontal="center" vertical="center"/>
    </xf>
    <xf numFmtId="165" fontId="10" fillId="13" borderId="45" xfId="0" applyNumberFormat="1" applyFont="1" applyFill="1" applyBorder="1" applyAlignment="1">
      <alignment horizontal="center" vertical="center"/>
    </xf>
    <xf numFmtId="165" fontId="4" fillId="5" borderId="32" xfId="0" applyNumberFormat="1" applyFont="1" applyFill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C377"/>
          <bgColor rgb="FFF6C37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C377"/>
          <bgColor rgb="FFF6C37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C377"/>
          <bgColor rgb="FFF6C37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C377"/>
          <bgColor rgb="FFF6C37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190500</xdr:colOff>
      <xdr:row>1159</xdr:row>
      <xdr:rowOff>127000</xdr:rowOff>
    </xdr:from>
    <xdr:to>
      <xdr:col>9</xdr:col>
      <xdr:colOff>190500</xdr:colOff>
      <xdr:row>1165</xdr:row>
      <xdr:rowOff>50800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9884404F-B307-0BDC-2DB7-A838EA0FBA40}"/>
            </a:ext>
          </a:extLst>
        </xdr:cNvPr>
        <xdr:cNvSpPr txBox="1">
          <a:spLocks noChangeArrowheads="1"/>
        </xdr:cNvSpPr>
      </xdr:nvSpPr>
      <xdr:spPr bwMode="auto">
        <a:xfrm>
          <a:off x="7620000" y="196761100"/>
          <a:ext cx="54102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eikh Kane" id="{91AC31EB-11B1-4A9A-A395-DF92FEA88A35}" userId="" providerId="google-sheets"/>
  <person displayName="Sifax Amarouche" id="{72ACAC03-9D95-4498-AD8C-C4CA48E49BA3}" userId="" providerId="google-sheets"/>
  <person displayName="Utilisateur supprimé" id="{C281FD42-CCAB-425C-A0E8-200E3D4EE905}" userId="" providerId="google-sheets"/>
  <person displayName="imessias@flyingforyou.fr" id="{0E9CBEE8-ABBF-4B4D-BE6A-E1374DAEE3AA}" userId="imessias@flyingforyou.fr" providerId="PeoplePicker"/>
  <person displayName="cheikh.kane@flyingforyou.fr" id="{22821091-6613-4F4C-AB71-EFCBA815D14E}" userId="cheikh.kane@flyingforyou.fr" providerId="PeoplePicker"/>
  <person displayName="sifax.amarouche@flyingforyou.fr" id="{B0994D9C-17DD-744D-8E5E-6C5EE94B9DC5}" userId="sifax.amarouche@flyingforyou.fr" providerId="PeoplePicker"/>
  <person displayName="thiago.oliveira@flyingforyou.fr" id="{EFAB57C6-763C-934E-83EB-E30295CFA529}" userId="thiago.oliveira@flyingforyou.fr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02" dT="2025-08-11T16:41:54.00" personId="{91AC31EB-11B1-4A9A-A395-DF92FEA88A35}" id="{2A762B5E-A47F-4FD0-9060-9E0C162F4DBF}" done="1">
    <text>J'ai fait une erreur sur le prix de vente c'est 58K et non 68K... @sifax.amarouche@flyingforyou.fr</text>
    <mentions>
      <mention mentionpersonId="{B0994D9C-17DD-744D-8E5E-6C5EE94B9DC5}" mentionId="{D80F8E13-4DFC-4F1C-A121-B2EFA43E6A5F}" startIndex="66" length="32"/>
    </mentions>
  </threadedComment>
  <threadedComment ref="F721" dT="2025-08-05T07:47:45.00" personId="{91AC31EB-11B1-4A9A-A395-DF92FEA88A35}" id="{78084E58-D302-403D-86FD-CB240D3BF2A1}" done="1">
    <text>@imessias@flyingforyou.fr @sifax.amarouche@flyingforyou.fr Ce n'est pas le bon montant non ?</text>
    <mentions>
      <mention mentionpersonId="{0E9CBEE8-ABBF-4B4D-BE6A-E1374DAEE3AA}" mentionId="{F7654510-A13F-4631-9542-2AB615DAFAD8}" startIndex="0" length="25"/>
      <mention mentionpersonId="{B0994D9C-17DD-744D-8E5E-6C5EE94B9DC5}" mentionId="{2B19D751-F455-444F-BB26-C0C725159CA7}" startIndex="26" length="32"/>
    </mentions>
  </threadedComment>
  <threadedComment ref="C777" dT="2025-08-11T13:52:20.00" personId="{91AC31EB-11B1-4A9A-A395-DF92FEA88A35}" id="{BAFE9519-146B-49CC-8E65-73BD8E5C64A6}" done="1">
    <text>@sifax.amarouche@flyingforyou.fr  Bellal a acheté un caddie sur place, est-ce que tu l'as pris en compte dans les frais sur place ?</text>
    <mentions>
      <mention mentionpersonId="{B0994D9C-17DD-744D-8E5E-6C5EE94B9DC5}" mentionId="{809776AE-9CD1-4CC3-99FF-B2AC034D9B05}" startIndex="0" length="32"/>
    </mentions>
  </threadedComment>
  <threadedComment ref="B916" dT="2025-10-02T10:08:14.00" personId="{91AC31EB-11B1-4A9A-A395-DF92FEA88A35}" id="{BA5AA28D-FED6-42F6-AE54-C58FCFECFF57}" done="1">
    <text>@sifax.amarouche@flyingforyou.fr Il manque Raouf non ?</text>
    <mentions>
      <mention mentionpersonId="{B0994D9C-17DD-744D-8E5E-6C5EE94B9DC5}" mentionId="{70E0C43D-4E6E-430E-813E-895814830FBC}" startIndex="0" length="32"/>
    </mentions>
  </threadedComment>
  <threadedComment ref="B916" dT="2025-10-02T10:26:17.00" personId="{72ACAC03-9D95-4498-AD8C-C4CA48E49BA3}" id="{0886010A-2CD9-484F-9E7A-BFCA2F941B14}" parentId="{BA5AA28D-FED6-42F6-AE54-C58FCFECFF57}">
    <text>@cheikh.kane@flyingforyou.fr Non, c’est une campagne qui a été jumelée avec JPEE925. Nadjib et Letifi sont partis ensemble pour réaliser les deux missions sur la même journée, en aller-retour. 
Pour la marge de JPEE925, j’ai mis uniquement Nadjib, et pour ENGGR925, uniquement Letifi.</text>
    <mentions>
      <mention mentionpersonId="{22821091-6613-4F4C-AB71-EFCBA815D14E}" mentionId="{C35CE751-1993-46C6-8943-2EE5ABA6AA98}" startIndex="0" length="28"/>
    </mentions>
  </threadedComment>
  <threadedComment ref="B925" dT="2025-10-02T10:09:50.00" personId="{91AC31EB-11B1-4A9A-A395-DF92FEA88A35}" id="{9046EFBB-1B94-4FBF-B58D-88FCD0A72F0C}" done="1">
    <text>@sifax.amarouche@flyingforyou.fr Est-ce que ça prend en compte le vendredi qu'on a rajouté à la dernière minute ?</text>
    <mentions>
      <mention mentionpersonId="{B0994D9C-17DD-744D-8E5E-6C5EE94B9DC5}" mentionId="{132B5003-20A5-40B5-95D2-C2B9DFB47D37}" startIndex="0" length="32"/>
    </mentions>
  </threadedComment>
  <threadedComment ref="B925" dT="2025-10-02T10:28:26.00" personId="{72ACAC03-9D95-4498-AD8C-C4CA48E49BA3}" id="{87215105-F466-4A55-87DA-6217A440CB6D}" parentId="{9046EFBB-1B94-4FBF-B58D-88FCD0A72F0C}">
    <text>Oui, bien sûr.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40" dT="2024-03-12T16:19:04.00" personId="{C281FD42-CCAB-425C-A0E8-200E3D4EE905}" id="{EDB63902-97D6-4673-90C8-27F3A15B5BC9}" done="1">
    <text>@sifax.amarouche@flyingforyou.fr je pense que ce n'est pas le bon nom de campagne. Est-ce que tu peux vérifier stp. Merci</text>
    <mentions>
      <mention mentionpersonId="{B0994D9C-17DD-744D-8E5E-6C5EE94B9DC5}" mentionId="{2438C420-AD42-4996-AF4A-D50BB51A5C37}" startIndex="0" length="32"/>
    </mentions>
  </threadedComment>
  <threadedComment ref="C565" dT="2024-04-27T16:31:56.00" personId="{91AC31EB-11B1-4A9A-A395-DF92FEA88A35}" id="{D702C66B-C1B4-4EA6-AC09-095A961F3EBE}" done="1">
    <text>@thiago.oliveira@flyingforyou.fr Doublon avec l'opé en haut, je pense que c'est pas le bon code opé</text>
    <mentions>
      <mention mentionpersonId="{EFAB57C6-763C-934E-83EB-E30295CFA529}" mentionId="{0A03F4D9-2783-41E9-BC36-91D35F0C6EE2}" startIndex="0" length="32"/>
    </mentions>
  </threadedComment>
  <threadedComment ref="F730" dT="2024-06-12T17:44:26.00" personId="{C281FD42-CCAB-425C-A0E8-200E3D4EE905}" id="{0FEDC874-7637-443D-9B96-90044D0C5C0E}" done="1">
    <text>@sifax.amarouche@flyingforyou.fr , pourquoi on lui paie 17€/h ? Ou c'est juste une erreur de frappe</text>
    <mentions>
      <mention mentionpersonId="{B0994D9C-17DD-744D-8E5E-6C5EE94B9DC5}" mentionId="{DEA68074-001C-4D52-9387-4F38F4179B54}" startIndex="0" length="32"/>
    </mentions>
  </threadedComment>
  <threadedComment ref="E1159" dT="2024-10-15T09:31:21.00" personId="{C281FD42-CCAB-425C-A0E8-200E3D4EE905}" id="{7D6159BA-7B6E-4082-BD1B-4B3BC94DA3D5}" done="1">
    <text>@sifax.amarouche@flyingforyou.fr confirme le nombre d'heure après sur le site YoungOnes. j'ai trouvé 7 créneaux de 7h, mais je ne suis pas sûr qu'on paierait tous. Je te laisse vérifier</text>
    <mentions>
      <mention mentionpersonId="{B0994D9C-17DD-744D-8E5E-6C5EE94B9DC5}" mentionId="{8DCCF29C-590C-402D-9779-2638C712793F}" startIndex="0" length="32"/>
    </mentions>
  </threadedComment>
  <threadedComment ref="E1167" dT="2024-10-15T09:30:19.00" personId="{C281FD42-CCAB-425C-A0E8-200E3D4EE905}" id="{9B487E39-FB32-4D4B-80BD-98B38C02893D}" done="1">
    <text>@sifax.amarouche@flyingforyou.fr sûr de ça ? Il a bossé qu'une seule journée, non ?</text>
    <mentions>
      <mention mentionpersonId="{B0994D9C-17DD-744D-8E5E-6C5EE94B9DC5}" mentionId="{9799D08D-10FF-449C-AF0C-A98ECA6BB826}" startIndex="0" length="32"/>
    </mentions>
  </threadedComment>
  <threadedComment ref="E1167" dT="2024-10-15T09:30:37.00" personId="{C281FD42-CCAB-425C-A0E8-200E3D4EE905}" id="{B28B1EA3-7D45-4166-BECF-6143543CCB5B}" parentId="{9B487E39-FB32-4D4B-80BD-98B38C02893D}">
    <text>Il n'a pas fait 18h dans une journée de 24h mdr ahah</text>
  </threadedComment>
  <threadedComment ref="D1175" dT="2024-10-15T09:32:05.00" personId="{C281FD42-CCAB-425C-A0E8-200E3D4EE905}" id="{F1398464-4834-480A-A4EA-EA3BE9F63082}" done="1">
    <text>@sifax.amarouche@flyingforyou.fr fais qu'une seule ligne pour les BOX.</text>
    <mentions>
      <mention mentionpersonId="{B0994D9C-17DD-744D-8E5E-6C5EE94B9DC5}" mentionId="{00824E8E-D4BD-4845-A4EC-0DB4B6C29D9B}" startIndex="0" length="32"/>
    </mentions>
  </threadedComment>
  <threadedComment ref="G1182" dT="2024-10-15T09:33:16.00" personId="{C281FD42-CCAB-425C-A0E8-200E3D4EE905}" id="{01815566-0834-4349-A700-9DFECE04A15B}" done="1">
    <text>@sifax.amarouche@flyingforyou.fr je te laisse mettre à jour cette information. Si on fait appel à notre assurance, ce montant ne devra pas conster sur le tableau de marge, car ça ne sort pas de notre poche. Il faudra mettre juste la franchise.</text>
    <mentions>
      <mention mentionpersonId="{B0994D9C-17DD-744D-8E5E-6C5EE94B9DC5}" mentionId="{FFEBAFAB-7157-43D5-AFB0-DDD90B26A3FB}" startIndex="0" length="3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212"/>
  <sheetViews>
    <sheetView workbookViewId="0"/>
  </sheetViews>
  <sheetFormatPr baseColWidth="10" defaultColWidth="12.6640625" defaultRowHeight="15.75" customHeight="1"/>
  <cols>
    <col min="2" max="2" width="19" customWidth="1"/>
    <col min="3" max="3" width="32.33203125" customWidth="1"/>
    <col min="4" max="4" width="21" customWidth="1"/>
    <col min="5" max="5" width="15.1640625" customWidth="1"/>
    <col min="6" max="6" width="15.83203125" customWidth="1"/>
    <col min="7" max="7" width="22.5" customWidth="1"/>
    <col min="8" max="9" width="17.6640625" customWidth="1"/>
    <col min="10" max="10" width="14.6640625" customWidth="1"/>
    <col min="13" max="13" width="19" customWidth="1"/>
    <col min="14" max="14" width="32.6640625" customWidth="1"/>
    <col min="15" max="15" width="21" customWidth="1"/>
    <col min="16" max="16" width="15.1640625" customWidth="1"/>
    <col min="17" max="17" width="15.83203125" customWidth="1"/>
    <col min="18" max="18" width="22.5" customWidth="1"/>
    <col min="19" max="20" width="17.6640625" customWidth="1"/>
    <col min="21" max="21" width="14.6640625" customWidth="1"/>
  </cols>
  <sheetData>
    <row r="1" spans="1:21" ht="16">
      <c r="B1" s="1"/>
      <c r="J1" s="2"/>
      <c r="M1" s="1"/>
      <c r="U1" s="2"/>
    </row>
    <row r="2" spans="1:21" ht="45">
      <c r="A2" s="260" t="s">
        <v>111</v>
      </c>
      <c r="B2" s="261"/>
      <c r="C2" s="261"/>
      <c r="D2" s="261"/>
      <c r="E2" s="261"/>
      <c r="F2" s="261"/>
      <c r="G2" s="261"/>
      <c r="H2" s="261"/>
      <c r="I2" s="261"/>
      <c r="J2" s="262"/>
      <c r="L2" s="260" t="s">
        <v>112</v>
      </c>
      <c r="M2" s="261"/>
      <c r="N2" s="261"/>
      <c r="O2" s="261"/>
      <c r="P2" s="261"/>
      <c r="Q2" s="261"/>
      <c r="R2" s="261"/>
      <c r="S2" s="261"/>
      <c r="T2" s="261"/>
      <c r="U2" s="262"/>
    </row>
    <row r="3" spans="1:21" ht="16">
      <c r="B3" s="1"/>
      <c r="J3" s="2"/>
      <c r="M3" s="1"/>
      <c r="U3" s="2"/>
    </row>
    <row r="4" spans="1:21" ht="18">
      <c r="B4" s="3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20</v>
      </c>
      <c r="M4" s="3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5" t="s">
        <v>20</v>
      </c>
    </row>
    <row r="5" spans="1:21" ht="13">
      <c r="A5" s="263" t="s">
        <v>21</v>
      </c>
      <c r="B5" s="6" t="s">
        <v>22</v>
      </c>
      <c r="C5" s="7"/>
      <c r="D5" s="8"/>
      <c r="E5" s="8"/>
      <c r="F5" s="7"/>
      <c r="G5" s="239">
        <f>SUM(F5:F10)</f>
        <v>0</v>
      </c>
      <c r="H5" s="239">
        <v>0</v>
      </c>
      <c r="I5" s="239">
        <f>H5-G5</f>
        <v>0</v>
      </c>
      <c r="J5" s="259" t="e">
        <f>I5/H5</f>
        <v>#DIV/0!</v>
      </c>
      <c r="L5" s="263" t="s">
        <v>21</v>
      </c>
      <c r="M5" s="6" t="s">
        <v>22</v>
      </c>
      <c r="N5" s="7"/>
      <c r="O5" s="8"/>
      <c r="P5" s="8"/>
      <c r="Q5" s="7"/>
      <c r="R5" s="239">
        <f>SUM(Q5:Q10)</f>
        <v>0</v>
      </c>
      <c r="S5" s="239">
        <v>0</v>
      </c>
      <c r="T5" s="239">
        <f>S5-R5</f>
        <v>0</v>
      </c>
      <c r="U5" s="259" t="e">
        <f>T5/S5</f>
        <v>#DIV/0!</v>
      </c>
    </row>
    <row r="6" spans="1:21" ht="13">
      <c r="A6" s="264"/>
      <c r="B6" s="1"/>
      <c r="D6" s="8"/>
      <c r="E6" s="8"/>
      <c r="G6" s="236"/>
      <c r="H6" s="236"/>
      <c r="I6" s="236"/>
      <c r="J6" s="242"/>
      <c r="L6" s="264"/>
      <c r="M6" s="1"/>
      <c r="O6" s="8"/>
      <c r="P6" s="8"/>
      <c r="Q6" s="7"/>
      <c r="R6" s="236"/>
      <c r="S6" s="236"/>
      <c r="T6" s="236"/>
      <c r="U6" s="242"/>
    </row>
    <row r="7" spans="1:21" ht="13">
      <c r="A7" s="264"/>
      <c r="B7" s="1"/>
      <c r="D7" s="11"/>
      <c r="E7" s="11"/>
      <c r="G7" s="236"/>
      <c r="H7" s="236"/>
      <c r="I7" s="236"/>
      <c r="J7" s="242"/>
      <c r="L7" s="264"/>
      <c r="M7" s="1"/>
      <c r="O7" s="11"/>
      <c r="P7" s="11"/>
      <c r="R7" s="236"/>
      <c r="S7" s="236"/>
      <c r="T7" s="236"/>
      <c r="U7" s="242"/>
    </row>
    <row r="8" spans="1:21" ht="13">
      <c r="A8" s="264"/>
      <c r="B8" s="1"/>
      <c r="D8" s="11"/>
      <c r="E8" s="11"/>
      <c r="G8" s="236"/>
      <c r="H8" s="236"/>
      <c r="I8" s="236"/>
      <c r="J8" s="242"/>
      <c r="L8" s="264"/>
      <c r="M8" s="1"/>
      <c r="O8" s="11"/>
      <c r="P8" s="11"/>
      <c r="R8" s="236"/>
      <c r="S8" s="236"/>
      <c r="T8" s="236"/>
      <c r="U8" s="242"/>
    </row>
    <row r="9" spans="1:21" ht="13">
      <c r="A9" s="264"/>
      <c r="B9" s="1"/>
      <c r="D9" s="11"/>
      <c r="E9" s="11"/>
      <c r="G9" s="236"/>
      <c r="H9" s="236"/>
      <c r="I9" s="236"/>
      <c r="J9" s="242"/>
      <c r="L9" s="264"/>
      <c r="M9" s="1"/>
      <c r="O9" s="11"/>
      <c r="P9" s="11"/>
      <c r="R9" s="236"/>
      <c r="S9" s="236"/>
      <c r="T9" s="236"/>
      <c r="U9" s="242"/>
    </row>
    <row r="10" spans="1:21" ht="13">
      <c r="A10" s="265"/>
      <c r="B10" s="12"/>
      <c r="C10" s="13"/>
      <c r="D10" s="14"/>
      <c r="E10" s="14"/>
      <c r="F10" s="14"/>
      <c r="G10" s="238"/>
      <c r="H10" s="238"/>
      <c r="I10" s="238"/>
      <c r="J10" s="243"/>
      <c r="L10" s="265"/>
      <c r="M10" s="12"/>
      <c r="N10" s="13"/>
      <c r="O10" s="14"/>
      <c r="P10" s="14"/>
      <c r="Q10" s="14"/>
      <c r="R10" s="238"/>
      <c r="S10" s="238"/>
      <c r="T10" s="238"/>
      <c r="U10" s="243"/>
    </row>
    <row r="12" spans="1:21" ht="13">
      <c r="A12" s="277" t="s">
        <v>0</v>
      </c>
      <c r="B12" s="244" t="s">
        <v>113</v>
      </c>
      <c r="C12" s="15" t="s">
        <v>114</v>
      </c>
      <c r="D12" s="16">
        <v>7</v>
      </c>
      <c r="E12" s="16">
        <v>18</v>
      </c>
      <c r="F12" s="16">
        <f>D12*E12</f>
        <v>126</v>
      </c>
      <c r="G12" s="240">
        <f>SUM(F12:F13)</f>
        <v>275.21000000000004</v>
      </c>
      <c r="H12" s="237">
        <v>2533.1</v>
      </c>
      <c r="I12" s="237">
        <f>H12-G12</f>
        <v>2257.89</v>
      </c>
      <c r="J12" s="241">
        <f>I12/H12</f>
        <v>0.89135446685878961</v>
      </c>
      <c r="L12" s="277" t="s">
        <v>0</v>
      </c>
      <c r="M12" s="244" t="s">
        <v>113</v>
      </c>
      <c r="N12" s="15" t="s">
        <v>114</v>
      </c>
      <c r="O12" s="43"/>
      <c r="P12" s="43"/>
      <c r="Q12" s="43"/>
      <c r="R12" s="240">
        <f>SUM(Q12:Q13)</f>
        <v>149.21</v>
      </c>
      <c r="S12" s="237">
        <v>2533.1</v>
      </c>
      <c r="T12" s="237">
        <f>S12-R12</f>
        <v>2383.89</v>
      </c>
      <c r="U12" s="241">
        <f>T12/S12</f>
        <v>0.94109589041095887</v>
      </c>
    </row>
    <row r="13" spans="1:21" ht="13">
      <c r="A13" s="249"/>
      <c r="B13" s="246"/>
      <c r="C13" s="44" t="s">
        <v>115</v>
      </c>
      <c r="D13" s="21"/>
      <c r="E13" s="21"/>
      <c r="F13" s="21">
        <v>149.21</v>
      </c>
      <c r="G13" s="238"/>
      <c r="H13" s="238"/>
      <c r="I13" s="238"/>
      <c r="J13" s="243"/>
      <c r="L13" s="249"/>
      <c r="M13" s="246"/>
      <c r="N13" s="44" t="s">
        <v>115</v>
      </c>
      <c r="O13" s="21"/>
      <c r="P13" s="21"/>
      <c r="Q13" s="21">
        <v>149.21</v>
      </c>
      <c r="R13" s="238"/>
      <c r="S13" s="238"/>
      <c r="T13" s="238"/>
      <c r="U13" s="243"/>
    </row>
    <row r="14" spans="1:21" ht="13">
      <c r="A14" s="249"/>
      <c r="B14" s="244" t="s">
        <v>116</v>
      </c>
      <c r="C14" s="15" t="s">
        <v>114</v>
      </c>
      <c r="D14" s="16">
        <v>7</v>
      </c>
      <c r="E14" s="16">
        <v>18</v>
      </c>
      <c r="F14" s="16">
        <f>D14*E14</f>
        <v>126</v>
      </c>
      <c r="G14" s="240">
        <f>SUM(F14:F15)</f>
        <v>191.12</v>
      </c>
      <c r="H14" s="237">
        <v>1215.2</v>
      </c>
      <c r="I14" s="237">
        <f>H14-G14</f>
        <v>1024.08</v>
      </c>
      <c r="J14" s="241">
        <f>I14/H14</f>
        <v>0.84272547728768921</v>
      </c>
      <c r="L14" s="249"/>
      <c r="M14" s="244" t="s">
        <v>116</v>
      </c>
      <c r="N14" s="15" t="s">
        <v>114</v>
      </c>
      <c r="O14" s="43"/>
      <c r="P14" s="43"/>
      <c r="Q14" s="43"/>
      <c r="R14" s="240">
        <f>SUM(Q14:Q15)</f>
        <v>65.12</v>
      </c>
      <c r="S14" s="237">
        <v>1215.2</v>
      </c>
      <c r="T14" s="237">
        <f>S14-R14</f>
        <v>1150.08</v>
      </c>
      <c r="U14" s="241">
        <f>T14/S14</f>
        <v>0.94641211323238961</v>
      </c>
    </row>
    <row r="15" spans="1:21" ht="13">
      <c r="A15" s="249"/>
      <c r="B15" s="246"/>
      <c r="C15" s="44" t="s">
        <v>115</v>
      </c>
      <c r="D15" s="21"/>
      <c r="E15" s="21"/>
      <c r="F15" s="21">
        <v>65.12</v>
      </c>
      <c r="G15" s="238"/>
      <c r="H15" s="238"/>
      <c r="I15" s="238"/>
      <c r="J15" s="243"/>
      <c r="L15" s="249"/>
      <c r="M15" s="246"/>
      <c r="N15" s="44" t="s">
        <v>115</v>
      </c>
      <c r="O15" s="21"/>
      <c r="P15" s="21"/>
      <c r="Q15" s="21">
        <v>65.12</v>
      </c>
      <c r="R15" s="238"/>
      <c r="S15" s="238"/>
      <c r="T15" s="238"/>
      <c r="U15" s="243"/>
    </row>
    <row r="16" spans="1:21" ht="13">
      <c r="A16" s="249"/>
      <c r="B16" s="244" t="s">
        <v>117</v>
      </c>
      <c r="C16" s="19" t="s">
        <v>63</v>
      </c>
      <c r="D16" s="16"/>
      <c r="E16" s="16"/>
      <c r="F16" s="17">
        <v>1000</v>
      </c>
      <c r="G16" s="240">
        <f>SUM(F16:F25)</f>
        <v>2532.6799999999998</v>
      </c>
      <c r="H16" s="240">
        <v>7062</v>
      </c>
      <c r="I16" s="240">
        <f>H16-G16</f>
        <v>4529.32</v>
      </c>
      <c r="J16" s="241">
        <f>I16/H16</f>
        <v>0.64136505239308972</v>
      </c>
      <c r="L16" s="249"/>
      <c r="M16" s="244" t="s">
        <v>117</v>
      </c>
      <c r="N16" s="19" t="s">
        <v>63</v>
      </c>
      <c r="O16" s="16"/>
      <c r="P16" s="16"/>
      <c r="Q16" s="17">
        <v>1000</v>
      </c>
      <c r="R16" s="240">
        <f>SUM(Q16:Q25)</f>
        <v>2532.6799999999998</v>
      </c>
      <c r="S16" s="240">
        <v>7062</v>
      </c>
      <c r="T16" s="240">
        <f>S16-R16</f>
        <v>4529.32</v>
      </c>
      <c r="U16" s="241">
        <f>T16/S16</f>
        <v>0.64136505239308972</v>
      </c>
    </row>
    <row r="17" spans="1:21" ht="13">
      <c r="A17" s="249"/>
      <c r="B17" s="245"/>
      <c r="C17" s="19" t="s">
        <v>118</v>
      </c>
      <c r="D17" s="17"/>
      <c r="E17" s="17"/>
      <c r="F17" s="17">
        <v>170</v>
      </c>
      <c r="G17" s="236"/>
      <c r="H17" s="236"/>
      <c r="I17" s="236"/>
      <c r="J17" s="242"/>
      <c r="L17" s="249"/>
      <c r="M17" s="245"/>
      <c r="N17" s="19" t="s">
        <v>118</v>
      </c>
      <c r="O17" s="17"/>
      <c r="P17" s="17"/>
      <c r="Q17" s="17">
        <v>170</v>
      </c>
      <c r="R17" s="236"/>
      <c r="S17" s="236"/>
      <c r="T17" s="236"/>
      <c r="U17" s="242"/>
    </row>
    <row r="18" spans="1:21" ht="14">
      <c r="A18" s="249"/>
      <c r="B18" s="245"/>
      <c r="C18" s="45" t="s">
        <v>119</v>
      </c>
      <c r="D18" s="17"/>
      <c r="E18" s="17">
        <v>18.5</v>
      </c>
      <c r="F18" s="17">
        <f t="shared" ref="F18:F23" si="0">D18*E18</f>
        <v>0</v>
      </c>
      <c r="G18" s="236"/>
      <c r="H18" s="236"/>
      <c r="I18" s="236"/>
      <c r="J18" s="242"/>
      <c r="L18" s="249"/>
      <c r="M18" s="245"/>
      <c r="N18" s="45" t="s">
        <v>119</v>
      </c>
      <c r="O18" s="17"/>
      <c r="P18" s="17">
        <v>18.5</v>
      </c>
      <c r="Q18" s="17">
        <f t="shared" ref="Q18:Q23" si="1">O18*P18</f>
        <v>0</v>
      </c>
      <c r="R18" s="236"/>
      <c r="S18" s="236"/>
      <c r="T18" s="236"/>
      <c r="U18" s="242"/>
    </row>
    <row r="19" spans="1:21" ht="14">
      <c r="A19" s="249"/>
      <c r="B19" s="245"/>
      <c r="C19" s="45" t="s">
        <v>120</v>
      </c>
      <c r="D19" s="17">
        <v>12</v>
      </c>
      <c r="E19" s="17">
        <v>18.5</v>
      </c>
      <c r="F19" s="17">
        <f t="shared" si="0"/>
        <v>222</v>
      </c>
      <c r="G19" s="236"/>
      <c r="H19" s="236"/>
      <c r="I19" s="236"/>
      <c r="J19" s="242"/>
      <c r="L19" s="249"/>
      <c r="M19" s="245"/>
      <c r="N19" s="46" t="s">
        <v>120</v>
      </c>
      <c r="O19" s="17">
        <v>12</v>
      </c>
      <c r="P19" s="17">
        <v>18.5</v>
      </c>
      <c r="Q19" s="17">
        <f t="shared" si="1"/>
        <v>222</v>
      </c>
      <c r="R19" s="236"/>
      <c r="S19" s="236"/>
      <c r="T19" s="236"/>
      <c r="U19" s="242"/>
    </row>
    <row r="20" spans="1:21" ht="14">
      <c r="A20" s="249"/>
      <c r="B20" s="245"/>
      <c r="C20" s="45" t="s">
        <v>121</v>
      </c>
      <c r="D20" s="17">
        <v>12</v>
      </c>
      <c r="E20" s="17">
        <v>18.5</v>
      </c>
      <c r="F20" s="17">
        <f t="shared" si="0"/>
        <v>222</v>
      </c>
      <c r="G20" s="236"/>
      <c r="H20" s="236"/>
      <c r="I20" s="236"/>
      <c r="J20" s="242"/>
      <c r="L20" s="249"/>
      <c r="M20" s="245"/>
      <c r="N20" s="46" t="s">
        <v>121</v>
      </c>
      <c r="O20" s="17">
        <v>12</v>
      </c>
      <c r="P20" s="17">
        <v>18.5</v>
      </c>
      <c r="Q20" s="17">
        <f t="shared" si="1"/>
        <v>222</v>
      </c>
      <c r="R20" s="236"/>
      <c r="S20" s="236"/>
      <c r="T20" s="236"/>
      <c r="U20" s="242"/>
    </row>
    <row r="21" spans="1:21" ht="14">
      <c r="A21" s="249"/>
      <c r="B21" s="245"/>
      <c r="C21" s="45" t="s">
        <v>122</v>
      </c>
      <c r="D21" s="17">
        <v>6</v>
      </c>
      <c r="E21" s="17">
        <v>15</v>
      </c>
      <c r="F21" s="17">
        <f t="shared" si="0"/>
        <v>90</v>
      </c>
      <c r="G21" s="236"/>
      <c r="H21" s="236"/>
      <c r="I21" s="236"/>
      <c r="J21" s="242"/>
      <c r="L21" s="249"/>
      <c r="M21" s="245"/>
      <c r="N21" s="46" t="s">
        <v>122</v>
      </c>
      <c r="O21" s="17">
        <v>6</v>
      </c>
      <c r="P21" s="17">
        <v>15</v>
      </c>
      <c r="Q21" s="17">
        <f t="shared" si="1"/>
        <v>90</v>
      </c>
      <c r="R21" s="236"/>
      <c r="S21" s="236"/>
      <c r="T21" s="236"/>
      <c r="U21" s="242"/>
    </row>
    <row r="22" spans="1:21" ht="13">
      <c r="A22" s="249"/>
      <c r="B22" s="245"/>
      <c r="C22" s="47" t="s">
        <v>123</v>
      </c>
      <c r="D22" s="17">
        <v>12</v>
      </c>
      <c r="E22" s="17">
        <v>15</v>
      </c>
      <c r="F22" s="17">
        <f t="shared" si="0"/>
        <v>180</v>
      </c>
      <c r="G22" s="236"/>
      <c r="H22" s="236"/>
      <c r="I22" s="236"/>
      <c r="J22" s="242"/>
      <c r="L22" s="249"/>
      <c r="M22" s="245"/>
      <c r="N22" s="48" t="s">
        <v>123</v>
      </c>
      <c r="O22" s="17">
        <v>12</v>
      </c>
      <c r="P22" s="17">
        <v>15</v>
      </c>
      <c r="Q22" s="17">
        <f t="shared" si="1"/>
        <v>180</v>
      </c>
      <c r="R22" s="236"/>
      <c r="S22" s="236"/>
      <c r="T22" s="236"/>
      <c r="U22" s="242"/>
    </row>
    <row r="23" spans="1:21" ht="14">
      <c r="A23" s="249"/>
      <c r="B23" s="245"/>
      <c r="C23" s="45" t="s">
        <v>124</v>
      </c>
      <c r="D23" s="17">
        <v>12</v>
      </c>
      <c r="E23" s="17">
        <v>18.5</v>
      </c>
      <c r="F23" s="17">
        <f t="shared" si="0"/>
        <v>222</v>
      </c>
      <c r="G23" s="236"/>
      <c r="H23" s="236"/>
      <c r="I23" s="236"/>
      <c r="J23" s="242"/>
      <c r="L23" s="249"/>
      <c r="M23" s="245"/>
      <c r="N23" s="46" t="s">
        <v>124</v>
      </c>
      <c r="O23" s="17">
        <v>12</v>
      </c>
      <c r="P23" s="17">
        <v>18.5</v>
      </c>
      <c r="Q23" s="17">
        <f t="shared" si="1"/>
        <v>222</v>
      </c>
      <c r="R23" s="236"/>
      <c r="S23" s="236"/>
      <c r="T23" s="236"/>
      <c r="U23" s="242"/>
    </row>
    <row r="24" spans="1:21" ht="13">
      <c r="A24" s="249"/>
      <c r="B24" s="245"/>
      <c r="C24" s="19" t="s">
        <v>48</v>
      </c>
      <c r="D24" s="17"/>
      <c r="E24" s="17"/>
      <c r="F24" s="17">
        <v>426.68</v>
      </c>
      <c r="G24" s="236"/>
      <c r="H24" s="236"/>
      <c r="I24" s="236"/>
      <c r="J24" s="242"/>
      <c r="L24" s="249"/>
      <c r="M24" s="245"/>
      <c r="N24" s="19" t="s">
        <v>48</v>
      </c>
      <c r="O24" s="17"/>
      <c r="P24" s="17"/>
      <c r="Q24" s="17">
        <v>426.68</v>
      </c>
      <c r="R24" s="236"/>
      <c r="S24" s="236"/>
      <c r="T24" s="236"/>
      <c r="U24" s="242"/>
    </row>
    <row r="25" spans="1:21" ht="13">
      <c r="A25" s="249"/>
      <c r="B25" s="246"/>
      <c r="C25" s="44"/>
      <c r="D25" s="21"/>
      <c r="E25" s="17"/>
      <c r="F25" s="21"/>
      <c r="G25" s="238"/>
      <c r="H25" s="238"/>
      <c r="I25" s="238"/>
      <c r="J25" s="243"/>
      <c r="L25" s="249"/>
      <c r="M25" s="246"/>
      <c r="N25" s="44"/>
      <c r="O25" s="21"/>
      <c r="P25" s="21"/>
      <c r="Q25" s="21"/>
      <c r="R25" s="238"/>
      <c r="S25" s="238"/>
      <c r="T25" s="238"/>
      <c r="U25" s="243"/>
    </row>
    <row r="26" spans="1:21" ht="13">
      <c r="A26" s="249"/>
      <c r="B26" s="244" t="s">
        <v>125</v>
      </c>
      <c r="C26" s="19" t="s">
        <v>23</v>
      </c>
      <c r="D26" s="16">
        <v>21</v>
      </c>
      <c r="E26" s="16">
        <v>16</v>
      </c>
      <c r="F26" s="17">
        <f t="shared" ref="F26:F34" si="2">D26*E26</f>
        <v>336</v>
      </c>
      <c r="G26" s="240">
        <f>SUM(F26:F36)</f>
        <v>5610.7199999999993</v>
      </c>
      <c r="H26" s="237">
        <v>12037.04</v>
      </c>
      <c r="I26" s="237">
        <f>H26-G26</f>
        <v>6426.3200000000015</v>
      </c>
      <c r="J26" s="241">
        <f>I26/H26</f>
        <v>0.53387876089138198</v>
      </c>
      <c r="L26" s="249"/>
      <c r="M26" s="244" t="s">
        <v>125</v>
      </c>
      <c r="N26" s="19" t="s">
        <v>23</v>
      </c>
      <c r="O26" s="43"/>
      <c r="P26" s="43"/>
      <c r="Q26" s="43"/>
      <c r="R26" s="240">
        <f>SUM(Q26:Q36)</f>
        <v>4922.7199999999993</v>
      </c>
      <c r="S26" s="237">
        <v>12037.04</v>
      </c>
      <c r="T26" s="237">
        <f>S26-R26</f>
        <v>7114.3200000000015</v>
      </c>
      <c r="U26" s="241">
        <f>T26/S26</f>
        <v>0.5910356698989121</v>
      </c>
    </row>
    <row r="27" spans="1:21" ht="13">
      <c r="A27" s="249"/>
      <c r="B27" s="245"/>
      <c r="C27" s="19" t="s">
        <v>114</v>
      </c>
      <c r="D27" s="17">
        <v>21</v>
      </c>
      <c r="E27" s="17">
        <v>18</v>
      </c>
      <c r="F27" s="17">
        <f t="shared" si="2"/>
        <v>378</v>
      </c>
      <c r="G27" s="236"/>
      <c r="H27" s="236"/>
      <c r="I27" s="236"/>
      <c r="J27" s="242"/>
      <c r="L27" s="249"/>
      <c r="M27" s="245"/>
      <c r="N27" s="19" t="s">
        <v>114</v>
      </c>
      <c r="O27" s="18"/>
      <c r="P27" s="18"/>
      <c r="Q27" s="18"/>
      <c r="R27" s="236"/>
      <c r="S27" s="236"/>
      <c r="T27" s="236"/>
      <c r="U27" s="242"/>
    </row>
    <row r="28" spans="1:21" ht="14">
      <c r="A28" s="249"/>
      <c r="B28" s="245"/>
      <c r="C28" s="45" t="s">
        <v>62</v>
      </c>
      <c r="D28" s="17">
        <v>24.22</v>
      </c>
      <c r="E28" s="17">
        <v>13</v>
      </c>
      <c r="F28" s="17">
        <f t="shared" si="2"/>
        <v>314.86</v>
      </c>
      <c r="G28" s="236"/>
      <c r="H28" s="236"/>
      <c r="I28" s="236"/>
      <c r="J28" s="242"/>
      <c r="L28" s="249"/>
      <c r="M28" s="245"/>
      <c r="N28" s="45" t="s">
        <v>62</v>
      </c>
      <c r="O28" s="17">
        <v>24.22</v>
      </c>
      <c r="P28" s="17">
        <v>13</v>
      </c>
      <c r="Q28" s="17">
        <f t="shared" ref="Q28:Q34" si="3">O28*P28</f>
        <v>314.86</v>
      </c>
      <c r="R28" s="236"/>
      <c r="S28" s="236"/>
      <c r="T28" s="236"/>
      <c r="U28" s="242"/>
    </row>
    <row r="29" spans="1:21" ht="14">
      <c r="A29" s="249"/>
      <c r="B29" s="245"/>
      <c r="C29" s="45" t="s">
        <v>64</v>
      </c>
      <c r="D29" s="17">
        <v>18.5</v>
      </c>
      <c r="E29" s="17">
        <v>13</v>
      </c>
      <c r="F29" s="17">
        <f t="shared" si="2"/>
        <v>240.5</v>
      </c>
      <c r="G29" s="236"/>
      <c r="H29" s="236"/>
      <c r="I29" s="236"/>
      <c r="J29" s="242"/>
      <c r="L29" s="249"/>
      <c r="M29" s="245"/>
      <c r="N29" s="45" t="s">
        <v>64</v>
      </c>
      <c r="O29" s="17">
        <v>18.5</v>
      </c>
      <c r="P29" s="17">
        <v>13</v>
      </c>
      <c r="Q29" s="17">
        <f t="shared" si="3"/>
        <v>240.5</v>
      </c>
      <c r="R29" s="236"/>
      <c r="S29" s="236"/>
      <c r="T29" s="236"/>
      <c r="U29" s="242"/>
    </row>
    <row r="30" spans="1:21" ht="14">
      <c r="A30" s="249"/>
      <c r="B30" s="245"/>
      <c r="C30" s="45" t="s">
        <v>32</v>
      </c>
      <c r="D30" s="17">
        <v>17.04</v>
      </c>
      <c r="E30" s="17">
        <v>13</v>
      </c>
      <c r="F30" s="17">
        <f t="shared" si="2"/>
        <v>221.51999999999998</v>
      </c>
      <c r="G30" s="236"/>
      <c r="H30" s="236"/>
      <c r="I30" s="236"/>
      <c r="J30" s="242"/>
      <c r="L30" s="249"/>
      <c r="M30" s="245"/>
      <c r="N30" s="45" t="s">
        <v>32</v>
      </c>
      <c r="O30" s="17">
        <v>17.04</v>
      </c>
      <c r="P30" s="17">
        <v>13</v>
      </c>
      <c r="Q30" s="17">
        <f t="shared" si="3"/>
        <v>221.51999999999998</v>
      </c>
      <c r="R30" s="236"/>
      <c r="S30" s="236"/>
      <c r="T30" s="236"/>
      <c r="U30" s="242"/>
    </row>
    <row r="31" spans="1:21" ht="14">
      <c r="A31" s="249"/>
      <c r="B31" s="245"/>
      <c r="C31" s="45" t="s">
        <v>126</v>
      </c>
      <c r="D31" s="17">
        <v>22.48</v>
      </c>
      <c r="E31" s="17">
        <v>13</v>
      </c>
      <c r="F31" s="17">
        <f t="shared" si="2"/>
        <v>292.24</v>
      </c>
      <c r="G31" s="236"/>
      <c r="H31" s="236"/>
      <c r="I31" s="236"/>
      <c r="J31" s="242"/>
      <c r="L31" s="249"/>
      <c r="M31" s="245"/>
      <c r="N31" s="45" t="s">
        <v>126</v>
      </c>
      <c r="O31" s="17">
        <v>24.48</v>
      </c>
      <c r="P31" s="17">
        <v>13</v>
      </c>
      <c r="Q31" s="17">
        <f t="shared" si="3"/>
        <v>318.24</v>
      </c>
      <c r="R31" s="236"/>
      <c r="S31" s="236"/>
      <c r="T31" s="236"/>
      <c r="U31" s="242"/>
    </row>
    <row r="32" spans="1:21" ht="13">
      <c r="A32" s="249"/>
      <c r="B32" s="245"/>
      <c r="C32" s="48" t="s">
        <v>38</v>
      </c>
      <c r="D32" s="17">
        <v>18.600000000000001</v>
      </c>
      <c r="E32" s="17">
        <v>13</v>
      </c>
      <c r="F32" s="17">
        <f t="shared" si="2"/>
        <v>241.8</v>
      </c>
      <c r="G32" s="236"/>
      <c r="H32" s="236"/>
      <c r="I32" s="236"/>
      <c r="J32" s="242"/>
      <c r="L32" s="249"/>
      <c r="M32" s="245"/>
      <c r="N32" s="48" t="s">
        <v>38</v>
      </c>
      <c r="O32" s="17">
        <v>18.600000000000001</v>
      </c>
      <c r="P32" s="17">
        <v>13</v>
      </c>
      <c r="Q32" s="17">
        <f t="shared" si="3"/>
        <v>241.8</v>
      </c>
      <c r="R32" s="236"/>
      <c r="S32" s="236"/>
      <c r="T32" s="236"/>
      <c r="U32" s="242"/>
    </row>
    <row r="33" spans="1:21" ht="13">
      <c r="A33" s="249"/>
      <c r="B33" s="245"/>
      <c r="C33" s="48" t="s">
        <v>53</v>
      </c>
      <c r="D33" s="17">
        <v>10.15</v>
      </c>
      <c r="E33" s="17">
        <v>13</v>
      </c>
      <c r="F33" s="17">
        <f t="shared" si="2"/>
        <v>131.95000000000002</v>
      </c>
      <c r="G33" s="236"/>
      <c r="H33" s="236"/>
      <c r="I33" s="236"/>
      <c r="J33" s="242"/>
      <c r="L33" s="249"/>
      <c r="M33" s="245"/>
      <c r="N33" s="48" t="s">
        <v>53</v>
      </c>
      <c r="O33" s="17">
        <v>10.15</v>
      </c>
      <c r="P33" s="17">
        <v>13</v>
      </c>
      <c r="Q33" s="17">
        <f t="shared" si="3"/>
        <v>131.95000000000002</v>
      </c>
      <c r="R33" s="236"/>
      <c r="S33" s="236"/>
      <c r="T33" s="236"/>
      <c r="U33" s="242"/>
    </row>
    <row r="34" spans="1:21" ht="14">
      <c r="A34" s="249"/>
      <c r="B34" s="245"/>
      <c r="C34" s="45" t="s">
        <v>70</v>
      </c>
      <c r="D34" s="17">
        <v>7.45</v>
      </c>
      <c r="E34" s="17">
        <v>13</v>
      </c>
      <c r="F34" s="17">
        <f t="shared" si="2"/>
        <v>96.850000000000009</v>
      </c>
      <c r="G34" s="236"/>
      <c r="H34" s="236"/>
      <c r="I34" s="236"/>
      <c r="J34" s="242"/>
      <c r="L34" s="249"/>
      <c r="M34" s="245"/>
      <c r="N34" s="45" t="s">
        <v>70</v>
      </c>
      <c r="O34" s="17">
        <v>7.45</v>
      </c>
      <c r="P34" s="17">
        <v>13</v>
      </c>
      <c r="Q34" s="17">
        <f t="shared" si="3"/>
        <v>96.850000000000009</v>
      </c>
      <c r="R34" s="236"/>
      <c r="S34" s="236"/>
      <c r="T34" s="236"/>
      <c r="U34" s="242"/>
    </row>
    <row r="35" spans="1:21" ht="13">
      <c r="A35" s="249"/>
      <c r="B35" s="245"/>
      <c r="C35" s="19" t="s">
        <v>45</v>
      </c>
      <c r="D35" s="17"/>
      <c r="E35" s="17"/>
      <c r="F35" s="17">
        <v>167</v>
      </c>
      <c r="G35" s="236"/>
      <c r="H35" s="236"/>
      <c r="I35" s="236"/>
      <c r="J35" s="242"/>
      <c r="L35" s="249"/>
      <c r="M35" s="245"/>
      <c r="N35" s="19" t="s">
        <v>45</v>
      </c>
      <c r="O35" s="17"/>
      <c r="P35" s="17"/>
      <c r="Q35" s="17">
        <v>167</v>
      </c>
      <c r="R35" s="236"/>
      <c r="S35" s="236"/>
      <c r="T35" s="236"/>
      <c r="U35" s="242"/>
    </row>
    <row r="36" spans="1:21" ht="13">
      <c r="A36" s="249"/>
      <c r="B36" s="246"/>
      <c r="C36" s="44" t="s">
        <v>33</v>
      </c>
      <c r="D36" s="21"/>
      <c r="E36" s="21"/>
      <c r="F36" s="21">
        <v>3190</v>
      </c>
      <c r="G36" s="238"/>
      <c r="H36" s="238"/>
      <c r="I36" s="238"/>
      <c r="J36" s="243"/>
      <c r="L36" s="249"/>
      <c r="M36" s="246"/>
      <c r="N36" s="44" t="s">
        <v>127</v>
      </c>
      <c r="O36" s="21"/>
      <c r="P36" s="21"/>
      <c r="Q36" s="21">
        <v>3190</v>
      </c>
      <c r="R36" s="238"/>
      <c r="S36" s="238"/>
      <c r="T36" s="238"/>
      <c r="U36" s="243"/>
    </row>
    <row r="37" spans="1:21" ht="13">
      <c r="A37" s="249"/>
      <c r="B37" s="244" t="s">
        <v>128</v>
      </c>
      <c r="C37" s="15" t="s">
        <v>114</v>
      </c>
      <c r="D37" s="16">
        <v>3.5</v>
      </c>
      <c r="E37" s="16">
        <v>18</v>
      </c>
      <c r="F37" s="16">
        <f>D37*E37</f>
        <v>63</v>
      </c>
      <c r="G37" s="240">
        <f>SUM(F37:F39)</f>
        <v>126.5</v>
      </c>
      <c r="H37" s="237">
        <v>1362.69</v>
      </c>
      <c r="I37" s="237">
        <f>H37-G37</f>
        <v>1236.19</v>
      </c>
      <c r="J37" s="241">
        <f>I37/H37</f>
        <v>0.90716890855587107</v>
      </c>
      <c r="L37" s="249"/>
      <c r="M37" s="244" t="s">
        <v>128</v>
      </c>
      <c r="N37" s="15" t="s">
        <v>114</v>
      </c>
      <c r="O37" s="18"/>
      <c r="P37" s="18"/>
      <c r="Q37" s="18"/>
      <c r="R37" s="240">
        <f>SUM(Q37:Q39)</f>
        <v>63.5</v>
      </c>
      <c r="S37" s="237">
        <v>1362.69</v>
      </c>
      <c r="T37" s="237">
        <f>S37-R37</f>
        <v>1299.19</v>
      </c>
      <c r="U37" s="241">
        <f>T37/S37</f>
        <v>0.95340099362290764</v>
      </c>
    </row>
    <row r="38" spans="1:21" ht="13">
      <c r="A38" s="249"/>
      <c r="B38" s="245"/>
      <c r="C38" s="19" t="s">
        <v>44</v>
      </c>
      <c r="D38" s="17"/>
      <c r="E38" s="17"/>
      <c r="F38" s="17">
        <v>13.5</v>
      </c>
      <c r="G38" s="236"/>
      <c r="H38" s="236"/>
      <c r="I38" s="236"/>
      <c r="J38" s="242"/>
      <c r="L38" s="249"/>
      <c r="M38" s="245"/>
      <c r="N38" s="19" t="s">
        <v>44</v>
      </c>
      <c r="O38" s="17"/>
      <c r="P38" s="17"/>
      <c r="Q38" s="17">
        <v>13.5</v>
      </c>
      <c r="R38" s="236"/>
      <c r="S38" s="236"/>
      <c r="T38" s="236"/>
      <c r="U38" s="242"/>
    </row>
    <row r="39" spans="1:21" ht="13">
      <c r="A39" s="249"/>
      <c r="B39" s="246"/>
      <c r="C39" s="44" t="s">
        <v>45</v>
      </c>
      <c r="D39" s="21"/>
      <c r="E39" s="21"/>
      <c r="F39" s="21">
        <v>50</v>
      </c>
      <c r="G39" s="238"/>
      <c r="H39" s="238"/>
      <c r="I39" s="238"/>
      <c r="J39" s="243"/>
      <c r="L39" s="249"/>
      <c r="M39" s="246"/>
      <c r="N39" s="44" t="s">
        <v>45</v>
      </c>
      <c r="O39" s="21"/>
      <c r="P39" s="21"/>
      <c r="Q39" s="21">
        <v>50</v>
      </c>
      <c r="R39" s="238"/>
      <c r="S39" s="238"/>
      <c r="T39" s="238"/>
      <c r="U39" s="243"/>
    </row>
    <row r="40" spans="1:21" ht="13">
      <c r="A40" s="249"/>
      <c r="B40" s="244" t="s">
        <v>129</v>
      </c>
      <c r="C40" s="15" t="s">
        <v>114</v>
      </c>
      <c r="D40" s="16">
        <v>3.5</v>
      </c>
      <c r="E40" s="16">
        <v>18</v>
      </c>
      <c r="F40" s="16">
        <f>D40*E40</f>
        <v>63</v>
      </c>
      <c r="G40" s="240">
        <f>SUM(F40:F42)</f>
        <v>126.5</v>
      </c>
      <c r="H40" s="237">
        <v>1362.69</v>
      </c>
      <c r="I40" s="237">
        <f>H40-G40</f>
        <v>1236.19</v>
      </c>
      <c r="J40" s="241">
        <f>I40/H40</f>
        <v>0.90716890855587107</v>
      </c>
      <c r="L40" s="249"/>
      <c r="M40" s="244" t="s">
        <v>129</v>
      </c>
      <c r="N40" s="15" t="s">
        <v>114</v>
      </c>
      <c r="O40" s="18"/>
      <c r="P40" s="18"/>
      <c r="Q40" s="18"/>
      <c r="R40" s="240">
        <f>SUM(Q40:Q42)</f>
        <v>63.5</v>
      </c>
      <c r="S40" s="237">
        <v>1362.69</v>
      </c>
      <c r="T40" s="237">
        <f>S40-R40</f>
        <v>1299.19</v>
      </c>
      <c r="U40" s="241">
        <f>T40/S40</f>
        <v>0.95340099362290764</v>
      </c>
    </row>
    <row r="41" spans="1:21" ht="13">
      <c r="A41" s="249"/>
      <c r="B41" s="245"/>
      <c r="C41" s="19" t="s">
        <v>44</v>
      </c>
      <c r="D41" s="17"/>
      <c r="E41" s="17"/>
      <c r="F41" s="17">
        <v>13.5</v>
      </c>
      <c r="G41" s="236"/>
      <c r="H41" s="236"/>
      <c r="I41" s="236"/>
      <c r="J41" s="242"/>
      <c r="L41" s="249"/>
      <c r="M41" s="245"/>
      <c r="N41" s="19" t="s">
        <v>44</v>
      </c>
      <c r="O41" s="17"/>
      <c r="P41" s="17"/>
      <c r="Q41" s="17">
        <v>13.5</v>
      </c>
      <c r="R41" s="236"/>
      <c r="S41" s="236"/>
      <c r="T41" s="236"/>
      <c r="U41" s="242"/>
    </row>
    <row r="42" spans="1:21" ht="13">
      <c r="A42" s="249"/>
      <c r="B42" s="246"/>
      <c r="C42" s="44" t="s">
        <v>45</v>
      </c>
      <c r="D42" s="21"/>
      <c r="E42" s="21"/>
      <c r="F42" s="21">
        <v>50</v>
      </c>
      <c r="G42" s="238"/>
      <c r="H42" s="238"/>
      <c r="I42" s="238"/>
      <c r="J42" s="243"/>
      <c r="L42" s="249"/>
      <c r="M42" s="246"/>
      <c r="N42" s="44" t="s">
        <v>45</v>
      </c>
      <c r="O42" s="21"/>
      <c r="P42" s="21"/>
      <c r="Q42" s="21">
        <v>50</v>
      </c>
      <c r="R42" s="238"/>
      <c r="S42" s="238"/>
      <c r="T42" s="238"/>
      <c r="U42" s="243"/>
    </row>
    <row r="43" spans="1:21" ht="13">
      <c r="A43" s="249"/>
      <c r="B43" s="244" t="s">
        <v>130</v>
      </c>
      <c r="C43" s="19" t="s">
        <v>23</v>
      </c>
      <c r="D43" s="16">
        <v>21</v>
      </c>
      <c r="E43" s="16">
        <v>16</v>
      </c>
      <c r="F43" s="17">
        <f t="shared" ref="F43:F49" si="4">D43*E43</f>
        <v>336</v>
      </c>
      <c r="G43" s="240">
        <f>SUM(F43:F51)</f>
        <v>1744.4099999999999</v>
      </c>
      <c r="H43" s="237">
        <v>6562.5</v>
      </c>
      <c r="I43" s="237">
        <f>H43-G43</f>
        <v>4818.09</v>
      </c>
      <c r="J43" s="241">
        <f>I43/H43</f>
        <v>0.73418514285714287</v>
      </c>
      <c r="L43" s="249"/>
      <c r="M43" s="244" t="s">
        <v>130</v>
      </c>
      <c r="N43" s="19" t="s">
        <v>23</v>
      </c>
      <c r="O43" s="18"/>
      <c r="P43" s="18"/>
      <c r="Q43" s="18"/>
      <c r="R43" s="240">
        <f>SUM(Q43:Q51)</f>
        <v>1156.4099999999999</v>
      </c>
      <c r="S43" s="237">
        <v>6562.5</v>
      </c>
      <c r="T43" s="237">
        <f>S43-R43</f>
        <v>5406.09</v>
      </c>
      <c r="U43" s="241">
        <f>T43/S43</f>
        <v>0.82378514285714288</v>
      </c>
    </row>
    <row r="44" spans="1:21" ht="13">
      <c r="A44" s="249"/>
      <c r="B44" s="245"/>
      <c r="C44" s="19" t="s">
        <v>114</v>
      </c>
      <c r="D44" s="17">
        <v>14</v>
      </c>
      <c r="E44" s="17">
        <v>18</v>
      </c>
      <c r="F44" s="17">
        <f t="shared" si="4"/>
        <v>252</v>
      </c>
      <c r="G44" s="236"/>
      <c r="H44" s="236"/>
      <c r="I44" s="236"/>
      <c r="J44" s="242"/>
      <c r="L44" s="249"/>
      <c r="M44" s="245"/>
      <c r="N44" s="19" t="s">
        <v>114</v>
      </c>
      <c r="O44" s="18"/>
      <c r="P44" s="18"/>
      <c r="Q44" s="18"/>
      <c r="R44" s="236"/>
      <c r="S44" s="236"/>
      <c r="T44" s="236"/>
      <c r="U44" s="242"/>
    </row>
    <row r="45" spans="1:21" ht="14">
      <c r="A45" s="249"/>
      <c r="B45" s="245"/>
      <c r="C45" s="45" t="s">
        <v>53</v>
      </c>
      <c r="D45" s="17">
        <v>6.62</v>
      </c>
      <c r="E45" s="17">
        <v>13</v>
      </c>
      <c r="F45" s="17">
        <f t="shared" si="4"/>
        <v>86.06</v>
      </c>
      <c r="G45" s="236"/>
      <c r="H45" s="236"/>
      <c r="I45" s="236"/>
      <c r="J45" s="242"/>
      <c r="L45" s="249"/>
      <c r="M45" s="245"/>
      <c r="N45" s="45" t="s">
        <v>53</v>
      </c>
      <c r="O45" s="17">
        <v>6.62</v>
      </c>
      <c r="P45" s="17">
        <v>13</v>
      </c>
      <c r="Q45" s="17">
        <f t="shared" ref="Q45:Q49" si="5">O45*P45</f>
        <v>86.06</v>
      </c>
      <c r="R45" s="236"/>
      <c r="S45" s="236"/>
      <c r="T45" s="236"/>
      <c r="U45" s="242"/>
    </row>
    <row r="46" spans="1:21" ht="14">
      <c r="A46" s="249"/>
      <c r="B46" s="245"/>
      <c r="C46" s="45" t="s">
        <v>126</v>
      </c>
      <c r="D46" s="17">
        <v>17.04</v>
      </c>
      <c r="E46" s="17">
        <v>13</v>
      </c>
      <c r="F46" s="17">
        <f t="shared" si="4"/>
        <v>221.51999999999998</v>
      </c>
      <c r="G46" s="236"/>
      <c r="H46" s="236"/>
      <c r="I46" s="236"/>
      <c r="J46" s="242"/>
      <c r="L46" s="249"/>
      <c r="M46" s="245"/>
      <c r="N46" s="45" t="s">
        <v>126</v>
      </c>
      <c r="O46" s="17">
        <v>17.04</v>
      </c>
      <c r="P46" s="17">
        <v>13</v>
      </c>
      <c r="Q46" s="17">
        <f t="shared" si="5"/>
        <v>221.51999999999998</v>
      </c>
      <c r="R46" s="236"/>
      <c r="S46" s="236"/>
      <c r="T46" s="236"/>
      <c r="U46" s="242"/>
    </row>
    <row r="47" spans="1:21" ht="14">
      <c r="A47" s="249"/>
      <c r="B47" s="245"/>
      <c r="C47" s="45" t="s">
        <v>64</v>
      </c>
      <c r="D47" s="17">
        <v>16.87</v>
      </c>
      <c r="E47" s="17">
        <v>13</v>
      </c>
      <c r="F47" s="17">
        <f t="shared" si="4"/>
        <v>219.31</v>
      </c>
      <c r="G47" s="236"/>
      <c r="H47" s="236"/>
      <c r="I47" s="236"/>
      <c r="J47" s="242"/>
      <c r="L47" s="249"/>
      <c r="M47" s="245"/>
      <c r="N47" s="45" t="s">
        <v>64</v>
      </c>
      <c r="O47" s="17">
        <v>16.87</v>
      </c>
      <c r="P47" s="17">
        <v>13</v>
      </c>
      <c r="Q47" s="17">
        <f t="shared" si="5"/>
        <v>219.31</v>
      </c>
      <c r="R47" s="236"/>
      <c r="S47" s="236"/>
      <c r="T47" s="236"/>
      <c r="U47" s="242"/>
    </row>
    <row r="48" spans="1:21" ht="14">
      <c r="A48" s="249"/>
      <c r="B48" s="245"/>
      <c r="C48" s="45" t="s">
        <v>32</v>
      </c>
      <c r="D48" s="17">
        <v>16.59</v>
      </c>
      <c r="E48" s="17">
        <v>13</v>
      </c>
      <c r="F48" s="17">
        <f t="shared" si="4"/>
        <v>215.67</v>
      </c>
      <c r="G48" s="236"/>
      <c r="H48" s="236"/>
      <c r="I48" s="236"/>
      <c r="J48" s="242"/>
      <c r="L48" s="249"/>
      <c r="M48" s="245"/>
      <c r="N48" s="45" t="s">
        <v>32</v>
      </c>
      <c r="O48" s="17">
        <v>16.59</v>
      </c>
      <c r="P48" s="17">
        <v>13</v>
      </c>
      <c r="Q48" s="17">
        <f t="shared" si="5"/>
        <v>215.67</v>
      </c>
      <c r="R48" s="236"/>
      <c r="S48" s="236"/>
      <c r="T48" s="236"/>
      <c r="U48" s="242"/>
    </row>
    <row r="49" spans="1:21" ht="13">
      <c r="A49" s="249"/>
      <c r="B49" s="245"/>
      <c r="C49" s="48" t="s">
        <v>62</v>
      </c>
      <c r="D49" s="17">
        <v>16.45</v>
      </c>
      <c r="E49" s="17">
        <v>13</v>
      </c>
      <c r="F49" s="17">
        <f t="shared" si="4"/>
        <v>213.85</v>
      </c>
      <c r="G49" s="236"/>
      <c r="H49" s="236"/>
      <c r="I49" s="236"/>
      <c r="J49" s="242"/>
      <c r="L49" s="249"/>
      <c r="M49" s="245"/>
      <c r="N49" s="48" t="s">
        <v>62</v>
      </c>
      <c r="O49" s="17">
        <v>16.45</v>
      </c>
      <c r="P49" s="17">
        <v>13</v>
      </c>
      <c r="Q49" s="17">
        <f t="shared" si="5"/>
        <v>213.85</v>
      </c>
      <c r="R49" s="236"/>
      <c r="S49" s="236"/>
      <c r="T49" s="236"/>
      <c r="U49" s="242"/>
    </row>
    <row r="50" spans="1:21" ht="13">
      <c r="A50" s="249"/>
      <c r="B50" s="245"/>
      <c r="C50" s="19" t="s">
        <v>45</v>
      </c>
      <c r="D50" s="17"/>
      <c r="E50" s="17"/>
      <c r="F50" s="17">
        <v>200</v>
      </c>
      <c r="G50" s="236"/>
      <c r="H50" s="236"/>
      <c r="I50" s="236"/>
      <c r="J50" s="242"/>
      <c r="L50" s="249"/>
      <c r="M50" s="245"/>
      <c r="N50" s="19" t="s">
        <v>45</v>
      </c>
      <c r="O50" s="17"/>
      <c r="P50" s="17"/>
      <c r="Q50" s="17">
        <v>200</v>
      </c>
      <c r="R50" s="236"/>
      <c r="S50" s="236"/>
      <c r="T50" s="236"/>
      <c r="U50" s="242"/>
    </row>
    <row r="51" spans="1:21" ht="13">
      <c r="A51" s="249"/>
      <c r="B51" s="246"/>
      <c r="C51" s="44"/>
      <c r="D51" s="21"/>
      <c r="E51" s="21"/>
      <c r="F51" s="21"/>
      <c r="G51" s="238"/>
      <c r="H51" s="238"/>
      <c r="I51" s="238"/>
      <c r="J51" s="243"/>
      <c r="L51" s="249"/>
      <c r="M51" s="246"/>
      <c r="N51" s="44"/>
      <c r="O51" s="21"/>
      <c r="P51" s="21"/>
      <c r="Q51" s="21"/>
      <c r="R51" s="238"/>
      <c r="S51" s="238"/>
      <c r="T51" s="238"/>
      <c r="U51" s="243"/>
    </row>
    <row r="52" spans="1:21" ht="13">
      <c r="A52" s="249"/>
      <c r="B52" s="244" t="s">
        <v>131</v>
      </c>
      <c r="C52" s="15" t="s">
        <v>114</v>
      </c>
      <c r="D52" s="16">
        <v>7</v>
      </c>
      <c r="E52" s="16">
        <v>18</v>
      </c>
      <c r="F52" s="16">
        <f>D52*E52</f>
        <v>126</v>
      </c>
      <c r="G52" s="240">
        <f>SUM(F52:F54)</f>
        <v>238.11</v>
      </c>
      <c r="H52" s="237">
        <v>2699.2</v>
      </c>
      <c r="I52" s="237">
        <f>H52-G52</f>
        <v>2461.0899999999997</v>
      </c>
      <c r="J52" s="241">
        <f>I52/H52</f>
        <v>0.91178497332542974</v>
      </c>
      <c r="L52" s="249"/>
      <c r="M52" s="244" t="s">
        <v>131</v>
      </c>
      <c r="N52" s="15" t="s">
        <v>114</v>
      </c>
      <c r="O52" s="18"/>
      <c r="P52" s="18"/>
      <c r="Q52" s="18"/>
      <c r="R52" s="240">
        <f>SUM(Q52:Q54)</f>
        <v>112.11</v>
      </c>
      <c r="S52" s="237">
        <v>2699.2</v>
      </c>
      <c r="T52" s="237">
        <f>S52-R52</f>
        <v>2587.0899999999997</v>
      </c>
      <c r="U52" s="241">
        <f>T52/S52</f>
        <v>0.95846547125074089</v>
      </c>
    </row>
    <row r="53" spans="1:21" ht="13">
      <c r="A53" s="249"/>
      <c r="B53" s="245"/>
      <c r="C53" s="19" t="s">
        <v>44</v>
      </c>
      <c r="D53" s="17"/>
      <c r="E53" s="17"/>
      <c r="F53" s="17">
        <v>38.11</v>
      </c>
      <c r="G53" s="236"/>
      <c r="H53" s="236"/>
      <c r="I53" s="236"/>
      <c r="J53" s="242"/>
      <c r="L53" s="249"/>
      <c r="M53" s="245"/>
      <c r="N53" s="19" t="s">
        <v>44</v>
      </c>
      <c r="O53" s="17"/>
      <c r="P53" s="17"/>
      <c r="Q53" s="17">
        <v>38.11</v>
      </c>
      <c r="R53" s="236"/>
      <c r="S53" s="236"/>
      <c r="T53" s="236"/>
      <c r="U53" s="242"/>
    </row>
    <row r="54" spans="1:21" ht="13">
      <c r="A54" s="249"/>
      <c r="B54" s="246"/>
      <c r="C54" s="44" t="s">
        <v>45</v>
      </c>
      <c r="D54" s="21"/>
      <c r="E54" s="21"/>
      <c r="F54" s="21">
        <v>74</v>
      </c>
      <c r="G54" s="238"/>
      <c r="H54" s="238"/>
      <c r="I54" s="238"/>
      <c r="J54" s="243"/>
      <c r="L54" s="249"/>
      <c r="M54" s="246"/>
      <c r="N54" s="44" t="s">
        <v>45</v>
      </c>
      <c r="O54" s="21"/>
      <c r="P54" s="21"/>
      <c r="Q54" s="21">
        <v>74</v>
      </c>
      <c r="R54" s="238"/>
      <c r="S54" s="238"/>
      <c r="T54" s="238"/>
      <c r="U54" s="243"/>
    </row>
    <row r="55" spans="1:21" ht="13">
      <c r="A55" s="249"/>
      <c r="B55" s="244" t="s">
        <v>132</v>
      </c>
      <c r="C55" s="15" t="s">
        <v>23</v>
      </c>
      <c r="D55" s="16">
        <v>14</v>
      </c>
      <c r="E55" s="16">
        <v>16</v>
      </c>
      <c r="F55" s="16">
        <f>D55*E55</f>
        <v>224</v>
      </c>
      <c r="G55" s="240">
        <f>SUM(F55:F57)</f>
        <v>322.2</v>
      </c>
      <c r="H55" s="237">
        <v>2398.4499999999998</v>
      </c>
      <c r="I55" s="237">
        <f>H55-G55</f>
        <v>2076.25</v>
      </c>
      <c r="J55" s="241">
        <f>I55/H55</f>
        <v>0.86566324084304458</v>
      </c>
      <c r="L55" s="249"/>
      <c r="M55" s="244" t="s">
        <v>132</v>
      </c>
      <c r="N55" s="15" t="s">
        <v>23</v>
      </c>
      <c r="O55" s="18"/>
      <c r="P55" s="18"/>
      <c r="Q55" s="18"/>
      <c r="R55" s="240">
        <f>SUM(Q55:Q57)</f>
        <v>98.2</v>
      </c>
      <c r="S55" s="237">
        <v>2398.4499999999998</v>
      </c>
      <c r="T55" s="237">
        <f>S55-R55</f>
        <v>2300.25</v>
      </c>
      <c r="U55" s="241">
        <f>T55/S55</f>
        <v>0.95905689090871193</v>
      </c>
    </row>
    <row r="56" spans="1:21" ht="13">
      <c r="A56" s="249"/>
      <c r="B56" s="245"/>
      <c r="C56" s="19" t="s">
        <v>44</v>
      </c>
      <c r="D56" s="17"/>
      <c r="E56" s="17"/>
      <c r="F56" s="17">
        <v>28</v>
      </c>
      <c r="G56" s="236"/>
      <c r="H56" s="236"/>
      <c r="I56" s="236"/>
      <c r="J56" s="242"/>
      <c r="L56" s="249"/>
      <c r="M56" s="245"/>
      <c r="N56" s="19" t="s">
        <v>44</v>
      </c>
      <c r="O56" s="17"/>
      <c r="P56" s="17"/>
      <c r="Q56" s="17">
        <v>28</v>
      </c>
      <c r="R56" s="236"/>
      <c r="S56" s="236"/>
      <c r="T56" s="236"/>
      <c r="U56" s="242"/>
    </row>
    <row r="57" spans="1:21" ht="13">
      <c r="A57" s="249"/>
      <c r="B57" s="246"/>
      <c r="C57" s="44" t="s">
        <v>45</v>
      </c>
      <c r="D57" s="21"/>
      <c r="E57" s="21"/>
      <c r="F57" s="21">
        <v>70.2</v>
      </c>
      <c r="G57" s="238"/>
      <c r="H57" s="238"/>
      <c r="I57" s="238"/>
      <c r="J57" s="243"/>
      <c r="L57" s="249"/>
      <c r="M57" s="246"/>
      <c r="N57" s="44" t="s">
        <v>45</v>
      </c>
      <c r="O57" s="21"/>
      <c r="P57" s="21"/>
      <c r="Q57" s="21">
        <v>70.2</v>
      </c>
      <c r="R57" s="238"/>
      <c r="S57" s="238"/>
      <c r="T57" s="238"/>
      <c r="U57" s="243"/>
    </row>
    <row r="58" spans="1:21" ht="13">
      <c r="A58" s="249"/>
      <c r="B58" s="244" t="s">
        <v>133</v>
      </c>
      <c r="C58" s="15" t="s">
        <v>114</v>
      </c>
      <c r="D58" s="16">
        <v>7</v>
      </c>
      <c r="E58" s="16">
        <v>18</v>
      </c>
      <c r="F58" s="16">
        <f>D58*E58</f>
        <v>126</v>
      </c>
      <c r="G58" s="240">
        <f>SUM(F58:F60)</f>
        <v>294</v>
      </c>
      <c r="H58" s="237">
        <v>2076.48</v>
      </c>
      <c r="I58" s="237">
        <f>H58-G58</f>
        <v>1782.48</v>
      </c>
      <c r="J58" s="241">
        <f>I58/H58</f>
        <v>0.85841423948220064</v>
      </c>
      <c r="L58" s="249"/>
      <c r="M58" s="244" t="s">
        <v>133</v>
      </c>
      <c r="N58" s="15" t="s">
        <v>114</v>
      </c>
      <c r="O58" s="18"/>
      <c r="P58" s="18"/>
      <c r="Q58" s="18"/>
      <c r="R58" s="240">
        <f>SUM(Q58:Q60)</f>
        <v>168</v>
      </c>
      <c r="S58" s="237">
        <v>2076.48</v>
      </c>
      <c r="T58" s="237">
        <f>S58-R58</f>
        <v>1908.48</v>
      </c>
      <c r="U58" s="241">
        <f>T58/S58</f>
        <v>0.91909385113268605</v>
      </c>
    </row>
    <row r="59" spans="1:21" ht="13">
      <c r="A59" s="249"/>
      <c r="B59" s="245"/>
      <c r="C59" s="19" t="s">
        <v>44</v>
      </c>
      <c r="D59" s="17"/>
      <c r="E59" s="17"/>
      <c r="F59" s="17">
        <v>58</v>
      </c>
      <c r="G59" s="236"/>
      <c r="H59" s="236"/>
      <c r="I59" s="236"/>
      <c r="J59" s="242"/>
      <c r="L59" s="249"/>
      <c r="M59" s="245"/>
      <c r="N59" s="19" t="s">
        <v>44</v>
      </c>
      <c r="O59" s="17"/>
      <c r="P59" s="17"/>
      <c r="Q59" s="17">
        <v>58</v>
      </c>
      <c r="R59" s="236"/>
      <c r="S59" s="236"/>
      <c r="T59" s="236"/>
      <c r="U59" s="242"/>
    </row>
    <row r="60" spans="1:21" ht="13">
      <c r="A60" s="249"/>
      <c r="B60" s="246"/>
      <c r="C60" s="44" t="s">
        <v>45</v>
      </c>
      <c r="D60" s="21"/>
      <c r="E60" s="21"/>
      <c r="F60" s="21">
        <v>110</v>
      </c>
      <c r="G60" s="238"/>
      <c r="H60" s="238"/>
      <c r="I60" s="238"/>
      <c r="J60" s="243"/>
      <c r="L60" s="249"/>
      <c r="M60" s="246"/>
      <c r="N60" s="44" t="s">
        <v>45</v>
      </c>
      <c r="O60" s="21"/>
      <c r="P60" s="21"/>
      <c r="Q60" s="21">
        <v>110</v>
      </c>
      <c r="R60" s="238"/>
      <c r="S60" s="238"/>
      <c r="T60" s="238"/>
      <c r="U60" s="243"/>
    </row>
    <row r="61" spans="1:21" ht="13">
      <c r="A61" s="249"/>
      <c r="B61" s="244" t="s">
        <v>134</v>
      </c>
      <c r="C61" s="15" t="s">
        <v>114</v>
      </c>
      <c r="D61" s="16">
        <v>14</v>
      </c>
      <c r="E61" s="16">
        <v>18</v>
      </c>
      <c r="F61" s="16">
        <f>D61*E61</f>
        <v>252</v>
      </c>
      <c r="G61" s="240">
        <f>SUM(F61:F63)</f>
        <v>394.25</v>
      </c>
      <c r="H61" s="237">
        <v>1770</v>
      </c>
      <c r="I61" s="237">
        <f>H61-G61</f>
        <v>1375.75</v>
      </c>
      <c r="J61" s="241">
        <f>I61/H61</f>
        <v>0.77725988700564974</v>
      </c>
      <c r="L61" s="249"/>
      <c r="M61" s="244" t="s">
        <v>134</v>
      </c>
      <c r="N61" s="15" t="s">
        <v>114</v>
      </c>
      <c r="O61" s="18"/>
      <c r="P61" s="18"/>
      <c r="Q61" s="18"/>
      <c r="R61" s="240">
        <f>SUM(Q61:Q63)</f>
        <v>142.25</v>
      </c>
      <c r="S61" s="237">
        <v>1770</v>
      </c>
      <c r="T61" s="237">
        <f>S61-R61</f>
        <v>1627.75</v>
      </c>
      <c r="U61" s="241">
        <f>T61/S61</f>
        <v>0.91963276836158192</v>
      </c>
    </row>
    <row r="62" spans="1:21" ht="13">
      <c r="A62" s="249"/>
      <c r="B62" s="245"/>
      <c r="C62" s="19" t="s">
        <v>33</v>
      </c>
      <c r="D62" s="17"/>
      <c r="E62" s="17"/>
      <c r="F62" s="17">
        <v>142.25</v>
      </c>
      <c r="G62" s="236"/>
      <c r="H62" s="236"/>
      <c r="I62" s="236"/>
      <c r="J62" s="242"/>
      <c r="L62" s="249"/>
      <c r="M62" s="245"/>
      <c r="N62" s="19" t="s">
        <v>33</v>
      </c>
      <c r="O62" s="17"/>
      <c r="P62" s="17"/>
      <c r="Q62" s="17">
        <v>142.25</v>
      </c>
      <c r="R62" s="236"/>
      <c r="S62" s="236"/>
      <c r="T62" s="236"/>
      <c r="U62" s="242"/>
    </row>
    <row r="63" spans="1:21" ht="13">
      <c r="A63" s="249"/>
      <c r="B63" s="246"/>
      <c r="C63" s="44"/>
      <c r="D63" s="21"/>
      <c r="E63" s="21"/>
      <c r="F63" s="21"/>
      <c r="G63" s="238"/>
      <c r="H63" s="238"/>
      <c r="I63" s="238"/>
      <c r="J63" s="243"/>
      <c r="L63" s="249"/>
      <c r="M63" s="246"/>
      <c r="N63" s="44"/>
      <c r="O63" s="21"/>
      <c r="P63" s="21"/>
      <c r="Q63" s="21"/>
      <c r="R63" s="238"/>
      <c r="S63" s="238"/>
      <c r="T63" s="238"/>
      <c r="U63" s="243"/>
    </row>
    <row r="64" spans="1:21" ht="13">
      <c r="A64" s="249"/>
      <c r="B64" s="244" t="s">
        <v>135</v>
      </c>
      <c r="C64" s="15" t="s">
        <v>23</v>
      </c>
      <c r="D64" s="16">
        <v>7</v>
      </c>
      <c r="E64" s="16">
        <v>16</v>
      </c>
      <c r="F64" s="16">
        <f>D64*E64</f>
        <v>112</v>
      </c>
      <c r="G64" s="240">
        <f>SUM(F64:F65)</f>
        <v>112</v>
      </c>
      <c r="H64" s="237">
        <v>600</v>
      </c>
      <c r="I64" s="237">
        <f>H64-G64</f>
        <v>488</v>
      </c>
      <c r="J64" s="241">
        <f>I64/H64</f>
        <v>0.81333333333333335</v>
      </c>
      <c r="L64" s="249"/>
      <c r="M64" s="244" t="s">
        <v>135</v>
      </c>
      <c r="N64" s="15" t="s">
        <v>23</v>
      </c>
      <c r="O64" s="18"/>
      <c r="P64" s="18"/>
      <c r="Q64" s="18"/>
      <c r="R64" s="240">
        <f>SUM(Q64:Q65)</f>
        <v>0</v>
      </c>
      <c r="S64" s="237">
        <v>600</v>
      </c>
      <c r="T64" s="237">
        <f>S64-R64</f>
        <v>600</v>
      </c>
      <c r="U64" s="241">
        <f>T64/S64</f>
        <v>1</v>
      </c>
    </row>
    <row r="65" spans="1:21" ht="13">
      <c r="A65" s="249"/>
      <c r="B65" s="246"/>
      <c r="C65" s="44"/>
      <c r="D65" s="21"/>
      <c r="E65" s="21"/>
      <c r="F65" s="21"/>
      <c r="G65" s="238"/>
      <c r="H65" s="238"/>
      <c r="I65" s="238"/>
      <c r="J65" s="243"/>
      <c r="L65" s="249"/>
      <c r="M65" s="246"/>
      <c r="N65" s="44"/>
      <c r="O65" s="21"/>
      <c r="P65" s="21"/>
      <c r="Q65" s="21"/>
      <c r="R65" s="238"/>
      <c r="S65" s="238"/>
      <c r="T65" s="238"/>
      <c r="U65" s="243"/>
    </row>
    <row r="66" spans="1:21" ht="13">
      <c r="A66" s="249"/>
      <c r="B66" s="244" t="s">
        <v>136</v>
      </c>
      <c r="C66" s="19" t="s">
        <v>23</v>
      </c>
      <c r="D66" s="16">
        <v>7</v>
      </c>
      <c r="E66" s="16">
        <v>16</v>
      </c>
      <c r="F66" s="17">
        <f t="shared" ref="F66:F71" si="6">D66*E66</f>
        <v>112</v>
      </c>
      <c r="G66" s="240">
        <f>SUM(F66:F72)</f>
        <v>1016</v>
      </c>
      <c r="H66" s="237">
        <v>4215</v>
      </c>
      <c r="I66" s="237">
        <f>H66-G66</f>
        <v>3199</v>
      </c>
      <c r="J66" s="241">
        <f>I66/H66</f>
        <v>0.7589561091340451</v>
      </c>
      <c r="L66" s="249"/>
      <c r="M66" s="244" t="s">
        <v>136</v>
      </c>
      <c r="N66" s="19" t="s">
        <v>23</v>
      </c>
      <c r="O66" s="18"/>
      <c r="P66" s="18"/>
      <c r="Q66" s="18"/>
      <c r="R66" s="240">
        <f>SUM(Q66:Q72)</f>
        <v>904</v>
      </c>
      <c r="S66" s="237">
        <v>4215</v>
      </c>
      <c r="T66" s="237">
        <f>S66-R66</f>
        <v>3311</v>
      </c>
      <c r="U66" s="241">
        <f>T66/S66</f>
        <v>0.78552787663107948</v>
      </c>
    </row>
    <row r="67" spans="1:21" ht="13">
      <c r="A67" s="249"/>
      <c r="B67" s="245"/>
      <c r="C67" s="19" t="s">
        <v>137</v>
      </c>
      <c r="D67" s="17">
        <v>12</v>
      </c>
      <c r="E67" s="17">
        <v>15</v>
      </c>
      <c r="F67" s="17">
        <f t="shared" si="6"/>
        <v>180</v>
      </c>
      <c r="G67" s="236"/>
      <c r="H67" s="236"/>
      <c r="I67" s="236"/>
      <c r="J67" s="242"/>
      <c r="L67" s="249"/>
      <c r="M67" s="245"/>
      <c r="N67" s="19" t="s">
        <v>137</v>
      </c>
      <c r="O67" s="17">
        <v>12</v>
      </c>
      <c r="P67" s="17">
        <v>15</v>
      </c>
      <c r="Q67" s="17">
        <f t="shared" ref="Q67:Q71" si="7">O67*P67</f>
        <v>180</v>
      </c>
      <c r="R67" s="236"/>
      <c r="S67" s="236"/>
      <c r="T67" s="236"/>
      <c r="U67" s="242"/>
    </row>
    <row r="68" spans="1:21" ht="14">
      <c r="A68" s="249"/>
      <c r="B68" s="245"/>
      <c r="C68" s="45" t="s">
        <v>138</v>
      </c>
      <c r="D68" s="17">
        <v>12</v>
      </c>
      <c r="E68" s="17">
        <v>15</v>
      </c>
      <c r="F68" s="17">
        <f t="shared" si="6"/>
        <v>180</v>
      </c>
      <c r="G68" s="236"/>
      <c r="H68" s="236"/>
      <c r="I68" s="236"/>
      <c r="J68" s="242"/>
      <c r="L68" s="249"/>
      <c r="M68" s="245"/>
      <c r="N68" s="45" t="s">
        <v>138</v>
      </c>
      <c r="O68" s="17">
        <v>12</v>
      </c>
      <c r="P68" s="17">
        <v>15</v>
      </c>
      <c r="Q68" s="17">
        <f t="shared" si="7"/>
        <v>180</v>
      </c>
      <c r="R68" s="236"/>
      <c r="S68" s="236"/>
      <c r="T68" s="236"/>
      <c r="U68" s="242"/>
    </row>
    <row r="69" spans="1:21" ht="14">
      <c r="A69" s="249"/>
      <c r="B69" s="245"/>
      <c r="C69" s="45" t="s">
        <v>70</v>
      </c>
      <c r="D69" s="17">
        <v>6</v>
      </c>
      <c r="E69" s="17">
        <v>15</v>
      </c>
      <c r="F69" s="17">
        <f t="shared" si="6"/>
        <v>90</v>
      </c>
      <c r="G69" s="236"/>
      <c r="H69" s="236"/>
      <c r="I69" s="236"/>
      <c r="J69" s="242"/>
      <c r="L69" s="249"/>
      <c r="M69" s="245"/>
      <c r="N69" s="45" t="s">
        <v>70</v>
      </c>
      <c r="O69" s="17">
        <v>6</v>
      </c>
      <c r="P69" s="17">
        <v>15</v>
      </c>
      <c r="Q69" s="17">
        <f t="shared" si="7"/>
        <v>90</v>
      </c>
      <c r="R69" s="236"/>
      <c r="S69" s="236"/>
      <c r="T69" s="236"/>
      <c r="U69" s="242"/>
    </row>
    <row r="70" spans="1:21" ht="14">
      <c r="A70" s="249"/>
      <c r="B70" s="245"/>
      <c r="C70" s="45" t="s">
        <v>139</v>
      </c>
      <c r="D70" s="17">
        <v>6</v>
      </c>
      <c r="E70" s="17">
        <v>15</v>
      </c>
      <c r="F70" s="17">
        <f t="shared" si="6"/>
        <v>90</v>
      </c>
      <c r="G70" s="236"/>
      <c r="H70" s="236"/>
      <c r="I70" s="236"/>
      <c r="J70" s="242"/>
      <c r="L70" s="249"/>
      <c r="M70" s="245"/>
      <c r="N70" s="45" t="s">
        <v>139</v>
      </c>
      <c r="O70" s="17">
        <v>6</v>
      </c>
      <c r="P70" s="17">
        <v>15</v>
      </c>
      <c r="Q70" s="17">
        <f t="shared" si="7"/>
        <v>90</v>
      </c>
      <c r="R70" s="236"/>
      <c r="S70" s="236"/>
      <c r="T70" s="236"/>
      <c r="U70" s="242"/>
    </row>
    <row r="71" spans="1:21" ht="14">
      <c r="A71" s="249"/>
      <c r="B71" s="245"/>
      <c r="C71" s="45" t="s">
        <v>140</v>
      </c>
      <c r="D71" s="17">
        <v>12</v>
      </c>
      <c r="E71" s="17">
        <v>15</v>
      </c>
      <c r="F71" s="17">
        <f t="shared" si="6"/>
        <v>180</v>
      </c>
      <c r="G71" s="236"/>
      <c r="H71" s="236"/>
      <c r="I71" s="236"/>
      <c r="J71" s="242"/>
      <c r="L71" s="249"/>
      <c r="M71" s="245"/>
      <c r="N71" s="45" t="s">
        <v>140</v>
      </c>
      <c r="O71" s="17">
        <v>12</v>
      </c>
      <c r="P71" s="17">
        <v>15</v>
      </c>
      <c r="Q71" s="17">
        <f t="shared" si="7"/>
        <v>180</v>
      </c>
      <c r="R71" s="236"/>
      <c r="S71" s="236"/>
      <c r="T71" s="236"/>
      <c r="U71" s="242"/>
    </row>
    <row r="72" spans="1:21" ht="13">
      <c r="A72" s="249"/>
      <c r="B72" s="246"/>
      <c r="C72" s="44" t="s">
        <v>33</v>
      </c>
      <c r="D72" s="21"/>
      <c r="E72" s="21"/>
      <c r="F72" s="21">
        <v>184</v>
      </c>
      <c r="G72" s="238"/>
      <c r="H72" s="238"/>
      <c r="I72" s="238"/>
      <c r="J72" s="243"/>
      <c r="L72" s="249"/>
      <c r="M72" s="246"/>
      <c r="N72" s="44" t="s">
        <v>33</v>
      </c>
      <c r="O72" s="21"/>
      <c r="P72" s="21"/>
      <c r="Q72" s="21">
        <v>184</v>
      </c>
      <c r="R72" s="238"/>
      <c r="S72" s="238"/>
      <c r="T72" s="238"/>
      <c r="U72" s="243"/>
    </row>
    <row r="73" spans="1:21" ht="13">
      <c r="A73" s="249"/>
      <c r="B73" s="244" t="s">
        <v>134</v>
      </c>
      <c r="C73" s="15" t="s">
        <v>114</v>
      </c>
      <c r="D73" s="16">
        <v>7</v>
      </c>
      <c r="E73" s="16">
        <v>18</v>
      </c>
      <c r="F73" s="16">
        <f t="shared" ref="F73:F74" si="8">D73*E73</f>
        <v>126</v>
      </c>
      <c r="G73" s="240">
        <f>SUM(F73:F76)</f>
        <v>1119.67</v>
      </c>
      <c r="H73" s="237">
        <v>4455</v>
      </c>
      <c r="I73" s="237">
        <f>H73-G73</f>
        <v>3335.33</v>
      </c>
      <c r="J73" s="241">
        <f>I73/H73</f>
        <v>0.7486711560044893</v>
      </c>
      <c r="L73" s="249"/>
      <c r="M73" s="244" t="s">
        <v>134</v>
      </c>
      <c r="N73" s="15" t="s">
        <v>114</v>
      </c>
      <c r="O73" s="18"/>
      <c r="P73" s="18"/>
      <c r="Q73" s="18"/>
      <c r="R73" s="240">
        <f>SUM(Q73:Q76)</f>
        <v>881.67</v>
      </c>
      <c r="S73" s="237">
        <v>4455</v>
      </c>
      <c r="T73" s="237">
        <f>S73-R73</f>
        <v>3573.33</v>
      </c>
      <c r="U73" s="241">
        <f>T73/S73</f>
        <v>0.80209427609427608</v>
      </c>
    </row>
    <row r="74" spans="1:21" ht="13">
      <c r="A74" s="249"/>
      <c r="B74" s="245"/>
      <c r="C74" s="19" t="s">
        <v>23</v>
      </c>
      <c r="D74" s="17">
        <v>7</v>
      </c>
      <c r="E74" s="17">
        <v>16</v>
      </c>
      <c r="F74" s="17">
        <f t="shared" si="8"/>
        <v>112</v>
      </c>
      <c r="G74" s="236"/>
      <c r="H74" s="236"/>
      <c r="I74" s="236"/>
      <c r="J74" s="242"/>
      <c r="L74" s="249"/>
      <c r="M74" s="245"/>
      <c r="N74" s="19" t="s">
        <v>23</v>
      </c>
      <c r="O74" s="18"/>
      <c r="P74" s="18"/>
      <c r="Q74" s="18"/>
      <c r="R74" s="236"/>
      <c r="S74" s="236"/>
      <c r="T74" s="236"/>
      <c r="U74" s="242"/>
    </row>
    <row r="75" spans="1:21" ht="13">
      <c r="A75" s="249"/>
      <c r="B75" s="245"/>
      <c r="C75" s="19" t="s">
        <v>33</v>
      </c>
      <c r="D75" s="17"/>
      <c r="E75" s="17"/>
      <c r="F75" s="17">
        <v>881.67</v>
      </c>
      <c r="G75" s="236"/>
      <c r="H75" s="236"/>
      <c r="I75" s="236"/>
      <c r="J75" s="242"/>
      <c r="L75" s="249"/>
      <c r="M75" s="245"/>
      <c r="N75" s="19" t="s">
        <v>33</v>
      </c>
      <c r="O75" s="17"/>
      <c r="P75" s="17"/>
      <c r="Q75" s="17">
        <v>881.67</v>
      </c>
      <c r="R75" s="236"/>
      <c r="S75" s="236"/>
      <c r="T75" s="236"/>
      <c r="U75" s="242"/>
    </row>
    <row r="76" spans="1:21" ht="13">
      <c r="A76" s="249"/>
      <c r="B76" s="246"/>
      <c r="C76" s="44"/>
      <c r="D76" s="21"/>
      <c r="E76" s="21"/>
      <c r="F76" s="21"/>
      <c r="G76" s="238"/>
      <c r="H76" s="238"/>
      <c r="I76" s="238"/>
      <c r="J76" s="243"/>
      <c r="L76" s="249"/>
      <c r="M76" s="246"/>
      <c r="N76" s="44"/>
      <c r="O76" s="21"/>
      <c r="P76" s="21"/>
      <c r="Q76" s="21"/>
      <c r="R76" s="238"/>
      <c r="S76" s="238"/>
      <c r="T76" s="238"/>
      <c r="U76" s="243"/>
    </row>
    <row r="77" spans="1:21" ht="13">
      <c r="A77" s="249"/>
      <c r="B77" s="244" t="s">
        <v>135</v>
      </c>
      <c r="C77" s="15" t="s">
        <v>23</v>
      </c>
      <c r="D77" s="16">
        <v>7</v>
      </c>
      <c r="E77" s="16">
        <v>16</v>
      </c>
      <c r="F77" s="16">
        <f>D77*E77</f>
        <v>112</v>
      </c>
      <c r="G77" s="240">
        <f>SUM(F77:F78)</f>
        <v>112</v>
      </c>
      <c r="H77" s="237">
        <v>300</v>
      </c>
      <c r="I77" s="237">
        <f>H77-G77</f>
        <v>188</v>
      </c>
      <c r="J77" s="241">
        <f>I77/H77</f>
        <v>0.62666666666666671</v>
      </c>
      <c r="L77" s="249"/>
      <c r="M77" s="244" t="s">
        <v>135</v>
      </c>
      <c r="N77" s="15" t="s">
        <v>23</v>
      </c>
      <c r="O77" s="18"/>
      <c r="P77" s="18"/>
      <c r="Q77" s="18"/>
      <c r="R77" s="240">
        <f>SUM(Q77:Q78)</f>
        <v>0</v>
      </c>
      <c r="S77" s="237">
        <v>300</v>
      </c>
      <c r="T77" s="237">
        <f>S77-R77</f>
        <v>300</v>
      </c>
      <c r="U77" s="241">
        <f>T77/S77</f>
        <v>1</v>
      </c>
    </row>
    <row r="78" spans="1:21" ht="13">
      <c r="A78" s="250"/>
      <c r="B78" s="246"/>
      <c r="C78" s="44"/>
      <c r="D78" s="21"/>
      <c r="E78" s="21"/>
      <c r="F78" s="21"/>
      <c r="G78" s="238"/>
      <c r="H78" s="238"/>
      <c r="I78" s="238"/>
      <c r="J78" s="243"/>
      <c r="L78" s="250"/>
      <c r="M78" s="246"/>
      <c r="N78" s="44"/>
      <c r="O78" s="21"/>
      <c r="P78" s="21"/>
      <c r="Q78" s="21"/>
      <c r="R78" s="238"/>
      <c r="S78" s="238"/>
      <c r="T78" s="238"/>
      <c r="U78" s="243"/>
    </row>
    <row r="79" spans="1:21" ht="30">
      <c r="A79" s="251" t="s">
        <v>141</v>
      </c>
      <c r="B79" s="252"/>
      <c r="C79" s="253"/>
      <c r="D79" s="27">
        <f t="shared" ref="D79:I79" si="9">AVERAGE(D12:D78)</f>
        <v>12.025897435897434</v>
      </c>
      <c r="E79" s="27">
        <f t="shared" si="9"/>
        <v>15.675000000000001</v>
      </c>
      <c r="F79" s="27">
        <f t="shared" si="9"/>
        <v>233.0388524590164</v>
      </c>
      <c r="G79" s="27">
        <f t="shared" si="9"/>
        <v>947.69133333333343</v>
      </c>
      <c r="H79" s="27">
        <f t="shared" si="9"/>
        <v>3376.6233333333334</v>
      </c>
      <c r="I79" s="27">
        <f t="shared" si="9"/>
        <v>2428.9320000000002</v>
      </c>
      <c r="J79" s="28">
        <f>AVERAGE($J$12:$J$76)</f>
        <v>0.79942354689485917</v>
      </c>
      <c r="L79" s="251" t="s">
        <v>141</v>
      </c>
      <c r="M79" s="252"/>
      <c r="N79" s="253"/>
      <c r="O79" s="27">
        <f t="shared" ref="O79:T79" si="10">AVERAGE(O12:O78)</f>
        <v>13.455</v>
      </c>
      <c r="P79" s="27">
        <f t="shared" si="10"/>
        <v>14.565217391304348</v>
      </c>
      <c r="Q79" s="27">
        <f t="shared" si="10"/>
        <v>255.89477272727279</v>
      </c>
      <c r="R79" s="27">
        <f t="shared" si="10"/>
        <v>750.62466666666671</v>
      </c>
      <c r="S79" s="27">
        <f t="shared" si="10"/>
        <v>3376.6233333333334</v>
      </c>
      <c r="T79" s="27">
        <f t="shared" si="10"/>
        <v>2625.9986666666664</v>
      </c>
      <c r="U79" s="28">
        <f>AVERAGE($J$12:$J$76)</f>
        <v>0.79942354689485917</v>
      </c>
    </row>
    <row r="80" spans="1:21" ht="30">
      <c r="A80" s="254" t="s">
        <v>142</v>
      </c>
      <c r="B80" s="255"/>
      <c r="C80" s="256"/>
      <c r="D80" s="27">
        <f t="shared" ref="D80:I80" si="11">SUM(D12:D78)</f>
        <v>469.00999999999993</v>
      </c>
      <c r="E80" s="27">
        <f t="shared" si="11"/>
        <v>627</v>
      </c>
      <c r="F80" s="27">
        <f t="shared" si="11"/>
        <v>14215.37</v>
      </c>
      <c r="G80" s="27">
        <f t="shared" si="11"/>
        <v>14215.37</v>
      </c>
      <c r="H80" s="27">
        <f t="shared" si="11"/>
        <v>50649.35</v>
      </c>
      <c r="I80" s="27">
        <f t="shared" si="11"/>
        <v>36433.980000000003</v>
      </c>
      <c r="J80" s="29">
        <f t="shared" ref="J80:J81" si="12">I80/H80</f>
        <v>0.71933756306843033</v>
      </c>
      <c r="L80" s="254" t="s">
        <v>142</v>
      </c>
      <c r="M80" s="255"/>
      <c r="N80" s="256"/>
      <c r="O80" s="27">
        <f t="shared" ref="O80:T80" si="13">SUM(O12:O78)</f>
        <v>296.01</v>
      </c>
      <c r="P80" s="27">
        <f t="shared" si="13"/>
        <v>335</v>
      </c>
      <c r="Q80" s="27">
        <f t="shared" si="13"/>
        <v>11259.370000000003</v>
      </c>
      <c r="R80" s="27">
        <f t="shared" si="13"/>
        <v>11259.37</v>
      </c>
      <c r="S80" s="27">
        <f t="shared" si="13"/>
        <v>50649.35</v>
      </c>
      <c r="T80" s="27">
        <f t="shared" si="13"/>
        <v>39389.979999999996</v>
      </c>
      <c r="U80" s="29">
        <f t="shared" ref="U80:U81" si="14">T80/S80</f>
        <v>0.77769961509871299</v>
      </c>
    </row>
    <row r="81" spans="1:21" ht="13">
      <c r="A81" s="277" t="s">
        <v>1</v>
      </c>
      <c r="B81" s="244" t="s">
        <v>143</v>
      </c>
      <c r="C81" s="15" t="s">
        <v>114</v>
      </c>
      <c r="D81" s="16">
        <v>3.5</v>
      </c>
      <c r="E81" s="16">
        <v>18</v>
      </c>
      <c r="F81" s="16">
        <f>D81*E81</f>
        <v>63</v>
      </c>
      <c r="G81" s="240">
        <f>SUM(F81:F83)</f>
        <v>112.19999999999999</v>
      </c>
      <c r="H81" s="237">
        <v>1210.81</v>
      </c>
      <c r="I81" s="237">
        <f>H81-G81</f>
        <v>1098.6099999999999</v>
      </c>
      <c r="J81" s="241">
        <f t="shared" si="12"/>
        <v>0.90733475937595487</v>
      </c>
      <c r="L81" s="277" t="s">
        <v>1</v>
      </c>
      <c r="M81" s="244" t="s">
        <v>143</v>
      </c>
      <c r="N81" s="15" t="s">
        <v>114</v>
      </c>
      <c r="O81" s="18"/>
      <c r="P81" s="18"/>
      <c r="Q81" s="18"/>
      <c r="R81" s="240">
        <f>SUM(Q81:Q83)</f>
        <v>49.2</v>
      </c>
      <c r="S81" s="237">
        <v>1210.81</v>
      </c>
      <c r="T81" s="237">
        <f>S81-R81</f>
        <v>1161.6099999999999</v>
      </c>
      <c r="U81" s="241">
        <f t="shared" si="14"/>
        <v>0.95936604421833316</v>
      </c>
    </row>
    <row r="82" spans="1:21" ht="13">
      <c r="A82" s="249"/>
      <c r="B82" s="245"/>
      <c r="C82" s="19" t="s">
        <v>44</v>
      </c>
      <c r="D82" s="17"/>
      <c r="E82" s="17"/>
      <c r="F82" s="17">
        <v>11.3</v>
      </c>
      <c r="G82" s="236"/>
      <c r="H82" s="236"/>
      <c r="I82" s="236"/>
      <c r="J82" s="242"/>
      <c r="L82" s="249"/>
      <c r="M82" s="245"/>
      <c r="N82" s="19" t="s">
        <v>44</v>
      </c>
      <c r="O82" s="17"/>
      <c r="P82" s="17"/>
      <c r="Q82" s="17">
        <v>11.3</v>
      </c>
      <c r="R82" s="236"/>
      <c r="S82" s="236"/>
      <c r="T82" s="236"/>
      <c r="U82" s="242"/>
    </row>
    <row r="83" spans="1:21" ht="13">
      <c r="A83" s="249"/>
      <c r="B83" s="246"/>
      <c r="C83" s="44" t="s">
        <v>45</v>
      </c>
      <c r="D83" s="21"/>
      <c r="E83" s="21"/>
      <c r="F83" s="21">
        <v>37.9</v>
      </c>
      <c r="G83" s="238"/>
      <c r="H83" s="238"/>
      <c r="I83" s="238"/>
      <c r="J83" s="243"/>
      <c r="L83" s="249"/>
      <c r="M83" s="246"/>
      <c r="N83" s="44" t="s">
        <v>45</v>
      </c>
      <c r="O83" s="21"/>
      <c r="P83" s="21"/>
      <c r="Q83" s="21">
        <v>37.9</v>
      </c>
      <c r="R83" s="238"/>
      <c r="S83" s="238"/>
      <c r="T83" s="238"/>
      <c r="U83" s="243"/>
    </row>
    <row r="84" spans="1:21" ht="13">
      <c r="A84" s="249"/>
      <c r="B84" s="244" t="s">
        <v>144</v>
      </c>
      <c r="C84" s="15" t="s">
        <v>114</v>
      </c>
      <c r="D84" s="16">
        <v>3.5</v>
      </c>
      <c r="E84" s="16">
        <v>18</v>
      </c>
      <c r="F84" s="16">
        <f>D84*E84</f>
        <v>63</v>
      </c>
      <c r="G84" s="240">
        <f>SUM(F84:F86)</f>
        <v>112.19999999999999</v>
      </c>
      <c r="H84" s="237">
        <v>1210.81</v>
      </c>
      <c r="I84" s="237">
        <f>H84-G84</f>
        <v>1098.6099999999999</v>
      </c>
      <c r="J84" s="241">
        <f>I84/H84</f>
        <v>0.90733475937595487</v>
      </c>
      <c r="L84" s="249"/>
      <c r="M84" s="244" t="s">
        <v>144</v>
      </c>
      <c r="N84" s="15" t="s">
        <v>114</v>
      </c>
      <c r="O84" s="18"/>
      <c r="P84" s="18"/>
      <c r="Q84" s="18"/>
      <c r="R84" s="240">
        <f>SUM(Q84:Q86)</f>
        <v>49.2</v>
      </c>
      <c r="S84" s="237">
        <v>1210.81</v>
      </c>
      <c r="T84" s="237">
        <f>S84-R84</f>
        <v>1161.6099999999999</v>
      </c>
      <c r="U84" s="241">
        <f>T84/S84</f>
        <v>0.95936604421833316</v>
      </c>
    </row>
    <row r="85" spans="1:21" ht="13">
      <c r="A85" s="249"/>
      <c r="B85" s="245"/>
      <c r="C85" s="19" t="s">
        <v>44</v>
      </c>
      <c r="D85" s="17"/>
      <c r="E85" s="17"/>
      <c r="F85" s="17">
        <v>11.3</v>
      </c>
      <c r="G85" s="236"/>
      <c r="H85" s="236"/>
      <c r="I85" s="236"/>
      <c r="J85" s="242"/>
      <c r="L85" s="249"/>
      <c r="M85" s="245"/>
      <c r="N85" s="19" t="s">
        <v>44</v>
      </c>
      <c r="O85" s="17"/>
      <c r="P85" s="17"/>
      <c r="Q85" s="17">
        <v>11.3</v>
      </c>
      <c r="R85" s="236"/>
      <c r="S85" s="236"/>
      <c r="T85" s="236"/>
      <c r="U85" s="242"/>
    </row>
    <row r="86" spans="1:21" ht="13">
      <c r="A86" s="249"/>
      <c r="B86" s="246"/>
      <c r="C86" s="44" t="s">
        <v>45</v>
      </c>
      <c r="D86" s="21"/>
      <c r="E86" s="21"/>
      <c r="F86" s="21">
        <v>37.9</v>
      </c>
      <c r="G86" s="238"/>
      <c r="H86" s="238"/>
      <c r="I86" s="238"/>
      <c r="J86" s="243"/>
      <c r="L86" s="249"/>
      <c r="M86" s="246"/>
      <c r="N86" s="44" t="s">
        <v>45</v>
      </c>
      <c r="O86" s="21"/>
      <c r="P86" s="21"/>
      <c r="Q86" s="21">
        <v>37.9</v>
      </c>
      <c r="R86" s="238"/>
      <c r="S86" s="238"/>
      <c r="T86" s="238"/>
      <c r="U86" s="243"/>
    </row>
    <row r="87" spans="1:21" ht="13">
      <c r="A87" s="249"/>
      <c r="B87" s="244" t="s">
        <v>145</v>
      </c>
      <c r="C87" s="15" t="s">
        <v>146</v>
      </c>
      <c r="D87" s="16">
        <v>18</v>
      </c>
      <c r="E87" s="17">
        <v>15</v>
      </c>
      <c r="F87" s="17">
        <f t="shared" ref="F87:F89" si="15">D87*E87</f>
        <v>270</v>
      </c>
      <c r="G87" s="240">
        <f>SUM(F87:F90)</f>
        <v>810</v>
      </c>
      <c r="H87" s="273">
        <v>3480</v>
      </c>
      <c r="I87" s="273">
        <f>H87-G87</f>
        <v>2670</v>
      </c>
      <c r="J87" s="241">
        <f>I87/H87</f>
        <v>0.76724137931034486</v>
      </c>
      <c r="L87" s="249"/>
      <c r="M87" s="244" t="s">
        <v>145</v>
      </c>
      <c r="N87" s="15" t="s">
        <v>146</v>
      </c>
      <c r="O87" s="16">
        <v>18</v>
      </c>
      <c r="P87" s="17">
        <v>15</v>
      </c>
      <c r="Q87" s="17">
        <f t="shared" ref="Q87:Q89" si="16">O87*P87</f>
        <v>270</v>
      </c>
      <c r="R87" s="240">
        <f>SUM(Q87:Q90)</f>
        <v>810</v>
      </c>
      <c r="S87" s="273">
        <v>3480</v>
      </c>
      <c r="T87" s="273">
        <f>S87-R87</f>
        <v>2670</v>
      </c>
      <c r="U87" s="241">
        <f>T87/S87</f>
        <v>0.76724137931034486</v>
      </c>
    </row>
    <row r="88" spans="1:21" ht="13">
      <c r="A88" s="249"/>
      <c r="B88" s="245"/>
      <c r="C88" s="19" t="s">
        <v>147</v>
      </c>
      <c r="D88" s="17">
        <v>21</v>
      </c>
      <c r="E88" s="17">
        <v>15</v>
      </c>
      <c r="F88" s="17">
        <f t="shared" si="15"/>
        <v>315</v>
      </c>
      <c r="G88" s="236"/>
      <c r="H88" s="236"/>
      <c r="I88" s="236"/>
      <c r="J88" s="242"/>
      <c r="L88" s="249"/>
      <c r="M88" s="245"/>
      <c r="N88" s="19" t="s">
        <v>147</v>
      </c>
      <c r="O88" s="17">
        <v>21</v>
      </c>
      <c r="P88" s="17">
        <v>15</v>
      </c>
      <c r="Q88" s="17">
        <f t="shared" si="16"/>
        <v>315</v>
      </c>
      <c r="R88" s="236"/>
      <c r="S88" s="236"/>
      <c r="T88" s="236"/>
      <c r="U88" s="242"/>
    </row>
    <row r="89" spans="1:21" ht="13">
      <c r="A89" s="249"/>
      <c r="B89" s="245"/>
      <c r="C89" s="19" t="s">
        <v>138</v>
      </c>
      <c r="D89" s="17">
        <v>15</v>
      </c>
      <c r="E89" s="17">
        <v>15</v>
      </c>
      <c r="F89" s="17">
        <f t="shared" si="15"/>
        <v>225</v>
      </c>
      <c r="G89" s="236"/>
      <c r="H89" s="236"/>
      <c r="I89" s="236"/>
      <c r="J89" s="242"/>
      <c r="L89" s="249"/>
      <c r="M89" s="245"/>
      <c r="N89" s="19" t="s">
        <v>138</v>
      </c>
      <c r="O89" s="17">
        <v>15</v>
      </c>
      <c r="P89" s="17">
        <v>15</v>
      </c>
      <c r="Q89" s="17">
        <f t="shared" si="16"/>
        <v>225</v>
      </c>
      <c r="R89" s="236"/>
      <c r="S89" s="236"/>
      <c r="T89" s="236"/>
      <c r="U89" s="242"/>
    </row>
    <row r="90" spans="1:21" ht="13">
      <c r="A90" s="249"/>
      <c r="B90" s="246"/>
      <c r="C90" s="44"/>
      <c r="D90" s="21"/>
      <c r="E90" s="21"/>
      <c r="F90" s="21"/>
      <c r="G90" s="238"/>
      <c r="H90" s="238"/>
      <c r="I90" s="238"/>
      <c r="J90" s="243"/>
      <c r="L90" s="249"/>
      <c r="M90" s="246"/>
      <c r="N90" s="44"/>
      <c r="O90" s="21"/>
      <c r="P90" s="21"/>
      <c r="Q90" s="21"/>
      <c r="R90" s="238"/>
      <c r="S90" s="238"/>
      <c r="T90" s="238"/>
      <c r="U90" s="243"/>
    </row>
    <row r="91" spans="1:21" ht="13">
      <c r="A91" s="249"/>
      <c r="B91" s="244" t="s">
        <v>148</v>
      </c>
      <c r="C91" s="19" t="s">
        <v>114</v>
      </c>
      <c r="D91" s="16">
        <v>14</v>
      </c>
      <c r="E91" s="16">
        <v>18</v>
      </c>
      <c r="F91" s="17">
        <f t="shared" ref="F91:F96" si="17">D91*E91</f>
        <v>252</v>
      </c>
      <c r="G91" s="240">
        <f>SUM(F91:F97)</f>
        <v>1029.9099999999999</v>
      </c>
      <c r="H91" s="237">
        <v>3203.07</v>
      </c>
      <c r="I91" s="237">
        <f>H91-G91</f>
        <v>2173.1600000000003</v>
      </c>
      <c r="J91" s="241">
        <f>I91/H91</f>
        <v>0.6784616009016351</v>
      </c>
      <c r="L91" s="249"/>
      <c r="M91" s="244" t="s">
        <v>148</v>
      </c>
      <c r="N91" s="19" t="s">
        <v>114</v>
      </c>
      <c r="O91" s="18"/>
      <c r="P91" s="18"/>
      <c r="Q91" s="18"/>
      <c r="R91" s="240">
        <f>SUM(Q91:Q97)</f>
        <v>777.90999999999985</v>
      </c>
      <c r="S91" s="237">
        <v>3203.07</v>
      </c>
      <c r="T91" s="237">
        <f>S91-R91</f>
        <v>2425.1600000000003</v>
      </c>
      <c r="U91" s="241">
        <f>T91/S91</f>
        <v>0.75713612253244544</v>
      </c>
    </row>
    <row r="92" spans="1:21" ht="13">
      <c r="A92" s="249"/>
      <c r="B92" s="245"/>
      <c r="C92" s="19" t="s">
        <v>137</v>
      </c>
      <c r="D92" s="17">
        <v>15</v>
      </c>
      <c r="E92" s="17">
        <v>15</v>
      </c>
      <c r="F92" s="17">
        <f t="shared" si="17"/>
        <v>225</v>
      </c>
      <c r="G92" s="236"/>
      <c r="H92" s="236"/>
      <c r="I92" s="236"/>
      <c r="J92" s="242"/>
      <c r="L92" s="249"/>
      <c r="M92" s="245"/>
      <c r="N92" s="19" t="s">
        <v>137</v>
      </c>
      <c r="O92" s="17">
        <v>15</v>
      </c>
      <c r="P92" s="17">
        <v>15</v>
      </c>
      <c r="Q92" s="17">
        <f t="shared" ref="Q92:Q96" si="18">O92*P92</f>
        <v>225</v>
      </c>
      <c r="R92" s="236"/>
      <c r="S92" s="236"/>
      <c r="T92" s="236"/>
      <c r="U92" s="242"/>
    </row>
    <row r="93" spans="1:21" ht="14">
      <c r="A93" s="249"/>
      <c r="B93" s="245"/>
      <c r="C93" s="45" t="s">
        <v>140</v>
      </c>
      <c r="D93" s="17">
        <v>3</v>
      </c>
      <c r="E93" s="17">
        <v>15</v>
      </c>
      <c r="F93" s="17">
        <f t="shared" si="17"/>
        <v>45</v>
      </c>
      <c r="G93" s="236"/>
      <c r="H93" s="236"/>
      <c r="I93" s="236"/>
      <c r="J93" s="242"/>
      <c r="L93" s="249"/>
      <c r="M93" s="245"/>
      <c r="N93" s="45" t="s">
        <v>140</v>
      </c>
      <c r="O93" s="17">
        <v>3</v>
      </c>
      <c r="P93" s="17">
        <v>15</v>
      </c>
      <c r="Q93" s="17">
        <f t="shared" si="18"/>
        <v>45</v>
      </c>
      <c r="R93" s="236"/>
      <c r="S93" s="236"/>
      <c r="T93" s="236"/>
      <c r="U93" s="242"/>
    </row>
    <row r="94" spans="1:21" ht="14">
      <c r="A94" s="249"/>
      <c r="B94" s="245"/>
      <c r="C94" s="45" t="s">
        <v>70</v>
      </c>
      <c r="D94" s="17">
        <v>11.56</v>
      </c>
      <c r="E94" s="17">
        <v>13</v>
      </c>
      <c r="F94" s="17">
        <f t="shared" si="17"/>
        <v>150.28</v>
      </c>
      <c r="G94" s="236"/>
      <c r="H94" s="236"/>
      <c r="I94" s="236"/>
      <c r="J94" s="242"/>
      <c r="L94" s="249"/>
      <c r="M94" s="245"/>
      <c r="N94" s="45" t="s">
        <v>70</v>
      </c>
      <c r="O94" s="17">
        <v>11.56</v>
      </c>
      <c r="P94" s="17">
        <v>13</v>
      </c>
      <c r="Q94" s="17">
        <f t="shared" si="18"/>
        <v>150.28</v>
      </c>
      <c r="R94" s="236"/>
      <c r="S94" s="236"/>
      <c r="T94" s="236"/>
      <c r="U94" s="242"/>
    </row>
    <row r="95" spans="1:21" ht="14">
      <c r="A95" s="249"/>
      <c r="B95" s="245"/>
      <c r="C95" s="45" t="s">
        <v>32</v>
      </c>
      <c r="D95" s="17">
        <v>15.37</v>
      </c>
      <c r="E95" s="17">
        <v>13</v>
      </c>
      <c r="F95" s="17">
        <f t="shared" si="17"/>
        <v>199.81</v>
      </c>
      <c r="G95" s="236"/>
      <c r="H95" s="236"/>
      <c r="I95" s="236"/>
      <c r="J95" s="242"/>
      <c r="L95" s="249"/>
      <c r="M95" s="245"/>
      <c r="N95" s="45" t="s">
        <v>32</v>
      </c>
      <c r="O95" s="17">
        <v>15.37</v>
      </c>
      <c r="P95" s="17">
        <v>13</v>
      </c>
      <c r="Q95" s="17">
        <f t="shared" si="18"/>
        <v>199.81</v>
      </c>
      <c r="R95" s="236"/>
      <c r="S95" s="236"/>
      <c r="T95" s="236"/>
      <c r="U95" s="242"/>
    </row>
    <row r="96" spans="1:21" ht="14">
      <c r="A96" s="249"/>
      <c r="B96" s="245"/>
      <c r="C96" s="45" t="s">
        <v>53</v>
      </c>
      <c r="D96" s="17">
        <v>12.14</v>
      </c>
      <c r="E96" s="17">
        <v>13</v>
      </c>
      <c r="F96" s="17">
        <f t="shared" si="17"/>
        <v>157.82</v>
      </c>
      <c r="G96" s="236"/>
      <c r="H96" s="236"/>
      <c r="I96" s="236"/>
      <c r="J96" s="242"/>
      <c r="L96" s="249"/>
      <c r="M96" s="245"/>
      <c r="N96" s="45" t="s">
        <v>53</v>
      </c>
      <c r="O96" s="17">
        <v>12.14</v>
      </c>
      <c r="P96" s="17">
        <v>13</v>
      </c>
      <c r="Q96" s="17">
        <f t="shared" si="18"/>
        <v>157.82</v>
      </c>
      <c r="R96" s="236"/>
      <c r="S96" s="236"/>
      <c r="T96" s="236"/>
      <c r="U96" s="242"/>
    </row>
    <row r="97" spans="1:21" ht="13">
      <c r="A97" s="249"/>
      <c r="B97" s="246"/>
      <c r="C97" s="44"/>
      <c r="D97" s="21"/>
      <c r="E97" s="21"/>
      <c r="F97" s="21"/>
      <c r="G97" s="238"/>
      <c r="H97" s="238"/>
      <c r="I97" s="238"/>
      <c r="J97" s="243"/>
      <c r="L97" s="249"/>
      <c r="M97" s="246"/>
      <c r="N97" s="44"/>
      <c r="O97" s="21"/>
      <c r="P97" s="21"/>
      <c r="Q97" s="21"/>
      <c r="R97" s="238"/>
      <c r="S97" s="238"/>
      <c r="T97" s="238"/>
      <c r="U97" s="243"/>
    </row>
    <row r="98" spans="1:21" ht="13">
      <c r="A98" s="249"/>
      <c r="B98" s="244" t="s">
        <v>149</v>
      </c>
      <c r="C98" s="19" t="s">
        <v>114</v>
      </c>
      <c r="D98" s="16">
        <v>21</v>
      </c>
      <c r="E98" s="16">
        <v>18</v>
      </c>
      <c r="F98" s="17">
        <f t="shared" ref="F98:F102" si="19">D98*E98</f>
        <v>378</v>
      </c>
      <c r="G98" s="240">
        <f>SUM(F98:F106)</f>
        <v>1227.79</v>
      </c>
      <c r="H98" s="237">
        <v>2540</v>
      </c>
      <c r="I98" s="237">
        <f>H98-G98</f>
        <v>1312.21</v>
      </c>
      <c r="J98" s="241">
        <f>I98/H98</f>
        <v>0.51661811023622051</v>
      </c>
      <c r="L98" s="249"/>
      <c r="M98" s="244" t="s">
        <v>149</v>
      </c>
      <c r="N98" s="19" t="s">
        <v>114</v>
      </c>
      <c r="O98" s="18"/>
      <c r="P98" s="18"/>
      <c r="Q98" s="18"/>
      <c r="R98" s="240">
        <f>SUM(Q98:Q106)</f>
        <v>849.79000000000008</v>
      </c>
      <c r="S98" s="237">
        <v>2540</v>
      </c>
      <c r="T98" s="237">
        <f>S98-R98</f>
        <v>1690.21</v>
      </c>
      <c r="U98" s="241">
        <f>T98/S98</f>
        <v>0.66543700787401572</v>
      </c>
    </row>
    <row r="99" spans="1:21" ht="13">
      <c r="A99" s="249"/>
      <c r="B99" s="245"/>
      <c r="C99" s="19" t="s">
        <v>150</v>
      </c>
      <c r="D99" s="17">
        <v>6</v>
      </c>
      <c r="E99" s="17">
        <v>15</v>
      </c>
      <c r="F99" s="17">
        <f t="shared" si="19"/>
        <v>90</v>
      </c>
      <c r="G99" s="236"/>
      <c r="H99" s="236"/>
      <c r="I99" s="236"/>
      <c r="J99" s="242"/>
      <c r="L99" s="249"/>
      <c r="M99" s="245"/>
      <c r="N99" s="19" t="s">
        <v>150</v>
      </c>
      <c r="O99" s="17">
        <v>6</v>
      </c>
      <c r="P99" s="17">
        <v>15</v>
      </c>
      <c r="Q99" s="17">
        <f t="shared" ref="Q99:Q102" si="20">O99*P99</f>
        <v>90</v>
      </c>
      <c r="R99" s="236"/>
      <c r="S99" s="236"/>
      <c r="T99" s="236"/>
      <c r="U99" s="242"/>
    </row>
    <row r="100" spans="1:21" ht="14">
      <c r="A100" s="249"/>
      <c r="B100" s="245"/>
      <c r="C100" s="45" t="s">
        <v>151</v>
      </c>
      <c r="D100" s="17">
        <v>12</v>
      </c>
      <c r="E100" s="17">
        <v>15</v>
      </c>
      <c r="F100" s="17">
        <f t="shared" si="19"/>
        <v>180</v>
      </c>
      <c r="G100" s="236"/>
      <c r="H100" s="236"/>
      <c r="I100" s="236"/>
      <c r="J100" s="242"/>
      <c r="L100" s="249"/>
      <c r="M100" s="245"/>
      <c r="N100" s="45" t="s">
        <v>151</v>
      </c>
      <c r="O100" s="17">
        <v>12</v>
      </c>
      <c r="P100" s="17">
        <v>15</v>
      </c>
      <c r="Q100" s="17">
        <f t="shared" si="20"/>
        <v>180</v>
      </c>
      <c r="R100" s="236"/>
      <c r="S100" s="236"/>
      <c r="T100" s="236"/>
      <c r="U100" s="242"/>
    </row>
    <row r="101" spans="1:21" ht="14">
      <c r="A101" s="249"/>
      <c r="B101" s="245"/>
      <c r="C101" s="45" t="s">
        <v>118</v>
      </c>
      <c r="D101" s="17">
        <v>6</v>
      </c>
      <c r="E101" s="17">
        <v>15</v>
      </c>
      <c r="F101" s="17">
        <f t="shared" si="19"/>
        <v>90</v>
      </c>
      <c r="G101" s="236"/>
      <c r="H101" s="236"/>
      <c r="I101" s="236"/>
      <c r="J101" s="242"/>
      <c r="L101" s="249"/>
      <c r="M101" s="245"/>
      <c r="N101" s="45" t="s">
        <v>118</v>
      </c>
      <c r="O101" s="17">
        <v>6</v>
      </c>
      <c r="P101" s="17">
        <v>15</v>
      </c>
      <c r="Q101" s="17">
        <f t="shared" si="20"/>
        <v>90</v>
      </c>
      <c r="R101" s="236"/>
      <c r="S101" s="236"/>
      <c r="T101" s="236"/>
      <c r="U101" s="242"/>
    </row>
    <row r="102" spans="1:21" ht="14">
      <c r="A102" s="249"/>
      <c r="B102" s="245"/>
      <c r="C102" s="45" t="s">
        <v>152</v>
      </c>
      <c r="D102" s="17">
        <v>6</v>
      </c>
      <c r="E102" s="17">
        <v>15</v>
      </c>
      <c r="F102" s="17">
        <f t="shared" si="19"/>
        <v>90</v>
      </c>
      <c r="G102" s="236"/>
      <c r="H102" s="236"/>
      <c r="I102" s="236"/>
      <c r="J102" s="242"/>
      <c r="L102" s="249"/>
      <c r="M102" s="245"/>
      <c r="N102" s="45" t="s">
        <v>152</v>
      </c>
      <c r="O102" s="17">
        <v>6</v>
      </c>
      <c r="P102" s="17">
        <v>15</v>
      </c>
      <c r="Q102" s="17">
        <f t="shared" si="20"/>
        <v>90</v>
      </c>
      <c r="R102" s="236"/>
      <c r="S102" s="236"/>
      <c r="T102" s="236"/>
      <c r="U102" s="242"/>
    </row>
    <row r="103" spans="1:21" ht="14">
      <c r="A103" s="249"/>
      <c r="B103" s="245"/>
      <c r="C103" s="45" t="s">
        <v>45</v>
      </c>
      <c r="D103" s="17"/>
      <c r="E103" s="17"/>
      <c r="F103" s="17">
        <v>146.19999999999999</v>
      </c>
      <c r="G103" s="236"/>
      <c r="H103" s="236"/>
      <c r="I103" s="236"/>
      <c r="J103" s="242"/>
      <c r="L103" s="249"/>
      <c r="M103" s="245"/>
      <c r="N103" s="45" t="s">
        <v>45</v>
      </c>
      <c r="O103" s="17"/>
      <c r="P103" s="17"/>
      <c r="Q103" s="17">
        <v>146.19999999999999</v>
      </c>
      <c r="R103" s="236"/>
      <c r="S103" s="236"/>
      <c r="T103" s="236"/>
      <c r="U103" s="242"/>
    </row>
    <row r="104" spans="1:21" ht="13">
      <c r="A104" s="249"/>
      <c r="B104" s="245"/>
      <c r="C104" s="24" t="s">
        <v>47</v>
      </c>
      <c r="D104" s="17"/>
      <c r="E104" s="17"/>
      <c r="F104" s="17">
        <v>111.09</v>
      </c>
      <c r="G104" s="236"/>
      <c r="H104" s="236"/>
      <c r="I104" s="236"/>
      <c r="J104" s="242"/>
      <c r="L104" s="249"/>
      <c r="M104" s="245"/>
      <c r="N104" s="24" t="s">
        <v>47</v>
      </c>
      <c r="O104" s="17"/>
      <c r="P104" s="17"/>
      <c r="Q104" s="17">
        <v>111.09</v>
      </c>
      <c r="R104" s="236"/>
      <c r="S104" s="236"/>
      <c r="T104" s="236"/>
      <c r="U104" s="242"/>
    </row>
    <row r="105" spans="1:21" ht="13">
      <c r="A105" s="249"/>
      <c r="B105" s="245"/>
      <c r="C105" s="24" t="s">
        <v>153</v>
      </c>
      <c r="D105" s="17"/>
      <c r="E105" s="17"/>
      <c r="F105" s="17">
        <v>106.5</v>
      </c>
      <c r="G105" s="236"/>
      <c r="H105" s="236"/>
      <c r="I105" s="236"/>
      <c r="J105" s="242"/>
      <c r="L105" s="249"/>
      <c r="M105" s="245"/>
      <c r="N105" s="24" t="s">
        <v>153</v>
      </c>
      <c r="O105" s="17"/>
      <c r="P105" s="17"/>
      <c r="Q105" s="17">
        <v>106.5</v>
      </c>
      <c r="R105" s="236"/>
      <c r="S105" s="236"/>
      <c r="T105" s="236"/>
      <c r="U105" s="242"/>
    </row>
    <row r="106" spans="1:21" ht="13">
      <c r="A106" s="249"/>
      <c r="B106" s="246"/>
      <c r="C106" s="44" t="s">
        <v>44</v>
      </c>
      <c r="D106" s="21"/>
      <c r="E106" s="21"/>
      <c r="F106" s="21">
        <v>36</v>
      </c>
      <c r="G106" s="238"/>
      <c r="H106" s="238"/>
      <c r="I106" s="238"/>
      <c r="J106" s="243"/>
      <c r="L106" s="249"/>
      <c r="M106" s="246"/>
      <c r="N106" s="44" t="s">
        <v>44</v>
      </c>
      <c r="O106" s="21"/>
      <c r="P106" s="21"/>
      <c r="Q106" s="21">
        <v>36</v>
      </c>
      <c r="R106" s="238"/>
      <c r="S106" s="238"/>
      <c r="T106" s="238"/>
      <c r="U106" s="243"/>
    </row>
    <row r="107" spans="1:21" ht="13">
      <c r="A107" s="249"/>
      <c r="B107" s="244" t="s">
        <v>154</v>
      </c>
      <c r="C107" s="15" t="s">
        <v>23</v>
      </c>
      <c r="D107" s="16">
        <v>7</v>
      </c>
      <c r="E107" s="17">
        <v>16</v>
      </c>
      <c r="F107" s="17">
        <f>D107*E107</f>
        <v>112</v>
      </c>
      <c r="G107" s="240">
        <f>SUM(F107:F110)</f>
        <v>417.4</v>
      </c>
      <c r="H107" s="273">
        <v>3011</v>
      </c>
      <c r="I107" s="273">
        <f>H107-G107</f>
        <v>2593.6</v>
      </c>
      <c r="J107" s="241">
        <f>I107/H107</f>
        <v>0.8613749584855529</v>
      </c>
      <c r="L107" s="249"/>
      <c r="M107" s="244" t="s">
        <v>154</v>
      </c>
      <c r="N107" s="15" t="s">
        <v>23</v>
      </c>
      <c r="O107" s="18"/>
      <c r="P107" s="18"/>
      <c r="Q107" s="18"/>
      <c r="R107" s="240">
        <f>SUM(Q107:Q110)</f>
        <v>305.39999999999998</v>
      </c>
      <c r="S107" s="273">
        <v>3011</v>
      </c>
      <c r="T107" s="273">
        <f>S107-R107</f>
        <v>2705.6</v>
      </c>
      <c r="U107" s="241">
        <f>T107/S107</f>
        <v>0.89857190302225176</v>
      </c>
    </row>
    <row r="108" spans="1:21" ht="13">
      <c r="A108" s="249"/>
      <c r="B108" s="245"/>
      <c r="C108" s="19" t="s">
        <v>45</v>
      </c>
      <c r="D108" s="17"/>
      <c r="E108" s="17"/>
      <c r="F108" s="17">
        <v>70</v>
      </c>
      <c r="G108" s="236"/>
      <c r="H108" s="236"/>
      <c r="I108" s="236"/>
      <c r="J108" s="242"/>
      <c r="L108" s="249"/>
      <c r="M108" s="245"/>
      <c r="N108" s="19" t="s">
        <v>45</v>
      </c>
      <c r="O108" s="17"/>
      <c r="P108" s="17"/>
      <c r="Q108" s="17">
        <v>70</v>
      </c>
      <c r="R108" s="236"/>
      <c r="S108" s="236"/>
      <c r="T108" s="236"/>
      <c r="U108" s="242"/>
    </row>
    <row r="109" spans="1:21" ht="13">
      <c r="A109" s="249"/>
      <c r="B109" s="245"/>
      <c r="C109" s="19" t="s">
        <v>155</v>
      </c>
      <c r="D109" s="17"/>
      <c r="E109" s="17"/>
      <c r="F109" s="17">
        <v>235.4</v>
      </c>
      <c r="G109" s="236"/>
      <c r="H109" s="236"/>
      <c r="I109" s="236"/>
      <c r="J109" s="242"/>
      <c r="L109" s="249"/>
      <c r="M109" s="245"/>
      <c r="N109" s="19" t="s">
        <v>155</v>
      </c>
      <c r="O109" s="17"/>
      <c r="P109" s="17"/>
      <c r="Q109" s="17">
        <v>235.4</v>
      </c>
      <c r="R109" s="236"/>
      <c r="S109" s="236"/>
      <c r="T109" s="236"/>
      <c r="U109" s="242"/>
    </row>
    <row r="110" spans="1:21" ht="13">
      <c r="A110" s="249"/>
      <c r="B110" s="246"/>
      <c r="C110" s="44"/>
      <c r="D110" s="21"/>
      <c r="E110" s="21"/>
      <c r="F110" s="21"/>
      <c r="G110" s="238"/>
      <c r="H110" s="238"/>
      <c r="I110" s="238"/>
      <c r="J110" s="243"/>
      <c r="L110" s="249"/>
      <c r="M110" s="246"/>
      <c r="N110" s="44"/>
      <c r="O110" s="21"/>
      <c r="P110" s="21"/>
      <c r="Q110" s="21"/>
      <c r="R110" s="238"/>
      <c r="S110" s="238"/>
      <c r="T110" s="238"/>
      <c r="U110" s="243"/>
    </row>
    <row r="111" spans="1:21" ht="13">
      <c r="A111" s="249"/>
      <c r="B111" s="244" t="s">
        <v>156</v>
      </c>
      <c r="C111" s="19" t="s">
        <v>114</v>
      </c>
      <c r="D111" s="16">
        <v>21</v>
      </c>
      <c r="E111" s="16">
        <v>18</v>
      </c>
      <c r="F111" s="17">
        <f t="shared" ref="F111:F119" si="21">D111*E111</f>
        <v>378</v>
      </c>
      <c r="G111" s="240">
        <f>SUM(F111:F120)</f>
        <v>2864.63</v>
      </c>
      <c r="H111" s="237">
        <v>7587.78</v>
      </c>
      <c r="I111" s="237">
        <f>H111-G111</f>
        <v>4723.1499999999996</v>
      </c>
      <c r="J111" s="241">
        <f>I111/H111</f>
        <v>0.62246796823313277</v>
      </c>
      <c r="L111" s="249"/>
      <c r="M111" s="244" t="s">
        <v>156</v>
      </c>
      <c r="N111" s="19" t="s">
        <v>114</v>
      </c>
      <c r="O111" s="18"/>
      <c r="P111" s="18"/>
      <c r="Q111" s="18"/>
      <c r="R111" s="240">
        <f>SUM(Q111:Q120)</f>
        <v>2262.63</v>
      </c>
      <c r="S111" s="237">
        <v>7587.78</v>
      </c>
      <c r="T111" s="237">
        <f>S111-R111</f>
        <v>5325.15</v>
      </c>
      <c r="U111" s="241">
        <f>T111/S111</f>
        <v>0.70180606185208316</v>
      </c>
    </row>
    <row r="112" spans="1:21" ht="13">
      <c r="A112" s="249"/>
      <c r="B112" s="245"/>
      <c r="C112" s="19" t="s">
        <v>23</v>
      </c>
      <c r="D112" s="17">
        <v>14</v>
      </c>
      <c r="E112" s="17">
        <v>16</v>
      </c>
      <c r="F112" s="17">
        <f t="shared" si="21"/>
        <v>224</v>
      </c>
      <c r="G112" s="236"/>
      <c r="H112" s="236"/>
      <c r="I112" s="236"/>
      <c r="J112" s="242"/>
      <c r="L112" s="249"/>
      <c r="M112" s="245"/>
      <c r="N112" s="19" t="s">
        <v>23</v>
      </c>
      <c r="O112" s="18"/>
      <c r="P112" s="18"/>
      <c r="Q112" s="18"/>
      <c r="R112" s="236"/>
      <c r="S112" s="236"/>
      <c r="T112" s="236"/>
      <c r="U112" s="242"/>
    </row>
    <row r="113" spans="1:21" ht="14">
      <c r="A113" s="249"/>
      <c r="B113" s="245"/>
      <c r="C113" s="45" t="s">
        <v>157</v>
      </c>
      <c r="D113" s="17">
        <v>22.32</v>
      </c>
      <c r="E113" s="17">
        <v>13</v>
      </c>
      <c r="F113" s="17">
        <f t="shared" si="21"/>
        <v>290.16000000000003</v>
      </c>
      <c r="G113" s="236"/>
      <c r="H113" s="236"/>
      <c r="I113" s="236"/>
      <c r="J113" s="242"/>
      <c r="L113" s="249"/>
      <c r="M113" s="245"/>
      <c r="N113" s="45" t="s">
        <v>157</v>
      </c>
      <c r="O113" s="17">
        <v>22.32</v>
      </c>
      <c r="P113" s="17">
        <v>13</v>
      </c>
      <c r="Q113" s="17">
        <f t="shared" ref="Q113:Q119" si="22">O113*P113</f>
        <v>290.16000000000003</v>
      </c>
      <c r="R113" s="236"/>
      <c r="S113" s="236"/>
      <c r="T113" s="236"/>
      <c r="U113" s="242"/>
    </row>
    <row r="114" spans="1:21" ht="14">
      <c r="A114" s="249"/>
      <c r="B114" s="245"/>
      <c r="C114" s="45" t="s">
        <v>158</v>
      </c>
      <c r="D114" s="17">
        <v>18.84</v>
      </c>
      <c r="E114" s="17">
        <v>13</v>
      </c>
      <c r="F114" s="17">
        <f t="shared" si="21"/>
        <v>244.92</v>
      </c>
      <c r="G114" s="236"/>
      <c r="H114" s="236"/>
      <c r="I114" s="236"/>
      <c r="J114" s="242"/>
      <c r="L114" s="249"/>
      <c r="M114" s="245"/>
      <c r="N114" s="45" t="s">
        <v>158</v>
      </c>
      <c r="O114" s="17">
        <v>18.84</v>
      </c>
      <c r="P114" s="17">
        <v>13</v>
      </c>
      <c r="Q114" s="17">
        <f t="shared" si="22"/>
        <v>244.92</v>
      </c>
      <c r="R114" s="236"/>
      <c r="S114" s="236"/>
      <c r="T114" s="236"/>
      <c r="U114" s="242"/>
    </row>
    <row r="115" spans="1:21" ht="14">
      <c r="A115" s="249"/>
      <c r="B115" s="245"/>
      <c r="C115" s="45" t="s">
        <v>159</v>
      </c>
      <c r="D115" s="17">
        <v>15.1</v>
      </c>
      <c r="E115" s="17">
        <v>13</v>
      </c>
      <c r="F115" s="17">
        <f t="shared" si="21"/>
        <v>196.29999999999998</v>
      </c>
      <c r="G115" s="236"/>
      <c r="H115" s="236"/>
      <c r="I115" s="236"/>
      <c r="J115" s="242"/>
      <c r="L115" s="249"/>
      <c r="M115" s="245"/>
      <c r="N115" s="45" t="s">
        <v>159</v>
      </c>
      <c r="O115" s="17">
        <v>15.1</v>
      </c>
      <c r="P115" s="17">
        <v>13</v>
      </c>
      <c r="Q115" s="17">
        <f t="shared" si="22"/>
        <v>196.29999999999998</v>
      </c>
      <c r="R115" s="236"/>
      <c r="S115" s="236"/>
      <c r="T115" s="236"/>
      <c r="U115" s="242"/>
    </row>
    <row r="116" spans="1:21" ht="14">
      <c r="A116" s="249"/>
      <c r="B116" s="245"/>
      <c r="C116" s="45" t="s">
        <v>160</v>
      </c>
      <c r="D116" s="17">
        <v>32.5</v>
      </c>
      <c r="E116" s="17">
        <v>13</v>
      </c>
      <c r="F116" s="17">
        <f t="shared" si="21"/>
        <v>422.5</v>
      </c>
      <c r="G116" s="236"/>
      <c r="H116" s="236"/>
      <c r="I116" s="236"/>
      <c r="J116" s="242"/>
      <c r="L116" s="249"/>
      <c r="M116" s="245"/>
      <c r="N116" s="45" t="s">
        <v>160</v>
      </c>
      <c r="O116" s="17">
        <v>32.5</v>
      </c>
      <c r="P116" s="17">
        <v>13</v>
      </c>
      <c r="Q116" s="17">
        <f t="shared" si="22"/>
        <v>422.5</v>
      </c>
      <c r="R116" s="236"/>
      <c r="S116" s="236"/>
      <c r="T116" s="236"/>
      <c r="U116" s="242"/>
    </row>
    <row r="117" spans="1:21" ht="13">
      <c r="A117" s="249"/>
      <c r="B117" s="245"/>
      <c r="C117" s="24" t="s">
        <v>161</v>
      </c>
      <c r="D117" s="17">
        <v>24.75</v>
      </c>
      <c r="E117" s="17">
        <v>13</v>
      </c>
      <c r="F117" s="17">
        <f t="shared" si="21"/>
        <v>321.75</v>
      </c>
      <c r="G117" s="236"/>
      <c r="H117" s="236"/>
      <c r="I117" s="236"/>
      <c r="J117" s="242"/>
      <c r="L117" s="249"/>
      <c r="M117" s="245"/>
      <c r="N117" s="24" t="s">
        <v>161</v>
      </c>
      <c r="O117" s="17">
        <v>24.75</v>
      </c>
      <c r="P117" s="17">
        <v>13</v>
      </c>
      <c r="Q117" s="17">
        <f t="shared" si="22"/>
        <v>321.75</v>
      </c>
      <c r="R117" s="236"/>
      <c r="S117" s="236"/>
      <c r="T117" s="236"/>
      <c r="U117" s="242"/>
    </row>
    <row r="118" spans="1:21" ht="13">
      <c r="A118" s="249"/>
      <c r="B118" s="245"/>
      <c r="C118" s="24" t="s">
        <v>55</v>
      </c>
      <c r="D118" s="17">
        <v>25</v>
      </c>
      <c r="E118" s="17">
        <v>13</v>
      </c>
      <c r="F118" s="17">
        <f t="shared" si="21"/>
        <v>325</v>
      </c>
      <c r="G118" s="236"/>
      <c r="H118" s="236"/>
      <c r="I118" s="236"/>
      <c r="J118" s="242"/>
      <c r="L118" s="249"/>
      <c r="M118" s="245"/>
      <c r="N118" s="24" t="s">
        <v>55</v>
      </c>
      <c r="O118" s="17">
        <v>25</v>
      </c>
      <c r="P118" s="17">
        <v>13</v>
      </c>
      <c r="Q118" s="17">
        <f t="shared" si="22"/>
        <v>325</v>
      </c>
      <c r="R118" s="236"/>
      <c r="S118" s="236"/>
      <c r="T118" s="236"/>
      <c r="U118" s="242"/>
    </row>
    <row r="119" spans="1:21" ht="13">
      <c r="A119" s="249"/>
      <c r="B119" s="245"/>
      <c r="C119" s="24" t="s">
        <v>80</v>
      </c>
      <c r="D119" s="17">
        <v>24</v>
      </c>
      <c r="E119" s="17">
        <v>13</v>
      </c>
      <c r="F119" s="17">
        <f t="shared" si="21"/>
        <v>312</v>
      </c>
      <c r="G119" s="236"/>
      <c r="H119" s="236"/>
      <c r="I119" s="236"/>
      <c r="J119" s="242"/>
      <c r="L119" s="249"/>
      <c r="M119" s="245"/>
      <c r="N119" s="24" t="s">
        <v>80</v>
      </c>
      <c r="O119" s="17">
        <v>24</v>
      </c>
      <c r="P119" s="17">
        <v>13</v>
      </c>
      <c r="Q119" s="17">
        <f t="shared" si="22"/>
        <v>312</v>
      </c>
      <c r="R119" s="236"/>
      <c r="S119" s="236"/>
      <c r="T119" s="236"/>
      <c r="U119" s="242"/>
    </row>
    <row r="120" spans="1:21" ht="13">
      <c r="A120" s="249"/>
      <c r="B120" s="246"/>
      <c r="C120" s="44" t="s">
        <v>162</v>
      </c>
      <c r="D120" s="21"/>
      <c r="E120" s="21"/>
      <c r="F120" s="21">
        <v>150</v>
      </c>
      <c r="G120" s="238"/>
      <c r="H120" s="238"/>
      <c r="I120" s="238"/>
      <c r="J120" s="243"/>
      <c r="L120" s="249"/>
      <c r="M120" s="246"/>
      <c r="N120" s="44" t="s">
        <v>162</v>
      </c>
      <c r="O120" s="21"/>
      <c r="P120" s="21"/>
      <c r="Q120" s="21">
        <v>150</v>
      </c>
      <c r="R120" s="238"/>
      <c r="S120" s="238"/>
      <c r="T120" s="238"/>
      <c r="U120" s="243"/>
    </row>
    <row r="121" spans="1:21" ht="13">
      <c r="A121" s="249"/>
      <c r="B121" s="244" t="s">
        <v>163</v>
      </c>
      <c r="C121" s="15" t="s">
        <v>114</v>
      </c>
      <c r="D121" s="16">
        <v>7</v>
      </c>
      <c r="E121" s="17">
        <v>18</v>
      </c>
      <c r="F121" s="17">
        <f>D121*E121</f>
        <v>126</v>
      </c>
      <c r="G121" s="240">
        <f>SUM(F121:F123)</f>
        <v>236</v>
      </c>
      <c r="H121" s="273">
        <v>1768.97</v>
      </c>
      <c r="I121" s="273">
        <f>H121-G121</f>
        <v>1532.97</v>
      </c>
      <c r="J121" s="241">
        <f>I121/H121</f>
        <v>0.86658903203559134</v>
      </c>
      <c r="L121" s="249"/>
      <c r="M121" s="244" t="s">
        <v>163</v>
      </c>
      <c r="N121" s="15" t="s">
        <v>114</v>
      </c>
      <c r="O121" s="18"/>
      <c r="P121" s="18"/>
      <c r="Q121" s="18"/>
      <c r="R121" s="240">
        <f>SUM(Q121:Q123)</f>
        <v>110</v>
      </c>
      <c r="S121" s="273">
        <v>1768.97</v>
      </c>
      <c r="T121" s="273">
        <f>S121-R121</f>
        <v>1658.97</v>
      </c>
      <c r="U121" s="241">
        <f>T121/S121</f>
        <v>0.93781692171150444</v>
      </c>
    </row>
    <row r="122" spans="1:21" ht="13">
      <c r="A122" s="249"/>
      <c r="B122" s="245"/>
      <c r="C122" s="19" t="s">
        <v>45</v>
      </c>
      <c r="D122" s="17"/>
      <c r="E122" s="17"/>
      <c r="F122" s="17">
        <v>40</v>
      </c>
      <c r="G122" s="236"/>
      <c r="H122" s="236"/>
      <c r="I122" s="236"/>
      <c r="J122" s="242"/>
      <c r="L122" s="249"/>
      <c r="M122" s="245"/>
      <c r="N122" s="19" t="s">
        <v>45</v>
      </c>
      <c r="O122" s="17"/>
      <c r="P122" s="17"/>
      <c r="Q122" s="17">
        <v>40</v>
      </c>
      <c r="R122" s="236"/>
      <c r="S122" s="236"/>
      <c r="T122" s="236"/>
      <c r="U122" s="242"/>
    </row>
    <row r="123" spans="1:21" ht="13">
      <c r="A123" s="249"/>
      <c r="B123" s="246"/>
      <c r="C123" s="44" t="s">
        <v>153</v>
      </c>
      <c r="D123" s="21"/>
      <c r="E123" s="21"/>
      <c r="F123" s="21">
        <v>70</v>
      </c>
      <c r="G123" s="238"/>
      <c r="H123" s="238"/>
      <c r="I123" s="238"/>
      <c r="J123" s="243"/>
      <c r="L123" s="249"/>
      <c r="M123" s="246"/>
      <c r="N123" s="44" t="s">
        <v>153</v>
      </c>
      <c r="O123" s="21"/>
      <c r="P123" s="21"/>
      <c r="Q123" s="21">
        <v>70</v>
      </c>
      <c r="R123" s="238"/>
      <c r="S123" s="238"/>
      <c r="T123" s="238"/>
      <c r="U123" s="243"/>
    </row>
    <row r="124" spans="1:21" ht="13">
      <c r="A124" s="249"/>
      <c r="B124" s="244" t="s">
        <v>164</v>
      </c>
      <c r="C124" s="15" t="s">
        <v>114</v>
      </c>
      <c r="D124" s="16">
        <v>7</v>
      </c>
      <c r="E124" s="17">
        <v>18</v>
      </c>
      <c r="F124" s="17">
        <f>D124*E124</f>
        <v>126</v>
      </c>
      <c r="G124" s="240">
        <f>SUM(F124:F127)</f>
        <v>270.68</v>
      </c>
      <c r="H124" s="273">
        <v>1768.97</v>
      </c>
      <c r="I124" s="273">
        <f>H124-G124</f>
        <v>1498.29</v>
      </c>
      <c r="J124" s="241">
        <f>I124/H124</f>
        <v>0.84698440335336378</v>
      </c>
      <c r="L124" s="249"/>
      <c r="M124" s="244" t="s">
        <v>164</v>
      </c>
      <c r="N124" s="15" t="s">
        <v>114</v>
      </c>
      <c r="O124" s="18"/>
      <c r="P124" s="18"/>
      <c r="Q124" s="18"/>
      <c r="R124" s="240">
        <f>SUM(Q124:Q127)</f>
        <v>144.68</v>
      </c>
      <c r="S124" s="273">
        <v>1768.97</v>
      </c>
      <c r="T124" s="273">
        <f>S124-R124</f>
        <v>1624.29</v>
      </c>
      <c r="U124" s="241">
        <f>T124/S124</f>
        <v>0.91821229302927687</v>
      </c>
    </row>
    <row r="125" spans="1:21" ht="13">
      <c r="A125" s="249"/>
      <c r="B125" s="245"/>
      <c r="C125" s="19" t="s">
        <v>45</v>
      </c>
      <c r="D125" s="17"/>
      <c r="E125" s="17"/>
      <c r="F125" s="17">
        <v>40</v>
      </c>
      <c r="G125" s="236"/>
      <c r="H125" s="236"/>
      <c r="I125" s="236"/>
      <c r="J125" s="242"/>
      <c r="L125" s="249"/>
      <c r="M125" s="245"/>
      <c r="N125" s="19" t="s">
        <v>45</v>
      </c>
      <c r="O125" s="17"/>
      <c r="P125" s="17"/>
      <c r="Q125" s="17">
        <v>40</v>
      </c>
      <c r="R125" s="236"/>
      <c r="S125" s="236"/>
      <c r="T125" s="236"/>
      <c r="U125" s="242"/>
    </row>
    <row r="126" spans="1:21" ht="13">
      <c r="A126" s="249"/>
      <c r="B126" s="245"/>
      <c r="C126" s="19" t="s">
        <v>165</v>
      </c>
      <c r="D126" s="17"/>
      <c r="E126" s="17"/>
      <c r="F126" s="17">
        <v>79.08</v>
      </c>
      <c r="G126" s="236"/>
      <c r="H126" s="236"/>
      <c r="I126" s="236"/>
      <c r="J126" s="242"/>
      <c r="L126" s="249"/>
      <c r="M126" s="245"/>
      <c r="N126" s="19" t="s">
        <v>165</v>
      </c>
      <c r="O126" s="17"/>
      <c r="P126" s="17"/>
      <c r="Q126" s="17">
        <v>79.08</v>
      </c>
      <c r="R126" s="236"/>
      <c r="S126" s="236"/>
      <c r="T126" s="236"/>
      <c r="U126" s="242"/>
    </row>
    <row r="127" spans="1:21" ht="13">
      <c r="A127" s="249"/>
      <c r="B127" s="246"/>
      <c r="C127" s="44" t="s">
        <v>44</v>
      </c>
      <c r="D127" s="21"/>
      <c r="E127" s="21"/>
      <c r="F127" s="21">
        <v>25.6</v>
      </c>
      <c r="G127" s="238"/>
      <c r="H127" s="238"/>
      <c r="I127" s="238"/>
      <c r="J127" s="243"/>
      <c r="L127" s="249"/>
      <c r="M127" s="246"/>
      <c r="N127" s="44" t="s">
        <v>44</v>
      </c>
      <c r="O127" s="21"/>
      <c r="P127" s="21"/>
      <c r="Q127" s="21">
        <v>25.6</v>
      </c>
      <c r="R127" s="238"/>
      <c r="S127" s="238"/>
      <c r="T127" s="238"/>
      <c r="U127" s="243"/>
    </row>
    <row r="128" spans="1:21" ht="13">
      <c r="A128" s="249"/>
      <c r="B128" s="244" t="s">
        <v>166</v>
      </c>
      <c r="C128" s="15" t="s">
        <v>23</v>
      </c>
      <c r="D128" s="16">
        <v>14</v>
      </c>
      <c r="E128" s="17">
        <v>16</v>
      </c>
      <c r="F128" s="17">
        <f>D128*E128</f>
        <v>224</v>
      </c>
      <c r="G128" s="240">
        <f>SUM(F128:F133)</f>
        <v>783.12</v>
      </c>
      <c r="H128" s="273">
        <v>2824.38</v>
      </c>
      <c r="I128" s="273">
        <f>H128-G128</f>
        <v>2041.2600000000002</v>
      </c>
      <c r="J128" s="241">
        <f>I128/H128</f>
        <v>0.72272852803093068</v>
      </c>
      <c r="L128" s="249"/>
      <c r="M128" s="244" t="s">
        <v>166</v>
      </c>
      <c r="N128" s="15" t="s">
        <v>23</v>
      </c>
      <c r="O128" s="18"/>
      <c r="P128" s="18"/>
      <c r="Q128" s="18"/>
      <c r="R128" s="240">
        <f>SUM(Q128:Q133)</f>
        <v>559.12</v>
      </c>
      <c r="S128" s="273">
        <v>2824.38</v>
      </c>
      <c r="T128" s="273">
        <f>S128-R128</f>
        <v>2265.2600000000002</v>
      </c>
      <c r="U128" s="241">
        <f>T128/S128</f>
        <v>0.80203796939505312</v>
      </c>
    </row>
    <row r="129" spans="1:21" ht="13">
      <c r="A129" s="249"/>
      <c r="B129" s="245"/>
      <c r="C129" s="19" t="s">
        <v>44</v>
      </c>
      <c r="D129" s="17"/>
      <c r="E129" s="17"/>
      <c r="F129" s="17">
        <v>74.400000000000006</v>
      </c>
      <c r="G129" s="236"/>
      <c r="H129" s="236"/>
      <c r="I129" s="236"/>
      <c r="J129" s="242"/>
      <c r="L129" s="249"/>
      <c r="M129" s="245"/>
      <c r="N129" s="19" t="s">
        <v>44</v>
      </c>
      <c r="O129" s="17"/>
      <c r="P129" s="17"/>
      <c r="Q129" s="17">
        <v>74.400000000000006</v>
      </c>
      <c r="R129" s="236"/>
      <c r="S129" s="236"/>
      <c r="T129" s="236"/>
      <c r="U129" s="242"/>
    </row>
    <row r="130" spans="1:21" ht="13">
      <c r="A130" s="249"/>
      <c r="B130" s="245"/>
      <c r="C130" s="19" t="s">
        <v>45</v>
      </c>
      <c r="D130" s="17"/>
      <c r="E130" s="17"/>
      <c r="F130" s="17">
        <v>60</v>
      </c>
      <c r="G130" s="236"/>
      <c r="H130" s="236"/>
      <c r="I130" s="236"/>
      <c r="J130" s="242"/>
      <c r="L130" s="249"/>
      <c r="M130" s="245"/>
      <c r="N130" s="19" t="s">
        <v>45</v>
      </c>
      <c r="O130" s="17"/>
      <c r="P130" s="17"/>
      <c r="Q130" s="17">
        <v>60</v>
      </c>
      <c r="R130" s="236"/>
      <c r="S130" s="236"/>
      <c r="T130" s="236"/>
      <c r="U130" s="242"/>
    </row>
    <row r="131" spans="1:21" ht="13">
      <c r="A131" s="249"/>
      <c r="B131" s="245"/>
      <c r="C131" s="19" t="s">
        <v>153</v>
      </c>
      <c r="D131" s="17"/>
      <c r="E131" s="17"/>
      <c r="F131" s="17">
        <v>50</v>
      </c>
      <c r="G131" s="236"/>
      <c r="H131" s="236"/>
      <c r="I131" s="236"/>
      <c r="J131" s="242"/>
      <c r="L131" s="249"/>
      <c r="M131" s="245"/>
      <c r="N131" s="19" t="s">
        <v>153</v>
      </c>
      <c r="O131" s="17"/>
      <c r="P131" s="17"/>
      <c r="Q131" s="17">
        <v>50</v>
      </c>
      <c r="R131" s="236"/>
      <c r="S131" s="236"/>
      <c r="T131" s="236"/>
      <c r="U131" s="242"/>
    </row>
    <row r="132" spans="1:21" ht="13">
      <c r="A132" s="249"/>
      <c r="B132" s="245"/>
      <c r="C132" s="19" t="s">
        <v>155</v>
      </c>
      <c r="D132" s="17"/>
      <c r="E132" s="17"/>
      <c r="F132" s="17">
        <v>305</v>
      </c>
      <c r="G132" s="236"/>
      <c r="H132" s="236"/>
      <c r="I132" s="236"/>
      <c r="J132" s="242"/>
      <c r="L132" s="249"/>
      <c r="M132" s="245"/>
      <c r="N132" s="19" t="s">
        <v>155</v>
      </c>
      <c r="O132" s="17"/>
      <c r="P132" s="17"/>
      <c r="Q132" s="17">
        <v>305</v>
      </c>
      <c r="R132" s="236"/>
      <c r="S132" s="236"/>
      <c r="T132" s="236"/>
      <c r="U132" s="242"/>
    </row>
    <row r="133" spans="1:21" ht="13">
      <c r="A133" s="249"/>
      <c r="B133" s="246"/>
      <c r="C133" s="44" t="s">
        <v>165</v>
      </c>
      <c r="D133" s="21"/>
      <c r="E133" s="21"/>
      <c r="F133" s="21">
        <v>69.72</v>
      </c>
      <c r="G133" s="238"/>
      <c r="H133" s="238"/>
      <c r="I133" s="238"/>
      <c r="J133" s="243"/>
      <c r="L133" s="249"/>
      <c r="M133" s="246"/>
      <c r="N133" s="44" t="s">
        <v>165</v>
      </c>
      <c r="O133" s="21"/>
      <c r="P133" s="21"/>
      <c r="Q133" s="21">
        <v>69.72</v>
      </c>
      <c r="R133" s="238"/>
      <c r="S133" s="238"/>
      <c r="T133" s="238"/>
      <c r="U133" s="243"/>
    </row>
    <row r="134" spans="1:21" ht="13">
      <c r="A134" s="249"/>
      <c r="B134" s="244" t="s">
        <v>167</v>
      </c>
      <c r="C134" s="15" t="s">
        <v>114</v>
      </c>
      <c r="D134" s="16">
        <v>3.5</v>
      </c>
      <c r="E134" s="17">
        <v>18</v>
      </c>
      <c r="F134" s="17">
        <f>D134*E134</f>
        <v>63</v>
      </c>
      <c r="G134" s="240">
        <f>SUM(F134:F136)</f>
        <v>150.96</v>
      </c>
      <c r="H134" s="273">
        <v>1192.52</v>
      </c>
      <c r="I134" s="273">
        <f>H134-G134</f>
        <v>1041.56</v>
      </c>
      <c r="J134" s="241">
        <f>I134/H134</f>
        <v>0.87341092811860599</v>
      </c>
      <c r="L134" s="249"/>
      <c r="M134" s="244" t="s">
        <v>167</v>
      </c>
      <c r="N134" s="15" t="s">
        <v>114</v>
      </c>
      <c r="O134" s="18"/>
      <c r="P134" s="18"/>
      <c r="Q134" s="18"/>
      <c r="R134" s="240">
        <f>SUM(Q134:Q136)</f>
        <v>87.960000000000008</v>
      </c>
      <c r="S134" s="273">
        <v>1192.52</v>
      </c>
      <c r="T134" s="273">
        <f>S134-R134</f>
        <v>1104.56</v>
      </c>
      <c r="U134" s="241">
        <f>T134/S134</f>
        <v>0.92624023077181095</v>
      </c>
    </row>
    <row r="135" spans="1:21" ht="13">
      <c r="A135" s="249"/>
      <c r="B135" s="245"/>
      <c r="C135" s="19" t="s">
        <v>45</v>
      </c>
      <c r="D135" s="17"/>
      <c r="E135" s="17"/>
      <c r="F135" s="17">
        <v>30</v>
      </c>
      <c r="G135" s="236"/>
      <c r="H135" s="236"/>
      <c r="I135" s="236"/>
      <c r="J135" s="242"/>
      <c r="L135" s="249"/>
      <c r="M135" s="245"/>
      <c r="N135" s="19" t="s">
        <v>45</v>
      </c>
      <c r="O135" s="17"/>
      <c r="P135" s="17"/>
      <c r="Q135" s="17">
        <v>30</v>
      </c>
      <c r="R135" s="236"/>
      <c r="S135" s="236"/>
      <c r="T135" s="236"/>
      <c r="U135" s="242"/>
    </row>
    <row r="136" spans="1:21" ht="13">
      <c r="A136" s="249"/>
      <c r="B136" s="246"/>
      <c r="C136" s="19" t="s">
        <v>33</v>
      </c>
      <c r="D136" s="17"/>
      <c r="E136" s="21"/>
      <c r="F136" s="21">
        <v>57.96</v>
      </c>
      <c r="G136" s="238"/>
      <c r="H136" s="238"/>
      <c r="I136" s="238"/>
      <c r="J136" s="243"/>
      <c r="L136" s="249"/>
      <c r="M136" s="246"/>
      <c r="N136" s="19" t="s">
        <v>33</v>
      </c>
      <c r="O136" s="17"/>
      <c r="P136" s="21"/>
      <c r="Q136" s="21">
        <v>57.96</v>
      </c>
      <c r="R136" s="238"/>
      <c r="S136" s="238"/>
      <c r="T136" s="238"/>
      <c r="U136" s="243"/>
    </row>
    <row r="137" spans="1:21" ht="13">
      <c r="A137" s="249"/>
      <c r="B137" s="244" t="s">
        <v>168</v>
      </c>
      <c r="C137" s="49" t="s">
        <v>114</v>
      </c>
      <c r="D137" s="50">
        <v>3.5</v>
      </c>
      <c r="E137" s="23">
        <v>18</v>
      </c>
      <c r="F137" s="23">
        <f>D137*E137</f>
        <v>63</v>
      </c>
      <c r="G137" s="240">
        <f>SUM(F137:F139)</f>
        <v>158.34</v>
      </c>
      <c r="H137" s="273">
        <v>1192.52</v>
      </c>
      <c r="I137" s="273">
        <f>H137-G137</f>
        <v>1034.18</v>
      </c>
      <c r="J137" s="241">
        <f>I137/H137</f>
        <v>0.86722235266494485</v>
      </c>
      <c r="L137" s="249"/>
      <c r="M137" s="244" t="s">
        <v>168</v>
      </c>
      <c r="N137" s="49" t="s">
        <v>114</v>
      </c>
      <c r="O137" s="43"/>
      <c r="P137" s="18"/>
      <c r="Q137" s="18"/>
      <c r="R137" s="240">
        <f>SUM(Q137:Q139)</f>
        <v>95.34</v>
      </c>
      <c r="S137" s="273">
        <v>1192.52</v>
      </c>
      <c r="T137" s="273">
        <f>S137-R137</f>
        <v>1097.18</v>
      </c>
      <c r="U137" s="241">
        <f>T137/S137</f>
        <v>0.92005165531814992</v>
      </c>
    </row>
    <row r="138" spans="1:21" ht="13">
      <c r="A138" s="249"/>
      <c r="B138" s="245"/>
      <c r="C138" s="51" t="s">
        <v>45</v>
      </c>
      <c r="D138" s="51"/>
      <c r="E138" s="51"/>
      <c r="F138" s="23">
        <v>30</v>
      </c>
      <c r="G138" s="236"/>
      <c r="H138" s="236"/>
      <c r="I138" s="236"/>
      <c r="J138" s="242"/>
      <c r="L138" s="249"/>
      <c r="M138" s="245"/>
      <c r="N138" s="51" t="s">
        <v>45</v>
      </c>
      <c r="O138" s="51"/>
      <c r="P138" s="51"/>
      <c r="Q138" s="23">
        <v>30</v>
      </c>
      <c r="R138" s="236"/>
      <c r="S138" s="236"/>
      <c r="T138" s="236"/>
      <c r="U138" s="242"/>
    </row>
    <row r="139" spans="1:21" ht="13">
      <c r="A139" s="249"/>
      <c r="B139" s="246"/>
      <c r="C139" s="52" t="s">
        <v>33</v>
      </c>
      <c r="D139" s="52"/>
      <c r="E139" s="52"/>
      <c r="F139" s="26">
        <v>65.34</v>
      </c>
      <c r="G139" s="238"/>
      <c r="H139" s="238"/>
      <c r="I139" s="238"/>
      <c r="J139" s="243"/>
      <c r="L139" s="249"/>
      <c r="M139" s="246"/>
      <c r="N139" s="52" t="s">
        <v>33</v>
      </c>
      <c r="O139" s="52"/>
      <c r="P139" s="52"/>
      <c r="Q139" s="26">
        <v>65.34</v>
      </c>
      <c r="R139" s="238"/>
      <c r="S139" s="238"/>
      <c r="T139" s="238"/>
      <c r="U139" s="243"/>
    </row>
    <row r="140" spans="1:21" ht="13">
      <c r="A140" s="249"/>
      <c r="B140" s="244" t="s">
        <v>169</v>
      </c>
      <c r="C140" s="15" t="s">
        <v>23</v>
      </c>
      <c r="D140" s="16">
        <v>7</v>
      </c>
      <c r="E140" s="17">
        <v>16</v>
      </c>
      <c r="F140" s="17">
        <f t="shared" ref="F140:F141" si="23">D140*E140</f>
        <v>112</v>
      </c>
      <c r="G140" s="240">
        <f>SUM(F140:F144)</f>
        <v>626</v>
      </c>
      <c r="H140" s="273">
        <v>3416</v>
      </c>
      <c r="I140" s="273">
        <f>H140-G140</f>
        <v>2790</v>
      </c>
      <c r="J140" s="241">
        <f>I140/H140</f>
        <v>0.81674473067915687</v>
      </c>
      <c r="L140" s="249"/>
      <c r="M140" s="244" t="s">
        <v>169</v>
      </c>
      <c r="N140" s="15" t="s">
        <v>23</v>
      </c>
      <c r="O140" s="43"/>
      <c r="P140" s="18"/>
      <c r="Q140" s="18"/>
      <c r="R140" s="240">
        <f>SUM(Q140:Q144)</f>
        <v>262</v>
      </c>
      <c r="S140" s="273">
        <v>3416</v>
      </c>
      <c r="T140" s="273">
        <f>S140-R140</f>
        <v>3154</v>
      </c>
      <c r="U140" s="241">
        <f>T140/S140</f>
        <v>0.92330210772833721</v>
      </c>
    </row>
    <row r="141" spans="1:21" ht="13">
      <c r="A141" s="249"/>
      <c r="B141" s="245"/>
      <c r="C141" s="19" t="s">
        <v>114</v>
      </c>
      <c r="D141" s="17">
        <v>14</v>
      </c>
      <c r="E141" s="17">
        <v>18</v>
      </c>
      <c r="F141" s="17">
        <f t="shared" si="23"/>
        <v>252</v>
      </c>
      <c r="G141" s="236"/>
      <c r="H141" s="236"/>
      <c r="I141" s="236"/>
      <c r="J141" s="242"/>
      <c r="L141" s="249"/>
      <c r="M141" s="245"/>
      <c r="N141" s="19" t="s">
        <v>114</v>
      </c>
      <c r="O141" s="18"/>
      <c r="P141" s="18"/>
      <c r="Q141" s="18"/>
      <c r="R141" s="236"/>
      <c r="S141" s="236"/>
      <c r="T141" s="236"/>
      <c r="U141" s="242"/>
    </row>
    <row r="142" spans="1:21" ht="13">
      <c r="A142" s="249"/>
      <c r="B142" s="245"/>
      <c r="C142" s="19" t="s">
        <v>45</v>
      </c>
      <c r="D142" s="17"/>
      <c r="E142" s="17"/>
      <c r="F142" s="17">
        <v>150</v>
      </c>
      <c r="G142" s="236"/>
      <c r="H142" s="236"/>
      <c r="I142" s="236"/>
      <c r="J142" s="242"/>
      <c r="L142" s="249"/>
      <c r="M142" s="245"/>
      <c r="N142" s="19" t="s">
        <v>45</v>
      </c>
      <c r="O142" s="17"/>
      <c r="P142" s="17"/>
      <c r="Q142" s="17">
        <v>150</v>
      </c>
      <c r="R142" s="236"/>
      <c r="S142" s="236"/>
      <c r="T142" s="236"/>
      <c r="U142" s="242"/>
    </row>
    <row r="143" spans="1:21" ht="13">
      <c r="A143" s="249"/>
      <c r="B143" s="245"/>
      <c r="C143" s="19" t="s">
        <v>155</v>
      </c>
      <c r="D143" s="17"/>
      <c r="E143" s="17"/>
      <c r="F143" s="17">
        <v>112</v>
      </c>
      <c r="G143" s="236"/>
      <c r="H143" s="236"/>
      <c r="I143" s="236"/>
      <c r="J143" s="242"/>
      <c r="L143" s="249"/>
      <c r="M143" s="245"/>
      <c r="N143" s="19" t="s">
        <v>155</v>
      </c>
      <c r="O143" s="17"/>
      <c r="P143" s="17"/>
      <c r="Q143" s="17">
        <v>112</v>
      </c>
      <c r="R143" s="236"/>
      <c r="S143" s="236"/>
      <c r="T143" s="236"/>
      <c r="U143" s="242"/>
    </row>
    <row r="144" spans="1:21" ht="13">
      <c r="A144" s="249"/>
      <c r="B144" s="246"/>
      <c r="C144" s="44"/>
      <c r="D144" s="21"/>
      <c r="E144" s="21"/>
      <c r="F144" s="21"/>
      <c r="G144" s="238"/>
      <c r="H144" s="238"/>
      <c r="I144" s="238"/>
      <c r="J144" s="243"/>
      <c r="L144" s="249"/>
      <c r="M144" s="246"/>
      <c r="N144" s="44"/>
      <c r="O144" s="21"/>
      <c r="P144" s="21"/>
      <c r="Q144" s="21"/>
      <c r="R144" s="238"/>
      <c r="S144" s="238"/>
      <c r="T144" s="238"/>
      <c r="U144" s="243"/>
    </row>
    <row r="145" spans="1:21" ht="13">
      <c r="A145" s="249"/>
      <c r="B145" s="244" t="s">
        <v>170</v>
      </c>
      <c r="C145" s="15" t="s">
        <v>23</v>
      </c>
      <c r="D145" s="16">
        <v>21</v>
      </c>
      <c r="E145" s="17">
        <v>16</v>
      </c>
      <c r="F145" s="17">
        <f>D145*E145</f>
        <v>336</v>
      </c>
      <c r="G145" s="240">
        <f>SUM(F145:F153)</f>
        <v>1648.6399999999999</v>
      </c>
      <c r="H145" s="273">
        <v>2884</v>
      </c>
      <c r="I145" s="273">
        <f>H145-G145</f>
        <v>1235.3600000000001</v>
      </c>
      <c r="J145" s="241">
        <f>I145/H145</f>
        <v>0.42834951456310683</v>
      </c>
      <c r="L145" s="249"/>
      <c r="M145" s="244" t="s">
        <v>170</v>
      </c>
      <c r="N145" s="15" t="s">
        <v>23</v>
      </c>
      <c r="O145" s="18"/>
      <c r="P145" s="18"/>
      <c r="Q145" s="18"/>
      <c r="R145" s="240">
        <f>SUM(Q145:Q153)</f>
        <v>934.64</v>
      </c>
      <c r="S145" s="273">
        <v>2884</v>
      </c>
      <c r="T145" s="273">
        <f>S145-R145</f>
        <v>1949.3600000000001</v>
      </c>
      <c r="U145" s="241">
        <f>T145/S145</f>
        <v>0.67592233009708746</v>
      </c>
    </row>
    <row r="146" spans="1:21" ht="13">
      <c r="A146" s="249"/>
      <c r="B146" s="245"/>
      <c r="C146" s="19" t="s">
        <v>35</v>
      </c>
      <c r="D146" s="17"/>
      <c r="E146" s="17"/>
      <c r="F146" s="17">
        <v>100</v>
      </c>
      <c r="G146" s="236"/>
      <c r="H146" s="236"/>
      <c r="I146" s="236"/>
      <c r="J146" s="242"/>
      <c r="L146" s="249"/>
      <c r="M146" s="245"/>
      <c r="N146" s="19" t="s">
        <v>35</v>
      </c>
      <c r="O146" s="17"/>
      <c r="P146" s="17"/>
      <c r="Q146" s="17">
        <v>100</v>
      </c>
      <c r="R146" s="236"/>
      <c r="S146" s="236"/>
      <c r="T146" s="236"/>
      <c r="U146" s="242"/>
    </row>
    <row r="147" spans="1:21" ht="13">
      <c r="A147" s="249"/>
      <c r="B147" s="245"/>
      <c r="C147" s="19" t="s">
        <v>114</v>
      </c>
      <c r="D147" s="17">
        <v>21</v>
      </c>
      <c r="E147" s="17">
        <v>18</v>
      </c>
      <c r="F147" s="17">
        <f t="shared" ref="F147:F150" si="24">D147*E147</f>
        <v>378</v>
      </c>
      <c r="G147" s="236"/>
      <c r="H147" s="236"/>
      <c r="I147" s="236"/>
      <c r="J147" s="242"/>
      <c r="L147" s="249"/>
      <c r="M147" s="245"/>
      <c r="N147" s="19" t="s">
        <v>114</v>
      </c>
      <c r="O147" s="18"/>
      <c r="P147" s="18"/>
      <c r="Q147" s="18"/>
      <c r="R147" s="236"/>
      <c r="S147" s="236"/>
      <c r="T147" s="236"/>
      <c r="U147" s="242"/>
    </row>
    <row r="148" spans="1:21" ht="13">
      <c r="A148" s="249"/>
      <c r="B148" s="245"/>
      <c r="C148" s="19" t="s">
        <v>32</v>
      </c>
      <c r="D148" s="17">
        <v>17.75</v>
      </c>
      <c r="E148" s="17">
        <v>13</v>
      </c>
      <c r="F148" s="17">
        <f t="shared" si="24"/>
        <v>230.75</v>
      </c>
      <c r="G148" s="236"/>
      <c r="H148" s="236"/>
      <c r="I148" s="236"/>
      <c r="J148" s="242"/>
      <c r="L148" s="249"/>
      <c r="M148" s="245"/>
      <c r="N148" s="19" t="s">
        <v>32</v>
      </c>
      <c r="O148" s="17">
        <v>17.75</v>
      </c>
      <c r="P148" s="17">
        <v>13</v>
      </c>
      <c r="Q148" s="17">
        <f t="shared" ref="Q148:Q150" si="25">O148*P148</f>
        <v>230.75</v>
      </c>
      <c r="R148" s="236"/>
      <c r="S148" s="236"/>
      <c r="T148" s="236"/>
      <c r="U148" s="242"/>
    </row>
    <row r="149" spans="1:21" ht="13">
      <c r="A149" s="249"/>
      <c r="B149" s="245"/>
      <c r="C149" s="19" t="s">
        <v>171</v>
      </c>
      <c r="D149" s="17">
        <v>14.75</v>
      </c>
      <c r="E149" s="17">
        <v>13</v>
      </c>
      <c r="F149" s="17">
        <f t="shared" si="24"/>
        <v>191.75</v>
      </c>
      <c r="G149" s="236"/>
      <c r="H149" s="236"/>
      <c r="I149" s="236"/>
      <c r="J149" s="242"/>
      <c r="L149" s="249"/>
      <c r="M149" s="245"/>
      <c r="N149" s="19" t="s">
        <v>171</v>
      </c>
      <c r="O149" s="17">
        <v>14.75</v>
      </c>
      <c r="P149" s="17">
        <v>13</v>
      </c>
      <c r="Q149" s="17">
        <f t="shared" si="25"/>
        <v>191.75</v>
      </c>
      <c r="R149" s="236"/>
      <c r="S149" s="236"/>
      <c r="T149" s="236"/>
      <c r="U149" s="242"/>
    </row>
    <row r="150" spans="1:21" ht="13">
      <c r="A150" s="249"/>
      <c r="B150" s="245"/>
      <c r="C150" s="19" t="s">
        <v>55</v>
      </c>
      <c r="D150" s="17">
        <v>8.7799999999999994</v>
      </c>
      <c r="E150" s="17">
        <v>13</v>
      </c>
      <c r="F150" s="17">
        <f t="shared" si="24"/>
        <v>114.13999999999999</v>
      </c>
      <c r="G150" s="236"/>
      <c r="H150" s="236"/>
      <c r="I150" s="236"/>
      <c r="J150" s="242"/>
      <c r="L150" s="249"/>
      <c r="M150" s="245"/>
      <c r="N150" s="19" t="s">
        <v>55</v>
      </c>
      <c r="O150" s="17">
        <v>8.7799999999999994</v>
      </c>
      <c r="P150" s="17">
        <v>13</v>
      </c>
      <c r="Q150" s="17">
        <f t="shared" si="25"/>
        <v>114.13999999999999</v>
      </c>
      <c r="R150" s="236"/>
      <c r="S150" s="236"/>
      <c r="T150" s="236"/>
      <c r="U150" s="242"/>
    </row>
    <row r="151" spans="1:21" ht="13">
      <c r="A151" s="249"/>
      <c r="B151" s="245"/>
      <c r="C151" s="19" t="s">
        <v>172</v>
      </c>
      <c r="D151" s="17"/>
      <c r="E151" s="17"/>
      <c r="F151" s="17">
        <v>20</v>
      </c>
      <c r="G151" s="236"/>
      <c r="H151" s="236"/>
      <c r="I151" s="236"/>
      <c r="J151" s="242"/>
      <c r="L151" s="249"/>
      <c r="M151" s="245"/>
      <c r="N151" s="19" t="s">
        <v>172</v>
      </c>
      <c r="O151" s="17"/>
      <c r="P151" s="17"/>
      <c r="Q151" s="17">
        <v>20</v>
      </c>
      <c r="R151" s="236"/>
      <c r="S151" s="236"/>
      <c r="T151" s="236"/>
      <c r="U151" s="242"/>
    </row>
    <row r="152" spans="1:21" ht="13">
      <c r="A152" s="249"/>
      <c r="B152" s="245"/>
      <c r="C152" s="19" t="s">
        <v>45</v>
      </c>
      <c r="D152" s="17"/>
      <c r="E152" s="17"/>
      <c r="F152" s="17">
        <v>200</v>
      </c>
      <c r="G152" s="236"/>
      <c r="H152" s="236"/>
      <c r="I152" s="236"/>
      <c r="J152" s="242"/>
      <c r="L152" s="249"/>
      <c r="M152" s="245"/>
      <c r="N152" s="19" t="s">
        <v>45</v>
      </c>
      <c r="O152" s="17"/>
      <c r="P152" s="17"/>
      <c r="Q152" s="17">
        <v>200</v>
      </c>
      <c r="R152" s="236"/>
      <c r="S152" s="236"/>
      <c r="T152" s="236"/>
      <c r="U152" s="242"/>
    </row>
    <row r="153" spans="1:21" ht="13">
      <c r="A153" s="249"/>
      <c r="B153" s="246"/>
      <c r="C153" s="44" t="s">
        <v>155</v>
      </c>
      <c r="D153" s="21"/>
      <c r="E153" s="21"/>
      <c r="F153" s="21">
        <v>78</v>
      </c>
      <c r="G153" s="238"/>
      <c r="H153" s="238"/>
      <c r="I153" s="238"/>
      <c r="J153" s="243"/>
      <c r="L153" s="249"/>
      <c r="M153" s="246"/>
      <c r="N153" s="44" t="s">
        <v>155</v>
      </c>
      <c r="O153" s="21"/>
      <c r="P153" s="21"/>
      <c r="Q153" s="21">
        <v>78</v>
      </c>
      <c r="R153" s="238"/>
      <c r="S153" s="238"/>
      <c r="T153" s="238"/>
      <c r="U153" s="243"/>
    </row>
    <row r="154" spans="1:21" ht="13">
      <c r="A154" s="249"/>
      <c r="B154" s="244" t="s">
        <v>173</v>
      </c>
      <c r="C154" s="15" t="s">
        <v>23</v>
      </c>
      <c r="D154" s="16">
        <v>21</v>
      </c>
      <c r="E154" s="17">
        <v>16</v>
      </c>
      <c r="F154" s="17">
        <f>D154*E154</f>
        <v>336</v>
      </c>
      <c r="G154" s="240">
        <f>SUM(F154:F163)</f>
        <v>1689.4299999999998</v>
      </c>
      <c r="H154" s="273">
        <v>6818.08</v>
      </c>
      <c r="I154" s="273">
        <f>H154-G154</f>
        <v>5128.6499999999996</v>
      </c>
      <c r="J154" s="241">
        <f>I154/H154</f>
        <v>0.75221323305094689</v>
      </c>
      <c r="L154" s="249"/>
      <c r="M154" s="244" t="s">
        <v>173</v>
      </c>
      <c r="N154" s="15" t="s">
        <v>23</v>
      </c>
      <c r="O154" s="18"/>
      <c r="P154" s="18"/>
      <c r="Q154" s="18"/>
      <c r="R154" s="240">
        <f>SUM(Q154:Q163)</f>
        <v>1353.43</v>
      </c>
      <c r="S154" s="273">
        <v>6818.08</v>
      </c>
      <c r="T154" s="273">
        <f>S154-R154</f>
        <v>5464.65</v>
      </c>
      <c r="U154" s="241">
        <f>T154/S154</f>
        <v>0.8014939689766033</v>
      </c>
    </row>
    <row r="155" spans="1:21" ht="13">
      <c r="A155" s="249"/>
      <c r="B155" s="245"/>
      <c r="C155" s="19" t="s">
        <v>70</v>
      </c>
      <c r="D155" s="17"/>
      <c r="E155" s="17"/>
      <c r="F155" s="17">
        <v>400</v>
      </c>
      <c r="G155" s="236"/>
      <c r="H155" s="236"/>
      <c r="I155" s="236"/>
      <c r="J155" s="242"/>
      <c r="L155" s="249"/>
      <c r="M155" s="245"/>
      <c r="N155" s="19" t="s">
        <v>70</v>
      </c>
      <c r="O155" s="17"/>
      <c r="P155" s="17"/>
      <c r="Q155" s="17">
        <v>400</v>
      </c>
      <c r="R155" s="236"/>
      <c r="S155" s="236"/>
      <c r="T155" s="236"/>
      <c r="U155" s="242"/>
    </row>
    <row r="156" spans="1:21" ht="13">
      <c r="A156" s="249"/>
      <c r="B156" s="245"/>
      <c r="C156" s="19" t="s">
        <v>45</v>
      </c>
      <c r="D156" s="17"/>
      <c r="E156" s="17"/>
      <c r="F156" s="17">
        <v>54.02</v>
      </c>
      <c r="G156" s="236"/>
      <c r="H156" s="236"/>
      <c r="I156" s="236"/>
      <c r="J156" s="242"/>
      <c r="L156" s="249"/>
      <c r="M156" s="245"/>
      <c r="N156" s="19" t="s">
        <v>45</v>
      </c>
      <c r="O156" s="17"/>
      <c r="P156" s="17"/>
      <c r="Q156" s="17">
        <v>54.02</v>
      </c>
      <c r="R156" s="236"/>
      <c r="S156" s="236"/>
      <c r="T156" s="236"/>
      <c r="U156" s="242"/>
    </row>
    <row r="157" spans="1:21" ht="13">
      <c r="A157" s="249"/>
      <c r="B157" s="245"/>
      <c r="C157" s="19" t="s">
        <v>44</v>
      </c>
      <c r="D157" s="17"/>
      <c r="E157" s="17"/>
      <c r="F157" s="17">
        <v>13.8</v>
      </c>
      <c r="G157" s="236"/>
      <c r="H157" s="236"/>
      <c r="I157" s="236"/>
      <c r="J157" s="242"/>
      <c r="L157" s="249"/>
      <c r="M157" s="245"/>
      <c r="N157" s="19" t="s">
        <v>44</v>
      </c>
      <c r="O157" s="17"/>
      <c r="P157" s="17"/>
      <c r="Q157" s="17">
        <v>13.8</v>
      </c>
      <c r="R157" s="236"/>
      <c r="S157" s="236"/>
      <c r="T157" s="236"/>
      <c r="U157" s="242"/>
    </row>
    <row r="158" spans="1:21" ht="13">
      <c r="A158" s="249"/>
      <c r="B158" s="245"/>
      <c r="C158" s="19" t="s">
        <v>153</v>
      </c>
      <c r="D158" s="17"/>
      <c r="E158" s="17"/>
      <c r="F158" s="17">
        <v>81.3</v>
      </c>
      <c r="G158" s="236"/>
      <c r="H158" s="236"/>
      <c r="I158" s="236"/>
      <c r="J158" s="242"/>
      <c r="L158" s="249"/>
      <c r="M158" s="245"/>
      <c r="N158" s="19" t="s">
        <v>153</v>
      </c>
      <c r="O158" s="17"/>
      <c r="P158" s="17"/>
      <c r="Q158" s="17">
        <v>81.3</v>
      </c>
      <c r="R158" s="236"/>
      <c r="S158" s="236"/>
      <c r="T158" s="236"/>
      <c r="U158" s="242"/>
    </row>
    <row r="159" spans="1:21" ht="13">
      <c r="A159" s="249"/>
      <c r="B159" s="245"/>
      <c r="C159" s="19" t="s">
        <v>46</v>
      </c>
      <c r="D159" s="17"/>
      <c r="E159" s="17"/>
      <c r="F159" s="17">
        <v>172.6</v>
      </c>
      <c r="G159" s="236"/>
      <c r="H159" s="236"/>
      <c r="I159" s="236"/>
      <c r="J159" s="242"/>
      <c r="L159" s="249"/>
      <c r="M159" s="245"/>
      <c r="N159" s="19" t="s">
        <v>46</v>
      </c>
      <c r="O159" s="17"/>
      <c r="P159" s="17"/>
      <c r="Q159" s="17">
        <v>172.6</v>
      </c>
      <c r="R159" s="236"/>
      <c r="S159" s="236"/>
      <c r="T159" s="236"/>
      <c r="U159" s="242"/>
    </row>
    <row r="160" spans="1:21" ht="13">
      <c r="A160" s="249"/>
      <c r="B160" s="245"/>
      <c r="C160" s="19" t="s">
        <v>174</v>
      </c>
      <c r="D160" s="17"/>
      <c r="E160" s="17"/>
      <c r="F160" s="17">
        <v>16.3</v>
      </c>
      <c r="G160" s="236"/>
      <c r="H160" s="236"/>
      <c r="I160" s="236"/>
      <c r="J160" s="242"/>
      <c r="L160" s="249"/>
      <c r="M160" s="245"/>
      <c r="N160" s="19" t="s">
        <v>174</v>
      </c>
      <c r="O160" s="17"/>
      <c r="P160" s="17"/>
      <c r="Q160" s="17">
        <v>16.3</v>
      </c>
      <c r="R160" s="236"/>
      <c r="S160" s="236"/>
      <c r="T160" s="236"/>
      <c r="U160" s="242"/>
    </row>
    <row r="161" spans="1:21" ht="13">
      <c r="A161" s="249"/>
      <c r="B161" s="245"/>
      <c r="C161" s="19" t="s">
        <v>115</v>
      </c>
      <c r="D161" s="17"/>
      <c r="E161" s="17"/>
      <c r="F161" s="17">
        <v>300.43</v>
      </c>
      <c r="G161" s="236"/>
      <c r="H161" s="236"/>
      <c r="I161" s="236"/>
      <c r="J161" s="242"/>
      <c r="L161" s="249"/>
      <c r="M161" s="245"/>
      <c r="N161" s="19" t="s">
        <v>115</v>
      </c>
      <c r="O161" s="17"/>
      <c r="P161" s="17"/>
      <c r="Q161" s="17">
        <v>300.43</v>
      </c>
      <c r="R161" s="236"/>
      <c r="S161" s="236"/>
      <c r="T161" s="236"/>
      <c r="U161" s="242"/>
    </row>
    <row r="162" spans="1:21" ht="13">
      <c r="A162" s="249"/>
      <c r="B162" s="245"/>
      <c r="C162" s="19" t="s">
        <v>155</v>
      </c>
      <c r="D162" s="17"/>
      <c r="E162" s="17"/>
      <c r="F162" s="17">
        <v>111</v>
      </c>
      <c r="G162" s="236"/>
      <c r="H162" s="236"/>
      <c r="I162" s="236"/>
      <c r="J162" s="242"/>
      <c r="L162" s="249"/>
      <c r="M162" s="245"/>
      <c r="N162" s="19" t="s">
        <v>155</v>
      </c>
      <c r="O162" s="17"/>
      <c r="P162" s="17"/>
      <c r="Q162" s="17">
        <v>111</v>
      </c>
      <c r="R162" s="236"/>
      <c r="S162" s="236"/>
      <c r="T162" s="236"/>
      <c r="U162" s="242"/>
    </row>
    <row r="163" spans="1:21" ht="13">
      <c r="A163" s="250"/>
      <c r="B163" s="246"/>
      <c r="C163" s="44" t="s">
        <v>165</v>
      </c>
      <c r="D163" s="21"/>
      <c r="E163" s="21"/>
      <c r="F163" s="21">
        <v>203.98</v>
      </c>
      <c r="G163" s="238"/>
      <c r="H163" s="238"/>
      <c r="I163" s="238"/>
      <c r="J163" s="243"/>
      <c r="L163" s="250"/>
      <c r="M163" s="246"/>
      <c r="N163" s="44" t="s">
        <v>165</v>
      </c>
      <c r="O163" s="21"/>
      <c r="P163" s="21"/>
      <c r="Q163" s="21">
        <v>203.98</v>
      </c>
      <c r="R163" s="238"/>
      <c r="S163" s="238"/>
      <c r="T163" s="238"/>
      <c r="U163" s="243"/>
    </row>
    <row r="164" spans="1:21" ht="30">
      <c r="A164" s="251" t="s">
        <v>175</v>
      </c>
      <c r="B164" s="252"/>
      <c r="C164" s="253"/>
      <c r="D164" s="27">
        <f t="shared" ref="D164:I164" si="26">AVERAGE(D81:D163)</f>
        <v>14.047692307692305</v>
      </c>
      <c r="E164" s="27">
        <f t="shared" si="26"/>
        <v>15.333333333333334</v>
      </c>
      <c r="F164" s="27">
        <f t="shared" si="26"/>
        <v>153.63670886075946</v>
      </c>
      <c r="G164" s="27">
        <f t="shared" si="26"/>
        <v>809.15333333333331</v>
      </c>
      <c r="H164" s="27">
        <f t="shared" si="26"/>
        <v>2940.5940000000001</v>
      </c>
      <c r="I164" s="27">
        <f t="shared" si="26"/>
        <v>2131.4406666666669</v>
      </c>
      <c r="J164" s="28">
        <f>AVERAGE($J$12:$J$76)</f>
        <v>0.79942354689485917</v>
      </c>
      <c r="L164" s="251" t="s">
        <v>175</v>
      </c>
      <c r="M164" s="252"/>
      <c r="N164" s="253"/>
      <c r="O164" s="27">
        <f t="shared" ref="O164:T164" si="27">AVERAGE(O81:O163)</f>
        <v>15.675454545454544</v>
      </c>
      <c r="P164" s="27">
        <f t="shared" si="27"/>
        <v>13.818181818181818</v>
      </c>
      <c r="Q164" s="27">
        <f t="shared" si="27"/>
        <v>139.53709677419357</v>
      </c>
      <c r="R164" s="27">
        <f t="shared" si="27"/>
        <v>576.75333333333344</v>
      </c>
      <c r="S164" s="27">
        <f t="shared" si="27"/>
        <v>2940.5940000000001</v>
      </c>
      <c r="T164" s="27">
        <f t="shared" si="27"/>
        <v>2363.8406666666665</v>
      </c>
      <c r="U164" s="28">
        <f>AVERAGE($J$12:$J$76)</f>
        <v>0.79942354689485917</v>
      </c>
    </row>
    <row r="165" spans="1:21" ht="30">
      <c r="A165" s="254" t="s">
        <v>176</v>
      </c>
      <c r="B165" s="255"/>
      <c r="C165" s="256"/>
      <c r="D165" s="27">
        <f t="shared" ref="D165:I165" si="28">SUM(D81:D163)</f>
        <v>547.8599999999999</v>
      </c>
      <c r="E165" s="27">
        <f t="shared" si="28"/>
        <v>598</v>
      </c>
      <c r="F165" s="27">
        <f t="shared" si="28"/>
        <v>12137.299999999997</v>
      </c>
      <c r="G165" s="27">
        <f t="shared" si="28"/>
        <v>12137.3</v>
      </c>
      <c r="H165" s="27">
        <f t="shared" si="28"/>
        <v>44108.91</v>
      </c>
      <c r="I165" s="27">
        <f t="shared" si="28"/>
        <v>31971.61</v>
      </c>
      <c r="J165" s="29">
        <f t="shared" ref="J165:J166" si="29">I165/H165</f>
        <v>0.7248333726677898</v>
      </c>
      <c r="L165" s="254" t="s">
        <v>176</v>
      </c>
      <c r="M165" s="255"/>
      <c r="N165" s="256"/>
      <c r="O165" s="27">
        <f t="shared" ref="O165:T165" si="30">SUM(O81:O163)</f>
        <v>344.85999999999996</v>
      </c>
      <c r="P165" s="27">
        <f t="shared" si="30"/>
        <v>304</v>
      </c>
      <c r="Q165" s="27">
        <f t="shared" si="30"/>
        <v>8651.3000000000011</v>
      </c>
      <c r="R165" s="27">
        <f t="shared" si="30"/>
        <v>8651.3000000000011</v>
      </c>
      <c r="S165" s="27">
        <f t="shared" si="30"/>
        <v>44108.91</v>
      </c>
      <c r="T165" s="27">
        <f t="shared" si="30"/>
        <v>35457.61</v>
      </c>
      <c r="U165" s="29">
        <f t="shared" ref="U165:U166" si="31">T165/S165</f>
        <v>0.80386502409603855</v>
      </c>
    </row>
    <row r="166" spans="1:21" ht="13">
      <c r="A166" s="277" t="s">
        <v>2</v>
      </c>
      <c r="B166" s="244" t="s">
        <v>177</v>
      </c>
      <c r="C166" s="15" t="s">
        <v>114</v>
      </c>
      <c r="D166" s="16">
        <v>21</v>
      </c>
      <c r="E166" s="16">
        <v>18</v>
      </c>
      <c r="F166" s="17">
        <f t="shared" ref="F166:F167" si="32">D166*E166</f>
        <v>378</v>
      </c>
      <c r="G166" s="240">
        <f>SUM(F166:F176)</f>
        <v>3902.47</v>
      </c>
      <c r="H166" s="237">
        <v>8661.1</v>
      </c>
      <c r="I166" s="237">
        <f>H166-G166</f>
        <v>4758.630000000001</v>
      </c>
      <c r="J166" s="241">
        <f t="shared" si="29"/>
        <v>0.54942559259216506</v>
      </c>
      <c r="L166" s="277" t="s">
        <v>2</v>
      </c>
      <c r="M166" s="244" t="s">
        <v>177</v>
      </c>
      <c r="N166" s="15" t="s">
        <v>114</v>
      </c>
      <c r="O166" s="18"/>
      <c r="P166" s="18"/>
      <c r="Q166" s="18"/>
      <c r="R166" s="240">
        <f>SUM(Q166:Q176)</f>
        <v>3377.47</v>
      </c>
      <c r="S166" s="237">
        <v>8661.1</v>
      </c>
      <c r="T166" s="237">
        <f>S166-R166</f>
        <v>5283.630000000001</v>
      </c>
      <c r="U166" s="241">
        <f t="shared" si="31"/>
        <v>0.61004144970038454</v>
      </c>
    </row>
    <row r="167" spans="1:21" ht="13">
      <c r="A167" s="249"/>
      <c r="B167" s="245"/>
      <c r="C167" s="19" t="s">
        <v>102</v>
      </c>
      <c r="D167" s="17">
        <v>7</v>
      </c>
      <c r="E167" s="17">
        <v>21</v>
      </c>
      <c r="F167" s="17">
        <f t="shared" si="32"/>
        <v>147</v>
      </c>
      <c r="G167" s="236"/>
      <c r="H167" s="236"/>
      <c r="I167" s="236"/>
      <c r="J167" s="242"/>
      <c r="L167" s="249"/>
      <c r="M167" s="245"/>
      <c r="N167" s="19" t="s">
        <v>102</v>
      </c>
      <c r="O167" s="18"/>
      <c r="P167" s="18"/>
      <c r="Q167" s="18"/>
      <c r="R167" s="236"/>
      <c r="S167" s="236"/>
      <c r="T167" s="236"/>
      <c r="U167" s="242"/>
    </row>
    <row r="168" spans="1:21" ht="13">
      <c r="A168" s="249"/>
      <c r="B168" s="245"/>
      <c r="C168" s="19" t="s">
        <v>76</v>
      </c>
      <c r="D168" s="17"/>
      <c r="E168" s="17"/>
      <c r="F168" s="17">
        <v>991</v>
      </c>
      <c r="G168" s="236"/>
      <c r="H168" s="236"/>
      <c r="I168" s="236"/>
      <c r="J168" s="242"/>
      <c r="L168" s="249"/>
      <c r="M168" s="245"/>
      <c r="N168" s="19" t="s">
        <v>76</v>
      </c>
      <c r="O168" s="17"/>
      <c r="P168" s="17"/>
      <c r="Q168" s="17">
        <v>991</v>
      </c>
      <c r="R168" s="236"/>
      <c r="S168" s="236"/>
      <c r="T168" s="236"/>
      <c r="U168" s="242"/>
    </row>
    <row r="169" spans="1:21" ht="14">
      <c r="A169" s="249"/>
      <c r="B169" s="245"/>
      <c r="C169" s="45" t="s">
        <v>178</v>
      </c>
      <c r="D169" s="17">
        <v>31.33</v>
      </c>
      <c r="E169" s="17">
        <v>13</v>
      </c>
      <c r="F169" s="17">
        <f t="shared" ref="F169:F175" si="33">D169*E169</f>
        <v>407.28999999999996</v>
      </c>
      <c r="G169" s="236"/>
      <c r="H169" s="236"/>
      <c r="I169" s="236"/>
      <c r="J169" s="242"/>
      <c r="L169" s="249"/>
      <c r="M169" s="245"/>
      <c r="N169" s="45" t="s">
        <v>178</v>
      </c>
      <c r="O169" s="17">
        <v>31.33</v>
      </c>
      <c r="P169" s="17">
        <v>13</v>
      </c>
      <c r="Q169" s="17">
        <f t="shared" ref="Q169:Q175" si="34">O169*P169</f>
        <v>407.28999999999996</v>
      </c>
      <c r="R169" s="236"/>
      <c r="S169" s="236"/>
      <c r="T169" s="236"/>
      <c r="U169" s="242"/>
    </row>
    <row r="170" spans="1:21" ht="14">
      <c r="A170" s="249"/>
      <c r="B170" s="245"/>
      <c r="C170" s="45" t="s">
        <v>158</v>
      </c>
      <c r="D170" s="17">
        <v>5.05</v>
      </c>
      <c r="E170" s="17">
        <v>13</v>
      </c>
      <c r="F170" s="17">
        <f t="shared" si="33"/>
        <v>65.649999999999991</v>
      </c>
      <c r="G170" s="236"/>
      <c r="H170" s="236"/>
      <c r="I170" s="236"/>
      <c r="J170" s="242"/>
      <c r="L170" s="249"/>
      <c r="M170" s="245"/>
      <c r="N170" s="45" t="s">
        <v>158</v>
      </c>
      <c r="O170" s="17">
        <v>5.05</v>
      </c>
      <c r="P170" s="17">
        <v>13</v>
      </c>
      <c r="Q170" s="17">
        <f t="shared" si="34"/>
        <v>65.649999999999991</v>
      </c>
      <c r="R170" s="236"/>
      <c r="S170" s="236"/>
      <c r="T170" s="236"/>
      <c r="U170" s="242"/>
    </row>
    <row r="171" spans="1:21" ht="14">
      <c r="A171" s="249"/>
      <c r="B171" s="245"/>
      <c r="C171" s="45" t="s">
        <v>159</v>
      </c>
      <c r="D171" s="17">
        <v>25.5</v>
      </c>
      <c r="E171" s="17">
        <v>13</v>
      </c>
      <c r="F171" s="17">
        <f t="shared" si="33"/>
        <v>331.5</v>
      </c>
      <c r="G171" s="236"/>
      <c r="H171" s="236"/>
      <c r="I171" s="236"/>
      <c r="J171" s="242"/>
      <c r="L171" s="249"/>
      <c r="M171" s="245"/>
      <c r="N171" s="45" t="s">
        <v>159</v>
      </c>
      <c r="O171" s="17">
        <v>25.5</v>
      </c>
      <c r="P171" s="17">
        <v>13</v>
      </c>
      <c r="Q171" s="17">
        <f t="shared" si="34"/>
        <v>331.5</v>
      </c>
      <c r="R171" s="236"/>
      <c r="S171" s="236"/>
      <c r="T171" s="236"/>
      <c r="U171" s="242"/>
    </row>
    <row r="172" spans="1:21" ht="14">
      <c r="A172" s="249"/>
      <c r="B172" s="245"/>
      <c r="C172" s="45" t="s">
        <v>160</v>
      </c>
      <c r="D172" s="17">
        <v>30.2</v>
      </c>
      <c r="E172" s="17">
        <v>13</v>
      </c>
      <c r="F172" s="17">
        <f t="shared" si="33"/>
        <v>392.59999999999997</v>
      </c>
      <c r="G172" s="236"/>
      <c r="H172" s="236"/>
      <c r="I172" s="236"/>
      <c r="J172" s="242"/>
      <c r="L172" s="249"/>
      <c r="M172" s="245"/>
      <c r="N172" s="45" t="s">
        <v>160</v>
      </c>
      <c r="O172" s="17">
        <v>30.2</v>
      </c>
      <c r="P172" s="17">
        <v>13</v>
      </c>
      <c r="Q172" s="17">
        <f t="shared" si="34"/>
        <v>392.59999999999997</v>
      </c>
      <c r="R172" s="236"/>
      <c r="S172" s="236"/>
      <c r="T172" s="236"/>
      <c r="U172" s="242"/>
    </row>
    <row r="173" spans="1:21" ht="13">
      <c r="A173" s="249"/>
      <c r="B173" s="245"/>
      <c r="C173" s="24" t="s">
        <v>161</v>
      </c>
      <c r="D173" s="17">
        <v>31.75</v>
      </c>
      <c r="E173" s="17">
        <v>13</v>
      </c>
      <c r="F173" s="17">
        <f t="shared" si="33"/>
        <v>412.75</v>
      </c>
      <c r="G173" s="236"/>
      <c r="H173" s="236"/>
      <c r="I173" s="236"/>
      <c r="J173" s="242"/>
      <c r="L173" s="249"/>
      <c r="M173" s="245"/>
      <c r="N173" s="24" t="s">
        <v>161</v>
      </c>
      <c r="O173" s="17">
        <v>31.75</v>
      </c>
      <c r="P173" s="17">
        <v>13</v>
      </c>
      <c r="Q173" s="17">
        <f t="shared" si="34"/>
        <v>412.75</v>
      </c>
      <c r="R173" s="236"/>
      <c r="S173" s="236"/>
      <c r="T173" s="236"/>
      <c r="U173" s="242"/>
    </row>
    <row r="174" spans="1:21" ht="13">
      <c r="A174" s="249"/>
      <c r="B174" s="245"/>
      <c r="C174" s="24" t="s">
        <v>55</v>
      </c>
      <c r="D174" s="17">
        <v>25.36</v>
      </c>
      <c r="E174" s="17">
        <v>13</v>
      </c>
      <c r="F174" s="17">
        <f t="shared" si="33"/>
        <v>329.68</v>
      </c>
      <c r="G174" s="236"/>
      <c r="H174" s="236"/>
      <c r="I174" s="236"/>
      <c r="J174" s="242"/>
      <c r="L174" s="249"/>
      <c r="M174" s="245"/>
      <c r="N174" s="24" t="s">
        <v>55</v>
      </c>
      <c r="O174" s="17">
        <v>25.36</v>
      </c>
      <c r="P174" s="17">
        <v>13</v>
      </c>
      <c r="Q174" s="17">
        <f t="shared" si="34"/>
        <v>329.68</v>
      </c>
      <c r="R174" s="236"/>
      <c r="S174" s="236"/>
      <c r="T174" s="236"/>
      <c r="U174" s="242"/>
    </row>
    <row r="175" spans="1:21" ht="13">
      <c r="A175" s="249"/>
      <c r="B175" s="245"/>
      <c r="C175" s="24" t="s">
        <v>80</v>
      </c>
      <c r="D175" s="17">
        <v>19</v>
      </c>
      <c r="E175" s="17">
        <v>13</v>
      </c>
      <c r="F175" s="17">
        <f t="shared" si="33"/>
        <v>247</v>
      </c>
      <c r="G175" s="236"/>
      <c r="H175" s="236"/>
      <c r="I175" s="236"/>
      <c r="J175" s="242"/>
      <c r="L175" s="249"/>
      <c r="M175" s="245"/>
      <c r="N175" s="24" t="s">
        <v>80</v>
      </c>
      <c r="O175" s="17">
        <v>19</v>
      </c>
      <c r="P175" s="17">
        <v>13</v>
      </c>
      <c r="Q175" s="17">
        <f t="shared" si="34"/>
        <v>247</v>
      </c>
      <c r="R175" s="236"/>
      <c r="S175" s="236"/>
      <c r="T175" s="236"/>
      <c r="U175" s="242"/>
    </row>
    <row r="176" spans="1:21" ht="13">
      <c r="A176" s="249"/>
      <c r="B176" s="246"/>
      <c r="C176" s="44" t="s">
        <v>162</v>
      </c>
      <c r="D176" s="21"/>
      <c r="E176" s="21"/>
      <c r="F176" s="21">
        <v>200</v>
      </c>
      <c r="G176" s="238"/>
      <c r="H176" s="238"/>
      <c r="I176" s="238"/>
      <c r="J176" s="243"/>
      <c r="L176" s="249"/>
      <c r="M176" s="246"/>
      <c r="N176" s="44" t="s">
        <v>162</v>
      </c>
      <c r="O176" s="21"/>
      <c r="P176" s="21"/>
      <c r="Q176" s="21">
        <v>200</v>
      </c>
      <c r="R176" s="238"/>
      <c r="S176" s="238"/>
      <c r="T176" s="238"/>
      <c r="U176" s="243"/>
    </row>
    <row r="177" spans="1:21" ht="13">
      <c r="A177" s="249"/>
      <c r="B177" s="244" t="s">
        <v>179</v>
      </c>
      <c r="C177" s="15" t="s">
        <v>51</v>
      </c>
      <c r="D177" s="16"/>
      <c r="E177" s="17"/>
      <c r="F177" s="17">
        <v>150</v>
      </c>
      <c r="G177" s="240">
        <f>SUM(F177:F180)</f>
        <v>292.01</v>
      </c>
      <c r="H177" s="273">
        <v>2592.19</v>
      </c>
      <c r="I177" s="273">
        <f>H177-G177</f>
        <v>2300.1800000000003</v>
      </c>
      <c r="J177" s="241">
        <f>I177/H177</f>
        <v>0.88735007850504799</v>
      </c>
      <c r="L177" s="249"/>
      <c r="M177" s="244" t="s">
        <v>179</v>
      </c>
      <c r="N177" s="15" t="s">
        <v>51</v>
      </c>
      <c r="O177" s="16"/>
      <c r="P177" s="17"/>
      <c r="Q177" s="17">
        <v>150</v>
      </c>
      <c r="R177" s="240">
        <f>SUM(Q177:Q180)</f>
        <v>292.01</v>
      </c>
      <c r="S177" s="273">
        <v>2592.19</v>
      </c>
      <c r="T177" s="273">
        <f>S177-R177</f>
        <v>2300.1800000000003</v>
      </c>
      <c r="U177" s="241">
        <f>T177/S177</f>
        <v>0.88735007850504799</v>
      </c>
    </row>
    <row r="178" spans="1:21" ht="13">
      <c r="A178" s="249"/>
      <c r="B178" s="245"/>
      <c r="C178" s="19" t="s">
        <v>45</v>
      </c>
      <c r="D178" s="17"/>
      <c r="E178" s="17"/>
      <c r="F178" s="17">
        <v>64.010000000000005</v>
      </c>
      <c r="G178" s="236"/>
      <c r="H178" s="236"/>
      <c r="I178" s="236"/>
      <c r="J178" s="242"/>
      <c r="L178" s="249"/>
      <c r="M178" s="245"/>
      <c r="N178" s="19" t="s">
        <v>45</v>
      </c>
      <c r="O178" s="17"/>
      <c r="P178" s="17"/>
      <c r="Q178" s="17">
        <v>64.010000000000005</v>
      </c>
      <c r="R178" s="236"/>
      <c r="S178" s="236"/>
      <c r="T178" s="236"/>
      <c r="U178" s="242"/>
    </row>
    <row r="179" spans="1:21" ht="13">
      <c r="A179" s="249"/>
      <c r="B179" s="245"/>
      <c r="C179" s="19" t="s">
        <v>155</v>
      </c>
      <c r="D179" s="17"/>
      <c r="E179" s="17"/>
      <c r="F179" s="17">
        <v>78</v>
      </c>
      <c r="G179" s="236"/>
      <c r="H179" s="236"/>
      <c r="I179" s="236"/>
      <c r="J179" s="242"/>
      <c r="L179" s="249"/>
      <c r="M179" s="245"/>
      <c r="N179" s="19" t="s">
        <v>155</v>
      </c>
      <c r="O179" s="17"/>
      <c r="P179" s="17"/>
      <c r="Q179" s="17">
        <v>78</v>
      </c>
      <c r="R179" s="236"/>
      <c r="S179" s="236"/>
      <c r="T179" s="236"/>
      <c r="U179" s="242"/>
    </row>
    <row r="180" spans="1:21" ht="13">
      <c r="A180" s="249"/>
      <c r="B180" s="246"/>
      <c r="C180" s="44"/>
      <c r="D180" s="21"/>
      <c r="E180" s="21"/>
      <c r="F180" s="21"/>
      <c r="G180" s="238"/>
      <c r="H180" s="238"/>
      <c r="I180" s="238"/>
      <c r="J180" s="243"/>
      <c r="L180" s="249"/>
      <c r="M180" s="246"/>
      <c r="N180" s="44"/>
      <c r="O180" s="21"/>
      <c r="P180" s="21"/>
      <c r="Q180" s="21"/>
      <c r="R180" s="238"/>
      <c r="S180" s="238"/>
      <c r="T180" s="238"/>
      <c r="U180" s="243"/>
    </row>
    <row r="181" spans="1:21" ht="13">
      <c r="A181" s="249"/>
      <c r="B181" s="244" t="s">
        <v>180</v>
      </c>
      <c r="C181" s="15" t="s">
        <v>64</v>
      </c>
      <c r="D181" s="16">
        <v>5.47</v>
      </c>
      <c r="E181" s="17">
        <v>15</v>
      </c>
      <c r="F181" s="17">
        <f t="shared" ref="F181:F185" si="35">D181*E181</f>
        <v>82.05</v>
      </c>
      <c r="G181" s="240">
        <f>SUM(F181:F186)</f>
        <v>569.1</v>
      </c>
      <c r="H181" s="273">
        <v>2000</v>
      </c>
      <c r="I181" s="273">
        <f>H181-G181</f>
        <v>1430.9</v>
      </c>
      <c r="J181" s="241">
        <f>I181/H181</f>
        <v>0.71545000000000003</v>
      </c>
      <c r="L181" s="249"/>
      <c r="M181" s="244" t="s">
        <v>180</v>
      </c>
      <c r="N181" s="15" t="s">
        <v>64</v>
      </c>
      <c r="O181" s="16">
        <v>5.47</v>
      </c>
      <c r="P181" s="17">
        <v>15</v>
      </c>
      <c r="Q181" s="17">
        <f t="shared" ref="Q181:Q185" si="36">O181*P181</f>
        <v>82.05</v>
      </c>
      <c r="R181" s="240">
        <f>SUM(Q181:Q186)</f>
        <v>569.1</v>
      </c>
      <c r="S181" s="273">
        <v>2000</v>
      </c>
      <c r="T181" s="273">
        <f>S181-R181</f>
        <v>1430.9</v>
      </c>
      <c r="U181" s="241">
        <f>T181/S181</f>
        <v>0.71545000000000003</v>
      </c>
    </row>
    <row r="182" spans="1:21" ht="13">
      <c r="A182" s="249"/>
      <c r="B182" s="245"/>
      <c r="C182" s="19" t="s">
        <v>32</v>
      </c>
      <c r="D182" s="17">
        <v>10.75</v>
      </c>
      <c r="E182" s="17">
        <v>15</v>
      </c>
      <c r="F182" s="17">
        <f t="shared" si="35"/>
        <v>161.25</v>
      </c>
      <c r="G182" s="236"/>
      <c r="H182" s="236"/>
      <c r="I182" s="236"/>
      <c r="J182" s="242"/>
      <c r="L182" s="249"/>
      <c r="M182" s="245"/>
      <c r="N182" s="19" t="s">
        <v>32</v>
      </c>
      <c r="O182" s="17">
        <v>10.75</v>
      </c>
      <c r="P182" s="17">
        <v>15</v>
      </c>
      <c r="Q182" s="17">
        <f t="shared" si="36"/>
        <v>161.25</v>
      </c>
      <c r="R182" s="236"/>
      <c r="S182" s="236"/>
      <c r="T182" s="236"/>
      <c r="U182" s="242"/>
    </row>
    <row r="183" spans="1:21" ht="13">
      <c r="A183" s="249"/>
      <c r="B183" s="245"/>
      <c r="C183" s="19" t="s">
        <v>171</v>
      </c>
      <c r="D183" s="17">
        <v>7.05</v>
      </c>
      <c r="E183" s="17">
        <v>15</v>
      </c>
      <c r="F183" s="17">
        <f t="shared" si="35"/>
        <v>105.75</v>
      </c>
      <c r="G183" s="236"/>
      <c r="H183" s="236"/>
      <c r="I183" s="236"/>
      <c r="J183" s="242"/>
      <c r="L183" s="249"/>
      <c r="M183" s="245"/>
      <c r="N183" s="19" t="s">
        <v>171</v>
      </c>
      <c r="O183" s="17">
        <v>7.05</v>
      </c>
      <c r="P183" s="17">
        <v>15</v>
      </c>
      <c r="Q183" s="17">
        <f t="shared" si="36"/>
        <v>105.75</v>
      </c>
      <c r="R183" s="236"/>
      <c r="S183" s="236"/>
      <c r="T183" s="236"/>
      <c r="U183" s="242"/>
    </row>
    <row r="184" spans="1:21" ht="13">
      <c r="A184" s="249"/>
      <c r="B184" s="245"/>
      <c r="C184" s="19" t="s">
        <v>55</v>
      </c>
      <c r="D184" s="17">
        <v>6.77</v>
      </c>
      <c r="E184" s="17">
        <v>15</v>
      </c>
      <c r="F184" s="17">
        <f t="shared" si="35"/>
        <v>101.55</v>
      </c>
      <c r="G184" s="236"/>
      <c r="H184" s="236"/>
      <c r="I184" s="236"/>
      <c r="J184" s="242"/>
      <c r="L184" s="249"/>
      <c r="M184" s="245"/>
      <c r="N184" s="19" t="s">
        <v>55</v>
      </c>
      <c r="O184" s="17">
        <v>6.77</v>
      </c>
      <c r="P184" s="17">
        <v>15</v>
      </c>
      <c r="Q184" s="17">
        <f t="shared" si="36"/>
        <v>101.55</v>
      </c>
      <c r="R184" s="236"/>
      <c r="S184" s="236"/>
      <c r="T184" s="236"/>
      <c r="U184" s="242"/>
    </row>
    <row r="185" spans="1:21" ht="13">
      <c r="A185" s="249"/>
      <c r="B185" s="245"/>
      <c r="C185" s="19" t="s">
        <v>53</v>
      </c>
      <c r="D185" s="17">
        <v>7.9</v>
      </c>
      <c r="E185" s="17">
        <v>15</v>
      </c>
      <c r="F185" s="17">
        <f t="shared" si="35"/>
        <v>118.5</v>
      </c>
      <c r="G185" s="236"/>
      <c r="H185" s="236"/>
      <c r="I185" s="236"/>
      <c r="J185" s="242"/>
      <c r="L185" s="249"/>
      <c r="M185" s="245"/>
      <c r="N185" s="19" t="s">
        <v>53</v>
      </c>
      <c r="O185" s="17">
        <v>7.9</v>
      </c>
      <c r="P185" s="17">
        <v>15</v>
      </c>
      <c r="Q185" s="17">
        <f t="shared" si="36"/>
        <v>118.5</v>
      </c>
      <c r="R185" s="236"/>
      <c r="S185" s="236"/>
      <c r="T185" s="236"/>
      <c r="U185" s="242"/>
    </row>
    <row r="186" spans="1:21" ht="13">
      <c r="A186" s="249"/>
      <c r="B186" s="246"/>
      <c r="C186" s="44"/>
      <c r="D186" s="21"/>
      <c r="E186" s="21"/>
      <c r="F186" s="21"/>
      <c r="G186" s="238"/>
      <c r="H186" s="238"/>
      <c r="I186" s="238"/>
      <c r="J186" s="243"/>
      <c r="L186" s="249"/>
      <c r="M186" s="246"/>
      <c r="N186" s="44"/>
      <c r="O186" s="21"/>
      <c r="P186" s="21"/>
      <c r="Q186" s="21"/>
      <c r="R186" s="238"/>
      <c r="S186" s="238"/>
      <c r="T186" s="238"/>
      <c r="U186" s="243"/>
    </row>
    <row r="187" spans="1:21" ht="13">
      <c r="A187" s="249"/>
      <c r="B187" s="244" t="s">
        <v>181</v>
      </c>
      <c r="C187" s="15" t="s">
        <v>55</v>
      </c>
      <c r="D187" s="16">
        <v>5.55</v>
      </c>
      <c r="E187" s="17">
        <v>13</v>
      </c>
      <c r="F187" s="17">
        <f t="shared" ref="F187:F188" si="37">D187*E187</f>
        <v>72.149999999999991</v>
      </c>
      <c r="G187" s="240">
        <f>SUM(F187:F190)</f>
        <v>179.79999999999998</v>
      </c>
      <c r="H187" s="273">
        <v>1508.73</v>
      </c>
      <c r="I187" s="273">
        <f>H187-G187</f>
        <v>1328.93</v>
      </c>
      <c r="J187" s="241">
        <f>I187/H187</f>
        <v>0.88082692065512058</v>
      </c>
      <c r="L187" s="249"/>
      <c r="M187" s="244" t="s">
        <v>181</v>
      </c>
      <c r="N187" s="15" t="s">
        <v>55</v>
      </c>
      <c r="O187" s="16">
        <v>5.55</v>
      </c>
      <c r="P187" s="17">
        <v>13</v>
      </c>
      <c r="Q187" s="17">
        <f t="shared" ref="Q187:Q188" si="38">O187*P187</f>
        <v>72.149999999999991</v>
      </c>
      <c r="R187" s="240">
        <f>SUM(Q187:Q190)</f>
        <v>179.79999999999998</v>
      </c>
      <c r="S187" s="273">
        <v>1508.73</v>
      </c>
      <c r="T187" s="273">
        <f>S187-R187</f>
        <v>1328.93</v>
      </c>
      <c r="U187" s="241">
        <f>T187/S187</f>
        <v>0.88082692065512058</v>
      </c>
    </row>
    <row r="188" spans="1:21" ht="13">
      <c r="A188" s="249"/>
      <c r="B188" s="245"/>
      <c r="C188" s="19" t="s">
        <v>53</v>
      </c>
      <c r="D188" s="17">
        <v>3.85</v>
      </c>
      <c r="E188" s="17">
        <v>13</v>
      </c>
      <c r="F188" s="17">
        <f t="shared" si="37"/>
        <v>50.050000000000004</v>
      </c>
      <c r="G188" s="236"/>
      <c r="H188" s="236"/>
      <c r="I188" s="236"/>
      <c r="J188" s="242"/>
      <c r="L188" s="249"/>
      <c r="M188" s="245"/>
      <c r="N188" s="19" t="s">
        <v>53</v>
      </c>
      <c r="O188" s="17">
        <v>3.85</v>
      </c>
      <c r="P188" s="17">
        <v>13</v>
      </c>
      <c r="Q188" s="17">
        <f t="shared" si="38"/>
        <v>50.050000000000004</v>
      </c>
      <c r="R188" s="236"/>
      <c r="S188" s="236"/>
      <c r="T188" s="236"/>
      <c r="U188" s="242"/>
    </row>
    <row r="189" spans="1:21" ht="13">
      <c r="A189" s="249"/>
      <c r="B189" s="245"/>
      <c r="C189" s="19" t="s">
        <v>33</v>
      </c>
      <c r="D189" s="17"/>
      <c r="E189" s="17"/>
      <c r="F189" s="17">
        <v>57.6</v>
      </c>
      <c r="G189" s="236"/>
      <c r="H189" s="236"/>
      <c r="I189" s="236"/>
      <c r="J189" s="242"/>
      <c r="L189" s="249"/>
      <c r="M189" s="245"/>
      <c r="N189" s="19" t="s">
        <v>33</v>
      </c>
      <c r="O189" s="17"/>
      <c r="P189" s="17"/>
      <c r="Q189" s="17">
        <v>57.6</v>
      </c>
      <c r="R189" s="236"/>
      <c r="S189" s="236"/>
      <c r="T189" s="236"/>
      <c r="U189" s="242"/>
    </row>
    <row r="190" spans="1:21" ht="13">
      <c r="A190" s="249"/>
      <c r="B190" s="246"/>
      <c r="C190" s="44"/>
      <c r="D190" s="21"/>
      <c r="E190" s="21"/>
      <c r="F190" s="21"/>
      <c r="G190" s="238"/>
      <c r="H190" s="238"/>
      <c r="I190" s="238"/>
      <c r="J190" s="243"/>
      <c r="L190" s="249"/>
      <c r="M190" s="246"/>
      <c r="N190" s="44"/>
      <c r="O190" s="21"/>
      <c r="P190" s="21"/>
      <c r="Q190" s="21"/>
      <c r="R190" s="238"/>
      <c r="S190" s="238"/>
      <c r="T190" s="238"/>
      <c r="U190" s="243"/>
    </row>
    <row r="191" spans="1:21" ht="13">
      <c r="A191" s="249"/>
      <c r="B191" s="244" t="s">
        <v>182</v>
      </c>
      <c r="C191" s="15" t="s">
        <v>55</v>
      </c>
      <c r="D191" s="16">
        <v>2.9</v>
      </c>
      <c r="E191" s="17">
        <v>13</v>
      </c>
      <c r="F191" s="17">
        <f>D191*E191</f>
        <v>37.699999999999996</v>
      </c>
      <c r="G191" s="240">
        <f>SUM(F191:F193)</f>
        <v>237.7</v>
      </c>
      <c r="H191" s="273">
        <v>1508.73</v>
      </c>
      <c r="I191" s="273">
        <f>H191-G191</f>
        <v>1271.03</v>
      </c>
      <c r="J191" s="241">
        <f>I191/H191</f>
        <v>0.84245027274595186</v>
      </c>
      <c r="L191" s="249"/>
      <c r="M191" s="244" t="s">
        <v>182</v>
      </c>
      <c r="N191" s="15" t="s">
        <v>55</v>
      </c>
      <c r="O191" s="16">
        <v>2.9</v>
      </c>
      <c r="P191" s="17">
        <v>13</v>
      </c>
      <c r="Q191" s="17">
        <f>O191*P191</f>
        <v>37.699999999999996</v>
      </c>
      <c r="R191" s="240">
        <f>SUM(Q191:Q193)</f>
        <v>237.7</v>
      </c>
      <c r="S191" s="273">
        <v>1508.73</v>
      </c>
      <c r="T191" s="273">
        <f>S191-R191</f>
        <v>1271.03</v>
      </c>
      <c r="U191" s="241">
        <f>T191/S191</f>
        <v>0.84245027274595186</v>
      </c>
    </row>
    <row r="192" spans="1:21" ht="13">
      <c r="A192" s="249"/>
      <c r="B192" s="245"/>
      <c r="C192" s="19" t="s">
        <v>33</v>
      </c>
      <c r="D192" s="17"/>
      <c r="E192" s="17"/>
      <c r="F192" s="17">
        <v>200</v>
      </c>
      <c r="G192" s="236"/>
      <c r="H192" s="236"/>
      <c r="I192" s="236"/>
      <c r="J192" s="242"/>
      <c r="L192" s="249"/>
      <c r="M192" s="245"/>
      <c r="N192" s="19" t="s">
        <v>33</v>
      </c>
      <c r="O192" s="17"/>
      <c r="P192" s="17"/>
      <c r="Q192" s="17">
        <v>200</v>
      </c>
      <c r="R192" s="236"/>
      <c r="S192" s="236"/>
      <c r="T192" s="236"/>
      <c r="U192" s="242"/>
    </row>
    <row r="193" spans="1:21" ht="13">
      <c r="A193" s="249"/>
      <c r="B193" s="246"/>
      <c r="C193" s="44"/>
      <c r="D193" s="21"/>
      <c r="E193" s="21"/>
      <c r="F193" s="21"/>
      <c r="G193" s="238"/>
      <c r="H193" s="238"/>
      <c r="I193" s="238"/>
      <c r="J193" s="243"/>
      <c r="L193" s="249"/>
      <c r="M193" s="246"/>
      <c r="N193" s="44"/>
      <c r="O193" s="21"/>
      <c r="P193" s="21"/>
      <c r="Q193" s="21"/>
      <c r="R193" s="238"/>
      <c r="S193" s="238"/>
      <c r="T193" s="238"/>
      <c r="U193" s="243"/>
    </row>
    <row r="194" spans="1:21" ht="13">
      <c r="A194" s="249"/>
      <c r="B194" s="244" t="s">
        <v>183</v>
      </c>
      <c r="C194" s="15" t="s">
        <v>114</v>
      </c>
      <c r="D194" s="16">
        <v>14</v>
      </c>
      <c r="E194" s="17">
        <v>18</v>
      </c>
      <c r="F194" s="17">
        <f>D194*E194</f>
        <v>252</v>
      </c>
      <c r="G194" s="240">
        <f>SUM(F194:F196)</f>
        <v>356.82</v>
      </c>
      <c r="H194" s="273">
        <v>5475</v>
      </c>
      <c r="I194" s="273">
        <f>H194-G194</f>
        <v>5118.18</v>
      </c>
      <c r="J194" s="241">
        <f>I194/H194</f>
        <v>0.93482739726027397</v>
      </c>
      <c r="L194" s="249"/>
      <c r="M194" s="244" t="s">
        <v>183</v>
      </c>
      <c r="N194" s="15" t="s">
        <v>114</v>
      </c>
      <c r="O194" s="18"/>
      <c r="P194" s="18"/>
      <c r="Q194" s="18"/>
      <c r="R194" s="240">
        <f>SUM(Q194:Q196)</f>
        <v>104.82</v>
      </c>
      <c r="S194" s="273">
        <v>5475</v>
      </c>
      <c r="T194" s="273">
        <f>S194-R194</f>
        <v>5370.18</v>
      </c>
      <c r="U194" s="241">
        <f>T194/S194</f>
        <v>0.98085479452054802</v>
      </c>
    </row>
    <row r="195" spans="1:21" ht="13">
      <c r="A195" s="249"/>
      <c r="B195" s="245"/>
      <c r="C195" s="19" t="s">
        <v>45</v>
      </c>
      <c r="D195" s="17"/>
      <c r="E195" s="17"/>
      <c r="F195" s="17">
        <v>104.82</v>
      </c>
      <c r="G195" s="236"/>
      <c r="H195" s="236"/>
      <c r="I195" s="236"/>
      <c r="J195" s="242"/>
      <c r="L195" s="249"/>
      <c r="M195" s="245"/>
      <c r="N195" s="19" t="s">
        <v>45</v>
      </c>
      <c r="O195" s="17"/>
      <c r="P195" s="17"/>
      <c r="Q195" s="17">
        <v>104.82</v>
      </c>
      <c r="R195" s="236"/>
      <c r="S195" s="236"/>
      <c r="T195" s="236"/>
      <c r="U195" s="242"/>
    </row>
    <row r="196" spans="1:21" ht="13">
      <c r="A196" s="249"/>
      <c r="B196" s="246"/>
      <c r="C196" s="44"/>
      <c r="D196" s="21"/>
      <c r="E196" s="21"/>
      <c r="F196" s="21"/>
      <c r="G196" s="238"/>
      <c r="H196" s="238"/>
      <c r="I196" s="238"/>
      <c r="J196" s="243"/>
      <c r="L196" s="249"/>
      <c r="M196" s="246"/>
      <c r="N196" s="44"/>
      <c r="O196" s="21"/>
      <c r="P196" s="21"/>
      <c r="Q196" s="21"/>
      <c r="R196" s="238"/>
      <c r="S196" s="238"/>
      <c r="T196" s="238"/>
      <c r="U196" s="243"/>
    </row>
    <row r="197" spans="1:21" ht="13">
      <c r="A197" s="249"/>
      <c r="B197" s="244" t="s">
        <v>184</v>
      </c>
      <c r="C197" s="15" t="s">
        <v>32</v>
      </c>
      <c r="D197" s="16">
        <v>6.8</v>
      </c>
      <c r="E197" s="17">
        <v>13</v>
      </c>
      <c r="F197" s="17">
        <f>D197*E197</f>
        <v>88.399999999999991</v>
      </c>
      <c r="G197" s="240">
        <f>SUM(F197:F199)</f>
        <v>493.4</v>
      </c>
      <c r="H197" s="273">
        <v>3000</v>
      </c>
      <c r="I197" s="273">
        <f>H197-G197</f>
        <v>2506.6</v>
      </c>
      <c r="J197" s="241">
        <f>I197/H197</f>
        <v>0.83553333333333335</v>
      </c>
      <c r="L197" s="249"/>
      <c r="M197" s="244" t="s">
        <v>184</v>
      </c>
      <c r="N197" s="15" t="s">
        <v>32</v>
      </c>
      <c r="O197" s="16">
        <v>6.8</v>
      </c>
      <c r="P197" s="17">
        <v>13</v>
      </c>
      <c r="Q197" s="17">
        <f>O197*P197</f>
        <v>88.399999999999991</v>
      </c>
      <c r="R197" s="240">
        <f>SUM(Q197:Q199)</f>
        <v>493.4</v>
      </c>
      <c r="S197" s="273">
        <v>3000</v>
      </c>
      <c r="T197" s="273">
        <f>S197-R197</f>
        <v>2506.6</v>
      </c>
      <c r="U197" s="241">
        <f>T197/S197</f>
        <v>0.83553333333333335</v>
      </c>
    </row>
    <row r="198" spans="1:21" ht="13">
      <c r="A198" s="249"/>
      <c r="B198" s="245"/>
      <c r="C198" s="19" t="s">
        <v>185</v>
      </c>
      <c r="D198" s="17"/>
      <c r="E198" s="17"/>
      <c r="F198" s="17">
        <v>30</v>
      </c>
      <c r="G198" s="236"/>
      <c r="H198" s="236"/>
      <c r="I198" s="236"/>
      <c r="J198" s="242"/>
      <c r="L198" s="249"/>
      <c r="M198" s="245"/>
      <c r="N198" s="19" t="s">
        <v>185</v>
      </c>
      <c r="O198" s="17"/>
      <c r="P198" s="17"/>
      <c r="Q198" s="17">
        <v>30</v>
      </c>
      <c r="R198" s="236"/>
      <c r="S198" s="236"/>
      <c r="T198" s="236"/>
      <c r="U198" s="242"/>
    </row>
    <row r="199" spans="1:21" ht="13">
      <c r="A199" s="249"/>
      <c r="B199" s="246"/>
      <c r="C199" s="44" t="s">
        <v>33</v>
      </c>
      <c r="D199" s="21"/>
      <c r="E199" s="21"/>
      <c r="F199" s="21">
        <v>375</v>
      </c>
      <c r="G199" s="238"/>
      <c r="H199" s="238"/>
      <c r="I199" s="238"/>
      <c r="J199" s="243"/>
      <c r="L199" s="249"/>
      <c r="M199" s="246"/>
      <c r="N199" s="44" t="s">
        <v>33</v>
      </c>
      <c r="O199" s="21"/>
      <c r="P199" s="21"/>
      <c r="Q199" s="21">
        <v>375</v>
      </c>
      <c r="R199" s="238"/>
      <c r="S199" s="238"/>
      <c r="T199" s="238"/>
      <c r="U199" s="243"/>
    </row>
    <row r="200" spans="1:21" ht="13">
      <c r="A200" s="249"/>
      <c r="B200" s="244" t="s">
        <v>186</v>
      </c>
      <c r="C200" s="15" t="s">
        <v>23</v>
      </c>
      <c r="D200" s="16">
        <v>14</v>
      </c>
      <c r="E200" s="17">
        <v>16</v>
      </c>
      <c r="F200" s="17">
        <f>D200*E200</f>
        <v>224</v>
      </c>
      <c r="G200" s="240">
        <f>SUM(F200:F206)</f>
        <v>858.89</v>
      </c>
      <c r="H200" s="273">
        <v>3012</v>
      </c>
      <c r="I200" s="273">
        <f>H200-G200</f>
        <v>2153.11</v>
      </c>
      <c r="J200" s="241">
        <f>I200/H200</f>
        <v>0.71484395750332008</v>
      </c>
      <c r="L200" s="249"/>
      <c r="M200" s="244" t="s">
        <v>186</v>
      </c>
      <c r="N200" s="15" t="s">
        <v>23</v>
      </c>
      <c r="O200" s="18"/>
      <c r="P200" s="18"/>
      <c r="Q200" s="18"/>
      <c r="R200" s="240">
        <f>SUM(Q200:Q206)</f>
        <v>634.8900000000001</v>
      </c>
      <c r="S200" s="273">
        <v>3012</v>
      </c>
      <c r="T200" s="273">
        <f>S200-R200</f>
        <v>2377.1099999999997</v>
      </c>
      <c r="U200" s="241">
        <f>T200/S200</f>
        <v>0.78921314741035842</v>
      </c>
    </row>
    <row r="201" spans="1:21" ht="13">
      <c r="A201" s="249"/>
      <c r="B201" s="245"/>
      <c r="C201" s="19" t="s">
        <v>45</v>
      </c>
      <c r="D201" s="17"/>
      <c r="E201" s="17"/>
      <c r="F201" s="17">
        <v>279.98</v>
      </c>
      <c r="G201" s="236"/>
      <c r="H201" s="236"/>
      <c r="I201" s="236"/>
      <c r="J201" s="242"/>
      <c r="L201" s="249"/>
      <c r="M201" s="245"/>
      <c r="N201" s="19" t="s">
        <v>45</v>
      </c>
      <c r="O201" s="17"/>
      <c r="P201" s="17"/>
      <c r="Q201" s="17">
        <v>279.98</v>
      </c>
      <c r="R201" s="236"/>
      <c r="S201" s="236"/>
      <c r="T201" s="236"/>
      <c r="U201" s="242"/>
    </row>
    <row r="202" spans="1:21" ht="13">
      <c r="A202" s="249"/>
      <c r="B202" s="245"/>
      <c r="C202" s="19" t="s">
        <v>44</v>
      </c>
      <c r="D202" s="17"/>
      <c r="E202" s="17"/>
      <c r="F202" s="17">
        <v>111.4</v>
      </c>
      <c r="G202" s="236"/>
      <c r="H202" s="236"/>
      <c r="I202" s="236"/>
      <c r="J202" s="242"/>
      <c r="L202" s="249"/>
      <c r="M202" s="245"/>
      <c r="N202" s="19" t="s">
        <v>44</v>
      </c>
      <c r="O202" s="17"/>
      <c r="P202" s="17"/>
      <c r="Q202" s="17">
        <v>111.4</v>
      </c>
      <c r="R202" s="236"/>
      <c r="S202" s="236"/>
      <c r="T202" s="236"/>
      <c r="U202" s="242"/>
    </row>
    <row r="203" spans="1:21" ht="13">
      <c r="A203" s="249"/>
      <c r="B203" s="245"/>
      <c r="C203" s="19" t="s">
        <v>153</v>
      </c>
      <c r="D203" s="17"/>
      <c r="E203" s="17"/>
      <c r="F203" s="17">
        <v>45.54</v>
      </c>
      <c r="G203" s="236"/>
      <c r="H203" s="236"/>
      <c r="I203" s="236"/>
      <c r="J203" s="242"/>
      <c r="L203" s="249"/>
      <c r="M203" s="245"/>
      <c r="N203" s="19" t="s">
        <v>153</v>
      </c>
      <c r="O203" s="17"/>
      <c r="P203" s="17"/>
      <c r="Q203" s="17">
        <v>45.54</v>
      </c>
      <c r="R203" s="236"/>
      <c r="S203" s="236"/>
      <c r="T203" s="236"/>
      <c r="U203" s="242"/>
    </row>
    <row r="204" spans="1:21" ht="13">
      <c r="A204" s="249"/>
      <c r="B204" s="245"/>
      <c r="C204" s="19" t="s">
        <v>115</v>
      </c>
      <c r="D204" s="17"/>
      <c r="E204" s="17"/>
      <c r="F204" s="17">
        <v>68.86</v>
      </c>
      <c r="G204" s="236"/>
      <c r="H204" s="236"/>
      <c r="I204" s="236"/>
      <c r="J204" s="242"/>
      <c r="L204" s="249"/>
      <c r="M204" s="245"/>
      <c r="N204" s="19" t="s">
        <v>115</v>
      </c>
      <c r="O204" s="17"/>
      <c r="P204" s="17"/>
      <c r="Q204" s="17">
        <v>68.86</v>
      </c>
      <c r="R204" s="236"/>
      <c r="S204" s="236"/>
      <c r="T204" s="236"/>
      <c r="U204" s="242"/>
    </row>
    <row r="205" spans="1:21" ht="13">
      <c r="A205" s="249"/>
      <c r="B205" s="245"/>
      <c r="C205" s="19" t="s">
        <v>165</v>
      </c>
      <c r="D205" s="17"/>
      <c r="E205" s="17"/>
      <c r="F205" s="17">
        <v>129.11000000000001</v>
      </c>
      <c r="G205" s="236"/>
      <c r="H205" s="236"/>
      <c r="I205" s="236"/>
      <c r="J205" s="242"/>
      <c r="L205" s="249"/>
      <c r="M205" s="245"/>
      <c r="N205" s="19" t="s">
        <v>165</v>
      </c>
      <c r="O205" s="17"/>
      <c r="P205" s="17"/>
      <c r="Q205" s="17">
        <v>129.11000000000001</v>
      </c>
      <c r="R205" s="236"/>
      <c r="S205" s="236"/>
      <c r="T205" s="236"/>
      <c r="U205" s="242"/>
    </row>
    <row r="206" spans="1:21" ht="13">
      <c r="A206" s="249"/>
      <c r="B206" s="246"/>
      <c r="C206" s="44"/>
      <c r="D206" s="21"/>
      <c r="E206" s="21"/>
      <c r="F206" s="21"/>
      <c r="G206" s="238"/>
      <c r="H206" s="238"/>
      <c r="I206" s="238"/>
      <c r="J206" s="243"/>
      <c r="L206" s="249"/>
      <c r="M206" s="246"/>
      <c r="N206" s="44"/>
      <c r="O206" s="21"/>
      <c r="P206" s="21"/>
      <c r="Q206" s="21"/>
      <c r="R206" s="238"/>
      <c r="S206" s="238"/>
      <c r="T206" s="238"/>
      <c r="U206" s="243"/>
    </row>
    <row r="207" spans="1:21" ht="13">
      <c r="A207" s="249"/>
      <c r="B207" s="244" t="s">
        <v>187</v>
      </c>
      <c r="C207" s="15" t="s">
        <v>23</v>
      </c>
      <c r="D207" s="16">
        <v>14</v>
      </c>
      <c r="E207" s="17">
        <v>16</v>
      </c>
      <c r="F207" s="17">
        <f t="shared" ref="F207:F208" si="39">D207*E207</f>
        <v>224</v>
      </c>
      <c r="G207" s="240">
        <f>SUM(F207:F213)</f>
        <v>803.13</v>
      </c>
      <c r="H207" s="273">
        <v>5275.2</v>
      </c>
      <c r="I207" s="273">
        <f>H207-G207</f>
        <v>4472.07</v>
      </c>
      <c r="J207" s="241">
        <f>I207/H207</f>
        <v>0.84775363967242945</v>
      </c>
      <c r="L207" s="249"/>
      <c r="M207" s="244" t="s">
        <v>187</v>
      </c>
      <c r="N207" s="15" t="s">
        <v>23</v>
      </c>
      <c r="O207" s="18"/>
      <c r="P207" s="18"/>
      <c r="Q207" s="18"/>
      <c r="R207" s="240">
        <f>SUM(Q207:Q213)</f>
        <v>579.13</v>
      </c>
      <c r="S207" s="273">
        <v>5275.2</v>
      </c>
      <c r="T207" s="273">
        <f>S207-R207</f>
        <v>4696.07</v>
      </c>
      <c r="U207" s="241">
        <f>T207/S207</f>
        <v>0.89021648468304515</v>
      </c>
    </row>
    <row r="208" spans="1:21" ht="13">
      <c r="A208" s="249"/>
      <c r="B208" s="245"/>
      <c r="C208" s="19" t="s">
        <v>32</v>
      </c>
      <c r="D208" s="17">
        <v>9.85</v>
      </c>
      <c r="E208" s="17">
        <v>17</v>
      </c>
      <c r="F208" s="17">
        <f t="shared" si="39"/>
        <v>167.45</v>
      </c>
      <c r="G208" s="236"/>
      <c r="H208" s="236"/>
      <c r="I208" s="236"/>
      <c r="J208" s="242"/>
      <c r="L208" s="249"/>
      <c r="M208" s="245"/>
      <c r="N208" s="19" t="s">
        <v>32</v>
      </c>
      <c r="O208" s="17">
        <v>9.85</v>
      </c>
      <c r="P208" s="17">
        <v>17</v>
      </c>
      <c r="Q208" s="17">
        <f>O208*P208</f>
        <v>167.45</v>
      </c>
      <c r="R208" s="236"/>
      <c r="S208" s="236"/>
      <c r="T208" s="236"/>
      <c r="U208" s="242"/>
    </row>
    <row r="209" spans="1:21" ht="13">
      <c r="A209" s="249"/>
      <c r="B209" s="245"/>
      <c r="C209" s="19" t="s">
        <v>47</v>
      </c>
      <c r="D209" s="17"/>
      <c r="E209" s="17"/>
      <c r="F209" s="17">
        <v>71.48</v>
      </c>
      <c r="G209" s="236"/>
      <c r="H209" s="236"/>
      <c r="I209" s="236"/>
      <c r="J209" s="242"/>
      <c r="L209" s="249"/>
      <c r="M209" s="245"/>
      <c r="N209" s="19" t="s">
        <v>47</v>
      </c>
      <c r="O209" s="17"/>
      <c r="P209" s="17"/>
      <c r="Q209" s="17">
        <v>71.48</v>
      </c>
      <c r="R209" s="236"/>
      <c r="S209" s="236"/>
      <c r="T209" s="236"/>
      <c r="U209" s="242"/>
    </row>
    <row r="210" spans="1:21" ht="13">
      <c r="A210" s="249"/>
      <c r="B210" s="245"/>
      <c r="C210" s="19" t="s">
        <v>188</v>
      </c>
      <c r="D210" s="17"/>
      <c r="E210" s="17"/>
      <c r="F210" s="17">
        <v>50.85</v>
      </c>
      <c r="G210" s="236"/>
      <c r="H210" s="236"/>
      <c r="I210" s="236"/>
      <c r="J210" s="242"/>
      <c r="L210" s="249"/>
      <c r="M210" s="245"/>
      <c r="N210" s="19" t="s">
        <v>188</v>
      </c>
      <c r="O210" s="17"/>
      <c r="P210" s="17"/>
      <c r="Q210" s="17">
        <v>50.85</v>
      </c>
      <c r="R210" s="236"/>
      <c r="S210" s="236"/>
      <c r="T210" s="236"/>
      <c r="U210" s="242"/>
    </row>
    <row r="211" spans="1:21" ht="13">
      <c r="A211" s="249"/>
      <c r="B211" s="245"/>
      <c r="C211" s="19" t="s">
        <v>45</v>
      </c>
      <c r="D211" s="17"/>
      <c r="E211" s="17"/>
      <c r="F211" s="17">
        <v>140.69999999999999</v>
      </c>
      <c r="G211" s="236"/>
      <c r="H211" s="236"/>
      <c r="I211" s="236"/>
      <c r="J211" s="242"/>
      <c r="L211" s="249"/>
      <c r="M211" s="245"/>
      <c r="N211" s="19" t="s">
        <v>45</v>
      </c>
      <c r="O211" s="17"/>
      <c r="P211" s="17"/>
      <c r="Q211" s="17">
        <v>140.69999999999999</v>
      </c>
      <c r="R211" s="236"/>
      <c r="S211" s="236"/>
      <c r="T211" s="236"/>
      <c r="U211" s="242"/>
    </row>
    <row r="212" spans="1:21" ht="13">
      <c r="A212" s="249"/>
      <c r="B212" s="245"/>
      <c r="C212" s="19" t="s">
        <v>33</v>
      </c>
      <c r="D212" s="17"/>
      <c r="E212" s="17"/>
      <c r="F212" s="17">
        <v>117.65</v>
      </c>
      <c r="G212" s="236"/>
      <c r="H212" s="236"/>
      <c r="I212" s="236"/>
      <c r="J212" s="242"/>
      <c r="L212" s="249"/>
      <c r="M212" s="245"/>
      <c r="N212" s="19" t="s">
        <v>33</v>
      </c>
      <c r="O212" s="17"/>
      <c r="P212" s="17"/>
      <c r="Q212" s="17">
        <v>117.65</v>
      </c>
      <c r="R212" s="236"/>
      <c r="S212" s="236"/>
      <c r="T212" s="236"/>
      <c r="U212" s="242"/>
    </row>
    <row r="213" spans="1:21" ht="13">
      <c r="A213" s="249"/>
      <c r="B213" s="246"/>
      <c r="C213" s="44" t="s">
        <v>44</v>
      </c>
      <c r="D213" s="21"/>
      <c r="E213" s="21"/>
      <c r="F213" s="21">
        <v>31</v>
      </c>
      <c r="G213" s="238"/>
      <c r="H213" s="238"/>
      <c r="I213" s="238"/>
      <c r="J213" s="243"/>
      <c r="L213" s="249"/>
      <c r="M213" s="246"/>
      <c r="N213" s="44" t="s">
        <v>44</v>
      </c>
      <c r="O213" s="21"/>
      <c r="P213" s="21"/>
      <c r="Q213" s="21">
        <v>31</v>
      </c>
      <c r="R213" s="238"/>
      <c r="S213" s="238"/>
      <c r="T213" s="238"/>
      <c r="U213" s="243"/>
    </row>
    <row r="214" spans="1:21" ht="13">
      <c r="A214" s="249"/>
      <c r="B214" s="244" t="s">
        <v>189</v>
      </c>
      <c r="C214" s="15" t="s">
        <v>23</v>
      </c>
      <c r="D214" s="16">
        <v>21</v>
      </c>
      <c r="E214" s="16">
        <v>16</v>
      </c>
      <c r="F214" s="17">
        <f t="shared" ref="F214:F218" si="40">D214*E214</f>
        <v>336</v>
      </c>
      <c r="G214" s="240">
        <f>SUM(F214:F224)</f>
        <v>1851.21</v>
      </c>
      <c r="H214" s="240">
        <v>2735</v>
      </c>
      <c r="I214" s="240">
        <f>H214-G214</f>
        <v>883.79</v>
      </c>
      <c r="J214" s="241">
        <f>I214/H214</f>
        <v>0.32314076782449724</v>
      </c>
      <c r="L214" s="249"/>
      <c r="M214" s="244" t="s">
        <v>189</v>
      </c>
      <c r="N214" s="15" t="s">
        <v>23</v>
      </c>
      <c r="O214" s="18"/>
      <c r="P214" s="18"/>
      <c r="Q214" s="18"/>
      <c r="R214" s="240">
        <f>SUM(Q214:Q224)</f>
        <v>1515.21</v>
      </c>
      <c r="S214" s="240">
        <v>2735</v>
      </c>
      <c r="T214" s="240">
        <f>S214-R214</f>
        <v>1219.79</v>
      </c>
      <c r="U214" s="241">
        <f>T214/S214</f>
        <v>0.44599268738574038</v>
      </c>
    </row>
    <row r="215" spans="1:21" ht="13">
      <c r="A215" s="249"/>
      <c r="B215" s="245"/>
      <c r="C215" s="19" t="s">
        <v>190</v>
      </c>
      <c r="D215" s="17">
        <v>7.6</v>
      </c>
      <c r="E215" s="17">
        <v>15</v>
      </c>
      <c r="F215" s="17">
        <f t="shared" si="40"/>
        <v>114</v>
      </c>
      <c r="G215" s="236"/>
      <c r="H215" s="236"/>
      <c r="I215" s="236"/>
      <c r="J215" s="242"/>
      <c r="L215" s="249"/>
      <c r="M215" s="245"/>
      <c r="N215" s="19" t="s">
        <v>190</v>
      </c>
      <c r="O215" s="17">
        <v>7.6</v>
      </c>
      <c r="P215" s="17">
        <v>15</v>
      </c>
      <c r="Q215" s="17">
        <f t="shared" ref="Q215:Q218" si="41">O215*P215</f>
        <v>114</v>
      </c>
      <c r="R215" s="236"/>
      <c r="S215" s="236"/>
      <c r="T215" s="236"/>
      <c r="U215" s="242"/>
    </row>
    <row r="216" spans="1:21" ht="13">
      <c r="A216" s="249"/>
      <c r="B216" s="245"/>
      <c r="C216" s="19" t="s">
        <v>191</v>
      </c>
      <c r="D216" s="17">
        <v>14.1</v>
      </c>
      <c r="E216" s="17">
        <v>15</v>
      </c>
      <c r="F216" s="17">
        <f t="shared" si="40"/>
        <v>211.5</v>
      </c>
      <c r="G216" s="236"/>
      <c r="H216" s="236"/>
      <c r="I216" s="236"/>
      <c r="J216" s="242"/>
      <c r="L216" s="249"/>
      <c r="M216" s="245"/>
      <c r="N216" s="19" t="s">
        <v>191</v>
      </c>
      <c r="O216" s="17">
        <v>14.1</v>
      </c>
      <c r="P216" s="17">
        <v>15</v>
      </c>
      <c r="Q216" s="17">
        <f t="shared" si="41"/>
        <v>211.5</v>
      </c>
      <c r="R216" s="236"/>
      <c r="S216" s="236"/>
      <c r="T216" s="236"/>
      <c r="U216" s="242"/>
    </row>
    <row r="217" spans="1:21" ht="13">
      <c r="A217" s="249"/>
      <c r="B217" s="245"/>
      <c r="C217" s="19" t="s">
        <v>192</v>
      </c>
      <c r="D217" s="17">
        <v>11.55</v>
      </c>
      <c r="E217" s="17">
        <v>17</v>
      </c>
      <c r="F217" s="17">
        <f t="shared" si="40"/>
        <v>196.35000000000002</v>
      </c>
      <c r="G217" s="236"/>
      <c r="H217" s="236"/>
      <c r="I217" s="236"/>
      <c r="J217" s="242"/>
      <c r="L217" s="249"/>
      <c r="M217" s="245"/>
      <c r="N217" s="19" t="s">
        <v>192</v>
      </c>
      <c r="O217" s="17">
        <v>11.55</v>
      </c>
      <c r="P217" s="17">
        <v>17</v>
      </c>
      <c r="Q217" s="17">
        <f t="shared" si="41"/>
        <v>196.35000000000002</v>
      </c>
      <c r="R217" s="236"/>
      <c r="S217" s="236"/>
      <c r="T217" s="236"/>
      <c r="U217" s="242"/>
    </row>
    <row r="218" spans="1:21" ht="13">
      <c r="A218" s="249"/>
      <c r="B218" s="245"/>
      <c r="C218" s="19" t="s">
        <v>70</v>
      </c>
      <c r="D218" s="17">
        <v>18.649999999999999</v>
      </c>
      <c r="E218" s="17">
        <v>15</v>
      </c>
      <c r="F218" s="17">
        <f t="shared" si="40"/>
        <v>279.75</v>
      </c>
      <c r="G218" s="236"/>
      <c r="H218" s="236"/>
      <c r="I218" s="236"/>
      <c r="J218" s="242"/>
      <c r="L218" s="249"/>
      <c r="M218" s="245"/>
      <c r="N218" s="19" t="s">
        <v>70</v>
      </c>
      <c r="O218" s="17">
        <v>18.649999999999999</v>
      </c>
      <c r="P218" s="17">
        <v>15</v>
      </c>
      <c r="Q218" s="17">
        <f t="shared" si="41"/>
        <v>279.75</v>
      </c>
      <c r="R218" s="236"/>
      <c r="S218" s="236"/>
      <c r="T218" s="236"/>
      <c r="U218" s="242"/>
    </row>
    <row r="219" spans="1:21" ht="13">
      <c r="A219" s="249"/>
      <c r="B219" s="245"/>
      <c r="C219" s="19" t="s">
        <v>48</v>
      </c>
      <c r="D219" s="17"/>
      <c r="E219" s="17"/>
      <c r="F219" s="17">
        <v>123.88</v>
      </c>
      <c r="G219" s="236"/>
      <c r="H219" s="236"/>
      <c r="I219" s="236"/>
      <c r="J219" s="242"/>
      <c r="L219" s="249"/>
      <c r="M219" s="245"/>
      <c r="N219" s="19" t="s">
        <v>48</v>
      </c>
      <c r="O219" s="17"/>
      <c r="P219" s="17"/>
      <c r="Q219" s="17">
        <v>123.88</v>
      </c>
      <c r="R219" s="236"/>
      <c r="S219" s="236"/>
      <c r="T219" s="236"/>
      <c r="U219" s="242"/>
    </row>
    <row r="220" spans="1:21" ht="13">
      <c r="A220" s="249"/>
      <c r="B220" s="245"/>
      <c r="C220" s="19" t="s">
        <v>193</v>
      </c>
      <c r="D220" s="17"/>
      <c r="E220" s="17"/>
      <c r="F220" s="17">
        <v>64.5</v>
      </c>
      <c r="G220" s="236"/>
      <c r="H220" s="236"/>
      <c r="I220" s="236"/>
      <c r="J220" s="242"/>
      <c r="L220" s="249"/>
      <c r="M220" s="245"/>
      <c r="N220" s="19" t="s">
        <v>193</v>
      </c>
      <c r="O220" s="17"/>
      <c r="P220" s="17"/>
      <c r="Q220" s="17">
        <v>64.5</v>
      </c>
      <c r="R220" s="236"/>
      <c r="S220" s="236"/>
      <c r="T220" s="236"/>
      <c r="U220" s="242"/>
    </row>
    <row r="221" spans="1:21" ht="13">
      <c r="A221" s="249"/>
      <c r="B221" s="245"/>
      <c r="C221" s="19" t="s">
        <v>45</v>
      </c>
      <c r="D221" s="17"/>
      <c r="E221" s="17"/>
      <c r="F221" s="17">
        <v>120.01</v>
      </c>
      <c r="G221" s="236"/>
      <c r="H221" s="236"/>
      <c r="I221" s="236"/>
      <c r="J221" s="242"/>
      <c r="L221" s="249"/>
      <c r="M221" s="245"/>
      <c r="N221" s="19" t="s">
        <v>45</v>
      </c>
      <c r="O221" s="17"/>
      <c r="P221" s="17"/>
      <c r="Q221" s="17">
        <v>120.01</v>
      </c>
      <c r="R221" s="236"/>
      <c r="S221" s="236"/>
      <c r="T221" s="236"/>
      <c r="U221" s="242"/>
    </row>
    <row r="222" spans="1:21" ht="13">
      <c r="A222" s="249"/>
      <c r="B222" s="245"/>
      <c r="C222" s="19" t="s">
        <v>47</v>
      </c>
      <c r="D222" s="17"/>
      <c r="E222" s="17"/>
      <c r="F222" s="17">
        <v>376.22</v>
      </c>
      <c r="G222" s="236"/>
      <c r="H222" s="236"/>
      <c r="I222" s="236"/>
      <c r="J222" s="242"/>
      <c r="L222" s="249"/>
      <c r="M222" s="245"/>
      <c r="N222" s="19" t="s">
        <v>47</v>
      </c>
      <c r="O222" s="17"/>
      <c r="P222" s="17"/>
      <c r="Q222" s="17">
        <v>376.22</v>
      </c>
      <c r="R222" s="236"/>
      <c r="S222" s="236"/>
      <c r="T222" s="236"/>
      <c r="U222" s="242"/>
    </row>
    <row r="223" spans="1:21" ht="13">
      <c r="A223" s="249"/>
      <c r="B223" s="245"/>
      <c r="C223" s="19" t="s">
        <v>46</v>
      </c>
      <c r="D223" s="17"/>
      <c r="E223" s="17"/>
      <c r="F223" s="17">
        <v>29</v>
      </c>
      <c r="G223" s="236"/>
      <c r="H223" s="236"/>
      <c r="I223" s="236"/>
      <c r="J223" s="242"/>
      <c r="L223" s="249"/>
      <c r="M223" s="245"/>
      <c r="N223" s="19" t="s">
        <v>46</v>
      </c>
      <c r="O223" s="17"/>
      <c r="P223" s="17"/>
      <c r="Q223" s="17">
        <v>29</v>
      </c>
      <c r="R223" s="236"/>
      <c r="S223" s="236"/>
      <c r="T223" s="236"/>
      <c r="U223" s="242"/>
    </row>
    <row r="224" spans="1:21" ht="13">
      <c r="A224" s="249"/>
      <c r="B224" s="246"/>
      <c r="C224" s="44"/>
      <c r="D224" s="21"/>
      <c r="E224" s="21"/>
      <c r="F224" s="21"/>
      <c r="G224" s="238"/>
      <c r="H224" s="238"/>
      <c r="I224" s="238"/>
      <c r="J224" s="243"/>
      <c r="L224" s="249"/>
      <c r="M224" s="246"/>
      <c r="N224" s="44"/>
      <c r="O224" s="21"/>
      <c r="P224" s="21"/>
      <c r="Q224" s="21"/>
      <c r="R224" s="238"/>
      <c r="S224" s="238"/>
      <c r="T224" s="238"/>
      <c r="U224" s="243"/>
    </row>
    <row r="225" spans="1:21" ht="13">
      <c r="A225" s="249"/>
      <c r="B225" s="244" t="s">
        <v>194</v>
      </c>
      <c r="C225" s="15" t="s">
        <v>114</v>
      </c>
      <c r="D225" s="16">
        <v>35</v>
      </c>
      <c r="E225" s="16">
        <v>18</v>
      </c>
      <c r="F225" s="17">
        <f t="shared" ref="F225:F232" si="42">D225*E225</f>
        <v>630</v>
      </c>
      <c r="G225" s="240">
        <f>SUM(F225:F235)</f>
        <v>3165.7600000000007</v>
      </c>
      <c r="H225" s="240">
        <v>7700</v>
      </c>
      <c r="I225" s="240">
        <f>H225-G225</f>
        <v>4534.24</v>
      </c>
      <c r="J225" s="241">
        <f>I225/H225</f>
        <v>0.58886233766233764</v>
      </c>
      <c r="L225" s="249"/>
      <c r="M225" s="244" t="s">
        <v>194</v>
      </c>
      <c r="N225" s="15" t="s">
        <v>114</v>
      </c>
      <c r="O225" s="18"/>
      <c r="P225" s="18"/>
      <c r="Q225" s="18"/>
      <c r="R225" s="240">
        <f>SUM(Q225:Q235)</f>
        <v>2535.7600000000002</v>
      </c>
      <c r="S225" s="240">
        <v>7700</v>
      </c>
      <c r="T225" s="240">
        <f>S225-R225</f>
        <v>5164.24</v>
      </c>
      <c r="U225" s="241">
        <f>T225/S225</f>
        <v>0.67068051948051943</v>
      </c>
    </row>
    <row r="226" spans="1:21" ht="13">
      <c r="A226" s="249"/>
      <c r="B226" s="245"/>
      <c r="C226" s="19" t="s">
        <v>195</v>
      </c>
      <c r="D226" s="17">
        <v>30</v>
      </c>
      <c r="E226" s="17">
        <v>17</v>
      </c>
      <c r="F226" s="17">
        <f t="shared" si="42"/>
        <v>510</v>
      </c>
      <c r="G226" s="236"/>
      <c r="H226" s="236"/>
      <c r="I226" s="236"/>
      <c r="J226" s="242"/>
      <c r="L226" s="249"/>
      <c r="M226" s="245"/>
      <c r="N226" s="19" t="s">
        <v>195</v>
      </c>
      <c r="O226" s="17">
        <v>30</v>
      </c>
      <c r="P226" s="17">
        <v>17</v>
      </c>
      <c r="Q226" s="17">
        <f t="shared" ref="Q226:Q232" si="43">O226*P226</f>
        <v>510</v>
      </c>
      <c r="R226" s="236"/>
      <c r="S226" s="236"/>
      <c r="T226" s="236"/>
      <c r="U226" s="242"/>
    </row>
    <row r="227" spans="1:21" ht="13">
      <c r="A227" s="249"/>
      <c r="B227" s="245"/>
      <c r="C227" s="19" t="s">
        <v>32</v>
      </c>
      <c r="D227" s="17">
        <v>19.5</v>
      </c>
      <c r="E227" s="17">
        <v>15</v>
      </c>
      <c r="F227" s="17">
        <f t="shared" si="42"/>
        <v>292.5</v>
      </c>
      <c r="G227" s="236"/>
      <c r="H227" s="236"/>
      <c r="I227" s="236"/>
      <c r="J227" s="242"/>
      <c r="L227" s="249"/>
      <c r="M227" s="245"/>
      <c r="N227" s="19" t="s">
        <v>32</v>
      </c>
      <c r="O227" s="17">
        <v>19.5</v>
      </c>
      <c r="P227" s="17">
        <v>15</v>
      </c>
      <c r="Q227" s="17">
        <f t="shared" si="43"/>
        <v>292.5</v>
      </c>
      <c r="R227" s="236"/>
      <c r="S227" s="236"/>
      <c r="T227" s="236"/>
      <c r="U227" s="242"/>
    </row>
    <row r="228" spans="1:21" ht="13">
      <c r="A228" s="249"/>
      <c r="B228" s="245"/>
      <c r="C228" s="19" t="s">
        <v>79</v>
      </c>
      <c r="D228" s="17">
        <v>25.68</v>
      </c>
      <c r="E228" s="17">
        <v>15</v>
      </c>
      <c r="F228" s="17">
        <f t="shared" si="42"/>
        <v>385.2</v>
      </c>
      <c r="G228" s="236"/>
      <c r="H228" s="236"/>
      <c r="I228" s="236"/>
      <c r="J228" s="242"/>
      <c r="L228" s="249"/>
      <c r="M228" s="245"/>
      <c r="N228" s="19" t="s">
        <v>79</v>
      </c>
      <c r="O228" s="17">
        <v>25.68</v>
      </c>
      <c r="P228" s="17">
        <v>15</v>
      </c>
      <c r="Q228" s="17">
        <f t="shared" si="43"/>
        <v>385.2</v>
      </c>
      <c r="R228" s="236"/>
      <c r="S228" s="236"/>
      <c r="T228" s="236"/>
      <c r="U228" s="242"/>
    </row>
    <row r="229" spans="1:21" ht="13">
      <c r="A229" s="249"/>
      <c r="B229" s="245"/>
      <c r="C229" s="19" t="s">
        <v>53</v>
      </c>
      <c r="D229" s="17">
        <v>13.91</v>
      </c>
      <c r="E229" s="17">
        <v>15</v>
      </c>
      <c r="F229" s="17">
        <f t="shared" si="42"/>
        <v>208.65</v>
      </c>
      <c r="G229" s="236"/>
      <c r="H229" s="236"/>
      <c r="I229" s="236"/>
      <c r="J229" s="242"/>
      <c r="L229" s="249"/>
      <c r="M229" s="245"/>
      <c r="N229" s="19" t="s">
        <v>53</v>
      </c>
      <c r="O229" s="17">
        <v>13.91</v>
      </c>
      <c r="P229" s="17">
        <v>15</v>
      </c>
      <c r="Q229" s="17">
        <f t="shared" si="43"/>
        <v>208.65</v>
      </c>
      <c r="R229" s="236"/>
      <c r="S229" s="236"/>
      <c r="T229" s="236"/>
      <c r="U229" s="242"/>
    </row>
    <row r="230" spans="1:21" ht="13">
      <c r="A230" s="249"/>
      <c r="B230" s="245"/>
      <c r="C230" s="19" t="s">
        <v>64</v>
      </c>
      <c r="D230" s="17">
        <v>19.7</v>
      </c>
      <c r="E230" s="17">
        <v>15</v>
      </c>
      <c r="F230" s="17">
        <f t="shared" si="42"/>
        <v>295.5</v>
      </c>
      <c r="G230" s="236"/>
      <c r="H230" s="236"/>
      <c r="I230" s="236"/>
      <c r="J230" s="242"/>
      <c r="L230" s="249"/>
      <c r="M230" s="245"/>
      <c r="N230" s="19" t="s">
        <v>64</v>
      </c>
      <c r="O230" s="17">
        <v>19.7</v>
      </c>
      <c r="P230" s="17">
        <v>15</v>
      </c>
      <c r="Q230" s="17">
        <f t="shared" si="43"/>
        <v>295.5</v>
      </c>
      <c r="R230" s="236"/>
      <c r="S230" s="236"/>
      <c r="T230" s="236"/>
      <c r="U230" s="242"/>
    </row>
    <row r="231" spans="1:21" ht="13">
      <c r="A231" s="249"/>
      <c r="B231" s="245"/>
      <c r="C231" s="19" t="s">
        <v>126</v>
      </c>
      <c r="D231" s="17">
        <v>20.16</v>
      </c>
      <c r="E231" s="17">
        <v>15</v>
      </c>
      <c r="F231" s="17">
        <f t="shared" si="42"/>
        <v>302.39999999999998</v>
      </c>
      <c r="G231" s="236"/>
      <c r="H231" s="236"/>
      <c r="I231" s="236"/>
      <c r="J231" s="242"/>
      <c r="L231" s="249"/>
      <c r="M231" s="245"/>
      <c r="N231" s="19" t="s">
        <v>126</v>
      </c>
      <c r="O231" s="17">
        <v>20.16</v>
      </c>
      <c r="P231" s="17">
        <v>15</v>
      </c>
      <c r="Q231" s="17">
        <f t="shared" si="43"/>
        <v>302.39999999999998</v>
      </c>
      <c r="R231" s="236"/>
      <c r="S231" s="236"/>
      <c r="T231" s="236"/>
      <c r="U231" s="242"/>
    </row>
    <row r="232" spans="1:21" ht="13">
      <c r="A232" s="249"/>
      <c r="B232" s="245"/>
      <c r="C232" s="19" t="s">
        <v>70</v>
      </c>
      <c r="D232" s="17">
        <v>12.5</v>
      </c>
      <c r="E232" s="17">
        <v>15</v>
      </c>
      <c r="F232" s="17">
        <f t="shared" si="42"/>
        <v>187.5</v>
      </c>
      <c r="G232" s="236"/>
      <c r="H232" s="236"/>
      <c r="I232" s="236"/>
      <c r="J232" s="242"/>
      <c r="L232" s="249"/>
      <c r="M232" s="245"/>
      <c r="N232" s="19" t="s">
        <v>70</v>
      </c>
      <c r="O232" s="17">
        <v>12.5</v>
      </c>
      <c r="P232" s="17">
        <v>15</v>
      </c>
      <c r="Q232" s="17">
        <f t="shared" si="43"/>
        <v>187.5</v>
      </c>
      <c r="R232" s="236"/>
      <c r="S232" s="236"/>
      <c r="T232" s="236"/>
      <c r="U232" s="242"/>
    </row>
    <row r="233" spans="1:21" ht="13">
      <c r="A233" s="249"/>
      <c r="B233" s="245"/>
      <c r="C233" s="19" t="s">
        <v>45</v>
      </c>
      <c r="D233" s="17"/>
      <c r="E233" s="17"/>
      <c r="F233" s="17">
        <v>120.01</v>
      </c>
      <c r="G233" s="236"/>
      <c r="H233" s="236"/>
      <c r="I233" s="236"/>
      <c r="J233" s="242"/>
      <c r="L233" s="249"/>
      <c r="M233" s="245"/>
      <c r="N233" s="19" t="s">
        <v>45</v>
      </c>
      <c r="O233" s="17"/>
      <c r="P233" s="17"/>
      <c r="Q233" s="17">
        <v>120.01</v>
      </c>
      <c r="R233" s="236"/>
      <c r="S233" s="236"/>
      <c r="T233" s="236"/>
      <c r="U233" s="242"/>
    </row>
    <row r="234" spans="1:21" ht="13">
      <c r="A234" s="249"/>
      <c r="B234" s="245"/>
      <c r="C234" s="19" t="s">
        <v>155</v>
      </c>
      <c r="D234" s="17"/>
      <c r="E234" s="17"/>
      <c r="F234" s="17">
        <v>234</v>
      </c>
      <c r="G234" s="236"/>
      <c r="H234" s="236"/>
      <c r="I234" s="236"/>
      <c r="J234" s="242"/>
      <c r="L234" s="249"/>
      <c r="M234" s="245"/>
      <c r="N234" s="19" t="s">
        <v>155</v>
      </c>
      <c r="O234" s="17"/>
      <c r="P234" s="17"/>
      <c r="Q234" s="17">
        <v>234</v>
      </c>
      <c r="R234" s="236"/>
      <c r="S234" s="236"/>
      <c r="T234" s="236"/>
      <c r="U234" s="242"/>
    </row>
    <row r="235" spans="1:21" ht="13">
      <c r="A235" s="249"/>
      <c r="B235" s="246"/>
      <c r="C235" s="44"/>
      <c r="D235" s="21"/>
      <c r="E235" s="21"/>
      <c r="F235" s="21"/>
      <c r="G235" s="238"/>
      <c r="H235" s="238"/>
      <c r="I235" s="238"/>
      <c r="J235" s="243"/>
      <c r="L235" s="249"/>
      <c r="M235" s="246"/>
      <c r="N235" s="44"/>
      <c r="O235" s="21"/>
      <c r="P235" s="21"/>
      <c r="Q235" s="21"/>
      <c r="R235" s="238"/>
      <c r="S235" s="238"/>
      <c r="T235" s="238"/>
      <c r="U235" s="243"/>
    </row>
    <row r="236" spans="1:21" ht="13">
      <c r="A236" s="249"/>
      <c r="B236" s="244" t="s">
        <v>182</v>
      </c>
      <c r="C236" s="53" t="s">
        <v>38</v>
      </c>
      <c r="D236" s="16">
        <v>3</v>
      </c>
      <c r="E236" s="17">
        <v>13</v>
      </c>
      <c r="F236" s="17">
        <f>D236*E236</f>
        <v>39</v>
      </c>
      <c r="G236" s="240">
        <f>SUM(F236:F239)</f>
        <v>220.18</v>
      </c>
      <c r="H236" s="273">
        <v>975</v>
      </c>
      <c r="I236" s="273">
        <f>H236-G236</f>
        <v>754.81999999999994</v>
      </c>
      <c r="J236" s="241">
        <f>I236/H236</f>
        <v>0.77417435897435893</v>
      </c>
      <c r="L236" s="249"/>
      <c r="M236" s="244" t="s">
        <v>182</v>
      </c>
      <c r="N236" s="53" t="s">
        <v>38</v>
      </c>
      <c r="O236" s="16">
        <v>3</v>
      </c>
      <c r="P236" s="17">
        <v>13</v>
      </c>
      <c r="Q236" s="17">
        <f>O236*P236</f>
        <v>39</v>
      </c>
      <c r="R236" s="240">
        <f>SUM(Q236:Q239)</f>
        <v>220.18</v>
      </c>
      <c r="S236" s="273">
        <v>975</v>
      </c>
      <c r="T236" s="273">
        <f>S236-R236</f>
        <v>754.81999999999994</v>
      </c>
      <c r="U236" s="241">
        <f>T236/S236</f>
        <v>0.77417435897435893</v>
      </c>
    </row>
    <row r="237" spans="1:21" ht="13">
      <c r="A237" s="249"/>
      <c r="B237" s="245"/>
      <c r="C237" s="54" t="s">
        <v>185</v>
      </c>
      <c r="D237" s="19"/>
      <c r="E237" s="19"/>
      <c r="F237" s="17">
        <v>11</v>
      </c>
      <c r="G237" s="236"/>
      <c r="H237" s="236"/>
      <c r="I237" s="236"/>
      <c r="J237" s="242"/>
      <c r="L237" s="249"/>
      <c r="M237" s="245"/>
      <c r="N237" s="54" t="s">
        <v>185</v>
      </c>
      <c r="O237" s="19"/>
      <c r="P237" s="19"/>
      <c r="Q237" s="17">
        <v>11</v>
      </c>
      <c r="R237" s="236"/>
      <c r="S237" s="236"/>
      <c r="T237" s="236"/>
      <c r="U237" s="242"/>
    </row>
    <row r="238" spans="1:21" ht="13">
      <c r="A238" s="249"/>
      <c r="B238" s="245"/>
      <c r="C238" s="54" t="s">
        <v>33</v>
      </c>
      <c r="D238" s="19"/>
      <c r="E238" s="19"/>
      <c r="F238" s="17">
        <v>120.18</v>
      </c>
      <c r="G238" s="236"/>
      <c r="H238" s="236"/>
      <c r="I238" s="236"/>
      <c r="J238" s="242"/>
      <c r="L238" s="249"/>
      <c r="M238" s="245"/>
      <c r="N238" s="54" t="s">
        <v>33</v>
      </c>
      <c r="O238" s="19"/>
      <c r="P238" s="19"/>
      <c r="Q238" s="17">
        <v>120.18</v>
      </c>
      <c r="R238" s="236"/>
      <c r="S238" s="236"/>
      <c r="T238" s="236"/>
      <c r="U238" s="242"/>
    </row>
    <row r="239" spans="1:21" ht="13">
      <c r="A239" s="249"/>
      <c r="B239" s="246"/>
      <c r="C239" s="55" t="s">
        <v>196</v>
      </c>
      <c r="D239" s="20"/>
      <c r="E239" s="20"/>
      <c r="F239" s="21">
        <v>50</v>
      </c>
      <c r="G239" s="238"/>
      <c r="H239" s="238"/>
      <c r="I239" s="238"/>
      <c r="J239" s="243"/>
      <c r="L239" s="249"/>
      <c r="M239" s="246"/>
      <c r="N239" s="55" t="s">
        <v>196</v>
      </c>
      <c r="O239" s="20"/>
      <c r="P239" s="20"/>
      <c r="Q239" s="21">
        <v>50</v>
      </c>
      <c r="R239" s="238"/>
      <c r="S239" s="238"/>
      <c r="T239" s="238"/>
      <c r="U239" s="243"/>
    </row>
    <row r="240" spans="1:21" ht="13">
      <c r="A240" s="249"/>
      <c r="B240" s="244" t="s">
        <v>197</v>
      </c>
      <c r="C240" s="53" t="s">
        <v>23</v>
      </c>
      <c r="D240" s="16">
        <v>7</v>
      </c>
      <c r="E240" s="17">
        <v>16</v>
      </c>
      <c r="F240" s="17">
        <f t="shared" ref="F240:F241" si="44">D240*E240</f>
        <v>112</v>
      </c>
      <c r="G240" s="240">
        <f>SUM(F240:F243)</f>
        <v>309.61</v>
      </c>
      <c r="H240" s="273">
        <v>1508.73</v>
      </c>
      <c r="I240" s="273">
        <f>H240-G240</f>
        <v>1199.1199999999999</v>
      </c>
      <c r="J240" s="241">
        <f>I240/H240</f>
        <v>0.79478766909917609</v>
      </c>
      <c r="L240" s="249"/>
      <c r="M240" s="244" t="s">
        <v>197</v>
      </c>
      <c r="N240" s="53" t="s">
        <v>23</v>
      </c>
      <c r="O240" s="18"/>
      <c r="P240" s="18"/>
      <c r="Q240" s="18"/>
      <c r="R240" s="240">
        <f>SUM(Q240:Q243)</f>
        <v>197.60999999999999</v>
      </c>
      <c r="S240" s="273">
        <v>1508.73</v>
      </c>
      <c r="T240" s="273">
        <f>S240-R240</f>
        <v>1311.1200000000001</v>
      </c>
      <c r="U240" s="241">
        <f>T240/S240</f>
        <v>0.86902229027062505</v>
      </c>
    </row>
    <row r="241" spans="1:21" ht="13">
      <c r="A241" s="249"/>
      <c r="B241" s="245"/>
      <c r="C241" s="54" t="s">
        <v>32</v>
      </c>
      <c r="D241" s="19">
        <v>10.77</v>
      </c>
      <c r="E241" s="19">
        <v>13</v>
      </c>
      <c r="F241" s="17">
        <f t="shared" si="44"/>
        <v>140.01</v>
      </c>
      <c r="G241" s="236"/>
      <c r="H241" s="236"/>
      <c r="I241" s="236"/>
      <c r="J241" s="242"/>
      <c r="L241" s="249"/>
      <c r="M241" s="245"/>
      <c r="N241" s="54" t="s">
        <v>32</v>
      </c>
      <c r="O241" s="19">
        <v>10.77</v>
      </c>
      <c r="P241" s="19">
        <v>13</v>
      </c>
      <c r="Q241" s="17">
        <f>O241*P241</f>
        <v>140.01</v>
      </c>
      <c r="R241" s="236"/>
      <c r="S241" s="236"/>
      <c r="T241" s="236"/>
      <c r="U241" s="242"/>
    </row>
    <row r="242" spans="1:21" ht="13">
      <c r="A242" s="249"/>
      <c r="B242" s="245"/>
      <c r="C242" s="54" t="s">
        <v>33</v>
      </c>
      <c r="D242" s="19"/>
      <c r="E242" s="19"/>
      <c r="F242" s="17">
        <v>57.6</v>
      </c>
      <c r="G242" s="236"/>
      <c r="H242" s="236"/>
      <c r="I242" s="236"/>
      <c r="J242" s="242"/>
      <c r="L242" s="249"/>
      <c r="M242" s="245"/>
      <c r="N242" s="54" t="s">
        <v>33</v>
      </c>
      <c r="O242" s="19"/>
      <c r="P242" s="19"/>
      <c r="Q242" s="17">
        <v>57.6</v>
      </c>
      <c r="R242" s="236"/>
      <c r="S242" s="236"/>
      <c r="T242" s="236"/>
      <c r="U242" s="242"/>
    </row>
    <row r="243" spans="1:21" ht="13">
      <c r="A243" s="249"/>
      <c r="B243" s="246"/>
      <c r="C243" s="55"/>
      <c r="D243" s="20"/>
      <c r="E243" s="20"/>
      <c r="F243" s="21"/>
      <c r="G243" s="238"/>
      <c r="H243" s="238"/>
      <c r="I243" s="238"/>
      <c r="J243" s="243"/>
      <c r="L243" s="249"/>
      <c r="M243" s="246"/>
      <c r="N243" s="55"/>
      <c r="O243" s="20"/>
      <c r="P243" s="20"/>
      <c r="Q243" s="21"/>
      <c r="R243" s="238"/>
      <c r="S243" s="238"/>
      <c r="T243" s="238"/>
      <c r="U243" s="243"/>
    </row>
    <row r="244" spans="1:21" ht="13">
      <c r="A244" s="249"/>
      <c r="B244" s="244" t="s">
        <v>198</v>
      </c>
      <c r="C244" s="53" t="s">
        <v>55</v>
      </c>
      <c r="D244" s="16">
        <v>3</v>
      </c>
      <c r="E244" s="17">
        <v>15</v>
      </c>
      <c r="F244" s="17">
        <f t="shared" ref="F244:F246" si="45">D244*E244</f>
        <v>45</v>
      </c>
      <c r="G244" s="240">
        <f>SUM(F244:F247)</f>
        <v>450</v>
      </c>
      <c r="H244" s="273">
        <v>1350</v>
      </c>
      <c r="I244" s="273">
        <f>H244-G244</f>
        <v>900</v>
      </c>
      <c r="J244" s="241">
        <f>I244/H244</f>
        <v>0.66666666666666663</v>
      </c>
      <c r="L244" s="249"/>
      <c r="M244" s="244" t="s">
        <v>198</v>
      </c>
      <c r="N244" s="53" t="s">
        <v>55</v>
      </c>
      <c r="O244" s="16">
        <v>3</v>
      </c>
      <c r="P244" s="17">
        <v>15</v>
      </c>
      <c r="Q244" s="17">
        <f t="shared" ref="Q244:Q246" si="46">O244*P244</f>
        <v>45</v>
      </c>
      <c r="R244" s="240">
        <f>SUM(Q244:Q247)</f>
        <v>450</v>
      </c>
      <c r="S244" s="273">
        <v>1350</v>
      </c>
      <c r="T244" s="273">
        <f>S244-R244</f>
        <v>900</v>
      </c>
      <c r="U244" s="241">
        <f>T244/S244</f>
        <v>0.66666666666666663</v>
      </c>
    </row>
    <row r="245" spans="1:21" ht="13">
      <c r="A245" s="249"/>
      <c r="B245" s="245"/>
      <c r="C245" s="54" t="s">
        <v>53</v>
      </c>
      <c r="D245" s="19">
        <v>12</v>
      </c>
      <c r="E245" s="19">
        <v>15</v>
      </c>
      <c r="F245" s="17">
        <f t="shared" si="45"/>
        <v>180</v>
      </c>
      <c r="G245" s="236"/>
      <c r="H245" s="236"/>
      <c r="I245" s="236"/>
      <c r="J245" s="242"/>
      <c r="L245" s="249"/>
      <c r="M245" s="245"/>
      <c r="N245" s="54" t="s">
        <v>53</v>
      </c>
      <c r="O245" s="19">
        <v>12</v>
      </c>
      <c r="P245" s="19">
        <v>15</v>
      </c>
      <c r="Q245" s="17">
        <f t="shared" si="46"/>
        <v>180</v>
      </c>
      <c r="R245" s="236"/>
      <c r="S245" s="236"/>
      <c r="T245" s="236"/>
      <c r="U245" s="242"/>
    </row>
    <row r="246" spans="1:21" ht="13">
      <c r="A246" s="249"/>
      <c r="B246" s="245"/>
      <c r="C246" s="54" t="s">
        <v>140</v>
      </c>
      <c r="D246" s="19">
        <v>15</v>
      </c>
      <c r="E246" s="19">
        <v>15</v>
      </c>
      <c r="F246" s="17">
        <f t="shared" si="45"/>
        <v>225</v>
      </c>
      <c r="G246" s="236"/>
      <c r="H246" s="236"/>
      <c r="I246" s="236"/>
      <c r="J246" s="242"/>
      <c r="L246" s="249"/>
      <c r="M246" s="245"/>
      <c r="N246" s="54" t="s">
        <v>140</v>
      </c>
      <c r="O246" s="19">
        <v>15</v>
      </c>
      <c r="P246" s="19">
        <v>15</v>
      </c>
      <c r="Q246" s="17">
        <f t="shared" si="46"/>
        <v>225</v>
      </c>
      <c r="R246" s="236"/>
      <c r="S246" s="236"/>
      <c r="T246" s="236"/>
      <c r="U246" s="242"/>
    </row>
    <row r="247" spans="1:21" ht="13">
      <c r="A247" s="249"/>
      <c r="B247" s="246"/>
      <c r="C247" s="55"/>
      <c r="D247" s="20"/>
      <c r="E247" s="20"/>
      <c r="F247" s="21"/>
      <c r="G247" s="238"/>
      <c r="H247" s="238"/>
      <c r="I247" s="238"/>
      <c r="J247" s="243"/>
      <c r="L247" s="249"/>
      <c r="M247" s="246"/>
      <c r="N247" s="55"/>
      <c r="O247" s="20"/>
      <c r="P247" s="20"/>
      <c r="Q247" s="21"/>
      <c r="R247" s="238"/>
      <c r="S247" s="238"/>
      <c r="T247" s="238"/>
      <c r="U247" s="243"/>
    </row>
    <row r="248" spans="1:21" ht="13">
      <c r="A248" s="249"/>
      <c r="B248" s="244" t="s">
        <v>199</v>
      </c>
      <c r="C248" s="53" t="s">
        <v>23</v>
      </c>
      <c r="D248" s="16">
        <v>14</v>
      </c>
      <c r="E248" s="17">
        <v>16</v>
      </c>
      <c r="F248" s="17">
        <f>D248*E248</f>
        <v>224</v>
      </c>
      <c r="G248" s="240">
        <f>SUM(F248:F253)</f>
        <v>739.78000000000009</v>
      </c>
      <c r="H248" s="273">
        <v>3531.46</v>
      </c>
      <c r="I248" s="273">
        <f>H248-G248</f>
        <v>2791.68</v>
      </c>
      <c r="J248" s="241">
        <f>I248/H248</f>
        <v>0.79051723649708616</v>
      </c>
      <c r="L248" s="249"/>
      <c r="M248" s="244" t="s">
        <v>199</v>
      </c>
      <c r="N248" s="53" t="s">
        <v>23</v>
      </c>
      <c r="O248" s="18"/>
      <c r="P248" s="18"/>
      <c r="Q248" s="18"/>
      <c r="R248" s="240">
        <f>SUM(Q248:Q253)</f>
        <v>515.78000000000009</v>
      </c>
      <c r="S248" s="273">
        <v>3531.46</v>
      </c>
      <c r="T248" s="273">
        <f>S248-R248</f>
        <v>3015.68</v>
      </c>
      <c r="U248" s="241">
        <f>T248/S248</f>
        <v>0.85394709270386748</v>
      </c>
    </row>
    <row r="249" spans="1:21" ht="13">
      <c r="A249" s="249"/>
      <c r="B249" s="245"/>
      <c r="C249" s="54" t="s">
        <v>47</v>
      </c>
      <c r="D249" s="19"/>
      <c r="E249" s="19"/>
      <c r="F249" s="17">
        <v>66.510000000000005</v>
      </c>
      <c r="G249" s="236"/>
      <c r="H249" s="236"/>
      <c r="I249" s="236"/>
      <c r="J249" s="242"/>
      <c r="L249" s="249"/>
      <c r="M249" s="245"/>
      <c r="N249" s="54" t="s">
        <v>47</v>
      </c>
      <c r="O249" s="19"/>
      <c r="P249" s="19"/>
      <c r="Q249" s="17">
        <v>66.510000000000005</v>
      </c>
      <c r="R249" s="236"/>
      <c r="S249" s="236"/>
      <c r="T249" s="236"/>
      <c r="U249" s="242"/>
    </row>
    <row r="250" spans="1:21" ht="13">
      <c r="A250" s="249"/>
      <c r="B250" s="245"/>
      <c r="C250" s="54" t="s">
        <v>33</v>
      </c>
      <c r="D250" s="19"/>
      <c r="E250" s="19"/>
      <c r="F250" s="17">
        <v>255.08</v>
      </c>
      <c r="G250" s="236"/>
      <c r="H250" s="236"/>
      <c r="I250" s="236"/>
      <c r="J250" s="242"/>
      <c r="L250" s="249"/>
      <c r="M250" s="245"/>
      <c r="N250" s="54" t="s">
        <v>33</v>
      </c>
      <c r="O250" s="19"/>
      <c r="P250" s="19"/>
      <c r="Q250" s="17">
        <v>255.08</v>
      </c>
      <c r="R250" s="236"/>
      <c r="S250" s="236"/>
      <c r="T250" s="236"/>
      <c r="U250" s="242"/>
    </row>
    <row r="251" spans="1:21" ht="13">
      <c r="A251" s="249"/>
      <c r="B251" s="245"/>
      <c r="C251" s="54" t="s">
        <v>153</v>
      </c>
      <c r="D251" s="19"/>
      <c r="E251" s="19"/>
      <c r="F251" s="17">
        <v>36.74</v>
      </c>
      <c r="G251" s="236"/>
      <c r="H251" s="236"/>
      <c r="I251" s="236"/>
      <c r="J251" s="242"/>
      <c r="L251" s="249"/>
      <c r="M251" s="245"/>
      <c r="N251" s="54" t="s">
        <v>153</v>
      </c>
      <c r="O251" s="19"/>
      <c r="P251" s="19"/>
      <c r="Q251" s="17">
        <v>36.74</v>
      </c>
      <c r="R251" s="236"/>
      <c r="S251" s="236"/>
      <c r="T251" s="236"/>
      <c r="U251" s="242"/>
    </row>
    <row r="252" spans="1:21" ht="13">
      <c r="A252" s="249"/>
      <c r="B252" s="245"/>
      <c r="C252" s="54" t="s">
        <v>45</v>
      </c>
      <c r="D252" s="19"/>
      <c r="E252" s="19"/>
      <c r="F252" s="17">
        <v>134.75</v>
      </c>
      <c r="G252" s="236"/>
      <c r="H252" s="236"/>
      <c r="I252" s="236"/>
      <c r="J252" s="242"/>
      <c r="L252" s="249"/>
      <c r="M252" s="245"/>
      <c r="N252" s="54" t="s">
        <v>45</v>
      </c>
      <c r="O252" s="19"/>
      <c r="P252" s="19"/>
      <c r="Q252" s="17">
        <v>134.75</v>
      </c>
      <c r="R252" s="236"/>
      <c r="S252" s="236"/>
      <c r="T252" s="236"/>
      <c r="U252" s="242"/>
    </row>
    <row r="253" spans="1:21" ht="13">
      <c r="A253" s="249"/>
      <c r="B253" s="246"/>
      <c r="C253" s="55" t="s">
        <v>44</v>
      </c>
      <c r="D253" s="20"/>
      <c r="E253" s="20"/>
      <c r="F253" s="21">
        <v>22.7</v>
      </c>
      <c r="G253" s="238"/>
      <c r="H253" s="238"/>
      <c r="I253" s="238"/>
      <c r="J253" s="243"/>
      <c r="L253" s="249"/>
      <c r="M253" s="246"/>
      <c r="N253" s="55" t="s">
        <v>44</v>
      </c>
      <c r="O253" s="20"/>
      <c r="P253" s="20"/>
      <c r="Q253" s="21">
        <v>22.7</v>
      </c>
      <c r="R253" s="238"/>
      <c r="S253" s="238"/>
      <c r="T253" s="238"/>
      <c r="U253" s="243"/>
    </row>
    <row r="254" spans="1:21" ht="13">
      <c r="A254" s="249"/>
      <c r="B254" s="244" t="s">
        <v>200</v>
      </c>
      <c r="C254" s="15" t="s">
        <v>114</v>
      </c>
      <c r="D254" s="16">
        <v>7</v>
      </c>
      <c r="E254" s="16">
        <v>18</v>
      </c>
      <c r="F254" s="17">
        <f t="shared" ref="F254:F256" si="47">D254*E254</f>
        <v>126</v>
      </c>
      <c r="G254" s="240">
        <f>SUM(F254:F264)</f>
        <v>1967.52</v>
      </c>
      <c r="H254" s="240">
        <v>4750.1400000000003</v>
      </c>
      <c r="I254" s="240">
        <f>H254-G254</f>
        <v>2782.6200000000003</v>
      </c>
      <c r="J254" s="241">
        <f>I254/H254</f>
        <v>0.58579747123242687</v>
      </c>
      <c r="L254" s="249"/>
      <c r="M254" s="244" t="s">
        <v>200</v>
      </c>
      <c r="N254" s="15" t="s">
        <v>114</v>
      </c>
      <c r="O254" s="18"/>
      <c r="P254" s="18"/>
      <c r="Q254" s="18"/>
      <c r="R254" s="240">
        <f>SUM(Q254:Q264)</f>
        <v>1841.52</v>
      </c>
      <c r="S254" s="240">
        <v>4750.1400000000003</v>
      </c>
      <c r="T254" s="240">
        <f>S254-R254</f>
        <v>2908.6200000000003</v>
      </c>
      <c r="U254" s="241">
        <f>T254/S254</f>
        <v>0.61232300521668837</v>
      </c>
    </row>
    <row r="255" spans="1:21" ht="13">
      <c r="A255" s="249"/>
      <c r="B255" s="245"/>
      <c r="C255" s="19" t="s">
        <v>63</v>
      </c>
      <c r="D255" s="17">
        <v>30</v>
      </c>
      <c r="E255" s="17">
        <v>17</v>
      </c>
      <c r="F255" s="17">
        <f t="shared" si="47"/>
        <v>510</v>
      </c>
      <c r="G255" s="236"/>
      <c r="H255" s="236"/>
      <c r="I255" s="236"/>
      <c r="J255" s="242"/>
      <c r="L255" s="249"/>
      <c r="M255" s="245"/>
      <c r="N255" s="19" t="s">
        <v>63</v>
      </c>
      <c r="O255" s="17">
        <v>30</v>
      </c>
      <c r="P255" s="17">
        <v>17</v>
      </c>
      <c r="Q255" s="17">
        <f t="shared" ref="Q255:Q256" si="48">O255*P255</f>
        <v>510</v>
      </c>
      <c r="R255" s="236"/>
      <c r="S255" s="236"/>
      <c r="T255" s="236"/>
      <c r="U255" s="242"/>
    </row>
    <row r="256" spans="1:21" ht="13">
      <c r="A256" s="249"/>
      <c r="B256" s="245"/>
      <c r="C256" s="19" t="s">
        <v>178</v>
      </c>
      <c r="D256" s="17">
        <v>17.5</v>
      </c>
      <c r="E256" s="17">
        <v>17</v>
      </c>
      <c r="F256" s="17">
        <f t="shared" si="47"/>
        <v>297.5</v>
      </c>
      <c r="G256" s="236"/>
      <c r="H256" s="236"/>
      <c r="I256" s="236"/>
      <c r="J256" s="242"/>
      <c r="L256" s="249"/>
      <c r="M256" s="245"/>
      <c r="N256" s="19" t="s">
        <v>178</v>
      </c>
      <c r="O256" s="17">
        <v>17.5</v>
      </c>
      <c r="P256" s="17">
        <v>17</v>
      </c>
      <c r="Q256" s="17">
        <f t="shared" si="48"/>
        <v>297.5</v>
      </c>
      <c r="R256" s="236"/>
      <c r="S256" s="236"/>
      <c r="T256" s="236"/>
      <c r="U256" s="242"/>
    </row>
    <row r="257" spans="1:21" ht="13">
      <c r="A257" s="249"/>
      <c r="B257" s="245"/>
      <c r="C257" s="19" t="s">
        <v>155</v>
      </c>
      <c r="D257" s="17"/>
      <c r="E257" s="17"/>
      <c r="F257" s="17">
        <v>421</v>
      </c>
      <c r="G257" s="236"/>
      <c r="H257" s="236"/>
      <c r="I257" s="236"/>
      <c r="J257" s="242"/>
      <c r="L257" s="249"/>
      <c r="M257" s="245"/>
      <c r="N257" s="19" t="s">
        <v>155</v>
      </c>
      <c r="O257" s="17"/>
      <c r="P257" s="17"/>
      <c r="Q257" s="17">
        <v>421</v>
      </c>
      <c r="R257" s="236"/>
      <c r="S257" s="236"/>
      <c r="T257" s="236"/>
      <c r="U257" s="242"/>
    </row>
    <row r="258" spans="1:21" ht="13">
      <c r="A258" s="249"/>
      <c r="B258" s="245"/>
      <c r="C258" s="19" t="s">
        <v>165</v>
      </c>
      <c r="D258" s="17"/>
      <c r="E258" s="17"/>
      <c r="F258" s="17">
        <v>217.53</v>
      </c>
      <c r="G258" s="236"/>
      <c r="H258" s="236"/>
      <c r="I258" s="236"/>
      <c r="J258" s="242"/>
      <c r="L258" s="249"/>
      <c r="M258" s="245"/>
      <c r="N258" s="19" t="s">
        <v>165</v>
      </c>
      <c r="O258" s="17"/>
      <c r="P258" s="17"/>
      <c r="Q258" s="17">
        <v>217.53</v>
      </c>
      <c r="R258" s="236"/>
      <c r="S258" s="236"/>
      <c r="T258" s="236"/>
      <c r="U258" s="242"/>
    </row>
    <row r="259" spans="1:21" ht="13">
      <c r="A259" s="249"/>
      <c r="B259" s="245"/>
      <c r="C259" s="19" t="s">
        <v>83</v>
      </c>
      <c r="D259" s="17"/>
      <c r="E259" s="17"/>
      <c r="F259" s="17">
        <v>153.69</v>
      </c>
      <c r="G259" s="236"/>
      <c r="H259" s="236"/>
      <c r="I259" s="236"/>
      <c r="J259" s="242"/>
      <c r="L259" s="249"/>
      <c r="M259" s="245"/>
      <c r="N259" s="19" t="s">
        <v>83</v>
      </c>
      <c r="O259" s="17"/>
      <c r="P259" s="17"/>
      <c r="Q259" s="17">
        <v>153.69</v>
      </c>
      <c r="R259" s="236"/>
      <c r="S259" s="236"/>
      <c r="T259" s="236"/>
      <c r="U259" s="242"/>
    </row>
    <row r="260" spans="1:21" ht="13">
      <c r="A260" s="249"/>
      <c r="B260" s="245"/>
      <c r="C260" s="19" t="s">
        <v>44</v>
      </c>
      <c r="D260" s="17"/>
      <c r="E260" s="17"/>
      <c r="F260" s="17">
        <v>127.8</v>
      </c>
      <c r="G260" s="236"/>
      <c r="H260" s="236"/>
      <c r="I260" s="236"/>
      <c r="J260" s="242"/>
      <c r="L260" s="249"/>
      <c r="M260" s="245"/>
      <c r="N260" s="19" t="s">
        <v>44</v>
      </c>
      <c r="O260" s="17"/>
      <c r="P260" s="17"/>
      <c r="Q260" s="17">
        <v>127.8</v>
      </c>
      <c r="R260" s="236"/>
      <c r="S260" s="236"/>
      <c r="T260" s="236"/>
      <c r="U260" s="242"/>
    </row>
    <row r="261" spans="1:21" ht="13">
      <c r="A261" s="249"/>
      <c r="B261" s="245"/>
      <c r="C261" s="19" t="s">
        <v>153</v>
      </c>
      <c r="D261" s="17"/>
      <c r="E261" s="17"/>
      <c r="F261" s="17">
        <v>87</v>
      </c>
      <c r="G261" s="236"/>
      <c r="H261" s="236"/>
      <c r="I261" s="236"/>
      <c r="J261" s="242"/>
      <c r="L261" s="249"/>
      <c r="M261" s="245"/>
      <c r="N261" s="19" t="s">
        <v>153</v>
      </c>
      <c r="O261" s="17"/>
      <c r="P261" s="17"/>
      <c r="Q261" s="17">
        <v>87</v>
      </c>
      <c r="R261" s="236"/>
      <c r="S261" s="236"/>
      <c r="T261" s="236"/>
      <c r="U261" s="242"/>
    </row>
    <row r="262" spans="1:21" ht="13">
      <c r="A262" s="249"/>
      <c r="B262" s="245"/>
      <c r="C262" s="19" t="s">
        <v>46</v>
      </c>
      <c r="D262" s="17"/>
      <c r="E262" s="17"/>
      <c r="F262" s="17">
        <v>27</v>
      </c>
      <c r="G262" s="236"/>
      <c r="H262" s="236"/>
      <c r="I262" s="236"/>
      <c r="J262" s="242"/>
      <c r="L262" s="249"/>
      <c r="M262" s="245"/>
      <c r="N262" s="19" t="s">
        <v>46</v>
      </c>
      <c r="O262" s="17"/>
      <c r="P262" s="17"/>
      <c r="Q262" s="17">
        <v>27</v>
      </c>
      <c r="R262" s="236"/>
      <c r="S262" s="236"/>
      <c r="T262" s="236"/>
      <c r="U262" s="242"/>
    </row>
    <row r="263" spans="1:21" ht="13">
      <c r="A263" s="249"/>
      <c r="B263" s="245"/>
      <c r="C263" s="19"/>
      <c r="D263" s="17"/>
      <c r="E263" s="17"/>
      <c r="F263" s="17"/>
      <c r="G263" s="236"/>
      <c r="H263" s="236"/>
      <c r="I263" s="236"/>
      <c r="J263" s="242"/>
      <c r="L263" s="249"/>
      <c r="M263" s="245"/>
      <c r="N263" s="19"/>
      <c r="O263" s="17"/>
      <c r="P263" s="17"/>
      <c r="Q263" s="17"/>
      <c r="R263" s="236"/>
      <c r="S263" s="236"/>
      <c r="T263" s="236"/>
      <c r="U263" s="242"/>
    </row>
    <row r="264" spans="1:21" ht="13">
      <c r="A264" s="249"/>
      <c r="B264" s="246"/>
      <c r="C264" s="44"/>
      <c r="D264" s="21"/>
      <c r="E264" s="21"/>
      <c r="F264" s="21"/>
      <c r="G264" s="238"/>
      <c r="H264" s="238"/>
      <c r="I264" s="238"/>
      <c r="J264" s="243"/>
      <c r="L264" s="249"/>
      <c r="M264" s="246"/>
      <c r="N264" s="44"/>
      <c r="O264" s="21"/>
      <c r="P264" s="21"/>
      <c r="Q264" s="21"/>
      <c r="R264" s="238"/>
      <c r="S264" s="238"/>
      <c r="T264" s="238"/>
      <c r="U264" s="243"/>
    </row>
    <row r="265" spans="1:21" ht="13">
      <c r="A265" s="249"/>
      <c r="B265" s="244" t="s">
        <v>201</v>
      </c>
      <c r="C265" s="53" t="s">
        <v>147</v>
      </c>
      <c r="D265" s="16">
        <v>48</v>
      </c>
      <c r="E265" s="17">
        <v>15</v>
      </c>
      <c r="F265" s="17">
        <f>D265*E265</f>
        <v>720</v>
      </c>
      <c r="G265" s="240">
        <f>SUM(F265:F266)</f>
        <v>720</v>
      </c>
      <c r="H265" s="273">
        <v>2544</v>
      </c>
      <c r="I265" s="273">
        <f>H265-G265</f>
        <v>1824</v>
      </c>
      <c r="J265" s="241">
        <f>I265/H265</f>
        <v>0.71698113207547165</v>
      </c>
      <c r="L265" s="249"/>
      <c r="M265" s="244" t="s">
        <v>201</v>
      </c>
      <c r="N265" s="53" t="s">
        <v>147</v>
      </c>
      <c r="O265" s="16">
        <v>48</v>
      </c>
      <c r="P265" s="17">
        <v>15</v>
      </c>
      <c r="Q265" s="17">
        <f>O265*P265</f>
        <v>720</v>
      </c>
      <c r="R265" s="240">
        <f>SUM(Q265:Q266)</f>
        <v>720</v>
      </c>
      <c r="S265" s="273">
        <v>2544</v>
      </c>
      <c r="T265" s="273">
        <f>S265-R265</f>
        <v>1824</v>
      </c>
      <c r="U265" s="241">
        <f>T265/S265</f>
        <v>0.71698113207547165</v>
      </c>
    </row>
    <row r="266" spans="1:21" ht="13">
      <c r="A266" s="250"/>
      <c r="B266" s="246"/>
      <c r="C266" s="55"/>
      <c r="D266" s="20"/>
      <c r="E266" s="20"/>
      <c r="F266" s="21"/>
      <c r="G266" s="238"/>
      <c r="H266" s="238"/>
      <c r="I266" s="238"/>
      <c r="J266" s="243"/>
      <c r="L266" s="250"/>
      <c r="M266" s="246"/>
      <c r="N266" s="55"/>
      <c r="O266" s="20"/>
      <c r="P266" s="20"/>
      <c r="Q266" s="21"/>
      <c r="R266" s="238"/>
      <c r="S266" s="238"/>
      <c r="T266" s="238"/>
      <c r="U266" s="243"/>
    </row>
    <row r="267" spans="1:21" ht="30">
      <c r="A267" s="278" t="s">
        <v>202</v>
      </c>
      <c r="B267" s="252"/>
      <c r="C267" s="253"/>
      <c r="D267" s="56">
        <f t="shared" ref="D267:I267" si="49">AVERAGE(D166:D266)</f>
        <v>15.689130434782612</v>
      </c>
      <c r="E267" s="56">
        <f t="shared" si="49"/>
        <v>15.152173913043478</v>
      </c>
      <c r="F267" s="56">
        <f t="shared" si="49"/>
        <v>194.51568181818178</v>
      </c>
      <c r="G267" s="56">
        <f t="shared" si="49"/>
        <v>1006.904705882353</v>
      </c>
      <c r="H267" s="56">
        <f t="shared" si="49"/>
        <v>3419.2517647058821</v>
      </c>
      <c r="I267" s="56">
        <f t="shared" si="49"/>
        <v>2412.34705882353</v>
      </c>
      <c r="J267" s="57">
        <f>AVERAGE($J$12:$J$76)</f>
        <v>0.79942354689485917</v>
      </c>
      <c r="L267" s="278" t="s">
        <v>202</v>
      </c>
      <c r="M267" s="252"/>
      <c r="N267" s="253"/>
      <c r="O267" s="56">
        <f t="shared" ref="O267:T267" si="50">AVERAGE(O166:O266)</f>
        <v>15.769444444444446</v>
      </c>
      <c r="P267" s="56">
        <f t="shared" si="50"/>
        <v>14.555555555555555</v>
      </c>
      <c r="Q267" s="56">
        <f t="shared" si="50"/>
        <v>185.44076923076923</v>
      </c>
      <c r="R267" s="56">
        <f t="shared" si="50"/>
        <v>850.84588235294132</v>
      </c>
      <c r="S267" s="56">
        <f t="shared" si="50"/>
        <v>3419.2517647058821</v>
      </c>
      <c r="T267" s="56">
        <f t="shared" si="50"/>
        <v>2568.4058823529417</v>
      </c>
      <c r="U267" s="57">
        <f>AVERAGE($J$12:$J$76)</f>
        <v>0.79942354689485917</v>
      </c>
    </row>
    <row r="268" spans="1:21" ht="30">
      <c r="A268" s="279" t="s">
        <v>203</v>
      </c>
      <c r="B268" s="255"/>
      <c r="C268" s="256"/>
      <c r="D268" s="56">
        <f t="shared" ref="D268:I268" si="51">SUM(D166:D266)</f>
        <v>721.70000000000016</v>
      </c>
      <c r="E268" s="56">
        <f t="shared" si="51"/>
        <v>697</v>
      </c>
      <c r="F268" s="56">
        <f t="shared" si="51"/>
        <v>17117.379999999997</v>
      </c>
      <c r="G268" s="56">
        <f t="shared" si="51"/>
        <v>17117.38</v>
      </c>
      <c r="H268" s="56">
        <f t="shared" si="51"/>
        <v>58127.28</v>
      </c>
      <c r="I268" s="56">
        <f t="shared" si="51"/>
        <v>41009.900000000009</v>
      </c>
      <c r="J268" s="58">
        <f>I268/H268</f>
        <v>0.70551899211523417</v>
      </c>
      <c r="L268" s="279" t="s">
        <v>203</v>
      </c>
      <c r="M268" s="255"/>
      <c r="N268" s="256"/>
      <c r="O268" s="56">
        <f t="shared" ref="O268:T268" si="52">SUM(O166:O266)</f>
        <v>567.70000000000005</v>
      </c>
      <c r="P268" s="56">
        <f t="shared" si="52"/>
        <v>524</v>
      </c>
      <c r="Q268" s="56">
        <f t="shared" si="52"/>
        <v>14464.380000000001</v>
      </c>
      <c r="R268" s="56">
        <f t="shared" si="52"/>
        <v>14464.380000000003</v>
      </c>
      <c r="S268" s="56">
        <f t="shared" si="52"/>
        <v>58127.28</v>
      </c>
      <c r="T268" s="56">
        <f t="shared" si="52"/>
        <v>43662.900000000009</v>
      </c>
      <c r="U268" s="58">
        <f>T268/S268</f>
        <v>0.75116021255424315</v>
      </c>
    </row>
    <row r="269" spans="1:21" ht="30">
      <c r="A269" s="59"/>
      <c r="B269" s="60"/>
      <c r="C269" s="60"/>
      <c r="D269" s="61"/>
      <c r="E269" s="62"/>
      <c r="F269" s="62"/>
      <c r="G269" s="62"/>
      <c r="H269" s="62"/>
      <c r="I269" s="62"/>
      <c r="J269" s="63"/>
      <c r="L269" s="59"/>
      <c r="M269" s="60"/>
      <c r="N269" s="60"/>
      <c r="O269" s="61"/>
      <c r="P269" s="62"/>
      <c r="Q269" s="62"/>
      <c r="R269" s="62"/>
      <c r="S269" s="62"/>
      <c r="T269" s="62"/>
      <c r="U269" s="63"/>
    </row>
    <row r="270" spans="1:21" ht="30">
      <c r="A270" s="257" t="s">
        <v>204</v>
      </c>
      <c r="B270" s="252"/>
      <c r="C270" s="253"/>
      <c r="D270" s="34">
        <f t="shared" ref="D270:I270" si="53">SUM(D80,D165,D268)</f>
        <v>1738.5700000000002</v>
      </c>
      <c r="E270" s="34">
        <f t="shared" si="53"/>
        <v>1922</v>
      </c>
      <c r="F270" s="34">
        <f t="shared" si="53"/>
        <v>43470.049999999996</v>
      </c>
      <c r="G270" s="34">
        <f t="shared" si="53"/>
        <v>43470.05</v>
      </c>
      <c r="H270" s="34">
        <f t="shared" si="53"/>
        <v>152885.54</v>
      </c>
      <c r="I270" s="34">
        <f t="shared" si="53"/>
        <v>109415.49</v>
      </c>
      <c r="J270" s="35">
        <f>I270/H270</f>
        <v>0.71566931705902337</v>
      </c>
      <c r="L270" s="257" t="s">
        <v>204</v>
      </c>
      <c r="M270" s="252"/>
      <c r="N270" s="253"/>
      <c r="O270" s="34">
        <f t="shared" ref="O270:T270" si="54">SUM(O80,O165,O268)</f>
        <v>1208.57</v>
      </c>
      <c r="P270" s="34">
        <f t="shared" si="54"/>
        <v>1163</v>
      </c>
      <c r="Q270" s="34">
        <f t="shared" si="54"/>
        <v>34375.050000000003</v>
      </c>
      <c r="R270" s="34">
        <f t="shared" si="54"/>
        <v>34375.050000000003</v>
      </c>
      <c r="S270" s="34">
        <f t="shared" si="54"/>
        <v>152885.54</v>
      </c>
      <c r="T270" s="34">
        <f t="shared" si="54"/>
        <v>118510.49</v>
      </c>
      <c r="U270" s="35">
        <f>T270/S270</f>
        <v>0.77515826545793665</v>
      </c>
    </row>
    <row r="271" spans="1:21" ht="30">
      <c r="A271" s="59"/>
      <c r="B271" s="60"/>
      <c r="C271" s="60"/>
      <c r="D271" s="61"/>
      <c r="E271" s="62"/>
      <c r="F271" s="62"/>
      <c r="G271" s="62"/>
      <c r="H271" s="62"/>
      <c r="I271" s="62"/>
      <c r="J271" s="63"/>
      <c r="L271" s="59"/>
      <c r="M271" s="60"/>
      <c r="N271" s="60"/>
      <c r="O271" s="61"/>
      <c r="P271" s="62"/>
      <c r="Q271" s="62"/>
      <c r="R271" s="62"/>
      <c r="S271" s="62"/>
      <c r="T271" s="62"/>
      <c r="U271" s="63"/>
    </row>
    <row r="272" spans="1:21" ht="13">
      <c r="A272" s="277" t="s">
        <v>3</v>
      </c>
      <c r="B272" s="244" t="s">
        <v>205</v>
      </c>
      <c r="C272" s="53" t="s">
        <v>55</v>
      </c>
      <c r="D272" s="16">
        <v>4</v>
      </c>
      <c r="E272" s="17">
        <v>13</v>
      </c>
      <c r="F272" s="17">
        <f>D272*E272</f>
        <v>52</v>
      </c>
      <c r="G272" s="240">
        <f>SUM(F272:F273)</f>
        <v>138.37</v>
      </c>
      <c r="H272" s="273">
        <v>1965</v>
      </c>
      <c r="I272" s="273">
        <f>H272-G272</f>
        <v>1826.63</v>
      </c>
      <c r="J272" s="241">
        <f>I272/H272</f>
        <v>0.92958269720101783</v>
      </c>
      <c r="L272" s="277" t="s">
        <v>3</v>
      </c>
      <c r="M272" s="244" t="s">
        <v>205</v>
      </c>
      <c r="N272" s="53" t="s">
        <v>55</v>
      </c>
      <c r="O272" s="16">
        <v>4</v>
      </c>
      <c r="P272" s="17">
        <v>13</v>
      </c>
      <c r="Q272" s="17">
        <f>O272*P272</f>
        <v>52</v>
      </c>
      <c r="R272" s="240">
        <f>SUM(Q272:Q273)</f>
        <v>138.37</v>
      </c>
      <c r="S272" s="273">
        <v>1965</v>
      </c>
      <c r="T272" s="273">
        <f>S272-R272</f>
        <v>1826.63</v>
      </c>
      <c r="U272" s="241">
        <f>T272/S272</f>
        <v>0.92958269720101783</v>
      </c>
    </row>
    <row r="273" spans="1:21" ht="13">
      <c r="A273" s="249"/>
      <c r="B273" s="246"/>
      <c r="C273" s="55" t="s">
        <v>33</v>
      </c>
      <c r="D273" s="20"/>
      <c r="E273" s="20"/>
      <c r="F273" s="21">
        <v>86.37</v>
      </c>
      <c r="G273" s="238"/>
      <c r="H273" s="238"/>
      <c r="I273" s="238"/>
      <c r="J273" s="243"/>
      <c r="L273" s="249"/>
      <c r="M273" s="246"/>
      <c r="N273" s="55"/>
      <c r="O273" s="20"/>
      <c r="P273" s="20"/>
      <c r="Q273" s="21">
        <v>86.37</v>
      </c>
      <c r="R273" s="238"/>
      <c r="S273" s="238"/>
      <c r="T273" s="238"/>
      <c r="U273" s="243"/>
    </row>
    <row r="274" spans="1:21" ht="13">
      <c r="A274" s="249"/>
      <c r="B274" s="244" t="s">
        <v>206</v>
      </c>
      <c r="C274" s="53" t="s">
        <v>55</v>
      </c>
      <c r="D274" s="16">
        <v>4.2</v>
      </c>
      <c r="E274" s="17">
        <v>13</v>
      </c>
      <c r="F274" s="17">
        <f>D274*E274</f>
        <v>54.6</v>
      </c>
      <c r="G274" s="240">
        <f>SUM(F274:F275)</f>
        <v>140.97</v>
      </c>
      <c r="H274" s="273">
        <v>1965</v>
      </c>
      <c r="I274" s="273">
        <f>H274-G274</f>
        <v>1824.03</v>
      </c>
      <c r="J274" s="241">
        <f>I274/H274</f>
        <v>0.92825954198473282</v>
      </c>
      <c r="L274" s="249"/>
      <c r="M274" s="244" t="s">
        <v>206</v>
      </c>
      <c r="N274" s="53" t="s">
        <v>55</v>
      </c>
      <c r="O274" s="16">
        <v>4.2</v>
      </c>
      <c r="P274" s="17">
        <v>13</v>
      </c>
      <c r="Q274" s="17">
        <f>O274*P274</f>
        <v>54.6</v>
      </c>
      <c r="R274" s="240">
        <f>SUM(Q274:Q275)</f>
        <v>140.97</v>
      </c>
      <c r="S274" s="273">
        <v>1965</v>
      </c>
      <c r="T274" s="273">
        <f>S274-R274</f>
        <v>1824.03</v>
      </c>
      <c r="U274" s="241">
        <f>T274/S274</f>
        <v>0.92825954198473282</v>
      </c>
    </row>
    <row r="275" spans="1:21" ht="13">
      <c r="A275" s="249"/>
      <c r="B275" s="246"/>
      <c r="C275" s="55" t="s">
        <v>33</v>
      </c>
      <c r="D275" s="20"/>
      <c r="E275" s="20"/>
      <c r="F275" s="21">
        <v>86.37</v>
      </c>
      <c r="G275" s="238"/>
      <c r="H275" s="238"/>
      <c r="I275" s="238"/>
      <c r="J275" s="243"/>
      <c r="L275" s="249"/>
      <c r="M275" s="246"/>
      <c r="N275" s="55"/>
      <c r="O275" s="20"/>
      <c r="P275" s="20"/>
      <c r="Q275" s="21">
        <v>86.37</v>
      </c>
      <c r="R275" s="238"/>
      <c r="S275" s="238"/>
      <c r="T275" s="238"/>
      <c r="U275" s="243"/>
    </row>
    <row r="276" spans="1:21" ht="13">
      <c r="A276" s="249"/>
      <c r="B276" s="244" t="s">
        <v>207</v>
      </c>
      <c r="C276" s="53" t="s">
        <v>114</v>
      </c>
      <c r="D276" s="16">
        <v>7</v>
      </c>
      <c r="E276" s="17">
        <v>18</v>
      </c>
      <c r="F276" s="17">
        <f t="shared" ref="F276:F277" si="55">D276*E276</f>
        <v>126</v>
      </c>
      <c r="G276" s="240">
        <f>SUM(F276:F279)</f>
        <v>269.01</v>
      </c>
      <c r="H276" s="273">
        <v>1508.73</v>
      </c>
      <c r="I276" s="273">
        <f>H276-G276</f>
        <v>1239.72</v>
      </c>
      <c r="J276" s="241">
        <f>I276/H276</f>
        <v>0.82169771927382629</v>
      </c>
      <c r="L276" s="249"/>
      <c r="M276" s="244" t="s">
        <v>207</v>
      </c>
      <c r="N276" s="53" t="s">
        <v>114</v>
      </c>
      <c r="O276" s="18"/>
      <c r="P276" s="18"/>
      <c r="Q276" s="18"/>
      <c r="R276" s="240">
        <f>SUM(Q276:Q279)</f>
        <v>143.01</v>
      </c>
      <c r="S276" s="273">
        <v>1508.73</v>
      </c>
      <c r="T276" s="273">
        <f>S276-R276</f>
        <v>1365.72</v>
      </c>
      <c r="U276" s="241">
        <f>T276/S276</f>
        <v>0.90521166809170628</v>
      </c>
    </row>
    <row r="277" spans="1:21" ht="13">
      <c r="A277" s="249"/>
      <c r="B277" s="245"/>
      <c r="C277" s="54" t="s">
        <v>32</v>
      </c>
      <c r="D277" s="19">
        <v>6.57</v>
      </c>
      <c r="E277" s="19">
        <v>13</v>
      </c>
      <c r="F277" s="17">
        <f t="shared" si="55"/>
        <v>85.41</v>
      </c>
      <c r="G277" s="236"/>
      <c r="H277" s="236"/>
      <c r="I277" s="236"/>
      <c r="J277" s="242"/>
      <c r="L277" s="249"/>
      <c r="M277" s="245"/>
      <c r="N277" s="54" t="s">
        <v>32</v>
      </c>
      <c r="O277" s="19">
        <v>6.57</v>
      </c>
      <c r="P277" s="19">
        <v>13</v>
      </c>
      <c r="Q277" s="17">
        <f>O277*P277</f>
        <v>85.41</v>
      </c>
      <c r="R277" s="236"/>
      <c r="S277" s="236"/>
      <c r="T277" s="236"/>
      <c r="U277" s="242"/>
    </row>
    <row r="278" spans="1:21" ht="13">
      <c r="A278" s="249"/>
      <c r="B278" s="245"/>
      <c r="C278" s="54" t="s">
        <v>33</v>
      </c>
      <c r="D278" s="19"/>
      <c r="E278" s="19"/>
      <c r="F278" s="17">
        <v>57.6</v>
      </c>
      <c r="G278" s="236"/>
      <c r="H278" s="236"/>
      <c r="I278" s="236"/>
      <c r="J278" s="242"/>
      <c r="L278" s="249"/>
      <c r="M278" s="245"/>
      <c r="N278" s="54" t="s">
        <v>33</v>
      </c>
      <c r="O278" s="19"/>
      <c r="P278" s="19"/>
      <c r="Q278" s="17">
        <v>57.6</v>
      </c>
      <c r="R278" s="236"/>
      <c r="S278" s="236"/>
      <c r="T278" s="236"/>
      <c r="U278" s="242"/>
    </row>
    <row r="279" spans="1:21" ht="13">
      <c r="A279" s="249"/>
      <c r="B279" s="246"/>
      <c r="C279" s="55"/>
      <c r="D279" s="20"/>
      <c r="E279" s="20"/>
      <c r="F279" s="21"/>
      <c r="G279" s="238"/>
      <c r="H279" s="238"/>
      <c r="I279" s="238"/>
      <c r="J279" s="243"/>
      <c r="L279" s="249"/>
      <c r="M279" s="246"/>
      <c r="N279" s="55"/>
      <c r="O279" s="20"/>
      <c r="P279" s="20"/>
      <c r="Q279" s="21"/>
      <c r="R279" s="238"/>
      <c r="S279" s="238"/>
      <c r="T279" s="238"/>
      <c r="U279" s="243"/>
    </row>
    <row r="280" spans="1:21" ht="13">
      <c r="A280" s="249"/>
      <c r="B280" s="244" t="s">
        <v>208</v>
      </c>
      <c r="C280" s="53" t="s">
        <v>35</v>
      </c>
      <c r="D280" s="16"/>
      <c r="E280" s="17"/>
      <c r="F280" s="17">
        <v>250</v>
      </c>
      <c r="G280" s="240">
        <f>SUM(F280:F286)</f>
        <v>874.92</v>
      </c>
      <c r="H280" s="273">
        <v>1758.4</v>
      </c>
      <c r="I280" s="273">
        <f>H280-G280</f>
        <v>883.48000000000013</v>
      </c>
      <c r="J280" s="241">
        <f>I280/H280</f>
        <v>0.50243403093721573</v>
      </c>
      <c r="L280" s="249"/>
      <c r="M280" s="244" t="s">
        <v>208</v>
      </c>
      <c r="N280" s="53" t="s">
        <v>35</v>
      </c>
      <c r="O280" s="16"/>
      <c r="P280" s="17"/>
      <c r="Q280" s="17">
        <v>250</v>
      </c>
      <c r="R280" s="240">
        <f>SUM(Q280:Q286)</f>
        <v>874.92</v>
      </c>
      <c r="S280" s="273">
        <v>1758.4</v>
      </c>
      <c r="T280" s="273">
        <f>S280-R280</f>
        <v>883.48000000000013</v>
      </c>
      <c r="U280" s="241">
        <f>T280/S280</f>
        <v>0.50243403093721573</v>
      </c>
    </row>
    <row r="281" spans="1:21" ht="13">
      <c r="A281" s="249"/>
      <c r="B281" s="245"/>
      <c r="C281" s="54" t="s">
        <v>209</v>
      </c>
      <c r="D281" s="19"/>
      <c r="E281" s="19"/>
      <c r="F281" s="17">
        <f>D281*E281</f>
        <v>0</v>
      </c>
      <c r="G281" s="236"/>
      <c r="H281" s="236"/>
      <c r="I281" s="236"/>
      <c r="J281" s="242"/>
      <c r="L281" s="249"/>
      <c r="M281" s="245"/>
      <c r="N281" s="54" t="s">
        <v>209</v>
      </c>
      <c r="O281" s="19"/>
      <c r="P281" s="19"/>
      <c r="Q281" s="17">
        <f>O281*P281</f>
        <v>0</v>
      </c>
      <c r="R281" s="236"/>
      <c r="S281" s="236"/>
      <c r="T281" s="236"/>
      <c r="U281" s="242"/>
    </row>
    <row r="282" spans="1:21" ht="13">
      <c r="A282" s="249"/>
      <c r="B282" s="245"/>
      <c r="C282" s="54" t="s">
        <v>44</v>
      </c>
      <c r="D282" s="19"/>
      <c r="E282" s="19"/>
      <c r="F282" s="17">
        <v>119.6</v>
      </c>
      <c r="G282" s="236"/>
      <c r="H282" s="236"/>
      <c r="I282" s="236"/>
      <c r="J282" s="242"/>
      <c r="L282" s="249"/>
      <c r="M282" s="245"/>
      <c r="N282" s="54" t="s">
        <v>44</v>
      </c>
      <c r="O282" s="19"/>
      <c r="P282" s="19"/>
      <c r="Q282" s="17">
        <v>119.6</v>
      </c>
      <c r="R282" s="236"/>
      <c r="S282" s="236"/>
      <c r="T282" s="236"/>
      <c r="U282" s="242"/>
    </row>
    <row r="283" spans="1:21" ht="13">
      <c r="A283" s="249"/>
      <c r="B283" s="245"/>
      <c r="C283" s="54" t="s">
        <v>210</v>
      </c>
      <c r="D283" s="19"/>
      <c r="E283" s="19"/>
      <c r="F283" s="17">
        <v>220</v>
      </c>
      <c r="G283" s="236"/>
      <c r="H283" s="236"/>
      <c r="I283" s="236"/>
      <c r="J283" s="242"/>
      <c r="L283" s="249"/>
      <c r="M283" s="245"/>
      <c r="N283" s="54" t="s">
        <v>210</v>
      </c>
      <c r="O283" s="19"/>
      <c r="P283" s="19"/>
      <c r="Q283" s="17">
        <v>220</v>
      </c>
      <c r="R283" s="236"/>
      <c r="S283" s="236"/>
      <c r="T283" s="236"/>
      <c r="U283" s="242"/>
    </row>
    <row r="284" spans="1:21" ht="13">
      <c r="A284" s="249"/>
      <c r="B284" s="245"/>
      <c r="C284" s="54" t="s">
        <v>47</v>
      </c>
      <c r="D284" s="19"/>
      <c r="E284" s="19"/>
      <c r="F284" s="17">
        <v>91.92</v>
      </c>
      <c r="G284" s="236"/>
      <c r="H284" s="236"/>
      <c r="I284" s="236"/>
      <c r="J284" s="242"/>
      <c r="L284" s="249"/>
      <c r="M284" s="245"/>
      <c r="N284" s="54" t="s">
        <v>47</v>
      </c>
      <c r="O284" s="19"/>
      <c r="P284" s="19"/>
      <c r="Q284" s="17">
        <v>91.92</v>
      </c>
      <c r="R284" s="236"/>
      <c r="S284" s="236"/>
      <c r="T284" s="236"/>
      <c r="U284" s="242"/>
    </row>
    <row r="285" spans="1:21" ht="13">
      <c r="A285" s="249"/>
      <c r="B285" s="245"/>
      <c r="C285" s="54" t="s">
        <v>45</v>
      </c>
      <c r="D285" s="19"/>
      <c r="E285" s="19"/>
      <c r="F285" s="17">
        <v>110</v>
      </c>
      <c r="G285" s="236"/>
      <c r="H285" s="236"/>
      <c r="I285" s="236"/>
      <c r="J285" s="242"/>
      <c r="L285" s="249"/>
      <c r="M285" s="245"/>
      <c r="N285" s="54" t="s">
        <v>45</v>
      </c>
      <c r="O285" s="19"/>
      <c r="P285" s="19"/>
      <c r="Q285" s="17">
        <v>110</v>
      </c>
      <c r="R285" s="236"/>
      <c r="S285" s="236"/>
      <c r="T285" s="236"/>
      <c r="U285" s="242"/>
    </row>
    <row r="286" spans="1:21" ht="13">
      <c r="A286" s="249"/>
      <c r="B286" s="246"/>
      <c r="C286" s="55" t="s">
        <v>153</v>
      </c>
      <c r="D286" s="20"/>
      <c r="E286" s="20"/>
      <c r="F286" s="21">
        <v>83.4</v>
      </c>
      <c r="G286" s="238"/>
      <c r="H286" s="238"/>
      <c r="I286" s="238"/>
      <c r="J286" s="243"/>
      <c r="L286" s="249"/>
      <c r="M286" s="246"/>
      <c r="N286" s="55" t="s">
        <v>153</v>
      </c>
      <c r="O286" s="20"/>
      <c r="P286" s="20"/>
      <c r="Q286" s="21">
        <v>83.4</v>
      </c>
      <c r="R286" s="238"/>
      <c r="S286" s="238"/>
      <c r="T286" s="238"/>
      <c r="U286" s="243"/>
    </row>
    <row r="287" spans="1:21" ht="13">
      <c r="A287" s="249"/>
      <c r="B287" s="244" t="s">
        <v>211</v>
      </c>
      <c r="C287" s="53" t="s">
        <v>114</v>
      </c>
      <c r="D287" s="16">
        <v>14</v>
      </c>
      <c r="E287" s="17">
        <v>18</v>
      </c>
      <c r="F287" s="17">
        <f t="shared" ref="F287:F288" si="56">D287*E287</f>
        <v>252</v>
      </c>
      <c r="G287" s="240">
        <f>SUM(F287:F293)</f>
        <v>896.33999999999992</v>
      </c>
      <c r="H287" s="273">
        <v>5844.42</v>
      </c>
      <c r="I287" s="273">
        <f>H287-G287</f>
        <v>4948.08</v>
      </c>
      <c r="J287" s="241">
        <f>I287/H287</f>
        <v>0.84663319884607879</v>
      </c>
      <c r="L287" s="249"/>
      <c r="M287" s="244" t="s">
        <v>211</v>
      </c>
      <c r="N287" s="53" t="s">
        <v>114</v>
      </c>
      <c r="O287" s="18"/>
      <c r="P287" s="18"/>
      <c r="Q287" s="18"/>
      <c r="R287" s="240">
        <f>SUM(Q287:Q293)</f>
        <v>644.33999999999992</v>
      </c>
      <c r="S287" s="273">
        <v>5844.42</v>
      </c>
      <c r="T287" s="273">
        <f>S287-R287</f>
        <v>5200.08</v>
      </c>
      <c r="U287" s="241">
        <f>T287/S287</f>
        <v>0.88975124991017074</v>
      </c>
    </row>
    <row r="288" spans="1:21" ht="13">
      <c r="A288" s="249"/>
      <c r="B288" s="245"/>
      <c r="C288" s="54" t="s">
        <v>64</v>
      </c>
      <c r="D288" s="19">
        <v>13</v>
      </c>
      <c r="E288" s="19">
        <v>17</v>
      </c>
      <c r="F288" s="17">
        <f t="shared" si="56"/>
        <v>221</v>
      </c>
      <c r="G288" s="236"/>
      <c r="H288" s="236"/>
      <c r="I288" s="236"/>
      <c r="J288" s="242"/>
      <c r="L288" s="249"/>
      <c r="M288" s="245"/>
      <c r="N288" s="54" t="s">
        <v>64</v>
      </c>
      <c r="O288" s="19">
        <v>13</v>
      </c>
      <c r="P288" s="19">
        <v>17</v>
      </c>
      <c r="Q288" s="17">
        <f>O288*P288</f>
        <v>221</v>
      </c>
      <c r="R288" s="236"/>
      <c r="S288" s="236"/>
      <c r="T288" s="236"/>
      <c r="U288" s="242"/>
    </row>
    <row r="289" spans="1:21" ht="13">
      <c r="A289" s="249"/>
      <c r="B289" s="245"/>
      <c r="C289" s="54" t="s">
        <v>153</v>
      </c>
      <c r="D289" s="19"/>
      <c r="E289" s="19"/>
      <c r="F289" s="17">
        <v>70</v>
      </c>
      <c r="G289" s="236"/>
      <c r="H289" s="236"/>
      <c r="I289" s="236"/>
      <c r="J289" s="242"/>
      <c r="L289" s="249"/>
      <c r="M289" s="245"/>
      <c r="N289" s="54" t="s">
        <v>153</v>
      </c>
      <c r="O289" s="19"/>
      <c r="P289" s="19"/>
      <c r="Q289" s="17">
        <v>70</v>
      </c>
      <c r="R289" s="236"/>
      <c r="S289" s="236"/>
      <c r="T289" s="236"/>
      <c r="U289" s="242"/>
    </row>
    <row r="290" spans="1:21" ht="13">
      <c r="A290" s="249"/>
      <c r="B290" s="245"/>
      <c r="C290" s="54" t="s">
        <v>45</v>
      </c>
      <c r="D290" s="19"/>
      <c r="E290" s="19"/>
      <c r="F290" s="17">
        <v>117</v>
      </c>
      <c r="G290" s="236"/>
      <c r="H290" s="236"/>
      <c r="I290" s="236"/>
      <c r="J290" s="242"/>
      <c r="L290" s="249"/>
      <c r="M290" s="245"/>
      <c r="N290" s="54" t="s">
        <v>45</v>
      </c>
      <c r="O290" s="19"/>
      <c r="P290" s="19"/>
      <c r="Q290" s="17">
        <v>117</v>
      </c>
      <c r="R290" s="236"/>
      <c r="S290" s="236"/>
      <c r="T290" s="236"/>
      <c r="U290" s="242"/>
    </row>
    <row r="291" spans="1:21" ht="13">
      <c r="A291" s="249"/>
      <c r="B291" s="245"/>
      <c r="C291" s="54" t="s">
        <v>212</v>
      </c>
      <c r="D291" s="19"/>
      <c r="E291" s="19"/>
      <c r="F291" s="24">
        <v>32.4</v>
      </c>
      <c r="G291" s="236"/>
      <c r="H291" s="236"/>
      <c r="I291" s="236"/>
      <c r="J291" s="242"/>
      <c r="L291" s="249"/>
      <c r="M291" s="245"/>
      <c r="N291" s="54" t="s">
        <v>212</v>
      </c>
      <c r="O291" s="19"/>
      <c r="P291" s="19"/>
      <c r="Q291" s="24">
        <v>32.4</v>
      </c>
      <c r="R291" s="236"/>
      <c r="S291" s="236"/>
      <c r="T291" s="236"/>
      <c r="U291" s="242"/>
    </row>
    <row r="292" spans="1:21" ht="13">
      <c r="A292" s="249"/>
      <c r="B292" s="245"/>
      <c r="C292" s="54" t="s">
        <v>33</v>
      </c>
      <c r="D292" s="19"/>
      <c r="E292" s="19"/>
      <c r="F292" s="17">
        <v>126.8</v>
      </c>
      <c r="G292" s="236"/>
      <c r="H292" s="236"/>
      <c r="I292" s="236"/>
      <c r="J292" s="242"/>
      <c r="L292" s="249"/>
      <c r="M292" s="245"/>
      <c r="N292" s="54" t="s">
        <v>33</v>
      </c>
      <c r="O292" s="19"/>
      <c r="P292" s="19"/>
      <c r="Q292" s="17">
        <v>126.8</v>
      </c>
      <c r="R292" s="236"/>
      <c r="S292" s="236"/>
      <c r="T292" s="236"/>
      <c r="U292" s="242"/>
    </row>
    <row r="293" spans="1:21" ht="13">
      <c r="A293" s="249"/>
      <c r="B293" s="246"/>
      <c r="C293" s="55" t="s">
        <v>47</v>
      </c>
      <c r="D293" s="20"/>
      <c r="E293" s="20"/>
      <c r="F293" s="21">
        <v>77.14</v>
      </c>
      <c r="G293" s="238"/>
      <c r="H293" s="238"/>
      <c r="I293" s="238"/>
      <c r="J293" s="243"/>
      <c r="L293" s="249"/>
      <c r="M293" s="246"/>
      <c r="N293" s="55" t="s">
        <v>47</v>
      </c>
      <c r="O293" s="20"/>
      <c r="P293" s="20"/>
      <c r="Q293" s="21">
        <v>77.14</v>
      </c>
      <c r="R293" s="238"/>
      <c r="S293" s="238"/>
      <c r="T293" s="238"/>
      <c r="U293" s="243"/>
    </row>
    <row r="294" spans="1:21" ht="13">
      <c r="A294" s="249"/>
      <c r="B294" s="244" t="s">
        <v>213</v>
      </c>
      <c r="C294" s="53" t="s">
        <v>55</v>
      </c>
      <c r="D294" s="16">
        <v>4.0999999999999996</v>
      </c>
      <c r="E294" s="17">
        <v>13</v>
      </c>
      <c r="F294" s="17">
        <f>D294*E294</f>
        <v>53.3</v>
      </c>
      <c r="G294" s="240">
        <f>SUM(F294:F295)</f>
        <v>117.16999999999999</v>
      </c>
      <c r="H294" s="273">
        <v>1965</v>
      </c>
      <c r="I294" s="273">
        <f>H294-G294</f>
        <v>1847.83</v>
      </c>
      <c r="J294" s="241">
        <f>I294/H294</f>
        <v>0.94037150127226454</v>
      </c>
      <c r="L294" s="249"/>
      <c r="M294" s="244" t="s">
        <v>213</v>
      </c>
      <c r="N294" s="53" t="s">
        <v>55</v>
      </c>
      <c r="O294" s="16">
        <v>4.0999999999999996</v>
      </c>
      <c r="P294" s="17">
        <v>13</v>
      </c>
      <c r="Q294" s="17">
        <f>O294*P294</f>
        <v>53.3</v>
      </c>
      <c r="R294" s="240">
        <f>SUM(Q294:Q295)</f>
        <v>117.16999999999999</v>
      </c>
      <c r="S294" s="273">
        <v>1965</v>
      </c>
      <c r="T294" s="273">
        <f>S294-R294</f>
        <v>1847.83</v>
      </c>
      <c r="U294" s="241">
        <f>T294/S294</f>
        <v>0.94037150127226454</v>
      </c>
    </row>
    <row r="295" spans="1:21" ht="13">
      <c r="A295" s="249"/>
      <c r="B295" s="246"/>
      <c r="C295" s="55" t="s">
        <v>33</v>
      </c>
      <c r="D295" s="20"/>
      <c r="E295" s="20"/>
      <c r="F295" s="21">
        <v>63.87</v>
      </c>
      <c r="G295" s="238"/>
      <c r="H295" s="238"/>
      <c r="I295" s="238"/>
      <c r="J295" s="243"/>
      <c r="L295" s="249"/>
      <c r="M295" s="246"/>
      <c r="N295" s="55" t="s">
        <v>33</v>
      </c>
      <c r="O295" s="20"/>
      <c r="P295" s="20"/>
      <c r="Q295" s="21">
        <v>63.87</v>
      </c>
      <c r="R295" s="238"/>
      <c r="S295" s="238"/>
      <c r="T295" s="238"/>
      <c r="U295" s="243"/>
    </row>
    <row r="296" spans="1:21" ht="13">
      <c r="A296" s="249"/>
      <c r="B296" s="244" t="s">
        <v>214</v>
      </c>
      <c r="C296" s="53" t="s">
        <v>114</v>
      </c>
      <c r="D296" s="16">
        <v>7</v>
      </c>
      <c r="E296" s="17">
        <v>18</v>
      </c>
      <c r="F296" s="17">
        <f>D296*E296</f>
        <v>126</v>
      </c>
      <c r="G296" s="240">
        <f>SUM(F296:F297)</f>
        <v>161.82</v>
      </c>
      <c r="H296" s="273">
        <v>1140</v>
      </c>
      <c r="I296" s="273">
        <f>H296-G296</f>
        <v>978.18000000000006</v>
      </c>
      <c r="J296" s="241">
        <f>I296/H296</f>
        <v>0.8580526315789474</v>
      </c>
      <c r="L296" s="249"/>
      <c r="M296" s="244" t="s">
        <v>214</v>
      </c>
      <c r="N296" s="53" t="s">
        <v>114</v>
      </c>
      <c r="O296" s="18"/>
      <c r="P296" s="18"/>
      <c r="Q296" s="18"/>
      <c r="R296" s="240">
        <f>SUM(Q296:Q297)</f>
        <v>35.82</v>
      </c>
      <c r="S296" s="273">
        <v>1140</v>
      </c>
      <c r="T296" s="273">
        <f>S296-R296</f>
        <v>1104.18</v>
      </c>
      <c r="U296" s="241">
        <f>T296/S296</f>
        <v>0.96857894736842109</v>
      </c>
    </row>
    <row r="297" spans="1:21" ht="13">
      <c r="A297" s="249"/>
      <c r="B297" s="246"/>
      <c r="C297" s="55" t="s">
        <v>33</v>
      </c>
      <c r="D297" s="20"/>
      <c r="E297" s="20"/>
      <c r="F297" s="21">
        <v>35.82</v>
      </c>
      <c r="G297" s="238"/>
      <c r="H297" s="238"/>
      <c r="I297" s="238"/>
      <c r="J297" s="243"/>
      <c r="L297" s="249"/>
      <c r="M297" s="246"/>
      <c r="N297" s="55" t="s">
        <v>33</v>
      </c>
      <c r="O297" s="20"/>
      <c r="P297" s="20"/>
      <c r="Q297" s="21">
        <v>35.82</v>
      </c>
      <c r="R297" s="238"/>
      <c r="S297" s="238"/>
      <c r="T297" s="238"/>
      <c r="U297" s="243"/>
    </row>
    <row r="298" spans="1:21" ht="13">
      <c r="A298" s="249"/>
      <c r="B298" s="244" t="s">
        <v>215</v>
      </c>
      <c r="C298" s="53" t="s">
        <v>216</v>
      </c>
      <c r="D298" s="16">
        <v>10.39</v>
      </c>
      <c r="E298" s="17">
        <v>17</v>
      </c>
      <c r="F298" s="17">
        <f t="shared" ref="F298:F299" si="57">D298*E298</f>
        <v>176.63</v>
      </c>
      <c r="G298" s="240">
        <f>SUM(F298:F303)</f>
        <v>1454.59</v>
      </c>
      <c r="H298" s="273">
        <v>3075</v>
      </c>
      <c r="I298" s="273">
        <f>H298-G298</f>
        <v>1620.41</v>
      </c>
      <c r="J298" s="241">
        <f>I298/H298</f>
        <v>0.52696260162601627</v>
      </c>
      <c r="L298" s="249"/>
      <c r="M298" s="244" t="s">
        <v>215</v>
      </c>
      <c r="N298" s="53" t="s">
        <v>216</v>
      </c>
      <c r="O298" s="16">
        <v>10.39</v>
      </c>
      <c r="P298" s="17">
        <v>17</v>
      </c>
      <c r="Q298" s="17">
        <f>O298*P298</f>
        <v>176.63</v>
      </c>
      <c r="R298" s="240">
        <f>SUM(Q298:Q303)</f>
        <v>1340.19</v>
      </c>
      <c r="S298" s="273">
        <v>3075</v>
      </c>
      <c r="T298" s="273">
        <f>S298-R298</f>
        <v>1734.81</v>
      </c>
      <c r="U298" s="241">
        <f>T298/S298</f>
        <v>0.56416585365853655</v>
      </c>
    </row>
    <row r="299" spans="1:21" ht="13">
      <c r="A299" s="249"/>
      <c r="B299" s="245"/>
      <c r="C299" s="54" t="s">
        <v>101</v>
      </c>
      <c r="D299" s="19">
        <v>8.8000000000000007</v>
      </c>
      <c r="E299" s="19">
        <v>13</v>
      </c>
      <c r="F299" s="17">
        <f t="shared" si="57"/>
        <v>114.4</v>
      </c>
      <c r="G299" s="236"/>
      <c r="H299" s="236"/>
      <c r="I299" s="236"/>
      <c r="J299" s="242"/>
      <c r="L299" s="249"/>
      <c r="M299" s="245"/>
      <c r="N299" s="54" t="s">
        <v>101</v>
      </c>
      <c r="O299" s="18"/>
      <c r="P299" s="18"/>
      <c r="Q299" s="18"/>
      <c r="R299" s="236"/>
      <c r="S299" s="236"/>
      <c r="T299" s="236"/>
      <c r="U299" s="242"/>
    </row>
    <row r="300" spans="1:21" ht="13">
      <c r="A300" s="249"/>
      <c r="B300" s="245"/>
      <c r="C300" s="54" t="s">
        <v>46</v>
      </c>
      <c r="D300" s="19"/>
      <c r="E300" s="19"/>
      <c r="F300" s="17">
        <v>229</v>
      </c>
      <c r="G300" s="236"/>
      <c r="H300" s="236"/>
      <c r="I300" s="236"/>
      <c r="J300" s="242"/>
      <c r="L300" s="249"/>
      <c r="M300" s="245"/>
      <c r="N300" s="54" t="s">
        <v>46</v>
      </c>
      <c r="O300" s="19"/>
      <c r="P300" s="19"/>
      <c r="Q300" s="17">
        <v>229</v>
      </c>
      <c r="R300" s="236"/>
      <c r="S300" s="236"/>
      <c r="T300" s="236"/>
      <c r="U300" s="242"/>
    </row>
    <row r="301" spans="1:21" ht="13">
      <c r="A301" s="249"/>
      <c r="B301" s="245"/>
      <c r="C301" s="54" t="s">
        <v>217</v>
      </c>
      <c r="D301" s="19"/>
      <c r="E301" s="19"/>
      <c r="F301" s="17">
        <v>70</v>
      </c>
      <c r="G301" s="236"/>
      <c r="H301" s="236"/>
      <c r="I301" s="236"/>
      <c r="J301" s="242"/>
      <c r="L301" s="249"/>
      <c r="M301" s="245"/>
      <c r="N301" s="54" t="s">
        <v>217</v>
      </c>
      <c r="O301" s="19"/>
      <c r="P301" s="19"/>
      <c r="Q301" s="17">
        <v>70</v>
      </c>
      <c r="R301" s="236"/>
      <c r="S301" s="236"/>
      <c r="T301" s="236"/>
      <c r="U301" s="242"/>
    </row>
    <row r="302" spans="1:21" ht="13">
      <c r="A302" s="249"/>
      <c r="B302" s="245"/>
      <c r="C302" s="54" t="s">
        <v>33</v>
      </c>
      <c r="D302" s="19"/>
      <c r="E302" s="19"/>
      <c r="F302" s="17">
        <v>737.4</v>
      </c>
      <c r="G302" s="236"/>
      <c r="H302" s="236"/>
      <c r="I302" s="236"/>
      <c r="J302" s="242"/>
      <c r="L302" s="249"/>
      <c r="M302" s="245"/>
      <c r="N302" s="54" t="s">
        <v>33</v>
      </c>
      <c r="O302" s="19"/>
      <c r="P302" s="19"/>
      <c r="Q302" s="17">
        <v>737.4</v>
      </c>
      <c r="R302" s="236"/>
      <c r="S302" s="236"/>
      <c r="T302" s="236"/>
      <c r="U302" s="242"/>
    </row>
    <row r="303" spans="1:21" ht="13">
      <c r="A303" s="249"/>
      <c r="B303" s="246"/>
      <c r="C303" s="55" t="s">
        <v>47</v>
      </c>
      <c r="D303" s="20"/>
      <c r="E303" s="20"/>
      <c r="F303" s="21">
        <v>127.16</v>
      </c>
      <c r="G303" s="238"/>
      <c r="H303" s="238"/>
      <c r="I303" s="238"/>
      <c r="J303" s="243"/>
      <c r="L303" s="249"/>
      <c r="M303" s="246"/>
      <c r="N303" s="55" t="s">
        <v>47</v>
      </c>
      <c r="O303" s="20"/>
      <c r="P303" s="20"/>
      <c r="Q303" s="21">
        <v>127.16</v>
      </c>
      <c r="R303" s="238"/>
      <c r="S303" s="238"/>
      <c r="T303" s="238"/>
      <c r="U303" s="243"/>
    </row>
    <row r="304" spans="1:21" ht="13">
      <c r="A304" s="249"/>
      <c r="B304" s="244" t="s">
        <v>218</v>
      </c>
      <c r="C304" s="53" t="s">
        <v>31</v>
      </c>
      <c r="D304" s="16">
        <v>12</v>
      </c>
      <c r="E304" s="17">
        <v>17</v>
      </c>
      <c r="F304" s="17">
        <f t="shared" ref="F304:F305" si="58">D304*E304</f>
        <v>204</v>
      </c>
      <c r="G304" s="240">
        <f>SUM(F304:F309)</f>
        <v>565.21999999999991</v>
      </c>
      <c r="H304" s="273">
        <v>2550</v>
      </c>
      <c r="I304" s="273">
        <f>H304-G304</f>
        <v>1984.7800000000002</v>
      </c>
      <c r="J304" s="241">
        <f>I304/H304</f>
        <v>0.77834509803921581</v>
      </c>
      <c r="L304" s="249"/>
      <c r="M304" s="244" t="s">
        <v>218</v>
      </c>
      <c r="N304" s="53" t="s">
        <v>31</v>
      </c>
      <c r="O304" s="16">
        <v>12</v>
      </c>
      <c r="P304" s="17">
        <v>17</v>
      </c>
      <c r="Q304" s="17">
        <f>O304*P304</f>
        <v>204</v>
      </c>
      <c r="R304" s="240">
        <f>SUM(Q304:Q309)</f>
        <v>453.21999999999991</v>
      </c>
      <c r="S304" s="273">
        <v>2550</v>
      </c>
      <c r="T304" s="273">
        <f>S304-R304</f>
        <v>2096.7800000000002</v>
      </c>
      <c r="U304" s="241">
        <f>T304/S304</f>
        <v>0.8222666666666667</v>
      </c>
    </row>
    <row r="305" spans="1:21" ht="13">
      <c r="A305" s="249"/>
      <c r="B305" s="245"/>
      <c r="C305" s="54" t="s">
        <v>23</v>
      </c>
      <c r="D305" s="19">
        <v>7</v>
      </c>
      <c r="E305" s="19">
        <v>16</v>
      </c>
      <c r="F305" s="17">
        <f t="shared" si="58"/>
        <v>112</v>
      </c>
      <c r="G305" s="236"/>
      <c r="H305" s="236"/>
      <c r="I305" s="236"/>
      <c r="J305" s="242"/>
      <c r="L305" s="249"/>
      <c r="M305" s="245"/>
      <c r="N305" s="54" t="s">
        <v>23</v>
      </c>
      <c r="O305" s="18"/>
      <c r="P305" s="18"/>
      <c r="Q305" s="18"/>
      <c r="R305" s="236"/>
      <c r="S305" s="236"/>
      <c r="T305" s="236"/>
      <c r="U305" s="242"/>
    </row>
    <row r="306" spans="1:21" ht="13">
      <c r="A306" s="249"/>
      <c r="B306" s="245"/>
      <c r="C306" s="54" t="s">
        <v>45</v>
      </c>
      <c r="D306" s="19"/>
      <c r="E306" s="19"/>
      <c r="F306" s="17">
        <v>148.66999999999999</v>
      </c>
      <c r="G306" s="236"/>
      <c r="H306" s="236"/>
      <c r="I306" s="236"/>
      <c r="J306" s="242"/>
      <c r="L306" s="249"/>
      <c r="M306" s="245"/>
      <c r="N306" s="54" t="s">
        <v>45</v>
      </c>
      <c r="O306" s="19"/>
      <c r="P306" s="19"/>
      <c r="Q306" s="17">
        <v>148.66999999999999</v>
      </c>
      <c r="R306" s="236"/>
      <c r="S306" s="236"/>
      <c r="T306" s="236"/>
      <c r="U306" s="242"/>
    </row>
    <row r="307" spans="1:21" ht="13">
      <c r="A307" s="249"/>
      <c r="B307" s="245"/>
      <c r="C307" s="54" t="s">
        <v>188</v>
      </c>
      <c r="D307" s="19"/>
      <c r="E307" s="19"/>
      <c r="F307" s="17">
        <v>48.65</v>
      </c>
      <c r="G307" s="236"/>
      <c r="H307" s="236"/>
      <c r="I307" s="236"/>
      <c r="J307" s="242"/>
      <c r="L307" s="249"/>
      <c r="M307" s="245"/>
      <c r="N307" s="54" t="s">
        <v>188</v>
      </c>
      <c r="O307" s="19"/>
      <c r="P307" s="19"/>
      <c r="Q307" s="17">
        <v>48.65</v>
      </c>
      <c r="R307" s="236"/>
      <c r="S307" s="236"/>
      <c r="T307" s="236"/>
      <c r="U307" s="242"/>
    </row>
    <row r="308" spans="1:21" ht="13">
      <c r="A308" s="249"/>
      <c r="B308" s="245"/>
      <c r="C308" s="54" t="s">
        <v>44</v>
      </c>
      <c r="D308" s="19"/>
      <c r="E308" s="19"/>
      <c r="F308" s="17">
        <v>51.9</v>
      </c>
      <c r="G308" s="236"/>
      <c r="H308" s="236"/>
      <c r="I308" s="236"/>
      <c r="J308" s="242"/>
      <c r="L308" s="249"/>
      <c r="M308" s="245"/>
      <c r="N308" s="54" t="s">
        <v>44</v>
      </c>
      <c r="O308" s="19"/>
      <c r="P308" s="19"/>
      <c r="Q308" s="17">
        <v>51.9</v>
      </c>
      <c r="R308" s="236"/>
      <c r="S308" s="236"/>
      <c r="T308" s="236"/>
      <c r="U308" s="242"/>
    </row>
    <row r="309" spans="1:21" ht="13">
      <c r="A309" s="249"/>
      <c r="B309" s="246"/>
      <c r="C309" s="55"/>
      <c r="D309" s="20"/>
      <c r="E309" s="20"/>
      <c r="F309" s="21"/>
      <c r="G309" s="238"/>
      <c r="H309" s="238"/>
      <c r="I309" s="238"/>
      <c r="J309" s="243"/>
      <c r="L309" s="249"/>
      <c r="M309" s="246"/>
      <c r="N309" s="55"/>
      <c r="O309" s="20"/>
      <c r="P309" s="20"/>
      <c r="Q309" s="21"/>
      <c r="R309" s="238"/>
      <c r="S309" s="238"/>
      <c r="T309" s="238"/>
      <c r="U309" s="243"/>
    </row>
    <row r="310" spans="1:21" ht="13">
      <c r="A310" s="249"/>
      <c r="B310" s="244" t="s">
        <v>219</v>
      </c>
      <c r="C310" s="54" t="s">
        <v>23</v>
      </c>
      <c r="D310" s="19">
        <v>7</v>
      </c>
      <c r="E310" s="19">
        <v>16</v>
      </c>
      <c r="F310" s="17">
        <f>D310*E310</f>
        <v>112</v>
      </c>
      <c r="G310" s="240">
        <f>SUM(F310:F315)</f>
        <v>727.92</v>
      </c>
      <c r="H310" s="273">
        <v>2159.14</v>
      </c>
      <c r="I310" s="273">
        <f>H310-G310</f>
        <v>1431.2199999999998</v>
      </c>
      <c r="J310" s="241">
        <f>I310/H310</f>
        <v>0.66286577063089924</v>
      </c>
      <c r="L310" s="249"/>
      <c r="M310" s="244" t="s">
        <v>219</v>
      </c>
      <c r="N310" s="54" t="s">
        <v>23</v>
      </c>
      <c r="O310" s="18"/>
      <c r="P310" s="18"/>
      <c r="Q310" s="18"/>
      <c r="R310" s="240">
        <f>SUM(Q310:Q315)</f>
        <v>615.91999999999996</v>
      </c>
      <c r="S310" s="273">
        <v>2159.14</v>
      </c>
      <c r="T310" s="273">
        <f>S310-R310</f>
        <v>1543.2199999999998</v>
      </c>
      <c r="U310" s="241">
        <f>T310/S310</f>
        <v>0.71473827542447455</v>
      </c>
    </row>
    <row r="311" spans="1:21" ht="13">
      <c r="A311" s="249"/>
      <c r="B311" s="246"/>
      <c r="C311" s="55"/>
      <c r="D311" s="20"/>
      <c r="E311" s="20"/>
      <c r="F311" s="21"/>
      <c r="G311" s="238"/>
      <c r="H311" s="238"/>
      <c r="I311" s="238"/>
      <c r="J311" s="243"/>
      <c r="L311" s="249"/>
      <c r="M311" s="246"/>
      <c r="N311" s="55"/>
      <c r="O311" s="20"/>
      <c r="P311" s="20"/>
      <c r="Q311" s="21"/>
      <c r="R311" s="238"/>
      <c r="S311" s="238"/>
      <c r="T311" s="238"/>
      <c r="U311" s="243"/>
    </row>
    <row r="312" spans="1:21" ht="13">
      <c r="A312" s="249"/>
      <c r="B312" s="244" t="s">
        <v>220</v>
      </c>
      <c r="C312" s="54" t="s">
        <v>31</v>
      </c>
      <c r="D312" s="19">
        <v>9.76</v>
      </c>
      <c r="E312" s="19">
        <v>17</v>
      </c>
      <c r="F312" s="17">
        <f>D312*E312</f>
        <v>165.92</v>
      </c>
      <c r="G312" s="240">
        <f>F312</f>
        <v>165.92</v>
      </c>
      <c r="H312" s="273">
        <v>700</v>
      </c>
      <c r="I312" s="273">
        <f>H312-G312</f>
        <v>534.08000000000004</v>
      </c>
      <c r="J312" s="241">
        <f>I312/H312</f>
        <v>0.76297142857142863</v>
      </c>
      <c r="L312" s="249"/>
      <c r="M312" s="244" t="s">
        <v>220</v>
      </c>
      <c r="N312" s="54" t="s">
        <v>31</v>
      </c>
      <c r="O312" s="19">
        <v>9.76</v>
      </c>
      <c r="P312" s="19">
        <v>17</v>
      </c>
      <c r="Q312" s="17">
        <f>O312*P312</f>
        <v>165.92</v>
      </c>
      <c r="R312" s="240">
        <f>SUM(Q312:Q317)</f>
        <v>885.92</v>
      </c>
      <c r="S312" s="273">
        <v>700</v>
      </c>
      <c r="T312" s="273">
        <f>S312-R312</f>
        <v>-185.91999999999996</v>
      </c>
      <c r="U312" s="241">
        <f>T312/S312</f>
        <v>-0.26559999999999995</v>
      </c>
    </row>
    <row r="313" spans="1:21" ht="13">
      <c r="A313" s="249"/>
      <c r="B313" s="246"/>
      <c r="C313" s="55"/>
      <c r="D313" s="20"/>
      <c r="E313" s="20"/>
      <c r="F313" s="21"/>
      <c r="G313" s="238"/>
      <c r="H313" s="238"/>
      <c r="I313" s="238"/>
      <c r="J313" s="243"/>
      <c r="L313" s="249"/>
      <c r="M313" s="246"/>
      <c r="N313" s="55"/>
      <c r="O313" s="20"/>
      <c r="P313" s="20"/>
      <c r="Q313" s="21"/>
      <c r="R313" s="238"/>
      <c r="S313" s="238"/>
      <c r="T313" s="238"/>
      <c r="U313" s="243"/>
    </row>
    <row r="314" spans="1:21" ht="13">
      <c r="A314" s="249"/>
      <c r="B314" s="244" t="s">
        <v>221</v>
      </c>
      <c r="C314" s="15" t="s">
        <v>146</v>
      </c>
      <c r="D314" s="16">
        <v>15</v>
      </c>
      <c r="E314" s="17">
        <v>15</v>
      </c>
      <c r="F314" s="17">
        <f t="shared" ref="F314:F318" si="59">D314*E314</f>
        <v>225</v>
      </c>
      <c r="G314" s="240">
        <f>SUM(F314:F317)</f>
        <v>720</v>
      </c>
      <c r="H314" s="273">
        <v>2860</v>
      </c>
      <c r="I314" s="273">
        <f>H314-G314</f>
        <v>2140</v>
      </c>
      <c r="J314" s="241">
        <f>I314/H314</f>
        <v>0.74825174825174823</v>
      </c>
      <c r="L314" s="249"/>
      <c r="M314" s="244" t="s">
        <v>221</v>
      </c>
      <c r="N314" s="15" t="s">
        <v>146</v>
      </c>
      <c r="O314" s="16">
        <v>15</v>
      </c>
      <c r="P314" s="17">
        <v>15</v>
      </c>
      <c r="Q314" s="17">
        <f t="shared" ref="Q314:Q318" si="60">O314*P314</f>
        <v>225</v>
      </c>
      <c r="R314" s="240">
        <f>SUM(Q314:Q317)</f>
        <v>720</v>
      </c>
      <c r="S314" s="273">
        <v>2860</v>
      </c>
      <c r="T314" s="273">
        <f>S314-R314</f>
        <v>2140</v>
      </c>
      <c r="U314" s="241">
        <f>T314/S314</f>
        <v>0.74825174825174823</v>
      </c>
    </row>
    <row r="315" spans="1:21" ht="13">
      <c r="A315" s="249"/>
      <c r="B315" s="245"/>
      <c r="C315" s="19" t="s">
        <v>147</v>
      </c>
      <c r="D315" s="17">
        <v>15</v>
      </c>
      <c r="E315" s="17">
        <v>15</v>
      </c>
      <c r="F315" s="17">
        <f t="shared" si="59"/>
        <v>225</v>
      </c>
      <c r="G315" s="236"/>
      <c r="H315" s="236"/>
      <c r="I315" s="236"/>
      <c r="J315" s="242"/>
      <c r="L315" s="249"/>
      <c r="M315" s="245"/>
      <c r="N315" s="19" t="s">
        <v>147</v>
      </c>
      <c r="O315" s="17">
        <v>15</v>
      </c>
      <c r="P315" s="17">
        <v>15</v>
      </c>
      <c r="Q315" s="17">
        <f t="shared" si="60"/>
        <v>225</v>
      </c>
      <c r="R315" s="236"/>
      <c r="S315" s="236"/>
      <c r="T315" s="236"/>
      <c r="U315" s="242"/>
    </row>
    <row r="316" spans="1:21" ht="13">
      <c r="A316" s="249"/>
      <c r="B316" s="245"/>
      <c r="C316" s="19" t="s">
        <v>222</v>
      </c>
      <c r="D316" s="17">
        <v>12</v>
      </c>
      <c r="E316" s="17">
        <v>15</v>
      </c>
      <c r="F316" s="17">
        <f t="shared" si="59"/>
        <v>180</v>
      </c>
      <c r="G316" s="236"/>
      <c r="H316" s="236"/>
      <c r="I316" s="236"/>
      <c r="J316" s="242"/>
      <c r="L316" s="249"/>
      <c r="M316" s="245"/>
      <c r="N316" s="19" t="s">
        <v>222</v>
      </c>
      <c r="O316" s="17">
        <v>12</v>
      </c>
      <c r="P316" s="17">
        <v>15</v>
      </c>
      <c r="Q316" s="17">
        <f t="shared" si="60"/>
        <v>180</v>
      </c>
      <c r="R316" s="236"/>
      <c r="S316" s="236"/>
      <c r="T316" s="236"/>
      <c r="U316" s="242"/>
    </row>
    <row r="317" spans="1:21" ht="13">
      <c r="A317" s="249"/>
      <c r="B317" s="246"/>
      <c r="C317" s="44" t="s">
        <v>106</v>
      </c>
      <c r="D317" s="21">
        <v>6</v>
      </c>
      <c r="E317" s="21">
        <v>15</v>
      </c>
      <c r="F317" s="21">
        <f t="shared" si="59"/>
        <v>90</v>
      </c>
      <c r="G317" s="238"/>
      <c r="H317" s="238"/>
      <c r="I317" s="238"/>
      <c r="J317" s="243"/>
      <c r="L317" s="249"/>
      <c r="M317" s="246"/>
      <c r="N317" s="44" t="s">
        <v>106</v>
      </c>
      <c r="O317" s="21">
        <v>6</v>
      </c>
      <c r="P317" s="21">
        <v>15</v>
      </c>
      <c r="Q317" s="21">
        <f t="shared" si="60"/>
        <v>90</v>
      </c>
      <c r="R317" s="238"/>
      <c r="S317" s="238"/>
      <c r="T317" s="238"/>
      <c r="U317" s="243"/>
    </row>
    <row r="318" spans="1:21" ht="13">
      <c r="A318" s="249"/>
      <c r="B318" s="244" t="s">
        <v>223</v>
      </c>
      <c r="C318" s="64" t="s">
        <v>224</v>
      </c>
      <c r="D318" s="50">
        <v>30</v>
      </c>
      <c r="E318" s="50">
        <v>17</v>
      </c>
      <c r="F318" s="65">
        <f t="shared" si="59"/>
        <v>510</v>
      </c>
      <c r="G318" s="240">
        <f>SUM(F318:F332)</f>
        <v>6756.9000000000005</v>
      </c>
      <c r="H318" s="237">
        <v>13464.12</v>
      </c>
      <c r="I318" s="237">
        <f>H318-G318</f>
        <v>6707.22</v>
      </c>
      <c r="J318" s="241">
        <f>I318/H318</f>
        <v>0.4981550966568925</v>
      </c>
      <c r="L318" s="249"/>
      <c r="M318" s="244" t="s">
        <v>223</v>
      </c>
      <c r="N318" s="64" t="s">
        <v>224</v>
      </c>
      <c r="O318" s="50">
        <v>30</v>
      </c>
      <c r="P318" s="50">
        <v>17</v>
      </c>
      <c r="Q318" s="65">
        <f t="shared" si="60"/>
        <v>510</v>
      </c>
      <c r="R318" s="240">
        <f>SUM(Q318:Q332)</f>
        <v>6756.9000000000005</v>
      </c>
      <c r="S318" s="237">
        <v>13464.12</v>
      </c>
      <c r="T318" s="237">
        <f>S318-R318</f>
        <v>6707.22</v>
      </c>
      <c r="U318" s="241">
        <f>T318/S318</f>
        <v>0.4981550966568925</v>
      </c>
    </row>
    <row r="319" spans="1:21" ht="13">
      <c r="A319" s="249"/>
      <c r="B319" s="245"/>
      <c r="C319" s="22" t="s">
        <v>225</v>
      </c>
      <c r="D319" s="23"/>
      <c r="E319" s="23"/>
      <c r="F319" s="23">
        <v>222</v>
      </c>
      <c r="G319" s="236"/>
      <c r="H319" s="236"/>
      <c r="I319" s="236"/>
      <c r="J319" s="242"/>
      <c r="L319" s="249"/>
      <c r="M319" s="245"/>
      <c r="N319" s="22" t="s">
        <v>225</v>
      </c>
      <c r="O319" s="23"/>
      <c r="P319" s="23"/>
      <c r="Q319" s="23">
        <v>222</v>
      </c>
      <c r="R319" s="236"/>
      <c r="S319" s="236"/>
      <c r="T319" s="236"/>
      <c r="U319" s="242"/>
    </row>
    <row r="320" spans="1:21" ht="13">
      <c r="A320" s="249"/>
      <c r="B320" s="245"/>
      <c r="C320" s="22" t="s">
        <v>209</v>
      </c>
      <c r="D320" s="23">
        <v>23.68</v>
      </c>
      <c r="E320" s="23">
        <v>17</v>
      </c>
      <c r="F320" s="23">
        <f t="shared" ref="F320:F328" si="61">D320*E320</f>
        <v>402.56</v>
      </c>
      <c r="G320" s="236"/>
      <c r="H320" s="236"/>
      <c r="I320" s="236"/>
      <c r="J320" s="242"/>
      <c r="L320" s="249"/>
      <c r="M320" s="245"/>
      <c r="N320" s="22" t="s">
        <v>209</v>
      </c>
      <c r="O320" s="23">
        <v>23.68</v>
      </c>
      <c r="P320" s="23">
        <v>17</v>
      </c>
      <c r="Q320" s="23">
        <f t="shared" ref="Q320:Q328" si="62">O320*P320</f>
        <v>402.56</v>
      </c>
      <c r="R320" s="236"/>
      <c r="S320" s="236"/>
      <c r="T320" s="236"/>
      <c r="U320" s="242"/>
    </row>
    <row r="321" spans="1:21" ht="13">
      <c r="A321" s="249"/>
      <c r="B321" s="245"/>
      <c r="C321" s="22" t="s">
        <v>226</v>
      </c>
      <c r="D321" s="23">
        <v>35.19</v>
      </c>
      <c r="E321" s="23">
        <v>13</v>
      </c>
      <c r="F321" s="23">
        <f t="shared" si="61"/>
        <v>457.46999999999997</v>
      </c>
      <c r="G321" s="236"/>
      <c r="H321" s="236"/>
      <c r="I321" s="236"/>
      <c r="J321" s="242"/>
      <c r="L321" s="249"/>
      <c r="M321" s="245"/>
      <c r="N321" s="22" t="s">
        <v>226</v>
      </c>
      <c r="O321" s="23">
        <v>35.19</v>
      </c>
      <c r="P321" s="23">
        <v>13</v>
      </c>
      <c r="Q321" s="23">
        <f t="shared" si="62"/>
        <v>457.46999999999997</v>
      </c>
      <c r="R321" s="236"/>
      <c r="S321" s="236"/>
      <c r="T321" s="236"/>
      <c r="U321" s="242"/>
    </row>
    <row r="322" spans="1:21" ht="13">
      <c r="A322" s="249"/>
      <c r="B322" s="245"/>
      <c r="C322" s="22" t="s">
        <v>227</v>
      </c>
      <c r="D322" s="23">
        <v>23.35</v>
      </c>
      <c r="E322" s="23">
        <v>13</v>
      </c>
      <c r="F322" s="23">
        <f t="shared" si="61"/>
        <v>303.55</v>
      </c>
      <c r="G322" s="236"/>
      <c r="H322" s="236"/>
      <c r="I322" s="236"/>
      <c r="J322" s="242"/>
      <c r="L322" s="249"/>
      <c r="M322" s="245"/>
      <c r="N322" s="22" t="s">
        <v>227</v>
      </c>
      <c r="O322" s="23">
        <v>23.35</v>
      </c>
      <c r="P322" s="23">
        <v>13</v>
      </c>
      <c r="Q322" s="23">
        <f t="shared" si="62"/>
        <v>303.55</v>
      </c>
      <c r="R322" s="236"/>
      <c r="S322" s="236"/>
      <c r="T322" s="236"/>
      <c r="U322" s="242"/>
    </row>
    <row r="323" spans="1:21" ht="13">
      <c r="A323" s="249"/>
      <c r="B323" s="245"/>
      <c r="C323" s="22" t="s">
        <v>228</v>
      </c>
      <c r="D323" s="23">
        <v>23.68</v>
      </c>
      <c r="E323" s="23">
        <v>13</v>
      </c>
      <c r="F323" s="23">
        <f t="shared" si="61"/>
        <v>307.83999999999997</v>
      </c>
      <c r="G323" s="236"/>
      <c r="H323" s="236"/>
      <c r="I323" s="236"/>
      <c r="J323" s="242"/>
      <c r="L323" s="249"/>
      <c r="M323" s="245"/>
      <c r="N323" s="22" t="s">
        <v>228</v>
      </c>
      <c r="O323" s="23">
        <v>23.68</v>
      </c>
      <c r="P323" s="23">
        <v>13</v>
      </c>
      <c r="Q323" s="23">
        <f t="shared" si="62"/>
        <v>307.83999999999997</v>
      </c>
      <c r="R323" s="236"/>
      <c r="S323" s="236"/>
      <c r="T323" s="236"/>
      <c r="U323" s="242"/>
    </row>
    <row r="324" spans="1:21" ht="13">
      <c r="A324" s="249"/>
      <c r="B324" s="245"/>
      <c r="C324" s="22" t="s">
        <v>229</v>
      </c>
      <c r="D324" s="23">
        <v>26.97</v>
      </c>
      <c r="E324" s="23">
        <v>13</v>
      </c>
      <c r="F324" s="23">
        <f t="shared" si="61"/>
        <v>350.61</v>
      </c>
      <c r="G324" s="236"/>
      <c r="H324" s="236"/>
      <c r="I324" s="236"/>
      <c r="J324" s="242"/>
      <c r="L324" s="249"/>
      <c r="M324" s="245"/>
      <c r="N324" s="22" t="s">
        <v>229</v>
      </c>
      <c r="O324" s="23">
        <v>26.97</v>
      </c>
      <c r="P324" s="23">
        <v>13</v>
      </c>
      <c r="Q324" s="23">
        <f t="shared" si="62"/>
        <v>350.61</v>
      </c>
      <c r="R324" s="236"/>
      <c r="S324" s="236"/>
      <c r="T324" s="236"/>
      <c r="U324" s="242"/>
    </row>
    <row r="325" spans="1:21" ht="13">
      <c r="A325" s="249"/>
      <c r="B325" s="245"/>
      <c r="C325" s="24" t="s">
        <v>230</v>
      </c>
      <c r="D325" s="23">
        <v>32.17</v>
      </c>
      <c r="E325" s="23">
        <v>13</v>
      </c>
      <c r="F325" s="23">
        <f t="shared" si="61"/>
        <v>418.21000000000004</v>
      </c>
      <c r="G325" s="236"/>
      <c r="H325" s="236"/>
      <c r="I325" s="236"/>
      <c r="J325" s="242"/>
      <c r="L325" s="249"/>
      <c r="M325" s="245"/>
      <c r="N325" s="24" t="s">
        <v>230</v>
      </c>
      <c r="O325" s="23">
        <v>32.17</v>
      </c>
      <c r="P325" s="23">
        <v>13</v>
      </c>
      <c r="Q325" s="23">
        <f t="shared" si="62"/>
        <v>418.21000000000004</v>
      </c>
      <c r="R325" s="236"/>
      <c r="S325" s="236"/>
      <c r="T325" s="236"/>
      <c r="U325" s="242"/>
    </row>
    <row r="326" spans="1:21" ht="13">
      <c r="A326" s="249"/>
      <c r="B326" s="245"/>
      <c r="C326" s="22" t="s">
        <v>231</v>
      </c>
      <c r="D326" s="23">
        <v>7.5</v>
      </c>
      <c r="E326" s="23">
        <v>13</v>
      </c>
      <c r="F326" s="23">
        <f t="shared" si="61"/>
        <v>97.5</v>
      </c>
      <c r="G326" s="236"/>
      <c r="H326" s="236"/>
      <c r="I326" s="236"/>
      <c r="J326" s="242"/>
      <c r="L326" s="249"/>
      <c r="M326" s="245"/>
      <c r="N326" s="22" t="s">
        <v>231</v>
      </c>
      <c r="O326" s="23">
        <v>7.5</v>
      </c>
      <c r="P326" s="23">
        <v>13</v>
      </c>
      <c r="Q326" s="23">
        <f t="shared" si="62"/>
        <v>97.5</v>
      </c>
      <c r="R326" s="236"/>
      <c r="S326" s="236"/>
      <c r="T326" s="236"/>
      <c r="U326" s="242"/>
    </row>
    <row r="327" spans="1:21" ht="13">
      <c r="A327" s="249"/>
      <c r="B327" s="245"/>
      <c r="C327" s="22" t="s">
        <v>63</v>
      </c>
      <c r="D327" s="23">
        <v>26.34</v>
      </c>
      <c r="E327" s="23">
        <v>13</v>
      </c>
      <c r="F327" s="23">
        <f t="shared" si="61"/>
        <v>342.42</v>
      </c>
      <c r="G327" s="236"/>
      <c r="H327" s="236"/>
      <c r="I327" s="236"/>
      <c r="J327" s="242"/>
      <c r="L327" s="249"/>
      <c r="M327" s="245"/>
      <c r="N327" s="22" t="s">
        <v>63</v>
      </c>
      <c r="O327" s="23">
        <v>26.34</v>
      </c>
      <c r="P327" s="23">
        <v>13</v>
      </c>
      <c r="Q327" s="23">
        <f t="shared" si="62"/>
        <v>342.42</v>
      </c>
      <c r="R327" s="236"/>
      <c r="S327" s="236"/>
      <c r="T327" s="236"/>
      <c r="U327" s="242"/>
    </row>
    <row r="328" spans="1:21" ht="13">
      <c r="A328" s="249"/>
      <c r="B328" s="245"/>
      <c r="C328" s="24" t="s">
        <v>57</v>
      </c>
      <c r="D328" s="23">
        <v>7.1</v>
      </c>
      <c r="E328" s="23">
        <v>17</v>
      </c>
      <c r="F328" s="23">
        <f t="shared" si="61"/>
        <v>120.69999999999999</v>
      </c>
      <c r="G328" s="236"/>
      <c r="H328" s="236"/>
      <c r="I328" s="236"/>
      <c r="J328" s="242"/>
      <c r="L328" s="249"/>
      <c r="M328" s="245"/>
      <c r="N328" s="24" t="s">
        <v>57</v>
      </c>
      <c r="O328" s="23">
        <v>7.1</v>
      </c>
      <c r="P328" s="23">
        <v>17</v>
      </c>
      <c r="Q328" s="23">
        <f t="shared" si="62"/>
        <v>120.69999999999999</v>
      </c>
      <c r="R328" s="236"/>
      <c r="S328" s="236"/>
      <c r="T328" s="236"/>
      <c r="U328" s="242"/>
    </row>
    <row r="329" spans="1:21" ht="13">
      <c r="A329" s="249"/>
      <c r="B329" s="245"/>
      <c r="C329" s="22" t="s">
        <v>45</v>
      </c>
      <c r="D329" s="23"/>
      <c r="E329" s="23"/>
      <c r="F329" s="23">
        <v>127.67</v>
      </c>
      <c r="G329" s="236"/>
      <c r="H329" s="236"/>
      <c r="I329" s="236"/>
      <c r="J329" s="242"/>
      <c r="L329" s="249"/>
      <c r="M329" s="245"/>
      <c r="N329" s="22" t="s">
        <v>45</v>
      </c>
      <c r="O329" s="23"/>
      <c r="P329" s="23"/>
      <c r="Q329" s="23">
        <v>127.67</v>
      </c>
      <c r="R329" s="236"/>
      <c r="S329" s="236"/>
      <c r="T329" s="236"/>
      <c r="U329" s="242"/>
    </row>
    <row r="330" spans="1:21" ht="13">
      <c r="A330" s="249"/>
      <c r="B330" s="245"/>
      <c r="C330" s="22" t="s">
        <v>33</v>
      </c>
      <c r="D330" s="23"/>
      <c r="E330" s="23"/>
      <c r="F330" s="23">
        <v>2820</v>
      </c>
      <c r="G330" s="236"/>
      <c r="H330" s="236"/>
      <c r="I330" s="236"/>
      <c r="J330" s="242"/>
      <c r="L330" s="249"/>
      <c r="M330" s="245"/>
      <c r="N330" s="22" t="s">
        <v>33</v>
      </c>
      <c r="O330" s="23"/>
      <c r="P330" s="23"/>
      <c r="Q330" s="23">
        <v>2820</v>
      </c>
      <c r="R330" s="236"/>
      <c r="S330" s="236"/>
      <c r="T330" s="236"/>
      <c r="U330" s="242"/>
    </row>
    <row r="331" spans="1:21" ht="13">
      <c r="A331" s="249"/>
      <c r="B331" s="245"/>
      <c r="C331" s="22" t="s">
        <v>48</v>
      </c>
      <c r="D331" s="23"/>
      <c r="E331" s="23"/>
      <c r="F331" s="23">
        <v>38.97</v>
      </c>
      <c r="G331" s="236"/>
      <c r="H331" s="236"/>
      <c r="I331" s="236"/>
      <c r="J331" s="242"/>
      <c r="L331" s="249"/>
      <c r="M331" s="245"/>
      <c r="N331" s="22" t="s">
        <v>48</v>
      </c>
      <c r="O331" s="23"/>
      <c r="P331" s="23"/>
      <c r="Q331" s="23">
        <v>38.97</v>
      </c>
      <c r="R331" s="236"/>
      <c r="S331" s="236"/>
      <c r="T331" s="236"/>
      <c r="U331" s="242"/>
    </row>
    <row r="332" spans="1:21" ht="13">
      <c r="A332" s="249"/>
      <c r="B332" s="246"/>
      <c r="C332" s="25" t="s">
        <v>155</v>
      </c>
      <c r="D332" s="26"/>
      <c r="E332" s="26"/>
      <c r="F332" s="26">
        <v>237.4</v>
      </c>
      <c r="G332" s="238"/>
      <c r="H332" s="238"/>
      <c r="I332" s="238"/>
      <c r="J332" s="243"/>
      <c r="L332" s="249"/>
      <c r="M332" s="246"/>
      <c r="N332" s="25" t="s">
        <v>155</v>
      </c>
      <c r="O332" s="26"/>
      <c r="P332" s="26"/>
      <c r="Q332" s="26">
        <v>237.4</v>
      </c>
      <c r="R332" s="238"/>
      <c r="S332" s="238"/>
      <c r="T332" s="238"/>
      <c r="U332" s="243"/>
    </row>
    <row r="333" spans="1:21" ht="13">
      <c r="A333" s="249"/>
      <c r="B333" s="244" t="s">
        <v>232</v>
      </c>
      <c r="C333" s="15" t="s">
        <v>23</v>
      </c>
      <c r="D333" s="16">
        <v>14</v>
      </c>
      <c r="E333" s="17">
        <v>16</v>
      </c>
      <c r="F333" s="17">
        <f t="shared" ref="F333:F334" si="63">D333*E333</f>
        <v>224</v>
      </c>
      <c r="G333" s="240">
        <f>SUM(F333:F338)</f>
        <v>895.56</v>
      </c>
      <c r="H333" s="273">
        <v>3503.92</v>
      </c>
      <c r="I333" s="273">
        <f>H333-G333</f>
        <v>2608.36</v>
      </c>
      <c r="J333" s="241">
        <f>I333/H333</f>
        <v>0.74441197287609306</v>
      </c>
      <c r="L333" s="249"/>
      <c r="M333" s="244" t="s">
        <v>232</v>
      </c>
      <c r="N333" s="15" t="s">
        <v>23</v>
      </c>
      <c r="O333" s="16">
        <v>14</v>
      </c>
      <c r="P333" s="17">
        <v>16</v>
      </c>
      <c r="Q333" s="17">
        <f t="shared" ref="Q333:Q334" si="64">O333*P333</f>
        <v>224</v>
      </c>
      <c r="R333" s="240">
        <f>SUM(Q333:Q338)</f>
        <v>895.56</v>
      </c>
      <c r="S333" s="273">
        <v>3503.92</v>
      </c>
      <c r="T333" s="273">
        <f>S333-R333</f>
        <v>2608.36</v>
      </c>
      <c r="U333" s="241">
        <f>T333/S333</f>
        <v>0.74441197287609306</v>
      </c>
    </row>
    <row r="334" spans="1:21" ht="13">
      <c r="A334" s="249"/>
      <c r="B334" s="245"/>
      <c r="C334" s="19" t="s">
        <v>57</v>
      </c>
      <c r="D334" s="17">
        <v>18</v>
      </c>
      <c r="E334" s="17">
        <v>17</v>
      </c>
      <c r="F334" s="17">
        <f t="shared" si="63"/>
        <v>306</v>
      </c>
      <c r="G334" s="236"/>
      <c r="H334" s="236"/>
      <c r="I334" s="236"/>
      <c r="J334" s="242"/>
      <c r="L334" s="249"/>
      <c r="M334" s="245"/>
      <c r="N334" s="19" t="s">
        <v>57</v>
      </c>
      <c r="O334" s="17">
        <v>18</v>
      </c>
      <c r="P334" s="17">
        <v>17</v>
      </c>
      <c r="Q334" s="17">
        <f t="shared" si="64"/>
        <v>306</v>
      </c>
      <c r="R334" s="236"/>
      <c r="S334" s="236"/>
      <c r="T334" s="236"/>
      <c r="U334" s="242"/>
    </row>
    <row r="335" spans="1:21" ht="13">
      <c r="A335" s="249"/>
      <c r="B335" s="245"/>
      <c r="C335" s="19" t="s">
        <v>44</v>
      </c>
      <c r="D335" s="17"/>
      <c r="E335" s="17"/>
      <c r="F335" s="17">
        <v>69.3</v>
      </c>
      <c r="G335" s="236"/>
      <c r="H335" s="236"/>
      <c r="I335" s="236"/>
      <c r="J335" s="242"/>
      <c r="L335" s="249"/>
      <c r="M335" s="245"/>
      <c r="N335" s="19" t="s">
        <v>44</v>
      </c>
      <c r="O335" s="17"/>
      <c r="P335" s="17"/>
      <c r="Q335" s="17">
        <v>69.3</v>
      </c>
      <c r="R335" s="236"/>
      <c r="S335" s="236"/>
      <c r="T335" s="236"/>
      <c r="U335" s="242"/>
    </row>
    <row r="336" spans="1:21" ht="13">
      <c r="A336" s="249"/>
      <c r="B336" s="245"/>
      <c r="C336" s="19" t="s">
        <v>45</v>
      </c>
      <c r="D336" s="17"/>
      <c r="E336" s="17"/>
      <c r="F336" s="17">
        <v>120</v>
      </c>
      <c r="G336" s="236"/>
      <c r="H336" s="236"/>
      <c r="I336" s="236"/>
      <c r="J336" s="242"/>
      <c r="L336" s="249"/>
      <c r="M336" s="245"/>
      <c r="N336" s="19" t="s">
        <v>45</v>
      </c>
      <c r="O336" s="17"/>
      <c r="P336" s="17"/>
      <c r="Q336" s="17">
        <v>120</v>
      </c>
      <c r="R336" s="236"/>
      <c r="S336" s="236"/>
      <c r="T336" s="236"/>
      <c r="U336" s="242"/>
    </row>
    <row r="337" spans="1:21" ht="13">
      <c r="A337" s="249"/>
      <c r="B337" s="245"/>
      <c r="C337" s="19" t="s">
        <v>153</v>
      </c>
      <c r="D337" s="17"/>
      <c r="E337" s="17"/>
      <c r="F337" s="17">
        <v>56.26</v>
      </c>
      <c r="G337" s="236"/>
      <c r="H337" s="236"/>
      <c r="I337" s="236"/>
      <c r="J337" s="242"/>
      <c r="L337" s="249"/>
      <c r="M337" s="245"/>
      <c r="N337" s="19" t="s">
        <v>153</v>
      </c>
      <c r="O337" s="17"/>
      <c r="P337" s="17"/>
      <c r="Q337" s="17">
        <v>56.26</v>
      </c>
      <c r="R337" s="236"/>
      <c r="S337" s="236"/>
      <c r="T337" s="236"/>
      <c r="U337" s="242"/>
    </row>
    <row r="338" spans="1:21" ht="13">
      <c r="A338" s="249"/>
      <c r="B338" s="246"/>
      <c r="C338" s="44" t="s">
        <v>165</v>
      </c>
      <c r="D338" s="21"/>
      <c r="E338" s="21"/>
      <c r="F338" s="21">
        <v>120</v>
      </c>
      <c r="G338" s="238"/>
      <c r="H338" s="238"/>
      <c r="I338" s="238"/>
      <c r="J338" s="243"/>
      <c r="L338" s="249"/>
      <c r="M338" s="246"/>
      <c r="N338" s="44" t="s">
        <v>165</v>
      </c>
      <c r="O338" s="21"/>
      <c r="P338" s="21"/>
      <c r="Q338" s="21">
        <v>120</v>
      </c>
      <c r="R338" s="238"/>
      <c r="S338" s="238"/>
      <c r="T338" s="238"/>
      <c r="U338" s="243"/>
    </row>
    <row r="339" spans="1:21" ht="13">
      <c r="A339" s="249"/>
      <c r="B339" s="244" t="s">
        <v>233</v>
      </c>
      <c r="C339" s="15" t="s">
        <v>234</v>
      </c>
      <c r="D339" s="16">
        <v>9.75</v>
      </c>
      <c r="E339" s="17">
        <v>17</v>
      </c>
      <c r="F339" s="17">
        <f>D339*E339</f>
        <v>165.75</v>
      </c>
      <c r="G339" s="240">
        <f>SUM(F339:F340)</f>
        <v>165.75</v>
      </c>
      <c r="H339" s="273">
        <v>700</v>
      </c>
      <c r="I339" s="273">
        <f>H339-G339</f>
        <v>534.25</v>
      </c>
      <c r="J339" s="241">
        <f>I339/H339</f>
        <v>0.76321428571428573</v>
      </c>
      <c r="L339" s="249"/>
      <c r="M339" s="244" t="s">
        <v>233</v>
      </c>
      <c r="N339" s="15" t="s">
        <v>234</v>
      </c>
      <c r="O339" s="16">
        <v>9.75</v>
      </c>
      <c r="P339" s="17">
        <v>17</v>
      </c>
      <c r="Q339" s="17">
        <f>O339*P339</f>
        <v>165.75</v>
      </c>
      <c r="R339" s="240">
        <f>SUM(Q339:Q340)</f>
        <v>165.75</v>
      </c>
      <c r="S339" s="273">
        <v>700</v>
      </c>
      <c r="T339" s="273">
        <f>S339-R339</f>
        <v>534.25</v>
      </c>
      <c r="U339" s="241">
        <f>T339/S339</f>
        <v>0.76321428571428573</v>
      </c>
    </row>
    <row r="340" spans="1:21" ht="13">
      <c r="A340" s="249"/>
      <c r="B340" s="246"/>
      <c r="C340" s="44"/>
      <c r="D340" s="21"/>
      <c r="E340" s="21"/>
      <c r="F340" s="21"/>
      <c r="G340" s="238"/>
      <c r="H340" s="238"/>
      <c r="I340" s="238"/>
      <c r="J340" s="243"/>
      <c r="L340" s="249"/>
      <c r="M340" s="246"/>
      <c r="N340" s="44"/>
      <c r="O340" s="21"/>
      <c r="P340" s="21"/>
      <c r="Q340" s="21"/>
      <c r="R340" s="238"/>
      <c r="S340" s="238"/>
      <c r="T340" s="238"/>
      <c r="U340" s="243"/>
    </row>
    <row r="341" spans="1:21" ht="13">
      <c r="A341" s="249"/>
      <c r="B341" s="244" t="s">
        <v>220</v>
      </c>
      <c r="C341" s="64" t="s">
        <v>23</v>
      </c>
      <c r="D341" s="50">
        <v>21</v>
      </c>
      <c r="E341" s="50">
        <v>16</v>
      </c>
      <c r="F341" s="65">
        <f>D341*E341</f>
        <v>336</v>
      </c>
      <c r="G341" s="240">
        <f>SUM(F341:F346)</f>
        <v>1636.61</v>
      </c>
      <c r="H341" s="237">
        <v>2735</v>
      </c>
      <c r="I341" s="237">
        <f>H341-G341</f>
        <v>1098.3900000000001</v>
      </c>
      <c r="J341" s="241">
        <f>I341/H341</f>
        <v>0.40160511882998173</v>
      </c>
      <c r="L341" s="249"/>
      <c r="M341" s="244" t="s">
        <v>220</v>
      </c>
      <c r="N341" s="64" t="s">
        <v>23</v>
      </c>
      <c r="O341" s="18"/>
      <c r="P341" s="18"/>
      <c r="Q341" s="18"/>
      <c r="R341" s="240">
        <f>SUM(Q341:Q346)</f>
        <v>1300.6100000000001</v>
      </c>
      <c r="S341" s="237">
        <v>2735</v>
      </c>
      <c r="T341" s="237">
        <f>S341-R341</f>
        <v>1434.3899999999999</v>
      </c>
      <c r="U341" s="241">
        <f>T341/S341</f>
        <v>0.52445703839122482</v>
      </c>
    </row>
    <row r="342" spans="1:21" ht="13">
      <c r="A342" s="249"/>
      <c r="B342" s="245"/>
      <c r="C342" s="22" t="s">
        <v>235</v>
      </c>
      <c r="D342" s="23"/>
      <c r="E342" s="23"/>
      <c r="F342" s="23">
        <v>20</v>
      </c>
      <c r="G342" s="236"/>
      <c r="H342" s="236"/>
      <c r="I342" s="236"/>
      <c r="J342" s="242"/>
      <c r="L342" s="249"/>
      <c r="M342" s="245"/>
      <c r="N342" s="22" t="s">
        <v>235</v>
      </c>
      <c r="O342" s="23"/>
      <c r="P342" s="23"/>
      <c r="Q342" s="23">
        <v>20</v>
      </c>
      <c r="R342" s="236"/>
      <c r="S342" s="236"/>
      <c r="T342" s="236"/>
      <c r="U342" s="242"/>
    </row>
    <row r="343" spans="1:21" ht="13">
      <c r="A343" s="249"/>
      <c r="B343" s="245"/>
      <c r="C343" s="22" t="s">
        <v>236</v>
      </c>
      <c r="D343" s="23">
        <v>26.61</v>
      </c>
      <c r="E343" s="23">
        <v>17</v>
      </c>
      <c r="F343" s="23">
        <f t="shared" ref="F343:F345" si="65">D343*E343</f>
        <v>452.37</v>
      </c>
      <c r="G343" s="236"/>
      <c r="H343" s="236"/>
      <c r="I343" s="236"/>
      <c r="J343" s="242"/>
      <c r="L343" s="249"/>
      <c r="M343" s="245"/>
      <c r="N343" s="22" t="s">
        <v>236</v>
      </c>
      <c r="O343" s="23">
        <v>26.61</v>
      </c>
      <c r="P343" s="23">
        <v>17</v>
      </c>
      <c r="Q343" s="23">
        <f t="shared" ref="Q343:Q345" si="66">O343*P343</f>
        <v>452.37</v>
      </c>
      <c r="R343" s="236"/>
      <c r="S343" s="236"/>
      <c r="T343" s="236"/>
      <c r="U343" s="242"/>
    </row>
    <row r="344" spans="1:21" ht="13">
      <c r="A344" s="249"/>
      <c r="B344" s="245"/>
      <c r="C344" s="22" t="s">
        <v>237</v>
      </c>
      <c r="D344" s="23">
        <v>8.5</v>
      </c>
      <c r="E344" s="23">
        <v>15</v>
      </c>
      <c r="F344" s="23">
        <f t="shared" si="65"/>
        <v>127.5</v>
      </c>
      <c r="G344" s="236"/>
      <c r="H344" s="236"/>
      <c r="I344" s="236"/>
      <c r="J344" s="242"/>
      <c r="L344" s="249"/>
      <c r="M344" s="245"/>
      <c r="N344" s="22" t="s">
        <v>237</v>
      </c>
      <c r="O344" s="23">
        <v>8.5</v>
      </c>
      <c r="P344" s="23">
        <v>15</v>
      </c>
      <c r="Q344" s="23">
        <f t="shared" si="66"/>
        <v>127.5</v>
      </c>
      <c r="R344" s="236"/>
      <c r="S344" s="236"/>
      <c r="T344" s="236"/>
      <c r="U344" s="242"/>
    </row>
    <row r="345" spans="1:21" ht="13">
      <c r="A345" s="249"/>
      <c r="B345" s="245"/>
      <c r="C345" s="22" t="s">
        <v>62</v>
      </c>
      <c r="D345" s="23">
        <v>9</v>
      </c>
      <c r="E345" s="23">
        <v>17</v>
      </c>
      <c r="F345" s="23">
        <f t="shared" si="65"/>
        <v>153</v>
      </c>
      <c r="G345" s="236"/>
      <c r="H345" s="236"/>
      <c r="I345" s="236"/>
      <c r="J345" s="242"/>
      <c r="L345" s="249"/>
      <c r="M345" s="245"/>
      <c r="N345" s="22" t="s">
        <v>62</v>
      </c>
      <c r="O345" s="23">
        <v>9</v>
      </c>
      <c r="P345" s="23">
        <v>17</v>
      </c>
      <c r="Q345" s="23">
        <f t="shared" si="66"/>
        <v>153</v>
      </c>
      <c r="R345" s="236"/>
      <c r="S345" s="236"/>
      <c r="T345" s="236"/>
      <c r="U345" s="242"/>
    </row>
    <row r="346" spans="1:21" ht="13">
      <c r="A346" s="249"/>
      <c r="B346" s="246"/>
      <c r="C346" s="25" t="s">
        <v>47</v>
      </c>
      <c r="D346" s="26"/>
      <c r="E346" s="26"/>
      <c r="F346" s="26">
        <v>547.74</v>
      </c>
      <c r="G346" s="238"/>
      <c r="H346" s="238"/>
      <c r="I346" s="238"/>
      <c r="J346" s="243"/>
      <c r="L346" s="249"/>
      <c r="M346" s="246"/>
      <c r="N346" s="25" t="s">
        <v>47</v>
      </c>
      <c r="O346" s="26"/>
      <c r="P346" s="26"/>
      <c r="Q346" s="26">
        <v>547.74</v>
      </c>
      <c r="R346" s="238"/>
      <c r="S346" s="238"/>
      <c r="T346" s="238"/>
      <c r="U346" s="243"/>
    </row>
    <row r="347" spans="1:21" ht="13">
      <c r="A347" s="249"/>
      <c r="B347" s="244" t="s">
        <v>238</v>
      </c>
      <c r="C347" s="53" t="s">
        <v>31</v>
      </c>
      <c r="D347" s="16">
        <v>10</v>
      </c>
      <c r="E347" s="17">
        <v>17</v>
      </c>
      <c r="F347" s="17">
        <f t="shared" ref="F347:F348" si="67">D347*E347</f>
        <v>170</v>
      </c>
      <c r="G347" s="240">
        <f>SUM(F347:F351)</f>
        <v>913.83</v>
      </c>
      <c r="H347" s="273">
        <v>3330</v>
      </c>
      <c r="I347" s="273">
        <f>H347-G347</f>
        <v>2416.17</v>
      </c>
      <c r="J347" s="241">
        <f>I347/H347</f>
        <v>0.72557657657657659</v>
      </c>
      <c r="L347" s="249"/>
      <c r="M347" s="244" t="s">
        <v>238</v>
      </c>
      <c r="N347" s="53" t="s">
        <v>31</v>
      </c>
      <c r="O347" s="16">
        <v>10</v>
      </c>
      <c r="P347" s="17">
        <v>17</v>
      </c>
      <c r="Q347" s="17">
        <f t="shared" ref="Q347:Q348" si="68">O347*P347</f>
        <v>170</v>
      </c>
      <c r="R347" s="240">
        <f>SUM(Q347:Q351)</f>
        <v>913.83</v>
      </c>
      <c r="S347" s="273">
        <v>3330</v>
      </c>
      <c r="T347" s="273">
        <f>S347-R347</f>
        <v>2416.17</v>
      </c>
      <c r="U347" s="241">
        <f>T347/S347</f>
        <v>0.72557657657657659</v>
      </c>
    </row>
    <row r="348" spans="1:21" ht="13">
      <c r="A348" s="249"/>
      <c r="B348" s="245"/>
      <c r="C348" s="54" t="s">
        <v>70</v>
      </c>
      <c r="D348" s="19">
        <v>5</v>
      </c>
      <c r="E348" s="19">
        <v>17</v>
      </c>
      <c r="F348" s="17">
        <f t="shared" si="67"/>
        <v>85</v>
      </c>
      <c r="G348" s="236"/>
      <c r="H348" s="236"/>
      <c r="I348" s="236"/>
      <c r="J348" s="242"/>
      <c r="L348" s="249"/>
      <c r="M348" s="245"/>
      <c r="N348" s="54" t="s">
        <v>70</v>
      </c>
      <c r="O348" s="19">
        <v>5</v>
      </c>
      <c r="P348" s="19">
        <v>17</v>
      </c>
      <c r="Q348" s="17">
        <f t="shared" si="68"/>
        <v>85</v>
      </c>
      <c r="R348" s="236"/>
      <c r="S348" s="236"/>
      <c r="T348" s="236"/>
      <c r="U348" s="242"/>
    </row>
    <row r="349" spans="1:21" ht="13">
      <c r="A349" s="249"/>
      <c r="B349" s="245"/>
      <c r="C349" s="54" t="s">
        <v>46</v>
      </c>
      <c r="D349" s="19"/>
      <c r="E349" s="19"/>
      <c r="F349" s="17">
        <v>233</v>
      </c>
      <c r="G349" s="236"/>
      <c r="H349" s="236"/>
      <c r="I349" s="236"/>
      <c r="J349" s="242"/>
      <c r="L349" s="249"/>
      <c r="M349" s="245"/>
      <c r="N349" s="54" t="s">
        <v>46</v>
      </c>
      <c r="O349" s="19"/>
      <c r="P349" s="19"/>
      <c r="Q349" s="17">
        <v>233</v>
      </c>
      <c r="R349" s="236"/>
      <c r="S349" s="236"/>
      <c r="T349" s="236"/>
      <c r="U349" s="242"/>
    </row>
    <row r="350" spans="1:21" ht="13">
      <c r="A350" s="249"/>
      <c r="B350" s="245"/>
      <c r="C350" s="54" t="s">
        <v>33</v>
      </c>
      <c r="D350" s="19"/>
      <c r="E350" s="19"/>
      <c r="F350" s="17">
        <v>350</v>
      </c>
      <c r="G350" s="236"/>
      <c r="H350" s="236"/>
      <c r="I350" s="236"/>
      <c r="J350" s="242"/>
      <c r="L350" s="249"/>
      <c r="M350" s="245"/>
      <c r="N350" s="54" t="s">
        <v>33</v>
      </c>
      <c r="O350" s="19"/>
      <c r="P350" s="19"/>
      <c r="Q350" s="17">
        <v>350</v>
      </c>
      <c r="R350" s="236"/>
      <c r="S350" s="236"/>
      <c r="T350" s="236"/>
      <c r="U350" s="242"/>
    </row>
    <row r="351" spans="1:21" ht="13">
      <c r="A351" s="249"/>
      <c r="B351" s="246"/>
      <c r="C351" s="55" t="s">
        <v>48</v>
      </c>
      <c r="D351" s="20"/>
      <c r="E351" s="20"/>
      <c r="F351" s="21">
        <v>75.83</v>
      </c>
      <c r="G351" s="238"/>
      <c r="H351" s="238"/>
      <c r="I351" s="238"/>
      <c r="J351" s="243"/>
      <c r="L351" s="249"/>
      <c r="M351" s="246"/>
      <c r="N351" s="55" t="s">
        <v>48</v>
      </c>
      <c r="O351" s="20"/>
      <c r="P351" s="20"/>
      <c r="Q351" s="21">
        <v>75.83</v>
      </c>
      <c r="R351" s="238"/>
      <c r="S351" s="238"/>
      <c r="T351" s="238"/>
      <c r="U351" s="243"/>
    </row>
    <row r="352" spans="1:21" ht="13">
      <c r="A352" s="249"/>
      <c r="B352" s="244" t="s">
        <v>239</v>
      </c>
      <c r="C352" s="53" t="s">
        <v>23</v>
      </c>
      <c r="D352" s="16">
        <v>14</v>
      </c>
      <c r="E352" s="17">
        <v>16</v>
      </c>
      <c r="F352" s="17">
        <f>D352*E352</f>
        <v>224</v>
      </c>
      <c r="G352" s="240">
        <f>SUM(F352:F358)</f>
        <v>2069.31</v>
      </c>
      <c r="H352" s="273">
        <v>4558.3999999999996</v>
      </c>
      <c r="I352" s="273">
        <f>H352-G352</f>
        <v>2489.0899999999997</v>
      </c>
      <c r="J352" s="241">
        <f>I352/H352</f>
        <v>0.54604466479466474</v>
      </c>
      <c r="L352" s="249"/>
      <c r="M352" s="244" t="s">
        <v>239</v>
      </c>
      <c r="N352" s="53" t="s">
        <v>23</v>
      </c>
      <c r="O352" s="18"/>
      <c r="P352" s="18"/>
      <c r="Q352" s="18"/>
      <c r="R352" s="240">
        <f>SUM(Q352:Q358)</f>
        <v>1845.31</v>
      </c>
      <c r="S352" s="273">
        <v>4558.3999999999996</v>
      </c>
      <c r="T352" s="273">
        <f>S352-R352</f>
        <v>2713.0899999999997</v>
      </c>
      <c r="U352" s="241">
        <f>T352/S352</f>
        <v>0.59518471393471395</v>
      </c>
    </row>
    <row r="353" spans="1:21" ht="13">
      <c r="A353" s="249"/>
      <c r="B353" s="245"/>
      <c r="C353" s="54" t="s">
        <v>35</v>
      </c>
      <c r="D353" s="19"/>
      <c r="E353" s="19"/>
      <c r="F353" s="17">
        <v>200</v>
      </c>
      <c r="G353" s="236"/>
      <c r="H353" s="236"/>
      <c r="I353" s="236"/>
      <c r="J353" s="242"/>
      <c r="L353" s="249"/>
      <c r="M353" s="245"/>
      <c r="N353" s="54" t="s">
        <v>35</v>
      </c>
      <c r="O353" s="19"/>
      <c r="P353" s="19"/>
      <c r="Q353" s="17">
        <v>200</v>
      </c>
      <c r="R353" s="236"/>
      <c r="S353" s="236"/>
      <c r="T353" s="236"/>
      <c r="U353" s="242"/>
    </row>
    <row r="354" spans="1:21" ht="13">
      <c r="A354" s="249"/>
      <c r="B354" s="245"/>
      <c r="C354" s="54" t="s">
        <v>70</v>
      </c>
      <c r="D354" s="19">
        <v>18</v>
      </c>
      <c r="E354" s="19">
        <v>25</v>
      </c>
      <c r="F354" s="17">
        <f>D354*E354</f>
        <v>450</v>
      </c>
      <c r="G354" s="236"/>
      <c r="H354" s="236"/>
      <c r="I354" s="236"/>
      <c r="J354" s="242"/>
      <c r="L354" s="249"/>
      <c r="M354" s="245"/>
      <c r="N354" s="54" t="s">
        <v>70</v>
      </c>
      <c r="O354" s="19">
        <v>18</v>
      </c>
      <c r="P354" s="19">
        <v>25</v>
      </c>
      <c r="Q354" s="17">
        <f>O354*P354</f>
        <v>450</v>
      </c>
      <c r="R354" s="236"/>
      <c r="S354" s="236"/>
      <c r="T354" s="236"/>
      <c r="U354" s="242"/>
    </row>
    <row r="355" spans="1:21" ht="13">
      <c r="A355" s="249"/>
      <c r="B355" s="245"/>
      <c r="C355" s="54" t="s">
        <v>240</v>
      </c>
      <c r="D355" s="19"/>
      <c r="E355" s="19"/>
      <c r="F355" s="17">
        <v>266.73</v>
      </c>
      <c r="G355" s="236"/>
      <c r="H355" s="236"/>
      <c r="I355" s="236"/>
      <c r="J355" s="242"/>
      <c r="L355" s="249"/>
      <c r="M355" s="245"/>
      <c r="N355" s="54" t="s">
        <v>240</v>
      </c>
      <c r="O355" s="19"/>
      <c r="P355" s="19"/>
      <c r="Q355" s="17">
        <v>266.73</v>
      </c>
      <c r="R355" s="236"/>
      <c r="S355" s="236"/>
      <c r="T355" s="236"/>
      <c r="U355" s="242"/>
    </row>
    <row r="356" spans="1:21" ht="13">
      <c r="A356" s="249"/>
      <c r="B356" s="245"/>
      <c r="C356" s="54" t="s">
        <v>47</v>
      </c>
      <c r="D356" s="19"/>
      <c r="E356" s="19"/>
      <c r="F356" s="17">
        <v>356.5</v>
      </c>
      <c r="G356" s="236"/>
      <c r="H356" s="236"/>
      <c r="I356" s="236"/>
      <c r="J356" s="242"/>
      <c r="L356" s="249"/>
      <c r="M356" s="245"/>
      <c r="N356" s="54" t="s">
        <v>47</v>
      </c>
      <c r="O356" s="19"/>
      <c r="P356" s="19"/>
      <c r="Q356" s="17">
        <v>356.5</v>
      </c>
      <c r="R356" s="236"/>
      <c r="S356" s="236"/>
      <c r="T356" s="236"/>
      <c r="U356" s="242"/>
    </row>
    <row r="357" spans="1:21" ht="13">
      <c r="A357" s="249"/>
      <c r="B357" s="245"/>
      <c r="C357" s="54" t="s">
        <v>33</v>
      </c>
      <c r="D357" s="19"/>
      <c r="E357" s="19"/>
      <c r="F357" s="17">
        <v>305.08</v>
      </c>
      <c r="G357" s="236"/>
      <c r="H357" s="236"/>
      <c r="I357" s="236"/>
      <c r="J357" s="242"/>
      <c r="L357" s="249"/>
      <c r="M357" s="245"/>
      <c r="N357" s="54" t="s">
        <v>33</v>
      </c>
      <c r="O357" s="19"/>
      <c r="P357" s="19"/>
      <c r="Q357" s="17">
        <v>305.08</v>
      </c>
      <c r="R357" s="236"/>
      <c r="S357" s="236"/>
      <c r="T357" s="236"/>
      <c r="U357" s="242"/>
    </row>
    <row r="358" spans="1:21" ht="13">
      <c r="A358" s="249"/>
      <c r="B358" s="246"/>
      <c r="C358" s="55" t="s">
        <v>45</v>
      </c>
      <c r="D358" s="20"/>
      <c r="E358" s="20"/>
      <c r="F358" s="21">
        <v>267</v>
      </c>
      <c r="G358" s="238"/>
      <c r="H358" s="238"/>
      <c r="I358" s="238"/>
      <c r="J358" s="243"/>
      <c r="L358" s="249"/>
      <c r="M358" s="246"/>
      <c r="N358" s="55" t="s">
        <v>45</v>
      </c>
      <c r="O358" s="20"/>
      <c r="P358" s="20"/>
      <c r="Q358" s="21">
        <v>267</v>
      </c>
      <c r="R358" s="238"/>
      <c r="S358" s="238"/>
      <c r="T358" s="238"/>
      <c r="U358" s="243"/>
    </row>
    <row r="359" spans="1:21" ht="13">
      <c r="A359" s="249"/>
      <c r="B359" s="280" t="s">
        <v>241</v>
      </c>
      <c r="C359" s="54" t="s">
        <v>63</v>
      </c>
      <c r="D359" s="19"/>
      <c r="E359" s="19"/>
      <c r="F359" s="17">
        <v>200</v>
      </c>
      <c r="G359" s="240">
        <f>SUM(F359:F361)</f>
        <v>476.01</v>
      </c>
      <c r="H359" s="273">
        <v>2116.8000000000002</v>
      </c>
      <c r="I359" s="273">
        <f>H359-G359</f>
        <v>1640.7900000000002</v>
      </c>
      <c r="J359" s="241">
        <f>I359/H359</f>
        <v>0.7751275510204082</v>
      </c>
      <c r="L359" s="249"/>
      <c r="M359" s="280" t="s">
        <v>241</v>
      </c>
      <c r="N359" s="54" t="s">
        <v>63</v>
      </c>
      <c r="O359" s="19"/>
      <c r="P359" s="19"/>
      <c r="Q359" s="17">
        <v>200</v>
      </c>
      <c r="R359" s="240">
        <f>SUM(Q359:Q361)</f>
        <v>476.01</v>
      </c>
      <c r="S359" s="273">
        <v>2116.8000000000002</v>
      </c>
      <c r="T359" s="273">
        <f>S359-R359</f>
        <v>1640.7900000000002</v>
      </c>
      <c r="U359" s="241">
        <f>T359/S359</f>
        <v>0.7751275510204082</v>
      </c>
    </row>
    <row r="360" spans="1:21" ht="13">
      <c r="A360" s="249"/>
      <c r="B360" s="236"/>
      <c r="C360" s="54" t="s">
        <v>242</v>
      </c>
      <c r="D360" s="19"/>
      <c r="E360" s="19"/>
      <c r="F360" s="17">
        <v>217</v>
      </c>
      <c r="G360" s="236"/>
      <c r="H360" s="236"/>
      <c r="I360" s="236"/>
      <c r="J360" s="242"/>
      <c r="L360" s="249"/>
      <c r="M360" s="236"/>
      <c r="N360" s="54" t="s">
        <v>242</v>
      </c>
      <c r="O360" s="19"/>
      <c r="P360" s="19"/>
      <c r="Q360" s="17">
        <v>217</v>
      </c>
      <c r="R360" s="236"/>
      <c r="S360" s="236"/>
      <c r="T360" s="236"/>
      <c r="U360" s="242"/>
    </row>
    <row r="361" spans="1:21" ht="13">
      <c r="A361" s="249"/>
      <c r="B361" s="248"/>
      <c r="C361" s="55" t="s">
        <v>47</v>
      </c>
      <c r="D361" s="20"/>
      <c r="E361" s="20"/>
      <c r="F361" s="21">
        <v>59.01</v>
      </c>
      <c r="G361" s="238"/>
      <c r="H361" s="238"/>
      <c r="I361" s="238"/>
      <c r="J361" s="243"/>
      <c r="L361" s="249"/>
      <c r="M361" s="248"/>
      <c r="N361" s="55" t="s">
        <v>47</v>
      </c>
      <c r="O361" s="20"/>
      <c r="P361" s="20"/>
      <c r="Q361" s="21">
        <v>59.01</v>
      </c>
      <c r="R361" s="238"/>
      <c r="S361" s="238"/>
      <c r="T361" s="238"/>
      <c r="U361" s="243"/>
    </row>
    <row r="362" spans="1:21" ht="13">
      <c r="A362" s="249"/>
      <c r="B362" s="280" t="s">
        <v>243</v>
      </c>
      <c r="C362" s="54" t="s">
        <v>63</v>
      </c>
      <c r="D362" s="19"/>
      <c r="E362" s="19"/>
      <c r="F362" s="17">
        <v>200</v>
      </c>
      <c r="G362" s="240">
        <f>SUM(F363:F368)</f>
        <v>1445.04</v>
      </c>
      <c r="H362" s="273">
        <v>2222.64</v>
      </c>
      <c r="I362" s="273">
        <f>H362-G362</f>
        <v>777.59999999999991</v>
      </c>
      <c r="J362" s="241">
        <f>I362/H362</f>
        <v>0.3498542274052478</v>
      </c>
      <c r="L362" s="249"/>
      <c r="M362" s="280" t="s">
        <v>243</v>
      </c>
      <c r="N362" s="54" t="s">
        <v>63</v>
      </c>
      <c r="O362" s="19"/>
      <c r="P362" s="19"/>
      <c r="Q362" s="17">
        <v>200</v>
      </c>
      <c r="R362" s="240">
        <f>SUM(Q363:Q368)</f>
        <v>997.04</v>
      </c>
      <c r="S362" s="273">
        <v>2222.64</v>
      </c>
      <c r="T362" s="273">
        <f>S362-R362</f>
        <v>1225.5999999999999</v>
      </c>
      <c r="U362" s="241">
        <f>T362/S362</f>
        <v>0.55141633372925891</v>
      </c>
    </row>
    <row r="363" spans="1:21" ht="13">
      <c r="A363" s="249"/>
      <c r="B363" s="236"/>
      <c r="C363" s="54" t="s">
        <v>45</v>
      </c>
      <c r="D363" s="19"/>
      <c r="E363" s="19"/>
      <c r="F363" s="17">
        <v>120</v>
      </c>
      <c r="G363" s="236"/>
      <c r="H363" s="236"/>
      <c r="I363" s="236"/>
      <c r="J363" s="242"/>
      <c r="L363" s="249"/>
      <c r="M363" s="236"/>
      <c r="N363" s="54" t="s">
        <v>45</v>
      </c>
      <c r="O363" s="19"/>
      <c r="P363" s="19"/>
      <c r="Q363" s="17">
        <v>120</v>
      </c>
      <c r="R363" s="236"/>
      <c r="S363" s="236"/>
      <c r="T363" s="236"/>
      <c r="U363" s="242"/>
    </row>
    <row r="364" spans="1:21" ht="13">
      <c r="A364" s="249"/>
      <c r="B364" s="248"/>
      <c r="C364" s="55"/>
      <c r="D364" s="20"/>
      <c r="E364" s="20"/>
      <c r="F364" s="21"/>
      <c r="G364" s="238"/>
      <c r="H364" s="238"/>
      <c r="I364" s="238"/>
      <c r="J364" s="243"/>
      <c r="L364" s="249"/>
      <c r="M364" s="248"/>
      <c r="N364" s="55"/>
      <c r="O364" s="20"/>
      <c r="P364" s="20"/>
      <c r="Q364" s="21"/>
      <c r="R364" s="238"/>
      <c r="S364" s="238"/>
      <c r="T364" s="238"/>
      <c r="U364" s="243"/>
    </row>
    <row r="365" spans="1:21" ht="13">
      <c r="A365" s="249"/>
      <c r="B365" s="244" t="s">
        <v>244</v>
      </c>
      <c r="C365" s="53" t="s">
        <v>23</v>
      </c>
      <c r="D365" s="16">
        <v>28</v>
      </c>
      <c r="E365" s="17">
        <v>16</v>
      </c>
      <c r="F365" s="17">
        <f t="shared" ref="F365:F366" si="69">D365*E365</f>
        <v>448</v>
      </c>
      <c r="G365" s="240">
        <f>SUM(F365:F371)</f>
        <v>2053.7199999999998</v>
      </c>
      <c r="H365" s="273">
        <v>7293.62</v>
      </c>
      <c r="I365" s="273">
        <f>H365-G365</f>
        <v>5239.8999999999996</v>
      </c>
      <c r="J365" s="241">
        <f>I365/H365</f>
        <v>0.71842240204452656</v>
      </c>
      <c r="L365" s="249"/>
      <c r="M365" s="244" t="s">
        <v>244</v>
      </c>
      <c r="N365" s="53" t="s">
        <v>23</v>
      </c>
      <c r="O365" s="18"/>
      <c r="P365" s="18"/>
      <c r="Q365" s="18"/>
      <c r="R365" s="240">
        <f>SUM(Q365:Q371)</f>
        <v>1605.7199999999998</v>
      </c>
      <c r="S365" s="273">
        <v>7293.62</v>
      </c>
      <c r="T365" s="273">
        <f>S365-R365</f>
        <v>5687.9</v>
      </c>
      <c r="U365" s="241">
        <f>T365/S365</f>
        <v>0.7798459475541637</v>
      </c>
    </row>
    <row r="366" spans="1:21" ht="13">
      <c r="A366" s="249"/>
      <c r="B366" s="245"/>
      <c r="C366" s="54" t="s">
        <v>245</v>
      </c>
      <c r="D366" s="19">
        <v>29.43</v>
      </c>
      <c r="E366" s="19">
        <v>17</v>
      </c>
      <c r="F366" s="17">
        <f t="shared" si="69"/>
        <v>500.31</v>
      </c>
      <c r="G366" s="236"/>
      <c r="H366" s="236"/>
      <c r="I366" s="236"/>
      <c r="J366" s="242"/>
      <c r="L366" s="249"/>
      <c r="M366" s="245"/>
      <c r="N366" s="54" t="s">
        <v>245</v>
      </c>
      <c r="O366" s="19">
        <v>29.43</v>
      </c>
      <c r="P366" s="19">
        <v>17</v>
      </c>
      <c r="Q366" s="17">
        <f>O366*P366</f>
        <v>500.31</v>
      </c>
      <c r="R366" s="236"/>
      <c r="S366" s="236"/>
      <c r="T366" s="236"/>
      <c r="U366" s="242"/>
    </row>
    <row r="367" spans="1:21" ht="13">
      <c r="A367" s="249"/>
      <c r="B367" s="245"/>
      <c r="C367" s="54" t="s">
        <v>45</v>
      </c>
      <c r="D367" s="19"/>
      <c r="E367" s="19"/>
      <c r="F367" s="17">
        <v>110</v>
      </c>
      <c r="G367" s="236"/>
      <c r="H367" s="236"/>
      <c r="I367" s="236"/>
      <c r="J367" s="242"/>
      <c r="L367" s="249"/>
      <c r="M367" s="245"/>
      <c r="N367" s="54" t="s">
        <v>45</v>
      </c>
      <c r="O367" s="19"/>
      <c r="P367" s="19"/>
      <c r="Q367" s="17">
        <v>110</v>
      </c>
      <c r="R367" s="236"/>
      <c r="S367" s="236"/>
      <c r="T367" s="236"/>
      <c r="U367" s="242"/>
    </row>
    <row r="368" spans="1:21" ht="13">
      <c r="A368" s="249"/>
      <c r="B368" s="245"/>
      <c r="C368" s="54" t="s">
        <v>240</v>
      </c>
      <c r="D368" s="19"/>
      <c r="E368" s="19"/>
      <c r="F368" s="17">
        <v>266.73</v>
      </c>
      <c r="G368" s="236"/>
      <c r="H368" s="236"/>
      <c r="I368" s="236"/>
      <c r="J368" s="242"/>
      <c r="L368" s="249"/>
      <c r="M368" s="245"/>
      <c r="N368" s="54" t="s">
        <v>240</v>
      </c>
      <c r="O368" s="19"/>
      <c r="P368" s="19"/>
      <c r="Q368" s="17">
        <v>266.73</v>
      </c>
      <c r="R368" s="236"/>
      <c r="S368" s="236"/>
      <c r="T368" s="236"/>
      <c r="U368" s="242"/>
    </row>
    <row r="369" spans="1:21" ht="13">
      <c r="A369" s="249"/>
      <c r="B369" s="245"/>
      <c r="C369" s="54" t="s">
        <v>47</v>
      </c>
      <c r="D369" s="19"/>
      <c r="E369" s="19"/>
      <c r="F369" s="17">
        <v>266.37</v>
      </c>
      <c r="G369" s="236"/>
      <c r="H369" s="236"/>
      <c r="I369" s="236"/>
      <c r="J369" s="242"/>
      <c r="L369" s="249"/>
      <c r="M369" s="245"/>
      <c r="N369" s="54" t="s">
        <v>47</v>
      </c>
      <c r="O369" s="19"/>
      <c r="P369" s="19"/>
      <c r="Q369" s="17">
        <v>266.37</v>
      </c>
      <c r="R369" s="236"/>
      <c r="S369" s="236"/>
      <c r="T369" s="236"/>
      <c r="U369" s="242"/>
    </row>
    <row r="370" spans="1:21" ht="13">
      <c r="A370" s="249"/>
      <c r="B370" s="245"/>
      <c r="C370" s="54" t="s">
        <v>33</v>
      </c>
      <c r="D370" s="19"/>
      <c r="E370" s="19"/>
      <c r="F370" s="17">
        <v>343.81</v>
      </c>
      <c r="G370" s="236"/>
      <c r="H370" s="236"/>
      <c r="I370" s="236"/>
      <c r="J370" s="242"/>
      <c r="L370" s="249"/>
      <c r="M370" s="245"/>
      <c r="N370" s="54" t="s">
        <v>33</v>
      </c>
      <c r="O370" s="19"/>
      <c r="P370" s="19"/>
      <c r="Q370" s="17">
        <v>343.81</v>
      </c>
      <c r="R370" s="236"/>
      <c r="S370" s="236"/>
      <c r="T370" s="236"/>
      <c r="U370" s="242"/>
    </row>
    <row r="371" spans="1:21" ht="13">
      <c r="A371" s="249"/>
      <c r="B371" s="246"/>
      <c r="C371" s="55" t="s">
        <v>44</v>
      </c>
      <c r="D371" s="20"/>
      <c r="E371" s="20"/>
      <c r="F371" s="21">
        <v>118.5</v>
      </c>
      <c r="G371" s="238"/>
      <c r="H371" s="238"/>
      <c r="I371" s="238"/>
      <c r="J371" s="243"/>
      <c r="L371" s="249"/>
      <c r="M371" s="246"/>
      <c r="N371" s="55" t="s">
        <v>44</v>
      </c>
      <c r="O371" s="20"/>
      <c r="P371" s="20"/>
      <c r="Q371" s="21">
        <v>118.5</v>
      </c>
      <c r="R371" s="238"/>
      <c r="S371" s="238"/>
      <c r="T371" s="238"/>
      <c r="U371" s="243"/>
    </row>
    <row r="372" spans="1:21" ht="13">
      <c r="A372" s="249"/>
      <c r="B372" s="244" t="s">
        <v>246</v>
      </c>
      <c r="C372" s="53" t="s">
        <v>209</v>
      </c>
      <c r="D372" s="16">
        <v>28</v>
      </c>
      <c r="E372" s="17">
        <v>16</v>
      </c>
      <c r="F372" s="17">
        <f t="shared" ref="F372:F374" si="70">D372*E372</f>
        <v>448</v>
      </c>
      <c r="G372" s="240">
        <f>SUM(F372:F380)</f>
        <v>2291.7700000000004</v>
      </c>
      <c r="H372" s="273">
        <v>9465.16</v>
      </c>
      <c r="I372" s="273">
        <f>H372-G372</f>
        <v>7173.3899999999994</v>
      </c>
      <c r="J372" s="241">
        <f>I372/H372</f>
        <v>0.75787308402604914</v>
      </c>
      <c r="L372" s="249"/>
      <c r="M372" s="244" t="s">
        <v>246</v>
      </c>
      <c r="N372" s="53" t="s">
        <v>209</v>
      </c>
      <c r="O372" s="18"/>
      <c r="P372" s="18"/>
      <c r="Q372" s="18"/>
      <c r="R372" s="240">
        <f>SUM(Q372:Q380)</f>
        <v>1843.77</v>
      </c>
      <c r="S372" s="273">
        <v>9465.16</v>
      </c>
      <c r="T372" s="273">
        <f>S372-R372</f>
        <v>7621.3899999999994</v>
      </c>
      <c r="U372" s="241">
        <f>T372/S372</f>
        <v>0.805204560725862</v>
      </c>
    </row>
    <row r="373" spans="1:21" ht="13">
      <c r="A373" s="249"/>
      <c r="B373" s="245"/>
      <c r="C373" s="54" t="s">
        <v>70</v>
      </c>
      <c r="D373" s="19">
        <v>20.03</v>
      </c>
      <c r="E373" s="19">
        <v>17</v>
      </c>
      <c r="F373" s="17">
        <f t="shared" si="70"/>
        <v>340.51</v>
      </c>
      <c r="G373" s="236"/>
      <c r="H373" s="236"/>
      <c r="I373" s="236"/>
      <c r="J373" s="242"/>
      <c r="L373" s="249"/>
      <c r="M373" s="245"/>
      <c r="N373" s="54" t="s">
        <v>70</v>
      </c>
      <c r="O373" s="19">
        <v>20.03</v>
      </c>
      <c r="P373" s="19">
        <v>17</v>
      </c>
      <c r="Q373" s="17">
        <f t="shared" ref="Q373:Q374" si="71">O373*P373</f>
        <v>340.51</v>
      </c>
      <c r="R373" s="236"/>
      <c r="S373" s="236"/>
      <c r="T373" s="236"/>
      <c r="U373" s="242"/>
    </row>
    <row r="374" spans="1:21" ht="13">
      <c r="A374" s="249"/>
      <c r="B374" s="245"/>
      <c r="C374" s="54" t="s">
        <v>32</v>
      </c>
      <c r="D374" s="19">
        <v>19.8</v>
      </c>
      <c r="E374" s="19">
        <v>17</v>
      </c>
      <c r="F374" s="17">
        <f t="shared" si="70"/>
        <v>336.6</v>
      </c>
      <c r="G374" s="236"/>
      <c r="H374" s="236"/>
      <c r="I374" s="236"/>
      <c r="J374" s="242"/>
      <c r="L374" s="249"/>
      <c r="M374" s="245"/>
      <c r="N374" s="54" t="s">
        <v>32</v>
      </c>
      <c r="O374" s="19">
        <v>19.8</v>
      </c>
      <c r="P374" s="19">
        <v>17</v>
      </c>
      <c r="Q374" s="17">
        <f t="shared" si="71"/>
        <v>336.6</v>
      </c>
      <c r="R374" s="236"/>
      <c r="S374" s="236"/>
      <c r="T374" s="236"/>
      <c r="U374" s="242"/>
    </row>
    <row r="375" spans="1:21" ht="13">
      <c r="A375" s="249"/>
      <c r="B375" s="245"/>
      <c r="C375" s="54" t="s">
        <v>240</v>
      </c>
      <c r="D375" s="19"/>
      <c r="E375" s="19"/>
      <c r="F375" s="17">
        <v>138.15</v>
      </c>
      <c r="G375" s="236"/>
      <c r="H375" s="236"/>
      <c r="I375" s="236"/>
      <c r="J375" s="242"/>
      <c r="L375" s="249"/>
      <c r="M375" s="245"/>
      <c r="N375" s="54" t="s">
        <v>240</v>
      </c>
      <c r="O375" s="19"/>
      <c r="P375" s="19"/>
      <c r="Q375" s="17">
        <v>138.15</v>
      </c>
      <c r="R375" s="236"/>
      <c r="S375" s="236"/>
      <c r="T375" s="236"/>
      <c r="U375" s="242"/>
    </row>
    <row r="376" spans="1:21" ht="13">
      <c r="A376" s="249"/>
      <c r="B376" s="245"/>
      <c r="C376" s="54" t="s">
        <v>47</v>
      </c>
      <c r="D376" s="19"/>
      <c r="E376" s="19"/>
      <c r="F376" s="17">
        <v>234</v>
      </c>
      <c r="G376" s="236"/>
      <c r="H376" s="236"/>
      <c r="I376" s="236"/>
      <c r="J376" s="242"/>
      <c r="L376" s="249"/>
      <c r="M376" s="245"/>
      <c r="N376" s="54" t="s">
        <v>47</v>
      </c>
      <c r="O376" s="19"/>
      <c r="P376" s="19"/>
      <c r="Q376" s="17">
        <v>234</v>
      </c>
      <c r="R376" s="236"/>
      <c r="S376" s="236"/>
      <c r="T376" s="236"/>
      <c r="U376" s="242"/>
    </row>
    <row r="377" spans="1:21" ht="13">
      <c r="A377" s="249"/>
      <c r="B377" s="245"/>
      <c r="C377" s="54" t="s">
        <v>45</v>
      </c>
      <c r="D377" s="19"/>
      <c r="E377" s="19"/>
      <c r="F377" s="17">
        <v>238.71</v>
      </c>
      <c r="G377" s="236"/>
      <c r="H377" s="236"/>
      <c r="I377" s="236"/>
      <c r="J377" s="242"/>
      <c r="L377" s="249"/>
      <c r="M377" s="245"/>
      <c r="N377" s="54" t="s">
        <v>45</v>
      </c>
      <c r="O377" s="19"/>
      <c r="P377" s="19"/>
      <c r="Q377" s="17">
        <v>238.71</v>
      </c>
      <c r="R377" s="236"/>
      <c r="S377" s="236"/>
      <c r="T377" s="236"/>
      <c r="U377" s="242"/>
    </row>
    <row r="378" spans="1:21" ht="13">
      <c r="A378" s="249"/>
      <c r="B378" s="245"/>
      <c r="C378" s="54" t="s">
        <v>33</v>
      </c>
      <c r="D378" s="19"/>
      <c r="E378" s="19"/>
      <c r="F378" s="17">
        <v>406.75</v>
      </c>
      <c r="G378" s="236"/>
      <c r="H378" s="236"/>
      <c r="I378" s="236"/>
      <c r="J378" s="242"/>
      <c r="L378" s="249"/>
      <c r="M378" s="245"/>
      <c r="N378" s="54" t="s">
        <v>33</v>
      </c>
      <c r="O378" s="19"/>
      <c r="P378" s="19"/>
      <c r="Q378" s="17">
        <v>406.75</v>
      </c>
      <c r="R378" s="236"/>
      <c r="S378" s="236"/>
      <c r="T378" s="236"/>
      <c r="U378" s="242"/>
    </row>
    <row r="379" spans="1:21" ht="13">
      <c r="A379" s="249"/>
      <c r="B379" s="245"/>
      <c r="C379" s="54" t="s">
        <v>247</v>
      </c>
      <c r="D379" s="19"/>
      <c r="E379" s="19"/>
      <c r="F379" s="17">
        <v>30.55</v>
      </c>
      <c r="G379" s="236"/>
      <c r="H379" s="236"/>
      <c r="I379" s="236"/>
      <c r="J379" s="242"/>
      <c r="L379" s="249"/>
      <c r="M379" s="245"/>
      <c r="N379" s="54" t="s">
        <v>247</v>
      </c>
      <c r="O379" s="19"/>
      <c r="P379" s="19"/>
      <c r="Q379" s="17">
        <v>30.55</v>
      </c>
      <c r="R379" s="236"/>
      <c r="S379" s="236"/>
      <c r="T379" s="236"/>
      <c r="U379" s="242"/>
    </row>
    <row r="380" spans="1:21" ht="13">
      <c r="A380" s="249"/>
      <c r="B380" s="246"/>
      <c r="C380" s="55" t="s">
        <v>44</v>
      </c>
      <c r="D380" s="20"/>
      <c r="E380" s="20"/>
      <c r="F380" s="21">
        <v>118.5</v>
      </c>
      <c r="G380" s="238"/>
      <c r="H380" s="238"/>
      <c r="I380" s="238"/>
      <c r="J380" s="243"/>
      <c r="L380" s="249"/>
      <c r="M380" s="246"/>
      <c r="N380" s="55" t="s">
        <v>44</v>
      </c>
      <c r="O380" s="20"/>
      <c r="P380" s="20"/>
      <c r="Q380" s="21">
        <v>118.5</v>
      </c>
      <c r="R380" s="238"/>
      <c r="S380" s="238"/>
      <c r="T380" s="238"/>
      <c r="U380" s="243"/>
    </row>
    <row r="381" spans="1:21" ht="13">
      <c r="A381" s="249"/>
      <c r="B381" s="280" t="s">
        <v>248</v>
      </c>
      <c r="C381" s="54" t="s">
        <v>209</v>
      </c>
      <c r="D381" s="19">
        <v>7</v>
      </c>
      <c r="E381" s="19">
        <v>16</v>
      </c>
      <c r="F381" s="17">
        <f>D381*E381</f>
        <v>112</v>
      </c>
      <c r="G381" s="240">
        <f>SUM(F381:F385)</f>
        <v>489.92</v>
      </c>
      <c r="H381" s="273">
        <v>2328.48</v>
      </c>
      <c r="I381" s="273">
        <f>H381-G381</f>
        <v>1838.56</v>
      </c>
      <c r="J381" s="241">
        <f>I381/H381</f>
        <v>0.7895966467395038</v>
      </c>
      <c r="L381" s="249"/>
      <c r="M381" s="280" t="s">
        <v>248</v>
      </c>
      <c r="N381" s="54" t="s">
        <v>209</v>
      </c>
      <c r="O381" s="19">
        <v>7</v>
      </c>
      <c r="P381" s="19">
        <v>16</v>
      </c>
      <c r="Q381" s="17">
        <f>O381*P381</f>
        <v>112</v>
      </c>
      <c r="R381" s="240">
        <f>SUM(Q381:Q385)</f>
        <v>489.92</v>
      </c>
      <c r="S381" s="273">
        <v>2328.48</v>
      </c>
      <c r="T381" s="273">
        <f>S381-R381</f>
        <v>1838.56</v>
      </c>
      <c r="U381" s="241">
        <f>T381/S381</f>
        <v>0.7895966467395038</v>
      </c>
    </row>
    <row r="382" spans="1:21" ht="13">
      <c r="A382" s="249"/>
      <c r="B382" s="236"/>
      <c r="C382" s="54" t="s">
        <v>45</v>
      </c>
      <c r="D382" s="19"/>
      <c r="E382" s="19"/>
      <c r="F382" s="17">
        <v>256.41000000000003</v>
      </c>
      <c r="G382" s="236"/>
      <c r="H382" s="236"/>
      <c r="I382" s="236"/>
      <c r="J382" s="242"/>
      <c r="L382" s="249"/>
      <c r="M382" s="236"/>
      <c r="N382" s="54" t="s">
        <v>45</v>
      </c>
      <c r="O382" s="19"/>
      <c r="P382" s="19"/>
      <c r="Q382" s="17">
        <v>256.41000000000003</v>
      </c>
      <c r="R382" s="236"/>
      <c r="S382" s="236"/>
      <c r="T382" s="236"/>
      <c r="U382" s="242"/>
    </row>
    <row r="383" spans="1:21" ht="13">
      <c r="A383" s="249"/>
      <c r="B383" s="236"/>
      <c r="C383" s="54" t="s">
        <v>249</v>
      </c>
      <c r="D383" s="19"/>
      <c r="E383" s="19"/>
      <c r="F383" s="17">
        <v>35</v>
      </c>
      <c r="G383" s="236"/>
      <c r="H383" s="236"/>
      <c r="I383" s="236"/>
      <c r="J383" s="242"/>
      <c r="L383" s="249"/>
      <c r="M383" s="236"/>
      <c r="N383" s="54" t="s">
        <v>249</v>
      </c>
      <c r="O383" s="19"/>
      <c r="P383" s="19"/>
      <c r="Q383" s="17">
        <v>35</v>
      </c>
      <c r="R383" s="236"/>
      <c r="S383" s="236"/>
      <c r="T383" s="236"/>
      <c r="U383" s="242"/>
    </row>
    <row r="384" spans="1:21" ht="13">
      <c r="A384" s="249"/>
      <c r="B384" s="236"/>
      <c r="C384" s="54" t="s">
        <v>44</v>
      </c>
      <c r="D384" s="19"/>
      <c r="E384" s="19"/>
      <c r="F384" s="17">
        <v>19.2</v>
      </c>
      <c r="G384" s="236"/>
      <c r="H384" s="236"/>
      <c r="I384" s="236"/>
      <c r="J384" s="242"/>
      <c r="L384" s="249"/>
      <c r="M384" s="236"/>
      <c r="N384" s="54" t="s">
        <v>44</v>
      </c>
      <c r="O384" s="19"/>
      <c r="P384" s="19"/>
      <c r="Q384" s="17">
        <v>19.2</v>
      </c>
      <c r="R384" s="236"/>
      <c r="S384" s="236"/>
      <c r="T384" s="236"/>
      <c r="U384" s="242"/>
    </row>
    <row r="385" spans="1:21" ht="14">
      <c r="A385" s="249"/>
      <c r="B385" s="248"/>
      <c r="C385" s="55" t="s">
        <v>165</v>
      </c>
      <c r="D385" s="20"/>
      <c r="E385" s="20"/>
      <c r="F385" s="66">
        <v>67.31</v>
      </c>
      <c r="G385" s="238"/>
      <c r="H385" s="238"/>
      <c r="I385" s="238"/>
      <c r="J385" s="243"/>
      <c r="L385" s="249"/>
      <c r="M385" s="248"/>
      <c r="N385" s="55" t="s">
        <v>165</v>
      </c>
      <c r="O385" s="20"/>
      <c r="P385" s="20"/>
      <c r="Q385" s="66">
        <v>67.31</v>
      </c>
      <c r="R385" s="238"/>
      <c r="S385" s="238"/>
      <c r="T385" s="238"/>
      <c r="U385" s="243"/>
    </row>
    <row r="386" spans="1:21" ht="13">
      <c r="A386" s="249"/>
      <c r="B386" s="280" t="s">
        <v>250</v>
      </c>
      <c r="C386" s="54" t="s">
        <v>209</v>
      </c>
      <c r="D386" s="19">
        <v>7</v>
      </c>
      <c r="E386" s="19">
        <v>16</v>
      </c>
      <c r="F386" s="17">
        <f>D386*E386</f>
        <v>112</v>
      </c>
      <c r="G386" s="240">
        <f>SUM(F386:F388)</f>
        <v>132</v>
      </c>
      <c r="H386" s="273">
        <v>2217.6</v>
      </c>
      <c r="I386" s="273">
        <f>H386-G386</f>
        <v>2085.6</v>
      </c>
      <c r="J386" s="241">
        <f>I386/H386</f>
        <v>0.94047619047619047</v>
      </c>
      <c r="L386" s="249"/>
      <c r="M386" s="280" t="s">
        <v>250</v>
      </c>
      <c r="N386" s="54" t="s">
        <v>209</v>
      </c>
      <c r="O386" s="18"/>
      <c r="P386" s="18"/>
      <c r="Q386" s="18"/>
      <c r="R386" s="240">
        <f>SUM(Q386:Q388)</f>
        <v>20</v>
      </c>
      <c r="S386" s="273">
        <v>2217.6</v>
      </c>
      <c r="T386" s="273">
        <f>S386-R386</f>
        <v>2197.6</v>
      </c>
      <c r="U386" s="241">
        <f>T386/S386</f>
        <v>0.99098124098124096</v>
      </c>
    </row>
    <row r="387" spans="1:21" ht="13">
      <c r="A387" s="249"/>
      <c r="B387" s="236"/>
      <c r="C387" s="54" t="s">
        <v>249</v>
      </c>
      <c r="D387" s="19"/>
      <c r="E387" s="19"/>
      <c r="F387" s="17">
        <v>20</v>
      </c>
      <c r="G387" s="236"/>
      <c r="H387" s="236"/>
      <c r="I387" s="236"/>
      <c r="J387" s="242"/>
      <c r="L387" s="249"/>
      <c r="M387" s="236"/>
      <c r="N387" s="54" t="s">
        <v>249</v>
      </c>
      <c r="O387" s="19"/>
      <c r="P387" s="19"/>
      <c r="Q387" s="17">
        <v>20</v>
      </c>
      <c r="R387" s="236"/>
      <c r="S387" s="236"/>
      <c r="T387" s="236"/>
      <c r="U387" s="242"/>
    </row>
    <row r="388" spans="1:21" ht="13">
      <c r="A388" s="250"/>
      <c r="B388" s="248"/>
      <c r="C388" s="55"/>
      <c r="D388" s="20"/>
      <c r="E388" s="20"/>
      <c r="F388" s="21"/>
      <c r="G388" s="238"/>
      <c r="H388" s="238"/>
      <c r="I388" s="238"/>
      <c r="J388" s="243"/>
      <c r="L388" s="250"/>
      <c r="M388" s="248"/>
      <c r="N388" s="55"/>
      <c r="O388" s="20"/>
      <c r="P388" s="20"/>
      <c r="Q388" s="21"/>
      <c r="R388" s="238"/>
      <c r="S388" s="238"/>
      <c r="T388" s="238"/>
      <c r="U388" s="243"/>
    </row>
    <row r="389" spans="1:21" ht="30">
      <c r="A389" s="278" t="s">
        <v>251</v>
      </c>
      <c r="B389" s="252"/>
      <c r="C389" s="253"/>
      <c r="D389" s="56">
        <f t="shared" ref="D389:I389" si="72">AVERAGE(D272:D388)</f>
        <v>15.041739130434781</v>
      </c>
      <c r="E389" s="56">
        <f t="shared" si="72"/>
        <v>15.782608695652174</v>
      </c>
      <c r="F389" s="56">
        <f t="shared" si="72"/>
        <v>216.52463636363635</v>
      </c>
      <c r="G389" s="56">
        <f t="shared" si="72"/>
        <v>1064.9445833333334</v>
      </c>
      <c r="H389" s="56">
        <f t="shared" si="72"/>
        <v>3392.7679166666671</v>
      </c>
      <c r="I389" s="56">
        <f t="shared" si="72"/>
        <v>2327.8233333333333</v>
      </c>
      <c r="J389" s="57">
        <f>AVERAGE($J$12:$J$76)</f>
        <v>0.79942354689485917</v>
      </c>
      <c r="L389" s="278" t="s">
        <v>251</v>
      </c>
      <c r="M389" s="252"/>
      <c r="N389" s="253"/>
      <c r="O389" s="56">
        <f t="shared" ref="O389:T389" si="73">AVERAGE(O272:O388)</f>
        <v>15.517714285714286</v>
      </c>
      <c r="P389" s="56">
        <f t="shared" si="73"/>
        <v>15.628571428571428</v>
      </c>
      <c r="Q389" s="56">
        <f t="shared" si="73"/>
        <v>216.23545454545453</v>
      </c>
      <c r="R389" s="56">
        <f t="shared" si="73"/>
        <v>975.84458333333339</v>
      </c>
      <c r="S389" s="56">
        <f t="shared" si="73"/>
        <v>3392.7679166666671</v>
      </c>
      <c r="T389" s="56">
        <f t="shared" si="73"/>
        <v>2416.9233333333332</v>
      </c>
      <c r="U389" s="57">
        <f>AVERAGE($J$12:$J$76)</f>
        <v>0.79942354689485917</v>
      </c>
    </row>
    <row r="390" spans="1:21" ht="30">
      <c r="A390" s="279" t="s">
        <v>252</v>
      </c>
      <c r="B390" s="255"/>
      <c r="C390" s="256"/>
      <c r="D390" s="56">
        <f t="shared" ref="D390:I390" si="74">SUM(D272:D388)</f>
        <v>691.92</v>
      </c>
      <c r="E390" s="56">
        <f t="shared" si="74"/>
        <v>726</v>
      </c>
      <c r="F390" s="56">
        <f t="shared" si="74"/>
        <v>23817.71</v>
      </c>
      <c r="G390" s="56">
        <f t="shared" si="74"/>
        <v>25558.670000000002</v>
      </c>
      <c r="H390" s="56">
        <f t="shared" si="74"/>
        <v>81426.430000000008</v>
      </c>
      <c r="I390" s="56">
        <f t="shared" si="74"/>
        <v>55867.759999999995</v>
      </c>
      <c r="J390" s="58">
        <f t="shared" ref="J390:J391" si="75">I390/H390</f>
        <v>0.68611334182279626</v>
      </c>
      <c r="L390" s="279" t="s">
        <v>252</v>
      </c>
      <c r="M390" s="255"/>
      <c r="N390" s="256"/>
      <c r="O390" s="56">
        <f t="shared" ref="O390:T390" si="76">SUM(O272:O388)</f>
        <v>543.12</v>
      </c>
      <c r="P390" s="56">
        <f t="shared" si="76"/>
        <v>547</v>
      </c>
      <c r="Q390" s="56">
        <f t="shared" si="76"/>
        <v>21407.309999999998</v>
      </c>
      <c r="R390" s="56">
        <f t="shared" si="76"/>
        <v>23420.27</v>
      </c>
      <c r="S390" s="56">
        <f t="shared" si="76"/>
        <v>81426.430000000008</v>
      </c>
      <c r="T390" s="56">
        <f t="shared" si="76"/>
        <v>58006.159999999996</v>
      </c>
      <c r="U390" s="58">
        <f t="shared" ref="U390:U391" si="77">T390/S390</f>
        <v>0.71237508509214997</v>
      </c>
    </row>
    <row r="391" spans="1:21" ht="13">
      <c r="A391" s="277" t="s">
        <v>4</v>
      </c>
      <c r="B391" s="280" t="s">
        <v>253</v>
      </c>
      <c r="C391" s="54" t="s">
        <v>73</v>
      </c>
      <c r="D391" s="19"/>
      <c r="E391" s="19"/>
      <c r="F391" s="17">
        <v>500</v>
      </c>
      <c r="G391" s="240">
        <f>SUM(F391:F396)</f>
        <v>1202.1299999999999</v>
      </c>
      <c r="H391" s="273">
        <v>4281</v>
      </c>
      <c r="I391" s="273">
        <f>H391-G391</f>
        <v>3078.87</v>
      </c>
      <c r="J391" s="241">
        <f t="shared" si="75"/>
        <v>0.71919411352487739</v>
      </c>
      <c r="L391" s="277" t="s">
        <v>4</v>
      </c>
      <c r="M391" s="280" t="s">
        <v>253</v>
      </c>
      <c r="N391" s="54" t="s">
        <v>73</v>
      </c>
      <c r="O391" s="19"/>
      <c r="P391" s="19"/>
      <c r="Q391" s="17">
        <v>500</v>
      </c>
      <c r="R391" s="240">
        <f>SUM(Q391:Q396)</f>
        <v>1202.1299999999999</v>
      </c>
      <c r="S391" s="273">
        <v>4281</v>
      </c>
      <c r="T391" s="273">
        <f>S391-R391</f>
        <v>3078.87</v>
      </c>
      <c r="U391" s="241">
        <f t="shared" si="77"/>
        <v>0.71919411352487739</v>
      </c>
    </row>
    <row r="392" spans="1:21" ht="13">
      <c r="A392" s="249"/>
      <c r="B392" s="236"/>
      <c r="C392" s="54" t="s">
        <v>45</v>
      </c>
      <c r="D392" s="19"/>
      <c r="E392" s="19"/>
      <c r="F392" s="17">
        <v>235</v>
      </c>
      <c r="G392" s="236"/>
      <c r="H392" s="236"/>
      <c r="I392" s="236"/>
      <c r="J392" s="242"/>
      <c r="L392" s="249"/>
      <c r="M392" s="236"/>
      <c r="N392" s="54" t="s">
        <v>45</v>
      </c>
      <c r="O392" s="19"/>
      <c r="P392" s="19"/>
      <c r="Q392" s="17">
        <v>235</v>
      </c>
      <c r="R392" s="236"/>
      <c r="S392" s="236"/>
      <c r="T392" s="236"/>
      <c r="U392" s="242"/>
    </row>
    <row r="393" spans="1:21" ht="13">
      <c r="A393" s="249"/>
      <c r="B393" s="236"/>
      <c r="C393" s="54" t="s">
        <v>249</v>
      </c>
      <c r="D393" s="19"/>
      <c r="E393" s="19"/>
      <c r="F393" s="17">
        <v>105</v>
      </c>
      <c r="G393" s="236"/>
      <c r="H393" s="236"/>
      <c r="I393" s="236"/>
      <c r="J393" s="242"/>
      <c r="L393" s="249"/>
      <c r="M393" s="236"/>
      <c r="N393" s="54" t="s">
        <v>249</v>
      </c>
      <c r="O393" s="19"/>
      <c r="P393" s="19"/>
      <c r="Q393" s="17">
        <v>105</v>
      </c>
      <c r="R393" s="236"/>
      <c r="S393" s="236"/>
      <c r="T393" s="236"/>
      <c r="U393" s="242"/>
    </row>
    <row r="394" spans="1:21" ht="13">
      <c r="A394" s="249"/>
      <c r="B394" s="236"/>
      <c r="C394" s="54" t="s">
        <v>44</v>
      </c>
      <c r="D394" s="19"/>
      <c r="E394" s="19"/>
      <c r="F394" s="17">
        <v>106.8</v>
      </c>
      <c r="G394" s="236"/>
      <c r="H394" s="236"/>
      <c r="I394" s="236"/>
      <c r="J394" s="242"/>
      <c r="L394" s="249"/>
      <c r="M394" s="236"/>
      <c r="N394" s="54" t="s">
        <v>44</v>
      </c>
      <c r="O394" s="19"/>
      <c r="P394" s="19"/>
      <c r="Q394" s="17">
        <v>106.8</v>
      </c>
      <c r="R394" s="236"/>
      <c r="S394" s="236"/>
      <c r="T394" s="236"/>
      <c r="U394" s="242"/>
    </row>
    <row r="395" spans="1:21" ht="13">
      <c r="A395" s="249"/>
      <c r="B395" s="236"/>
      <c r="C395" s="54" t="s">
        <v>33</v>
      </c>
      <c r="D395" s="19"/>
      <c r="E395" s="19"/>
      <c r="F395" s="17">
        <v>90</v>
      </c>
      <c r="G395" s="236"/>
      <c r="H395" s="236"/>
      <c r="I395" s="236"/>
      <c r="J395" s="242"/>
      <c r="L395" s="249"/>
      <c r="M395" s="236"/>
      <c r="N395" s="54" t="s">
        <v>33</v>
      </c>
      <c r="O395" s="19"/>
      <c r="P395" s="19"/>
      <c r="Q395" s="17">
        <v>90</v>
      </c>
      <c r="R395" s="236"/>
      <c r="S395" s="236"/>
      <c r="T395" s="236"/>
      <c r="U395" s="242"/>
    </row>
    <row r="396" spans="1:21" ht="14">
      <c r="A396" s="249"/>
      <c r="B396" s="248"/>
      <c r="C396" s="55" t="s">
        <v>254</v>
      </c>
      <c r="D396" s="20"/>
      <c r="E396" s="20"/>
      <c r="F396" s="67">
        <v>165.33</v>
      </c>
      <c r="G396" s="238"/>
      <c r="H396" s="238"/>
      <c r="I396" s="238"/>
      <c r="J396" s="243"/>
      <c r="L396" s="249"/>
      <c r="M396" s="248"/>
      <c r="N396" s="55" t="s">
        <v>254</v>
      </c>
      <c r="O396" s="20"/>
      <c r="P396" s="20"/>
      <c r="Q396" s="67">
        <v>165.33</v>
      </c>
      <c r="R396" s="238"/>
      <c r="S396" s="238"/>
      <c r="T396" s="238"/>
      <c r="U396" s="243"/>
    </row>
    <row r="397" spans="1:21" ht="13">
      <c r="A397" s="249"/>
      <c r="B397" s="244" t="s">
        <v>255</v>
      </c>
      <c r="C397" s="53" t="s">
        <v>256</v>
      </c>
      <c r="D397" s="16">
        <v>4</v>
      </c>
      <c r="E397" s="17">
        <v>13</v>
      </c>
      <c r="F397" s="17">
        <f>D397*E397</f>
        <v>52</v>
      </c>
      <c r="G397" s="240">
        <f>SUM(F397:F398)</f>
        <v>86.14</v>
      </c>
      <c r="H397" s="273">
        <v>1356.25</v>
      </c>
      <c r="I397" s="273">
        <f>H397-G397</f>
        <v>1270.1099999999999</v>
      </c>
      <c r="J397" s="241">
        <f>I397/H397</f>
        <v>0.93648663594470039</v>
      </c>
      <c r="L397" s="249"/>
      <c r="M397" s="244" t="s">
        <v>255</v>
      </c>
      <c r="N397" s="53" t="s">
        <v>256</v>
      </c>
      <c r="O397" s="18"/>
      <c r="P397" s="18"/>
      <c r="Q397" s="18"/>
      <c r="R397" s="240">
        <f>SUM(Q397:Q398)</f>
        <v>34.14</v>
      </c>
      <c r="S397" s="273">
        <v>1356.25</v>
      </c>
      <c r="T397" s="273">
        <f>S397-R397</f>
        <v>1322.11</v>
      </c>
      <c r="U397" s="241">
        <f>T397/S397</f>
        <v>0.97482764976958514</v>
      </c>
    </row>
    <row r="398" spans="1:21" ht="13">
      <c r="A398" s="249"/>
      <c r="B398" s="246"/>
      <c r="C398" s="55" t="s">
        <v>33</v>
      </c>
      <c r="D398" s="20"/>
      <c r="E398" s="20"/>
      <c r="F398" s="21">
        <v>34.14</v>
      </c>
      <c r="G398" s="238"/>
      <c r="H398" s="238"/>
      <c r="I398" s="238"/>
      <c r="J398" s="243"/>
      <c r="L398" s="249"/>
      <c r="M398" s="246"/>
      <c r="N398" s="55" t="s">
        <v>33</v>
      </c>
      <c r="O398" s="20"/>
      <c r="P398" s="20"/>
      <c r="Q398" s="21">
        <v>34.14</v>
      </c>
      <c r="R398" s="238"/>
      <c r="S398" s="238"/>
      <c r="T398" s="238"/>
      <c r="U398" s="243"/>
    </row>
    <row r="399" spans="1:21" ht="13">
      <c r="A399" s="249"/>
      <c r="B399" s="280" t="s">
        <v>257</v>
      </c>
      <c r="C399" s="54" t="s">
        <v>23</v>
      </c>
      <c r="D399" s="16">
        <v>7</v>
      </c>
      <c r="E399" s="17">
        <v>16</v>
      </c>
      <c r="F399" s="17">
        <f>D399*E399</f>
        <v>112</v>
      </c>
      <c r="G399" s="240">
        <f>SUM(F399:F401)</f>
        <v>197</v>
      </c>
      <c r="H399" s="273">
        <v>2116.8000000000002</v>
      </c>
      <c r="I399" s="273">
        <f>H399-G399</f>
        <v>1919.8000000000002</v>
      </c>
      <c r="J399" s="241">
        <f>I399/H399</f>
        <v>0.9069349962207105</v>
      </c>
      <c r="L399" s="249"/>
      <c r="M399" s="280" t="s">
        <v>257</v>
      </c>
      <c r="N399" s="54" t="s">
        <v>23</v>
      </c>
      <c r="O399" s="16">
        <v>7</v>
      </c>
      <c r="P399" s="17">
        <v>16</v>
      </c>
      <c r="Q399" s="17">
        <f>O399*P399</f>
        <v>112</v>
      </c>
      <c r="R399" s="240">
        <f>SUM(Q399:Q401)</f>
        <v>197</v>
      </c>
      <c r="S399" s="273">
        <v>2116.8000000000002</v>
      </c>
      <c r="T399" s="273">
        <f>S399-R399</f>
        <v>1919.8000000000002</v>
      </c>
      <c r="U399" s="241">
        <f>T399/S399</f>
        <v>0.9069349962207105</v>
      </c>
    </row>
    <row r="400" spans="1:21" ht="13">
      <c r="A400" s="249"/>
      <c r="B400" s="236"/>
      <c r="C400" s="54" t="s">
        <v>45</v>
      </c>
      <c r="D400" s="19"/>
      <c r="E400" s="19"/>
      <c r="F400" s="17">
        <v>85</v>
      </c>
      <c r="G400" s="236"/>
      <c r="H400" s="236"/>
      <c r="I400" s="236"/>
      <c r="J400" s="242"/>
      <c r="L400" s="249"/>
      <c r="M400" s="236"/>
      <c r="N400" s="54" t="s">
        <v>45</v>
      </c>
      <c r="O400" s="19"/>
      <c r="P400" s="19"/>
      <c r="Q400" s="17">
        <v>85</v>
      </c>
      <c r="R400" s="236"/>
      <c r="S400" s="236"/>
      <c r="T400" s="236"/>
      <c r="U400" s="242"/>
    </row>
    <row r="401" spans="1:21" ht="14">
      <c r="A401" s="249"/>
      <c r="B401" s="248"/>
      <c r="C401" s="55"/>
      <c r="D401" s="20"/>
      <c r="E401" s="20"/>
      <c r="F401" s="67"/>
      <c r="G401" s="238"/>
      <c r="H401" s="238"/>
      <c r="I401" s="238"/>
      <c r="J401" s="243"/>
      <c r="L401" s="249"/>
      <c r="M401" s="248"/>
      <c r="N401" s="55"/>
      <c r="O401" s="20"/>
      <c r="P401" s="20"/>
      <c r="Q401" s="67"/>
      <c r="R401" s="238"/>
      <c r="S401" s="238"/>
      <c r="T401" s="238"/>
      <c r="U401" s="243"/>
    </row>
    <row r="402" spans="1:21" ht="13">
      <c r="A402" s="249"/>
      <c r="B402" s="280" t="s">
        <v>258</v>
      </c>
      <c r="C402" s="54" t="s">
        <v>23</v>
      </c>
      <c r="D402" s="16">
        <v>14</v>
      </c>
      <c r="E402" s="17">
        <v>16</v>
      </c>
      <c r="F402" s="17">
        <f>D402*E402</f>
        <v>224</v>
      </c>
      <c r="G402" s="240">
        <f>SUM(F402:F407)</f>
        <v>756.83999999999992</v>
      </c>
      <c r="H402" s="273">
        <v>4697.0200000000004</v>
      </c>
      <c r="I402" s="273">
        <f>H402-G402</f>
        <v>3940.1800000000003</v>
      </c>
      <c r="J402" s="241">
        <f>I402/H402</f>
        <v>0.83886804825187034</v>
      </c>
      <c r="L402" s="249"/>
      <c r="M402" s="280" t="s">
        <v>258</v>
      </c>
      <c r="N402" s="54" t="s">
        <v>23</v>
      </c>
      <c r="O402" s="18"/>
      <c r="P402" s="18"/>
      <c r="Q402" s="18"/>
      <c r="R402" s="240">
        <f>SUM(Q402:Q407)</f>
        <v>532.83999999999992</v>
      </c>
      <c r="S402" s="273">
        <v>4697.0200000000004</v>
      </c>
      <c r="T402" s="273">
        <f>S402-R402</f>
        <v>4164.18</v>
      </c>
      <c r="U402" s="241">
        <f>T402/S402</f>
        <v>0.88655786009001447</v>
      </c>
    </row>
    <row r="403" spans="1:21" ht="13">
      <c r="A403" s="249"/>
      <c r="B403" s="236"/>
      <c r="C403" s="54" t="s">
        <v>70</v>
      </c>
      <c r="D403" s="17"/>
      <c r="E403" s="17"/>
      <c r="F403" s="17">
        <v>150</v>
      </c>
      <c r="G403" s="236"/>
      <c r="H403" s="236"/>
      <c r="I403" s="236"/>
      <c r="J403" s="242"/>
      <c r="L403" s="249"/>
      <c r="M403" s="236"/>
      <c r="N403" s="54" t="s">
        <v>70</v>
      </c>
      <c r="O403" s="17"/>
      <c r="P403" s="17"/>
      <c r="Q403" s="17">
        <v>150</v>
      </c>
      <c r="R403" s="236"/>
      <c r="S403" s="236"/>
      <c r="T403" s="236"/>
      <c r="U403" s="242"/>
    </row>
    <row r="404" spans="1:21" ht="13">
      <c r="A404" s="249"/>
      <c r="B404" s="236"/>
      <c r="C404" s="54" t="s">
        <v>45</v>
      </c>
      <c r="D404" s="19"/>
      <c r="E404" s="19"/>
      <c r="F404" s="17">
        <v>120</v>
      </c>
      <c r="G404" s="236"/>
      <c r="H404" s="236"/>
      <c r="I404" s="236"/>
      <c r="J404" s="242"/>
      <c r="L404" s="249"/>
      <c r="M404" s="236"/>
      <c r="N404" s="54" t="s">
        <v>45</v>
      </c>
      <c r="O404" s="19"/>
      <c r="P404" s="19"/>
      <c r="Q404" s="17">
        <v>120</v>
      </c>
      <c r="R404" s="236"/>
      <c r="S404" s="236"/>
      <c r="T404" s="236"/>
      <c r="U404" s="242"/>
    </row>
    <row r="405" spans="1:21" ht="13">
      <c r="A405" s="249"/>
      <c r="B405" s="236"/>
      <c r="C405" s="54" t="s">
        <v>259</v>
      </c>
      <c r="D405" s="19"/>
      <c r="E405" s="19"/>
      <c r="F405" s="17">
        <v>68.650000000000006</v>
      </c>
      <c r="G405" s="236"/>
      <c r="H405" s="236"/>
      <c r="I405" s="236"/>
      <c r="J405" s="242"/>
      <c r="L405" s="249"/>
      <c r="M405" s="236"/>
      <c r="N405" s="54" t="s">
        <v>259</v>
      </c>
      <c r="O405" s="19"/>
      <c r="P405" s="19"/>
      <c r="Q405" s="17">
        <v>68.650000000000006</v>
      </c>
      <c r="R405" s="236"/>
      <c r="S405" s="236"/>
      <c r="T405" s="236"/>
      <c r="U405" s="242"/>
    </row>
    <row r="406" spans="1:21" ht="13">
      <c r="A406" s="249"/>
      <c r="B406" s="236"/>
      <c r="C406" s="54" t="s">
        <v>47</v>
      </c>
      <c r="D406" s="19"/>
      <c r="E406" s="19"/>
      <c r="F406" s="17">
        <v>68</v>
      </c>
      <c r="G406" s="236"/>
      <c r="H406" s="236"/>
      <c r="I406" s="236"/>
      <c r="J406" s="242"/>
      <c r="L406" s="249"/>
      <c r="M406" s="236"/>
      <c r="N406" s="54" t="s">
        <v>47</v>
      </c>
      <c r="O406" s="19"/>
      <c r="P406" s="19"/>
      <c r="Q406" s="17">
        <v>68</v>
      </c>
      <c r="R406" s="236"/>
      <c r="S406" s="236"/>
      <c r="T406" s="236"/>
      <c r="U406" s="242"/>
    </row>
    <row r="407" spans="1:21" ht="13">
      <c r="A407" s="249"/>
      <c r="B407" s="248"/>
      <c r="C407" s="55" t="s">
        <v>174</v>
      </c>
      <c r="D407" s="20"/>
      <c r="E407" s="20"/>
      <c r="F407" s="21">
        <v>126.19</v>
      </c>
      <c r="G407" s="238"/>
      <c r="H407" s="238"/>
      <c r="I407" s="238"/>
      <c r="J407" s="243"/>
      <c r="L407" s="249"/>
      <c r="M407" s="248"/>
      <c r="N407" s="55" t="s">
        <v>174</v>
      </c>
      <c r="O407" s="20"/>
      <c r="P407" s="20"/>
      <c r="Q407" s="21">
        <v>126.19</v>
      </c>
      <c r="R407" s="238"/>
      <c r="S407" s="238"/>
      <c r="T407" s="238"/>
      <c r="U407" s="243"/>
    </row>
    <row r="408" spans="1:21" ht="13">
      <c r="A408" s="249"/>
      <c r="B408" s="280" t="s">
        <v>260</v>
      </c>
      <c r="C408" s="54" t="s">
        <v>23</v>
      </c>
      <c r="D408" s="16">
        <v>14</v>
      </c>
      <c r="E408" s="17">
        <v>16</v>
      </c>
      <c r="F408" s="17">
        <f>D408*E408</f>
        <v>224</v>
      </c>
      <c r="G408" s="240">
        <f>SUM(F408:F413)</f>
        <v>797.61</v>
      </c>
      <c r="H408" s="273">
        <v>3202.5</v>
      </c>
      <c r="I408" s="273">
        <f>H408-G408</f>
        <v>2404.89</v>
      </c>
      <c r="J408" s="241">
        <f>I408/H408</f>
        <v>0.75094145199063222</v>
      </c>
      <c r="L408" s="249"/>
      <c r="M408" s="280" t="s">
        <v>260</v>
      </c>
      <c r="N408" s="54" t="s">
        <v>23</v>
      </c>
      <c r="O408" s="18"/>
      <c r="P408" s="18"/>
      <c r="Q408" s="18"/>
      <c r="R408" s="240">
        <f>SUM(Q408:Q413)</f>
        <v>573.6099999999999</v>
      </c>
      <c r="S408" s="273">
        <v>3202.5</v>
      </c>
      <c r="T408" s="273">
        <f>S408-R408</f>
        <v>2628.8900000000003</v>
      </c>
      <c r="U408" s="241">
        <f>T408/S408</f>
        <v>0.82088680718188922</v>
      </c>
    </row>
    <row r="409" spans="1:21" ht="13">
      <c r="A409" s="249"/>
      <c r="B409" s="236"/>
      <c r="C409" s="54" t="s">
        <v>45</v>
      </c>
      <c r="D409" s="19"/>
      <c r="E409" s="19"/>
      <c r="F409" s="17">
        <v>116</v>
      </c>
      <c r="G409" s="236"/>
      <c r="H409" s="236"/>
      <c r="I409" s="236"/>
      <c r="J409" s="242"/>
      <c r="L409" s="249"/>
      <c r="M409" s="236"/>
      <c r="N409" s="54" t="s">
        <v>45</v>
      </c>
      <c r="O409" s="19"/>
      <c r="P409" s="19"/>
      <c r="Q409" s="17">
        <v>116</v>
      </c>
      <c r="R409" s="236"/>
      <c r="S409" s="236"/>
      <c r="T409" s="236"/>
      <c r="U409" s="242"/>
    </row>
    <row r="410" spans="1:21" ht="13">
      <c r="A410" s="249"/>
      <c r="B410" s="236"/>
      <c r="C410" s="54" t="s">
        <v>259</v>
      </c>
      <c r="D410" s="19"/>
      <c r="E410" s="19"/>
      <c r="F410" s="17">
        <v>54.13</v>
      </c>
      <c r="G410" s="236"/>
      <c r="H410" s="236"/>
      <c r="I410" s="236"/>
      <c r="J410" s="242"/>
      <c r="L410" s="249"/>
      <c r="M410" s="236"/>
      <c r="N410" s="54" t="s">
        <v>259</v>
      </c>
      <c r="O410" s="19"/>
      <c r="P410" s="19"/>
      <c r="Q410" s="17">
        <v>54.13</v>
      </c>
      <c r="R410" s="236"/>
      <c r="S410" s="236"/>
      <c r="T410" s="236"/>
      <c r="U410" s="242"/>
    </row>
    <row r="411" spans="1:21" ht="13">
      <c r="A411" s="249"/>
      <c r="B411" s="236"/>
      <c r="C411" s="54" t="s">
        <v>47</v>
      </c>
      <c r="D411" s="19"/>
      <c r="E411" s="19"/>
      <c r="F411" s="17">
        <v>76.58</v>
      </c>
      <c r="G411" s="236"/>
      <c r="H411" s="236"/>
      <c r="I411" s="236"/>
      <c r="J411" s="242"/>
      <c r="L411" s="249"/>
      <c r="M411" s="236"/>
      <c r="N411" s="54" t="s">
        <v>47</v>
      </c>
      <c r="O411" s="19"/>
      <c r="P411" s="19"/>
      <c r="Q411" s="17">
        <v>76.58</v>
      </c>
      <c r="R411" s="236"/>
      <c r="S411" s="236"/>
      <c r="T411" s="236"/>
      <c r="U411" s="242"/>
    </row>
    <row r="412" spans="1:21" ht="13">
      <c r="A412" s="249"/>
      <c r="B412" s="236"/>
      <c r="C412" s="54" t="s">
        <v>44</v>
      </c>
      <c r="D412" s="19"/>
      <c r="E412" s="19"/>
      <c r="F412" s="17">
        <v>51.9</v>
      </c>
      <c r="G412" s="236"/>
      <c r="H412" s="236"/>
      <c r="I412" s="236"/>
      <c r="J412" s="242"/>
      <c r="L412" s="249"/>
      <c r="M412" s="236"/>
      <c r="N412" s="54" t="s">
        <v>44</v>
      </c>
      <c r="O412" s="19"/>
      <c r="P412" s="19"/>
      <c r="Q412" s="17">
        <v>51.9</v>
      </c>
      <c r="R412" s="236"/>
      <c r="S412" s="236"/>
      <c r="T412" s="236"/>
      <c r="U412" s="242"/>
    </row>
    <row r="413" spans="1:21" ht="13">
      <c r="A413" s="249"/>
      <c r="B413" s="248"/>
      <c r="C413" s="55" t="s">
        <v>33</v>
      </c>
      <c r="D413" s="20"/>
      <c r="E413" s="20"/>
      <c r="F413" s="21">
        <v>275</v>
      </c>
      <c r="G413" s="238"/>
      <c r="H413" s="238"/>
      <c r="I413" s="238"/>
      <c r="J413" s="243"/>
      <c r="L413" s="249"/>
      <c r="M413" s="248"/>
      <c r="N413" s="55" t="s">
        <v>33</v>
      </c>
      <c r="O413" s="20"/>
      <c r="P413" s="20"/>
      <c r="Q413" s="21">
        <v>275</v>
      </c>
      <c r="R413" s="238"/>
      <c r="S413" s="238"/>
      <c r="T413" s="238"/>
      <c r="U413" s="243"/>
    </row>
    <row r="414" spans="1:21" ht="13">
      <c r="A414" s="249"/>
      <c r="B414" s="280" t="s">
        <v>261</v>
      </c>
      <c r="C414" s="54" t="s">
        <v>23</v>
      </c>
      <c r="D414" s="16">
        <v>14</v>
      </c>
      <c r="E414" s="17">
        <v>16</v>
      </c>
      <c r="F414" s="17">
        <f>D414*E414</f>
        <v>224</v>
      </c>
      <c r="G414" s="240">
        <f>SUM(F414:F418)</f>
        <v>632.73</v>
      </c>
      <c r="H414" s="273">
        <v>3079.62</v>
      </c>
      <c r="I414" s="273">
        <f>H414-G414</f>
        <v>2446.89</v>
      </c>
      <c r="J414" s="241">
        <f>I414/H414</f>
        <v>0.79454283320669428</v>
      </c>
      <c r="L414" s="249"/>
      <c r="M414" s="280" t="s">
        <v>261</v>
      </c>
      <c r="N414" s="54" t="s">
        <v>23</v>
      </c>
      <c r="O414" s="18"/>
      <c r="P414" s="18"/>
      <c r="Q414" s="18"/>
      <c r="R414" s="240">
        <f>SUM(Q414:Q418)</f>
        <v>408.73</v>
      </c>
      <c r="S414" s="273">
        <v>3079.62</v>
      </c>
      <c r="T414" s="273">
        <f>S414-R414</f>
        <v>2670.89</v>
      </c>
      <c r="U414" s="241">
        <f>T414/S414</f>
        <v>0.86727907988647945</v>
      </c>
    </row>
    <row r="415" spans="1:21" ht="13">
      <c r="A415" s="249"/>
      <c r="B415" s="236"/>
      <c r="C415" s="54" t="s">
        <v>45</v>
      </c>
      <c r="D415" s="19"/>
      <c r="E415" s="19"/>
      <c r="F415" s="17">
        <v>90</v>
      </c>
      <c r="G415" s="236"/>
      <c r="H415" s="236"/>
      <c r="I415" s="236"/>
      <c r="J415" s="242"/>
      <c r="L415" s="249"/>
      <c r="M415" s="236"/>
      <c r="N415" s="54" t="s">
        <v>45</v>
      </c>
      <c r="O415" s="19"/>
      <c r="P415" s="19"/>
      <c r="Q415" s="17">
        <v>90</v>
      </c>
      <c r="R415" s="236"/>
      <c r="S415" s="236"/>
      <c r="T415" s="236"/>
      <c r="U415" s="242"/>
    </row>
    <row r="416" spans="1:21" ht="13">
      <c r="A416" s="249"/>
      <c r="B416" s="236"/>
      <c r="C416" s="54" t="s">
        <v>259</v>
      </c>
      <c r="D416" s="19"/>
      <c r="E416" s="19"/>
      <c r="F416" s="17">
        <v>59.89</v>
      </c>
      <c r="G416" s="236"/>
      <c r="H416" s="236"/>
      <c r="I416" s="236"/>
      <c r="J416" s="242"/>
      <c r="L416" s="249"/>
      <c r="M416" s="236"/>
      <c r="N416" s="54" t="s">
        <v>259</v>
      </c>
      <c r="O416" s="19"/>
      <c r="P416" s="19"/>
      <c r="Q416" s="17">
        <v>59.89</v>
      </c>
      <c r="R416" s="236"/>
      <c r="S416" s="236"/>
      <c r="T416" s="236"/>
      <c r="U416" s="242"/>
    </row>
    <row r="417" spans="1:21" ht="13">
      <c r="A417" s="249"/>
      <c r="B417" s="236"/>
      <c r="C417" s="54" t="s">
        <v>47</v>
      </c>
      <c r="D417" s="19"/>
      <c r="E417" s="19"/>
      <c r="F417" s="17">
        <v>133.47999999999999</v>
      </c>
      <c r="G417" s="236"/>
      <c r="H417" s="236"/>
      <c r="I417" s="236"/>
      <c r="J417" s="242"/>
      <c r="L417" s="249"/>
      <c r="M417" s="236"/>
      <c r="N417" s="54" t="s">
        <v>47</v>
      </c>
      <c r="O417" s="19"/>
      <c r="P417" s="19"/>
      <c r="Q417" s="17">
        <v>133.47999999999999</v>
      </c>
      <c r="R417" s="236"/>
      <c r="S417" s="236"/>
      <c r="T417" s="236"/>
      <c r="U417" s="242"/>
    </row>
    <row r="418" spans="1:21" ht="13">
      <c r="A418" s="249"/>
      <c r="B418" s="248"/>
      <c r="C418" s="55" t="s">
        <v>44</v>
      </c>
      <c r="D418" s="20"/>
      <c r="E418" s="20"/>
      <c r="F418" s="21">
        <v>125.36</v>
      </c>
      <c r="G418" s="238"/>
      <c r="H418" s="238"/>
      <c r="I418" s="238"/>
      <c r="J418" s="243"/>
      <c r="L418" s="249"/>
      <c r="M418" s="248"/>
      <c r="N418" s="55" t="s">
        <v>44</v>
      </c>
      <c r="O418" s="20"/>
      <c r="P418" s="20"/>
      <c r="Q418" s="21">
        <v>125.36</v>
      </c>
      <c r="R418" s="238"/>
      <c r="S418" s="238"/>
      <c r="T418" s="238"/>
      <c r="U418" s="243"/>
    </row>
    <row r="419" spans="1:21" ht="13">
      <c r="A419" s="249"/>
      <c r="B419" s="280" t="s">
        <v>262</v>
      </c>
      <c r="C419" s="54" t="s">
        <v>70</v>
      </c>
      <c r="D419" s="16">
        <v>35.909999999999997</v>
      </c>
      <c r="E419" s="17">
        <v>15</v>
      </c>
      <c r="F419" s="17">
        <f>D419*E419</f>
        <v>538.65</v>
      </c>
      <c r="G419" s="240">
        <f>SUM(F419:F420)</f>
        <v>538.65</v>
      </c>
      <c r="H419" s="273">
        <v>2600</v>
      </c>
      <c r="I419" s="273">
        <f>H419-G419</f>
        <v>2061.35</v>
      </c>
      <c r="J419" s="241">
        <f>I419/H419</f>
        <v>0.79282692307692304</v>
      </c>
      <c r="L419" s="249"/>
      <c r="M419" s="280" t="s">
        <v>262</v>
      </c>
      <c r="N419" s="54" t="s">
        <v>70</v>
      </c>
      <c r="O419" s="16">
        <v>35.909999999999997</v>
      </c>
      <c r="P419" s="17">
        <v>15</v>
      </c>
      <c r="Q419" s="17">
        <f>O419*P419</f>
        <v>538.65</v>
      </c>
      <c r="R419" s="240">
        <f>SUM(Q419:Q420)</f>
        <v>538.65</v>
      </c>
      <c r="S419" s="273">
        <v>2600</v>
      </c>
      <c r="T419" s="273">
        <f>S419-R419</f>
        <v>2061.35</v>
      </c>
      <c r="U419" s="241">
        <f>T419/S419</f>
        <v>0.79282692307692304</v>
      </c>
    </row>
    <row r="420" spans="1:21" ht="13">
      <c r="A420" s="249"/>
      <c r="B420" s="248"/>
      <c r="C420" s="55"/>
      <c r="D420" s="20"/>
      <c r="E420" s="20"/>
      <c r="F420" s="21"/>
      <c r="G420" s="238"/>
      <c r="H420" s="238"/>
      <c r="I420" s="238"/>
      <c r="J420" s="243"/>
      <c r="L420" s="249"/>
      <c r="M420" s="248"/>
      <c r="N420" s="55"/>
      <c r="O420" s="20"/>
      <c r="P420" s="20"/>
      <c r="Q420" s="21"/>
      <c r="R420" s="238"/>
      <c r="S420" s="238"/>
      <c r="T420" s="238"/>
      <c r="U420" s="243"/>
    </row>
    <row r="421" spans="1:21" ht="13">
      <c r="A421" s="249"/>
      <c r="B421" s="280" t="s">
        <v>263</v>
      </c>
      <c r="C421" s="54" t="s">
        <v>23</v>
      </c>
      <c r="D421" s="16">
        <v>14</v>
      </c>
      <c r="E421" s="17">
        <v>16</v>
      </c>
      <c r="F421" s="17">
        <f>D421*E421</f>
        <v>224</v>
      </c>
      <c r="G421" s="240">
        <f>SUM(F421:F437)</f>
        <v>5413.53</v>
      </c>
      <c r="H421" s="273">
        <v>9741.2099999999991</v>
      </c>
      <c r="I421" s="273">
        <f>H421-G421</f>
        <v>4327.6799999999994</v>
      </c>
      <c r="J421" s="241">
        <f>I421/H421</f>
        <v>0.44426513749318614</v>
      </c>
      <c r="L421" s="249"/>
      <c r="M421" s="280" t="s">
        <v>263</v>
      </c>
      <c r="N421" s="54" t="s">
        <v>23</v>
      </c>
      <c r="O421" s="18"/>
      <c r="P421" s="18"/>
      <c r="Q421" s="18"/>
      <c r="R421" s="240">
        <f>SUM(Q421:Q437)</f>
        <v>4685.53</v>
      </c>
      <c r="S421" s="273">
        <v>9741.2099999999991</v>
      </c>
      <c r="T421" s="273">
        <f>S421-R421</f>
        <v>5055.6799999999994</v>
      </c>
      <c r="U421" s="241">
        <f>T421/S421</f>
        <v>0.51899917977335464</v>
      </c>
    </row>
    <row r="422" spans="1:21" ht="13">
      <c r="A422" s="249"/>
      <c r="B422" s="236"/>
      <c r="C422" s="54" t="s">
        <v>51</v>
      </c>
      <c r="D422" s="17"/>
      <c r="E422" s="17"/>
      <c r="F422" s="17">
        <v>200</v>
      </c>
      <c r="G422" s="236"/>
      <c r="H422" s="236"/>
      <c r="I422" s="236"/>
      <c r="J422" s="242"/>
      <c r="L422" s="249"/>
      <c r="M422" s="236"/>
      <c r="N422" s="54" t="s">
        <v>51</v>
      </c>
      <c r="O422" s="17"/>
      <c r="P422" s="17"/>
      <c r="Q422" s="17">
        <v>200</v>
      </c>
      <c r="R422" s="236"/>
      <c r="S422" s="236"/>
      <c r="T422" s="236"/>
      <c r="U422" s="242"/>
    </row>
    <row r="423" spans="1:21" ht="13">
      <c r="A423" s="249"/>
      <c r="B423" s="236"/>
      <c r="C423" s="24" t="s">
        <v>209</v>
      </c>
      <c r="D423" s="17">
        <v>28</v>
      </c>
      <c r="E423" s="17">
        <v>18</v>
      </c>
      <c r="F423" s="17">
        <f t="shared" ref="F423:F429" si="78">D423*E423</f>
        <v>504</v>
      </c>
      <c r="G423" s="236"/>
      <c r="H423" s="236"/>
      <c r="I423" s="236"/>
      <c r="J423" s="242"/>
      <c r="L423" s="249"/>
      <c r="M423" s="236"/>
      <c r="N423" s="24" t="s">
        <v>209</v>
      </c>
      <c r="O423" s="18"/>
      <c r="P423" s="18"/>
      <c r="Q423" s="18"/>
      <c r="R423" s="236"/>
      <c r="S423" s="236"/>
      <c r="T423" s="236"/>
      <c r="U423" s="242"/>
    </row>
    <row r="424" spans="1:21" ht="13">
      <c r="A424" s="249"/>
      <c r="B424" s="236"/>
      <c r="C424" s="54" t="s">
        <v>58</v>
      </c>
      <c r="D424" s="17">
        <v>22.75</v>
      </c>
      <c r="E424" s="17">
        <v>13</v>
      </c>
      <c r="F424" s="17">
        <f t="shared" si="78"/>
        <v>295.75</v>
      </c>
      <c r="G424" s="236"/>
      <c r="H424" s="236"/>
      <c r="I424" s="236"/>
      <c r="J424" s="242"/>
      <c r="L424" s="249"/>
      <c r="M424" s="236"/>
      <c r="N424" s="54" t="s">
        <v>58</v>
      </c>
      <c r="O424" s="17">
        <v>22.75</v>
      </c>
      <c r="P424" s="17">
        <v>13</v>
      </c>
      <c r="Q424" s="17">
        <f t="shared" ref="Q424:Q429" si="79">O424*P424</f>
        <v>295.75</v>
      </c>
      <c r="R424" s="236"/>
      <c r="S424" s="236"/>
      <c r="T424" s="236"/>
      <c r="U424" s="242"/>
    </row>
    <row r="425" spans="1:21" ht="13">
      <c r="A425" s="249"/>
      <c r="B425" s="236"/>
      <c r="C425" s="54" t="s">
        <v>264</v>
      </c>
      <c r="D425" s="17">
        <v>14.75</v>
      </c>
      <c r="E425" s="17">
        <v>13</v>
      </c>
      <c r="F425" s="17">
        <f t="shared" si="78"/>
        <v>191.75</v>
      </c>
      <c r="G425" s="236"/>
      <c r="H425" s="236"/>
      <c r="I425" s="236"/>
      <c r="J425" s="242"/>
      <c r="L425" s="249"/>
      <c r="M425" s="236"/>
      <c r="N425" s="54" t="s">
        <v>264</v>
      </c>
      <c r="O425" s="17">
        <v>14.75</v>
      </c>
      <c r="P425" s="17">
        <v>13</v>
      </c>
      <c r="Q425" s="17">
        <f t="shared" si="79"/>
        <v>191.75</v>
      </c>
      <c r="R425" s="236"/>
      <c r="S425" s="236"/>
      <c r="T425" s="236"/>
      <c r="U425" s="242"/>
    </row>
    <row r="426" spans="1:21" ht="13">
      <c r="A426" s="249"/>
      <c r="B426" s="236"/>
      <c r="C426" s="54" t="s">
        <v>265</v>
      </c>
      <c r="D426" s="17">
        <v>30.12</v>
      </c>
      <c r="E426" s="17">
        <v>13</v>
      </c>
      <c r="F426" s="17">
        <f t="shared" si="78"/>
        <v>391.56</v>
      </c>
      <c r="G426" s="236"/>
      <c r="H426" s="236"/>
      <c r="I426" s="236"/>
      <c r="J426" s="242"/>
      <c r="L426" s="249"/>
      <c r="M426" s="236"/>
      <c r="N426" s="54" t="s">
        <v>265</v>
      </c>
      <c r="O426" s="17">
        <v>30.12</v>
      </c>
      <c r="P426" s="17">
        <v>13</v>
      </c>
      <c r="Q426" s="17">
        <f t="shared" si="79"/>
        <v>391.56</v>
      </c>
      <c r="R426" s="236"/>
      <c r="S426" s="236"/>
      <c r="T426" s="236"/>
      <c r="U426" s="242"/>
    </row>
    <row r="427" spans="1:21" ht="13">
      <c r="A427" s="249"/>
      <c r="B427" s="236"/>
      <c r="C427" s="54" t="s">
        <v>266</v>
      </c>
      <c r="D427" s="17">
        <v>30.5</v>
      </c>
      <c r="E427" s="17">
        <v>13</v>
      </c>
      <c r="F427" s="17">
        <f t="shared" si="78"/>
        <v>396.5</v>
      </c>
      <c r="G427" s="236"/>
      <c r="H427" s="236"/>
      <c r="I427" s="236"/>
      <c r="J427" s="242"/>
      <c r="L427" s="249"/>
      <c r="M427" s="236"/>
      <c r="N427" s="54" t="s">
        <v>266</v>
      </c>
      <c r="O427" s="17">
        <v>30.5</v>
      </c>
      <c r="P427" s="17">
        <v>13</v>
      </c>
      <c r="Q427" s="17">
        <f t="shared" si="79"/>
        <v>396.5</v>
      </c>
      <c r="R427" s="236"/>
      <c r="S427" s="236"/>
      <c r="T427" s="236"/>
      <c r="U427" s="242"/>
    </row>
    <row r="428" spans="1:21" ht="13">
      <c r="A428" s="249"/>
      <c r="B428" s="236"/>
      <c r="C428" s="54" t="s">
        <v>64</v>
      </c>
      <c r="D428" s="17">
        <v>25.77</v>
      </c>
      <c r="E428" s="17">
        <v>13</v>
      </c>
      <c r="F428" s="17">
        <f t="shared" si="78"/>
        <v>335.01</v>
      </c>
      <c r="G428" s="236"/>
      <c r="H428" s="236"/>
      <c r="I428" s="236"/>
      <c r="J428" s="242"/>
      <c r="L428" s="249"/>
      <c r="M428" s="236"/>
      <c r="N428" s="54" t="s">
        <v>64</v>
      </c>
      <c r="O428" s="17">
        <v>25.77</v>
      </c>
      <c r="P428" s="17">
        <v>13</v>
      </c>
      <c r="Q428" s="17">
        <f t="shared" si="79"/>
        <v>335.01</v>
      </c>
      <c r="R428" s="236"/>
      <c r="S428" s="236"/>
      <c r="T428" s="236"/>
      <c r="U428" s="242"/>
    </row>
    <row r="429" spans="1:21" ht="13">
      <c r="A429" s="249"/>
      <c r="B429" s="236"/>
      <c r="C429" s="54" t="s">
        <v>267</v>
      </c>
      <c r="D429" s="17">
        <v>6.38</v>
      </c>
      <c r="E429" s="17">
        <v>13</v>
      </c>
      <c r="F429" s="17">
        <f t="shared" si="78"/>
        <v>82.94</v>
      </c>
      <c r="G429" s="236"/>
      <c r="H429" s="236"/>
      <c r="I429" s="236"/>
      <c r="J429" s="242"/>
      <c r="L429" s="249"/>
      <c r="M429" s="236"/>
      <c r="N429" s="54" t="s">
        <v>63</v>
      </c>
      <c r="O429" s="17">
        <v>6.38</v>
      </c>
      <c r="P429" s="17">
        <v>13</v>
      </c>
      <c r="Q429" s="17">
        <f t="shared" si="79"/>
        <v>82.94</v>
      </c>
      <c r="R429" s="236"/>
      <c r="S429" s="236"/>
      <c r="T429" s="236"/>
      <c r="U429" s="242"/>
    </row>
    <row r="430" spans="1:21" ht="13">
      <c r="A430" s="249"/>
      <c r="B430" s="236"/>
      <c r="C430" s="54" t="s">
        <v>268</v>
      </c>
      <c r="D430" s="17"/>
      <c r="E430" s="17"/>
      <c r="F430" s="17">
        <v>180</v>
      </c>
      <c r="G430" s="236"/>
      <c r="H430" s="236"/>
      <c r="I430" s="236"/>
      <c r="J430" s="242"/>
      <c r="L430" s="249"/>
      <c r="M430" s="236"/>
      <c r="N430" s="54" t="s">
        <v>269</v>
      </c>
      <c r="O430" s="17"/>
      <c r="P430" s="17"/>
      <c r="Q430" s="17">
        <v>180</v>
      </c>
      <c r="R430" s="236"/>
      <c r="S430" s="236"/>
      <c r="T430" s="236"/>
      <c r="U430" s="242"/>
    </row>
    <row r="431" spans="1:21" ht="13">
      <c r="A431" s="249"/>
      <c r="B431" s="236"/>
      <c r="C431" s="54" t="s">
        <v>70</v>
      </c>
      <c r="D431" s="17">
        <v>9.15</v>
      </c>
      <c r="E431" s="17">
        <v>13</v>
      </c>
      <c r="F431" s="17">
        <f t="shared" ref="F431:F434" si="80">D431*E431</f>
        <v>118.95</v>
      </c>
      <c r="G431" s="236"/>
      <c r="H431" s="236"/>
      <c r="I431" s="236"/>
      <c r="J431" s="242"/>
      <c r="L431" s="249"/>
      <c r="M431" s="236"/>
      <c r="N431" s="54" t="s">
        <v>70</v>
      </c>
      <c r="O431" s="17">
        <v>9.15</v>
      </c>
      <c r="P431" s="17">
        <v>13</v>
      </c>
      <c r="Q431" s="17">
        <f t="shared" ref="Q431:Q434" si="81">O431*P431</f>
        <v>118.95</v>
      </c>
      <c r="R431" s="236"/>
      <c r="S431" s="236"/>
      <c r="T431" s="236"/>
      <c r="U431" s="242"/>
    </row>
    <row r="432" spans="1:21" ht="13">
      <c r="A432" s="249"/>
      <c r="B432" s="236"/>
      <c r="C432" s="54" t="s">
        <v>126</v>
      </c>
      <c r="D432" s="19">
        <v>30</v>
      </c>
      <c r="E432" s="17">
        <v>13</v>
      </c>
      <c r="F432" s="17">
        <f t="shared" si="80"/>
        <v>390</v>
      </c>
      <c r="G432" s="236"/>
      <c r="H432" s="236"/>
      <c r="I432" s="236"/>
      <c r="J432" s="242"/>
      <c r="L432" s="249"/>
      <c r="M432" s="236"/>
      <c r="N432" s="54" t="s">
        <v>126</v>
      </c>
      <c r="O432" s="19">
        <v>30</v>
      </c>
      <c r="P432" s="17">
        <v>13</v>
      </c>
      <c r="Q432" s="17">
        <f t="shared" si="81"/>
        <v>390</v>
      </c>
      <c r="R432" s="236"/>
      <c r="S432" s="236"/>
      <c r="T432" s="236"/>
      <c r="U432" s="242"/>
    </row>
    <row r="433" spans="1:21" ht="13">
      <c r="A433" s="249"/>
      <c r="B433" s="236"/>
      <c r="C433" s="54" t="s">
        <v>80</v>
      </c>
      <c r="D433" s="19">
        <v>12.65</v>
      </c>
      <c r="E433" s="17">
        <v>13</v>
      </c>
      <c r="F433" s="17">
        <f t="shared" si="80"/>
        <v>164.45000000000002</v>
      </c>
      <c r="G433" s="236"/>
      <c r="H433" s="236"/>
      <c r="I433" s="236"/>
      <c r="J433" s="242"/>
      <c r="L433" s="249"/>
      <c r="M433" s="236"/>
      <c r="N433" s="54" t="s">
        <v>80</v>
      </c>
      <c r="O433" s="19">
        <v>12.65</v>
      </c>
      <c r="P433" s="17">
        <v>13</v>
      </c>
      <c r="Q433" s="17">
        <f t="shared" si="81"/>
        <v>164.45000000000002</v>
      </c>
      <c r="R433" s="236"/>
      <c r="S433" s="236"/>
      <c r="T433" s="236"/>
      <c r="U433" s="242"/>
    </row>
    <row r="434" spans="1:21" ht="13">
      <c r="A434" s="249"/>
      <c r="B434" s="236"/>
      <c r="C434" s="54" t="s">
        <v>270</v>
      </c>
      <c r="D434" s="19">
        <v>10.72</v>
      </c>
      <c r="E434" s="17">
        <v>13</v>
      </c>
      <c r="F434" s="17">
        <f t="shared" si="80"/>
        <v>139.36000000000001</v>
      </c>
      <c r="G434" s="236"/>
      <c r="H434" s="236"/>
      <c r="I434" s="236"/>
      <c r="J434" s="242"/>
      <c r="L434" s="249"/>
      <c r="M434" s="236"/>
      <c r="N434" s="54" t="s">
        <v>270</v>
      </c>
      <c r="O434" s="19">
        <v>10.72</v>
      </c>
      <c r="P434" s="17">
        <v>13</v>
      </c>
      <c r="Q434" s="17">
        <f t="shared" si="81"/>
        <v>139.36000000000001</v>
      </c>
      <c r="R434" s="236"/>
      <c r="S434" s="236"/>
      <c r="T434" s="236"/>
      <c r="U434" s="242"/>
    </row>
    <row r="435" spans="1:21" ht="13">
      <c r="A435" s="249"/>
      <c r="B435" s="236"/>
      <c r="C435" s="54" t="s">
        <v>33</v>
      </c>
      <c r="D435" s="19"/>
      <c r="E435" s="17"/>
      <c r="F435" s="17">
        <v>1321.26</v>
      </c>
      <c r="G435" s="236"/>
      <c r="H435" s="236"/>
      <c r="I435" s="236"/>
      <c r="J435" s="242"/>
      <c r="L435" s="249"/>
      <c r="M435" s="236"/>
      <c r="N435" s="54" t="s">
        <v>33</v>
      </c>
      <c r="O435" s="19"/>
      <c r="P435" s="17"/>
      <c r="Q435" s="17">
        <v>1321.26</v>
      </c>
      <c r="R435" s="236"/>
      <c r="S435" s="236"/>
      <c r="T435" s="236"/>
      <c r="U435" s="242"/>
    </row>
    <row r="436" spans="1:21" ht="13">
      <c r="A436" s="249"/>
      <c r="B436" s="236"/>
      <c r="C436" s="54" t="s">
        <v>271</v>
      </c>
      <c r="D436" s="19"/>
      <c r="E436" s="17"/>
      <c r="F436" s="17">
        <v>178</v>
      </c>
      <c r="G436" s="236"/>
      <c r="H436" s="236"/>
      <c r="I436" s="236"/>
      <c r="J436" s="242"/>
      <c r="L436" s="249"/>
      <c r="M436" s="236"/>
      <c r="N436" s="54" t="s">
        <v>271</v>
      </c>
      <c r="O436" s="19"/>
      <c r="P436" s="17"/>
      <c r="Q436" s="17">
        <v>178</v>
      </c>
      <c r="R436" s="236"/>
      <c r="S436" s="236"/>
      <c r="T436" s="236"/>
      <c r="U436" s="242"/>
    </row>
    <row r="437" spans="1:21" ht="13">
      <c r="A437" s="249"/>
      <c r="B437" s="248"/>
      <c r="C437" s="55" t="s">
        <v>45</v>
      </c>
      <c r="D437" s="20"/>
      <c r="E437" s="20"/>
      <c r="F437" s="21">
        <v>300</v>
      </c>
      <c r="G437" s="238"/>
      <c r="H437" s="238"/>
      <c r="I437" s="238"/>
      <c r="J437" s="243"/>
      <c r="L437" s="249"/>
      <c r="M437" s="248"/>
      <c r="N437" s="55" t="s">
        <v>45</v>
      </c>
      <c r="O437" s="20"/>
      <c r="P437" s="20"/>
      <c r="Q437" s="21">
        <v>300</v>
      </c>
      <c r="R437" s="238"/>
      <c r="S437" s="238"/>
      <c r="T437" s="238"/>
      <c r="U437" s="243"/>
    </row>
    <row r="438" spans="1:21" ht="13">
      <c r="A438" s="249"/>
      <c r="B438" s="280" t="s">
        <v>272</v>
      </c>
      <c r="C438" s="54" t="s">
        <v>23</v>
      </c>
      <c r="D438" s="16">
        <v>14</v>
      </c>
      <c r="E438" s="17">
        <v>16</v>
      </c>
      <c r="F438" s="17">
        <f t="shared" ref="F438:F447" si="82">D438*E438</f>
        <v>224</v>
      </c>
      <c r="G438" s="240">
        <f>SUM(F438:F450)</f>
        <v>1802.5800000000002</v>
      </c>
      <c r="H438" s="273">
        <v>2544.7600000000002</v>
      </c>
      <c r="I438" s="273">
        <f>H438-G438</f>
        <v>742.18000000000006</v>
      </c>
      <c r="J438" s="241">
        <f>I438/H438</f>
        <v>0.29165029315141705</v>
      </c>
      <c r="L438" s="249"/>
      <c r="M438" s="280" t="s">
        <v>272</v>
      </c>
      <c r="N438" s="54" t="s">
        <v>23</v>
      </c>
      <c r="O438" s="18"/>
      <c r="P438" s="18"/>
      <c r="Q438" s="18"/>
      <c r="R438" s="240">
        <f>SUM(Q438:Q450)</f>
        <v>1326.58</v>
      </c>
      <c r="S438" s="273">
        <v>2544.7600000000002</v>
      </c>
      <c r="T438" s="273">
        <f>S438-R438</f>
        <v>1218.1800000000003</v>
      </c>
      <c r="U438" s="241">
        <f>T438/S438</f>
        <v>0.47870133136327203</v>
      </c>
    </row>
    <row r="439" spans="1:21" ht="13">
      <c r="A439" s="249"/>
      <c r="B439" s="236"/>
      <c r="C439" s="24" t="s">
        <v>209</v>
      </c>
      <c r="D439" s="17">
        <v>14</v>
      </c>
      <c r="E439" s="17">
        <v>18</v>
      </c>
      <c r="F439" s="17">
        <f t="shared" si="82"/>
        <v>252</v>
      </c>
      <c r="G439" s="236"/>
      <c r="H439" s="236"/>
      <c r="I439" s="236"/>
      <c r="J439" s="242"/>
      <c r="L439" s="249"/>
      <c r="M439" s="236"/>
      <c r="N439" s="24" t="s">
        <v>209</v>
      </c>
      <c r="O439" s="18"/>
      <c r="P439" s="18"/>
      <c r="Q439" s="18"/>
      <c r="R439" s="236"/>
      <c r="S439" s="236"/>
      <c r="T439" s="236"/>
      <c r="U439" s="242"/>
    </row>
    <row r="440" spans="1:21" ht="13">
      <c r="A440" s="249"/>
      <c r="B440" s="236"/>
      <c r="C440" s="54" t="s">
        <v>58</v>
      </c>
      <c r="D440" s="17">
        <v>5.9</v>
      </c>
      <c r="E440" s="17">
        <v>13</v>
      </c>
      <c r="F440" s="17">
        <f t="shared" si="82"/>
        <v>76.7</v>
      </c>
      <c r="G440" s="236"/>
      <c r="H440" s="236"/>
      <c r="I440" s="236"/>
      <c r="J440" s="242"/>
      <c r="L440" s="249"/>
      <c r="M440" s="236"/>
      <c r="N440" s="54" t="s">
        <v>58</v>
      </c>
      <c r="O440" s="17">
        <v>5.9</v>
      </c>
      <c r="P440" s="17">
        <v>13</v>
      </c>
      <c r="Q440" s="17">
        <f t="shared" ref="Q440:Q447" si="83">O440*P440</f>
        <v>76.7</v>
      </c>
      <c r="R440" s="236"/>
      <c r="S440" s="236"/>
      <c r="T440" s="236"/>
      <c r="U440" s="242"/>
    </row>
    <row r="441" spans="1:21" ht="13">
      <c r="A441" s="249"/>
      <c r="B441" s="236"/>
      <c r="C441" s="54" t="s">
        <v>265</v>
      </c>
      <c r="D441" s="17">
        <v>8.5</v>
      </c>
      <c r="E441" s="17">
        <v>13</v>
      </c>
      <c r="F441" s="17">
        <f t="shared" si="82"/>
        <v>110.5</v>
      </c>
      <c r="G441" s="236"/>
      <c r="H441" s="236"/>
      <c r="I441" s="236"/>
      <c r="J441" s="242"/>
      <c r="L441" s="249"/>
      <c r="M441" s="236"/>
      <c r="N441" s="54" t="s">
        <v>265</v>
      </c>
      <c r="O441" s="17">
        <v>8.5</v>
      </c>
      <c r="P441" s="17">
        <v>13</v>
      </c>
      <c r="Q441" s="17">
        <f t="shared" si="83"/>
        <v>110.5</v>
      </c>
      <c r="R441" s="236"/>
      <c r="S441" s="236"/>
      <c r="T441" s="236"/>
      <c r="U441" s="242"/>
    </row>
    <row r="442" spans="1:21" ht="13">
      <c r="A442" s="249"/>
      <c r="B442" s="236"/>
      <c r="C442" s="54" t="s">
        <v>266</v>
      </c>
      <c r="D442" s="17">
        <v>10.75</v>
      </c>
      <c r="E442" s="17">
        <v>13</v>
      </c>
      <c r="F442" s="17">
        <f t="shared" si="82"/>
        <v>139.75</v>
      </c>
      <c r="G442" s="236"/>
      <c r="H442" s="236"/>
      <c r="I442" s="236"/>
      <c r="J442" s="242"/>
      <c r="L442" s="249"/>
      <c r="M442" s="236"/>
      <c r="N442" s="54" t="s">
        <v>266</v>
      </c>
      <c r="O442" s="17">
        <v>10.75</v>
      </c>
      <c r="P442" s="17">
        <v>13</v>
      </c>
      <c r="Q442" s="17">
        <f t="shared" si="83"/>
        <v>139.75</v>
      </c>
      <c r="R442" s="236"/>
      <c r="S442" s="236"/>
      <c r="T442" s="236"/>
      <c r="U442" s="242"/>
    </row>
    <row r="443" spans="1:21" ht="13">
      <c r="A443" s="249"/>
      <c r="B443" s="236"/>
      <c r="C443" s="54" t="s">
        <v>64</v>
      </c>
      <c r="D443" s="17">
        <v>9.65</v>
      </c>
      <c r="E443" s="17">
        <v>13</v>
      </c>
      <c r="F443" s="17">
        <f t="shared" si="82"/>
        <v>125.45</v>
      </c>
      <c r="G443" s="236"/>
      <c r="H443" s="236"/>
      <c r="I443" s="236"/>
      <c r="J443" s="242"/>
      <c r="L443" s="249"/>
      <c r="M443" s="236"/>
      <c r="N443" s="54" t="s">
        <v>64</v>
      </c>
      <c r="O443" s="17">
        <v>9.65</v>
      </c>
      <c r="P443" s="17">
        <v>13</v>
      </c>
      <c r="Q443" s="17">
        <f t="shared" si="83"/>
        <v>125.45</v>
      </c>
      <c r="R443" s="236"/>
      <c r="S443" s="236"/>
      <c r="T443" s="236"/>
      <c r="U443" s="242"/>
    </row>
    <row r="444" spans="1:21" ht="13">
      <c r="A444" s="249"/>
      <c r="B444" s="236"/>
      <c r="C444" s="54" t="s">
        <v>70</v>
      </c>
      <c r="D444" s="17">
        <v>6.5</v>
      </c>
      <c r="E444" s="17">
        <v>13</v>
      </c>
      <c r="F444" s="17">
        <f t="shared" si="82"/>
        <v>84.5</v>
      </c>
      <c r="G444" s="236"/>
      <c r="H444" s="236"/>
      <c r="I444" s="236"/>
      <c r="J444" s="242"/>
      <c r="L444" s="249"/>
      <c r="M444" s="236"/>
      <c r="N444" s="54" t="s">
        <v>70</v>
      </c>
      <c r="O444" s="17">
        <v>6.5</v>
      </c>
      <c r="P444" s="17">
        <v>13</v>
      </c>
      <c r="Q444" s="17">
        <f t="shared" si="83"/>
        <v>84.5</v>
      </c>
      <c r="R444" s="236"/>
      <c r="S444" s="236"/>
      <c r="T444" s="236"/>
      <c r="U444" s="242"/>
    </row>
    <row r="445" spans="1:21" ht="13">
      <c r="A445" s="249"/>
      <c r="B445" s="236"/>
      <c r="C445" s="54" t="s">
        <v>126</v>
      </c>
      <c r="D445" s="19">
        <v>10.75</v>
      </c>
      <c r="E445" s="17">
        <v>13</v>
      </c>
      <c r="F445" s="17">
        <f t="shared" si="82"/>
        <v>139.75</v>
      </c>
      <c r="G445" s="236"/>
      <c r="H445" s="236"/>
      <c r="I445" s="236"/>
      <c r="J445" s="242"/>
      <c r="L445" s="249"/>
      <c r="M445" s="236"/>
      <c r="N445" s="54" t="s">
        <v>126</v>
      </c>
      <c r="O445" s="19">
        <v>10.75</v>
      </c>
      <c r="P445" s="17">
        <v>13</v>
      </c>
      <c r="Q445" s="17">
        <f t="shared" si="83"/>
        <v>139.75</v>
      </c>
      <c r="R445" s="236"/>
      <c r="S445" s="236"/>
      <c r="T445" s="236"/>
      <c r="U445" s="242"/>
    </row>
    <row r="446" spans="1:21" ht="13">
      <c r="A446" s="249"/>
      <c r="B446" s="236"/>
      <c r="C446" s="54" t="s">
        <v>80</v>
      </c>
      <c r="D446" s="19">
        <v>10</v>
      </c>
      <c r="E446" s="17">
        <v>13</v>
      </c>
      <c r="F446" s="17">
        <f t="shared" si="82"/>
        <v>130</v>
      </c>
      <c r="G446" s="236"/>
      <c r="H446" s="236"/>
      <c r="I446" s="236"/>
      <c r="J446" s="242"/>
      <c r="L446" s="249"/>
      <c r="M446" s="236"/>
      <c r="N446" s="54" t="s">
        <v>80</v>
      </c>
      <c r="O446" s="19">
        <v>10</v>
      </c>
      <c r="P446" s="17">
        <v>13</v>
      </c>
      <c r="Q446" s="17">
        <f t="shared" si="83"/>
        <v>130</v>
      </c>
      <c r="R446" s="236"/>
      <c r="S446" s="236"/>
      <c r="T446" s="236"/>
      <c r="U446" s="242"/>
    </row>
    <row r="447" spans="1:21" ht="13">
      <c r="A447" s="249"/>
      <c r="B447" s="236"/>
      <c r="C447" s="54" t="s">
        <v>270</v>
      </c>
      <c r="D447" s="19">
        <v>4.3</v>
      </c>
      <c r="E447" s="17">
        <v>13</v>
      </c>
      <c r="F447" s="17">
        <f t="shared" si="82"/>
        <v>55.9</v>
      </c>
      <c r="G447" s="236"/>
      <c r="H447" s="236"/>
      <c r="I447" s="236"/>
      <c r="J447" s="242"/>
      <c r="L447" s="249"/>
      <c r="M447" s="236"/>
      <c r="N447" s="54" t="s">
        <v>270</v>
      </c>
      <c r="O447" s="19">
        <v>4.3</v>
      </c>
      <c r="P447" s="17">
        <v>13</v>
      </c>
      <c r="Q447" s="17">
        <f t="shared" si="83"/>
        <v>55.9</v>
      </c>
      <c r="R447" s="236"/>
      <c r="S447" s="236"/>
      <c r="T447" s="236"/>
      <c r="U447" s="242"/>
    </row>
    <row r="448" spans="1:21" ht="13">
      <c r="A448" s="249"/>
      <c r="B448" s="236"/>
      <c r="C448" s="54" t="s">
        <v>33</v>
      </c>
      <c r="D448" s="19"/>
      <c r="E448" s="17"/>
      <c r="F448" s="17">
        <v>275.02999999999997</v>
      </c>
      <c r="G448" s="236"/>
      <c r="H448" s="236"/>
      <c r="I448" s="236"/>
      <c r="J448" s="242"/>
      <c r="L448" s="249"/>
      <c r="M448" s="236"/>
      <c r="N448" s="54" t="s">
        <v>33</v>
      </c>
      <c r="O448" s="19"/>
      <c r="P448" s="17"/>
      <c r="Q448" s="17">
        <v>275.02999999999997</v>
      </c>
      <c r="R448" s="236"/>
      <c r="S448" s="236"/>
      <c r="T448" s="236"/>
      <c r="U448" s="242"/>
    </row>
    <row r="449" spans="1:21" ht="13">
      <c r="A449" s="249"/>
      <c r="B449" s="236"/>
      <c r="C449" s="54" t="s">
        <v>155</v>
      </c>
      <c r="D449" s="19"/>
      <c r="E449" s="17"/>
      <c r="F449" s="17">
        <v>89</v>
      </c>
      <c r="G449" s="236"/>
      <c r="H449" s="236"/>
      <c r="I449" s="236"/>
      <c r="J449" s="242"/>
      <c r="L449" s="249"/>
      <c r="M449" s="236"/>
      <c r="N449" s="54" t="s">
        <v>271</v>
      </c>
      <c r="O449" s="19"/>
      <c r="P449" s="17"/>
      <c r="Q449" s="17">
        <v>89</v>
      </c>
      <c r="R449" s="236"/>
      <c r="S449" s="236"/>
      <c r="T449" s="236"/>
      <c r="U449" s="242"/>
    </row>
    <row r="450" spans="1:21" ht="13">
      <c r="A450" s="249"/>
      <c r="B450" s="248"/>
      <c r="C450" s="55" t="s">
        <v>45</v>
      </c>
      <c r="D450" s="20"/>
      <c r="E450" s="20"/>
      <c r="F450" s="21">
        <v>100</v>
      </c>
      <c r="G450" s="238"/>
      <c r="H450" s="238"/>
      <c r="I450" s="238"/>
      <c r="J450" s="243"/>
      <c r="L450" s="249"/>
      <c r="M450" s="248"/>
      <c r="N450" s="55" t="s">
        <v>45</v>
      </c>
      <c r="O450" s="20"/>
      <c r="P450" s="20"/>
      <c r="Q450" s="21">
        <v>100</v>
      </c>
      <c r="R450" s="238"/>
      <c r="S450" s="238"/>
      <c r="T450" s="238"/>
      <c r="U450" s="243"/>
    </row>
    <row r="451" spans="1:21" ht="13">
      <c r="A451" s="249"/>
      <c r="B451" s="244" t="s">
        <v>255</v>
      </c>
      <c r="C451" s="53" t="s">
        <v>23</v>
      </c>
      <c r="D451" s="16">
        <v>4</v>
      </c>
      <c r="E451" s="17">
        <v>16</v>
      </c>
      <c r="F451" s="17">
        <f t="shared" ref="F451:F452" si="84">D451*E451</f>
        <v>64</v>
      </c>
      <c r="G451" s="240">
        <f>SUM(F451:F453)</f>
        <v>247.72</v>
      </c>
      <c r="H451" s="273">
        <v>642.6</v>
      </c>
      <c r="I451" s="273">
        <f>H451-G451</f>
        <v>394.88</v>
      </c>
      <c r="J451" s="241">
        <f>I451/H451</f>
        <v>0.61450357920946153</v>
      </c>
      <c r="L451" s="249"/>
      <c r="M451" s="244" t="s">
        <v>255</v>
      </c>
      <c r="N451" s="53" t="s">
        <v>23</v>
      </c>
      <c r="O451" s="18"/>
      <c r="P451" s="18"/>
      <c r="Q451" s="18"/>
      <c r="R451" s="240">
        <f>SUM(Q451:Q453)</f>
        <v>57.72</v>
      </c>
      <c r="S451" s="273">
        <v>642.6</v>
      </c>
      <c r="T451" s="273">
        <f>S451-R451</f>
        <v>584.88</v>
      </c>
      <c r="U451" s="241">
        <f>T451/S451</f>
        <v>0.91017740429505134</v>
      </c>
    </row>
    <row r="452" spans="1:21" ht="13">
      <c r="A452" s="249"/>
      <c r="B452" s="245"/>
      <c r="C452" s="54" t="s">
        <v>209</v>
      </c>
      <c r="D452" s="17">
        <v>7</v>
      </c>
      <c r="E452" s="17">
        <v>18</v>
      </c>
      <c r="F452" s="17">
        <f t="shared" si="84"/>
        <v>126</v>
      </c>
      <c r="G452" s="236"/>
      <c r="H452" s="236"/>
      <c r="I452" s="236"/>
      <c r="J452" s="242"/>
      <c r="L452" s="249"/>
      <c r="M452" s="245"/>
      <c r="N452" s="54" t="s">
        <v>209</v>
      </c>
      <c r="O452" s="18"/>
      <c r="P452" s="18"/>
      <c r="Q452" s="18"/>
      <c r="R452" s="236"/>
      <c r="S452" s="236"/>
      <c r="T452" s="236"/>
      <c r="U452" s="242"/>
    </row>
    <row r="453" spans="1:21" ht="13">
      <c r="A453" s="249"/>
      <c r="B453" s="246"/>
      <c r="C453" s="55" t="s">
        <v>33</v>
      </c>
      <c r="D453" s="20"/>
      <c r="E453" s="20"/>
      <c r="F453" s="21">
        <v>57.72</v>
      </c>
      <c r="G453" s="238"/>
      <c r="H453" s="238"/>
      <c r="I453" s="238"/>
      <c r="J453" s="243"/>
      <c r="L453" s="249"/>
      <c r="M453" s="246"/>
      <c r="N453" s="55" t="s">
        <v>33</v>
      </c>
      <c r="O453" s="20"/>
      <c r="P453" s="20"/>
      <c r="Q453" s="21">
        <v>57.72</v>
      </c>
      <c r="R453" s="238"/>
      <c r="S453" s="238"/>
      <c r="T453" s="238"/>
      <c r="U453" s="243"/>
    </row>
    <row r="454" spans="1:21" ht="13">
      <c r="A454" s="249"/>
      <c r="B454" s="244" t="s">
        <v>273</v>
      </c>
      <c r="C454" s="15" t="s">
        <v>63</v>
      </c>
      <c r="D454" s="16">
        <v>23.32</v>
      </c>
      <c r="E454" s="16">
        <v>15</v>
      </c>
      <c r="F454" s="17">
        <f t="shared" ref="F454:F458" si="85">D454*E454</f>
        <v>349.8</v>
      </c>
      <c r="G454" s="240">
        <f>SUM(F454:F459)</f>
        <v>1634.3</v>
      </c>
      <c r="H454" s="237">
        <v>3850</v>
      </c>
      <c r="I454" s="237">
        <f>H454-G454</f>
        <v>2215.6999999999998</v>
      </c>
      <c r="J454" s="241">
        <f>I454/H454</f>
        <v>0.57550649350649341</v>
      </c>
      <c r="L454" s="249"/>
      <c r="M454" s="244" t="s">
        <v>273</v>
      </c>
      <c r="N454" s="15" t="s">
        <v>63</v>
      </c>
      <c r="O454" s="16">
        <v>23.32</v>
      </c>
      <c r="P454" s="16">
        <v>15</v>
      </c>
      <c r="Q454" s="17">
        <f>O454*P454</f>
        <v>349.8</v>
      </c>
      <c r="R454" s="240">
        <f>SUM(Q454:Q459)</f>
        <v>1529.3</v>
      </c>
      <c r="S454" s="237">
        <v>3850</v>
      </c>
      <c r="T454" s="237">
        <f>S454-R454</f>
        <v>2320.6999999999998</v>
      </c>
      <c r="U454" s="241">
        <f>T454/S454</f>
        <v>0.60277922077922075</v>
      </c>
    </row>
    <row r="455" spans="1:21" ht="13">
      <c r="A455" s="249"/>
      <c r="B455" s="245"/>
      <c r="C455" s="19" t="s">
        <v>209</v>
      </c>
      <c r="D455" s="17">
        <v>7</v>
      </c>
      <c r="E455" s="17">
        <v>15</v>
      </c>
      <c r="F455" s="17">
        <f t="shared" si="85"/>
        <v>105</v>
      </c>
      <c r="G455" s="236"/>
      <c r="H455" s="236"/>
      <c r="I455" s="236"/>
      <c r="J455" s="242"/>
      <c r="L455" s="249"/>
      <c r="M455" s="245"/>
      <c r="N455" s="19" t="s">
        <v>209</v>
      </c>
      <c r="O455" s="18"/>
      <c r="P455" s="18"/>
      <c r="Q455" s="18"/>
      <c r="R455" s="236"/>
      <c r="S455" s="236"/>
      <c r="T455" s="236"/>
      <c r="U455" s="242"/>
    </row>
    <row r="456" spans="1:21" ht="13">
      <c r="A456" s="249"/>
      <c r="B456" s="245"/>
      <c r="C456" s="19" t="s">
        <v>58</v>
      </c>
      <c r="D456" s="17">
        <v>29.84</v>
      </c>
      <c r="E456" s="17">
        <v>15</v>
      </c>
      <c r="F456" s="17">
        <f t="shared" si="85"/>
        <v>447.6</v>
      </c>
      <c r="G456" s="236"/>
      <c r="H456" s="236"/>
      <c r="I456" s="236"/>
      <c r="J456" s="242"/>
      <c r="L456" s="249"/>
      <c r="M456" s="245"/>
      <c r="N456" s="19" t="s">
        <v>58</v>
      </c>
      <c r="O456" s="17">
        <v>29.84</v>
      </c>
      <c r="P456" s="17">
        <v>15</v>
      </c>
      <c r="Q456" s="17">
        <f t="shared" ref="Q456:Q458" si="86">O456*P456</f>
        <v>447.6</v>
      </c>
      <c r="R456" s="236"/>
      <c r="S456" s="236"/>
      <c r="T456" s="236"/>
      <c r="U456" s="242"/>
    </row>
    <row r="457" spans="1:21" ht="13">
      <c r="A457" s="249"/>
      <c r="B457" s="245"/>
      <c r="C457" s="19" t="s">
        <v>266</v>
      </c>
      <c r="D457" s="17">
        <v>22.17</v>
      </c>
      <c r="E457" s="17">
        <v>15</v>
      </c>
      <c r="F457" s="17">
        <f t="shared" si="85"/>
        <v>332.55</v>
      </c>
      <c r="G457" s="236"/>
      <c r="H457" s="236"/>
      <c r="I457" s="236"/>
      <c r="J457" s="242"/>
      <c r="L457" s="249"/>
      <c r="M457" s="245"/>
      <c r="N457" s="19" t="s">
        <v>266</v>
      </c>
      <c r="O457" s="17">
        <v>22.17</v>
      </c>
      <c r="P457" s="17">
        <v>15</v>
      </c>
      <c r="Q457" s="17">
        <f t="shared" si="86"/>
        <v>332.55</v>
      </c>
      <c r="R457" s="236"/>
      <c r="S457" s="236"/>
      <c r="T457" s="236"/>
      <c r="U457" s="242"/>
    </row>
    <row r="458" spans="1:21" ht="13">
      <c r="A458" s="249"/>
      <c r="B458" s="245"/>
      <c r="C458" s="19" t="s">
        <v>265</v>
      </c>
      <c r="D458" s="17">
        <v>23.29</v>
      </c>
      <c r="E458" s="17">
        <v>15</v>
      </c>
      <c r="F458" s="17">
        <f t="shared" si="85"/>
        <v>349.34999999999997</v>
      </c>
      <c r="G458" s="236"/>
      <c r="H458" s="236"/>
      <c r="I458" s="236"/>
      <c r="J458" s="242"/>
      <c r="L458" s="249"/>
      <c r="M458" s="245"/>
      <c r="N458" s="19" t="s">
        <v>265</v>
      </c>
      <c r="O458" s="17">
        <v>23.29</v>
      </c>
      <c r="P458" s="17">
        <v>15</v>
      </c>
      <c r="Q458" s="17">
        <f t="shared" si="86"/>
        <v>349.34999999999997</v>
      </c>
      <c r="R458" s="236"/>
      <c r="S458" s="236"/>
      <c r="T458" s="236"/>
      <c r="U458" s="242"/>
    </row>
    <row r="459" spans="1:21" ht="13">
      <c r="A459" s="249"/>
      <c r="B459" s="246"/>
      <c r="C459" s="20" t="s">
        <v>45</v>
      </c>
      <c r="D459" s="21"/>
      <c r="E459" s="21"/>
      <c r="F459" s="21">
        <v>50</v>
      </c>
      <c r="G459" s="238"/>
      <c r="H459" s="238"/>
      <c r="I459" s="238"/>
      <c r="J459" s="243"/>
      <c r="L459" s="249"/>
      <c r="M459" s="246"/>
      <c r="N459" s="20" t="s">
        <v>45</v>
      </c>
      <c r="O459" s="21"/>
      <c r="P459" s="21"/>
      <c r="Q459" s="21">
        <v>50</v>
      </c>
      <c r="R459" s="238"/>
      <c r="S459" s="238"/>
      <c r="T459" s="238"/>
      <c r="U459" s="243"/>
    </row>
    <row r="460" spans="1:21" ht="13">
      <c r="A460" s="249"/>
      <c r="B460" s="244" t="s">
        <v>274</v>
      </c>
      <c r="C460" s="15" t="s">
        <v>209</v>
      </c>
      <c r="D460" s="16">
        <v>21</v>
      </c>
      <c r="E460" s="16">
        <v>18</v>
      </c>
      <c r="F460" s="17">
        <f>D460*E460</f>
        <v>378</v>
      </c>
      <c r="G460" s="240">
        <f>SUM(F460:F465)</f>
        <v>853.28000000000009</v>
      </c>
      <c r="H460" s="237">
        <v>5028.08</v>
      </c>
      <c r="I460" s="237">
        <f>H460-G460</f>
        <v>4174.8</v>
      </c>
      <c r="J460" s="241">
        <f>I460/H460</f>
        <v>0.83029705175733093</v>
      </c>
      <c r="L460" s="249"/>
      <c r="M460" s="244" t="s">
        <v>274</v>
      </c>
      <c r="N460" s="15" t="s">
        <v>209</v>
      </c>
      <c r="O460" s="18"/>
      <c r="P460" s="18"/>
      <c r="Q460" s="18"/>
      <c r="R460" s="240">
        <f>SUM(Q460:Q465)</f>
        <v>475.28000000000009</v>
      </c>
      <c r="S460" s="237">
        <v>5028.08</v>
      </c>
      <c r="T460" s="237">
        <f>S460-R460</f>
        <v>4552.8</v>
      </c>
      <c r="U460" s="241">
        <f>T460/S460</f>
        <v>0.90547485322429244</v>
      </c>
    </row>
    <row r="461" spans="1:21" ht="13">
      <c r="A461" s="249"/>
      <c r="B461" s="245"/>
      <c r="C461" s="19" t="s">
        <v>47</v>
      </c>
      <c r="D461" s="17"/>
      <c r="E461" s="17"/>
      <c r="F461" s="17">
        <v>139.46</v>
      </c>
      <c r="G461" s="236"/>
      <c r="H461" s="236"/>
      <c r="I461" s="236"/>
      <c r="J461" s="242"/>
      <c r="L461" s="249"/>
      <c r="M461" s="245"/>
      <c r="N461" s="19" t="s">
        <v>47</v>
      </c>
      <c r="O461" s="17"/>
      <c r="P461" s="17"/>
      <c r="Q461" s="17">
        <v>139.46</v>
      </c>
      <c r="R461" s="236"/>
      <c r="S461" s="236"/>
      <c r="T461" s="236"/>
      <c r="U461" s="242"/>
    </row>
    <row r="462" spans="1:21" ht="13">
      <c r="A462" s="249"/>
      <c r="B462" s="245"/>
      <c r="C462" s="19" t="s">
        <v>45</v>
      </c>
      <c r="D462" s="17"/>
      <c r="E462" s="17"/>
      <c r="F462" s="17">
        <v>130</v>
      </c>
      <c r="G462" s="236"/>
      <c r="H462" s="236"/>
      <c r="I462" s="236"/>
      <c r="J462" s="242"/>
      <c r="L462" s="249"/>
      <c r="M462" s="245"/>
      <c r="N462" s="19" t="s">
        <v>45</v>
      </c>
      <c r="O462" s="17"/>
      <c r="P462" s="17"/>
      <c r="Q462" s="17">
        <v>130</v>
      </c>
      <c r="R462" s="236"/>
      <c r="S462" s="236"/>
      <c r="T462" s="236"/>
      <c r="U462" s="242"/>
    </row>
    <row r="463" spans="1:21" ht="13">
      <c r="A463" s="249"/>
      <c r="B463" s="245"/>
      <c r="C463" s="19" t="s">
        <v>48</v>
      </c>
      <c r="D463" s="17"/>
      <c r="E463" s="17"/>
      <c r="F463" s="17">
        <v>162.22</v>
      </c>
      <c r="G463" s="236"/>
      <c r="H463" s="236"/>
      <c r="I463" s="236"/>
      <c r="J463" s="242"/>
      <c r="L463" s="249"/>
      <c r="M463" s="245"/>
      <c r="N463" s="19" t="s">
        <v>48</v>
      </c>
      <c r="O463" s="17"/>
      <c r="P463" s="17"/>
      <c r="Q463" s="17">
        <v>162.22</v>
      </c>
      <c r="R463" s="236"/>
      <c r="S463" s="236"/>
      <c r="T463" s="236"/>
      <c r="U463" s="242"/>
    </row>
    <row r="464" spans="1:21" ht="13">
      <c r="A464" s="249"/>
      <c r="B464" s="245"/>
      <c r="C464" s="19" t="s">
        <v>44</v>
      </c>
      <c r="D464" s="17"/>
      <c r="E464" s="17"/>
      <c r="F464" s="17">
        <v>43.6</v>
      </c>
      <c r="G464" s="236"/>
      <c r="H464" s="236"/>
      <c r="I464" s="236"/>
      <c r="J464" s="242"/>
      <c r="L464" s="249"/>
      <c r="M464" s="245"/>
      <c r="N464" s="19" t="s">
        <v>44</v>
      </c>
      <c r="O464" s="17"/>
      <c r="P464" s="17"/>
      <c r="Q464" s="17">
        <v>43.6</v>
      </c>
      <c r="R464" s="236"/>
      <c r="S464" s="236"/>
      <c r="T464" s="236"/>
      <c r="U464" s="242"/>
    </row>
    <row r="465" spans="1:21" ht="13">
      <c r="A465" s="249"/>
      <c r="B465" s="246"/>
      <c r="C465" s="20"/>
      <c r="D465" s="21"/>
      <c r="E465" s="21"/>
      <c r="F465" s="21"/>
      <c r="G465" s="238"/>
      <c r="H465" s="238"/>
      <c r="I465" s="238"/>
      <c r="J465" s="243"/>
      <c r="L465" s="249"/>
      <c r="M465" s="246"/>
      <c r="N465" s="20"/>
      <c r="O465" s="21"/>
      <c r="P465" s="21"/>
      <c r="Q465" s="21"/>
      <c r="R465" s="238"/>
      <c r="S465" s="238"/>
      <c r="T465" s="238"/>
      <c r="U465" s="243"/>
    </row>
    <row r="466" spans="1:21" ht="13">
      <c r="A466" s="249"/>
      <c r="B466" s="244" t="s">
        <v>275</v>
      </c>
      <c r="C466" s="15" t="s">
        <v>51</v>
      </c>
      <c r="D466" s="17"/>
      <c r="E466" s="16"/>
      <c r="F466" s="17">
        <v>200</v>
      </c>
      <c r="G466" s="240">
        <f>SUM(F466:F472)</f>
        <v>583.64</v>
      </c>
      <c r="H466" s="237">
        <v>1500</v>
      </c>
      <c r="I466" s="237">
        <f>H466-G466</f>
        <v>916.36</v>
      </c>
      <c r="J466" s="241">
        <f>I466/H466</f>
        <v>0.61090666666666671</v>
      </c>
      <c r="L466" s="249"/>
      <c r="M466" s="244" t="s">
        <v>275</v>
      </c>
      <c r="N466" s="15" t="s">
        <v>51</v>
      </c>
      <c r="O466" s="17"/>
      <c r="P466" s="16"/>
      <c r="Q466" s="17">
        <v>200</v>
      </c>
      <c r="R466" s="240">
        <f>SUM(Q466:Q472)</f>
        <v>583.64</v>
      </c>
      <c r="S466" s="237">
        <v>1500</v>
      </c>
      <c r="T466" s="237">
        <f>S466-R466</f>
        <v>916.36</v>
      </c>
      <c r="U466" s="241">
        <f>T466/S466</f>
        <v>0.61090666666666671</v>
      </c>
    </row>
    <row r="467" spans="1:21" ht="13">
      <c r="A467" s="249"/>
      <c r="B467" s="245"/>
      <c r="C467" s="19" t="s">
        <v>47</v>
      </c>
      <c r="E467" s="17"/>
      <c r="F467" s="17">
        <v>59.17</v>
      </c>
      <c r="G467" s="236"/>
      <c r="H467" s="236"/>
      <c r="I467" s="236"/>
      <c r="J467" s="242"/>
      <c r="L467" s="249"/>
      <c r="M467" s="245"/>
      <c r="N467" s="19" t="s">
        <v>47</v>
      </c>
      <c r="P467" s="17"/>
      <c r="Q467" s="17">
        <v>59.17</v>
      </c>
      <c r="R467" s="236"/>
      <c r="S467" s="236"/>
      <c r="T467" s="236"/>
      <c r="U467" s="242"/>
    </row>
    <row r="468" spans="1:21" ht="13">
      <c r="A468" s="249"/>
      <c r="B468" s="245"/>
      <c r="C468" s="19" t="s">
        <v>45</v>
      </c>
      <c r="D468" s="17"/>
      <c r="E468" s="17"/>
      <c r="F468" s="17">
        <v>30</v>
      </c>
      <c r="G468" s="236"/>
      <c r="H468" s="236"/>
      <c r="I468" s="236"/>
      <c r="J468" s="242"/>
      <c r="L468" s="249"/>
      <c r="M468" s="245"/>
      <c r="N468" s="19" t="s">
        <v>45</v>
      </c>
      <c r="O468" s="17"/>
      <c r="P468" s="17"/>
      <c r="Q468" s="17">
        <v>30</v>
      </c>
      <c r="R468" s="236"/>
      <c r="S468" s="236"/>
      <c r="T468" s="236"/>
      <c r="U468" s="242"/>
    </row>
    <row r="469" spans="1:21" ht="13">
      <c r="A469" s="249"/>
      <c r="B469" s="245"/>
      <c r="C469" s="19" t="s">
        <v>48</v>
      </c>
      <c r="D469" s="17"/>
      <c r="E469" s="17"/>
      <c r="F469" s="17">
        <v>39.33</v>
      </c>
      <c r="G469" s="236"/>
      <c r="H469" s="236"/>
      <c r="I469" s="236"/>
      <c r="J469" s="242"/>
      <c r="L469" s="249"/>
      <c r="M469" s="245"/>
      <c r="N469" s="19" t="s">
        <v>48</v>
      </c>
      <c r="O469" s="17"/>
      <c r="P469" s="17"/>
      <c r="Q469" s="17">
        <v>39.33</v>
      </c>
      <c r="R469" s="236"/>
      <c r="S469" s="236"/>
      <c r="T469" s="236"/>
      <c r="U469" s="242"/>
    </row>
    <row r="470" spans="1:21" ht="13">
      <c r="A470" s="249"/>
      <c r="B470" s="245"/>
      <c r="C470" s="19" t="s">
        <v>33</v>
      </c>
      <c r="D470" s="17"/>
      <c r="E470" s="17"/>
      <c r="F470" s="17">
        <v>34.14</v>
      </c>
      <c r="G470" s="236"/>
      <c r="H470" s="236"/>
      <c r="I470" s="236"/>
      <c r="J470" s="242"/>
      <c r="L470" s="249"/>
      <c r="M470" s="245"/>
      <c r="N470" s="19" t="s">
        <v>33</v>
      </c>
      <c r="O470" s="17"/>
      <c r="P470" s="17"/>
      <c r="Q470" s="17">
        <v>34.14</v>
      </c>
      <c r="R470" s="236"/>
      <c r="S470" s="236"/>
      <c r="T470" s="236"/>
      <c r="U470" s="242"/>
    </row>
    <row r="471" spans="1:21" ht="13">
      <c r="A471" s="249"/>
      <c r="B471" s="245"/>
      <c r="C471" s="19" t="s">
        <v>46</v>
      </c>
      <c r="D471" s="17"/>
      <c r="E471" s="17"/>
      <c r="F471" s="17">
        <v>178</v>
      </c>
      <c r="G471" s="236"/>
      <c r="H471" s="236"/>
      <c r="I471" s="236"/>
      <c r="J471" s="242"/>
      <c r="L471" s="249"/>
      <c r="M471" s="245"/>
      <c r="N471" s="19" t="s">
        <v>46</v>
      </c>
      <c r="O471" s="17"/>
      <c r="P471" s="17"/>
      <c r="Q471" s="17">
        <v>178</v>
      </c>
      <c r="R471" s="236"/>
      <c r="S471" s="236"/>
      <c r="T471" s="236"/>
      <c r="U471" s="242"/>
    </row>
    <row r="472" spans="1:21" ht="13">
      <c r="A472" s="249"/>
      <c r="B472" s="246"/>
      <c r="C472" s="20" t="s">
        <v>155</v>
      </c>
      <c r="D472" s="21"/>
      <c r="E472" s="21"/>
      <c r="F472" s="21">
        <v>43</v>
      </c>
      <c r="G472" s="238"/>
      <c r="H472" s="238"/>
      <c r="I472" s="238"/>
      <c r="J472" s="243"/>
      <c r="L472" s="249"/>
      <c r="M472" s="246"/>
      <c r="N472" s="20" t="s">
        <v>155</v>
      </c>
      <c r="O472" s="21"/>
      <c r="P472" s="21"/>
      <c r="Q472" s="21">
        <v>43</v>
      </c>
      <c r="R472" s="238"/>
      <c r="S472" s="238"/>
      <c r="T472" s="238"/>
      <c r="U472" s="243"/>
    </row>
    <row r="473" spans="1:21" ht="13">
      <c r="A473" s="249"/>
      <c r="B473" s="244" t="s">
        <v>276</v>
      </c>
      <c r="C473" s="15" t="s">
        <v>147</v>
      </c>
      <c r="D473" s="17">
        <v>42</v>
      </c>
      <c r="E473" s="16">
        <v>15</v>
      </c>
      <c r="F473" s="17">
        <f t="shared" ref="F473:F474" si="87">D473*E473</f>
        <v>630</v>
      </c>
      <c r="G473" s="240">
        <f>SUM(F473:F476)</f>
        <v>2628</v>
      </c>
      <c r="H473" s="237">
        <v>4137.55</v>
      </c>
      <c r="I473" s="237">
        <f>H473-G473</f>
        <v>1509.5500000000002</v>
      </c>
      <c r="J473" s="241">
        <f>I473/H473</f>
        <v>0.3648415124892751</v>
      </c>
      <c r="L473" s="249"/>
      <c r="M473" s="244" t="s">
        <v>276</v>
      </c>
      <c r="N473" s="15" t="s">
        <v>147</v>
      </c>
      <c r="O473" s="17">
        <v>42</v>
      </c>
      <c r="P473" s="16">
        <v>15</v>
      </c>
      <c r="Q473" s="17">
        <f t="shared" ref="Q473:Q474" si="88">O473*P473</f>
        <v>630</v>
      </c>
      <c r="R473" s="240">
        <f>SUM(Q473:Q476)</f>
        <v>2628</v>
      </c>
      <c r="S473" s="237">
        <v>4137.55</v>
      </c>
      <c r="T473" s="237">
        <f>S473-R473</f>
        <v>1509.5500000000002</v>
      </c>
      <c r="U473" s="241">
        <f>T473/S473</f>
        <v>0.3648415124892751</v>
      </c>
    </row>
    <row r="474" spans="1:21" ht="13">
      <c r="A474" s="249"/>
      <c r="B474" s="245"/>
      <c r="C474" s="24" t="s">
        <v>140</v>
      </c>
      <c r="D474" s="24">
        <v>18</v>
      </c>
      <c r="E474" s="17">
        <v>15</v>
      </c>
      <c r="F474" s="17">
        <f t="shared" si="87"/>
        <v>270</v>
      </c>
      <c r="G474" s="236"/>
      <c r="H474" s="236"/>
      <c r="I474" s="236"/>
      <c r="J474" s="242"/>
      <c r="L474" s="249"/>
      <c r="M474" s="245"/>
      <c r="N474" s="24" t="s">
        <v>140</v>
      </c>
      <c r="O474" s="24">
        <v>18</v>
      </c>
      <c r="P474" s="17">
        <v>15</v>
      </c>
      <c r="Q474" s="17">
        <f t="shared" si="88"/>
        <v>270</v>
      </c>
      <c r="R474" s="236"/>
      <c r="S474" s="236"/>
      <c r="T474" s="236"/>
      <c r="U474" s="242"/>
    </row>
    <row r="475" spans="1:21" ht="13">
      <c r="A475" s="249"/>
      <c r="B475" s="245"/>
      <c r="C475" s="19" t="s">
        <v>33</v>
      </c>
      <c r="D475" s="17"/>
      <c r="E475" s="17"/>
      <c r="F475" s="17">
        <v>1728</v>
      </c>
      <c r="G475" s="236"/>
      <c r="H475" s="236"/>
      <c r="I475" s="236"/>
      <c r="J475" s="242"/>
      <c r="L475" s="249"/>
      <c r="M475" s="245"/>
      <c r="N475" s="19" t="s">
        <v>33</v>
      </c>
      <c r="O475" s="17"/>
      <c r="P475" s="17"/>
      <c r="Q475" s="17">
        <v>1728</v>
      </c>
      <c r="R475" s="236"/>
      <c r="S475" s="236"/>
      <c r="T475" s="236"/>
      <c r="U475" s="242"/>
    </row>
    <row r="476" spans="1:21" ht="13">
      <c r="A476" s="249"/>
      <c r="B476" s="246"/>
      <c r="C476" s="20"/>
      <c r="D476" s="21"/>
      <c r="E476" s="21"/>
      <c r="F476" s="21"/>
      <c r="G476" s="238"/>
      <c r="H476" s="238"/>
      <c r="I476" s="238"/>
      <c r="J476" s="243"/>
      <c r="L476" s="249"/>
      <c r="M476" s="246"/>
      <c r="N476" s="20"/>
      <c r="O476" s="21"/>
      <c r="P476" s="21"/>
      <c r="Q476" s="21"/>
      <c r="R476" s="238"/>
      <c r="S476" s="238"/>
      <c r="T476" s="238"/>
      <c r="U476" s="243"/>
    </row>
    <row r="477" spans="1:21" ht="13">
      <c r="A477" s="249"/>
      <c r="B477" s="244" t="s">
        <v>277</v>
      </c>
      <c r="C477" s="15" t="s">
        <v>209</v>
      </c>
      <c r="D477" s="17">
        <v>7</v>
      </c>
      <c r="E477" s="16">
        <v>18</v>
      </c>
      <c r="F477" s="17">
        <f>D477*E477</f>
        <v>126</v>
      </c>
      <c r="G477" s="240">
        <f>SUM(F477:F481)</f>
        <v>258.60000000000002</v>
      </c>
      <c r="H477" s="237">
        <v>2201.4699999999998</v>
      </c>
      <c r="I477" s="237">
        <f>H477-G477</f>
        <v>1942.87</v>
      </c>
      <c r="J477" s="241">
        <f>I477/H477</f>
        <v>0.88253303474496592</v>
      </c>
      <c r="L477" s="249"/>
      <c r="M477" s="244" t="s">
        <v>277</v>
      </c>
      <c r="N477" s="15" t="s">
        <v>209</v>
      </c>
      <c r="O477" s="18"/>
      <c r="P477" s="18"/>
      <c r="Q477" s="18"/>
      <c r="R477" s="240">
        <f>SUM(Q477:Q481)</f>
        <v>132.6</v>
      </c>
      <c r="S477" s="237">
        <v>2201.4699999999998</v>
      </c>
      <c r="T477" s="237">
        <f>S477-R477</f>
        <v>2068.87</v>
      </c>
      <c r="U477" s="241">
        <f>T477/S477</f>
        <v>0.93976751897595701</v>
      </c>
    </row>
    <row r="478" spans="1:21" ht="13">
      <c r="A478" s="249"/>
      <c r="B478" s="245"/>
      <c r="C478" s="24" t="s">
        <v>83</v>
      </c>
      <c r="E478" s="17"/>
      <c r="F478" s="17">
        <v>85</v>
      </c>
      <c r="G478" s="236"/>
      <c r="H478" s="236"/>
      <c r="I478" s="236"/>
      <c r="J478" s="242"/>
      <c r="L478" s="249"/>
      <c r="M478" s="245"/>
      <c r="N478" s="24" t="s">
        <v>83</v>
      </c>
      <c r="P478" s="17"/>
      <c r="Q478" s="17">
        <v>85</v>
      </c>
      <c r="R478" s="236"/>
      <c r="S478" s="236"/>
      <c r="T478" s="236"/>
      <c r="U478" s="242"/>
    </row>
    <row r="479" spans="1:21" ht="13">
      <c r="A479" s="249"/>
      <c r="B479" s="245"/>
      <c r="C479" s="24" t="s">
        <v>278</v>
      </c>
      <c r="D479" s="24"/>
      <c r="E479" s="17"/>
      <c r="F479" s="17">
        <v>11.6</v>
      </c>
      <c r="G479" s="236"/>
      <c r="H479" s="236"/>
      <c r="I479" s="236"/>
      <c r="J479" s="242"/>
      <c r="L479" s="249"/>
      <c r="M479" s="245"/>
      <c r="N479" s="24" t="s">
        <v>278</v>
      </c>
      <c r="O479" s="24"/>
      <c r="P479" s="17"/>
      <c r="Q479" s="17">
        <v>11.6</v>
      </c>
      <c r="R479" s="236"/>
      <c r="S479" s="236"/>
      <c r="T479" s="236"/>
      <c r="U479" s="242"/>
    </row>
    <row r="480" spans="1:21" ht="13">
      <c r="A480" s="249"/>
      <c r="B480" s="245"/>
      <c r="C480" s="24" t="s">
        <v>44</v>
      </c>
      <c r="D480" s="24"/>
      <c r="E480" s="17"/>
      <c r="F480" s="17">
        <v>36</v>
      </c>
      <c r="G480" s="236"/>
      <c r="H480" s="236"/>
      <c r="I480" s="236"/>
      <c r="J480" s="242"/>
      <c r="L480" s="249"/>
      <c r="M480" s="245"/>
      <c r="N480" s="24" t="s">
        <v>44</v>
      </c>
      <c r="O480" s="24"/>
      <c r="P480" s="17"/>
      <c r="Q480" s="17">
        <v>36</v>
      </c>
      <c r="R480" s="236"/>
      <c r="S480" s="236"/>
      <c r="T480" s="236"/>
      <c r="U480" s="242"/>
    </row>
    <row r="481" spans="1:21" ht="13">
      <c r="A481" s="249"/>
      <c r="B481" s="246"/>
      <c r="C481" s="20"/>
      <c r="D481" s="21"/>
      <c r="E481" s="21"/>
      <c r="F481" s="21"/>
      <c r="G481" s="238"/>
      <c r="H481" s="238"/>
      <c r="I481" s="238"/>
      <c r="J481" s="243"/>
      <c r="L481" s="249"/>
      <c r="M481" s="246"/>
      <c r="N481" s="20"/>
      <c r="O481" s="21"/>
      <c r="P481" s="21"/>
      <c r="Q481" s="21"/>
      <c r="R481" s="238"/>
      <c r="S481" s="238"/>
      <c r="T481" s="238"/>
      <c r="U481" s="243"/>
    </row>
    <row r="482" spans="1:21" ht="13">
      <c r="A482" s="249"/>
      <c r="B482" s="244" t="s">
        <v>279</v>
      </c>
      <c r="C482" s="15" t="s">
        <v>209</v>
      </c>
      <c r="D482" s="17">
        <v>7</v>
      </c>
      <c r="E482" s="16">
        <v>18</v>
      </c>
      <c r="F482" s="17">
        <f t="shared" ref="F482:F486" si="89">D482*E482</f>
        <v>126</v>
      </c>
      <c r="G482" s="240">
        <f>SUM(F482:F486)</f>
        <v>1101.9100000000001</v>
      </c>
      <c r="H482" s="237">
        <v>2430</v>
      </c>
      <c r="I482" s="237">
        <f>H482-G482</f>
        <v>1328.09</v>
      </c>
      <c r="J482" s="241">
        <f>I482/H482</f>
        <v>0.54653909465020578</v>
      </c>
      <c r="L482" s="249"/>
      <c r="M482" s="244" t="s">
        <v>279</v>
      </c>
      <c r="N482" s="15" t="s">
        <v>209</v>
      </c>
      <c r="O482" s="18"/>
      <c r="P482" s="18"/>
      <c r="Q482" s="18"/>
      <c r="R482" s="240">
        <f>SUM(Q482:Q486)</f>
        <v>975.91000000000008</v>
      </c>
      <c r="S482" s="237">
        <v>2430</v>
      </c>
      <c r="T482" s="237">
        <f>S482-R482</f>
        <v>1454.09</v>
      </c>
      <c r="U482" s="241">
        <f>T482/S482</f>
        <v>0.5983909465020576</v>
      </c>
    </row>
    <row r="483" spans="1:21" ht="13">
      <c r="A483" s="249"/>
      <c r="B483" s="245"/>
      <c r="C483" s="24" t="s">
        <v>280</v>
      </c>
      <c r="D483" s="24">
        <v>18.45</v>
      </c>
      <c r="E483" s="17">
        <v>13</v>
      </c>
      <c r="F483" s="17">
        <f t="shared" si="89"/>
        <v>239.85</v>
      </c>
      <c r="G483" s="236"/>
      <c r="H483" s="236"/>
      <c r="I483" s="236"/>
      <c r="J483" s="242"/>
      <c r="L483" s="249"/>
      <c r="M483" s="245"/>
      <c r="N483" s="24" t="s">
        <v>280</v>
      </c>
      <c r="O483" s="24">
        <v>18.45</v>
      </c>
      <c r="P483" s="17">
        <v>13</v>
      </c>
      <c r="Q483" s="17">
        <f t="shared" ref="Q483:Q486" si="90">O483*P483</f>
        <v>239.85</v>
      </c>
      <c r="R483" s="236"/>
      <c r="S483" s="236"/>
      <c r="T483" s="236"/>
      <c r="U483" s="242"/>
    </row>
    <row r="484" spans="1:21" ht="13">
      <c r="A484" s="249"/>
      <c r="B484" s="245"/>
      <c r="C484" s="24" t="s">
        <v>64</v>
      </c>
      <c r="D484" s="17">
        <v>29.47</v>
      </c>
      <c r="E484" s="17">
        <v>13</v>
      </c>
      <c r="F484" s="17">
        <f t="shared" si="89"/>
        <v>383.11</v>
      </c>
      <c r="G484" s="236"/>
      <c r="H484" s="236"/>
      <c r="I484" s="236"/>
      <c r="J484" s="242"/>
      <c r="L484" s="249"/>
      <c r="M484" s="245"/>
      <c r="N484" s="24" t="s">
        <v>64</v>
      </c>
      <c r="O484" s="17">
        <v>29.47</v>
      </c>
      <c r="P484" s="17">
        <v>13</v>
      </c>
      <c r="Q484" s="17">
        <f t="shared" si="90"/>
        <v>383.11</v>
      </c>
      <c r="R484" s="236"/>
      <c r="S484" s="236"/>
      <c r="T484" s="236"/>
      <c r="U484" s="242"/>
    </row>
    <row r="485" spans="1:21" ht="13">
      <c r="A485" s="249"/>
      <c r="B485" s="245"/>
      <c r="C485" s="24" t="s">
        <v>222</v>
      </c>
      <c r="D485" s="17">
        <v>9.4</v>
      </c>
      <c r="E485" s="17">
        <v>13</v>
      </c>
      <c r="F485" s="17">
        <f t="shared" si="89"/>
        <v>122.2</v>
      </c>
      <c r="G485" s="236"/>
      <c r="H485" s="236"/>
      <c r="I485" s="236"/>
      <c r="J485" s="242"/>
      <c r="L485" s="249"/>
      <c r="M485" s="245"/>
      <c r="N485" s="24" t="s">
        <v>222</v>
      </c>
      <c r="O485" s="17">
        <v>9.4</v>
      </c>
      <c r="P485" s="17">
        <v>13</v>
      </c>
      <c r="Q485" s="17">
        <f t="shared" si="90"/>
        <v>122.2</v>
      </c>
      <c r="R485" s="236"/>
      <c r="S485" s="236"/>
      <c r="T485" s="236"/>
      <c r="U485" s="242"/>
    </row>
    <row r="486" spans="1:21" ht="13">
      <c r="A486" s="249"/>
      <c r="B486" s="245"/>
      <c r="C486" s="19" t="s">
        <v>80</v>
      </c>
      <c r="D486" s="17">
        <v>17.75</v>
      </c>
      <c r="E486" s="17">
        <v>13</v>
      </c>
      <c r="F486" s="17">
        <f t="shared" si="89"/>
        <v>230.75</v>
      </c>
      <c r="G486" s="236"/>
      <c r="H486" s="236"/>
      <c r="I486" s="236"/>
      <c r="J486" s="242"/>
      <c r="L486" s="249"/>
      <c r="M486" s="245"/>
      <c r="N486" s="19" t="s">
        <v>80</v>
      </c>
      <c r="O486" s="17">
        <v>17.75</v>
      </c>
      <c r="P486" s="17">
        <v>13</v>
      </c>
      <c r="Q486" s="17">
        <f t="shared" si="90"/>
        <v>230.75</v>
      </c>
      <c r="R486" s="236"/>
      <c r="S486" s="236"/>
      <c r="T486" s="236"/>
      <c r="U486" s="242"/>
    </row>
    <row r="487" spans="1:21" ht="13">
      <c r="A487" s="250"/>
      <c r="B487" s="246"/>
      <c r="C487" s="20"/>
      <c r="D487" s="21"/>
      <c r="E487" s="21"/>
      <c r="F487" s="21"/>
      <c r="G487" s="238"/>
      <c r="H487" s="238"/>
      <c r="I487" s="238"/>
      <c r="J487" s="243"/>
      <c r="L487" s="250"/>
      <c r="M487" s="246"/>
      <c r="N487" s="20"/>
      <c r="O487" s="21"/>
      <c r="P487" s="21"/>
      <c r="Q487" s="21"/>
      <c r="R487" s="238"/>
      <c r="S487" s="238"/>
      <c r="T487" s="238"/>
      <c r="U487" s="243"/>
    </row>
    <row r="488" spans="1:21" ht="30">
      <c r="A488" s="278" t="s">
        <v>281</v>
      </c>
      <c r="B488" s="252"/>
      <c r="C488" s="253"/>
      <c r="D488" s="56">
        <f t="shared" ref="D488:I488" si="91">AVERAGE(D391:D487)</f>
        <v>16.016818181818181</v>
      </c>
      <c r="E488" s="56">
        <f t="shared" si="91"/>
        <v>14.522727272727273</v>
      </c>
      <c r="F488" s="56">
        <f t="shared" si="91"/>
        <v>205.87538461538458</v>
      </c>
      <c r="G488" s="56">
        <f t="shared" si="91"/>
        <v>1170.9162499999998</v>
      </c>
      <c r="H488" s="56">
        <f t="shared" si="91"/>
        <v>3338.05375</v>
      </c>
      <c r="I488" s="56">
        <f t="shared" si="91"/>
        <v>2167.1374999999998</v>
      </c>
      <c r="J488" s="57">
        <f>AVERAGE($J$12:$J$76)</f>
        <v>0.79942354689485917</v>
      </c>
      <c r="L488" s="278" t="s">
        <v>281</v>
      </c>
      <c r="M488" s="252"/>
      <c r="N488" s="253"/>
      <c r="O488" s="56">
        <f t="shared" ref="O488:T488" si="92">AVERAGE(O391:O487)</f>
        <v>17.858000000000001</v>
      </c>
      <c r="P488" s="56">
        <f t="shared" si="92"/>
        <v>13.566666666666666</v>
      </c>
      <c r="Q488" s="56">
        <f t="shared" si="92"/>
        <v>206.25532467532469</v>
      </c>
      <c r="R488" s="56">
        <f t="shared" si="92"/>
        <v>992.60374999999988</v>
      </c>
      <c r="S488" s="56">
        <f t="shared" si="92"/>
        <v>3338.05375</v>
      </c>
      <c r="T488" s="56">
        <f t="shared" si="92"/>
        <v>2345.4499999999998</v>
      </c>
      <c r="U488" s="57">
        <f>AVERAGE($J$12:$J$76)</f>
        <v>0.79942354689485917</v>
      </c>
    </row>
    <row r="489" spans="1:21" ht="30">
      <c r="A489" s="279" t="s">
        <v>282</v>
      </c>
      <c r="B489" s="255"/>
      <c r="C489" s="256"/>
      <c r="D489" s="56">
        <f t="shared" ref="D489:I489" si="93">SUM(D391:D487)</f>
        <v>704.74</v>
      </c>
      <c r="E489" s="56">
        <f t="shared" si="93"/>
        <v>639</v>
      </c>
      <c r="F489" s="56">
        <f t="shared" si="93"/>
        <v>18734.659999999996</v>
      </c>
      <c r="G489" s="56">
        <f t="shared" si="93"/>
        <v>18734.659999999996</v>
      </c>
      <c r="H489" s="56">
        <f t="shared" si="93"/>
        <v>53408.86</v>
      </c>
      <c r="I489" s="56">
        <f t="shared" si="93"/>
        <v>34674.199999999997</v>
      </c>
      <c r="J489" s="58">
        <f t="shared" ref="J489:J490" si="94">I489/H489</f>
        <v>0.64922187067838555</v>
      </c>
      <c r="L489" s="279" t="s">
        <v>282</v>
      </c>
      <c r="M489" s="255"/>
      <c r="N489" s="256"/>
      <c r="O489" s="56">
        <f t="shared" ref="O489:T489" si="95">SUM(O391:O487)</f>
        <v>535.74</v>
      </c>
      <c r="P489" s="56">
        <f t="shared" si="95"/>
        <v>407</v>
      </c>
      <c r="Q489" s="56">
        <f t="shared" si="95"/>
        <v>15881.66</v>
      </c>
      <c r="R489" s="56">
        <f t="shared" si="95"/>
        <v>15881.659999999998</v>
      </c>
      <c r="S489" s="56">
        <f t="shared" si="95"/>
        <v>53408.86</v>
      </c>
      <c r="T489" s="56">
        <f t="shared" si="95"/>
        <v>37527.199999999997</v>
      </c>
      <c r="U489" s="58">
        <f t="shared" ref="U489:U490" si="96">T489/S489</f>
        <v>0.70263997396686606</v>
      </c>
    </row>
    <row r="490" spans="1:21" ht="13">
      <c r="A490" s="277" t="s">
        <v>5</v>
      </c>
      <c r="B490" s="244" t="s">
        <v>283</v>
      </c>
      <c r="C490" s="15" t="s">
        <v>23</v>
      </c>
      <c r="D490" s="17">
        <v>7</v>
      </c>
      <c r="E490" s="16">
        <v>16</v>
      </c>
      <c r="F490" s="17">
        <f>D490*E490</f>
        <v>112</v>
      </c>
      <c r="G490" s="240">
        <f>SUM(F490:F492)</f>
        <v>731.3</v>
      </c>
      <c r="H490" s="237">
        <v>2689.91</v>
      </c>
      <c r="I490" s="237">
        <f>H490-G490</f>
        <v>1958.61</v>
      </c>
      <c r="J490" s="241">
        <f t="shared" si="94"/>
        <v>0.72813216799075065</v>
      </c>
      <c r="L490" s="277" t="s">
        <v>5</v>
      </c>
      <c r="M490" s="244" t="s">
        <v>283</v>
      </c>
      <c r="N490" s="15" t="s">
        <v>23</v>
      </c>
      <c r="O490" s="18"/>
      <c r="P490" s="18"/>
      <c r="Q490" s="18"/>
      <c r="R490" s="240">
        <f>SUM(Q490:Q492)</f>
        <v>619.29999999999995</v>
      </c>
      <c r="S490" s="237">
        <v>2689.91</v>
      </c>
      <c r="T490" s="237">
        <f>S490-R490</f>
        <v>2070.6099999999997</v>
      </c>
      <c r="U490" s="241">
        <f t="shared" si="96"/>
        <v>0.76976924878527531</v>
      </c>
    </row>
    <row r="491" spans="1:21" ht="13">
      <c r="A491" s="249"/>
      <c r="B491" s="245"/>
      <c r="C491" s="24" t="s">
        <v>47</v>
      </c>
      <c r="E491" s="17"/>
      <c r="F491" s="17">
        <v>562.4</v>
      </c>
      <c r="G491" s="236"/>
      <c r="H491" s="236"/>
      <c r="I491" s="236"/>
      <c r="J491" s="242"/>
      <c r="L491" s="249"/>
      <c r="M491" s="245"/>
      <c r="N491" s="24" t="s">
        <v>47</v>
      </c>
      <c r="P491" s="17"/>
      <c r="Q491" s="17">
        <v>562.4</v>
      </c>
      <c r="R491" s="236"/>
      <c r="S491" s="236"/>
      <c r="T491" s="236"/>
      <c r="U491" s="242"/>
    </row>
    <row r="492" spans="1:21" ht="13">
      <c r="A492" s="249"/>
      <c r="B492" s="245"/>
      <c r="C492" s="24" t="s">
        <v>33</v>
      </c>
      <c r="D492" s="17"/>
      <c r="E492" s="17"/>
      <c r="F492" s="17">
        <v>56.9</v>
      </c>
      <c r="G492" s="236"/>
      <c r="H492" s="236"/>
      <c r="I492" s="236"/>
      <c r="J492" s="242"/>
      <c r="L492" s="249"/>
      <c r="M492" s="245"/>
      <c r="N492" s="24" t="s">
        <v>33</v>
      </c>
      <c r="O492" s="17"/>
      <c r="P492" s="17"/>
      <c r="Q492" s="17">
        <v>56.9</v>
      </c>
      <c r="R492" s="236"/>
      <c r="S492" s="236"/>
      <c r="T492" s="236"/>
      <c r="U492" s="242"/>
    </row>
    <row r="493" spans="1:21" ht="13">
      <c r="A493" s="249"/>
      <c r="B493" s="246"/>
      <c r="C493" s="20"/>
      <c r="D493" s="21"/>
      <c r="E493" s="21"/>
      <c r="F493" s="21"/>
      <c r="G493" s="238"/>
      <c r="H493" s="238"/>
      <c r="I493" s="238"/>
      <c r="J493" s="243"/>
      <c r="L493" s="249"/>
      <c r="M493" s="246"/>
      <c r="N493" s="20"/>
      <c r="O493" s="21"/>
      <c r="P493" s="21"/>
      <c r="Q493" s="21"/>
      <c r="R493" s="238"/>
      <c r="S493" s="238"/>
      <c r="T493" s="238"/>
      <c r="U493" s="243"/>
    </row>
    <row r="494" spans="1:21" ht="13">
      <c r="A494" s="249"/>
      <c r="B494" s="244" t="s">
        <v>284</v>
      </c>
      <c r="C494" s="15" t="s">
        <v>285</v>
      </c>
      <c r="D494" s="17">
        <v>21</v>
      </c>
      <c r="E494" s="16">
        <v>13</v>
      </c>
      <c r="F494" s="17">
        <f t="shared" ref="F494:F495" si="97">D494*E494</f>
        <v>273</v>
      </c>
      <c r="G494" s="240">
        <f>SUM(F494:F498)</f>
        <v>1269.6199999999999</v>
      </c>
      <c r="H494" s="237">
        <v>5301.88</v>
      </c>
      <c r="I494" s="237">
        <f>H494-G494</f>
        <v>4032.26</v>
      </c>
      <c r="J494" s="241">
        <f>I494/H494</f>
        <v>0.76053399926063969</v>
      </c>
      <c r="L494" s="249"/>
      <c r="M494" s="244" t="s">
        <v>284</v>
      </c>
      <c r="N494" s="15" t="s">
        <v>285</v>
      </c>
      <c r="O494" s="18"/>
      <c r="P494" s="18"/>
      <c r="Q494" s="18"/>
      <c r="R494" s="240">
        <f>SUM(Q494:Q498)</f>
        <v>477.12</v>
      </c>
      <c r="S494" s="237">
        <v>5301.88</v>
      </c>
      <c r="T494" s="237">
        <f>S494-R494</f>
        <v>4824.76</v>
      </c>
      <c r="U494" s="241">
        <f>T494/S494</f>
        <v>0.91000927972719114</v>
      </c>
    </row>
    <row r="495" spans="1:21" ht="13">
      <c r="A495" s="249"/>
      <c r="B495" s="245"/>
      <c r="C495" s="24" t="s">
        <v>101</v>
      </c>
      <c r="D495" s="24">
        <v>21</v>
      </c>
      <c r="E495" s="17">
        <v>13</v>
      </c>
      <c r="F495" s="17">
        <f t="shared" si="97"/>
        <v>273</v>
      </c>
      <c r="G495" s="236"/>
      <c r="H495" s="236"/>
      <c r="I495" s="236"/>
      <c r="J495" s="242"/>
      <c r="L495" s="249"/>
      <c r="M495" s="245"/>
      <c r="N495" s="24" t="s">
        <v>101</v>
      </c>
      <c r="O495" s="18"/>
      <c r="P495" s="18"/>
      <c r="Q495" s="18"/>
      <c r="R495" s="236"/>
      <c r="S495" s="236"/>
      <c r="T495" s="236"/>
      <c r="U495" s="242"/>
    </row>
    <row r="496" spans="1:21" ht="13">
      <c r="A496" s="249"/>
      <c r="B496" s="245"/>
      <c r="C496" s="24" t="s">
        <v>47</v>
      </c>
      <c r="E496" s="17"/>
      <c r="F496" s="17">
        <v>67.95</v>
      </c>
      <c r="G496" s="236"/>
      <c r="H496" s="236"/>
      <c r="I496" s="236"/>
      <c r="J496" s="242"/>
      <c r="L496" s="249"/>
      <c r="M496" s="245"/>
      <c r="N496" s="24" t="s">
        <v>47</v>
      </c>
      <c r="P496" s="17"/>
      <c r="Q496" s="17">
        <v>67.95</v>
      </c>
      <c r="R496" s="236"/>
      <c r="S496" s="236"/>
      <c r="T496" s="236"/>
      <c r="U496" s="242"/>
    </row>
    <row r="497" spans="1:21" ht="13">
      <c r="A497" s="249"/>
      <c r="B497" s="245"/>
      <c r="C497" s="24" t="s">
        <v>48</v>
      </c>
      <c r="E497" s="17"/>
      <c r="F497" s="17">
        <v>232.17</v>
      </c>
      <c r="G497" s="236"/>
      <c r="H497" s="236"/>
      <c r="I497" s="236"/>
      <c r="J497" s="242"/>
      <c r="L497" s="249"/>
      <c r="M497" s="245"/>
      <c r="N497" s="24" t="s">
        <v>48</v>
      </c>
      <c r="P497" s="17"/>
      <c r="Q497" s="17">
        <v>232.17</v>
      </c>
      <c r="R497" s="236"/>
      <c r="S497" s="236"/>
      <c r="T497" s="236"/>
      <c r="U497" s="242"/>
    </row>
    <row r="498" spans="1:21" ht="13">
      <c r="A498" s="249"/>
      <c r="B498" s="246"/>
      <c r="C498" s="20" t="s">
        <v>155</v>
      </c>
      <c r="D498" s="21"/>
      <c r="E498" s="21"/>
      <c r="F498" s="21">
        <f>177+246.5</f>
        <v>423.5</v>
      </c>
      <c r="G498" s="238"/>
      <c r="H498" s="238"/>
      <c r="I498" s="238"/>
      <c r="J498" s="243"/>
      <c r="L498" s="249"/>
      <c r="M498" s="246"/>
      <c r="N498" s="20" t="s">
        <v>155</v>
      </c>
      <c r="O498" s="21"/>
      <c r="P498" s="21"/>
      <c r="Q498" s="21">
        <v>177</v>
      </c>
      <c r="R498" s="238"/>
      <c r="S498" s="238"/>
      <c r="T498" s="238"/>
      <c r="U498" s="243"/>
    </row>
    <row r="499" spans="1:21" ht="13">
      <c r="A499" s="249"/>
      <c r="B499" s="244" t="s">
        <v>286</v>
      </c>
      <c r="C499" s="15" t="s">
        <v>287</v>
      </c>
      <c r="D499" s="16"/>
      <c r="E499" s="16"/>
      <c r="F499" s="17">
        <v>150</v>
      </c>
      <c r="G499" s="240">
        <f>SUM(F499:F503)</f>
        <v>495.77</v>
      </c>
      <c r="H499" s="237">
        <v>3377.92</v>
      </c>
      <c r="I499" s="237">
        <f>H499-G499</f>
        <v>2882.15</v>
      </c>
      <c r="J499" s="241">
        <f>I499/H499</f>
        <v>0.85323216654035616</v>
      </c>
      <c r="L499" s="249"/>
      <c r="M499" s="244" t="s">
        <v>286</v>
      </c>
      <c r="N499" s="15" t="s">
        <v>287</v>
      </c>
      <c r="O499" s="16"/>
      <c r="P499" s="16"/>
      <c r="Q499" s="17">
        <v>150</v>
      </c>
      <c r="R499" s="240">
        <f>SUM(Q499:Q503)</f>
        <v>495.77</v>
      </c>
      <c r="S499" s="237">
        <v>3377.92</v>
      </c>
      <c r="T499" s="237">
        <f>S499-R499</f>
        <v>2882.15</v>
      </c>
      <c r="U499" s="241">
        <f>T499/S499</f>
        <v>0.85323216654035616</v>
      </c>
    </row>
    <row r="500" spans="1:21" ht="13">
      <c r="A500" s="249"/>
      <c r="B500" s="245"/>
      <c r="C500" s="19" t="s">
        <v>47</v>
      </c>
      <c r="D500" s="17"/>
      <c r="E500" s="17"/>
      <c r="F500" s="17">
        <v>70.08</v>
      </c>
      <c r="G500" s="236"/>
      <c r="H500" s="236"/>
      <c r="I500" s="236"/>
      <c r="J500" s="242"/>
      <c r="L500" s="249"/>
      <c r="M500" s="245"/>
      <c r="N500" s="19" t="s">
        <v>47</v>
      </c>
      <c r="O500" s="17"/>
      <c r="P500" s="17"/>
      <c r="Q500" s="17">
        <v>70.08</v>
      </c>
      <c r="R500" s="236"/>
      <c r="S500" s="236"/>
      <c r="T500" s="236"/>
      <c r="U500" s="242"/>
    </row>
    <row r="501" spans="1:21" ht="13">
      <c r="A501" s="249"/>
      <c r="B501" s="245"/>
      <c r="C501" s="19" t="s">
        <v>45</v>
      </c>
      <c r="D501" s="17"/>
      <c r="E501" s="17"/>
      <c r="F501" s="17">
        <v>203.49</v>
      </c>
      <c r="G501" s="236"/>
      <c r="H501" s="236"/>
      <c r="I501" s="236"/>
      <c r="J501" s="242"/>
      <c r="L501" s="249"/>
      <c r="M501" s="245"/>
      <c r="N501" s="19" t="s">
        <v>45</v>
      </c>
      <c r="O501" s="17"/>
      <c r="P501" s="17"/>
      <c r="Q501" s="17">
        <v>203.49</v>
      </c>
      <c r="R501" s="236"/>
      <c r="S501" s="236"/>
      <c r="T501" s="236"/>
      <c r="U501" s="242"/>
    </row>
    <row r="502" spans="1:21" ht="13">
      <c r="A502" s="249"/>
      <c r="B502" s="245"/>
      <c r="C502" s="19" t="s">
        <v>44</v>
      </c>
      <c r="D502" s="17"/>
      <c r="E502" s="17"/>
      <c r="F502" s="17">
        <v>72.2</v>
      </c>
      <c r="G502" s="236"/>
      <c r="H502" s="236"/>
      <c r="I502" s="236"/>
      <c r="J502" s="242"/>
      <c r="L502" s="249"/>
      <c r="M502" s="245"/>
      <c r="N502" s="19" t="s">
        <v>44</v>
      </c>
      <c r="O502" s="17"/>
      <c r="P502" s="17"/>
      <c r="Q502" s="17">
        <v>72.2</v>
      </c>
      <c r="R502" s="236"/>
      <c r="S502" s="236"/>
      <c r="T502" s="236"/>
      <c r="U502" s="242"/>
    </row>
    <row r="503" spans="1:21" ht="13">
      <c r="A503" s="249"/>
      <c r="B503" s="246"/>
      <c r="C503" s="20"/>
      <c r="D503" s="21"/>
      <c r="E503" s="21"/>
      <c r="F503" s="21"/>
      <c r="G503" s="238"/>
      <c r="H503" s="238"/>
      <c r="I503" s="238"/>
      <c r="J503" s="243"/>
      <c r="L503" s="249"/>
      <c r="M503" s="246"/>
      <c r="N503" s="20"/>
      <c r="O503" s="21"/>
      <c r="P503" s="21"/>
      <c r="Q503" s="21"/>
      <c r="R503" s="238"/>
      <c r="S503" s="238"/>
      <c r="T503" s="238"/>
      <c r="U503" s="243"/>
    </row>
    <row r="504" spans="1:21" ht="13">
      <c r="A504" s="249"/>
      <c r="B504" s="244" t="s">
        <v>288</v>
      </c>
      <c r="C504" s="15" t="s">
        <v>287</v>
      </c>
      <c r="D504" s="16"/>
      <c r="E504" s="16"/>
      <c r="F504" s="17">
        <v>150</v>
      </c>
      <c r="G504" s="240">
        <f>SUM(F504:F511)</f>
        <v>1197.06</v>
      </c>
      <c r="H504" s="237">
        <v>3305.26</v>
      </c>
      <c r="I504" s="237">
        <f>H504-G504</f>
        <v>2108.2000000000003</v>
      </c>
      <c r="J504" s="241">
        <f>I504/H504</f>
        <v>0.63783181958454105</v>
      </c>
      <c r="L504" s="249"/>
      <c r="M504" s="244" t="s">
        <v>288</v>
      </c>
      <c r="N504" s="15" t="s">
        <v>287</v>
      </c>
      <c r="O504" s="16"/>
      <c r="P504" s="16"/>
      <c r="Q504" s="17">
        <v>150</v>
      </c>
      <c r="R504" s="240">
        <f>SUM(Q504:Q511)</f>
        <v>1197.06</v>
      </c>
      <c r="S504" s="237">
        <v>3305.26</v>
      </c>
      <c r="T504" s="237">
        <f>S504-R504</f>
        <v>2108.2000000000003</v>
      </c>
      <c r="U504" s="241">
        <f>T504/S504</f>
        <v>0.63783181958454105</v>
      </c>
    </row>
    <row r="505" spans="1:21" ht="13">
      <c r="A505" s="249"/>
      <c r="B505" s="245"/>
      <c r="C505" s="19" t="s">
        <v>35</v>
      </c>
      <c r="D505" s="17"/>
      <c r="E505" s="17"/>
      <c r="F505" s="17">
        <v>200</v>
      </c>
      <c r="G505" s="236"/>
      <c r="H505" s="236"/>
      <c r="I505" s="236"/>
      <c r="J505" s="242"/>
      <c r="L505" s="249"/>
      <c r="M505" s="245"/>
      <c r="N505" s="19" t="s">
        <v>35</v>
      </c>
      <c r="O505" s="17"/>
      <c r="P505" s="17"/>
      <c r="Q505" s="17">
        <v>200</v>
      </c>
      <c r="R505" s="236"/>
      <c r="S505" s="236"/>
      <c r="T505" s="236"/>
      <c r="U505" s="242"/>
    </row>
    <row r="506" spans="1:21" ht="13">
      <c r="A506" s="249"/>
      <c r="B506" s="245"/>
      <c r="C506" s="19" t="s">
        <v>289</v>
      </c>
      <c r="D506" s="17"/>
      <c r="E506" s="17"/>
      <c r="F506" s="17">
        <v>150</v>
      </c>
      <c r="G506" s="236"/>
      <c r="H506" s="236"/>
      <c r="I506" s="236"/>
      <c r="J506" s="242"/>
      <c r="L506" s="249"/>
      <c r="M506" s="245"/>
      <c r="N506" s="19" t="s">
        <v>289</v>
      </c>
      <c r="O506" s="17"/>
      <c r="P506" s="17"/>
      <c r="Q506" s="17">
        <v>150</v>
      </c>
      <c r="R506" s="236"/>
      <c r="S506" s="236"/>
      <c r="T506" s="236"/>
      <c r="U506" s="242"/>
    </row>
    <row r="507" spans="1:21" ht="13">
      <c r="A507" s="249"/>
      <c r="B507" s="245"/>
      <c r="C507" s="19" t="s">
        <v>290</v>
      </c>
      <c r="D507" s="17"/>
      <c r="E507" s="17"/>
      <c r="F507" s="17">
        <v>45</v>
      </c>
      <c r="G507" s="236"/>
      <c r="H507" s="236"/>
      <c r="I507" s="236"/>
      <c r="J507" s="242"/>
      <c r="L507" s="249"/>
      <c r="M507" s="245"/>
      <c r="N507" s="19" t="s">
        <v>290</v>
      </c>
      <c r="O507" s="17"/>
      <c r="P507" s="17"/>
      <c r="Q507" s="17">
        <v>45</v>
      </c>
      <c r="R507" s="236"/>
      <c r="S507" s="236"/>
      <c r="T507" s="236"/>
      <c r="U507" s="242"/>
    </row>
    <row r="508" spans="1:21" ht="13">
      <c r="A508" s="249"/>
      <c r="B508" s="245"/>
      <c r="C508" s="19" t="s">
        <v>291</v>
      </c>
      <c r="D508" s="17"/>
      <c r="E508" s="17"/>
      <c r="F508" s="17">
        <v>66.16</v>
      </c>
      <c r="G508" s="236"/>
      <c r="H508" s="236"/>
      <c r="I508" s="236"/>
      <c r="J508" s="242"/>
      <c r="L508" s="249"/>
      <c r="M508" s="245"/>
      <c r="N508" s="19" t="s">
        <v>291</v>
      </c>
      <c r="O508" s="17"/>
      <c r="P508" s="17"/>
      <c r="Q508" s="17">
        <v>66.16</v>
      </c>
      <c r="R508" s="236"/>
      <c r="S508" s="236"/>
      <c r="T508" s="236"/>
      <c r="U508" s="242"/>
    </row>
    <row r="509" spans="1:21" ht="13">
      <c r="A509" s="249"/>
      <c r="B509" s="245"/>
      <c r="C509" s="19" t="s">
        <v>45</v>
      </c>
      <c r="D509" s="17"/>
      <c r="E509" s="17"/>
      <c r="F509" s="17">
        <v>57.7</v>
      </c>
      <c r="G509" s="236"/>
      <c r="H509" s="236"/>
      <c r="I509" s="236"/>
      <c r="J509" s="242"/>
      <c r="L509" s="249"/>
      <c r="M509" s="245"/>
      <c r="N509" s="19" t="s">
        <v>45</v>
      </c>
      <c r="O509" s="17"/>
      <c r="P509" s="17"/>
      <c r="Q509" s="17">
        <v>57.7</v>
      </c>
      <c r="R509" s="236"/>
      <c r="S509" s="236"/>
      <c r="T509" s="236"/>
      <c r="U509" s="242"/>
    </row>
    <row r="510" spans="1:21" ht="13">
      <c r="A510" s="249"/>
      <c r="B510" s="245"/>
      <c r="C510" s="19" t="s">
        <v>44</v>
      </c>
      <c r="D510" s="17"/>
      <c r="E510" s="17"/>
      <c r="F510" s="17">
        <v>28.2</v>
      </c>
      <c r="G510" s="236"/>
      <c r="H510" s="236"/>
      <c r="I510" s="236"/>
      <c r="J510" s="242"/>
      <c r="L510" s="249"/>
      <c r="M510" s="245"/>
      <c r="N510" s="19" t="s">
        <v>44</v>
      </c>
      <c r="O510" s="17"/>
      <c r="P510" s="17"/>
      <c r="Q510" s="17">
        <v>28.2</v>
      </c>
      <c r="R510" s="236"/>
      <c r="S510" s="236"/>
      <c r="T510" s="236"/>
      <c r="U510" s="242"/>
    </row>
    <row r="511" spans="1:21" ht="13">
      <c r="A511" s="249"/>
      <c r="B511" s="246"/>
      <c r="C511" s="20" t="s">
        <v>33</v>
      </c>
      <c r="D511" s="21"/>
      <c r="E511" s="21"/>
      <c r="F511" s="21">
        <v>500</v>
      </c>
      <c r="G511" s="238"/>
      <c r="H511" s="238"/>
      <c r="I511" s="238"/>
      <c r="J511" s="243"/>
      <c r="L511" s="249"/>
      <c r="M511" s="246"/>
      <c r="N511" s="20" t="s">
        <v>33</v>
      </c>
      <c r="O511" s="21"/>
      <c r="P511" s="21"/>
      <c r="Q511" s="21">
        <v>500</v>
      </c>
      <c r="R511" s="238"/>
      <c r="S511" s="238"/>
      <c r="T511" s="238"/>
      <c r="U511" s="243"/>
    </row>
    <row r="512" spans="1:21" ht="13">
      <c r="A512" s="249"/>
      <c r="B512" s="244" t="s">
        <v>292</v>
      </c>
      <c r="C512" s="15" t="s">
        <v>293</v>
      </c>
      <c r="D512" s="16"/>
      <c r="E512" s="16"/>
      <c r="F512" s="17">
        <v>350</v>
      </c>
      <c r="G512" s="240">
        <f>SUM(F512:F514)</f>
        <v>455.26</v>
      </c>
      <c r="H512" s="237">
        <v>3322.5</v>
      </c>
      <c r="I512" s="237">
        <f>H512-G512</f>
        <v>2867.24</v>
      </c>
      <c r="J512" s="241">
        <f>I512/H512</f>
        <v>0.86297667419112112</v>
      </c>
      <c r="L512" s="249"/>
      <c r="M512" s="244" t="s">
        <v>292</v>
      </c>
      <c r="N512" s="15" t="s">
        <v>293</v>
      </c>
      <c r="O512" s="16"/>
      <c r="P512" s="16"/>
      <c r="Q512" s="17">
        <v>350</v>
      </c>
      <c r="R512" s="240">
        <f>SUM(Q512:Q514)</f>
        <v>455.26</v>
      </c>
      <c r="S512" s="237">
        <v>3322.5</v>
      </c>
      <c r="T512" s="237">
        <f>S512-R512</f>
        <v>2867.24</v>
      </c>
      <c r="U512" s="241">
        <f>T512/S512</f>
        <v>0.86297667419112112</v>
      </c>
    </row>
    <row r="513" spans="1:21" ht="13">
      <c r="A513" s="249"/>
      <c r="B513" s="245"/>
      <c r="C513" s="19" t="s">
        <v>33</v>
      </c>
      <c r="D513" s="17"/>
      <c r="E513" s="17"/>
      <c r="F513" s="17">
        <v>105.26</v>
      </c>
      <c r="G513" s="236"/>
      <c r="H513" s="236"/>
      <c r="I513" s="236"/>
      <c r="J513" s="242"/>
      <c r="L513" s="249"/>
      <c r="M513" s="245"/>
      <c r="N513" s="19" t="s">
        <v>33</v>
      </c>
      <c r="O513" s="17"/>
      <c r="P513" s="17"/>
      <c r="Q513" s="17">
        <v>105.26</v>
      </c>
      <c r="R513" s="236"/>
      <c r="S513" s="236"/>
      <c r="T513" s="236"/>
      <c r="U513" s="242"/>
    </row>
    <row r="514" spans="1:21" ht="13">
      <c r="A514" s="249"/>
      <c r="B514" s="246"/>
      <c r="C514" s="20"/>
      <c r="D514" s="21"/>
      <c r="E514" s="21"/>
      <c r="F514" s="21"/>
      <c r="G514" s="238"/>
      <c r="H514" s="238"/>
      <c r="I514" s="238"/>
      <c r="J514" s="243"/>
      <c r="L514" s="249"/>
      <c r="M514" s="246"/>
      <c r="N514" s="20"/>
      <c r="O514" s="21"/>
      <c r="P514" s="21"/>
      <c r="Q514" s="21"/>
      <c r="R514" s="238"/>
      <c r="S514" s="238"/>
      <c r="T514" s="238"/>
      <c r="U514" s="243"/>
    </row>
    <row r="515" spans="1:21" ht="13">
      <c r="A515" s="249"/>
      <c r="B515" s="244" t="s">
        <v>294</v>
      </c>
      <c r="C515" s="15" t="s">
        <v>295</v>
      </c>
      <c r="D515" s="16"/>
      <c r="E515" s="16"/>
      <c r="F515" s="17">
        <v>50</v>
      </c>
      <c r="G515" s="240">
        <f>SUM(F515:F517)</f>
        <v>82</v>
      </c>
      <c r="H515" s="237">
        <v>627</v>
      </c>
      <c r="I515" s="237">
        <f>H515-G515</f>
        <v>545</v>
      </c>
      <c r="J515" s="241">
        <f>I515/H515</f>
        <v>0.86921850079744811</v>
      </c>
      <c r="L515" s="249"/>
      <c r="M515" s="244" t="s">
        <v>294</v>
      </c>
      <c r="N515" s="15" t="s">
        <v>295</v>
      </c>
      <c r="O515" s="16"/>
      <c r="P515" s="16"/>
      <c r="Q515" s="17">
        <v>50</v>
      </c>
      <c r="R515" s="240">
        <f>SUM(Q515:Q517)</f>
        <v>82</v>
      </c>
      <c r="S515" s="237">
        <v>627</v>
      </c>
      <c r="T515" s="237">
        <f>S515-R515</f>
        <v>545</v>
      </c>
      <c r="U515" s="241">
        <f>T515/S515</f>
        <v>0.86921850079744811</v>
      </c>
    </row>
    <row r="516" spans="1:21" ht="13">
      <c r="A516" s="249"/>
      <c r="B516" s="245"/>
      <c r="C516" s="19" t="s">
        <v>33</v>
      </c>
      <c r="D516" s="17"/>
      <c r="E516" s="17"/>
      <c r="F516" s="17">
        <v>32</v>
      </c>
      <c r="G516" s="236"/>
      <c r="H516" s="236"/>
      <c r="I516" s="236"/>
      <c r="J516" s="242"/>
      <c r="L516" s="249"/>
      <c r="M516" s="245"/>
      <c r="N516" s="19" t="s">
        <v>33</v>
      </c>
      <c r="O516" s="17"/>
      <c r="P516" s="17"/>
      <c r="Q516" s="17">
        <v>32</v>
      </c>
      <c r="R516" s="236"/>
      <c r="S516" s="236"/>
      <c r="T516" s="236"/>
      <c r="U516" s="242"/>
    </row>
    <row r="517" spans="1:21" ht="13">
      <c r="A517" s="249"/>
      <c r="B517" s="246"/>
      <c r="C517" s="20"/>
      <c r="D517" s="21"/>
      <c r="E517" s="21"/>
      <c r="F517" s="21"/>
      <c r="G517" s="238"/>
      <c r="H517" s="238"/>
      <c r="I517" s="238"/>
      <c r="J517" s="243"/>
      <c r="L517" s="249"/>
      <c r="M517" s="246"/>
      <c r="N517" s="20"/>
      <c r="O517" s="21"/>
      <c r="P517" s="21"/>
      <c r="Q517" s="21"/>
      <c r="R517" s="238"/>
      <c r="S517" s="238"/>
      <c r="T517" s="238"/>
      <c r="U517" s="243"/>
    </row>
    <row r="518" spans="1:21" ht="13">
      <c r="A518" s="249"/>
      <c r="B518" s="244" t="s">
        <v>296</v>
      </c>
      <c r="C518" s="15" t="s">
        <v>295</v>
      </c>
      <c r="D518" s="16"/>
      <c r="E518" s="16"/>
      <c r="F518" s="17">
        <v>50</v>
      </c>
      <c r="G518" s="240">
        <f>SUM(F518:F520)</f>
        <v>79.489999999999995</v>
      </c>
      <c r="H518" s="237">
        <v>812.5</v>
      </c>
      <c r="I518" s="237">
        <f>H518-G518</f>
        <v>733.01</v>
      </c>
      <c r="J518" s="241">
        <f>I518/H518</f>
        <v>0.90216615384615384</v>
      </c>
      <c r="L518" s="249"/>
      <c r="M518" s="244" t="s">
        <v>296</v>
      </c>
      <c r="N518" s="15" t="s">
        <v>295</v>
      </c>
      <c r="O518" s="16"/>
      <c r="P518" s="16"/>
      <c r="Q518" s="17">
        <v>50</v>
      </c>
      <c r="R518" s="240">
        <f>SUM(Q518:Q520)</f>
        <v>79.489999999999995</v>
      </c>
      <c r="S518" s="237">
        <v>812.5</v>
      </c>
      <c r="T518" s="237">
        <f>S518-R518</f>
        <v>733.01</v>
      </c>
      <c r="U518" s="241">
        <f>T518/S518</f>
        <v>0.90216615384615384</v>
      </c>
    </row>
    <row r="519" spans="1:21" ht="13">
      <c r="A519" s="249"/>
      <c r="B519" s="245"/>
      <c r="C519" s="19" t="s">
        <v>33</v>
      </c>
      <c r="D519" s="17"/>
      <c r="E519" s="17"/>
      <c r="F519" s="17">
        <v>29.49</v>
      </c>
      <c r="G519" s="236"/>
      <c r="H519" s="236"/>
      <c r="I519" s="236"/>
      <c r="J519" s="242"/>
      <c r="L519" s="249"/>
      <c r="M519" s="245"/>
      <c r="N519" s="19" t="s">
        <v>33</v>
      </c>
      <c r="O519" s="17"/>
      <c r="P519" s="17"/>
      <c r="Q519" s="17">
        <v>29.49</v>
      </c>
      <c r="R519" s="236"/>
      <c r="S519" s="236"/>
      <c r="T519" s="236"/>
      <c r="U519" s="242"/>
    </row>
    <row r="520" spans="1:21" ht="13">
      <c r="A520" s="249"/>
      <c r="B520" s="246"/>
      <c r="C520" s="20"/>
      <c r="D520" s="21"/>
      <c r="E520" s="21"/>
      <c r="F520" s="21"/>
      <c r="G520" s="238"/>
      <c r="H520" s="238"/>
      <c r="I520" s="238"/>
      <c r="J520" s="243"/>
      <c r="L520" s="249"/>
      <c r="M520" s="246"/>
      <c r="N520" s="20"/>
      <c r="O520" s="21"/>
      <c r="P520" s="21"/>
      <c r="Q520" s="21"/>
      <c r="R520" s="238"/>
      <c r="S520" s="238"/>
      <c r="T520" s="238"/>
      <c r="U520" s="243"/>
    </row>
    <row r="521" spans="1:21" ht="13">
      <c r="A521" s="249"/>
      <c r="B521" s="244" t="s">
        <v>297</v>
      </c>
      <c r="C521" s="15" t="s">
        <v>209</v>
      </c>
      <c r="D521" s="17">
        <v>21</v>
      </c>
      <c r="E521" s="16">
        <v>18</v>
      </c>
      <c r="F521" s="17">
        <f t="shared" ref="F521:F524" si="98">D521*E521</f>
        <v>378</v>
      </c>
      <c r="G521" s="240">
        <f>SUM(F521:F530)</f>
        <v>2173.9299999999998</v>
      </c>
      <c r="H521" s="237">
        <v>4137.55</v>
      </c>
      <c r="I521" s="237">
        <f>H521-G521</f>
        <v>1963.6200000000003</v>
      </c>
      <c r="J521" s="241">
        <f>I521/H521</f>
        <v>0.47458520138729449</v>
      </c>
      <c r="L521" s="249"/>
      <c r="M521" s="244" t="s">
        <v>297</v>
      </c>
      <c r="N521" s="15" t="s">
        <v>209</v>
      </c>
      <c r="O521" s="18"/>
      <c r="P521" s="18"/>
      <c r="Q521" s="18"/>
      <c r="R521" s="240">
        <f>SUM(Q521:Q530)</f>
        <v>1795.93</v>
      </c>
      <c r="S521" s="237">
        <v>4137.55</v>
      </c>
      <c r="T521" s="237">
        <f>S521-R521</f>
        <v>2341.62</v>
      </c>
      <c r="U521" s="241">
        <f>T521/S521</f>
        <v>0.56594361397445347</v>
      </c>
    </row>
    <row r="522" spans="1:21" ht="13">
      <c r="A522" s="249"/>
      <c r="B522" s="245"/>
      <c r="C522" s="24" t="s">
        <v>98</v>
      </c>
      <c r="D522" s="24">
        <v>18.170000000000002</v>
      </c>
      <c r="E522" s="17">
        <v>15</v>
      </c>
      <c r="F522" s="17">
        <f t="shared" si="98"/>
        <v>272.55</v>
      </c>
      <c r="G522" s="236"/>
      <c r="H522" s="236"/>
      <c r="I522" s="236"/>
      <c r="J522" s="242"/>
      <c r="L522" s="249"/>
      <c r="M522" s="245"/>
      <c r="N522" s="24" t="s">
        <v>98</v>
      </c>
      <c r="O522" s="24">
        <v>18.170000000000002</v>
      </c>
      <c r="P522" s="17">
        <v>15</v>
      </c>
      <c r="Q522" s="17">
        <f t="shared" ref="Q522:Q524" si="99">O522*P522</f>
        <v>272.55</v>
      </c>
      <c r="R522" s="236"/>
      <c r="S522" s="236"/>
      <c r="T522" s="236"/>
      <c r="U522" s="242"/>
    </row>
    <row r="523" spans="1:21" ht="13">
      <c r="A523" s="249"/>
      <c r="B523" s="245"/>
      <c r="C523" s="24" t="s">
        <v>298</v>
      </c>
      <c r="D523" s="17">
        <v>16.600000000000001</v>
      </c>
      <c r="E523" s="17">
        <v>15</v>
      </c>
      <c r="F523" s="17">
        <f t="shared" si="98"/>
        <v>249.00000000000003</v>
      </c>
      <c r="G523" s="236"/>
      <c r="H523" s="236"/>
      <c r="I523" s="236"/>
      <c r="J523" s="242"/>
      <c r="L523" s="249"/>
      <c r="M523" s="245"/>
      <c r="N523" s="24" t="s">
        <v>298</v>
      </c>
      <c r="O523" s="17">
        <v>16.600000000000001</v>
      </c>
      <c r="P523" s="17">
        <v>15</v>
      </c>
      <c r="Q523" s="17">
        <f t="shared" si="99"/>
        <v>249.00000000000003</v>
      </c>
      <c r="R523" s="236"/>
      <c r="S523" s="236"/>
      <c r="T523" s="236"/>
      <c r="U523" s="242"/>
    </row>
    <row r="524" spans="1:21" ht="13">
      <c r="A524" s="249"/>
      <c r="B524" s="245"/>
      <c r="C524" s="24" t="s">
        <v>32</v>
      </c>
      <c r="D524" s="17">
        <v>15.55</v>
      </c>
      <c r="E524" s="17">
        <v>15</v>
      </c>
      <c r="F524" s="17">
        <f t="shared" si="98"/>
        <v>233.25</v>
      </c>
      <c r="G524" s="236"/>
      <c r="H524" s="236"/>
      <c r="I524" s="236"/>
      <c r="J524" s="242"/>
      <c r="L524" s="249"/>
      <c r="M524" s="245"/>
      <c r="N524" s="24" t="s">
        <v>32</v>
      </c>
      <c r="O524" s="17">
        <v>15.55</v>
      </c>
      <c r="P524" s="17">
        <v>15</v>
      </c>
      <c r="Q524" s="17">
        <f t="shared" si="99"/>
        <v>233.25</v>
      </c>
      <c r="R524" s="236"/>
      <c r="S524" s="236"/>
      <c r="T524" s="236"/>
      <c r="U524" s="242"/>
    </row>
    <row r="525" spans="1:21" ht="13">
      <c r="A525" s="249"/>
      <c r="B525" s="245"/>
      <c r="C525" s="19" t="s">
        <v>33</v>
      </c>
      <c r="D525" s="17"/>
      <c r="E525" s="17"/>
      <c r="F525" s="17">
        <v>295.13</v>
      </c>
      <c r="G525" s="236"/>
      <c r="H525" s="236"/>
      <c r="I525" s="236"/>
      <c r="J525" s="242"/>
      <c r="L525" s="249"/>
      <c r="M525" s="245"/>
      <c r="N525" s="19" t="s">
        <v>33</v>
      </c>
      <c r="O525" s="17"/>
      <c r="P525" s="17"/>
      <c r="Q525" s="17">
        <v>295.13</v>
      </c>
      <c r="R525" s="236"/>
      <c r="S525" s="236"/>
      <c r="T525" s="236"/>
      <c r="U525" s="242"/>
    </row>
    <row r="526" spans="1:21" ht="13">
      <c r="A526" s="249"/>
      <c r="B526" s="245"/>
      <c r="C526" s="19" t="s">
        <v>45</v>
      </c>
      <c r="D526" s="17"/>
      <c r="E526" s="17"/>
      <c r="F526" s="17">
        <v>246</v>
      </c>
      <c r="G526" s="236"/>
      <c r="H526" s="236"/>
      <c r="I526" s="236"/>
      <c r="J526" s="242"/>
      <c r="L526" s="249"/>
      <c r="M526" s="245"/>
      <c r="N526" s="19" t="s">
        <v>45</v>
      </c>
      <c r="O526" s="17"/>
      <c r="P526" s="17"/>
      <c r="Q526" s="17">
        <v>246</v>
      </c>
      <c r="R526" s="236"/>
      <c r="S526" s="236"/>
      <c r="T526" s="236"/>
      <c r="U526" s="242"/>
    </row>
    <row r="527" spans="1:21" ht="13">
      <c r="A527" s="249"/>
      <c r="B527" s="245"/>
      <c r="C527" s="19" t="s">
        <v>47</v>
      </c>
      <c r="D527" s="17"/>
      <c r="E527" s="17"/>
      <c r="F527" s="17">
        <v>312</v>
      </c>
      <c r="G527" s="236"/>
      <c r="H527" s="236"/>
      <c r="I527" s="236"/>
      <c r="J527" s="242"/>
      <c r="L527" s="249"/>
      <c r="M527" s="245"/>
      <c r="N527" s="19" t="s">
        <v>47</v>
      </c>
      <c r="O527" s="17"/>
      <c r="P527" s="17"/>
      <c r="Q527" s="17">
        <v>312</v>
      </c>
      <c r="R527" s="236"/>
      <c r="S527" s="236"/>
      <c r="T527" s="236"/>
      <c r="U527" s="242"/>
    </row>
    <row r="528" spans="1:21" ht="13">
      <c r="A528" s="249"/>
      <c r="B528" s="245"/>
      <c r="C528" s="19" t="s">
        <v>48</v>
      </c>
      <c r="D528" s="17"/>
      <c r="E528" s="17"/>
      <c r="F528" s="17">
        <v>150</v>
      </c>
      <c r="G528" s="236"/>
      <c r="H528" s="236"/>
      <c r="I528" s="236"/>
      <c r="J528" s="242"/>
      <c r="L528" s="249"/>
      <c r="M528" s="245"/>
      <c r="N528" s="19" t="s">
        <v>48</v>
      </c>
      <c r="O528" s="17"/>
      <c r="P528" s="17"/>
      <c r="Q528" s="17">
        <v>150</v>
      </c>
      <c r="R528" s="236"/>
      <c r="S528" s="236"/>
      <c r="T528" s="236"/>
      <c r="U528" s="242"/>
    </row>
    <row r="529" spans="1:21" ht="13">
      <c r="A529" s="249"/>
      <c r="B529" s="245"/>
      <c r="C529" s="19" t="s">
        <v>299</v>
      </c>
      <c r="D529" s="17"/>
      <c r="E529" s="17"/>
      <c r="F529" s="17" t="s">
        <v>300</v>
      </c>
      <c r="G529" s="236"/>
      <c r="H529" s="236"/>
      <c r="I529" s="236"/>
      <c r="J529" s="242"/>
      <c r="L529" s="249"/>
      <c r="M529" s="245"/>
      <c r="N529" s="19" t="s">
        <v>299</v>
      </c>
      <c r="O529" s="17"/>
      <c r="P529" s="17"/>
      <c r="Q529" s="17" t="s">
        <v>300</v>
      </c>
      <c r="R529" s="236"/>
      <c r="S529" s="236"/>
      <c r="T529" s="236"/>
      <c r="U529" s="242"/>
    </row>
    <row r="530" spans="1:21" ht="13">
      <c r="A530" s="249"/>
      <c r="B530" s="246"/>
      <c r="C530" s="20" t="s">
        <v>44</v>
      </c>
      <c r="D530" s="21"/>
      <c r="E530" s="21"/>
      <c r="F530" s="21">
        <v>38</v>
      </c>
      <c r="G530" s="238"/>
      <c r="H530" s="238"/>
      <c r="I530" s="238"/>
      <c r="J530" s="243"/>
      <c r="L530" s="249"/>
      <c r="M530" s="246"/>
      <c r="N530" s="20" t="s">
        <v>44</v>
      </c>
      <c r="O530" s="21"/>
      <c r="P530" s="21"/>
      <c r="Q530" s="21">
        <v>38</v>
      </c>
      <c r="R530" s="238"/>
      <c r="S530" s="238"/>
      <c r="T530" s="238"/>
      <c r="U530" s="243"/>
    </row>
    <row r="531" spans="1:21" ht="13">
      <c r="A531" s="249"/>
      <c r="B531" s="244" t="s">
        <v>301</v>
      </c>
      <c r="C531" s="15" t="s">
        <v>23</v>
      </c>
      <c r="D531" s="17">
        <v>21</v>
      </c>
      <c r="E531" s="16">
        <v>16</v>
      </c>
      <c r="F531" s="17">
        <f t="shared" ref="F531:F535" si="100">D531*E531</f>
        <v>336</v>
      </c>
      <c r="G531" s="240">
        <f>SUM(F531:F539)</f>
        <v>1626.6799999999998</v>
      </c>
      <c r="H531" s="237">
        <v>2735</v>
      </c>
      <c r="I531" s="237">
        <f>H531-G531</f>
        <v>1108.3200000000002</v>
      </c>
      <c r="J531" s="241">
        <f>I531/H531</f>
        <v>0.4052358318098721</v>
      </c>
      <c r="L531" s="249"/>
      <c r="M531" s="244" t="s">
        <v>301</v>
      </c>
      <c r="N531" s="15" t="s">
        <v>23</v>
      </c>
      <c r="O531" s="18"/>
      <c r="P531" s="18"/>
      <c r="Q531" s="18"/>
      <c r="R531" s="240">
        <f>SUM(Q531:Q539)</f>
        <v>1290.68</v>
      </c>
      <c r="S531" s="237">
        <v>2735</v>
      </c>
      <c r="T531" s="237">
        <f>S531-R531</f>
        <v>1444.32</v>
      </c>
      <c r="U531" s="241">
        <f>T531/S531</f>
        <v>0.52808775137111519</v>
      </c>
    </row>
    <row r="532" spans="1:21" ht="13">
      <c r="A532" s="249"/>
      <c r="B532" s="245"/>
      <c r="C532" s="19" t="s">
        <v>298</v>
      </c>
      <c r="D532" s="24">
        <v>10.9</v>
      </c>
      <c r="E532" s="17">
        <v>15</v>
      </c>
      <c r="F532" s="17">
        <f t="shared" si="100"/>
        <v>163.5</v>
      </c>
      <c r="G532" s="236"/>
      <c r="H532" s="236"/>
      <c r="I532" s="236"/>
      <c r="J532" s="242"/>
      <c r="L532" s="249"/>
      <c r="M532" s="245"/>
      <c r="N532" s="19" t="s">
        <v>298</v>
      </c>
      <c r="O532" s="24">
        <v>10.9</v>
      </c>
      <c r="P532" s="17">
        <v>15</v>
      </c>
      <c r="Q532" s="17">
        <f t="shared" ref="Q532:Q535" si="101">O532*P532</f>
        <v>163.5</v>
      </c>
      <c r="R532" s="236"/>
      <c r="S532" s="236"/>
      <c r="T532" s="236"/>
      <c r="U532" s="242"/>
    </row>
    <row r="533" spans="1:21" ht="13">
      <c r="A533" s="249"/>
      <c r="B533" s="245"/>
      <c r="C533" s="19" t="s">
        <v>289</v>
      </c>
      <c r="D533" s="17">
        <v>10.5</v>
      </c>
      <c r="E533" s="17">
        <v>15</v>
      </c>
      <c r="F533" s="17">
        <f t="shared" si="100"/>
        <v>157.5</v>
      </c>
      <c r="G533" s="236"/>
      <c r="H533" s="236"/>
      <c r="I533" s="236"/>
      <c r="J533" s="242"/>
      <c r="L533" s="249"/>
      <c r="M533" s="245"/>
      <c r="N533" s="19" t="s">
        <v>289</v>
      </c>
      <c r="O533" s="17">
        <v>10.5</v>
      </c>
      <c r="P533" s="17">
        <v>15</v>
      </c>
      <c r="Q533" s="17">
        <f t="shared" si="101"/>
        <v>157.5</v>
      </c>
      <c r="R533" s="236"/>
      <c r="S533" s="236"/>
      <c r="T533" s="236"/>
      <c r="U533" s="242"/>
    </row>
    <row r="534" spans="1:21" ht="13">
      <c r="A534" s="249"/>
      <c r="B534" s="245"/>
      <c r="C534" s="19" t="s">
        <v>302</v>
      </c>
      <c r="D534" s="17">
        <v>10.8</v>
      </c>
      <c r="E534" s="17">
        <v>17</v>
      </c>
      <c r="F534" s="17">
        <f t="shared" si="100"/>
        <v>183.60000000000002</v>
      </c>
      <c r="G534" s="236"/>
      <c r="H534" s="236"/>
      <c r="I534" s="236"/>
      <c r="J534" s="242"/>
      <c r="L534" s="249"/>
      <c r="M534" s="245"/>
      <c r="N534" s="19" t="s">
        <v>302</v>
      </c>
      <c r="O534" s="17">
        <v>10.8</v>
      </c>
      <c r="P534" s="17">
        <v>17</v>
      </c>
      <c r="Q534" s="17">
        <f t="shared" si="101"/>
        <v>183.60000000000002</v>
      </c>
      <c r="R534" s="236"/>
      <c r="S534" s="236"/>
      <c r="T534" s="236"/>
      <c r="U534" s="242"/>
    </row>
    <row r="535" spans="1:21" ht="13">
      <c r="A535" s="249"/>
      <c r="B535" s="245"/>
      <c r="C535" s="19" t="s">
        <v>190</v>
      </c>
      <c r="D535" s="17">
        <v>10.6</v>
      </c>
      <c r="E535" s="17">
        <v>15</v>
      </c>
      <c r="F535" s="17">
        <f t="shared" si="100"/>
        <v>159</v>
      </c>
      <c r="G535" s="236"/>
      <c r="H535" s="236"/>
      <c r="I535" s="236"/>
      <c r="J535" s="242"/>
      <c r="L535" s="249"/>
      <c r="M535" s="245"/>
      <c r="N535" s="19" t="s">
        <v>190</v>
      </c>
      <c r="O535" s="17">
        <v>10.6</v>
      </c>
      <c r="P535" s="17">
        <v>15</v>
      </c>
      <c r="Q535" s="17">
        <f t="shared" si="101"/>
        <v>159</v>
      </c>
      <c r="R535" s="236"/>
      <c r="S535" s="236"/>
      <c r="T535" s="236"/>
      <c r="U535" s="242"/>
    </row>
    <row r="536" spans="1:21" ht="13">
      <c r="A536" s="249"/>
      <c r="B536" s="245"/>
      <c r="C536" s="19" t="s">
        <v>45</v>
      </c>
      <c r="D536" s="17"/>
      <c r="F536" s="17">
        <v>185</v>
      </c>
      <c r="G536" s="236"/>
      <c r="H536" s="236"/>
      <c r="I536" s="236"/>
      <c r="J536" s="242"/>
      <c r="L536" s="249"/>
      <c r="M536" s="245"/>
      <c r="N536" s="19" t="s">
        <v>45</v>
      </c>
      <c r="O536" s="17"/>
      <c r="Q536" s="17">
        <v>185</v>
      </c>
      <c r="R536" s="236"/>
      <c r="S536" s="236"/>
      <c r="T536" s="236"/>
      <c r="U536" s="242"/>
    </row>
    <row r="537" spans="1:21" ht="13">
      <c r="A537" s="249"/>
      <c r="B537" s="245"/>
      <c r="C537" s="19" t="s">
        <v>47</v>
      </c>
      <c r="D537" s="17"/>
      <c r="F537" s="17">
        <v>292.58</v>
      </c>
      <c r="G537" s="236"/>
      <c r="H537" s="236"/>
      <c r="I537" s="236"/>
      <c r="J537" s="242"/>
      <c r="L537" s="249"/>
      <c r="M537" s="245"/>
      <c r="N537" s="19" t="s">
        <v>47</v>
      </c>
      <c r="O537" s="17"/>
      <c r="Q537" s="17">
        <v>292.58</v>
      </c>
      <c r="R537" s="236"/>
      <c r="S537" s="236"/>
      <c r="T537" s="236"/>
      <c r="U537" s="242"/>
    </row>
    <row r="538" spans="1:21" ht="13">
      <c r="A538" s="249"/>
      <c r="B538" s="245"/>
      <c r="C538" s="19" t="s">
        <v>290</v>
      </c>
      <c r="D538" s="17"/>
      <c r="F538" s="17">
        <v>105</v>
      </c>
      <c r="G538" s="236"/>
      <c r="H538" s="236"/>
      <c r="I538" s="236"/>
      <c r="J538" s="242"/>
      <c r="L538" s="249"/>
      <c r="M538" s="245"/>
      <c r="N538" s="19" t="s">
        <v>290</v>
      </c>
      <c r="O538" s="17"/>
      <c r="Q538" s="17">
        <v>105</v>
      </c>
      <c r="R538" s="236"/>
      <c r="S538" s="236"/>
      <c r="T538" s="236"/>
      <c r="U538" s="242"/>
    </row>
    <row r="539" spans="1:21" ht="13">
      <c r="A539" s="249"/>
      <c r="B539" s="246"/>
      <c r="C539" s="20" t="s">
        <v>44</v>
      </c>
      <c r="D539" s="21"/>
      <c r="E539" s="21"/>
      <c r="F539" s="21">
        <v>44.5</v>
      </c>
      <c r="G539" s="238"/>
      <c r="H539" s="238"/>
      <c r="I539" s="238"/>
      <c r="J539" s="243"/>
      <c r="L539" s="249"/>
      <c r="M539" s="246"/>
      <c r="N539" s="20" t="s">
        <v>44</v>
      </c>
      <c r="O539" s="21"/>
      <c r="P539" s="21"/>
      <c r="Q539" s="21">
        <v>44.5</v>
      </c>
      <c r="R539" s="238"/>
      <c r="S539" s="238"/>
      <c r="T539" s="238"/>
      <c r="U539" s="243"/>
    </row>
    <row r="540" spans="1:21" ht="13">
      <c r="A540" s="249"/>
      <c r="B540" s="244" t="s">
        <v>303</v>
      </c>
      <c r="C540" s="15" t="s">
        <v>304</v>
      </c>
      <c r="D540" s="16"/>
      <c r="E540" s="16"/>
      <c r="F540" s="17">
        <v>391</v>
      </c>
      <c r="G540" s="240">
        <f>SUM(F540:F542)</f>
        <v>531.96</v>
      </c>
      <c r="H540" s="237">
        <v>3243.51</v>
      </c>
      <c r="I540" s="237">
        <f>H540-G540</f>
        <v>2711.55</v>
      </c>
      <c r="J540" s="241">
        <f>I540/H540</f>
        <v>0.83599248961772898</v>
      </c>
      <c r="L540" s="249"/>
      <c r="M540" s="244" t="s">
        <v>303</v>
      </c>
      <c r="N540" s="15" t="s">
        <v>304</v>
      </c>
      <c r="O540" s="16"/>
      <c r="P540" s="16"/>
      <c r="Q540" s="17">
        <v>391</v>
      </c>
      <c r="R540" s="240">
        <f>SUM(Q540:Q542)</f>
        <v>531.96</v>
      </c>
      <c r="S540" s="237">
        <v>3243.51</v>
      </c>
      <c r="T540" s="237">
        <f>S540-R540</f>
        <v>2711.55</v>
      </c>
      <c r="U540" s="241">
        <f>T540/S540</f>
        <v>0.83599248961772898</v>
      </c>
    </row>
    <row r="541" spans="1:21" ht="13">
      <c r="A541" s="249"/>
      <c r="B541" s="245"/>
      <c r="C541" s="19" t="s">
        <v>47</v>
      </c>
      <c r="D541" s="17"/>
      <c r="E541" s="17"/>
      <c r="F541" s="17">
        <v>140.96</v>
      </c>
      <c r="G541" s="236"/>
      <c r="H541" s="236"/>
      <c r="I541" s="236"/>
      <c r="J541" s="242"/>
      <c r="L541" s="249"/>
      <c r="M541" s="245"/>
      <c r="N541" s="19" t="s">
        <v>47</v>
      </c>
      <c r="O541" s="17"/>
      <c r="P541" s="17"/>
      <c r="Q541" s="17">
        <v>140.96</v>
      </c>
      <c r="R541" s="236"/>
      <c r="S541" s="236"/>
      <c r="T541" s="236"/>
      <c r="U541" s="242"/>
    </row>
    <row r="542" spans="1:21" ht="13">
      <c r="A542" s="249"/>
      <c r="B542" s="246"/>
      <c r="C542" s="20"/>
      <c r="D542" s="21"/>
      <c r="E542" s="21"/>
      <c r="F542" s="21"/>
      <c r="G542" s="238"/>
      <c r="H542" s="238"/>
      <c r="I542" s="238"/>
      <c r="J542" s="243"/>
      <c r="L542" s="249"/>
      <c r="M542" s="246"/>
      <c r="N542" s="20"/>
      <c r="O542" s="21"/>
      <c r="P542" s="21"/>
      <c r="Q542" s="21"/>
      <c r="R542" s="238"/>
      <c r="S542" s="238"/>
      <c r="T542" s="238"/>
      <c r="U542" s="243"/>
    </row>
    <row r="543" spans="1:21" ht="13">
      <c r="A543" s="249"/>
      <c r="B543" s="244" t="s">
        <v>305</v>
      </c>
      <c r="C543" s="15" t="s">
        <v>304</v>
      </c>
      <c r="D543" s="16"/>
      <c r="E543" s="16"/>
      <c r="F543" s="17">
        <v>144.5</v>
      </c>
      <c r="G543" s="240">
        <f>SUM(F543:F545)</f>
        <v>326.09000000000003</v>
      </c>
      <c r="H543" s="237">
        <v>3243.51</v>
      </c>
      <c r="I543" s="237">
        <f>H543-G543</f>
        <v>2917.42</v>
      </c>
      <c r="J543" s="241">
        <f>I543/H543</f>
        <v>0.89946385243147076</v>
      </c>
      <c r="L543" s="249"/>
      <c r="M543" s="244" t="s">
        <v>305</v>
      </c>
      <c r="N543" s="15" t="s">
        <v>304</v>
      </c>
      <c r="O543" s="16"/>
      <c r="P543" s="16"/>
      <c r="Q543" s="17">
        <v>144.5</v>
      </c>
      <c r="R543" s="240">
        <f>SUM(Q543:Q545)</f>
        <v>326.09000000000003</v>
      </c>
      <c r="S543" s="237">
        <v>3243.51</v>
      </c>
      <c r="T543" s="237">
        <f>S543-R543</f>
        <v>2917.42</v>
      </c>
      <c r="U543" s="241">
        <f>T543/S543</f>
        <v>0.89946385243147076</v>
      </c>
    </row>
    <row r="544" spans="1:21" ht="13">
      <c r="A544" s="249"/>
      <c r="B544" s="245"/>
      <c r="C544" s="19" t="s">
        <v>47</v>
      </c>
      <c r="D544" s="17"/>
      <c r="E544" s="17"/>
      <c r="F544" s="17">
        <v>81.59</v>
      </c>
      <c r="G544" s="236"/>
      <c r="H544" s="236"/>
      <c r="I544" s="236"/>
      <c r="J544" s="242"/>
      <c r="L544" s="249"/>
      <c r="M544" s="245"/>
      <c r="N544" s="19" t="s">
        <v>47</v>
      </c>
      <c r="O544" s="17"/>
      <c r="P544" s="17"/>
      <c r="Q544" s="17">
        <v>81.59</v>
      </c>
      <c r="R544" s="236"/>
      <c r="S544" s="236"/>
      <c r="T544" s="236"/>
      <c r="U544" s="242"/>
    </row>
    <row r="545" spans="1:21" ht="13">
      <c r="A545" s="249"/>
      <c r="B545" s="246"/>
      <c r="C545" s="20" t="s">
        <v>306</v>
      </c>
      <c r="D545" s="21"/>
      <c r="E545" s="21"/>
      <c r="F545" s="21">
        <v>100</v>
      </c>
      <c r="G545" s="238"/>
      <c r="H545" s="238"/>
      <c r="I545" s="238"/>
      <c r="J545" s="243"/>
      <c r="L545" s="249"/>
      <c r="M545" s="246"/>
      <c r="N545" s="20" t="s">
        <v>306</v>
      </c>
      <c r="O545" s="21"/>
      <c r="P545" s="21"/>
      <c r="Q545" s="21">
        <v>100</v>
      </c>
      <c r="R545" s="238"/>
      <c r="S545" s="238"/>
      <c r="T545" s="238"/>
      <c r="U545" s="243"/>
    </row>
    <row r="546" spans="1:21" ht="13">
      <c r="A546" s="249"/>
      <c r="B546" s="244" t="s">
        <v>307</v>
      </c>
      <c r="C546" s="15" t="s">
        <v>140</v>
      </c>
      <c r="D546" s="16">
        <v>9</v>
      </c>
      <c r="E546" s="16">
        <v>15</v>
      </c>
      <c r="F546" s="17">
        <f t="shared" ref="F546:F554" si="102">D546*E546</f>
        <v>135</v>
      </c>
      <c r="G546" s="240">
        <f>SUM(F546:F549)</f>
        <v>270</v>
      </c>
      <c r="H546" s="237">
        <v>954</v>
      </c>
      <c r="I546" s="237">
        <f>H546-G546</f>
        <v>684</v>
      </c>
      <c r="J546" s="241">
        <f>I546/H546</f>
        <v>0.71698113207547165</v>
      </c>
      <c r="L546" s="249"/>
      <c r="M546" s="244" t="s">
        <v>307</v>
      </c>
      <c r="N546" s="15" t="s">
        <v>140</v>
      </c>
      <c r="O546" s="16">
        <v>9</v>
      </c>
      <c r="P546" s="16">
        <v>15</v>
      </c>
      <c r="Q546" s="17">
        <f t="shared" ref="Q546:Q554" si="103">O546*P546</f>
        <v>135</v>
      </c>
      <c r="R546" s="240">
        <f>SUM(Q546:Q549)</f>
        <v>270</v>
      </c>
      <c r="S546" s="237">
        <v>954</v>
      </c>
      <c r="T546" s="237">
        <f>S546-R546</f>
        <v>684</v>
      </c>
      <c r="U546" s="241">
        <f>T546/S546</f>
        <v>0.71698113207547165</v>
      </c>
    </row>
    <row r="547" spans="1:21" ht="13">
      <c r="A547" s="249"/>
      <c r="B547" s="245"/>
      <c r="C547" s="19" t="s">
        <v>308</v>
      </c>
      <c r="D547" s="17">
        <v>3</v>
      </c>
      <c r="E547" s="17">
        <v>15</v>
      </c>
      <c r="F547" s="17">
        <f t="shared" si="102"/>
        <v>45</v>
      </c>
      <c r="G547" s="236"/>
      <c r="H547" s="236"/>
      <c r="I547" s="236"/>
      <c r="J547" s="242"/>
      <c r="L547" s="249"/>
      <c r="M547" s="245"/>
      <c r="N547" s="19" t="s">
        <v>308</v>
      </c>
      <c r="O547" s="17">
        <v>3</v>
      </c>
      <c r="P547" s="17">
        <v>15</v>
      </c>
      <c r="Q547" s="17">
        <f t="shared" si="103"/>
        <v>45</v>
      </c>
      <c r="R547" s="236"/>
      <c r="S547" s="236"/>
      <c r="T547" s="236"/>
      <c r="U547" s="242"/>
    </row>
    <row r="548" spans="1:21" ht="13">
      <c r="A548" s="249"/>
      <c r="B548" s="245"/>
      <c r="C548" s="19" t="s">
        <v>147</v>
      </c>
      <c r="D548" s="17">
        <v>3</v>
      </c>
      <c r="E548" s="17">
        <v>15</v>
      </c>
      <c r="F548" s="17">
        <f t="shared" si="102"/>
        <v>45</v>
      </c>
      <c r="G548" s="236"/>
      <c r="H548" s="236"/>
      <c r="I548" s="236"/>
      <c r="J548" s="242"/>
      <c r="L548" s="249"/>
      <c r="M548" s="245"/>
      <c r="N548" s="19" t="s">
        <v>147</v>
      </c>
      <c r="O548" s="17">
        <v>3</v>
      </c>
      <c r="P548" s="17">
        <v>15</v>
      </c>
      <c r="Q548" s="17">
        <f t="shared" si="103"/>
        <v>45</v>
      </c>
      <c r="R548" s="236"/>
      <c r="S548" s="236"/>
      <c r="T548" s="236"/>
      <c r="U548" s="242"/>
    </row>
    <row r="549" spans="1:21" ht="13">
      <c r="A549" s="249"/>
      <c r="B549" s="246"/>
      <c r="C549" s="20" t="s">
        <v>80</v>
      </c>
      <c r="D549" s="21">
        <v>3</v>
      </c>
      <c r="E549" s="21">
        <v>15</v>
      </c>
      <c r="F549" s="21">
        <f t="shared" si="102"/>
        <v>45</v>
      </c>
      <c r="G549" s="238"/>
      <c r="H549" s="238"/>
      <c r="I549" s="238"/>
      <c r="J549" s="243"/>
      <c r="L549" s="249"/>
      <c r="M549" s="246"/>
      <c r="N549" s="20" t="s">
        <v>80</v>
      </c>
      <c r="O549" s="21">
        <v>3</v>
      </c>
      <c r="P549" s="21">
        <v>15</v>
      </c>
      <c r="Q549" s="21">
        <f t="shared" si="103"/>
        <v>45</v>
      </c>
      <c r="R549" s="238"/>
      <c r="S549" s="238"/>
      <c r="T549" s="238"/>
      <c r="U549" s="243"/>
    </row>
    <row r="550" spans="1:21" ht="13">
      <c r="A550" s="249"/>
      <c r="B550" s="244" t="s">
        <v>309</v>
      </c>
      <c r="C550" s="15" t="s">
        <v>138</v>
      </c>
      <c r="D550" s="16">
        <v>7.5</v>
      </c>
      <c r="E550" s="16">
        <v>15</v>
      </c>
      <c r="F550" s="17">
        <f t="shared" si="102"/>
        <v>112.5</v>
      </c>
      <c r="G550" s="240">
        <f>SUM(F550:F555)</f>
        <v>833.87</v>
      </c>
      <c r="H550" s="237">
        <v>2173</v>
      </c>
      <c r="I550" s="237">
        <f>H550-G550</f>
        <v>1339.13</v>
      </c>
      <c r="J550" s="241">
        <f>I550/H550</f>
        <v>0.61625862862402214</v>
      </c>
      <c r="L550" s="249"/>
      <c r="M550" s="244" t="s">
        <v>309</v>
      </c>
      <c r="N550" s="15" t="s">
        <v>138</v>
      </c>
      <c r="O550" s="16">
        <v>7.5</v>
      </c>
      <c r="P550" s="16">
        <v>15</v>
      </c>
      <c r="Q550" s="17">
        <f t="shared" si="103"/>
        <v>112.5</v>
      </c>
      <c r="R550" s="240">
        <f>SUM(Q550:Q555)</f>
        <v>833.87</v>
      </c>
      <c r="S550" s="237">
        <v>2173</v>
      </c>
      <c r="T550" s="237">
        <f>S550-R550</f>
        <v>1339.13</v>
      </c>
      <c r="U550" s="241">
        <f>T550/S550</f>
        <v>0.61625862862402214</v>
      </c>
    </row>
    <row r="551" spans="1:21" ht="13">
      <c r="A551" s="249"/>
      <c r="B551" s="245"/>
      <c r="C551" s="19" t="s">
        <v>310</v>
      </c>
      <c r="D551" s="17">
        <v>2.5</v>
      </c>
      <c r="E551" s="17">
        <v>15</v>
      </c>
      <c r="F551" s="17">
        <f t="shared" si="102"/>
        <v>37.5</v>
      </c>
      <c r="G551" s="236"/>
      <c r="H551" s="236"/>
      <c r="I551" s="236"/>
      <c r="J551" s="242"/>
      <c r="L551" s="249"/>
      <c r="M551" s="245"/>
      <c r="N551" s="19" t="s">
        <v>310</v>
      </c>
      <c r="O551" s="17">
        <v>2.5</v>
      </c>
      <c r="P551" s="17">
        <v>15</v>
      </c>
      <c r="Q551" s="17">
        <f t="shared" si="103"/>
        <v>37.5</v>
      </c>
      <c r="R551" s="236"/>
      <c r="S551" s="236"/>
      <c r="T551" s="236"/>
      <c r="U551" s="242"/>
    </row>
    <row r="552" spans="1:21" ht="13">
      <c r="A552" s="249"/>
      <c r="B552" s="245"/>
      <c r="C552" s="19" t="s">
        <v>140</v>
      </c>
      <c r="D552" s="17">
        <v>25</v>
      </c>
      <c r="E552" s="17">
        <v>15</v>
      </c>
      <c r="F552" s="17">
        <f t="shared" si="102"/>
        <v>375</v>
      </c>
      <c r="G552" s="236"/>
      <c r="H552" s="236"/>
      <c r="I552" s="236"/>
      <c r="J552" s="242"/>
      <c r="L552" s="249"/>
      <c r="M552" s="245"/>
      <c r="N552" s="19" t="s">
        <v>140</v>
      </c>
      <c r="O552" s="17">
        <v>25</v>
      </c>
      <c r="P552" s="17">
        <v>15</v>
      </c>
      <c r="Q552" s="17">
        <f t="shared" si="103"/>
        <v>375</v>
      </c>
      <c r="R552" s="236"/>
      <c r="S552" s="236"/>
      <c r="T552" s="236"/>
      <c r="U552" s="242"/>
    </row>
    <row r="553" spans="1:21" ht="13">
      <c r="A553" s="249"/>
      <c r="B553" s="245"/>
      <c r="C553" s="19" t="s">
        <v>147</v>
      </c>
      <c r="D553" s="17">
        <v>7.5</v>
      </c>
      <c r="E553" s="17">
        <v>15</v>
      </c>
      <c r="F553" s="17">
        <f t="shared" si="102"/>
        <v>112.5</v>
      </c>
      <c r="G553" s="236"/>
      <c r="H553" s="236"/>
      <c r="I553" s="236"/>
      <c r="J553" s="242"/>
      <c r="L553" s="249"/>
      <c r="M553" s="245"/>
      <c r="N553" s="19" t="s">
        <v>147</v>
      </c>
      <c r="O553" s="17">
        <v>7.5</v>
      </c>
      <c r="P553" s="17">
        <v>15</v>
      </c>
      <c r="Q553" s="17">
        <f t="shared" si="103"/>
        <v>112.5</v>
      </c>
      <c r="R553" s="236"/>
      <c r="S553" s="236"/>
      <c r="T553" s="236"/>
      <c r="U553" s="242"/>
    </row>
    <row r="554" spans="1:21" ht="13">
      <c r="A554" s="249"/>
      <c r="B554" s="245"/>
      <c r="C554" s="19" t="s">
        <v>123</v>
      </c>
      <c r="D554" s="17">
        <v>7.5</v>
      </c>
      <c r="E554" s="17">
        <v>15</v>
      </c>
      <c r="F554" s="17">
        <f t="shared" si="102"/>
        <v>112.5</v>
      </c>
      <c r="G554" s="236"/>
      <c r="H554" s="236"/>
      <c r="I554" s="236"/>
      <c r="J554" s="242"/>
      <c r="L554" s="249"/>
      <c r="M554" s="245"/>
      <c r="N554" s="19" t="s">
        <v>123</v>
      </c>
      <c r="O554" s="17">
        <v>7.5</v>
      </c>
      <c r="P554" s="17">
        <v>15</v>
      </c>
      <c r="Q554" s="17">
        <f t="shared" si="103"/>
        <v>112.5</v>
      </c>
      <c r="R554" s="236"/>
      <c r="S554" s="236"/>
      <c r="T554" s="236"/>
      <c r="U554" s="242"/>
    </row>
    <row r="555" spans="1:21" ht="13">
      <c r="A555" s="249"/>
      <c r="B555" s="246"/>
      <c r="C555" s="20" t="s">
        <v>33</v>
      </c>
      <c r="D555" s="21"/>
      <c r="E555" s="21"/>
      <c r="F555" s="21">
        <v>83.87</v>
      </c>
      <c r="G555" s="238"/>
      <c r="H555" s="238"/>
      <c r="I555" s="238"/>
      <c r="J555" s="243"/>
      <c r="L555" s="249"/>
      <c r="M555" s="246"/>
      <c r="N555" s="20" t="s">
        <v>33</v>
      </c>
      <c r="O555" s="21"/>
      <c r="P555" s="21"/>
      <c r="Q555" s="21">
        <v>83.87</v>
      </c>
      <c r="R555" s="238"/>
      <c r="S555" s="238"/>
      <c r="T555" s="238"/>
      <c r="U555" s="243"/>
    </row>
    <row r="556" spans="1:21" ht="13">
      <c r="A556" s="249"/>
      <c r="B556" s="244" t="s">
        <v>311</v>
      </c>
      <c r="C556" s="15" t="s">
        <v>312</v>
      </c>
      <c r="D556" s="16">
        <v>7</v>
      </c>
      <c r="E556" s="16">
        <v>15</v>
      </c>
      <c r="F556" s="17">
        <f t="shared" ref="F556:F564" si="104">D556*E556</f>
        <v>105</v>
      </c>
      <c r="G556" s="240">
        <f>SUM(F556:F565)</f>
        <v>1629.46</v>
      </c>
      <c r="H556" s="237">
        <v>6428.5</v>
      </c>
      <c r="I556" s="237">
        <f>H556-G556</f>
        <v>4799.04</v>
      </c>
      <c r="J556" s="241">
        <f>I556/H556</f>
        <v>0.74652562806253397</v>
      </c>
      <c r="L556" s="249"/>
      <c r="M556" s="244" t="s">
        <v>311</v>
      </c>
      <c r="N556" s="15" t="s">
        <v>312</v>
      </c>
      <c r="O556" s="16">
        <v>7</v>
      </c>
      <c r="P556" s="16">
        <v>15</v>
      </c>
      <c r="Q556" s="17">
        <f t="shared" ref="Q556:Q564" si="105">O556*P556</f>
        <v>105</v>
      </c>
      <c r="R556" s="240">
        <f>SUM(Q556:Q565)</f>
        <v>1629.46</v>
      </c>
      <c r="S556" s="237">
        <v>6428.5</v>
      </c>
      <c r="T556" s="237">
        <f>S556-R556</f>
        <v>4799.04</v>
      </c>
      <c r="U556" s="241">
        <f>T556/S556</f>
        <v>0.74652562806253397</v>
      </c>
    </row>
    <row r="557" spans="1:21" ht="13">
      <c r="A557" s="249"/>
      <c r="B557" s="245"/>
      <c r="C557" s="19" t="s">
        <v>313</v>
      </c>
      <c r="D557" s="17">
        <v>7</v>
      </c>
      <c r="E557" s="17">
        <v>15</v>
      </c>
      <c r="F557" s="17">
        <f t="shared" si="104"/>
        <v>105</v>
      </c>
      <c r="G557" s="236"/>
      <c r="H557" s="236"/>
      <c r="I557" s="236"/>
      <c r="J557" s="242"/>
      <c r="L557" s="249"/>
      <c r="M557" s="245"/>
      <c r="N557" s="19" t="s">
        <v>313</v>
      </c>
      <c r="O557" s="17">
        <v>7</v>
      </c>
      <c r="P557" s="17">
        <v>15</v>
      </c>
      <c r="Q557" s="17">
        <f t="shared" si="105"/>
        <v>105</v>
      </c>
      <c r="R557" s="236"/>
      <c r="S557" s="236"/>
      <c r="T557" s="236"/>
      <c r="U557" s="242"/>
    </row>
    <row r="558" spans="1:21" ht="13">
      <c r="A558" s="249"/>
      <c r="B558" s="245"/>
      <c r="C558" s="19" t="s">
        <v>314</v>
      </c>
      <c r="D558" s="17">
        <v>4.1500000000000004</v>
      </c>
      <c r="E558" s="17">
        <v>13</v>
      </c>
      <c r="F558" s="17">
        <f t="shared" si="104"/>
        <v>53.95</v>
      </c>
      <c r="G558" s="236"/>
      <c r="H558" s="236"/>
      <c r="I558" s="236"/>
      <c r="J558" s="242"/>
      <c r="L558" s="249"/>
      <c r="M558" s="245"/>
      <c r="N558" s="19" t="s">
        <v>314</v>
      </c>
      <c r="O558" s="17">
        <v>4.1500000000000004</v>
      </c>
      <c r="P558" s="17">
        <v>13</v>
      </c>
      <c r="Q558" s="17">
        <f t="shared" si="105"/>
        <v>53.95</v>
      </c>
      <c r="R558" s="236"/>
      <c r="S558" s="236"/>
      <c r="T558" s="236"/>
      <c r="U558" s="242"/>
    </row>
    <row r="559" spans="1:21" ht="13">
      <c r="A559" s="249"/>
      <c r="B559" s="245"/>
      <c r="C559" s="19" t="s">
        <v>315</v>
      </c>
      <c r="D559" s="17">
        <v>6.83</v>
      </c>
      <c r="E559" s="17">
        <v>13</v>
      </c>
      <c r="F559" s="17">
        <f t="shared" si="104"/>
        <v>88.79</v>
      </c>
      <c r="G559" s="236"/>
      <c r="H559" s="236"/>
      <c r="I559" s="236"/>
      <c r="J559" s="242"/>
      <c r="L559" s="249"/>
      <c r="M559" s="245"/>
      <c r="N559" s="19" t="s">
        <v>315</v>
      </c>
      <c r="O559" s="17">
        <v>6.83</v>
      </c>
      <c r="P559" s="17">
        <v>13</v>
      </c>
      <c r="Q559" s="17">
        <f t="shared" si="105"/>
        <v>88.79</v>
      </c>
      <c r="R559" s="236"/>
      <c r="S559" s="236"/>
      <c r="T559" s="236"/>
      <c r="U559" s="242"/>
    </row>
    <row r="560" spans="1:21" ht="13">
      <c r="A560" s="249"/>
      <c r="B560" s="245"/>
      <c r="C560" s="19" t="s">
        <v>316</v>
      </c>
      <c r="D560" s="17">
        <v>21.85</v>
      </c>
      <c r="E560" s="17">
        <v>13</v>
      </c>
      <c r="F560" s="17">
        <f t="shared" si="104"/>
        <v>284.05</v>
      </c>
      <c r="G560" s="236"/>
      <c r="H560" s="236"/>
      <c r="I560" s="236"/>
      <c r="J560" s="242"/>
      <c r="L560" s="249"/>
      <c r="M560" s="245"/>
      <c r="N560" s="19" t="s">
        <v>316</v>
      </c>
      <c r="O560" s="17">
        <v>21.85</v>
      </c>
      <c r="P560" s="17">
        <v>13</v>
      </c>
      <c r="Q560" s="17">
        <f t="shared" si="105"/>
        <v>284.05</v>
      </c>
      <c r="R560" s="236"/>
      <c r="S560" s="236"/>
      <c r="T560" s="236"/>
      <c r="U560" s="242"/>
    </row>
    <row r="561" spans="1:21" ht="13">
      <c r="A561" s="249"/>
      <c r="B561" s="245"/>
      <c r="C561" s="19" t="s">
        <v>317</v>
      </c>
      <c r="D561" s="17">
        <v>3</v>
      </c>
      <c r="E561" s="17">
        <v>13</v>
      </c>
      <c r="F561" s="17">
        <f t="shared" si="104"/>
        <v>39</v>
      </c>
      <c r="G561" s="236"/>
      <c r="H561" s="236"/>
      <c r="I561" s="236"/>
      <c r="J561" s="242"/>
      <c r="L561" s="249"/>
      <c r="M561" s="245"/>
      <c r="N561" s="19" t="s">
        <v>317</v>
      </c>
      <c r="O561" s="17">
        <v>3</v>
      </c>
      <c r="P561" s="17">
        <v>13</v>
      </c>
      <c r="Q561" s="17">
        <f t="shared" si="105"/>
        <v>39</v>
      </c>
      <c r="R561" s="236"/>
      <c r="S561" s="236"/>
      <c r="T561" s="236"/>
      <c r="U561" s="242"/>
    </row>
    <row r="562" spans="1:21" ht="13">
      <c r="A562" s="249"/>
      <c r="B562" s="245"/>
      <c r="C562" s="19" t="s">
        <v>318</v>
      </c>
      <c r="D562" s="17">
        <v>18</v>
      </c>
      <c r="E562" s="17">
        <v>15</v>
      </c>
      <c r="F562" s="17">
        <f t="shared" si="104"/>
        <v>270</v>
      </c>
      <c r="G562" s="236"/>
      <c r="H562" s="236"/>
      <c r="I562" s="236"/>
      <c r="J562" s="242"/>
      <c r="L562" s="249"/>
      <c r="M562" s="245"/>
      <c r="N562" s="19" t="s">
        <v>318</v>
      </c>
      <c r="O562" s="17">
        <v>18</v>
      </c>
      <c r="P562" s="17">
        <v>15</v>
      </c>
      <c r="Q562" s="17">
        <f t="shared" si="105"/>
        <v>270</v>
      </c>
      <c r="R562" s="236"/>
      <c r="S562" s="236"/>
      <c r="T562" s="236"/>
      <c r="U562" s="242"/>
    </row>
    <row r="563" spans="1:21" ht="13">
      <c r="A563" s="249"/>
      <c r="B563" s="245"/>
      <c r="C563" s="19" t="s">
        <v>319</v>
      </c>
      <c r="D563" s="17">
        <v>3</v>
      </c>
      <c r="E563" s="17">
        <v>15</v>
      </c>
      <c r="F563" s="17">
        <f t="shared" si="104"/>
        <v>45</v>
      </c>
      <c r="G563" s="236"/>
      <c r="H563" s="236"/>
      <c r="I563" s="236"/>
      <c r="J563" s="242"/>
      <c r="L563" s="249"/>
      <c r="M563" s="245"/>
      <c r="N563" s="19" t="s">
        <v>319</v>
      </c>
      <c r="O563" s="17">
        <v>3</v>
      </c>
      <c r="P563" s="17">
        <v>15</v>
      </c>
      <c r="Q563" s="17">
        <f t="shared" si="105"/>
        <v>45</v>
      </c>
      <c r="R563" s="236"/>
      <c r="S563" s="236"/>
      <c r="T563" s="236"/>
      <c r="U563" s="242"/>
    </row>
    <row r="564" spans="1:21" ht="13">
      <c r="A564" s="249"/>
      <c r="B564" s="245"/>
      <c r="C564" s="19" t="s">
        <v>320</v>
      </c>
      <c r="D564" s="17">
        <v>5</v>
      </c>
      <c r="E564" s="17">
        <v>15</v>
      </c>
      <c r="F564" s="17">
        <f t="shared" si="104"/>
        <v>75</v>
      </c>
      <c r="G564" s="236"/>
      <c r="H564" s="236"/>
      <c r="I564" s="236"/>
      <c r="J564" s="242"/>
      <c r="L564" s="249"/>
      <c r="M564" s="245"/>
      <c r="N564" s="19" t="s">
        <v>320</v>
      </c>
      <c r="O564" s="17">
        <v>5</v>
      </c>
      <c r="P564" s="17">
        <v>15</v>
      </c>
      <c r="Q564" s="17">
        <f t="shared" si="105"/>
        <v>75</v>
      </c>
      <c r="R564" s="236"/>
      <c r="S564" s="236"/>
      <c r="T564" s="236"/>
      <c r="U564" s="242"/>
    </row>
    <row r="565" spans="1:21" ht="13">
      <c r="A565" s="249"/>
      <c r="B565" s="246"/>
      <c r="C565" s="20" t="s">
        <v>321</v>
      </c>
      <c r="D565" s="21"/>
      <c r="E565" s="21"/>
      <c r="F565" s="21">
        <v>563.66999999999996</v>
      </c>
      <c r="G565" s="238"/>
      <c r="H565" s="238"/>
      <c r="I565" s="238"/>
      <c r="J565" s="243"/>
      <c r="L565" s="249"/>
      <c r="M565" s="246"/>
      <c r="N565" s="20" t="s">
        <v>321</v>
      </c>
      <c r="O565" s="21"/>
      <c r="P565" s="21"/>
      <c r="Q565" s="21">
        <v>563.66999999999996</v>
      </c>
      <c r="R565" s="238"/>
      <c r="S565" s="238"/>
      <c r="T565" s="238"/>
      <c r="U565" s="243"/>
    </row>
    <row r="566" spans="1:21" ht="13">
      <c r="A566" s="249"/>
      <c r="B566" s="244" t="s">
        <v>322</v>
      </c>
      <c r="C566" s="15" t="s">
        <v>51</v>
      </c>
      <c r="D566" s="16"/>
      <c r="E566" s="16"/>
      <c r="F566" s="17">
        <v>150</v>
      </c>
      <c r="G566" s="240">
        <f>SUM(F566:F568)</f>
        <v>220</v>
      </c>
      <c r="H566" s="237">
        <v>2111.4</v>
      </c>
      <c r="I566" s="237">
        <f>H566-G566</f>
        <v>1891.4</v>
      </c>
      <c r="J566" s="241">
        <f>I566/H566</f>
        <v>0.89580373212086772</v>
      </c>
      <c r="L566" s="249"/>
      <c r="M566" s="244" t="s">
        <v>322</v>
      </c>
      <c r="N566" s="15" t="s">
        <v>51</v>
      </c>
      <c r="O566" s="16"/>
      <c r="P566" s="16"/>
      <c r="Q566" s="17">
        <v>150</v>
      </c>
      <c r="R566" s="240">
        <f>SUM(Q566:Q568)</f>
        <v>220</v>
      </c>
      <c r="S566" s="237">
        <v>2111.4</v>
      </c>
      <c r="T566" s="237">
        <f>S566-R566</f>
        <v>1891.4</v>
      </c>
      <c r="U566" s="241">
        <f>T566/S566</f>
        <v>0.89580373212086772</v>
      </c>
    </row>
    <row r="567" spans="1:21" ht="13">
      <c r="A567" s="249"/>
      <c r="B567" s="245"/>
      <c r="C567" s="19" t="s">
        <v>45</v>
      </c>
      <c r="D567" s="17"/>
      <c r="E567" s="17"/>
      <c r="F567" s="17">
        <v>70</v>
      </c>
      <c r="G567" s="236"/>
      <c r="H567" s="236"/>
      <c r="I567" s="236"/>
      <c r="J567" s="242"/>
      <c r="L567" s="249"/>
      <c r="M567" s="245"/>
      <c r="N567" s="19" t="s">
        <v>45</v>
      </c>
      <c r="O567" s="17"/>
      <c r="P567" s="17"/>
      <c r="Q567" s="17">
        <v>70</v>
      </c>
      <c r="R567" s="236"/>
      <c r="S567" s="236"/>
      <c r="T567" s="236"/>
      <c r="U567" s="242"/>
    </row>
    <row r="568" spans="1:21" ht="13">
      <c r="A568" s="249"/>
      <c r="B568" s="246"/>
      <c r="C568" s="20"/>
      <c r="D568" s="21"/>
      <c r="E568" s="21"/>
      <c r="F568" s="21"/>
      <c r="G568" s="238"/>
      <c r="H568" s="238"/>
      <c r="I568" s="238"/>
      <c r="J568" s="243"/>
      <c r="L568" s="249"/>
      <c r="M568" s="246"/>
      <c r="N568" s="20"/>
      <c r="O568" s="21"/>
      <c r="P568" s="21"/>
      <c r="Q568" s="21"/>
      <c r="R568" s="238"/>
      <c r="S568" s="238"/>
      <c r="T568" s="238"/>
      <c r="U568" s="243"/>
    </row>
    <row r="569" spans="1:21" ht="13">
      <c r="A569" s="249"/>
      <c r="B569" s="244" t="s">
        <v>323</v>
      </c>
      <c r="C569" s="15" t="s">
        <v>53</v>
      </c>
      <c r="D569" s="16">
        <v>16.920000000000002</v>
      </c>
      <c r="E569" s="16">
        <v>13</v>
      </c>
      <c r="F569" s="17">
        <f t="shared" ref="F569:F572" si="106">D569*E569</f>
        <v>219.96000000000004</v>
      </c>
      <c r="G569" s="240">
        <f>SUM(F569:F572)</f>
        <v>672.23</v>
      </c>
      <c r="H569" s="237">
        <v>1965.6</v>
      </c>
      <c r="I569" s="237">
        <f>H569-G569</f>
        <v>1293.3699999999999</v>
      </c>
      <c r="J569" s="241">
        <f>I569/H569</f>
        <v>0.65800264550264542</v>
      </c>
      <c r="L569" s="249"/>
      <c r="M569" s="244" t="s">
        <v>323</v>
      </c>
      <c r="N569" s="15" t="s">
        <v>53</v>
      </c>
      <c r="O569" s="16">
        <v>16.920000000000002</v>
      </c>
      <c r="P569" s="16">
        <v>13</v>
      </c>
      <c r="Q569" s="17">
        <f t="shared" ref="Q569:Q572" si="107">O569*P569</f>
        <v>219.96000000000004</v>
      </c>
      <c r="R569" s="240">
        <f>SUM(Q569:Q572)</f>
        <v>672.23</v>
      </c>
      <c r="S569" s="237">
        <v>1965.6</v>
      </c>
      <c r="T569" s="237">
        <f>S569-R569</f>
        <v>1293.3699999999999</v>
      </c>
      <c r="U569" s="241">
        <f>T569/S569</f>
        <v>0.65800264550264542</v>
      </c>
    </row>
    <row r="570" spans="1:21" ht="13">
      <c r="A570" s="249"/>
      <c r="B570" s="245"/>
      <c r="C570" s="19" t="s">
        <v>324</v>
      </c>
      <c r="D570" s="17">
        <v>12.35</v>
      </c>
      <c r="E570" s="17">
        <v>13</v>
      </c>
      <c r="F570" s="17">
        <f t="shared" si="106"/>
        <v>160.54999999999998</v>
      </c>
      <c r="G570" s="236"/>
      <c r="H570" s="236"/>
      <c r="I570" s="236"/>
      <c r="J570" s="242"/>
      <c r="L570" s="249"/>
      <c r="M570" s="245"/>
      <c r="N570" s="19" t="s">
        <v>324</v>
      </c>
      <c r="O570" s="17">
        <v>12.35</v>
      </c>
      <c r="P570" s="17">
        <v>13</v>
      </c>
      <c r="Q570" s="17">
        <f t="shared" si="107"/>
        <v>160.54999999999998</v>
      </c>
      <c r="R570" s="236"/>
      <c r="S570" s="236"/>
      <c r="T570" s="236"/>
      <c r="U570" s="242"/>
    </row>
    <row r="571" spans="1:21" ht="13">
      <c r="A571" s="249"/>
      <c r="B571" s="245"/>
      <c r="C571" s="19" t="s">
        <v>31</v>
      </c>
      <c r="D571" s="17">
        <v>13.8</v>
      </c>
      <c r="E571" s="17">
        <v>13</v>
      </c>
      <c r="F571" s="17">
        <f t="shared" si="106"/>
        <v>179.4</v>
      </c>
      <c r="G571" s="236"/>
      <c r="H571" s="236"/>
      <c r="I571" s="236"/>
      <c r="J571" s="242"/>
      <c r="L571" s="249"/>
      <c r="M571" s="245"/>
      <c r="N571" s="19" t="s">
        <v>31</v>
      </c>
      <c r="O571" s="17">
        <v>13.8</v>
      </c>
      <c r="P571" s="17">
        <v>13</v>
      </c>
      <c r="Q571" s="17">
        <f t="shared" si="107"/>
        <v>179.4</v>
      </c>
      <c r="R571" s="236"/>
      <c r="S571" s="236"/>
      <c r="T571" s="236"/>
      <c r="U571" s="242"/>
    </row>
    <row r="572" spans="1:21" ht="13">
      <c r="A572" s="249"/>
      <c r="B572" s="246"/>
      <c r="C572" s="20" t="s">
        <v>325</v>
      </c>
      <c r="D572" s="21">
        <v>8.64</v>
      </c>
      <c r="E572" s="21">
        <v>13</v>
      </c>
      <c r="F572" s="21">
        <f t="shared" si="106"/>
        <v>112.32000000000001</v>
      </c>
      <c r="G572" s="238"/>
      <c r="H572" s="238"/>
      <c r="I572" s="238"/>
      <c r="J572" s="243"/>
      <c r="L572" s="249"/>
      <c r="M572" s="246"/>
      <c r="N572" s="20" t="s">
        <v>325</v>
      </c>
      <c r="O572" s="21">
        <v>8.64</v>
      </c>
      <c r="P572" s="21">
        <v>13</v>
      </c>
      <c r="Q572" s="21">
        <f t="shared" si="107"/>
        <v>112.32000000000001</v>
      </c>
      <c r="R572" s="238"/>
      <c r="S572" s="238"/>
      <c r="T572" s="238"/>
      <c r="U572" s="243"/>
    </row>
    <row r="573" spans="1:21" ht="13">
      <c r="A573" s="249"/>
      <c r="B573" s="244" t="s">
        <v>326</v>
      </c>
      <c r="C573" s="15" t="s">
        <v>53</v>
      </c>
      <c r="D573" s="16"/>
      <c r="E573" s="16"/>
      <c r="F573" s="17">
        <v>160</v>
      </c>
      <c r="G573" s="240">
        <f>SUM(F573:F575)</f>
        <v>235.20999999999998</v>
      </c>
      <c r="H573" s="237">
        <v>2455.6</v>
      </c>
      <c r="I573" s="237">
        <f>H573-G573</f>
        <v>2220.39</v>
      </c>
      <c r="J573" s="241">
        <f>I573/H573</f>
        <v>0.90421485583971328</v>
      </c>
      <c r="L573" s="249"/>
      <c r="M573" s="244" t="s">
        <v>326</v>
      </c>
      <c r="N573" s="15" t="s">
        <v>53</v>
      </c>
      <c r="O573" s="16"/>
      <c r="P573" s="16"/>
      <c r="Q573" s="17">
        <v>160</v>
      </c>
      <c r="R573" s="240">
        <f>SUM(Q573:Q575)</f>
        <v>235.20999999999998</v>
      </c>
      <c r="S573" s="237">
        <v>2455.6</v>
      </c>
      <c r="T573" s="237">
        <f>S573-R573</f>
        <v>2220.39</v>
      </c>
      <c r="U573" s="241">
        <f>T573/S573</f>
        <v>0.90421485583971328</v>
      </c>
    </row>
    <row r="574" spans="1:21" ht="13">
      <c r="A574" s="249"/>
      <c r="B574" s="245"/>
      <c r="C574" s="19" t="s">
        <v>33</v>
      </c>
      <c r="D574" s="17"/>
      <c r="E574" s="17"/>
      <c r="F574" s="17">
        <v>75.209999999999994</v>
      </c>
      <c r="G574" s="236"/>
      <c r="H574" s="236"/>
      <c r="I574" s="236"/>
      <c r="J574" s="242"/>
      <c r="L574" s="249"/>
      <c r="M574" s="245"/>
      <c r="N574" s="19" t="s">
        <v>33</v>
      </c>
      <c r="O574" s="17"/>
      <c r="P574" s="17"/>
      <c r="Q574" s="17">
        <v>75.209999999999994</v>
      </c>
      <c r="R574" s="236"/>
      <c r="S574" s="236"/>
      <c r="T574" s="236"/>
      <c r="U574" s="242"/>
    </row>
    <row r="575" spans="1:21" ht="13">
      <c r="A575" s="249"/>
      <c r="B575" s="246"/>
      <c r="C575" s="20"/>
      <c r="D575" s="21"/>
      <c r="E575" s="21"/>
      <c r="F575" s="21"/>
      <c r="G575" s="238"/>
      <c r="H575" s="238"/>
      <c r="I575" s="238"/>
      <c r="J575" s="243"/>
      <c r="L575" s="249"/>
      <c r="M575" s="246"/>
      <c r="N575" s="20"/>
      <c r="O575" s="21"/>
      <c r="P575" s="21"/>
      <c r="Q575" s="21"/>
      <c r="R575" s="238"/>
      <c r="S575" s="238"/>
      <c r="T575" s="238"/>
      <c r="U575" s="243"/>
    </row>
    <row r="576" spans="1:21" ht="13">
      <c r="A576" s="249"/>
      <c r="B576" s="244" t="s">
        <v>327</v>
      </c>
      <c r="C576" s="64" t="s">
        <v>209</v>
      </c>
      <c r="D576" s="50">
        <v>70</v>
      </c>
      <c r="E576" s="50">
        <v>18</v>
      </c>
      <c r="F576" s="65">
        <f>D576*E576</f>
        <v>1260</v>
      </c>
      <c r="G576" s="240">
        <f>SUM(F576:F597)</f>
        <v>21160.68</v>
      </c>
      <c r="H576" s="237">
        <v>31393.599999999999</v>
      </c>
      <c r="I576" s="237">
        <f>H576-G576</f>
        <v>10232.919999999998</v>
      </c>
      <c r="J576" s="241">
        <f>I576/H576</f>
        <v>0.3259556087865042</v>
      </c>
      <c r="L576" s="249"/>
      <c r="M576" s="244" t="s">
        <v>327</v>
      </c>
      <c r="N576" s="64" t="s">
        <v>209</v>
      </c>
      <c r="O576" s="18"/>
      <c r="P576" s="18"/>
      <c r="Q576" s="18"/>
      <c r="R576" s="240">
        <f>SUM(Q576:Q597)</f>
        <v>19900.68</v>
      </c>
      <c r="S576" s="237">
        <v>31393.599999999999</v>
      </c>
      <c r="T576" s="237">
        <f>S576-R576</f>
        <v>11492.919999999998</v>
      </c>
      <c r="U576" s="241">
        <f>T576/S576</f>
        <v>0.36609117781968298</v>
      </c>
    </row>
    <row r="577" spans="1:21" ht="13">
      <c r="A577" s="249"/>
      <c r="B577" s="245"/>
      <c r="C577" s="24" t="s">
        <v>328</v>
      </c>
      <c r="D577" s="23"/>
      <c r="E577" s="23"/>
      <c r="F577" s="23">
        <v>340</v>
      </c>
      <c r="G577" s="236"/>
      <c r="H577" s="236"/>
      <c r="I577" s="236"/>
      <c r="J577" s="242"/>
      <c r="L577" s="249"/>
      <c r="M577" s="245"/>
      <c r="N577" s="24" t="s">
        <v>328</v>
      </c>
      <c r="O577" s="23"/>
      <c r="P577" s="23"/>
      <c r="Q577" s="23">
        <v>340</v>
      </c>
      <c r="R577" s="236"/>
      <c r="S577" s="236"/>
      <c r="T577" s="236"/>
      <c r="U577" s="242"/>
    </row>
    <row r="578" spans="1:21" ht="13">
      <c r="A578" s="249"/>
      <c r="B578" s="245"/>
      <c r="C578" s="22" t="s">
        <v>329</v>
      </c>
      <c r="D578" s="23">
        <v>25.23</v>
      </c>
      <c r="E578" s="23">
        <v>15</v>
      </c>
      <c r="F578" s="23">
        <f t="shared" ref="F578:F587" si="108">D578*E578</f>
        <v>378.45</v>
      </c>
      <c r="G578" s="236"/>
      <c r="H578" s="236"/>
      <c r="I578" s="236"/>
      <c r="J578" s="242"/>
      <c r="L578" s="249"/>
      <c r="M578" s="245"/>
      <c r="N578" s="22" t="s">
        <v>329</v>
      </c>
      <c r="O578" s="23">
        <v>25.23</v>
      </c>
      <c r="P578" s="23">
        <v>15</v>
      </c>
      <c r="Q578" s="23">
        <f t="shared" ref="Q578:Q587" si="109">O578*P578</f>
        <v>378.45</v>
      </c>
      <c r="R578" s="236"/>
      <c r="S578" s="236"/>
      <c r="T578" s="236"/>
      <c r="U578" s="242"/>
    </row>
    <row r="579" spans="1:21" ht="13">
      <c r="A579" s="249"/>
      <c r="B579" s="245"/>
      <c r="C579" s="22" t="s">
        <v>55</v>
      </c>
      <c r="D579" s="23">
        <v>76.58</v>
      </c>
      <c r="E579" s="23">
        <v>17</v>
      </c>
      <c r="F579" s="23">
        <f t="shared" si="108"/>
        <v>1301.8599999999999</v>
      </c>
      <c r="G579" s="236"/>
      <c r="H579" s="236"/>
      <c r="I579" s="236"/>
      <c r="J579" s="242"/>
      <c r="L579" s="249"/>
      <c r="M579" s="245"/>
      <c r="N579" s="22" t="s">
        <v>55</v>
      </c>
      <c r="O579" s="23">
        <v>76.58</v>
      </c>
      <c r="P579" s="23">
        <v>17</v>
      </c>
      <c r="Q579" s="23">
        <f t="shared" si="109"/>
        <v>1301.8599999999999</v>
      </c>
      <c r="R579" s="236"/>
      <c r="S579" s="236"/>
      <c r="T579" s="236"/>
      <c r="U579" s="242"/>
    </row>
    <row r="580" spans="1:21" ht="13">
      <c r="A580" s="249"/>
      <c r="B580" s="245"/>
      <c r="C580" s="22" t="s">
        <v>330</v>
      </c>
      <c r="D580" s="23">
        <v>26.42</v>
      </c>
      <c r="E580" s="23">
        <v>17</v>
      </c>
      <c r="F580" s="23">
        <f t="shared" si="108"/>
        <v>449.14000000000004</v>
      </c>
      <c r="G580" s="236"/>
      <c r="H580" s="236"/>
      <c r="I580" s="236"/>
      <c r="J580" s="242"/>
      <c r="L580" s="249"/>
      <c r="M580" s="245"/>
      <c r="N580" s="22" t="s">
        <v>330</v>
      </c>
      <c r="O580" s="23">
        <v>26.42</v>
      </c>
      <c r="P580" s="23">
        <v>17</v>
      </c>
      <c r="Q580" s="23">
        <f t="shared" si="109"/>
        <v>449.14000000000004</v>
      </c>
      <c r="R580" s="236"/>
      <c r="S580" s="236"/>
      <c r="T580" s="236"/>
      <c r="U580" s="242"/>
    </row>
    <row r="581" spans="1:21" ht="13">
      <c r="A581" s="249"/>
      <c r="B581" s="245"/>
      <c r="C581" s="22" t="s">
        <v>331</v>
      </c>
      <c r="D581" s="23">
        <v>17.09</v>
      </c>
      <c r="E581" s="23">
        <v>20.5</v>
      </c>
      <c r="F581" s="23">
        <f t="shared" si="108"/>
        <v>350.34499999999997</v>
      </c>
      <c r="G581" s="236"/>
      <c r="H581" s="236"/>
      <c r="I581" s="236"/>
      <c r="J581" s="242"/>
      <c r="L581" s="249"/>
      <c r="M581" s="245"/>
      <c r="N581" s="22" t="s">
        <v>331</v>
      </c>
      <c r="O581" s="23">
        <v>17.09</v>
      </c>
      <c r="P581" s="23">
        <v>20.5</v>
      </c>
      <c r="Q581" s="23">
        <f t="shared" si="109"/>
        <v>350.34499999999997</v>
      </c>
      <c r="R581" s="236"/>
      <c r="S581" s="236"/>
      <c r="T581" s="236"/>
      <c r="U581" s="242"/>
    </row>
    <row r="582" spans="1:21" ht="13">
      <c r="A582" s="249"/>
      <c r="B582" s="245"/>
      <c r="C582" s="24" t="s">
        <v>332</v>
      </c>
      <c r="D582" s="23">
        <v>25.67</v>
      </c>
      <c r="E582" s="23">
        <v>20.5</v>
      </c>
      <c r="F582" s="23">
        <f t="shared" si="108"/>
        <v>526.23500000000001</v>
      </c>
      <c r="G582" s="236"/>
      <c r="H582" s="236"/>
      <c r="I582" s="236"/>
      <c r="J582" s="242"/>
      <c r="L582" s="249"/>
      <c r="M582" s="245"/>
      <c r="N582" s="24" t="s">
        <v>332</v>
      </c>
      <c r="O582" s="23">
        <v>25.67</v>
      </c>
      <c r="P582" s="23">
        <v>20.5</v>
      </c>
      <c r="Q582" s="23">
        <f t="shared" si="109"/>
        <v>526.23500000000001</v>
      </c>
      <c r="R582" s="236"/>
      <c r="S582" s="236"/>
      <c r="T582" s="236"/>
      <c r="U582" s="242"/>
    </row>
    <row r="583" spans="1:21" ht="13">
      <c r="A583" s="249"/>
      <c r="B583" s="245"/>
      <c r="C583" s="22" t="s">
        <v>80</v>
      </c>
      <c r="D583" s="23">
        <v>68.95</v>
      </c>
      <c r="E583" s="23">
        <v>17</v>
      </c>
      <c r="F583" s="23">
        <f t="shared" si="108"/>
        <v>1172.1500000000001</v>
      </c>
      <c r="G583" s="236"/>
      <c r="H583" s="236"/>
      <c r="I583" s="236"/>
      <c r="J583" s="242"/>
      <c r="L583" s="249"/>
      <c r="M583" s="245"/>
      <c r="N583" s="22" t="s">
        <v>80</v>
      </c>
      <c r="O583" s="23">
        <v>68.95</v>
      </c>
      <c r="P583" s="23">
        <v>17</v>
      </c>
      <c r="Q583" s="23">
        <f t="shared" si="109"/>
        <v>1172.1500000000001</v>
      </c>
      <c r="R583" s="236"/>
      <c r="S583" s="236"/>
      <c r="T583" s="236"/>
      <c r="U583" s="242"/>
    </row>
    <row r="584" spans="1:21" ht="13">
      <c r="A584" s="249"/>
      <c r="B584" s="245"/>
      <c r="C584" s="22" t="s">
        <v>32</v>
      </c>
      <c r="D584" s="23">
        <v>70.09</v>
      </c>
      <c r="E584" s="23">
        <v>17</v>
      </c>
      <c r="F584" s="23">
        <f t="shared" si="108"/>
        <v>1191.53</v>
      </c>
      <c r="G584" s="236"/>
      <c r="H584" s="236"/>
      <c r="I584" s="236"/>
      <c r="J584" s="242"/>
      <c r="L584" s="249"/>
      <c r="M584" s="245"/>
      <c r="N584" s="22" t="s">
        <v>32</v>
      </c>
      <c r="O584" s="23">
        <v>70.09</v>
      </c>
      <c r="P584" s="23">
        <v>17</v>
      </c>
      <c r="Q584" s="23">
        <f t="shared" si="109"/>
        <v>1191.53</v>
      </c>
      <c r="R584" s="236"/>
      <c r="S584" s="236"/>
      <c r="T584" s="236"/>
      <c r="U584" s="242"/>
    </row>
    <row r="585" spans="1:21" ht="13">
      <c r="A585" s="249"/>
      <c r="B585" s="245"/>
      <c r="C585" s="22" t="s">
        <v>298</v>
      </c>
      <c r="D585" s="23">
        <v>24.78</v>
      </c>
      <c r="E585" s="23">
        <v>17</v>
      </c>
      <c r="F585" s="23">
        <f t="shared" si="108"/>
        <v>421.26</v>
      </c>
      <c r="G585" s="236"/>
      <c r="H585" s="236"/>
      <c r="I585" s="236"/>
      <c r="J585" s="242"/>
      <c r="L585" s="249"/>
      <c r="M585" s="245"/>
      <c r="N585" s="22" t="s">
        <v>298</v>
      </c>
      <c r="O585" s="23">
        <v>24.78</v>
      </c>
      <c r="P585" s="23">
        <v>17</v>
      </c>
      <c r="Q585" s="23">
        <f t="shared" si="109"/>
        <v>421.26</v>
      </c>
      <c r="R585" s="236"/>
      <c r="S585" s="236"/>
      <c r="T585" s="236"/>
      <c r="U585" s="242"/>
    </row>
    <row r="586" spans="1:21" ht="13">
      <c r="A586" s="249"/>
      <c r="B586" s="245"/>
      <c r="C586" s="22" t="s">
        <v>70</v>
      </c>
      <c r="D586" s="23">
        <v>61.88</v>
      </c>
      <c r="E586" s="23">
        <v>17</v>
      </c>
      <c r="F586" s="23">
        <f t="shared" si="108"/>
        <v>1051.96</v>
      </c>
      <c r="G586" s="236"/>
      <c r="H586" s="236"/>
      <c r="I586" s="236"/>
      <c r="J586" s="242"/>
      <c r="L586" s="249"/>
      <c r="M586" s="245"/>
      <c r="N586" s="22" t="s">
        <v>70</v>
      </c>
      <c r="O586" s="23">
        <v>61.88</v>
      </c>
      <c r="P586" s="23">
        <v>17</v>
      </c>
      <c r="Q586" s="23">
        <f t="shared" si="109"/>
        <v>1051.96</v>
      </c>
      <c r="R586" s="236"/>
      <c r="S586" s="236"/>
      <c r="T586" s="236"/>
      <c r="U586" s="242"/>
    </row>
    <row r="587" spans="1:21" ht="13">
      <c r="A587" s="249"/>
      <c r="B587" s="245"/>
      <c r="C587" s="22" t="s">
        <v>333</v>
      </c>
      <c r="D587" s="23">
        <v>60.15</v>
      </c>
      <c r="E587" s="23">
        <v>15</v>
      </c>
      <c r="F587" s="23">
        <f t="shared" si="108"/>
        <v>902.25</v>
      </c>
      <c r="G587" s="236"/>
      <c r="H587" s="236"/>
      <c r="I587" s="236"/>
      <c r="J587" s="242"/>
      <c r="L587" s="249"/>
      <c r="M587" s="245"/>
      <c r="N587" s="22" t="s">
        <v>333</v>
      </c>
      <c r="O587" s="23">
        <v>60.15</v>
      </c>
      <c r="P587" s="23">
        <v>15</v>
      </c>
      <c r="Q587" s="23">
        <f t="shared" si="109"/>
        <v>902.25</v>
      </c>
      <c r="R587" s="236"/>
      <c r="S587" s="236"/>
      <c r="T587" s="236"/>
      <c r="U587" s="242"/>
    </row>
    <row r="588" spans="1:21" ht="13">
      <c r="A588" s="249"/>
      <c r="B588" s="245"/>
      <c r="C588" s="22" t="s">
        <v>33</v>
      </c>
      <c r="D588" s="23"/>
      <c r="E588" s="23"/>
      <c r="F588" s="23">
        <v>6300</v>
      </c>
      <c r="G588" s="236"/>
      <c r="H588" s="236"/>
      <c r="I588" s="236"/>
      <c r="J588" s="242"/>
      <c r="L588" s="249"/>
      <c r="M588" s="245"/>
      <c r="N588" s="22" t="s">
        <v>33</v>
      </c>
      <c r="O588" s="23"/>
      <c r="P588" s="23"/>
      <c r="Q588" s="23">
        <v>6300</v>
      </c>
      <c r="R588" s="236"/>
      <c r="S588" s="236"/>
      <c r="T588" s="236"/>
      <c r="U588" s="242"/>
    </row>
    <row r="589" spans="1:21" ht="13">
      <c r="A589" s="249"/>
      <c r="B589" s="245"/>
      <c r="C589" s="22" t="s">
        <v>334</v>
      </c>
      <c r="D589" s="23"/>
      <c r="E589" s="23"/>
      <c r="F589" s="23">
        <v>167</v>
      </c>
      <c r="G589" s="236"/>
      <c r="H589" s="236"/>
      <c r="I589" s="236"/>
      <c r="J589" s="242"/>
      <c r="L589" s="249"/>
      <c r="M589" s="245"/>
      <c r="N589" s="22" t="s">
        <v>334</v>
      </c>
      <c r="O589" s="23"/>
      <c r="P589" s="23"/>
      <c r="Q589" s="23">
        <v>167</v>
      </c>
      <c r="R589" s="236"/>
      <c r="S589" s="236"/>
      <c r="T589" s="236"/>
      <c r="U589" s="242"/>
    </row>
    <row r="590" spans="1:21" ht="13">
      <c r="A590" s="249"/>
      <c r="B590" s="245"/>
      <c r="C590" s="24" t="s">
        <v>82</v>
      </c>
      <c r="D590" s="23"/>
      <c r="E590" s="23"/>
      <c r="F590" s="23">
        <v>308.17</v>
      </c>
      <c r="G590" s="236"/>
      <c r="H590" s="236"/>
      <c r="I590" s="236"/>
      <c r="J590" s="242"/>
      <c r="L590" s="249"/>
      <c r="M590" s="245"/>
      <c r="N590" s="24" t="s">
        <v>82</v>
      </c>
      <c r="O590" s="23"/>
      <c r="P590" s="23"/>
      <c r="Q590" s="23">
        <v>308.17</v>
      </c>
      <c r="R590" s="236"/>
      <c r="S590" s="236"/>
      <c r="T590" s="236"/>
      <c r="U590" s="242"/>
    </row>
    <row r="591" spans="1:21" ht="13">
      <c r="A591" s="249"/>
      <c r="B591" s="245"/>
      <c r="C591" s="24" t="s">
        <v>335</v>
      </c>
      <c r="D591" s="23"/>
      <c r="E591" s="23"/>
      <c r="F591" s="23">
        <v>1682.6</v>
      </c>
      <c r="G591" s="236"/>
      <c r="H591" s="236"/>
      <c r="I591" s="236"/>
      <c r="J591" s="242"/>
      <c r="L591" s="249"/>
      <c r="M591" s="245"/>
      <c r="N591" s="24" t="s">
        <v>335</v>
      </c>
      <c r="O591" s="23"/>
      <c r="P591" s="23"/>
      <c r="Q591" s="23">
        <v>1682.6</v>
      </c>
      <c r="R591" s="236"/>
      <c r="S591" s="236"/>
      <c r="T591" s="236"/>
      <c r="U591" s="242"/>
    </row>
    <row r="592" spans="1:21" ht="13">
      <c r="A592" s="249"/>
      <c r="B592" s="245"/>
      <c r="C592" s="22" t="s">
        <v>210</v>
      </c>
      <c r="D592" s="23"/>
      <c r="E592" s="23"/>
      <c r="F592" s="23">
        <v>1953</v>
      </c>
      <c r="G592" s="236"/>
      <c r="H592" s="236"/>
      <c r="I592" s="236"/>
      <c r="J592" s="242"/>
      <c r="L592" s="249"/>
      <c r="M592" s="245"/>
      <c r="N592" s="22" t="s">
        <v>210</v>
      </c>
      <c r="O592" s="23"/>
      <c r="P592" s="23"/>
      <c r="Q592" s="23">
        <v>1953</v>
      </c>
      <c r="R592" s="236"/>
      <c r="S592" s="236"/>
      <c r="T592" s="236"/>
      <c r="U592" s="242"/>
    </row>
    <row r="593" spans="1:21" ht="13">
      <c r="A593" s="249"/>
      <c r="B593" s="245"/>
      <c r="C593" s="22" t="s">
        <v>336</v>
      </c>
      <c r="D593" s="23"/>
      <c r="E593" s="23"/>
      <c r="F593" s="23">
        <v>103</v>
      </c>
      <c r="G593" s="236"/>
      <c r="H593" s="236"/>
      <c r="I593" s="236"/>
      <c r="J593" s="242"/>
      <c r="L593" s="249"/>
      <c r="M593" s="245"/>
      <c r="N593" s="22" t="s">
        <v>336</v>
      </c>
      <c r="O593" s="23"/>
      <c r="P593" s="23"/>
      <c r="Q593" s="23">
        <v>103</v>
      </c>
      <c r="R593" s="236"/>
      <c r="S593" s="236"/>
      <c r="T593" s="236"/>
      <c r="U593" s="242"/>
    </row>
    <row r="594" spans="1:21" ht="13">
      <c r="A594" s="249"/>
      <c r="B594" s="245"/>
      <c r="C594" s="22" t="s">
        <v>45</v>
      </c>
      <c r="D594" s="23"/>
      <c r="E594" s="23"/>
      <c r="F594" s="23">
        <v>492.01</v>
      </c>
      <c r="G594" s="236"/>
      <c r="H594" s="236"/>
      <c r="I594" s="236"/>
      <c r="J594" s="242"/>
      <c r="L594" s="249"/>
      <c r="M594" s="245"/>
      <c r="N594" s="22" t="s">
        <v>45</v>
      </c>
      <c r="O594" s="23"/>
      <c r="P594" s="23"/>
      <c r="Q594" s="23">
        <v>492.01</v>
      </c>
      <c r="R594" s="236"/>
      <c r="S594" s="236"/>
      <c r="T594" s="236"/>
      <c r="U594" s="242"/>
    </row>
    <row r="595" spans="1:21" ht="13">
      <c r="A595" s="249"/>
      <c r="B595" s="245"/>
      <c r="C595" s="22" t="s">
        <v>44</v>
      </c>
      <c r="D595" s="23"/>
      <c r="E595" s="23"/>
      <c r="F595" s="23">
        <v>191.59</v>
      </c>
      <c r="G595" s="236"/>
      <c r="H595" s="236"/>
      <c r="I595" s="236"/>
      <c r="J595" s="242"/>
      <c r="L595" s="249"/>
      <c r="M595" s="245"/>
      <c r="N595" s="22" t="s">
        <v>44</v>
      </c>
      <c r="O595" s="23"/>
      <c r="P595" s="23"/>
      <c r="Q595" s="23">
        <v>191.59</v>
      </c>
      <c r="R595" s="236"/>
      <c r="S595" s="236"/>
      <c r="T595" s="236"/>
      <c r="U595" s="242"/>
    </row>
    <row r="596" spans="1:21" ht="13">
      <c r="A596" s="249"/>
      <c r="B596" s="245"/>
      <c r="C596" s="24" t="s">
        <v>48</v>
      </c>
      <c r="D596" s="23"/>
      <c r="E596" s="23"/>
      <c r="F596" s="23">
        <v>618.13</v>
      </c>
      <c r="G596" s="236"/>
      <c r="H596" s="236"/>
      <c r="I596" s="236"/>
      <c r="J596" s="242"/>
      <c r="L596" s="249"/>
      <c r="M596" s="245"/>
      <c r="N596" s="24" t="s">
        <v>48</v>
      </c>
      <c r="O596" s="23"/>
      <c r="P596" s="23"/>
      <c r="Q596" s="23">
        <v>618.13</v>
      </c>
      <c r="R596" s="236"/>
      <c r="S596" s="236"/>
      <c r="T596" s="236"/>
      <c r="U596" s="242"/>
    </row>
    <row r="597" spans="1:21" ht="13">
      <c r="A597" s="249"/>
      <c r="B597" s="246"/>
      <c r="C597" s="25"/>
      <c r="D597" s="26"/>
      <c r="E597" s="26"/>
      <c r="F597" s="26"/>
      <c r="G597" s="238"/>
      <c r="H597" s="238"/>
      <c r="I597" s="238"/>
      <c r="J597" s="243"/>
      <c r="L597" s="249"/>
      <c r="M597" s="246"/>
      <c r="N597" s="25"/>
      <c r="O597" s="26"/>
      <c r="P597" s="26"/>
      <c r="Q597" s="26"/>
      <c r="R597" s="238"/>
      <c r="S597" s="238"/>
      <c r="T597" s="238"/>
      <c r="U597" s="243"/>
    </row>
    <row r="598" spans="1:21" ht="13">
      <c r="A598" s="249"/>
      <c r="B598" s="244" t="s">
        <v>337</v>
      </c>
      <c r="C598" s="15" t="s">
        <v>209</v>
      </c>
      <c r="D598" s="16">
        <v>7</v>
      </c>
      <c r="E598" s="16">
        <v>18</v>
      </c>
      <c r="F598" s="17">
        <f t="shared" ref="F598:F613" si="110">D598*E598</f>
        <v>126</v>
      </c>
      <c r="G598" s="240">
        <f>SUM(F598:F613)</f>
        <v>3317.6299999999997</v>
      </c>
      <c r="H598" s="237">
        <v>6500</v>
      </c>
      <c r="I598" s="237">
        <f>H598-G598</f>
        <v>3182.3700000000003</v>
      </c>
      <c r="J598" s="241">
        <f>I598/H598</f>
        <v>0.48959538461538465</v>
      </c>
      <c r="L598" s="249"/>
      <c r="M598" s="244" t="s">
        <v>337</v>
      </c>
      <c r="N598" s="15" t="s">
        <v>209</v>
      </c>
      <c r="O598" s="18"/>
      <c r="P598" s="18"/>
      <c r="Q598" s="18"/>
      <c r="R598" s="240">
        <f>SUM(Q598:Q613)</f>
        <v>3191.6299999999997</v>
      </c>
      <c r="S598" s="237">
        <v>6500</v>
      </c>
      <c r="T598" s="237">
        <f>S598-R598</f>
        <v>3308.3700000000003</v>
      </c>
      <c r="U598" s="241">
        <f>T598/S598</f>
        <v>0.5089800000000001</v>
      </c>
    </row>
    <row r="599" spans="1:21" ht="13">
      <c r="A599" s="249"/>
      <c r="B599" s="245"/>
      <c r="C599" s="19" t="s">
        <v>229</v>
      </c>
      <c r="D599" s="17">
        <v>7.06</v>
      </c>
      <c r="E599" s="17">
        <v>13</v>
      </c>
      <c r="F599" s="17">
        <f t="shared" si="110"/>
        <v>91.78</v>
      </c>
      <c r="G599" s="236"/>
      <c r="H599" s="236"/>
      <c r="I599" s="236"/>
      <c r="J599" s="242"/>
      <c r="L599" s="249"/>
      <c r="M599" s="245"/>
      <c r="N599" s="19" t="s">
        <v>229</v>
      </c>
      <c r="O599" s="17">
        <v>7.06</v>
      </c>
      <c r="P599" s="17">
        <v>13</v>
      </c>
      <c r="Q599" s="17">
        <f t="shared" ref="Q599:Q613" si="111">O599*P599</f>
        <v>91.78</v>
      </c>
      <c r="R599" s="236"/>
      <c r="S599" s="236"/>
      <c r="T599" s="236"/>
      <c r="U599" s="242"/>
    </row>
    <row r="600" spans="1:21" ht="13">
      <c r="A600" s="249"/>
      <c r="B600" s="245"/>
      <c r="C600" s="19" t="s">
        <v>226</v>
      </c>
      <c r="D600" s="17">
        <v>2.4500000000000002</v>
      </c>
      <c r="E600" s="17">
        <v>13</v>
      </c>
      <c r="F600" s="17">
        <f t="shared" si="110"/>
        <v>31.85</v>
      </c>
      <c r="G600" s="236"/>
      <c r="H600" s="236"/>
      <c r="I600" s="236"/>
      <c r="J600" s="242"/>
      <c r="L600" s="249"/>
      <c r="M600" s="245"/>
      <c r="N600" s="19" t="s">
        <v>226</v>
      </c>
      <c r="O600" s="17">
        <v>2.4500000000000002</v>
      </c>
      <c r="P600" s="17">
        <v>13</v>
      </c>
      <c r="Q600" s="17">
        <f t="shared" si="111"/>
        <v>31.85</v>
      </c>
      <c r="R600" s="236"/>
      <c r="S600" s="236"/>
      <c r="T600" s="236"/>
      <c r="U600" s="242"/>
    </row>
    <row r="601" spans="1:21" ht="13">
      <c r="A601" s="249"/>
      <c r="B601" s="245"/>
      <c r="C601" s="19" t="s">
        <v>338</v>
      </c>
      <c r="D601" s="17">
        <v>6.3</v>
      </c>
      <c r="E601" s="17">
        <v>13</v>
      </c>
      <c r="F601" s="17">
        <f t="shared" si="110"/>
        <v>81.899999999999991</v>
      </c>
      <c r="G601" s="236"/>
      <c r="H601" s="236"/>
      <c r="I601" s="236"/>
      <c r="J601" s="242"/>
      <c r="L601" s="249"/>
      <c r="M601" s="245"/>
      <c r="N601" s="19" t="s">
        <v>338</v>
      </c>
      <c r="O601" s="17">
        <v>6.3</v>
      </c>
      <c r="P601" s="17">
        <v>13</v>
      </c>
      <c r="Q601" s="17">
        <f t="shared" si="111"/>
        <v>81.899999999999991</v>
      </c>
      <c r="R601" s="236"/>
      <c r="S601" s="236"/>
      <c r="T601" s="236"/>
      <c r="U601" s="242"/>
    </row>
    <row r="602" spans="1:21" ht="13">
      <c r="A602" s="249"/>
      <c r="B602" s="245"/>
      <c r="C602" s="19" t="s">
        <v>339</v>
      </c>
      <c r="D602" s="17">
        <v>48.72</v>
      </c>
      <c r="E602" s="17">
        <v>13</v>
      </c>
      <c r="F602" s="17">
        <f t="shared" si="110"/>
        <v>633.36</v>
      </c>
      <c r="G602" s="236"/>
      <c r="H602" s="236"/>
      <c r="I602" s="236"/>
      <c r="J602" s="242"/>
      <c r="L602" s="249"/>
      <c r="M602" s="245"/>
      <c r="N602" s="19" t="s">
        <v>339</v>
      </c>
      <c r="O602" s="17">
        <v>48.72</v>
      </c>
      <c r="P602" s="17">
        <v>13</v>
      </c>
      <c r="Q602" s="17">
        <f t="shared" si="111"/>
        <v>633.36</v>
      </c>
      <c r="R602" s="236"/>
      <c r="S602" s="236"/>
      <c r="T602" s="236"/>
      <c r="U602" s="242"/>
    </row>
    <row r="603" spans="1:21" ht="13">
      <c r="A603" s="249"/>
      <c r="B603" s="245"/>
      <c r="C603" s="19" t="s">
        <v>340</v>
      </c>
      <c r="D603" s="17">
        <v>7.03</v>
      </c>
      <c r="E603" s="17">
        <v>13</v>
      </c>
      <c r="F603" s="17">
        <f t="shared" si="110"/>
        <v>91.39</v>
      </c>
      <c r="G603" s="236"/>
      <c r="H603" s="236"/>
      <c r="I603" s="236"/>
      <c r="J603" s="242"/>
      <c r="L603" s="249"/>
      <c r="M603" s="245"/>
      <c r="N603" s="19" t="s">
        <v>340</v>
      </c>
      <c r="O603" s="17">
        <v>7.03</v>
      </c>
      <c r="P603" s="17">
        <v>13</v>
      </c>
      <c r="Q603" s="17">
        <f t="shared" si="111"/>
        <v>91.39</v>
      </c>
      <c r="R603" s="236"/>
      <c r="S603" s="236"/>
      <c r="T603" s="236"/>
      <c r="U603" s="242"/>
    </row>
    <row r="604" spans="1:21" ht="13">
      <c r="A604" s="249"/>
      <c r="B604" s="245"/>
      <c r="C604" s="19" t="s">
        <v>228</v>
      </c>
      <c r="D604" s="17">
        <v>6.33</v>
      </c>
      <c r="E604" s="17">
        <v>13</v>
      </c>
      <c r="F604" s="17">
        <f t="shared" si="110"/>
        <v>82.29</v>
      </c>
      <c r="G604" s="236"/>
      <c r="H604" s="236"/>
      <c r="I604" s="236"/>
      <c r="J604" s="242"/>
      <c r="L604" s="249"/>
      <c r="M604" s="245"/>
      <c r="N604" s="19" t="s">
        <v>228</v>
      </c>
      <c r="O604" s="17">
        <v>6.33</v>
      </c>
      <c r="P604" s="17">
        <v>13</v>
      </c>
      <c r="Q604" s="17">
        <f t="shared" si="111"/>
        <v>82.29</v>
      </c>
      <c r="R604" s="236"/>
      <c r="S604" s="236"/>
      <c r="T604" s="236"/>
      <c r="U604" s="242"/>
    </row>
    <row r="605" spans="1:21" ht="13">
      <c r="A605" s="249"/>
      <c r="B605" s="245"/>
      <c r="C605" s="19" t="s">
        <v>231</v>
      </c>
      <c r="D605" s="17">
        <v>13.58</v>
      </c>
      <c r="E605" s="17">
        <v>13</v>
      </c>
      <c r="F605" s="17">
        <f t="shared" si="110"/>
        <v>176.54</v>
      </c>
      <c r="G605" s="236"/>
      <c r="H605" s="236"/>
      <c r="I605" s="236"/>
      <c r="J605" s="242"/>
      <c r="L605" s="249"/>
      <c r="M605" s="245"/>
      <c r="N605" s="19" t="s">
        <v>231</v>
      </c>
      <c r="O605" s="17">
        <v>13.58</v>
      </c>
      <c r="P605" s="17">
        <v>13</v>
      </c>
      <c r="Q605" s="17">
        <f t="shared" si="111"/>
        <v>176.54</v>
      </c>
      <c r="R605" s="236"/>
      <c r="S605" s="236"/>
      <c r="T605" s="236"/>
      <c r="U605" s="242"/>
    </row>
    <row r="606" spans="1:21" ht="13">
      <c r="A606" s="249"/>
      <c r="B606" s="245"/>
      <c r="C606" s="19" t="s">
        <v>264</v>
      </c>
      <c r="D606" s="17">
        <v>33.520000000000003</v>
      </c>
      <c r="E606" s="17">
        <v>13</v>
      </c>
      <c r="F606" s="17">
        <f t="shared" si="110"/>
        <v>435.76000000000005</v>
      </c>
      <c r="G606" s="236"/>
      <c r="H606" s="236"/>
      <c r="I606" s="236"/>
      <c r="J606" s="242"/>
      <c r="L606" s="249"/>
      <c r="M606" s="245"/>
      <c r="N606" s="19" t="s">
        <v>264</v>
      </c>
      <c r="O606" s="17">
        <v>33.520000000000003</v>
      </c>
      <c r="P606" s="17">
        <v>13</v>
      </c>
      <c r="Q606" s="17">
        <f t="shared" si="111"/>
        <v>435.76000000000005</v>
      </c>
      <c r="R606" s="236"/>
      <c r="S606" s="236"/>
      <c r="T606" s="236"/>
      <c r="U606" s="242"/>
    </row>
    <row r="607" spans="1:21" ht="13">
      <c r="A607" s="249"/>
      <c r="B607" s="245"/>
      <c r="C607" s="19" t="s">
        <v>230</v>
      </c>
      <c r="D607" s="17">
        <v>45.87</v>
      </c>
      <c r="E607" s="17">
        <v>13</v>
      </c>
      <c r="F607" s="17">
        <f t="shared" si="110"/>
        <v>596.30999999999995</v>
      </c>
      <c r="G607" s="236"/>
      <c r="H607" s="236"/>
      <c r="I607" s="236"/>
      <c r="J607" s="242"/>
      <c r="L607" s="249"/>
      <c r="M607" s="245"/>
      <c r="N607" s="19" t="s">
        <v>230</v>
      </c>
      <c r="O607" s="17">
        <v>45.87</v>
      </c>
      <c r="P607" s="17">
        <v>13</v>
      </c>
      <c r="Q607" s="17">
        <f t="shared" si="111"/>
        <v>596.30999999999995</v>
      </c>
      <c r="R607" s="236"/>
      <c r="S607" s="236"/>
      <c r="T607" s="236"/>
      <c r="U607" s="242"/>
    </row>
    <row r="608" spans="1:21" ht="13">
      <c r="A608" s="249"/>
      <c r="B608" s="245"/>
      <c r="C608" s="19" t="s">
        <v>341</v>
      </c>
      <c r="D608" s="17">
        <v>15.45</v>
      </c>
      <c r="E608" s="17">
        <v>13</v>
      </c>
      <c r="F608" s="17">
        <f t="shared" si="110"/>
        <v>200.85</v>
      </c>
      <c r="G608" s="236"/>
      <c r="H608" s="236"/>
      <c r="I608" s="236"/>
      <c r="J608" s="242"/>
      <c r="L608" s="249"/>
      <c r="M608" s="245"/>
      <c r="N608" s="19" t="s">
        <v>341</v>
      </c>
      <c r="O608" s="17">
        <v>15.45</v>
      </c>
      <c r="P608" s="17">
        <v>13</v>
      </c>
      <c r="Q608" s="17">
        <f t="shared" si="111"/>
        <v>200.85</v>
      </c>
      <c r="R608" s="236"/>
      <c r="S608" s="236"/>
      <c r="T608" s="236"/>
      <c r="U608" s="242"/>
    </row>
    <row r="609" spans="1:21" ht="13">
      <c r="A609" s="249"/>
      <c r="B609" s="245"/>
      <c r="C609" s="19" t="s">
        <v>342</v>
      </c>
      <c r="D609" s="17">
        <v>13.89</v>
      </c>
      <c r="E609" s="17">
        <v>13</v>
      </c>
      <c r="F609" s="17">
        <f t="shared" si="110"/>
        <v>180.57</v>
      </c>
      <c r="G609" s="236"/>
      <c r="H609" s="236"/>
      <c r="I609" s="236"/>
      <c r="J609" s="242"/>
      <c r="L609" s="249"/>
      <c r="M609" s="245"/>
      <c r="N609" s="19" t="s">
        <v>342</v>
      </c>
      <c r="O609" s="17">
        <v>13.89</v>
      </c>
      <c r="P609" s="17">
        <v>13</v>
      </c>
      <c r="Q609" s="17">
        <f t="shared" si="111"/>
        <v>180.57</v>
      </c>
      <c r="R609" s="236"/>
      <c r="S609" s="236"/>
      <c r="T609" s="236"/>
      <c r="U609" s="242"/>
    </row>
    <row r="610" spans="1:21" ht="13">
      <c r="A610" s="249"/>
      <c r="B610" s="245"/>
      <c r="C610" s="19" t="s">
        <v>343</v>
      </c>
      <c r="D610" s="17">
        <v>2.75</v>
      </c>
      <c r="E610" s="17">
        <v>13</v>
      </c>
      <c r="F610" s="17">
        <f t="shared" si="110"/>
        <v>35.75</v>
      </c>
      <c r="G610" s="236"/>
      <c r="H610" s="236"/>
      <c r="I610" s="236"/>
      <c r="J610" s="242"/>
      <c r="L610" s="249"/>
      <c r="M610" s="245"/>
      <c r="N610" s="19" t="s">
        <v>343</v>
      </c>
      <c r="O610" s="17">
        <v>2.75</v>
      </c>
      <c r="P610" s="17">
        <v>13</v>
      </c>
      <c r="Q610" s="17">
        <f t="shared" si="111"/>
        <v>35.75</v>
      </c>
      <c r="R610" s="236"/>
      <c r="S610" s="236"/>
      <c r="T610" s="236"/>
      <c r="U610" s="242"/>
    </row>
    <row r="611" spans="1:21" ht="13">
      <c r="A611" s="249"/>
      <c r="B611" s="245"/>
      <c r="C611" s="19" t="s">
        <v>344</v>
      </c>
      <c r="D611" s="17">
        <v>11.03</v>
      </c>
      <c r="E611" s="17">
        <v>13</v>
      </c>
      <c r="F611" s="17">
        <f t="shared" si="110"/>
        <v>143.38999999999999</v>
      </c>
      <c r="G611" s="236"/>
      <c r="H611" s="236"/>
      <c r="I611" s="236"/>
      <c r="J611" s="242"/>
      <c r="L611" s="249"/>
      <c r="M611" s="245"/>
      <c r="N611" s="19" t="s">
        <v>344</v>
      </c>
      <c r="O611" s="17">
        <v>11.03</v>
      </c>
      <c r="P611" s="17">
        <v>13</v>
      </c>
      <c r="Q611" s="17">
        <f t="shared" si="111"/>
        <v>143.38999999999999</v>
      </c>
      <c r="R611" s="236"/>
      <c r="S611" s="236"/>
      <c r="T611" s="236"/>
      <c r="U611" s="242"/>
    </row>
    <row r="612" spans="1:21" ht="13">
      <c r="A612" s="249"/>
      <c r="B612" s="245"/>
      <c r="C612" s="19" t="s">
        <v>345</v>
      </c>
      <c r="D612" s="17">
        <v>27.03</v>
      </c>
      <c r="E612" s="17">
        <v>13</v>
      </c>
      <c r="F612" s="17">
        <f t="shared" si="110"/>
        <v>351.39</v>
      </c>
      <c r="G612" s="236"/>
      <c r="H612" s="236"/>
      <c r="I612" s="236"/>
      <c r="J612" s="242"/>
      <c r="L612" s="249"/>
      <c r="M612" s="245"/>
      <c r="N612" s="19" t="s">
        <v>345</v>
      </c>
      <c r="O612" s="17">
        <v>27.03</v>
      </c>
      <c r="P612" s="17">
        <v>13</v>
      </c>
      <c r="Q612" s="17">
        <f t="shared" si="111"/>
        <v>351.39</v>
      </c>
      <c r="R612" s="236"/>
      <c r="S612" s="236"/>
      <c r="T612" s="236"/>
      <c r="U612" s="242"/>
    </row>
    <row r="613" spans="1:21" ht="13">
      <c r="A613" s="249"/>
      <c r="B613" s="246"/>
      <c r="C613" s="20" t="s">
        <v>346</v>
      </c>
      <c r="D613" s="21">
        <v>4.5</v>
      </c>
      <c r="E613" s="21">
        <v>13</v>
      </c>
      <c r="F613" s="21">
        <f t="shared" si="110"/>
        <v>58.5</v>
      </c>
      <c r="G613" s="238"/>
      <c r="H613" s="238"/>
      <c r="I613" s="238"/>
      <c r="J613" s="243"/>
      <c r="L613" s="249"/>
      <c r="M613" s="246"/>
      <c r="N613" s="20" t="s">
        <v>346</v>
      </c>
      <c r="O613" s="21">
        <v>4.5</v>
      </c>
      <c r="P613" s="21">
        <v>13</v>
      </c>
      <c r="Q613" s="21">
        <f t="shared" si="111"/>
        <v>58.5</v>
      </c>
      <c r="R613" s="238"/>
      <c r="S613" s="238"/>
      <c r="T613" s="238"/>
      <c r="U613" s="243"/>
    </row>
    <row r="614" spans="1:21" ht="13">
      <c r="A614" s="249"/>
      <c r="B614" s="244" t="s">
        <v>347</v>
      </c>
      <c r="C614" s="15" t="s">
        <v>348</v>
      </c>
      <c r="D614" s="16"/>
      <c r="E614" s="16"/>
      <c r="F614" s="17">
        <v>300</v>
      </c>
      <c r="G614" s="240">
        <f>SUM(F614:F620)</f>
        <v>851.24</v>
      </c>
      <c r="H614" s="237">
        <v>3800.38</v>
      </c>
      <c r="I614" s="237">
        <f>H614-G614</f>
        <v>2949.1400000000003</v>
      </c>
      <c r="J614" s="241">
        <f>I614/H614</f>
        <v>0.77601187249696091</v>
      </c>
      <c r="L614" s="249"/>
      <c r="M614" s="244" t="s">
        <v>347</v>
      </c>
      <c r="N614" s="15" t="s">
        <v>349</v>
      </c>
      <c r="O614" s="16"/>
      <c r="P614" s="16"/>
      <c r="Q614" s="17">
        <v>300</v>
      </c>
      <c r="R614" s="240">
        <f>SUM(Q614:Q620)</f>
        <v>851.24</v>
      </c>
      <c r="S614" s="237">
        <v>3800.38</v>
      </c>
      <c r="T614" s="237">
        <f>S614-R614</f>
        <v>2949.1400000000003</v>
      </c>
      <c r="U614" s="241">
        <f>T614/S614</f>
        <v>0.77601187249696091</v>
      </c>
    </row>
    <row r="615" spans="1:21" ht="13">
      <c r="A615" s="249"/>
      <c r="B615" s="245"/>
      <c r="C615" s="19" t="s">
        <v>47</v>
      </c>
      <c r="D615" s="17"/>
      <c r="E615" s="17"/>
      <c r="F615" s="17">
        <v>78.22</v>
      </c>
      <c r="G615" s="236"/>
      <c r="H615" s="236"/>
      <c r="I615" s="236"/>
      <c r="J615" s="242"/>
      <c r="L615" s="249"/>
      <c r="M615" s="245"/>
      <c r="N615" s="19" t="s">
        <v>47</v>
      </c>
      <c r="O615" s="17"/>
      <c r="P615" s="17"/>
      <c r="Q615" s="17">
        <v>78.22</v>
      </c>
      <c r="R615" s="236"/>
      <c r="S615" s="236"/>
      <c r="T615" s="236"/>
      <c r="U615" s="242"/>
    </row>
    <row r="616" spans="1:21" ht="13">
      <c r="A616" s="249"/>
      <c r="B616" s="245"/>
      <c r="C616" s="19" t="s">
        <v>155</v>
      </c>
      <c r="D616" s="17"/>
      <c r="E616" s="17"/>
      <c r="F616" s="17">
        <v>237</v>
      </c>
      <c r="G616" s="236"/>
      <c r="H616" s="236"/>
      <c r="I616" s="236"/>
      <c r="J616" s="242"/>
      <c r="L616" s="249"/>
      <c r="M616" s="245"/>
      <c r="N616" s="19" t="s">
        <v>155</v>
      </c>
      <c r="O616" s="17"/>
      <c r="P616" s="17"/>
      <c r="Q616" s="17">
        <v>237</v>
      </c>
      <c r="R616" s="236"/>
      <c r="S616" s="236"/>
      <c r="T616" s="236"/>
      <c r="U616" s="242"/>
    </row>
    <row r="617" spans="1:21" ht="13">
      <c r="A617" s="249"/>
      <c r="B617" s="245"/>
      <c r="C617" s="19" t="s">
        <v>290</v>
      </c>
      <c r="D617" s="17"/>
      <c r="E617" s="17"/>
      <c r="F617" s="17">
        <v>45.65</v>
      </c>
      <c r="G617" s="236"/>
      <c r="H617" s="236"/>
      <c r="I617" s="236"/>
      <c r="J617" s="242"/>
      <c r="L617" s="249"/>
      <c r="M617" s="245"/>
      <c r="N617" s="19" t="s">
        <v>290</v>
      </c>
      <c r="O617" s="17"/>
      <c r="P617" s="17"/>
      <c r="Q617" s="17">
        <v>45.65</v>
      </c>
      <c r="R617" s="236"/>
      <c r="S617" s="236"/>
      <c r="T617" s="236"/>
      <c r="U617" s="242"/>
    </row>
    <row r="618" spans="1:21" ht="13">
      <c r="A618" s="249"/>
      <c r="B618" s="245"/>
      <c r="C618" s="19" t="s">
        <v>45</v>
      </c>
      <c r="D618" s="17"/>
      <c r="E618" s="17"/>
      <c r="F618" s="17">
        <v>120</v>
      </c>
      <c r="G618" s="236"/>
      <c r="H618" s="236"/>
      <c r="I618" s="236"/>
      <c r="J618" s="242"/>
      <c r="L618" s="249"/>
      <c r="M618" s="245"/>
      <c r="N618" s="19" t="s">
        <v>45</v>
      </c>
      <c r="O618" s="17"/>
      <c r="P618" s="17"/>
      <c r="Q618" s="17">
        <v>120</v>
      </c>
      <c r="R618" s="236"/>
      <c r="S618" s="236"/>
      <c r="T618" s="236"/>
      <c r="U618" s="242"/>
    </row>
    <row r="619" spans="1:21" ht="13">
      <c r="A619" s="249"/>
      <c r="B619" s="245"/>
      <c r="C619" s="19" t="s">
        <v>44</v>
      </c>
      <c r="D619" s="17"/>
      <c r="E619" s="17"/>
      <c r="F619" s="17">
        <v>70.37</v>
      </c>
      <c r="G619" s="236"/>
      <c r="H619" s="236"/>
      <c r="I619" s="236"/>
      <c r="J619" s="242"/>
      <c r="L619" s="249"/>
      <c r="M619" s="245"/>
      <c r="N619" s="19" t="s">
        <v>44</v>
      </c>
      <c r="O619" s="17"/>
      <c r="P619" s="17"/>
      <c r="Q619" s="17">
        <v>70.37</v>
      </c>
      <c r="R619" s="236"/>
      <c r="S619" s="236"/>
      <c r="T619" s="236"/>
      <c r="U619" s="242"/>
    </row>
    <row r="620" spans="1:21" ht="13">
      <c r="A620" s="249"/>
      <c r="B620" s="246"/>
      <c r="C620" s="20"/>
      <c r="D620" s="21"/>
      <c r="E620" s="21"/>
      <c r="F620" s="21"/>
      <c r="G620" s="238"/>
      <c r="H620" s="238"/>
      <c r="I620" s="238"/>
      <c r="J620" s="243"/>
      <c r="L620" s="249"/>
      <c r="M620" s="246"/>
      <c r="N620" s="20"/>
      <c r="O620" s="21"/>
      <c r="P620" s="21"/>
      <c r="Q620" s="21"/>
      <c r="R620" s="238"/>
      <c r="S620" s="238"/>
      <c r="T620" s="238"/>
      <c r="U620" s="243"/>
    </row>
    <row r="621" spans="1:21" ht="13">
      <c r="A621" s="249"/>
      <c r="B621" s="244" t="s">
        <v>350</v>
      </c>
      <c r="C621" s="15" t="s">
        <v>35</v>
      </c>
      <c r="D621" s="16"/>
      <c r="E621" s="16"/>
      <c r="F621" s="17">
        <v>150</v>
      </c>
      <c r="G621" s="240">
        <f>SUM(F621:F627)</f>
        <v>667.23000000000013</v>
      </c>
      <c r="H621" s="237">
        <v>2890.72</v>
      </c>
      <c r="I621" s="237">
        <f>H621-G621</f>
        <v>2223.4899999999998</v>
      </c>
      <c r="J621" s="241">
        <f>I621/H621</f>
        <v>0.76918207228648916</v>
      </c>
      <c r="L621" s="249"/>
      <c r="M621" s="244" t="s">
        <v>350</v>
      </c>
      <c r="N621" s="15" t="s">
        <v>349</v>
      </c>
      <c r="O621" s="16"/>
      <c r="P621" s="16"/>
      <c r="Q621" s="17">
        <v>150</v>
      </c>
      <c r="R621" s="240">
        <f>SUM(Q621:Q627)</f>
        <v>667.23000000000013</v>
      </c>
      <c r="S621" s="237">
        <v>2890.72</v>
      </c>
      <c r="T621" s="237">
        <f>S621-R621</f>
        <v>2223.4899999999998</v>
      </c>
      <c r="U621" s="241">
        <f>T621/S621</f>
        <v>0.76918207228648916</v>
      </c>
    </row>
    <row r="622" spans="1:21" ht="13">
      <c r="A622" s="249"/>
      <c r="B622" s="245"/>
      <c r="C622" s="19" t="s">
        <v>47</v>
      </c>
      <c r="D622" s="17"/>
      <c r="E622" s="17"/>
      <c r="F622" s="17">
        <v>68.63</v>
      </c>
      <c r="G622" s="236"/>
      <c r="H622" s="236"/>
      <c r="I622" s="236"/>
      <c r="J622" s="242"/>
      <c r="L622" s="249"/>
      <c r="M622" s="245"/>
      <c r="N622" s="19" t="s">
        <v>47</v>
      </c>
      <c r="O622" s="17"/>
      <c r="P622" s="17"/>
      <c r="Q622" s="17">
        <v>68.63</v>
      </c>
      <c r="R622" s="236"/>
      <c r="S622" s="236"/>
      <c r="T622" s="236"/>
      <c r="U622" s="242"/>
    </row>
    <row r="623" spans="1:21" ht="13">
      <c r="A623" s="249"/>
      <c r="B623" s="245"/>
      <c r="C623" s="19" t="s">
        <v>290</v>
      </c>
      <c r="D623" s="17"/>
      <c r="E623" s="17"/>
      <c r="F623" s="17">
        <v>37.42</v>
      </c>
      <c r="G623" s="236"/>
      <c r="H623" s="236"/>
      <c r="I623" s="236"/>
      <c r="J623" s="242"/>
      <c r="L623" s="249"/>
      <c r="M623" s="245"/>
      <c r="N623" s="19" t="s">
        <v>290</v>
      </c>
      <c r="O623" s="17"/>
      <c r="P623" s="17"/>
      <c r="Q623" s="17">
        <v>37.42</v>
      </c>
      <c r="R623" s="236"/>
      <c r="S623" s="236"/>
      <c r="T623" s="236"/>
      <c r="U623" s="242"/>
    </row>
    <row r="624" spans="1:21" ht="13">
      <c r="A624" s="249"/>
      <c r="B624" s="245"/>
      <c r="C624" s="19" t="s">
        <v>155</v>
      </c>
      <c r="D624" s="17"/>
      <c r="E624" s="17"/>
      <c r="F624" s="17">
        <v>229.12</v>
      </c>
      <c r="G624" s="236"/>
      <c r="H624" s="236"/>
      <c r="I624" s="236"/>
      <c r="J624" s="242"/>
      <c r="L624" s="249"/>
      <c r="M624" s="245"/>
      <c r="N624" s="19"/>
      <c r="O624" s="17"/>
      <c r="P624" s="17"/>
      <c r="Q624" s="17">
        <v>229.12</v>
      </c>
      <c r="R624" s="236"/>
      <c r="S624" s="236"/>
      <c r="T624" s="236"/>
      <c r="U624" s="242"/>
    </row>
    <row r="625" spans="1:21" ht="13">
      <c r="A625" s="249"/>
      <c r="B625" s="245"/>
      <c r="C625" s="19" t="s">
        <v>45</v>
      </c>
      <c r="D625" s="17"/>
      <c r="E625" s="17"/>
      <c r="F625" s="17">
        <v>60</v>
      </c>
      <c r="G625" s="236"/>
      <c r="H625" s="236"/>
      <c r="I625" s="236"/>
      <c r="J625" s="242"/>
      <c r="L625" s="249"/>
      <c r="M625" s="245"/>
      <c r="N625" s="19" t="s">
        <v>45</v>
      </c>
      <c r="O625" s="17"/>
      <c r="P625" s="17"/>
      <c r="Q625" s="17">
        <v>60</v>
      </c>
      <c r="R625" s="236"/>
      <c r="S625" s="236"/>
      <c r="T625" s="236"/>
      <c r="U625" s="242"/>
    </row>
    <row r="626" spans="1:21" ht="13">
      <c r="A626" s="249"/>
      <c r="B626" s="245"/>
      <c r="C626" s="19" t="s">
        <v>44</v>
      </c>
      <c r="D626" s="17"/>
      <c r="E626" s="17"/>
      <c r="F626" s="17">
        <v>32.700000000000003</v>
      </c>
      <c r="G626" s="236"/>
      <c r="H626" s="236"/>
      <c r="I626" s="236"/>
      <c r="J626" s="242"/>
      <c r="L626" s="249"/>
      <c r="M626" s="245"/>
      <c r="N626" s="19" t="s">
        <v>44</v>
      </c>
      <c r="O626" s="17"/>
      <c r="P626" s="17"/>
      <c r="Q626" s="17">
        <v>32.700000000000003</v>
      </c>
      <c r="R626" s="236"/>
      <c r="S626" s="236"/>
      <c r="T626" s="236"/>
      <c r="U626" s="242"/>
    </row>
    <row r="627" spans="1:21" ht="13">
      <c r="A627" s="249"/>
      <c r="B627" s="246"/>
      <c r="C627" s="20" t="s">
        <v>33</v>
      </c>
      <c r="D627" s="21"/>
      <c r="E627" s="21"/>
      <c r="F627" s="21">
        <v>89.36</v>
      </c>
      <c r="G627" s="238"/>
      <c r="H627" s="238"/>
      <c r="I627" s="238"/>
      <c r="J627" s="243"/>
      <c r="L627" s="249"/>
      <c r="M627" s="246"/>
      <c r="N627" s="20" t="s">
        <v>33</v>
      </c>
      <c r="O627" s="21"/>
      <c r="P627" s="21"/>
      <c r="Q627" s="21">
        <v>89.36</v>
      </c>
      <c r="R627" s="238"/>
      <c r="S627" s="238"/>
      <c r="T627" s="238"/>
      <c r="U627" s="243"/>
    </row>
    <row r="628" spans="1:21" ht="13">
      <c r="A628" s="249"/>
      <c r="B628" s="281" t="s">
        <v>351</v>
      </c>
      <c r="C628" s="15" t="s">
        <v>285</v>
      </c>
      <c r="D628" s="16">
        <v>7</v>
      </c>
      <c r="E628" s="16">
        <v>14</v>
      </c>
      <c r="F628" s="17">
        <f>D628*E628</f>
        <v>98</v>
      </c>
      <c r="G628" s="240">
        <f>SUM(F628:F632)</f>
        <v>289.09000000000003</v>
      </c>
      <c r="H628" s="237">
        <v>3172.5</v>
      </c>
      <c r="I628" s="237">
        <f>H628-G628</f>
        <v>2883.41</v>
      </c>
      <c r="J628" s="241">
        <f>I628/H628</f>
        <v>0.90887628053585501</v>
      </c>
      <c r="L628" s="249"/>
      <c r="M628" s="281" t="s">
        <v>351</v>
      </c>
      <c r="N628" s="15" t="s">
        <v>285</v>
      </c>
      <c r="O628" s="18"/>
      <c r="P628" s="18"/>
      <c r="Q628" s="18"/>
      <c r="R628" s="240">
        <f>SUM(Q628:Q632)</f>
        <v>191.09</v>
      </c>
      <c r="S628" s="237">
        <v>3172.5</v>
      </c>
      <c r="T628" s="237">
        <f>S628-R628</f>
        <v>2981.41</v>
      </c>
      <c r="U628" s="241">
        <f>T628/S628</f>
        <v>0.93976674546887307</v>
      </c>
    </row>
    <row r="629" spans="1:21" ht="13">
      <c r="A629" s="249"/>
      <c r="B629" s="245"/>
      <c r="C629" s="19" t="s">
        <v>33</v>
      </c>
      <c r="D629" s="17"/>
      <c r="E629" s="17"/>
      <c r="F629" s="17">
        <v>23.09</v>
      </c>
      <c r="G629" s="236"/>
      <c r="H629" s="236"/>
      <c r="I629" s="236"/>
      <c r="J629" s="242"/>
      <c r="L629" s="249"/>
      <c r="M629" s="245"/>
      <c r="N629" s="19" t="s">
        <v>33</v>
      </c>
      <c r="O629" s="17"/>
      <c r="P629" s="17"/>
      <c r="Q629" s="17">
        <v>23.09</v>
      </c>
      <c r="R629" s="236"/>
      <c r="S629" s="236"/>
      <c r="T629" s="236"/>
      <c r="U629" s="242"/>
    </row>
    <row r="630" spans="1:21" ht="13">
      <c r="A630" s="249"/>
      <c r="B630" s="245"/>
      <c r="C630" s="19" t="s">
        <v>290</v>
      </c>
      <c r="D630" s="17"/>
      <c r="E630" s="17"/>
      <c r="F630" s="17">
        <v>20</v>
      </c>
      <c r="G630" s="236"/>
      <c r="H630" s="236"/>
      <c r="I630" s="236"/>
      <c r="J630" s="242"/>
      <c r="L630" s="249"/>
      <c r="M630" s="245"/>
      <c r="N630" s="19" t="s">
        <v>290</v>
      </c>
      <c r="O630" s="17"/>
      <c r="P630" s="17"/>
      <c r="Q630" s="17">
        <v>20</v>
      </c>
      <c r="R630" s="236"/>
      <c r="S630" s="236"/>
      <c r="T630" s="236"/>
      <c r="U630" s="242"/>
    </row>
    <row r="631" spans="1:21" ht="13">
      <c r="A631" s="249"/>
      <c r="B631" s="245"/>
      <c r="C631" s="19" t="s">
        <v>45</v>
      </c>
      <c r="D631" s="17"/>
      <c r="E631" s="17"/>
      <c r="F631" s="17">
        <v>30</v>
      </c>
      <c r="G631" s="236"/>
      <c r="H631" s="236"/>
      <c r="I631" s="236"/>
      <c r="J631" s="242"/>
      <c r="L631" s="249"/>
      <c r="M631" s="245"/>
      <c r="N631" s="19" t="s">
        <v>45</v>
      </c>
      <c r="O631" s="17"/>
      <c r="P631" s="17"/>
      <c r="Q631" s="17">
        <v>30</v>
      </c>
      <c r="R631" s="236"/>
      <c r="S631" s="236"/>
      <c r="T631" s="236"/>
      <c r="U631" s="242"/>
    </row>
    <row r="632" spans="1:21" ht="13">
      <c r="A632" s="249"/>
      <c r="B632" s="246"/>
      <c r="C632" s="20" t="s">
        <v>155</v>
      </c>
      <c r="D632" s="21"/>
      <c r="E632" s="21"/>
      <c r="F632" s="21">
        <v>118</v>
      </c>
      <c r="G632" s="238"/>
      <c r="H632" s="238"/>
      <c r="I632" s="238"/>
      <c r="J632" s="243"/>
      <c r="L632" s="249"/>
      <c r="M632" s="246"/>
      <c r="N632" s="20" t="s">
        <v>155</v>
      </c>
      <c r="O632" s="21"/>
      <c r="P632" s="21"/>
      <c r="Q632" s="21">
        <v>118</v>
      </c>
      <c r="R632" s="238"/>
      <c r="S632" s="238"/>
      <c r="T632" s="238"/>
      <c r="U632" s="243"/>
    </row>
    <row r="633" spans="1:21" ht="13">
      <c r="A633" s="249"/>
      <c r="B633" s="244" t="s">
        <v>352</v>
      </c>
      <c r="C633" s="15" t="s">
        <v>209</v>
      </c>
      <c r="D633" s="16">
        <v>21</v>
      </c>
      <c r="E633" s="16">
        <v>18</v>
      </c>
      <c r="F633" s="17">
        <f t="shared" ref="F633:F643" si="112">D633*E633</f>
        <v>378</v>
      </c>
      <c r="G633" s="240">
        <f>SUM(F633:F644)</f>
        <v>2522.6899999999996</v>
      </c>
      <c r="H633" s="237">
        <v>6112.5</v>
      </c>
      <c r="I633" s="237">
        <f>H633-G633</f>
        <v>3589.8100000000004</v>
      </c>
      <c r="J633" s="241">
        <f>I633/H633</f>
        <v>0.58728997955010231</v>
      </c>
      <c r="L633" s="249"/>
      <c r="M633" s="244" t="s">
        <v>352</v>
      </c>
      <c r="N633" s="15" t="s">
        <v>209</v>
      </c>
      <c r="O633" s="18"/>
      <c r="P633" s="18"/>
      <c r="Q633" s="18"/>
      <c r="R633" s="240">
        <f>SUM(Q633:Q644)</f>
        <v>2144.6899999999996</v>
      </c>
      <c r="S633" s="237">
        <v>6112.5</v>
      </c>
      <c r="T633" s="237">
        <f>S633-R633</f>
        <v>3967.8100000000004</v>
      </c>
      <c r="U633" s="241">
        <f>T633/S633</f>
        <v>0.64913047034764837</v>
      </c>
    </row>
    <row r="634" spans="1:21" ht="13">
      <c r="A634" s="249"/>
      <c r="B634" s="245"/>
      <c r="C634" s="19" t="s">
        <v>353</v>
      </c>
      <c r="D634" s="17">
        <v>12.8</v>
      </c>
      <c r="E634" s="17">
        <v>13</v>
      </c>
      <c r="F634" s="17">
        <f t="shared" si="112"/>
        <v>166.4</v>
      </c>
      <c r="G634" s="236"/>
      <c r="H634" s="236"/>
      <c r="I634" s="236"/>
      <c r="J634" s="242"/>
      <c r="L634" s="249"/>
      <c r="M634" s="245"/>
      <c r="N634" s="19" t="s">
        <v>353</v>
      </c>
      <c r="O634" s="17">
        <v>12.8</v>
      </c>
      <c r="P634" s="17">
        <v>13</v>
      </c>
      <c r="Q634" s="17">
        <f t="shared" ref="Q634:Q643" si="113">O634*P634</f>
        <v>166.4</v>
      </c>
      <c r="R634" s="236"/>
      <c r="S634" s="236"/>
      <c r="T634" s="236"/>
      <c r="U634" s="242"/>
    </row>
    <row r="635" spans="1:21" ht="13">
      <c r="A635" s="249"/>
      <c r="B635" s="245"/>
      <c r="C635" s="19" t="s">
        <v>344</v>
      </c>
      <c r="D635" s="17">
        <v>27.72</v>
      </c>
      <c r="E635" s="17">
        <v>13</v>
      </c>
      <c r="F635" s="17">
        <f t="shared" si="112"/>
        <v>360.36</v>
      </c>
      <c r="G635" s="236"/>
      <c r="H635" s="236"/>
      <c r="I635" s="236"/>
      <c r="J635" s="242"/>
      <c r="L635" s="249"/>
      <c r="M635" s="245"/>
      <c r="N635" s="19" t="s">
        <v>344</v>
      </c>
      <c r="O635" s="17">
        <v>27.72</v>
      </c>
      <c r="P635" s="17">
        <v>13</v>
      </c>
      <c r="Q635" s="17">
        <f t="shared" si="113"/>
        <v>360.36</v>
      </c>
      <c r="R635" s="236"/>
      <c r="S635" s="236"/>
      <c r="T635" s="236"/>
      <c r="U635" s="242"/>
    </row>
    <row r="636" spans="1:21" ht="13">
      <c r="A636" s="249"/>
      <c r="B636" s="245"/>
      <c r="C636" s="19" t="s">
        <v>295</v>
      </c>
      <c r="D636" s="17">
        <v>6.84</v>
      </c>
      <c r="E636" s="17">
        <v>13</v>
      </c>
      <c r="F636" s="17">
        <f t="shared" si="112"/>
        <v>88.92</v>
      </c>
      <c r="G636" s="236"/>
      <c r="H636" s="236"/>
      <c r="I636" s="236"/>
      <c r="J636" s="242"/>
      <c r="L636" s="249"/>
      <c r="M636" s="245"/>
      <c r="N636" s="19" t="s">
        <v>295</v>
      </c>
      <c r="O636" s="17">
        <v>6.84</v>
      </c>
      <c r="P636" s="17">
        <v>13</v>
      </c>
      <c r="Q636" s="17">
        <f t="shared" si="113"/>
        <v>88.92</v>
      </c>
      <c r="R636" s="236"/>
      <c r="S636" s="236"/>
      <c r="T636" s="236"/>
      <c r="U636" s="242"/>
    </row>
    <row r="637" spans="1:21" ht="13">
      <c r="A637" s="249"/>
      <c r="B637" s="245"/>
      <c r="C637" s="19" t="s">
        <v>345</v>
      </c>
      <c r="D637" s="17">
        <v>31.5</v>
      </c>
      <c r="E637" s="17">
        <v>13</v>
      </c>
      <c r="F637" s="17">
        <f t="shared" si="112"/>
        <v>409.5</v>
      </c>
      <c r="G637" s="236"/>
      <c r="H637" s="236"/>
      <c r="I637" s="236"/>
      <c r="J637" s="242"/>
      <c r="L637" s="249"/>
      <c r="M637" s="245"/>
      <c r="N637" s="19" t="s">
        <v>345</v>
      </c>
      <c r="O637" s="17">
        <v>31.5</v>
      </c>
      <c r="P637" s="17">
        <v>13</v>
      </c>
      <c r="Q637" s="17">
        <f t="shared" si="113"/>
        <v>409.5</v>
      </c>
      <c r="R637" s="236"/>
      <c r="S637" s="236"/>
      <c r="T637" s="236"/>
      <c r="U637" s="242"/>
    </row>
    <row r="638" spans="1:21" ht="13">
      <c r="A638" s="249"/>
      <c r="B638" s="245"/>
      <c r="C638" s="19" t="s">
        <v>341</v>
      </c>
      <c r="D638" s="17">
        <v>17.2</v>
      </c>
      <c r="E638" s="17">
        <v>13</v>
      </c>
      <c r="F638" s="17">
        <f t="shared" si="112"/>
        <v>223.6</v>
      </c>
      <c r="G638" s="236"/>
      <c r="H638" s="236"/>
      <c r="I638" s="236"/>
      <c r="J638" s="242"/>
      <c r="L638" s="249"/>
      <c r="M638" s="245"/>
      <c r="N638" s="19" t="s">
        <v>341</v>
      </c>
      <c r="O638" s="17">
        <v>17.2</v>
      </c>
      <c r="P638" s="17">
        <v>13</v>
      </c>
      <c r="Q638" s="17">
        <f t="shared" si="113"/>
        <v>223.6</v>
      </c>
      <c r="R638" s="236"/>
      <c r="S638" s="236"/>
      <c r="T638" s="236"/>
      <c r="U638" s="242"/>
    </row>
    <row r="639" spans="1:21" ht="13">
      <c r="A639" s="249"/>
      <c r="B639" s="245"/>
      <c r="C639" s="19" t="s">
        <v>231</v>
      </c>
      <c r="D639" s="17">
        <v>11.39</v>
      </c>
      <c r="E639" s="17">
        <v>13</v>
      </c>
      <c r="F639" s="17">
        <f t="shared" si="112"/>
        <v>148.07</v>
      </c>
      <c r="G639" s="236"/>
      <c r="H639" s="236"/>
      <c r="I639" s="236"/>
      <c r="J639" s="242"/>
      <c r="L639" s="249"/>
      <c r="M639" s="245"/>
      <c r="N639" s="19" t="s">
        <v>231</v>
      </c>
      <c r="O639" s="17">
        <v>11.39</v>
      </c>
      <c r="P639" s="17">
        <v>13</v>
      </c>
      <c r="Q639" s="17">
        <f t="shared" si="113"/>
        <v>148.07</v>
      </c>
      <c r="R639" s="236"/>
      <c r="S639" s="236"/>
      <c r="T639" s="236"/>
      <c r="U639" s="242"/>
    </row>
    <row r="640" spans="1:21" ht="13">
      <c r="A640" s="249"/>
      <c r="B640" s="245"/>
      <c r="C640" s="19" t="s">
        <v>229</v>
      </c>
      <c r="D640" s="17">
        <v>16.78</v>
      </c>
      <c r="E640" s="17">
        <v>13</v>
      </c>
      <c r="F640" s="17">
        <f t="shared" si="112"/>
        <v>218.14000000000001</v>
      </c>
      <c r="G640" s="236"/>
      <c r="H640" s="236"/>
      <c r="I640" s="236"/>
      <c r="J640" s="242"/>
      <c r="L640" s="249"/>
      <c r="M640" s="245"/>
      <c r="N640" s="19" t="s">
        <v>229</v>
      </c>
      <c r="O640" s="17">
        <v>16.78</v>
      </c>
      <c r="P640" s="17">
        <v>13</v>
      </c>
      <c r="Q640" s="17">
        <f t="shared" si="113"/>
        <v>218.14000000000001</v>
      </c>
      <c r="R640" s="236"/>
      <c r="S640" s="236"/>
      <c r="T640" s="236"/>
      <c r="U640" s="242"/>
    </row>
    <row r="641" spans="1:21" ht="13">
      <c r="A641" s="249"/>
      <c r="B641" s="245"/>
      <c r="C641" s="19" t="s">
        <v>228</v>
      </c>
      <c r="D641" s="17">
        <v>14.69</v>
      </c>
      <c r="E641" s="17">
        <v>13</v>
      </c>
      <c r="F641" s="17">
        <f t="shared" si="112"/>
        <v>190.97</v>
      </c>
      <c r="G641" s="236"/>
      <c r="H641" s="236"/>
      <c r="I641" s="236"/>
      <c r="J641" s="242"/>
      <c r="L641" s="249"/>
      <c r="M641" s="245"/>
      <c r="N641" s="19" t="s">
        <v>228</v>
      </c>
      <c r="O641" s="17">
        <v>14.69</v>
      </c>
      <c r="P641" s="17">
        <v>13</v>
      </c>
      <c r="Q641" s="17">
        <f t="shared" si="113"/>
        <v>190.97</v>
      </c>
      <c r="R641" s="236"/>
      <c r="S641" s="236"/>
      <c r="T641" s="236"/>
      <c r="U641" s="242"/>
    </row>
    <row r="642" spans="1:21" ht="13">
      <c r="A642" s="249"/>
      <c r="B642" s="245"/>
      <c r="C642" s="19" t="s">
        <v>264</v>
      </c>
      <c r="D642" s="17">
        <v>15.96</v>
      </c>
      <c r="E642" s="17">
        <v>13</v>
      </c>
      <c r="F642" s="17">
        <f t="shared" si="112"/>
        <v>207.48000000000002</v>
      </c>
      <c r="G642" s="236"/>
      <c r="H642" s="236"/>
      <c r="I642" s="236"/>
      <c r="J642" s="242"/>
      <c r="L642" s="249"/>
      <c r="M642" s="245"/>
      <c r="N642" s="19" t="s">
        <v>264</v>
      </c>
      <c r="O642" s="17">
        <v>15.96</v>
      </c>
      <c r="P642" s="17">
        <v>13</v>
      </c>
      <c r="Q642" s="17">
        <f t="shared" si="113"/>
        <v>207.48000000000002</v>
      </c>
      <c r="R642" s="236"/>
      <c r="S642" s="236"/>
      <c r="T642" s="236"/>
      <c r="U642" s="242"/>
    </row>
    <row r="643" spans="1:21" ht="13">
      <c r="A643" s="249"/>
      <c r="B643" s="245"/>
      <c r="C643" s="19" t="s">
        <v>346</v>
      </c>
      <c r="D643" s="17">
        <v>8.75</v>
      </c>
      <c r="E643" s="17">
        <v>15</v>
      </c>
      <c r="F643" s="17">
        <f t="shared" si="112"/>
        <v>131.25</v>
      </c>
      <c r="G643" s="236"/>
      <c r="H643" s="236"/>
      <c r="I643" s="236"/>
      <c r="J643" s="242"/>
      <c r="L643" s="249"/>
      <c r="M643" s="245"/>
      <c r="N643" s="19" t="s">
        <v>346</v>
      </c>
      <c r="O643" s="17">
        <v>8.75</v>
      </c>
      <c r="P643" s="17">
        <v>15</v>
      </c>
      <c r="Q643" s="17">
        <f t="shared" si="113"/>
        <v>131.25</v>
      </c>
      <c r="R643" s="236"/>
      <c r="S643" s="236"/>
      <c r="T643" s="236"/>
      <c r="U643" s="242"/>
    </row>
    <row r="644" spans="1:21" ht="13">
      <c r="A644" s="249"/>
      <c r="B644" s="246"/>
      <c r="C644" s="20"/>
      <c r="D644" s="21"/>
      <c r="E644" s="21"/>
      <c r="F644" s="21"/>
      <c r="G644" s="238"/>
      <c r="H644" s="238"/>
      <c r="I644" s="238"/>
      <c r="J644" s="243"/>
      <c r="L644" s="249"/>
      <c r="M644" s="246"/>
      <c r="N644" s="20"/>
      <c r="O644" s="21"/>
      <c r="P644" s="21"/>
      <c r="Q644" s="21"/>
      <c r="R644" s="238"/>
      <c r="S644" s="238"/>
      <c r="T644" s="238"/>
      <c r="U644" s="243"/>
    </row>
    <row r="645" spans="1:21" ht="13">
      <c r="A645" s="249"/>
      <c r="B645" s="244" t="s">
        <v>354</v>
      </c>
      <c r="C645" s="15" t="s">
        <v>209</v>
      </c>
      <c r="D645" s="17">
        <v>14</v>
      </c>
      <c r="E645" s="16">
        <v>18</v>
      </c>
      <c r="F645" s="17">
        <f>D645*E645</f>
        <v>252</v>
      </c>
      <c r="G645" s="240">
        <f>SUM(F645:F652)</f>
        <v>893.79</v>
      </c>
      <c r="H645" s="237">
        <v>3754</v>
      </c>
      <c r="I645" s="237">
        <f>H645-G645</f>
        <v>2860.21</v>
      </c>
      <c r="J645" s="241">
        <f>I645/H645</f>
        <v>0.76190996270644651</v>
      </c>
      <c r="L645" s="249"/>
      <c r="M645" s="244" t="s">
        <v>354</v>
      </c>
      <c r="N645" s="15" t="s">
        <v>209</v>
      </c>
      <c r="O645" s="18"/>
      <c r="P645" s="18"/>
      <c r="Q645" s="18"/>
      <c r="R645" s="240">
        <f>SUM(Q645:Q652)</f>
        <v>641.79</v>
      </c>
      <c r="S645" s="237">
        <v>3754</v>
      </c>
      <c r="T645" s="237">
        <f>S645-R645</f>
        <v>3112.21</v>
      </c>
      <c r="U645" s="241">
        <f>T645/S645</f>
        <v>0.82903835908364409</v>
      </c>
    </row>
    <row r="646" spans="1:21" ht="13">
      <c r="A646" s="249"/>
      <c r="B646" s="245"/>
      <c r="C646" s="24" t="s">
        <v>289</v>
      </c>
      <c r="E646" s="17"/>
      <c r="F646" s="17">
        <v>238</v>
      </c>
      <c r="G646" s="236"/>
      <c r="H646" s="236"/>
      <c r="I646" s="236"/>
      <c r="J646" s="242"/>
      <c r="L646" s="249"/>
      <c r="M646" s="245"/>
      <c r="N646" s="24" t="s">
        <v>289</v>
      </c>
      <c r="P646" s="17"/>
      <c r="Q646" s="17">
        <v>238</v>
      </c>
      <c r="R646" s="236"/>
      <c r="S646" s="236"/>
      <c r="T646" s="236"/>
      <c r="U646" s="242"/>
    </row>
    <row r="647" spans="1:21" ht="13">
      <c r="A647" s="249"/>
      <c r="B647" s="245"/>
      <c r="C647" s="19" t="s">
        <v>33</v>
      </c>
      <c r="D647" s="17"/>
      <c r="E647" s="17"/>
      <c r="F647" s="17">
        <v>118.29</v>
      </c>
      <c r="G647" s="236"/>
      <c r="H647" s="236"/>
      <c r="I647" s="236"/>
      <c r="J647" s="242"/>
      <c r="L647" s="249"/>
      <c r="M647" s="245"/>
      <c r="N647" s="19" t="s">
        <v>33</v>
      </c>
      <c r="O647" s="17"/>
      <c r="P647" s="17"/>
      <c r="Q647" s="17">
        <v>118.29</v>
      </c>
      <c r="R647" s="236"/>
      <c r="S647" s="236"/>
      <c r="T647" s="236"/>
      <c r="U647" s="242"/>
    </row>
    <row r="648" spans="1:21" ht="13">
      <c r="A648" s="249"/>
      <c r="B648" s="245"/>
      <c r="C648" s="19" t="s">
        <v>45</v>
      </c>
      <c r="D648" s="17"/>
      <c r="E648" s="17"/>
      <c r="F648" s="17">
        <v>80</v>
      </c>
      <c r="G648" s="236"/>
      <c r="H648" s="236"/>
      <c r="I648" s="236"/>
      <c r="J648" s="242"/>
      <c r="L648" s="249"/>
      <c r="M648" s="245"/>
      <c r="N648" s="19" t="s">
        <v>45</v>
      </c>
      <c r="O648" s="17"/>
      <c r="P648" s="17"/>
      <c r="Q648" s="17">
        <v>80</v>
      </c>
      <c r="R648" s="236"/>
      <c r="S648" s="236"/>
      <c r="T648" s="236"/>
      <c r="U648" s="242"/>
    </row>
    <row r="649" spans="1:21" ht="13">
      <c r="A649" s="249"/>
      <c r="B649" s="245"/>
      <c r="C649" s="19" t="s">
        <v>47</v>
      </c>
      <c r="D649" s="17"/>
      <c r="E649" s="17"/>
      <c r="F649" s="17">
        <v>54</v>
      </c>
      <c r="G649" s="236"/>
      <c r="H649" s="236"/>
      <c r="I649" s="236"/>
      <c r="J649" s="242"/>
      <c r="L649" s="249"/>
      <c r="M649" s="245"/>
      <c r="N649" s="19" t="s">
        <v>47</v>
      </c>
      <c r="O649" s="17"/>
      <c r="P649" s="17"/>
      <c r="Q649" s="17">
        <v>54</v>
      </c>
      <c r="R649" s="236"/>
      <c r="S649" s="236"/>
      <c r="T649" s="236"/>
      <c r="U649" s="242"/>
    </row>
    <row r="650" spans="1:21" ht="13">
      <c r="A650" s="249"/>
      <c r="B650" s="245"/>
      <c r="C650" s="19" t="s">
        <v>48</v>
      </c>
      <c r="D650" s="17"/>
      <c r="E650" s="17"/>
      <c r="F650" s="17">
        <v>65.7</v>
      </c>
      <c r="G650" s="236"/>
      <c r="H650" s="236"/>
      <c r="I650" s="236"/>
      <c r="J650" s="242"/>
      <c r="L650" s="249"/>
      <c r="M650" s="245"/>
      <c r="N650" s="19" t="s">
        <v>48</v>
      </c>
      <c r="O650" s="17"/>
      <c r="P650" s="17"/>
      <c r="Q650" s="17">
        <v>65.7</v>
      </c>
      <c r="R650" s="236"/>
      <c r="S650" s="236"/>
      <c r="T650" s="236"/>
      <c r="U650" s="242"/>
    </row>
    <row r="651" spans="1:21" ht="13">
      <c r="A651" s="249"/>
      <c r="B651" s="245"/>
      <c r="C651" s="19" t="s">
        <v>44</v>
      </c>
      <c r="D651" s="17"/>
      <c r="E651" s="17"/>
      <c r="F651" s="17">
        <v>85.8</v>
      </c>
      <c r="G651" s="236"/>
      <c r="H651" s="236"/>
      <c r="I651" s="236"/>
      <c r="J651" s="242"/>
      <c r="L651" s="249"/>
      <c r="M651" s="245"/>
      <c r="N651" s="19" t="s">
        <v>44</v>
      </c>
      <c r="O651" s="17"/>
      <c r="P651" s="17"/>
      <c r="Q651" s="17">
        <v>85.8</v>
      </c>
      <c r="R651" s="236"/>
      <c r="S651" s="236"/>
      <c r="T651" s="236"/>
      <c r="U651" s="242"/>
    </row>
    <row r="652" spans="1:21" ht="13">
      <c r="A652" s="249"/>
      <c r="B652" s="246"/>
      <c r="C652" s="20"/>
      <c r="D652" s="21"/>
      <c r="E652" s="21"/>
      <c r="F652" s="21"/>
      <c r="G652" s="238"/>
      <c r="H652" s="238"/>
      <c r="I652" s="238"/>
      <c r="J652" s="243"/>
      <c r="L652" s="249"/>
      <c r="M652" s="246"/>
      <c r="N652" s="20"/>
      <c r="O652" s="21"/>
      <c r="P652" s="21"/>
      <c r="Q652" s="21"/>
      <c r="R652" s="238"/>
      <c r="S652" s="238"/>
      <c r="T652" s="238"/>
      <c r="U652" s="243"/>
    </row>
    <row r="653" spans="1:21" ht="13">
      <c r="A653" s="249"/>
      <c r="B653" s="244" t="s">
        <v>355</v>
      </c>
      <c r="C653" s="15" t="s">
        <v>23</v>
      </c>
      <c r="D653" s="17">
        <v>7</v>
      </c>
      <c r="E653" s="16">
        <v>18</v>
      </c>
      <c r="F653" s="17">
        <f>D653*E653</f>
        <v>126</v>
      </c>
      <c r="G653" s="240">
        <f>SUM(F653:F660)</f>
        <v>683.16</v>
      </c>
      <c r="H653" s="237">
        <v>2890.72</v>
      </c>
      <c r="I653" s="237">
        <f>H653-G653</f>
        <v>2207.56</v>
      </c>
      <c r="J653" s="241">
        <f>I653/H653</f>
        <v>0.76367133447722368</v>
      </c>
      <c r="L653" s="249"/>
      <c r="M653" s="244" t="s">
        <v>355</v>
      </c>
      <c r="N653" s="15" t="s">
        <v>23</v>
      </c>
      <c r="O653" s="18"/>
      <c r="P653" s="18"/>
      <c r="Q653" s="18"/>
      <c r="R653" s="240">
        <f>SUM(Q653:Q660)</f>
        <v>557.16</v>
      </c>
      <c r="S653" s="237">
        <v>2890.72</v>
      </c>
      <c r="T653" s="237">
        <f>S653-R653</f>
        <v>2333.56</v>
      </c>
      <c r="U653" s="241">
        <f>T653/S653</f>
        <v>0.80725909116067973</v>
      </c>
    </row>
    <row r="654" spans="1:21" ht="13">
      <c r="A654" s="249"/>
      <c r="B654" s="245"/>
      <c r="C654" s="24" t="s">
        <v>356</v>
      </c>
      <c r="E654" s="17"/>
      <c r="F654" s="17">
        <v>226.2</v>
      </c>
      <c r="G654" s="236"/>
      <c r="H654" s="236"/>
      <c r="I654" s="236"/>
      <c r="J654" s="242"/>
      <c r="L654" s="249"/>
      <c r="M654" s="245"/>
      <c r="N654" s="24" t="s">
        <v>356</v>
      </c>
      <c r="P654" s="17"/>
      <c r="Q654" s="17">
        <v>226.2</v>
      </c>
      <c r="R654" s="236"/>
      <c r="S654" s="236"/>
      <c r="T654" s="236"/>
      <c r="U654" s="242"/>
    </row>
    <row r="655" spans="1:21" ht="13">
      <c r="A655" s="249"/>
      <c r="B655" s="245"/>
      <c r="C655" s="19" t="s">
        <v>33</v>
      </c>
      <c r="D655" s="17"/>
      <c r="E655" s="17"/>
      <c r="F655" s="17">
        <v>79.95</v>
      </c>
      <c r="G655" s="236"/>
      <c r="H655" s="236"/>
      <c r="I655" s="236"/>
      <c r="J655" s="242"/>
      <c r="L655" s="249"/>
      <c r="M655" s="245"/>
      <c r="N655" s="19" t="s">
        <v>33</v>
      </c>
      <c r="O655" s="17"/>
      <c r="P655" s="17"/>
      <c r="Q655" s="17">
        <v>79.95</v>
      </c>
      <c r="R655" s="236"/>
      <c r="S655" s="236"/>
      <c r="T655" s="236"/>
      <c r="U655" s="242"/>
    </row>
    <row r="656" spans="1:21" ht="13">
      <c r="A656" s="249"/>
      <c r="B656" s="245"/>
      <c r="C656" s="19" t="s">
        <v>45</v>
      </c>
      <c r="D656" s="17"/>
      <c r="E656" s="17"/>
      <c r="F656" s="17">
        <v>90</v>
      </c>
      <c r="G656" s="236"/>
      <c r="H656" s="236"/>
      <c r="I656" s="236"/>
      <c r="J656" s="242"/>
      <c r="L656" s="249"/>
      <c r="M656" s="245"/>
      <c r="N656" s="19" t="s">
        <v>45</v>
      </c>
      <c r="O656" s="17"/>
      <c r="P656" s="17"/>
      <c r="Q656" s="17">
        <v>90</v>
      </c>
      <c r="R656" s="236"/>
      <c r="S656" s="236"/>
      <c r="T656" s="236"/>
      <c r="U656" s="242"/>
    </row>
    <row r="657" spans="1:21" ht="13">
      <c r="A657" s="249"/>
      <c r="B657" s="245"/>
      <c r="C657" s="19" t="s">
        <v>47</v>
      </c>
      <c r="D657" s="17"/>
      <c r="E657" s="17"/>
      <c r="F657" s="17">
        <v>65.41</v>
      </c>
      <c r="G657" s="236"/>
      <c r="H657" s="236"/>
      <c r="I657" s="236"/>
      <c r="J657" s="242"/>
      <c r="L657" s="249"/>
      <c r="M657" s="245"/>
      <c r="N657" s="19" t="s">
        <v>47</v>
      </c>
      <c r="O657" s="17"/>
      <c r="P657" s="17"/>
      <c r="Q657" s="17">
        <v>65.41</v>
      </c>
      <c r="R657" s="236"/>
      <c r="S657" s="236"/>
      <c r="T657" s="236"/>
      <c r="U657" s="242"/>
    </row>
    <row r="658" spans="1:21" ht="13">
      <c r="A658" s="249"/>
      <c r="B658" s="245"/>
      <c r="C658" s="19" t="s">
        <v>48</v>
      </c>
      <c r="D658" s="17"/>
      <c r="E658" s="17"/>
      <c r="F658" s="17">
        <v>70</v>
      </c>
      <c r="G658" s="236"/>
      <c r="H658" s="236"/>
      <c r="I658" s="236"/>
      <c r="J658" s="242"/>
      <c r="L658" s="249"/>
      <c r="M658" s="245"/>
      <c r="N658" s="19" t="s">
        <v>48</v>
      </c>
      <c r="O658" s="17"/>
      <c r="P658" s="17"/>
      <c r="Q658" s="17">
        <v>70</v>
      </c>
      <c r="R658" s="236"/>
      <c r="S658" s="236"/>
      <c r="T658" s="236"/>
      <c r="U658" s="242"/>
    </row>
    <row r="659" spans="1:21" ht="13">
      <c r="A659" s="249"/>
      <c r="B659" s="245"/>
      <c r="C659" s="19" t="s">
        <v>44</v>
      </c>
      <c r="D659" s="17"/>
      <c r="E659" s="17"/>
      <c r="F659" s="17">
        <v>25.6</v>
      </c>
      <c r="G659" s="236"/>
      <c r="H659" s="236"/>
      <c r="I659" s="236"/>
      <c r="J659" s="242"/>
      <c r="L659" s="249"/>
      <c r="M659" s="245"/>
      <c r="N659" s="19" t="s">
        <v>44</v>
      </c>
      <c r="O659" s="17"/>
      <c r="P659" s="17"/>
      <c r="Q659" s="17">
        <v>25.6</v>
      </c>
      <c r="R659" s="236"/>
      <c r="S659" s="236"/>
      <c r="T659" s="236"/>
      <c r="U659" s="242"/>
    </row>
    <row r="660" spans="1:21" ht="13">
      <c r="A660" s="249"/>
      <c r="B660" s="246"/>
      <c r="C660" s="20"/>
      <c r="D660" s="21"/>
      <c r="E660" s="21"/>
      <c r="F660" s="21"/>
      <c r="G660" s="238"/>
      <c r="H660" s="238"/>
      <c r="I660" s="238"/>
      <c r="J660" s="243"/>
      <c r="L660" s="249"/>
      <c r="M660" s="246"/>
      <c r="N660" s="20"/>
      <c r="O660" s="21"/>
      <c r="P660" s="21"/>
      <c r="Q660" s="21"/>
      <c r="R660" s="238"/>
      <c r="S660" s="238"/>
      <c r="T660" s="238"/>
      <c r="U660" s="243"/>
    </row>
    <row r="661" spans="1:21" ht="13">
      <c r="A661" s="249"/>
      <c r="B661" s="244" t="s">
        <v>357</v>
      </c>
      <c r="C661" s="15" t="s">
        <v>23</v>
      </c>
      <c r="D661" s="17">
        <v>7</v>
      </c>
      <c r="E661" s="16">
        <v>18</v>
      </c>
      <c r="F661" s="17">
        <f>D661*E661</f>
        <v>126</v>
      </c>
      <c r="G661" s="240">
        <f>SUM(F661:F664)</f>
        <v>191</v>
      </c>
      <c r="H661" s="237">
        <v>2096.64</v>
      </c>
      <c r="I661" s="237">
        <f>H661-G661</f>
        <v>1905.6399999999999</v>
      </c>
      <c r="J661" s="241">
        <f>I661/H661</f>
        <v>0.90890186202686207</v>
      </c>
      <c r="L661" s="249"/>
      <c r="M661" s="244" t="s">
        <v>357</v>
      </c>
      <c r="N661" s="15" t="s">
        <v>23</v>
      </c>
      <c r="O661" s="18"/>
      <c r="P661" s="18"/>
      <c r="Q661" s="18"/>
      <c r="R661" s="240">
        <f>SUM(Q661:Q664)</f>
        <v>65</v>
      </c>
      <c r="S661" s="237">
        <v>2096.64</v>
      </c>
      <c r="T661" s="237">
        <f>S661-R661</f>
        <v>2031.6399999999999</v>
      </c>
      <c r="U661" s="241">
        <f>T661/S661</f>
        <v>0.96899801587301582</v>
      </c>
    </row>
    <row r="662" spans="1:21" ht="13">
      <c r="A662" s="249"/>
      <c r="B662" s="245"/>
      <c r="C662" s="19" t="s">
        <v>45</v>
      </c>
      <c r="D662" s="17"/>
      <c r="E662" s="17"/>
      <c r="F662" s="17">
        <v>30</v>
      </c>
      <c r="G662" s="236"/>
      <c r="H662" s="236"/>
      <c r="I662" s="236"/>
      <c r="J662" s="242"/>
      <c r="L662" s="249"/>
      <c r="M662" s="245"/>
      <c r="N662" s="19" t="s">
        <v>45</v>
      </c>
      <c r="O662" s="17"/>
      <c r="P662" s="17"/>
      <c r="Q662" s="17">
        <v>30</v>
      </c>
      <c r="R662" s="236"/>
      <c r="S662" s="236"/>
      <c r="T662" s="236"/>
      <c r="U662" s="242"/>
    </row>
    <row r="663" spans="1:21" ht="13">
      <c r="A663" s="249"/>
      <c r="B663" s="245"/>
      <c r="C663" s="19" t="s">
        <v>48</v>
      </c>
      <c r="D663" s="17"/>
      <c r="E663" s="17"/>
      <c r="F663" s="17">
        <v>35</v>
      </c>
      <c r="G663" s="236"/>
      <c r="H663" s="236"/>
      <c r="I663" s="236"/>
      <c r="J663" s="242"/>
      <c r="L663" s="249"/>
      <c r="M663" s="245"/>
      <c r="N663" s="19" t="s">
        <v>48</v>
      </c>
      <c r="O663" s="17"/>
      <c r="P663" s="17"/>
      <c r="Q663" s="17">
        <v>35</v>
      </c>
      <c r="R663" s="236"/>
      <c r="S663" s="236"/>
      <c r="T663" s="236"/>
      <c r="U663" s="242"/>
    </row>
    <row r="664" spans="1:21" ht="13">
      <c r="A664" s="250"/>
      <c r="B664" s="246"/>
      <c r="C664" s="20"/>
      <c r="D664" s="21"/>
      <c r="E664" s="21"/>
      <c r="F664" s="21"/>
      <c r="G664" s="238"/>
      <c r="H664" s="238"/>
      <c r="I664" s="238"/>
      <c r="J664" s="243"/>
      <c r="L664" s="250"/>
      <c r="M664" s="246"/>
      <c r="N664" s="20"/>
      <c r="O664" s="21"/>
      <c r="P664" s="21"/>
      <c r="Q664" s="21"/>
      <c r="R664" s="238"/>
      <c r="S664" s="238"/>
      <c r="T664" s="238"/>
      <c r="U664" s="243"/>
    </row>
    <row r="665" spans="1:21" ht="30">
      <c r="A665" s="278" t="s">
        <v>358</v>
      </c>
      <c r="B665" s="252"/>
      <c r="C665" s="253"/>
      <c r="D665" s="56">
        <f t="shared" ref="D665:I665" si="114">AVERAGE(D490:D664)</f>
        <v>18.14</v>
      </c>
      <c r="E665" s="56">
        <f t="shared" si="114"/>
        <v>14.723684210526315</v>
      </c>
      <c r="F665" s="56">
        <f t="shared" si="114"/>
        <v>271.2902499999999</v>
      </c>
      <c r="G665" s="56">
        <f t="shared" si="114"/>
        <v>1669.4784615384617</v>
      </c>
      <c r="H665" s="56">
        <f t="shared" si="114"/>
        <v>4288.2961538461541</v>
      </c>
      <c r="I665" s="56">
        <f t="shared" si="114"/>
        <v>2618.8176923076921</v>
      </c>
      <c r="J665" s="57">
        <f>AVERAGE($J$12:$J$76)</f>
        <v>0.79942354689485917</v>
      </c>
      <c r="L665" s="278" t="s">
        <v>358</v>
      </c>
      <c r="M665" s="252"/>
      <c r="N665" s="253"/>
      <c r="O665" s="56">
        <f t="shared" ref="O665:T665" si="115">AVERAGE(O490:O664)</f>
        <v>18.041250000000002</v>
      </c>
      <c r="P665" s="56">
        <f t="shared" si="115"/>
        <v>14.390625</v>
      </c>
      <c r="Q665" s="56">
        <f t="shared" si="115"/>
        <v>266.3644594594594</v>
      </c>
      <c r="R665" s="56">
        <f t="shared" si="115"/>
        <v>1516.2284615384617</v>
      </c>
      <c r="S665" s="56">
        <f t="shared" si="115"/>
        <v>4288.2961538461541</v>
      </c>
      <c r="T665" s="56">
        <f t="shared" si="115"/>
        <v>2772.0676923076921</v>
      </c>
      <c r="U665" s="57">
        <f>AVERAGE($J$12:$J$76)</f>
        <v>0.79942354689485917</v>
      </c>
    </row>
    <row r="666" spans="1:21" ht="30">
      <c r="A666" s="279" t="s">
        <v>359</v>
      </c>
      <c r="B666" s="255"/>
      <c r="C666" s="256"/>
      <c r="D666" s="56">
        <f t="shared" ref="D666:I666" si="116">SUM(D490:D664)</f>
        <v>1378.64</v>
      </c>
      <c r="E666" s="56">
        <f t="shared" si="116"/>
        <v>1119</v>
      </c>
      <c r="F666" s="56">
        <f t="shared" si="116"/>
        <v>43406.439999999988</v>
      </c>
      <c r="G666" s="56">
        <f t="shared" si="116"/>
        <v>43406.44</v>
      </c>
      <c r="H666" s="56">
        <f t="shared" si="116"/>
        <v>111495.7</v>
      </c>
      <c r="I666" s="56">
        <f t="shared" si="116"/>
        <v>68089.259999999995</v>
      </c>
      <c r="J666" s="58">
        <f>I666/H666</f>
        <v>0.6106895602251925</v>
      </c>
      <c r="L666" s="279" t="s">
        <v>359</v>
      </c>
      <c r="M666" s="255"/>
      <c r="N666" s="256"/>
      <c r="O666" s="56">
        <f t="shared" ref="O666:T666" si="117">SUM(O490:O664)</f>
        <v>1154.6400000000001</v>
      </c>
      <c r="P666" s="56">
        <f t="shared" si="117"/>
        <v>921</v>
      </c>
      <c r="Q666" s="56">
        <f t="shared" si="117"/>
        <v>39421.939999999988</v>
      </c>
      <c r="R666" s="56">
        <f t="shared" si="117"/>
        <v>39421.94</v>
      </c>
      <c r="S666" s="56">
        <f t="shared" si="117"/>
        <v>111495.7</v>
      </c>
      <c r="T666" s="56">
        <f t="shared" si="117"/>
        <v>72073.759999999995</v>
      </c>
      <c r="U666" s="58">
        <f>T666/S666</f>
        <v>0.64642636442481638</v>
      </c>
    </row>
    <row r="668" spans="1:21" ht="30">
      <c r="A668" s="257" t="s">
        <v>360</v>
      </c>
      <c r="B668" s="252"/>
      <c r="C668" s="253"/>
      <c r="D668" s="34">
        <f t="shared" ref="D668:I668" si="118">SUM(D390,D489,D666)</f>
        <v>2775.3</v>
      </c>
      <c r="E668" s="34">
        <f t="shared" si="118"/>
        <v>2484</v>
      </c>
      <c r="F668" s="34">
        <f t="shared" si="118"/>
        <v>85958.809999999983</v>
      </c>
      <c r="G668" s="34">
        <f t="shared" si="118"/>
        <v>87699.77</v>
      </c>
      <c r="H668" s="34">
        <f t="shared" si="118"/>
        <v>246330.99</v>
      </c>
      <c r="I668" s="34">
        <f t="shared" si="118"/>
        <v>158631.21999999997</v>
      </c>
      <c r="J668" s="35">
        <f>I668/H668</f>
        <v>0.64397589600886185</v>
      </c>
      <c r="L668" s="257" t="s">
        <v>360</v>
      </c>
      <c r="M668" s="252"/>
      <c r="N668" s="253"/>
      <c r="O668" s="34">
        <f t="shared" ref="O668:T668" si="119">SUM(O390,O489,O666)</f>
        <v>2233.5</v>
      </c>
      <c r="P668" s="34">
        <f t="shared" si="119"/>
        <v>1875</v>
      </c>
      <c r="Q668" s="34">
        <f t="shared" si="119"/>
        <v>76710.909999999989</v>
      </c>
      <c r="R668" s="34">
        <f t="shared" si="119"/>
        <v>78723.87</v>
      </c>
      <c r="S668" s="34">
        <f t="shared" si="119"/>
        <v>246330.99</v>
      </c>
      <c r="T668" s="34">
        <f t="shared" si="119"/>
        <v>167607.12</v>
      </c>
      <c r="U668" s="35">
        <f>T668/S668</f>
        <v>0.68041426699904872</v>
      </c>
    </row>
    <row r="670" spans="1:21" ht="18" customHeight="1">
      <c r="A670" s="277" t="s">
        <v>6</v>
      </c>
      <c r="B670" s="247" t="s">
        <v>361</v>
      </c>
      <c r="C670" s="15" t="s">
        <v>23</v>
      </c>
      <c r="D670" s="16">
        <v>14</v>
      </c>
      <c r="E670" s="16">
        <v>18</v>
      </c>
      <c r="F670" s="16">
        <f>D670*E670</f>
        <v>252</v>
      </c>
      <c r="G670" s="240">
        <f>SUM(F670:F675)</f>
        <v>569.13</v>
      </c>
      <c r="H670" s="237">
        <v>2295</v>
      </c>
      <c r="I670" s="237">
        <f>H670-G670</f>
        <v>1725.87</v>
      </c>
      <c r="J670" s="241">
        <f>I670/H670</f>
        <v>0.75201307189542477</v>
      </c>
      <c r="L670" s="277" t="s">
        <v>6</v>
      </c>
      <c r="M670" s="247" t="s">
        <v>361</v>
      </c>
      <c r="N670" s="15" t="s">
        <v>23</v>
      </c>
      <c r="O670" s="18"/>
      <c r="P670" s="18"/>
      <c r="Q670" s="18"/>
      <c r="R670" s="240">
        <f>SUM(Q670:Q675)</f>
        <v>317.13</v>
      </c>
      <c r="S670" s="237">
        <v>2295</v>
      </c>
      <c r="T670" s="237">
        <f>S670-R670</f>
        <v>1977.87</v>
      </c>
      <c r="U670" s="241">
        <f>T670/S670</f>
        <v>0.86181699346405227</v>
      </c>
    </row>
    <row r="671" spans="1:21" ht="13">
      <c r="A671" s="249"/>
      <c r="B671" s="236"/>
      <c r="C671" s="19" t="s">
        <v>45</v>
      </c>
      <c r="D671" s="17"/>
      <c r="E671" s="17"/>
      <c r="F671" s="17">
        <v>90</v>
      </c>
      <c r="G671" s="236"/>
      <c r="H671" s="236"/>
      <c r="I671" s="236"/>
      <c r="J671" s="242"/>
      <c r="L671" s="249"/>
      <c r="M671" s="236"/>
      <c r="N671" s="19" t="s">
        <v>45</v>
      </c>
      <c r="O671" s="17"/>
      <c r="P671" s="17"/>
      <c r="Q671" s="17">
        <v>90</v>
      </c>
      <c r="R671" s="236"/>
      <c r="S671" s="236"/>
      <c r="T671" s="236"/>
      <c r="U671" s="242"/>
    </row>
    <row r="672" spans="1:21" ht="13">
      <c r="A672" s="249"/>
      <c r="B672" s="236"/>
      <c r="C672" s="19" t="s">
        <v>44</v>
      </c>
      <c r="D672" s="17"/>
      <c r="E672" s="17"/>
      <c r="F672" s="17">
        <v>25.6</v>
      </c>
      <c r="G672" s="236"/>
      <c r="H672" s="236"/>
      <c r="I672" s="236"/>
      <c r="J672" s="242"/>
      <c r="L672" s="249"/>
      <c r="M672" s="236"/>
      <c r="N672" s="19" t="s">
        <v>44</v>
      </c>
      <c r="O672" s="17"/>
      <c r="P672" s="17"/>
      <c r="Q672" s="17">
        <v>25.6</v>
      </c>
      <c r="R672" s="236"/>
      <c r="S672" s="236"/>
      <c r="T672" s="236"/>
      <c r="U672" s="242"/>
    </row>
    <row r="673" spans="1:21" ht="13">
      <c r="A673" s="249"/>
      <c r="B673" s="236"/>
      <c r="C673" s="19" t="s">
        <v>155</v>
      </c>
      <c r="D673" s="17"/>
      <c r="E673" s="17"/>
      <c r="F673" s="17">
        <v>58.22</v>
      </c>
      <c r="G673" s="236"/>
      <c r="H673" s="236"/>
      <c r="I673" s="236"/>
      <c r="J673" s="242"/>
      <c r="L673" s="249"/>
      <c r="M673" s="236"/>
      <c r="N673" s="19" t="s">
        <v>155</v>
      </c>
      <c r="O673" s="17"/>
      <c r="P673" s="17"/>
      <c r="Q673" s="17">
        <v>58.22</v>
      </c>
      <c r="R673" s="236"/>
      <c r="S673" s="236"/>
      <c r="T673" s="236"/>
      <c r="U673" s="242"/>
    </row>
    <row r="674" spans="1:21" ht="13">
      <c r="A674" s="249"/>
      <c r="B674" s="236"/>
      <c r="C674" s="19" t="s">
        <v>48</v>
      </c>
      <c r="D674" s="17"/>
      <c r="E674" s="17"/>
      <c r="F674" s="17">
        <v>65.760000000000005</v>
      </c>
      <c r="G674" s="236"/>
      <c r="H674" s="236"/>
      <c r="I674" s="236"/>
      <c r="J674" s="242"/>
      <c r="L674" s="249"/>
      <c r="M674" s="236"/>
      <c r="N674" s="19" t="s">
        <v>48</v>
      </c>
      <c r="O674" s="17"/>
      <c r="P674" s="17"/>
      <c r="Q674" s="17">
        <v>65.760000000000005</v>
      </c>
      <c r="R674" s="236"/>
      <c r="S674" s="236"/>
      <c r="T674" s="236"/>
      <c r="U674" s="242"/>
    </row>
    <row r="675" spans="1:21" ht="13">
      <c r="A675" s="249"/>
      <c r="B675" s="248"/>
      <c r="C675" s="20" t="s">
        <v>47</v>
      </c>
      <c r="D675" s="21"/>
      <c r="E675" s="21"/>
      <c r="F675" s="21">
        <v>77.55</v>
      </c>
      <c r="G675" s="238"/>
      <c r="H675" s="238"/>
      <c r="I675" s="238"/>
      <c r="J675" s="243"/>
      <c r="L675" s="249"/>
      <c r="M675" s="248"/>
      <c r="N675" s="20" t="s">
        <v>47</v>
      </c>
      <c r="O675" s="21"/>
      <c r="P675" s="21"/>
      <c r="Q675" s="21">
        <v>77.55</v>
      </c>
      <c r="R675" s="238"/>
      <c r="S675" s="238"/>
      <c r="T675" s="238"/>
      <c r="U675" s="243"/>
    </row>
    <row r="676" spans="1:21" ht="13">
      <c r="A676" s="249"/>
      <c r="B676" s="247" t="s">
        <v>362</v>
      </c>
      <c r="C676" s="15" t="s">
        <v>209</v>
      </c>
      <c r="D676" s="16">
        <v>14</v>
      </c>
      <c r="E676" s="16">
        <v>18</v>
      </c>
      <c r="F676" s="16">
        <f t="shared" ref="F676:F681" si="120">D676*E676</f>
        <v>252</v>
      </c>
      <c r="G676" s="240">
        <f>SUM(F676:F684)</f>
        <v>1566.83</v>
      </c>
      <c r="H676" s="237">
        <v>2735</v>
      </c>
      <c r="I676" s="237">
        <f>H676-G676</f>
        <v>1168.17</v>
      </c>
      <c r="J676" s="241">
        <f>I676/H676</f>
        <v>0.42711882998171852</v>
      </c>
      <c r="L676" s="249"/>
      <c r="M676" s="247" t="s">
        <v>362</v>
      </c>
      <c r="N676" s="15" t="s">
        <v>209</v>
      </c>
      <c r="O676" s="18"/>
      <c r="P676" s="18"/>
      <c r="Q676" s="18"/>
      <c r="R676" s="240">
        <f>SUM(Q676:Q684)</f>
        <v>1314.83</v>
      </c>
      <c r="S676" s="237">
        <v>2735</v>
      </c>
      <c r="T676" s="237">
        <f>S676-R676</f>
        <v>1420.17</v>
      </c>
      <c r="U676" s="241">
        <f>T676/S676</f>
        <v>0.5192577696526508</v>
      </c>
    </row>
    <row r="677" spans="1:21" ht="13">
      <c r="A677" s="249"/>
      <c r="B677" s="236"/>
      <c r="C677" s="24" t="s">
        <v>31</v>
      </c>
      <c r="D677" s="17">
        <v>14.15</v>
      </c>
      <c r="E677" s="17">
        <v>15</v>
      </c>
      <c r="F677" s="17">
        <f t="shared" si="120"/>
        <v>212.25</v>
      </c>
      <c r="G677" s="236"/>
      <c r="H677" s="236"/>
      <c r="I677" s="236"/>
      <c r="J677" s="242"/>
      <c r="L677" s="249"/>
      <c r="M677" s="236"/>
      <c r="N677" s="24" t="s">
        <v>31</v>
      </c>
      <c r="O677" s="17">
        <v>14.15</v>
      </c>
      <c r="P677" s="17">
        <v>15</v>
      </c>
      <c r="Q677" s="17">
        <f t="shared" ref="Q677:Q681" si="121">O677*P677</f>
        <v>212.25</v>
      </c>
      <c r="R677" s="236"/>
      <c r="S677" s="236"/>
      <c r="T677" s="236"/>
      <c r="U677" s="242"/>
    </row>
    <row r="678" spans="1:21" ht="13">
      <c r="A678" s="249"/>
      <c r="B678" s="236"/>
      <c r="C678" s="24" t="s">
        <v>298</v>
      </c>
      <c r="D678" s="17">
        <v>13.53</v>
      </c>
      <c r="E678" s="17">
        <v>15</v>
      </c>
      <c r="F678" s="17">
        <f t="shared" si="120"/>
        <v>202.95</v>
      </c>
      <c r="G678" s="236"/>
      <c r="H678" s="236"/>
      <c r="I678" s="236"/>
      <c r="J678" s="242"/>
      <c r="L678" s="249"/>
      <c r="M678" s="236"/>
      <c r="N678" s="24" t="s">
        <v>298</v>
      </c>
      <c r="O678" s="17">
        <v>13.53</v>
      </c>
      <c r="P678" s="17">
        <v>15</v>
      </c>
      <c r="Q678" s="17">
        <f t="shared" si="121"/>
        <v>202.95</v>
      </c>
      <c r="R678" s="236"/>
      <c r="S678" s="236"/>
      <c r="T678" s="236"/>
      <c r="U678" s="242"/>
    </row>
    <row r="679" spans="1:21" ht="13">
      <c r="A679" s="249"/>
      <c r="B679" s="236"/>
      <c r="C679" s="24" t="s">
        <v>363</v>
      </c>
      <c r="D679" s="17">
        <v>12</v>
      </c>
      <c r="E679" s="17">
        <v>15</v>
      </c>
      <c r="F679" s="17">
        <f t="shared" si="120"/>
        <v>180</v>
      </c>
      <c r="G679" s="236"/>
      <c r="H679" s="236"/>
      <c r="I679" s="236"/>
      <c r="J679" s="242"/>
      <c r="L679" s="249"/>
      <c r="M679" s="236"/>
      <c r="N679" s="24" t="s">
        <v>363</v>
      </c>
      <c r="O679" s="17">
        <v>12</v>
      </c>
      <c r="P679" s="17">
        <v>15</v>
      </c>
      <c r="Q679" s="17">
        <f t="shared" si="121"/>
        <v>180</v>
      </c>
      <c r="R679" s="236"/>
      <c r="S679" s="236"/>
      <c r="T679" s="236"/>
      <c r="U679" s="242"/>
    </row>
    <row r="680" spans="1:21" ht="13">
      <c r="A680" s="249"/>
      <c r="B680" s="236"/>
      <c r="C680" s="24" t="s">
        <v>364</v>
      </c>
      <c r="D680" s="17">
        <v>8.08</v>
      </c>
      <c r="E680" s="17">
        <v>17</v>
      </c>
      <c r="F680" s="17">
        <f t="shared" si="120"/>
        <v>137.36000000000001</v>
      </c>
      <c r="G680" s="236"/>
      <c r="H680" s="236"/>
      <c r="I680" s="236"/>
      <c r="J680" s="242"/>
      <c r="L680" s="249"/>
      <c r="M680" s="236"/>
      <c r="N680" s="24" t="s">
        <v>364</v>
      </c>
      <c r="O680" s="17">
        <v>8.08</v>
      </c>
      <c r="P680" s="17">
        <v>17</v>
      </c>
      <c r="Q680" s="17">
        <f t="shared" si="121"/>
        <v>137.36000000000001</v>
      </c>
      <c r="R680" s="236"/>
      <c r="S680" s="236"/>
      <c r="T680" s="236"/>
      <c r="U680" s="242"/>
    </row>
    <row r="681" spans="1:21" ht="13">
      <c r="A681" s="249"/>
      <c r="B681" s="236"/>
      <c r="C681" s="24" t="s">
        <v>365</v>
      </c>
      <c r="D681" s="17">
        <v>12.75</v>
      </c>
      <c r="E681" s="17">
        <v>15</v>
      </c>
      <c r="F681" s="17">
        <f t="shared" si="120"/>
        <v>191.25</v>
      </c>
      <c r="G681" s="236"/>
      <c r="H681" s="236"/>
      <c r="I681" s="236"/>
      <c r="J681" s="242"/>
      <c r="L681" s="249"/>
      <c r="M681" s="236"/>
      <c r="N681" s="24" t="s">
        <v>365</v>
      </c>
      <c r="O681" s="17">
        <v>12.75</v>
      </c>
      <c r="P681" s="17">
        <v>15</v>
      </c>
      <c r="Q681" s="17">
        <f t="shared" si="121"/>
        <v>191.25</v>
      </c>
      <c r="R681" s="236"/>
      <c r="S681" s="236"/>
      <c r="T681" s="236"/>
      <c r="U681" s="242"/>
    </row>
    <row r="682" spans="1:21" ht="13">
      <c r="A682" s="249"/>
      <c r="B682" s="236"/>
      <c r="C682" s="19" t="s">
        <v>44</v>
      </c>
      <c r="D682" s="17"/>
      <c r="E682" s="17"/>
      <c r="F682" s="17">
        <v>60.5</v>
      </c>
      <c r="G682" s="236"/>
      <c r="H682" s="236"/>
      <c r="I682" s="236"/>
      <c r="J682" s="242"/>
      <c r="L682" s="249"/>
      <c r="M682" s="236"/>
      <c r="N682" s="19" t="s">
        <v>44</v>
      </c>
      <c r="O682" s="17"/>
      <c r="P682" s="17"/>
      <c r="Q682" s="17">
        <v>60.5</v>
      </c>
      <c r="R682" s="236"/>
      <c r="S682" s="236"/>
      <c r="T682" s="236"/>
      <c r="U682" s="242"/>
    </row>
    <row r="683" spans="1:21" ht="13">
      <c r="A683" s="249"/>
      <c r="B683" s="236"/>
      <c r="C683" s="19" t="s">
        <v>48</v>
      </c>
      <c r="D683" s="17"/>
      <c r="E683" s="17"/>
      <c r="F683" s="17">
        <v>129.41</v>
      </c>
      <c r="G683" s="236"/>
      <c r="H683" s="236"/>
      <c r="I683" s="236"/>
      <c r="J683" s="242"/>
      <c r="L683" s="249"/>
      <c r="M683" s="236"/>
      <c r="N683" s="19" t="s">
        <v>48</v>
      </c>
      <c r="O683" s="17"/>
      <c r="P683" s="17"/>
      <c r="Q683" s="17">
        <v>129.41</v>
      </c>
      <c r="R683" s="236"/>
      <c r="S683" s="236"/>
      <c r="T683" s="236"/>
      <c r="U683" s="242"/>
    </row>
    <row r="684" spans="1:21" ht="13">
      <c r="A684" s="249"/>
      <c r="B684" s="248"/>
      <c r="C684" s="20" t="s">
        <v>47</v>
      </c>
      <c r="D684" s="21"/>
      <c r="E684" s="21"/>
      <c r="F684" s="21">
        <v>201.11</v>
      </c>
      <c r="G684" s="238"/>
      <c r="H684" s="238"/>
      <c r="I684" s="238"/>
      <c r="J684" s="243"/>
      <c r="L684" s="249"/>
      <c r="M684" s="248"/>
      <c r="N684" s="20" t="s">
        <v>47</v>
      </c>
      <c r="O684" s="21"/>
      <c r="P684" s="21"/>
      <c r="Q684" s="21">
        <v>201.11</v>
      </c>
      <c r="R684" s="238"/>
      <c r="S684" s="238"/>
      <c r="T684" s="238"/>
      <c r="U684" s="243"/>
    </row>
    <row r="685" spans="1:21" ht="13">
      <c r="A685" s="249"/>
      <c r="B685" s="247" t="s">
        <v>366</v>
      </c>
      <c r="C685" s="15" t="s">
        <v>23</v>
      </c>
      <c r="D685" s="17">
        <v>7</v>
      </c>
      <c r="E685" s="16">
        <v>18</v>
      </c>
      <c r="F685" s="17">
        <f>D685*E685</f>
        <v>126</v>
      </c>
      <c r="G685" s="240">
        <f>SUM(F685:F691)</f>
        <v>668.34</v>
      </c>
      <c r="H685" s="237">
        <v>2261.9499999999998</v>
      </c>
      <c r="I685" s="237">
        <f>H685-G685</f>
        <v>1593.6099999999997</v>
      </c>
      <c r="J685" s="241">
        <f>I685/H685</f>
        <v>0.70452927783549579</v>
      </c>
      <c r="L685" s="249"/>
      <c r="M685" s="247" t="s">
        <v>366</v>
      </c>
      <c r="N685" s="15" t="s">
        <v>23</v>
      </c>
      <c r="O685" s="18"/>
      <c r="P685" s="18"/>
      <c r="Q685" s="18"/>
      <c r="R685" s="240">
        <f>SUM(Q685:Q691)</f>
        <v>542.34</v>
      </c>
      <c r="S685" s="237">
        <v>2261.9499999999998</v>
      </c>
      <c r="T685" s="237">
        <f>S685-R685</f>
        <v>1719.6099999999997</v>
      </c>
      <c r="U685" s="241">
        <f>T685/S685</f>
        <v>0.76023342691040907</v>
      </c>
    </row>
    <row r="686" spans="1:21" ht="13">
      <c r="A686" s="249"/>
      <c r="B686" s="236"/>
      <c r="C686" s="24" t="s">
        <v>356</v>
      </c>
      <c r="E686" s="17"/>
      <c r="F686" s="17">
        <v>369.38</v>
      </c>
      <c r="G686" s="236"/>
      <c r="H686" s="236"/>
      <c r="I686" s="236"/>
      <c r="J686" s="242"/>
      <c r="L686" s="249"/>
      <c r="M686" s="236"/>
      <c r="N686" s="24" t="s">
        <v>356</v>
      </c>
      <c r="P686" s="17"/>
      <c r="Q686" s="17">
        <v>369.38</v>
      </c>
      <c r="R686" s="236"/>
      <c r="S686" s="236"/>
      <c r="T686" s="236"/>
      <c r="U686" s="242"/>
    </row>
    <row r="687" spans="1:21" ht="13">
      <c r="A687" s="249"/>
      <c r="B687" s="236"/>
      <c r="C687" s="19" t="s">
        <v>45</v>
      </c>
      <c r="D687" s="17"/>
      <c r="E687" s="17"/>
      <c r="F687" s="17">
        <v>84.06</v>
      </c>
      <c r="G687" s="236"/>
      <c r="H687" s="236"/>
      <c r="I687" s="236"/>
      <c r="J687" s="242"/>
      <c r="L687" s="249"/>
      <c r="M687" s="236"/>
      <c r="N687" s="19" t="s">
        <v>45</v>
      </c>
      <c r="O687" s="17"/>
      <c r="P687" s="17"/>
      <c r="Q687" s="17">
        <v>84.06</v>
      </c>
      <c r="R687" s="236"/>
      <c r="S687" s="236"/>
      <c r="T687" s="236"/>
      <c r="U687" s="242"/>
    </row>
    <row r="688" spans="1:21" ht="13">
      <c r="A688" s="249"/>
      <c r="B688" s="236"/>
      <c r="C688" s="19" t="s">
        <v>367</v>
      </c>
      <c r="D688" s="17"/>
      <c r="E688" s="17"/>
      <c r="F688" s="17">
        <v>29</v>
      </c>
      <c r="G688" s="236"/>
      <c r="H688" s="236"/>
      <c r="I688" s="236"/>
      <c r="J688" s="242"/>
      <c r="L688" s="249"/>
      <c r="M688" s="236"/>
      <c r="N688" s="19" t="s">
        <v>367</v>
      </c>
      <c r="O688" s="17"/>
      <c r="P688" s="17"/>
      <c r="Q688" s="17">
        <v>29</v>
      </c>
      <c r="R688" s="236"/>
      <c r="S688" s="236"/>
      <c r="T688" s="236"/>
      <c r="U688" s="242"/>
    </row>
    <row r="689" spans="1:21" ht="13">
      <c r="A689" s="249"/>
      <c r="B689" s="236"/>
      <c r="C689" s="19" t="s">
        <v>48</v>
      </c>
      <c r="D689" s="17"/>
      <c r="E689" s="17"/>
      <c r="F689" s="17">
        <v>14.1</v>
      </c>
      <c r="G689" s="236"/>
      <c r="H689" s="236"/>
      <c r="I689" s="236"/>
      <c r="J689" s="242"/>
      <c r="L689" s="249"/>
      <c r="M689" s="236"/>
      <c r="N689" s="19" t="s">
        <v>48</v>
      </c>
      <c r="O689" s="17"/>
      <c r="P689" s="17"/>
      <c r="Q689" s="17">
        <v>14.1</v>
      </c>
      <c r="R689" s="236"/>
      <c r="S689" s="236"/>
      <c r="T689" s="236"/>
      <c r="U689" s="242"/>
    </row>
    <row r="690" spans="1:21" ht="13">
      <c r="A690" s="249"/>
      <c r="B690" s="236"/>
      <c r="C690" s="19" t="s">
        <v>44</v>
      </c>
      <c r="D690" s="17"/>
      <c r="E690" s="17"/>
      <c r="F690" s="17">
        <v>45.8</v>
      </c>
      <c r="G690" s="236"/>
      <c r="H690" s="236"/>
      <c r="I690" s="236"/>
      <c r="J690" s="242"/>
      <c r="L690" s="249"/>
      <c r="M690" s="236"/>
      <c r="N690" s="19" t="s">
        <v>44</v>
      </c>
      <c r="O690" s="17"/>
      <c r="P690" s="17"/>
      <c r="Q690" s="17">
        <v>45.8</v>
      </c>
      <c r="R690" s="236"/>
      <c r="S690" s="236"/>
      <c r="T690" s="236"/>
      <c r="U690" s="242"/>
    </row>
    <row r="691" spans="1:21" ht="13">
      <c r="A691" s="249"/>
      <c r="B691" s="248"/>
      <c r="C691" s="20"/>
      <c r="D691" s="21"/>
      <c r="E691" s="21"/>
      <c r="F691" s="21"/>
      <c r="G691" s="238"/>
      <c r="H691" s="238"/>
      <c r="I691" s="238"/>
      <c r="J691" s="243"/>
      <c r="L691" s="249"/>
      <c r="M691" s="248"/>
      <c r="N691" s="20"/>
      <c r="O691" s="21"/>
      <c r="P691" s="21"/>
      <c r="Q691" s="21"/>
      <c r="R691" s="238"/>
      <c r="S691" s="238"/>
      <c r="T691" s="238"/>
      <c r="U691" s="243"/>
    </row>
    <row r="692" spans="1:21" ht="13">
      <c r="A692" s="249"/>
      <c r="B692" s="247" t="s">
        <v>368</v>
      </c>
      <c r="C692" s="15" t="s">
        <v>70</v>
      </c>
      <c r="D692" s="17">
        <v>3</v>
      </c>
      <c r="E692" s="16">
        <v>15</v>
      </c>
      <c r="F692" s="17">
        <f t="shared" ref="F692:F694" si="122">D692*E692</f>
        <v>45</v>
      </c>
      <c r="G692" s="240">
        <f>SUM(F692:F696)</f>
        <v>295</v>
      </c>
      <c r="H692" s="237">
        <v>1500</v>
      </c>
      <c r="I692" s="237">
        <f>H692-G692</f>
        <v>1205</v>
      </c>
      <c r="J692" s="241">
        <f>I692/H692</f>
        <v>0.80333333333333334</v>
      </c>
      <c r="L692" s="249"/>
      <c r="M692" s="247" t="s">
        <v>368</v>
      </c>
      <c r="N692" s="15" t="s">
        <v>70</v>
      </c>
      <c r="O692" s="17">
        <v>3</v>
      </c>
      <c r="P692" s="16">
        <v>15</v>
      </c>
      <c r="Q692" s="17">
        <f t="shared" ref="Q692:Q694" si="123">O692*P692</f>
        <v>45</v>
      </c>
      <c r="R692" s="240">
        <f>SUM(Q692:Q696)</f>
        <v>295</v>
      </c>
      <c r="S692" s="237">
        <v>1500</v>
      </c>
      <c r="T692" s="237">
        <f>S692-R692</f>
        <v>1205</v>
      </c>
      <c r="U692" s="241">
        <f>T692/S692</f>
        <v>0.80333333333333334</v>
      </c>
    </row>
    <row r="693" spans="1:21" ht="13">
      <c r="A693" s="249"/>
      <c r="B693" s="236"/>
      <c r="C693" s="24" t="s">
        <v>53</v>
      </c>
      <c r="D693" s="17">
        <v>12</v>
      </c>
      <c r="E693" s="17">
        <v>15</v>
      </c>
      <c r="F693" s="17">
        <f t="shared" si="122"/>
        <v>180</v>
      </c>
      <c r="G693" s="236"/>
      <c r="H693" s="236"/>
      <c r="I693" s="236"/>
      <c r="J693" s="242"/>
      <c r="L693" s="249"/>
      <c r="M693" s="236"/>
      <c r="N693" s="24" t="s">
        <v>53</v>
      </c>
      <c r="O693" s="17">
        <v>12</v>
      </c>
      <c r="P693" s="17">
        <v>15</v>
      </c>
      <c r="Q693" s="17">
        <f t="shared" si="123"/>
        <v>180</v>
      </c>
      <c r="R693" s="236"/>
      <c r="S693" s="236"/>
      <c r="T693" s="236"/>
      <c r="U693" s="242"/>
    </row>
    <row r="694" spans="1:21" ht="13">
      <c r="A694" s="249"/>
      <c r="B694" s="236"/>
      <c r="C694" s="19" t="s">
        <v>80</v>
      </c>
      <c r="D694" s="17">
        <v>3</v>
      </c>
      <c r="E694" s="17">
        <v>15</v>
      </c>
      <c r="F694" s="17">
        <f t="shared" si="122"/>
        <v>45</v>
      </c>
      <c r="G694" s="236"/>
      <c r="H694" s="236"/>
      <c r="I694" s="236"/>
      <c r="J694" s="242"/>
      <c r="L694" s="249"/>
      <c r="M694" s="236"/>
      <c r="N694" s="19" t="s">
        <v>80</v>
      </c>
      <c r="O694" s="17">
        <v>3</v>
      </c>
      <c r="P694" s="17">
        <v>15</v>
      </c>
      <c r="Q694" s="17">
        <f t="shared" si="123"/>
        <v>45</v>
      </c>
      <c r="R694" s="236"/>
      <c r="S694" s="236"/>
      <c r="T694" s="236"/>
      <c r="U694" s="242"/>
    </row>
    <row r="695" spans="1:21" ht="13">
      <c r="A695" s="249"/>
      <c r="B695" s="236"/>
      <c r="C695" s="19" t="s">
        <v>369</v>
      </c>
      <c r="D695" s="17">
        <v>3</v>
      </c>
      <c r="E695" s="17">
        <v>25</v>
      </c>
      <c r="F695" s="17">
        <v>10</v>
      </c>
      <c r="G695" s="236"/>
      <c r="H695" s="236"/>
      <c r="I695" s="236"/>
      <c r="J695" s="242"/>
      <c r="L695" s="249"/>
      <c r="M695" s="236"/>
      <c r="N695" s="19" t="s">
        <v>369</v>
      </c>
      <c r="O695" s="17">
        <v>3</v>
      </c>
      <c r="P695" s="17">
        <v>25</v>
      </c>
      <c r="Q695" s="17">
        <v>10</v>
      </c>
      <c r="R695" s="236"/>
      <c r="S695" s="236"/>
      <c r="T695" s="236"/>
      <c r="U695" s="242"/>
    </row>
    <row r="696" spans="1:21" ht="13">
      <c r="A696" s="249"/>
      <c r="B696" s="248"/>
      <c r="C696" s="20" t="s">
        <v>367</v>
      </c>
      <c r="D696" s="21"/>
      <c r="E696" s="21"/>
      <c r="F696" s="21">
        <v>15</v>
      </c>
      <c r="G696" s="238"/>
      <c r="H696" s="238"/>
      <c r="I696" s="238"/>
      <c r="J696" s="243"/>
      <c r="L696" s="249"/>
      <c r="M696" s="248"/>
      <c r="N696" s="20" t="s">
        <v>367</v>
      </c>
      <c r="O696" s="21"/>
      <c r="P696" s="21"/>
      <c r="Q696" s="21">
        <v>15</v>
      </c>
      <c r="R696" s="238"/>
      <c r="S696" s="238"/>
      <c r="T696" s="238"/>
      <c r="U696" s="243"/>
    </row>
    <row r="697" spans="1:21" ht="13">
      <c r="A697" s="249"/>
      <c r="B697" s="247" t="s">
        <v>370</v>
      </c>
      <c r="C697" s="15" t="s">
        <v>23</v>
      </c>
      <c r="D697" s="17">
        <v>4</v>
      </c>
      <c r="E697" s="16">
        <v>16</v>
      </c>
      <c r="F697" s="17">
        <f t="shared" ref="F697:F699" si="124">D697*E697</f>
        <v>64</v>
      </c>
      <c r="G697" s="240">
        <f>SUM(F697:F698)</f>
        <v>120</v>
      </c>
      <c r="H697" s="237">
        <v>400</v>
      </c>
      <c r="I697" s="237">
        <f>H697-G697</f>
        <v>280</v>
      </c>
      <c r="J697" s="241">
        <f>I697/H697</f>
        <v>0.7</v>
      </c>
      <c r="L697" s="249"/>
      <c r="M697" s="247" t="s">
        <v>370</v>
      </c>
      <c r="N697" s="15" t="s">
        <v>23</v>
      </c>
      <c r="O697" s="18"/>
      <c r="P697" s="18"/>
      <c r="Q697" s="18"/>
      <c r="R697" s="240">
        <f>SUM(Q697:Q698)</f>
        <v>0</v>
      </c>
      <c r="S697" s="237">
        <v>400</v>
      </c>
      <c r="T697" s="237">
        <f>S697-R697</f>
        <v>400</v>
      </c>
      <c r="U697" s="241">
        <f>T697/S697</f>
        <v>1</v>
      </c>
    </row>
    <row r="698" spans="1:21" ht="13">
      <c r="A698" s="249"/>
      <c r="B698" s="248"/>
      <c r="C698" s="44" t="s">
        <v>216</v>
      </c>
      <c r="D698" s="21">
        <v>4</v>
      </c>
      <c r="E698" s="21">
        <v>14</v>
      </c>
      <c r="F698" s="21">
        <f t="shared" si="124"/>
        <v>56</v>
      </c>
      <c r="G698" s="238"/>
      <c r="H698" s="238"/>
      <c r="I698" s="238"/>
      <c r="J698" s="243"/>
      <c r="L698" s="249"/>
      <c r="M698" s="248"/>
      <c r="N698" s="44" t="s">
        <v>216</v>
      </c>
      <c r="O698" s="68"/>
      <c r="P698" s="68"/>
      <c r="Q698" s="68"/>
      <c r="R698" s="238"/>
      <c r="S698" s="238"/>
      <c r="T698" s="238"/>
      <c r="U698" s="243"/>
    </row>
    <row r="699" spans="1:21" ht="13">
      <c r="A699" s="249"/>
      <c r="B699" s="247" t="s">
        <v>371</v>
      </c>
      <c r="C699" s="15" t="s">
        <v>372</v>
      </c>
      <c r="D699" s="17">
        <v>21</v>
      </c>
      <c r="E699" s="16">
        <v>15</v>
      </c>
      <c r="F699" s="17">
        <f t="shared" si="124"/>
        <v>315</v>
      </c>
      <c r="G699" s="240">
        <f>SUM(F699:F701)</f>
        <v>395</v>
      </c>
      <c r="H699" s="237">
        <v>1600</v>
      </c>
      <c r="I699" s="237">
        <f>H699-G699</f>
        <v>1205</v>
      </c>
      <c r="J699" s="241">
        <f>I699/H699</f>
        <v>0.75312500000000004</v>
      </c>
      <c r="L699" s="249"/>
      <c r="M699" s="247" t="s">
        <v>371</v>
      </c>
      <c r="N699" s="15" t="s">
        <v>372</v>
      </c>
      <c r="O699" s="17">
        <v>21</v>
      </c>
      <c r="P699" s="16">
        <v>15</v>
      </c>
      <c r="Q699" s="17">
        <f>O699*P699</f>
        <v>315</v>
      </c>
      <c r="R699" s="240">
        <f>SUM(Q699:Q701)</f>
        <v>395</v>
      </c>
      <c r="S699" s="237">
        <v>1600</v>
      </c>
      <c r="T699" s="237">
        <f>S699-R699</f>
        <v>1205</v>
      </c>
      <c r="U699" s="241">
        <f>T699/S699</f>
        <v>0.75312500000000004</v>
      </c>
    </row>
    <row r="700" spans="1:21" ht="13">
      <c r="A700" s="249"/>
      <c r="B700" s="236"/>
      <c r="C700" s="24" t="s">
        <v>373</v>
      </c>
      <c r="D700" s="17"/>
      <c r="E700" s="17"/>
      <c r="F700" s="17">
        <v>80</v>
      </c>
      <c r="G700" s="236"/>
      <c r="H700" s="236"/>
      <c r="I700" s="236"/>
      <c r="J700" s="242"/>
      <c r="L700" s="249"/>
      <c r="M700" s="236"/>
      <c r="N700" s="24" t="s">
        <v>373</v>
      </c>
      <c r="O700" s="17"/>
      <c r="P700" s="17"/>
      <c r="Q700" s="17">
        <v>80</v>
      </c>
      <c r="R700" s="236"/>
      <c r="S700" s="236"/>
      <c r="T700" s="236"/>
      <c r="U700" s="242"/>
    </row>
    <row r="701" spans="1:21" ht="13">
      <c r="A701" s="249"/>
      <c r="B701" s="248"/>
      <c r="C701" s="20"/>
      <c r="D701" s="21"/>
      <c r="E701" s="21"/>
      <c r="F701" s="21"/>
      <c r="G701" s="238"/>
      <c r="H701" s="238"/>
      <c r="I701" s="238"/>
      <c r="J701" s="243"/>
      <c r="L701" s="249"/>
      <c r="M701" s="248"/>
      <c r="N701" s="20"/>
      <c r="O701" s="21"/>
      <c r="P701" s="21"/>
      <c r="Q701" s="21"/>
      <c r="R701" s="238"/>
      <c r="S701" s="238"/>
      <c r="T701" s="238"/>
      <c r="U701" s="243"/>
    </row>
    <row r="702" spans="1:21" ht="13">
      <c r="A702" s="249"/>
      <c r="B702" s="283" t="s">
        <v>374</v>
      </c>
      <c r="C702" s="69" t="s">
        <v>137</v>
      </c>
      <c r="D702" s="65">
        <v>84</v>
      </c>
      <c r="E702" s="65">
        <v>15</v>
      </c>
      <c r="F702" s="23">
        <f t="shared" ref="F702:F714" si="125">D702*E702</f>
        <v>1260</v>
      </c>
      <c r="G702" s="240">
        <f>SUM(F702:F730)</f>
        <v>21036.25</v>
      </c>
      <c r="H702" s="237">
        <v>58551.81</v>
      </c>
      <c r="I702" s="237">
        <f>H702-G702</f>
        <v>37515.56</v>
      </c>
      <c r="J702" s="241">
        <f>I702/H702</f>
        <v>0.64072417231849876</v>
      </c>
      <c r="L702" s="249"/>
      <c r="M702" s="283" t="s">
        <v>374</v>
      </c>
      <c r="N702" s="69" t="s">
        <v>137</v>
      </c>
      <c r="O702" s="65">
        <v>84</v>
      </c>
      <c r="P702" s="65">
        <v>15</v>
      </c>
      <c r="Q702" s="23">
        <f t="shared" ref="Q702:Q711" si="126">O702*P702</f>
        <v>1260</v>
      </c>
      <c r="R702" s="240">
        <f>SUM(Q702:Q730)</f>
        <v>18926.25</v>
      </c>
      <c r="S702" s="237">
        <v>58551.81</v>
      </c>
      <c r="T702" s="237">
        <f>S702-R702</f>
        <v>39625.56</v>
      </c>
      <c r="U702" s="241">
        <f>T702/S702</f>
        <v>0.67676063301885969</v>
      </c>
    </row>
    <row r="703" spans="1:21" ht="13">
      <c r="A703" s="249"/>
      <c r="B703" s="236"/>
      <c r="C703" s="22" t="s">
        <v>375</v>
      </c>
      <c r="D703" s="23">
        <v>7</v>
      </c>
      <c r="E703" s="23">
        <v>15</v>
      </c>
      <c r="F703" s="23">
        <f t="shared" si="125"/>
        <v>105</v>
      </c>
      <c r="G703" s="236"/>
      <c r="H703" s="236"/>
      <c r="I703" s="236"/>
      <c r="J703" s="242"/>
      <c r="L703" s="249"/>
      <c r="M703" s="236"/>
      <c r="N703" s="22" t="s">
        <v>375</v>
      </c>
      <c r="O703" s="23">
        <v>7</v>
      </c>
      <c r="P703" s="23">
        <v>15</v>
      </c>
      <c r="Q703" s="23">
        <f t="shared" si="126"/>
        <v>105</v>
      </c>
      <c r="R703" s="236"/>
      <c r="S703" s="236"/>
      <c r="T703" s="236"/>
      <c r="U703" s="242"/>
    </row>
    <row r="704" spans="1:21" ht="13">
      <c r="A704" s="249"/>
      <c r="B704" s="236"/>
      <c r="C704" s="22" t="s">
        <v>376</v>
      </c>
      <c r="D704" s="23">
        <v>37</v>
      </c>
      <c r="E704" s="23">
        <v>15</v>
      </c>
      <c r="F704" s="23">
        <f t="shared" si="125"/>
        <v>555</v>
      </c>
      <c r="G704" s="236"/>
      <c r="H704" s="236"/>
      <c r="I704" s="236"/>
      <c r="J704" s="242"/>
      <c r="L704" s="249"/>
      <c r="M704" s="236"/>
      <c r="N704" s="22" t="s">
        <v>376</v>
      </c>
      <c r="O704" s="23">
        <v>37</v>
      </c>
      <c r="P704" s="23">
        <v>15</v>
      </c>
      <c r="Q704" s="23">
        <f t="shared" si="126"/>
        <v>555</v>
      </c>
      <c r="R704" s="236"/>
      <c r="S704" s="236"/>
      <c r="T704" s="236"/>
      <c r="U704" s="242"/>
    </row>
    <row r="705" spans="1:21" ht="13">
      <c r="A705" s="249"/>
      <c r="B705" s="236"/>
      <c r="C705" s="22" t="s">
        <v>377</v>
      </c>
      <c r="D705" s="23">
        <v>40</v>
      </c>
      <c r="E705" s="23">
        <v>15</v>
      </c>
      <c r="F705" s="23">
        <f t="shared" si="125"/>
        <v>600</v>
      </c>
      <c r="G705" s="236"/>
      <c r="H705" s="236"/>
      <c r="I705" s="236"/>
      <c r="J705" s="242"/>
      <c r="L705" s="249"/>
      <c r="M705" s="236"/>
      <c r="N705" s="22" t="s">
        <v>377</v>
      </c>
      <c r="O705" s="23">
        <v>40</v>
      </c>
      <c r="P705" s="23">
        <v>15</v>
      </c>
      <c r="Q705" s="23">
        <f t="shared" si="126"/>
        <v>600</v>
      </c>
      <c r="R705" s="236"/>
      <c r="S705" s="236"/>
      <c r="T705" s="236"/>
      <c r="U705" s="242"/>
    </row>
    <row r="706" spans="1:21" ht="13">
      <c r="A706" s="249"/>
      <c r="B706" s="236"/>
      <c r="C706" s="22" t="s">
        <v>378</v>
      </c>
      <c r="D706" s="23">
        <v>21</v>
      </c>
      <c r="E706" s="23">
        <v>15</v>
      </c>
      <c r="F706" s="23">
        <f t="shared" si="125"/>
        <v>315</v>
      </c>
      <c r="G706" s="236"/>
      <c r="H706" s="236"/>
      <c r="I706" s="236"/>
      <c r="J706" s="242"/>
      <c r="L706" s="249"/>
      <c r="M706" s="236"/>
      <c r="N706" s="22" t="s">
        <v>378</v>
      </c>
      <c r="O706" s="23">
        <v>21</v>
      </c>
      <c r="P706" s="23">
        <v>15</v>
      </c>
      <c r="Q706" s="23">
        <f t="shared" si="126"/>
        <v>315</v>
      </c>
      <c r="R706" s="236"/>
      <c r="S706" s="236"/>
      <c r="T706" s="236"/>
      <c r="U706" s="242"/>
    </row>
    <row r="707" spans="1:21" ht="13">
      <c r="A707" s="249"/>
      <c r="B707" s="236"/>
      <c r="C707" s="22" t="s">
        <v>379</v>
      </c>
      <c r="D707" s="23">
        <v>70</v>
      </c>
      <c r="E707" s="23">
        <v>15</v>
      </c>
      <c r="F707" s="23">
        <f t="shared" si="125"/>
        <v>1050</v>
      </c>
      <c r="G707" s="236"/>
      <c r="H707" s="236"/>
      <c r="I707" s="236"/>
      <c r="J707" s="242"/>
      <c r="L707" s="249"/>
      <c r="M707" s="236"/>
      <c r="N707" s="22" t="s">
        <v>379</v>
      </c>
      <c r="O707" s="23">
        <v>70</v>
      </c>
      <c r="P707" s="23">
        <v>15</v>
      </c>
      <c r="Q707" s="23">
        <f t="shared" si="126"/>
        <v>1050</v>
      </c>
      <c r="R707" s="236"/>
      <c r="S707" s="236"/>
      <c r="T707" s="236"/>
      <c r="U707" s="242"/>
    </row>
    <row r="708" spans="1:21" ht="13">
      <c r="A708" s="249"/>
      <c r="B708" s="236"/>
      <c r="C708" s="22" t="s">
        <v>380</v>
      </c>
      <c r="D708" s="23">
        <v>50</v>
      </c>
      <c r="E708" s="23">
        <v>15</v>
      </c>
      <c r="F708" s="23">
        <f t="shared" si="125"/>
        <v>750</v>
      </c>
      <c r="G708" s="236"/>
      <c r="H708" s="236"/>
      <c r="I708" s="236"/>
      <c r="J708" s="242"/>
      <c r="L708" s="249"/>
      <c r="M708" s="236"/>
      <c r="N708" s="22" t="s">
        <v>380</v>
      </c>
      <c r="O708" s="23">
        <v>50</v>
      </c>
      <c r="P708" s="23">
        <v>15</v>
      </c>
      <c r="Q708" s="23">
        <f t="shared" si="126"/>
        <v>750</v>
      </c>
      <c r="R708" s="236"/>
      <c r="S708" s="236"/>
      <c r="T708" s="236"/>
      <c r="U708" s="242"/>
    </row>
    <row r="709" spans="1:21" ht="13">
      <c r="A709" s="249"/>
      <c r="B709" s="236"/>
      <c r="C709" s="22" t="s">
        <v>381</v>
      </c>
      <c r="D709" s="23">
        <v>40</v>
      </c>
      <c r="E709" s="23">
        <v>15</v>
      </c>
      <c r="F709" s="23">
        <f t="shared" si="125"/>
        <v>600</v>
      </c>
      <c r="G709" s="236"/>
      <c r="H709" s="236"/>
      <c r="I709" s="236"/>
      <c r="J709" s="242"/>
      <c r="L709" s="249"/>
      <c r="M709" s="236"/>
      <c r="N709" s="22" t="s">
        <v>381</v>
      </c>
      <c r="O709" s="23">
        <v>40</v>
      </c>
      <c r="P709" s="23">
        <v>15</v>
      </c>
      <c r="Q709" s="23">
        <f t="shared" si="126"/>
        <v>600</v>
      </c>
      <c r="R709" s="236"/>
      <c r="S709" s="236"/>
      <c r="T709" s="236"/>
      <c r="U709" s="242"/>
    </row>
    <row r="710" spans="1:21" ht="13">
      <c r="A710" s="249"/>
      <c r="B710" s="236"/>
      <c r="C710" s="22" t="s">
        <v>382</v>
      </c>
      <c r="D710" s="23">
        <v>35</v>
      </c>
      <c r="E710" s="23">
        <v>15</v>
      </c>
      <c r="F710" s="23">
        <f t="shared" si="125"/>
        <v>525</v>
      </c>
      <c r="G710" s="236"/>
      <c r="H710" s="236"/>
      <c r="I710" s="236"/>
      <c r="J710" s="242"/>
      <c r="L710" s="249"/>
      <c r="M710" s="236"/>
      <c r="N710" s="22" t="s">
        <v>382</v>
      </c>
      <c r="O710" s="23">
        <v>35</v>
      </c>
      <c r="P710" s="23">
        <v>15</v>
      </c>
      <c r="Q710" s="23">
        <f t="shared" si="126"/>
        <v>525</v>
      </c>
      <c r="R710" s="236"/>
      <c r="S710" s="236"/>
      <c r="T710" s="236"/>
      <c r="U710" s="242"/>
    </row>
    <row r="711" spans="1:21" ht="13">
      <c r="A711" s="249"/>
      <c r="B711" s="236"/>
      <c r="C711" s="22" t="s">
        <v>383</v>
      </c>
      <c r="D711" s="23">
        <v>40</v>
      </c>
      <c r="E711" s="23">
        <v>15</v>
      </c>
      <c r="F711" s="23">
        <f t="shared" si="125"/>
        <v>600</v>
      </c>
      <c r="G711" s="236"/>
      <c r="H711" s="236"/>
      <c r="I711" s="236"/>
      <c r="J711" s="242"/>
      <c r="L711" s="249"/>
      <c r="M711" s="236"/>
      <c r="N711" s="22" t="s">
        <v>383</v>
      </c>
      <c r="O711" s="23">
        <v>40</v>
      </c>
      <c r="P711" s="23">
        <v>15</v>
      </c>
      <c r="Q711" s="23">
        <f t="shared" si="126"/>
        <v>600</v>
      </c>
      <c r="R711" s="236"/>
      <c r="S711" s="236"/>
      <c r="T711" s="236"/>
      <c r="U711" s="242"/>
    </row>
    <row r="712" spans="1:21" ht="13">
      <c r="A712" s="249"/>
      <c r="B712" s="236"/>
      <c r="C712" s="22" t="s">
        <v>384</v>
      </c>
      <c r="D712" s="23">
        <v>84</v>
      </c>
      <c r="E712" s="23">
        <v>18</v>
      </c>
      <c r="F712" s="23">
        <f t="shared" si="125"/>
        <v>1512</v>
      </c>
      <c r="G712" s="236"/>
      <c r="H712" s="236"/>
      <c r="I712" s="236"/>
      <c r="J712" s="242"/>
      <c r="L712" s="249"/>
      <c r="M712" s="236"/>
      <c r="N712" s="22" t="s">
        <v>384</v>
      </c>
      <c r="O712" s="18"/>
      <c r="P712" s="18"/>
      <c r="Q712" s="18"/>
      <c r="R712" s="236"/>
      <c r="S712" s="236"/>
      <c r="T712" s="236"/>
      <c r="U712" s="242"/>
    </row>
    <row r="713" spans="1:21" ht="13">
      <c r="A713" s="249"/>
      <c r="B713" s="236"/>
      <c r="C713" s="22" t="s">
        <v>35</v>
      </c>
      <c r="D713" s="23">
        <v>79</v>
      </c>
      <c r="E713" s="23">
        <v>15</v>
      </c>
      <c r="F713" s="23">
        <f t="shared" si="125"/>
        <v>1185</v>
      </c>
      <c r="G713" s="236"/>
      <c r="H713" s="236"/>
      <c r="I713" s="236"/>
      <c r="J713" s="242"/>
      <c r="L713" s="249"/>
      <c r="M713" s="236"/>
      <c r="N713" s="22" t="s">
        <v>35</v>
      </c>
      <c r="O713" s="23">
        <v>79</v>
      </c>
      <c r="P713" s="23">
        <v>15</v>
      </c>
      <c r="Q713" s="23">
        <f t="shared" ref="Q713:Q714" si="127">O713*P713</f>
        <v>1185</v>
      </c>
      <c r="R713" s="236"/>
      <c r="S713" s="236"/>
      <c r="T713" s="236"/>
      <c r="U713" s="242"/>
    </row>
    <row r="714" spans="1:21" ht="13">
      <c r="A714" s="249"/>
      <c r="B714" s="236"/>
      <c r="C714" s="22" t="s">
        <v>50</v>
      </c>
      <c r="D714" s="23">
        <v>54</v>
      </c>
      <c r="E714" s="23">
        <v>15</v>
      </c>
      <c r="F714" s="23">
        <f t="shared" si="125"/>
        <v>810</v>
      </c>
      <c r="G714" s="236"/>
      <c r="H714" s="236"/>
      <c r="I714" s="236"/>
      <c r="J714" s="242"/>
      <c r="L714" s="249"/>
      <c r="M714" s="236"/>
      <c r="N714" s="22" t="s">
        <v>50</v>
      </c>
      <c r="O714" s="23">
        <v>54</v>
      </c>
      <c r="P714" s="23">
        <v>15</v>
      </c>
      <c r="Q714" s="23">
        <f t="shared" si="127"/>
        <v>810</v>
      </c>
      <c r="R714" s="236"/>
      <c r="S714" s="236"/>
      <c r="T714" s="236"/>
      <c r="U714" s="242"/>
    </row>
    <row r="715" spans="1:21" ht="13">
      <c r="A715" s="249"/>
      <c r="B715" s="236"/>
      <c r="C715" s="22" t="s">
        <v>287</v>
      </c>
      <c r="D715" s="23"/>
      <c r="E715" s="23"/>
      <c r="F715" s="23">
        <v>246.5</v>
      </c>
      <c r="G715" s="236"/>
      <c r="H715" s="236"/>
      <c r="I715" s="236"/>
      <c r="J715" s="242"/>
      <c r="L715" s="249"/>
      <c r="M715" s="236"/>
      <c r="N715" s="22" t="s">
        <v>287</v>
      </c>
      <c r="O715" s="23"/>
      <c r="P715" s="23"/>
      <c r="Q715" s="23">
        <v>246.5</v>
      </c>
      <c r="R715" s="236"/>
      <c r="S715" s="236"/>
      <c r="T715" s="236"/>
      <c r="U715" s="242"/>
    </row>
    <row r="716" spans="1:21" ht="13">
      <c r="A716" s="249"/>
      <c r="B716" s="236"/>
      <c r="C716" s="22" t="s">
        <v>372</v>
      </c>
      <c r="D716" s="23">
        <v>47.5</v>
      </c>
      <c r="E716" s="23">
        <v>15</v>
      </c>
      <c r="F716" s="23">
        <f t="shared" ref="F716:F719" si="128">D716*E716</f>
        <v>712.5</v>
      </c>
      <c r="G716" s="236"/>
      <c r="H716" s="236"/>
      <c r="I716" s="236"/>
      <c r="J716" s="242"/>
      <c r="L716" s="249"/>
      <c r="M716" s="236"/>
      <c r="N716" s="22" t="s">
        <v>372</v>
      </c>
      <c r="O716" s="23">
        <v>47.5</v>
      </c>
      <c r="P716" s="23">
        <v>15</v>
      </c>
      <c r="Q716" s="23">
        <f t="shared" ref="Q716:Q719" si="129">O716*P716</f>
        <v>712.5</v>
      </c>
      <c r="R716" s="236"/>
      <c r="S716" s="236"/>
      <c r="T716" s="236"/>
      <c r="U716" s="242"/>
    </row>
    <row r="717" spans="1:21" ht="13">
      <c r="A717" s="249"/>
      <c r="B717" s="236"/>
      <c r="C717" s="22" t="s">
        <v>385</v>
      </c>
      <c r="D717" s="23">
        <v>7</v>
      </c>
      <c r="E717" s="23">
        <v>15</v>
      </c>
      <c r="F717" s="23">
        <f t="shared" si="128"/>
        <v>105</v>
      </c>
      <c r="G717" s="236"/>
      <c r="H717" s="236"/>
      <c r="I717" s="236"/>
      <c r="J717" s="242"/>
      <c r="L717" s="249"/>
      <c r="M717" s="236"/>
      <c r="N717" s="22" t="s">
        <v>385</v>
      </c>
      <c r="O717" s="23">
        <v>7</v>
      </c>
      <c r="P717" s="23">
        <v>15</v>
      </c>
      <c r="Q717" s="23">
        <f t="shared" si="129"/>
        <v>105</v>
      </c>
      <c r="R717" s="236"/>
      <c r="S717" s="236"/>
      <c r="T717" s="236"/>
      <c r="U717" s="242"/>
    </row>
    <row r="718" spans="1:21" ht="13">
      <c r="A718" s="249"/>
      <c r="B718" s="236"/>
      <c r="C718" s="22" t="s">
        <v>106</v>
      </c>
      <c r="D718" s="23">
        <v>7</v>
      </c>
      <c r="E718" s="23">
        <v>15</v>
      </c>
      <c r="F718" s="23">
        <f t="shared" si="128"/>
        <v>105</v>
      </c>
      <c r="G718" s="236"/>
      <c r="H718" s="236"/>
      <c r="I718" s="236"/>
      <c r="J718" s="242"/>
      <c r="L718" s="249"/>
      <c r="M718" s="236"/>
      <c r="N718" s="22" t="s">
        <v>106</v>
      </c>
      <c r="O718" s="23">
        <v>7</v>
      </c>
      <c r="P718" s="23">
        <v>15</v>
      </c>
      <c r="Q718" s="23">
        <f t="shared" si="129"/>
        <v>105</v>
      </c>
      <c r="R718" s="236"/>
      <c r="S718" s="236"/>
      <c r="T718" s="236"/>
      <c r="U718" s="242"/>
    </row>
    <row r="719" spans="1:21" ht="13">
      <c r="A719" s="249"/>
      <c r="B719" s="236"/>
      <c r="C719" s="22" t="s">
        <v>386</v>
      </c>
      <c r="D719" s="23">
        <v>16</v>
      </c>
      <c r="E719" s="23">
        <v>15</v>
      </c>
      <c r="F719" s="23">
        <f t="shared" si="128"/>
        <v>240</v>
      </c>
      <c r="G719" s="236"/>
      <c r="H719" s="236"/>
      <c r="I719" s="236"/>
      <c r="J719" s="242"/>
      <c r="L719" s="249"/>
      <c r="M719" s="236"/>
      <c r="N719" s="22" t="s">
        <v>386</v>
      </c>
      <c r="O719" s="23">
        <v>16</v>
      </c>
      <c r="P719" s="23">
        <v>15</v>
      </c>
      <c r="Q719" s="23">
        <f t="shared" si="129"/>
        <v>240</v>
      </c>
      <c r="R719" s="236"/>
      <c r="S719" s="236"/>
      <c r="T719" s="236"/>
      <c r="U719" s="242"/>
    </row>
    <row r="720" spans="1:21" ht="13">
      <c r="A720" s="249"/>
      <c r="B720" s="236"/>
      <c r="C720" s="22" t="s">
        <v>387</v>
      </c>
      <c r="D720" s="23"/>
      <c r="E720" s="23"/>
      <c r="F720" s="23">
        <v>649.1</v>
      </c>
      <c r="G720" s="236"/>
      <c r="H720" s="236"/>
      <c r="I720" s="236"/>
      <c r="J720" s="242"/>
      <c r="L720" s="249"/>
      <c r="M720" s="236"/>
      <c r="N720" s="22" t="s">
        <v>387</v>
      </c>
      <c r="O720" s="23"/>
      <c r="P720" s="23"/>
      <c r="Q720" s="23">
        <v>649.1</v>
      </c>
      <c r="R720" s="236"/>
      <c r="S720" s="236"/>
      <c r="T720" s="236"/>
      <c r="U720" s="242"/>
    </row>
    <row r="721" spans="1:21" ht="13">
      <c r="A721" s="249"/>
      <c r="B721" s="236"/>
      <c r="C721" s="22" t="s">
        <v>388</v>
      </c>
      <c r="D721" s="23"/>
      <c r="E721" s="23"/>
      <c r="F721" s="23">
        <v>5500</v>
      </c>
      <c r="G721" s="236"/>
      <c r="H721" s="236"/>
      <c r="I721" s="236"/>
      <c r="J721" s="242"/>
      <c r="L721" s="249"/>
      <c r="M721" s="236"/>
      <c r="N721" s="22" t="s">
        <v>388</v>
      </c>
      <c r="O721" s="23"/>
      <c r="P721" s="23"/>
      <c r="Q721" s="23">
        <v>5500</v>
      </c>
      <c r="R721" s="236"/>
      <c r="S721" s="236"/>
      <c r="T721" s="236"/>
      <c r="U721" s="242"/>
    </row>
    <row r="722" spans="1:21" ht="13">
      <c r="A722" s="249"/>
      <c r="B722" s="236"/>
      <c r="C722" s="22" t="s">
        <v>389</v>
      </c>
      <c r="D722" s="23"/>
      <c r="E722" s="23"/>
      <c r="F722" s="23">
        <v>90.72</v>
      </c>
      <c r="G722" s="236"/>
      <c r="H722" s="236"/>
      <c r="I722" s="236"/>
      <c r="J722" s="242"/>
      <c r="L722" s="249"/>
      <c r="M722" s="236"/>
      <c r="N722" s="22" t="s">
        <v>389</v>
      </c>
      <c r="O722" s="23"/>
      <c r="P722" s="23"/>
      <c r="Q722" s="23">
        <v>90.72</v>
      </c>
      <c r="R722" s="236"/>
      <c r="S722" s="236"/>
      <c r="T722" s="236"/>
      <c r="U722" s="242"/>
    </row>
    <row r="723" spans="1:21" ht="13">
      <c r="A723" s="249"/>
      <c r="B723" s="236"/>
      <c r="C723" s="22" t="s">
        <v>390</v>
      </c>
      <c r="D723" s="23"/>
      <c r="E723" s="23"/>
      <c r="F723" s="23">
        <v>320</v>
      </c>
      <c r="G723" s="236"/>
      <c r="H723" s="236"/>
      <c r="I723" s="236"/>
      <c r="J723" s="242"/>
      <c r="L723" s="249"/>
      <c r="M723" s="236"/>
      <c r="N723" s="22" t="s">
        <v>390</v>
      </c>
      <c r="O723" s="23"/>
      <c r="P723" s="23"/>
      <c r="Q723" s="23">
        <v>320</v>
      </c>
      <c r="R723" s="236"/>
      <c r="S723" s="236"/>
      <c r="T723" s="236"/>
      <c r="U723" s="242"/>
    </row>
    <row r="724" spans="1:21" ht="13">
      <c r="A724" s="249"/>
      <c r="B724" s="236"/>
      <c r="C724" s="22" t="s">
        <v>391</v>
      </c>
      <c r="D724" s="23"/>
      <c r="E724" s="23"/>
      <c r="F724" s="23">
        <v>205.43</v>
      </c>
      <c r="G724" s="236"/>
      <c r="H724" s="236"/>
      <c r="I724" s="236"/>
      <c r="J724" s="242"/>
      <c r="L724" s="249"/>
      <c r="M724" s="236"/>
      <c r="N724" s="22" t="s">
        <v>391</v>
      </c>
      <c r="O724" s="23"/>
      <c r="P724" s="23"/>
      <c r="Q724" s="23">
        <v>205.43</v>
      </c>
      <c r="R724" s="236"/>
      <c r="S724" s="236"/>
      <c r="T724" s="236"/>
      <c r="U724" s="242"/>
    </row>
    <row r="725" spans="1:21" ht="13">
      <c r="A725" s="249"/>
      <c r="B725" s="236"/>
      <c r="C725" s="22" t="s">
        <v>392</v>
      </c>
      <c r="D725" s="23"/>
      <c r="E725" s="23"/>
      <c r="F725" s="23">
        <v>1290</v>
      </c>
      <c r="G725" s="236"/>
      <c r="H725" s="236"/>
      <c r="I725" s="236"/>
      <c r="J725" s="242"/>
      <c r="L725" s="249"/>
      <c r="M725" s="236"/>
      <c r="N725" s="22" t="s">
        <v>392</v>
      </c>
      <c r="O725" s="23"/>
      <c r="P725" s="23"/>
      <c r="Q725" s="23">
        <v>1290</v>
      </c>
      <c r="R725" s="236"/>
      <c r="S725" s="236"/>
      <c r="T725" s="236"/>
      <c r="U725" s="242"/>
    </row>
    <row r="726" spans="1:21" ht="13">
      <c r="A726" s="249"/>
      <c r="B726" s="236"/>
      <c r="C726" s="22" t="s">
        <v>393</v>
      </c>
      <c r="D726" s="23"/>
      <c r="E726" s="23"/>
      <c r="F726" s="23">
        <v>254</v>
      </c>
      <c r="G726" s="236"/>
      <c r="H726" s="236"/>
      <c r="I726" s="236"/>
      <c r="J726" s="242"/>
      <c r="L726" s="249"/>
      <c r="M726" s="236"/>
      <c r="N726" s="22" t="s">
        <v>393</v>
      </c>
      <c r="O726" s="23"/>
      <c r="P726" s="23"/>
      <c r="Q726" s="23">
        <v>254</v>
      </c>
      <c r="R726" s="236"/>
      <c r="S726" s="236"/>
      <c r="T726" s="236"/>
      <c r="U726" s="242"/>
    </row>
    <row r="727" spans="1:21" ht="13">
      <c r="A727" s="249"/>
      <c r="B727" s="236"/>
      <c r="C727" s="22" t="s">
        <v>394</v>
      </c>
      <c r="D727" s="23">
        <v>14</v>
      </c>
      <c r="E727" s="23">
        <v>21</v>
      </c>
      <c r="F727" s="23">
        <f t="shared" ref="F727:F728" si="130">D727*E727</f>
        <v>294</v>
      </c>
      <c r="G727" s="236"/>
      <c r="H727" s="236"/>
      <c r="I727" s="236"/>
      <c r="J727" s="242"/>
      <c r="L727" s="249"/>
      <c r="M727" s="236"/>
      <c r="N727" s="22" t="s">
        <v>394</v>
      </c>
      <c r="O727" s="18"/>
      <c r="P727" s="18"/>
      <c r="Q727" s="18"/>
      <c r="R727" s="236"/>
      <c r="S727" s="236"/>
      <c r="T727" s="236"/>
      <c r="U727" s="242"/>
    </row>
    <row r="728" spans="1:21" ht="13">
      <c r="A728" s="249"/>
      <c r="B728" s="236"/>
      <c r="C728" s="22" t="s">
        <v>102</v>
      </c>
      <c r="D728" s="23">
        <v>16</v>
      </c>
      <c r="E728" s="23">
        <v>19</v>
      </c>
      <c r="F728" s="23">
        <f t="shared" si="130"/>
        <v>304</v>
      </c>
      <c r="G728" s="236"/>
      <c r="H728" s="236"/>
      <c r="I728" s="236"/>
      <c r="J728" s="242"/>
      <c r="L728" s="249"/>
      <c r="M728" s="236"/>
      <c r="N728" s="22" t="s">
        <v>102</v>
      </c>
      <c r="O728" s="18"/>
      <c r="P728" s="18"/>
      <c r="Q728" s="18"/>
      <c r="R728" s="236"/>
      <c r="S728" s="236"/>
      <c r="T728" s="236"/>
      <c r="U728" s="242"/>
    </row>
    <row r="729" spans="1:21" ht="13">
      <c r="A729" s="249"/>
      <c r="B729" s="236"/>
      <c r="C729" s="22" t="s">
        <v>395</v>
      </c>
      <c r="D729" s="23"/>
      <c r="E729" s="23"/>
      <c r="F729" s="23">
        <v>853</v>
      </c>
      <c r="G729" s="236"/>
      <c r="H729" s="236"/>
      <c r="I729" s="236"/>
      <c r="J729" s="242"/>
      <c r="L729" s="249"/>
      <c r="M729" s="236"/>
      <c r="N729" s="22" t="s">
        <v>395</v>
      </c>
      <c r="O729" s="23"/>
      <c r="P729" s="23"/>
      <c r="Q729" s="23">
        <v>853</v>
      </c>
      <c r="R729" s="236"/>
      <c r="S729" s="236"/>
      <c r="T729" s="236"/>
      <c r="U729" s="242"/>
    </row>
    <row r="730" spans="1:21" ht="13">
      <c r="A730" s="249"/>
      <c r="B730" s="248"/>
      <c r="C730" s="25"/>
      <c r="D730" s="26"/>
      <c r="E730" s="26"/>
      <c r="F730" s="26"/>
      <c r="G730" s="238"/>
      <c r="H730" s="238"/>
      <c r="I730" s="238"/>
      <c r="J730" s="243"/>
      <c r="L730" s="249"/>
      <c r="M730" s="248"/>
      <c r="N730" s="25"/>
      <c r="O730" s="26"/>
      <c r="P730" s="26"/>
      <c r="Q730" s="26"/>
      <c r="R730" s="238"/>
      <c r="S730" s="238"/>
      <c r="T730" s="238"/>
      <c r="U730" s="243"/>
    </row>
    <row r="731" spans="1:21" ht="13">
      <c r="A731" s="249"/>
      <c r="B731" s="247" t="s">
        <v>396</v>
      </c>
      <c r="C731" s="15" t="s">
        <v>397</v>
      </c>
      <c r="D731" s="17"/>
      <c r="E731" s="16"/>
      <c r="F731" s="17">
        <v>150</v>
      </c>
      <c r="G731" s="240">
        <f>SUM(F731:F732)</f>
        <v>220</v>
      </c>
      <c r="H731" s="237">
        <v>1375</v>
      </c>
      <c r="I731" s="237">
        <f>H731-G731</f>
        <v>1155</v>
      </c>
      <c r="J731" s="241">
        <f>I731/H731</f>
        <v>0.84</v>
      </c>
      <c r="L731" s="249"/>
      <c r="M731" s="247" t="s">
        <v>396</v>
      </c>
      <c r="N731" s="15" t="s">
        <v>397</v>
      </c>
      <c r="O731" s="17"/>
      <c r="P731" s="16"/>
      <c r="Q731" s="17">
        <v>150</v>
      </c>
      <c r="R731" s="240">
        <f>SUM(Q731:Q732)</f>
        <v>150</v>
      </c>
      <c r="S731" s="237">
        <v>1375</v>
      </c>
      <c r="T731" s="237">
        <f>S731-R731</f>
        <v>1225</v>
      </c>
      <c r="U731" s="241">
        <f>T731/S731</f>
        <v>0.89090909090909087</v>
      </c>
    </row>
    <row r="732" spans="1:21" ht="13">
      <c r="A732" s="249"/>
      <c r="B732" s="248"/>
      <c r="C732" s="20" t="s">
        <v>398</v>
      </c>
      <c r="D732" s="21">
        <v>5</v>
      </c>
      <c r="E732" s="21">
        <v>14</v>
      </c>
      <c r="F732" s="26">
        <f>D732*E732</f>
        <v>70</v>
      </c>
      <c r="G732" s="238"/>
      <c r="H732" s="238"/>
      <c r="I732" s="238"/>
      <c r="J732" s="243"/>
      <c r="L732" s="249"/>
      <c r="M732" s="248"/>
      <c r="N732" s="20" t="s">
        <v>398</v>
      </c>
      <c r="O732" s="68"/>
      <c r="P732" s="68"/>
      <c r="Q732" s="68"/>
      <c r="R732" s="238"/>
      <c r="S732" s="238"/>
      <c r="T732" s="238"/>
      <c r="U732" s="243"/>
    </row>
    <row r="733" spans="1:21" ht="13">
      <c r="A733" s="249"/>
      <c r="B733" s="247" t="s">
        <v>399</v>
      </c>
      <c r="C733" s="15" t="s">
        <v>53</v>
      </c>
      <c r="D733" s="17"/>
      <c r="E733" s="16"/>
      <c r="F733" s="17">
        <v>50</v>
      </c>
      <c r="G733" s="240">
        <f>SUM(F733:F734)</f>
        <v>84.14</v>
      </c>
      <c r="H733" s="237">
        <v>1160</v>
      </c>
      <c r="I733" s="237">
        <f>H733-G733</f>
        <v>1075.8599999999999</v>
      </c>
      <c r="J733" s="241">
        <f>I733/H733</f>
        <v>0.92746551724137927</v>
      </c>
      <c r="L733" s="249"/>
      <c r="M733" s="247" t="s">
        <v>399</v>
      </c>
      <c r="N733" s="15" t="s">
        <v>53</v>
      </c>
      <c r="O733" s="17"/>
      <c r="P733" s="16"/>
      <c r="Q733" s="17">
        <v>50</v>
      </c>
      <c r="R733" s="240">
        <f>SUM(Q733:Q734)</f>
        <v>84.14</v>
      </c>
      <c r="S733" s="237">
        <v>1160</v>
      </c>
      <c r="T733" s="237">
        <f>S733-R733</f>
        <v>1075.8599999999999</v>
      </c>
      <c r="U733" s="241">
        <f>T733/S733</f>
        <v>0.92746551724137927</v>
      </c>
    </row>
    <row r="734" spans="1:21" ht="13">
      <c r="A734" s="249"/>
      <c r="B734" s="248"/>
      <c r="C734" s="20" t="s">
        <v>33</v>
      </c>
      <c r="D734" s="21"/>
      <c r="E734" s="21"/>
      <c r="F734" s="26">
        <v>34.14</v>
      </c>
      <c r="G734" s="238"/>
      <c r="H734" s="238"/>
      <c r="I734" s="238"/>
      <c r="J734" s="243"/>
      <c r="L734" s="249"/>
      <c r="M734" s="248"/>
      <c r="N734" s="20" t="s">
        <v>33</v>
      </c>
      <c r="O734" s="21"/>
      <c r="P734" s="21"/>
      <c r="Q734" s="26">
        <v>34.14</v>
      </c>
      <c r="R734" s="238"/>
      <c r="S734" s="238"/>
      <c r="T734" s="238"/>
      <c r="U734" s="243"/>
    </row>
    <row r="735" spans="1:21" ht="13">
      <c r="A735" s="249"/>
      <c r="B735" s="247" t="s">
        <v>400</v>
      </c>
      <c r="C735" s="15" t="s">
        <v>209</v>
      </c>
      <c r="D735" s="23">
        <v>7</v>
      </c>
      <c r="E735" s="23">
        <v>18</v>
      </c>
      <c r="F735" s="23">
        <f>D735*E735</f>
        <v>126</v>
      </c>
      <c r="G735" s="240">
        <f>SUM(F735:F736)</f>
        <v>184.69</v>
      </c>
      <c r="H735" s="237">
        <v>2187.62</v>
      </c>
      <c r="I735" s="237">
        <f>H735-G735</f>
        <v>2002.9299999999998</v>
      </c>
      <c r="J735" s="241">
        <f>I735/H735</f>
        <v>0.91557491703312277</v>
      </c>
      <c r="L735" s="249"/>
      <c r="M735" s="247" t="s">
        <v>400</v>
      </c>
      <c r="N735" s="15" t="s">
        <v>209</v>
      </c>
      <c r="O735" s="18"/>
      <c r="P735" s="18"/>
      <c r="Q735" s="18"/>
      <c r="R735" s="240">
        <f>SUM(Q735:Q736)</f>
        <v>58.69</v>
      </c>
      <c r="S735" s="237">
        <v>2187.62</v>
      </c>
      <c r="T735" s="237">
        <f>S735-R735</f>
        <v>2128.9299999999998</v>
      </c>
      <c r="U735" s="241">
        <f>T735/S735</f>
        <v>0.97317175743502071</v>
      </c>
    </row>
    <row r="736" spans="1:21" ht="13">
      <c r="A736" s="249"/>
      <c r="B736" s="248"/>
      <c r="C736" s="20" t="s">
        <v>33</v>
      </c>
      <c r="D736" s="21"/>
      <c r="E736" s="21"/>
      <c r="F736" s="26">
        <v>58.69</v>
      </c>
      <c r="G736" s="238"/>
      <c r="H736" s="238"/>
      <c r="I736" s="238"/>
      <c r="J736" s="243"/>
      <c r="L736" s="249"/>
      <c r="M736" s="248"/>
      <c r="N736" s="20" t="s">
        <v>33</v>
      </c>
      <c r="O736" s="21"/>
      <c r="P736" s="21"/>
      <c r="Q736" s="26">
        <v>58.69</v>
      </c>
      <c r="R736" s="238"/>
      <c r="S736" s="238"/>
      <c r="T736" s="238"/>
      <c r="U736" s="243"/>
    </row>
    <row r="737" spans="1:21" ht="13">
      <c r="A737" s="249"/>
      <c r="B737" s="247" t="s">
        <v>401</v>
      </c>
      <c r="C737" s="15" t="s">
        <v>70</v>
      </c>
      <c r="D737" s="16">
        <v>6</v>
      </c>
      <c r="E737" s="16">
        <v>15</v>
      </c>
      <c r="F737" s="17">
        <f t="shared" ref="F737:F738" si="131">D737*E737</f>
        <v>90</v>
      </c>
      <c r="G737" s="240">
        <f>SUM(F737:F739)</f>
        <v>270</v>
      </c>
      <c r="H737" s="237">
        <v>954</v>
      </c>
      <c r="I737" s="237">
        <f>H737-G737</f>
        <v>684</v>
      </c>
      <c r="J737" s="241">
        <f>I737/H737</f>
        <v>0.71698113207547165</v>
      </c>
      <c r="L737" s="249"/>
      <c r="M737" s="247" t="s">
        <v>401</v>
      </c>
      <c r="N737" s="15" t="s">
        <v>70</v>
      </c>
      <c r="O737" s="16">
        <v>6</v>
      </c>
      <c r="P737" s="16">
        <v>15</v>
      </c>
      <c r="Q737" s="17">
        <f t="shared" ref="Q737:Q738" si="132">O737*P737</f>
        <v>90</v>
      </c>
      <c r="R737" s="240">
        <f>SUM(Q737:Q739)</f>
        <v>270</v>
      </c>
      <c r="S737" s="237">
        <v>954</v>
      </c>
      <c r="T737" s="237">
        <f>S737-R737</f>
        <v>684</v>
      </c>
      <c r="U737" s="241">
        <f>T737/S737</f>
        <v>0.71698113207547165</v>
      </c>
    </row>
    <row r="738" spans="1:21" ht="13">
      <c r="A738" s="249"/>
      <c r="B738" s="236"/>
      <c r="C738" s="19" t="s">
        <v>147</v>
      </c>
      <c r="D738" s="17">
        <v>12</v>
      </c>
      <c r="E738" s="17">
        <v>15</v>
      </c>
      <c r="F738" s="17">
        <f t="shared" si="131"/>
        <v>180</v>
      </c>
      <c r="G738" s="236"/>
      <c r="H738" s="236"/>
      <c r="I738" s="236"/>
      <c r="J738" s="242"/>
      <c r="L738" s="249"/>
      <c r="M738" s="236"/>
      <c r="N738" s="19" t="s">
        <v>147</v>
      </c>
      <c r="O738" s="17">
        <v>12</v>
      </c>
      <c r="P738" s="17">
        <v>15</v>
      </c>
      <c r="Q738" s="17">
        <f t="shared" si="132"/>
        <v>180</v>
      </c>
      <c r="R738" s="236"/>
      <c r="S738" s="236"/>
      <c r="T738" s="236"/>
      <c r="U738" s="242"/>
    </row>
    <row r="739" spans="1:21" ht="13">
      <c r="A739" s="249"/>
      <c r="B739" s="248"/>
      <c r="C739" s="20"/>
      <c r="D739" s="21"/>
      <c r="E739" s="21"/>
      <c r="F739" s="21"/>
      <c r="G739" s="238"/>
      <c r="H739" s="238"/>
      <c r="I739" s="238"/>
      <c r="J739" s="243"/>
      <c r="L739" s="249"/>
      <c r="M739" s="248"/>
      <c r="N739" s="20"/>
      <c r="O739" s="21"/>
      <c r="P739" s="21"/>
      <c r="Q739" s="21"/>
      <c r="R739" s="238"/>
      <c r="S739" s="238"/>
      <c r="T739" s="238"/>
      <c r="U739" s="243"/>
    </row>
    <row r="740" spans="1:21" ht="13">
      <c r="A740" s="249"/>
      <c r="B740" s="247" t="s">
        <v>402</v>
      </c>
      <c r="C740" s="15" t="s">
        <v>77</v>
      </c>
      <c r="D740" s="16">
        <v>1.5</v>
      </c>
      <c r="E740" s="16">
        <v>13</v>
      </c>
      <c r="F740" s="17">
        <f>D740*E740</f>
        <v>19.5</v>
      </c>
      <c r="G740" s="240">
        <f>SUM(F740:F742)</f>
        <v>64.849999999999994</v>
      </c>
      <c r="H740" s="237">
        <v>812.25</v>
      </c>
      <c r="I740" s="237">
        <f>H740-G740</f>
        <v>747.4</v>
      </c>
      <c r="J740" s="241">
        <f>I740/H740</f>
        <v>0.92016004924592176</v>
      </c>
      <c r="L740" s="249"/>
      <c r="M740" s="247" t="s">
        <v>402</v>
      </c>
      <c r="N740" s="15" t="s">
        <v>77</v>
      </c>
      <c r="O740" s="16">
        <v>1.5</v>
      </c>
      <c r="P740" s="16">
        <v>13</v>
      </c>
      <c r="Q740" s="17">
        <f>O740*P740</f>
        <v>19.5</v>
      </c>
      <c r="R740" s="240">
        <f>SUM(Q740:Q742)</f>
        <v>64.849999999999994</v>
      </c>
      <c r="S740" s="237">
        <v>812.25</v>
      </c>
      <c r="T740" s="237">
        <f>S740-R740</f>
        <v>747.4</v>
      </c>
      <c r="U740" s="241">
        <f>T740/S740</f>
        <v>0.92016004924592176</v>
      </c>
    </row>
    <row r="741" spans="1:21" ht="13">
      <c r="A741" s="249"/>
      <c r="B741" s="236"/>
      <c r="C741" s="19" t="s">
        <v>33</v>
      </c>
      <c r="D741" s="17"/>
      <c r="E741" s="17"/>
      <c r="F741" s="17">
        <v>45.35</v>
      </c>
      <c r="G741" s="236"/>
      <c r="H741" s="236"/>
      <c r="I741" s="236"/>
      <c r="J741" s="242"/>
      <c r="L741" s="249"/>
      <c r="M741" s="236"/>
      <c r="N741" s="19" t="s">
        <v>33</v>
      </c>
      <c r="O741" s="17"/>
      <c r="P741" s="17"/>
      <c r="Q741" s="17">
        <v>45.35</v>
      </c>
      <c r="R741" s="236"/>
      <c r="S741" s="236"/>
      <c r="T741" s="236"/>
      <c r="U741" s="242"/>
    </row>
    <row r="742" spans="1:21" ht="13">
      <c r="A742" s="249"/>
      <c r="B742" s="248"/>
      <c r="C742" s="20"/>
      <c r="D742" s="21"/>
      <c r="E742" s="21"/>
      <c r="F742" s="21"/>
      <c r="G742" s="238"/>
      <c r="H742" s="238"/>
      <c r="I742" s="238"/>
      <c r="J742" s="243"/>
      <c r="L742" s="249"/>
      <c r="M742" s="248"/>
      <c r="N742" s="20"/>
      <c r="O742" s="21"/>
      <c r="P742" s="21"/>
      <c r="Q742" s="21"/>
      <c r="R742" s="238"/>
      <c r="S742" s="238"/>
      <c r="T742" s="238"/>
      <c r="U742" s="243"/>
    </row>
    <row r="743" spans="1:21" ht="30">
      <c r="A743" s="278" t="s">
        <v>403</v>
      </c>
      <c r="B743" s="252"/>
      <c r="C743" s="253"/>
      <c r="D743" s="56">
        <f t="shared" ref="D743:I743" si="133">AVERAGE(D670:D742)</f>
        <v>23.731025641025642</v>
      </c>
      <c r="E743" s="56">
        <f t="shared" si="133"/>
        <v>15.871794871794872</v>
      </c>
      <c r="F743" s="56">
        <f t="shared" si="133"/>
        <v>374.62102941176471</v>
      </c>
      <c r="G743" s="56">
        <f t="shared" si="133"/>
        <v>2122.8524999999995</v>
      </c>
      <c r="H743" s="56">
        <f t="shared" si="133"/>
        <v>6319.3858333333328</v>
      </c>
      <c r="I743" s="56">
        <f t="shared" si="133"/>
        <v>4196.5333333333338</v>
      </c>
      <c r="J743" s="57">
        <f>AVERAGE($J$12:$J$76)</f>
        <v>0.79942354689485917</v>
      </c>
      <c r="L743" s="278" t="s">
        <v>403</v>
      </c>
      <c r="M743" s="252"/>
      <c r="N743" s="253"/>
      <c r="O743" s="56">
        <f t="shared" ref="O743:T743" si="134">AVERAGE(O670:O742)</f>
        <v>26.08655172413793</v>
      </c>
      <c r="P743" s="56">
        <f t="shared" si="134"/>
        <v>15.344827586206897</v>
      </c>
      <c r="Q743" s="56">
        <f t="shared" si="134"/>
        <v>386.52120689655169</v>
      </c>
      <c r="R743" s="56">
        <f t="shared" si="134"/>
        <v>1868.185833333333</v>
      </c>
      <c r="S743" s="56">
        <f t="shared" si="134"/>
        <v>6319.3858333333328</v>
      </c>
      <c r="T743" s="56">
        <f t="shared" si="134"/>
        <v>4451.2</v>
      </c>
      <c r="U743" s="57">
        <f>AVERAGE($J$12:$J$76)</f>
        <v>0.79942354689485917</v>
      </c>
    </row>
    <row r="744" spans="1:21" ht="30">
      <c r="A744" s="279" t="s">
        <v>404</v>
      </c>
      <c r="B744" s="255"/>
      <c r="C744" s="256"/>
      <c r="D744" s="56">
        <f t="shared" ref="D744:I744" si="135">SUM(D670:D742)</f>
        <v>925.51</v>
      </c>
      <c r="E744" s="56">
        <f t="shared" si="135"/>
        <v>619</v>
      </c>
      <c r="F744" s="56">
        <f t="shared" si="135"/>
        <v>25474.23</v>
      </c>
      <c r="G744" s="56">
        <f t="shared" si="135"/>
        <v>25474.229999999996</v>
      </c>
      <c r="H744" s="56">
        <f t="shared" si="135"/>
        <v>75832.62999999999</v>
      </c>
      <c r="I744" s="56">
        <f t="shared" si="135"/>
        <v>50358.400000000001</v>
      </c>
      <c r="J744" s="58">
        <f t="shared" ref="J744:J745" si="136">I744/H744</f>
        <v>0.66407297228119355</v>
      </c>
      <c r="L744" s="279" t="s">
        <v>404</v>
      </c>
      <c r="M744" s="255"/>
      <c r="N744" s="256"/>
      <c r="O744" s="56">
        <f t="shared" ref="O744:T744" si="137">SUM(O670:O742)</f>
        <v>756.51</v>
      </c>
      <c r="P744" s="56">
        <f t="shared" si="137"/>
        <v>445</v>
      </c>
      <c r="Q744" s="56">
        <f t="shared" si="137"/>
        <v>22418.23</v>
      </c>
      <c r="R744" s="56">
        <f t="shared" si="137"/>
        <v>22418.229999999996</v>
      </c>
      <c r="S744" s="56">
        <f t="shared" si="137"/>
        <v>75832.62999999999</v>
      </c>
      <c r="T744" s="56">
        <f t="shared" si="137"/>
        <v>53414.400000000001</v>
      </c>
      <c r="U744" s="58">
        <f t="shared" ref="U744:U745" si="138">T744/S744</f>
        <v>0.70437224714479785</v>
      </c>
    </row>
    <row r="745" spans="1:21" ht="13">
      <c r="A745" s="277" t="s">
        <v>7</v>
      </c>
      <c r="B745" s="247" t="s">
        <v>405</v>
      </c>
      <c r="C745" s="15" t="s">
        <v>23</v>
      </c>
      <c r="D745" s="16">
        <v>28</v>
      </c>
      <c r="E745" s="16">
        <v>15</v>
      </c>
      <c r="F745" s="16">
        <f t="shared" ref="F745:F747" si="139">D745*E745</f>
        <v>420</v>
      </c>
      <c r="G745" s="240">
        <f>SUM(F745:F758)</f>
        <v>2794.4900000000002</v>
      </c>
      <c r="H745" s="237">
        <v>8016</v>
      </c>
      <c r="I745" s="237">
        <f>H745-G745</f>
        <v>5221.51</v>
      </c>
      <c r="J745" s="241">
        <f t="shared" si="136"/>
        <v>0.65138597804391218</v>
      </c>
      <c r="L745" s="277" t="s">
        <v>7</v>
      </c>
      <c r="M745" s="247" t="s">
        <v>405</v>
      </c>
      <c r="N745" s="15" t="s">
        <v>23</v>
      </c>
      <c r="O745" s="18"/>
      <c r="P745" s="18"/>
      <c r="Q745" s="18"/>
      <c r="R745" s="240">
        <f>SUM(Q745:Q758)</f>
        <v>2374.4900000000002</v>
      </c>
      <c r="S745" s="237">
        <v>8016</v>
      </c>
      <c r="T745" s="237">
        <f>S745-R745</f>
        <v>5641.51</v>
      </c>
      <c r="U745" s="241">
        <f t="shared" si="138"/>
        <v>0.7037811876247505</v>
      </c>
    </row>
    <row r="746" spans="1:21" ht="13">
      <c r="A746" s="249"/>
      <c r="B746" s="236"/>
      <c r="C746" s="24" t="s">
        <v>51</v>
      </c>
      <c r="D746" s="17">
        <v>12</v>
      </c>
      <c r="E746" s="17">
        <v>15</v>
      </c>
      <c r="F746" s="17">
        <f t="shared" si="139"/>
        <v>180</v>
      </c>
      <c r="G746" s="236"/>
      <c r="H746" s="236"/>
      <c r="I746" s="236"/>
      <c r="J746" s="242"/>
      <c r="L746" s="249"/>
      <c r="M746" s="236"/>
      <c r="N746" s="24" t="s">
        <v>51</v>
      </c>
      <c r="O746" s="17">
        <v>12</v>
      </c>
      <c r="P746" s="17">
        <v>15</v>
      </c>
      <c r="Q746" s="17">
        <f t="shared" ref="Q746:Q747" si="140">O746*P746</f>
        <v>180</v>
      </c>
      <c r="R746" s="236"/>
      <c r="S746" s="236"/>
      <c r="T746" s="236"/>
      <c r="U746" s="242"/>
    </row>
    <row r="747" spans="1:21" ht="13">
      <c r="A747" s="249"/>
      <c r="B747" s="236"/>
      <c r="C747" s="24" t="s">
        <v>406</v>
      </c>
      <c r="D747" s="17">
        <v>7</v>
      </c>
      <c r="E747" s="17">
        <v>15</v>
      </c>
      <c r="F747" s="17">
        <f t="shared" si="139"/>
        <v>105</v>
      </c>
      <c r="G747" s="236"/>
      <c r="H747" s="236"/>
      <c r="I747" s="236"/>
      <c r="J747" s="242"/>
      <c r="L747" s="249"/>
      <c r="M747" s="236"/>
      <c r="N747" s="24" t="s">
        <v>406</v>
      </c>
      <c r="O747" s="17">
        <v>7</v>
      </c>
      <c r="P747" s="17">
        <v>15</v>
      </c>
      <c r="Q747" s="17">
        <f t="shared" si="140"/>
        <v>105</v>
      </c>
      <c r="R747" s="236"/>
      <c r="S747" s="236"/>
      <c r="T747" s="236"/>
      <c r="U747" s="242"/>
    </row>
    <row r="748" spans="1:21" ht="13">
      <c r="A748" s="249"/>
      <c r="B748" s="236"/>
      <c r="C748" s="24" t="s">
        <v>407</v>
      </c>
      <c r="D748" s="17"/>
      <c r="E748" s="17"/>
      <c r="F748" s="17">
        <v>903.71</v>
      </c>
      <c r="G748" s="236"/>
      <c r="H748" s="236"/>
      <c r="I748" s="236"/>
      <c r="J748" s="242"/>
      <c r="L748" s="249"/>
      <c r="M748" s="236"/>
      <c r="N748" s="24" t="s">
        <v>407</v>
      </c>
      <c r="O748" s="17"/>
      <c r="P748" s="17"/>
      <c r="Q748" s="17">
        <v>903.71</v>
      </c>
      <c r="R748" s="236"/>
      <c r="S748" s="236"/>
      <c r="T748" s="236"/>
      <c r="U748" s="242"/>
    </row>
    <row r="749" spans="1:21" ht="13">
      <c r="A749" s="249"/>
      <c r="B749" s="236"/>
      <c r="C749" s="19" t="s">
        <v>408</v>
      </c>
      <c r="D749" s="17"/>
      <c r="E749" s="17"/>
      <c r="F749" s="17">
        <v>122.63</v>
      </c>
      <c r="G749" s="236"/>
      <c r="H749" s="236"/>
      <c r="I749" s="236"/>
      <c r="J749" s="242"/>
      <c r="L749" s="249"/>
      <c r="M749" s="236"/>
      <c r="N749" s="19" t="s">
        <v>408</v>
      </c>
      <c r="O749" s="17"/>
      <c r="P749" s="17"/>
      <c r="Q749" s="17">
        <v>122.63</v>
      </c>
      <c r="R749" s="236"/>
      <c r="S749" s="236"/>
      <c r="T749" s="236"/>
      <c r="U749" s="242"/>
    </row>
    <row r="750" spans="1:21" ht="13">
      <c r="A750" s="249"/>
      <c r="B750" s="236"/>
      <c r="C750" s="19" t="s">
        <v>409</v>
      </c>
      <c r="D750" s="17"/>
      <c r="E750" s="17"/>
      <c r="F750" s="17">
        <v>121</v>
      </c>
      <c r="G750" s="236"/>
      <c r="H750" s="236"/>
      <c r="I750" s="236"/>
      <c r="J750" s="242"/>
      <c r="L750" s="249"/>
      <c r="M750" s="236"/>
      <c r="N750" s="19" t="s">
        <v>409</v>
      </c>
      <c r="O750" s="17"/>
      <c r="P750" s="17"/>
      <c r="Q750" s="17">
        <v>121</v>
      </c>
      <c r="R750" s="236"/>
      <c r="S750" s="236"/>
      <c r="T750" s="236"/>
      <c r="U750" s="242"/>
    </row>
    <row r="751" spans="1:21" ht="13">
      <c r="A751" s="249"/>
      <c r="B751" s="236"/>
      <c r="C751" s="19" t="s">
        <v>410</v>
      </c>
      <c r="D751" s="17"/>
      <c r="E751" s="17"/>
      <c r="F751" s="17">
        <v>48.53</v>
      </c>
      <c r="G751" s="236"/>
      <c r="H751" s="236"/>
      <c r="I751" s="236"/>
      <c r="J751" s="242"/>
      <c r="L751" s="249"/>
      <c r="M751" s="236"/>
      <c r="N751" s="19" t="s">
        <v>410</v>
      </c>
      <c r="O751" s="17"/>
      <c r="P751" s="17"/>
      <c r="Q751" s="17">
        <v>48.53</v>
      </c>
      <c r="R751" s="236"/>
      <c r="S751" s="236"/>
      <c r="T751" s="236"/>
      <c r="U751" s="242"/>
    </row>
    <row r="752" spans="1:21" ht="13">
      <c r="A752" s="249"/>
      <c r="B752" s="236"/>
      <c r="C752" s="19" t="s">
        <v>411</v>
      </c>
      <c r="D752" s="17"/>
      <c r="E752" s="17"/>
      <c r="F752" s="17">
        <v>72</v>
      </c>
      <c r="G752" s="236"/>
      <c r="H752" s="236"/>
      <c r="I752" s="236"/>
      <c r="J752" s="242"/>
      <c r="L752" s="249"/>
      <c r="M752" s="236"/>
      <c r="N752" s="19" t="s">
        <v>411</v>
      </c>
      <c r="O752" s="17"/>
      <c r="P752" s="17"/>
      <c r="Q752" s="17">
        <v>72</v>
      </c>
      <c r="R752" s="236"/>
      <c r="S752" s="236"/>
      <c r="T752" s="236"/>
      <c r="U752" s="242"/>
    </row>
    <row r="753" spans="1:21" ht="13">
      <c r="A753" s="249"/>
      <c r="B753" s="236"/>
      <c r="C753" s="19" t="s">
        <v>412</v>
      </c>
      <c r="D753" s="17"/>
      <c r="E753" s="17"/>
      <c r="F753" s="17">
        <v>128.74</v>
      </c>
      <c r="G753" s="236"/>
      <c r="H753" s="236"/>
      <c r="I753" s="236"/>
      <c r="J753" s="242"/>
      <c r="L753" s="249"/>
      <c r="M753" s="236"/>
      <c r="N753" s="19" t="s">
        <v>412</v>
      </c>
      <c r="O753" s="17"/>
      <c r="P753" s="17"/>
      <c r="Q753" s="17">
        <v>128.74</v>
      </c>
      <c r="R753" s="236"/>
      <c r="S753" s="236"/>
      <c r="T753" s="236"/>
      <c r="U753" s="242"/>
    </row>
    <row r="754" spans="1:21" ht="13">
      <c r="A754" s="249"/>
      <c r="B754" s="236"/>
      <c r="C754" s="19" t="s">
        <v>413</v>
      </c>
      <c r="D754" s="17"/>
      <c r="E754" s="17"/>
      <c r="F754" s="17">
        <v>46</v>
      </c>
      <c r="G754" s="236"/>
      <c r="H754" s="236"/>
      <c r="I754" s="236"/>
      <c r="J754" s="242"/>
      <c r="L754" s="249"/>
      <c r="M754" s="236"/>
      <c r="N754" s="19" t="s">
        <v>413</v>
      </c>
      <c r="O754" s="17"/>
      <c r="P754" s="17"/>
      <c r="Q754" s="17">
        <v>46</v>
      </c>
      <c r="R754" s="236"/>
      <c r="S754" s="236"/>
      <c r="T754" s="236"/>
      <c r="U754" s="242"/>
    </row>
    <row r="755" spans="1:21" ht="13">
      <c r="A755" s="249"/>
      <c r="B755" s="236"/>
      <c r="C755" s="19" t="s">
        <v>47</v>
      </c>
      <c r="D755" s="17"/>
      <c r="E755" s="17"/>
      <c r="F755" s="17">
        <v>265.38</v>
      </c>
      <c r="G755" s="236"/>
      <c r="H755" s="236"/>
      <c r="I755" s="236"/>
      <c r="J755" s="242"/>
      <c r="L755" s="249"/>
      <c r="M755" s="236"/>
      <c r="N755" s="19" t="s">
        <v>47</v>
      </c>
      <c r="O755" s="17"/>
      <c r="P755" s="17"/>
      <c r="Q755" s="17">
        <v>265.38</v>
      </c>
      <c r="R755" s="236"/>
      <c r="S755" s="236"/>
      <c r="T755" s="236"/>
      <c r="U755" s="242"/>
    </row>
    <row r="756" spans="1:21" ht="13">
      <c r="A756" s="249"/>
      <c r="B756" s="236"/>
      <c r="C756" s="19" t="s">
        <v>414</v>
      </c>
      <c r="D756" s="17"/>
      <c r="E756" s="17"/>
      <c r="F756" s="17">
        <v>37.54</v>
      </c>
      <c r="G756" s="236"/>
      <c r="H756" s="236"/>
      <c r="I756" s="236"/>
      <c r="J756" s="242"/>
      <c r="L756" s="249"/>
      <c r="M756" s="236"/>
      <c r="N756" s="19" t="s">
        <v>414</v>
      </c>
      <c r="O756" s="17"/>
      <c r="P756" s="17"/>
      <c r="Q756" s="17">
        <v>37.54</v>
      </c>
      <c r="R756" s="236"/>
      <c r="S756" s="236"/>
      <c r="T756" s="236"/>
      <c r="U756" s="242"/>
    </row>
    <row r="757" spans="1:21" ht="13">
      <c r="A757" s="249"/>
      <c r="B757" s="236"/>
      <c r="C757" s="19" t="s">
        <v>83</v>
      </c>
      <c r="D757" s="17"/>
      <c r="E757" s="17"/>
      <c r="F757" s="17">
        <v>216.45</v>
      </c>
      <c r="G757" s="236"/>
      <c r="H757" s="236"/>
      <c r="I757" s="236"/>
      <c r="J757" s="242"/>
      <c r="L757" s="249"/>
      <c r="M757" s="236"/>
      <c r="N757" s="19" t="s">
        <v>83</v>
      </c>
      <c r="O757" s="17"/>
      <c r="P757" s="17"/>
      <c r="Q757" s="17">
        <v>216.45</v>
      </c>
      <c r="R757" s="236"/>
      <c r="S757" s="236"/>
      <c r="T757" s="236"/>
      <c r="U757" s="242"/>
    </row>
    <row r="758" spans="1:21" ht="13">
      <c r="A758" s="249"/>
      <c r="B758" s="248"/>
      <c r="C758" s="20" t="s">
        <v>240</v>
      </c>
      <c r="D758" s="21"/>
      <c r="E758" s="21"/>
      <c r="F758" s="21">
        <v>127.51</v>
      </c>
      <c r="G758" s="238"/>
      <c r="H758" s="238"/>
      <c r="I758" s="238"/>
      <c r="J758" s="243"/>
      <c r="L758" s="249"/>
      <c r="M758" s="248"/>
      <c r="N758" s="20" t="s">
        <v>240</v>
      </c>
      <c r="O758" s="21"/>
      <c r="P758" s="21"/>
      <c r="Q758" s="21">
        <v>127.51</v>
      </c>
      <c r="R758" s="238"/>
      <c r="S758" s="238"/>
      <c r="T758" s="238"/>
      <c r="U758" s="243"/>
    </row>
    <row r="759" spans="1:21" ht="13">
      <c r="A759" s="249"/>
      <c r="B759" s="247" t="s">
        <v>415</v>
      </c>
      <c r="C759" s="15" t="s">
        <v>53</v>
      </c>
      <c r="D759" s="16">
        <v>10</v>
      </c>
      <c r="E759" s="16">
        <v>15</v>
      </c>
      <c r="F759" s="17">
        <f>D759*E759</f>
        <v>150</v>
      </c>
      <c r="G759" s="240">
        <f>SUM(F759:F760)</f>
        <v>150</v>
      </c>
      <c r="H759" s="237">
        <v>650</v>
      </c>
      <c r="I759" s="237">
        <f>H759-G759</f>
        <v>500</v>
      </c>
      <c r="J759" s="241">
        <f>I759/H759</f>
        <v>0.76923076923076927</v>
      </c>
      <c r="L759" s="249"/>
      <c r="M759" s="247" t="s">
        <v>415</v>
      </c>
      <c r="N759" s="15" t="s">
        <v>53</v>
      </c>
      <c r="O759" s="16">
        <v>10</v>
      </c>
      <c r="P759" s="16">
        <v>15</v>
      </c>
      <c r="Q759" s="17">
        <f>O759*P759</f>
        <v>150</v>
      </c>
      <c r="R759" s="240">
        <f>SUM(Q759:Q760)</f>
        <v>150</v>
      </c>
      <c r="S759" s="237">
        <v>650</v>
      </c>
      <c r="T759" s="237">
        <f>S759-R759</f>
        <v>500</v>
      </c>
      <c r="U759" s="241">
        <f>T759/S759</f>
        <v>0.76923076923076927</v>
      </c>
    </row>
    <row r="760" spans="1:21" ht="13">
      <c r="A760" s="249"/>
      <c r="B760" s="248"/>
      <c r="C760" s="20"/>
      <c r="D760" s="21"/>
      <c r="E760" s="21"/>
      <c r="F760" s="21"/>
      <c r="G760" s="238"/>
      <c r="H760" s="238"/>
      <c r="I760" s="238"/>
      <c r="J760" s="243"/>
      <c r="L760" s="249"/>
      <c r="M760" s="248"/>
      <c r="N760" s="20"/>
      <c r="O760" s="21"/>
      <c r="P760" s="21"/>
      <c r="Q760" s="21"/>
      <c r="R760" s="238"/>
      <c r="S760" s="238"/>
      <c r="T760" s="238"/>
      <c r="U760" s="243"/>
    </row>
    <row r="761" spans="1:21" ht="13">
      <c r="A761" s="249"/>
      <c r="B761" s="247" t="s">
        <v>416</v>
      </c>
      <c r="C761" s="64" t="s">
        <v>209</v>
      </c>
      <c r="D761" s="50">
        <v>14</v>
      </c>
      <c r="E761" s="50">
        <v>18</v>
      </c>
      <c r="F761" s="65">
        <f t="shared" ref="F761:F770" si="141">D761*E761</f>
        <v>252</v>
      </c>
      <c r="G761" s="240">
        <f>SUM(F761:F771)</f>
        <v>2945.7000000000003</v>
      </c>
      <c r="H761" s="237">
        <v>13750</v>
      </c>
      <c r="I761" s="237">
        <f>H761-G761</f>
        <v>10804.3</v>
      </c>
      <c r="J761" s="241">
        <f>I761/H761</f>
        <v>0.78576727272727265</v>
      </c>
      <c r="L761" s="249"/>
      <c r="M761" s="247" t="s">
        <v>416</v>
      </c>
      <c r="N761" s="64" t="s">
        <v>209</v>
      </c>
      <c r="O761" s="18"/>
      <c r="P761" s="18"/>
      <c r="Q761" s="18"/>
      <c r="R761" s="240">
        <f>SUM(Q761:Q771)</f>
        <v>2060.7000000000003</v>
      </c>
      <c r="S761" s="237">
        <v>13750</v>
      </c>
      <c r="T761" s="237">
        <f>S761-R761</f>
        <v>11689.3</v>
      </c>
      <c r="U761" s="241">
        <f>T761/S761</f>
        <v>0.85013090909090905</v>
      </c>
    </row>
    <row r="762" spans="1:21" ht="13">
      <c r="A762" s="249"/>
      <c r="B762" s="236"/>
      <c r="C762" s="22" t="s">
        <v>23</v>
      </c>
      <c r="D762" s="23">
        <v>21</v>
      </c>
      <c r="E762" s="23">
        <v>18</v>
      </c>
      <c r="F762" s="23">
        <f t="shared" si="141"/>
        <v>378</v>
      </c>
      <c r="G762" s="236"/>
      <c r="H762" s="236"/>
      <c r="I762" s="236"/>
      <c r="J762" s="242"/>
      <c r="L762" s="249"/>
      <c r="M762" s="236"/>
      <c r="N762" s="22" t="s">
        <v>23</v>
      </c>
      <c r="O762" s="18"/>
      <c r="P762" s="18"/>
      <c r="Q762" s="18"/>
      <c r="R762" s="236"/>
      <c r="S762" s="236"/>
      <c r="T762" s="236"/>
      <c r="U762" s="242"/>
    </row>
    <row r="763" spans="1:21" ht="13">
      <c r="A763" s="249"/>
      <c r="B763" s="236"/>
      <c r="C763" s="22" t="s">
        <v>417</v>
      </c>
      <c r="D763" s="23">
        <v>14</v>
      </c>
      <c r="E763" s="23">
        <v>15</v>
      </c>
      <c r="F763" s="23">
        <f t="shared" si="141"/>
        <v>210</v>
      </c>
      <c r="G763" s="236"/>
      <c r="H763" s="236"/>
      <c r="I763" s="236"/>
      <c r="J763" s="242"/>
      <c r="L763" s="249"/>
      <c r="M763" s="236"/>
      <c r="N763" s="22" t="s">
        <v>417</v>
      </c>
      <c r="O763" s="23">
        <v>14</v>
      </c>
      <c r="P763" s="23">
        <v>15</v>
      </c>
      <c r="Q763" s="23">
        <f t="shared" ref="Q763:Q770" si="142">O763*P763</f>
        <v>210</v>
      </c>
      <c r="R763" s="236"/>
      <c r="S763" s="236"/>
      <c r="T763" s="236"/>
      <c r="U763" s="242"/>
    </row>
    <row r="764" spans="1:21" ht="13">
      <c r="A764" s="249"/>
      <c r="B764" s="236"/>
      <c r="C764" s="22" t="s">
        <v>372</v>
      </c>
      <c r="D764" s="23">
        <v>22</v>
      </c>
      <c r="E764" s="23">
        <v>15</v>
      </c>
      <c r="F764" s="23">
        <f t="shared" si="141"/>
        <v>330</v>
      </c>
      <c r="G764" s="236"/>
      <c r="H764" s="236"/>
      <c r="I764" s="236"/>
      <c r="J764" s="242"/>
      <c r="L764" s="249"/>
      <c r="M764" s="236"/>
      <c r="N764" s="22" t="s">
        <v>372</v>
      </c>
      <c r="O764" s="23">
        <v>22</v>
      </c>
      <c r="P764" s="23">
        <v>15</v>
      </c>
      <c r="Q764" s="23">
        <f t="shared" si="142"/>
        <v>330</v>
      </c>
      <c r="R764" s="236"/>
      <c r="S764" s="236"/>
      <c r="T764" s="236"/>
      <c r="U764" s="242"/>
    </row>
    <row r="765" spans="1:21" ht="13">
      <c r="A765" s="249"/>
      <c r="B765" s="236"/>
      <c r="C765" s="22" t="s">
        <v>418</v>
      </c>
      <c r="D765" s="23">
        <v>15.5</v>
      </c>
      <c r="E765" s="23">
        <v>15</v>
      </c>
      <c r="F765" s="23">
        <f t="shared" si="141"/>
        <v>232.5</v>
      </c>
      <c r="G765" s="236"/>
      <c r="H765" s="236"/>
      <c r="I765" s="236"/>
      <c r="J765" s="242"/>
      <c r="L765" s="249"/>
      <c r="M765" s="236"/>
      <c r="N765" s="22" t="s">
        <v>418</v>
      </c>
      <c r="O765" s="23">
        <v>15.5</v>
      </c>
      <c r="P765" s="23">
        <v>15</v>
      </c>
      <c r="Q765" s="23">
        <f t="shared" si="142"/>
        <v>232.5</v>
      </c>
      <c r="R765" s="236"/>
      <c r="S765" s="236"/>
      <c r="T765" s="236"/>
      <c r="U765" s="242"/>
    </row>
    <row r="766" spans="1:21" ht="13">
      <c r="A766" s="249"/>
      <c r="B766" s="236"/>
      <c r="C766" s="22" t="s">
        <v>231</v>
      </c>
      <c r="D766" s="23">
        <v>27.31</v>
      </c>
      <c r="E766" s="23">
        <v>15</v>
      </c>
      <c r="F766" s="23">
        <f t="shared" si="141"/>
        <v>409.65</v>
      </c>
      <c r="G766" s="236"/>
      <c r="H766" s="236"/>
      <c r="I766" s="236"/>
      <c r="J766" s="242"/>
      <c r="L766" s="249"/>
      <c r="M766" s="236"/>
      <c r="N766" s="22" t="s">
        <v>231</v>
      </c>
      <c r="O766" s="23">
        <v>27.31</v>
      </c>
      <c r="P766" s="23">
        <v>15</v>
      </c>
      <c r="Q766" s="23">
        <f t="shared" si="142"/>
        <v>409.65</v>
      </c>
      <c r="R766" s="236"/>
      <c r="S766" s="236"/>
      <c r="T766" s="236"/>
      <c r="U766" s="242"/>
    </row>
    <row r="767" spans="1:21" ht="13">
      <c r="A767" s="249"/>
      <c r="B767" s="236"/>
      <c r="C767" s="24" t="s">
        <v>70</v>
      </c>
      <c r="D767" s="23">
        <v>15</v>
      </c>
      <c r="E767" s="23">
        <v>15</v>
      </c>
      <c r="F767" s="23">
        <f t="shared" si="141"/>
        <v>225</v>
      </c>
      <c r="G767" s="236"/>
      <c r="H767" s="236"/>
      <c r="I767" s="236"/>
      <c r="J767" s="242"/>
      <c r="L767" s="249"/>
      <c r="M767" s="236"/>
      <c r="N767" s="24" t="s">
        <v>70</v>
      </c>
      <c r="O767" s="23">
        <v>15</v>
      </c>
      <c r="P767" s="23">
        <v>15</v>
      </c>
      <c r="Q767" s="23">
        <f t="shared" si="142"/>
        <v>225</v>
      </c>
      <c r="R767" s="236"/>
      <c r="S767" s="236"/>
      <c r="T767" s="236"/>
      <c r="U767" s="242"/>
    </row>
    <row r="768" spans="1:21" ht="13">
      <c r="A768" s="249"/>
      <c r="B768" s="236"/>
      <c r="C768" s="22" t="s">
        <v>298</v>
      </c>
      <c r="D768" s="23">
        <v>5</v>
      </c>
      <c r="E768" s="23">
        <v>15</v>
      </c>
      <c r="F768" s="23">
        <f t="shared" si="141"/>
        <v>75</v>
      </c>
      <c r="G768" s="236"/>
      <c r="H768" s="236"/>
      <c r="I768" s="236"/>
      <c r="J768" s="242"/>
      <c r="L768" s="249"/>
      <c r="M768" s="236"/>
      <c r="N768" s="22" t="s">
        <v>298</v>
      </c>
      <c r="O768" s="23">
        <v>5</v>
      </c>
      <c r="P768" s="23">
        <v>15</v>
      </c>
      <c r="Q768" s="23">
        <f t="shared" si="142"/>
        <v>75</v>
      </c>
      <c r="R768" s="236"/>
      <c r="S768" s="236"/>
      <c r="T768" s="236"/>
      <c r="U768" s="242"/>
    </row>
    <row r="769" spans="1:21" ht="13">
      <c r="A769" s="249"/>
      <c r="B769" s="236"/>
      <c r="C769" s="22" t="s">
        <v>419</v>
      </c>
      <c r="D769" s="23">
        <v>20</v>
      </c>
      <c r="E769" s="23">
        <v>15</v>
      </c>
      <c r="F769" s="23">
        <f t="shared" si="141"/>
        <v>300</v>
      </c>
      <c r="G769" s="236"/>
      <c r="H769" s="236"/>
      <c r="I769" s="236"/>
      <c r="J769" s="242"/>
      <c r="L769" s="249"/>
      <c r="M769" s="236"/>
      <c r="N769" s="22" t="s">
        <v>419</v>
      </c>
      <c r="O769" s="23">
        <v>20</v>
      </c>
      <c r="P769" s="23">
        <v>15</v>
      </c>
      <c r="Q769" s="23">
        <f t="shared" si="142"/>
        <v>300</v>
      </c>
      <c r="R769" s="236"/>
      <c r="S769" s="236"/>
      <c r="T769" s="236"/>
      <c r="U769" s="242"/>
    </row>
    <row r="770" spans="1:21" ht="13">
      <c r="A770" s="249"/>
      <c r="B770" s="236"/>
      <c r="C770" s="22" t="s">
        <v>32</v>
      </c>
      <c r="D770" s="23">
        <v>18.57</v>
      </c>
      <c r="E770" s="23">
        <v>15</v>
      </c>
      <c r="F770" s="23">
        <f t="shared" si="141"/>
        <v>278.55</v>
      </c>
      <c r="G770" s="236"/>
      <c r="H770" s="236"/>
      <c r="I770" s="236"/>
      <c r="J770" s="242"/>
      <c r="L770" s="249"/>
      <c r="M770" s="236"/>
      <c r="N770" s="22" t="s">
        <v>32</v>
      </c>
      <c r="O770" s="23">
        <v>18.57</v>
      </c>
      <c r="P770" s="23">
        <v>15</v>
      </c>
      <c r="Q770" s="23">
        <f t="shared" si="142"/>
        <v>278.55</v>
      </c>
      <c r="R770" s="236"/>
      <c r="S770" s="236"/>
      <c r="T770" s="236"/>
      <c r="U770" s="242"/>
    </row>
    <row r="771" spans="1:21" ht="13">
      <c r="A771" s="249"/>
      <c r="B771" s="248"/>
      <c r="C771" s="25" t="s">
        <v>155</v>
      </c>
      <c r="D771" s="26"/>
      <c r="E771" s="26"/>
      <c r="F771" s="26">
        <v>255</v>
      </c>
      <c r="G771" s="238"/>
      <c r="H771" s="238"/>
      <c r="I771" s="238"/>
      <c r="J771" s="243"/>
      <c r="L771" s="249"/>
      <c r="M771" s="248"/>
      <c r="N771" s="25"/>
      <c r="O771" s="26"/>
      <c r="P771" s="26"/>
      <c r="Q771" s="26"/>
      <c r="R771" s="238"/>
      <c r="S771" s="238"/>
      <c r="T771" s="238"/>
      <c r="U771" s="243"/>
    </row>
    <row r="772" spans="1:21" ht="13">
      <c r="A772" s="249"/>
      <c r="B772" s="247" t="s">
        <v>420</v>
      </c>
      <c r="C772" s="64" t="s">
        <v>209</v>
      </c>
      <c r="D772" s="50">
        <v>35</v>
      </c>
      <c r="E772" s="50">
        <v>18</v>
      </c>
      <c r="F772" s="65">
        <f t="shared" ref="F772:F774" si="143">D772*E772</f>
        <v>630</v>
      </c>
      <c r="G772" s="240">
        <f>SUM(F772:F779)</f>
        <v>2316.17</v>
      </c>
      <c r="H772" s="237">
        <v>2500</v>
      </c>
      <c r="I772" s="237">
        <f>H772-G772</f>
        <v>183.82999999999993</v>
      </c>
      <c r="J772" s="241">
        <f>I772/H772</f>
        <v>7.3531999999999972E-2</v>
      </c>
      <c r="L772" s="249"/>
      <c r="M772" s="247" t="s">
        <v>420</v>
      </c>
      <c r="N772" s="64" t="s">
        <v>209</v>
      </c>
      <c r="O772" s="18"/>
      <c r="P772" s="18"/>
      <c r="Q772" s="18"/>
      <c r="R772" s="240">
        <f>SUM(Q772:Q779)</f>
        <v>1686.17</v>
      </c>
      <c r="S772" s="237">
        <v>2500</v>
      </c>
      <c r="T772" s="237">
        <f>S772-R772</f>
        <v>813.82999999999993</v>
      </c>
      <c r="U772" s="241">
        <f>T772/S772</f>
        <v>0.32553199999999999</v>
      </c>
    </row>
    <row r="773" spans="1:21" ht="13">
      <c r="A773" s="249"/>
      <c r="B773" s="236"/>
      <c r="C773" s="22" t="s">
        <v>421</v>
      </c>
      <c r="D773" s="23">
        <v>33.049999999999997</v>
      </c>
      <c r="E773" s="23">
        <v>15</v>
      </c>
      <c r="F773" s="23">
        <f t="shared" si="143"/>
        <v>495.74999999999994</v>
      </c>
      <c r="G773" s="236"/>
      <c r="H773" s="236"/>
      <c r="I773" s="236"/>
      <c r="J773" s="242"/>
      <c r="L773" s="249"/>
      <c r="M773" s="236"/>
      <c r="N773" s="22" t="s">
        <v>421</v>
      </c>
      <c r="O773" s="23">
        <v>33.049999999999997</v>
      </c>
      <c r="P773" s="23">
        <v>15</v>
      </c>
      <c r="Q773" s="23">
        <f t="shared" ref="Q773:Q774" si="144">O773*P773</f>
        <v>495.74999999999994</v>
      </c>
      <c r="R773" s="236"/>
      <c r="S773" s="236"/>
      <c r="T773" s="236"/>
      <c r="U773" s="242"/>
    </row>
    <row r="774" spans="1:21" ht="13">
      <c r="A774" s="249"/>
      <c r="B774" s="236"/>
      <c r="C774" s="22" t="s">
        <v>417</v>
      </c>
      <c r="D774" s="23">
        <v>32.68</v>
      </c>
      <c r="E774" s="23">
        <v>15</v>
      </c>
      <c r="F774" s="23">
        <f t="shared" si="143"/>
        <v>490.2</v>
      </c>
      <c r="G774" s="236"/>
      <c r="H774" s="236"/>
      <c r="I774" s="236"/>
      <c r="J774" s="242"/>
      <c r="L774" s="249"/>
      <c r="M774" s="236"/>
      <c r="N774" s="22" t="s">
        <v>417</v>
      </c>
      <c r="O774" s="23">
        <v>32.68</v>
      </c>
      <c r="P774" s="23">
        <v>15</v>
      </c>
      <c r="Q774" s="23">
        <f t="shared" si="144"/>
        <v>490.2</v>
      </c>
      <c r="R774" s="236"/>
      <c r="S774" s="236"/>
      <c r="T774" s="236"/>
      <c r="U774" s="242"/>
    </row>
    <row r="775" spans="1:21" ht="13">
      <c r="A775" s="249"/>
      <c r="B775" s="236"/>
      <c r="C775" s="22" t="s">
        <v>47</v>
      </c>
      <c r="D775" s="23"/>
      <c r="E775" s="23"/>
      <c r="F775" s="23">
        <v>297.94</v>
      </c>
      <c r="G775" s="236"/>
      <c r="H775" s="236"/>
      <c r="I775" s="236"/>
      <c r="J775" s="242"/>
      <c r="L775" s="249"/>
      <c r="M775" s="236"/>
      <c r="N775" s="22" t="s">
        <v>47</v>
      </c>
      <c r="O775" s="23"/>
      <c r="P775" s="23"/>
      <c r="Q775" s="23">
        <v>297.94</v>
      </c>
      <c r="R775" s="236"/>
      <c r="S775" s="236"/>
      <c r="T775" s="236"/>
      <c r="U775" s="242"/>
    </row>
    <row r="776" spans="1:21" ht="13">
      <c r="A776" s="249"/>
      <c r="B776" s="236"/>
      <c r="C776" s="22" t="s">
        <v>395</v>
      </c>
      <c r="D776" s="23"/>
      <c r="E776" s="23"/>
      <c r="F776" s="23">
        <v>118.39</v>
      </c>
      <c r="G776" s="236"/>
      <c r="H776" s="236"/>
      <c r="I776" s="236"/>
      <c r="J776" s="242"/>
      <c r="L776" s="249"/>
      <c r="M776" s="236"/>
      <c r="N776" s="22" t="s">
        <v>395</v>
      </c>
      <c r="O776" s="23"/>
      <c r="P776" s="23"/>
      <c r="Q776" s="23">
        <v>118.39</v>
      </c>
      <c r="R776" s="236"/>
      <c r="S776" s="236"/>
      <c r="T776" s="236"/>
      <c r="U776" s="242"/>
    </row>
    <row r="777" spans="1:21" ht="13">
      <c r="A777" s="249"/>
      <c r="B777" s="236"/>
      <c r="C777" s="22" t="s">
        <v>422</v>
      </c>
      <c r="D777" s="23"/>
      <c r="E777" s="23"/>
      <c r="F777" s="23">
        <v>162.88999999999999</v>
      </c>
      <c r="G777" s="236"/>
      <c r="H777" s="236"/>
      <c r="I777" s="236"/>
      <c r="J777" s="242"/>
      <c r="L777" s="249"/>
      <c r="M777" s="236"/>
      <c r="N777" s="22" t="s">
        <v>422</v>
      </c>
      <c r="O777" s="23"/>
      <c r="P777" s="23"/>
      <c r="Q777" s="23">
        <v>162.88999999999999</v>
      </c>
      <c r="R777" s="236"/>
      <c r="S777" s="236"/>
      <c r="T777" s="236"/>
      <c r="U777" s="242"/>
    </row>
    <row r="778" spans="1:21" ht="13">
      <c r="A778" s="249"/>
      <c r="B778" s="236"/>
      <c r="C778" s="24" t="s">
        <v>423</v>
      </c>
      <c r="D778" s="23"/>
      <c r="E778" s="23"/>
      <c r="F778" s="23">
        <v>121</v>
      </c>
      <c r="G778" s="236"/>
      <c r="H778" s="236"/>
      <c r="I778" s="236"/>
      <c r="J778" s="242"/>
      <c r="L778" s="249"/>
      <c r="M778" s="236"/>
      <c r="N778" s="24" t="s">
        <v>423</v>
      </c>
      <c r="O778" s="23"/>
      <c r="P778" s="23"/>
      <c r="Q778" s="23">
        <v>121</v>
      </c>
      <c r="R778" s="236"/>
      <c r="S778" s="236"/>
      <c r="T778" s="236"/>
      <c r="U778" s="242"/>
    </row>
    <row r="779" spans="1:21" ht="13">
      <c r="A779" s="249"/>
      <c r="B779" s="248"/>
      <c r="C779" s="25"/>
      <c r="D779" s="26"/>
      <c r="E779" s="26"/>
      <c r="F779" s="26"/>
      <c r="G779" s="238"/>
      <c r="H779" s="238"/>
      <c r="I779" s="238"/>
      <c r="J779" s="243"/>
      <c r="L779" s="249"/>
      <c r="M779" s="248"/>
      <c r="N779" s="25"/>
      <c r="O779" s="26"/>
      <c r="P779" s="26"/>
      <c r="Q779" s="26"/>
      <c r="R779" s="238"/>
      <c r="S779" s="238"/>
      <c r="T779" s="238"/>
      <c r="U779" s="243"/>
    </row>
    <row r="780" spans="1:21" ht="13">
      <c r="A780" s="249"/>
      <c r="B780" s="247" t="s">
        <v>424</v>
      </c>
      <c r="C780" s="15" t="s">
        <v>23</v>
      </c>
      <c r="D780" s="16">
        <v>56</v>
      </c>
      <c r="E780" s="16">
        <v>18</v>
      </c>
      <c r="F780" s="16">
        <f t="shared" ref="F780:F786" si="145">D780*E780</f>
        <v>1008</v>
      </c>
      <c r="G780" s="240">
        <f>SUM(F780:F791)</f>
        <v>12741.270000000002</v>
      </c>
      <c r="H780" s="237">
        <v>16236</v>
      </c>
      <c r="I780" s="237">
        <f>H780-G780</f>
        <v>3494.7299999999977</v>
      </c>
      <c r="J780" s="241">
        <f>I780/H780</f>
        <v>0.21524575018477443</v>
      </c>
      <c r="L780" s="249"/>
      <c r="M780" s="247" t="s">
        <v>424</v>
      </c>
      <c r="N780" s="15" t="s">
        <v>23</v>
      </c>
      <c r="O780" s="18"/>
      <c r="P780" s="18"/>
      <c r="Q780" s="18"/>
      <c r="R780" s="240">
        <f>SUM(Q780:Q791)</f>
        <v>10599.270000000002</v>
      </c>
      <c r="S780" s="237">
        <v>16236</v>
      </c>
      <c r="T780" s="237">
        <f>S780-R780</f>
        <v>5636.7299999999977</v>
      </c>
      <c r="U780" s="241">
        <f>T780/S780</f>
        <v>0.34717479674796736</v>
      </c>
    </row>
    <row r="781" spans="1:21" ht="13">
      <c r="A781" s="249"/>
      <c r="B781" s="236"/>
      <c r="C781" s="24" t="s">
        <v>209</v>
      </c>
      <c r="D781" s="17">
        <v>63</v>
      </c>
      <c r="E781" s="17">
        <v>18</v>
      </c>
      <c r="F781" s="17">
        <f t="shared" si="145"/>
        <v>1134</v>
      </c>
      <c r="G781" s="236"/>
      <c r="H781" s="236"/>
      <c r="I781" s="236"/>
      <c r="J781" s="242"/>
      <c r="L781" s="249"/>
      <c r="M781" s="236"/>
      <c r="N781" s="24" t="s">
        <v>209</v>
      </c>
      <c r="O781" s="18"/>
      <c r="P781" s="18"/>
      <c r="Q781" s="18"/>
      <c r="R781" s="236"/>
      <c r="S781" s="236"/>
      <c r="T781" s="236"/>
      <c r="U781" s="242"/>
    </row>
    <row r="782" spans="1:21" ht="13">
      <c r="A782" s="249"/>
      <c r="B782" s="236"/>
      <c r="C782" s="24" t="s">
        <v>31</v>
      </c>
      <c r="D782" s="17">
        <v>82.85</v>
      </c>
      <c r="E782" s="17">
        <v>15</v>
      </c>
      <c r="F782" s="17">
        <f t="shared" si="145"/>
        <v>1242.75</v>
      </c>
      <c r="G782" s="236"/>
      <c r="H782" s="236"/>
      <c r="I782" s="236"/>
      <c r="J782" s="242"/>
      <c r="L782" s="249"/>
      <c r="M782" s="236"/>
      <c r="N782" s="24" t="s">
        <v>31</v>
      </c>
      <c r="O782" s="17">
        <v>82.85</v>
      </c>
      <c r="P782" s="17">
        <v>15</v>
      </c>
      <c r="Q782" s="17">
        <f t="shared" ref="Q782:Q786" si="146">O782*P782</f>
        <v>1242.75</v>
      </c>
      <c r="R782" s="236"/>
      <c r="S782" s="236"/>
      <c r="T782" s="236"/>
      <c r="U782" s="242"/>
    </row>
    <row r="783" spans="1:21" ht="13">
      <c r="A783" s="249"/>
      <c r="B783" s="236"/>
      <c r="C783" s="24" t="s">
        <v>298</v>
      </c>
      <c r="D783" s="17">
        <v>78.77</v>
      </c>
      <c r="E783" s="17">
        <v>15</v>
      </c>
      <c r="F783" s="17">
        <f t="shared" si="145"/>
        <v>1181.55</v>
      </c>
      <c r="G783" s="236"/>
      <c r="H783" s="236"/>
      <c r="I783" s="236"/>
      <c r="J783" s="242"/>
      <c r="L783" s="249"/>
      <c r="M783" s="236"/>
      <c r="N783" s="24" t="s">
        <v>298</v>
      </c>
      <c r="O783" s="17">
        <v>78.77</v>
      </c>
      <c r="P783" s="17">
        <v>15</v>
      </c>
      <c r="Q783" s="17">
        <f t="shared" si="146"/>
        <v>1181.55</v>
      </c>
      <c r="R783" s="236"/>
      <c r="S783" s="236"/>
      <c r="T783" s="236"/>
      <c r="U783" s="242"/>
    </row>
    <row r="784" spans="1:21" ht="13">
      <c r="A784" s="249"/>
      <c r="B784" s="236"/>
      <c r="C784" s="19" t="s">
        <v>38</v>
      </c>
      <c r="D784" s="17">
        <v>77.45</v>
      </c>
      <c r="E784" s="17">
        <v>15</v>
      </c>
      <c r="F784" s="17">
        <f t="shared" si="145"/>
        <v>1161.75</v>
      </c>
      <c r="G784" s="236"/>
      <c r="H784" s="236"/>
      <c r="I784" s="236"/>
      <c r="J784" s="242"/>
      <c r="L784" s="249"/>
      <c r="M784" s="236"/>
      <c r="N784" s="19" t="s">
        <v>38</v>
      </c>
      <c r="O784" s="17">
        <v>77.45</v>
      </c>
      <c r="P784" s="17">
        <v>15</v>
      </c>
      <c r="Q784" s="17">
        <f t="shared" si="146"/>
        <v>1161.75</v>
      </c>
      <c r="R784" s="236"/>
      <c r="S784" s="236"/>
      <c r="T784" s="236"/>
      <c r="U784" s="242"/>
    </row>
    <row r="785" spans="1:21" ht="13">
      <c r="A785" s="249"/>
      <c r="B785" s="236"/>
      <c r="C785" s="19" t="s">
        <v>32</v>
      </c>
      <c r="D785" s="17">
        <v>84.97</v>
      </c>
      <c r="E785" s="17">
        <v>15</v>
      </c>
      <c r="F785" s="17">
        <f t="shared" si="145"/>
        <v>1274.55</v>
      </c>
      <c r="G785" s="236"/>
      <c r="H785" s="236"/>
      <c r="I785" s="236"/>
      <c r="J785" s="242"/>
      <c r="L785" s="249"/>
      <c r="M785" s="236"/>
      <c r="N785" s="19" t="s">
        <v>32</v>
      </c>
      <c r="O785" s="17">
        <v>84.97</v>
      </c>
      <c r="P785" s="17">
        <v>15</v>
      </c>
      <c r="Q785" s="17">
        <f t="shared" si="146"/>
        <v>1274.55</v>
      </c>
      <c r="R785" s="236"/>
      <c r="S785" s="236"/>
      <c r="T785" s="236"/>
      <c r="U785" s="242"/>
    </row>
    <row r="786" spans="1:21" ht="13">
      <c r="A786" s="249"/>
      <c r="B786" s="236"/>
      <c r="C786" s="19" t="s">
        <v>53</v>
      </c>
      <c r="D786" s="17">
        <v>31.45</v>
      </c>
      <c r="E786" s="17">
        <v>15</v>
      </c>
      <c r="F786" s="17">
        <f t="shared" si="145"/>
        <v>471.75</v>
      </c>
      <c r="G786" s="236"/>
      <c r="H786" s="236"/>
      <c r="I786" s="236"/>
      <c r="J786" s="242"/>
      <c r="L786" s="249"/>
      <c r="M786" s="236"/>
      <c r="N786" s="19" t="s">
        <v>53</v>
      </c>
      <c r="O786" s="17">
        <v>31.45</v>
      </c>
      <c r="P786" s="17">
        <v>15</v>
      </c>
      <c r="Q786" s="17">
        <f t="shared" si="146"/>
        <v>471.75</v>
      </c>
      <c r="R786" s="236"/>
      <c r="S786" s="236"/>
      <c r="T786" s="236"/>
      <c r="U786" s="242"/>
    </row>
    <row r="787" spans="1:21" ht="13">
      <c r="A787" s="249"/>
      <c r="B787" s="236"/>
      <c r="C787" s="19" t="s">
        <v>155</v>
      </c>
      <c r="D787" s="17"/>
      <c r="E787" s="17"/>
      <c r="F787" s="17">
        <v>1831.1</v>
      </c>
      <c r="G787" s="236"/>
      <c r="H787" s="236"/>
      <c r="I787" s="236"/>
      <c r="J787" s="242"/>
      <c r="L787" s="249"/>
      <c r="M787" s="236"/>
      <c r="N787" s="19" t="s">
        <v>155</v>
      </c>
      <c r="O787" s="17"/>
      <c r="P787" s="17"/>
      <c r="Q787" s="17">
        <v>1831.1</v>
      </c>
      <c r="R787" s="236"/>
      <c r="S787" s="236"/>
      <c r="T787" s="236"/>
      <c r="U787" s="242"/>
    </row>
    <row r="788" spans="1:21" ht="13">
      <c r="A788" s="249"/>
      <c r="B788" s="236"/>
      <c r="C788" s="19" t="s">
        <v>47</v>
      </c>
      <c r="D788" s="17"/>
      <c r="E788" s="17"/>
      <c r="F788" s="17">
        <v>1927.95</v>
      </c>
      <c r="G788" s="236"/>
      <c r="H788" s="236"/>
      <c r="I788" s="236"/>
      <c r="J788" s="242"/>
      <c r="L788" s="249"/>
      <c r="M788" s="236"/>
      <c r="N788" s="19" t="s">
        <v>47</v>
      </c>
      <c r="O788" s="17"/>
      <c r="P788" s="17"/>
      <c r="Q788" s="17">
        <v>1927.95</v>
      </c>
      <c r="R788" s="236"/>
      <c r="S788" s="236"/>
      <c r="T788" s="236"/>
      <c r="U788" s="242"/>
    </row>
    <row r="789" spans="1:21" ht="13">
      <c r="A789" s="249"/>
      <c r="B789" s="236"/>
      <c r="C789" s="19" t="s">
        <v>414</v>
      </c>
      <c r="D789" s="17"/>
      <c r="E789" s="17"/>
      <c r="F789" s="17">
        <v>145.1</v>
      </c>
      <c r="G789" s="236"/>
      <c r="H789" s="236"/>
      <c r="I789" s="236"/>
      <c r="J789" s="242"/>
      <c r="L789" s="249"/>
      <c r="M789" s="236"/>
      <c r="N789" s="19" t="s">
        <v>414</v>
      </c>
      <c r="O789" s="17"/>
      <c r="P789" s="17"/>
      <c r="Q789" s="17">
        <v>145.1</v>
      </c>
      <c r="R789" s="236"/>
      <c r="S789" s="236"/>
      <c r="T789" s="236"/>
      <c r="U789" s="242"/>
    </row>
    <row r="790" spans="1:21" ht="13">
      <c r="A790" s="249"/>
      <c r="B790" s="236"/>
      <c r="C790" s="19" t="s">
        <v>83</v>
      </c>
      <c r="D790" s="17"/>
      <c r="E790" s="17"/>
      <c r="F790" s="17">
        <v>344.28</v>
      </c>
      <c r="G790" s="236"/>
      <c r="H790" s="236"/>
      <c r="I790" s="236"/>
      <c r="J790" s="242"/>
      <c r="L790" s="249"/>
      <c r="M790" s="236"/>
      <c r="N790" s="19" t="s">
        <v>83</v>
      </c>
      <c r="O790" s="17"/>
      <c r="P790" s="17"/>
      <c r="Q790" s="17">
        <v>344.28</v>
      </c>
      <c r="R790" s="236"/>
      <c r="S790" s="236"/>
      <c r="T790" s="236"/>
      <c r="U790" s="242"/>
    </row>
    <row r="791" spans="1:21" ht="13">
      <c r="A791" s="249"/>
      <c r="B791" s="248"/>
      <c r="C791" s="20" t="s">
        <v>240</v>
      </c>
      <c r="D791" s="21"/>
      <c r="E791" s="21"/>
      <c r="F791" s="21">
        <v>1018.49</v>
      </c>
      <c r="G791" s="238"/>
      <c r="H791" s="238"/>
      <c r="I791" s="238"/>
      <c r="J791" s="243"/>
      <c r="L791" s="249"/>
      <c r="M791" s="248"/>
      <c r="N791" s="20" t="s">
        <v>240</v>
      </c>
      <c r="O791" s="21"/>
      <c r="P791" s="21"/>
      <c r="Q791" s="21">
        <v>1018.49</v>
      </c>
      <c r="R791" s="238"/>
      <c r="S791" s="238"/>
      <c r="T791" s="238"/>
      <c r="U791" s="243"/>
    </row>
    <row r="792" spans="1:21" ht="13">
      <c r="A792" s="249"/>
      <c r="B792" s="247" t="s">
        <v>425</v>
      </c>
      <c r="C792" s="15" t="s">
        <v>147</v>
      </c>
      <c r="D792" s="16">
        <v>28.5</v>
      </c>
      <c r="E792" s="16">
        <v>15</v>
      </c>
      <c r="F792" s="17">
        <f>D792*E792</f>
        <v>427.5</v>
      </c>
      <c r="G792" s="240">
        <f>SUM(F792:F793)</f>
        <v>427.5</v>
      </c>
      <c r="H792" s="237">
        <v>1250</v>
      </c>
      <c r="I792" s="237">
        <f>H792-G792</f>
        <v>822.5</v>
      </c>
      <c r="J792" s="241">
        <f>I792/H792</f>
        <v>0.65800000000000003</v>
      </c>
      <c r="L792" s="249"/>
      <c r="M792" s="247" t="s">
        <v>425</v>
      </c>
      <c r="N792" s="15" t="s">
        <v>147</v>
      </c>
      <c r="O792" s="16">
        <v>28.5</v>
      </c>
      <c r="P792" s="16">
        <v>15</v>
      </c>
      <c r="Q792" s="17">
        <f>O792*P792</f>
        <v>427.5</v>
      </c>
      <c r="R792" s="240">
        <f>SUM(Q792:Q793)</f>
        <v>427.5</v>
      </c>
      <c r="S792" s="237">
        <v>1250</v>
      </c>
      <c r="T792" s="237">
        <f>S792-R792</f>
        <v>822.5</v>
      </c>
      <c r="U792" s="241">
        <f>T792/S792</f>
        <v>0.65800000000000003</v>
      </c>
    </row>
    <row r="793" spans="1:21" ht="13">
      <c r="A793" s="249"/>
      <c r="B793" s="248"/>
      <c r="C793" s="20"/>
      <c r="D793" s="21"/>
      <c r="E793" s="21"/>
      <c r="F793" s="21"/>
      <c r="G793" s="238"/>
      <c r="H793" s="238"/>
      <c r="I793" s="238"/>
      <c r="J793" s="243"/>
      <c r="L793" s="249"/>
      <c r="M793" s="248"/>
      <c r="N793" s="20"/>
      <c r="O793" s="21"/>
      <c r="P793" s="21"/>
      <c r="Q793" s="21"/>
      <c r="R793" s="238"/>
      <c r="S793" s="238"/>
      <c r="T793" s="238"/>
      <c r="U793" s="243"/>
    </row>
    <row r="794" spans="1:21" ht="13">
      <c r="A794" s="249"/>
      <c r="B794" s="247" t="s">
        <v>426</v>
      </c>
      <c r="C794" s="15" t="s">
        <v>427</v>
      </c>
      <c r="D794" s="16">
        <v>3</v>
      </c>
      <c r="E794" s="16">
        <v>15</v>
      </c>
      <c r="F794" s="16">
        <f t="shared" ref="F794:F795" si="147">D794*E794</f>
        <v>45</v>
      </c>
      <c r="G794" s="240">
        <f>SUM(F794:F802)</f>
        <v>1180.26</v>
      </c>
      <c r="H794" s="237">
        <v>4134.3999999999996</v>
      </c>
      <c r="I794" s="237">
        <f>H794-G794</f>
        <v>2954.1399999999994</v>
      </c>
      <c r="J794" s="241">
        <f>I794/H794</f>
        <v>0.71452689628482968</v>
      </c>
      <c r="L794" s="249"/>
      <c r="M794" s="247" t="s">
        <v>426</v>
      </c>
      <c r="N794" s="15" t="s">
        <v>427</v>
      </c>
      <c r="O794" s="16">
        <v>3</v>
      </c>
      <c r="P794" s="16">
        <v>15</v>
      </c>
      <c r="Q794" s="16">
        <f t="shared" ref="Q794:Q795" si="148">O794*P794</f>
        <v>45</v>
      </c>
      <c r="R794" s="240">
        <f>SUM(Q794:Q802)</f>
        <v>1180.26</v>
      </c>
      <c r="S794" s="237">
        <v>4134.3999999999996</v>
      </c>
      <c r="T794" s="237">
        <f>S794-R794</f>
        <v>2954.1399999999994</v>
      </c>
      <c r="U794" s="241">
        <f>T794/S794</f>
        <v>0.71452689628482968</v>
      </c>
    </row>
    <row r="795" spans="1:21" ht="13">
      <c r="A795" s="249"/>
      <c r="B795" s="236"/>
      <c r="C795" s="19" t="s">
        <v>428</v>
      </c>
      <c r="D795" s="17">
        <v>11.16</v>
      </c>
      <c r="E795" s="17">
        <v>15</v>
      </c>
      <c r="F795" s="17">
        <f t="shared" si="147"/>
        <v>167.4</v>
      </c>
      <c r="G795" s="236"/>
      <c r="H795" s="236"/>
      <c r="I795" s="236"/>
      <c r="J795" s="242"/>
      <c r="L795" s="249"/>
      <c r="M795" s="236"/>
      <c r="N795" s="19" t="s">
        <v>428</v>
      </c>
      <c r="O795" s="17">
        <v>11.16</v>
      </c>
      <c r="P795" s="17">
        <v>15</v>
      </c>
      <c r="Q795" s="17">
        <f t="shared" si="148"/>
        <v>167.4</v>
      </c>
      <c r="R795" s="236"/>
      <c r="S795" s="236"/>
      <c r="T795" s="236"/>
      <c r="U795" s="242"/>
    </row>
    <row r="796" spans="1:21" ht="13">
      <c r="A796" s="249"/>
      <c r="B796" s="236"/>
      <c r="C796" s="19" t="s">
        <v>429</v>
      </c>
      <c r="D796" s="17"/>
      <c r="E796" s="17"/>
      <c r="F796" s="17">
        <v>150</v>
      </c>
      <c r="G796" s="236"/>
      <c r="H796" s="236"/>
      <c r="I796" s="236"/>
      <c r="J796" s="242"/>
      <c r="L796" s="249"/>
      <c r="M796" s="236"/>
      <c r="N796" s="19" t="s">
        <v>429</v>
      </c>
      <c r="O796" s="17"/>
      <c r="P796" s="17"/>
      <c r="Q796" s="17">
        <v>150</v>
      </c>
      <c r="R796" s="236"/>
      <c r="S796" s="236"/>
      <c r="T796" s="236"/>
      <c r="U796" s="242"/>
    </row>
    <row r="797" spans="1:21" ht="13">
      <c r="A797" s="249"/>
      <c r="B797" s="236"/>
      <c r="C797" s="19" t="s">
        <v>430</v>
      </c>
      <c r="D797" s="17"/>
      <c r="E797" s="17"/>
      <c r="F797" s="17">
        <v>300</v>
      </c>
      <c r="G797" s="236"/>
      <c r="H797" s="236"/>
      <c r="I797" s="236"/>
      <c r="J797" s="242"/>
      <c r="L797" s="249"/>
      <c r="M797" s="236"/>
      <c r="N797" s="19" t="s">
        <v>430</v>
      </c>
      <c r="O797" s="17"/>
      <c r="P797" s="17"/>
      <c r="Q797" s="17">
        <v>300</v>
      </c>
      <c r="R797" s="236"/>
      <c r="S797" s="236"/>
      <c r="T797" s="236"/>
      <c r="U797" s="242"/>
    </row>
    <row r="798" spans="1:21" ht="13">
      <c r="A798" s="249"/>
      <c r="B798" s="236"/>
      <c r="C798" s="19" t="s">
        <v>431</v>
      </c>
      <c r="D798" s="17">
        <v>9</v>
      </c>
      <c r="E798" s="17">
        <v>15</v>
      </c>
      <c r="F798" s="17">
        <f t="shared" ref="F798:F800" si="149">D798*E798</f>
        <v>135</v>
      </c>
      <c r="G798" s="236"/>
      <c r="H798" s="236"/>
      <c r="I798" s="236"/>
      <c r="J798" s="242"/>
      <c r="L798" s="249"/>
      <c r="M798" s="236"/>
      <c r="N798" s="19" t="s">
        <v>431</v>
      </c>
      <c r="O798" s="17">
        <v>9</v>
      </c>
      <c r="P798" s="17">
        <v>15</v>
      </c>
      <c r="Q798" s="17">
        <f t="shared" ref="Q798:Q800" si="150">O798*P798</f>
        <v>135</v>
      </c>
      <c r="R798" s="236"/>
      <c r="S798" s="236"/>
      <c r="T798" s="236"/>
      <c r="U798" s="242"/>
    </row>
    <row r="799" spans="1:21" ht="13">
      <c r="A799" s="249"/>
      <c r="B799" s="236"/>
      <c r="C799" s="19" t="s">
        <v>432</v>
      </c>
      <c r="D799" s="17">
        <v>2.82</v>
      </c>
      <c r="E799" s="17">
        <v>15</v>
      </c>
      <c r="F799" s="17">
        <f t="shared" si="149"/>
        <v>42.3</v>
      </c>
      <c r="G799" s="236"/>
      <c r="H799" s="236"/>
      <c r="I799" s="236"/>
      <c r="J799" s="242"/>
      <c r="L799" s="249"/>
      <c r="M799" s="236"/>
      <c r="N799" s="19" t="s">
        <v>432</v>
      </c>
      <c r="O799" s="17">
        <v>2.82</v>
      </c>
      <c r="P799" s="17">
        <v>15</v>
      </c>
      <c r="Q799" s="17">
        <f t="shared" si="150"/>
        <v>42.3</v>
      </c>
      <c r="R799" s="236"/>
      <c r="S799" s="236"/>
      <c r="T799" s="236"/>
      <c r="U799" s="242"/>
    </row>
    <row r="800" spans="1:21" ht="13">
      <c r="A800" s="249"/>
      <c r="B800" s="236"/>
      <c r="C800" s="19" t="s">
        <v>433</v>
      </c>
      <c r="D800" s="17">
        <v>10.38</v>
      </c>
      <c r="E800" s="17">
        <v>15</v>
      </c>
      <c r="F800" s="17">
        <f t="shared" si="149"/>
        <v>155.70000000000002</v>
      </c>
      <c r="G800" s="236"/>
      <c r="H800" s="236"/>
      <c r="I800" s="236"/>
      <c r="J800" s="242"/>
      <c r="L800" s="249"/>
      <c r="M800" s="236"/>
      <c r="N800" s="19" t="s">
        <v>433</v>
      </c>
      <c r="O800" s="17">
        <v>10.38</v>
      </c>
      <c r="P800" s="17">
        <v>15</v>
      </c>
      <c r="Q800" s="17">
        <f t="shared" si="150"/>
        <v>155.70000000000002</v>
      </c>
      <c r="R800" s="236"/>
      <c r="S800" s="236"/>
      <c r="T800" s="236"/>
      <c r="U800" s="242"/>
    </row>
    <row r="801" spans="1:21" ht="13">
      <c r="A801" s="249"/>
      <c r="B801" s="236"/>
      <c r="C801" s="19" t="s">
        <v>174</v>
      </c>
      <c r="D801" s="17"/>
      <c r="E801" s="17"/>
      <c r="F801" s="17">
        <v>64.2</v>
      </c>
      <c r="G801" s="236"/>
      <c r="H801" s="236"/>
      <c r="I801" s="236"/>
      <c r="J801" s="242"/>
      <c r="L801" s="249"/>
      <c r="M801" s="236"/>
      <c r="N801" s="19" t="s">
        <v>174</v>
      </c>
      <c r="O801" s="17"/>
      <c r="P801" s="17"/>
      <c r="Q801" s="17">
        <v>64.2</v>
      </c>
      <c r="R801" s="236"/>
      <c r="S801" s="236"/>
      <c r="T801" s="236"/>
      <c r="U801" s="242"/>
    </row>
    <row r="802" spans="1:21" ht="13">
      <c r="A802" s="249"/>
      <c r="B802" s="248"/>
      <c r="C802" s="20" t="s">
        <v>434</v>
      </c>
      <c r="D802" s="21"/>
      <c r="E802" s="21"/>
      <c r="F802" s="21">
        <v>120.66</v>
      </c>
      <c r="G802" s="238"/>
      <c r="H802" s="238"/>
      <c r="I802" s="238"/>
      <c r="J802" s="243"/>
      <c r="L802" s="249"/>
      <c r="M802" s="248"/>
      <c r="N802" s="20" t="s">
        <v>434</v>
      </c>
      <c r="O802" s="21"/>
      <c r="P802" s="21"/>
      <c r="Q802" s="21">
        <v>120.66</v>
      </c>
      <c r="R802" s="238"/>
      <c r="S802" s="238"/>
      <c r="T802" s="238"/>
      <c r="U802" s="243"/>
    </row>
    <row r="803" spans="1:21" ht="13">
      <c r="A803" s="249"/>
      <c r="B803" s="247" t="s">
        <v>435</v>
      </c>
      <c r="C803" s="15" t="s">
        <v>436</v>
      </c>
      <c r="D803" s="16">
        <v>35</v>
      </c>
      <c r="E803" s="16">
        <v>18</v>
      </c>
      <c r="F803" s="16">
        <f t="shared" ref="F803:F811" si="151">D803*E803</f>
        <v>630</v>
      </c>
      <c r="G803" s="240">
        <f>SUM(F803:F813)</f>
        <v>6732.5300000000007</v>
      </c>
      <c r="H803" s="237">
        <v>15852.3</v>
      </c>
      <c r="I803" s="237">
        <f>H803-G803</f>
        <v>9119.7699999999986</v>
      </c>
      <c r="J803" s="241">
        <f>I803/H803</f>
        <v>0.57529632923929008</v>
      </c>
      <c r="L803" s="249"/>
      <c r="M803" s="247" t="s">
        <v>435</v>
      </c>
      <c r="N803" s="15" t="s">
        <v>436</v>
      </c>
      <c r="O803" s="18"/>
      <c r="P803" s="18"/>
      <c r="Q803" s="18"/>
      <c r="R803" s="240">
        <f>SUM(Q803:Q813)</f>
        <v>6102.5300000000007</v>
      </c>
      <c r="S803" s="237">
        <v>15852.3</v>
      </c>
      <c r="T803" s="237">
        <f>S803-R803</f>
        <v>9749.7699999999986</v>
      </c>
      <c r="U803" s="241">
        <f>T803/S803</f>
        <v>0.61503819635005641</v>
      </c>
    </row>
    <row r="804" spans="1:21" ht="13">
      <c r="A804" s="249"/>
      <c r="B804" s="236"/>
      <c r="C804" s="19" t="s">
        <v>38</v>
      </c>
      <c r="D804" s="17">
        <v>8.2799999999999994</v>
      </c>
      <c r="E804" s="17">
        <v>13</v>
      </c>
      <c r="F804" s="17">
        <f t="shared" si="151"/>
        <v>107.63999999999999</v>
      </c>
      <c r="G804" s="236"/>
      <c r="H804" s="236"/>
      <c r="I804" s="236"/>
      <c r="J804" s="242"/>
      <c r="L804" s="249"/>
      <c r="M804" s="236"/>
      <c r="N804" s="19" t="s">
        <v>38</v>
      </c>
      <c r="O804" s="17">
        <v>8.2799999999999994</v>
      </c>
      <c r="P804" s="17">
        <v>13</v>
      </c>
      <c r="Q804" s="17">
        <f t="shared" ref="Q804:Q811" si="152">O804*P804</f>
        <v>107.63999999999999</v>
      </c>
      <c r="R804" s="236"/>
      <c r="S804" s="236"/>
      <c r="T804" s="236"/>
      <c r="U804" s="242"/>
    </row>
    <row r="805" spans="1:21" ht="13">
      <c r="A805" s="249"/>
      <c r="B805" s="236"/>
      <c r="C805" s="19" t="s">
        <v>353</v>
      </c>
      <c r="D805" s="17">
        <v>20</v>
      </c>
      <c r="E805" s="17">
        <v>13</v>
      </c>
      <c r="F805" s="17">
        <f t="shared" si="151"/>
        <v>260</v>
      </c>
      <c r="G805" s="236"/>
      <c r="H805" s="236"/>
      <c r="I805" s="236"/>
      <c r="J805" s="242"/>
      <c r="L805" s="249"/>
      <c r="M805" s="236"/>
      <c r="N805" s="19" t="s">
        <v>353</v>
      </c>
      <c r="O805" s="17">
        <v>20</v>
      </c>
      <c r="P805" s="17">
        <v>13</v>
      </c>
      <c r="Q805" s="17">
        <f t="shared" si="152"/>
        <v>260</v>
      </c>
      <c r="R805" s="236"/>
      <c r="S805" s="236"/>
      <c r="T805" s="236"/>
      <c r="U805" s="242"/>
    </row>
    <row r="806" spans="1:21" ht="13">
      <c r="A806" s="249"/>
      <c r="B806" s="236"/>
      <c r="C806" s="19" t="s">
        <v>346</v>
      </c>
      <c r="D806" s="17">
        <v>7.8</v>
      </c>
      <c r="E806" s="17">
        <v>13</v>
      </c>
      <c r="F806" s="17">
        <f t="shared" si="151"/>
        <v>101.39999999999999</v>
      </c>
      <c r="G806" s="236"/>
      <c r="H806" s="236"/>
      <c r="I806" s="236"/>
      <c r="J806" s="242"/>
      <c r="L806" s="249"/>
      <c r="M806" s="236"/>
      <c r="N806" s="19" t="s">
        <v>346</v>
      </c>
      <c r="O806" s="17">
        <v>7.8</v>
      </c>
      <c r="P806" s="17">
        <v>13</v>
      </c>
      <c r="Q806" s="17">
        <f t="shared" si="152"/>
        <v>101.39999999999999</v>
      </c>
      <c r="R806" s="236"/>
      <c r="S806" s="236"/>
      <c r="T806" s="236"/>
      <c r="U806" s="242"/>
    </row>
    <row r="807" spans="1:21" ht="13">
      <c r="A807" s="249"/>
      <c r="B807" s="236"/>
      <c r="C807" s="19" t="s">
        <v>73</v>
      </c>
      <c r="D807" s="17">
        <v>36.4</v>
      </c>
      <c r="E807" s="17">
        <v>13</v>
      </c>
      <c r="F807" s="17">
        <f t="shared" si="151"/>
        <v>473.2</v>
      </c>
      <c r="G807" s="236"/>
      <c r="H807" s="236"/>
      <c r="I807" s="236"/>
      <c r="J807" s="242"/>
      <c r="L807" s="249"/>
      <c r="M807" s="236"/>
      <c r="N807" s="19" t="s">
        <v>73</v>
      </c>
      <c r="O807" s="17">
        <v>36.4</v>
      </c>
      <c r="P807" s="17">
        <v>13</v>
      </c>
      <c r="Q807" s="17">
        <f t="shared" si="152"/>
        <v>473.2</v>
      </c>
      <c r="R807" s="236"/>
      <c r="S807" s="236"/>
      <c r="T807" s="236"/>
      <c r="U807" s="242"/>
    </row>
    <row r="808" spans="1:21" ht="13">
      <c r="A808" s="249"/>
      <c r="B808" s="236"/>
      <c r="C808" s="19" t="s">
        <v>31</v>
      </c>
      <c r="D808" s="17">
        <v>19.149999999999999</v>
      </c>
      <c r="E808" s="17">
        <v>13</v>
      </c>
      <c r="F808" s="17">
        <f t="shared" si="151"/>
        <v>248.95</v>
      </c>
      <c r="G808" s="236"/>
      <c r="H808" s="236"/>
      <c r="I808" s="236"/>
      <c r="J808" s="242"/>
      <c r="L808" s="249"/>
      <c r="M808" s="236"/>
      <c r="N808" s="19" t="s">
        <v>31</v>
      </c>
      <c r="O808" s="17">
        <v>19.149999999999999</v>
      </c>
      <c r="P808" s="17">
        <v>13</v>
      </c>
      <c r="Q808" s="17">
        <f t="shared" si="152"/>
        <v>248.95</v>
      </c>
      <c r="R808" s="236"/>
      <c r="S808" s="236"/>
      <c r="T808" s="236"/>
      <c r="U808" s="242"/>
    </row>
    <row r="809" spans="1:21" ht="13">
      <c r="A809" s="249"/>
      <c r="B809" s="236"/>
      <c r="C809" s="19" t="s">
        <v>437</v>
      </c>
      <c r="D809" s="17">
        <v>24.5</v>
      </c>
      <c r="E809" s="17">
        <v>13</v>
      </c>
      <c r="F809" s="17">
        <f t="shared" si="151"/>
        <v>318.5</v>
      </c>
      <c r="G809" s="236"/>
      <c r="H809" s="236"/>
      <c r="I809" s="236"/>
      <c r="J809" s="242"/>
      <c r="L809" s="249"/>
      <c r="M809" s="236"/>
      <c r="N809" s="19" t="s">
        <v>437</v>
      </c>
      <c r="O809" s="17">
        <v>24.5</v>
      </c>
      <c r="P809" s="17">
        <v>13</v>
      </c>
      <c r="Q809" s="17">
        <f t="shared" si="152"/>
        <v>318.5</v>
      </c>
      <c r="R809" s="236"/>
      <c r="S809" s="236"/>
      <c r="T809" s="236"/>
      <c r="U809" s="242"/>
    </row>
    <row r="810" spans="1:21" ht="13">
      <c r="A810" s="249"/>
      <c r="B810" s="236"/>
      <c r="C810" s="19" t="s">
        <v>50</v>
      </c>
      <c r="D810" s="17">
        <v>30.5</v>
      </c>
      <c r="E810" s="17">
        <v>13</v>
      </c>
      <c r="F810" s="17">
        <f t="shared" si="151"/>
        <v>396.5</v>
      </c>
      <c r="G810" s="236"/>
      <c r="H810" s="236"/>
      <c r="I810" s="236"/>
      <c r="J810" s="242"/>
      <c r="L810" s="249"/>
      <c r="M810" s="236"/>
      <c r="N810" s="19" t="s">
        <v>50</v>
      </c>
      <c r="O810" s="17">
        <v>30.5</v>
      </c>
      <c r="P810" s="17">
        <v>13</v>
      </c>
      <c r="Q810" s="17">
        <f t="shared" si="152"/>
        <v>396.5</v>
      </c>
      <c r="R810" s="236"/>
      <c r="S810" s="236"/>
      <c r="T810" s="236"/>
      <c r="U810" s="242"/>
    </row>
    <row r="811" spans="1:21" ht="13">
      <c r="A811" s="249"/>
      <c r="B811" s="236"/>
      <c r="C811" s="19" t="s">
        <v>62</v>
      </c>
      <c r="D811" s="17">
        <v>20.12</v>
      </c>
      <c r="E811" s="17">
        <v>13</v>
      </c>
      <c r="F811" s="17">
        <f t="shared" si="151"/>
        <v>261.56</v>
      </c>
      <c r="G811" s="236"/>
      <c r="H811" s="236"/>
      <c r="I811" s="236"/>
      <c r="J811" s="242"/>
      <c r="L811" s="249"/>
      <c r="M811" s="236"/>
      <c r="N811" s="19" t="s">
        <v>62</v>
      </c>
      <c r="O811" s="17">
        <v>20.12</v>
      </c>
      <c r="P811" s="17">
        <v>13</v>
      </c>
      <c r="Q811" s="17">
        <f t="shared" si="152"/>
        <v>261.56</v>
      </c>
      <c r="R811" s="236"/>
      <c r="S811" s="236"/>
      <c r="T811" s="236"/>
      <c r="U811" s="242"/>
    </row>
    <row r="812" spans="1:21" ht="13">
      <c r="A812" s="249"/>
      <c r="B812" s="236"/>
      <c r="C812" s="19" t="s">
        <v>438</v>
      </c>
      <c r="D812" s="17"/>
      <c r="E812" s="17"/>
      <c r="F812" s="17">
        <v>100</v>
      </c>
      <c r="G812" s="236"/>
      <c r="H812" s="236"/>
      <c r="I812" s="236"/>
      <c r="J812" s="242"/>
      <c r="L812" s="249"/>
      <c r="M812" s="236"/>
      <c r="N812" s="19" t="s">
        <v>438</v>
      </c>
      <c r="O812" s="17"/>
      <c r="P812" s="17"/>
      <c r="Q812" s="17">
        <v>100</v>
      </c>
      <c r="R812" s="236"/>
      <c r="S812" s="236"/>
      <c r="T812" s="236"/>
      <c r="U812" s="242"/>
    </row>
    <row r="813" spans="1:21" ht="13">
      <c r="A813" s="249"/>
      <c r="B813" s="248"/>
      <c r="C813" s="20" t="s">
        <v>434</v>
      </c>
      <c r="D813" s="21"/>
      <c r="E813" s="21"/>
      <c r="F813" s="21">
        <v>3834.78</v>
      </c>
      <c r="G813" s="238"/>
      <c r="H813" s="238"/>
      <c r="I813" s="238"/>
      <c r="J813" s="243"/>
      <c r="L813" s="249"/>
      <c r="M813" s="248"/>
      <c r="N813" s="20" t="s">
        <v>434</v>
      </c>
      <c r="O813" s="21"/>
      <c r="P813" s="21"/>
      <c r="Q813" s="21">
        <v>3834.78</v>
      </c>
      <c r="R813" s="238"/>
      <c r="S813" s="238"/>
      <c r="T813" s="238"/>
      <c r="U813" s="243"/>
    </row>
    <row r="814" spans="1:21" ht="13">
      <c r="A814" s="249"/>
      <c r="B814" s="247" t="s">
        <v>439</v>
      </c>
      <c r="C814" s="15" t="s">
        <v>77</v>
      </c>
      <c r="D814" s="16">
        <v>43.4</v>
      </c>
      <c r="E814" s="16">
        <v>13</v>
      </c>
      <c r="F814" s="17">
        <f t="shared" ref="F814:F821" si="153">D814*E814</f>
        <v>564.19999999999993</v>
      </c>
      <c r="G814" s="240">
        <f>SUM(F814:F822)</f>
        <v>4268.84</v>
      </c>
      <c r="H814" s="237">
        <v>13912.64</v>
      </c>
      <c r="I814" s="237">
        <f>H814-G814</f>
        <v>9643.7999999999993</v>
      </c>
      <c r="J814" s="241">
        <f>I814/H814</f>
        <v>0.69316822687857949</v>
      </c>
      <c r="L814" s="249"/>
      <c r="M814" s="247" t="s">
        <v>439</v>
      </c>
      <c r="N814" s="15" t="s">
        <v>77</v>
      </c>
      <c r="O814" s="16">
        <v>43.4</v>
      </c>
      <c r="P814" s="16">
        <v>13</v>
      </c>
      <c r="Q814" s="17">
        <f t="shared" ref="Q814:Q821" si="154">O814*P814</f>
        <v>564.19999999999993</v>
      </c>
      <c r="R814" s="240">
        <f>SUM(Q814:Q822)</f>
        <v>4268.84</v>
      </c>
      <c r="S814" s="237">
        <v>13912.64</v>
      </c>
      <c r="T814" s="237">
        <f>S814-R814</f>
        <v>9643.7999999999993</v>
      </c>
      <c r="U814" s="241">
        <f>T814/S814</f>
        <v>0.69316822687857949</v>
      </c>
    </row>
    <row r="815" spans="1:21" ht="13">
      <c r="A815" s="249"/>
      <c r="B815" s="236"/>
      <c r="C815" s="19" t="s">
        <v>70</v>
      </c>
      <c r="D815" s="17">
        <v>30.1</v>
      </c>
      <c r="E815" s="17">
        <v>13</v>
      </c>
      <c r="F815" s="17">
        <f t="shared" si="153"/>
        <v>391.3</v>
      </c>
      <c r="G815" s="236"/>
      <c r="H815" s="236"/>
      <c r="I815" s="236"/>
      <c r="J815" s="242"/>
      <c r="L815" s="249"/>
      <c r="M815" s="236"/>
      <c r="N815" s="19" t="s">
        <v>70</v>
      </c>
      <c r="O815" s="17">
        <v>30.1</v>
      </c>
      <c r="P815" s="17">
        <v>13</v>
      </c>
      <c r="Q815" s="17">
        <f t="shared" si="154"/>
        <v>391.3</v>
      </c>
      <c r="R815" s="236"/>
      <c r="S815" s="236"/>
      <c r="T815" s="236"/>
      <c r="U815" s="242"/>
    </row>
    <row r="816" spans="1:21" ht="13">
      <c r="A816" s="249"/>
      <c r="B816" s="236"/>
      <c r="C816" s="19" t="s">
        <v>80</v>
      </c>
      <c r="D816" s="17">
        <v>16.100000000000001</v>
      </c>
      <c r="E816" s="17">
        <v>13</v>
      </c>
      <c r="F816" s="17">
        <f t="shared" si="153"/>
        <v>209.3</v>
      </c>
      <c r="G816" s="236"/>
      <c r="H816" s="236"/>
      <c r="I816" s="236"/>
      <c r="J816" s="242"/>
      <c r="L816" s="249"/>
      <c r="M816" s="236"/>
      <c r="N816" s="19" t="s">
        <v>80</v>
      </c>
      <c r="O816" s="17">
        <v>16.100000000000001</v>
      </c>
      <c r="P816" s="17">
        <v>13</v>
      </c>
      <c r="Q816" s="17">
        <f t="shared" si="154"/>
        <v>209.3</v>
      </c>
      <c r="R816" s="236"/>
      <c r="S816" s="236"/>
      <c r="T816" s="236"/>
      <c r="U816" s="242"/>
    </row>
    <row r="817" spans="1:21" ht="13">
      <c r="A817" s="249"/>
      <c r="B817" s="236"/>
      <c r="C817" s="19" t="s">
        <v>440</v>
      </c>
      <c r="D817" s="17">
        <v>5</v>
      </c>
      <c r="E817" s="17">
        <v>13</v>
      </c>
      <c r="F817" s="17">
        <f t="shared" si="153"/>
        <v>65</v>
      </c>
      <c r="G817" s="236"/>
      <c r="H817" s="236"/>
      <c r="I817" s="236"/>
      <c r="J817" s="242"/>
      <c r="L817" s="249"/>
      <c r="M817" s="236"/>
      <c r="N817" s="19" t="s">
        <v>440</v>
      </c>
      <c r="O817" s="17">
        <v>5</v>
      </c>
      <c r="P817" s="17">
        <v>13</v>
      </c>
      <c r="Q817" s="17">
        <f t="shared" si="154"/>
        <v>65</v>
      </c>
      <c r="R817" s="236"/>
      <c r="S817" s="236"/>
      <c r="T817" s="236"/>
      <c r="U817" s="242"/>
    </row>
    <row r="818" spans="1:21" ht="13">
      <c r="A818" s="249"/>
      <c r="B818" s="236"/>
      <c r="C818" s="19" t="s">
        <v>73</v>
      </c>
      <c r="D818" s="17">
        <v>14</v>
      </c>
      <c r="E818" s="17">
        <v>17</v>
      </c>
      <c r="F818" s="17">
        <f t="shared" si="153"/>
        <v>238</v>
      </c>
      <c r="G818" s="236"/>
      <c r="H818" s="236"/>
      <c r="I818" s="236"/>
      <c r="J818" s="242"/>
      <c r="L818" s="249"/>
      <c r="M818" s="236"/>
      <c r="N818" s="19" t="s">
        <v>73</v>
      </c>
      <c r="O818" s="17">
        <v>14</v>
      </c>
      <c r="P818" s="17">
        <v>17</v>
      </c>
      <c r="Q818" s="17">
        <f t="shared" si="154"/>
        <v>238</v>
      </c>
      <c r="R818" s="236"/>
      <c r="S818" s="236"/>
      <c r="T818" s="236"/>
      <c r="U818" s="242"/>
    </row>
    <row r="819" spans="1:21" ht="13">
      <c r="A819" s="249"/>
      <c r="B819" s="236"/>
      <c r="C819" s="19" t="s">
        <v>346</v>
      </c>
      <c r="D819" s="17">
        <v>5.27</v>
      </c>
      <c r="E819" s="17">
        <v>13</v>
      </c>
      <c r="F819" s="17">
        <f t="shared" si="153"/>
        <v>68.509999999999991</v>
      </c>
      <c r="G819" s="236"/>
      <c r="H819" s="236"/>
      <c r="I819" s="236"/>
      <c r="J819" s="242"/>
      <c r="L819" s="249"/>
      <c r="M819" s="236"/>
      <c r="N819" s="19" t="s">
        <v>346</v>
      </c>
      <c r="O819" s="17">
        <v>5.27</v>
      </c>
      <c r="P819" s="17">
        <v>13</v>
      </c>
      <c r="Q819" s="17">
        <f t="shared" si="154"/>
        <v>68.509999999999991</v>
      </c>
      <c r="R819" s="236"/>
      <c r="S819" s="236"/>
      <c r="T819" s="236"/>
      <c r="U819" s="242"/>
    </row>
    <row r="820" spans="1:21" ht="13">
      <c r="A820" s="249"/>
      <c r="B820" s="236"/>
      <c r="C820" s="19" t="s">
        <v>441</v>
      </c>
      <c r="D820" s="17">
        <v>7</v>
      </c>
      <c r="E820" s="17">
        <v>13</v>
      </c>
      <c r="F820" s="17">
        <f t="shared" si="153"/>
        <v>91</v>
      </c>
      <c r="G820" s="236"/>
      <c r="H820" s="236"/>
      <c r="I820" s="236"/>
      <c r="J820" s="242"/>
      <c r="L820" s="249"/>
      <c r="M820" s="236"/>
      <c r="N820" s="19" t="s">
        <v>441</v>
      </c>
      <c r="O820" s="17">
        <v>7</v>
      </c>
      <c r="P820" s="17">
        <v>13</v>
      </c>
      <c r="Q820" s="17">
        <f t="shared" si="154"/>
        <v>91</v>
      </c>
      <c r="R820" s="236"/>
      <c r="S820" s="236"/>
      <c r="T820" s="236"/>
      <c r="U820" s="242"/>
    </row>
    <row r="821" spans="1:21" ht="13">
      <c r="A821" s="249"/>
      <c r="B821" s="236"/>
      <c r="C821" s="19" t="s">
        <v>50</v>
      </c>
      <c r="D821" s="17">
        <v>13</v>
      </c>
      <c r="E821" s="17">
        <v>13</v>
      </c>
      <c r="F821" s="17">
        <f t="shared" si="153"/>
        <v>169</v>
      </c>
      <c r="G821" s="236"/>
      <c r="H821" s="236"/>
      <c r="I821" s="236"/>
      <c r="J821" s="242"/>
      <c r="L821" s="249"/>
      <c r="M821" s="236"/>
      <c r="N821" s="19" t="s">
        <v>50</v>
      </c>
      <c r="O821" s="17">
        <v>13</v>
      </c>
      <c r="P821" s="17">
        <v>13</v>
      </c>
      <c r="Q821" s="17">
        <f t="shared" si="154"/>
        <v>169</v>
      </c>
      <c r="R821" s="236"/>
      <c r="S821" s="236"/>
      <c r="T821" s="236"/>
      <c r="U821" s="242"/>
    </row>
    <row r="822" spans="1:21" ht="13">
      <c r="A822" s="249"/>
      <c r="B822" s="248"/>
      <c r="C822" s="20" t="s">
        <v>434</v>
      </c>
      <c r="D822" s="21"/>
      <c r="E822" s="21"/>
      <c r="F822" s="21">
        <v>2472.5300000000002</v>
      </c>
      <c r="G822" s="238"/>
      <c r="H822" s="238"/>
      <c r="I822" s="238"/>
      <c r="J822" s="243"/>
      <c r="L822" s="249"/>
      <c r="M822" s="248"/>
      <c r="N822" s="20" t="s">
        <v>434</v>
      </c>
      <c r="O822" s="21"/>
      <c r="P822" s="21"/>
      <c r="Q822" s="21">
        <v>2472.5300000000002</v>
      </c>
      <c r="R822" s="238"/>
      <c r="S822" s="238"/>
      <c r="T822" s="238"/>
      <c r="U822" s="243"/>
    </row>
    <row r="823" spans="1:21" ht="13">
      <c r="A823" s="249"/>
      <c r="B823" s="247" t="s">
        <v>442</v>
      </c>
      <c r="C823" s="15" t="s">
        <v>443</v>
      </c>
      <c r="D823" s="16">
        <v>12.45</v>
      </c>
      <c r="E823" s="16">
        <v>15</v>
      </c>
      <c r="F823" s="17">
        <f t="shared" ref="F823:F828" si="155">D823*E823</f>
        <v>186.75</v>
      </c>
      <c r="G823" s="240">
        <f>SUM(F823:F831)</f>
        <v>1669.45</v>
      </c>
      <c r="H823" s="237">
        <v>2735</v>
      </c>
      <c r="I823" s="237">
        <f>H823-G823</f>
        <v>1065.55</v>
      </c>
      <c r="J823" s="241">
        <f>I823/H823</f>
        <v>0.3895978062157221</v>
      </c>
      <c r="L823" s="249"/>
      <c r="M823" s="247" t="s">
        <v>442</v>
      </c>
      <c r="N823" s="15" t="s">
        <v>443</v>
      </c>
      <c r="O823" s="16">
        <v>12.45</v>
      </c>
      <c r="P823" s="16">
        <v>15</v>
      </c>
      <c r="Q823" s="17">
        <f t="shared" ref="Q823:Q826" si="156">O823*P823</f>
        <v>186.75</v>
      </c>
      <c r="R823" s="240">
        <f>SUM(Q823:Q831)</f>
        <v>1417.4499999999998</v>
      </c>
      <c r="S823" s="237">
        <v>2735</v>
      </c>
      <c r="T823" s="237">
        <f>S823-R823</f>
        <v>1317.5500000000002</v>
      </c>
      <c r="U823" s="241">
        <f>T823/S823</f>
        <v>0.48173674588665455</v>
      </c>
    </row>
    <row r="824" spans="1:21" ht="13">
      <c r="A824" s="249"/>
      <c r="B824" s="236"/>
      <c r="C824" s="19" t="s">
        <v>444</v>
      </c>
      <c r="D824" s="17">
        <v>12.2</v>
      </c>
      <c r="E824" s="17">
        <v>15</v>
      </c>
      <c r="F824" s="17">
        <f t="shared" si="155"/>
        <v>183</v>
      </c>
      <c r="G824" s="236"/>
      <c r="H824" s="236"/>
      <c r="I824" s="236"/>
      <c r="J824" s="242"/>
      <c r="L824" s="249"/>
      <c r="M824" s="236"/>
      <c r="N824" s="19" t="s">
        <v>444</v>
      </c>
      <c r="O824" s="17">
        <v>12.2</v>
      </c>
      <c r="P824" s="17">
        <v>15</v>
      </c>
      <c r="Q824" s="17">
        <f t="shared" si="156"/>
        <v>183</v>
      </c>
      <c r="R824" s="236"/>
      <c r="S824" s="236"/>
      <c r="T824" s="236"/>
      <c r="U824" s="242"/>
    </row>
    <row r="825" spans="1:21" ht="13">
      <c r="A825" s="249"/>
      <c r="B825" s="236"/>
      <c r="C825" s="19" t="s">
        <v>31</v>
      </c>
      <c r="D825" s="17">
        <v>10.5</v>
      </c>
      <c r="E825" s="17">
        <v>15</v>
      </c>
      <c r="F825" s="17">
        <f t="shared" si="155"/>
        <v>157.5</v>
      </c>
      <c r="G825" s="236"/>
      <c r="H825" s="236"/>
      <c r="I825" s="236"/>
      <c r="J825" s="242"/>
      <c r="L825" s="249"/>
      <c r="M825" s="236"/>
      <c r="N825" s="19" t="s">
        <v>31</v>
      </c>
      <c r="O825" s="17">
        <v>10.5</v>
      </c>
      <c r="P825" s="17">
        <v>15</v>
      </c>
      <c r="Q825" s="17">
        <f t="shared" si="156"/>
        <v>157.5</v>
      </c>
      <c r="R825" s="236"/>
      <c r="S825" s="236"/>
      <c r="T825" s="236"/>
      <c r="U825" s="242"/>
    </row>
    <row r="826" spans="1:21" ht="13">
      <c r="A826" s="249"/>
      <c r="B826" s="236"/>
      <c r="C826" s="19" t="s">
        <v>58</v>
      </c>
      <c r="D826" s="17">
        <v>10</v>
      </c>
      <c r="E826" s="17">
        <v>15</v>
      </c>
      <c r="F826" s="17">
        <f t="shared" si="155"/>
        <v>150</v>
      </c>
      <c r="G826" s="236"/>
      <c r="H826" s="236"/>
      <c r="I826" s="236"/>
      <c r="J826" s="242"/>
      <c r="L826" s="249"/>
      <c r="M826" s="236"/>
      <c r="N826" s="19" t="s">
        <v>58</v>
      </c>
      <c r="O826" s="17">
        <v>10</v>
      </c>
      <c r="P826" s="17">
        <v>15</v>
      </c>
      <c r="Q826" s="17">
        <f t="shared" si="156"/>
        <v>150</v>
      </c>
      <c r="R826" s="236"/>
      <c r="S826" s="236"/>
      <c r="T826" s="236"/>
      <c r="U826" s="242"/>
    </row>
    <row r="827" spans="1:21" ht="13">
      <c r="A827" s="249"/>
      <c r="B827" s="236"/>
      <c r="C827" s="19" t="s">
        <v>23</v>
      </c>
      <c r="D827" s="17">
        <v>14</v>
      </c>
      <c r="E827" s="17">
        <v>18</v>
      </c>
      <c r="F827" s="17">
        <f t="shared" si="155"/>
        <v>252</v>
      </c>
      <c r="G827" s="236"/>
      <c r="H827" s="236"/>
      <c r="I827" s="236"/>
      <c r="J827" s="242"/>
      <c r="L827" s="249"/>
      <c r="M827" s="236"/>
      <c r="N827" s="19" t="s">
        <v>23</v>
      </c>
      <c r="O827" s="18"/>
      <c r="P827" s="18"/>
      <c r="Q827" s="18"/>
      <c r="R827" s="236"/>
      <c r="S827" s="236"/>
      <c r="T827" s="236"/>
      <c r="U827" s="242"/>
    </row>
    <row r="828" spans="1:21" ht="13">
      <c r="A828" s="249"/>
      <c r="B828" s="236"/>
      <c r="C828" s="19" t="s">
        <v>62</v>
      </c>
      <c r="D828" s="17">
        <v>10.82</v>
      </c>
      <c r="E828" s="17">
        <v>15</v>
      </c>
      <c r="F828" s="17">
        <f t="shared" si="155"/>
        <v>162.30000000000001</v>
      </c>
      <c r="G828" s="236"/>
      <c r="H828" s="236"/>
      <c r="I828" s="236"/>
      <c r="J828" s="242"/>
      <c r="L828" s="249"/>
      <c r="M828" s="236"/>
      <c r="N828" s="19" t="s">
        <v>62</v>
      </c>
      <c r="O828" s="17">
        <v>10.82</v>
      </c>
      <c r="P828" s="17">
        <v>15</v>
      </c>
      <c r="Q828" s="17">
        <f>O828*P828</f>
        <v>162.30000000000001</v>
      </c>
      <c r="R828" s="236"/>
      <c r="S828" s="236"/>
      <c r="T828" s="236"/>
      <c r="U828" s="242"/>
    </row>
    <row r="829" spans="1:21" ht="13">
      <c r="A829" s="249"/>
      <c r="B829" s="236"/>
      <c r="C829" s="19" t="s">
        <v>445</v>
      </c>
      <c r="D829" s="17"/>
      <c r="E829" s="17"/>
      <c r="F829" s="17">
        <v>81.66</v>
      </c>
      <c r="G829" s="236"/>
      <c r="H829" s="236"/>
      <c r="I829" s="236"/>
      <c r="J829" s="242"/>
      <c r="L829" s="249"/>
      <c r="M829" s="236"/>
      <c r="N829" s="19" t="s">
        <v>445</v>
      </c>
      <c r="O829" s="17"/>
      <c r="P829" s="17"/>
      <c r="Q829" s="17">
        <v>81.66</v>
      </c>
      <c r="R829" s="236"/>
      <c r="S829" s="236"/>
      <c r="T829" s="236"/>
      <c r="U829" s="242"/>
    </row>
    <row r="830" spans="1:21" ht="13">
      <c r="A830" s="249"/>
      <c r="B830" s="236"/>
      <c r="C830" s="19" t="s">
        <v>47</v>
      </c>
      <c r="D830" s="17"/>
      <c r="E830" s="17"/>
      <c r="F830" s="17">
        <v>376.24</v>
      </c>
      <c r="G830" s="236"/>
      <c r="H830" s="236"/>
      <c r="I830" s="236"/>
      <c r="J830" s="242"/>
      <c r="L830" s="249"/>
      <c r="M830" s="236"/>
      <c r="N830" s="19" t="s">
        <v>47</v>
      </c>
      <c r="O830" s="17"/>
      <c r="P830" s="17"/>
      <c r="Q830" s="17">
        <v>376.24</v>
      </c>
      <c r="R830" s="236"/>
      <c r="S830" s="236"/>
      <c r="T830" s="236"/>
      <c r="U830" s="242"/>
    </row>
    <row r="831" spans="1:21" ht="13">
      <c r="A831" s="249"/>
      <c r="B831" s="248"/>
      <c r="C831" s="20" t="s">
        <v>45</v>
      </c>
      <c r="D831" s="21"/>
      <c r="E831" s="21"/>
      <c r="F831" s="21">
        <v>120</v>
      </c>
      <c r="G831" s="238"/>
      <c r="H831" s="238"/>
      <c r="I831" s="238"/>
      <c r="J831" s="243"/>
      <c r="L831" s="249"/>
      <c r="M831" s="248"/>
      <c r="N831" s="20" t="s">
        <v>45</v>
      </c>
      <c r="O831" s="21"/>
      <c r="P831" s="21"/>
      <c r="Q831" s="21">
        <v>120</v>
      </c>
      <c r="R831" s="238"/>
      <c r="S831" s="238"/>
      <c r="T831" s="238"/>
      <c r="U831" s="243"/>
    </row>
    <row r="832" spans="1:21" ht="13">
      <c r="A832" s="249"/>
      <c r="B832" s="282" t="s">
        <v>446</v>
      </c>
      <c r="C832" s="15" t="s">
        <v>23</v>
      </c>
      <c r="D832" s="16">
        <v>7</v>
      </c>
      <c r="E832" s="16">
        <v>18</v>
      </c>
      <c r="F832" s="17">
        <f>D832*E832</f>
        <v>126</v>
      </c>
      <c r="G832" s="240">
        <f>SUM(F832:F838)</f>
        <v>700.54</v>
      </c>
      <c r="H832" s="237">
        <v>2925.44</v>
      </c>
      <c r="I832" s="237">
        <f>H832-G832</f>
        <v>2224.9</v>
      </c>
      <c r="J832" s="241">
        <f>I832/H832</f>
        <v>0.76053516735943993</v>
      </c>
      <c r="L832" s="249"/>
      <c r="M832" s="282" t="s">
        <v>446</v>
      </c>
      <c r="N832" s="15" t="s">
        <v>23</v>
      </c>
      <c r="O832" s="18"/>
      <c r="P832" s="18"/>
      <c r="Q832" s="18"/>
      <c r="R832" s="240">
        <f>SUM(Q832:Q838)</f>
        <v>574.54</v>
      </c>
      <c r="S832" s="237">
        <v>2925.44</v>
      </c>
      <c r="T832" s="237">
        <f>S832-R832</f>
        <v>2350.9</v>
      </c>
      <c r="U832" s="241">
        <f>T832/S832</f>
        <v>0.80360561146357468</v>
      </c>
    </row>
    <row r="833" spans="1:21" ht="13">
      <c r="A833" s="249"/>
      <c r="B833" s="236"/>
      <c r="C833" s="19" t="s">
        <v>447</v>
      </c>
      <c r="D833" s="17"/>
      <c r="E833" s="17"/>
      <c r="F833" s="17">
        <v>34.549999999999997</v>
      </c>
      <c r="G833" s="236"/>
      <c r="H833" s="236"/>
      <c r="I833" s="236"/>
      <c r="J833" s="242"/>
      <c r="L833" s="249"/>
      <c r="M833" s="236"/>
      <c r="N833" s="19" t="s">
        <v>447</v>
      </c>
      <c r="O833" s="17"/>
      <c r="P833" s="17"/>
      <c r="Q833" s="17">
        <v>34.549999999999997</v>
      </c>
      <c r="R833" s="236"/>
      <c r="S833" s="236"/>
      <c r="T833" s="236"/>
      <c r="U833" s="242"/>
    </row>
    <row r="834" spans="1:21" ht="13">
      <c r="A834" s="249"/>
      <c r="B834" s="236"/>
      <c r="C834" s="19" t="s">
        <v>45</v>
      </c>
      <c r="D834" s="17"/>
      <c r="E834" s="17"/>
      <c r="F834" s="17">
        <v>78.39</v>
      </c>
      <c r="G834" s="236"/>
      <c r="H834" s="236"/>
      <c r="I834" s="236"/>
      <c r="J834" s="242"/>
      <c r="L834" s="249"/>
      <c r="M834" s="236"/>
      <c r="N834" s="19" t="s">
        <v>45</v>
      </c>
      <c r="O834" s="17"/>
      <c r="P834" s="17"/>
      <c r="Q834" s="17">
        <v>78.39</v>
      </c>
      <c r="R834" s="236"/>
      <c r="S834" s="236"/>
      <c r="T834" s="236"/>
      <c r="U834" s="242"/>
    </row>
    <row r="835" spans="1:21" ht="13">
      <c r="A835" s="249"/>
      <c r="B835" s="236"/>
      <c r="C835" s="19" t="s">
        <v>155</v>
      </c>
      <c r="D835" s="17"/>
      <c r="E835" s="17"/>
      <c r="F835" s="17">
        <v>333.8</v>
      </c>
      <c r="G835" s="236"/>
      <c r="H835" s="236"/>
      <c r="I835" s="236"/>
      <c r="J835" s="242"/>
      <c r="L835" s="249"/>
      <c r="M835" s="236"/>
      <c r="N835" s="19" t="s">
        <v>155</v>
      </c>
      <c r="O835" s="17"/>
      <c r="P835" s="17"/>
      <c r="Q835" s="17">
        <v>333.8</v>
      </c>
      <c r="R835" s="236"/>
      <c r="S835" s="236"/>
      <c r="T835" s="236"/>
      <c r="U835" s="242"/>
    </row>
    <row r="836" spans="1:21" ht="13">
      <c r="A836" s="249"/>
      <c r="B836" s="236"/>
      <c r="C836" s="19" t="s">
        <v>306</v>
      </c>
      <c r="D836" s="17"/>
      <c r="E836" s="17"/>
      <c r="F836" s="17">
        <v>35</v>
      </c>
      <c r="G836" s="236"/>
      <c r="H836" s="236"/>
      <c r="I836" s="236"/>
      <c r="J836" s="242"/>
      <c r="L836" s="249"/>
      <c r="M836" s="236"/>
      <c r="N836" s="19" t="s">
        <v>306</v>
      </c>
      <c r="O836" s="17"/>
      <c r="P836" s="17"/>
      <c r="Q836" s="17">
        <v>35</v>
      </c>
      <c r="R836" s="236"/>
      <c r="S836" s="236"/>
      <c r="T836" s="236"/>
      <c r="U836" s="242"/>
    </row>
    <row r="837" spans="1:21" ht="13">
      <c r="A837" s="249"/>
      <c r="B837" s="236"/>
      <c r="C837" s="19" t="s">
        <v>434</v>
      </c>
      <c r="D837" s="17"/>
      <c r="E837" s="17"/>
      <c r="F837" s="17">
        <v>65.8</v>
      </c>
      <c r="G837" s="236"/>
      <c r="H837" s="236"/>
      <c r="I837" s="236"/>
      <c r="J837" s="242"/>
      <c r="L837" s="249"/>
      <c r="M837" s="236"/>
      <c r="N837" s="19" t="s">
        <v>434</v>
      </c>
      <c r="O837" s="17"/>
      <c r="P837" s="17"/>
      <c r="Q837" s="17">
        <v>65.8</v>
      </c>
      <c r="R837" s="236"/>
      <c r="S837" s="236"/>
      <c r="T837" s="236"/>
      <c r="U837" s="242"/>
    </row>
    <row r="838" spans="1:21" ht="13">
      <c r="A838" s="249"/>
      <c r="B838" s="248"/>
      <c r="C838" s="20" t="s">
        <v>367</v>
      </c>
      <c r="D838" s="21"/>
      <c r="E838" s="21"/>
      <c r="F838" s="21">
        <v>27</v>
      </c>
      <c r="G838" s="238"/>
      <c r="H838" s="238"/>
      <c r="I838" s="238"/>
      <c r="J838" s="243"/>
      <c r="L838" s="249"/>
      <c r="M838" s="248"/>
      <c r="N838" s="20" t="s">
        <v>367</v>
      </c>
      <c r="O838" s="21"/>
      <c r="P838" s="21"/>
      <c r="Q838" s="21">
        <v>27</v>
      </c>
      <c r="R838" s="238"/>
      <c r="S838" s="238"/>
      <c r="T838" s="238"/>
      <c r="U838" s="243"/>
    </row>
    <row r="839" spans="1:21" ht="13">
      <c r="A839" s="249"/>
      <c r="B839" s="282" t="s">
        <v>448</v>
      </c>
      <c r="C839" s="15" t="s">
        <v>285</v>
      </c>
      <c r="D839" s="16">
        <v>35</v>
      </c>
      <c r="E839" s="16">
        <v>13</v>
      </c>
      <c r="F839" s="17">
        <f>D839*E839</f>
        <v>455</v>
      </c>
      <c r="G839" s="240">
        <f>SUM(F839:F844)</f>
        <v>2844.84</v>
      </c>
      <c r="H839" s="237">
        <v>4953.88</v>
      </c>
      <c r="I839" s="237">
        <f>H839-G839</f>
        <v>2109.04</v>
      </c>
      <c r="J839" s="241">
        <f>I839/H839</f>
        <v>0.42573497945045097</v>
      </c>
      <c r="L839" s="249"/>
      <c r="M839" s="282" t="s">
        <v>448</v>
      </c>
      <c r="N839" s="15" t="s">
        <v>285</v>
      </c>
      <c r="O839" s="18"/>
      <c r="P839" s="18"/>
      <c r="Q839" s="18"/>
      <c r="R839" s="240">
        <f>SUM(Q839:Q844)</f>
        <v>2339.84</v>
      </c>
      <c r="S839" s="237">
        <v>4953.88</v>
      </c>
      <c r="T839" s="237">
        <f>S839-R839</f>
        <v>2614.04</v>
      </c>
      <c r="U839" s="241">
        <f>T839/S839</f>
        <v>0.52767527675276749</v>
      </c>
    </row>
    <row r="840" spans="1:21" ht="13">
      <c r="A840" s="249"/>
      <c r="B840" s="236"/>
      <c r="C840" s="19" t="s">
        <v>449</v>
      </c>
      <c r="D840" s="17"/>
      <c r="E840" s="17"/>
      <c r="F840" s="17">
        <v>1373</v>
      </c>
      <c r="G840" s="236"/>
      <c r="H840" s="236"/>
      <c r="I840" s="236"/>
      <c r="J840" s="242"/>
      <c r="L840" s="249"/>
      <c r="M840" s="236"/>
      <c r="N840" s="19" t="s">
        <v>449</v>
      </c>
      <c r="O840" s="17"/>
      <c r="P840" s="17"/>
      <c r="Q840" s="17">
        <v>1373</v>
      </c>
      <c r="R840" s="236"/>
      <c r="S840" s="236"/>
      <c r="T840" s="236"/>
      <c r="U840" s="242"/>
    </row>
    <row r="841" spans="1:21" ht="13">
      <c r="A841" s="249"/>
      <c r="B841" s="236"/>
      <c r="C841" s="19" t="s">
        <v>155</v>
      </c>
      <c r="D841" s="17"/>
      <c r="E841" s="17"/>
      <c r="F841" s="17">
        <v>476.82</v>
      </c>
      <c r="G841" s="236"/>
      <c r="H841" s="236"/>
      <c r="I841" s="236"/>
      <c r="J841" s="242"/>
      <c r="L841" s="249"/>
      <c r="M841" s="236"/>
      <c r="N841" s="19" t="s">
        <v>155</v>
      </c>
      <c r="O841" s="17"/>
      <c r="P841" s="17"/>
      <c r="Q841" s="17">
        <v>476.82</v>
      </c>
      <c r="R841" s="236"/>
      <c r="S841" s="236"/>
      <c r="T841" s="236"/>
      <c r="U841" s="242"/>
    </row>
    <row r="842" spans="1:21" ht="13">
      <c r="A842" s="249"/>
      <c r="B842" s="236"/>
      <c r="C842" s="19" t="s">
        <v>46</v>
      </c>
      <c r="D842" s="17"/>
      <c r="E842" s="17"/>
      <c r="F842" s="17">
        <v>207</v>
      </c>
      <c r="G842" s="236"/>
      <c r="H842" s="236"/>
      <c r="I842" s="236"/>
      <c r="J842" s="242"/>
      <c r="L842" s="249"/>
      <c r="M842" s="236"/>
      <c r="N842" s="19" t="s">
        <v>46</v>
      </c>
      <c r="O842" s="17"/>
      <c r="P842" s="17"/>
      <c r="Q842" s="17">
        <v>157</v>
      </c>
      <c r="R842" s="236"/>
      <c r="S842" s="236"/>
      <c r="T842" s="236"/>
      <c r="U842" s="242"/>
    </row>
    <row r="843" spans="1:21" ht="13">
      <c r="A843" s="249"/>
      <c r="B843" s="236"/>
      <c r="C843" s="19" t="s">
        <v>47</v>
      </c>
      <c r="D843" s="17"/>
      <c r="E843" s="17"/>
      <c r="F843" s="17">
        <v>333.02</v>
      </c>
      <c r="G843" s="236"/>
      <c r="H843" s="236"/>
      <c r="I843" s="236"/>
      <c r="J843" s="242"/>
      <c r="L843" s="249"/>
      <c r="M843" s="236"/>
      <c r="N843" s="19" t="s">
        <v>47</v>
      </c>
      <c r="O843" s="17"/>
      <c r="P843" s="17"/>
      <c r="Q843" s="17">
        <v>333.02</v>
      </c>
      <c r="R843" s="236"/>
      <c r="S843" s="236"/>
      <c r="T843" s="236"/>
      <c r="U843" s="242"/>
    </row>
    <row r="844" spans="1:21" ht="13">
      <c r="A844" s="249"/>
      <c r="B844" s="248"/>
      <c r="C844" s="20"/>
      <c r="D844" s="21"/>
      <c r="E844" s="21"/>
      <c r="F844" s="21"/>
      <c r="G844" s="238"/>
      <c r="H844" s="238"/>
      <c r="I844" s="238"/>
      <c r="J844" s="243"/>
      <c r="L844" s="249"/>
      <c r="M844" s="248"/>
      <c r="N844" s="20"/>
      <c r="O844" s="21"/>
      <c r="P844" s="21"/>
      <c r="Q844" s="21"/>
      <c r="R844" s="238"/>
      <c r="S844" s="238"/>
      <c r="T844" s="238"/>
      <c r="U844" s="243"/>
    </row>
    <row r="845" spans="1:21" ht="30">
      <c r="A845" s="278" t="s">
        <v>450</v>
      </c>
      <c r="B845" s="252"/>
      <c r="C845" s="253"/>
      <c r="D845" s="56">
        <f t="shared" ref="D845:I845" si="157">AVERAGE(D745:D844)</f>
        <v>23.946363636363635</v>
      </c>
      <c r="E845" s="56">
        <f t="shared" si="157"/>
        <v>14.890909090909091</v>
      </c>
      <c r="F845" s="56">
        <f t="shared" si="157"/>
        <v>403.87072916666676</v>
      </c>
      <c r="G845" s="56">
        <f t="shared" si="157"/>
        <v>3230.9658333333341</v>
      </c>
      <c r="H845" s="56">
        <f t="shared" si="157"/>
        <v>7242.9716666666673</v>
      </c>
      <c r="I845" s="56">
        <f t="shared" si="157"/>
        <v>4012.0058333333327</v>
      </c>
      <c r="J845" s="57">
        <f>AVERAGE($J$12:$J$76)</f>
        <v>0.79942354689485917</v>
      </c>
      <c r="L845" s="278" t="s">
        <v>450</v>
      </c>
      <c r="M845" s="252"/>
      <c r="N845" s="253"/>
      <c r="O845" s="56">
        <f t="shared" ref="O845:T845" si="158">AVERAGE(O745:O844)</f>
        <v>22.423333333333336</v>
      </c>
      <c r="P845" s="56">
        <f t="shared" si="158"/>
        <v>14.377777777777778</v>
      </c>
      <c r="Q845" s="56">
        <f t="shared" si="158"/>
        <v>390.3716470588235</v>
      </c>
      <c r="R845" s="56">
        <f t="shared" si="158"/>
        <v>2765.1325000000011</v>
      </c>
      <c r="S845" s="56">
        <f t="shared" si="158"/>
        <v>7242.9716666666673</v>
      </c>
      <c r="T845" s="56">
        <f t="shared" si="158"/>
        <v>4477.8391666666657</v>
      </c>
      <c r="U845" s="57">
        <f>AVERAGE($J$12:$J$76)</f>
        <v>0.79942354689485917</v>
      </c>
    </row>
    <row r="846" spans="1:21" ht="30">
      <c r="A846" s="279" t="s">
        <v>451</v>
      </c>
      <c r="B846" s="255"/>
      <c r="C846" s="256"/>
      <c r="D846" s="56">
        <f t="shared" ref="D846:I846" si="159">SUM(D745:D844)</f>
        <v>1317.05</v>
      </c>
      <c r="E846" s="56">
        <f t="shared" si="159"/>
        <v>819</v>
      </c>
      <c r="F846" s="56">
        <f t="shared" si="159"/>
        <v>38771.590000000011</v>
      </c>
      <c r="G846" s="56">
        <f t="shared" si="159"/>
        <v>38771.590000000011</v>
      </c>
      <c r="H846" s="56">
        <f t="shared" si="159"/>
        <v>86915.66</v>
      </c>
      <c r="I846" s="56">
        <f t="shared" si="159"/>
        <v>48144.069999999992</v>
      </c>
      <c r="J846" s="58">
        <f t="shared" ref="J846:J847" si="160">I846/H846</f>
        <v>0.55391709618266705</v>
      </c>
      <c r="L846" s="279" t="s">
        <v>451</v>
      </c>
      <c r="M846" s="255"/>
      <c r="N846" s="256"/>
      <c r="O846" s="56">
        <f t="shared" ref="O846:T846" si="161">SUM(O745:O844)</f>
        <v>1009.0500000000001</v>
      </c>
      <c r="P846" s="56">
        <f t="shared" si="161"/>
        <v>647</v>
      </c>
      <c r="Q846" s="56">
        <f t="shared" si="161"/>
        <v>33181.589999999997</v>
      </c>
      <c r="R846" s="56">
        <f t="shared" si="161"/>
        <v>33181.590000000011</v>
      </c>
      <c r="S846" s="56">
        <f t="shared" si="161"/>
        <v>86915.66</v>
      </c>
      <c r="T846" s="56">
        <f t="shared" si="161"/>
        <v>53734.069999999992</v>
      </c>
      <c r="U846" s="58">
        <f t="shared" ref="U846:U847" si="162">T846/S846</f>
        <v>0.61823231854880911</v>
      </c>
    </row>
    <row r="847" spans="1:21" ht="13">
      <c r="A847" s="277" t="s">
        <v>8</v>
      </c>
      <c r="B847" s="282" t="s">
        <v>452</v>
      </c>
      <c r="C847" s="15" t="s">
        <v>32</v>
      </c>
      <c r="D847" s="16">
        <v>8.44</v>
      </c>
      <c r="E847" s="16">
        <v>13</v>
      </c>
      <c r="F847" s="17">
        <f t="shared" ref="F847:F849" si="163">D847*E847</f>
        <v>109.72</v>
      </c>
      <c r="G847" s="240">
        <f>SUM(F847:F850)</f>
        <v>302.64</v>
      </c>
      <c r="H847" s="237">
        <v>1693.44</v>
      </c>
      <c r="I847" s="237">
        <f>H847-G847</f>
        <v>1390.8000000000002</v>
      </c>
      <c r="J847" s="241">
        <f t="shared" si="160"/>
        <v>0.82128684807256247</v>
      </c>
      <c r="L847" s="277" t="s">
        <v>8</v>
      </c>
      <c r="M847" s="282" t="s">
        <v>452</v>
      </c>
      <c r="N847" s="15" t="s">
        <v>32</v>
      </c>
      <c r="O847" s="16">
        <v>8.44</v>
      </c>
      <c r="P847" s="16">
        <v>13</v>
      </c>
      <c r="Q847" s="17">
        <f t="shared" ref="Q847:Q849" si="164">O847*P847</f>
        <v>109.72</v>
      </c>
      <c r="R847" s="240">
        <f>SUM(Q847:Q850)</f>
        <v>302.64</v>
      </c>
      <c r="S847" s="237">
        <v>1693.44</v>
      </c>
      <c r="T847" s="237">
        <f>S847-R847</f>
        <v>1390.8000000000002</v>
      </c>
      <c r="U847" s="241">
        <f t="shared" si="162"/>
        <v>0.82128684807256247</v>
      </c>
    </row>
    <row r="848" spans="1:21" ht="13">
      <c r="A848" s="249"/>
      <c r="B848" s="236"/>
      <c r="C848" s="19" t="s">
        <v>298</v>
      </c>
      <c r="D848" s="17">
        <v>6.95</v>
      </c>
      <c r="E848" s="17">
        <v>13</v>
      </c>
      <c r="F848" s="17">
        <f t="shared" si="163"/>
        <v>90.350000000000009</v>
      </c>
      <c r="G848" s="236"/>
      <c r="H848" s="236"/>
      <c r="I848" s="236"/>
      <c r="J848" s="242"/>
      <c r="L848" s="249"/>
      <c r="M848" s="236"/>
      <c r="N848" s="19" t="s">
        <v>298</v>
      </c>
      <c r="O848" s="17">
        <v>6.95</v>
      </c>
      <c r="P848" s="17">
        <v>13</v>
      </c>
      <c r="Q848" s="17">
        <f t="shared" si="164"/>
        <v>90.350000000000009</v>
      </c>
      <c r="R848" s="236"/>
      <c r="S848" s="236"/>
      <c r="T848" s="236"/>
      <c r="U848" s="242"/>
    </row>
    <row r="849" spans="1:21" ht="13">
      <c r="A849" s="249"/>
      <c r="B849" s="236"/>
      <c r="C849" s="19" t="s">
        <v>55</v>
      </c>
      <c r="D849" s="17">
        <v>7.89</v>
      </c>
      <c r="E849" s="17">
        <v>13</v>
      </c>
      <c r="F849" s="17">
        <f t="shared" si="163"/>
        <v>102.57</v>
      </c>
      <c r="G849" s="236"/>
      <c r="H849" s="236"/>
      <c r="I849" s="236"/>
      <c r="J849" s="242"/>
      <c r="L849" s="249"/>
      <c r="M849" s="236"/>
      <c r="N849" s="19" t="s">
        <v>55</v>
      </c>
      <c r="O849" s="17">
        <v>7.89</v>
      </c>
      <c r="P849" s="17">
        <v>13</v>
      </c>
      <c r="Q849" s="17">
        <f t="shared" si="164"/>
        <v>102.57</v>
      </c>
      <c r="R849" s="236"/>
      <c r="S849" s="236"/>
      <c r="T849" s="236"/>
      <c r="U849" s="242"/>
    </row>
    <row r="850" spans="1:21" ht="13">
      <c r="A850" s="249"/>
      <c r="B850" s="248"/>
      <c r="C850" s="20"/>
      <c r="D850" s="21"/>
      <c r="E850" s="21"/>
      <c r="F850" s="21"/>
      <c r="G850" s="238"/>
      <c r="H850" s="238"/>
      <c r="I850" s="238"/>
      <c r="J850" s="243"/>
      <c r="L850" s="249"/>
      <c r="M850" s="248"/>
      <c r="N850" s="20"/>
      <c r="O850" s="21"/>
      <c r="P850" s="21"/>
      <c r="Q850" s="21"/>
      <c r="R850" s="238"/>
      <c r="S850" s="238"/>
      <c r="T850" s="238"/>
      <c r="U850" s="243"/>
    </row>
    <row r="851" spans="1:21" ht="13">
      <c r="A851" s="249"/>
      <c r="B851" s="282" t="s">
        <v>453</v>
      </c>
      <c r="C851" s="15" t="s">
        <v>23</v>
      </c>
      <c r="D851" s="16">
        <v>14</v>
      </c>
      <c r="E851" s="16">
        <v>18</v>
      </c>
      <c r="F851" s="17">
        <f>D851*E851</f>
        <v>252</v>
      </c>
      <c r="G851" s="240">
        <f>SUM(F851:F858)</f>
        <v>786.78</v>
      </c>
      <c r="H851" s="237">
        <v>2981.22</v>
      </c>
      <c r="I851" s="237">
        <f>H851-G851</f>
        <v>2194.4399999999996</v>
      </c>
      <c r="J851" s="241">
        <f>I851/H851</f>
        <v>0.73608791031859433</v>
      </c>
      <c r="L851" s="249"/>
      <c r="M851" s="282" t="s">
        <v>453</v>
      </c>
      <c r="N851" s="15" t="s">
        <v>23</v>
      </c>
      <c r="O851" s="18"/>
      <c r="P851" s="18"/>
      <c r="Q851" s="18"/>
      <c r="R851" s="240">
        <f>SUM(Q851:Q858)</f>
        <v>534.78</v>
      </c>
      <c r="S851" s="237">
        <v>2981.22</v>
      </c>
      <c r="T851" s="237">
        <f>S851-R851</f>
        <v>2446.4399999999996</v>
      </c>
      <c r="U851" s="241">
        <f>T851/S851</f>
        <v>0.82061706281321067</v>
      </c>
    </row>
    <row r="852" spans="1:21" ht="13">
      <c r="A852" s="249"/>
      <c r="B852" s="236"/>
      <c r="C852" s="19" t="s">
        <v>31</v>
      </c>
      <c r="D852" s="17"/>
      <c r="E852" s="17"/>
      <c r="F852" s="17">
        <v>120</v>
      </c>
      <c r="G852" s="236"/>
      <c r="H852" s="236"/>
      <c r="I852" s="236"/>
      <c r="J852" s="242"/>
      <c r="L852" s="249"/>
      <c r="M852" s="236"/>
      <c r="N852" s="19" t="s">
        <v>31</v>
      </c>
      <c r="O852" s="17"/>
      <c r="P852" s="17"/>
      <c r="Q852" s="17">
        <v>120</v>
      </c>
      <c r="R852" s="236"/>
      <c r="S852" s="236"/>
      <c r="T852" s="236"/>
      <c r="U852" s="242"/>
    </row>
    <row r="853" spans="1:21" ht="13">
      <c r="A853" s="249"/>
      <c r="B853" s="236"/>
      <c r="C853" s="19" t="s">
        <v>47</v>
      </c>
      <c r="D853" s="17"/>
      <c r="E853" s="17"/>
      <c r="F853" s="17">
        <v>146.93</v>
      </c>
      <c r="G853" s="236"/>
      <c r="H853" s="236"/>
      <c r="I853" s="236"/>
      <c r="J853" s="242"/>
      <c r="L853" s="249"/>
      <c r="M853" s="236"/>
      <c r="N853" s="19" t="s">
        <v>47</v>
      </c>
      <c r="O853" s="17"/>
      <c r="P853" s="17"/>
      <c r="Q853" s="17">
        <v>146.93</v>
      </c>
      <c r="R853" s="236"/>
      <c r="S853" s="236"/>
      <c r="T853" s="236"/>
      <c r="U853" s="242"/>
    </row>
    <row r="854" spans="1:21" ht="13">
      <c r="A854" s="249"/>
      <c r="B854" s="236"/>
      <c r="C854" s="19" t="s">
        <v>45</v>
      </c>
      <c r="D854" s="17"/>
      <c r="E854" s="17"/>
      <c r="F854" s="17">
        <v>67</v>
      </c>
      <c r="G854" s="236"/>
      <c r="H854" s="236"/>
      <c r="I854" s="236"/>
      <c r="J854" s="242"/>
      <c r="L854" s="249"/>
      <c r="M854" s="236"/>
      <c r="N854" s="19" t="s">
        <v>45</v>
      </c>
      <c r="O854" s="17"/>
      <c r="P854" s="17"/>
      <c r="Q854" s="17">
        <v>67</v>
      </c>
      <c r="R854" s="236"/>
      <c r="S854" s="236"/>
      <c r="T854" s="236"/>
      <c r="U854" s="242"/>
    </row>
    <row r="855" spans="1:21" ht="13">
      <c r="A855" s="249"/>
      <c r="B855" s="236"/>
      <c r="C855" s="19" t="s">
        <v>212</v>
      </c>
      <c r="D855" s="17"/>
      <c r="E855" s="17"/>
      <c r="F855" s="17">
        <v>50.6</v>
      </c>
      <c r="G855" s="236"/>
      <c r="H855" s="236"/>
      <c r="I855" s="236"/>
      <c r="J855" s="242"/>
      <c r="L855" s="249"/>
      <c r="M855" s="236"/>
      <c r="N855" s="19" t="s">
        <v>212</v>
      </c>
      <c r="O855" s="17"/>
      <c r="P855" s="17"/>
      <c r="Q855" s="17">
        <v>50.6</v>
      </c>
      <c r="R855" s="236"/>
      <c r="S855" s="236"/>
      <c r="T855" s="236"/>
      <c r="U855" s="242"/>
    </row>
    <row r="856" spans="1:21" ht="13">
      <c r="A856" s="249"/>
      <c r="B856" s="236"/>
      <c r="C856" s="19" t="s">
        <v>240</v>
      </c>
      <c r="D856" s="17"/>
      <c r="E856" s="17"/>
      <c r="F856" s="17">
        <v>62.69</v>
      </c>
      <c r="G856" s="236"/>
      <c r="H856" s="236"/>
      <c r="I856" s="236"/>
      <c r="J856" s="242"/>
      <c r="L856" s="249"/>
      <c r="M856" s="236"/>
      <c r="N856" s="19" t="s">
        <v>240</v>
      </c>
      <c r="O856" s="17"/>
      <c r="P856" s="17"/>
      <c r="Q856" s="17">
        <v>62.69</v>
      </c>
      <c r="R856" s="236"/>
      <c r="S856" s="236"/>
      <c r="T856" s="236"/>
      <c r="U856" s="242"/>
    </row>
    <row r="857" spans="1:21" ht="13">
      <c r="A857" s="249"/>
      <c r="B857" s="236"/>
      <c r="C857" s="19" t="s">
        <v>33</v>
      </c>
      <c r="D857" s="17"/>
      <c r="E857" s="17"/>
      <c r="F857" s="17">
        <v>87.56</v>
      </c>
      <c r="G857" s="236"/>
      <c r="H857" s="236"/>
      <c r="I857" s="236"/>
      <c r="J857" s="242"/>
      <c r="L857" s="249"/>
      <c r="M857" s="236"/>
      <c r="N857" s="19" t="s">
        <v>33</v>
      </c>
      <c r="O857" s="17"/>
      <c r="P857" s="17"/>
      <c r="Q857" s="17">
        <v>87.56</v>
      </c>
      <c r="R857" s="236"/>
      <c r="S857" s="236"/>
      <c r="T857" s="236"/>
      <c r="U857" s="242"/>
    </row>
    <row r="858" spans="1:21" ht="13">
      <c r="A858" s="249"/>
      <c r="B858" s="248"/>
      <c r="C858" s="20"/>
      <c r="D858" s="21"/>
      <c r="E858" s="21"/>
      <c r="F858" s="21"/>
      <c r="G858" s="238"/>
      <c r="H858" s="238"/>
      <c r="I858" s="238"/>
      <c r="J858" s="243"/>
      <c r="L858" s="249"/>
      <c r="M858" s="248"/>
      <c r="N858" s="20"/>
      <c r="O858" s="21"/>
      <c r="P858" s="21"/>
      <c r="Q858" s="21"/>
      <c r="R858" s="238"/>
      <c r="S858" s="238"/>
      <c r="T858" s="238"/>
      <c r="U858" s="243"/>
    </row>
    <row r="859" spans="1:21" ht="13">
      <c r="A859" s="249"/>
      <c r="B859" s="282" t="s">
        <v>454</v>
      </c>
      <c r="C859" s="15" t="s">
        <v>23</v>
      </c>
      <c r="D859" s="16">
        <v>21</v>
      </c>
      <c r="E859" s="16">
        <v>18</v>
      </c>
      <c r="F859" s="17">
        <f t="shared" ref="F859:F860" si="165">D859*E859</f>
        <v>378</v>
      </c>
      <c r="G859" s="240">
        <f>SUM(F859:F865)</f>
        <v>1310.57</v>
      </c>
      <c r="H859" s="237">
        <v>3375.5</v>
      </c>
      <c r="I859" s="237">
        <f>H859-G859</f>
        <v>2064.9300000000003</v>
      </c>
      <c r="J859" s="241">
        <f>I859/H859</f>
        <v>0.61174048289142358</v>
      </c>
      <c r="L859" s="249"/>
      <c r="M859" s="282" t="s">
        <v>454</v>
      </c>
      <c r="N859" s="15" t="s">
        <v>23</v>
      </c>
      <c r="O859" s="18"/>
      <c r="P859" s="18"/>
      <c r="Q859" s="18"/>
      <c r="R859" s="240">
        <f>SUM(Q859:Q865)</f>
        <v>932.56999999999994</v>
      </c>
      <c r="S859" s="237">
        <v>3375.5</v>
      </c>
      <c r="T859" s="237">
        <f>S859-R859</f>
        <v>2442.9300000000003</v>
      </c>
      <c r="U859" s="241">
        <f>T859/S859</f>
        <v>0.72372389275662874</v>
      </c>
    </row>
    <row r="860" spans="1:21" ht="13">
      <c r="A860" s="249"/>
      <c r="B860" s="236"/>
      <c r="C860" s="19" t="s">
        <v>31</v>
      </c>
      <c r="D860" s="17">
        <v>12.2</v>
      </c>
      <c r="E860" s="17">
        <v>17</v>
      </c>
      <c r="F860" s="17">
        <f t="shared" si="165"/>
        <v>207.39999999999998</v>
      </c>
      <c r="G860" s="236"/>
      <c r="H860" s="236"/>
      <c r="I860" s="236"/>
      <c r="J860" s="242"/>
      <c r="L860" s="249"/>
      <c r="M860" s="236"/>
      <c r="N860" s="19" t="s">
        <v>31</v>
      </c>
      <c r="O860" s="17">
        <v>12.2</v>
      </c>
      <c r="P860" s="17">
        <v>17</v>
      </c>
      <c r="Q860" s="17">
        <f>O860*P860</f>
        <v>207.39999999999998</v>
      </c>
      <c r="R860" s="236"/>
      <c r="S860" s="236"/>
      <c r="T860" s="236"/>
      <c r="U860" s="242"/>
    </row>
    <row r="861" spans="1:21" ht="13">
      <c r="A861" s="249"/>
      <c r="B861" s="236"/>
      <c r="C861" s="19" t="s">
        <v>47</v>
      </c>
      <c r="D861" s="17"/>
      <c r="E861" s="17"/>
      <c r="F861" s="17">
        <v>255.28</v>
      </c>
      <c r="G861" s="236"/>
      <c r="H861" s="236"/>
      <c r="I861" s="236"/>
      <c r="J861" s="242"/>
      <c r="L861" s="249"/>
      <c r="M861" s="236"/>
      <c r="N861" s="19" t="s">
        <v>47</v>
      </c>
      <c r="O861" s="17"/>
      <c r="P861" s="17"/>
      <c r="Q861" s="17">
        <v>255.28</v>
      </c>
      <c r="R861" s="236"/>
      <c r="S861" s="236"/>
      <c r="T861" s="236"/>
      <c r="U861" s="242"/>
    </row>
    <row r="862" spans="1:21" ht="13">
      <c r="A862" s="249"/>
      <c r="B862" s="236"/>
      <c r="C862" s="19" t="s">
        <v>45</v>
      </c>
      <c r="D862" s="17"/>
      <c r="E862" s="17"/>
      <c r="F862" s="17">
        <v>207</v>
      </c>
      <c r="G862" s="236"/>
      <c r="H862" s="236"/>
      <c r="I862" s="236"/>
      <c r="J862" s="242"/>
      <c r="L862" s="249"/>
      <c r="M862" s="236"/>
      <c r="N862" s="19" t="s">
        <v>45</v>
      </c>
      <c r="O862" s="17"/>
      <c r="P862" s="17"/>
      <c r="Q862" s="17">
        <v>207</v>
      </c>
      <c r="R862" s="236"/>
      <c r="S862" s="236"/>
      <c r="T862" s="236"/>
      <c r="U862" s="242"/>
    </row>
    <row r="863" spans="1:21" ht="13">
      <c r="A863" s="249"/>
      <c r="B863" s="236"/>
      <c r="C863" s="19" t="s">
        <v>212</v>
      </c>
      <c r="D863" s="17"/>
      <c r="E863" s="17"/>
      <c r="F863" s="17">
        <v>149.24</v>
      </c>
      <c r="G863" s="236"/>
      <c r="H863" s="236"/>
      <c r="I863" s="236"/>
      <c r="J863" s="242"/>
      <c r="L863" s="249"/>
      <c r="M863" s="236"/>
      <c r="N863" s="19" t="s">
        <v>212</v>
      </c>
      <c r="O863" s="17"/>
      <c r="P863" s="17"/>
      <c r="Q863" s="17">
        <v>149.24</v>
      </c>
      <c r="R863" s="236"/>
      <c r="S863" s="236"/>
      <c r="T863" s="236"/>
      <c r="U863" s="242"/>
    </row>
    <row r="864" spans="1:21" ht="13">
      <c r="A864" s="249"/>
      <c r="B864" s="236"/>
      <c r="C864" s="19" t="s">
        <v>240</v>
      </c>
      <c r="D864" s="17"/>
      <c r="E864" s="17"/>
      <c r="F864" s="17">
        <v>113.65</v>
      </c>
      <c r="G864" s="236"/>
      <c r="H864" s="236"/>
      <c r="I864" s="236"/>
      <c r="J864" s="242"/>
      <c r="L864" s="249"/>
      <c r="M864" s="236"/>
      <c r="N864" s="19" t="s">
        <v>240</v>
      </c>
      <c r="O864" s="17"/>
      <c r="P864" s="17"/>
      <c r="Q864" s="17">
        <v>113.65</v>
      </c>
      <c r="R864" s="236"/>
      <c r="S864" s="236"/>
      <c r="T864" s="236"/>
      <c r="U864" s="242"/>
    </row>
    <row r="865" spans="1:21" ht="13">
      <c r="A865" s="249"/>
      <c r="B865" s="248"/>
      <c r="C865" s="20"/>
      <c r="D865" s="21"/>
      <c r="E865" s="21"/>
      <c r="F865" s="21"/>
      <c r="G865" s="238"/>
      <c r="H865" s="238"/>
      <c r="I865" s="238"/>
      <c r="J865" s="243"/>
      <c r="L865" s="249"/>
      <c r="M865" s="248"/>
      <c r="N865" s="20"/>
      <c r="O865" s="21"/>
      <c r="P865" s="21"/>
      <c r="Q865" s="21"/>
      <c r="R865" s="238"/>
      <c r="S865" s="238"/>
      <c r="T865" s="238"/>
      <c r="U865" s="243"/>
    </row>
    <row r="866" spans="1:21" ht="13">
      <c r="A866" s="249"/>
      <c r="B866" s="282" t="s">
        <v>455</v>
      </c>
      <c r="C866" s="15" t="s">
        <v>70</v>
      </c>
      <c r="D866" s="16"/>
      <c r="E866" s="16"/>
      <c r="F866" s="17">
        <v>150</v>
      </c>
      <c r="G866" s="240">
        <f>SUM(F866:F872)</f>
        <v>793.2</v>
      </c>
      <c r="H866" s="237">
        <v>2575.44</v>
      </c>
      <c r="I866" s="237">
        <f>H866-G866</f>
        <v>1782.24</v>
      </c>
      <c r="J866" s="241">
        <f>I866/H866</f>
        <v>0.69201379181809708</v>
      </c>
      <c r="L866" s="249"/>
      <c r="M866" s="282" t="s">
        <v>455</v>
      </c>
      <c r="N866" s="15" t="s">
        <v>70</v>
      </c>
      <c r="O866" s="16"/>
      <c r="P866" s="16"/>
      <c r="Q866" s="17">
        <v>150</v>
      </c>
      <c r="R866" s="240">
        <f>SUM(Q866:Q872)</f>
        <v>793.2</v>
      </c>
      <c r="S866" s="237">
        <v>2575.44</v>
      </c>
      <c r="T866" s="237">
        <f>S866-R866</f>
        <v>1782.24</v>
      </c>
      <c r="U866" s="241">
        <f>T866/S866</f>
        <v>0.69201379181809708</v>
      </c>
    </row>
    <row r="867" spans="1:21" ht="13">
      <c r="A867" s="249"/>
      <c r="B867" s="236"/>
      <c r="C867" s="19" t="s">
        <v>155</v>
      </c>
      <c r="D867" s="17"/>
      <c r="E867" s="17"/>
      <c r="F867" s="17">
        <v>258.60000000000002</v>
      </c>
      <c r="G867" s="236"/>
      <c r="H867" s="236"/>
      <c r="I867" s="236"/>
      <c r="J867" s="242"/>
      <c r="L867" s="249"/>
      <c r="M867" s="236"/>
      <c r="N867" s="19" t="s">
        <v>155</v>
      </c>
      <c r="O867" s="17"/>
      <c r="P867" s="17"/>
      <c r="Q867" s="17">
        <v>258.60000000000002</v>
      </c>
      <c r="R867" s="236"/>
      <c r="S867" s="236"/>
      <c r="T867" s="236"/>
      <c r="U867" s="242"/>
    </row>
    <row r="868" spans="1:21" ht="13">
      <c r="A868" s="249"/>
      <c r="B868" s="236"/>
      <c r="C868" s="19" t="s">
        <v>47</v>
      </c>
      <c r="D868" s="17"/>
      <c r="E868" s="17"/>
      <c r="F868" s="17">
        <v>60.89</v>
      </c>
      <c r="G868" s="236"/>
      <c r="H868" s="236"/>
      <c r="I868" s="236"/>
      <c r="J868" s="242"/>
      <c r="L868" s="249"/>
      <c r="M868" s="236"/>
      <c r="N868" s="19" t="s">
        <v>47</v>
      </c>
      <c r="O868" s="17"/>
      <c r="P868" s="17"/>
      <c r="Q868" s="17">
        <v>60.89</v>
      </c>
      <c r="R868" s="236"/>
      <c r="S868" s="236"/>
      <c r="T868" s="236"/>
      <c r="U868" s="242"/>
    </row>
    <row r="869" spans="1:21" ht="13">
      <c r="A869" s="249"/>
      <c r="B869" s="236"/>
      <c r="C869" s="19" t="s">
        <v>45</v>
      </c>
      <c r="D869" s="17"/>
      <c r="E869" s="17"/>
      <c r="F869" s="17">
        <v>123.1</v>
      </c>
      <c r="G869" s="236"/>
      <c r="H869" s="236"/>
      <c r="I869" s="236"/>
      <c r="J869" s="242"/>
      <c r="L869" s="249"/>
      <c r="M869" s="236"/>
      <c r="N869" s="19" t="s">
        <v>45</v>
      </c>
      <c r="O869" s="17"/>
      <c r="P869" s="17"/>
      <c r="Q869" s="17">
        <v>123.1</v>
      </c>
      <c r="R869" s="236"/>
      <c r="S869" s="236"/>
      <c r="T869" s="236"/>
      <c r="U869" s="242"/>
    </row>
    <row r="870" spans="1:21" ht="13">
      <c r="A870" s="249"/>
      <c r="B870" s="236"/>
      <c r="C870" s="19" t="s">
        <v>212</v>
      </c>
      <c r="D870" s="17"/>
      <c r="E870" s="17"/>
      <c r="F870" s="17">
        <v>113.3</v>
      </c>
      <c r="G870" s="236"/>
      <c r="H870" s="236"/>
      <c r="I870" s="236"/>
      <c r="J870" s="242"/>
      <c r="L870" s="249"/>
      <c r="M870" s="236"/>
      <c r="N870" s="19" t="s">
        <v>212</v>
      </c>
      <c r="O870" s="17"/>
      <c r="P870" s="17"/>
      <c r="Q870" s="17">
        <v>113.3</v>
      </c>
      <c r="R870" s="236"/>
      <c r="S870" s="236"/>
      <c r="T870" s="236"/>
      <c r="U870" s="242"/>
    </row>
    <row r="871" spans="1:21" ht="13">
      <c r="A871" s="249"/>
      <c r="B871" s="236"/>
      <c r="C871" s="19" t="s">
        <v>240</v>
      </c>
      <c r="D871" s="17"/>
      <c r="E871" s="17"/>
      <c r="F871" s="17">
        <v>24.09</v>
      </c>
      <c r="G871" s="236"/>
      <c r="H871" s="236"/>
      <c r="I871" s="236"/>
      <c r="J871" s="242"/>
      <c r="L871" s="249"/>
      <c r="M871" s="236"/>
      <c r="N871" s="19" t="s">
        <v>240</v>
      </c>
      <c r="O871" s="17"/>
      <c r="P871" s="17"/>
      <c r="Q871" s="17">
        <v>24.09</v>
      </c>
      <c r="R871" s="236"/>
      <c r="S871" s="236"/>
      <c r="T871" s="236"/>
      <c r="U871" s="242"/>
    </row>
    <row r="872" spans="1:21" ht="13">
      <c r="A872" s="249"/>
      <c r="B872" s="248"/>
      <c r="C872" s="20" t="s">
        <v>33</v>
      </c>
      <c r="D872" s="21"/>
      <c r="E872" s="21"/>
      <c r="F872" s="21">
        <v>63.22</v>
      </c>
      <c r="G872" s="238"/>
      <c r="H872" s="238"/>
      <c r="I872" s="238"/>
      <c r="J872" s="243"/>
      <c r="L872" s="249"/>
      <c r="M872" s="248"/>
      <c r="N872" s="20" t="s">
        <v>33</v>
      </c>
      <c r="O872" s="21"/>
      <c r="P872" s="21"/>
      <c r="Q872" s="21">
        <v>63.22</v>
      </c>
      <c r="R872" s="238"/>
      <c r="S872" s="238"/>
      <c r="T872" s="238"/>
      <c r="U872" s="243"/>
    </row>
    <row r="873" spans="1:21" ht="13">
      <c r="A873" s="249"/>
      <c r="B873" s="247" t="s">
        <v>456</v>
      </c>
      <c r="C873" s="15" t="s">
        <v>457</v>
      </c>
      <c r="D873" s="16">
        <v>58</v>
      </c>
      <c r="E873" s="16">
        <v>17</v>
      </c>
      <c r="F873" s="17">
        <f t="shared" ref="F873:F879" si="166">D873*E873</f>
        <v>986</v>
      </c>
      <c r="G873" s="240">
        <f>SUM(F873:F879)</f>
        <v>3112.15</v>
      </c>
      <c r="H873" s="237">
        <v>9900</v>
      </c>
      <c r="I873" s="237">
        <f>H873-G873</f>
        <v>6787.85</v>
      </c>
      <c r="J873" s="241">
        <f>I873/H873</f>
        <v>0.68564141414141422</v>
      </c>
      <c r="L873" s="249"/>
      <c r="M873" s="247" t="s">
        <v>456</v>
      </c>
      <c r="N873" s="15" t="s">
        <v>457</v>
      </c>
      <c r="O873" s="16">
        <v>58</v>
      </c>
      <c r="P873" s="16">
        <v>17</v>
      </c>
      <c r="Q873" s="17">
        <f t="shared" ref="Q873:Q879" si="167">O873*P873</f>
        <v>986</v>
      </c>
      <c r="R873" s="240">
        <f>SUM(Q873:Q879)</f>
        <v>3112.15</v>
      </c>
      <c r="S873" s="237">
        <v>9900</v>
      </c>
      <c r="T873" s="237">
        <f>S873-R873</f>
        <v>6787.85</v>
      </c>
      <c r="U873" s="241">
        <f>T873/S873</f>
        <v>0.68564141414141422</v>
      </c>
    </row>
    <row r="874" spans="1:21" ht="13">
      <c r="A874" s="249"/>
      <c r="B874" s="236"/>
      <c r="C874" s="19" t="s">
        <v>76</v>
      </c>
      <c r="D874" s="17">
        <v>39.549999999999997</v>
      </c>
      <c r="E874" s="17">
        <v>17</v>
      </c>
      <c r="F874" s="17">
        <f t="shared" si="166"/>
        <v>672.34999999999991</v>
      </c>
      <c r="G874" s="236"/>
      <c r="H874" s="236"/>
      <c r="I874" s="236"/>
      <c r="J874" s="242"/>
      <c r="L874" s="249"/>
      <c r="M874" s="236"/>
      <c r="N874" s="19" t="s">
        <v>76</v>
      </c>
      <c r="O874" s="17">
        <v>39.549999999999997</v>
      </c>
      <c r="P874" s="17">
        <v>17</v>
      </c>
      <c r="Q874" s="17">
        <f t="shared" si="167"/>
        <v>672.34999999999991</v>
      </c>
      <c r="R874" s="236"/>
      <c r="S874" s="236"/>
      <c r="T874" s="236"/>
      <c r="U874" s="242"/>
    </row>
    <row r="875" spans="1:21" ht="13">
      <c r="A875" s="249"/>
      <c r="B875" s="236"/>
      <c r="C875" s="19" t="s">
        <v>137</v>
      </c>
      <c r="D875" s="17">
        <v>30.58</v>
      </c>
      <c r="E875" s="17">
        <v>15</v>
      </c>
      <c r="F875" s="17">
        <f t="shared" si="166"/>
        <v>458.7</v>
      </c>
      <c r="G875" s="236"/>
      <c r="H875" s="236"/>
      <c r="I875" s="236"/>
      <c r="J875" s="242"/>
      <c r="L875" s="249"/>
      <c r="M875" s="236"/>
      <c r="N875" s="19" t="s">
        <v>137</v>
      </c>
      <c r="O875" s="17">
        <v>30.58</v>
      </c>
      <c r="P875" s="17">
        <v>15</v>
      </c>
      <c r="Q875" s="17">
        <f t="shared" si="167"/>
        <v>458.7</v>
      </c>
      <c r="R875" s="236"/>
      <c r="S875" s="236"/>
      <c r="T875" s="236"/>
      <c r="U875" s="242"/>
    </row>
    <row r="876" spans="1:21" ht="13">
      <c r="A876" s="249"/>
      <c r="B876" s="236"/>
      <c r="C876" s="19" t="s">
        <v>62</v>
      </c>
      <c r="D876" s="17">
        <v>13.82</v>
      </c>
      <c r="E876" s="17">
        <v>15</v>
      </c>
      <c r="F876" s="17">
        <f t="shared" si="166"/>
        <v>207.3</v>
      </c>
      <c r="G876" s="236"/>
      <c r="H876" s="236"/>
      <c r="I876" s="236"/>
      <c r="J876" s="242"/>
      <c r="L876" s="249"/>
      <c r="M876" s="236"/>
      <c r="N876" s="19" t="s">
        <v>62</v>
      </c>
      <c r="O876" s="17">
        <v>13.82</v>
      </c>
      <c r="P876" s="17">
        <v>15</v>
      </c>
      <c r="Q876" s="17">
        <f t="shared" si="167"/>
        <v>207.3</v>
      </c>
      <c r="R876" s="236"/>
      <c r="S876" s="236"/>
      <c r="T876" s="236"/>
      <c r="U876" s="242"/>
    </row>
    <row r="877" spans="1:21" ht="13">
      <c r="A877" s="249"/>
      <c r="B877" s="236"/>
      <c r="C877" s="19" t="s">
        <v>38</v>
      </c>
      <c r="D877" s="17">
        <v>14.1</v>
      </c>
      <c r="E877" s="17">
        <v>15</v>
      </c>
      <c r="F877" s="17">
        <f t="shared" si="166"/>
        <v>211.5</v>
      </c>
      <c r="G877" s="236"/>
      <c r="H877" s="236"/>
      <c r="I877" s="236"/>
      <c r="J877" s="242"/>
      <c r="L877" s="249"/>
      <c r="M877" s="236"/>
      <c r="N877" s="19" t="s">
        <v>38</v>
      </c>
      <c r="O877" s="17">
        <v>14.1</v>
      </c>
      <c r="P877" s="17">
        <v>15</v>
      </c>
      <c r="Q877" s="17">
        <f t="shared" si="167"/>
        <v>211.5</v>
      </c>
      <c r="R877" s="236"/>
      <c r="S877" s="236"/>
      <c r="T877" s="236"/>
      <c r="U877" s="242"/>
    </row>
    <row r="878" spans="1:21" ht="13">
      <c r="A878" s="249"/>
      <c r="B878" s="236"/>
      <c r="C878" s="19" t="s">
        <v>32</v>
      </c>
      <c r="D878" s="17">
        <v>10.15</v>
      </c>
      <c r="E878" s="17">
        <v>15</v>
      </c>
      <c r="F878" s="17">
        <f t="shared" si="166"/>
        <v>152.25</v>
      </c>
      <c r="G878" s="236"/>
      <c r="H878" s="236"/>
      <c r="I878" s="236"/>
      <c r="J878" s="242"/>
      <c r="L878" s="249"/>
      <c r="M878" s="236"/>
      <c r="N878" s="19" t="s">
        <v>32</v>
      </c>
      <c r="O878" s="17">
        <v>10.15</v>
      </c>
      <c r="P878" s="17">
        <v>15</v>
      </c>
      <c r="Q878" s="17">
        <f t="shared" si="167"/>
        <v>152.25</v>
      </c>
      <c r="R878" s="236"/>
      <c r="S878" s="236"/>
      <c r="T878" s="236"/>
      <c r="U878" s="242"/>
    </row>
    <row r="879" spans="1:21" ht="13">
      <c r="A879" s="249"/>
      <c r="B879" s="248"/>
      <c r="C879" s="20" t="s">
        <v>458</v>
      </c>
      <c r="D879" s="21">
        <v>28.27</v>
      </c>
      <c r="E879" s="21">
        <v>15</v>
      </c>
      <c r="F879" s="21">
        <f t="shared" si="166"/>
        <v>424.05</v>
      </c>
      <c r="G879" s="238"/>
      <c r="H879" s="238"/>
      <c r="I879" s="238"/>
      <c r="J879" s="243"/>
      <c r="L879" s="249"/>
      <c r="M879" s="248"/>
      <c r="N879" s="20" t="s">
        <v>458</v>
      </c>
      <c r="O879" s="21">
        <v>28.27</v>
      </c>
      <c r="P879" s="21">
        <v>15</v>
      </c>
      <c r="Q879" s="21">
        <f t="shared" si="167"/>
        <v>424.05</v>
      </c>
      <c r="R879" s="238"/>
      <c r="S879" s="238"/>
      <c r="T879" s="238"/>
      <c r="U879" s="243"/>
    </row>
    <row r="880" spans="1:21" ht="13">
      <c r="A880" s="249"/>
      <c r="B880" s="282" t="s">
        <v>459</v>
      </c>
      <c r="C880" s="15" t="s">
        <v>51</v>
      </c>
      <c r="D880" s="16"/>
      <c r="E880" s="16"/>
      <c r="F880" s="17">
        <v>200</v>
      </c>
      <c r="G880" s="240">
        <f>SUM(F880:F884)</f>
        <v>736.52</v>
      </c>
      <c r="H880" s="237">
        <v>3225.73</v>
      </c>
      <c r="I880" s="237">
        <f>H880-G880</f>
        <v>2489.21</v>
      </c>
      <c r="J880" s="241">
        <f>I880/H880</f>
        <v>0.77167338865931123</v>
      </c>
      <c r="L880" s="249"/>
      <c r="M880" s="282" t="s">
        <v>459</v>
      </c>
      <c r="N880" s="15" t="s">
        <v>51</v>
      </c>
      <c r="O880" s="16"/>
      <c r="P880" s="16"/>
      <c r="Q880" s="17">
        <v>200</v>
      </c>
      <c r="R880" s="240">
        <f>SUM(Q880:Q884)</f>
        <v>736.52</v>
      </c>
      <c r="S880" s="237">
        <v>3225.73</v>
      </c>
      <c r="T880" s="237">
        <f>S880-R880</f>
        <v>2489.21</v>
      </c>
      <c r="U880" s="241">
        <f>T880/S880</f>
        <v>0.77167338865931123</v>
      </c>
    </row>
    <row r="881" spans="1:21" ht="13">
      <c r="A881" s="249"/>
      <c r="B881" s="236"/>
      <c r="C881" s="19" t="s">
        <v>45</v>
      </c>
      <c r="D881" s="17"/>
      <c r="E881" s="17"/>
      <c r="F881" s="17">
        <v>121.59</v>
      </c>
      <c r="G881" s="236"/>
      <c r="H881" s="236"/>
      <c r="I881" s="236"/>
      <c r="J881" s="242"/>
      <c r="L881" s="249"/>
      <c r="M881" s="236"/>
      <c r="N881" s="19" t="s">
        <v>45</v>
      </c>
      <c r="O881" s="17"/>
      <c r="P881" s="17"/>
      <c r="Q881" s="17">
        <v>121.59</v>
      </c>
      <c r="R881" s="236"/>
      <c r="S881" s="236"/>
      <c r="T881" s="236"/>
      <c r="U881" s="242"/>
    </row>
    <row r="882" spans="1:21" ht="13">
      <c r="A882" s="249"/>
      <c r="B882" s="236"/>
      <c r="C882" s="19" t="s">
        <v>155</v>
      </c>
      <c r="D882" s="17"/>
      <c r="E882" s="17"/>
      <c r="F882" s="17">
        <v>199.2</v>
      </c>
      <c r="G882" s="236"/>
      <c r="H882" s="236"/>
      <c r="I882" s="236"/>
      <c r="J882" s="242"/>
      <c r="L882" s="249"/>
      <c r="M882" s="236"/>
      <c r="N882" s="19" t="s">
        <v>155</v>
      </c>
      <c r="O882" s="17"/>
      <c r="P882" s="17"/>
      <c r="Q882" s="17">
        <v>199.2</v>
      </c>
      <c r="R882" s="236"/>
      <c r="S882" s="236"/>
      <c r="T882" s="236"/>
      <c r="U882" s="242"/>
    </row>
    <row r="883" spans="1:21" ht="13">
      <c r="A883" s="249"/>
      <c r="B883" s="236"/>
      <c r="C883" s="19" t="s">
        <v>212</v>
      </c>
      <c r="D883" s="17"/>
      <c r="E883" s="17"/>
      <c r="F883" s="17">
        <v>42.5</v>
      </c>
      <c r="G883" s="236"/>
      <c r="H883" s="236"/>
      <c r="I883" s="236"/>
      <c r="J883" s="242"/>
      <c r="L883" s="249"/>
      <c r="M883" s="236"/>
      <c r="N883" s="19" t="s">
        <v>212</v>
      </c>
      <c r="O883" s="17"/>
      <c r="P883" s="17"/>
      <c r="Q883" s="17">
        <v>42.5</v>
      </c>
      <c r="R883" s="236"/>
      <c r="S883" s="236"/>
      <c r="T883" s="236"/>
      <c r="U883" s="242"/>
    </row>
    <row r="884" spans="1:21" ht="13">
      <c r="A884" s="249"/>
      <c r="B884" s="248"/>
      <c r="C884" s="20" t="s">
        <v>33</v>
      </c>
      <c r="D884" s="21"/>
      <c r="E884" s="21"/>
      <c r="F884" s="21">
        <v>173.23</v>
      </c>
      <c r="G884" s="238"/>
      <c r="H884" s="238"/>
      <c r="I884" s="238"/>
      <c r="J884" s="243"/>
      <c r="L884" s="249"/>
      <c r="M884" s="248"/>
      <c r="N884" s="20" t="s">
        <v>33</v>
      </c>
      <c r="O884" s="21"/>
      <c r="P884" s="21"/>
      <c r="Q884" s="21">
        <v>173.23</v>
      </c>
      <c r="R884" s="238"/>
      <c r="S884" s="238"/>
      <c r="T884" s="238"/>
      <c r="U884" s="243"/>
    </row>
    <row r="885" spans="1:21" ht="13">
      <c r="A885" s="249"/>
      <c r="B885" s="247" t="s">
        <v>460</v>
      </c>
      <c r="C885" s="15" t="s">
        <v>461</v>
      </c>
      <c r="D885" s="16">
        <v>39.270000000000003</v>
      </c>
      <c r="E885" s="16">
        <v>15</v>
      </c>
      <c r="F885" s="17">
        <f t="shared" ref="F885:F889" si="168">D885*E885</f>
        <v>589.05000000000007</v>
      </c>
      <c r="G885" s="240">
        <f>SUM(F885:F891)</f>
        <v>2379.54</v>
      </c>
      <c r="H885" s="237">
        <v>4228.1400000000003</v>
      </c>
      <c r="I885" s="237">
        <f>H885-G885</f>
        <v>1848.6000000000004</v>
      </c>
      <c r="J885" s="241">
        <f>I885/H885</f>
        <v>0.43721352651520534</v>
      </c>
      <c r="L885" s="249"/>
      <c r="M885" s="247" t="s">
        <v>460</v>
      </c>
      <c r="N885" s="15" t="s">
        <v>461</v>
      </c>
      <c r="O885" s="16">
        <v>39.270000000000003</v>
      </c>
      <c r="P885" s="16">
        <v>15</v>
      </c>
      <c r="Q885" s="17">
        <f t="shared" ref="Q885:Q889" si="169">O885*P885</f>
        <v>589.05000000000007</v>
      </c>
      <c r="R885" s="240">
        <f>SUM(Q885:Q891)</f>
        <v>2379.54</v>
      </c>
      <c r="S885" s="237">
        <v>4228.1400000000003</v>
      </c>
      <c r="T885" s="237">
        <f>S885-R885</f>
        <v>1848.6000000000004</v>
      </c>
      <c r="U885" s="241">
        <f>T885/S885</f>
        <v>0.43721352651520534</v>
      </c>
    </row>
    <row r="886" spans="1:21" ht="13">
      <c r="A886" s="249"/>
      <c r="B886" s="236"/>
      <c r="C886" s="19" t="s">
        <v>462</v>
      </c>
      <c r="D886" s="17">
        <v>12.3</v>
      </c>
      <c r="E886" s="17">
        <v>15</v>
      </c>
      <c r="F886" s="17">
        <f t="shared" si="168"/>
        <v>184.5</v>
      </c>
      <c r="G886" s="236"/>
      <c r="H886" s="236"/>
      <c r="I886" s="236"/>
      <c r="J886" s="242"/>
      <c r="L886" s="249"/>
      <c r="M886" s="236"/>
      <c r="N886" s="19" t="s">
        <v>462</v>
      </c>
      <c r="O886" s="17">
        <v>12.3</v>
      </c>
      <c r="P886" s="17">
        <v>15</v>
      </c>
      <c r="Q886" s="17">
        <f t="shared" si="169"/>
        <v>184.5</v>
      </c>
      <c r="R886" s="236"/>
      <c r="S886" s="236"/>
      <c r="T886" s="236"/>
      <c r="U886" s="242"/>
    </row>
    <row r="887" spans="1:21" ht="13">
      <c r="A887" s="249"/>
      <c r="B887" s="236"/>
      <c r="C887" s="19" t="s">
        <v>27</v>
      </c>
      <c r="D887" s="17">
        <v>5.5</v>
      </c>
      <c r="E887" s="17">
        <v>15</v>
      </c>
      <c r="F887" s="17">
        <f t="shared" si="168"/>
        <v>82.5</v>
      </c>
      <c r="G887" s="236"/>
      <c r="H887" s="236"/>
      <c r="I887" s="236"/>
      <c r="J887" s="242"/>
      <c r="L887" s="249"/>
      <c r="M887" s="236"/>
      <c r="N887" s="19" t="s">
        <v>27</v>
      </c>
      <c r="O887" s="17">
        <v>5.5</v>
      </c>
      <c r="P887" s="17">
        <v>15</v>
      </c>
      <c r="Q887" s="17">
        <f t="shared" si="169"/>
        <v>82.5</v>
      </c>
      <c r="R887" s="236"/>
      <c r="S887" s="236"/>
      <c r="T887" s="236"/>
      <c r="U887" s="242"/>
    </row>
    <row r="888" spans="1:21" ht="13">
      <c r="A888" s="249"/>
      <c r="B888" s="236"/>
      <c r="C888" s="19" t="s">
        <v>463</v>
      </c>
      <c r="D888" s="17">
        <v>22.5</v>
      </c>
      <c r="E888" s="17">
        <v>15</v>
      </c>
      <c r="F888" s="17">
        <f t="shared" si="168"/>
        <v>337.5</v>
      </c>
      <c r="G888" s="236"/>
      <c r="H888" s="236"/>
      <c r="I888" s="236"/>
      <c r="J888" s="242"/>
      <c r="L888" s="249"/>
      <c r="M888" s="236"/>
      <c r="N888" s="19" t="s">
        <v>463</v>
      </c>
      <c r="O888" s="17">
        <v>22.5</v>
      </c>
      <c r="P888" s="17">
        <v>15</v>
      </c>
      <c r="Q888" s="17">
        <f t="shared" si="169"/>
        <v>337.5</v>
      </c>
      <c r="R888" s="236"/>
      <c r="S888" s="236"/>
      <c r="T888" s="236"/>
      <c r="U888" s="242"/>
    </row>
    <row r="889" spans="1:21" ht="13">
      <c r="A889" s="249"/>
      <c r="B889" s="236"/>
      <c r="C889" s="19" t="s">
        <v>53</v>
      </c>
      <c r="D889" s="17">
        <v>18.45</v>
      </c>
      <c r="E889" s="17">
        <v>15</v>
      </c>
      <c r="F889" s="17">
        <f t="shared" si="168"/>
        <v>276.75</v>
      </c>
      <c r="G889" s="236"/>
      <c r="H889" s="236"/>
      <c r="I889" s="236"/>
      <c r="J889" s="242"/>
      <c r="L889" s="249"/>
      <c r="M889" s="236"/>
      <c r="N889" s="19" t="s">
        <v>53</v>
      </c>
      <c r="O889" s="17">
        <v>18.45</v>
      </c>
      <c r="P889" s="17">
        <v>15</v>
      </c>
      <c r="Q889" s="17">
        <f t="shared" si="169"/>
        <v>276.75</v>
      </c>
      <c r="R889" s="236"/>
      <c r="S889" s="236"/>
      <c r="T889" s="236"/>
      <c r="U889" s="242"/>
    </row>
    <row r="890" spans="1:21" ht="13">
      <c r="A890" s="249"/>
      <c r="B890" s="236"/>
      <c r="C890" s="19" t="s">
        <v>33</v>
      </c>
      <c r="D890" s="17"/>
      <c r="E890" s="17"/>
      <c r="F890" s="17">
        <v>789.24</v>
      </c>
      <c r="G890" s="236"/>
      <c r="H890" s="236"/>
      <c r="I890" s="236"/>
      <c r="J890" s="242"/>
      <c r="L890" s="249"/>
      <c r="M890" s="236"/>
      <c r="N890" s="19" t="s">
        <v>33</v>
      </c>
      <c r="O890" s="17"/>
      <c r="P890" s="17"/>
      <c r="Q890" s="17">
        <v>789.24</v>
      </c>
      <c r="R890" s="236"/>
      <c r="S890" s="236"/>
      <c r="T890" s="236"/>
      <c r="U890" s="242"/>
    </row>
    <row r="891" spans="1:21" ht="13">
      <c r="A891" s="249"/>
      <c r="B891" s="248"/>
      <c r="C891" s="20" t="s">
        <v>464</v>
      </c>
      <c r="D891" s="21"/>
      <c r="E891" s="21"/>
      <c r="F891" s="21">
        <v>120</v>
      </c>
      <c r="G891" s="238"/>
      <c r="H891" s="238"/>
      <c r="I891" s="238"/>
      <c r="J891" s="243"/>
      <c r="L891" s="249"/>
      <c r="M891" s="248"/>
      <c r="N891" s="20" t="s">
        <v>464</v>
      </c>
      <c r="O891" s="21"/>
      <c r="P891" s="21"/>
      <c r="Q891" s="21">
        <v>120</v>
      </c>
      <c r="R891" s="238"/>
      <c r="S891" s="238"/>
      <c r="T891" s="238"/>
      <c r="U891" s="243"/>
    </row>
    <row r="892" spans="1:21" ht="13">
      <c r="A892" s="249"/>
      <c r="B892" s="244" t="s">
        <v>465</v>
      </c>
      <c r="C892" s="64" t="s">
        <v>436</v>
      </c>
      <c r="D892" s="50">
        <v>35</v>
      </c>
      <c r="E892" s="50">
        <v>18</v>
      </c>
      <c r="F892" s="65">
        <f t="shared" ref="F892:F896" si="170">D892*E892</f>
        <v>630</v>
      </c>
      <c r="G892" s="240">
        <f>SUM(F892:F902)</f>
        <v>5108.78</v>
      </c>
      <c r="H892" s="237">
        <v>8579.2000000000007</v>
      </c>
      <c r="I892" s="237">
        <f>H892-G892</f>
        <v>3470.420000000001</v>
      </c>
      <c r="J892" s="241">
        <f>I892/H892</f>
        <v>0.40451557254755699</v>
      </c>
      <c r="L892" s="249"/>
      <c r="M892" s="244" t="s">
        <v>465</v>
      </c>
      <c r="N892" s="64" t="s">
        <v>436</v>
      </c>
      <c r="O892" s="18"/>
      <c r="P892" s="18"/>
      <c r="Q892" s="18"/>
      <c r="R892" s="240">
        <f>SUM(Q892:Q902)</f>
        <v>4478.78</v>
      </c>
      <c r="S892" s="237">
        <v>8579.2000000000007</v>
      </c>
      <c r="T892" s="237">
        <f>S892-R892</f>
        <v>4100.420000000001</v>
      </c>
      <c r="U892" s="241">
        <f>T892/S892</f>
        <v>0.47794899291309223</v>
      </c>
    </row>
    <row r="893" spans="1:21" ht="13">
      <c r="A893" s="249"/>
      <c r="B893" s="245"/>
      <c r="C893" s="22" t="s">
        <v>70</v>
      </c>
      <c r="D893" s="23">
        <v>26.16</v>
      </c>
      <c r="E893" s="23">
        <v>15</v>
      </c>
      <c r="F893" s="23">
        <f t="shared" si="170"/>
        <v>392.4</v>
      </c>
      <c r="G893" s="236"/>
      <c r="H893" s="236"/>
      <c r="I893" s="236"/>
      <c r="J893" s="242"/>
      <c r="L893" s="249"/>
      <c r="M893" s="245"/>
      <c r="N893" s="22" t="s">
        <v>70</v>
      </c>
      <c r="O893" s="23">
        <v>26.16</v>
      </c>
      <c r="P893" s="23">
        <v>15</v>
      </c>
      <c r="Q893" s="23">
        <f t="shared" ref="Q893:Q896" si="171">O893*P893</f>
        <v>392.4</v>
      </c>
      <c r="R893" s="236"/>
      <c r="S893" s="236"/>
      <c r="T893" s="236"/>
      <c r="U893" s="242"/>
    </row>
    <row r="894" spans="1:21" ht="13">
      <c r="A894" s="249"/>
      <c r="B894" s="245"/>
      <c r="C894" s="22" t="s">
        <v>38</v>
      </c>
      <c r="D894" s="23">
        <v>29.16</v>
      </c>
      <c r="E894" s="23">
        <v>15</v>
      </c>
      <c r="F894" s="23">
        <f t="shared" si="170"/>
        <v>437.4</v>
      </c>
      <c r="G894" s="236"/>
      <c r="H894" s="236"/>
      <c r="I894" s="236"/>
      <c r="J894" s="242"/>
      <c r="L894" s="249"/>
      <c r="M894" s="245"/>
      <c r="N894" s="22" t="s">
        <v>38</v>
      </c>
      <c r="O894" s="23">
        <v>29.16</v>
      </c>
      <c r="P894" s="23">
        <v>15</v>
      </c>
      <c r="Q894" s="23">
        <f t="shared" si="171"/>
        <v>437.4</v>
      </c>
      <c r="R894" s="236"/>
      <c r="S894" s="236"/>
      <c r="T894" s="236"/>
      <c r="U894" s="242"/>
    </row>
    <row r="895" spans="1:21" ht="13">
      <c r="A895" s="249"/>
      <c r="B895" s="245"/>
      <c r="C895" s="22" t="s">
        <v>466</v>
      </c>
      <c r="D895" s="23">
        <v>23.77</v>
      </c>
      <c r="E895" s="23">
        <v>15</v>
      </c>
      <c r="F895" s="23">
        <f t="shared" si="170"/>
        <v>356.55</v>
      </c>
      <c r="G895" s="236"/>
      <c r="H895" s="236"/>
      <c r="I895" s="236"/>
      <c r="J895" s="242"/>
      <c r="L895" s="249"/>
      <c r="M895" s="245"/>
      <c r="N895" s="22" t="s">
        <v>466</v>
      </c>
      <c r="O895" s="23">
        <v>23.77</v>
      </c>
      <c r="P895" s="23">
        <v>15</v>
      </c>
      <c r="Q895" s="23">
        <f t="shared" si="171"/>
        <v>356.55</v>
      </c>
      <c r="R895" s="236"/>
      <c r="S895" s="236"/>
      <c r="T895" s="236"/>
      <c r="U895" s="242"/>
    </row>
    <row r="896" spans="1:21" ht="13">
      <c r="A896" s="249"/>
      <c r="B896" s="245"/>
      <c r="C896" s="22" t="s">
        <v>467</v>
      </c>
      <c r="D896" s="23">
        <v>30</v>
      </c>
      <c r="E896" s="23">
        <v>15</v>
      </c>
      <c r="F896" s="23">
        <f t="shared" si="170"/>
        <v>450</v>
      </c>
      <c r="G896" s="236"/>
      <c r="H896" s="236"/>
      <c r="I896" s="236"/>
      <c r="J896" s="242"/>
      <c r="L896" s="249"/>
      <c r="M896" s="245"/>
      <c r="N896" s="22" t="s">
        <v>467</v>
      </c>
      <c r="O896" s="23">
        <v>30</v>
      </c>
      <c r="P896" s="23">
        <v>15</v>
      </c>
      <c r="Q896" s="23">
        <f t="shared" si="171"/>
        <v>450</v>
      </c>
      <c r="R896" s="236"/>
      <c r="S896" s="236"/>
      <c r="T896" s="236"/>
      <c r="U896" s="242"/>
    </row>
    <row r="897" spans="1:21" ht="13">
      <c r="A897" s="249"/>
      <c r="B897" s="245"/>
      <c r="C897" s="22" t="s">
        <v>449</v>
      </c>
      <c r="D897" s="23"/>
      <c r="E897" s="23"/>
      <c r="F897" s="23">
        <v>1182.17</v>
      </c>
      <c r="G897" s="236"/>
      <c r="H897" s="236"/>
      <c r="I897" s="236"/>
      <c r="J897" s="242"/>
      <c r="L897" s="249"/>
      <c r="M897" s="245"/>
      <c r="N897" s="22" t="s">
        <v>449</v>
      </c>
      <c r="O897" s="23"/>
      <c r="P897" s="23"/>
      <c r="Q897" s="23">
        <v>1182.17</v>
      </c>
      <c r="R897" s="236"/>
      <c r="S897" s="236"/>
      <c r="T897" s="236"/>
      <c r="U897" s="242"/>
    </row>
    <row r="898" spans="1:21" ht="13">
      <c r="A898" s="249"/>
      <c r="B898" s="245"/>
      <c r="C898" s="22" t="s">
        <v>45</v>
      </c>
      <c r="D898" s="23"/>
      <c r="E898" s="23"/>
      <c r="F898" s="23">
        <v>284.47000000000003</v>
      </c>
      <c r="G898" s="236"/>
      <c r="H898" s="236"/>
      <c r="I898" s="236"/>
      <c r="J898" s="242"/>
      <c r="L898" s="249"/>
      <c r="M898" s="245"/>
      <c r="N898" s="22" t="s">
        <v>45</v>
      </c>
      <c r="O898" s="23"/>
      <c r="P898" s="23"/>
      <c r="Q898" s="23">
        <v>284.47000000000003</v>
      </c>
      <c r="R898" s="236"/>
      <c r="S898" s="236"/>
      <c r="T898" s="236"/>
      <c r="U898" s="242"/>
    </row>
    <row r="899" spans="1:21" ht="13">
      <c r="A899" s="249"/>
      <c r="B899" s="245"/>
      <c r="C899" s="22" t="s">
        <v>47</v>
      </c>
      <c r="D899" s="23"/>
      <c r="E899" s="23"/>
      <c r="F899" s="23">
        <v>527.55999999999995</v>
      </c>
      <c r="G899" s="236"/>
      <c r="H899" s="236"/>
      <c r="I899" s="236"/>
      <c r="J899" s="242"/>
      <c r="L899" s="249"/>
      <c r="M899" s="245"/>
      <c r="N899" s="22" t="s">
        <v>47</v>
      </c>
      <c r="O899" s="23"/>
      <c r="P899" s="23"/>
      <c r="Q899" s="23">
        <v>527.55999999999995</v>
      </c>
      <c r="R899" s="236"/>
      <c r="S899" s="236"/>
      <c r="T899" s="236"/>
      <c r="U899" s="242"/>
    </row>
    <row r="900" spans="1:21" ht="13">
      <c r="A900" s="249"/>
      <c r="B900" s="245"/>
      <c r="C900" s="22" t="s">
        <v>44</v>
      </c>
      <c r="D900" s="23"/>
      <c r="E900" s="23"/>
      <c r="F900" s="23">
        <v>144.02000000000001</v>
      </c>
      <c r="G900" s="236"/>
      <c r="H900" s="236"/>
      <c r="I900" s="236"/>
      <c r="J900" s="242"/>
      <c r="L900" s="249"/>
      <c r="M900" s="245"/>
      <c r="N900" s="22" t="s">
        <v>44</v>
      </c>
      <c r="O900" s="23"/>
      <c r="P900" s="23"/>
      <c r="Q900" s="23">
        <v>144.02000000000001</v>
      </c>
      <c r="R900" s="236"/>
      <c r="S900" s="236"/>
      <c r="T900" s="236"/>
      <c r="U900" s="242"/>
    </row>
    <row r="901" spans="1:21" ht="13">
      <c r="A901" s="249"/>
      <c r="B901" s="245"/>
      <c r="C901" s="22" t="s">
        <v>33</v>
      </c>
      <c r="D901" s="23"/>
      <c r="E901" s="23"/>
      <c r="F901" s="23">
        <v>439.51</v>
      </c>
      <c r="G901" s="236"/>
      <c r="H901" s="236"/>
      <c r="I901" s="236"/>
      <c r="J901" s="242"/>
      <c r="L901" s="249"/>
      <c r="M901" s="245"/>
      <c r="N901" s="22" t="s">
        <v>33</v>
      </c>
      <c r="O901" s="23"/>
      <c r="P901" s="23"/>
      <c r="Q901" s="23">
        <v>439.51</v>
      </c>
      <c r="R901" s="236"/>
      <c r="S901" s="236"/>
      <c r="T901" s="236"/>
      <c r="U901" s="242"/>
    </row>
    <row r="902" spans="1:21" ht="13">
      <c r="A902" s="249"/>
      <c r="B902" s="246"/>
      <c r="C902" s="25" t="s">
        <v>48</v>
      </c>
      <c r="D902" s="26"/>
      <c r="E902" s="26"/>
      <c r="F902" s="26">
        <v>264.7</v>
      </c>
      <c r="G902" s="238"/>
      <c r="H902" s="238"/>
      <c r="I902" s="238"/>
      <c r="J902" s="243"/>
      <c r="L902" s="249"/>
      <c r="M902" s="246"/>
      <c r="N902" s="25" t="s">
        <v>48</v>
      </c>
      <c r="O902" s="26"/>
      <c r="P902" s="26"/>
      <c r="Q902" s="26">
        <v>264.7</v>
      </c>
      <c r="R902" s="238"/>
      <c r="S902" s="238"/>
      <c r="T902" s="238"/>
      <c r="U902" s="243"/>
    </row>
    <row r="903" spans="1:21" ht="13">
      <c r="A903" s="249"/>
      <c r="B903" s="282" t="s">
        <v>468</v>
      </c>
      <c r="C903" s="15" t="s">
        <v>216</v>
      </c>
      <c r="D903" s="16"/>
      <c r="E903" s="16"/>
      <c r="F903" s="17">
        <v>89</v>
      </c>
      <c r="G903" s="240">
        <f>SUM(F903:F905)</f>
        <v>242</v>
      </c>
      <c r="H903" s="237">
        <v>750</v>
      </c>
      <c r="I903" s="237">
        <f>H903-G903</f>
        <v>508</v>
      </c>
      <c r="J903" s="241">
        <f>I903/H903</f>
        <v>0.67733333333333334</v>
      </c>
      <c r="L903" s="249"/>
      <c r="M903" s="282" t="s">
        <v>468</v>
      </c>
      <c r="N903" s="15" t="s">
        <v>216</v>
      </c>
      <c r="O903" s="16"/>
      <c r="P903" s="16"/>
      <c r="Q903" s="17">
        <v>89</v>
      </c>
      <c r="R903" s="240">
        <f>SUM(Q903:Q905)</f>
        <v>242</v>
      </c>
      <c r="S903" s="237">
        <v>750</v>
      </c>
      <c r="T903" s="237">
        <f>S903-R903</f>
        <v>508</v>
      </c>
      <c r="U903" s="241">
        <f>T903/S903</f>
        <v>0.67733333333333334</v>
      </c>
    </row>
    <row r="904" spans="1:21" ht="13">
      <c r="A904" s="249"/>
      <c r="B904" s="236"/>
      <c r="C904" s="19" t="s">
        <v>38</v>
      </c>
      <c r="D904" s="17"/>
      <c r="E904" s="17"/>
      <c r="F904" s="17">
        <v>153</v>
      </c>
      <c r="G904" s="236"/>
      <c r="H904" s="236"/>
      <c r="I904" s="236"/>
      <c r="J904" s="242"/>
      <c r="L904" s="249"/>
      <c r="M904" s="236"/>
      <c r="N904" s="19" t="s">
        <v>38</v>
      </c>
      <c r="O904" s="17"/>
      <c r="P904" s="17"/>
      <c r="Q904" s="17">
        <v>153</v>
      </c>
      <c r="R904" s="236"/>
      <c r="S904" s="236"/>
      <c r="T904" s="236"/>
      <c r="U904" s="242"/>
    </row>
    <row r="905" spans="1:21" ht="13">
      <c r="A905" s="249"/>
      <c r="B905" s="248"/>
      <c r="C905" s="20"/>
      <c r="D905" s="21"/>
      <c r="E905" s="21"/>
      <c r="F905" s="21"/>
      <c r="G905" s="238"/>
      <c r="H905" s="238"/>
      <c r="I905" s="238"/>
      <c r="J905" s="243"/>
      <c r="L905" s="249"/>
      <c r="M905" s="248"/>
      <c r="N905" s="20"/>
      <c r="O905" s="21"/>
      <c r="P905" s="21"/>
      <c r="Q905" s="21"/>
      <c r="R905" s="238"/>
      <c r="S905" s="238"/>
      <c r="T905" s="238"/>
      <c r="U905" s="243"/>
    </row>
    <row r="906" spans="1:21" ht="13">
      <c r="A906" s="249"/>
      <c r="B906" s="247" t="s">
        <v>469</v>
      </c>
      <c r="C906" s="15" t="s">
        <v>63</v>
      </c>
      <c r="D906" s="16">
        <v>34.9</v>
      </c>
      <c r="E906" s="16">
        <v>17</v>
      </c>
      <c r="F906" s="17">
        <f t="shared" ref="F906:F909" si="172">D906*E906</f>
        <v>593.29999999999995</v>
      </c>
      <c r="G906" s="240">
        <f>SUM(F906:F912)</f>
        <v>2246.12</v>
      </c>
      <c r="H906" s="237">
        <v>5020.76</v>
      </c>
      <c r="I906" s="237">
        <f>H906-G906</f>
        <v>2774.6400000000003</v>
      </c>
      <c r="J906" s="241">
        <f>I906/H906</f>
        <v>0.55263346584979167</v>
      </c>
      <c r="L906" s="249"/>
      <c r="M906" s="247" t="s">
        <v>469</v>
      </c>
      <c r="N906" s="15" t="s">
        <v>63</v>
      </c>
      <c r="O906" s="16">
        <v>34.9</v>
      </c>
      <c r="P906" s="16">
        <v>17</v>
      </c>
      <c r="Q906" s="17">
        <f t="shared" ref="Q906:Q909" si="173">O906*P906</f>
        <v>593.29999999999995</v>
      </c>
      <c r="R906" s="240">
        <f>SUM(Q906:Q912)</f>
        <v>2246.12</v>
      </c>
      <c r="S906" s="237">
        <v>5020.76</v>
      </c>
      <c r="T906" s="237">
        <f>S906-R906</f>
        <v>2774.6400000000003</v>
      </c>
      <c r="U906" s="241">
        <f>T906/S906</f>
        <v>0.55263346584979167</v>
      </c>
    </row>
    <row r="907" spans="1:21" ht="13">
      <c r="A907" s="249"/>
      <c r="B907" s="236"/>
      <c r="C907" s="19" t="s">
        <v>32</v>
      </c>
      <c r="D907" s="17">
        <v>25.93</v>
      </c>
      <c r="E907" s="17">
        <v>15</v>
      </c>
      <c r="F907" s="17">
        <f t="shared" si="172"/>
        <v>388.95</v>
      </c>
      <c r="G907" s="236"/>
      <c r="H907" s="236"/>
      <c r="I907" s="236"/>
      <c r="J907" s="242"/>
      <c r="L907" s="249"/>
      <c r="M907" s="236"/>
      <c r="N907" s="19" t="s">
        <v>32</v>
      </c>
      <c r="O907" s="17">
        <v>25.93</v>
      </c>
      <c r="P907" s="17">
        <v>15</v>
      </c>
      <c r="Q907" s="17">
        <f t="shared" si="173"/>
        <v>388.95</v>
      </c>
      <c r="R907" s="236"/>
      <c r="S907" s="236"/>
      <c r="T907" s="236"/>
      <c r="U907" s="242"/>
    </row>
    <row r="908" spans="1:21" ht="13">
      <c r="A908" s="249"/>
      <c r="B908" s="236"/>
      <c r="C908" s="19" t="s">
        <v>31</v>
      </c>
      <c r="D908" s="17">
        <v>24.82</v>
      </c>
      <c r="E908" s="17">
        <v>15</v>
      </c>
      <c r="F908" s="17">
        <f t="shared" si="172"/>
        <v>372.3</v>
      </c>
      <c r="G908" s="236"/>
      <c r="H908" s="236"/>
      <c r="I908" s="236"/>
      <c r="J908" s="242"/>
      <c r="L908" s="249"/>
      <c r="M908" s="236"/>
      <c r="N908" s="19" t="s">
        <v>31</v>
      </c>
      <c r="O908" s="17">
        <v>24.82</v>
      </c>
      <c r="P908" s="17">
        <v>15</v>
      </c>
      <c r="Q908" s="17">
        <f t="shared" si="173"/>
        <v>372.3</v>
      </c>
      <c r="R908" s="236"/>
      <c r="S908" s="236"/>
      <c r="T908" s="236"/>
      <c r="U908" s="242"/>
    </row>
    <row r="909" spans="1:21" ht="13">
      <c r="A909" s="249"/>
      <c r="B909" s="236"/>
      <c r="C909" s="19" t="s">
        <v>62</v>
      </c>
      <c r="D909" s="17">
        <v>24.59</v>
      </c>
      <c r="E909" s="17">
        <v>15</v>
      </c>
      <c r="F909" s="17">
        <f t="shared" si="172"/>
        <v>368.85</v>
      </c>
      <c r="G909" s="236"/>
      <c r="H909" s="236"/>
      <c r="I909" s="236"/>
      <c r="J909" s="242"/>
      <c r="L909" s="249"/>
      <c r="M909" s="236"/>
      <c r="N909" s="19" t="s">
        <v>62</v>
      </c>
      <c r="O909" s="17">
        <v>24.59</v>
      </c>
      <c r="P909" s="17">
        <v>15</v>
      </c>
      <c r="Q909" s="17">
        <f t="shared" si="173"/>
        <v>368.85</v>
      </c>
      <c r="R909" s="236"/>
      <c r="S909" s="236"/>
      <c r="T909" s="236"/>
      <c r="U909" s="242"/>
    </row>
    <row r="910" spans="1:21" ht="13">
      <c r="A910" s="249"/>
      <c r="B910" s="236"/>
      <c r="C910" s="19" t="s">
        <v>45</v>
      </c>
      <c r="D910" s="17"/>
      <c r="E910" s="17"/>
      <c r="F910" s="17">
        <v>100</v>
      </c>
      <c r="G910" s="236"/>
      <c r="H910" s="236"/>
      <c r="I910" s="236"/>
      <c r="J910" s="242"/>
      <c r="L910" s="249"/>
      <c r="M910" s="236"/>
      <c r="N910" s="19" t="s">
        <v>45</v>
      </c>
      <c r="O910" s="17"/>
      <c r="P910" s="17"/>
      <c r="Q910" s="17">
        <v>100</v>
      </c>
      <c r="R910" s="236"/>
      <c r="S910" s="236"/>
      <c r="T910" s="236"/>
      <c r="U910" s="242"/>
    </row>
    <row r="911" spans="1:21" ht="13">
      <c r="A911" s="249"/>
      <c r="B911" s="236"/>
      <c r="C911" s="19" t="s">
        <v>33</v>
      </c>
      <c r="D911" s="17"/>
      <c r="E911" s="17"/>
      <c r="F911" s="17">
        <v>142.06</v>
      </c>
      <c r="G911" s="236"/>
      <c r="H911" s="236"/>
      <c r="I911" s="236"/>
      <c r="J911" s="242"/>
      <c r="L911" s="249"/>
      <c r="M911" s="236"/>
      <c r="N911" s="19" t="s">
        <v>33</v>
      </c>
      <c r="O911" s="17"/>
      <c r="P911" s="17"/>
      <c r="Q911" s="17">
        <v>142.06</v>
      </c>
      <c r="R911" s="236"/>
      <c r="S911" s="236"/>
      <c r="T911" s="236"/>
      <c r="U911" s="242"/>
    </row>
    <row r="912" spans="1:21" ht="13">
      <c r="A912" s="249"/>
      <c r="B912" s="248"/>
      <c r="C912" s="20" t="s">
        <v>47</v>
      </c>
      <c r="D912" s="21"/>
      <c r="E912" s="21"/>
      <c r="F912" s="21">
        <v>280.66000000000003</v>
      </c>
      <c r="G912" s="238"/>
      <c r="H912" s="238"/>
      <c r="I912" s="238"/>
      <c r="J912" s="243"/>
      <c r="L912" s="249"/>
      <c r="M912" s="248"/>
      <c r="N912" s="20" t="s">
        <v>47</v>
      </c>
      <c r="O912" s="21"/>
      <c r="P912" s="21"/>
      <c r="Q912" s="21">
        <v>280.66000000000003</v>
      </c>
      <c r="R912" s="238"/>
      <c r="S912" s="238"/>
      <c r="T912" s="238"/>
      <c r="U912" s="243"/>
    </row>
    <row r="913" spans="1:21" ht="13">
      <c r="A913" s="249"/>
      <c r="B913" s="282" t="s">
        <v>470</v>
      </c>
      <c r="C913" s="15" t="s">
        <v>63</v>
      </c>
      <c r="D913" s="16"/>
      <c r="E913" s="16"/>
      <c r="F913" s="17">
        <v>150</v>
      </c>
      <c r="G913" s="240">
        <f>SUM(F913:F915)</f>
        <v>218.9</v>
      </c>
      <c r="H913" s="237">
        <v>2116.8000000000002</v>
      </c>
      <c r="I913" s="237">
        <f>H913-G913</f>
        <v>1897.9</v>
      </c>
      <c r="J913" s="241">
        <f>I913/H913</f>
        <v>0.89658919123204839</v>
      </c>
      <c r="L913" s="249"/>
      <c r="M913" s="282" t="s">
        <v>470</v>
      </c>
      <c r="N913" s="15" t="s">
        <v>63</v>
      </c>
      <c r="O913" s="16"/>
      <c r="P913" s="16"/>
      <c r="Q913" s="17">
        <v>150</v>
      </c>
      <c r="R913" s="240">
        <f>SUM(Q913:Q915)</f>
        <v>218.9</v>
      </c>
      <c r="S913" s="237">
        <v>2116.8000000000002</v>
      </c>
      <c r="T913" s="237">
        <f>S913-R913</f>
        <v>1897.9</v>
      </c>
      <c r="U913" s="241">
        <f>T913/S913</f>
        <v>0.89658919123204839</v>
      </c>
    </row>
    <row r="914" spans="1:21" ht="13">
      <c r="A914" s="249"/>
      <c r="B914" s="236"/>
      <c r="C914" s="19" t="s">
        <v>44</v>
      </c>
      <c r="D914" s="17"/>
      <c r="E914" s="17"/>
      <c r="F914" s="17">
        <v>18.899999999999999</v>
      </c>
      <c r="G914" s="236"/>
      <c r="H914" s="236"/>
      <c r="I914" s="236"/>
      <c r="J914" s="242"/>
      <c r="L914" s="249"/>
      <c r="M914" s="236"/>
      <c r="N914" s="19" t="s">
        <v>44</v>
      </c>
      <c r="O914" s="17"/>
      <c r="P914" s="17"/>
      <c r="Q914" s="17">
        <v>18.899999999999999</v>
      </c>
      <c r="R914" s="236"/>
      <c r="S914" s="236"/>
      <c r="T914" s="236"/>
      <c r="U914" s="242"/>
    </row>
    <row r="915" spans="1:21" ht="13">
      <c r="A915" s="249"/>
      <c r="B915" s="248"/>
      <c r="C915" s="20" t="s">
        <v>45</v>
      </c>
      <c r="D915" s="21"/>
      <c r="E915" s="21"/>
      <c r="F915" s="21">
        <v>50</v>
      </c>
      <c r="G915" s="238"/>
      <c r="H915" s="238"/>
      <c r="I915" s="238"/>
      <c r="J915" s="243"/>
      <c r="L915" s="249"/>
      <c r="M915" s="248"/>
      <c r="N915" s="20" t="s">
        <v>45</v>
      </c>
      <c r="O915" s="21"/>
      <c r="P915" s="21"/>
      <c r="Q915" s="21">
        <v>50</v>
      </c>
      <c r="R915" s="238"/>
      <c r="S915" s="238"/>
      <c r="T915" s="238"/>
      <c r="U915" s="243"/>
    </row>
    <row r="916" spans="1:21" ht="13">
      <c r="A916" s="249"/>
      <c r="B916" s="282" t="s">
        <v>471</v>
      </c>
      <c r="C916" s="15" t="s">
        <v>31</v>
      </c>
      <c r="D916" s="16"/>
      <c r="E916" s="16"/>
      <c r="F916" s="17">
        <v>150</v>
      </c>
      <c r="G916" s="240">
        <f>SUM(F916:F919)</f>
        <v>317.46999999999997</v>
      </c>
      <c r="H916" s="237">
        <v>2569.4699999999998</v>
      </c>
      <c r="I916" s="237">
        <f>H916-G916</f>
        <v>2252</v>
      </c>
      <c r="J916" s="241">
        <f>I916/H916</f>
        <v>0.87644533697610794</v>
      </c>
      <c r="L916" s="249"/>
      <c r="M916" s="282" t="s">
        <v>471</v>
      </c>
      <c r="N916" s="15" t="s">
        <v>31</v>
      </c>
      <c r="O916" s="16"/>
      <c r="P916" s="16"/>
      <c r="Q916" s="17">
        <v>150</v>
      </c>
      <c r="R916" s="240">
        <f>SUM(Q916:Q919)</f>
        <v>317.46999999999997</v>
      </c>
      <c r="S916" s="237">
        <v>2569.4699999999998</v>
      </c>
      <c r="T916" s="237">
        <f>S916-R916</f>
        <v>2252</v>
      </c>
      <c r="U916" s="241">
        <f>T916/S916</f>
        <v>0.87644533697610794</v>
      </c>
    </row>
    <row r="917" spans="1:21" ht="13">
      <c r="A917" s="249"/>
      <c r="B917" s="236"/>
      <c r="C917" s="19" t="s">
        <v>33</v>
      </c>
      <c r="D917" s="17"/>
      <c r="E917" s="17"/>
      <c r="F917" s="17">
        <v>98.57</v>
      </c>
      <c r="G917" s="236"/>
      <c r="H917" s="236"/>
      <c r="I917" s="236"/>
      <c r="J917" s="242"/>
      <c r="L917" s="249"/>
      <c r="M917" s="236"/>
      <c r="N917" s="19" t="s">
        <v>33</v>
      </c>
      <c r="O917" s="17"/>
      <c r="P917" s="17"/>
      <c r="Q917" s="17">
        <v>98.57</v>
      </c>
      <c r="R917" s="236"/>
      <c r="S917" s="236"/>
      <c r="T917" s="236"/>
      <c r="U917" s="242"/>
    </row>
    <row r="918" spans="1:21" ht="13">
      <c r="A918" s="249"/>
      <c r="B918" s="236"/>
      <c r="C918" s="19" t="s">
        <v>44</v>
      </c>
      <c r="D918" s="17"/>
      <c r="E918" s="17"/>
      <c r="F918" s="17">
        <v>18.899999999999999</v>
      </c>
      <c r="G918" s="236"/>
      <c r="H918" s="236"/>
      <c r="I918" s="236"/>
      <c r="J918" s="242"/>
      <c r="L918" s="249"/>
      <c r="M918" s="236"/>
      <c r="N918" s="19" t="s">
        <v>44</v>
      </c>
      <c r="O918" s="17"/>
      <c r="P918" s="17"/>
      <c r="Q918" s="17">
        <v>18.899999999999999</v>
      </c>
      <c r="R918" s="236"/>
      <c r="S918" s="236"/>
      <c r="T918" s="236"/>
      <c r="U918" s="242"/>
    </row>
    <row r="919" spans="1:21" ht="13">
      <c r="A919" s="249"/>
      <c r="B919" s="248"/>
      <c r="C919" s="20" t="s">
        <v>45</v>
      </c>
      <c r="D919" s="21"/>
      <c r="E919" s="21"/>
      <c r="F919" s="21">
        <v>50</v>
      </c>
      <c r="G919" s="238"/>
      <c r="H919" s="238"/>
      <c r="I919" s="238"/>
      <c r="J919" s="243"/>
      <c r="L919" s="249"/>
      <c r="M919" s="248"/>
      <c r="N919" s="20" t="s">
        <v>45</v>
      </c>
      <c r="O919" s="21"/>
      <c r="P919" s="21"/>
      <c r="Q919" s="21">
        <v>50</v>
      </c>
      <c r="R919" s="238"/>
      <c r="S919" s="238"/>
      <c r="T919" s="238"/>
      <c r="U919" s="243"/>
    </row>
    <row r="920" spans="1:21" ht="13">
      <c r="A920" s="249"/>
      <c r="B920" s="282" t="s">
        <v>472</v>
      </c>
      <c r="C920" s="15" t="s">
        <v>31</v>
      </c>
      <c r="D920" s="17">
        <v>7</v>
      </c>
      <c r="E920" s="17">
        <v>15</v>
      </c>
      <c r="F920" s="17">
        <f>D920*E920</f>
        <v>105</v>
      </c>
      <c r="G920" s="240">
        <f>SUM(F920:F921)</f>
        <v>105</v>
      </c>
      <c r="H920" s="237">
        <v>700</v>
      </c>
      <c r="I920" s="237">
        <f>H920-G920</f>
        <v>595</v>
      </c>
      <c r="J920" s="241">
        <f>I920/H920</f>
        <v>0.85</v>
      </c>
      <c r="L920" s="249"/>
      <c r="M920" s="282" t="s">
        <v>472</v>
      </c>
      <c r="N920" s="15" t="s">
        <v>31</v>
      </c>
      <c r="O920" s="17">
        <v>7</v>
      </c>
      <c r="P920" s="17">
        <v>15</v>
      </c>
      <c r="Q920" s="17">
        <f>O920*P920</f>
        <v>105</v>
      </c>
      <c r="R920" s="240">
        <f>SUM(Q920:Q921)</f>
        <v>105</v>
      </c>
      <c r="S920" s="237">
        <v>700</v>
      </c>
      <c r="T920" s="237">
        <f>S920-R920</f>
        <v>595</v>
      </c>
      <c r="U920" s="241">
        <f>T920/S920</f>
        <v>0.85</v>
      </c>
    </row>
    <row r="921" spans="1:21" ht="13">
      <c r="A921" s="249"/>
      <c r="B921" s="248"/>
      <c r="C921" s="20"/>
      <c r="D921" s="21"/>
      <c r="E921" s="21"/>
      <c r="F921" s="21"/>
      <c r="G921" s="238"/>
      <c r="H921" s="238"/>
      <c r="I921" s="238"/>
      <c r="J921" s="243"/>
      <c r="L921" s="249"/>
      <c r="M921" s="248"/>
      <c r="N921" s="20"/>
      <c r="O921" s="21"/>
      <c r="P921" s="21"/>
      <c r="Q921" s="21"/>
      <c r="R921" s="238"/>
      <c r="S921" s="238"/>
      <c r="T921" s="238"/>
      <c r="U921" s="243"/>
    </row>
    <row r="922" spans="1:21" ht="13">
      <c r="A922" s="249"/>
      <c r="B922" s="282" t="s">
        <v>468</v>
      </c>
      <c r="C922" s="15" t="s">
        <v>147</v>
      </c>
      <c r="D922" s="16"/>
      <c r="E922" s="16"/>
      <c r="F922" s="17">
        <v>75</v>
      </c>
      <c r="G922" s="240">
        <f>SUM(F922:F924)</f>
        <v>175</v>
      </c>
      <c r="H922" s="237">
        <v>750</v>
      </c>
      <c r="I922" s="237">
        <f>H922-G922</f>
        <v>575</v>
      </c>
      <c r="J922" s="241">
        <f>I922/H922</f>
        <v>0.76666666666666672</v>
      </c>
      <c r="L922" s="249"/>
      <c r="M922" s="282" t="s">
        <v>468</v>
      </c>
      <c r="N922" s="15" t="s">
        <v>147</v>
      </c>
      <c r="O922" s="16"/>
      <c r="P922" s="16"/>
      <c r="Q922" s="17">
        <v>75</v>
      </c>
      <c r="R922" s="240">
        <f>SUM(Q922:Q924)</f>
        <v>175</v>
      </c>
      <c r="S922" s="237">
        <v>750</v>
      </c>
      <c r="T922" s="237">
        <f>S922-R922</f>
        <v>575</v>
      </c>
      <c r="U922" s="241">
        <f>T922/S922</f>
        <v>0.76666666666666672</v>
      </c>
    </row>
    <row r="923" spans="1:21" ht="13">
      <c r="A923" s="249"/>
      <c r="B923" s="236"/>
      <c r="C923" s="19" t="s">
        <v>38</v>
      </c>
      <c r="D923" s="17"/>
      <c r="E923" s="17"/>
      <c r="F923" s="17">
        <v>50</v>
      </c>
      <c r="G923" s="236"/>
      <c r="H923" s="236"/>
      <c r="I923" s="236"/>
      <c r="J923" s="242"/>
      <c r="L923" s="249"/>
      <c r="M923" s="236"/>
      <c r="N923" s="19" t="s">
        <v>38</v>
      </c>
      <c r="O923" s="17"/>
      <c r="P923" s="17"/>
      <c r="Q923" s="17">
        <v>50</v>
      </c>
      <c r="R923" s="236"/>
      <c r="S923" s="236"/>
      <c r="T923" s="236"/>
      <c r="U923" s="242"/>
    </row>
    <row r="924" spans="1:21" ht="13">
      <c r="A924" s="249"/>
      <c r="B924" s="248"/>
      <c r="C924" s="20" t="s">
        <v>53</v>
      </c>
      <c r="D924" s="21"/>
      <c r="E924" s="21"/>
      <c r="F924" s="21">
        <v>50</v>
      </c>
      <c r="G924" s="238"/>
      <c r="H924" s="238"/>
      <c r="I924" s="238"/>
      <c r="J924" s="243"/>
      <c r="L924" s="249"/>
      <c r="M924" s="248"/>
      <c r="N924" s="20" t="s">
        <v>53</v>
      </c>
      <c r="O924" s="21"/>
      <c r="P924" s="21"/>
      <c r="Q924" s="21">
        <v>50</v>
      </c>
      <c r="R924" s="238"/>
      <c r="S924" s="238"/>
      <c r="T924" s="238"/>
      <c r="U924" s="243"/>
    </row>
    <row r="925" spans="1:21" ht="13">
      <c r="A925" s="249"/>
      <c r="B925" s="283" t="s">
        <v>374</v>
      </c>
      <c r="C925" s="69" t="s">
        <v>137</v>
      </c>
      <c r="D925" s="65">
        <v>42</v>
      </c>
      <c r="E925" s="65">
        <v>15</v>
      </c>
      <c r="F925" s="23">
        <f t="shared" ref="F925:F935" si="174">D925*E925</f>
        <v>630</v>
      </c>
      <c r="G925" s="240">
        <f>SUM(F925:F945)</f>
        <v>13967.92</v>
      </c>
      <c r="H925" s="237">
        <v>29954.400000000001</v>
      </c>
      <c r="I925" s="237">
        <f>H925-G925</f>
        <v>15986.480000000001</v>
      </c>
      <c r="J925" s="241">
        <f>I925/H925</f>
        <v>0.53369388136634355</v>
      </c>
      <c r="L925" s="249"/>
      <c r="M925" s="283" t="s">
        <v>374</v>
      </c>
      <c r="N925" s="69" t="s">
        <v>137</v>
      </c>
      <c r="O925" s="65">
        <v>42</v>
      </c>
      <c r="P925" s="65">
        <v>15</v>
      </c>
      <c r="Q925" s="23">
        <f t="shared" ref="Q925:Q931" si="175">O925*P925</f>
        <v>630</v>
      </c>
      <c r="R925" s="240">
        <f>SUM(Q925:Q945)</f>
        <v>13513.92</v>
      </c>
      <c r="S925" s="237">
        <v>29954.400000000001</v>
      </c>
      <c r="T925" s="237">
        <f>S925-R925</f>
        <v>16440.480000000003</v>
      </c>
      <c r="U925" s="241">
        <f>T925/S925</f>
        <v>0.54885025238362317</v>
      </c>
    </row>
    <row r="926" spans="1:21" ht="13">
      <c r="A926" s="249"/>
      <c r="B926" s="236"/>
      <c r="C926" s="22" t="s">
        <v>72</v>
      </c>
      <c r="D926" s="23">
        <v>49</v>
      </c>
      <c r="E926" s="23">
        <v>15</v>
      </c>
      <c r="F926" s="23">
        <f t="shared" si="174"/>
        <v>735</v>
      </c>
      <c r="G926" s="236"/>
      <c r="H926" s="236"/>
      <c r="I926" s="236"/>
      <c r="J926" s="242"/>
      <c r="L926" s="249"/>
      <c r="M926" s="236"/>
      <c r="N926" s="22" t="s">
        <v>72</v>
      </c>
      <c r="O926" s="23">
        <v>49</v>
      </c>
      <c r="P926" s="23">
        <v>15</v>
      </c>
      <c r="Q926" s="23">
        <f t="shared" si="175"/>
        <v>735</v>
      </c>
      <c r="R926" s="236"/>
      <c r="S926" s="236"/>
      <c r="T926" s="236"/>
      <c r="U926" s="242"/>
    </row>
    <row r="927" spans="1:21" ht="13">
      <c r="A927" s="249"/>
      <c r="B927" s="236"/>
      <c r="C927" s="22" t="s">
        <v>473</v>
      </c>
      <c r="D927" s="23">
        <v>7</v>
      </c>
      <c r="E927" s="23">
        <v>15</v>
      </c>
      <c r="F927" s="23">
        <f t="shared" si="174"/>
        <v>105</v>
      </c>
      <c r="G927" s="236"/>
      <c r="H927" s="236"/>
      <c r="I927" s="236"/>
      <c r="J927" s="242"/>
      <c r="L927" s="249"/>
      <c r="M927" s="236"/>
      <c r="N927" s="22" t="s">
        <v>473</v>
      </c>
      <c r="O927" s="23">
        <v>7</v>
      </c>
      <c r="P927" s="23">
        <v>15</v>
      </c>
      <c r="Q927" s="23">
        <f t="shared" si="175"/>
        <v>105</v>
      </c>
      <c r="R927" s="236"/>
      <c r="S927" s="236"/>
      <c r="T927" s="236"/>
      <c r="U927" s="242"/>
    </row>
    <row r="928" spans="1:21" ht="13">
      <c r="A928" s="249"/>
      <c r="B928" s="236"/>
      <c r="C928" s="22" t="s">
        <v>377</v>
      </c>
      <c r="D928" s="23">
        <v>23</v>
      </c>
      <c r="E928" s="23">
        <v>15</v>
      </c>
      <c r="F928" s="23">
        <f t="shared" si="174"/>
        <v>345</v>
      </c>
      <c r="G928" s="236"/>
      <c r="H928" s="236"/>
      <c r="I928" s="236"/>
      <c r="J928" s="242"/>
      <c r="L928" s="249"/>
      <c r="M928" s="236"/>
      <c r="N928" s="22" t="s">
        <v>377</v>
      </c>
      <c r="O928" s="23">
        <v>23</v>
      </c>
      <c r="P928" s="23">
        <v>15</v>
      </c>
      <c r="Q928" s="23">
        <f t="shared" si="175"/>
        <v>345</v>
      </c>
      <c r="R928" s="236"/>
      <c r="S928" s="236"/>
      <c r="T928" s="236"/>
      <c r="U928" s="242"/>
    </row>
    <row r="929" spans="1:21" ht="13">
      <c r="A929" s="249"/>
      <c r="B929" s="236"/>
      <c r="C929" s="22" t="s">
        <v>106</v>
      </c>
      <c r="D929" s="23">
        <v>9</v>
      </c>
      <c r="E929" s="23">
        <v>15</v>
      </c>
      <c r="F929" s="23">
        <f t="shared" si="174"/>
        <v>135</v>
      </c>
      <c r="G929" s="236"/>
      <c r="H929" s="236"/>
      <c r="I929" s="236"/>
      <c r="J929" s="242"/>
      <c r="L929" s="249"/>
      <c r="M929" s="236"/>
      <c r="N929" s="22" t="s">
        <v>106</v>
      </c>
      <c r="O929" s="23">
        <v>9</v>
      </c>
      <c r="P929" s="23">
        <v>15</v>
      </c>
      <c r="Q929" s="23">
        <f t="shared" si="175"/>
        <v>135</v>
      </c>
      <c r="R929" s="236"/>
      <c r="S929" s="236"/>
      <c r="T929" s="236"/>
      <c r="U929" s="242"/>
    </row>
    <row r="930" spans="1:21" ht="13">
      <c r="A930" s="249"/>
      <c r="B930" s="236"/>
      <c r="C930" s="22" t="s">
        <v>379</v>
      </c>
      <c r="D930" s="23">
        <v>46</v>
      </c>
      <c r="E930" s="23">
        <v>15</v>
      </c>
      <c r="F930" s="23">
        <f t="shared" si="174"/>
        <v>690</v>
      </c>
      <c r="G930" s="236"/>
      <c r="H930" s="236"/>
      <c r="I930" s="236"/>
      <c r="J930" s="242"/>
      <c r="L930" s="249"/>
      <c r="M930" s="236"/>
      <c r="N930" s="22" t="s">
        <v>379</v>
      </c>
      <c r="O930" s="23">
        <v>46</v>
      </c>
      <c r="P930" s="23">
        <v>15</v>
      </c>
      <c r="Q930" s="23">
        <f t="shared" si="175"/>
        <v>690</v>
      </c>
      <c r="R930" s="236"/>
      <c r="S930" s="236"/>
      <c r="T930" s="236"/>
      <c r="U930" s="242"/>
    </row>
    <row r="931" spans="1:21" ht="13">
      <c r="A931" s="249"/>
      <c r="B931" s="236"/>
      <c r="C931" s="22" t="s">
        <v>100</v>
      </c>
      <c r="D931" s="23">
        <v>7</v>
      </c>
      <c r="E931" s="23">
        <v>15</v>
      </c>
      <c r="F931" s="23">
        <f t="shared" si="174"/>
        <v>105</v>
      </c>
      <c r="G931" s="236"/>
      <c r="H931" s="236"/>
      <c r="I931" s="236"/>
      <c r="J931" s="242"/>
      <c r="L931" s="249"/>
      <c r="M931" s="236"/>
      <c r="N931" s="22" t="s">
        <v>100</v>
      </c>
      <c r="O931" s="23">
        <v>7</v>
      </c>
      <c r="P931" s="23">
        <v>15</v>
      </c>
      <c r="Q931" s="23">
        <f t="shared" si="175"/>
        <v>105</v>
      </c>
      <c r="R931" s="236"/>
      <c r="S931" s="236"/>
      <c r="T931" s="236"/>
      <c r="U931" s="242"/>
    </row>
    <row r="932" spans="1:21" ht="13">
      <c r="A932" s="249"/>
      <c r="B932" s="236"/>
      <c r="C932" s="22" t="s">
        <v>384</v>
      </c>
      <c r="D932" s="23">
        <v>21</v>
      </c>
      <c r="E932" s="23">
        <v>18</v>
      </c>
      <c r="F932" s="23">
        <f t="shared" si="174"/>
        <v>378</v>
      </c>
      <c r="G932" s="236"/>
      <c r="H932" s="236"/>
      <c r="I932" s="236"/>
      <c r="J932" s="242"/>
      <c r="L932" s="249"/>
      <c r="M932" s="236"/>
      <c r="N932" s="22" t="s">
        <v>384</v>
      </c>
      <c r="O932" s="18"/>
      <c r="P932" s="18"/>
      <c r="Q932" s="18"/>
      <c r="R932" s="236"/>
      <c r="S932" s="236"/>
      <c r="T932" s="236"/>
      <c r="U932" s="242"/>
    </row>
    <row r="933" spans="1:21" ht="13">
      <c r="A933" s="249"/>
      <c r="B933" s="236"/>
      <c r="C933" s="22" t="s">
        <v>474</v>
      </c>
      <c r="D933" s="23">
        <v>7</v>
      </c>
      <c r="E933" s="23">
        <v>15</v>
      </c>
      <c r="F933" s="23">
        <f t="shared" si="174"/>
        <v>105</v>
      </c>
      <c r="G933" s="236"/>
      <c r="H933" s="236"/>
      <c r="I933" s="236"/>
      <c r="J933" s="242"/>
      <c r="L933" s="249"/>
      <c r="M933" s="236"/>
      <c r="N933" s="22" t="s">
        <v>474</v>
      </c>
      <c r="O933" s="23">
        <v>7</v>
      </c>
      <c r="P933" s="23">
        <v>15</v>
      </c>
      <c r="Q933" s="23">
        <f t="shared" ref="Q933:Q935" si="176">O933*P933</f>
        <v>105</v>
      </c>
      <c r="R933" s="236"/>
      <c r="S933" s="236"/>
      <c r="T933" s="236"/>
      <c r="U933" s="242"/>
    </row>
    <row r="934" spans="1:21" ht="13">
      <c r="A934" s="249"/>
      <c r="B934" s="236"/>
      <c r="C934" s="22" t="s">
        <v>35</v>
      </c>
      <c r="D934" s="23">
        <v>74</v>
      </c>
      <c r="E934" s="23">
        <v>15</v>
      </c>
      <c r="F934" s="23">
        <f t="shared" si="174"/>
        <v>1110</v>
      </c>
      <c r="G934" s="236"/>
      <c r="H934" s="236"/>
      <c r="I934" s="236"/>
      <c r="J934" s="242"/>
      <c r="L934" s="249"/>
      <c r="M934" s="236"/>
      <c r="N934" s="22" t="s">
        <v>35</v>
      </c>
      <c r="O934" s="23">
        <v>74</v>
      </c>
      <c r="P934" s="23">
        <v>15</v>
      </c>
      <c r="Q934" s="23">
        <f t="shared" si="176"/>
        <v>1110</v>
      </c>
      <c r="R934" s="236"/>
      <c r="S934" s="236"/>
      <c r="T934" s="236"/>
      <c r="U934" s="242"/>
    </row>
    <row r="935" spans="1:21" ht="13">
      <c r="A935" s="249"/>
      <c r="B935" s="236"/>
      <c r="C935" s="22" t="s">
        <v>50</v>
      </c>
      <c r="D935" s="23">
        <v>72.349999999999994</v>
      </c>
      <c r="E935" s="23">
        <v>15</v>
      </c>
      <c r="F935" s="23">
        <f t="shared" si="174"/>
        <v>1085.25</v>
      </c>
      <c r="G935" s="236"/>
      <c r="H935" s="236"/>
      <c r="I935" s="236"/>
      <c r="J935" s="242"/>
      <c r="L935" s="249"/>
      <c r="M935" s="236"/>
      <c r="N935" s="22" t="s">
        <v>50</v>
      </c>
      <c r="O935" s="23">
        <v>72.349999999999994</v>
      </c>
      <c r="P935" s="23">
        <v>15</v>
      </c>
      <c r="Q935" s="23">
        <f t="shared" si="176"/>
        <v>1085.25</v>
      </c>
      <c r="R935" s="236"/>
      <c r="S935" s="236"/>
      <c r="T935" s="236"/>
      <c r="U935" s="242"/>
    </row>
    <row r="936" spans="1:21" ht="13">
      <c r="A936" s="249"/>
      <c r="B936" s="236"/>
      <c r="C936" s="22" t="s">
        <v>475</v>
      </c>
      <c r="D936" s="23"/>
      <c r="E936" s="23"/>
      <c r="F936" s="23">
        <v>915.9</v>
      </c>
      <c r="G936" s="236"/>
      <c r="H936" s="236"/>
      <c r="I936" s="236"/>
      <c r="J936" s="242"/>
      <c r="L936" s="249"/>
      <c r="M936" s="236"/>
      <c r="N936" s="22" t="s">
        <v>475</v>
      </c>
      <c r="O936" s="23"/>
      <c r="P936" s="23"/>
      <c r="Q936" s="23">
        <v>915.9</v>
      </c>
      <c r="R936" s="236"/>
      <c r="S936" s="236"/>
      <c r="T936" s="236"/>
      <c r="U936" s="242"/>
    </row>
    <row r="937" spans="1:21" ht="13">
      <c r="A937" s="249"/>
      <c r="B937" s="236"/>
      <c r="C937" s="22" t="s">
        <v>388</v>
      </c>
      <c r="D937" s="23"/>
      <c r="E937" s="23"/>
      <c r="F937" s="23">
        <v>4179.8500000000004</v>
      </c>
      <c r="G937" s="236"/>
      <c r="H937" s="236"/>
      <c r="I937" s="236"/>
      <c r="J937" s="242"/>
      <c r="L937" s="249"/>
      <c r="M937" s="236"/>
      <c r="N937" s="22" t="s">
        <v>388</v>
      </c>
      <c r="O937" s="23"/>
      <c r="P937" s="23"/>
      <c r="Q937" s="23">
        <v>4179.8500000000004</v>
      </c>
      <c r="R937" s="236"/>
      <c r="S937" s="236"/>
      <c r="T937" s="236"/>
      <c r="U937" s="242"/>
    </row>
    <row r="938" spans="1:21" ht="13">
      <c r="A938" s="249"/>
      <c r="B938" s="236"/>
      <c r="C938" s="22" t="s">
        <v>389</v>
      </c>
      <c r="D938" s="23"/>
      <c r="E938" s="23"/>
      <c r="F938" s="23">
        <v>0</v>
      </c>
      <c r="G938" s="236"/>
      <c r="H938" s="236"/>
      <c r="I938" s="236"/>
      <c r="J938" s="242"/>
      <c r="L938" s="249"/>
      <c r="M938" s="236"/>
      <c r="N938" s="22" t="s">
        <v>389</v>
      </c>
      <c r="O938" s="23"/>
      <c r="P938" s="23"/>
      <c r="Q938" s="23">
        <v>0</v>
      </c>
      <c r="R938" s="236"/>
      <c r="S938" s="236"/>
      <c r="T938" s="236"/>
      <c r="U938" s="242"/>
    </row>
    <row r="939" spans="1:21" ht="13">
      <c r="A939" s="249"/>
      <c r="B939" s="236"/>
      <c r="C939" s="22" t="s">
        <v>391</v>
      </c>
      <c r="D939" s="23"/>
      <c r="E939" s="23"/>
      <c r="F939" s="23">
        <v>0</v>
      </c>
      <c r="G939" s="236"/>
      <c r="H939" s="236"/>
      <c r="I939" s="236"/>
      <c r="J939" s="242"/>
      <c r="L939" s="249"/>
      <c r="M939" s="236"/>
      <c r="N939" s="22" t="s">
        <v>391</v>
      </c>
      <c r="O939" s="23"/>
      <c r="P939" s="23"/>
      <c r="Q939" s="23">
        <v>0</v>
      </c>
      <c r="R939" s="236"/>
      <c r="S939" s="236"/>
      <c r="T939" s="236"/>
      <c r="U939" s="242"/>
    </row>
    <row r="940" spans="1:21" ht="13">
      <c r="A940" s="249"/>
      <c r="B940" s="236"/>
      <c r="C940" s="22" t="s">
        <v>476</v>
      </c>
      <c r="D940" s="23"/>
      <c r="E940" s="23"/>
      <c r="F940" s="23">
        <v>151.47999999999999</v>
      </c>
      <c r="G940" s="236"/>
      <c r="H940" s="236"/>
      <c r="I940" s="236"/>
      <c r="J940" s="242"/>
      <c r="L940" s="249"/>
      <c r="M940" s="236"/>
      <c r="N940" s="22" t="s">
        <v>476</v>
      </c>
      <c r="O940" s="23"/>
      <c r="P940" s="23"/>
      <c r="Q940" s="23">
        <v>151.47999999999999</v>
      </c>
      <c r="R940" s="236"/>
      <c r="S940" s="236"/>
      <c r="T940" s="236"/>
      <c r="U940" s="242"/>
    </row>
    <row r="941" spans="1:21" ht="13">
      <c r="A941" s="249"/>
      <c r="B941" s="236"/>
      <c r="C941" s="22" t="s">
        <v>392</v>
      </c>
      <c r="D941" s="23"/>
      <c r="E941" s="23"/>
      <c r="F941" s="23">
        <v>2580</v>
      </c>
      <c r="G941" s="236"/>
      <c r="H941" s="236"/>
      <c r="I941" s="236"/>
      <c r="J941" s="242"/>
      <c r="L941" s="249"/>
      <c r="M941" s="236"/>
      <c r="N941" s="22" t="s">
        <v>392</v>
      </c>
      <c r="O941" s="23"/>
      <c r="P941" s="23"/>
      <c r="Q941" s="23">
        <v>2580</v>
      </c>
      <c r="R941" s="236"/>
      <c r="S941" s="236"/>
      <c r="T941" s="236"/>
      <c r="U941" s="242"/>
    </row>
    <row r="942" spans="1:21" ht="13">
      <c r="A942" s="249"/>
      <c r="B942" s="236"/>
      <c r="C942" s="22" t="s">
        <v>393</v>
      </c>
      <c r="D942" s="23"/>
      <c r="E942" s="23"/>
      <c r="F942" s="23">
        <v>143</v>
      </c>
      <c r="G942" s="236"/>
      <c r="H942" s="236"/>
      <c r="I942" s="236"/>
      <c r="J942" s="242"/>
      <c r="L942" s="249"/>
      <c r="M942" s="236"/>
      <c r="N942" s="22" t="s">
        <v>393</v>
      </c>
      <c r="O942" s="23"/>
      <c r="P942" s="23"/>
      <c r="Q942" s="23">
        <v>143</v>
      </c>
      <c r="R942" s="236"/>
      <c r="S942" s="236"/>
      <c r="T942" s="236"/>
      <c r="U942" s="242"/>
    </row>
    <row r="943" spans="1:21" ht="13">
      <c r="A943" s="249"/>
      <c r="B943" s="236"/>
      <c r="C943" s="22" t="s">
        <v>102</v>
      </c>
      <c r="D943" s="23">
        <v>4</v>
      </c>
      <c r="E943" s="23">
        <v>19</v>
      </c>
      <c r="F943" s="23">
        <f>D943*E943</f>
        <v>76</v>
      </c>
      <c r="G943" s="236"/>
      <c r="H943" s="236"/>
      <c r="I943" s="236"/>
      <c r="J943" s="242"/>
      <c r="L943" s="249"/>
      <c r="M943" s="236"/>
      <c r="N943" s="22" t="s">
        <v>102</v>
      </c>
      <c r="O943" s="18"/>
      <c r="P943" s="18"/>
      <c r="Q943" s="18"/>
      <c r="R943" s="236"/>
      <c r="S943" s="236"/>
      <c r="T943" s="236"/>
      <c r="U943" s="242"/>
    </row>
    <row r="944" spans="1:21" ht="13">
      <c r="A944" s="249"/>
      <c r="B944" s="236"/>
      <c r="C944" s="22" t="s">
        <v>395</v>
      </c>
      <c r="D944" s="23"/>
      <c r="E944" s="23"/>
      <c r="F944" s="23">
        <v>498.44</v>
      </c>
      <c r="G944" s="236"/>
      <c r="H944" s="236"/>
      <c r="I944" s="236"/>
      <c r="J944" s="242"/>
      <c r="L944" s="249"/>
      <c r="M944" s="236"/>
      <c r="N944" s="22" t="s">
        <v>395</v>
      </c>
      <c r="O944" s="23"/>
      <c r="P944" s="23"/>
      <c r="Q944" s="23">
        <v>498.44</v>
      </c>
      <c r="R944" s="236"/>
      <c r="S944" s="236"/>
      <c r="T944" s="236"/>
      <c r="U944" s="242"/>
    </row>
    <row r="945" spans="1:21" ht="13">
      <c r="A945" s="249"/>
      <c r="B945" s="248"/>
      <c r="C945" s="25"/>
      <c r="D945" s="26"/>
      <c r="E945" s="26"/>
      <c r="F945" s="26"/>
      <c r="G945" s="238"/>
      <c r="H945" s="238"/>
      <c r="I945" s="238"/>
      <c r="J945" s="243"/>
      <c r="L945" s="249"/>
      <c r="M945" s="248"/>
      <c r="N945" s="25"/>
      <c r="O945" s="26"/>
      <c r="P945" s="26"/>
      <c r="Q945" s="26"/>
      <c r="R945" s="238"/>
      <c r="S945" s="238"/>
      <c r="T945" s="238"/>
      <c r="U945" s="243"/>
    </row>
    <row r="946" spans="1:21" ht="13">
      <c r="A946" s="249"/>
      <c r="B946" s="244" t="s">
        <v>477</v>
      </c>
      <c r="C946" s="15" t="s">
        <v>100</v>
      </c>
      <c r="D946" s="16">
        <v>9</v>
      </c>
      <c r="E946" s="16">
        <v>15</v>
      </c>
      <c r="F946" s="17">
        <f t="shared" ref="F946:F948" si="177">D946*E946</f>
        <v>135</v>
      </c>
      <c r="G946" s="240">
        <f>SUM(F946:F949)</f>
        <v>405</v>
      </c>
      <c r="H946" s="237">
        <v>1431</v>
      </c>
      <c r="I946" s="237">
        <f>H946-G946</f>
        <v>1026</v>
      </c>
      <c r="J946" s="241">
        <f>I946/H946</f>
        <v>0.71698113207547165</v>
      </c>
      <c r="L946" s="249"/>
      <c r="M946" s="244" t="s">
        <v>477</v>
      </c>
      <c r="N946" s="15" t="s">
        <v>100</v>
      </c>
      <c r="O946" s="16">
        <v>9</v>
      </c>
      <c r="P946" s="16">
        <v>15</v>
      </c>
      <c r="Q946" s="17">
        <f t="shared" ref="Q946:Q948" si="178">O946*P946</f>
        <v>135</v>
      </c>
      <c r="R946" s="240">
        <f>SUM(Q946:Q949)</f>
        <v>405</v>
      </c>
      <c r="S946" s="237">
        <v>1431</v>
      </c>
      <c r="T946" s="237">
        <f>S946-R946</f>
        <v>1026</v>
      </c>
      <c r="U946" s="241">
        <f>T946/S946</f>
        <v>0.71698113207547165</v>
      </c>
    </row>
    <row r="947" spans="1:21" ht="13">
      <c r="A947" s="249"/>
      <c r="B947" s="245"/>
      <c r="C947" s="19" t="s">
        <v>53</v>
      </c>
      <c r="D947" s="17">
        <v>3</v>
      </c>
      <c r="E947" s="17">
        <v>15</v>
      </c>
      <c r="F947" s="17">
        <f t="shared" si="177"/>
        <v>45</v>
      </c>
      <c r="G947" s="236"/>
      <c r="H947" s="236"/>
      <c r="I947" s="236"/>
      <c r="J947" s="242"/>
      <c r="L947" s="249"/>
      <c r="M947" s="245"/>
      <c r="N947" s="19" t="s">
        <v>53</v>
      </c>
      <c r="O947" s="17">
        <v>3</v>
      </c>
      <c r="P947" s="17">
        <v>15</v>
      </c>
      <c r="Q947" s="17">
        <f t="shared" si="178"/>
        <v>45</v>
      </c>
      <c r="R947" s="236"/>
      <c r="S947" s="236"/>
      <c r="T947" s="236"/>
      <c r="U947" s="242"/>
    </row>
    <row r="948" spans="1:21" ht="13">
      <c r="A948" s="249"/>
      <c r="B948" s="245"/>
      <c r="C948" s="19" t="s">
        <v>147</v>
      </c>
      <c r="D948" s="17">
        <v>15</v>
      </c>
      <c r="E948" s="17">
        <v>15</v>
      </c>
      <c r="F948" s="17">
        <f t="shared" si="177"/>
        <v>225</v>
      </c>
      <c r="G948" s="236"/>
      <c r="H948" s="236"/>
      <c r="I948" s="236"/>
      <c r="J948" s="242"/>
      <c r="L948" s="249"/>
      <c r="M948" s="245"/>
      <c r="N948" s="19" t="s">
        <v>147</v>
      </c>
      <c r="O948" s="17">
        <v>15</v>
      </c>
      <c r="P948" s="17">
        <v>15</v>
      </c>
      <c r="Q948" s="17">
        <f t="shared" si="178"/>
        <v>225</v>
      </c>
      <c r="R948" s="236"/>
      <c r="S948" s="236"/>
      <c r="T948" s="236"/>
      <c r="U948" s="242"/>
    </row>
    <row r="949" spans="1:21" ht="13">
      <c r="A949" s="249"/>
      <c r="B949" s="246"/>
      <c r="C949" s="20"/>
      <c r="D949" s="21"/>
      <c r="E949" s="21"/>
      <c r="F949" s="21"/>
      <c r="G949" s="238"/>
      <c r="H949" s="238"/>
      <c r="I949" s="238"/>
      <c r="J949" s="243"/>
      <c r="L949" s="249"/>
      <c r="M949" s="246"/>
      <c r="N949" s="20"/>
      <c r="O949" s="21"/>
      <c r="P949" s="21"/>
      <c r="Q949" s="21"/>
      <c r="R949" s="238"/>
      <c r="S949" s="238"/>
      <c r="T949" s="238"/>
      <c r="U949" s="243"/>
    </row>
    <row r="950" spans="1:21" ht="13">
      <c r="A950" s="249"/>
      <c r="B950" s="244" t="s">
        <v>478</v>
      </c>
      <c r="C950" s="15" t="s">
        <v>38</v>
      </c>
      <c r="D950" s="16">
        <v>15.82</v>
      </c>
      <c r="E950" s="17">
        <v>13</v>
      </c>
      <c r="F950" s="17">
        <f t="shared" ref="F950:F952" si="179">D950*E950</f>
        <v>205.66</v>
      </c>
      <c r="G950" s="240">
        <f>SUM(F950:F953)</f>
        <v>846.11999999999989</v>
      </c>
      <c r="H950" s="237">
        <v>1296.4000000000001</v>
      </c>
      <c r="I950" s="237">
        <f>H950-G950</f>
        <v>450.2800000000002</v>
      </c>
      <c r="J950" s="241">
        <f>I950/H950</f>
        <v>0.3473310706572047</v>
      </c>
      <c r="L950" s="249"/>
      <c r="M950" s="244" t="s">
        <v>478</v>
      </c>
      <c r="N950" s="15" t="s">
        <v>38</v>
      </c>
      <c r="O950" s="16">
        <v>15.82</v>
      </c>
      <c r="P950" s="17">
        <v>13</v>
      </c>
      <c r="Q950" s="17">
        <f t="shared" ref="Q950:Q952" si="180">O950*P950</f>
        <v>205.66</v>
      </c>
      <c r="R950" s="240">
        <f>SUM(Q950:Q953)</f>
        <v>846.11999999999989</v>
      </c>
      <c r="S950" s="237">
        <v>1296.4000000000001</v>
      </c>
      <c r="T950" s="237">
        <f>S950-R950</f>
        <v>450.2800000000002</v>
      </c>
      <c r="U950" s="241">
        <f>T950/S950</f>
        <v>0.3473310706572047</v>
      </c>
    </row>
    <row r="951" spans="1:21" ht="13">
      <c r="A951" s="249"/>
      <c r="B951" s="245"/>
      <c r="C951" s="19" t="s">
        <v>32</v>
      </c>
      <c r="D951" s="17">
        <v>6.5</v>
      </c>
      <c r="E951" s="17">
        <v>13</v>
      </c>
      <c r="F951" s="17">
        <f t="shared" si="179"/>
        <v>84.5</v>
      </c>
      <c r="G951" s="236"/>
      <c r="H951" s="236"/>
      <c r="I951" s="236"/>
      <c r="J951" s="242"/>
      <c r="L951" s="249"/>
      <c r="M951" s="245"/>
      <c r="N951" s="19" t="s">
        <v>32</v>
      </c>
      <c r="O951" s="17">
        <v>6.5</v>
      </c>
      <c r="P951" s="17">
        <v>13</v>
      </c>
      <c r="Q951" s="17">
        <f t="shared" si="180"/>
        <v>84.5</v>
      </c>
      <c r="R951" s="236"/>
      <c r="S951" s="236"/>
      <c r="T951" s="236"/>
      <c r="U951" s="242"/>
    </row>
    <row r="952" spans="1:21" ht="13">
      <c r="A952" s="249"/>
      <c r="B952" s="245"/>
      <c r="C952" s="19" t="s">
        <v>64</v>
      </c>
      <c r="D952" s="17">
        <v>8.92</v>
      </c>
      <c r="E952" s="17">
        <v>13</v>
      </c>
      <c r="F952" s="17">
        <f t="shared" si="179"/>
        <v>115.96</v>
      </c>
      <c r="G952" s="236"/>
      <c r="H952" s="236"/>
      <c r="I952" s="236"/>
      <c r="J952" s="242"/>
      <c r="L952" s="249"/>
      <c r="M952" s="245"/>
      <c r="N952" s="19" t="s">
        <v>64</v>
      </c>
      <c r="O952" s="17">
        <v>8.92</v>
      </c>
      <c r="P952" s="17">
        <v>13</v>
      </c>
      <c r="Q952" s="17">
        <f t="shared" si="180"/>
        <v>115.96</v>
      </c>
      <c r="R952" s="236"/>
      <c r="S952" s="236"/>
      <c r="T952" s="236"/>
      <c r="U952" s="242"/>
    </row>
    <row r="953" spans="1:21" ht="13">
      <c r="A953" s="249"/>
      <c r="B953" s="246"/>
      <c r="C953" s="20" t="s">
        <v>70</v>
      </c>
      <c r="D953" s="21"/>
      <c r="E953" s="21"/>
      <c r="F953" s="21">
        <v>440</v>
      </c>
      <c r="G953" s="238"/>
      <c r="H953" s="238"/>
      <c r="I953" s="238"/>
      <c r="J953" s="243"/>
      <c r="L953" s="249"/>
      <c r="M953" s="246"/>
      <c r="N953" s="20" t="s">
        <v>70</v>
      </c>
      <c r="O953" s="21"/>
      <c r="P953" s="21"/>
      <c r="Q953" s="21">
        <v>440</v>
      </c>
      <c r="R953" s="238"/>
      <c r="S953" s="238"/>
      <c r="T953" s="238"/>
      <c r="U953" s="243"/>
    </row>
    <row r="954" spans="1:21" ht="13">
      <c r="A954" s="249"/>
      <c r="B954" s="244" t="s">
        <v>479</v>
      </c>
      <c r="C954" s="64" t="s">
        <v>23</v>
      </c>
      <c r="D954" s="50">
        <v>14</v>
      </c>
      <c r="E954" s="50">
        <v>18</v>
      </c>
      <c r="F954" s="65">
        <f>D954*E954</f>
        <v>252</v>
      </c>
      <c r="G954" s="240">
        <f>SUM(F954:F958)</f>
        <v>668.58</v>
      </c>
      <c r="H954" s="237">
        <v>2830.92</v>
      </c>
      <c r="I954" s="237">
        <f>H954-G954</f>
        <v>2162.34</v>
      </c>
      <c r="J954" s="241">
        <f>I954/H954</f>
        <v>0.76382942647619856</v>
      </c>
      <c r="L954" s="249"/>
      <c r="M954" s="244" t="s">
        <v>479</v>
      </c>
      <c r="N954" s="64" t="s">
        <v>23</v>
      </c>
      <c r="O954" s="18"/>
      <c r="P954" s="18"/>
      <c r="Q954" s="18"/>
      <c r="R954" s="240">
        <f>SUM(Q954:Q958)</f>
        <v>416.58</v>
      </c>
      <c r="S954" s="237">
        <v>2830.92</v>
      </c>
      <c r="T954" s="237">
        <f>S954-R954</f>
        <v>2414.34</v>
      </c>
      <c r="U954" s="241">
        <f>T954/S954</f>
        <v>0.85284642448391335</v>
      </c>
    </row>
    <row r="955" spans="1:21" ht="13">
      <c r="A955" s="249"/>
      <c r="B955" s="245"/>
      <c r="C955" s="22" t="s">
        <v>31</v>
      </c>
      <c r="D955" s="23"/>
      <c r="E955" s="23"/>
      <c r="F955" s="23">
        <v>200</v>
      </c>
      <c r="G955" s="236"/>
      <c r="H955" s="236"/>
      <c r="I955" s="236"/>
      <c r="J955" s="242"/>
      <c r="L955" s="249"/>
      <c r="M955" s="245"/>
      <c r="N955" s="22" t="s">
        <v>31</v>
      </c>
      <c r="O955" s="23"/>
      <c r="P955" s="23"/>
      <c r="Q955" s="23">
        <v>200</v>
      </c>
      <c r="R955" s="236"/>
      <c r="S955" s="236"/>
      <c r="T955" s="236"/>
      <c r="U955" s="242"/>
    </row>
    <row r="956" spans="1:21" ht="13">
      <c r="A956" s="249"/>
      <c r="B956" s="245"/>
      <c r="C956" s="22" t="s">
        <v>45</v>
      </c>
      <c r="D956" s="23"/>
      <c r="E956" s="23"/>
      <c r="F956" s="23">
        <v>150</v>
      </c>
      <c r="G956" s="236"/>
      <c r="H956" s="236"/>
      <c r="I956" s="236"/>
      <c r="J956" s="242"/>
      <c r="L956" s="249"/>
      <c r="M956" s="245"/>
      <c r="N956" s="22" t="s">
        <v>45</v>
      </c>
      <c r="O956" s="23"/>
      <c r="P956" s="23"/>
      <c r="Q956" s="23">
        <v>150</v>
      </c>
      <c r="R956" s="236"/>
      <c r="S956" s="236"/>
      <c r="T956" s="236"/>
      <c r="U956" s="242"/>
    </row>
    <row r="957" spans="1:21" ht="13">
      <c r="A957" s="249"/>
      <c r="B957" s="245"/>
      <c r="C957" s="22" t="s">
        <v>33</v>
      </c>
      <c r="D957" s="23"/>
      <c r="E957" s="23"/>
      <c r="F957" s="23">
        <v>66.58</v>
      </c>
      <c r="G957" s="236"/>
      <c r="H957" s="236"/>
      <c r="I957" s="236"/>
      <c r="J957" s="242"/>
      <c r="L957" s="249"/>
      <c r="M957" s="245"/>
      <c r="N957" s="22" t="s">
        <v>33</v>
      </c>
      <c r="O957" s="23"/>
      <c r="P957" s="23"/>
      <c r="Q957" s="23">
        <v>66.58</v>
      </c>
      <c r="R957" s="236"/>
      <c r="S957" s="236"/>
      <c r="T957" s="236"/>
      <c r="U957" s="242"/>
    </row>
    <row r="958" spans="1:21" ht="13">
      <c r="A958" s="249"/>
      <c r="B958" s="246"/>
      <c r="C958" s="25"/>
      <c r="D958" s="26"/>
      <c r="E958" s="26"/>
      <c r="F958" s="26"/>
      <c r="G958" s="238"/>
      <c r="H958" s="238"/>
      <c r="I958" s="238"/>
      <c r="J958" s="243"/>
      <c r="L958" s="249"/>
      <c r="M958" s="246"/>
      <c r="N958" s="25"/>
      <c r="O958" s="26"/>
      <c r="P958" s="26"/>
      <c r="Q958" s="26"/>
      <c r="R958" s="238"/>
      <c r="S958" s="238"/>
      <c r="T958" s="238"/>
      <c r="U958" s="243"/>
    </row>
    <row r="959" spans="1:21" ht="13">
      <c r="A959" s="249"/>
      <c r="B959" s="282" t="s">
        <v>480</v>
      </c>
      <c r="C959" s="15" t="s">
        <v>64</v>
      </c>
      <c r="D959" s="16">
        <v>3</v>
      </c>
      <c r="E959" s="16">
        <v>13</v>
      </c>
      <c r="F959" s="65">
        <f>D959*E959</f>
        <v>39</v>
      </c>
      <c r="G959" s="240">
        <f>SUM(F959:F961)</f>
        <v>84.35</v>
      </c>
      <c r="H959" s="237">
        <v>1069.2</v>
      </c>
      <c r="I959" s="237">
        <f>H959-G959</f>
        <v>984.85</v>
      </c>
      <c r="J959" s="241">
        <f>I959/H959</f>
        <v>0.92110924055368493</v>
      </c>
      <c r="L959" s="249"/>
      <c r="M959" s="282" t="s">
        <v>480</v>
      </c>
      <c r="N959" s="15" t="s">
        <v>64</v>
      </c>
      <c r="O959" s="16">
        <v>3</v>
      </c>
      <c r="P959" s="16">
        <v>13</v>
      </c>
      <c r="Q959" s="65">
        <f>O959*P959</f>
        <v>39</v>
      </c>
      <c r="R959" s="240">
        <f>SUM(Q959:Q961)</f>
        <v>84.35</v>
      </c>
      <c r="S959" s="237">
        <v>1069.2</v>
      </c>
      <c r="T959" s="237">
        <f>S959-R959</f>
        <v>984.85</v>
      </c>
      <c r="U959" s="241">
        <f>T959/S959</f>
        <v>0.92110924055368493</v>
      </c>
    </row>
    <row r="960" spans="1:21" ht="13">
      <c r="A960" s="249"/>
      <c r="B960" s="236"/>
      <c r="C960" s="19" t="s">
        <v>33</v>
      </c>
      <c r="D960" s="17"/>
      <c r="E960" s="17"/>
      <c r="F960" s="17">
        <v>45.35</v>
      </c>
      <c r="G960" s="236"/>
      <c r="H960" s="236"/>
      <c r="I960" s="236"/>
      <c r="J960" s="242"/>
      <c r="L960" s="249"/>
      <c r="M960" s="236"/>
      <c r="N960" s="19" t="s">
        <v>33</v>
      </c>
      <c r="O960" s="17"/>
      <c r="P960" s="17"/>
      <c r="Q960" s="17">
        <v>45.35</v>
      </c>
      <c r="R960" s="236"/>
      <c r="S960" s="236"/>
      <c r="T960" s="236"/>
      <c r="U960" s="242"/>
    </row>
    <row r="961" spans="1:21" ht="13">
      <c r="A961" s="249"/>
      <c r="B961" s="248"/>
      <c r="C961" s="20"/>
      <c r="D961" s="21"/>
      <c r="E961" s="21"/>
      <c r="F961" s="21"/>
      <c r="G961" s="238"/>
      <c r="H961" s="238"/>
      <c r="I961" s="238"/>
      <c r="J961" s="243"/>
      <c r="L961" s="249"/>
      <c r="M961" s="248"/>
      <c r="N961" s="20"/>
      <c r="O961" s="21"/>
      <c r="P961" s="21"/>
      <c r="Q961" s="21"/>
      <c r="R961" s="238"/>
      <c r="S961" s="238"/>
      <c r="T961" s="238"/>
      <c r="U961" s="243"/>
    </row>
    <row r="962" spans="1:21" ht="13">
      <c r="A962" s="249"/>
      <c r="B962" s="244" t="s">
        <v>481</v>
      </c>
      <c r="C962" s="64" t="s">
        <v>482</v>
      </c>
      <c r="D962" s="50"/>
      <c r="E962" s="50"/>
      <c r="F962" s="65">
        <v>100</v>
      </c>
      <c r="G962" s="240">
        <f>SUM(F962:F968)</f>
        <v>517.44999999999993</v>
      </c>
      <c r="H962" s="237">
        <v>1530.41</v>
      </c>
      <c r="I962" s="237">
        <f>H962-G962</f>
        <v>1012.9600000000002</v>
      </c>
      <c r="J962" s="241">
        <f>I962/H962</f>
        <v>0.66188799079985106</v>
      </c>
      <c r="L962" s="249"/>
      <c r="M962" s="244" t="s">
        <v>481</v>
      </c>
      <c r="N962" s="64" t="s">
        <v>482</v>
      </c>
      <c r="O962" s="50"/>
      <c r="P962" s="50"/>
      <c r="Q962" s="65">
        <v>100</v>
      </c>
      <c r="R962" s="240">
        <f>SUM(Q962:Q968)</f>
        <v>517.44999999999993</v>
      </c>
      <c r="S962" s="237">
        <v>1530.41</v>
      </c>
      <c r="T962" s="237">
        <f>S962-R962</f>
        <v>1012.9600000000002</v>
      </c>
      <c r="U962" s="241">
        <f>T962/S962</f>
        <v>0.66188799079985106</v>
      </c>
    </row>
    <row r="963" spans="1:21" ht="13">
      <c r="A963" s="249"/>
      <c r="B963" s="245"/>
      <c r="C963" s="22" t="s">
        <v>70</v>
      </c>
      <c r="D963" s="23"/>
      <c r="E963" s="23"/>
      <c r="F963" s="23">
        <v>100</v>
      </c>
      <c r="G963" s="236"/>
      <c r="H963" s="236"/>
      <c r="I963" s="236"/>
      <c r="J963" s="242"/>
      <c r="L963" s="249"/>
      <c r="M963" s="245"/>
      <c r="N963" s="22" t="s">
        <v>70</v>
      </c>
      <c r="O963" s="23"/>
      <c r="P963" s="23"/>
      <c r="Q963" s="23">
        <v>100</v>
      </c>
      <c r="R963" s="236"/>
      <c r="S963" s="236"/>
      <c r="T963" s="236"/>
      <c r="U963" s="242"/>
    </row>
    <row r="964" spans="1:21" ht="13">
      <c r="A964" s="249"/>
      <c r="B964" s="245"/>
      <c r="C964" s="22" t="s">
        <v>45</v>
      </c>
      <c r="D964" s="23"/>
      <c r="E964" s="23"/>
      <c r="F964" s="23">
        <v>110.05</v>
      </c>
      <c r="G964" s="236"/>
      <c r="H964" s="236"/>
      <c r="I964" s="236"/>
      <c r="J964" s="242"/>
      <c r="L964" s="249"/>
      <c r="M964" s="245"/>
      <c r="N964" s="22" t="s">
        <v>45</v>
      </c>
      <c r="O964" s="23"/>
      <c r="P964" s="23"/>
      <c r="Q964" s="23">
        <v>110.05</v>
      </c>
      <c r="R964" s="236"/>
      <c r="S964" s="236"/>
      <c r="T964" s="236"/>
      <c r="U964" s="242"/>
    </row>
    <row r="965" spans="1:21" ht="13">
      <c r="A965" s="249"/>
      <c r="B965" s="245"/>
      <c r="C965" s="22" t="s">
        <v>44</v>
      </c>
      <c r="D965" s="23"/>
      <c r="E965" s="23"/>
      <c r="F965" s="23">
        <v>51.4</v>
      </c>
      <c r="G965" s="236"/>
      <c r="H965" s="236"/>
      <c r="I965" s="236"/>
      <c r="J965" s="242"/>
      <c r="L965" s="249"/>
      <c r="M965" s="245"/>
      <c r="N965" s="22" t="s">
        <v>44</v>
      </c>
      <c r="O965" s="23"/>
      <c r="P965" s="23"/>
      <c r="Q965" s="23">
        <v>51.4</v>
      </c>
      <c r="R965" s="236"/>
      <c r="S965" s="236"/>
      <c r="T965" s="236"/>
      <c r="U965" s="242"/>
    </row>
    <row r="966" spans="1:21" ht="13">
      <c r="A966" s="249"/>
      <c r="B966" s="245"/>
      <c r="C966" s="22" t="s">
        <v>33</v>
      </c>
      <c r="D966" s="23"/>
      <c r="E966" s="23"/>
      <c r="F966" s="23">
        <v>105.6</v>
      </c>
      <c r="G966" s="236"/>
      <c r="H966" s="236"/>
      <c r="I966" s="236"/>
      <c r="J966" s="242"/>
      <c r="L966" s="249"/>
      <c r="M966" s="245"/>
      <c r="N966" s="22" t="s">
        <v>33</v>
      </c>
      <c r="O966" s="23"/>
      <c r="P966" s="23"/>
      <c r="Q966" s="23">
        <v>105.6</v>
      </c>
      <c r="R966" s="236"/>
      <c r="S966" s="236"/>
      <c r="T966" s="236"/>
      <c r="U966" s="242"/>
    </row>
    <row r="967" spans="1:21" ht="13">
      <c r="A967" s="249"/>
      <c r="B967" s="245"/>
      <c r="C967" s="22" t="s">
        <v>483</v>
      </c>
      <c r="D967" s="23"/>
      <c r="E967" s="23"/>
      <c r="F967" s="23">
        <v>3.3</v>
      </c>
      <c r="G967" s="236"/>
      <c r="H967" s="236"/>
      <c r="I967" s="236"/>
      <c r="J967" s="242"/>
      <c r="L967" s="249"/>
      <c r="M967" s="245"/>
      <c r="N967" s="22" t="s">
        <v>483</v>
      </c>
      <c r="O967" s="23"/>
      <c r="P967" s="23"/>
      <c r="Q967" s="23">
        <v>3.3</v>
      </c>
      <c r="R967" s="236"/>
      <c r="S967" s="236"/>
      <c r="T967" s="236"/>
      <c r="U967" s="242"/>
    </row>
    <row r="968" spans="1:21" ht="13">
      <c r="A968" s="249"/>
      <c r="B968" s="246"/>
      <c r="C968" s="25" t="s">
        <v>48</v>
      </c>
      <c r="D968" s="26"/>
      <c r="E968" s="26"/>
      <c r="F968" s="26">
        <v>47.1</v>
      </c>
      <c r="G968" s="238"/>
      <c r="H968" s="238"/>
      <c r="I968" s="238"/>
      <c r="J968" s="243"/>
      <c r="L968" s="249"/>
      <c r="M968" s="246"/>
      <c r="N968" s="25" t="s">
        <v>48</v>
      </c>
      <c r="O968" s="26"/>
      <c r="P968" s="26"/>
      <c r="Q968" s="26">
        <v>47.1</v>
      </c>
      <c r="R968" s="238"/>
      <c r="S968" s="238"/>
      <c r="T968" s="238"/>
      <c r="U968" s="243"/>
    </row>
    <row r="969" spans="1:21" ht="13">
      <c r="A969" s="249"/>
      <c r="B969" s="244" t="s">
        <v>484</v>
      </c>
      <c r="C969" s="64" t="s">
        <v>35</v>
      </c>
      <c r="D969" s="50"/>
      <c r="E969" s="50"/>
      <c r="F969" s="65">
        <v>150</v>
      </c>
      <c r="G969" s="240">
        <f>SUM(F969:F976)</f>
        <v>1684.96</v>
      </c>
      <c r="H969" s="237">
        <v>4467.97</v>
      </c>
      <c r="I969" s="237">
        <f>H969-G969</f>
        <v>2783.01</v>
      </c>
      <c r="J969" s="241">
        <f>I969/H969</f>
        <v>0.6228801894372612</v>
      </c>
      <c r="L969" s="249"/>
      <c r="M969" s="244" t="s">
        <v>484</v>
      </c>
      <c r="N969" s="64" t="s">
        <v>35</v>
      </c>
      <c r="O969" s="50"/>
      <c r="P969" s="50"/>
      <c r="Q969" s="65">
        <v>150</v>
      </c>
      <c r="R969" s="240">
        <f>SUM(Q969:Q976)</f>
        <v>1432.96</v>
      </c>
      <c r="S969" s="237">
        <v>4467.97</v>
      </c>
      <c r="T969" s="237">
        <f>S969-R969</f>
        <v>3035.01</v>
      </c>
      <c r="U969" s="241">
        <f>T969/S969</f>
        <v>0.6792816424461221</v>
      </c>
    </row>
    <row r="970" spans="1:21" ht="13">
      <c r="A970" s="249"/>
      <c r="B970" s="245"/>
      <c r="C970" s="22" t="s">
        <v>349</v>
      </c>
      <c r="D970" s="17">
        <v>14</v>
      </c>
      <c r="E970" s="17">
        <v>18</v>
      </c>
      <c r="F970" s="17">
        <f>D970*E970</f>
        <v>252</v>
      </c>
      <c r="G970" s="236"/>
      <c r="H970" s="236"/>
      <c r="I970" s="236"/>
      <c r="J970" s="242"/>
      <c r="L970" s="249"/>
      <c r="M970" s="245"/>
      <c r="N970" s="22" t="s">
        <v>349</v>
      </c>
      <c r="O970" s="18"/>
      <c r="P970" s="18"/>
      <c r="Q970" s="18"/>
      <c r="R970" s="236"/>
      <c r="S970" s="236"/>
      <c r="T970" s="236"/>
      <c r="U970" s="242"/>
    </row>
    <row r="971" spans="1:21" ht="13">
      <c r="A971" s="249"/>
      <c r="B971" s="245"/>
      <c r="C971" s="22" t="s">
        <v>31</v>
      </c>
      <c r="D971" s="17"/>
      <c r="E971" s="17"/>
      <c r="F971" s="17">
        <v>300</v>
      </c>
      <c r="G971" s="236"/>
      <c r="H971" s="236"/>
      <c r="I971" s="236"/>
      <c r="J971" s="242"/>
      <c r="L971" s="249"/>
      <c r="M971" s="245"/>
      <c r="N971" s="22" t="s">
        <v>31</v>
      </c>
      <c r="O971" s="17"/>
      <c r="P971" s="17"/>
      <c r="Q971" s="17">
        <v>300</v>
      </c>
      <c r="R971" s="236"/>
      <c r="S971" s="236"/>
      <c r="T971" s="236"/>
      <c r="U971" s="242"/>
    </row>
    <row r="972" spans="1:21" ht="13">
      <c r="A972" s="249"/>
      <c r="B972" s="245"/>
      <c r="C972" s="22" t="s">
        <v>45</v>
      </c>
      <c r="D972" s="23"/>
      <c r="E972" s="23"/>
      <c r="F972" s="23">
        <v>256</v>
      </c>
      <c r="G972" s="236"/>
      <c r="H972" s="236"/>
      <c r="I972" s="236"/>
      <c r="J972" s="242"/>
      <c r="L972" s="249"/>
      <c r="M972" s="245"/>
      <c r="N972" s="22" t="s">
        <v>45</v>
      </c>
      <c r="O972" s="23"/>
      <c r="P972" s="23"/>
      <c r="Q972" s="23">
        <v>256</v>
      </c>
      <c r="R972" s="236"/>
      <c r="S972" s="236"/>
      <c r="T972" s="236"/>
      <c r="U972" s="242"/>
    </row>
    <row r="973" spans="1:21" ht="13">
      <c r="A973" s="249"/>
      <c r="B973" s="245"/>
      <c r="C973" s="22" t="s">
        <v>44</v>
      </c>
      <c r="D973" s="23"/>
      <c r="E973" s="23"/>
      <c r="F973" s="23">
        <v>95.65</v>
      </c>
      <c r="G973" s="236"/>
      <c r="H973" s="236"/>
      <c r="I973" s="236"/>
      <c r="J973" s="242"/>
      <c r="L973" s="249"/>
      <c r="M973" s="245"/>
      <c r="N973" s="22" t="s">
        <v>44</v>
      </c>
      <c r="O973" s="23"/>
      <c r="P973" s="23"/>
      <c r="Q973" s="23">
        <v>95.65</v>
      </c>
      <c r="R973" s="236"/>
      <c r="S973" s="236"/>
      <c r="T973" s="236"/>
      <c r="U973" s="242"/>
    </row>
    <row r="974" spans="1:21" ht="13">
      <c r="A974" s="249"/>
      <c r="B974" s="245"/>
      <c r="C974" s="22" t="s">
        <v>33</v>
      </c>
      <c r="D974" s="23"/>
      <c r="E974" s="23"/>
      <c r="F974" s="23">
        <v>193.13</v>
      </c>
      <c r="G974" s="236"/>
      <c r="H974" s="236"/>
      <c r="I974" s="236"/>
      <c r="J974" s="242"/>
      <c r="L974" s="249"/>
      <c r="M974" s="245"/>
      <c r="N974" s="22" t="s">
        <v>33</v>
      </c>
      <c r="O974" s="23"/>
      <c r="P974" s="23"/>
      <c r="Q974" s="23">
        <v>193.13</v>
      </c>
      <c r="R974" s="236"/>
      <c r="S974" s="236"/>
      <c r="T974" s="236"/>
      <c r="U974" s="242"/>
    </row>
    <row r="975" spans="1:21" ht="13">
      <c r="A975" s="249"/>
      <c r="B975" s="245"/>
      <c r="C975" s="22" t="s">
        <v>47</v>
      </c>
      <c r="D975" s="23"/>
      <c r="E975" s="23"/>
      <c r="F975" s="23">
        <v>267.12</v>
      </c>
      <c r="G975" s="236"/>
      <c r="H975" s="236"/>
      <c r="I975" s="236"/>
      <c r="J975" s="242"/>
      <c r="L975" s="249"/>
      <c r="M975" s="245"/>
      <c r="N975" s="22" t="s">
        <v>47</v>
      </c>
      <c r="O975" s="23"/>
      <c r="P975" s="23"/>
      <c r="Q975" s="23">
        <v>267.12</v>
      </c>
      <c r="R975" s="236"/>
      <c r="S975" s="236"/>
      <c r="T975" s="236"/>
      <c r="U975" s="242"/>
    </row>
    <row r="976" spans="1:21" ht="13">
      <c r="A976" s="249"/>
      <c r="B976" s="246"/>
      <c r="C976" s="25" t="s">
        <v>48</v>
      </c>
      <c r="D976" s="26"/>
      <c r="E976" s="26"/>
      <c r="F976" s="26">
        <v>171.06</v>
      </c>
      <c r="G976" s="238"/>
      <c r="H976" s="238"/>
      <c r="I976" s="238"/>
      <c r="J976" s="243"/>
      <c r="L976" s="249"/>
      <c r="M976" s="246"/>
      <c r="N976" s="25" t="s">
        <v>48</v>
      </c>
      <c r="O976" s="26"/>
      <c r="P976" s="26"/>
      <c r="Q976" s="26">
        <v>171.06</v>
      </c>
      <c r="R976" s="238"/>
      <c r="S976" s="238"/>
      <c r="T976" s="238"/>
      <c r="U976" s="243"/>
    </row>
    <row r="977" spans="1:21" ht="13">
      <c r="A977" s="249"/>
      <c r="B977" s="282" t="s">
        <v>480</v>
      </c>
      <c r="C977" s="15" t="s">
        <v>485</v>
      </c>
      <c r="D977" s="16">
        <v>3</v>
      </c>
      <c r="E977" s="16">
        <v>21</v>
      </c>
      <c r="F977" s="65">
        <f t="shared" ref="F977:F978" si="181">D977*E977</f>
        <v>63</v>
      </c>
      <c r="G977" s="240">
        <f>SUM(F977:F979)</f>
        <v>166.88</v>
      </c>
      <c r="H977" s="237">
        <v>1116</v>
      </c>
      <c r="I977" s="237">
        <f>H977-G977</f>
        <v>949.12</v>
      </c>
      <c r="J977" s="241">
        <f>I977/H977</f>
        <v>0.85046594982078849</v>
      </c>
      <c r="L977" s="249"/>
      <c r="M977" s="282" t="s">
        <v>480</v>
      </c>
      <c r="N977" s="15" t="s">
        <v>485</v>
      </c>
      <c r="O977" s="18"/>
      <c r="P977" s="18"/>
      <c r="Q977" s="18"/>
      <c r="R977" s="240">
        <f>SUM(Q977:Q979)</f>
        <v>64.88</v>
      </c>
      <c r="S977" s="237">
        <v>1116</v>
      </c>
      <c r="T977" s="237">
        <f>S977-R977</f>
        <v>1051.1199999999999</v>
      </c>
      <c r="U977" s="241">
        <f>T977/S977</f>
        <v>0.941863799283154</v>
      </c>
    </row>
    <row r="978" spans="1:21" ht="13">
      <c r="A978" s="249"/>
      <c r="B978" s="236"/>
      <c r="C978" s="19" t="s">
        <v>486</v>
      </c>
      <c r="D978" s="17">
        <v>3</v>
      </c>
      <c r="E978" s="17">
        <v>13</v>
      </c>
      <c r="F978" s="17">
        <f t="shared" si="181"/>
        <v>39</v>
      </c>
      <c r="G978" s="236"/>
      <c r="H978" s="236"/>
      <c r="I978" s="236"/>
      <c r="J978" s="242"/>
      <c r="L978" s="249"/>
      <c r="M978" s="236"/>
      <c r="N978" s="19" t="s">
        <v>486</v>
      </c>
      <c r="O978" s="18"/>
      <c r="P978" s="18"/>
      <c r="Q978" s="18"/>
      <c r="R978" s="236"/>
      <c r="S978" s="236"/>
      <c r="T978" s="236"/>
      <c r="U978" s="242"/>
    </row>
    <row r="979" spans="1:21" ht="13">
      <c r="A979" s="249"/>
      <c r="B979" s="248"/>
      <c r="C979" s="20" t="s">
        <v>33</v>
      </c>
      <c r="D979" s="21"/>
      <c r="E979" s="21"/>
      <c r="F979" s="21">
        <v>64.88</v>
      </c>
      <c r="G979" s="238"/>
      <c r="H979" s="238"/>
      <c r="I979" s="238"/>
      <c r="J979" s="243"/>
      <c r="L979" s="249"/>
      <c r="M979" s="248"/>
      <c r="N979" s="20" t="s">
        <v>33</v>
      </c>
      <c r="O979" s="21"/>
      <c r="P979" s="21"/>
      <c r="Q979" s="21">
        <v>64.88</v>
      </c>
      <c r="R979" s="238"/>
      <c r="S979" s="238"/>
      <c r="T979" s="238"/>
      <c r="U979" s="243"/>
    </row>
    <row r="980" spans="1:21" ht="13">
      <c r="A980" s="249"/>
      <c r="B980" s="244" t="s">
        <v>487</v>
      </c>
      <c r="C980" s="64" t="s">
        <v>349</v>
      </c>
      <c r="D980" s="50">
        <v>21</v>
      </c>
      <c r="E980" s="17">
        <v>18</v>
      </c>
      <c r="F980" s="17">
        <f t="shared" ref="F980:F983" si="182">D980*E980</f>
        <v>378</v>
      </c>
      <c r="G980" s="240">
        <f>SUM(F980:F988)</f>
        <v>1769.7400000000002</v>
      </c>
      <c r="H980" s="237">
        <v>5996.67</v>
      </c>
      <c r="I980" s="237">
        <f>H980-G980</f>
        <v>4226.93</v>
      </c>
      <c r="J980" s="241">
        <f>I980/H980</f>
        <v>0.70487954147885412</v>
      </c>
      <c r="L980" s="249"/>
      <c r="M980" s="244" t="s">
        <v>487</v>
      </c>
      <c r="N980" s="64" t="s">
        <v>349</v>
      </c>
      <c r="O980" s="18"/>
      <c r="P980" s="18"/>
      <c r="Q980" s="18"/>
      <c r="R980" s="240">
        <f>SUM(Q980:Q988)</f>
        <v>1391.74</v>
      </c>
      <c r="S980" s="237">
        <v>5996.67</v>
      </c>
      <c r="T980" s="237">
        <f>S980-R980</f>
        <v>4604.93</v>
      </c>
      <c r="U980" s="241">
        <f>T980/S980</f>
        <v>0.76791452589520526</v>
      </c>
    </row>
    <row r="981" spans="1:21" ht="13">
      <c r="A981" s="249"/>
      <c r="B981" s="245"/>
      <c r="C981" s="22" t="s">
        <v>57</v>
      </c>
      <c r="D981" s="17">
        <v>13</v>
      </c>
      <c r="E981" s="17">
        <v>15</v>
      </c>
      <c r="F981" s="17">
        <f t="shared" si="182"/>
        <v>195</v>
      </c>
      <c r="G981" s="236"/>
      <c r="H981" s="236"/>
      <c r="I981" s="236"/>
      <c r="J981" s="242"/>
      <c r="L981" s="249"/>
      <c r="M981" s="245"/>
      <c r="N981" s="22" t="s">
        <v>57</v>
      </c>
      <c r="O981" s="17">
        <v>13</v>
      </c>
      <c r="P981" s="17">
        <v>15</v>
      </c>
      <c r="Q981" s="17">
        <f t="shared" ref="Q981:Q983" si="183">O981*P981</f>
        <v>195</v>
      </c>
      <c r="R981" s="236"/>
      <c r="S981" s="236"/>
      <c r="T981" s="236"/>
      <c r="U981" s="242"/>
    </row>
    <row r="982" spans="1:21" ht="13">
      <c r="A982" s="249"/>
      <c r="B982" s="245"/>
      <c r="C982" s="22" t="s">
        <v>49</v>
      </c>
      <c r="D982" s="17">
        <v>13</v>
      </c>
      <c r="E982" s="17">
        <v>15</v>
      </c>
      <c r="F982" s="17">
        <f t="shared" si="182"/>
        <v>195</v>
      </c>
      <c r="G982" s="236"/>
      <c r="H982" s="236"/>
      <c r="I982" s="236"/>
      <c r="J982" s="242"/>
      <c r="L982" s="249"/>
      <c r="M982" s="245"/>
      <c r="N982" s="22" t="s">
        <v>49</v>
      </c>
      <c r="O982" s="17">
        <v>13</v>
      </c>
      <c r="P982" s="17">
        <v>15</v>
      </c>
      <c r="Q982" s="17">
        <f t="shared" si="183"/>
        <v>195</v>
      </c>
      <c r="R982" s="236"/>
      <c r="S982" s="236"/>
      <c r="T982" s="236"/>
      <c r="U982" s="242"/>
    </row>
    <row r="983" spans="1:21" ht="13">
      <c r="A983" s="249"/>
      <c r="B983" s="245"/>
      <c r="C983" s="22" t="s">
        <v>31</v>
      </c>
      <c r="D983" s="17">
        <v>12</v>
      </c>
      <c r="E983" s="17">
        <v>15</v>
      </c>
      <c r="F983" s="17">
        <f t="shared" si="182"/>
        <v>180</v>
      </c>
      <c r="G983" s="236"/>
      <c r="H983" s="236"/>
      <c r="I983" s="236"/>
      <c r="J983" s="242"/>
      <c r="L983" s="249"/>
      <c r="M983" s="245"/>
      <c r="N983" s="22" t="s">
        <v>31</v>
      </c>
      <c r="O983" s="17">
        <v>12</v>
      </c>
      <c r="P983" s="17">
        <v>15</v>
      </c>
      <c r="Q983" s="17">
        <f t="shared" si="183"/>
        <v>180</v>
      </c>
      <c r="R983" s="236"/>
      <c r="S983" s="236"/>
      <c r="T983" s="236"/>
      <c r="U983" s="242"/>
    </row>
    <row r="984" spans="1:21" ht="13">
      <c r="A984" s="249"/>
      <c r="B984" s="245"/>
      <c r="C984" s="22" t="s">
        <v>45</v>
      </c>
      <c r="D984" s="23"/>
      <c r="E984" s="23"/>
      <c r="F984" s="23">
        <v>100</v>
      </c>
      <c r="G984" s="236"/>
      <c r="H984" s="236"/>
      <c r="I984" s="236"/>
      <c r="J984" s="242"/>
      <c r="L984" s="249"/>
      <c r="M984" s="245"/>
      <c r="N984" s="22" t="s">
        <v>45</v>
      </c>
      <c r="O984" s="23"/>
      <c r="P984" s="23"/>
      <c r="Q984" s="23">
        <v>100</v>
      </c>
      <c r="R984" s="236"/>
      <c r="S984" s="236"/>
      <c r="T984" s="236"/>
      <c r="U984" s="242"/>
    </row>
    <row r="985" spans="1:21" ht="13">
      <c r="A985" s="249"/>
      <c r="B985" s="245"/>
      <c r="C985" s="22" t="s">
        <v>44</v>
      </c>
      <c r="D985" s="23"/>
      <c r="E985" s="23"/>
      <c r="F985" s="23">
        <v>68.67</v>
      </c>
      <c r="G985" s="236"/>
      <c r="H985" s="236"/>
      <c r="I985" s="236"/>
      <c r="J985" s="242"/>
      <c r="L985" s="249"/>
      <c r="M985" s="245"/>
      <c r="N985" s="22" t="s">
        <v>44</v>
      </c>
      <c r="O985" s="23"/>
      <c r="P985" s="23"/>
      <c r="Q985" s="23">
        <v>68.67</v>
      </c>
      <c r="R985" s="236"/>
      <c r="S985" s="236"/>
      <c r="T985" s="236"/>
      <c r="U985" s="242"/>
    </row>
    <row r="986" spans="1:21" ht="13">
      <c r="A986" s="249"/>
      <c r="B986" s="245"/>
      <c r="C986" s="22" t="s">
        <v>33</v>
      </c>
      <c r="D986" s="23"/>
      <c r="E986" s="23"/>
      <c r="F986" s="23">
        <v>86.96</v>
      </c>
      <c r="G986" s="236"/>
      <c r="H986" s="236"/>
      <c r="I986" s="236"/>
      <c r="J986" s="242"/>
      <c r="L986" s="249"/>
      <c r="M986" s="245"/>
      <c r="N986" s="22" t="s">
        <v>33</v>
      </c>
      <c r="O986" s="23"/>
      <c r="P986" s="23"/>
      <c r="Q986" s="23">
        <v>86.96</v>
      </c>
      <c r="R986" s="236"/>
      <c r="S986" s="236"/>
      <c r="T986" s="236"/>
      <c r="U986" s="242"/>
    </row>
    <row r="987" spans="1:21" ht="13">
      <c r="A987" s="249"/>
      <c r="B987" s="245"/>
      <c r="C987" s="22" t="s">
        <v>47</v>
      </c>
      <c r="D987" s="23"/>
      <c r="E987" s="23"/>
      <c r="F987" s="23">
        <v>246.92</v>
      </c>
      <c r="G987" s="236"/>
      <c r="H987" s="236"/>
      <c r="I987" s="236"/>
      <c r="J987" s="242"/>
      <c r="L987" s="249"/>
      <c r="M987" s="245"/>
      <c r="N987" s="22" t="s">
        <v>47</v>
      </c>
      <c r="O987" s="23"/>
      <c r="P987" s="23"/>
      <c r="Q987" s="23">
        <v>246.92</v>
      </c>
      <c r="R987" s="236"/>
      <c r="S987" s="236"/>
      <c r="T987" s="236"/>
      <c r="U987" s="242"/>
    </row>
    <row r="988" spans="1:21" ht="13">
      <c r="A988" s="249"/>
      <c r="B988" s="246"/>
      <c r="C988" s="25" t="s">
        <v>48</v>
      </c>
      <c r="D988" s="26"/>
      <c r="E988" s="26"/>
      <c r="F988" s="26">
        <v>319.19</v>
      </c>
      <c r="G988" s="238"/>
      <c r="H988" s="238"/>
      <c r="I988" s="238"/>
      <c r="J988" s="243"/>
      <c r="L988" s="249"/>
      <c r="M988" s="246"/>
      <c r="N988" s="25" t="s">
        <v>48</v>
      </c>
      <c r="O988" s="26"/>
      <c r="P988" s="26"/>
      <c r="Q988" s="26">
        <v>319.19</v>
      </c>
      <c r="R988" s="238"/>
      <c r="S988" s="238"/>
      <c r="T988" s="238"/>
      <c r="U988" s="243"/>
    </row>
    <row r="989" spans="1:21" ht="30">
      <c r="A989" s="278" t="s">
        <v>488</v>
      </c>
      <c r="B989" s="252"/>
      <c r="C989" s="253"/>
      <c r="D989" s="56">
        <f t="shared" ref="D989:I989" si="184">AVERAGE(D847:D988)</f>
        <v>20.725272727272728</v>
      </c>
      <c r="E989" s="56">
        <f t="shared" si="184"/>
        <v>15.418181818181818</v>
      </c>
      <c r="F989" s="56">
        <f t="shared" si="184"/>
        <v>285.30578947368423</v>
      </c>
      <c r="G989" s="56">
        <f t="shared" si="184"/>
        <v>1649.8117391304347</v>
      </c>
      <c r="H989" s="56">
        <f t="shared" si="184"/>
        <v>4267.768260869565</v>
      </c>
      <c r="I989" s="56">
        <f t="shared" si="184"/>
        <v>2617.9565217391309</v>
      </c>
      <c r="J989" s="57">
        <f>AVERAGE($J$12:$J$76)</f>
        <v>0.79942354689485917</v>
      </c>
      <c r="L989" s="278" t="s">
        <v>488</v>
      </c>
      <c r="M989" s="252"/>
      <c r="N989" s="253"/>
      <c r="O989" s="56">
        <f t="shared" ref="O989:T989" si="185">AVERAGE(O847:O988)</f>
        <v>21.997555555555557</v>
      </c>
      <c r="P989" s="56">
        <f t="shared" si="185"/>
        <v>14.866666666666667</v>
      </c>
      <c r="Q989" s="56">
        <f t="shared" si="185"/>
        <v>286.56642276422758</v>
      </c>
      <c r="R989" s="56">
        <f t="shared" si="185"/>
        <v>1532.5073913043475</v>
      </c>
      <c r="S989" s="56">
        <f t="shared" si="185"/>
        <v>4267.768260869565</v>
      </c>
      <c r="T989" s="56">
        <f t="shared" si="185"/>
        <v>2735.2608695652175</v>
      </c>
      <c r="U989" s="57">
        <f>AVERAGE($J$12:$J$76)</f>
        <v>0.79942354689485917</v>
      </c>
    </row>
    <row r="990" spans="1:21" ht="30">
      <c r="A990" s="279" t="s">
        <v>489</v>
      </c>
      <c r="B990" s="255"/>
      <c r="C990" s="256"/>
      <c r="D990" s="56">
        <f t="shared" ref="D990:I990" si="186">SUM(D847:D988)</f>
        <v>1139.8900000000001</v>
      </c>
      <c r="E990" s="56">
        <f t="shared" si="186"/>
        <v>848</v>
      </c>
      <c r="F990" s="56">
        <f t="shared" si="186"/>
        <v>37945.670000000006</v>
      </c>
      <c r="G990" s="56">
        <f t="shared" si="186"/>
        <v>37945.67</v>
      </c>
      <c r="H990" s="56">
        <f t="shared" si="186"/>
        <v>98158.67</v>
      </c>
      <c r="I990" s="56">
        <f t="shared" si="186"/>
        <v>60213.000000000007</v>
      </c>
      <c r="J990" s="58">
        <f>I990/H990</f>
        <v>0.61342518190191464</v>
      </c>
      <c r="L990" s="279" t="s">
        <v>489</v>
      </c>
      <c r="M990" s="255"/>
      <c r="N990" s="256"/>
      <c r="O990" s="56">
        <f t="shared" ref="O990:T990" si="187">SUM(O847:O988)</f>
        <v>989.8900000000001</v>
      </c>
      <c r="P990" s="56">
        <f t="shared" si="187"/>
        <v>669</v>
      </c>
      <c r="Q990" s="56">
        <f t="shared" si="187"/>
        <v>35247.669999999991</v>
      </c>
      <c r="R990" s="56">
        <f t="shared" si="187"/>
        <v>35247.669999999991</v>
      </c>
      <c r="S990" s="56">
        <f t="shared" si="187"/>
        <v>98158.67</v>
      </c>
      <c r="T990" s="56">
        <f t="shared" si="187"/>
        <v>62911.000000000007</v>
      </c>
      <c r="U990" s="58">
        <f>T990/S990</f>
        <v>0.64091129189097618</v>
      </c>
    </row>
    <row r="992" spans="1:21" ht="30">
      <c r="A992" s="257" t="s">
        <v>490</v>
      </c>
      <c r="B992" s="252"/>
      <c r="C992" s="253"/>
      <c r="D992" s="34">
        <f t="shared" ref="D992:I992" si="188">SUM(D703,D846,D990)</f>
        <v>2463.94</v>
      </c>
      <c r="E992" s="34">
        <f t="shared" si="188"/>
        <v>1682</v>
      </c>
      <c r="F992" s="34">
        <f t="shared" si="188"/>
        <v>76822.260000000009</v>
      </c>
      <c r="G992" s="34">
        <f t="shared" si="188"/>
        <v>76717.260000000009</v>
      </c>
      <c r="H992" s="34">
        <f t="shared" si="188"/>
        <v>185074.33000000002</v>
      </c>
      <c r="I992" s="34">
        <f t="shared" si="188"/>
        <v>108357.07</v>
      </c>
      <c r="J992" s="35">
        <f>I992/H992</f>
        <v>0.58547865606213456</v>
      </c>
      <c r="L992" s="257" t="s">
        <v>490</v>
      </c>
      <c r="M992" s="252"/>
      <c r="N992" s="253"/>
      <c r="O992" s="34">
        <f t="shared" ref="O992:T992" si="189">SUM(O703,O846,O990)</f>
        <v>2005.94</v>
      </c>
      <c r="P992" s="34">
        <f t="shared" si="189"/>
        <v>1331</v>
      </c>
      <c r="Q992" s="34">
        <f t="shared" si="189"/>
        <v>68534.25999999998</v>
      </c>
      <c r="R992" s="34">
        <f t="shared" si="189"/>
        <v>68429.260000000009</v>
      </c>
      <c r="S992" s="34">
        <f t="shared" si="189"/>
        <v>185074.33000000002</v>
      </c>
      <c r="T992" s="34">
        <f t="shared" si="189"/>
        <v>116645.07</v>
      </c>
      <c r="U992" s="35">
        <f>T992/S992</f>
        <v>0.63026066337778985</v>
      </c>
    </row>
    <row r="994" spans="1:21" ht="13">
      <c r="A994" s="277" t="s">
        <v>9</v>
      </c>
      <c r="B994" s="247" t="s">
        <v>491</v>
      </c>
      <c r="C994" s="64" t="s">
        <v>482</v>
      </c>
      <c r="D994" s="50"/>
      <c r="E994" s="50"/>
      <c r="F994" s="65">
        <v>150</v>
      </c>
      <c r="G994" s="240">
        <f>SUM(F994:F1000)</f>
        <v>483.55999999999995</v>
      </c>
      <c r="H994" s="237">
        <v>1530.4</v>
      </c>
      <c r="I994" s="237">
        <f>H994-G994</f>
        <v>1046.8400000000001</v>
      </c>
      <c r="J994" s="241">
        <f>I994/H994</f>
        <v>0.6840303188708835</v>
      </c>
      <c r="L994" s="277" t="s">
        <v>9</v>
      </c>
      <c r="M994" s="247" t="s">
        <v>491</v>
      </c>
      <c r="N994" s="64" t="s">
        <v>482</v>
      </c>
      <c r="O994" s="50"/>
      <c r="P994" s="50"/>
      <c r="Q994" s="65">
        <v>150</v>
      </c>
      <c r="R994" s="240">
        <f>SUM(Q994:Q1000)</f>
        <v>483.55999999999995</v>
      </c>
      <c r="S994" s="237">
        <v>1530.4</v>
      </c>
      <c r="T994" s="237">
        <f>S994-R994</f>
        <v>1046.8400000000001</v>
      </c>
      <c r="U994" s="241">
        <f>T994/S994</f>
        <v>0.6840303188708835</v>
      </c>
    </row>
    <row r="995" spans="1:21" ht="13">
      <c r="A995" s="249"/>
      <c r="B995" s="236"/>
      <c r="C995" s="22" t="s">
        <v>63</v>
      </c>
      <c r="D995" s="23"/>
      <c r="E995" s="23"/>
      <c r="F995" s="23">
        <v>100</v>
      </c>
      <c r="G995" s="236"/>
      <c r="H995" s="236"/>
      <c r="I995" s="236"/>
      <c r="J995" s="242"/>
      <c r="L995" s="249"/>
      <c r="M995" s="236"/>
      <c r="N995" s="22" t="s">
        <v>63</v>
      </c>
      <c r="O995" s="23"/>
      <c r="P995" s="23"/>
      <c r="Q995" s="23">
        <v>100</v>
      </c>
      <c r="R995" s="236"/>
      <c r="S995" s="236"/>
      <c r="T995" s="236"/>
      <c r="U995" s="242"/>
    </row>
    <row r="996" spans="1:21" ht="13">
      <c r="A996" s="249"/>
      <c r="B996" s="236"/>
      <c r="C996" s="22" t="s">
        <v>45</v>
      </c>
      <c r="D996" s="23"/>
      <c r="E996" s="23"/>
      <c r="F996" s="23">
        <v>99.63</v>
      </c>
      <c r="G996" s="236"/>
      <c r="H996" s="236"/>
      <c r="I996" s="236"/>
      <c r="J996" s="242"/>
      <c r="L996" s="249"/>
      <c r="M996" s="236"/>
      <c r="N996" s="22" t="s">
        <v>45</v>
      </c>
      <c r="O996" s="23"/>
      <c r="P996" s="23"/>
      <c r="Q996" s="23">
        <v>99.63</v>
      </c>
      <c r="R996" s="236"/>
      <c r="S996" s="236"/>
      <c r="T996" s="236"/>
      <c r="U996" s="242"/>
    </row>
    <row r="997" spans="1:21" ht="13">
      <c r="A997" s="249"/>
      <c r="B997" s="236"/>
      <c r="C997" s="22" t="s">
        <v>44</v>
      </c>
      <c r="D997" s="23"/>
      <c r="E997" s="23"/>
      <c r="F997" s="23">
        <v>51.4</v>
      </c>
      <c r="G997" s="236"/>
      <c r="H997" s="236"/>
      <c r="I997" s="236"/>
      <c r="J997" s="242"/>
      <c r="L997" s="249"/>
      <c r="M997" s="236"/>
      <c r="N997" s="22" t="s">
        <v>44</v>
      </c>
      <c r="O997" s="23"/>
      <c r="P997" s="23"/>
      <c r="Q997" s="23">
        <v>51.4</v>
      </c>
      <c r="R997" s="236"/>
      <c r="S997" s="236"/>
      <c r="T997" s="236"/>
      <c r="U997" s="242"/>
    </row>
    <row r="998" spans="1:21" ht="13">
      <c r="A998" s="249"/>
      <c r="B998" s="236"/>
      <c r="C998" s="22" t="s">
        <v>33</v>
      </c>
      <c r="D998" s="23"/>
      <c r="E998" s="23"/>
      <c r="F998" s="23">
        <v>38.93</v>
      </c>
      <c r="G998" s="236"/>
      <c r="H998" s="236"/>
      <c r="I998" s="236"/>
      <c r="J998" s="242"/>
      <c r="L998" s="249"/>
      <c r="M998" s="236"/>
      <c r="N998" s="22" t="s">
        <v>33</v>
      </c>
      <c r="O998" s="23"/>
      <c r="P998" s="23"/>
      <c r="Q998" s="23">
        <v>38.93</v>
      </c>
      <c r="R998" s="236"/>
      <c r="S998" s="236"/>
      <c r="T998" s="236"/>
      <c r="U998" s="242"/>
    </row>
    <row r="999" spans="1:21" ht="13">
      <c r="A999" s="249"/>
      <c r="B999" s="236"/>
      <c r="C999" s="22" t="s">
        <v>483</v>
      </c>
      <c r="D999" s="23"/>
      <c r="E999" s="23"/>
      <c r="F999" s="23">
        <v>4.4000000000000004</v>
      </c>
      <c r="G999" s="236"/>
      <c r="H999" s="236"/>
      <c r="I999" s="236"/>
      <c r="J999" s="242"/>
      <c r="L999" s="249"/>
      <c r="M999" s="236"/>
      <c r="N999" s="22" t="s">
        <v>483</v>
      </c>
      <c r="O999" s="23"/>
      <c r="P999" s="23"/>
      <c r="Q999" s="23">
        <v>4.4000000000000004</v>
      </c>
      <c r="R999" s="236"/>
      <c r="S999" s="236"/>
      <c r="T999" s="236"/>
      <c r="U999" s="242"/>
    </row>
    <row r="1000" spans="1:21" ht="13">
      <c r="A1000" s="249"/>
      <c r="B1000" s="248"/>
      <c r="C1000" s="25" t="s">
        <v>48</v>
      </c>
      <c r="D1000" s="26"/>
      <c r="E1000" s="26"/>
      <c r="F1000" s="26">
        <v>39.200000000000003</v>
      </c>
      <c r="G1000" s="238"/>
      <c r="H1000" s="238"/>
      <c r="I1000" s="238"/>
      <c r="J1000" s="243"/>
      <c r="L1000" s="249"/>
      <c r="M1000" s="248"/>
      <c r="N1000" s="25" t="s">
        <v>48</v>
      </c>
      <c r="O1000" s="26"/>
      <c r="P1000" s="26"/>
      <c r="Q1000" s="26">
        <v>39.200000000000003</v>
      </c>
      <c r="R1000" s="238"/>
      <c r="S1000" s="238"/>
      <c r="T1000" s="238"/>
      <c r="U1000" s="243"/>
    </row>
    <row r="1001" spans="1:21" ht="13">
      <c r="A1001" s="249"/>
      <c r="B1001" s="247" t="s">
        <v>492</v>
      </c>
      <c r="C1001" s="64" t="s">
        <v>349</v>
      </c>
      <c r="D1001" s="50">
        <v>21</v>
      </c>
      <c r="E1001" s="17">
        <v>18</v>
      </c>
      <c r="F1001" s="17">
        <f t="shared" ref="F1001:F1002" si="190">D1001*E1001</f>
        <v>378</v>
      </c>
      <c r="G1001" s="240">
        <f>SUM(F1001:F1007)</f>
        <v>1087.29</v>
      </c>
      <c r="H1001" s="237">
        <v>5191.2</v>
      </c>
      <c r="I1001" s="237">
        <f>H1001-G1001</f>
        <v>4103.91</v>
      </c>
      <c r="J1001" s="241">
        <f>I1001/H1001</f>
        <v>0.79055131761442443</v>
      </c>
      <c r="L1001" s="249"/>
      <c r="M1001" s="247" t="s">
        <v>492</v>
      </c>
      <c r="N1001" s="64" t="s">
        <v>349</v>
      </c>
      <c r="O1001" s="18"/>
      <c r="P1001" s="18"/>
      <c r="Q1001" s="18"/>
      <c r="R1001" s="240">
        <f>SUM(Q1001:Q1007)</f>
        <v>709.29</v>
      </c>
      <c r="S1001" s="237">
        <v>5191.2</v>
      </c>
      <c r="T1001" s="237">
        <f>S1001-R1001</f>
        <v>4481.91</v>
      </c>
      <c r="U1001" s="241">
        <f>T1001/S1001</f>
        <v>0.86336685159500692</v>
      </c>
    </row>
    <row r="1002" spans="1:21" ht="13">
      <c r="A1002" s="249"/>
      <c r="B1002" s="236"/>
      <c r="C1002" s="22" t="s">
        <v>31</v>
      </c>
      <c r="D1002" s="17">
        <v>12.75</v>
      </c>
      <c r="E1002" s="17">
        <v>17</v>
      </c>
      <c r="F1002" s="17">
        <f t="shared" si="190"/>
        <v>216.75</v>
      </c>
      <c r="G1002" s="236"/>
      <c r="H1002" s="236"/>
      <c r="I1002" s="236"/>
      <c r="J1002" s="242"/>
      <c r="L1002" s="249"/>
      <c r="M1002" s="236"/>
      <c r="N1002" s="22" t="s">
        <v>31</v>
      </c>
      <c r="O1002" s="17">
        <v>12.75</v>
      </c>
      <c r="P1002" s="17">
        <v>17</v>
      </c>
      <c r="Q1002" s="17">
        <f>O1002*P1002</f>
        <v>216.75</v>
      </c>
      <c r="R1002" s="236"/>
      <c r="S1002" s="236"/>
      <c r="T1002" s="236"/>
      <c r="U1002" s="242"/>
    </row>
    <row r="1003" spans="1:21" ht="13">
      <c r="A1003" s="249"/>
      <c r="B1003" s="236"/>
      <c r="C1003" s="22" t="s">
        <v>45</v>
      </c>
      <c r="D1003" s="23"/>
      <c r="E1003" s="23"/>
      <c r="F1003" s="23">
        <v>143.59</v>
      </c>
      <c r="G1003" s="236"/>
      <c r="H1003" s="236"/>
      <c r="I1003" s="236"/>
      <c r="J1003" s="242"/>
      <c r="L1003" s="249"/>
      <c r="M1003" s="236"/>
      <c r="N1003" s="22" t="s">
        <v>45</v>
      </c>
      <c r="O1003" s="23"/>
      <c r="P1003" s="23"/>
      <c r="Q1003" s="23">
        <v>143.59</v>
      </c>
      <c r="R1003" s="236"/>
      <c r="S1003" s="236"/>
      <c r="T1003" s="236"/>
      <c r="U1003" s="242"/>
    </row>
    <row r="1004" spans="1:21" ht="13">
      <c r="A1004" s="249"/>
      <c r="B1004" s="236"/>
      <c r="C1004" s="22" t="s">
        <v>44</v>
      </c>
      <c r="D1004" s="23"/>
      <c r="E1004" s="23"/>
      <c r="F1004" s="23">
        <v>27.4</v>
      </c>
      <c r="G1004" s="236"/>
      <c r="H1004" s="236"/>
      <c r="I1004" s="236"/>
      <c r="J1004" s="242"/>
      <c r="L1004" s="249"/>
      <c r="M1004" s="236"/>
      <c r="N1004" s="22" t="s">
        <v>44</v>
      </c>
      <c r="O1004" s="23"/>
      <c r="P1004" s="23"/>
      <c r="Q1004" s="23">
        <v>27.4</v>
      </c>
      <c r="R1004" s="236"/>
      <c r="S1004" s="236"/>
      <c r="T1004" s="236"/>
      <c r="U1004" s="242"/>
    </row>
    <row r="1005" spans="1:21" ht="13">
      <c r="A1005" s="249"/>
      <c r="B1005" s="236"/>
      <c r="C1005" s="22" t="s">
        <v>33</v>
      </c>
      <c r="D1005" s="23"/>
      <c r="E1005" s="23"/>
      <c r="F1005" s="23">
        <v>125.6</v>
      </c>
      <c r="G1005" s="236"/>
      <c r="H1005" s="236"/>
      <c r="I1005" s="236"/>
      <c r="J1005" s="242"/>
      <c r="L1005" s="249"/>
      <c r="M1005" s="236"/>
      <c r="N1005" s="22" t="s">
        <v>33</v>
      </c>
      <c r="O1005" s="23"/>
      <c r="P1005" s="23"/>
      <c r="Q1005" s="23">
        <v>125.6</v>
      </c>
      <c r="R1005" s="236"/>
      <c r="S1005" s="236"/>
      <c r="T1005" s="236"/>
      <c r="U1005" s="242"/>
    </row>
    <row r="1006" spans="1:21" ht="13">
      <c r="A1006" s="249"/>
      <c r="B1006" s="236"/>
      <c r="C1006" s="22" t="s">
        <v>47</v>
      </c>
      <c r="D1006" s="23"/>
      <c r="E1006" s="23"/>
      <c r="F1006" s="23">
        <v>95.15</v>
      </c>
      <c r="G1006" s="236"/>
      <c r="H1006" s="236"/>
      <c r="I1006" s="236"/>
      <c r="J1006" s="242"/>
      <c r="L1006" s="249"/>
      <c r="M1006" s="236"/>
      <c r="N1006" s="22" t="s">
        <v>47</v>
      </c>
      <c r="O1006" s="23"/>
      <c r="P1006" s="23"/>
      <c r="Q1006" s="23">
        <v>95.15</v>
      </c>
      <c r="R1006" s="236"/>
      <c r="S1006" s="236"/>
      <c r="T1006" s="236"/>
      <c r="U1006" s="242"/>
    </row>
    <row r="1007" spans="1:21" ht="13">
      <c r="A1007" s="249"/>
      <c r="B1007" s="248"/>
      <c r="C1007" s="25" t="s">
        <v>48</v>
      </c>
      <c r="D1007" s="26"/>
      <c r="E1007" s="26"/>
      <c r="F1007" s="26">
        <v>100.8</v>
      </c>
      <c r="G1007" s="238"/>
      <c r="H1007" s="238"/>
      <c r="I1007" s="238"/>
      <c r="J1007" s="243"/>
      <c r="L1007" s="249"/>
      <c r="M1007" s="248"/>
      <c r="N1007" s="25" t="s">
        <v>48</v>
      </c>
      <c r="O1007" s="26"/>
      <c r="P1007" s="26"/>
      <c r="Q1007" s="26">
        <v>100.8</v>
      </c>
      <c r="R1007" s="238"/>
      <c r="S1007" s="238"/>
      <c r="T1007" s="238"/>
      <c r="U1007" s="243"/>
    </row>
    <row r="1008" spans="1:21" ht="13">
      <c r="A1008" s="249"/>
      <c r="B1008" s="247" t="s">
        <v>493</v>
      </c>
      <c r="C1008" s="64" t="s">
        <v>70</v>
      </c>
      <c r="D1008" s="50"/>
      <c r="E1008" s="17"/>
      <c r="F1008" s="17">
        <v>200</v>
      </c>
      <c r="G1008" s="240">
        <f>SUM(F1008:F1013)</f>
        <v>620.62</v>
      </c>
      <c r="H1008" s="237">
        <v>3714.84</v>
      </c>
      <c r="I1008" s="237">
        <f>H1008-G1008</f>
        <v>3094.2200000000003</v>
      </c>
      <c r="J1008" s="241">
        <f>I1008/H1008</f>
        <v>0.83293493124872142</v>
      </c>
      <c r="L1008" s="249"/>
      <c r="M1008" s="247" t="s">
        <v>493</v>
      </c>
      <c r="N1008" s="64" t="s">
        <v>70</v>
      </c>
      <c r="O1008" s="50"/>
      <c r="P1008" s="17"/>
      <c r="Q1008" s="17">
        <v>200</v>
      </c>
      <c r="R1008" s="240">
        <f>SUM(Q1008:Q1013)</f>
        <v>620.62</v>
      </c>
      <c r="S1008" s="237">
        <v>3714.84</v>
      </c>
      <c r="T1008" s="237">
        <f>S1008-R1008</f>
        <v>3094.2200000000003</v>
      </c>
      <c r="U1008" s="241">
        <f>T1008/S1008</f>
        <v>0.83293493124872142</v>
      </c>
    </row>
    <row r="1009" spans="1:21" ht="13">
      <c r="A1009" s="249"/>
      <c r="B1009" s="236"/>
      <c r="C1009" s="22" t="s">
        <v>45</v>
      </c>
      <c r="D1009" s="23"/>
      <c r="E1009" s="23"/>
      <c r="F1009" s="23">
        <v>120</v>
      </c>
      <c r="G1009" s="236"/>
      <c r="H1009" s="236"/>
      <c r="I1009" s="236"/>
      <c r="J1009" s="242"/>
      <c r="L1009" s="249"/>
      <c r="M1009" s="236"/>
      <c r="N1009" s="22" t="s">
        <v>45</v>
      </c>
      <c r="O1009" s="23"/>
      <c r="P1009" s="23"/>
      <c r="Q1009" s="23">
        <v>120</v>
      </c>
      <c r="R1009" s="236"/>
      <c r="S1009" s="236"/>
      <c r="T1009" s="236"/>
      <c r="U1009" s="242"/>
    </row>
    <row r="1010" spans="1:21" ht="13">
      <c r="A1010" s="249"/>
      <c r="B1010" s="236"/>
      <c r="C1010" s="22" t="s">
        <v>44</v>
      </c>
      <c r="D1010" s="23"/>
      <c r="E1010" s="23"/>
      <c r="F1010" s="23">
        <v>50.92</v>
      </c>
      <c r="G1010" s="236"/>
      <c r="H1010" s="236"/>
      <c r="I1010" s="236"/>
      <c r="J1010" s="242"/>
      <c r="L1010" s="249"/>
      <c r="M1010" s="236"/>
      <c r="N1010" s="22" t="s">
        <v>44</v>
      </c>
      <c r="O1010" s="23"/>
      <c r="P1010" s="23"/>
      <c r="Q1010" s="23">
        <v>50.92</v>
      </c>
      <c r="R1010" s="236"/>
      <c r="S1010" s="236"/>
      <c r="T1010" s="236"/>
      <c r="U1010" s="242"/>
    </row>
    <row r="1011" spans="1:21" ht="13">
      <c r="A1011" s="249"/>
      <c r="B1011" s="236"/>
      <c r="C1011" s="22" t="s">
        <v>33</v>
      </c>
      <c r="D1011" s="23"/>
      <c r="E1011" s="23"/>
      <c r="F1011" s="23">
        <v>98.7</v>
      </c>
      <c r="G1011" s="236"/>
      <c r="H1011" s="236"/>
      <c r="I1011" s="236"/>
      <c r="J1011" s="242"/>
      <c r="L1011" s="249"/>
      <c r="M1011" s="236"/>
      <c r="N1011" s="22" t="s">
        <v>33</v>
      </c>
      <c r="O1011" s="23"/>
      <c r="P1011" s="23"/>
      <c r="Q1011" s="23">
        <v>98.7</v>
      </c>
      <c r="R1011" s="236"/>
      <c r="S1011" s="236"/>
      <c r="T1011" s="236"/>
      <c r="U1011" s="242"/>
    </row>
    <row r="1012" spans="1:21" ht="13">
      <c r="A1012" s="249"/>
      <c r="B1012" s="236"/>
      <c r="C1012" s="22" t="s">
        <v>47</v>
      </c>
      <c r="D1012" s="23"/>
      <c r="E1012" s="23"/>
      <c r="F1012" s="23">
        <v>101</v>
      </c>
      <c r="G1012" s="236"/>
      <c r="H1012" s="236"/>
      <c r="I1012" s="236"/>
      <c r="J1012" s="242"/>
      <c r="L1012" s="249"/>
      <c r="M1012" s="236"/>
      <c r="N1012" s="22" t="s">
        <v>47</v>
      </c>
      <c r="O1012" s="23"/>
      <c r="P1012" s="23"/>
      <c r="Q1012" s="23">
        <v>101</v>
      </c>
      <c r="R1012" s="236"/>
      <c r="S1012" s="236"/>
      <c r="T1012" s="236"/>
      <c r="U1012" s="242"/>
    </row>
    <row r="1013" spans="1:21" ht="13">
      <c r="A1013" s="249"/>
      <c r="B1013" s="248"/>
      <c r="C1013" s="25" t="s">
        <v>48</v>
      </c>
      <c r="D1013" s="26"/>
      <c r="E1013" s="26"/>
      <c r="F1013" s="26">
        <v>50</v>
      </c>
      <c r="G1013" s="238"/>
      <c r="H1013" s="238"/>
      <c r="I1013" s="238"/>
      <c r="J1013" s="243"/>
      <c r="L1013" s="249"/>
      <c r="M1013" s="248"/>
      <c r="N1013" s="25" t="s">
        <v>48</v>
      </c>
      <c r="O1013" s="26"/>
      <c r="P1013" s="26"/>
      <c r="Q1013" s="26">
        <v>50</v>
      </c>
      <c r="R1013" s="238"/>
      <c r="S1013" s="238"/>
      <c r="T1013" s="238"/>
      <c r="U1013" s="243"/>
    </row>
    <row r="1014" spans="1:21" ht="13">
      <c r="A1014" s="249"/>
      <c r="B1014" s="282" t="s">
        <v>494</v>
      </c>
      <c r="C1014" s="15" t="s">
        <v>436</v>
      </c>
      <c r="D1014" s="16">
        <v>7</v>
      </c>
      <c r="E1014" s="16">
        <v>17</v>
      </c>
      <c r="F1014" s="65">
        <f>D1014*E1014</f>
        <v>119</v>
      </c>
      <c r="G1014" s="240">
        <f>SUM(F1014:F1015)</f>
        <v>119</v>
      </c>
      <c r="H1014" s="237">
        <v>750</v>
      </c>
      <c r="I1014" s="237">
        <f>H1014-G1014</f>
        <v>631</v>
      </c>
      <c r="J1014" s="241">
        <f>I1014/H1014</f>
        <v>0.84133333333333338</v>
      </c>
      <c r="L1014" s="249"/>
      <c r="M1014" s="282" t="s">
        <v>494</v>
      </c>
      <c r="N1014" s="15" t="s">
        <v>436</v>
      </c>
      <c r="O1014" s="18"/>
      <c r="P1014" s="18"/>
      <c r="Q1014" s="18"/>
      <c r="R1014" s="240">
        <f>SUM(Q1014:Q1015)</f>
        <v>0</v>
      </c>
      <c r="S1014" s="237">
        <v>750</v>
      </c>
      <c r="T1014" s="237">
        <f>S1014-R1014</f>
        <v>750</v>
      </c>
      <c r="U1014" s="241">
        <f>T1014/S1014</f>
        <v>1</v>
      </c>
    </row>
    <row r="1015" spans="1:21" ht="13">
      <c r="A1015" s="249"/>
      <c r="B1015" s="248"/>
      <c r="C1015" s="20"/>
      <c r="D1015" s="21"/>
      <c r="E1015" s="21"/>
      <c r="F1015" s="21"/>
      <c r="G1015" s="238"/>
      <c r="H1015" s="238"/>
      <c r="I1015" s="238"/>
      <c r="J1015" s="243"/>
      <c r="L1015" s="249"/>
      <c r="M1015" s="248"/>
      <c r="N1015" s="20"/>
      <c r="O1015" s="21"/>
      <c r="P1015" s="21"/>
      <c r="Q1015" s="21"/>
      <c r="R1015" s="238"/>
      <c r="S1015" s="238"/>
      <c r="T1015" s="238"/>
      <c r="U1015" s="243"/>
    </row>
    <row r="1016" spans="1:21" ht="13">
      <c r="A1016" s="249"/>
      <c r="B1016" s="282" t="s">
        <v>495</v>
      </c>
      <c r="C1016" s="15" t="s">
        <v>436</v>
      </c>
      <c r="D1016" s="16">
        <v>7</v>
      </c>
      <c r="E1016" s="16">
        <v>17</v>
      </c>
      <c r="F1016" s="65">
        <f>D1016*E1016</f>
        <v>119</v>
      </c>
      <c r="G1016" s="240">
        <f>SUM(F1016:F1017)</f>
        <v>119</v>
      </c>
      <c r="H1016" s="237">
        <v>825</v>
      </c>
      <c r="I1016" s="237">
        <f>H1016-G1016</f>
        <v>706</v>
      </c>
      <c r="J1016" s="241">
        <f>I1016/H1016</f>
        <v>0.85575757575757572</v>
      </c>
      <c r="L1016" s="249"/>
      <c r="M1016" s="282" t="s">
        <v>495</v>
      </c>
      <c r="N1016" s="15" t="s">
        <v>436</v>
      </c>
      <c r="O1016" s="18"/>
      <c r="P1016" s="18"/>
      <c r="Q1016" s="18"/>
      <c r="R1016" s="274">
        <f>SUM(Q1016:Q1017)</f>
        <v>0</v>
      </c>
      <c r="S1016" s="275">
        <v>825</v>
      </c>
      <c r="T1016" s="275">
        <f>S1016-R1016</f>
        <v>825</v>
      </c>
      <c r="U1016" s="276">
        <f>T1016/S1016</f>
        <v>1</v>
      </c>
    </row>
    <row r="1017" spans="1:21" ht="13">
      <c r="A1017" s="249"/>
      <c r="B1017" s="248"/>
      <c r="C1017" s="20"/>
      <c r="D1017" s="21"/>
      <c r="E1017" s="21"/>
      <c r="F1017" s="21"/>
      <c r="G1017" s="238"/>
      <c r="H1017" s="238"/>
      <c r="I1017" s="238"/>
      <c r="J1017" s="243"/>
      <c r="L1017" s="249"/>
      <c r="M1017" s="248"/>
      <c r="N1017" s="20"/>
      <c r="O1017" s="20"/>
      <c r="P1017" s="20"/>
      <c r="Q1017" s="20"/>
      <c r="R1017" s="238"/>
      <c r="S1017" s="238"/>
      <c r="T1017" s="238"/>
      <c r="U1017" s="243"/>
    </row>
    <row r="1018" spans="1:21" ht="13">
      <c r="A1018" s="249"/>
      <c r="B1018" s="282" t="s">
        <v>496</v>
      </c>
      <c r="C1018" s="15" t="s">
        <v>62</v>
      </c>
      <c r="D1018" s="16"/>
      <c r="E1018" s="16"/>
      <c r="F1018" s="71">
        <v>70</v>
      </c>
      <c r="G1018" s="274">
        <f>SUM(F1018:F1019)</f>
        <v>185</v>
      </c>
      <c r="H1018" s="275">
        <v>1569.2</v>
      </c>
      <c r="I1018" s="275">
        <f>H1018-G1018</f>
        <v>1384.2</v>
      </c>
      <c r="J1018" s="276">
        <f>I1018/H1018</f>
        <v>0.88210553148100945</v>
      </c>
      <c r="L1018" s="249"/>
      <c r="M1018" s="282" t="s">
        <v>496</v>
      </c>
      <c r="N1018" s="15" t="s">
        <v>62</v>
      </c>
      <c r="O1018" s="16"/>
      <c r="P1018" s="16"/>
      <c r="Q1018" s="71">
        <v>70</v>
      </c>
      <c r="R1018" s="274">
        <f>SUM(Q1018:Q1019)</f>
        <v>185</v>
      </c>
      <c r="S1018" s="275">
        <v>1569.2</v>
      </c>
      <c r="T1018" s="275">
        <f>S1018-R1018</f>
        <v>1384.2</v>
      </c>
      <c r="U1018" s="276">
        <f>T1018/S1018</f>
        <v>0.88210553148100945</v>
      </c>
    </row>
    <row r="1019" spans="1:21" ht="13">
      <c r="A1019" s="249"/>
      <c r="B1019" s="248"/>
      <c r="C1019" s="20" t="s">
        <v>33</v>
      </c>
      <c r="D1019" s="20"/>
      <c r="E1019" s="20"/>
      <c r="F1019" s="20">
        <v>115</v>
      </c>
      <c r="G1019" s="238"/>
      <c r="H1019" s="238"/>
      <c r="I1019" s="238"/>
      <c r="J1019" s="243"/>
      <c r="L1019" s="249"/>
      <c r="M1019" s="248"/>
      <c r="N1019" s="20" t="s">
        <v>33</v>
      </c>
      <c r="O1019" s="20"/>
      <c r="P1019" s="20"/>
      <c r="Q1019" s="20">
        <v>115</v>
      </c>
      <c r="R1019" s="238"/>
      <c r="S1019" s="238"/>
      <c r="T1019" s="238"/>
      <c r="U1019" s="243"/>
    </row>
    <row r="1020" spans="1:21" ht="13">
      <c r="A1020" s="249"/>
      <c r="B1020" s="247" t="s">
        <v>497</v>
      </c>
      <c r="C1020" s="15" t="s">
        <v>147</v>
      </c>
      <c r="D1020" s="16">
        <v>18</v>
      </c>
      <c r="E1020" s="16">
        <v>15</v>
      </c>
      <c r="F1020" s="17">
        <f t="shared" ref="F1020:F1024" si="191">D1020*E1020</f>
        <v>270</v>
      </c>
      <c r="G1020" s="240">
        <f>SUM(F1020:F1026)</f>
        <v>854.33</v>
      </c>
      <c r="H1020" s="237">
        <v>2116</v>
      </c>
      <c r="I1020" s="237">
        <f>H1020-G1020</f>
        <v>1261.67</v>
      </c>
      <c r="J1020" s="241">
        <f>I1020/H1020</f>
        <v>0.59625236294896033</v>
      </c>
      <c r="L1020" s="249"/>
      <c r="M1020" s="247" t="s">
        <v>497</v>
      </c>
      <c r="N1020" s="15" t="s">
        <v>147</v>
      </c>
      <c r="O1020" s="16">
        <v>18</v>
      </c>
      <c r="P1020" s="16">
        <v>15</v>
      </c>
      <c r="Q1020" s="17">
        <f t="shared" ref="Q1020:Q1024" si="192">O1020*P1020</f>
        <v>270</v>
      </c>
      <c r="R1020" s="240">
        <f>SUM(Q1020:Q1026)</f>
        <v>854.33</v>
      </c>
      <c r="S1020" s="237">
        <v>2116</v>
      </c>
      <c r="T1020" s="237">
        <f>S1020-R1020</f>
        <v>1261.67</v>
      </c>
      <c r="U1020" s="241">
        <f>T1020/S1020</f>
        <v>0.59625236294896033</v>
      </c>
    </row>
    <row r="1021" spans="1:21" ht="13">
      <c r="A1021" s="249"/>
      <c r="B1021" s="236"/>
      <c r="C1021" s="19" t="s">
        <v>146</v>
      </c>
      <c r="D1021" s="17">
        <v>9</v>
      </c>
      <c r="E1021" s="17">
        <v>15</v>
      </c>
      <c r="F1021" s="17">
        <f t="shared" si="191"/>
        <v>135</v>
      </c>
      <c r="G1021" s="236"/>
      <c r="H1021" s="236"/>
      <c r="I1021" s="236"/>
      <c r="J1021" s="242"/>
      <c r="L1021" s="249"/>
      <c r="M1021" s="236"/>
      <c r="N1021" s="19" t="s">
        <v>146</v>
      </c>
      <c r="O1021" s="17">
        <v>9</v>
      </c>
      <c r="P1021" s="17">
        <v>15</v>
      </c>
      <c r="Q1021" s="17">
        <f t="shared" si="192"/>
        <v>135</v>
      </c>
      <c r="R1021" s="236"/>
      <c r="S1021" s="236"/>
      <c r="T1021" s="236"/>
      <c r="U1021" s="242"/>
    </row>
    <row r="1022" spans="1:21" ht="13">
      <c r="A1022" s="249"/>
      <c r="B1022" s="236"/>
      <c r="C1022" s="19" t="s">
        <v>102</v>
      </c>
      <c r="D1022" s="17">
        <v>3</v>
      </c>
      <c r="E1022" s="17">
        <v>15</v>
      </c>
      <c r="F1022" s="17">
        <f t="shared" si="191"/>
        <v>45</v>
      </c>
      <c r="G1022" s="236"/>
      <c r="H1022" s="236"/>
      <c r="I1022" s="236"/>
      <c r="J1022" s="242"/>
      <c r="L1022" s="249"/>
      <c r="M1022" s="236"/>
      <c r="N1022" s="19" t="s">
        <v>102</v>
      </c>
      <c r="O1022" s="17">
        <v>3</v>
      </c>
      <c r="P1022" s="17">
        <v>15</v>
      </c>
      <c r="Q1022" s="17">
        <f t="shared" si="192"/>
        <v>45</v>
      </c>
      <c r="R1022" s="236"/>
      <c r="S1022" s="236"/>
      <c r="T1022" s="236"/>
      <c r="U1022" s="242"/>
    </row>
    <row r="1023" spans="1:21" ht="13">
      <c r="A1023" s="249"/>
      <c r="B1023" s="236"/>
      <c r="C1023" s="19" t="s">
        <v>53</v>
      </c>
      <c r="D1023" s="17">
        <v>3</v>
      </c>
      <c r="E1023" s="17">
        <v>15</v>
      </c>
      <c r="F1023" s="17">
        <f t="shared" si="191"/>
        <v>45</v>
      </c>
      <c r="G1023" s="236"/>
      <c r="H1023" s="236"/>
      <c r="I1023" s="236"/>
      <c r="J1023" s="242"/>
      <c r="L1023" s="249"/>
      <c r="M1023" s="236"/>
      <c r="N1023" s="19" t="s">
        <v>53</v>
      </c>
      <c r="O1023" s="17">
        <v>3</v>
      </c>
      <c r="P1023" s="17">
        <v>15</v>
      </c>
      <c r="Q1023" s="17">
        <f t="shared" si="192"/>
        <v>45</v>
      </c>
      <c r="R1023" s="236"/>
      <c r="S1023" s="236"/>
      <c r="T1023" s="236"/>
      <c r="U1023" s="242"/>
    </row>
    <row r="1024" spans="1:21" ht="13">
      <c r="A1024" s="249"/>
      <c r="B1024" s="236"/>
      <c r="C1024" s="19" t="s">
        <v>38</v>
      </c>
      <c r="D1024" s="17">
        <v>3</v>
      </c>
      <c r="E1024" s="17">
        <v>15</v>
      </c>
      <c r="F1024" s="17">
        <f t="shared" si="191"/>
        <v>45</v>
      </c>
      <c r="G1024" s="236"/>
      <c r="H1024" s="236"/>
      <c r="I1024" s="236"/>
      <c r="J1024" s="242"/>
      <c r="L1024" s="249"/>
      <c r="M1024" s="236"/>
      <c r="N1024" s="19" t="s">
        <v>38</v>
      </c>
      <c r="O1024" s="17">
        <v>3</v>
      </c>
      <c r="P1024" s="17">
        <v>15</v>
      </c>
      <c r="Q1024" s="17">
        <f t="shared" si="192"/>
        <v>45</v>
      </c>
      <c r="R1024" s="236"/>
      <c r="S1024" s="236"/>
      <c r="T1024" s="236"/>
      <c r="U1024" s="242"/>
    </row>
    <row r="1025" spans="1:21" ht="13">
      <c r="A1025" s="249"/>
      <c r="B1025" s="236"/>
      <c r="C1025" s="19" t="s">
        <v>33</v>
      </c>
      <c r="D1025" s="17"/>
      <c r="E1025" s="17"/>
      <c r="F1025" s="17">
        <v>112.33</v>
      </c>
      <c r="G1025" s="236"/>
      <c r="H1025" s="236"/>
      <c r="I1025" s="236"/>
      <c r="J1025" s="242"/>
      <c r="L1025" s="249"/>
      <c r="M1025" s="236"/>
      <c r="N1025" s="19" t="s">
        <v>33</v>
      </c>
      <c r="O1025" s="17"/>
      <c r="P1025" s="17"/>
      <c r="Q1025" s="17">
        <v>112.33</v>
      </c>
      <c r="R1025" s="236"/>
      <c r="S1025" s="236"/>
      <c r="T1025" s="236"/>
      <c r="U1025" s="242"/>
    </row>
    <row r="1026" spans="1:21" ht="13">
      <c r="A1026" s="249"/>
      <c r="B1026" s="248"/>
      <c r="C1026" s="20" t="s">
        <v>498</v>
      </c>
      <c r="D1026" s="21"/>
      <c r="E1026" s="21"/>
      <c r="F1026" s="21">
        <v>202</v>
      </c>
      <c r="G1026" s="238"/>
      <c r="H1026" s="238"/>
      <c r="I1026" s="238"/>
      <c r="J1026" s="243"/>
      <c r="L1026" s="249"/>
      <c r="M1026" s="248"/>
      <c r="N1026" s="20" t="s">
        <v>498</v>
      </c>
      <c r="O1026" s="21"/>
      <c r="P1026" s="21"/>
      <c r="Q1026" s="21">
        <v>202</v>
      </c>
      <c r="R1026" s="238"/>
      <c r="S1026" s="238"/>
      <c r="T1026" s="238"/>
      <c r="U1026" s="243"/>
    </row>
    <row r="1027" spans="1:21" ht="13">
      <c r="A1027" s="249"/>
      <c r="B1027" s="247" t="s">
        <v>499</v>
      </c>
      <c r="C1027" s="15" t="s">
        <v>57</v>
      </c>
      <c r="D1027" s="16">
        <v>27.75</v>
      </c>
      <c r="E1027" s="16">
        <v>15</v>
      </c>
      <c r="F1027" s="17">
        <f t="shared" ref="F1027:F1030" si="193">D1027*E1027</f>
        <v>416.25</v>
      </c>
      <c r="G1027" s="240">
        <f>SUM(F1027:F1031)</f>
        <v>1649.4</v>
      </c>
      <c r="H1027" s="237">
        <v>21500</v>
      </c>
      <c r="I1027" s="237">
        <f>H1027-G1027</f>
        <v>19850.599999999999</v>
      </c>
      <c r="J1027" s="241">
        <f>I1027/H1027</f>
        <v>0.92328372093023248</v>
      </c>
      <c r="L1027" s="249"/>
      <c r="M1027" s="247" t="s">
        <v>499</v>
      </c>
      <c r="N1027" s="15" t="s">
        <v>57</v>
      </c>
      <c r="O1027" s="16">
        <v>27.75</v>
      </c>
      <c r="P1027" s="16">
        <v>15</v>
      </c>
      <c r="Q1027" s="17">
        <f t="shared" ref="Q1027:Q1030" si="194">O1027*P1027</f>
        <v>416.25</v>
      </c>
      <c r="R1027" s="240">
        <f>SUM(Q1027:Q1031)</f>
        <v>1649.4</v>
      </c>
      <c r="S1027" s="237">
        <v>21500</v>
      </c>
      <c r="T1027" s="237">
        <f>S1027-R1027</f>
        <v>19850.599999999999</v>
      </c>
      <c r="U1027" s="241">
        <f>T1027/S1027</f>
        <v>0.92328372093023248</v>
      </c>
    </row>
    <row r="1028" spans="1:21" ht="13">
      <c r="A1028" s="249"/>
      <c r="B1028" s="236"/>
      <c r="C1028" s="19" t="s">
        <v>500</v>
      </c>
      <c r="D1028" s="17">
        <v>24</v>
      </c>
      <c r="E1028" s="17">
        <v>15</v>
      </c>
      <c r="F1028" s="17">
        <f t="shared" si="193"/>
        <v>360</v>
      </c>
      <c r="G1028" s="236"/>
      <c r="H1028" s="236"/>
      <c r="I1028" s="236"/>
      <c r="J1028" s="242"/>
      <c r="L1028" s="249"/>
      <c r="M1028" s="236"/>
      <c r="N1028" s="19" t="s">
        <v>500</v>
      </c>
      <c r="O1028" s="17">
        <v>24</v>
      </c>
      <c r="P1028" s="17">
        <v>15</v>
      </c>
      <c r="Q1028" s="17">
        <f t="shared" si="194"/>
        <v>360</v>
      </c>
      <c r="R1028" s="236"/>
      <c r="S1028" s="236"/>
      <c r="T1028" s="236"/>
      <c r="U1028" s="242"/>
    </row>
    <row r="1029" spans="1:21" ht="13">
      <c r="A1029" s="249"/>
      <c r="B1029" s="236"/>
      <c r="C1029" s="19" t="s">
        <v>31</v>
      </c>
      <c r="D1029" s="17">
        <v>25.32</v>
      </c>
      <c r="E1029" s="17">
        <v>15</v>
      </c>
      <c r="F1029" s="17">
        <f t="shared" si="193"/>
        <v>379.8</v>
      </c>
      <c r="G1029" s="236"/>
      <c r="H1029" s="236"/>
      <c r="I1029" s="236"/>
      <c r="J1029" s="242"/>
      <c r="L1029" s="249"/>
      <c r="M1029" s="236"/>
      <c r="N1029" s="19" t="s">
        <v>31</v>
      </c>
      <c r="O1029" s="17">
        <v>25.32</v>
      </c>
      <c r="P1029" s="17">
        <v>15</v>
      </c>
      <c r="Q1029" s="17">
        <f t="shared" si="194"/>
        <v>379.8</v>
      </c>
      <c r="R1029" s="236"/>
      <c r="S1029" s="236"/>
      <c r="T1029" s="236"/>
      <c r="U1029" s="242"/>
    </row>
    <row r="1030" spans="1:21" ht="13">
      <c r="A1030" s="249"/>
      <c r="B1030" s="236"/>
      <c r="C1030" s="19" t="s">
        <v>32</v>
      </c>
      <c r="D1030" s="17">
        <v>32.89</v>
      </c>
      <c r="E1030" s="17">
        <v>15</v>
      </c>
      <c r="F1030" s="17">
        <f t="shared" si="193"/>
        <v>493.35</v>
      </c>
      <c r="G1030" s="236"/>
      <c r="H1030" s="236"/>
      <c r="I1030" s="236"/>
      <c r="J1030" s="242"/>
      <c r="L1030" s="249"/>
      <c r="M1030" s="236"/>
      <c r="N1030" s="19" t="s">
        <v>32</v>
      </c>
      <c r="O1030" s="17">
        <v>32.89</v>
      </c>
      <c r="P1030" s="17">
        <v>15</v>
      </c>
      <c r="Q1030" s="17">
        <f t="shared" si="194"/>
        <v>493.35</v>
      </c>
      <c r="R1030" s="236"/>
      <c r="S1030" s="236"/>
      <c r="T1030" s="236"/>
      <c r="U1030" s="242"/>
    </row>
    <row r="1031" spans="1:21" ht="13">
      <c r="A1031" s="249"/>
      <c r="B1031" s="248"/>
      <c r="C1031" s="20"/>
      <c r="D1031" s="21"/>
      <c r="E1031" s="21"/>
      <c r="F1031" s="21"/>
      <c r="G1031" s="238"/>
      <c r="H1031" s="238"/>
      <c r="I1031" s="238"/>
      <c r="J1031" s="243"/>
      <c r="L1031" s="249"/>
      <c r="M1031" s="248"/>
      <c r="N1031" s="20"/>
      <c r="O1031" s="21"/>
      <c r="P1031" s="21"/>
      <c r="Q1031" s="21"/>
      <c r="R1031" s="238"/>
      <c r="S1031" s="238"/>
      <c r="T1031" s="238"/>
      <c r="U1031" s="243"/>
    </row>
    <row r="1032" spans="1:21" ht="13">
      <c r="A1032" s="249"/>
      <c r="B1032" s="247" t="s">
        <v>501</v>
      </c>
      <c r="C1032" s="15" t="s">
        <v>38</v>
      </c>
      <c r="D1032" s="16">
        <v>21.89</v>
      </c>
      <c r="E1032" s="16">
        <v>15</v>
      </c>
      <c r="F1032" s="17">
        <f t="shared" ref="F1032:F1034" si="195">D1032*E1032</f>
        <v>328.35</v>
      </c>
      <c r="G1032" s="240">
        <f>SUM(F1032:F1035)</f>
        <v>563.25</v>
      </c>
      <c r="H1032" s="237">
        <v>1200</v>
      </c>
      <c r="I1032" s="237">
        <f>H1032-G1032</f>
        <v>636.75</v>
      </c>
      <c r="J1032" s="241">
        <f>I1032/H1032</f>
        <v>0.53062500000000001</v>
      </c>
      <c r="L1032" s="249"/>
      <c r="M1032" s="247" t="s">
        <v>501</v>
      </c>
      <c r="N1032" s="15" t="s">
        <v>38</v>
      </c>
      <c r="O1032" s="16">
        <v>21.89</v>
      </c>
      <c r="P1032" s="16">
        <v>15</v>
      </c>
      <c r="Q1032" s="17">
        <f t="shared" ref="Q1032:Q1034" si="196">O1032*P1032</f>
        <v>328.35</v>
      </c>
      <c r="R1032" s="240">
        <f>SUM(Q1032:Q1035)</f>
        <v>563.25</v>
      </c>
      <c r="S1032" s="237">
        <v>1200</v>
      </c>
      <c r="T1032" s="237">
        <f>S1032-R1032</f>
        <v>636.75</v>
      </c>
      <c r="U1032" s="241">
        <f>T1032/S1032</f>
        <v>0.53062500000000001</v>
      </c>
    </row>
    <row r="1033" spans="1:21" ht="13">
      <c r="A1033" s="249"/>
      <c r="B1033" s="236"/>
      <c r="C1033" s="19" t="s">
        <v>62</v>
      </c>
      <c r="D1033" s="17">
        <v>7.42</v>
      </c>
      <c r="E1033" s="17">
        <v>15</v>
      </c>
      <c r="F1033" s="17">
        <f t="shared" si="195"/>
        <v>111.3</v>
      </c>
      <c r="G1033" s="236"/>
      <c r="H1033" s="236"/>
      <c r="I1033" s="236"/>
      <c r="J1033" s="242"/>
      <c r="L1033" s="249"/>
      <c r="M1033" s="236"/>
      <c r="N1033" s="19" t="s">
        <v>62</v>
      </c>
      <c r="O1033" s="17">
        <v>7.42</v>
      </c>
      <c r="P1033" s="17">
        <v>15</v>
      </c>
      <c r="Q1033" s="17">
        <f t="shared" si="196"/>
        <v>111.3</v>
      </c>
      <c r="R1033" s="236"/>
      <c r="S1033" s="236"/>
      <c r="T1033" s="236"/>
      <c r="U1033" s="242"/>
    </row>
    <row r="1034" spans="1:21" ht="13">
      <c r="A1034" s="249"/>
      <c r="B1034" s="236"/>
      <c r="C1034" s="19" t="s">
        <v>53</v>
      </c>
      <c r="D1034" s="17">
        <v>8.24</v>
      </c>
      <c r="E1034" s="17">
        <v>15</v>
      </c>
      <c r="F1034" s="17">
        <f t="shared" si="195"/>
        <v>123.60000000000001</v>
      </c>
      <c r="G1034" s="236"/>
      <c r="H1034" s="236"/>
      <c r="I1034" s="236"/>
      <c r="J1034" s="242"/>
      <c r="L1034" s="249"/>
      <c r="M1034" s="236"/>
      <c r="N1034" s="19" t="s">
        <v>53</v>
      </c>
      <c r="O1034" s="17">
        <v>8.24</v>
      </c>
      <c r="P1034" s="17">
        <v>15</v>
      </c>
      <c r="Q1034" s="17">
        <f t="shared" si="196"/>
        <v>123.60000000000001</v>
      </c>
      <c r="R1034" s="236"/>
      <c r="S1034" s="236"/>
      <c r="T1034" s="236"/>
      <c r="U1034" s="242"/>
    </row>
    <row r="1035" spans="1:21" ht="13">
      <c r="A1035" s="249"/>
      <c r="B1035" s="248"/>
      <c r="C1035" s="20"/>
      <c r="D1035" s="21"/>
      <c r="E1035" s="21"/>
      <c r="F1035" s="21"/>
      <c r="G1035" s="238"/>
      <c r="H1035" s="238"/>
      <c r="I1035" s="238"/>
      <c r="J1035" s="243"/>
      <c r="L1035" s="249"/>
      <c r="M1035" s="248"/>
      <c r="N1035" s="20"/>
      <c r="O1035" s="21"/>
      <c r="P1035" s="21"/>
      <c r="Q1035" s="21"/>
      <c r="R1035" s="238"/>
      <c r="S1035" s="238"/>
      <c r="T1035" s="238"/>
      <c r="U1035" s="243"/>
    </row>
    <row r="1036" spans="1:21" ht="13">
      <c r="A1036" s="249"/>
      <c r="B1036" s="247" t="s">
        <v>502</v>
      </c>
      <c r="C1036" s="15" t="s">
        <v>23</v>
      </c>
      <c r="D1036" s="17">
        <v>21</v>
      </c>
      <c r="E1036" s="16">
        <v>16</v>
      </c>
      <c r="F1036" s="17">
        <f t="shared" ref="F1036:F1040" si="197">D1036*E1036</f>
        <v>336</v>
      </c>
      <c r="G1036" s="240">
        <f>SUM(F1036:F1044)</f>
        <v>2039.91</v>
      </c>
      <c r="H1036" s="237">
        <v>2735</v>
      </c>
      <c r="I1036" s="237">
        <f>H1036-G1036</f>
        <v>695.08999999999992</v>
      </c>
      <c r="J1036" s="241">
        <f>I1036/H1036</f>
        <v>0.25414625228519194</v>
      </c>
      <c r="L1036" s="249"/>
      <c r="M1036" s="247" t="s">
        <v>502</v>
      </c>
      <c r="N1036" s="15" t="s">
        <v>23</v>
      </c>
      <c r="O1036" s="18"/>
      <c r="P1036" s="18"/>
      <c r="Q1036" s="18"/>
      <c r="R1036" s="240">
        <f>SUM(Q1036:Q1044)</f>
        <v>1703.91</v>
      </c>
      <c r="S1036" s="237">
        <v>2735</v>
      </c>
      <c r="T1036" s="237">
        <f>S1036-R1036</f>
        <v>1031.0899999999999</v>
      </c>
      <c r="U1036" s="241">
        <f>T1036/S1036</f>
        <v>0.37699817184643508</v>
      </c>
    </row>
    <row r="1037" spans="1:21" ht="13">
      <c r="A1037" s="249"/>
      <c r="B1037" s="236"/>
      <c r="C1037" s="19" t="s">
        <v>70</v>
      </c>
      <c r="D1037" s="24">
        <v>12.85</v>
      </c>
      <c r="E1037" s="17">
        <v>15</v>
      </c>
      <c r="F1037" s="17">
        <f t="shared" si="197"/>
        <v>192.75</v>
      </c>
      <c r="G1037" s="236"/>
      <c r="H1037" s="236"/>
      <c r="I1037" s="236"/>
      <c r="J1037" s="242"/>
      <c r="L1037" s="249"/>
      <c r="M1037" s="236"/>
      <c r="N1037" s="19" t="s">
        <v>70</v>
      </c>
      <c r="O1037" s="24">
        <v>12.85</v>
      </c>
      <c r="P1037" s="17">
        <v>15</v>
      </c>
      <c r="Q1037" s="17">
        <f t="shared" ref="Q1037:Q1040" si="198">O1037*P1037</f>
        <v>192.75</v>
      </c>
      <c r="R1037" s="236"/>
      <c r="S1037" s="236"/>
      <c r="T1037" s="236"/>
      <c r="U1037" s="242"/>
    </row>
    <row r="1038" spans="1:21" ht="13">
      <c r="A1038" s="249"/>
      <c r="B1038" s="236"/>
      <c r="C1038" s="19" t="s">
        <v>289</v>
      </c>
      <c r="D1038" s="17">
        <v>14.15</v>
      </c>
      <c r="E1038" s="17">
        <v>15</v>
      </c>
      <c r="F1038" s="17">
        <f t="shared" si="197"/>
        <v>212.25</v>
      </c>
      <c r="G1038" s="236"/>
      <c r="H1038" s="236"/>
      <c r="I1038" s="236"/>
      <c r="J1038" s="242"/>
      <c r="L1038" s="249"/>
      <c r="M1038" s="236"/>
      <c r="N1038" s="19" t="s">
        <v>289</v>
      </c>
      <c r="O1038" s="17">
        <v>14.15</v>
      </c>
      <c r="P1038" s="17">
        <v>15</v>
      </c>
      <c r="Q1038" s="17">
        <f t="shared" si="198"/>
        <v>212.25</v>
      </c>
      <c r="R1038" s="236"/>
      <c r="S1038" s="236"/>
      <c r="T1038" s="236"/>
      <c r="U1038" s="242"/>
    </row>
    <row r="1039" spans="1:21" ht="13">
      <c r="A1039" s="249"/>
      <c r="B1039" s="236"/>
      <c r="C1039" s="19" t="s">
        <v>32</v>
      </c>
      <c r="D1039" s="17">
        <v>14.65</v>
      </c>
      <c r="E1039" s="17">
        <v>15</v>
      </c>
      <c r="F1039" s="17">
        <f t="shared" si="197"/>
        <v>219.75</v>
      </c>
      <c r="G1039" s="236"/>
      <c r="H1039" s="236"/>
      <c r="I1039" s="236"/>
      <c r="J1039" s="242"/>
      <c r="L1039" s="249"/>
      <c r="M1039" s="236"/>
      <c r="N1039" s="19" t="s">
        <v>32</v>
      </c>
      <c r="O1039" s="17">
        <v>14.65</v>
      </c>
      <c r="P1039" s="17">
        <v>15</v>
      </c>
      <c r="Q1039" s="17">
        <f t="shared" si="198"/>
        <v>219.75</v>
      </c>
      <c r="R1039" s="236"/>
      <c r="S1039" s="236"/>
      <c r="T1039" s="236"/>
      <c r="U1039" s="242"/>
    </row>
    <row r="1040" spans="1:21" ht="13">
      <c r="A1040" s="249"/>
      <c r="B1040" s="236"/>
      <c r="C1040" s="19" t="s">
        <v>37</v>
      </c>
      <c r="D1040" s="17">
        <v>21.25</v>
      </c>
      <c r="E1040" s="17">
        <v>15</v>
      </c>
      <c r="F1040" s="17">
        <f t="shared" si="197"/>
        <v>318.75</v>
      </c>
      <c r="G1040" s="236"/>
      <c r="H1040" s="236"/>
      <c r="I1040" s="236"/>
      <c r="J1040" s="242"/>
      <c r="L1040" s="249"/>
      <c r="M1040" s="236"/>
      <c r="N1040" s="19" t="s">
        <v>37</v>
      </c>
      <c r="O1040" s="17">
        <v>21.25</v>
      </c>
      <c r="P1040" s="17">
        <v>15</v>
      </c>
      <c r="Q1040" s="17">
        <f t="shared" si="198"/>
        <v>318.75</v>
      </c>
      <c r="R1040" s="236"/>
      <c r="S1040" s="236"/>
      <c r="T1040" s="236"/>
      <c r="U1040" s="242"/>
    </row>
    <row r="1041" spans="1:21" ht="13">
      <c r="A1041" s="249"/>
      <c r="B1041" s="236"/>
      <c r="C1041" s="19" t="s">
        <v>45</v>
      </c>
      <c r="D1041" s="17"/>
      <c r="F1041" s="17">
        <v>170</v>
      </c>
      <c r="G1041" s="236"/>
      <c r="H1041" s="236"/>
      <c r="I1041" s="236"/>
      <c r="J1041" s="242"/>
      <c r="L1041" s="249"/>
      <c r="M1041" s="236"/>
      <c r="N1041" s="19" t="s">
        <v>45</v>
      </c>
      <c r="O1041" s="17"/>
      <c r="Q1041" s="17">
        <v>170</v>
      </c>
      <c r="R1041" s="236"/>
      <c r="S1041" s="236"/>
      <c r="T1041" s="236"/>
      <c r="U1041" s="242"/>
    </row>
    <row r="1042" spans="1:21" ht="13">
      <c r="A1042" s="249"/>
      <c r="B1042" s="236"/>
      <c r="C1042" s="19" t="s">
        <v>47</v>
      </c>
      <c r="D1042" s="17"/>
      <c r="F1042" s="17">
        <v>332.71</v>
      </c>
      <c r="G1042" s="236"/>
      <c r="H1042" s="236"/>
      <c r="I1042" s="236"/>
      <c r="J1042" s="242"/>
      <c r="L1042" s="249"/>
      <c r="M1042" s="236"/>
      <c r="N1042" s="19" t="s">
        <v>47</v>
      </c>
      <c r="O1042" s="17"/>
      <c r="Q1042" s="17">
        <v>332.71</v>
      </c>
      <c r="R1042" s="236"/>
      <c r="S1042" s="236"/>
      <c r="T1042" s="236"/>
      <c r="U1042" s="242"/>
    </row>
    <row r="1043" spans="1:21" ht="13">
      <c r="A1043" s="249"/>
      <c r="B1043" s="236"/>
      <c r="C1043" s="19" t="s">
        <v>290</v>
      </c>
      <c r="D1043" s="17"/>
      <c r="F1043" s="17">
        <v>136.69999999999999</v>
      </c>
      <c r="G1043" s="236"/>
      <c r="H1043" s="236"/>
      <c r="I1043" s="236"/>
      <c r="J1043" s="242"/>
      <c r="L1043" s="249"/>
      <c r="M1043" s="236"/>
      <c r="N1043" s="19" t="s">
        <v>290</v>
      </c>
      <c r="O1043" s="17"/>
      <c r="Q1043" s="17">
        <v>136.69999999999999</v>
      </c>
      <c r="R1043" s="236"/>
      <c r="S1043" s="236"/>
      <c r="T1043" s="236"/>
      <c r="U1043" s="242"/>
    </row>
    <row r="1044" spans="1:21" ht="13">
      <c r="A1044" s="249"/>
      <c r="B1044" s="248"/>
      <c r="C1044" s="20" t="s">
        <v>44</v>
      </c>
      <c r="D1044" s="21"/>
      <c r="E1044" s="21"/>
      <c r="F1044" s="21">
        <v>121</v>
      </c>
      <c r="G1044" s="238"/>
      <c r="H1044" s="238"/>
      <c r="I1044" s="238"/>
      <c r="J1044" s="243"/>
      <c r="L1044" s="249"/>
      <c r="M1044" s="248"/>
      <c r="N1044" s="20" t="s">
        <v>44</v>
      </c>
      <c r="O1044" s="21"/>
      <c r="P1044" s="21"/>
      <c r="Q1044" s="21">
        <v>121</v>
      </c>
      <c r="R1044" s="238"/>
      <c r="S1044" s="238"/>
      <c r="T1044" s="238"/>
      <c r="U1044" s="243"/>
    </row>
    <row r="1045" spans="1:21" ht="13">
      <c r="A1045" s="249"/>
      <c r="B1045" s="282" t="s">
        <v>503</v>
      </c>
      <c r="C1045" s="15" t="s">
        <v>38</v>
      </c>
      <c r="D1045" s="16"/>
      <c r="E1045" s="16"/>
      <c r="F1045" s="71">
        <v>50</v>
      </c>
      <c r="G1045" s="240">
        <f>SUM(F1045:F1046)</f>
        <v>130</v>
      </c>
      <c r="H1045" s="237">
        <v>1069.75</v>
      </c>
      <c r="I1045" s="237">
        <f>H1045-G1045</f>
        <v>939.75</v>
      </c>
      <c r="J1045" s="241">
        <f>I1045/H1045</f>
        <v>0.87847627950455709</v>
      </c>
      <c r="L1045" s="249"/>
      <c r="M1045" s="282" t="s">
        <v>503</v>
      </c>
      <c r="N1045" s="15" t="s">
        <v>38</v>
      </c>
      <c r="O1045" s="16"/>
      <c r="P1045" s="16"/>
      <c r="Q1045" s="71">
        <v>50</v>
      </c>
      <c r="R1045" s="240">
        <f>SUM(Q1045:Q1046)</f>
        <v>130</v>
      </c>
      <c r="S1045" s="237">
        <v>1069.75</v>
      </c>
      <c r="T1045" s="237">
        <f>S1045-R1045</f>
        <v>939.75</v>
      </c>
      <c r="U1045" s="241">
        <f>T1045/S1045</f>
        <v>0.87847627950455709</v>
      </c>
    </row>
    <row r="1046" spans="1:21" ht="13">
      <c r="A1046" s="249"/>
      <c r="B1046" s="248"/>
      <c r="C1046" s="20" t="s">
        <v>33</v>
      </c>
      <c r="D1046" s="20"/>
      <c r="E1046" s="20"/>
      <c r="F1046" s="20">
        <v>80</v>
      </c>
      <c r="G1046" s="238"/>
      <c r="H1046" s="238"/>
      <c r="I1046" s="238"/>
      <c r="J1046" s="243"/>
      <c r="L1046" s="249"/>
      <c r="M1046" s="248"/>
      <c r="N1046" s="20" t="s">
        <v>33</v>
      </c>
      <c r="O1046" s="20"/>
      <c r="P1046" s="20"/>
      <c r="Q1046" s="20">
        <v>80</v>
      </c>
      <c r="R1046" s="238"/>
      <c r="S1046" s="238"/>
      <c r="T1046" s="238"/>
      <c r="U1046" s="243"/>
    </row>
    <row r="1047" spans="1:21" ht="30">
      <c r="A1047" s="278" t="s">
        <v>504</v>
      </c>
      <c r="B1047" s="252"/>
      <c r="C1047" s="253"/>
      <c r="D1047" s="56">
        <f t="shared" ref="D1047:I1047" si="199">AVERAGE(D994:D1046)</f>
        <v>15.007619047619043</v>
      </c>
      <c r="E1047" s="56">
        <f t="shared" si="199"/>
        <v>15.476190476190476</v>
      </c>
      <c r="F1047" s="56">
        <f t="shared" si="199"/>
        <v>160.2318367346939</v>
      </c>
      <c r="G1047" s="72">
        <f t="shared" si="199"/>
        <v>713.76</v>
      </c>
      <c r="H1047" s="56">
        <f t="shared" si="199"/>
        <v>3836.49</v>
      </c>
      <c r="I1047" s="56">
        <f t="shared" si="199"/>
        <v>3122.73</v>
      </c>
      <c r="J1047" s="57">
        <f>AVERAGE($J$12:$J$76)</f>
        <v>0.79942354689485917</v>
      </c>
      <c r="L1047" s="278" t="s">
        <v>504</v>
      </c>
      <c r="M1047" s="252"/>
      <c r="N1047" s="253"/>
      <c r="O1047" s="56">
        <f t="shared" ref="O1047:T1047" si="200">AVERAGE(O994:O1046)</f>
        <v>15.244705882352939</v>
      </c>
      <c r="P1047" s="56">
        <f t="shared" si="200"/>
        <v>15.117647058823529</v>
      </c>
      <c r="Q1047" s="56">
        <f t="shared" si="200"/>
        <v>153.31911111111114</v>
      </c>
      <c r="R1047" s="56">
        <f t="shared" si="200"/>
        <v>627.21454545454537</v>
      </c>
      <c r="S1047" s="56">
        <f t="shared" si="200"/>
        <v>3836.49</v>
      </c>
      <c r="T1047" s="56">
        <f t="shared" si="200"/>
        <v>3209.2754545454545</v>
      </c>
      <c r="U1047" s="57">
        <f>AVERAGE($J$12:$J$76)</f>
        <v>0.79942354689485917</v>
      </c>
    </row>
    <row r="1048" spans="1:21" ht="30">
      <c r="A1048" s="279" t="s">
        <v>505</v>
      </c>
      <c r="B1048" s="255"/>
      <c r="C1048" s="256"/>
      <c r="D1048" s="72">
        <f t="shared" ref="D1048:I1048" si="201">SUM(D994:D1046)</f>
        <v>315.15999999999991</v>
      </c>
      <c r="E1048" s="56">
        <f t="shared" si="201"/>
        <v>325</v>
      </c>
      <c r="F1048" s="73">
        <f t="shared" si="201"/>
        <v>7851.3600000000015</v>
      </c>
      <c r="G1048" s="74">
        <f t="shared" si="201"/>
        <v>7851.36</v>
      </c>
      <c r="H1048" s="75">
        <f t="shared" si="201"/>
        <v>42201.39</v>
      </c>
      <c r="I1048" s="72">
        <f t="shared" si="201"/>
        <v>34350.03</v>
      </c>
      <c r="J1048" s="76">
        <f t="shared" ref="J1048:J1049" si="202">I1048/H1048</f>
        <v>0.81395494319025985</v>
      </c>
      <c r="L1048" s="279" t="s">
        <v>505</v>
      </c>
      <c r="M1048" s="255"/>
      <c r="N1048" s="256"/>
      <c r="O1048" s="72">
        <f t="shared" ref="O1048:T1048" si="203">SUM(O994:O1046)</f>
        <v>259.15999999999997</v>
      </c>
      <c r="P1048" s="72">
        <f t="shared" si="203"/>
        <v>257</v>
      </c>
      <c r="Q1048" s="72">
        <f t="shared" si="203"/>
        <v>6899.3600000000015</v>
      </c>
      <c r="R1048" s="72">
        <f t="shared" si="203"/>
        <v>6899.36</v>
      </c>
      <c r="S1048" s="72">
        <f t="shared" si="203"/>
        <v>42201.39</v>
      </c>
      <c r="T1048" s="72">
        <f t="shared" si="203"/>
        <v>35302.03</v>
      </c>
      <c r="U1048" s="76">
        <f t="shared" ref="U1048:U1049" si="204">T1048/S1048</f>
        <v>0.8365134418558251</v>
      </c>
    </row>
    <row r="1049" spans="1:21" ht="13">
      <c r="A1049" s="285" t="s">
        <v>10</v>
      </c>
      <c r="B1049" s="244" t="s">
        <v>506</v>
      </c>
      <c r="C1049" s="49" t="s">
        <v>507</v>
      </c>
      <c r="D1049" s="51"/>
      <c r="E1049" s="49"/>
      <c r="F1049" s="23">
        <v>4662</v>
      </c>
      <c r="G1049" s="284">
        <f>SUM(F1049:F1055)</f>
        <v>25810.569999999996</v>
      </c>
      <c r="H1049" s="237">
        <v>39800</v>
      </c>
      <c r="I1049" s="237">
        <f>H1049-G1049</f>
        <v>13989.430000000004</v>
      </c>
      <c r="J1049" s="241">
        <f t="shared" si="202"/>
        <v>0.35149321608040213</v>
      </c>
      <c r="L1049" s="285" t="s">
        <v>10</v>
      </c>
      <c r="M1049" s="244" t="s">
        <v>506</v>
      </c>
      <c r="N1049" s="49" t="s">
        <v>507</v>
      </c>
      <c r="O1049" s="18"/>
      <c r="P1049" s="18"/>
      <c r="Q1049" s="18"/>
      <c r="R1049" s="284">
        <f>SUM(Q1049:Q1055)</f>
        <v>21148.569999999996</v>
      </c>
      <c r="S1049" s="237">
        <v>39800</v>
      </c>
      <c r="T1049" s="237">
        <f>S1049-R1049</f>
        <v>18651.430000000004</v>
      </c>
      <c r="U1049" s="241">
        <f t="shared" si="204"/>
        <v>0.46862889447236189</v>
      </c>
    </row>
    <row r="1050" spans="1:21" ht="13">
      <c r="A1050" s="286"/>
      <c r="B1050" s="245"/>
      <c r="C1050" s="51" t="s">
        <v>508</v>
      </c>
      <c r="D1050" s="51"/>
      <c r="E1050" s="51"/>
      <c r="F1050" s="23">
        <v>13933.29</v>
      </c>
      <c r="G1050" s="236"/>
      <c r="H1050" s="236"/>
      <c r="I1050" s="236"/>
      <c r="J1050" s="242"/>
      <c r="L1050" s="286"/>
      <c r="M1050" s="245"/>
      <c r="N1050" s="51" t="s">
        <v>508</v>
      </c>
      <c r="O1050" s="51"/>
      <c r="P1050" s="51"/>
      <c r="Q1050" s="23">
        <v>13933.29</v>
      </c>
      <c r="R1050" s="236"/>
      <c r="S1050" s="236"/>
      <c r="T1050" s="236"/>
      <c r="U1050" s="242"/>
    </row>
    <row r="1051" spans="1:21" ht="13">
      <c r="A1051" s="286"/>
      <c r="B1051" s="245"/>
      <c r="C1051" s="51" t="s">
        <v>45</v>
      </c>
      <c r="D1051" s="51"/>
      <c r="E1051" s="51"/>
      <c r="F1051" s="23">
        <v>1562.37</v>
      </c>
      <c r="G1051" s="236"/>
      <c r="H1051" s="236"/>
      <c r="I1051" s="236"/>
      <c r="J1051" s="242"/>
      <c r="L1051" s="286"/>
      <c r="M1051" s="245"/>
      <c r="N1051" s="51" t="s">
        <v>45</v>
      </c>
      <c r="O1051" s="51"/>
      <c r="P1051" s="51"/>
      <c r="Q1051" s="23">
        <v>1562.37</v>
      </c>
      <c r="R1051" s="236"/>
      <c r="S1051" s="236"/>
      <c r="T1051" s="236"/>
      <c r="U1051" s="242"/>
    </row>
    <row r="1052" spans="1:21" ht="13">
      <c r="A1052" s="286"/>
      <c r="B1052" s="245"/>
      <c r="C1052" s="51" t="s">
        <v>509</v>
      </c>
      <c r="D1052" s="51"/>
      <c r="E1052" s="51"/>
      <c r="F1052" s="23">
        <v>226</v>
      </c>
      <c r="G1052" s="236"/>
      <c r="H1052" s="236"/>
      <c r="I1052" s="236"/>
      <c r="J1052" s="242"/>
      <c r="L1052" s="286"/>
      <c r="M1052" s="245"/>
      <c r="N1052" s="51" t="s">
        <v>509</v>
      </c>
      <c r="O1052" s="51"/>
      <c r="P1052" s="51"/>
      <c r="Q1052" s="23">
        <v>226</v>
      </c>
      <c r="R1052" s="236"/>
      <c r="S1052" s="236"/>
      <c r="T1052" s="236"/>
      <c r="U1052" s="242"/>
    </row>
    <row r="1053" spans="1:21" ht="13">
      <c r="A1053" s="286"/>
      <c r="B1053" s="245"/>
      <c r="C1053" s="51" t="s">
        <v>47</v>
      </c>
      <c r="D1053" s="51"/>
      <c r="E1053" s="51"/>
      <c r="F1053" s="23">
        <v>3384.94</v>
      </c>
      <c r="G1053" s="236"/>
      <c r="H1053" s="236"/>
      <c r="I1053" s="236"/>
      <c r="J1053" s="242"/>
      <c r="L1053" s="286"/>
      <c r="M1053" s="245"/>
      <c r="N1053" s="51" t="s">
        <v>47</v>
      </c>
      <c r="O1053" s="51"/>
      <c r="P1053" s="51"/>
      <c r="Q1053" s="23">
        <v>3384.94</v>
      </c>
      <c r="R1053" s="236"/>
      <c r="S1053" s="236"/>
      <c r="T1053" s="236"/>
      <c r="U1053" s="242"/>
    </row>
    <row r="1054" spans="1:21" ht="13">
      <c r="A1054" s="286"/>
      <c r="B1054" s="245"/>
      <c r="C1054" s="51" t="s">
        <v>93</v>
      </c>
      <c r="D1054" s="51"/>
      <c r="E1054" s="51"/>
      <c r="F1054" s="23">
        <v>1682.87</v>
      </c>
      <c r="G1054" s="236"/>
      <c r="H1054" s="236"/>
      <c r="I1054" s="236"/>
      <c r="J1054" s="242"/>
      <c r="L1054" s="286"/>
      <c r="M1054" s="245"/>
      <c r="N1054" s="51" t="s">
        <v>93</v>
      </c>
      <c r="O1054" s="51"/>
      <c r="P1054" s="51"/>
      <c r="Q1054" s="23">
        <v>1682.87</v>
      </c>
      <c r="R1054" s="236"/>
      <c r="S1054" s="236"/>
      <c r="T1054" s="236"/>
      <c r="U1054" s="242"/>
    </row>
    <row r="1055" spans="1:21" ht="13">
      <c r="A1055" s="286"/>
      <c r="B1055" s="246"/>
      <c r="C1055" s="52" t="s">
        <v>44</v>
      </c>
      <c r="D1055" s="52"/>
      <c r="E1055" s="52"/>
      <c r="F1055" s="26">
        <v>359.1</v>
      </c>
      <c r="G1055" s="238"/>
      <c r="H1055" s="238"/>
      <c r="I1055" s="238"/>
      <c r="J1055" s="243"/>
      <c r="L1055" s="286"/>
      <c r="M1055" s="246"/>
      <c r="N1055" s="52" t="s">
        <v>44</v>
      </c>
      <c r="O1055" s="52"/>
      <c r="P1055" s="52"/>
      <c r="Q1055" s="26">
        <v>359.1</v>
      </c>
      <c r="R1055" s="238"/>
      <c r="S1055" s="238"/>
      <c r="T1055" s="238"/>
      <c r="U1055" s="243"/>
    </row>
    <row r="1056" spans="1:21" ht="13">
      <c r="A1056" s="286"/>
      <c r="B1056" s="244" t="s">
        <v>510</v>
      </c>
      <c r="C1056" s="15" t="s">
        <v>23</v>
      </c>
      <c r="D1056" s="17">
        <v>28</v>
      </c>
      <c r="E1056" s="16">
        <v>18</v>
      </c>
      <c r="F1056" s="17">
        <f t="shared" ref="F1056:F1066" si="205">D1056*E1056</f>
        <v>504</v>
      </c>
      <c r="G1056" s="240">
        <f>SUM(F1056:F1071)</f>
        <v>5995.5</v>
      </c>
      <c r="H1056" s="237">
        <v>17631.84</v>
      </c>
      <c r="I1056" s="237">
        <f>H1056-G1056</f>
        <v>11636.34</v>
      </c>
      <c r="J1056" s="241">
        <f>I1056/H1056</f>
        <v>0.6599617510140745</v>
      </c>
      <c r="L1056" s="286"/>
      <c r="M1056" s="244" t="s">
        <v>510</v>
      </c>
      <c r="N1056" s="15" t="s">
        <v>23</v>
      </c>
      <c r="O1056" s="18"/>
      <c r="P1056" s="18"/>
      <c r="Q1056" s="18"/>
      <c r="R1056" s="240">
        <f>SUM(Q1056:Q1071)</f>
        <v>4975.5999999999995</v>
      </c>
      <c r="S1056" s="237">
        <v>15363.48</v>
      </c>
      <c r="T1056" s="237">
        <f>S1056-R1056</f>
        <v>10387.880000000001</v>
      </c>
      <c r="U1056" s="241">
        <f>T1056/S1056</f>
        <v>0.6761410826193025</v>
      </c>
    </row>
    <row r="1057" spans="1:21" ht="13">
      <c r="A1057" s="286"/>
      <c r="B1057" s="245"/>
      <c r="C1057" s="19" t="s">
        <v>51</v>
      </c>
      <c r="D1057" s="24">
        <v>23</v>
      </c>
      <c r="E1057" s="17">
        <v>15</v>
      </c>
      <c r="F1057" s="17">
        <f t="shared" si="205"/>
        <v>345</v>
      </c>
      <c r="G1057" s="236"/>
      <c r="H1057" s="236"/>
      <c r="I1057" s="236"/>
      <c r="J1057" s="242"/>
      <c r="L1057" s="286"/>
      <c r="M1057" s="245"/>
      <c r="N1057" s="19" t="s">
        <v>51</v>
      </c>
      <c r="O1057" s="24">
        <v>23</v>
      </c>
      <c r="P1057" s="17">
        <v>15</v>
      </c>
      <c r="Q1057" s="17">
        <f t="shared" ref="Q1057:Q1066" si="206">O1057*P1057</f>
        <v>345</v>
      </c>
      <c r="R1057" s="236"/>
      <c r="S1057" s="236"/>
      <c r="T1057" s="236"/>
      <c r="U1057" s="242"/>
    </row>
    <row r="1058" spans="1:21" ht="13">
      <c r="A1058" s="286"/>
      <c r="B1058" s="245"/>
      <c r="C1058" s="19" t="s">
        <v>511</v>
      </c>
      <c r="D1058" s="24">
        <v>11</v>
      </c>
      <c r="E1058" s="17">
        <v>22.5</v>
      </c>
      <c r="F1058" s="17">
        <f t="shared" si="205"/>
        <v>247.5</v>
      </c>
      <c r="G1058" s="236"/>
      <c r="H1058" s="236"/>
      <c r="I1058" s="236"/>
      <c r="J1058" s="242"/>
      <c r="L1058" s="286"/>
      <c r="M1058" s="245"/>
      <c r="N1058" s="19" t="s">
        <v>511</v>
      </c>
      <c r="O1058" s="24">
        <v>11</v>
      </c>
      <c r="P1058" s="17">
        <v>22.5</v>
      </c>
      <c r="Q1058" s="17">
        <f t="shared" si="206"/>
        <v>247.5</v>
      </c>
      <c r="R1058" s="236"/>
      <c r="S1058" s="236"/>
      <c r="T1058" s="236"/>
      <c r="U1058" s="242"/>
    </row>
    <row r="1059" spans="1:21" ht="13">
      <c r="A1059" s="286"/>
      <c r="B1059" s="245"/>
      <c r="C1059" s="19" t="s">
        <v>50</v>
      </c>
      <c r="D1059" s="17">
        <v>12</v>
      </c>
      <c r="E1059" s="17">
        <v>15</v>
      </c>
      <c r="F1059" s="17">
        <f t="shared" si="205"/>
        <v>180</v>
      </c>
      <c r="G1059" s="236"/>
      <c r="H1059" s="236"/>
      <c r="I1059" s="236"/>
      <c r="J1059" s="242"/>
      <c r="L1059" s="286"/>
      <c r="M1059" s="245"/>
      <c r="N1059" s="19" t="s">
        <v>50</v>
      </c>
      <c r="O1059" s="17">
        <v>12</v>
      </c>
      <c r="P1059" s="17">
        <v>15</v>
      </c>
      <c r="Q1059" s="17">
        <f t="shared" si="206"/>
        <v>180</v>
      </c>
      <c r="R1059" s="236"/>
      <c r="S1059" s="236"/>
      <c r="T1059" s="236"/>
      <c r="U1059" s="242"/>
    </row>
    <row r="1060" spans="1:21" ht="13">
      <c r="A1060" s="286"/>
      <c r="B1060" s="245"/>
      <c r="C1060" s="19" t="s">
        <v>70</v>
      </c>
      <c r="D1060" s="17">
        <v>10</v>
      </c>
      <c r="E1060" s="17">
        <v>15</v>
      </c>
      <c r="F1060" s="17">
        <f t="shared" si="205"/>
        <v>150</v>
      </c>
      <c r="G1060" s="236"/>
      <c r="H1060" s="236"/>
      <c r="I1060" s="236"/>
      <c r="J1060" s="242"/>
      <c r="L1060" s="286"/>
      <c r="M1060" s="245"/>
      <c r="N1060" s="19" t="s">
        <v>70</v>
      </c>
      <c r="O1060" s="17">
        <v>10</v>
      </c>
      <c r="P1060" s="17">
        <v>15</v>
      </c>
      <c r="Q1060" s="17">
        <f t="shared" si="206"/>
        <v>150</v>
      </c>
      <c r="R1060" s="236"/>
      <c r="S1060" s="236"/>
      <c r="T1060" s="236"/>
      <c r="U1060" s="242"/>
    </row>
    <row r="1061" spans="1:21" ht="13">
      <c r="A1061" s="286"/>
      <c r="B1061" s="245"/>
      <c r="C1061" s="19" t="s">
        <v>147</v>
      </c>
      <c r="D1061" s="17">
        <v>48</v>
      </c>
      <c r="E1061" s="17">
        <v>15</v>
      </c>
      <c r="F1061" s="17">
        <f t="shared" si="205"/>
        <v>720</v>
      </c>
      <c r="G1061" s="236"/>
      <c r="H1061" s="236"/>
      <c r="I1061" s="236"/>
      <c r="J1061" s="242"/>
      <c r="L1061" s="286"/>
      <c r="M1061" s="245"/>
      <c r="N1061" s="19" t="s">
        <v>147</v>
      </c>
      <c r="O1061" s="17">
        <v>48</v>
      </c>
      <c r="P1061" s="17">
        <v>15</v>
      </c>
      <c r="Q1061" s="17">
        <f t="shared" si="206"/>
        <v>720</v>
      </c>
      <c r="R1061" s="236"/>
      <c r="S1061" s="236"/>
      <c r="T1061" s="236"/>
      <c r="U1061" s="242"/>
    </row>
    <row r="1062" spans="1:21" ht="13">
      <c r="A1062" s="286"/>
      <c r="B1062" s="245"/>
      <c r="C1062" s="19" t="s">
        <v>512</v>
      </c>
      <c r="D1062" s="17">
        <v>8</v>
      </c>
      <c r="E1062" s="24">
        <v>22.5</v>
      </c>
      <c r="F1062" s="17">
        <f t="shared" si="205"/>
        <v>180</v>
      </c>
      <c r="G1062" s="236"/>
      <c r="H1062" s="236"/>
      <c r="I1062" s="236"/>
      <c r="J1062" s="242"/>
      <c r="L1062" s="286"/>
      <c r="M1062" s="245"/>
      <c r="N1062" s="19" t="s">
        <v>512</v>
      </c>
      <c r="O1062" s="17">
        <v>8</v>
      </c>
      <c r="P1062" s="24">
        <v>22.5</v>
      </c>
      <c r="Q1062" s="17">
        <f t="shared" si="206"/>
        <v>180</v>
      </c>
      <c r="R1062" s="236"/>
      <c r="S1062" s="236"/>
      <c r="T1062" s="236"/>
      <c r="U1062" s="242"/>
    </row>
    <row r="1063" spans="1:21" ht="13">
      <c r="A1063" s="286"/>
      <c r="B1063" s="245"/>
      <c r="C1063" s="19" t="s">
        <v>72</v>
      </c>
      <c r="D1063" s="17">
        <v>56</v>
      </c>
      <c r="E1063" s="24">
        <v>15</v>
      </c>
      <c r="F1063" s="17">
        <f t="shared" si="205"/>
        <v>840</v>
      </c>
      <c r="G1063" s="236"/>
      <c r="H1063" s="236"/>
      <c r="I1063" s="236"/>
      <c r="J1063" s="242"/>
      <c r="L1063" s="286"/>
      <c r="M1063" s="245"/>
      <c r="N1063" s="19" t="s">
        <v>72</v>
      </c>
      <c r="O1063" s="17">
        <v>56</v>
      </c>
      <c r="P1063" s="24">
        <v>15</v>
      </c>
      <c r="Q1063" s="17">
        <f t="shared" si="206"/>
        <v>840</v>
      </c>
      <c r="R1063" s="236"/>
      <c r="S1063" s="236"/>
      <c r="T1063" s="236"/>
      <c r="U1063" s="242"/>
    </row>
    <row r="1064" spans="1:21" ht="13">
      <c r="A1064" s="286"/>
      <c r="B1064" s="245"/>
      <c r="C1064" s="19" t="s">
        <v>513</v>
      </c>
      <c r="D1064" s="17">
        <v>8</v>
      </c>
      <c r="E1064" s="24">
        <v>22.5</v>
      </c>
      <c r="F1064" s="17">
        <f t="shared" si="205"/>
        <v>180</v>
      </c>
      <c r="G1064" s="236"/>
      <c r="H1064" s="236"/>
      <c r="I1064" s="236"/>
      <c r="J1064" s="242"/>
      <c r="L1064" s="286"/>
      <c r="M1064" s="245"/>
      <c r="N1064" s="19" t="s">
        <v>513</v>
      </c>
      <c r="O1064" s="17">
        <v>8</v>
      </c>
      <c r="P1064" s="24">
        <v>22.5</v>
      </c>
      <c r="Q1064" s="17">
        <f t="shared" si="206"/>
        <v>180</v>
      </c>
      <c r="R1064" s="236"/>
      <c r="S1064" s="236"/>
      <c r="T1064" s="236"/>
      <c r="U1064" s="242"/>
    </row>
    <row r="1065" spans="1:21" ht="13">
      <c r="A1065" s="286"/>
      <c r="B1065" s="245"/>
      <c r="C1065" s="19" t="s">
        <v>146</v>
      </c>
      <c r="D1065" s="17">
        <v>7</v>
      </c>
      <c r="E1065" s="24">
        <v>15</v>
      </c>
      <c r="F1065" s="17">
        <f t="shared" si="205"/>
        <v>105</v>
      </c>
      <c r="G1065" s="236"/>
      <c r="H1065" s="236"/>
      <c r="I1065" s="236"/>
      <c r="J1065" s="242"/>
      <c r="L1065" s="286"/>
      <c r="M1065" s="245"/>
      <c r="N1065" s="19" t="s">
        <v>146</v>
      </c>
      <c r="O1065" s="17">
        <v>7</v>
      </c>
      <c r="P1065" s="24">
        <v>15</v>
      </c>
      <c r="Q1065" s="17">
        <f t="shared" si="206"/>
        <v>105</v>
      </c>
      <c r="R1065" s="236"/>
      <c r="S1065" s="236"/>
      <c r="T1065" s="236"/>
      <c r="U1065" s="242"/>
    </row>
    <row r="1066" spans="1:21" ht="13">
      <c r="A1066" s="286"/>
      <c r="B1066" s="245"/>
      <c r="C1066" s="19" t="s">
        <v>100</v>
      </c>
      <c r="D1066" s="17">
        <v>8</v>
      </c>
      <c r="E1066" s="24">
        <v>15</v>
      </c>
      <c r="F1066" s="17">
        <f t="shared" si="205"/>
        <v>120</v>
      </c>
      <c r="G1066" s="236"/>
      <c r="H1066" s="236"/>
      <c r="I1066" s="236"/>
      <c r="J1066" s="242"/>
      <c r="L1066" s="286"/>
      <c r="M1066" s="245"/>
      <c r="N1066" s="19" t="s">
        <v>100</v>
      </c>
      <c r="O1066" s="17">
        <v>8</v>
      </c>
      <c r="P1066" s="24">
        <v>15</v>
      </c>
      <c r="Q1066" s="17">
        <f t="shared" si="206"/>
        <v>120</v>
      </c>
      <c r="R1066" s="236"/>
      <c r="S1066" s="236"/>
      <c r="T1066" s="236"/>
      <c r="U1066" s="242"/>
    </row>
    <row r="1067" spans="1:21" ht="13">
      <c r="A1067" s="286"/>
      <c r="B1067" s="245"/>
      <c r="C1067" s="19" t="s">
        <v>155</v>
      </c>
      <c r="D1067" s="17"/>
      <c r="F1067" s="17">
        <v>978.2</v>
      </c>
      <c r="G1067" s="236"/>
      <c r="H1067" s="236"/>
      <c r="I1067" s="236"/>
      <c r="J1067" s="242"/>
      <c r="L1067" s="286"/>
      <c r="M1067" s="245"/>
      <c r="N1067" s="19" t="s">
        <v>155</v>
      </c>
      <c r="O1067" s="17"/>
      <c r="Q1067" s="17">
        <v>978.2</v>
      </c>
      <c r="R1067" s="236"/>
      <c r="S1067" s="236"/>
      <c r="T1067" s="236"/>
      <c r="U1067" s="242"/>
    </row>
    <row r="1068" spans="1:21" ht="13">
      <c r="A1068" s="286"/>
      <c r="B1068" s="245"/>
      <c r="C1068" s="19" t="s">
        <v>367</v>
      </c>
      <c r="D1068" s="17"/>
      <c r="F1068" s="17">
        <v>54</v>
      </c>
      <c r="G1068" s="236"/>
      <c r="H1068" s="236"/>
      <c r="I1068" s="236"/>
      <c r="J1068" s="242"/>
      <c r="L1068" s="286"/>
      <c r="M1068" s="245"/>
      <c r="N1068" s="19" t="s">
        <v>367</v>
      </c>
      <c r="O1068" s="17"/>
      <c r="Q1068" s="17">
        <v>54</v>
      </c>
      <c r="R1068" s="236"/>
      <c r="S1068" s="236"/>
      <c r="T1068" s="236"/>
      <c r="U1068" s="242"/>
    </row>
    <row r="1069" spans="1:21" ht="13">
      <c r="A1069" s="286"/>
      <c r="B1069" s="245"/>
      <c r="C1069" s="22" t="s">
        <v>514</v>
      </c>
      <c r="D1069" s="17"/>
      <c r="F1069" s="17">
        <f>515.9*2</f>
        <v>1031.8</v>
      </c>
      <c r="G1069" s="236"/>
      <c r="H1069" s="236"/>
      <c r="I1069" s="236"/>
      <c r="J1069" s="242"/>
      <c r="L1069" s="286"/>
      <c r="M1069" s="245"/>
      <c r="N1069" s="22" t="s">
        <v>514</v>
      </c>
      <c r="O1069" s="17"/>
      <c r="Q1069" s="17">
        <v>515.9</v>
      </c>
      <c r="R1069" s="236"/>
      <c r="S1069" s="236"/>
      <c r="T1069" s="236"/>
      <c r="U1069" s="242"/>
    </row>
    <row r="1070" spans="1:21" ht="13">
      <c r="A1070" s="286"/>
      <c r="B1070" s="245"/>
      <c r="C1070" s="22" t="s">
        <v>395</v>
      </c>
      <c r="D1070" s="17"/>
      <c r="F1070" s="17">
        <v>360</v>
      </c>
      <c r="G1070" s="236"/>
      <c r="H1070" s="236"/>
      <c r="I1070" s="236"/>
      <c r="J1070" s="242"/>
      <c r="L1070" s="286"/>
      <c r="M1070" s="245"/>
      <c r="N1070" s="22" t="s">
        <v>395</v>
      </c>
      <c r="O1070" s="17"/>
      <c r="Q1070" s="17">
        <v>360</v>
      </c>
      <c r="R1070" s="236"/>
      <c r="S1070" s="236"/>
      <c r="T1070" s="236"/>
      <c r="U1070" s="242"/>
    </row>
    <row r="1071" spans="1:21" ht="13">
      <c r="A1071" s="286"/>
      <c r="B1071" s="246"/>
      <c r="C1071" s="20"/>
      <c r="D1071" s="21"/>
      <c r="E1071" s="21"/>
      <c r="F1071" s="21"/>
      <c r="G1071" s="238"/>
      <c r="H1071" s="238"/>
      <c r="I1071" s="238"/>
      <c r="J1071" s="243"/>
      <c r="L1071" s="286"/>
      <c r="M1071" s="246"/>
      <c r="N1071" s="20"/>
      <c r="O1071" s="21"/>
      <c r="P1071" s="21"/>
      <c r="Q1071" s="21"/>
      <c r="R1071" s="238"/>
      <c r="S1071" s="238"/>
      <c r="T1071" s="238"/>
      <c r="U1071" s="243"/>
    </row>
    <row r="1072" spans="1:21" ht="13">
      <c r="A1072" s="286"/>
      <c r="B1072" s="244" t="s">
        <v>515</v>
      </c>
      <c r="C1072" s="15" t="s">
        <v>146</v>
      </c>
      <c r="D1072" s="17">
        <v>57</v>
      </c>
      <c r="E1072" s="16">
        <v>15</v>
      </c>
      <c r="F1072" s="17">
        <f t="shared" ref="F1072:F1076" si="207">D1072*E1072</f>
        <v>855</v>
      </c>
      <c r="G1072" s="240">
        <f>SUM(F1072:F1078)</f>
        <v>2228.7600000000002</v>
      </c>
      <c r="H1072" s="237">
        <v>5010</v>
      </c>
      <c r="I1072" s="237">
        <f>H1072-G1072</f>
        <v>2781.24</v>
      </c>
      <c r="J1072" s="241">
        <f>I1072/H1072</f>
        <v>0.55513772455089816</v>
      </c>
      <c r="L1072" s="286"/>
      <c r="M1072" s="244" t="s">
        <v>515</v>
      </c>
      <c r="N1072" s="15" t="s">
        <v>146</v>
      </c>
      <c r="O1072" s="17">
        <v>57</v>
      </c>
      <c r="P1072" s="16">
        <v>15</v>
      </c>
      <c r="Q1072" s="17">
        <f t="shared" ref="Q1072:Q1076" si="208">O1072*P1072</f>
        <v>855</v>
      </c>
      <c r="R1072" s="240">
        <f>SUM(Q1072:Q1078)</f>
        <v>2228.7600000000002</v>
      </c>
      <c r="S1072" s="237">
        <v>5010</v>
      </c>
      <c r="T1072" s="237">
        <f>S1072-R1072</f>
        <v>2781.24</v>
      </c>
      <c r="U1072" s="241">
        <f>T1072/S1072</f>
        <v>0.55513772455089816</v>
      </c>
    </row>
    <row r="1073" spans="1:21" ht="13">
      <c r="A1073" s="286"/>
      <c r="B1073" s="245"/>
      <c r="C1073" s="19" t="s">
        <v>516</v>
      </c>
      <c r="D1073" s="24">
        <v>18</v>
      </c>
      <c r="E1073" s="17">
        <v>15</v>
      </c>
      <c r="F1073" s="17">
        <f t="shared" si="207"/>
        <v>270</v>
      </c>
      <c r="G1073" s="236"/>
      <c r="H1073" s="236"/>
      <c r="I1073" s="236"/>
      <c r="J1073" s="242"/>
      <c r="L1073" s="286"/>
      <c r="M1073" s="245"/>
      <c r="N1073" s="19" t="s">
        <v>516</v>
      </c>
      <c r="O1073" s="24">
        <v>18</v>
      </c>
      <c r="P1073" s="17">
        <v>15</v>
      </c>
      <c r="Q1073" s="17">
        <f t="shared" si="208"/>
        <v>270</v>
      </c>
      <c r="R1073" s="236"/>
      <c r="S1073" s="236"/>
      <c r="T1073" s="236"/>
      <c r="U1073" s="242"/>
    </row>
    <row r="1074" spans="1:21" ht="13">
      <c r="A1074" s="286"/>
      <c r="B1074" s="245"/>
      <c r="C1074" s="19" t="s">
        <v>147</v>
      </c>
      <c r="D1074" s="24">
        <v>9</v>
      </c>
      <c r="E1074" s="17">
        <v>15</v>
      </c>
      <c r="F1074" s="17">
        <f t="shared" si="207"/>
        <v>135</v>
      </c>
      <c r="G1074" s="236"/>
      <c r="H1074" s="236"/>
      <c r="I1074" s="236"/>
      <c r="J1074" s="242"/>
      <c r="L1074" s="286"/>
      <c r="M1074" s="245"/>
      <c r="N1074" s="19" t="s">
        <v>147</v>
      </c>
      <c r="O1074" s="24">
        <v>9</v>
      </c>
      <c r="P1074" s="17">
        <v>15</v>
      </c>
      <c r="Q1074" s="17">
        <f t="shared" si="208"/>
        <v>135</v>
      </c>
      <c r="R1074" s="236"/>
      <c r="S1074" s="236"/>
      <c r="T1074" s="236"/>
      <c r="U1074" s="242"/>
    </row>
    <row r="1075" spans="1:21" ht="13">
      <c r="A1075" s="286"/>
      <c r="B1075" s="245"/>
      <c r="C1075" s="19" t="s">
        <v>38</v>
      </c>
      <c r="D1075" s="17">
        <v>9</v>
      </c>
      <c r="E1075" s="17">
        <v>15</v>
      </c>
      <c r="F1075" s="17">
        <f t="shared" si="207"/>
        <v>135</v>
      </c>
      <c r="G1075" s="236"/>
      <c r="H1075" s="236"/>
      <c r="I1075" s="236"/>
      <c r="J1075" s="242"/>
      <c r="L1075" s="286"/>
      <c r="M1075" s="245"/>
      <c r="N1075" s="19" t="s">
        <v>38</v>
      </c>
      <c r="O1075" s="17">
        <v>9</v>
      </c>
      <c r="P1075" s="17">
        <v>15</v>
      </c>
      <c r="Q1075" s="17">
        <f t="shared" si="208"/>
        <v>135</v>
      </c>
      <c r="R1075" s="236"/>
      <c r="S1075" s="236"/>
      <c r="T1075" s="236"/>
      <c r="U1075" s="242"/>
    </row>
    <row r="1076" spans="1:21" ht="13">
      <c r="A1076" s="286"/>
      <c r="B1076" s="245"/>
      <c r="C1076" s="19" t="s">
        <v>517</v>
      </c>
      <c r="D1076" s="17">
        <v>27</v>
      </c>
      <c r="E1076" s="17">
        <v>15</v>
      </c>
      <c r="F1076" s="17">
        <f t="shared" si="207"/>
        <v>405</v>
      </c>
      <c r="G1076" s="236"/>
      <c r="H1076" s="236"/>
      <c r="I1076" s="236"/>
      <c r="J1076" s="242"/>
      <c r="L1076" s="286"/>
      <c r="M1076" s="245"/>
      <c r="N1076" s="19" t="s">
        <v>517</v>
      </c>
      <c r="O1076" s="17">
        <v>27</v>
      </c>
      <c r="P1076" s="17">
        <v>15</v>
      </c>
      <c r="Q1076" s="17">
        <f t="shared" si="208"/>
        <v>405</v>
      </c>
      <c r="R1076" s="236"/>
      <c r="S1076" s="236"/>
      <c r="T1076" s="236"/>
      <c r="U1076" s="242"/>
    </row>
    <row r="1077" spans="1:21" ht="13">
      <c r="A1077" s="286"/>
      <c r="B1077" s="245"/>
      <c r="C1077" s="22" t="s">
        <v>518</v>
      </c>
      <c r="D1077" s="17"/>
      <c r="F1077" s="17">
        <v>201.95</v>
      </c>
      <c r="G1077" s="236"/>
      <c r="H1077" s="236"/>
      <c r="I1077" s="236"/>
      <c r="J1077" s="242"/>
      <c r="L1077" s="286"/>
      <c r="M1077" s="245"/>
      <c r="N1077" s="22" t="s">
        <v>518</v>
      </c>
      <c r="O1077" s="17"/>
      <c r="Q1077" s="17">
        <v>201.95</v>
      </c>
      <c r="R1077" s="236"/>
      <c r="S1077" s="236"/>
      <c r="T1077" s="236"/>
      <c r="U1077" s="242"/>
    </row>
    <row r="1078" spans="1:21" ht="13">
      <c r="A1078" s="286"/>
      <c r="B1078" s="246"/>
      <c r="C1078" s="20" t="s">
        <v>519</v>
      </c>
      <c r="D1078" s="21"/>
      <c r="E1078" s="21"/>
      <c r="F1078" s="21">
        <v>226.81</v>
      </c>
      <c r="G1078" s="238"/>
      <c r="H1078" s="238"/>
      <c r="I1078" s="238"/>
      <c r="J1078" s="243"/>
      <c r="L1078" s="286"/>
      <c r="M1078" s="246"/>
      <c r="N1078" s="20" t="s">
        <v>519</v>
      </c>
      <c r="O1078" s="21"/>
      <c r="P1078" s="21"/>
      <c r="Q1078" s="21">
        <v>226.81</v>
      </c>
      <c r="R1078" s="238"/>
      <c r="S1078" s="238"/>
      <c r="T1078" s="238"/>
      <c r="U1078" s="243"/>
    </row>
    <row r="1079" spans="1:21" ht="13">
      <c r="A1079" s="286"/>
      <c r="B1079" s="244" t="s">
        <v>520</v>
      </c>
      <c r="C1079" s="15" t="s">
        <v>146</v>
      </c>
      <c r="D1079" s="17">
        <v>7</v>
      </c>
      <c r="E1079" s="16">
        <v>15</v>
      </c>
      <c r="F1079" s="17">
        <f>D1079*E1079</f>
        <v>105</v>
      </c>
      <c r="G1079" s="240">
        <f>SUM(F1079:F1081)</f>
        <v>667.54</v>
      </c>
      <c r="H1079" s="237">
        <v>1568</v>
      </c>
      <c r="I1079" s="237">
        <f>H1079-G1079</f>
        <v>900.46</v>
      </c>
      <c r="J1079" s="241">
        <f>I1079/H1079</f>
        <v>0.57427295918367349</v>
      </c>
      <c r="L1079" s="286"/>
      <c r="M1079" s="244" t="s">
        <v>520</v>
      </c>
      <c r="N1079" s="15" t="s">
        <v>146</v>
      </c>
      <c r="O1079" s="17">
        <v>7</v>
      </c>
      <c r="P1079" s="16">
        <v>15</v>
      </c>
      <c r="Q1079" s="17">
        <f>O1079*P1079</f>
        <v>105</v>
      </c>
      <c r="R1079" s="240">
        <f>SUM(Q1079:Q1081)</f>
        <v>667.54</v>
      </c>
      <c r="S1079" s="237">
        <v>1568</v>
      </c>
      <c r="T1079" s="237">
        <f>S1079-R1079</f>
        <v>900.46</v>
      </c>
      <c r="U1079" s="241">
        <f>T1079/S1079</f>
        <v>0.57427295918367349</v>
      </c>
    </row>
    <row r="1080" spans="1:21" ht="13">
      <c r="A1080" s="286"/>
      <c r="B1080" s="245"/>
      <c r="C1080" s="19" t="s">
        <v>521</v>
      </c>
      <c r="E1080" s="17"/>
      <c r="F1080" s="17">
        <v>562.54</v>
      </c>
      <c r="G1080" s="236"/>
      <c r="H1080" s="236"/>
      <c r="I1080" s="236"/>
      <c r="J1080" s="242"/>
      <c r="L1080" s="286"/>
      <c r="M1080" s="245"/>
      <c r="N1080" s="19" t="s">
        <v>521</v>
      </c>
      <c r="P1080" s="17"/>
      <c r="Q1080" s="17">
        <v>562.54</v>
      </c>
      <c r="R1080" s="236"/>
      <c r="S1080" s="236"/>
      <c r="T1080" s="236"/>
      <c r="U1080" s="242"/>
    </row>
    <row r="1081" spans="1:21" ht="13">
      <c r="A1081" s="286"/>
      <c r="B1081" s="246"/>
      <c r="C1081" s="20"/>
      <c r="D1081" s="21"/>
      <c r="E1081" s="21"/>
      <c r="F1081" s="21"/>
      <c r="G1081" s="238"/>
      <c r="H1081" s="238"/>
      <c r="I1081" s="238"/>
      <c r="J1081" s="243"/>
      <c r="L1081" s="286"/>
      <c r="M1081" s="246"/>
      <c r="N1081" s="20"/>
      <c r="O1081" s="21"/>
      <c r="P1081" s="21"/>
      <c r="Q1081" s="21"/>
      <c r="R1081" s="238"/>
      <c r="S1081" s="238"/>
      <c r="T1081" s="238"/>
      <c r="U1081" s="243"/>
    </row>
    <row r="1082" spans="1:21" ht="13">
      <c r="A1082" s="286"/>
      <c r="B1082" s="244" t="s">
        <v>522</v>
      </c>
      <c r="C1082" s="15" t="s">
        <v>23</v>
      </c>
      <c r="D1082" s="17">
        <v>14</v>
      </c>
      <c r="E1082" s="16">
        <v>16</v>
      </c>
      <c r="F1082" s="17">
        <f>D1082*E1082</f>
        <v>224</v>
      </c>
      <c r="G1082" s="240">
        <f>SUM(F1082:F1088)</f>
        <v>801.15</v>
      </c>
      <c r="H1082" s="237">
        <v>2943.68</v>
      </c>
      <c r="I1082" s="237">
        <f>H1082-G1082</f>
        <v>2142.5299999999997</v>
      </c>
      <c r="J1082" s="241">
        <f>I1082/H1082</f>
        <v>0.7278406620284813</v>
      </c>
      <c r="L1082" s="286"/>
      <c r="M1082" s="244" t="s">
        <v>522</v>
      </c>
      <c r="N1082" s="15" t="s">
        <v>23</v>
      </c>
      <c r="O1082" s="18"/>
      <c r="P1082" s="18"/>
      <c r="Q1082" s="18"/>
      <c r="R1082" s="240">
        <f>SUM(Q1082:Q1088)</f>
        <v>577.15</v>
      </c>
      <c r="S1082" s="237">
        <v>2943.68</v>
      </c>
      <c r="T1082" s="237">
        <f>S1082-R1082</f>
        <v>2366.5299999999997</v>
      </c>
      <c r="U1082" s="241">
        <f>T1082/S1082</f>
        <v>0.80393588977062724</v>
      </c>
    </row>
    <row r="1083" spans="1:21" ht="13">
      <c r="A1083" s="286"/>
      <c r="B1083" s="245"/>
      <c r="C1083" s="19" t="s">
        <v>31</v>
      </c>
      <c r="D1083" s="24">
        <v>18</v>
      </c>
      <c r="E1083" s="17">
        <v>15</v>
      </c>
      <c r="F1083" s="17">
        <v>200</v>
      </c>
      <c r="G1083" s="236"/>
      <c r="H1083" s="236"/>
      <c r="I1083" s="236"/>
      <c r="J1083" s="242"/>
      <c r="L1083" s="286"/>
      <c r="M1083" s="245"/>
      <c r="N1083" s="19" t="s">
        <v>31</v>
      </c>
      <c r="O1083" s="24">
        <v>18</v>
      </c>
      <c r="P1083" s="17">
        <v>15</v>
      </c>
      <c r="Q1083" s="17">
        <v>200</v>
      </c>
      <c r="R1083" s="236"/>
      <c r="S1083" s="236"/>
      <c r="T1083" s="236"/>
      <c r="U1083" s="242"/>
    </row>
    <row r="1084" spans="1:21" ht="13">
      <c r="A1084" s="286"/>
      <c r="B1084" s="245"/>
      <c r="C1084" s="19" t="s">
        <v>47</v>
      </c>
      <c r="E1084" s="17"/>
      <c r="F1084" s="17">
        <v>111.01</v>
      </c>
      <c r="G1084" s="236"/>
      <c r="H1084" s="236"/>
      <c r="I1084" s="236"/>
      <c r="J1084" s="242"/>
      <c r="L1084" s="286"/>
      <c r="M1084" s="245"/>
      <c r="N1084" s="19" t="s">
        <v>47</v>
      </c>
      <c r="P1084" s="17"/>
      <c r="Q1084" s="17">
        <v>111.01</v>
      </c>
      <c r="R1084" s="236"/>
      <c r="S1084" s="236"/>
      <c r="T1084" s="236"/>
      <c r="U1084" s="242"/>
    </row>
    <row r="1085" spans="1:21" ht="13">
      <c r="A1085" s="286"/>
      <c r="B1085" s="245"/>
      <c r="C1085" s="19" t="s">
        <v>523</v>
      </c>
      <c r="D1085" s="17"/>
      <c r="E1085" s="17"/>
      <c r="F1085" s="17">
        <v>111.86</v>
      </c>
      <c r="G1085" s="236"/>
      <c r="H1085" s="236"/>
      <c r="I1085" s="236"/>
      <c r="J1085" s="242"/>
      <c r="L1085" s="286"/>
      <c r="M1085" s="245"/>
      <c r="N1085" s="19" t="s">
        <v>523</v>
      </c>
      <c r="O1085" s="17"/>
      <c r="P1085" s="17"/>
      <c r="Q1085" s="17">
        <v>111.86</v>
      </c>
      <c r="R1085" s="236"/>
      <c r="S1085" s="236"/>
      <c r="T1085" s="236"/>
      <c r="U1085" s="242"/>
    </row>
    <row r="1086" spans="1:21" ht="13">
      <c r="A1086" s="286"/>
      <c r="B1086" s="245"/>
      <c r="C1086" s="19" t="s">
        <v>44</v>
      </c>
      <c r="D1086" s="17"/>
      <c r="E1086" s="17"/>
      <c r="F1086" s="17">
        <v>69.8</v>
      </c>
      <c r="G1086" s="236"/>
      <c r="H1086" s="236"/>
      <c r="I1086" s="236"/>
      <c r="J1086" s="242"/>
      <c r="L1086" s="286"/>
      <c r="M1086" s="245"/>
      <c r="N1086" s="19" t="s">
        <v>44</v>
      </c>
      <c r="O1086" s="17"/>
      <c r="P1086" s="17"/>
      <c r="Q1086" s="17">
        <v>69.8</v>
      </c>
      <c r="R1086" s="236"/>
      <c r="S1086" s="236"/>
      <c r="T1086" s="236"/>
      <c r="U1086" s="242"/>
    </row>
    <row r="1087" spans="1:21" ht="13">
      <c r="A1087" s="286"/>
      <c r="B1087" s="245"/>
      <c r="C1087" s="22" t="s">
        <v>306</v>
      </c>
      <c r="D1087" s="17"/>
      <c r="F1087" s="17">
        <v>84.48</v>
      </c>
      <c r="G1087" s="236"/>
      <c r="H1087" s="236"/>
      <c r="I1087" s="236"/>
      <c r="J1087" s="242"/>
      <c r="L1087" s="286"/>
      <c r="M1087" s="245"/>
      <c r="N1087" s="22" t="s">
        <v>306</v>
      </c>
      <c r="O1087" s="17"/>
      <c r="Q1087" s="17">
        <v>84.48</v>
      </c>
      <c r="R1087" s="236"/>
      <c r="S1087" s="236"/>
      <c r="T1087" s="236"/>
      <c r="U1087" s="242"/>
    </row>
    <row r="1088" spans="1:21" ht="13">
      <c r="A1088" s="286"/>
      <c r="B1088" s="246"/>
      <c r="C1088" s="20"/>
      <c r="D1088" s="21"/>
      <c r="E1088" s="21"/>
      <c r="F1088" s="21"/>
      <c r="G1088" s="238"/>
      <c r="H1088" s="238"/>
      <c r="I1088" s="238"/>
      <c r="J1088" s="243"/>
      <c r="L1088" s="286"/>
      <c r="M1088" s="246"/>
      <c r="N1088" s="20"/>
      <c r="O1088" s="21"/>
      <c r="P1088" s="21"/>
      <c r="Q1088" s="21"/>
      <c r="R1088" s="238"/>
      <c r="S1088" s="238"/>
      <c r="T1088" s="238"/>
      <c r="U1088" s="243"/>
    </row>
    <row r="1089" spans="1:21" ht="13">
      <c r="A1089" s="286"/>
      <c r="B1089" s="244" t="s">
        <v>524</v>
      </c>
      <c r="C1089" s="15" t="s">
        <v>525</v>
      </c>
      <c r="D1089" s="17">
        <v>18.45</v>
      </c>
      <c r="E1089" s="16">
        <v>13</v>
      </c>
      <c r="F1089" s="17">
        <f t="shared" ref="F1089:F1095" si="209">D1089*E1089</f>
        <v>239.85</v>
      </c>
      <c r="G1089" s="240">
        <f>SUM(F1089:F1097)</f>
        <v>2257.11</v>
      </c>
      <c r="H1089" s="237">
        <v>5353.6</v>
      </c>
      <c r="I1089" s="237">
        <f>H1089-G1089</f>
        <v>3096.4900000000002</v>
      </c>
      <c r="J1089" s="241">
        <f>I1089/H1089</f>
        <v>0.57839397788404068</v>
      </c>
      <c r="L1089" s="286"/>
      <c r="M1089" s="244" t="s">
        <v>524</v>
      </c>
      <c r="N1089" s="15" t="s">
        <v>525</v>
      </c>
      <c r="O1089" s="17">
        <v>18.45</v>
      </c>
      <c r="P1089" s="16">
        <v>13</v>
      </c>
      <c r="Q1089" s="17">
        <f t="shared" ref="Q1089:Q1090" si="210">O1089*P1089</f>
        <v>239.85</v>
      </c>
      <c r="R1089" s="240">
        <f>SUM(Q1089:Q1097)</f>
        <v>1879.1100000000001</v>
      </c>
      <c r="S1089" s="237">
        <v>5353.6</v>
      </c>
      <c r="T1089" s="237">
        <f>S1089-R1089</f>
        <v>3474.4900000000002</v>
      </c>
      <c r="U1089" s="241">
        <f>T1089/S1089</f>
        <v>0.64900067244471005</v>
      </c>
    </row>
    <row r="1090" spans="1:21" ht="13">
      <c r="A1090" s="286"/>
      <c r="B1090" s="245"/>
      <c r="C1090" s="19" t="s">
        <v>106</v>
      </c>
      <c r="D1090" s="24">
        <v>20.62</v>
      </c>
      <c r="E1090" s="17">
        <v>13</v>
      </c>
      <c r="F1090" s="17">
        <f t="shared" si="209"/>
        <v>268.06</v>
      </c>
      <c r="G1090" s="236"/>
      <c r="H1090" s="236"/>
      <c r="I1090" s="236"/>
      <c r="J1090" s="242"/>
      <c r="L1090" s="286"/>
      <c r="M1090" s="245"/>
      <c r="N1090" s="19" t="s">
        <v>106</v>
      </c>
      <c r="O1090" s="24">
        <v>20.62</v>
      </c>
      <c r="P1090" s="17">
        <v>13</v>
      </c>
      <c r="Q1090" s="17">
        <f t="shared" si="210"/>
        <v>268.06</v>
      </c>
      <c r="R1090" s="236"/>
      <c r="S1090" s="236"/>
      <c r="T1090" s="236"/>
      <c r="U1090" s="242"/>
    </row>
    <row r="1091" spans="1:21" ht="13">
      <c r="A1091" s="286"/>
      <c r="B1091" s="245"/>
      <c r="C1091" s="19" t="s">
        <v>436</v>
      </c>
      <c r="D1091" s="24">
        <v>21</v>
      </c>
      <c r="E1091" s="17">
        <v>18</v>
      </c>
      <c r="F1091" s="17">
        <f t="shared" si="209"/>
        <v>378</v>
      </c>
      <c r="G1091" s="236"/>
      <c r="H1091" s="236"/>
      <c r="I1091" s="236"/>
      <c r="J1091" s="242"/>
      <c r="L1091" s="286"/>
      <c r="M1091" s="245"/>
      <c r="N1091" s="19" t="s">
        <v>436</v>
      </c>
      <c r="O1091" s="18"/>
      <c r="P1091" s="18"/>
      <c r="Q1091" s="18"/>
      <c r="R1091" s="236"/>
      <c r="S1091" s="236"/>
      <c r="T1091" s="236"/>
      <c r="U1091" s="242"/>
    </row>
    <row r="1092" spans="1:21" ht="13">
      <c r="A1092" s="286"/>
      <c r="B1092" s="245"/>
      <c r="C1092" s="19" t="s">
        <v>526</v>
      </c>
      <c r="D1092" s="17">
        <v>17.28</v>
      </c>
      <c r="E1092" s="17">
        <v>13</v>
      </c>
      <c r="F1092" s="17">
        <f t="shared" si="209"/>
        <v>224.64000000000001</v>
      </c>
      <c r="G1092" s="236"/>
      <c r="H1092" s="236"/>
      <c r="I1092" s="236"/>
      <c r="J1092" s="242"/>
      <c r="L1092" s="286"/>
      <c r="M1092" s="245"/>
      <c r="N1092" s="19" t="s">
        <v>526</v>
      </c>
      <c r="O1092" s="17">
        <v>17.28</v>
      </c>
      <c r="P1092" s="17">
        <v>13</v>
      </c>
      <c r="Q1092" s="17">
        <f t="shared" ref="Q1092:Q1095" si="211">O1092*P1092</f>
        <v>224.64000000000001</v>
      </c>
      <c r="R1092" s="236"/>
      <c r="S1092" s="236"/>
      <c r="T1092" s="236"/>
      <c r="U1092" s="242"/>
    </row>
    <row r="1093" spans="1:21" ht="13">
      <c r="A1093" s="286"/>
      <c r="B1093" s="245"/>
      <c r="C1093" s="19" t="s">
        <v>25</v>
      </c>
      <c r="D1093" s="17">
        <v>12.88</v>
      </c>
      <c r="E1093" s="17">
        <v>13</v>
      </c>
      <c r="F1093" s="17">
        <f t="shared" si="209"/>
        <v>167.44</v>
      </c>
      <c r="G1093" s="236"/>
      <c r="H1093" s="236"/>
      <c r="I1093" s="236"/>
      <c r="J1093" s="242"/>
      <c r="L1093" s="286"/>
      <c r="M1093" s="245"/>
      <c r="N1093" s="19" t="s">
        <v>25</v>
      </c>
      <c r="O1093" s="17">
        <v>12.88</v>
      </c>
      <c r="P1093" s="17">
        <v>13</v>
      </c>
      <c r="Q1093" s="17">
        <f t="shared" si="211"/>
        <v>167.44</v>
      </c>
      <c r="R1093" s="236"/>
      <c r="S1093" s="236"/>
      <c r="T1093" s="236"/>
      <c r="U1093" s="242"/>
    </row>
    <row r="1094" spans="1:21" ht="13">
      <c r="A1094" s="286"/>
      <c r="B1094" s="245"/>
      <c r="C1094" s="19" t="s">
        <v>527</v>
      </c>
      <c r="D1094" s="17">
        <v>15.75</v>
      </c>
      <c r="E1094" s="17">
        <v>13</v>
      </c>
      <c r="F1094" s="17">
        <f t="shared" si="209"/>
        <v>204.75</v>
      </c>
      <c r="G1094" s="236"/>
      <c r="H1094" s="236"/>
      <c r="I1094" s="236"/>
      <c r="J1094" s="242"/>
      <c r="L1094" s="286"/>
      <c r="M1094" s="245"/>
      <c r="N1094" s="19" t="s">
        <v>527</v>
      </c>
      <c r="O1094" s="17">
        <v>15.75</v>
      </c>
      <c r="P1094" s="17">
        <v>13</v>
      </c>
      <c r="Q1094" s="17">
        <f t="shared" si="211"/>
        <v>204.75</v>
      </c>
      <c r="R1094" s="236"/>
      <c r="S1094" s="236"/>
      <c r="T1094" s="236"/>
      <c r="U1094" s="242"/>
    </row>
    <row r="1095" spans="1:21" ht="13">
      <c r="A1095" s="286"/>
      <c r="B1095" s="245"/>
      <c r="C1095" s="19" t="s">
        <v>528</v>
      </c>
      <c r="D1095" s="17">
        <v>2.3199999999999998</v>
      </c>
      <c r="E1095" s="17">
        <v>13</v>
      </c>
      <c r="F1095" s="17">
        <f t="shared" si="209"/>
        <v>30.159999999999997</v>
      </c>
      <c r="G1095" s="236"/>
      <c r="H1095" s="236"/>
      <c r="I1095" s="236"/>
      <c r="J1095" s="242"/>
      <c r="L1095" s="286"/>
      <c r="M1095" s="245"/>
      <c r="N1095" s="19" t="s">
        <v>528</v>
      </c>
      <c r="O1095" s="17">
        <v>2.3199999999999998</v>
      </c>
      <c r="P1095" s="17">
        <v>13</v>
      </c>
      <c r="Q1095" s="17">
        <f t="shared" si="211"/>
        <v>30.159999999999997</v>
      </c>
      <c r="R1095" s="236"/>
      <c r="S1095" s="236"/>
      <c r="T1095" s="236"/>
      <c r="U1095" s="242"/>
    </row>
    <row r="1096" spans="1:21" ht="13">
      <c r="A1096" s="286"/>
      <c r="B1096" s="245"/>
      <c r="C1096" s="22" t="s">
        <v>33</v>
      </c>
      <c r="D1096" s="17"/>
      <c r="F1096" s="17">
        <v>744.21</v>
      </c>
      <c r="G1096" s="236"/>
      <c r="H1096" s="236"/>
      <c r="I1096" s="236"/>
      <c r="J1096" s="242"/>
      <c r="L1096" s="286"/>
      <c r="M1096" s="245"/>
      <c r="N1096" s="22" t="s">
        <v>33</v>
      </c>
      <c r="O1096" s="17"/>
      <c r="Q1096" s="17">
        <v>744.21</v>
      </c>
      <c r="R1096" s="236"/>
      <c r="S1096" s="236"/>
      <c r="T1096" s="236"/>
      <c r="U1096" s="242"/>
    </row>
    <row r="1097" spans="1:21" ht="13">
      <c r="A1097" s="286"/>
      <c r="B1097" s="246"/>
      <c r="C1097" s="20"/>
      <c r="D1097" s="21"/>
      <c r="E1097" s="21"/>
      <c r="F1097" s="21"/>
      <c r="G1097" s="238"/>
      <c r="H1097" s="238"/>
      <c r="I1097" s="238"/>
      <c r="J1097" s="243"/>
      <c r="L1097" s="286"/>
      <c r="M1097" s="246"/>
      <c r="N1097" s="20"/>
      <c r="O1097" s="21"/>
      <c r="P1097" s="21"/>
      <c r="Q1097" s="21"/>
      <c r="R1097" s="238"/>
      <c r="S1097" s="238"/>
      <c r="T1097" s="238"/>
      <c r="U1097" s="243"/>
    </row>
    <row r="1098" spans="1:21" ht="13">
      <c r="A1098" s="286"/>
      <c r="B1098" s="244" t="s">
        <v>529</v>
      </c>
      <c r="C1098" s="15" t="s">
        <v>31</v>
      </c>
      <c r="D1098" s="16">
        <v>21</v>
      </c>
      <c r="E1098" s="16">
        <v>13</v>
      </c>
      <c r="F1098" s="16">
        <f t="shared" ref="F1098:F1100" si="212">D1098*E1098</f>
        <v>273</v>
      </c>
      <c r="G1098" s="240">
        <f>SUM(F1098:F1101)</f>
        <v>914.45</v>
      </c>
      <c r="H1098" s="237">
        <v>2055</v>
      </c>
      <c r="I1098" s="237">
        <f>H1098-G1098</f>
        <v>1140.55</v>
      </c>
      <c r="J1098" s="241">
        <f>I1098/H1098</f>
        <v>0.55501216545012166</v>
      </c>
      <c r="L1098" s="286"/>
      <c r="M1098" s="244" t="s">
        <v>529</v>
      </c>
      <c r="N1098" s="15" t="s">
        <v>31</v>
      </c>
      <c r="O1098" s="16">
        <v>21</v>
      </c>
      <c r="P1098" s="16">
        <v>13</v>
      </c>
      <c r="Q1098" s="16">
        <f t="shared" ref="Q1098:Q1100" si="213">O1098*P1098</f>
        <v>273</v>
      </c>
      <c r="R1098" s="240">
        <f>SUM(Q1098:Q1101)</f>
        <v>914.45</v>
      </c>
      <c r="S1098" s="237">
        <v>2055</v>
      </c>
      <c r="T1098" s="237">
        <f>S1098-R1098</f>
        <v>1140.55</v>
      </c>
      <c r="U1098" s="241">
        <f>T1098/S1098</f>
        <v>0.55501216545012166</v>
      </c>
    </row>
    <row r="1099" spans="1:21" ht="13">
      <c r="A1099" s="286"/>
      <c r="B1099" s="245"/>
      <c r="C1099" s="19" t="s">
        <v>32</v>
      </c>
      <c r="D1099" s="17">
        <v>20.5</v>
      </c>
      <c r="E1099" s="17">
        <v>13</v>
      </c>
      <c r="F1099" s="17">
        <f t="shared" si="212"/>
        <v>266.5</v>
      </c>
      <c r="G1099" s="236"/>
      <c r="H1099" s="236"/>
      <c r="I1099" s="236"/>
      <c r="J1099" s="242"/>
      <c r="L1099" s="286"/>
      <c r="M1099" s="245"/>
      <c r="N1099" s="19" t="s">
        <v>32</v>
      </c>
      <c r="O1099" s="17">
        <v>20.5</v>
      </c>
      <c r="P1099" s="17">
        <v>13</v>
      </c>
      <c r="Q1099" s="17">
        <f t="shared" si="213"/>
        <v>266.5</v>
      </c>
      <c r="R1099" s="236"/>
      <c r="S1099" s="236"/>
      <c r="T1099" s="236"/>
      <c r="U1099" s="242"/>
    </row>
    <row r="1100" spans="1:21" ht="13">
      <c r="A1100" s="286"/>
      <c r="B1100" s="245"/>
      <c r="C1100" s="19" t="s">
        <v>50</v>
      </c>
      <c r="D1100" s="17">
        <v>16.149999999999999</v>
      </c>
      <c r="E1100" s="17">
        <v>13</v>
      </c>
      <c r="F1100" s="17">
        <f t="shared" si="212"/>
        <v>209.95</v>
      </c>
      <c r="G1100" s="236"/>
      <c r="H1100" s="236"/>
      <c r="I1100" s="236"/>
      <c r="J1100" s="242"/>
      <c r="L1100" s="286"/>
      <c r="M1100" s="245"/>
      <c r="N1100" s="19" t="s">
        <v>50</v>
      </c>
      <c r="O1100" s="17">
        <v>16.149999999999999</v>
      </c>
      <c r="P1100" s="17">
        <v>13</v>
      </c>
      <c r="Q1100" s="17">
        <f t="shared" si="213"/>
        <v>209.95</v>
      </c>
      <c r="R1100" s="236"/>
      <c r="S1100" s="236"/>
      <c r="T1100" s="236"/>
      <c r="U1100" s="242"/>
    </row>
    <row r="1101" spans="1:21" ht="13">
      <c r="A1101" s="286"/>
      <c r="B1101" s="246"/>
      <c r="C1101" s="20" t="s">
        <v>33</v>
      </c>
      <c r="D1101" s="21"/>
      <c r="E1101" s="21"/>
      <c r="F1101" s="21">
        <v>165</v>
      </c>
      <c r="G1101" s="238"/>
      <c r="H1101" s="238"/>
      <c r="I1101" s="238"/>
      <c r="J1101" s="243"/>
      <c r="L1101" s="286"/>
      <c r="M1101" s="246"/>
      <c r="N1101" s="20" t="s">
        <v>33</v>
      </c>
      <c r="O1101" s="21"/>
      <c r="P1101" s="21"/>
      <c r="Q1101" s="21">
        <v>165</v>
      </c>
      <c r="R1101" s="238"/>
      <c r="S1101" s="238"/>
      <c r="T1101" s="238"/>
      <c r="U1101" s="243"/>
    </row>
    <row r="1102" spans="1:21" ht="13">
      <c r="A1102" s="286"/>
      <c r="B1102" s="244" t="s">
        <v>530</v>
      </c>
      <c r="C1102" s="15" t="s">
        <v>525</v>
      </c>
      <c r="D1102" s="16">
        <v>18.25</v>
      </c>
      <c r="E1102" s="16">
        <v>13</v>
      </c>
      <c r="F1102" s="16">
        <f>D1102*E1102</f>
        <v>237.25</v>
      </c>
      <c r="G1102" s="240">
        <f>SUM(F1102:F1103)</f>
        <v>237.25</v>
      </c>
      <c r="H1102" s="237">
        <v>1792</v>
      </c>
      <c r="I1102" s="237">
        <f>H1102-G1102</f>
        <v>1554.75</v>
      </c>
      <c r="J1102" s="241">
        <f>I1102/H1102</f>
        <v>0.8676060267857143</v>
      </c>
      <c r="L1102" s="286"/>
      <c r="M1102" s="244" t="s">
        <v>530</v>
      </c>
      <c r="N1102" s="15" t="s">
        <v>525</v>
      </c>
      <c r="O1102" s="16">
        <v>18.25</v>
      </c>
      <c r="P1102" s="16">
        <v>13</v>
      </c>
      <c r="Q1102" s="16">
        <f>O1102*P1102</f>
        <v>237.25</v>
      </c>
      <c r="R1102" s="240">
        <f>SUM(Q1102:Q1103)</f>
        <v>237.25</v>
      </c>
      <c r="S1102" s="237">
        <v>1792</v>
      </c>
      <c r="T1102" s="237">
        <f>S1102-R1102</f>
        <v>1554.75</v>
      </c>
      <c r="U1102" s="241">
        <f>T1102/S1102</f>
        <v>0.8676060267857143</v>
      </c>
    </row>
    <row r="1103" spans="1:21" ht="13">
      <c r="A1103" s="286"/>
      <c r="B1103" s="246"/>
      <c r="C1103" s="20"/>
      <c r="D1103" s="21"/>
      <c r="E1103" s="21"/>
      <c r="F1103" s="21"/>
      <c r="G1103" s="238"/>
      <c r="H1103" s="238"/>
      <c r="I1103" s="238"/>
      <c r="J1103" s="243"/>
      <c r="L1103" s="286"/>
      <c r="M1103" s="246"/>
      <c r="N1103" s="20"/>
      <c r="O1103" s="21"/>
      <c r="P1103" s="21"/>
      <c r="Q1103" s="21"/>
      <c r="R1103" s="238"/>
      <c r="S1103" s="238"/>
      <c r="T1103" s="238"/>
      <c r="U1103" s="243"/>
    </row>
    <row r="1104" spans="1:21" ht="13">
      <c r="A1104" s="286"/>
      <c r="B1104" s="244" t="s">
        <v>531</v>
      </c>
      <c r="C1104" s="15" t="s">
        <v>25</v>
      </c>
      <c r="D1104" s="16">
        <v>12.5</v>
      </c>
      <c r="E1104" s="16">
        <v>13</v>
      </c>
      <c r="F1104" s="16">
        <f>D1104*E1104</f>
        <v>162.5</v>
      </c>
      <c r="G1104" s="240">
        <f>SUM(F1104:F1105)</f>
        <v>162.5</v>
      </c>
      <c r="H1104" s="237">
        <v>1232</v>
      </c>
      <c r="I1104" s="237">
        <f>H1104-G1104</f>
        <v>1069.5</v>
      </c>
      <c r="J1104" s="241">
        <f>I1104/H1104</f>
        <v>0.86810064935064934</v>
      </c>
      <c r="L1104" s="286"/>
      <c r="M1104" s="244" t="s">
        <v>531</v>
      </c>
      <c r="N1104" s="15" t="s">
        <v>25</v>
      </c>
      <c r="O1104" s="16">
        <v>12.5</v>
      </c>
      <c r="P1104" s="16">
        <v>13</v>
      </c>
      <c r="Q1104" s="16">
        <f>O1104*P1104</f>
        <v>162.5</v>
      </c>
      <c r="R1104" s="240">
        <f>SUM(Q1104:Q1105)</f>
        <v>162.5</v>
      </c>
      <c r="S1104" s="237">
        <v>1232</v>
      </c>
      <c r="T1104" s="237">
        <f>S1104-R1104</f>
        <v>1069.5</v>
      </c>
      <c r="U1104" s="241">
        <f>T1104/S1104</f>
        <v>0.86810064935064934</v>
      </c>
    </row>
    <row r="1105" spans="1:21" ht="13">
      <c r="A1105" s="286"/>
      <c r="B1105" s="246"/>
      <c r="C1105" s="20"/>
      <c r="D1105" s="21"/>
      <c r="E1105" s="21"/>
      <c r="F1105" s="21"/>
      <c r="G1105" s="238"/>
      <c r="H1105" s="238"/>
      <c r="I1105" s="238"/>
      <c r="J1105" s="243"/>
      <c r="L1105" s="286"/>
      <c r="M1105" s="246"/>
      <c r="N1105" s="20"/>
      <c r="O1105" s="21"/>
      <c r="P1105" s="21"/>
      <c r="Q1105" s="21"/>
      <c r="R1105" s="238"/>
      <c r="S1105" s="238"/>
      <c r="T1105" s="238"/>
      <c r="U1105" s="243"/>
    </row>
    <row r="1106" spans="1:21" ht="13">
      <c r="A1106" s="286"/>
      <c r="B1106" s="244" t="s">
        <v>532</v>
      </c>
      <c r="C1106" s="15" t="s">
        <v>528</v>
      </c>
      <c r="D1106" s="16">
        <v>18.05</v>
      </c>
      <c r="E1106" s="16">
        <v>13</v>
      </c>
      <c r="F1106" s="16">
        <f>D1106*E1106</f>
        <v>234.65</v>
      </c>
      <c r="G1106" s="240">
        <f>SUM(F1106:F1107)</f>
        <v>234.65</v>
      </c>
      <c r="H1106" s="237">
        <v>1105</v>
      </c>
      <c r="I1106" s="237">
        <f>H1106-G1106</f>
        <v>870.35</v>
      </c>
      <c r="J1106" s="241">
        <f>I1106/H1106</f>
        <v>0.78764705882352948</v>
      </c>
      <c r="L1106" s="286"/>
      <c r="M1106" s="244" t="s">
        <v>532</v>
      </c>
      <c r="N1106" s="15" t="s">
        <v>528</v>
      </c>
      <c r="O1106" s="16">
        <v>18.05</v>
      </c>
      <c r="P1106" s="16">
        <v>13</v>
      </c>
      <c r="Q1106" s="16">
        <f>O1106*P1106</f>
        <v>234.65</v>
      </c>
      <c r="R1106" s="240">
        <f>SUM(Q1106:Q1107)</f>
        <v>234.65</v>
      </c>
      <c r="S1106" s="237">
        <v>1105</v>
      </c>
      <c r="T1106" s="237">
        <f>S1106-R1106</f>
        <v>870.35</v>
      </c>
      <c r="U1106" s="241">
        <f>T1106/S1106</f>
        <v>0.78764705882352948</v>
      </c>
    </row>
    <row r="1107" spans="1:21" ht="13">
      <c r="A1107" s="286"/>
      <c r="B1107" s="246"/>
      <c r="C1107" s="20"/>
      <c r="D1107" s="21"/>
      <c r="E1107" s="21"/>
      <c r="F1107" s="21"/>
      <c r="G1107" s="238"/>
      <c r="H1107" s="238"/>
      <c r="I1107" s="238"/>
      <c r="J1107" s="243"/>
      <c r="L1107" s="286"/>
      <c r="M1107" s="246"/>
      <c r="N1107" s="20"/>
      <c r="O1107" s="21"/>
      <c r="P1107" s="21"/>
      <c r="Q1107" s="21"/>
      <c r="R1107" s="238"/>
      <c r="S1107" s="238"/>
      <c r="T1107" s="238"/>
      <c r="U1107" s="243"/>
    </row>
    <row r="1108" spans="1:21" ht="13">
      <c r="A1108" s="286"/>
      <c r="B1108" s="244" t="s">
        <v>533</v>
      </c>
      <c r="C1108" s="15" t="s">
        <v>23</v>
      </c>
      <c r="D1108" s="16">
        <v>14</v>
      </c>
      <c r="E1108" s="16">
        <v>16</v>
      </c>
      <c r="F1108" s="16">
        <f>D1108*E1108</f>
        <v>224</v>
      </c>
      <c r="G1108" s="240">
        <f>SUM(F1108:F1112)</f>
        <v>446.75</v>
      </c>
      <c r="H1108" s="237">
        <v>3015.05</v>
      </c>
      <c r="I1108" s="237">
        <f>H1108-G1108</f>
        <v>2568.3000000000002</v>
      </c>
      <c r="J1108" s="241">
        <f>I1108/H1108</f>
        <v>0.85182666954113528</v>
      </c>
      <c r="L1108" s="286"/>
      <c r="M1108" s="244" t="s">
        <v>533</v>
      </c>
      <c r="N1108" s="15" t="s">
        <v>23</v>
      </c>
      <c r="O1108" s="18"/>
      <c r="P1108" s="18"/>
      <c r="Q1108" s="18"/>
      <c r="R1108" s="240">
        <f>SUM(Q1108:Q1112)</f>
        <v>222.75</v>
      </c>
      <c r="S1108" s="237">
        <v>3015.05</v>
      </c>
      <c r="T1108" s="237">
        <f>S1108-R1108</f>
        <v>2792.3</v>
      </c>
      <c r="U1108" s="241">
        <f>T1108/S1108</f>
        <v>0.92612062818195384</v>
      </c>
    </row>
    <row r="1109" spans="1:21" ht="13">
      <c r="A1109" s="286"/>
      <c r="B1109" s="245"/>
      <c r="C1109" s="19" t="s">
        <v>47</v>
      </c>
      <c r="D1109" s="17"/>
      <c r="E1109" s="17"/>
      <c r="F1109" s="17">
        <v>64.63</v>
      </c>
      <c r="G1109" s="236"/>
      <c r="H1109" s="236"/>
      <c r="I1109" s="236"/>
      <c r="J1109" s="242"/>
      <c r="L1109" s="286"/>
      <c r="M1109" s="245"/>
      <c r="N1109" s="19" t="s">
        <v>47</v>
      </c>
      <c r="O1109" s="17"/>
      <c r="P1109" s="17"/>
      <c r="Q1109" s="17">
        <v>64.63</v>
      </c>
      <c r="R1109" s="236"/>
      <c r="S1109" s="236"/>
      <c r="T1109" s="236"/>
      <c r="U1109" s="242"/>
    </row>
    <row r="1110" spans="1:21" ht="13">
      <c r="A1110" s="286"/>
      <c r="B1110" s="245"/>
      <c r="C1110" s="19" t="s">
        <v>45</v>
      </c>
      <c r="D1110" s="17"/>
      <c r="E1110" s="17"/>
      <c r="F1110" s="17">
        <v>90.5</v>
      </c>
      <c r="G1110" s="236"/>
      <c r="H1110" s="236"/>
      <c r="I1110" s="236"/>
      <c r="J1110" s="242"/>
      <c r="L1110" s="286"/>
      <c r="M1110" s="245"/>
      <c r="N1110" s="19" t="s">
        <v>45</v>
      </c>
      <c r="O1110" s="17"/>
      <c r="P1110" s="17"/>
      <c r="Q1110" s="17">
        <v>90.5</v>
      </c>
      <c r="R1110" s="236"/>
      <c r="S1110" s="236"/>
      <c r="T1110" s="236"/>
      <c r="U1110" s="242"/>
    </row>
    <row r="1111" spans="1:21" ht="13">
      <c r="A1111" s="286"/>
      <c r="B1111" s="245"/>
      <c r="C1111" s="19" t="s">
        <v>48</v>
      </c>
      <c r="D1111" s="17"/>
      <c r="E1111" s="17"/>
      <c r="F1111" s="17">
        <v>33.380000000000003</v>
      </c>
      <c r="G1111" s="236"/>
      <c r="H1111" s="236"/>
      <c r="I1111" s="236"/>
      <c r="J1111" s="242"/>
      <c r="L1111" s="286"/>
      <c r="M1111" s="245"/>
      <c r="N1111" s="19" t="s">
        <v>48</v>
      </c>
      <c r="O1111" s="17"/>
      <c r="P1111" s="17"/>
      <c r="Q1111" s="17">
        <v>33.380000000000003</v>
      </c>
      <c r="R1111" s="236"/>
      <c r="S1111" s="236"/>
      <c r="T1111" s="236"/>
      <c r="U1111" s="242"/>
    </row>
    <row r="1112" spans="1:21" ht="13">
      <c r="A1112" s="286"/>
      <c r="B1112" s="246"/>
      <c r="C1112" s="20" t="s">
        <v>33</v>
      </c>
      <c r="D1112" s="21"/>
      <c r="E1112" s="21"/>
      <c r="F1112" s="21">
        <v>34.24</v>
      </c>
      <c r="G1112" s="238"/>
      <c r="H1112" s="238"/>
      <c r="I1112" s="238"/>
      <c r="J1112" s="243"/>
      <c r="L1112" s="286"/>
      <c r="M1112" s="246"/>
      <c r="N1112" s="20" t="s">
        <v>33</v>
      </c>
      <c r="O1112" s="21"/>
      <c r="P1112" s="21"/>
      <c r="Q1112" s="21">
        <v>34.24</v>
      </c>
      <c r="R1112" s="238"/>
      <c r="S1112" s="238"/>
      <c r="T1112" s="238"/>
      <c r="U1112" s="243"/>
    </row>
    <row r="1113" spans="1:21" ht="13">
      <c r="A1113" s="286"/>
      <c r="B1113" s="244" t="s">
        <v>534</v>
      </c>
      <c r="C1113" s="15" t="s">
        <v>51</v>
      </c>
      <c r="D1113" s="16"/>
      <c r="E1113" s="16"/>
      <c r="F1113" s="16">
        <v>450</v>
      </c>
      <c r="G1113" s="240">
        <f>SUM(F1113:F1119)</f>
        <v>1023.8400000000001</v>
      </c>
      <c r="H1113" s="237">
        <v>4281</v>
      </c>
      <c r="I1113" s="237">
        <f>H1113-G1113</f>
        <v>3257.16</v>
      </c>
      <c r="J1113" s="241">
        <f>I1113/H1113</f>
        <v>0.76084092501751921</v>
      </c>
      <c r="L1113" s="286"/>
      <c r="M1113" s="244" t="s">
        <v>534</v>
      </c>
      <c r="N1113" s="15" t="s">
        <v>51</v>
      </c>
      <c r="O1113" s="16"/>
      <c r="P1113" s="16"/>
      <c r="Q1113" s="16">
        <v>450</v>
      </c>
      <c r="R1113" s="240">
        <f>SUM(Q1113:Q1119)</f>
        <v>1023.8400000000001</v>
      </c>
      <c r="S1113" s="237">
        <v>4281</v>
      </c>
      <c r="T1113" s="237">
        <f>S1113-R1113</f>
        <v>3257.16</v>
      </c>
      <c r="U1113" s="241">
        <f>T1113/S1113</f>
        <v>0.76084092501751921</v>
      </c>
    </row>
    <row r="1114" spans="1:21" ht="13">
      <c r="A1114" s="286"/>
      <c r="B1114" s="245"/>
      <c r="C1114" s="19" t="s">
        <v>47</v>
      </c>
      <c r="D1114" s="17"/>
      <c r="E1114" s="17"/>
      <c r="F1114" s="17">
        <v>116.48</v>
      </c>
      <c r="G1114" s="236"/>
      <c r="H1114" s="236"/>
      <c r="I1114" s="236"/>
      <c r="J1114" s="242"/>
      <c r="L1114" s="286"/>
      <c r="M1114" s="245"/>
      <c r="N1114" s="19" t="s">
        <v>47</v>
      </c>
      <c r="O1114" s="17"/>
      <c r="P1114" s="17"/>
      <c r="Q1114" s="17">
        <v>116.48</v>
      </c>
      <c r="R1114" s="236"/>
      <c r="S1114" s="236"/>
      <c r="T1114" s="236"/>
      <c r="U1114" s="242"/>
    </row>
    <row r="1115" spans="1:21" ht="13">
      <c r="A1115" s="286"/>
      <c r="B1115" s="245"/>
      <c r="C1115" s="19" t="s">
        <v>45</v>
      </c>
      <c r="D1115" s="17"/>
      <c r="E1115" s="17"/>
      <c r="F1115" s="17">
        <v>116.87</v>
      </c>
      <c r="G1115" s="236"/>
      <c r="H1115" s="236"/>
      <c r="I1115" s="236"/>
      <c r="J1115" s="242"/>
      <c r="L1115" s="286"/>
      <c r="M1115" s="245"/>
      <c r="N1115" s="19" t="s">
        <v>45</v>
      </c>
      <c r="O1115" s="17"/>
      <c r="P1115" s="17"/>
      <c r="Q1115" s="17">
        <v>116.87</v>
      </c>
      <c r="R1115" s="236"/>
      <c r="S1115" s="236"/>
      <c r="T1115" s="236"/>
      <c r="U1115" s="242"/>
    </row>
    <row r="1116" spans="1:21" ht="13">
      <c r="A1116" s="286"/>
      <c r="B1116" s="245"/>
      <c r="C1116" s="19" t="s">
        <v>48</v>
      </c>
      <c r="D1116" s="17"/>
      <c r="E1116" s="17"/>
      <c r="F1116" s="17">
        <v>136.6</v>
      </c>
      <c r="G1116" s="236"/>
      <c r="H1116" s="236"/>
      <c r="I1116" s="236"/>
      <c r="J1116" s="242"/>
      <c r="L1116" s="286"/>
      <c r="M1116" s="245"/>
      <c r="N1116" s="19" t="s">
        <v>48</v>
      </c>
      <c r="O1116" s="17"/>
      <c r="P1116" s="17"/>
      <c r="Q1116" s="17">
        <v>136.6</v>
      </c>
      <c r="R1116" s="236"/>
      <c r="S1116" s="236"/>
      <c r="T1116" s="236"/>
      <c r="U1116" s="242"/>
    </row>
    <row r="1117" spans="1:21" ht="13">
      <c r="A1117" s="286"/>
      <c r="B1117" s="245"/>
      <c r="C1117" s="19" t="s">
        <v>33</v>
      </c>
      <c r="D1117" s="17"/>
      <c r="E1117" s="17"/>
      <c r="F1117" s="17">
        <v>92.71</v>
      </c>
      <c r="G1117" s="236"/>
      <c r="H1117" s="236"/>
      <c r="I1117" s="236"/>
      <c r="J1117" s="242"/>
      <c r="L1117" s="286"/>
      <c r="M1117" s="245"/>
      <c r="N1117" s="19" t="s">
        <v>33</v>
      </c>
      <c r="O1117" s="17"/>
      <c r="P1117" s="17"/>
      <c r="Q1117" s="17">
        <v>92.71</v>
      </c>
      <c r="R1117" s="236"/>
      <c r="S1117" s="236"/>
      <c r="T1117" s="236"/>
      <c r="U1117" s="242"/>
    </row>
    <row r="1118" spans="1:21" ht="13">
      <c r="A1118" s="286"/>
      <c r="B1118" s="245"/>
      <c r="C1118" s="19" t="s">
        <v>44</v>
      </c>
      <c r="D1118" s="17"/>
      <c r="E1118" s="17"/>
      <c r="F1118" s="17">
        <v>111.18</v>
      </c>
      <c r="G1118" s="236"/>
      <c r="H1118" s="236"/>
      <c r="I1118" s="236"/>
      <c r="J1118" s="242"/>
      <c r="L1118" s="286"/>
      <c r="M1118" s="245"/>
      <c r="N1118" s="19" t="s">
        <v>44</v>
      </c>
      <c r="O1118" s="17"/>
      <c r="P1118" s="17"/>
      <c r="Q1118" s="17">
        <v>111.18</v>
      </c>
      <c r="R1118" s="236"/>
      <c r="S1118" s="236"/>
      <c r="T1118" s="236"/>
      <c r="U1118" s="242"/>
    </row>
    <row r="1119" spans="1:21" ht="13">
      <c r="A1119" s="286"/>
      <c r="B1119" s="246"/>
      <c r="C1119" s="20"/>
      <c r="D1119" s="21"/>
      <c r="E1119" s="21"/>
      <c r="F1119" s="21"/>
      <c r="G1119" s="238"/>
      <c r="H1119" s="238"/>
      <c r="I1119" s="238"/>
      <c r="J1119" s="243"/>
      <c r="L1119" s="286"/>
      <c r="M1119" s="246"/>
      <c r="N1119" s="20"/>
      <c r="O1119" s="21"/>
      <c r="P1119" s="21"/>
      <c r="Q1119" s="21"/>
      <c r="R1119" s="238"/>
      <c r="S1119" s="238"/>
      <c r="T1119" s="238"/>
      <c r="U1119" s="243"/>
    </row>
    <row r="1120" spans="1:21" ht="13">
      <c r="A1120" s="286"/>
      <c r="B1120" s="244" t="s">
        <v>535</v>
      </c>
      <c r="C1120" s="15" t="s">
        <v>525</v>
      </c>
      <c r="D1120" s="16">
        <v>13</v>
      </c>
      <c r="E1120" s="16">
        <v>13</v>
      </c>
      <c r="F1120" s="16">
        <f t="shared" ref="F1120:F1127" si="214">D1120*E1120</f>
        <v>169</v>
      </c>
      <c r="G1120" s="240">
        <f>SUM(F1120:F1127)</f>
        <v>789.1</v>
      </c>
      <c r="H1120" s="237">
        <v>2900</v>
      </c>
      <c r="I1120" s="237">
        <f>H1120-G1120</f>
        <v>2110.9</v>
      </c>
      <c r="J1120" s="241">
        <f>I1120/H1120</f>
        <v>0.72789655172413792</v>
      </c>
      <c r="L1120" s="286"/>
      <c r="M1120" s="244" t="s">
        <v>535</v>
      </c>
      <c r="N1120" s="15" t="s">
        <v>525</v>
      </c>
      <c r="O1120" s="16">
        <v>13</v>
      </c>
      <c r="P1120" s="16">
        <v>13</v>
      </c>
      <c r="Q1120" s="16">
        <f t="shared" ref="Q1120:Q1121" si="215">O1120*P1120</f>
        <v>169</v>
      </c>
      <c r="R1120" s="240">
        <f>SUM(Q1120:Q1127)</f>
        <v>769.6</v>
      </c>
      <c r="S1120" s="237">
        <v>2900</v>
      </c>
      <c r="T1120" s="237">
        <f>S1120-R1120</f>
        <v>2130.4</v>
      </c>
      <c r="U1120" s="241">
        <f>T1120/S1120</f>
        <v>0.73462068965517247</v>
      </c>
    </row>
    <row r="1121" spans="1:21" ht="13">
      <c r="A1121" s="286"/>
      <c r="B1121" s="245"/>
      <c r="C1121" s="19" t="s">
        <v>25</v>
      </c>
      <c r="D1121" s="17">
        <v>8.5</v>
      </c>
      <c r="E1121" s="17">
        <v>13</v>
      </c>
      <c r="F1121" s="17">
        <f t="shared" si="214"/>
        <v>110.5</v>
      </c>
      <c r="G1121" s="236"/>
      <c r="H1121" s="236"/>
      <c r="I1121" s="236"/>
      <c r="J1121" s="242"/>
      <c r="L1121" s="286"/>
      <c r="M1121" s="245"/>
      <c r="N1121" s="19" t="s">
        <v>25</v>
      </c>
      <c r="O1121" s="17">
        <v>8.5</v>
      </c>
      <c r="P1121" s="17">
        <v>13</v>
      </c>
      <c r="Q1121" s="17">
        <f t="shared" si="215"/>
        <v>110.5</v>
      </c>
      <c r="R1121" s="236"/>
      <c r="S1121" s="236"/>
      <c r="T1121" s="236"/>
      <c r="U1121" s="242"/>
    </row>
    <row r="1122" spans="1:21" ht="13">
      <c r="A1122" s="286"/>
      <c r="B1122" s="245"/>
      <c r="C1122" s="19" t="s">
        <v>536</v>
      </c>
      <c r="D1122" s="17">
        <v>1.5</v>
      </c>
      <c r="E1122" s="17">
        <v>13</v>
      </c>
      <c r="F1122" s="17">
        <f t="shared" si="214"/>
        <v>19.5</v>
      </c>
      <c r="G1122" s="236"/>
      <c r="H1122" s="236"/>
      <c r="I1122" s="236"/>
      <c r="J1122" s="242"/>
      <c r="L1122" s="286"/>
      <c r="M1122" s="245"/>
      <c r="N1122" s="19" t="s">
        <v>536</v>
      </c>
      <c r="O1122" s="18"/>
      <c r="P1122" s="18"/>
      <c r="Q1122" s="18"/>
      <c r="R1122" s="236"/>
      <c r="S1122" s="236"/>
      <c r="T1122" s="236"/>
      <c r="U1122" s="242"/>
    </row>
    <row r="1123" spans="1:21" ht="13">
      <c r="A1123" s="286"/>
      <c r="B1123" s="245"/>
      <c r="C1123" s="19" t="s">
        <v>537</v>
      </c>
      <c r="D1123" s="17">
        <v>4</v>
      </c>
      <c r="E1123" s="17">
        <v>13</v>
      </c>
      <c r="F1123" s="17">
        <f t="shared" si="214"/>
        <v>52</v>
      </c>
      <c r="G1123" s="236"/>
      <c r="H1123" s="236"/>
      <c r="I1123" s="236"/>
      <c r="J1123" s="242"/>
      <c r="L1123" s="286"/>
      <c r="M1123" s="245"/>
      <c r="N1123" s="19" t="s">
        <v>537</v>
      </c>
      <c r="O1123" s="17">
        <v>4</v>
      </c>
      <c r="P1123" s="17">
        <v>13</v>
      </c>
      <c r="Q1123" s="17">
        <f t="shared" ref="Q1123:Q1127" si="216">O1123*P1123</f>
        <v>52</v>
      </c>
      <c r="R1123" s="236"/>
      <c r="S1123" s="236"/>
      <c r="T1123" s="236"/>
      <c r="U1123" s="242"/>
    </row>
    <row r="1124" spans="1:21" ht="13">
      <c r="A1124" s="286"/>
      <c r="B1124" s="245"/>
      <c r="C1124" s="19" t="s">
        <v>538</v>
      </c>
      <c r="D1124" s="17">
        <v>9.6999999999999993</v>
      </c>
      <c r="E1124" s="17">
        <v>13</v>
      </c>
      <c r="F1124" s="17">
        <f t="shared" si="214"/>
        <v>126.1</v>
      </c>
      <c r="G1124" s="236"/>
      <c r="H1124" s="236"/>
      <c r="I1124" s="236"/>
      <c r="J1124" s="242"/>
      <c r="L1124" s="286"/>
      <c r="M1124" s="245"/>
      <c r="N1124" s="19" t="s">
        <v>538</v>
      </c>
      <c r="O1124" s="17">
        <v>9.6999999999999993</v>
      </c>
      <c r="P1124" s="17">
        <v>13</v>
      </c>
      <c r="Q1124" s="17">
        <f t="shared" si="216"/>
        <v>126.1</v>
      </c>
      <c r="R1124" s="236"/>
      <c r="S1124" s="236"/>
      <c r="T1124" s="236"/>
      <c r="U1124" s="242"/>
    </row>
    <row r="1125" spans="1:21" ht="13">
      <c r="A1125" s="286"/>
      <c r="B1125" s="245"/>
      <c r="C1125" s="19" t="s">
        <v>107</v>
      </c>
      <c r="D1125" s="17">
        <v>8.5</v>
      </c>
      <c r="E1125" s="17">
        <v>13</v>
      </c>
      <c r="F1125" s="17">
        <f t="shared" si="214"/>
        <v>110.5</v>
      </c>
      <c r="G1125" s="236"/>
      <c r="H1125" s="236"/>
      <c r="I1125" s="236"/>
      <c r="J1125" s="242"/>
      <c r="L1125" s="286"/>
      <c r="M1125" s="245"/>
      <c r="N1125" s="19" t="s">
        <v>107</v>
      </c>
      <c r="O1125" s="17">
        <v>8.5</v>
      </c>
      <c r="P1125" s="17">
        <v>13</v>
      </c>
      <c r="Q1125" s="17">
        <f t="shared" si="216"/>
        <v>110.5</v>
      </c>
      <c r="R1125" s="236"/>
      <c r="S1125" s="236"/>
      <c r="T1125" s="236"/>
      <c r="U1125" s="242"/>
    </row>
    <row r="1126" spans="1:21" ht="13">
      <c r="A1126" s="286"/>
      <c r="B1126" s="245"/>
      <c r="C1126" s="19" t="s">
        <v>539</v>
      </c>
      <c r="D1126" s="17">
        <v>8.5</v>
      </c>
      <c r="E1126" s="17">
        <v>13</v>
      </c>
      <c r="F1126" s="17">
        <f t="shared" si="214"/>
        <v>110.5</v>
      </c>
      <c r="G1126" s="236"/>
      <c r="H1126" s="236"/>
      <c r="I1126" s="236"/>
      <c r="J1126" s="242"/>
      <c r="L1126" s="286"/>
      <c r="M1126" s="245"/>
      <c r="N1126" s="19" t="s">
        <v>539</v>
      </c>
      <c r="O1126" s="17">
        <v>8.5</v>
      </c>
      <c r="P1126" s="17">
        <v>13</v>
      </c>
      <c r="Q1126" s="17">
        <f t="shared" si="216"/>
        <v>110.5</v>
      </c>
      <c r="R1126" s="236"/>
      <c r="S1126" s="236"/>
      <c r="T1126" s="236"/>
      <c r="U1126" s="242"/>
    </row>
    <row r="1127" spans="1:21" ht="13">
      <c r="A1127" s="286"/>
      <c r="B1127" s="246"/>
      <c r="C1127" s="20" t="s">
        <v>528</v>
      </c>
      <c r="D1127" s="21">
        <v>7</v>
      </c>
      <c r="E1127" s="21">
        <v>13</v>
      </c>
      <c r="F1127" s="21">
        <f t="shared" si="214"/>
        <v>91</v>
      </c>
      <c r="G1127" s="238"/>
      <c r="H1127" s="238"/>
      <c r="I1127" s="238"/>
      <c r="J1127" s="243"/>
      <c r="L1127" s="286"/>
      <c r="M1127" s="246"/>
      <c r="N1127" s="20" t="s">
        <v>528</v>
      </c>
      <c r="O1127" s="21">
        <v>7</v>
      </c>
      <c r="P1127" s="21">
        <v>13</v>
      </c>
      <c r="Q1127" s="21">
        <f t="shared" si="216"/>
        <v>91</v>
      </c>
      <c r="R1127" s="238"/>
      <c r="S1127" s="238"/>
      <c r="T1127" s="238"/>
      <c r="U1127" s="243"/>
    </row>
    <row r="1128" spans="1:21" ht="13">
      <c r="A1128" s="286"/>
      <c r="B1128" s="244" t="s">
        <v>540</v>
      </c>
      <c r="C1128" s="15" t="s">
        <v>57</v>
      </c>
      <c r="D1128" s="16"/>
      <c r="E1128" s="16"/>
      <c r="F1128" s="16">
        <v>200</v>
      </c>
      <c r="G1128" s="240">
        <f>SUM(F1128:F1130)</f>
        <v>372.39</v>
      </c>
      <c r="H1128" s="237">
        <v>2403.5300000000002</v>
      </c>
      <c r="I1128" s="237">
        <f>H1128-G1128</f>
        <v>2031.1400000000003</v>
      </c>
      <c r="J1128" s="241">
        <f>I1128/H1128</f>
        <v>0.84506538299917211</v>
      </c>
      <c r="L1128" s="286"/>
      <c r="M1128" s="244" t="s">
        <v>540</v>
      </c>
      <c r="N1128" s="15" t="s">
        <v>57</v>
      </c>
      <c r="O1128" s="16"/>
      <c r="P1128" s="16"/>
      <c r="Q1128" s="16">
        <v>200</v>
      </c>
      <c r="R1128" s="240">
        <f>SUM(Q1128:Q1130)</f>
        <v>372.39</v>
      </c>
      <c r="S1128" s="237">
        <v>2403.5300000000002</v>
      </c>
      <c r="T1128" s="237">
        <f>S1128-R1128</f>
        <v>2031.1400000000003</v>
      </c>
      <c r="U1128" s="241">
        <f>T1128/S1128</f>
        <v>0.84506538299917211</v>
      </c>
    </row>
    <row r="1129" spans="1:21" ht="13">
      <c r="A1129" s="286"/>
      <c r="B1129" s="245"/>
      <c r="C1129" s="19" t="s">
        <v>45</v>
      </c>
      <c r="D1129" s="17"/>
      <c r="E1129" s="17"/>
      <c r="F1129" s="17">
        <v>70</v>
      </c>
      <c r="G1129" s="236"/>
      <c r="H1129" s="236"/>
      <c r="I1129" s="236"/>
      <c r="J1129" s="242"/>
      <c r="L1129" s="286"/>
      <c r="M1129" s="245"/>
      <c r="N1129" s="19" t="s">
        <v>45</v>
      </c>
      <c r="O1129" s="17"/>
      <c r="P1129" s="17"/>
      <c r="Q1129" s="17">
        <v>70</v>
      </c>
      <c r="R1129" s="236"/>
      <c r="S1129" s="236"/>
      <c r="T1129" s="236"/>
      <c r="U1129" s="242"/>
    </row>
    <row r="1130" spans="1:21" ht="13">
      <c r="A1130" s="286"/>
      <c r="B1130" s="246"/>
      <c r="C1130" s="20" t="s">
        <v>33</v>
      </c>
      <c r="D1130" s="21"/>
      <c r="E1130" s="21"/>
      <c r="F1130" s="21">
        <v>102.39</v>
      </c>
      <c r="G1130" s="238"/>
      <c r="H1130" s="238"/>
      <c r="I1130" s="238"/>
      <c r="J1130" s="243"/>
      <c r="L1130" s="286"/>
      <c r="M1130" s="246"/>
      <c r="N1130" s="20" t="s">
        <v>33</v>
      </c>
      <c r="O1130" s="21"/>
      <c r="P1130" s="21"/>
      <c r="Q1130" s="21">
        <v>102.39</v>
      </c>
      <c r="R1130" s="238"/>
      <c r="S1130" s="238"/>
      <c r="T1130" s="238"/>
      <c r="U1130" s="243"/>
    </row>
    <row r="1131" spans="1:21" ht="13">
      <c r="A1131" s="286"/>
      <c r="B1131" s="244" t="s">
        <v>541</v>
      </c>
      <c r="C1131" s="15" t="s">
        <v>23</v>
      </c>
      <c r="D1131" s="16">
        <v>14</v>
      </c>
      <c r="E1131" s="16">
        <v>18</v>
      </c>
      <c r="F1131" s="16">
        <f>D1131*E1131</f>
        <v>252</v>
      </c>
      <c r="G1131" s="240">
        <f>SUM(F1131:F1132)</f>
        <v>252</v>
      </c>
      <c r="H1131" s="237">
        <v>1624</v>
      </c>
      <c r="I1131" s="237">
        <f>H1131-G1131</f>
        <v>1372</v>
      </c>
      <c r="J1131" s="241">
        <f>I1131/H1131</f>
        <v>0.84482758620689657</v>
      </c>
      <c r="L1131" s="286"/>
      <c r="M1131" s="244" t="s">
        <v>541</v>
      </c>
      <c r="N1131" s="15" t="s">
        <v>23</v>
      </c>
      <c r="O1131" s="18"/>
      <c r="P1131" s="18"/>
      <c r="Q1131" s="18"/>
      <c r="R1131" s="240">
        <f>SUM(Q1131:Q1132)</f>
        <v>0</v>
      </c>
      <c r="S1131" s="237">
        <v>1624</v>
      </c>
      <c r="T1131" s="237">
        <f>S1131-R1131</f>
        <v>1624</v>
      </c>
      <c r="U1131" s="241">
        <f>T1131/S1131</f>
        <v>1</v>
      </c>
    </row>
    <row r="1132" spans="1:21" ht="13">
      <c r="A1132" s="286"/>
      <c r="B1132" s="246"/>
      <c r="C1132" s="20"/>
      <c r="D1132" s="21"/>
      <c r="E1132" s="21"/>
      <c r="F1132" s="21"/>
      <c r="G1132" s="238"/>
      <c r="H1132" s="238"/>
      <c r="I1132" s="238"/>
      <c r="J1132" s="243"/>
      <c r="L1132" s="286"/>
      <c r="M1132" s="246"/>
      <c r="N1132" s="20"/>
      <c r="O1132" s="21"/>
      <c r="P1132" s="21"/>
      <c r="Q1132" s="21"/>
      <c r="R1132" s="238"/>
      <c r="S1132" s="238"/>
      <c r="T1132" s="238"/>
      <c r="U1132" s="243"/>
    </row>
    <row r="1133" spans="1:21" ht="13">
      <c r="A1133" s="286"/>
      <c r="B1133" s="244" t="s">
        <v>542</v>
      </c>
      <c r="C1133" s="15" t="s">
        <v>436</v>
      </c>
      <c r="D1133" s="17">
        <v>7</v>
      </c>
      <c r="E1133" s="16">
        <v>18</v>
      </c>
      <c r="F1133" s="17">
        <f t="shared" ref="F1133:F1136" si="217">D1133*E1133</f>
        <v>126</v>
      </c>
      <c r="G1133" s="240">
        <f>SUM(F1133:F1137)</f>
        <v>892</v>
      </c>
      <c r="H1133" s="237">
        <v>4150</v>
      </c>
      <c r="I1133" s="237">
        <f>H1133-G1133</f>
        <v>3258</v>
      </c>
      <c r="J1133" s="241">
        <f>I1133/H1133</f>
        <v>0.7850602409638554</v>
      </c>
      <c r="L1133" s="286"/>
      <c r="M1133" s="244" t="s">
        <v>542</v>
      </c>
      <c r="N1133" s="15" t="s">
        <v>436</v>
      </c>
      <c r="O1133" s="18"/>
      <c r="P1133" s="18"/>
      <c r="Q1133" s="18"/>
      <c r="R1133" s="240">
        <f>SUM(Q1133:Q1137)</f>
        <v>640</v>
      </c>
      <c r="S1133" s="237">
        <v>4150</v>
      </c>
      <c r="T1133" s="237">
        <f>S1133-R1133</f>
        <v>3510</v>
      </c>
      <c r="U1133" s="241">
        <f>T1133/S1133</f>
        <v>0.8457831325301205</v>
      </c>
    </row>
    <row r="1134" spans="1:21" ht="13">
      <c r="A1134" s="286"/>
      <c r="B1134" s="245"/>
      <c r="C1134" s="19" t="s">
        <v>23</v>
      </c>
      <c r="D1134" s="24">
        <v>7</v>
      </c>
      <c r="E1134" s="17">
        <v>18</v>
      </c>
      <c r="F1134" s="17">
        <f t="shared" si="217"/>
        <v>126</v>
      </c>
      <c r="G1134" s="236"/>
      <c r="H1134" s="236"/>
      <c r="I1134" s="236"/>
      <c r="J1134" s="242"/>
      <c r="L1134" s="286"/>
      <c r="M1134" s="245"/>
      <c r="N1134" s="19" t="s">
        <v>23</v>
      </c>
      <c r="O1134" s="18"/>
      <c r="P1134" s="18"/>
      <c r="Q1134" s="18"/>
      <c r="R1134" s="236"/>
      <c r="S1134" s="236"/>
      <c r="T1134" s="236"/>
      <c r="U1134" s="242"/>
    </row>
    <row r="1135" spans="1:21" ht="13">
      <c r="A1135" s="286"/>
      <c r="B1135" s="245"/>
      <c r="C1135" s="19" t="s">
        <v>38</v>
      </c>
      <c r="D1135" s="24">
        <v>8.75</v>
      </c>
      <c r="E1135" s="17">
        <v>17</v>
      </c>
      <c r="F1135" s="17">
        <f t="shared" si="217"/>
        <v>148.75</v>
      </c>
      <c r="G1135" s="236"/>
      <c r="H1135" s="236"/>
      <c r="I1135" s="236"/>
      <c r="J1135" s="242"/>
      <c r="L1135" s="286"/>
      <c r="M1135" s="245"/>
      <c r="N1135" s="19" t="s">
        <v>38</v>
      </c>
      <c r="O1135" s="24">
        <v>8.75</v>
      </c>
      <c r="P1135" s="17">
        <v>17</v>
      </c>
      <c r="Q1135" s="17">
        <f t="shared" ref="Q1135:Q1136" si="218">O1135*P1135</f>
        <v>148.75</v>
      </c>
      <c r="R1135" s="236"/>
      <c r="S1135" s="236"/>
      <c r="T1135" s="236"/>
      <c r="U1135" s="242"/>
    </row>
    <row r="1136" spans="1:21" ht="13">
      <c r="A1136" s="286"/>
      <c r="B1136" s="245"/>
      <c r="C1136" s="19" t="s">
        <v>27</v>
      </c>
      <c r="D1136" s="17">
        <v>32.75</v>
      </c>
      <c r="E1136" s="17">
        <v>15</v>
      </c>
      <c r="F1136" s="17">
        <f t="shared" si="217"/>
        <v>491.25</v>
      </c>
      <c r="G1136" s="236"/>
      <c r="H1136" s="236"/>
      <c r="I1136" s="236"/>
      <c r="J1136" s="242"/>
      <c r="L1136" s="286"/>
      <c r="M1136" s="245"/>
      <c r="N1136" s="19" t="s">
        <v>27</v>
      </c>
      <c r="O1136" s="17">
        <v>32.75</v>
      </c>
      <c r="P1136" s="17">
        <v>15</v>
      </c>
      <c r="Q1136" s="17">
        <f t="shared" si="218"/>
        <v>491.25</v>
      </c>
      <c r="R1136" s="236"/>
      <c r="S1136" s="236"/>
      <c r="T1136" s="236"/>
      <c r="U1136" s="242"/>
    </row>
    <row r="1137" spans="1:21" ht="13">
      <c r="A1137" s="286"/>
      <c r="B1137" s="246"/>
      <c r="C1137" s="20"/>
      <c r="D1137" s="21"/>
      <c r="E1137" s="21"/>
      <c r="F1137" s="21"/>
      <c r="G1137" s="238"/>
      <c r="H1137" s="238"/>
      <c r="I1137" s="238"/>
      <c r="J1137" s="243"/>
      <c r="L1137" s="286"/>
      <c r="M1137" s="246"/>
      <c r="N1137" s="20"/>
      <c r="O1137" s="21"/>
      <c r="P1137" s="21"/>
      <c r="Q1137" s="21"/>
      <c r="R1137" s="238"/>
      <c r="S1137" s="238"/>
      <c r="T1137" s="238"/>
      <c r="U1137" s="243"/>
    </row>
    <row r="1138" spans="1:21" ht="13">
      <c r="A1138" s="286"/>
      <c r="B1138" s="244" t="s">
        <v>543</v>
      </c>
      <c r="C1138" s="15" t="s">
        <v>436</v>
      </c>
      <c r="D1138" s="17">
        <v>21</v>
      </c>
      <c r="E1138" s="16">
        <v>18</v>
      </c>
      <c r="F1138" s="17">
        <f t="shared" ref="F1138:F1141" si="219">D1138*E1138</f>
        <v>378</v>
      </c>
      <c r="G1138" s="240">
        <f>SUM(F1138:F1142)</f>
        <v>1018.05</v>
      </c>
      <c r="H1138" s="237">
        <v>4400</v>
      </c>
      <c r="I1138" s="237">
        <f>H1138-G1138</f>
        <v>3381.95</v>
      </c>
      <c r="J1138" s="241">
        <f>I1138/H1138</f>
        <v>0.768625</v>
      </c>
      <c r="L1138" s="286"/>
      <c r="M1138" s="244" t="s">
        <v>543</v>
      </c>
      <c r="N1138" s="15" t="s">
        <v>436</v>
      </c>
      <c r="O1138" s="18"/>
      <c r="P1138" s="18"/>
      <c r="Q1138" s="18"/>
      <c r="R1138" s="240">
        <f>SUM(Q1138:Q1142)</f>
        <v>388.05</v>
      </c>
      <c r="S1138" s="237">
        <v>4400</v>
      </c>
      <c r="T1138" s="237">
        <f>S1138-R1138</f>
        <v>4011.95</v>
      </c>
      <c r="U1138" s="241">
        <f>T1138/S1138</f>
        <v>0.91180681818181819</v>
      </c>
    </row>
    <row r="1139" spans="1:21" ht="13">
      <c r="A1139" s="286"/>
      <c r="B1139" s="245"/>
      <c r="C1139" s="19" t="s">
        <v>23</v>
      </c>
      <c r="D1139" s="24">
        <v>14</v>
      </c>
      <c r="E1139" s="17">
        <v>18</v>
      </c>
      <c r="F1139" s="17">
        <f t="shared" si="219"/>
        <v>252</v>
      </c>
      <c r="G1139" s="236"/>
      <c r="H1139" s="236"/>
      <c r="I1139" s="236"/>
      <c r="J1139" s="242"/>
      <c r="L1139" s="286"/>
      <c r="M1139" s="245"/>
      <c r="N1139" s="19" t="s">
        <v>23</v>
      </c>
      <c r="O1139" s="18"/>
      <c r="P1139" s="18"/>
      <c r="Q1139" s="18"/>
      <c r="R1139" s="236"/>
      <c r="S1139" s="236"/>
      <c r="T1139" s="236"/>
      <c r="U1139" s="242"/>
    </row>
    <row r="1140" spans="1:21" ht="13">
      <c r="A1140" s="286"/>
      <c r="B1140" s="245"/>
      <c r="C1140" s="19" t="s">
        <v>544</v>
      </c>
      <c r="D1140" s="24">
        <v>5.3</v>
      </c>
      <c r="E1140" s="17">
        <v>15</v>
      </c>
      <c r="F1140" s="17">
        <f t="shared" si="219"/>
        <v>79.5</v>
      </c>
      <c r="G1140" s="236"/>
      <c r="H1140" s="236"/>
      <c r="I1140" s="236"/>
      <c r="J1140" s="242"/>
      <c r="L1140" s="286"/>
      <c r="M1140" s="245"/>
      <c r="N1140" s="19" t="s">
        <v>544</v>
      </c>
      <c r="O1140" s="24">
        <v>5.3</v>
      </c>
      <c r="P1140" s="17">
        <v>15</v>
      </c>
      <c r="Q1140" s="17">
        <f t="shared" ref="Q1140:Q1141" si="220">O1140*P1140</f>
        <v>79.5</v>
      </c>
      <c r="R1140" s="236"/>
      <c r="S1140" s="236"/>
      <c r="T1140" s="236"/>
      <c r="U1140" s="242"/>
    </row>
    <row r="1141" spans="1:21" ht="13">
      <c r="A1141" s="286"/>
      <c r="B1141" s="245"/>
      <c r="C1141" s="19" t="s">
        <v>70</v>
      </c>
      <c r="D1141" s="17">
        <v>20.57</v>
      </c>
      <c r="E1141" s="17">
        <v>15</v>
      </c>
      <c r="F1141" s="17">
        <f t="shared" si="219"/>
        <v>308.55</v>
      </c>
      <c r="G1141" s="236"/>
      <c r="H1141" s="236"/>
      <c r="I1141" s="236"/>
      <c r="J1141" s="242"/>
      <c r="L1141" s="286"/>
      <c r="M1141" s="245"/>
      <c r="N1141" s="19" t="s">
        <v>70</v>
      </c>
      <c r="O1141" s="17">
        <v>20.57</v>
      </c>
      <c r="P1141" s="17">
        <v>15</v>
      </c>
      <c r="Q1141" s="17">
        <f t="shared" si="220"/>
        <v>308.55</v>
      </c>
      <c r="R1141" s="236"/>
      <c r="S1141" s="236"/>
      <c r="T1141" s="236"/>
      <c r="U1141" s="242"/>
    </row>
    <row r="1142" spans="1:21" ht="13">
      <c r="A1142" s="286"/>
      <c r="B1142" s="246"/>
      <c r="C1142" s="20"/>
      <c r="D1142" s="21"/>
      <c r="E1142" s="21"/>
      <c r="F1142" s="21"/>
      <c r="G1142" s="238"/>
      <c r="H1142" s="238"/>
      <c r="I1142" s="238"/>
      <c r="J1142" s="243"/>
      <c r="L1142" s="286"/>
      <c r="M1142" s="246"/>
      <c r="N1142" s="20"/>
      <c r="O1142" s="21"/>
      <c r="P1142" s="21"/>
      <c r="Q1142" s="21"/>
      <c r="R1142" s="238"/>
      <c r="S1142" s="238"/>
      <c r="T1142" s="238"/>
      <c r="U1142" s="243"/>
    </row>
    <row r="1143" spans="1:21" ht="13">
      <c r="A1143" s="286"/>
      <c r="B1143" s="244" t="s">
        <v>545</v>
      </c>
      <c r="C1143" s="15" t="s">
        <v>436</v>
      </c>
      <c r="D1143" s="17">
        <v>35</v>
      </c>
      <c r="E1143" s="16">
        <v>18</v>
      </c>
      <c r="F1143" s="17">
        <f t="shared" ref="F1143:F1148" si="221">D1143*E1143</f>
        <v>630</v>
      </c>
      <c r="G1143" s="240">
        <f>SUM(F1143:F1148)</f>
        <v>3173.4</v>
      </c>
      <c r="H1143" s="237">
        <v>7500</v>
      </c>
      <c r="I1143" s="237">
        <f>H1143-G1143</f>
        <v>4326.6000000000004</v>
      </c>
      <c r="J1143" s="241">
        <f>I1143/H1143</f>
        <v>0.57688000000000006</v>
      </c>
      <c r="L1143" s="286"/>
      <c r="M1143" s="244" t="s">
        <v>545</v>
      </c>
      <c r="N1143" s="15" t="s">
        <v>436</v>
      </c>
      <c r="O1143" s="18"/>
      <c r="P1143" s="18"/>
      <c r="Q1143" s="18"/>
      <c r="R1143" s="240">
        <f>SUM(Q1143:Q1148)</f>
        <v>1913.4</v>
      </c>
      <c r="S1143" s="237">
        <v>7500</v>
      </c>
      <c r="T1143" s="237">
        <f>S1143-R1143</f>
        <v>5586.6</v>
      </c>
      <c r="U1143" s="241">
        <f>T1143/S1143</f>
        <v>0.7448800000000001</v>
      </c>
    </row>
    <row r="1144" spans="1:21" ht="13">
      <c r="A1144" s="286"/>
      <c r="B1144" s="245"/>
      <c r="C1144" s="19" t="s">
        <v>23</v>
      </c>
      <c r="D1144" s="24">
        <v>35</v>
      </c>
      <c r="E1144" s="17">
        <v>18</v>
      </c>
      <c r="F1144" s="17">
        <f t="shared" si="221"/>
        <v>630</v>
      </c>
      <c r="G1144" s="236"/>
      <c r="H1144" s="236"/>
      <c r="I1144" s="236"/>
      <c r="J1144" s="242"/>
      <c r="L1144" s="286"/>
      <c r="M1144" s="245"/>
      <c r="N1144" s="19" t="s">
        <v>23</v>
      </c>
      <c r="O1144" s="18"/>
      <c r="P1144" s="18"/>
      <c r="Q1144" s="18"/>
      <c r="R1144" s="236"/>
      <c r="S1144" s="236"/>
      <c r="T1144" s="236"/>
      <c r="U1144" s="242"/>
    </row>
    <row r="1145" spans="1:21" ht="13">
      <c r="A1145" s="286"/>
      <c r="B1145" s="245"/>
      <c r="C1145" s="19" t="s">
        <v>49</v>
      </c>
      <c r="D1145" s="24">
        <v>37.86</v>
      </c>
      <c r="E1145" s="17">
        <v>15</v>
      </c>
      <c r="F1145" s="17">
        <f t="shared" si="221"/>
        <v>567.9</v>
      </c>
      <c r="G1145" s="236"/>
      <c r="H1145" s="236"/>
      <c r="I1145" s="236"/>
      <c r="J1145" s="242"/>
      <c r="L1145" s="286"/>
      <c r="M1145" s="245"/>
      <c r="N1145" s="19" t="s">
        <v>49</v>
      </c>
      <c r="O1145" s="24">
        <v>37.86</v>
      </c>
      <c r="P1145" s="17">
        <v>15</v>
      </c>
      <c r="Q1145" s="17">
        <f t="shared" ref="Q1145:Q1148" si="222">O1145*P1145</f>
        <v>567.9</v>
      </c>
      <c r="R1145" s="236"/>
      <c r="S1145" s="236"/>
      <c r="T1145" s="236"/>
      <c r="U1145" s="242"/>
    </row>
    <row r="1146" spans="1:21" ht="13">
      <c r="A1146" s="286"/>
      <c r="B1146" s="245"/>
      <c r="C1146" s="19" t="s">
        <v>50</v>
      </c>
      <c r="D1146" s="17">
        <v>38.64</v>
      </c>
      <c r="E1146" s="17">
        <v>15</v>
      </c>
      <c r="F1146" s="17">
        <f t="shared" si="221"/>
        <v>579.6</v>
      </c>
      <c r="G1146" s="236"/>
      <c r="H1146" s="236"/>
      <c r="I1146" s="236"/>
      <c r="J1146" s="242"/>
      <c r="L1146" s="286"/>
      <c r="M1146" s="245"/>
      <c r="N1146" s="19" t="s">
        <v>50</v>
      </c>
      <c r="O1146" s="17">
        <v>38.64</v>
      </c>
      <c r="P1146" s="17">
        <v>15</v>
      </c>
      <c r="Q1146" s="17">
        <f t="shared" si="222"/>
        <v>579.6</v>
      </c>
      <c r="R1146" s="236"/>
      <c r="S1146" s="236"/>
      <c r="T1146" s="236"/>
      <c r="U1146" s="242"/>
    </row>
    <row r="1147" spans="1:21" ht="13">
      <c r="A1147" s="286"/>
      <c r="B1147" s="245"/>
      <c r="C1147" s="19" t="s">
        <v>38</v>
      </c>
      <c r="D1147" s="17">
        <v>26.7</v>
      </c>
      <c r="E1147" s="17">
        <v>15</v>
      </c>
      <c r="F1147" s="17">
        <f t="shared" si="221"/>
        <v>400.5</v>
      </c>
      <c r="G1147" s="236"/>
      <c r="H1147" s="236"/>
      <c r="I1147" s="236"/>
      <c r="J1147" s="242"/>
      <c r="L1147" s="286"/>
      <c r="M1147" s="245"/>
      <c r="N1147" s="19" t="s">
        <v>38</v>
      </c>
      <c r="O1147" s="17">
        <v>26.7</v>
      </c>
      <c r="P1147" s="17">
        <v>15</v>
      </c>
      <c r="Q1147" s="17">
        <f t="shared" si="222"/>
        <v>400.5</v>
      </c>
      <c r="R1147" s="236"/>
      <c r="S1147" s="236"/>
      <c r="T1147" s="236"/>
      <c r="U1147" s="242"/>
    </row>
    <row r="1148" spans="1:21" ht="13">
      <c r="A1148" s="286"/>
      <c r="B1148" s="246"/>
      <c r="C1148" s="20" t="s">
        <v>31</v>
      </c>
      <c r="D1148" s="21">
        <v>24.36</v>
      </c>
      <c r="E1148" s="21">
        <v>15</v>
      </c>
      <c r="F1148" s="17">
        <f t="shared" si="221"/>
        <v>365.4</v>
      </c>
      <c r="G1148" s="238"/>
      <c r="H1148" s="238"/>
      <c r="I1148" s="238"/>
      <c r="J1148" s="243"/>
      <c r="L1148" s="286"/>
      <c r="M1148" s="246"/>
      <c r="N1148" s="20" t="s">
        <v>31</v>
      </c>
      <c r="O1148" s="21">
        <v>24.36</v>
      </c>
      <c r="P1148" s="21">
        <v>15</v>
      </c>
      <c r="Q1148" s="17">
        <f t="shared" si="222"/>
        <v>365.4</v>
      </c>
      <c r="R1148" s="238"/>
      <c r="S1148" s="238"/>
      <c r="T1148" s="238"/>
      <c r="U1148" s="243"/>
    </row>
    <row r="1149" spans="1:21" ht="13">
      <c r="A1149" s="286"/>
      <c r="B1149" s="244" t="s">
        <v>546</v>
      </c>
      <c r="C1149" s="15" t="s">
        <v>57</v>
      </c>
      <c r="D1149" s="16"/>
      <c r="E1149" s="16"/>
      <c r="F1149" s="16">
        <v>100</v>
      </c>
      <c r="G1149" s="240">
        <f>SUM(F1149:F1150)</f>
        <v>192.7</v>
      </c>
      <c r="H1149" s="237">
        <v>1950</v>
      </c>
      <c r="I1149" s="237">
        <f>H1149-G1149</f>
        <v>1757.3</v>
      </c>
      <c r="J1149" s="241">
        <f>I1149/H1149</f>
        <v>0.90117948717948715</v>
      </c>
      <c r="L1149" s="286"/>
      <c r="M1149" s="244" t="s">
        <v>546</v>
      </c>
      <c r="N1149" s="15" t="s">
        <v>57</v>
      </c>
      <c r="O1149" s="16"/>
      <c r="P1149" s="16"/>
      <c r="Q1149" s="16">
        <v>100</v>
      </c>
      <c r="R1149" s="240">
        <f>SUM(Q1149:Q1150)</f>
        <v>192.7</v>
      </c>
      <c r="S1149" s="237">
        <v>1950</v>
      </c>
      <c r="T1149" s="237">
        <f>S1149-R1149</f>
        <v>1757.3</v>
      </c>
      <c r="U1149" s="241">
        <f>T1149/S1149</f>
        <v>0.90117948717948715</v>
      </c>
    </row>
    <row r="1150" spans="1:21" ht="13">
      <c r="A1150" s="286"/>
      <c r="B1150" s="246"/>
      <c r="C1150" s="20" t="s">
        <v>33</v>
      </c>
      <c r="D1150" s="21"/>
      <c r="E1150" s="21"/>
      <c r="F1150" s="21">
        <v>92.7</v>
      </c>
      <c r="G1150" s="238"/>
      <c r="H1150" s="238"/>
      <c r="I1150" s="238"/>
      <c r="J1150" s="243"/>
      <c r="L1150" s="286"/>
      <c r="M1150" s="246"/>
      <c r="N1150" s="20" t="s">
        <v>33</v>
      </c>
      <c r="O1150" s="21"/>
      <c r="P1150" s="21"/>
      <c r="Q1150" s="21">
        <v>92.7</v>
      </c>
      <c r="R1150" s="238"/>
      <c r="S1150" s="238"/>
      <c r="T1150" s="238"/>
      <c r="U1150" s="243"/>
    </row>
    <row r="1151" spans="1:21" ht="13">
      <c r="A1151" s="286"/>
      <c r="B1151" s="244" t="s">
        <v>547</v>
      </c>
      <c r="C1151" s="15" t="s">
        <v>70</v>
      </c>
      <c r="D1151" s="16">
        <v>27.66</v>
      </c>
      <c r="E1151" s="16">
        <v>15</v>
      </c>
      <c r="F1151" s="16">
        <f t="shared" ref="F1151:F1154" si="223">D1151*E1151</f>
        <v>414.9</v>
      </c>
      <c r="G1151" s="240">
        <f>SUM(F1151:F1158)</f>
        <v>2250.85</v>
      </c>
      <c r="H1151" s="237">
        <v>3680.25</v>
      </c>
      <c r="I1151" s="237">
        <f>H1151-G1151</f>
        <v>1429.4</v>
      </c>
      <c r="J1151" s="241">
        <f>I1151/H1151</f>
        <v>0.38839752734189253</v>
      </c>
      <c r="L1151" s="286"/>
      <c r="M1151" s="244" t="s">
        <v>547</v>
      </c>
      <c r="N1151" s="15" t="s">
        <v>70</v>
      </c>
      <c r="O1151" s="16">
        <v>27.66</v>
      </c>
      <c r="P1151" s="16">
        <v>15</v>
      </c>
      <c r="Q1151" s="16">
        <f t="shared" ref="Q1151:Q1154" si="224">O1151*P1151</f>
        <v>414.9</v>
      </c>
      <c r="R1151" s="240">
        <f>SUM(Q1151:Q1158)</f>
        <v>2250.85</v>
      </c>
      <c r="S1151" s="237">
        <v>3680.25</v>
      </c>
      <c r="T1151" s="237">
        <f>S1151-R1151</f>
        <v>1429.4</v>
      </c>
      <c r="U1151" s="241">
        <f>T1151/S1151</f>
        <v>0.38839752734189253</v>
      </c>
    </row>
    <row r="1152" spans="1:21" ht="13">
      <c r="A1152" s="286"/>
      <c r="B1152" s="245"/>
      <c r="C1152" s="19" t="s">
        <v>38</v>
      </c>
      <c r="D1152" s="17">
        <v>27.59</v>
      </c>
      <c r="E1152" s="17">
        <v>15</v>
      </c>
      <c r="F1152" s="17">
        <f t="shared" si="223"/>
        <v>413.85</v>
      </c>
      <c r="G1152" s="236"/>
      <c r="H1152" s="236"/>
      <c r="I1152" s="236"/>
      <c r="J1152" s="242"/>
      <c r="L1152" s="286"/>
      <c r="M1152" s="245"/>
      <c r="N1152" s="19" t="s">
        <v>38</v>
      </c>
      <c r="O1152" s="17">
        <v>27.59</v>
      </c>
      <c r="P1152" s="17">
        <v>15</v>
      </c>
      <c r="Q1152" s="17">
        <f t="shared" si="224"/>
        <v>413.85</v>
      </c>
      <c r="R1152" s="236"/>
      <c r="S1152" s="236"/>
      <c r="T1152" s="236"/>
      <c r="U1152" s="242"/>
    </row>
    <row r="1153" spans="1:21" ht="13">
      <c r="A1153" s="286"/>
      <c r="B1153" s="245"/>
      <c r="C1153" s="19" t="s">
        <v>32</v>
      </c>
      <c r="D1153" s="17">
        <v>25.21</v>
      </c>
      <c r="E1153" s="17">
        <v>15</v>
      </c>
      <c r="F1153" s="17">
        <f t="shared" si="223"/>
        <v>378.15000000000003</v>
      </c>
      <c r="G1153" s="236"/>
      <c r="H1153" s="236"/>
      <c r="I1153" s="236"/>
      <c r="J1153" s="242"/>
      <c r="L1153" s="286"/>
      <c r="M1153" s="245"/>
      <c r="N1153" s="19" t="s">
        <v>32</v>
      </c>
      <c r="O1153" s="17">
        <v>25.21</v>
      </c>
      <c r="P1153" s="17">
        <v>15</v>
      </c>
      <c r="Q1153" s="17">
        <f t="shared" si="224"/>
        <v>378.15000000000003</v>
      </c>
      <c r="R1153" s="236"/>
      <c r="S1153" s="236"/>
      <c r="T1153" s="236"/>
      <c r="U1153" s="242"/>
    </row>
    <row r="1154" spans="1:21" ht="13">
      <c r="A1154" s="286"/>
      <c r="B1154" s="245"/>
      <c r="C1154" s="19" t="s">
        <v>31</v>
      </c>
      <c r="D1154" s="17">
        <v>26.91</v>
      </c>
      <c r="E1154" s="17">
        <v>15</v>
      </c>
      <c r="F1154" s="17">
        <f t="shared" si="223"/>
        <v>403.65</v>
      </c>
      <c r="G1154" s="236"/>
      <c r="H1154" s="236"/>
      <c r="I1154" s="236"/>
      <c r="J1154" s="242"/>
      <c r="L1154" s="286"/>
      <c r="M1154" s="245"/>
      <c r="N1154" s="19" t="s">
        <v>31</v>
      </c>
      <c r="O1154" s="17">
        <v>26.91</v>
      </c>
      <c r="P1154" s="17">
        <v>15</v>
      </c>
      <c r="Q1154" s="17">
        <f t="shared" si="224"/>
        <v>403.65</v>
      </c>
      <c r="R1154" s="236"/>
      <c r="S1154" s="236"/>
      <c r="T1154" s="236"/>
      <c r="U1154" s="242"/>
    </row>
    <row r="1155" spans="1:21" ht="13">
      <c r="A1155" s="286"/>
      <c r="B1155" s="245"/>
      <c r="C1155" s="19" t="s">
        <v>45</v>
      </c>
      <c r="D1155" s="17"/>
      <c r="E1155" s="17"/>
      <c r="F1155" s="17">
        <v>217</v>
      </c>
      <c r="G1155" s="236"/>
      <c r="H1155" s="236"/>
      <c r="I1155" s="236"/>
      <c r="J1155" s="242"/>
      <c r="L1155" s="286"/>
      <c r="M1155" s="245"/>
      <c r="N1155" s="19" t="s">
        <v>45</v>
      </c>
      <c r="O1155" s="17"/>
      <c r="P1155" s="17"/>
      <c r="Q1155" s="17">
        <v>217</v>
      </c>
      <c r="R1155" s="236"/>
      <c r="S1155" s="236"/>
      <c r="T1155" s="236"/>
      <c r="U1155" s="242"/>
    </row>
    <row r="1156" spans="1:21" ht="13">
      <c r="A1156" s="286"/>
      <c r="B1156" s="245"/>
      <c r="C1156" s="19" t="s">
        <v>44</v>
      </c>
      <c r="D1156" s="17"/>
      <c r="E1156" s="17"/>
      <c r="F1156" s="17">
        <v>48.6</v>
      </c>
      <c r="G1156" s="236"/>
      <c r="H1156" s="236"/>
      <c r="I1156" s="236"/>
      <c r="J1156" s="242"/>
      <c r="L1156" s="286"/>
      <c r="M1156" s="245"/>
      <c r="N1156" s="19" t="s">
        <v>44</v>
      </c>
      <c r="O1156" s="17"/>
      <c r="P1156" s="17"/>
      <c r="Q1156" s="17">
        <v>48.6</v>
      </c>
      <c r="R1156" s="236"/>
      <c r="S1156" s="236"/>
      <c r="T1156" s="236"/>
      <c r="U1156" s="242"/>
    </row>
    <row r="1157" spans="1:21" ht="13">
      <c r="A1157" s="286"/>
      <c r="B1157" s="245"/>
      <c r="C1157" s="19" t="s">
        <v>33</v>
      </c>
      <c r="D1157" s="17"/>
      <c r="E1157" s="17"/>
      <c r="F1157" s="17">
        <v>96.01</v>
      </c>
      <c r="G1157" s="236"/>
      <c r="H1157" s="236"/>
      <c r="I1157" s="236"/>
      <c r="J1157" s="242"/>
      <c r="L1157" s="286"/>
      <c r="M1157" s="245"/>
      <c r="N1157" s="19" t="s">
        <v>33</v>
      </c>
      <c r="O1157" s="17"/>
      <c r="P1157" s="17"/>
      <c r="Q1157" s="17">
        <v>96.01</v>
      </c>
      <c r="R1157" s="236"/>
      <c r="S1157" s="236"/>
      <c r="T1157" s="236"/>
      <c r="U1157" s="242"/>
    </row>
    <row r="1158" spans="1:21" ht="13">
      <c r="A1158" s="286"/>
      <c r="B1158" s="246"/>
      <c r="C1158" s="20" t="s">
        <v>47</v>
      </c>
      <c r="D1158" s="21"/>
      <c r="E1158" s="21"/>
      <c r="F1158" s="21">
        <v>278.69</v>
      </c>
      <c r="G1158" s="238"/>
      <c r="H1158" s="238"/>
      <c r="I1158" s="238"/>
      <c r="J1158" s="243"/>
      <c r="L1158" s="286"/>
      <c r="M1158" s="246"/>
      <c r="N1158" s="20" t="s">
        <v>47</v>
      </c>
      <c r="O1158" s="21"/>
      <c r="P1158" s="21"/>
      <c r="Q1158" s="21">
        <v>278.69</v>
      </c>
      <c r="R1158" s="238"/>
      <c r="S1158" s="238"/>
      <c r="T1158" s="238"/>
      <c r="U1158" s="243"/>
    </row>
    <row r="1159" spans="1:21" ht="13">
      <c r="A1159" s="286"/>
      <c r="B1159" s="244" t="s">
        <v>548</v>
      </c>
      <c r="C1159" s="15" t="s">
        <v>70</v>
      </c>
      <c r="D1159" s="16">
        <v>8</v>
      </c>
      <c r="E1159" s="16">
        <v>15</v>
      </c>
      <c r="F1159" s="16">
        <f>D1159*E1159</f>
        <v>120</v>
      </c>
      <c r="G1159" s="240">
        <f>SUM(F1159:F1160)</f>
        <v>120</v>
      </c>
      <c r="H1159" s="237">
        <v>1200</v>
      </c>
      <c r="I1159" s="237">
        <f>H1159-G1159</f>
        <v>1080</v>
      </c>
      <c r="J1159" s="241">
        <f>I1159/H1159</f>
        <v>0.9</v>
      </c>
      <c r="L1159" s="286"/>
      <c r="M1159" s="244" t="s">
        <v>548</v>
      </c>
      <c r="N1159" s="15" t="s">
        <v>70</v>
      </c>
      <c r="O1159" s="16">
        <v>8</v>
      </c>
      <c r="P1159" s="16">
        <v>15</v>
      </c>
      <c r="Q1159" s="16">
        <f>O1159*P1159</f>
        <v>120</v>
      </c>
      <c r="R1159" s="240">
        <f>SUM(Q1159:Q1160)</f>
        <v>120</v>
      </c>
      <c r="S1159" s="237">
        <v>1200</v>
      </c>
      <c r="T1159" s="237">
        <f>S1159-R1159</f>
        <v>1080</v>
      </c>
      <c r="U1159" s="241">
        <f>T1159/S1159</f>
        <v>0.9</v>
      </c>
    </row>
    <row r="1160" spans="1:21" ht="13">
      <c r="A1160" s="286"/>
      <c r="B1160" s="246"/>
      <c r="C1160" s="20"/>
      <c r="D1160" s="21"/>
      <c r="E1160" s="21"/>
      <c r="F1160" s="21"/>
      <c r="G1160" s="238"/>
      <c r="H1160" s="238"/>
      <c r="I1160" s="238"/>
      <c r="J1160" s="243"/>
      <c r="L1160" s="286"/>
      <c r="M1160" s="246"/>
      <c r="N1160" s="20"/>
      <c r="O1160" s="21"/>
      <c r="P1160" s="21"/>
      <c r="Q1160" s="21"/>
      <c r="R1160" s="238"/>
      <c r="S1160" s="238"/>
      <c r="T1160" s="238"/>
      <c r="U1160" s="243"/>
    </row>
    <row r="1161" spans="1:21" ht="30">
      <c r="A1161" s="278" t="s">
        <v>549</v>
      </c>
      <c r="B1161" s="252"/>
      <c r="C1161" s="253"/>
      <c r="D1161" s="56">
        <f t="shared" ref="D1161:I1161" si="225">AVERAGE(D1049:D1160)</f>
        <v>18.209016393442624</v>
      </c>
      <c r="E1161" s="56">
        <f t="shared" si="225"/>
        <v>15.221311475409836</v>
      </c>
      <c r="F1161" s="56">
        <f t="shared" si="225"/>
        <v>498.40559999999999</v>
      </c>
      <c r="G1161" s="56">
        <f t="shared" si="225"/>
        <v>2373.3599999999997</v>
      </c>
      <c r="H1161" s="56">
        <f t="shared" si="225"/>
        <v>5504.5214285714283</v>
      </c>
      <c r="I1161" s="56">
        <f t="shared" si="225"/>
        <v>3131.161428571429</v>
      </c>
      <c r="J1161" s="57">
        <f>AVERAGE($J$12:$J$76)</f>
        <v>0.79942354689485917</v>
      </c>
      <c r="L1161" s="278" t="s">
        <v>549</v>
      </c>
      <c r="M1161" s="252"/>
      <c r="N1161" s="253"/>
      <c r="O1161" s="56">
        <f t="shared" ref="O1161:T1161" si="226">AVERAGE(O1049:O1160)</f>
        <v>18.352040816326532</v>
      </c>
      <c r="P1161" s="56">
        <f t="shared" si="226"/>
        <v>14.724489795918368</v>
      </c>
      <c r="Q1161" s="56">
        <f t="shared" si="226"/>
        <v>470.33517241379303</v>
      </c>
      <c r="R1161" s="56">
        <f t="shared" si="226"/>
        <v>1948.5314285714285</v>
      </c>
      <c r="S1161" s="56">
        <f t="shared" si="226"/>
        <v>5396.5042857142853</v>
      </c>
      <c r="T1161" s="56">
        <f t="shared" si="226"/>
        <v>3447.9728571428568</v>
      </c>
      <c r="U1161" s="57">
        <f>AVERAGE($J$12:$J$76)</f>
        <v>0.79942354689485917</v>
      </c>
    </row>
    <row r="1162" spans="1:21" ht="30">
      <c r="A1162" s="279" t="s">
        <v>550</v>
      </c>
      <c r="B1162" s="255"/>
      <c r="C1162" s="256"/>
      <c r="D1162" s="72">
        <f t="shared" ref="D1162:I1162" si="227">SUM(D1049:D1160)</f>
        <v>1110.75</v>
      </c>
      <c r="E1162" s="72">
        <f t="shared" si="227"/>
        <v>928.5</v>
      </c>
      <c r="F1162" s="72">
        <f t="shared" si="227"/>
        <v>49840.56</v>
      </c>
      <c r="G1162" s="72">
        <f t="shared" si="227"/>
        <v>49840.55999999999</v>
      </c>
      <c r="H1162" s="72">
        <f t="shared" si="227"/>
        <v>115594.95</v>
      </c>
      <c r="I1162" s="72">
        <f t="shared" si="227"/>
        <v>65754.390000000014</v>
      </c>
      <c r="J1162" s="76">
        <f t="shared" ref="J1162:J1163" si="228">I1162/H1162</f>
        <v>0.56883445167803626</v>
      </c>
      <c r="L1162" s="279" t="s">
        <v>550</v>
      </c>
      <c r="M1162" s="255"/>
      <c r="N1162" s="256"/>
      <c r="O1162" s="72">
        <f t="shared" ref="O1162:T1162" si="229">SUM(O1049:O1160)</f>
        <v>899.25000000000011</v>
      </c>
      <c r="P1162" s="72">
        <f t="shared" si="229"/>
        <v>721.5</v>
      </c>
      <c r="Q1162" s="72">
        <f t="shared" si="229"/>
        <v>40919.159999999996</v>
      </c>
      <c r="R1162" s="72">
        <f t="shared" si="229"/>
        <v>40919.159999999996</v>
      </c>
      <c r="S1162" s="72">
        <f t="shared" si="229"/>
        <v>113326.59</v>
      </c>
      <c r="T1162" s="72">
        <f t="shared" si="229"/>
        <v>72407.429999999993</v>
      </c>
      <c r="U1162" s="76">
        <f t="shared" ref="U1162:U1163" si="230">T1162/S1162</f>
        <v>0.63892710439800571</v>
      </c>
    </row>
    <row r="1163" spans="1:21" ht="13">
      <c r="A1163" s="285" t="s">
        <v>11</v>
      </c>
      <c r="B1163" s="244" t="s">
        <v>551</v>
      </c>
      <c r="C1163" s="15" t="s">
        <v>63</v>
      </c>
      <c r="D1163" s="16"/>
      <c r="E1163" s="16"/>
      <c r="F1163" s="16">
        <v>200</v>
      </c>
      <c r="G1163" s="240">
        <f>SUM(F1163:F1165)</f>
        <v>362</v>
      </c>
      <c r="H1163" s="237">
        <v>3487.5</v>
      </c>
      <c r="I1163" s="237">
        <f>H1163-G1163</f>
        <v>3125.5</v>
      </c>
      <c r="J1163" s="241">
        <f t="shared" si="228"/>
        <v>0.8962007168458781</v>
      </c>
      <c r="L1163" s="285" t="s">
        <v>11</v>
      </c>
      <c r="M1163" s="244" t="s">
        <v>551</v>
      </c>
      <c r="N1163" s="15" t="s">
        <v>63</v>
      </c>
      <c r="O1163" s="16"/>
      <c r="P1163" s="16"/>
      <c r="Q1163" s="16">
        <v>200</v>
      </c>
      <c r="R1163" s="240">
        <f>SUM(Q1163:Q1165)</f>
        <v>362</v>
      </c>
      <c r="S1163" s="237">
        <v>3487.5</v>
      </c>
      <c r="T1163" s="237">
        <f>S1163-R1163</f>
        <v>3125.5</v>
      </c>
      <c r="U1163" s="241">
        <f t="shared" si="230"/>
        <v>0.8962007168458781</v>
      </c>
    </row>
    <row r="1164" spans="1:21" ht="13">
      <c r="A1164" s="286"/>
      <c r="B1164" s="245"/>
      <c r="C1164" s="19" t="s">
        <v>45</v>
      </c>
      <c r="D1164" s="17"/>
      <c r="E1164" s="17"/>
      <c r="F1164" s="17">
        <v>70</v>
      </c>
      <c r="G1164" s="236"/>
      <c r="H1164" s="236"/>
      <c r="I1164" s="236"/>
      <c r="J1164" s="242"/>
      <c r="L1164" s="286"/>
      <c r="M1164" s="245"/>
      <c r="N1164" s="19" t="s">
        <v>45</v>
      </c>
      <c r="O1164" s="17"/>
      <c r="P1164" s="17"/>
      <c r="Q1164" s="17">
        <v>70</v>
      </c>
      <c r="R1164" s="236"/>
      <c r="S1164" s="236"/>
      <c r="T1164" s="236"/>
      <c r="U1164" s="242"/>
    </row>
    <row r="1165" spans="1:21" ht="13">
      <c r="A1165" s="286"/>
      <c r="B1165" s="246"/>
      <c r="C1165" s="20" t="s">
        <v>94</v>
      </c>
      <c r="D1165" s="21"/>
      <c r="E1165" s="21"/>
      <c r="F1165" s="21">
        <v>92</v>
      </c>
      <c r="G1165" s="238"/>
      <c r="H1165" s="238"/>
      <c r="I1165" s="238"/>
      <c r="J1165" s="243"/>
      <c r="L1165" s="286"/>
      <c r="M1165" s="246"/>
      <c r="N1165" s="20" t="s">
        <v>94</v>
      </c>
      <c r="O1165" s="21"/>
      <c r="P1165" s="21"/>
      <c r="Q1165" s="21">
        <v>92</v>
      </c>
      <c r="R1165" s="238"/>
      <c r="S1165" s="238"/>
      <c r="T1165" s="238"/>
      <c r="U1165" s="243"/>
    </row>
    <row r="1166" spans="1:21" ht="13">
      <c r="A1166" s="286"/>
      <c r="B1166" s="244" t="s">
        <v>552</v>
      </c>
      <c r="C1166" s="15" t="s">
        <v>63</v>
      </c>
      <c r="D1166" s="16"/>
      <c r="E1166" s="16"/>
      <c r="F1166" s="16">
        <v>250</v>
      </c>
      <c r="G1166" s="240">
        <f>SUM(F1166:F1167)</f>
        <v>330.08</v>
      </c>
      <c r="H1166" s="237">
        <v>2523.3200000000002</v>
      </c>
      <c r="I1166" s="237">
        <f>H1166-G1166</f>
        <v>2193.2400000000002</v>
      </c>
      <c r="J1166" s="241">
        <f>I1166/H1166</f>
        <v>0.8691882123551512</v>
      </c>
      <c r="L1166" s="286"/>
      <c r="M1166" s="244" t="s">
        <v>552</v>
      </c>
      <c r="N1166" s="15" t="s">
        <v>63</v>
      </c>
      <c r="O1166" s="16"/>
      <c r="P1166" s="16"/>
      <c r="Q1166" s="16">
        <v>250</v>
      </c>
      <c r="R1166" s="240">
        <f>SUM(Q1166:Q1167)</f>
        <v>330.08</v>
      </c>
      <c r="S1166" s="237">
        <v>2523.3200000000002</v>
      </c>
      <c r="T1166" s="237">
        <f>S1166-R1166</f>
        <v>2193.2400000000002</v>
      </c>
      <c r="U1166" s="241">
        <f>T1166/S1166</f>
        <v>0.8691882123551512</v>
      </c>
    </row>
    <row r="1167" spans="1:21" ht="13">
      <c r="A1167" s="286"/>
      <c r="B1167" s="246"/>
      <c r="C1167" s="20" t="s">
        <v>94</v>
      </c>
      <c r="D1167" s="21"/>
      <c r="E1167" s="21"/>
      <c r="F1167" s="21">
        <v>80.08</v>
      </c>
      <c r="G1167" s="238"/>
      <c r="H1167" s="238"/>
      <c r="I1167" s="238"/>
      <c r="J1167" s="243"/>
      <c r="L1167" s="286"/>
      <c r="M1167" s="246"/>
      <c r="N1167" s="20" t="s">
        <v>94</v>
      </c>
      <c r="O1167" s="21"/>
      <c r="P1167" s="21"/>
      <c r="Q1167" s="21">
        <v>80.08</v>
      </c>
      <c r="R1167" s="238"/>
      <c r="S1167" s="238"/>
      <c r="T1167" s="238"/>
      <c r="U1167" s="243"/>
    </row>
    <row r="1168" spans="1:21" ht="13">
      <c r="A1168" s="286"/>
      <c r="B1168" s="244" t="s">
        <v>553</v>
      </c>
      <c r="C1168" s="15" t="s">
        <v>70</v>
      </c>
      <c r="D1168" s="16">
        <v>29.31</v>
      </c>
      <c r="E1168" s="16">
        <v>15</v>
      </c>
      <c r="F1168" s="16">
        <f t="shared" ref="F1168:F1170" si="231">D1168*E1168</f>
        <v>439.65</v>
      </c>
      <c r="G1168" s="240">
        <f>SUM(F1168:F1171)</f>
        <v>1958.8700000000001</v>
      </c>
      <c r="H1168" s="237">
        <v>2985</v>
      </c>
      <c r="I1168" s="237">
        <f>H1168-G1168</f>
        <v>1026.1299999999999</v>
      </c>
      <c r="J1168" s="241">
        <f>I1168/H1168</f>
        <v>0.34376214405360128</v>
      </c>
      <c r="L1168" s="286"/>
      <c r="M1168" s="244" t="s">
        <v>553</v>
      </c>
      <c r="N1168" s="15" t="s">
        <v>70</v>
      </c>
      <c r="O1168" s="16">
        <v>29.31</v>
      </c>
      <c r="P1168" s="16">
        <v>15</v>
      </c>
      <c r="Q1168" s="16">
        <f t="shared" ref="Q1168:Q1169" si="232">O1168*P1168</f>
        <v>439.65</v>
      </c>
      <c r="R1168" s="240">
        <f>SUM(Q1168:Q1171)</f>
        <v>1510.87</v>
      </c>
      <c r="S1168" s="237">
        <v>2985</v>
      </c>
      <c r="T1168" s="237">
        <f>S1168-R1168</f>
        <v>1474.13</v>
      </c>
      <c r="U1168" s="241">
        <f>T1168/S1168</f>
        <v>0.49384589614740371</v>
      </c>
    </row>
    <row r="1169" spans="1:21" ht="13">
      <c r="A1169" s="286"/>
      <c r="B1169" s="245"/>
      <c r="C1169" s="19" t="s">
        <v>32</v>
      </c>
      <c r="D1169" s="17">
        <v>35</v>
      </c>
      <c r="E1169" s="17">
        <v>15</v>
      </c>
      <c r="F1169" s="17">
        <f t="shared" si="231"/>
        <v>525</v>
      </c>
      <c r="G1169" s="236"/>
      <c r="H1169" s="236"/>
      <c r="I1169" s="236"/>
      <c r="J1169" s="242"/>
      <c r="L1169" s="286"/>
      <c r="M1169" s="245"/>
      <c r="N1169" s="19" t="s">
        <v>32</v>
      </c>
      <c r="O1169" s="17">
        <v>35</v>
      </c>
      <c r="P1169" s="17">
        <v>15</v>
      </c>
      <c r="Q1169" s="17">
        <f t="shared" si="232"/>
        <v>525</v>
      </c>
      <c r="R1169" s="236"/>
      <c r="S1169" s="236"/>
      <c r="T1169" s="236"/>
      <c r="U1169" s="242"/>
    </row>
    <row r="1170" spans="1:21" ht="13">
      <c r="A1170" s="286"/>
      <c r="B1170" s="245"/>
      <c r="C1170" s="19" t="s">
        <v>554</v>
      </c>
      <c r="D1170" s="17">
        <v>28</v>
      </c>
      <c r="E1170" s="17">
        <v>16</v>
      </c>
      <c r="F1170" s="17">
        <f t="shared" si="231"/>
        <v>448</v>
      </c>
      <c r="G1170" s="236"/>
      <c r="H1170" s="236"/>
      <c r="I1170" s="236"/>
      <c r="J1170" s="242"/>
      <c r="L1170" s="286"/>
      <c r="M1170" s="245"/>
      <c r="N1170" s="19" t="s">
        <v>554</v>
      </c>
      <c r="O1170" s="18"/>
      <c r="P1170" s="18"/>
      <c r="Q1170" s="18"/>
      <c r="R1170" s="236"/>
      <c r="S1170" s="236"/>
      <c r="T1170" s="236"/>
      <c r="U1170" s="242"/>
    </row>
    <row r="1171" spans="1:21" ht="13">
      <c r="A1171" s="286"/>
      <c r="B1171" s="246"/>
      <c r="C1171" s="20" t="s">
        <v>47</v>
      </c>
      <c r="D1171" s="21"/>
      <c r="E1171" s="21"/>
      <c r="F1171" s="21">
        <v>546.22</v>
      </c>
      <c r="G1171" s="238"/>
      <c r="H1171" s="238"/>
      <c r="I1171" s="238"/>
      <c r="J1171" s="243"/>
      <c r="L1171" s="286"/>
      <c r="M1171" s="246"/>
      <c r="N1171" s="20" t="s">
        <v>47</v>
      </c>
      <c r="O1171" s="21"/>
      <c r="P1171" s="21"/>
      <c r="Q1171" s="21">
        <v>546.22</v>
      </c>
      <c r="R1171" s="238"/>
      <c r="S1171" s="238"/>
      <c r="T1171" s="238"/>
      <c r="U1171" s="243"/>
    </row>
    <row r="1172" spans="1:21" ht="13">
      <c r="A1172" s="286"/>
      <c r="B1172" s="244" t="s">
        <v>555</v>
      </c>
      <c r="C1172" s="15" t="s">
        <v>70</v>
      </c>
      <c r="D1172" s="16">
        <v>20.32</v>
      </c>
      <c r="E1172" s="16">
        <v>17</v>
      </c>
      <c r="F1172" s="16">
        <f t="shared" ref="F1172:F1175" si="233">D1172*E1172</f>
        <v>345.44</v>
      </c>
      <c r="G1172" s="240">
        <f>SUM(F1172:F1179)</f>
        <v>2047</v>
      </c>
      <c r="H1172" s="237">
        <v>2842</v>
      </c>
      <c r="I1172" s="237">
        <f>H1172-G1172</f>
        <v>795</v>
      </c>
      <c r="J1172" s="241">
        <f>I1172/H1172</f>
        <v>0.27973258268824769</v>
      </c>
      <c r="L1172" s="286"/>
      <c r="M1172" s="244" t="s">
        <v>555</v>
      </c>
      <c r="N1172" s="15" t="s">
        <v>70</v>
      </c>
      <c r="O1172" s="16">
        <v>20.32</v>
      </c>
      <c r="P1172" s="16">
        <v>17</v>
      </c>
      <c r="Q1172" s="16">
        <f t="shared" ref="Q1172:Q1175" si="234">O1172*P1172</f>
        <v>345.44</v>
      </c>
      <c r="R1172" s="240">
        <f>SUM(Q1172:Q1179)</f>
        <v>2047</v>
      </c>
      <c r="S1172" s="237">
        <v>2842</v>
      </c>
      <c r="T1172" s="237">
        <f>S1172-R1172</f>
        <v>795</v>
      </c>
      <c r="U1172" s="241">
        <f>T1172/S1172</f>
        <v>0.27973258268824769</v>
      </c>
    </row>
    <row r="1173" spans="1:21" ht="13">
      <c r="A1173" s="286"/>
      <c r="B1173" s="245"/>
      <c r="C1173" s="19" t="s">
        <v>50</v>
      </c>
      <c r="D1173" s="17">
        <v>21.17</v>
      </c>
      <c r="E1173" s="17">
        <v>17</v>
      </c>
      <c r="F1173" s="17">
        <f t="shared" si="233"/>
        <v>359.89000000000004</v>
      </c>
      <c r="G1173" s="236"/>
      <c r="H1173" s="236"/>
      <c r="I1173" s="236"/>
      <c r="J1173" s="242"/>
      <c r="L1173" s="286"/>
      <c r="M1173" s="245"/>
      <c r="N1173" s="19" t="s">
        <v>50</v>
      </c>
      <c r="O1173" s="17">
        <v>21.17</v>
      </c>
      <c r="P1173" s="17">
        <v>17</v>
      </c>
      <c r="Q1173" s="17">
        <f t="shared" si="234"/>
        <v>359.89000000000004</v>
      </c>
      <c r="R1173" s="236"/>
      <c r="S1173" s="236"/>
      <c r="T1173" s="236"/>
      <c r="U1173" s="242"/>
    </row>
    <row r="1174" spans="1:21" ht="13">
      <c r="A1174" s="286"/>
      <c r="B1174" s="245"/>
      <c r="C1174" s="19" t="s">
        <v>32</v>
      </c>
      <c r="D1174" s="17">
        <v>20.149999999999999</v>
      </c>
      <c r="E1174" s="17">
        <v>17</v>
      </c>
      <c r="F1174" s="17">
        <f t="shared" si="233"/>
        <v>342.54999999999995</v>
      </c>
      <c r="G1174" s="236"/>
      <c r="H1174" s="236"/>
      <c r="I1174" s="236"/>
      <c r="J1174" s="242"/>
      <c r="L1174" s="286"/>
      <c r="M1174" s="245"/>
      <c r="N1174" s="19" t="s">
        <v>32</v>
      </c>
      <c r="O1174" s="17">
        <v>20.149999999999999</v>
      </c>
      <c r="P1174" s="17">
        <v>17</v>
      </c>
      <c r="Q1174" s="17">
        <f t="shared" si="234"/>
        <v>342.54999999999995</v>
      </c>
      <c r="R1174" s="236"/>
      <c r="S1174" s="236"/>
      <c r="T1174" s="236"/>
      <c r="U1174" s="242"/>
    </row>
    <row r="1175" spans="1:21" ht="13">
      <c r="A1175" s="286"/>
      <c r="B1175" s="245"/>
      <c r="C1175" s="19" t="s">
        <v>49</v>
      </c>
      <c r="D1175" s="17">
        <v>18.100000000000001</v>
      </c>
      <c r="E1175" s="17">
        <v>17</v>
      </c>
      <c r="F1175" s="17">
        <f t="shared" si="233"/>
        <v>307.70000000000005</v>
      </c>
      <c r="G1175" s="236"/>
      <c r="H1175" s="236"/>
      <c r="I1175" s="236"/>
      <c r="J1175" s="242"/>
      <c r="L1175" s="286"/>
      <c r="M1175" s="245"/>
      <c r="N1175" s="19" t="s">
        <v>49</v>
      </c>
      <c r="O1175" s="17">
        <v>18.100000000000001</v>
      </c>
      <c r="P1175" s="17">
        <v>17</v>
      </c>
      <c r="Q1175" s="17">
        <f t="shared" si="234"/>
        <v>307.70000000000005</v>
      </c>
      <c r="R1175" s="236"/>
      <c r="S1175" s="236"/>
      <c r="T1175" s="236"/>
      <c r="U1175" s="242"/>
    </row>
    <row r="1176" spans="1:21" ht="13">
      <c r="A1176" s="286"/>
      <c r="B1176" s="245"/>
      <c r="C1176" s="19" t="s">
        <v>45</v>
      </c>
      <c r="D1176" s="17"/>
      <c r="E1176" s="17"/>
      <c r="F1176" s="17">
        <v>122</v>
      </c>
      <c r="G1176" s="236"/>
      <c r="H1176" s="236"/>
      <c r="I1176" s="236"/>
      <c r="J1176" s="242"/>
      <c r="L1176" s="286"/>
      <c r="M1176" s="245"/>
      <c r="N1176" s="19" t="s">
        <v>45</v>
      </c>
      <c r="O1176" s="17"/>
      <c r="P1176" s="17"/>
      <c r="Q1176" s="17">
        <v>122</v>
      </c>
      <c r="R1176" s="236"/>
      <c r="S1176" s="236"/>
      <c r="T1176" s="236"/>
      <c r="U1176" s="242"/>
    </row>
    <row r="1177" spans="1:21" ht="13">
      <c r="A1177" s="286"/>
      <c r="B1177" s="245"/>
      <c r="C1177" s="19" t="s">
        <v>44</v>
      </c>
      <c r="D1177" s="17"/>
      <c r="E1177" s="17"/>
      <c r="F1177" s="17">
        <v>140.6</v>
      </c>
      <c r="G1177" s="236"/>
      <c r="H1177" s="236"/>
      <c r="I1177" s="236"/>
      <c r="J1177" s="242"/>
      <c r="L1177" s="286"/>
      <c r="M1177" s="245"/>
      <c r="N1177" s="19" t="s">
        <v>44</v>
      </c>
      <c r="O1177" s="17"/>
      <c r="P1177" s="17"/>
      <c r="Q1177" s="17">
        <v>140.6</v>
      </c>
      <c r="R1177" s="236"/>
      <c r="S1177" s="236"/>
      <c r="T1177" s="236"/>
      <c r="U1177" s="242"/>
    </row>
    <row r="1178" spans="1:21" ht="13">
      <c r="A1178" s="286"/>
      <c r="B1178" s="245"/>
      <c r="C1178" s="19" t="s">
        <v>48</v>
      </c>
      <c r="D1178" s="17"/>
      <c r="E1178" s="17"/>
      <c r="F1178" s="17">
        <v>160</v>
      </c>
      <c r="G1178" s="236"/>
      <c r="H1178" s="236"/>
      <c r="I1178" s="236"/>
      <c r="J1178" s="242"/>
      <c r="L1178" s="286"/>
      <c r="M1178" s="245"/>
      <c r="N1178" s="19" t="s">
        <v>48</v>
      </c>
      <c r="O1178" s="17"/>
      <c r="P1178" s="17"/>
      <c r="Q1178" s="17">
        <v>160</v>
      </c>
      <c r="R1178" s="236"/>
      <c r="S1178" s="236"/>
      <c r="T1178" s="236"/>
      <c r="U1178" s="242"/>
    </row>
    <row r="1179" spans="1:21" ht="13">
      <c r="A1179" s="286"/>
      <c r="B1179" s="246"/>
      <c r="C1179" s="20" t="s">
        <v>47</v>
      </c>
      <c r="D1179" s="21"/>
      <c r="E1179" s="21"/>
      <c r="F1179" s="21">
        <v>268.82</v>
      </c>
      <c r="G1179" s="238"/>
      <c r="H1179" s="238"/>
      <c r="I1179" s="238"/>
      <c r="J1179" s="243"/>
      <c r="L1179" s="286"/>
      <c r="M1179" s="246"/>
      <c r="N1179" s="20" t="s">
        <v>47</v>
      </c>
      <c r="O1179" s="21"/>
      <c r="P1179" s="21"/>
      <c r="Q1179" s="21">
        <v>268.82</v>
      </c>
      <c r="R1179" s="238"/>
      <c r="S1179" s="238"/>
      <c r="T1179" s="238"/>
      <c r="U1179" s="243"/>
    </row>
    <row r="1180" spans="1:21" ht="13">
      <c r="A1180" s="286"/>
      <c r="B1180" s="244" t="s">
        <v>556</v>
      </c>
      <c r="C1180" s="15" t="s">
        <v>28</v>
      </c>
      <c r="D1180" s="16">
        <v>34.61</v>
      </c>
      <c r="E1180" s="16">
        <v>15</v>
      </c>
      <c r="F1180" s="16">
        <f>D1180*E1180</f>
        <v>519.15</v>
      </c>
      <c r="G1180" s="240">
        <f>SUM(F1180:F1183)</f>
        <v>884.15</v>
      </c>
      <c r="H1180" s="237">
        <v>2600</v>
      </c>
      <c r="I1180" s="237">
        <f>H1180-G1180</f>
        <v>1715.85</v>
      </c>
      <c r="J1180" s="241">
        <f>I1180/H1180</f>
        <v>0.65994230769230766</v>
      </c>
      <c r="L1180" s="286"/>
      <c r="M1180" s="244" t="s">
        <v>556</v>
      </c>
      <c r="N1180" s="15" t="s">
        <v>28</v>
      </c>
      <c r="O1180" s="16">
        <v>34.61</v>
      </c>
      <c r="P1180" s="16">
        <v>15</v>
      </c>
      <c r="Q1180" s="16">
        <f>O1180*P1180</f>
        <v>519.15</v>
      </c>
      <c r="R1180" s="240">
        <f>SUM(Q1180:Q1183)</f>
        <v>884.15</v>
      </c>
      <c r="S1180" s="237">
        <v>2600</v>
      </c>
      <c r="T1180" s="237">
        <f>S1180-R1180</f>
        <v>1715.85</v>
      </c>
      <c r="U1180" s="241">
        <f>T1180/S1180</f>
        <v>0.65994230769230766</v>
      </c>
    </row>
    <row r="1181" spans="1:21" ht="13">
      <c r="A1181" s="286"/>
      <c r="B1181" s="245"/>
      <c r="C1181" s="19" t="s">
        <v>557</v>
      </c>
      <c r="D1181" s="17"/>
      <c r="E1181" s="17"/>
      <c r="F1181" s="17">
        <v>100</v>
      </c>
      <c r="G1181" s="236"/>
      <c r="H1181" s="236"/>
      <c r="I1181" s="236"/>
      <c r="J1181" s="242"/>
      <c r="L1181" s="286"/>
      <c r="M1181" s="245"/>
      <c r="N1181" s="19" t="s">
        <v>557</v>
      </c>
      <c r="O1181" s="17"/>
      <c r="P1181" s="17"/>
      <c r="Q1181" s="17">
        <v>100</v>
      </c>
      <c r="R1181" s="236"/>
      <c r="S1181" s="236"/>
      <c r="T1181" s="236"/>
      <c r="U1181" s="242"/>
    </row>
    <row r="1182" spans="1:21" ht="13">
      <c r="A1182" s="286"/>
      <c r="B1182" s="245"/>
      <c r="C1182" s="19" t="s">
        <v>558</v>
      </c>
      <c r="D1182" s="17">
        <v>11</v>
      </c>
      <c r="E1182" s="17">
        <v>15</v>
      </c>
      <c r="F1182" s="17">
        <f>D1182*E1182</f>
        <v>165</v>
      </c>
      <c r="G1182" s="236"/>
      <c r="H1182" s="236"/>
      <c r="I1182" s="236"/>
      <c r="J1182" s="242"/>
      <c r="L1182" s="286"/>
      <c r="M1182" s="245"/>
      <c r="N1182" s="19" t="s">
        <v>558</v>
      </c>
      <c r="O1182" s="17">
        <v>11</v>
      </c>
      <c r="P1182" s="17">
        <v>15</v>
      </c>
      <c r="Q1182" s="17">
        <f>O1182*P1182</f>
        <v>165</v>
      </c>
      <c r="R1182" s="236"/>
      <c r="S1182" s="236"/>
      <c r="T1182" s="236"/>
      <c r="U1182" s="242"/>
    </row>
    <row r="1183" spans="1:21" ht="13">
      <c r="A1183" s="286"/>
      <c r="B1183" s="246"/>
      <c r="C1183" s="20" t="s">
        <v>45</v>
      </c>
      <c r="D1183" s="21"/>
      <c r="E1183" s="21"/>
      <c r="F1183" s="21">
        <v>100</v>
      </c>
      <c r="G1183" s="238"/>
      <c r="H1183" s="238"/>
      <c r="I1183" s="238"/>
      <c r="J1183" s="243"/>
      <c r="L1183" s="286"/>
      <c r="M1183" s="246"/>
      <c r="N1183" s="20" t="s">
        <v>45</v>
      </c>
      <c r="O1183" s="21"/>
      <c r="P1183" s="21"/>
      <c r="Q1183" s="21">
        <v>100</v>
      </c>
      <c r="R1183" s="238"/>
      <c r="S1183" s="238"/>
      <c r="T1183" s="238"/>
      <c r="U1183" s="243"/>
    </row>
    <row r="1184" spans="1:21" ht="13">
      <c r="A1184" s="286"/>
      <c r="B1184" s="244" t="s">
        <v>559</v>
      </c>
      <c r="C1184" s="15" t="s">
        <v>28</v>
      </c>
      <c r="D1184" s="16">
        <v>46.36</v>
      </c>
      <c r="E1184" s="16">
        <v>15</v>
      </c>
      <c r="F1184" s="16">
        <f t="shared" ref="F1184:F1193" si="235">D1184*E1184</f>
        <v>695.4</v>
      </c>
      <c r="G1184" s="240">
        <f>SUM(F1184:F1194)</f>
        <v>4976.25</v>
      </c>
      <c r="H1184" s="237">
        <v>21500</v>
      </c>
      <c r="I1184" s="237">
        <f>H1184-G1184</f>
        <v>16523.75</v>
      </c>
      <c r="J1184" s="241">
        <f>I1184/H1184</f>
        <v>0.76854651162790699</v>
      </c>
      <c r="L1184" s="286"/>
      <c r="M1184" s="244" t="s">
        <v>559</v>
      </c>
      <c r="N1184" s="15" t="s">
        <v>28</v>
      </c>
      <c r="O1184" s="16">
        <v>46.36</v>
      </c>
      <c r="P1184" s="16">
        <v>15</v>
      </c>
      <c r="Q1184" s="16">
        <f t="shared" ref="Q1184:Q1193" si="236">O1184*P1184</f>
        <v>695.4</v>
      </c>
      <c r="R1184" s="240">
        <f>SUM(Q1184:Q1194)</f>
        <v>4976.25</v>
      </c>
      <c r="S1184" s="237">
        <v>21500</v>
      </c>
      <c r="T1184" s="237">
        <f>S1184-R1184</f>
        <v>16523.75</v>
      </c>
      <c r="U1184" s="241">
        <f>T1184/S1184</f>
        <v>0.76854651162790699</v>
      </c>
    </row>
    <row r="1185" spans="1:21" ht="13">
      <c r="A1185" s="286"/>
      <c r="B1185" s="245"/>
      <c r="C1185" s="19" t="s">
        <v>57</v>
      </c>
      <c r="D1185" s="17">
        <v>18.75</v>
      </c>
      <c r="E1185" s="17">
        <v>15</v>
      </c>
      <c r="F1185" s="17">
        <f t="shared" si="235"/>
        <v>281.25</v>
      </c>
      <c r="G1185" s="236"/>
      <c r="H1185" s="236"/>
      <c r="I1185" s="236"/>
      <c r="J1185" s="242"/>
      <c r="L1185" s="286"/>
      <c r="M1185" s="245"/>
      <c r="N1185" s="19" t="s">
        <v>57</v>
      </c>
      <c r="O1185" s="17">
        <v>18.75</v>
      </c>
      <c r="P1185" s="17">
        <v>15</v>
      </c>
      <c r="Q1185" s="17">
        <f t="shared" si="236"/>
        <v>281.25</v>
      </c>
      <c r="R1185" s="236"/>
      <c r="S1185" s="236"/>
      <c r="T1185" s="236"/>
      <c r="U1185" s="242"/>
    </row>
    <row r="1186" spans="1:21" ht="13">
      <c r="A1186" s="286"/>
      <c r="B1186" s="245"/>
      <c r="C1186" s="19" t="s">
        <v>560</v>
      </c>
      <c r="D1186" s="17">
        <v>13.8</v>
      </c>
      <c r="E1186" s="17">
        <v>15</v>
      </c>
      <c r="F1186" s="17">
        <f t="shared" si="235"/>
        <v>207</v>
      </c>
      <c r="G1186" s="236"/>
      <c r="H1186" s="236"/>
      <c r="I1186" s="236"/>
      <c r="J1186" s="242"/>
      <c r="L1186" s="286"/>
      <c r="M1186" s="245"/>
      <c r="N1186" s="19" t="s">
        <v>560</v>
      </c>
      <c r="O1186" s="17">
        <v>13.8</v>
      </c>
      <c r="P1186" s="17">
        <v>15</v>
      </c>
      <c r="Q1186" s="17">
        <f t="shared" si="236"/>
        <v>207</v>
      </c>
      <c r="R1186" s="236"/>
      <c r="S1186" s="236"/>
      <c r="T1186" s="236"/>
      <c r="U1186" s="242"/>
    </row>
    <row r="1187" spans="1:21" ht="13">
      <c r="A1187" s="286"/>
      <c r="B1187" s="245"/>
      <c r="C1187" s="19" t="s">
        <v>31</v>
      </c>
      <c r="D1187" s="17">
        <v>6.5</v>
      </c>
      <c r="E1187" s="17">
        <v>15</v>
      </c>
      <c r="F1187" s="17">
        <f t="shared" si="235"/>
        <v>97.5</v>
      </c>
      <c r="G1187" s="236"/>
      <c r="H1187" s="236"/>
      <c r="I1187" s="236"/>
      <c r="J1187" s="242"/>
      <c r="L1187" s="286"/>
      <c r="M1187" s="245"/>
      <c r="N1187" s="19" t="s">
        <v>31</v>
      </c>
      <c r="O1187" s="17">
        <v>6.5</v>
      </c>
      <c r="P1187" s="17">
        <v>15</v>
      </c>
      <c r="Q1187" s="17">
        <f t="shared" si="236"/>
        <v>97.5</v>
      </c>
      <c r="R1187" s="236"/>
      <c r="S1187" s="236"/>
      <c r="T1187" s="236"/>
      <c r="U1187" s="242"/>
    </row>
    <row r="1188" spans="1:21" ht="13">
      <c r="A1188" s="286"/>
      <c r="B1188" s="245"/>
      <c r="C1188" s="19" t="s">
        <v>50</v>
      </c>
      <c r="D1188" s="17">
        <v>58.1</v>
      </c>
      <c r="E1188" s="17">
        <v>15</v>
      </c>
      <c r="F1188" s="17">
        <f t="shared" si="235"/>
        <v>871.5</v>
      </c>
      <c r="G1188" s="236"/>
      <c r="H1188" s="236"/>
      <c r="I1188" s="236"/>
      <c r="J1188" s="242"/>
      <c r="L1188" s="286"/>
      <c r="M1188" s="245"/>
      <c r="N1188" s="19" t="s">
        <v>50</v>
      </c>
      <c r="O1188" s="17">
        <v>58.1</v>
      </c>
      <c r="P1188" s="17">
        <v>15</v>
      </c>
      <c r="Q1188" s="17">
        <f t="shared" si="236"/>
        <v>871.5</v>
      </c>
      <c r="R1188" s="236"/>
      <c r="S1188" s="236"/>
      <c r="T1188" s="236"/>
      <c r="U1188" s="242"/>
    </row>
    <row r="1189" spans="1:21" ht="13">
      <c r="A1189" s="286"/>
      <c r="B1189" s="245"/>
      <c r="C1189" s="19" t="s">
        <v>561</v>
      </c>
      <c r="D1189" s="17">
        <v>55.42</v>
      </c>
      <c r="E1189" s="17">
        <v>15</v>
      </c>
      <c r="F1189" s="17">
        <f t="shared" si="235"/>
        <v>831.30000000000007</v>
      </c>
      <c r="G1189" s="236"/>
      <c r="H1189" s="236"/>
      <c r="I1189" s="236"/>
      <c r="J1189" s="242"/>
      <c r="L1189" s="286"/>
      <c r="M1189" s="245"/>
      <c r="N1189" s="19" t="s">
        <v>561</v>
      </c>
      <c r="O1189" s="17">
        <v>55.42</v>
      </c>
      <c r="P1189" s="17">
        <v>15</v>
      </c>
      <c r="Q1189" s="17">
        <f t="shared" si="236"/>
        <v>831.30000000000007</v>
      </c>
      <c r="R1189" s="236"/>
      <c r="S1189" s="236"/>
      <c r="T1189" s="236"/>
      <c r="U1189" s="242"/>
    </row>
    <row r="1190" spans="1:21" ht="13">
      <c r="A1190" s="286"/>
      <c r="B1190" s="245"/>
      <c r="C1190" s="19" t="s">
        <v>65</v>
      </c>
      <c r="D1190" s="17">
        <v>11.5</v>
      </c>
      <c r="E1190" s="17">
        <v>15</v>
      </c>
      <c r="F1190" s="17">
        <f t="shared" si="235"/>
        <v>172.5</v>
      </c>
      <c r="G1190" s="236"/>
      <c r="H1190" s="236"/>
      <c r="I1190" s="236"/>
      <c r="J1190" s="242"/>
      <c r="L1190" s="286"/>
      <c r="M1190" s="245"/>
      <c r="N1190" s="19" t="s">
        <v>65</v>
      </c>
      <c r="O1190" s="17">
        <v>11.5</v>
      </c>
      <c r="P1190" s="17">
        <v>15</v>
      </c>
      <c r="Q1190" s="17">
        <f t="shared" si="236"/>
        <v>172.5</v>
      </c>
      <c r="R1190" s="236"/>
      <c r="S1190" s="236"/>
      <c r="T1190" s="236"/>
      <c r="U1190" s="242"/>
    </row>
    <row r="1191" spans="1:21" ht="13">
      <c r="A1191" s="286"/>
      <c r="B1191" s="245"/>
      <c r="C1191" s="19" t="s">
        <v>562</v>
      </c>
      <c r="D1191" s="17">
        <v>40.79</v>
      </c>
      <c r="E1191" s="17">
        <v>15</v>
      </c>
      <c r="F1191" s="17">
        <f t="shared" si="235"/>
        <v>611.85</v>
      </c>
      <c r="G1191" s="236"/>
      <c r="H1191" s="236"/>
      <c r="I1191" s="236"/>
      <c r="J1191" s="242"/>
      <c r="L1191" s="286"/>
      <c r="M1191" s="245"/>
      <c r="N1191" s="19" t="s">
        <v>562</v>
      </c>
      <c r="O1191" s="17">
        <v>40.79</v>
      </c>
      <c r="P1191" s="17">
        <v>15</v>
      </c>
      <c r="Q1191" s="17">
        <f t="shared" si="236"/>
        <v>611.85</v>
      </c>
      <c r="R1191" s="236"/>
      <c r="S1191" s="236"/>
      <c r="T1191" s="236"/>
      <c r="U1191" s="242"/>
    </row>
    <row r="1192" spans="1:21" ht="13">
      <c r="A1192" s="286"/>
      <c r="B1192" s="245"/>
      <c r="C1192" s="19" t="s">
        <v>563</v>
      </c>
      <c r="D1192" s="17">
        <v>37.4</v>
      </c>
      <c r="E1192" s="17">
        <v>15</v>
      </c>
      <c r="F1192" s="17">
        <f t="shared" si="235"/>
        <v>561</v>
      </c>
      <c r="G1192" s="236"/>
      <c r="H1192" s="236"/>
      <c r="I1192" s="236"/>
      <c r="J1192" s="242"/>
      <c r="L1192" s="286"/>
      <c r="M1192" s="245"/>
      <c r="N1192" s="19" t="s">
        <v>563</v>
      </c>
      <c r="O1192" s="17">
        <v>37.4</v>
      </c>
      <c r="P1192" s="17">
        <v>15</v>
      </c>
      <c r="Q1192" s="17">
        <f t="shared" si="236"/>
        <v>561</v>
      </c>
      <c r="R1192" s="236"/>
      <c r="S1192" s="236"/>
      <c r="T1192" s="236"/>
      <c r="U1192" s="242"/>
    </row>
    <row r="1193" spans="1:21" ht="13">
      <c r="A1193" s="286"/>
      <c r="B1193" s="245"/>
      <c r="C1193" s="19" t="s">
        <v>564</v>
      </c>
      <c r="D1193" s="17">
        <v>43.13</v>
      </c>
      <c r="E1193" s="17">
        <v>15</v>
      </c>
      <c r="F1193" s="17">
        <f t="shared" si="235"/>
        <v>646.95000000000005</v>
      </c>
      <c r="G1193" s="236"/>
      <c r="H1193" s="236"/>
      <c r="I1193" s="236"/>
      <c r="J1193" s="242"/>
      <c r="L1193" s="286"/>
      <c r="M1193" s="245"/>
      <c r="N1193" s="19" t="s">
        <v>564</v>
      </c>
      <c r="O1193" s="17">
        <v>43.13</v>
      </c>
      <c r="P1193" s="17">
        <v>15</v>
      </c>
      <c r="Q1193" s="17">
        <f t="shared" si="236"/>
        <v>646.95000000000005</v>
      </c>
      <c r="R1193" s="236"/>
      <c r="S1193" s="236"/>
      <c r="T1193" s="236"/>
      <c r="U1193" s="242"/>
    </row>
    <row r="1194" spans="1:21" ht="13">
      <c r="A1194" s="286"/>
      <c r="B1194" s="246"/>
      <c r="C1194" s="20"/>
      <c r="D1194" s="21"/>
      <c r="E1194" s="21"/>
      <c r="F1194" s="21"/>
      <c r="G1194" s="238"/>
      <c r="H1194" s="238"/>
      <c r="I1194" s="238"/>
      <c r="J1194" s="243"/>
      <c r="L1194" s="286"/>
      <c r="M1194" s="246"/>
      <c r="N1194" s="20"/>
      <c r="O1194" s="21"/>
      <c r="P1194" s="21"/>
      <c r="Q1194" s="21"/>
      <c r="R1194" s="238"/>
      <c r="S1194" s="238"/>
      <c r="T1194" s="238"/>
      <c r="U1194" s="243"/>
    </row>
    <row r="1195" spans="1:21" ht="13">
      <c r="A1195" s="286"/>
      <c r="B1195" s="244" t="s">
        <v>565</v>
      </c>
      <c r="C1195" s="15" t="s">
        <v>29</v>
      </c>
      <c r="D1195" s="16">
        <v>17.190000000000001</v>
      </c>
      <c r="E1195" s="16">
        <v>13</v>
      </c>
      <c r="F1195" s="16">
        <f t="shared" ref="F1195:F1201" si="237">D1195*E1195</f>
        <v>223.47000000000003</v>
      </c>
      <c r="G1195" s="240">
        <f>SUM(F1195:F1201)</f>
        <v>1127.8800000000001</v>
      </c>
      <c r="H1195" s="237">
        <v>4420.28</v>
      </c>
      <c r="I1195" s="237">
        <f>H1195-G1195</f>
        <v>3292.3999999999996</v>
      </c>
      <c r="J1195" s="241">
        <f>I1195/H1195</f>
        <v>0.74483969341308687</v>
      </c>
      <c r="L1195" s="286"/>
      <c r="M1195" s="244" t="s">
        <v>565</v>
      </c>
      <c r="N1195" s="15" t="s">
        <v>29</v>
      </c>
      <c r="O1195" s="16">
        <v>17.190000000000001</v>
      </c>
      <c r="P1195" s="16">
        <v>13</v>
      </c>
      <c r="Q1195" s="16">
        <f t="shared" ref="Q1195:Q1201" si="238">O1195*P1195</f>
        <v>223.47000000000003</v>
      </c>
      <c r="R1195" s="240">
        <f>SUM(Q1195:Q1201)</f>
        <v>1127.8800000000001</v>
      </c>
      <c r="S1195" s="237">
        <v>4420.28</v>
      </c>
      <c r="T1195" s="237">
        <f>S1195-R1195</f>
        <v>3292.3999999999996</v>
      </c>
      <c r="U1195" s="241">
        <f>T1195/S1195</f>
        <v>0.74483969341308687</v>
      </c>
    </row>
    <row r="1196" spans="1:21" ht="13">
      <c r="A1196" s="286"/>
      <c r="B1196" s="245"/>
      <c r="C1196" s="19" t="s">
        <v>30</v>
      </c>
      <c r="D1196" s="17">
        <v>17.34</v>
      </c>
      <c r="E1196" s="17">
        <v>13</v>
      </c>
      <c r="F1196" s="17">
        <f t="shared" si="237"/>
        <v>225.42</v>
      </c>
      <c r="G1196" s="236"/>
      <c r="H1196" s="236"/>
      <c r="I1196" s="236"/>
      <c r="J1196" s="242"/>
      <c r="L1196" s="286"/>
      <c r="M1196" s="245"/>
      <c r="N1196" s="19" t="s">
        <v>30</v>
      </c>
      <c r="O1196" s="17">
        <v>17.34</v>
      </c>
      <c r="P1196" s="17">
        <v>13</v>
      </c>
      <c r="Q1196" s="17">
        <f t="shared" si="238"/>
        <v>225.42</v>
      </c>
      <c r="R1196" s="236"/>
      <c r="S1196" s="236"/>
      <c r="T1196" s="236"/>
      <c r="U1196" s="242"/>
    </row>
    <row r="1197" spans="1:21" ht="13">
      <c r="A1197" s="286"/>
      <c r="B1197" s="245"/>
      <c r="C1197" s="19" t="s">
        <v>32</v>
      </c>
      <c r="D1197" s="17">
        <v>13.12</v>
      </c>
      <c r="E1197" s="17">
        <v>13</v>
      </c>
      <c r="F1197" s="17">
        <f t="shared" si="237"/>
        <v>170.56</v>
      </c>
      <c r="G1197" s="236"/>
      <c r="H1197" s="236"/>
      <c r="I1197" s="236"/>
      <c r="J1197" s="242"/>
      <c r="L1197" s="286"/>
      <c r="M1197" s="245"/>
      <c r="N1197" s="19" t="s">
        <v>32</v>
      </c>
      <c r="O1197" s="17">
        <v>13.12</v>
      </c>
      <c r="P1197" s="17">
        <v>13</v>
      </c>
      <c r="Q1197" s="17">
        <f t="shared" si="238"/>
        <v>170.56</v>
      </c>
      <c r="R1197" s="236"/>
      <c r="S1197" s="236"/>
      <c r="T1197" s="236"/>
      <c r="U1197" s="242"/>
    </row>
    <row r="1198" spans="1:21" ht="13">
      <c r="A1198" s="286"/>
      <c r="B1198" s="245"/>
      <c r="C1198" s="19" t="s">
        <v>31</v>
      </c>
      <c r="D1198" s="17">
        <v>13.73</v>
      </c>
      <c r="E1198" s="17">
        <v>13</v>
      </c>
      <c r="F1198" s="17">
        <f t="shared" si="237"/>
        <v>178.49</v>
      </c>
      <c r="G1198" s="236"/>
      <c r="H1198" s="236"/>
      <c r="I1198" s="236"/>
      <c r="J1198" s="242"/>
      <c r="L1198" s="286"/>
      <c r="M1198" s="245"/>
      <c r="N1198" s="19" t="s">
        <v>31</v>
      </c>
      <c r="O1198" s="17">
        <v>13.73</v>
      </c>
      <c r="P1198" s="17">
        <v>13</v>
      </c>
      <c r="Q1198" s="17">
        <f t="shared" si="238"/>
        <v>178.49</v>
      </c>
      <c r="R1198" s="236"/>
      <c r="S1198" s="236"/>
      <c r="T1198" s="236"/>
      <c r="U1198" s="242"/>
    </row>
    <row r="1199" spans="1:21" ht="13">
      <c r="A1199" s="286"/>
      <c r="B1199" s="245"/>
      <c r="C1199" s="19" t="s">
        <v>72</v>
      </c>
      <c r="D1199" s="17">
        <v>13.15</v>
      </c>
      <c r="E1199" s="17">
        <v>13</v>
      </c>
      <c r="F1199" s="17">
        <f t="shared" si="237"/>
        <v>170.95000000000002</v>
      </c>
      <c r="G1199" s="236"/>
      <c r="H1199" s="236"/>
      <c r="I1199" s="236"/>
      <c r="J1199" s="242"/>
      <c r="L1199" s="286"/>
      <c r="M1199" s="245"/>
      <c r="N1199" s="19" t="s">
        <v>72</v>
      </c>
      <c r="O1199" s="17">
        <v>13.15</v>
      </c>
      <c r="P1199" s="17">
        <v>13</v>
      </c>
      <c r="Q1199" s="17">
        <f t="shared" si="238"/>
        <v>170.95000000000002</v>
      </c>
      <c r="R1199" s="236"/>
      <c r="S1199" s="236"/>
      <c r="T1199" s="236"/>
      <c r="U1199" s="242"/>
    </row>
    <row r="1200" spans="1:21" ht="13">
      <c r="A1200" s="286"/>
      <c r="B1200" s="245"/>
      <c r="C1200" s="19" t="s">
        <v>38</v>
      </c>
      <c r="D1200" s="17">
        <v>8.23</v>
      </c>
      <c r="E1200" s="17">
        <v>13</v>
      </c>
      <c r="F1200" s="17">
        <f t="shared" si="237"/>
        <v>106.99000000000001</v>
      </c>
      <c r="G1200" s="236"/>
      <c r="H1200" s="236"/>
      <c r="I1200" s="236"/>
      <c r="J1200" s="242"/>
      <c r="L1200" s="286"/>
      <c r="M1200" s="245"/>
      <c r="N1200" s="19" t="s">
        <v>38</v>
      </c>
      <c r="O1200" s="17">
        <v>8.23</v>
      </c>
      <c r="P1200" s="17">
        <v>13</v>
      </c>
      <c r="Q1200" s="17">
        <f t="shared" si="238"/>
        <v>106.99000000000001</v>
      </c>
      <c r="R1200" s="236"/>
      <c r="S1200" s="236"/>
      <c r="T1200" s="236"/>
      <c r="U1200" s="242"/>
    </row>
    <row r="1201" spans="1:21" ht="13">
      <c r="A1201" s="286"/>
      <c r="B1201" s="246"/>
      <c r="C1201" s="20" t="s">
        <v>566</v>
      </c>
      <c r="D1201" s="21">
        <v>4</v>
      </c>
      <c r="E1201" s="21">
        <v>13</v>
      </c>
      <c r="F1201" s="17">
        <f t="shared" si="237"/>
        <v>52</v>
      </c>
      <c r="G1201" s="238"/>
      <c r="H1201" s="238"/>
      <c r="I1201" s="238"/>
      <c r="J1201" s="243"/>
      <c r="L1201" s="286"/>
      <c r="M1201" s="246"/>
      <c r="N1201" s="20" t="s">
        <v>566</v>
      </c>
      <c r="O1201" s="21">
        <v>4</v>
      </c>
      <c r="P1201" s="21">
        <v>13</v>
      </c>
      <c r="Q1201" s="17">
        <f t="shared" si="238"/>
        <v>52</v>
      </c>
      <c r="R1201" s="238"/>
      <c r="S1201" s="238"/>
      <c r="T1201" s="238"/>
      <c r="U1201" s="243"/>
    </row>
    <row r="1202" spans="1:21" ht="13">
      <c r="A1202" s="286"/>
      <c r="B1202" s="244" t="s">
        <v>567</v>
      </c>
      <c r="C1202" s="15" t="s">
        <v>70</v>
      </c>
      <c r="D1202" s="16"/>
      <c r="E1202" s="16"/>
      <c r="F1202" s="16">
        <v>698</v>
      </c>
      <c r="G1202" s="240">
        <f>SUM(F1202:F1208)</f>
        <v>2255.6799999999998</v>
      </c>
      <c r="H1202" s="237">
        <v>8331.49</v>
      </c>
      <c r="I1202" s="237">
        <f>H1202-G1202</f>
        <v>6075.8099999999995</v>
      </c>
      <c r="J1202" s="241">
        <f>I1202/H1202</f>
        <v>0.72925851198285052</v>
      </c>
      <c r="L1202" s="286"/>
      <c r="M1202" s="244" t="s">
        <v>567</v>
      </c>
      <c r="N1202" s="15" t="s">
        <v>70</v>
      </c>
      <c r="O1202" s="16"/>
      <c r="P1202" s="16"/>
      <c r="Q1202" s="16">
        <v>698</v>
      </c>
      <c r="R1202" s="240">
        <f>SUM(Q1202:Q1208)</f>
        <v>1751.68</v>
      </c>
      <c r="S1202" s="237">
        <v>8331.49</v>
      </c>
      <c r="T1202" s="237">
        <f>S1202-R1202</f>
        <v>6579.8099999999995</v>
      </c>
      <c r="U1202" s="241">
        <f>T1202/S1202</f>
        <v>0.78975189311875782</v>
      </c>
    </row>
    <row r="1203" spans="1:21" ht="13">
      <c r="A1203" s="286"/>
      <c r="B1203" s="245"/>
      <c r="C1203" s="19" t="s">
        <v>23</v>
      </c>
      <c r="D1203" s="17">
        <v>28</v>
      </c>
      <c r="E1203" s="17">
        <v>18</v>
      </c>
      <c r="F1203" s="17">
        <f>D1203*E1203</f>
        <v>504</v>
      </c>
      <c r="G1203" s="236"/>
      <c r="H1203" s="236"/>
      <c r="I1203" s="236"/>
      <c r="J1203" s="242"/>
      <c r="L1203" s="286"/>
      <c r="M1203" s="245"/>
      <c r="N1203" s="19" t="s">
        <v>23</v>
      </c>
      <c r="O1203" s="18"/>
      <c r="P1203" s="18"/>
      <c r="Q1203" s="18"/>
      <c r="R1203" s="236"/>
      <c r="S1203" s="236"/>
      <c r="T1203" s="236"/>
      <c r="U1203" s="242"/>
    </row>
    <row r="1204" spans="1:21" ht="13">
      <c r="A1204" s="286"/>
      <c r="B1204" s="245"/>
      <c r="C1204" s="19" t="s">
        <v>44</v>
      </c>
      <c r="D1204" s="17"/>
      <c r="E1204" s="17"/>
      <c r="F1204" s="17">
        <v>78.2</v>
      </c>
      <c r="G1204" s="236"/>
      <c r="H1204" s="236"/>
      <c r="I1204" s="236"/>
      <c r="J1204" s="242"/>
      <c r="L1204" s="286"/>
      <c r="M1204" s="245"/>
      <c r="N1204" s="19" t="s">
        <v>44</v>
      </c>
      <c r="O1204" s="17"/>
      <c r="P1204" s="17"/>
      <c r="Q1204" s="17">
        <v>78.2</v>
      </c>
      <c r="R1204" s="236"/>
      <c r="S1204" s="236"/>
      <c r="T1204" s="236"/>
      <c r="U1204" s="242"/>
    </row>
    <row r="1205" spans="1:21" ht="13">
      <c r="A1205" s="286"/>
      <c r="B1205" s="245"/>
      <c r="C1205" s="19" t="s">
        <v>47</v>
      </c>
      <c r="D1205" s="17"/>
      <c r="E1205" s="17"/>
      <c r="F1205" s="17">
        <v>353.71</v>
      </c>
      <c r="G1205" s="236"/>
      <c r="H1205" s="236"/>
      <c r="I1205" s="236"/>
      <c r="J1205" s="242"/>
      <c r="L1205" s="286"/>
      <c r="M1205" s="245"/>
      <c r="N1205" s="19" t="s">
        <v>47</v>
      </c>
      <c r="O1205" s="17"/>
      <c r="P1205" s="17"/>
      <c r="Q1205" s="17">
        <v>353.71</v>
      </c>
      <c r="R1205" s="236"/>
      <c r="S1205" s="236"/>
      <c r="T1205" s="236"/>
      <c r="U1205" s="242"/>
    </row>
    <row r="1206" spans="1:21" ht="13">
      <c r="A1206" s="286"/>
      <c r="B1206" s="245"/>
      <c r="C1206" s="19" t="s">
        <v>45</v>
      </c>
      <c r="D1206" s="17"/>
      <c r="E1206" s="17"/>
      <c r="F1206" s="17">
        <v>176.5</v>
      </c>
      <c r="G1206" s="236"/>
      <c r="H1206" s="236"/>
      <c r="I1206" s="236"/>
      <c r="J1206" s="242"/>
      <c r="L1206" s="286"/>
      <c r="M1206" s="245"/>
      <c r="N1206" s="19" t="s">
        <v>45</v>
      </c>
      <c r="O1206" s="17"/>
      <c r="P1206" s="17"/>
      <c r="Q1206" s="17">
        <v>176.5</v>
      </c>
      <c r="R1206" s="236"/>
      <c r="S1206" s="236"/>
      <c r="T1206" s="236"/>
      <c r="U1206" s="242"/>
    </row>
    <row r="1207" spans="1:21" ht="13">
      <c r="A1207" s="286"/>
      <c r="B1207" s="245"/>
      <c r="C1207" s="19" t="s">
        <v>568</v>
      </c>
      <c r="D1207" s="17"/>
      <c r="E1207" s="17"/>
      <c r="F1207" s="17">
        <v>92.86</v>
      </c>
      <c r="G1207" s="236"/>
      <c r="H1207" s="236"/>
      <c r="I1207" s="236"/>
      <c r="J1207" s="242"/>
      <c r="L1207" s="286"/>
      <c r="M1207" s="245"/>
      <c r="N1207" s="19" t="s">
        <v>568</v>
      </c>
      <c r="O1207" s="17"/>
      <c r="P1207" s="17"/>
      <c r="Q1207" s="17">
        <v>92.86</v>
      </c>
      <c r="R1207" s="236"/>
      <c r="S1207" s="236"/>
      <c r="T1207" s="236"/>
      <c r="U1207" s="242"/>
    </row>
    <row r="1208" spans="1:21" ht="13">
      <c r="A1208" s="286"/>
      <c r="B1208" s="246"/>
      <c r="C1208" s="20" t="s">
        <v>33</v>
      </c>
      <c r="D1208" s="21"/>
      <c r="E1208" s="21"/>
      <c r="F1208" s="21">
        <v>352.41</v>
      </c>
      <c r="G1208" s="238"/>
      <c r="H1208" s="238"/>
      <c r="I1208" s="238"/>
      <c r="J1208" s="243"/>
      <c r="L1208" s="286"/>
      <c r="M1208" s="246"/>
      <c r="N1208" s="20" t="s">
        <v>33</v>
      </c>
      <c r="O1208" s="21"/>
      <c r="P1208" s="21"/>
      <c r="Q1208" s="21">
        <v>352.41</v>
      </c>
      <c r="R1208" s="238"/>
      <c r="S1208" s="238"/>
      <c r="T1208" s="238"/>
      <c r="U1208" s="243"/>
    </row>
    <row r="1209" spans="1:21" ht="30">
      <c r="A1209" s="278" t="s">
        <v>569</v>
      </c>
      <c r="B1209" s="252"/>
      <c r="C1209" s="253"/>
      <c r="D1209" s="56">
        <f t="shared" ref="D1209:I1209" si="239">AVERAGE(D1163:D1208)</f>
        <v>24.598888888888897</v>
      </c>
      <c r="E1209" s="56">
        <f t="shared" si="239"/>
        <v>14.925925925925926</v>
      </c>
      <c r="F1209" s="56">
        <f t="shared" si="239"/>
        <v>309.82022222222224</v>
      </c>
      <c r="G1209" s="56">
        <f t="shared" si="239"/>
        <v>1742.73875</v>
      </c>
      <c r="H1209" s="56">
        <f t="shared" si="239"/>
        <v>6086.1987499999996</v>
      </c>
      <c r="I1209" s="56">
        <f t="shared" si="239"/>
        <v>4343.46</v>
      </c>
      <c r="J1209" s="57">
        <f>AVERAGE($J$12:$J$76)</f>
        <v>0.79942354689485917</v>
      </c>
      <c r="L1209" s="278" t="s">
        <v>569</v>
      </c>
      <c r="M1209" s="252"/>
      <c r="N1209" s="253"/>
      <c r="O1209" s="56">
        <f t="shared" ref="O1209:T1209" si="240">AVERAGE(O1163:O1208)</f>
        <v>24.326800000000006</v>
      </c>
      <c r="P1209" s="56">
        <f t="shared" si="240"/>
        <v>14.76</v>
      </c>
      <c r="Q1209" s="56">
        <f t="shared" si="240"/>
        <v>302.09093023255815</v>
      </c>
      <c r="R1209" s="56">
        <f t="shared" si="240"/>
        <v>1623.73875</v>
      </c>
      <c r="S1209" s="56">
        <f t="shared" si="240"/>
        <v>6086.1987499999996</v>
      </c>
      <c r="T1209" s="56">
        <f t="shared" si="240"/>
        <v>4462.46</v>
      </c>
      <c r="U1209" s="57">
        <f>AVERAGE($J$12:$J$76)</f>
        <v>0.79942354689485917</v>
      </c>
    </row>
    <row r="1210" spans="1:21" ht="30">
      <c r="A1210" s="279" t="s">
        <v>570</v>
      </c>
      <c r="B1210" s="255"/>
      <c r="C1210" s="256"/>
      <c r="D1210" s="72">
        <f t="shared" ref="D1210:I1210" si="241">SUM(D1163:D1208)</f>
        <v>664.17000000000019</v>
      </c>
      <c r="E1210" s="72">
        <f t="shared" si="241"/>
        <v>403</v>
      </c>
      <c r="F1210" s="72">
        <f t="shared" si="241"/>
        <v>13941.91</v>
      </c>
      <c r="G1210" s="72">
        <f t="shared" si="241"/>
        <v>13941.91</v>
      </c>
      <c r="H1210" s="72">
        <f t="shared" si="241"/>
        <v>48689.59</v>
      </c>
      <c r="I1210" s="72">
        <f t="shared" si="241"/>
        <v>34747.68</v>
      </c>
      <c r="J1210" s="76">
        <f>I1210/H1210</f>
        <v>0.71365727252991862</v>
      </c>
      <c r="L1210" s="279" t="s">
        <v>570</v>
      </c>
      <c r="M1210" s="255"/>
      <c r="N1210" s="256"/>
      <c r="O1210" s="72">
        <f t="shared" ref="O1210:T1210" si="242">SUM(O1163:O1208)</f>
        <v>608.17000000000019</v>
      </c>
      <c r="P1210" s="72">
        <f t="shared" si="242"/>
        <v>369</v>
      </c>
      <c r="Q1210" s="72">
        <f t="shared" si="242"/>
        <v>12989.91</v>
      </c>
      <c r="R1210" s="72">
        <f t="shared" si="242"/>
        <v>12989.91</v>
      </c>
      <c r="S1210" s="72">
        <f t="shared" si="242"/>
        <v>48689.59</v>
      </c>
      <c r="T1210" s="72">
        <f t="shared" si="242"/>
        <v>35699.68</v>
      </c>
      <c r="U1210" s="76">
        <f>T1210/S1210</f>
        <v>0.73320970663338925</v>
      </c>
    </row>
    <row r="1212" spans="1:21" ht="30">
      <c r="A1212" s="257" t="s">
        <v>571</v>
      </c>
      <c r="B1212" s="252"/>
      <c r="C1212" s="253"/>
      <c r="D1212" s="34">
        <f t="shared" ref="D1212:I1212" si="243">SUM(D1048,D1162,D1210)</f>
        <v>2090.08</v>
      </c>
      <c r="E1212" s="34">
        <f t="shared" si="243"/>
        <v>1656.5</v>
      </c>
      <c r="F1212" s="34">
        <f t="shared" si="243"/>
        <v>71633.83</v>
      </c>
      <c r="G1212" s="34">
        <f t="shared" si="243"/>
        <v>71633.829999999987</v>
      </c>
      <c r="H1212" s="34">
        <f t="shared" si="243"/>
        <v>206485.93</v>
      </c>
      <c r="I1212" s="34">
        <f t="shared" si="243"/>
        <v>134852.1</v>
      </c>
      <c r="J1212" s="35">
        <f>I1212/H1212</f>
        <v>0.65308130195602199</v>
      </c>
      <c r="L1212" s="257" t="s">
        <v>571</v>
      </c>
      <c r="M1212" s="252"/>
      <c r="N1212" s="253"/>
      <c r="O1212" s="34">
        <f t="shared" ref="O1212:T1212" si="244">SUM(O1048,O1162,O1210)</f>
        <v>1766.5800000000004</v>
      </c>
      <c r="P1212" s="34">
        <f t="shared" si="244"/>
        <v>1347.5</v>
      </c>
      <c r="Q1212" s="34">
        <f t="shared" si="244"/>
        <v>60808.429999999993</v>
      </c>
      <c r="R1212" s="34">
        <f t="shared" si="244"/>
        <v>60808.429999999993</v>
      </c>
      <c r="S1212" s="34">
        <f t="shared" si="244"/>
        <v>204217.56999999998</v>
      </c>
      <c r="T1212" s="34">
        <f t="shared" si="244"/>
        <v>143409.13999999998</v>
      </c>
      <c r="U1212" s="35">
        <f>T1212/S1212</f>
        <v>0.70223703082942379</v>
      </c>
    </row>
  </sheetData>
  <mergeCells count="2092">
    <mergeCell ref="G1102:G1103"/>
    <mergeCell ref="G1104:G1105"/>
    <mergeCell ref="G1106:G1107"/>
    <mergeCell ref="G1108:G1112"/>
    <mergeCell ref="G1113:G1119"/>
    <mergeCell ref="G1120:G1127"/>
    <mergeCell ref="G1128:G1130"/>
    <mergeCell ref="G1131:G1132"/>
    <mergeCell ref="G1016:G1017"/>
    <mergeCell ref="G1018:G1019"/>
    <mergeCell ref="G1020:G1026"/>
    <mergeCell ref="G1027:G1031"/>
    <mergeCell ref="G1032:G1035"/>
    <mergeCell ref="G1036:G1044"/>
    <mergeCell ref="H1049:H1055"/>
    <mergeCell ref="H1056:H1071"/>
    <mergeCell ref="H1072:H1078"/>
    <mergeCell ref="H1079:H1081"/>
    <mergeCell ref="H1082:H1088"/>
    <mergeCell ref="H1089:H1097"/>
    <mergeCell ref="H1098:H1101"/>
    <mergeCell ref="G1056:G1071"/>
    <mergeCell ref="G1072:G1078"/>
    <mergeCell ref="G1079:G1081"/>
    <mergeCell ref="G1082:G1088"/>
    <mergeCell ref="G1089:G1097"/>
    <mergeCell ref="G1098:G1101"/>
    <mergeCell ref="J1016:J1017"/>
    <mergeCell ref="I1018:I1019"/>
    <mergeCell ref="J1018:J1019"/>
    <mergeCell ref="H1131:H1132"/>
    <mergeCell ref="H1133:H1137"/>
    <mergeCell ref="G1159:G1160"/>
    <mergeCell ref="H1159:H1160"/>
    <mergeCell ref="H1102:H1103"/>
    <mergeCell ref="H1104:H1105"/>
    <mergeCell ref="H1106:H1107"/>
    <mergeCell ref="H1108:H1112"/>
    <mergeCell ref="H1113:H1119"/>
    <mergeCell ref="H1120:H1127"/>
    <mergeCell ref="H1128:H1130"/>
    <mergeCell ref="G994:G1000"/>
    <mergeCell ref="H994:H1000"/>
    <mergeCell ref="G1001:G1007"/>
    <mergeCell ref="H1001:H1007"/>
    <mergeCell ref="G1008:G1013"/>
    <mergeCell ref="H1008:H1013"/>
    <mergeCell ref="H1014:H1015"/>
    <mergeCell ref="G1045:G1046"/>
    <mergeCell ref="G1049:G1055"/>
    <mergeCell ref="I1049:I1055"/>
    <mergeCell ref="H1016:H1017"/>
    <mergeCell ref="H1018:H1019"/>
    <mergeCell ref="H1020:H1026"/>
    <mergeCell ref="H1027:H1031"/>
    <mergeCell ref="H1032:H1035"/>
    <mergeCell ref="H1036:H1044"/>
    <mergeCell ref="H1045:H1046"/>
    <mergeCell ref="G1014:G1015"/>
    <mergeCell ref="I916:I919"/>
    <mergeCell ref="J916:J919"/>
    <mergeCell ref="I920:I921"/>
    <mergeCell ref="J920:J921"/>
    <mergeCell ref="I922:I924"/>
    <mergeCell ref="J922:J924"/>
    <mergeCell ref="I925:I945"/>
    <mergeCell ref="J925:J945"/>
    <mergeCell ref="I946:I949"/>
    <mergeCell ref="J946:J949"/>
    <mergeCell ref="I950:I953"/>
    <mergeCell ref="J950:J953"/>
    <mergeCell ref="J954:J958"/>
    <mergeCell ref="I954:I958"/>
    <mergeCell ref="I959:I961"/>
    <mergeCell ref="I962:I968"/>
    <mergeCell ref="I969:I976"/>
    <mergeCell ref="G916:G919"/>
    <mergeCell ref="H916:H919"/>
    <mergeCell ref="H920:H921"/>
    <mergeCell ref="G823:G831"/>
    <mergeCell ref="G832:G838"/>
    <mergeCell ref="G839:G844"/>
    <mergeCell ref="G847:G850"/>
    <mergeCell ref="H847:H850"/>
    <mergeCell ref="G851:G858"/>
    <mergeCell ref="H851:H858"/>
    <mergeCell ref="G859:G865"/>
    <mergeCell ref="H859:H865"/>
    <mergeCell ref="G866:G872"/>
    <mergeCell ref="H866:H872"/>
    <mergeCell ref="G873:G879"/>
    <mergeCell ref="H873:H879"/>
    <mergeCell ref="H880:H884"/>
    <mergeCell ref="I814:I822"/>
    <mergeCell ref="J814:J822"/>
    <mergeCell ref="I823:I831"/>
    <mergeCell ref="J823:J831"/>
    <mergeCell ref="I832:I838"/>
    <mergeCell ref="J832:J838"/>
    <mergeCell ref="G880:G884"/>
    <mergeCell ref="G885:G891"/>
    <mergeCell ref="H885:H891"/>
    <mergeCell ref="G892:G902"/>
    <mergeCell ref="H892:H902"/>
    <mergeCell ref="G903:G905"/>
    <mergeCell ref="H903:H905"/>
    <mergeCell ref="G906:G912"/>
    <mergeCell ref="H906:H912"/>
    <mergeCell ref="G913:G915"/>
    <mergeCell ref="H913:H915"/>
    <mergeCell ref="I892:I902"/>
    <mergeCell ref="J892:J902"/>
    <mergeCell ref="I903:I905"/>
    <mergeCell ref="J903:J905"/>
    <mergeCell ref="I906:I912"/>
    <mergeCell ref="J906:J912"/>
    <mergeCell ref="J913:J915"/>
    <mergeCell ref="I913:I915"/>
    <mergeCell ref="I628:I632"/>
    <mergeCell ref="J628:J632"/>
    <mergeCell ref="I633:I644"/>
    <mergeCell ref="J633:J644"/>
    <mergeCell ref="I645:I652"/>
    <mergeCell ref="J645:J652"/>
    <mergeCell ref="I274:I275"/>
    <mergeCell ref="I494:I498"/>
    <mergeCell ref="I653:I660"/>
    <mergeCell ref="J653:J660"/>
    <mergeCell ref="I661:I664"/>
    <mergeCell ref="J661:J664"/>
    <mergeCell ref="I265:I266"/>
    <mergeCell ref="J265:J266"/>
    <mergeCell ref="I272:I273"/>
    <mergeCell ref="J272:J273"/>
    <mergeCell ref="J274:J275"/>
    <mergeCell ref="J276:J279"/>
    <mergeCell ref="I550:I555"/>
    <mergeCell ref="J550:J555"/>
    <mergeCell ref="I556:I565"/>
    <mergeCell ref="J556:J565"/>
    <mergeCell ref="I566:I568"/>
    <mergeCell ref="J566:J568"/>
    <mergeCell ref="I569:I572"/>
    <mergeCell ref="J569:J572"/>
    <mergeCell ref="I573:I575"/>
    <mergeCell ref="J573:J575"/>
    <mergeCell ref="I576:I597"/>
    <mergeCell ref="J576:J597"/>
    <mergeCell ref="I598:I613"/>
    <mergeCell ref="J598:J613"/>
    <mergeCell ref="I614:I620"/>
    <mergeCell ref="J614:J620"/>
    <mergeCell ref="I621:I627"/>
    <mergeCell ref="J621:J627"/>
    <mergeCell ref="I504:I511"/>
    <mergeCell ref="J504:J511"/>
    <mergeCell ref="I512:I514"/>
    <mergeCell ref="J512:J514"/>
    <mergeCell ref="I515:I517"/>
    <mergeCell ref="J515:J517"/>
    <mergeCell ref="I518:I520"/>
    <mergeCell ref="J518:J520"/>
    <mergeCell ref="I521:I530"/>
    <mergeCell ref="J521:J530"/>
    <mergeCell ref="I531:I539"/>
    <mergeCell ref="J531:J539"/>
    <mergeCell ref="I540:I542"/>
    <mergeCell ref="J540:J542"/>
    <mergeCell ref="I543:I545"/>
    <mergeCell ref="J543:J545"/>
    <mergeCell ref="I546:I549"/>
    <mergeCell ref="J546:J549"/>
    <mergeCell ref="I240:I243"/>
    <mergeCell ref="J240:J243"/>
    <mergeCell ref="I244:I247"/>
    <mergeCell ref="J244:J247"/>
    <mergeCell ref="I248:I253"/>
    <mergeCell ref="J248:J253"/>
    <mergeCell ref="I254:I264"/>
    <mergeCell ref="J254:J264"/>
    <mergeCell ref="I145:I153"/>
    <mergeCell ref="J145:J153"/>
    <mergeCell ref="I166:I176"/>
    <mergeCell ref="J166:J176"/>
    <mergeCell ref="L166:L266"/>
    <mergeCell ref="I177:I180"/>
    <mergeCell ref="J177:J180"/>
    <mergeCell ref="J494:J498"/>
    <mergeCell ref="I499:I503"/>
    <mergeCell ref="J499:J503"/>
    <mergeCell ref="L490:L664"/>
    <mergeCell ref="I1138:I1142"/>
    <mergeCell ref="J1138:J1142"/>
    <mergeCell ref="I1143:I1148"/>
    <mergeCell ref="J1143:J1148"/>
    <mergeCell ref="I1149:I1150"/>
    <mergeCell ref="J1149:J1150"/>
    <mergeCell ref="I1159:I1160"/>
    <mergeCell ref="J1159:J1160"/>
    <mergeCell ref="L994:L1046"/>
    <mergeCell ref="J1045:J1046"/>
    <mergeCell ref="L1049:L1160"/>
    <mergeCell ref="I1056:I1071"/>
    <mergeCell ref="J1056:J1071"/>
    <mergeCell ref="I1072:I1078"/>
    <mergeCell ref="J1072:J1078"/>
    <mergeCell ref="L1163:L1208"/>
    <mergeCell ref="I1106:I1107"/>
    <mergeCell ref="J1106:J1107"/>
    <mergeCell ref="I1108:I1112"/>
    <mergeCell ref="J1108:J1112"/>
    <mergeCell ref="I1113:I1119"/>
    <mergeCell ref="J1113:J1119"/>
    <mergeCell ref="I1120:I1127"/>
    <mergeCell ref="J1120:J1127"/>
    <mergeCell ref="I1128:I1130"/>
    <mergeCell ref="J1128:J1130"/>
    <mergeCell ref="I1131:I1132"/>
    <mergeCell ref="J1131:J1132"/>
    <mergeCell ref="I1133:I1137"/>
    <mergeCell ref="J1133:J1137"/>
    <mergeCell ref="I994:I1000"/>
    <mergeCell ref="I1001:I1007"/>
    <mergeCell ref="I676:I684"/>
    <mergeCell ref="J676:J684"/>
    <mergeCell ref="J685:J691"/>
    <mergeCell ref="J692:J696"/>
    <mergeCell ref="L745:L844"/>
    <mergeCell ref="L847:L988"/>
    <mergeCell ref="I1079:I1081"/>
    <mergeCell ref="J1079:J1081"/>
    <mergeCell ref="I1082:I1088"/>
    <mergeCell ref="J1082:J1088"/>
    <mergeCell ref="I1098:I1101"/>
    <mergeCell ref="J1098:J1101"/>
    <mergeCell ref="I1102:I1103"/>
    <mergeCell ref="J1102:J1103"/>
    <mergeCell ref="I1104:I1105"/>
    <mergeCell ref="J1104:J1105"/>
    <mergeCell ref="I1089:I1097"/>
    <mergeCell ref="J1089:J1097"/>
    <mergeCell ref="I697:I698"/>
    <mergeCell ref="J697:J698"/>
    <mergeCell ref="I699:I701"/>
    <mergeCell ref="J699:J701"/>
    <mergeCell ref="I731:I732"/>
    <mergeCell ref="J731:J732"/>
    <mergeCell ref="I702:I730"/>
    <mergeCell ref="J702:J730"/>
    <mergeCell ref="I733:I734"/>
    <mergeCell ref="J733:J734"/>
    <mergeCell ref="I735:I736"/>
    <mergeCell ref="J735:J736"/>
    <mergeCell ref="I737:I739"/>
    <mergeCell ref="J737:J739"/>
    <mergeCell ref="I692:I696"/>
    <mergeCell ref="I759:I760"/>
    <mergeCell ref="I839:I844"/>
    <mergeCell ref="J839:J844"/>
    <mergeCell ref="J851:J858"/>
    <mergeCell ref="I859:I865"/>
    <mergeCell ref="J859:J865"/>
    <mergeCell ref="I866:I872"/>
    <mergeCell ref="J866:J872"/>
    <mergeCell ref="I873:I879"/>
    <mergeCell ref="J873:J879"/>
    <mergeCell ref="I880:I884"/>
    <mergeCell ref="J880:J884"/>
    <mergeCell ref="I885:I891"/>
    <mergeCell ref="J885:J891"/>
    <mergeCell ref="I685:I691"/>
    <mergeCell ref="I851:I858"/>
    <mergeCell ref="I740:I742"/>
    <mergeCell ref="J740:J742"/>
    <mergeCell ref="J759:J760"/>
    <mergeCell ref="I761:I771"/>
    <mergeCell ref="J761:J771"/>
    <mergeCell ref="I772:I779"/>
    <mergeCell ref="J772:J779"/>
    <mergeCell ref="I780:I791"/>
    <mergeCell ref="J780:J791"/>
    <mergeCell ref="I792:I793"/>
    <mergeCell ref="J792:J793"/>
    <mergeCell ref="I794:I802"/>
    <mergeCell ref="J794:J802"/>
    <mergeCell ref="I803:I813"/>
    <mergeCell ref="J803:J813"/>
    <mergeCell ref="A490:A664"/>
    <mergeCell ref="A670:A742"/>
    <mergeCell ref="A745:A844"/>
    <mergeCell ref="A847:A988"/>
    <mergeCell ref="A994:A1046"/>
    <mergeCell ref="A1049:A1160"/>
    <mergeCell ref="B372:B380"/>
    <mergeCell ref="B381:B385"/>
    <mergeCell ref="A391:A487"/>
    <mergeCell ref="B391:B396"/>
    <mergeCell ref="B397:B398"/>
    <mergeCell ref="B399:B401"/>
    <mergeCell ref="B661:B664"/>
    <mergeCell ref="B645:B652"/>
    <mergeCell ref="B653:B660"/>
    <mergeCell ref="B670:B675"/>
    <mergeCell ref="B676:B684"/>
    <mergeCell ref="B685:B691"/>
    <mergeCell ref="B692:B696"/>
    <mergeCell ref="B697:B698"/>
    <mergeCell ref="B699:B701"/>
    <mergeCell ref="B702:B730"/>
    <mergeCell ref="B731:B732"/>
    <mergeCell ref="B733:B734"/>
    <mergeCell ref="B735:B736"/>
    <mergeCell ref="B737:B739"/>
    <mergeCell ref="B740:B742"/>
    <mergeCell ref="B745:B758"/>
    <mergeCell ref="B759:B760"/>
    <mergeCell ref="B761:B771"/>
    <mergeCell ref="B772:B779"/>
    <mergeCell ref="B780:B791"/>
    <mergeCell ref="B1072:B1078"/>
    <mergeCell ref="B1079:B1081"/>
    <mergeCell ref="B1020:B1026"/>
    <mergeCell ref="B1027:B1031"/>
    <mergeCell ref="B1032:B1035"/>
    <mergeCell ref="B1036:B1044"/>
    <mergeCell ref="B1045:B1046"/>
    <mergeCell ref="B1049:B1055"/>
    <mergeCell ref="B1056:B1071"/>
    <mergeCell ref="B1113:B1119"/>
    <mergeCell ref="B1120:B1127"/>
    <mergeCell ref="A1161:C1161"/>
    <mergeCell ref="A1162:C1162"/>
    <mergeCell ref="B1082:B1088"/>
    <mergeCell ref="B1089:B1097"/>
    <mergeCell ref="B1098:B1101"/>
    <mergeCell ref="B1102:B1103"/>
    <mergeCell ref="B1104:B1105"/>
    <mergeCell ref="B1106:B1107"/>
    <mergeCell ref="B1108:B1112"/>
    <mergeCell ref="B1128:B1130"/>
    <mergeCell ref="B1131:B1132"/>
    <mergeCell ref="B1133:B1137"/>
    <mergeCell ref="B1138:B1142"/>
    <mergeCell ref="B1143:B1148"/>
    <mergeCell ref="B1149:B1150"/>
    <mergeCell ref="B1151:B1158"/>
    <mergeCell ref="B1159:B1160"/>
    <mergeCell ref="B566:B568"/>
    <mergeCell ref="B569:B572"/>
    <mergeCell ref="B573:B575"/>
    <mergeCell ref="B576:B597"/>
    <mergeCell ref="B598:B613"/>
    <mergeCell ref="B614:B620"/>
    <mergeCell ref="B621:B627"/>
    <mergeCell ref="B628:B632"/>
    <mergeCell ref="B633:B644"/>
    <mergeCell ref="B906:B912"/>
    <mergeCell ref="B913:B915"/>
    <mergeCell ref="B859:B865"/>
    <mergeCell ref="B866:B872"/>
    <mergeCell ref="B873:B879"/>
    <mergeCell ref="B880:B884"/>
    <mergeCell ref="B885:B891"/>
    <mergeCell ref="B892:B902"/>
    <mergeCell ref="B903:B905"/>
    <mergeCell ref="B792:B793"/>
    <mergeCell ref="B794:B802"/>
    <mergeCell ref="B803:B813"/>
    <mergeCell ref="B814:B822"/>
    <mergeCell ref="B823:B831"/>
    <mergeCell ref="B832:B838"/>
    <mergeCell ref="B839:B844"/>
    <mergeCell ref="B847:B850"/>
    <mergeCell ref="B851:B858"/>
    <mergeCell ref="B466:B472"/>
    <mergeCell ref="B473:B476"/>
    <mergeCell ref="B477:B481"/>
    <mergeCell ref="B482:B487"/>
    <mergeCell ref="B494:B498"/>
    <mergeCell ref="B499:B503"/>
    <mergeCell ref="B504:B511"/>
    <mergeCell ref="B512:B514"/>
    <mergeCell ref="B515:B517"/>
    <mergeCell ref="B518:B520"/>
    <mergeCell ref="B521:B530"/>
    <mergeCell ref="B531:B539"/>
    <mergeCell ref="B540:B542"/>
    <mergeCell ref="B543:B545"/>
    <mergeCell ref="B546:B549"/>
    <mergeCell ref="B550:B555"/>
    <mergeCell ref="B556:B565"/>
    <mergeCell ref="B490:B493"/>
    <mergeCell ref="I466:I472"/>
    <mergeCell ref="J466:J472"/>
    <mergeCell ref="I473:I476"/>
    <mergeCell ref="J473:J476"/>
    <mergeCell ref="I477:I481"/>
    <mergeCell ref="J477:J481"/>
    <mergeCell ref="I482:I487"/>
    <mergeCell ref="J482:J487"/>
    <mergeCell ref="I391:I396"/>
    <mergeCell ref="J391:J396"/>
    <mergeCell ref="L391:L487"/>
    <mergeCell ref="I397:I398"/>
    <mergeCell ref="J397:J398"/>
    <mergeCell ref="I399:I401"/>
    <mergeCell ref="J399:J401"/>
    <mergeCell ref="I402:I407"/>
    <mergeCell ref="J402:J407"/>
    <mergeCell ref="I408:I413"/>
    <mergeCell ref="J408:J413"/>
    <mergeCell ref="I414:I418"/>
    <mergeCell ref="J414:J418"/>
    <mergeCell ref="I419:I420"/>
    <mergeCell ref="J419:J420"/>
    <mergeCell ref="I438:I450"/>
    <mergeCell ref="J438:J450"/>
    <mergeCell ref="I451:I453"/>
    <mergeCell ref="J451:J453"/>
    <mergeCell ref="I454:I459"/>
    <mergeCell ref="J454:J459"/>
    <mergeCell ref="I372:I380"/>
    <mergeCell ref="J372:J380"/>
    <mergeCell ref="H381:H385"/>
    <mergeCell ref="I381:I385"/>
    <mergeCell ref="J381:J385"/>
    <mergeCell ref="G381:G385"/>
    <mergeCell ref="G386:G388"/>
    <mergeCell ref="H386:H388"/>
    <mergeCell ref="I386:I388"/>
    <mergeCell ref="J386:J388"/>
    <mergeCell ref="G391:G396"/>
    <mergeCell ref="H391:H396"/>
    <mergeCell ref="H414:H418"/>
    <mergeCell ref="H419:H420"/>
    <mergeCell ref="I421:I437"/>
    <mergeCell ref="J421:J437"/>
    <mergeCell ref="I460:I465"/>
    <mergeCell ref="J460:J465"/>
    <mergeCell ref="I341:I346"/>
    <mergeCell ref="J341:J346"/>
    <mergeCell ref="G347:G351"/>
    <mergeCell ref="H347:H351"/>
    <mergeCell ref="I347:I351"/>
    <mergeCell ref="J347:J351"/>
    <mergeCell ref="I352:I358"/>
    <mergeCell ref="J352:J358"/>
    <mergeCell ref="H359:H361"/>
    <mergeCell ref="I359:I361"/>
    <mergeCell ref="J359:J361"/>
    <mergeCell ref="I365:I371"/>
    <mergeCell ref="J365:J371"/>
    <mergeCell ref="G359:G361"/>
    <mergeCell ref="G362:G364"/>
    <mergeCell ref="H362:H364"/>
    <mergeCell ref="I362:I364"/>
    <mergeCell ref="J362:J364"/>
    <mergeCell ref="G365:G371"/>
    <mergeCell ref="H365:H371"/>
    <mergeCell ref="G438:G450"/>
    <mergeCell ref="H438:H450"/>
    <mergeCell ref="G466:G472"/>
    <mergeCell ref="G473:G476"/>
    <mergeCell ref="G477:G481"/>
    <mergeCell ref="G482:G487"/>
    <mergeCell ref="H473:H476"/>
    <mergeCell ref="H477:H481"/>
    <mergeCell ref="H482:H487"/>
    <mergeCell ref="G451:G453"/>
    <mergeCell ref="H451:H453"/>
    <mergeCell ref="G454:G459"/>
    <mergeCell ref="H454:H459"/>
    <mergeCell ref="G460:G465"/>
    <mergeCell ref="H460:H465"/>
    <mergeCell ref="H466:H472"/>
    <mergeCell ref="G339:G340"/>
    <mergeCell ref="G341:G346"/>
    <mergeCell ref="H341:H346"/>
    <mergeCell ref="G372:G380"/>
    <mergeCell ref="H372:H380"/>
    <mergeCell ref="G272:G273"/>
    <mergeCell ref="H272:H273"/>
    <mergeCell ref="G274:G275"/>
    <mergeCell ref="H274:H275"/>
    <mergeCell ref="H276:H279"/>
    <mergeCell ref="G397:G398"/>
    <mergeCell ref="H397:H398"/>
    <mergeCell ref="G399:G401"/>
    <mergeCell ref="H399:H401"/>
    <mergeCell ref="G402:G407"/>
    <mergeCell ref="H402:H407"/>
    <mergeCell ref="H408:H413"/>
    <mergeCell ref="G408:G413"/>
    <mergeCell ref="G414:G418"/>
    <mergeCell ref="G419:G420"/>
    <mergeCell ref="G421:G437"/>
    <mergeCell ref="H421:H437"/>
    <mergeCell ref="H254:H264"/>
    <mergeCell ref="B265:B266"/>
    <mergeCell ref="G265:G266"/>
    <mergeCell ref="H265:H266"/>
    <mergeCell ref="G145:G153"/>
    <mergeCell ref="H145:H153"/>
    <mergeCell ref="A166:A266"/>
    <mergeCell ref="H166:H176"/>
    <mergeCell ref="H181:H186"/>
    <mergeCell ref="H191:H193"/>
    <mergeCell ref="H214:H224"/>
    <mergeCell ref="B214:B224"/>
    <mergeCell ref="G214:G224"/>
    <mergeCell ref="B236:B239"/>
    <mergeCell ref="G236:G239"/>
    <mergeCell ref="H236:H239"/>
    <mergeCell ref="B240:B243"/>
    <mergeCell ref="G240:G243"/>
    <mergeCell ref="H240:H243"/>
    <mergeCell ref="B244:B247"/>
    <mergeCell ref="G244:G247"/>
    <mergeCell ref="H244:H247"/>
    <mergeCell ref="B248:B253"/>
    <mergeCell ref="G248:G253"/>
    <mergeCell ref="H248:H253"/>
    <mergeCell ref="B254:B264"/>
    <mergeCell ref="G254:G264"/>
    <mergeCell ref="A1163:A1208"/>
    <mergeCell ref="B1184:B1194"/>
    <mergeCell ref="B1195:B1201"/>
    <mergeCell ref="B1202:B1208"/>
    <mergeCell ref="A1209:C1209"/>
    <mergeCell ref="A1210:C1210"/>
    <mergeCell ref="A1212:C1212"/>
    <mergeCell ref="G1151:G1158"/>
    <mergeCell ref="H1151:H1158"/>
    <mergeCell ref="I1151:I1158"/>
    <mergeCell ref="J1151:J1158"/>
    <mergeCell ref="J1163:J1165"/>
    <mergeCell ref="J1168:J1171"/>
    <mergeCell ref="J1180:J1183"/>
    <mergeCell ref="G1133:G1137"/>
    <mergeCell ref="G1138:G1142"/>
    <mergeCell ref="H1138:H1142"/>
    <mergeCell ref="G1143:G1148"/>
    <mergeCell ref="H1143:H1148"/>
    <mergeCell ref="G1149:G1150"/>
    <mergeCell ref="H1149:H1150"/>
    <mergeCell ref="H1163:H1165"/>
    <mergeCell ref="I1163:I1165"/>
    <mergeCell ref="B1163:B1165"/>
    <mergeCell ref="B1166:B1167"/>
    <mergeCell ref="G1166:G1167"/>
    <mergeCell ref="H1166:H1167"/>
    <mergeCell ref="I1166:I1167"/>
    <mergeCell ref="J1166:J1167"/>
    <mergeCell ref="G1163:G1165"/>
    <mergeCell ref="G1168:G1171"/>
    <mergeCell ref="H1168:H1171"/>
    <mergeCell ref="B1168:B1171"/>
    <mergeCell ref="B1172:B1179"/>
    <mergeCell ref="G1172:G1179"/>
    <mergeCell ref="H1172:H1179"/>
    <mergeCell ref="G1184:G1194"/>
    <mergeCell ref="H1184:H1194"/>
    <mergeCell ref="G1195:G1201"/>
    <mergeCell ref="H1195:H1201"/>
    <mergeCell ref="G1202:G1208"/>
    <mergeCell ref="H1202:H1208"/>
    <mergeCell ref="I1172:I1179"/>
    <mergeCell ref="J1172:J1179"/>
    <mergeCell ref="B1180:B1183"/>
    <mergeCell ref="G1180:G1183"/>
    <mergeCell ref="H1180:H1183"/>
    <mergeCell ref="I1180:I1183"/>
    <mergeCell ref="I1184:I1194"/>
    <mergeCell ref="J1184:J1194"/>
    <mergeCell ref="I1195:I1201"/>
    <mergeCell ref="J1195:J1201"/>
    <mergeCell ref="I1202:I1208"/>
    <mergeCell ref="J1202:J1208"/>
    <mergeCell ref="I1168:I1171"/>
    <mergeCell ref="G814:G822"/>
    <mergeCell ref="G962:G968"/>
    <mergeCell ref="G969:G976"/>
    <mergeCell ref="H969:H976"/>
    <mergeCell ref="G977:G979"/>
    <mergeCell ref="H977:H979"/>
    <mergeCell ref="G980:G988"/>
    <mergeCell ref="H980:H988"/>
    <mergeCell ref="I1036:I1044"/>
    <mergeCell ref="I1045:I1046"/>
    <mergeCell ref="A1047:C1047"/>
    <mergeCell ref="A1048:C1048"/>
    <mergeCell ref="I1020:I1026"/>
    <mergeCell ref="J1020:J1026"/>
    <mergeCell ref="I1027:I1031"/>
    <mergeCell ref="J1027:J1031"/>
    <mergeCell ref="I1032:I1035"/>
    <mergeCell ref="J1032:J1035"/>
    <mergeCell ref="J1036:J1044"/>
    <mergeCell ref="B959:B961"/>
    <mergeCell ref="B962:B968"/>
    <mergeCell ref="B916:B919"/>
    <mergeCell ref="B920:B921"/>
    <mergeCell ref="B922:B924"/>
    <mergeCell ref="B925:B945"/>
    <mergeCell ref="B946:B949"/>
    <mergeCell ref="B950:B953"/>
    <mergeCell ref="B954:B958"/>
    <mergeCell ref="B1016:B1017"/>
    <mergeCell ref="B1018:B1019"/>
    <mergeCell ref="B969:B976"/>
    <mergeCell ref="B977:B979"/>
    <mergeCell ref="G737:G739"/>
    <mergeCell ref="G740:G742"/>
    <mergeCell ref="G745:G758"/>
    <mergeCell ref="G759:G760"/>
    <mergeCell ref="H733:H734"/>
    <mergeCell ref="H735:H736"/>
    <mergeCell ref="H737:H739"/>
    <mergeCell ref="H740:H742"/>
    <mergeCell ref="H745:H758"/>
    <mergeCell ref="H759:H760"/>
    <mergeCell ref="H761:H771"/>
    <mergeCell ref="G761:G771"/>
    <mergeCell ref="G772:G779"/>
    <mergeCell ref="G780:G791"/>
    <mergeCell ref="G792:G793"/>
    <mergeCell ref="G794:G802"/>
    <mergeCell ref="G803:G813"/>
    <mergeCell ref="G521:G530"/>
    <mergeCell ref="G531:G539"/>
    <mergeCell ref="G540:G542"/>
    <mergeCell ref="G543:G545"/>
    <mergeCell ref="G546:G549"/>
    <mergeCell ref="G550:G555"/>
    <mergeCell ref="G556:G565"/>
    <mergeCell ref="G566:G568"/>
    <mergeCell ref="G569:G572"/>
    <mergeCell ref="G573:G575"/>
    <mergeCell ref="G576:G597"/>
    <mergeCell ref="G598:G613"/>
    <mergeCell ref="G614:G620"/>
    <mergeCell ref="G621:G627"/>
    <mergeCell ref="G685:G691"/>
    <mergeCell ref="G692:G696"/>
    <mergeCell ref="G697:G698"/>
    <mergeCell ref="G946:G949"/>
    <mergeCell ref="H946:H949"/>
    <mergeCell ref="A989:C989"/>
    <mergeCell ref="A990:C990"/>
    <mergeCell ref="A992:C992"/>
    <mergeCell ref="G950:G953"/>
    <mergeCell ref="H950:H953"/>
    <mergeCell ref="G954:G958"/>
    <mergeCell ref="H954:H958"/>
    <mergeCell ref="G959:G961"/>
    <mergeCell ref="H959:H961"/>
    <mergeCell ref="H962:H968"/>
    <mergeCell ref="J1008:J1013"/>
    <mergeCell ref="J1014:J1015"/>
    <mergeCell ref="J1049:J1055"/>
    <mergeCell ref="J959:J961"/>
    <mergeCell ref="J962:J968"/>
    <mergeCell ref="J969:J976"/>
    <mergeCell ref="J977:J979"/>
    <mergeCell ref="J980:J988"/>
    <mergeCell ref="J994:J1000"/>
    <mergeCell ref="J1001:J1007"/>
    <mergeCell ref="B980:B988"/>
    <mergeCell ref="B994:B1000"/>
    <mergeCell ref="B1001:B1007"/>
    <mergeCell ref="B1008:B1013"/>
    <mergeCell ref="B1014:B1015"/>
    <mergeCell ref="I977:I979"/>
    <mergeCell ref="I980:I988"/>
    <mergeCell ref="I1008:I1013"/>
    <mergeCell ref="I1014:I1015"/>
    <mergeCell ref="I1016:I1017"/>
    <mergeCell ref="A668:C668"/>
    <mergeCell ref="A743:C743"/>
    <mergeCell ref="A744:C744"/>
    <mergeCell ref="G628:G632"/>
    <mergeCell ref="G633:G644"/>
    <mergeCell ref="G645:G652"/>
    <mergeCell ref="G653:G660"/>
    <mergeCell ref="G661:G664"/>
    <mergeCell ref="A665:C665"/>
    <mergeCell ref="A666:C666"/>
    <mergeCell ref="I745:I758"/>
    <mergeCell ref="J745:J758"/>
    <mergeCell ref="H832:H838"/>
    <mergeCell ref="H839:H844"/>
    <mergeCell ref="A845:C845"/>
    <mergeCell ref="A846:C846"/>
    <mergeCell ref="I847:I850"/>
    <mergeCell ref="J847:J850"/>
    <mergeCell ref="H772:H779"/>
    <mergeCell ref="H780:H791"/>
    <mergeCell ref="H792:H793"/>
    <mergeCell ref="H794:H802"/>
    <mergeCell ref="H803:H813"/>
    <mergeCell ref="H814:H822"/>
    <mergeCell ref="H823:H831"/>
    <mergeCell ref="G699:G701"/>
    <mergeCell ref="G702:G730"/>
    <mergeCell ref="H702:H730"/>
    <mergeCell ref="H731:H732"/>
    <mergeCell ref="G731:G732"/>
    <mergeCell ref="G733:G734"/>
    <mergeCell ref="G735:G736"/>
    <mergeCell ref="A488:C488"/>
    <mergeCell ref="A489:C489"/>
    <mergeCell ref="H490:H493"/>
    <mergeCell ref="I490:I493"/>
    <mergeCell ref="J490:J493"/>
    <mergeCell ref="H633:H644"/>
    <mergeCell ref="H645:H652"/>
    <mergeCell ref="H653:H660"/>
    <mergeCell ref="H661:H664"/>
    <mergeCell ref="H670:H675"/>
    <mergeCell ref="I670:I675"/>
    <mergeCell ref="J670:J675"/>
    <mergeCell ref="G670:G675"/>
    <mergeCell ref="G676:G684"/>
    <mergeCell ref="H676:H684"/>
    <mergeCell ref="H685:H691"/>
    <mergeCell ref="H692:H696"/>
    <mergeCell ref="G490:G493"/>
    <mergeCell ref="G494:G498"/>
    <mergeCell ref="H494:H498"/>
    <mergeCell ref="G499:G503"/>
    <mergeCell ref="H499:H503"/>
    <mergeCell ref="G504:G511"/>
    <mergeCell ref="H504:H511"/>
    <mergeCell ref="G512:G514"/>
    <mergeCell ref="H512:H514"/>
    <mergeCell ref="G515:G517"/>
    <mergeCell ref="H515:H517"/>
    <mergeCell ref="G518:G520"/>
    <mergeCell ref="H518:H520"/>
    <mergeCell ref="H521:H530"/>
    <mergeCell ref="H531:H539"/>
    <mergeCell ref="B365:B371"/>
    <mergeCell ref="B386:B388"/>
    <mergeCell ref="A389:C389"/>
    <mergeCell ref="A390:C390"/>
    <mergeCell ref="A267:C267"/>
    <mergeCell ref="A268:C268"/>
    <mergeCell ref="A270:C270"/>
    <mergeCell ref="A272:A388"/>
    <mergeCell ref="B272:B273"/>
    <mergeCell ref="B274:B275"/>
    <mergeCell ref="B276:B279"/>
    <mergeCell ref="B408:B413"/>
    <mergeCell ref="B414:B418"/>
    <mergeCell ref="B438:B450"/>
    <mergeCell ref="B451:B453"/>
    <mergeCell ref="B454:B459"/>
    <mergeCell ref="B460:B465"/>
    <mergeCell ref="B419:B420"/>
    <mergeCell ref="B421:B437"/>
    <mergeCell ref="B402:B407"/>
    <mergeCell ref="B280:B286"/>
    <mergeCell ref="B287:B293"/>
    <mergeCell ref="B294:B295"/>
    <mergeCell ref="B296:B297"/>
    <mergeCell ref="B298:B303"/>
    <mergeCell ref="B304:B309"/>
    <mergeCell ref="B310:B311"/>
    <mergeCell ref="B312:B313"/>
    <mergeCell ref="B333:B338"/>
    <mergeCell ref="B339:B340"/>
    <mergeCell ref="B341:B346"/>
    <mergeCell ref="B347:B351"/>
    <mergeCell ref="B352:B358"/>
    <mergeCell ref="B359:B361"/>
    <mergeCell ref="B314:B317"/>
    <mergeCell ref="B318:B332"/>
    <mergeCell ref="B362:B364"/>
    <mergeCell ref="B200:B206"/>
    <mergeCell ref="G200:G206"/>
    <mergeCell ref="H200:H206"/>
    <mergeCell ref="H197:H199"/>
    <mergeCell ref="G207:G213"/>
    <mergeCell ref="H207:H213"/>
    <mergeCell ref="B207:B213"/>
    <mergeCell ref="B225:B235"/>
    <mergeCell ref="G225:G235"/>
    <mergeCell ref="H225:H235"/>
    <mergeCell ref="I181:I186"/>
    <mergeCell ref="J181:J186"/>
    <mergeCell ref="I194:I196"/>
    <mergeCell ref="J194:J196"/>
    <mergeCell ref="I197:I199"/>
    <mergeCell ref="J197:J199"/>
    <mergeCell ref="I200:I206"/>
    <mergeCell ref="J200:J206"/>
    <mergeCell ref="I207:I213"/>
    <mergeCell ref="J207:J213"/>
    <mergeCell ref="I214:I224"/>
    <mergeCell ref="J214:J224"/>
    <mergeCell ref="I225:I235"/>
    <mergeCell ref="J225:J235"/>
    <mergeCell ref="B181:B186"/>
    <mergeCell ref="B187:B190"/>
    <mergeCell ref="G187:G190"/>
    <mergeCell ref="H187:H190"/>
    <mergeCell ref="I187:I190"/>
    <mergeCell ref="J187:J190"/>
    <mergeCell ref="B191:B193"/>
    <mergeCell ref="G191:G193"/>
    <mergeCell ref="I191:I193"/>
    <mergeCell ref="J191:J193"/>
    <mergeCell ref="B177:B180"/>
    <mergeCell ref="B194:B196"/>
    <mergeCell ref="G194:G196"/>
    <mergeCell ref="H194:H196"/>
    <mergeCell ref="G166:G176"/>
    <mergeCell ref="G181:G186"/>
    <mergeCell ref="B197:B199"/>
    <mergeCell ref="G197:G199"/>
    <mergeCell ref="B166:B176"/>
    <mergeCell ref="R1202:R1208"/>
    <mergeCell ref="S1202:S1208"/>
    <mergeCell ref="T1202:T1208"/>
    <mergeCell ref="U1202:U1208"/>
    <mergeCell ref="R1172:R1179"/>
    <mergeCell ref="R1180:R1183"/>
    <mergeCell ref="S1180:S1183"/>
    <mergeCell ref="T1180:T1183"/>
    <mergeCell ref="U1180:U1183"/>
    <mergeCell ref="R1184:R1194"/>
    <mergeCell ref="S1184:S1194"/>
    <mergeCell ref="I121:I123"/>
    <mergeCell ref="J121:J123"/>
    <mergeCell ref="G124:G127"/>
    <mergeCell ref="H124:H127"/>
    <mergeCell ref="I124:I127"/>
    <mergeCell ref="J124:J127"/>
    <mergeCell ref="G128:G133"/>
    <mergeCell ref="H128:H133"/>
    <mergeCell ref="I128:I133"/>
    <mergeCell ref="J128:J133"/>
    <mergeCell ref="G134:G136"/>
    <mergeCell ref="H134:H136"/>
    <mergeCell ref="I134:I136"/>
    <mergeCell ref="J134:J136"/>
    <mergeCell ref="I236:I239"/>
    <mergeCell ref="J236:J239"/>
    <mergeCell ref="H697:H698"/>
    <mergeCell ref="H699:H701"/>
    <mergeCell ref="H540:H542"/>
    <mergeCell ref="H543:H545"/>
    <mergeCell ref="H546:H549"/>
    <mergeCell ref="R1163:R1165"/>
    <mergeCell ref="S1163:S1165"/>
    <mergeCell ref="T1163:T1165"/>
    <mergeCell ref="U1163:U1165"/>
    <mergeCell ref="R1166:R1167"/>
    <mergeCell ref="R1168:R1171"/>
    <mergeCell ref="S1168:S1171"/>
    <mergeCell ref="T1168:T1171"/>
    <mergeCell ref="U1168:U1171"/>
    <mergeCell ref="S1172:S1179"/>
    <mergeCell ref="T1172:T1179"/>
    <mergeCell ref="U1172:U1179"/>
    <mergeCell ref="T1184:T1194"/>
    <mergeCell ref="U1184:U1194"/>
    <mergeCell ref="R1195:R1201"/>
    <mergeCell ref="S1195:S1201"/>
    <mergeCell ref="T1195:T1201"/>
    <mergeCell ref="U1195:U1201"/>
    <mergeCell ref="R1138:R1142"/>
    <mergeCell ref="U1138:U1142"/>
    <mergeCell ref="S1138:S1142"/>
    <mergeCell ref="T1138:T1142"/>
    <mergeCell ref="R1143:R1148"/>
    <mergeCell ref="S1143:S1148"/>
    <mergeCell ref="T1143:T1148"/>
    <mergeCell ref="U1143:U1148"/>
    <mergeCell ref="R1149:R1150"/>
    <mergeCell ref="U1149:U1150"/>
    <mergeCell ref="S1149:S1150"/>
    <mergeCell ref="T1149:T1150"/>
    <mergeCell ref="R1151:R1158"/>
    <mergeCell ref="S1151:S1158"/>
    <mergeCell ref="T1151:T1158"/>
    <mergeCell ref="U1151:U1158"/>
    <mergeCell ref="R1159:R1160"/>
    <mergeCell ref="U1159:U1160"/>
    <mergeCell ref="S1159:S1160"/>
    <mergeCell ref="T1159:T1160"/>
    <mergeCell ref="R1113:R1119"/>
    <mergeCell ref="S1113:S1119"/>
    <mergeCell ref="T1113:T1119"/>
    <mergeCell ref="U1113:U1119"/>
    <mergeCell ref="S1120:S1127"/>
    <mergeCell ref="T1120:T1127"/>
    <mergeCell ref="U1120:U1127"/>
    <mergeCell ref="R1120:R1127"/>
    <mergeCell ref="R1128:R1130"/>
    <mergeCell ref="S1128:S1130"/>
    <mergeCell ref="T1128:T1130"/>
    <mergeCell ref="U1128:U1130"/>
    <mergeCell ref="R1131:R1132"/>
    <mergeCell ref="S1131:S1132"/>
    <mergeCell ref="T1131:T1132"/>
    <mergeCell ref="U1131:U1132"/>
    <mergeCell ref="R1133:R1137"/>
    <mergeCell ref="S1133:S1137"/>
    <mergeCell ref="T1133:T1137"/>
    <mergeCell ref="U1133:U1137"/>
    <mergeCell ref="U1098:U1101"/>
    <mergeCell ref="S1104:S1105"/>
    <mergeCell ref="T1104:T1105"/>
    <mergeCell ref="S1098:S1101"/>
    <mergeCell ref="T1098:T1101"/>
    <mergeCell ref="R1102:R1103"/>
    <mergeCell ref="S1102:S1103"/>
    <mergeCell ref="T1102:T1103"/>
    <mergeCell ref="U1102:U1103"/>
    <mergeCell ref="U1104:U1105"/>
    <mergeCell ref="T1108:T1112"/>
    <mergeCell ref="U1108:U1112"/>
    <mergeCell ref="R1104:R1105"/>
    <mergeCell ref="R1106:R1107"/>
    <mergeCell ref="S1106:S1107"/>
    <mergeCell ref="T1106:T1107"/>
    <mergeCell ref="U1106:U1107"/>
    <mergeCell ref="R1108:R1112"/>
    <mergeCell ref="S1108:S1112"/>
    <mergeCell ref="S1166:S1167"/>
    <mergeCell ref="T1166:T1167"/>
    <mergeCell ref="U1166:U1167"/>
    <mergeCell ref="R1020:R1026"/>
    <mergeCell ref="S1020:S1026"/>
    <mergeCell ref="T1020:T1026"/>
    <mergeCell ref="U1020:U1026"/>
    <mergeCell ref="S1027:S1031"/>
    <mergeCell ref="T1027:T1031"/>
    <mergeCell ref="U1027:U1031"/>
    <mergeCell ref="R1027:R1031"/>
    <mergeCell ref="R1032:R1035"/>
    <mergeCell ref="S1032:S1035"/>
    <mergeCell ref="T1032:T1035"/>
    <mergeCell ref="U1032:U1035"/>
    <mergeCell ref="R1036:R1044"/>
    <mergeCell ref="S1036:S1044"/>
    <mergeCell ref="S1072:S1078"/>
    <mergeCell ref="T1072:T1078"/>
    <mergeCell ref="R1079:R1081"/>
    <mergeCell ref="S1079:S1081"/>
    <mergeCell ref="T1079:T1081"/>
    <mergeCell ref="U1079:U1081"/>
    <mergeCell ref="R1082:R1088"/>
    <mergeCell ref="U1082:U1088"/>
    <mergeCell ref="S1082:S1088"/>
    <mergeCell ref="T1082:T1088"/>
    <mergeCell ref="R1089:R1097"/>
    <mergeCell ref="S1089:S1097"/>
    <mergeCell ref="T1089:T1097"/>
    <mergeCell ref="U1089:U1097"/>
    <mergeCell ref="R1098:R1101"/>
    <mergeCell ref="R1072:R1078"/>
    <mergeCell ref="U1072:U1078"/>
    <mergeCell ref="T969:T976"/>
    <mergeCell ref="U969:U976"/>
    <mergeCell ref="R959:R961"/>
    <mergeCell ref="R962:R968"/>
    <mergeCell ref="S962:S968"/>
    <mergeCell ref="T962:T968"/>
    <mergeCell ref="U962:U968"/>
    <mergeCell ref="R969:R976"/>
    <mergeCell ref="S969:S976"/>
    <mergeCell ref="R977:R979"/>
    <mergeCell ref="S977:S979"/>
    <mergeCell ref="T977:T979"/>
    <mergeCell ref="U977:U979"/>
    <mergeCell ref="S980:S988"/>
    <mergeCell ref="T980:T988"/>
    <mergeCell ref="U980:U988"/>
    <mergeCell ref="T1001:T1007"/>
    <mergeCell ref="U1001:U1007"/>
    <mergeCell ref="R980:R988"/>
    <mergeCell ref="R994:R1000"/>
    <mergeCell ref="S994:S1000"/>
    <mergeCell ref="T994:T1000"/>
    <mergeCell ref="U994:U1000"/>
    <mergeCell ref="R1001:R1007"/>
    <mergeCell ref="S1001:S1007"/>
    <mergeCell ref="T1018:T1019"/>
    <mergeCell ref="U1018:U1019"/>
    <mergeCell ref="J318:J332"/>
    <mergeCell ref="G352:G358"/>
    <mergeCell ref="H352:H358"/>
    <mergeCell ref="T1036:T1044"/>
    <mergeCell ref="U1036:U1044"/>
    <mergeCell ref="R1045:R1046"/>
    <mergeCell ref="S1045:S1046"/>
    <mergeCell ref="T1045:T1046"/>
    <mergeCell ref="U1045:U1046"/>
    <mergeCell ref="R1049:R1055"/>
    <mergeCell ref="U1049:U1055"/>
    <mergeCell ref="S1049:S1055"/>
    <mergeCell ref="T1049:T1055"/>
    <mergeCell ref="R1056:R1071"/>
    <mergeCell ref="S1056:S1071"/>
    <mergeCell ref="T1056:T1071"/>
    <mergeCell ref="U1056:U1071"/>
    <mergeCell ref="H550:H555"/>
    <mergeCell ref="H556:H565"/>
    <mergeCell ref="H566:H568"/>
    <mergeCell ref="H569:H572"/>
    <mergeCell ref="H573:H575"/>
    <mergeCell ref="H576:H597"/>
    <mergeCell ref="H598:H613"/>
    <mergeCell ref="H614:H620"/>
    <mergeCell ref="H621:H627"/>
    <mergeCell ref="H628:H632"/>
    <mergeCell ref="G920:G921"/>
    <mergeCell ref="G922:G924"/>
    <mergeCell ref="H922:H924"/>
    <mergeCell ref="G925:G945"/>
    <mergeCell ref="H925:H945"/>
    <mergeCell ref="I276:I279"/>
    <mergeCell ref="I280:I286"/>
    <mergeCell ref="J280:J286"/>
    <mergeCell ref="G287:G293"/>
    <mergeCell ref="H287:H293"/>
    <mergeCell ref="I287:I293"/>
    <mergeCell ref="J287:J293"/>
    <mergeCell ref="G294:G295"/>
    <mergeCell ref="H294:H295"/>
    <mergeCell ref="I294:I295"/>
    <mergeCell ref="J294:J295"/>
    <mergeCell ref="H296:H297"/>
    <mergeCell ref="I296:I297"/>
    <mergeCell ref="J296:J297"/>
    <mergeCell ref="I304:I309"/>
    <mergeCell ref="J304:J309"/>
    <mergeCell ref="G296:G297"/>
    <mergeCell ref="G298:G303"/>
    <mergeCell ref="H298:H303"/>
    <mergeCell ref="I298:I303"/>
    <mergeCell ref="J298:J303"/>
    <mergeCell ref="G304:G309"/>
    <mergeCell ref="H304:H309"/>
    <mergeCell ref="G276:G279"/>
    <mergeCell ref="G280:G286"/>
    <mergeCell ref="H280:H286"/>
    <mergeCell ref="S310:S311"/>
    <mergeCell ref="S341:S346"/>
    <mergeCell ref="T341:T346"/>
    <mergeCell ref="T333:T338"/>
    <mergeCell ref="U333:U338"/>
    <mergeCell ref="R339:R340"/>
    <mergeCell ref="S339:S340"/>
    <mergeCell ref="T339:T340"/>
    <mergeCell ref="U339:U340"/>
    <mergeCell ref="U341:U346"/>
    <mergeCell ref="G312:G313"/>
    <mergeCell ref="G314:G317"/>
    <mergeCell ref="H314:H317"/>
    <mergeCell ref="I314:I317"/>
    <mergeCell ref="J314:J317"/>
    <mergeCell ref="G318:G332"/>
    <mergeCell ref="H318:H332"/>
    <mergeCell ref="G333:G338"/>
    <mergeCell ref="H333:H338"/>
    <mergeCell ref="I333:I338"/>
    <mergeCell ref="J333:J338"/>
    <mergeCell ref="H339:H340"/>
    <mergeCell ref="I339:I340"/>
    <mergeCell ref="J339:J340"/>
    <mergeCell ref="G310:G311"/>
    <mergeCell ref="H310:H311"/>
    <mergeCell ref="I310:I311"/>
    <mergeCell ref="J310:J311"/>
    <mergeCell ref="H312:H313"/>
    <mergeCell ref="I312:I313"/>
    <mergeCell ref="J312:J313"/>
    <mergeCell ref="I318:I332"/>
    <mergeCell ref="T272:T273"/>
    <mergeCell ref="U272:U273"/>
    <mergeCell ref="R274:R275"/>
    <mergeCell ref="S274:S275"/>
    <mergeCell ref="R276:R279"/>
    <mergeCell ref="S276:S279"/>
    <mergeCell ref="T276:T279"/>
    <mergeCell ref="U276:U279"/>
    <mergeCell ref="S280:S286"/>
    <mergeCell ref="T280:T286"/>
    <mergeCell ref="U280:U286"/>
    <mergeCell ref="R280:R286"/>
    <mergeCell ref="R287:R293"/>
    <mergeCell ref="S287:S293"/>
    <mergeCell ref="T287:T293"/>
    <mergeCell ref="U287:U293"/>
    <mergeCell ref="R294:R295"/>
    <mergeCell ref="S294:S295"/>
    <mergeCell ref="T294:T295"/>
    <mergeCell ref="U294:U295"/>
    <mergeCell ref="S145:S153"/>
    <mergeCell ref="T145:T153"/>
    <mergeCell ref="U145:U153"/>
    <mergeCell ref="T166:T176"/>
    <mergeCell ref="U166:U176"/>
    <mergeCell ref="R145:R153"/>
    <mergeCell ref="R154:R163"/>
    <mergeCell ref="S154:S163"/>
    <mergeCell ref="T154:T163"/>
    <mergeCell ref="U154:U163"/>
    <mergeCell ref="R166:R176"/>
    <mergeCell ref="S166:S176"/>
    <mergeCell ref="T191:T193"/>
    <mergeCell ref="U191:U193"/>
    <mergeCell ref="R194:R196"/>
    <mergeCell ref="S194:S196"/>
    <mergeCell ref="T194:T196"/>
    <mergeCell ref="U194:U196"/>
    <mergeCell ref="R124:R127"/>
    <mergeCell ref="S124:S127"/>
    <mergeCell ref="T124:T127"/>
    <mergeCell ref="U124:U127"/>
    <mergeCell ref="U128:U133"/>
    <mergeCell ref="S137:S139"/>
    <mergeCell ref="S140:S144"/>
    <mergeCell ref="T140:T144"/>
    <mergeCell ref="U140:U144"/>
    <mergeCell ref="S128:S133"/>
    <mergeCell ref="T128:T133"/>
    <mergeCell ref="S134:S136"/>
    <mergeCell ref="T134:T136"/>
    <mergeCell ref="U134:U136"/>
    <mergeCell ref="T137:T139"/>
    <mergeCell ref="U137:U139"/>
    <mergeCell ref="R128:R133"/>
    <mergeCell ref="R134:R136"/>
    <mergeCell ref="R137:R139"/>
    <mergeCell ref="R140:R144"/>
    <mergeCell ref="M994:M1000"/>
    <mergeCell ref="M1001:M1007"/>
    <mergeCell ref="M1008:M1013"/>
    <mergeCell ref="M1014:M1015"/>
    <mergeCell ref="M1016:M1017"/>
    <mergeCell ref="M1018:M1019"/>
    <mergeCell ref="M1020:M1026"/>
    <mergeCell ref="R177:R180"/>
    <mergeCell ref="S177:S180"/>
    <mergeCell ref="T177:T180"/>
    <mergeCell ref="U177:U180"/>
    <mergeCell ref="S181:S186"/>
    <mergeCell ref="T181:T186"/>
    <mergeCell ref="U181:U186"/>
    <mergeCell ref="R181:R186"/>
    <mergeCell ref="R187:R190"/>
    <mergeCell ref="S187:S190"/>
    <mergeCell ref="T187:T190"/>
    <mergeCell ref="U187:U190"/>
    <mergeCell ref="R191:R193"/>
    <mergeCell ref="S191:S193"/>
    <mergeCell ref="U197:U199"/>
    <mergeCell ref="R254:R264"/>
    <mergeCell ref="S254:S264"/>
    <mergeCell ref="T254:T264"/>
    <mergeCell ref="U254:U264"/>
    <mergeCell ref="S265:S266"/>
    <mergeCell ref="T265:T266"/>
    <mergeCell ref="U265:U266"/>
    <mergeCell ref="R265:R266"/>
    <mergeCell ref="R272:R273"/>
    <mergeCell ref="S272:S273"/>
    <mergeCell ref="M1159:M1160"/>
    <mergeCell ref="L1161:N1161"/>
    <mergeCell ref="L1162:N1162"/>
    <mergeCell ref="M1163:M1165"/>
    <mergeCell ref="L1209:N1209"/>
    <mergeCell ref="L1210:N1210"/>
    <mergeCell ref="L1212:N1212"/>
    <mergeCell ref="M1166:M1167"/>
    <mergeCell ref="M1168:M1171"/>
    <mergeCell ref="M1172:M1179"/>
    <mergeCell ref="M1180:M1183"/>
    <mergeCell ref="M1184:M1194"/>
    <mergeCell ref="M1195:M1201"/>
    <mergeCell ref="M1202:M1208"/>
    <mergeCell ref="M670:M675"/>
    <mergeCell ref="M676:M684"/>
    <mergeCell ref="M685:M691"/>
    <mergeCell ref="M692:M696"/>
    <mergeCell ref="M697:M698"/>
    <mergeCell ref="M699:M701"/>
    <mergeCell ref="M702:M730"/>
    <mergeCell ref="M745:M758"/>
    <mergeCell ref="M759:M760"/>
    <mergeCell ref="M761:M771"/>
    <mergeCell ref="M772:M779"/>
    <mergeCell ref="M780:M791"/>
    <mergeCell ref="M792:M793"/>
    <mergeCell ref="M794:M802"/>
    <mergeCell ref="M803:M813"/>
    <mergeCell ref="M814:M822"/>
    <mergeCell ref="M823:M831"/>
    <mergeCell ref="M832:M838"/>
    <mergeCell ref="M1079:M1081"/>
    <mergeCell ref="M1082:M1088"/>
    <mergeCell ref="M1089:M1097"/>
    <mergeCell ref="M1098:M1101"/>
    <mergeCell ref="M1102:M1103"/>
    <mergeCell ref="M1104:M1105"/>
    <mergeCell ref="M1106:M1107"/>
    <mergeCell ref="M1108:M1112"/>
    <mergeCell ref="M1113:M1119"/>
    <mergeCell ref="M1120:M1127"/>
    <mergeCell ref="M1128:M1130"/>
    <mergeCell ref="M1131:M1132"/>
    <mergeCell ref="M1133:M1137"/>
    <mergeCell ref="M1138:M1142"/>
    <mergeCell ref="M1143:M1148"/>
    <mergeCell ref="M1149:M1150"/>
    <mergeCell ref="M1151:M1158"/>
    <mergeCell ref="L992:N992"/>
    <mergeCell ref="L1047:N1047"/>
    <mergeCell ref="L1048:N1048"/>
    <mergeCell ref="M731:M732"/>
    <mergeCell ref="M733:M734"/>
    <mergeCell ref="M735:M736"/>
    <mergeCell ref="M737:M739"/>
    <mergeCell ref="M740:M742"/>
    <mergeCell ref="L743:N743"/>
    <mergeCell ref="L744:N744"/>
    <mergeCell ref="M1027:M1031"/>
    <mergeCell ref="M1032:M1035"/>
    <mergeCell ref="M1036:M1044"/>
    <mergeCell ref="M1045:M1046"/>
    <mergeCell ref="M1049:M1055"/>
    <mergeCell ref="M1056:M1071"/>
    <mergeCell ref="M1072:M1078"/>
    <mergeCell ref="M839:M844"/>
    <mergeCell ref="M847:M850"/>
    <mergeCell ref="M851:M858"/>
    <mergeCell ref="M859:M865"/>
    <mergeCell ref="M866:M872"/>
    <mergeCell ref="M873:M879"/>
    <mergeCell ref="M880:M884"/>
    <mergeCell ref="M885:M891"/>
    <mergeCell ref="M892:M902"/>
    <mergeCell ref="M903:M905"/>
    <mergeCell ref="M906:M912"/>
    <mergeCell ref="M913:M915"/>
    <mergeCell ref="M916:M919"/>
    <mergeCell ref="M920:M921"/>
    <mergeCell ref="M922:M924"/>
    <mergeCell ref="M573:M575"/>
    <mergeCell ref="M576:M597"/>
    <mergeCell ref="M598:M613"/>
    <mergeCell ref="M614:M620"/>
    <mergeCell ref="M621:M627"/>
    <mergeCell ref="M628:M632"/>
    <mergeCell ref="M633:M644"/>
    <mergeCell ref="M645:M652"/>
    <mergeCell ref="M653:M660"/>
    <mergeCell ref="M661:M664"/>
    <mergeCell ref="L665:N665"/>
    <mergeCell ref="L666:N666"/>
    <mergeCell ref="L668:N668"/>
    <mergeCell ref="L845:N845"/>
    <mergeCell ref="L846:N846"/>
    <mergeCell ref="L989:N989"/>
    <mergeCell ref="L990:N990"/>
    <mergeCell ref="M925:M945"/>
    <mergeCell ref="M946:M949"/>
    <mergeCell ref="M950:M953"/>
    <mergeCell ref="M954:M958"/>
    <mergeCell ref="M959:M961"/>
    <mergeCell ref="M962:M968"/>
    <mergeCell ref="M969:M976"/>
    <mergeCell ref="M977:M979"/>
    <mergeCell ref="M980:M988"/>
    <mergeCell ref="L670:L742"/>
    <mergeCell ref="L489:N489"/>
    <mergeCell ref="M490:M493"/>
    <mergeCell ref="M494:M498"/>
    <mergeCell ref="M499:M503"/>
    <mergeCell ref="M504:M511"/>
    <mergeCell ref="M512:M514"/>
    <mergeCell ref="M515:M517"/>
    <mergeCell ref="M518:M520"/>
    <mergeCell ref="M521:M530"/>
    <mergeCell ref="M531:M539"/>
    <mergeCell ref="M540:M542"/>
    <mergeCell ref="M543:M545"/>
    <mergeCell ref="M546:M549"/>
    <mergeCell ref="M550:M555"/>
    <mergeCell ref="M556:M565"/>
    <mergeCell ref="M566:M568"/>
    <mergeCell ref="M569:M572"/>
    <mergeCell ref="M391:M396"/>
    <mergeCell ref="M397:M398"/>
    <mergeCell ref="M399:M401"/>
    <mergeCell ref="M402:M407"/>
    <mergeCell ref="M408:M413"/>
    <mergeCell ref="M414:M418"/>
    <mergeCell ref="M419:M420"/>
    <mergeCell ref="M421:M437"/>
    <mergeCell ref="M438:M450"/>
    <mergeCell ref="M451:M453"/>
    <mergeCell ref="M454:M459"/>
    <mergeCell ref="M460:M465"/>
    <mergeCell ref="M466:M472"/>
    <mergeCell ref="M473:M476"/>
    <mergeCell ref="M477:M481"/>
    <mergeCell ref="M482:M487"/>
    <mergeCell ref="L488:N488"/>
    <mergeCell ref="M314:M317"/>
    <mergeCell ref="M318:M332"/>
    <mergeCell ref="L389:N389"/>
    <mergeCell ref="L390:N390"/>
    <mergeCell ref="M244:M247"/>
    <mergeCell ref="M272:M273"/>
    <mergeCell ref="M333:M338"/>
    <mergeCell ref="M339:M340"/>
    <mergeCell ref="M341:M346"/>
    <mergeCell ref="M347:M351"/>
    <mergeCell ref="M352:M358"/>
    <mergeCell ref="M359:M361"/>
    <mergeCell ref="M362:M364"/>
    <mergeCell ref="M365:M371"/>
    <mergeCell ref="M200:M206"/>
    <mergeCell ref="M207:M213"/>
    <mergeCell ref="M214:M224"/>
    <mergeCell ref="M225:M235"/>
    <mergeCell ref="M236:M239"/>
    <mergeCell ref="M240:M243"/>
    <mergeCell ref="L272:L388"/>
    <mergeCell ref="M386:M388"/>
    <mergeCell ref="M372:M380"/>
    <mergeCell ref="M381:M385"/>
    <mergeCell ref="M197:M199"/>
    <mergeCell ref="M248:M253"/>
    <mergeCell ref="M254:M264"/>
    <mergeCell ref="M265:M266"/>
    <mergeCell ref="L267:N267"/>
    <mergeCell ref="L268:N268"/>
    <mergeCell ref="L270:N270"/>
    <mergeCell ref="M274:M275"/>
    <mergeCell ref="M276:M279"/>
    <mergeCell ref="M280:M286"/>
    <mergeCell ref="M287:M293"/>
    <mergeCell ref="M294:M295"/>
    <mergeCell ref="M296:M297"/>
    <mergeCell ref="M298:M303"/>
    <mergeCell ref="M304:M309"/>
    <mergeCell ref="M310:M311"/>
    <mergeCell ref="M312:M313"/>
    <mergeCell ref="U200:U206"/>
    <mergeCell ref="R207:R213"/>
    <mergeCell ref="U207:U213"/>
    <mergeCell ref="G154:G163"/>
    <mergeCell ref="H154:H163"/>
    <mergeCell ref="I154:I163"/>
    <mergeCell ref="J154:J163"/>
    <mergeCell ref="G81:G83"/>
    <mergeCell ref="H81:H83"/>
    <mergeCell ref="I81:I83"/>
    <mergeCell ref="J81:J83"/>
    <mergeCell ref="L81:L163"/>
    <mergeCell ref="G84:G86"/>
    <mergeCell ref="H84:H86"/>
    <mergeCell ref="G111:G120"/>
    <mergeCell ref="H111:H120"/>
    <mergeCell ref="G137:G139"/>
    <mergeCell ref="H137:H139"/>
    <mergeCell ref="I137:I139"/>
    <mergeCell ref="J137:J139"/>
    <mergeCell ref="G140:G144"/>
    <mergeCell ref="H140:H144"/>
    <mergeCell ref="I140:I144"/>
    <mergeCell ref="J140:J144"/>
    <mergeCell ref="G177:G180"/>
    <mergeCell ref="H177:H180"/>
    <mergeCell ref="M166:M176"/>
    <mergeCell ref="M177:M180"/>
    <mergeCell ref="M181:M186"/>
    <mergeCell ref="M187:M190"/>
    <mergeCell ref="M191:M193"/>
    <mergeCell ref="M194:M196"/>
    <mergeCell ref="R91:R97"/>
    <mergeCell ref="U91:U97"/>
    <mergeCell ref="S91:S97"/>
    <mergeCell ref="T91:T97"/>
    <mergeCell ref="R98:R106"/>
    <mergeCell ref="S98:S106"/>
    <mergeCell ref="T98:T106"/>
    <mergeCell ref="U98:U106"/>
    <mergeCell ref="R107:R110"/>
    <mergeCell ref="U107:U110"/>
    <mergeCell ref="S107:S110"/>
    <mergeCell ref="T107:T110"/>
    <mergeCell ref="R111:R120"/>
    <mergeCell ref="S111:S120"/>
    <mergeCell ref="T111:T120"/>
    <mergeCell ref="U111:U120"/>
    <mergeCell ref="R121:R123"/>
    <mergeCell ref="U121:U123"/>
    <mergeCell ref="S121:S123"/>
    <mergeCell ref="T121:T123"/>
    <mergeCell ref="T77:T78"/>
    <mergeCell ref="U77:U78"/>
    <mergeCell ref="L79:N79"/>
    <mergeCell ref="L80:N80"/>
    <mergeCell ref="M81:M83"/>
    <mergeCell ref="M84:M86"/>
    <mergeCell ref="M87:M90"/>
    <mergeCell ref="T73:T76"/>
    <mergeCell ref="U73:U76"/>
    <mergeCell ref="B77:B78"/>
    <mergeCell ref="G77:G78"/>
    <mergeCell ref="H77:H78"/>
    <mergeCell ref="I77:I78"/>
    <mergeCell ref="J77:J78"/>
    <mergeCell ref="R77:R78"/>
    <mergeCell ref="S77:S78"/>
    <mergeCell ref="R81:R83"/>
    <mergeCell ref="S81:S83"/>
    <mergeCell ref="T81:T83"/>
    <mergeCell ref="U81:U83"/>
    <mergeCell ref="R84:R86"/>
    <mergeCell ref="U84:U86"/>
    <mergeCell ref="S84:S86"/>
    <mergeCell ref="T84:T86"/>
    <mergeCell ref="R87:R90"/>
    <mergeCell ref="S87:S90"/>
    <mergeCell ref="T87:T90"/>
    <mergeCell ref="U87:U90"/>
    <mergeCell ref="J98:J106"/>
    <mergeCell ref="M98:M106"/>
    <mergeCell ref="G107:G110"/>
    <mergeCell ref="H107:H110"/>
    <mergeCell ref="I107:I110"/>
    <mergeCell ref="J107:J110"/>
    <mergeCell ref="M107:M110"/>
    <mergeCell ref="I111:I120"/>
    <mergeCell ref="J111:J120"/>
    <mergeCell ref="M111:M120"/>
    <mergeCell ref="M140:M144"/>
    <mergeCell ref="M145:M153"/>
    <mergeCell ref="M154:M163"/>
    <mergeCell ref="L164:N164"/>
    <mergeCell ref="L165:N165"/>
    <mergeCell ref="G121:G123"/>
    <mergeCell ref="H121:H123"/>
    <mergeCell ref="M121:M123"/>
    <mergeCell ref="M124:M127"/>
    <mergeCell ref="M128:M133"/>
    <mergeCell ref="M134:M136"/>
    <mergeCell ref="M137:M139"/>
    <mergeCell ref="B124:B127"/>
    <mergeCell ref="B128:B133"/>
    <mergeCell ref="B134:B136"/>
    <mergeCell ref="B137:B139"/>
    <mergeCell ref="B140:B144"/>
    <mergeCell ref="B145:B153"/>
    <mergeCell ref="B154:B163"/>
    <mergeCell ref="A164:C164"/>
    <mergeCell ref="A165:C165"/>
    <mergeCell ref="A79:C79"/>
    <mergeCell ref="A80:C80"/>
    <mergeCell ref="A81:A163"/>
    <mergeCell ref="B81:B83"/>
    <mergeCell ref="B84:B86"/>
    <mergeCell ref="B87:B90"/>
    <mergeCell ref="B91:B97"/>
    <mergeCell ref="B26:B36"/>
    <mergeCell ref="A12:A78"/>
    <mergeCell ref="B98:B106"/>
    <mergeCell ref="B107:B110"/>
    <mergeCell ref="J73:J76"/>
    <mergeCell ref="M52:M54"/>
    <mergeCell ref="M55:M57"/>
    <mergeCell ref="B58:B60"/>
    <mergeCell ref="G58:G60"/>
    <mergeCell ref="H58:H60"/>
    <mergeCell ref="I58:I60"/>
    <mergeCell ref="J58:J60"/>
    <mergeCell ref="T64:T65"/>
    <mergeCell ref="U64:U65"/>
    <mergeCell ref="S66:S72"/>
    <mergeCell ref="T66:T72"/>
    <mergeCell ref="U66:U72"/>
    <mergeCell ref="R73:R76"/>
    <mergeCell ref="S73:S76"/>
    <mergeCell ref="B111:B120"/>
    <mergeCell ref="B121:B123"/>
    <mergeCell ref="J66:J72"/>
    <mergeCell ref="I84:I86"/>
    <mergeCell ref="J84:J86"/>
    <mergeCell ref="G87:G90"/>
    <mergeCell ref="H87:H90"/>
    <mergeCell ref="I87:I90"/>
    <mergeCell ref="J87:J90"/>
    <mergeCell ref="G91:G97"/>
    <mergeCell ref="H91:H97"/>
    <mergeCell ref="I91:I97"/>
    <mergeCell ref="J91:J97"/>
    <mergeCell ref="M91:M97"/>
    <mergeCell ref="G98:G106"/>
    <mergeCell ref="H98:H106"/>
    <mergeCell ref="I98:I106"/>
    <mergeCell ref="B73:B76"/>
    <mergeCell ref="G73:G76"/>
    <mergeCell ref="H73:H76"/>
    <mergeCell ref="S5:S10"/>
    <mergeCell ref="T5:T10"/>
    <mergeCell ref="S12:S13"/>
    <mergeCell ref="T12:T13"/>
    <mergeCell ref="U12:U13"/>
    <mergeCell ref="S14:S15"/>
    <mergeCell ref="T14:T15"/>
    <mergeCell ref="U14:U15"/>
    <mergeCell ref="A2:J2"/>
    <mergeCell ref="L2:U2"/>
    <mergeCell ref="A5:A10"/>
    <mergeCell ref="G5:G10"/>
    <mergeCell ref="H5:H10"/>
    <mergeCell ref="I5:I10"/>
    <mergeCell ref="J5:J10"/>
    <mergeCell ref="U5:U10"/>
    <mergeCell ref="L5:L10"/>
    <mergeCell ref="L12:L78"/>
    <mergeCell ref="M73:M76"/>
    <mergeCell ref="M77:M78"/>
    <mergeCell ref="G12:G13"/>
    <mergeCell ref="G14:G15"/>
    <mergeCell ref="H14:H15"/>
    <mergeCell ref="I14:I15"/>
    <mergeCell ref="H40:H42"/>
    <mergeCell ref="I40:I42"/>
    <mergeCell ref="J40:J42"/>
    <mergeCell ref="J55:J57"/>
    <mergeCell ref="I73:I76"/>
    <mergeCell ref="S61:S63"/>
    <mergeCell ref="T61:T63"/>
    <mergeCell ref="U61:U63"/>
    <mergeCell ref="S64:S65"/>
    <mergeCell ref="M66:M72"/>
    <mergeCell ref="B61:B63"/>
    <mergeCell ref="G61:G63"/>
    <mergeCell ref="H61:H63"/>
    <mergeCell ref="I61:I63"/>
    <mergeCell ref="J61:J63"/>
    <mergeCell ref="B64:B65"/>
    <mergeCell ref="G64:G65"/>
    <mergeCell ref="H64:H65"/>
    <mergeCell ref="I64:I65"/>
    <mergeCell ref="J64:J65"/>
    <mergeCell ref="B66:B72"/>
    <mergeCell ref="G66:G72"/>
    <mergeCell ref="H66:H72"/>
    <mergeCell ref="I66:I72"/>
    <mergeCell ref="B43:B51"/>
    <mergeCell ref="G43:G51"/>
    <mergeCell ref="H43:H51"/>
    <mergeCell ref="I43:I51"/>
    <mergeCell ref="B14:B15"/>
    <mergeCell ref="B52:B54"/>
    <mergeCell ref="G52:G54"/>
    <mergeCell ref="H52:H54"/>
    <mergeCell ref="I52:I54"/>
    <mergeCell ref="J52:J54"/>
    <mergeCell ref="B55:B57"/>
    <mergeCell ref="G55:G57"/>
    <mergeCell ref="H55:H57"/>
    <mergeCell ref="I55:I57"/>
    <mergeCell ref="R55:R57"/>
    <mergeCell ref="R58:R60"/>
    <mergeCell ref="S58:S60"/>
    <mergeCell ref="R52:R54"/>
    <mergeCell ref="S52:S54"/>
    <mergeCell ref="S55:S57"/>
    <mergeCell ref="M14:M15"/>
    <mergeCell ref="M16:M25"/>
    <mergeCell ref="M26:M36"/>
    <mergeCell ref="M37:M39"/>
    <mergeCell ref="M40:M42"/>
    <mergeCell ref="M43:M51"/>
    <mergeCell ref="M58:M60"/>
    <mergeCell ref="G26:G36"/>
    <mergeCell ref="J14:J15"/>
    <mergeCell ref="J26:J36"/>
    <mergeCell ref="J43:J51"/>
    <mergeCell ref="B16:B25"/>
    <mergeCell ref="B37:B39"/>
    <mergeCell ref="G37:G39"/>
    <mergeCell ref="H37:H39"/>
    <mergeCell ref="I37:I39"/>
    <mergeCell ref="J37:J39"/>
    <mergeCell ref="B40:B42"/>
    <mergeCell ref="G40:G42"/>
    <mergeCell ref="R5:R10"/>
    <mergeCell ref="R12:R13"/>
    <mergeCell ref="R14:R15"/>
    <mergeCell ref="R16:R25"/>
    <mergeCell ref="S16:S25"/>
    <mergeCell ref="T16:T25"/>
    <mergeCell ref="U16:U25"/>
    <mergeCell ref="R26:R36"/>
    <mergeCell ref="S26:S36"/>
    <mergeCell ref="T26:T36"/>
    <mergeCell ref="U26:U36"/>
    <mergeCell ref="S37:S39"/>
    <mergeCell ref="T37:T39"/>
    <mergeCell ref="U37:U39"/>
    <mergeCell ref="R37:R39"/>
    <mergeCell ref="R40:R42"/>
    <mergeCell ref="S40:S42"/>
    <mergeCell ref="T40:T42"/>
    <mergeCell ref="U40:U42"/>
    <mergeCell ref="M12:M13"/>
    <mergeCell ref="B12:B13"/>
    <mergeCell ref="I12:I13"/>
    <mergeCell ref="J12:J13"/>
    <mergeCell ref="S1014:S1015"/>
    <mergeCell ref="T1014:T1015"/>
    <mergeCell ref="U1014:U1015"/>
    <mergeCell ref="R1014:R1015"/>
    <mergeCell ref="R1016:R1017"/>
    <mergeCell ref="S1016:S1017"/>
    <mergeCell ref="T1016:T1017"/>
    <mergeCell ref="U1016:U1017"/>
    <mergeCell ref="R1018:R1019"/>
    <mergeCell ref="S1018:S1019"/>
    <mergeCell ref="H12:H13"/>
    <mergeCell ref="G16:G25"/>
    <mergeCell ref="H16:H25"/>
    <mergeCell ref="I16:I25"/>
    <mergeCell ref="J16:J25"/>
    <mergeCell ref="H26:H36"/>
    <mergeCell ref="I26:I36"/>
    <mergeCell ref="T43:T51"/>
    <mergeCell ref="U43:U51"/>
    <mergeCell ref="R43:R51"/>
    <mergeCell ref="S43:S51"/>
    <mergeCell ref="T58:T60"/>
    <mergeCell ref="U58:U60"/>
    <mergeCell ref="T52:T54"/>
    <mergeCell ref="U52:U54"/>
    <mergeCell ref="T55:T57"/>
    <mergeCell ref="U55:U57"/>
    <mergeCell ref="M61:M63"/>
    <mergeCell ref="M64:M65"/>
    <mergeCell ref="R64:R65"/>
    <mergeCell ref="R66:R72"/>
    <mergeCell ref="R61:R63"/>
    <mergeCell ref="T466:T472"/>
    <mergeCell ref="U466:U472"/>
    <mergeCell ref="R473:R476"/>
    <mergeCell ref="U473:U476"/>
    <mergeCell ref="S482:S487"/>
    <mergeCell ref="T482:T487"/>
    <mergeCell ref="S473:S476"/>
    <mergeCell ref="T473:T476"/>
    <mergeCell ref="R477:R481"/>
    <mergeCell ref="S477:S481"/>
    <mergeCell ref="T477:T481"/>
    <mergeCell ref="U477:U481"/>
    <mergeCell ref="U482:U487"/>
    <mergeCell ref="R1008:R1013"/>
    <mergeCell ref="S1008:S1013"/>
    <mergeCell ref="T1008:T1013"/>
    <mergeCell ref="U1008:U1013"/>
    <mergeCell ref="T274:T275"/>
    <mergeCell ref="U274:U275"/>
    <mergeCell ref="R359:R361"/>
    <mergeCell ref="S359:S361"/>
    <mergeCell ref="T359:T361"/>
    <mergeCell ref="U359:U361"/>
    <mergeCell ref="S362:S364"/>
    <mergeCell ref="T362:T364"/>
    <mergeCell ref="U362:U364"/>
    <mergeCell ref="R399:R401"/>
    <mergeCell ref="S399:S401"/>
    <mergeCell ref="T399:T401"/>
    <mergeCell ref="U399:U401"/>
    <mergeCell ref="S402:S407"/>
    <mergeCell ref="T402:T407"/>
    <mergeCell ref="U402:U407"/>
    <mergeCell ref="R402:R407"/>
    <mergeCell ref="S298:S303"/>
    <mergeCell ref="T298:T303"/>
    <mergeCell ref="R296:R297"/>
    <mergeCell ref="S296:S297"/>
    <mergeCell ref="T296:T297"/>
    <mergeCell ref="U296:U297"/>
    <mergeCell ref="U298:U303"/>
    <mergeCell ref="T310:T311"/>
    <mergeCell ref="U310:U311"/>
    <mergeCell ref="R298:R303"/>
    <mergeCell ref="R304:R309"/>
    <mergeCell ref="S304:S309"/>
    <mergeCell ref="T304:T309"/>
    <mergeCell ref="U304:U309"/>
    <mergeCell ref="R310:R311"/>
    <mergeCell ref="T225:T235"/>
    <mergeCell ref="U225:U235"/>
    <mergeCell ref="R197:R199"/>
    <mergeCell ref="R214:R224"/>
    <mergeCell ref="S214:S224"/>
    <mergeCell ref="T214:T224"/>
    <mergeCell ref="U214:U224"/>
    <mergeCell ref="R225:R235"/>
    <mergeCell ref="S225:S235"/>
    <mergeCell ref="R236:R239"/>
    <mergeCell ref="S236:S239"/>
    <mergeCell ref="T236:T239"/>
    <mergeCell ref="U236:U239"/>
    <mergeCell ref="S240:S243"/>
    <mergeCell ref="T240:T243"/>
    <mergeCell ref="U240:U243"/>
    <mergeCell ref="T248:T253"/>
    <mergeCell ref="U248:U253"/>
    <mergeCell ref="R240:R243"/>
    <mergeCell ref="R244:R247"/>
    <mergeCell ref="S244:S247"/>
    <mergeCell ref="T244:T247"/>
    <mergeCell ref="U244:U247"/>
    <mergeCell ref="R248:R253"/>
    <mergeCell ref="S248:S253"/>
    <mergeCell ref="S207:S213"/>
    <mergeCell ref="T207:T213"/>
    <mergeCell ref="S197:S199"/>
    <mergeCell ref="T197:T199"/>
    <mergeCell ref="R200:R206"/>
    <mergeCell ref="S200:S206"/>
    <mergeCell ref="T200:T206"/>
    <mergeCell ref="R954:R958"/>
    <mergeCell ref="S959:S961"/>
    <mergeCell ref="T959:T961"/>
    <mergeCell ref="U959:U961"/>
    <mergeCell ref="R312:R313"/>
    <mergeCell ref="S312:S313"/>
    <mergeCell ref="T312:T313"/>
    <mergeCell ref="U312:U313"/>
    <mergeCell ref="S314:S317"/>
    <mergeCell ref="T314:T317"/>
    <mergeCell ref="U314:U317"/>
    <mergeCell ref="R314:R317"/>
    <mergeCell ref="R318:R332"/>
    <mergeCell ref="S318:S332"/>
    <mergeCell ref="T318:T332"/>
    <mergeCell ref="U318:U332"/>
    <mergeCell ref="R333:R338"/>
    <mergeCell ref="S333:S338"/>
    <mergeCell ref="T352:T358"/>
    <mergeCell ref="U352:U358"/>
    <mergeCell ref="R341:R346"/>
    <mergeCell ref="R347:R351"/>
    <mergeCell ref="S347:S351"/>
    <mergeCell ref="T347:T351"/>
    <mergeCell ref="U347:U351"/>
    <mergeCell ref="R352:R358"/>
    <mergeCell ref="S352:S358"/>
    <mergeCell ref="R408:R413"/>
    <mergeCell ref="S408:S413"/>
    <mergeCell ref="T408:T413"/>
    <mergeCell ref="U408:U413"/>
    <mergeCell ref="R414:R418"/>
    <mergeCell ref="R913:R915"/>
    <mergeCell ref="R916:R919"/>
    <mergeCell ref="S916:S919"/>
    <mergeCell ref="T916:T919"/>
    <mergeCell ref="U916:U919"/>
    <mergeCell ref="R920:R921"/>
    <mergeCell ref="S920:S921"/>
    <mergeCell ref="R922:R924"/>
    <mergeCell ref="S922:S924"/>
    <mergeCell ref="T922:T924"/>
    <mergeCell ref="U922:U924"/>
    <mergeCell ref="S925:S945"/>
    <mergeCell ref="T925:T945"/>
    <mergeCell ref="U925:U945"/>
    <mergeCell ref="R925:R945"/>
    <mergeCell ref="R946:R949"/>
    <mergeCell ref="R950:R953"/>
    <mergeCell ref="T954:T958"/>
    <mergeCell ref="U954:U958"/>
    <mergeCell ref="S946:S949"/>
    <mergeCell ref="T946:T949"/>
    <mergeCell ref="U946:U949"/>
    <mergeCell ref="S950:S953"/>
    <mergeCell ref="T950:T953"/>
    <mergeCell ref="U950:U953"/>
    <mergeCell ref="S954:S958"/>
    <mergeCell ref="R731:R732"/>
    <mergeCell ref="S731:S732"/>
    <mergeCell ref="T731:T732"/>
    <mergeCell ref="U731:U732"/>
    <mergeCell ref="S733:S734"/>
    <mergeCell ref="T733:T734"/>
    <mergeCell ref="U733:U734"/>
    <mergeCell ref="R733:R734"/>
    <mergeCell ref="R735:R736"/>
    <mergeCell ref="S735:S736"/>
    <mergeCell ref="T735:T736"/>
    <mergeCell ref="U735:U736"/>
    <mergeCell ref="R737:R739"/>
    <mergeCell ref="S737:S739"/>
    <mergeCell ref="R906:R912"/>
    <mergeCell ref="S906:S912"/>
    <mergeCell ref="T906:T912"/>
    <mergeCell ref="U906:U912"/>
    <mergeCell ref="S913:S915"/>
    <mergeCell ref="T913:T915"/>
    <mergeCell ref="U913:U915"/>
    <mergeCell ref="T920:T921"/>
    <mergeCell ref="U920:U921"/>
    <mergeCell ref="T880:T884"/>
    <mergeCell ref="U880:U884"/>
    <mergeCell ref="R866:R872"/>
    <mergeCell ref="R873:R879"/>
    <mergeCell ref="S873:S879"/>
    <mergeCell ref="T873:T879"/>
    <mergeCell ref="U873:U879"/>
    <mergeCell ref="R880:R884"/>
    <mergeCell ref="S880:S884"/>
    <mergeCell ref="R892:R902"/>
    <mergeCell ref="R903:R905"/>
    <mergeCell ref="R885:R891"/>
    <mergeCell ref="S885:S891"/>
    <mergeCell ref="T885:T891"/>
    <mergeCell ref="U885:U891"/>
    <mergeCell ref="S892:S902"/>
    <mergeCell ref="T892:T902"/>
    <mergeCell ref="U892:U902"/>
    <mergeCell ref="S832:S838"/>
    <mergeCell ref="T832:T838"/>
    <mergeCell ref="U832:U838"/>
    <mergeCell ref="S839:S844"/>
    <mergeCell ref="T839:T844"/>
    <mergeCell ref="U839:U844"/>
    <mergeCell ref="R839:R844"/>
    <mergeCell ref="R847:R850"/>
    <mergeCell ref="S847:S850"/>
    <mergeCell ref="T847:T850"/>
    <mergeCell ref="U847:U850"/>
    <mergeCell ref="R851:R858"/>
    <mergeCell ref="S851:S858"/>
    <mergeCell ref="S866:S872"/>
    <mergeCell ref="T866:T872"/>
    <mergeCell ref="T851:T858"/>
    <mergeCell ref="U851:U858"/>
    <mergeCell ref="R859:R865"/>
    <mergeCell ref="S859:S865"/>
    <mergeCell ref="T859:T865"/>
    <mergeCell ref="U859:U865"/>
    <mergeCell ref="U866:U872"/>
    <mergeCell ref="S903:S905"/>
    <mergeCell ref="T903:T905"/>
    <mergeCell ref="U903:U905"/>
    <mergeCell ref="R745:R758"/>
    <mergeCell ref="R759:R760"/>
    <mergeCell ref="R740:R742"/>
    <mergeCell ref="S740:S742"/>
    <mergeCell ref="T740:T742"/>
    <mergeCell ref="U740:U742"/>
    <mergeCell ref="S745:S758"/>
    <mergeCell ref="T745:T758"/>
    <mergeCell ref="U745:U758"/>
    <mergeCell ref="U759:U760"/>
    <mergeCell ref="S803:S813"/>
    <mergeCell ref="T803:T813"/>
    <mergeCell ref="S792:S793"/>
    <mergeCell ref="T792:T793"/>
    <mergeCell ref="R794:R802"/>
    <mergeCell ref="S794:S802"/>
    <mergeCell ref="T794:T802"/>
    <mergeCell ref="U794:U802"/>
    <mergeCell ref="U803:U813"/>
    <mergeCell ref="T823:T831"/>
    <mergeCell ref="U823:U831"/>
    <mergeCell ref="R803:R813"/>
    <mergeCell ref="R814:R822"/>
    <mergeCell ref="S814:S822"/>
    <mergeCell ref="T814:T822"/>
    <mergeCell ref="U814:U822"/>
    <mergeCell ref="R823:R831"/>
    <mergeCell ref="S823:S831"/>
    <mergeCell ref="R832:R838"/>
    <mergeCell ref="R761:R771"/>
    <mergeCell ref="S761:S771"/>
    <mergeCell ref="T761:T771"/>
    <mergeCell ref="U761:U771"/>
    <mergeCell ref="R772:R779"/>
    <mergeCell ref="U772:U779"/>
    <mergeCell ref="S772:S779"/>
    <mergeCell ref="T772:T779"/>
    <mergeCell ref="R780:R791"/>
    <mergeCell ref="S780:S791"/>
    <mergeCell ref="T780:T791"/>
    <mergeCell ref="U780:U791"/>
    <mergeCell ref="R792:R793"/>
    <mergeCell ref="U792:U793"/>
    <mergeCell ref="T494:T498"/>
    <mergeCell ref="U494:U498"/>
    <mergeCell ref="R482:R487"/>
    <mergeCell ref="R490:R493"/>
    <mergeCell ref="S490:S493"/>
    <mergeCell ref="T490:T493"/>
    <mergeCell ref="U490:U493"/>
    <mergeCell ref="R494:R498"/>
    <mergeCell ref="S494:S498"/>
    <mergeCell ref="R692:R696"/>
    <mergeCell ref="S692:S696"/>
    <mergeCell ref="T692:T696"/>
    <mergeCell ref="U692:U696"/>
    <mergeCell ref="S697:S698"/>
    <mergeCell ref="T697:T698"/>
    <mergeCell ref="U697:U698"/>
    <mergeCell ref="T702:T730"/>
    <mergeCell ref="U702:U730"/>
    <mergeCell ref="R653:R660"/>
    <mergeCell ref="S653:S660"/>
    <mergeCell ref="T653:T660"/>
    <mergeCell ref="U653:U660"/>
    <mergeCell ref="R661:R664"/>
    <mergeCell ref="S661:S664"/>
    <mergeCell ref="S676:S684"/>
    <mergeCell ref="T676:T684"/>
    <mergeCell ref="T661:T664"/>
    <mergeCell ref="U661:U664"/>
    <mergeCell ref="R670:R675"/>
    <mergeCell ref="S670:S675"/>
    <mergeCell ref="T670:T675"/>
    <mergeCell ref="U670:U675"/>
    <mergeCell ref="U676:U684"/>
    <mergeCell ref="S759:S760"/>
    <mergeCell ref="T759:T760"/>
    <mergeCell ref="R697:R698"/>
    <mergeCell ref="R699:R701"/>
    <mergeCell ref="S699:S701"/>
    <mergeCell ref="T699:T701"/>
    <mergeCell ref="U699:U701"/>
    <mergeCell ref="R702:R730"/>
    <mergeCell ref="S702:S730"/>
    <mergeCell ref="T737:T739"/>
    <mergeCell ref="U737:U739"/>
    <mergeCell ref="R397:R398"/>
    <mergeCell ref="S397:S398"/>
    <mergeCell ref="T414:T418"/>
    <mergeCell ref="U414:U418"/>
    <mergeCell ref="R543:R545"/>
    <mergeCell ref="S543:S545"/>
    <mergeCell ref="T543:T545"/>
    <mergeCell ref="U543:U545"/>
    <mergeCell ref="S546:S549"/>
    <mergeCell ref="T546:T549"/>
    <mergeCell ref="U546:U549"/>
    <mergeCell ref="R633:R644"/>
    <mergeCell ref="S633:S644"/>
    <mergeCell ref="T633:T644"/>
    <mergeCell ref="U633:U644"/>
    <mergeCell ref="S645:S652"/>
    <mergeCell ref="T645:T652"/>
    <mergeCell ref="U645:U652"/>
    <mergeCell ref="R645:R652"/>
    <mergeCell ref="S414:S418"/>
    <mergeCell ref="T451:T453"/>
    <mergeCell ref="U451:U453"/>
    <mergeCell ref="R454:R459"/>
    <mergeCell ref="S454:S459"/>
    <mergeCell ref="T454:T459"/>
    <mergeCell ref="U454:U459"/>
    <mergeCell ref="R460:R465"/>
    <mergeCell ref="U460:U465"/>
    <mergeCell ref="S460:S465"/>
    <mergeCell ref="T460:T465"/>
    <mergeCell ref="R466:R472"/>
    <mergeCell ref="S466:S472"/>
    <mergeCell ref="T540:T542"/>
    <mergeCell ref="U540:U542"/>
    <mergeCell ref="R521:R530"/>
    <mergeCell ref="R531:R539"/>
    <mergeCell ref="S531:S539"/>
    <mergeCell ref="T531:T539"/>
    <mergeCell ref="U531:U539"/>
    <mergeCell ref="R540:R542"/>
    <mergeCell ref="S540:S542"/>
    <mergeCell ref="T372:T380"/>
    <mergeCell ref="U372:U380"/>
    <mergeCell ref="R362:R364"/>
    <mergeCell ref="R365:R371"/>
    <mergeCell ref="S365:S371"/>
    <mergeCell ref="T365:T371"/>
    <mergeCell ref="U365:U371"/>
    <mergeCell ref="R372:R380"/>
    <mergeCell ref="S372:S380"/>
    <mergeCell ref="R381:R385"/>
    <mergeCell ref="S381:S385"/>
    <mergeCell ref="T381:T385"/>
    <mergeCell ref="U381:U385"/>
    <mergeCell ref="S386:S388"/>
    <mergeCell ref="T386:T388"/>
    <mergeCell ref="U386:U388"/>
    <mergeCell ref="T397:T398"/>
    <mergeCell ref="U397:U398"/>
    <mergeCell ref="R386:R388"/>
    <mergeCell ref="R391:R396"/>
    <mergeCell ref="S391:S396"/>
    <mergeCell ref="T391:T396"/>
    <mergeCell ref="U391:U396"/>
    <mergeCell ref="S504:S511"/>
    <mergeCell ref="T504:T511"/>
    <mergeCell ref="U504:U511"/>
    <mergeCell ref="R504:R511"/>
    <mergeCell ref="R512:R514"/>
    <mergeCell ref="S512:S514"/>
    <mergeCell ref="T512:T514"/>
    <mergeCell ref="U512:U514"/>
    <mergeCell ref="R515:R517"/>
    <mergeCell ref="S515:S517"/>
    <mergeCell ref="S521:S530"/>
    <mergeCell ref="T521:T530"/>
    <mergeCell ref="T515:T517"/>
    <mergeCell ref="U515:U517"/>
    <mergeCell ref="R518:R520"/>
    <mergeCell ref="S518:S520"/>
    <mergeCell ref="T518:T520"/>
    <mergeCell ref="U518:U520"/>
    <mergeCell ref="U521:U530"/>
    <mergeCell ref="R569:R572"/>
    <mergeCell ref="R573:R575"/>
    <mergeCell ref="S573:S575"/>
    <mergeCell ref="T573:T575"/>
    <mergeCell ref="U573:U575"/>
    <mergeCell ref="R576:R597"/>
    <mergeCell ref="S576:S597"/>
    <mergeCell ref="T628:T632"/>
    <mergeCell ref="U628:U632"/>
    <mergeCell ref="R676:R684"/>
    <mergeCell ref="R685:R691"/>
    <mergeCell ref="S685:S691"/>
    <mergeCell ref="T685:T691"/>
    <mergeCell ref="U685:U691"/>
    <mergeCell ref="R419:R420"/>
    <mergeCell ref="S419:S420"/>
    <mergeCell ref="T419:T420"/>
    <mergeCell ref="U419:U420"/>
    <mergeCell ref="S421:S437"/>
    <mergeCell ref="T421:T437"/>
    <mergeCell ref="U421:U437"/>
    <mergeCell ref="R421:R437"/>
    <mergeCell ref="R438:R450"/>
    <mergeCell ref="S438:S450"/>
    <mergeCell ref="T438:T450"/>
    <mergeCell ref="U438:U450"/>
    <mergeCell ref="R451:R453"/>
    <mergeCell ref="S451:S453"/>
    <mergeCell ref="R499:R503"/>
    <mergeCell ref="S499:S503"/>
    <mergeCell ref="T499:T503"/>
    <mergeCell ref="U499:U503"/>
    <mergeCell ref="R598:R613"/>
    <mergeCell ref="S598:S613"/>
    <mergeCell ref="T598:T613"/>
    <mergeCell ref="U598:U613"/>
    <mergeCell ref="S614:S620"/>
    <mergeCell ref="T614:T620"/>
    <mergeCell ref="U614:U620"/>
    <mergeCell ref="R614:R620"/>
    <mergeCell ref="R621:R627"/>
    <mergeCell ref="S621:S627"/>
    <mergeCell ref="T621:T627"/>
    <mergeCell ref="U621:U627"/>
    <mergeCell ref="R628:R632"/>
    <mergeCell ref="S628:S632"/>
    <mergeCell ref="T556:T565"/>
    <mergeCell ref="U556:U565"/>
    <mergeCell ref="R546:R549"/>
    <mergeCell ref="R550:R555"/>
    <mergeCell ref="S550:S555"/>
    <mergeCell ref="T550:T555"/>
    <mergeCell ref="U550:U555"/>
    <mergeCell ref="R556:R565"/>
    <mergeCell ref="S556:S565"/>
    <mergeCell ref="R566:R568"/>
    <mergeCell ref="S566:S568"/>
    <mergeCell ref="T566:T568"/>
    <mergeCell ref="U566:U568"/>
    <mergeCell ref="S569:S572"/>
    <mergeCell ref="T569:T572"/>
    <mergeCell ref="U569:U572"/>
    <mergeCell ref="T576:T597"/>
    <mergeCell ref="U576:U597"/>
  </mergeCells>
  <conditionalFormatting sqref="J1 U1 J3:J10 U3:U10">
    <cfRule type="cellIs" dxfId="12" priority="1" operator="between">
      <formula>"50%"</formula>
      <formula>"75%"</formula>
    </cfRule>
    <cfRule type="cellIs" dxfId="11" priority="2" operator="greaterThan">
      <formula>"75%"</formula>
    </cfRule>
    <cfRule type="cellIs" dxfId="10" priority="3" operator="lessThanOrEqual">
      <formula>"50%"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1831"/>
  <sheetViews>
    <sheetView workbookViewId="0"/>
  </sheetViews>
  <sheetFormatPr baseColWidth="10" defaultColWidth="12.6640625" defaultRowHeight="15.75" customHeight="1"/>
  <cols>
    <col min="2" max="2" width="19" customWidth="1"/>
    <col min="3" max="3" width="32.6640625" customWidth="1"/>
    <col min="4" max="4" width="21" customWidth="1"/>
    <col min="5" max="5" width="15.1640625" customWidth="1"/>
    <col min="6" max="6" width="15.83203125" customWidth="1"/>
    <col min="7" max="7" width="22.5" customWidth="1"/>
    <col min="8" max="9" width="17.6640625" customWidth="1"/>
    <col min="10" max="10" width="14.6640625" customWidth="1"/>
    <col min="13" max="13" width="19" customWidth="1"/>
    <col min="14" max="14" width="32.6640625" customWidth="1"/>
    <col min="15" max="15" width="21" customWidth="1"/>
    <col min="16" max="16" width="15.1640625" customWidth="1"/>
    <col min="17" max="17" width="15.83203125" customWidth="1"/>
    <col min="18" max="18" width="22.5" customWidth="1"/>
    <col min="19" max="20" width="17.6640625" customWidth="1"/>
    <col min="21" max="21" width="14.6640625" customWidth="1"/>
  </cols>
  <sheetData>
    <row r="1" spans="1:21" ht="16">
      <c r="B1" s="1"/>
      <c r="J1" s="2"/>
      <c r="M1" s="1"/>
      <c r="U1" s="2"/>
    </row>
    <row r="2" spans="1:21" ht="45">
      <c r="A2" s="260" t="s">
        <v>572</v>
      </c>
      <c r="B2" s="261"/>
      <c r="C2" s="261"/>
      <c r="D2" s="261"/>
      <c r="E2" s="261"/>
      <c r="F2" s="261"/>
      <c r="G2" s="261"/>
      <c r="H2" s="261"/>
      <c r="I2" s="261"/>
      <c r="J2" s="262"/>
      <c r="L2" s="260" t="s">
        <v>573</v>
      </c>
      <c r="M2" s="261"/>
      <c r="N2" s="261"/>
      <c r="O2" s="261"/>
      <c r="P2" s="261"/>
      <c r="Q2" s="261"/>
      <c r="R2" s="261"/>
      <c r="S2" s="261"/>
      <c r="T2" s="261"/>
      <c r="U2" s="262"/>
    </row>
    <row r="3" spans="1:21" ht="16">
      <c r="B3" s="1"/>
      <c r="J3" s="2"/>
      <c r="M3" s="1"/>
      <c r="U3" s="2"/>
    </row>
    <row r="4" spans="1:21" ht="18">
      <c r="B4" s="3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20</v>
      </c>
      <c r="M4" s="3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5" t="s">
        <v>20</v>
      </c>
    </row>
    <row r="5" spans="1:21" ht="13">
      <c r="A5" s="263" t="s">
        <v>21</v>
      </c>
      <c r="B5" s="6" t="s">
        <v>22</v>
      </c>
      <c r="C5" s="7"/>
      <c r="D5" s="8"/>
      <c r="E5" s="8"/>
      <c r="F5" s="7"/>
      <c r="G5" s="239">
        <f>SUM(F5:F10)</f>
        <v>0</v>
      </c>
      <c r="H5" s="239">
        <v>0</v>
      </c>
      <c r="I5" s="239">
        <f>H5-G5</f>
        <v>0</v>
      </c>
      <c r="J5" s="259" t="e">
        <f>I5/H5</f>
        <v>#DIV/0!</v>
      </c>
      <c r="L5" s="263" t="s">
        <v>21</v>
      </c>
      <c r="M5" s="6" t="s">
        <v>22</v>
      </c>
      <c r="N5" s="7"/>
      <c r="O5" s="8"/>
      <c r="P5" s="8"/>
      <c r="Q5" s="7"/>
      <c r="R5" s="239">
        <f>SUM(Q5:Q10)</f>
        <v>0</v>
      </c>
      <c r="S5" s="239">
        <v>0</v>
      </c>
      <c r="T5" s="239">
        <f>S5-R5</f>
        <v>0</v>
      </c>
      <c r="U5" s="259" t="e">
        <f>T5/S5</f>
        <v>#DIV/0!</v>
      </c>
    </row>
    <row r="6" spans="1:21" ht="13">
      <c r="A6" s="264"/>
      <c r="B6" s="1"/>
      <c r="D6" s="8"/>
      <c r="E6" s="8"/>
      <c r="G6" s="236"/>
      <c r="H6" s="236"/>
      <c r="I6" s="236"/>
      <c r="J6" s="242"/>
      <c r="L6" s="264"/>
      <c r="M6" s="1"/>
      <c r="O6" s="8"/>
      <c r="P6" s="8"/>
      <c r="Q6" s="7"/>
      <c r="R6" s="236"/>
      <c r="S6" s="236"/>
      <c r="T6" s="236"/>
      <c r="U6" s="242"/>
    </row>
    <row r="7" spans="1:21" ht="13">
      <c r="A7" s="264"/>
      <c r="B7" s="1"/>
      <c r="D7" s="11"/>
      <c r="E7" s="11"/>
      <c r="G7" s="236"/>
      <c r="H7" s="236"/>
      <c r="I7" s="236"/>
      <c r="J7" s="242"/>
      <c r="L7" s="264"/>
      <c r="M7" s="1"/>
      <c r="O7" s="11"/>
      <c r="P7" s="11"/>
      <c r="R7" s="236"/>
      <c r="S7" s="236"/>
      <c r="T7" s="236"/>
      <c r="U7" s="242"/>
    </row>
    <row r="8" spans="1:21" ht="13">
      <c r="A8" s="264"/>
      <c r="B8" s="1"/>
      <c r="D8" s="11"/>
      <c r="E8" s="11"/>
      <c r="G8" s="236"/>
      <c r="H8" s="236"/>
      <c r="I8" s="236"/>
      <c r="J8" s="242"/>
      <c r="L8" s="264"/>
      <c r="M8" s="1"/>
      <c r="O8" s="11"/>
      <c r="P8" s="11"/>
      <c r="R8" s="236"/>
      <c r="S8" s="236"/>
      <c r="T8" s="236"/>
      <c r="U8" s="242"/>
    </row>
    <row r="9" spans="1:21" ht="13">
      <c r="A9" s="264"/>
      <c r="B9" s="1"/>
      <c r="D9" s="11"/>
      <c r="E9" s="11"/>
      <c r="G9" s="236"/>
      <c r="H9" s="236"/>
      <c r="I9" s="236"/>
      <c r="J9" s="242"/>
      <c r="L9" s="264"/>
      <c r="M9" s="1"/>
      <c r="O9" s="11"/>
      <c r="P9" s="11"/>
      <c r="R9" s="236"/>
      <c r="S9" s="236"/>
      <c r="T9" s="236"/>
      <c r="U9" s="242"/>
    </row>
    <row r="10" spans="1:21" ht="13">
      <c r="A10" s="265"/>
      <c r="B10" s="12"/>
      <c r="C10" s="13"/>
      <c r="D10" s="14"/>
      <c r="E10" s="14"/>
      <c r="F10" s="14"/>
      <c r="G10" s="238"/>
      <c r="H10" s="238"/>
      <c r="I10" s="238"/>
      <c r="J10" s="243"/>
      <c r="L10" s="265"/>
      <c r="M10" s="12"/>
      <c r="N10" s="13"/>
      <c r="O10" s="14"/>
      <c r="P10" s="14"/>
      <c r="Q10" s="14"/>
      <c r="R10" s="238"/>
      <c r="S10" s="238"/>
      <c r="T10" s="238"/>
      <c r="U10" s="243"/>
    </row>
    <row r="12" spans="1:21" ht="13">
      <c r="A12" s="277" t="s">
        <v>0</v>
      </c>
      <c r="B12" s="244" t="s">
        <v>113</v>
      </c>
      <c r="C12" s="15" t="s">
        <v>114</v>
      </c>
      <c r="D12" s="16">
        <v>7</v>
      </c>
      <c r="E12" s="16">
        <v>18</v>
      </c>
      <c r="F12" s="16">
        <f>D12*E12</f>
        <v>126</v>
      </c>
      <c r="G12" s="240">
        <f>SUM(F12:F13)</f>
        <v>275.21000000000004</v>
      </c>
      <c r="H12" s="237">
        <v>2533.1</v>
      </c>
      <c r="I12" s="237">
        <f>H12-G12</f>
        <v>2257.89</v>
      </c>
      <c r="J12" s="241">
        <f>I12/H12</f>
        <v>0.89135446685878961</v>
      </c>
      <c r="L12" s="277" t="s">
        <v>0</v>
      </c>
      <c r="M12" s="244" t="s">
        <v>113</v>
      </c>
      <c r="N12" s="15" t="s">
        <v>114</v>
      </c>
      <c r="O12" s="43"/>
      <c r="P12" s="43"/>
      <c r="Q12" s="43"/>
      <c r="R12" s="240">
        <f>SUM(Q12:Q13)</f>
        <v>149.21</v>
      </c>
      <c r="S12" s="237">
        <v>2533.1</v>
      </c>
      <c r="T12" s="237">
        <f>S12-R12</f>
        <v>2383.89</v>
      </c>
      <c r="U12" s="241">
        <f>T12/S12</f>
        <v>0.94109589041095887</v>
      </c>
    </row>
    <row r="13" spans="1:21" ht="13">
      <c r="A13" s="249"/>
      <c r="B13" s="246"/>
      <c r="C13" s="44" t="s">
        <v>115</v>
      </c>
      <c r="D13" s="21"/>
      <c r="E13" s="21"/>
      <c r="F13" s="21">
        <v>149.21</v>
      </c>
      <c r="G13" s="238"/>
      <c r="H13" s="238"/>
      <c r="I13" s="238"/>
      <c r="J13" s="243"/>
      <c r="L13" s="249"/>
      <c r="M13" s="246"/>
      <c r="N13" s="44" t="s">
        <v>115</v>
      </c>
      <c r="O13" s="21"/>
      <c r="P13" s="21"/>
      <c r="Q13" s="21">
        <v>149.21</v>
      </c>
      <c r="R13" s="238"/>
      <c r="S13" s="238"/>
      <c r="T13" s="238"/>
      <c r="U13" s="243"/>
    </row>
    <row r="14" spans="1:21" ht="13">
      <c r="A14" s="249"/>
      <c r="B14" s="244" t="s">
        <v>116</v>
      </c>
      <c r="C14" s="15" t="s">
        <v>114</v>
      </c>
      <c r="D14" s="16">
        <v>7</v>
      </c>
      <c r="E14" s="16">
        <v>18</v>
      </c>
      <c r="F14" s="16">
        <f>D14*E14</f>
        <v>126</v>
      </c>
      <c r="G14" s="240">
        <f>SUM(F14:F15)</f>
        <v>191.12</v>
      </c>
      <c r="H14" s="237">
        <v>1215.2</v>
      </c>
      <c r="I14" s="237">
        <f>H14-G14</f>
        <v>1024.08</v>
      </c>
      <c r="J14" s="241">
        <f>I14/H14</f>
        <v>0.84272547728768921</v>
      </c>
      <c r="L14" s="249"/>
      <c r="M14" s="244" t="s">
        <v>116</v>
      </c>
      <c r="N14" s="15" t="s">
        <v>114</v>
      </c>
      <c r="O14" s="43"/>
      <c r="P14" s="43"/>
      <c r="Q14" s="43"/>
      <c r="R14" s="240">
        <f>SUM(Q14:Q15)</f>
        <v>65.12</v>
      </c>
      <c r="S14" s="237">
        <v>1215.2</v>
      </c>
      <c r="T14" s="237">
        <f>S14-R14</f>
        <v>1150.08</v>
      </c>
      <c r="U14" s="241">
        <f>T14/S14</f>
        <v>0.94641211323238961</v>
      </c>
    </row>
    <row r="15" spans="1:21" ht="13">
      <c r="A15" s="249"/>
      <c r="B15" s="246"/>
      <c r="C15" s="44" t="s">
        <v>115</v>
      </c>
      <c r="D15" s="21"/>
      <c r="E15" s="21"/>
      <c r="F15" s="21">
        <v>65.12</v>
      </c>
      <c r="G15" s="238"/>
      <c r="H15" s="238"/>
      <c r="I15" s="238"/>
      <c r="J15" s="243"/>
      <c r="L15" s="249"/>
      <c r="M15" s="246"/>
      <c r="N15" s="44" t="s">
        <v>115</v>
      </c>
      <c r="O15" s="21"/>
      <c r="P15" s="21"/>
      <c r="Q15" s="21">
        <v>65.12</v>
      </c>
      <c r="R15" s="238"/>
      <c r="S15" s="238"/>
      <c r="T15" s="238"/>
      <c r="U15" s="243"/>
    </row>
    <row r="16" spans="1:21" ht="13">
      <c r="A16" s="249"/>
      <c r="B16" s="244" t="s">
        <v>117</v>
      </c>
      <c r="C16" s="19" t="s">
        <v>63</v>
      </c>
      <c r="D16" s="16"/>
      <c r="E16" s="16"/>
      <c r="F16" s="17">
        <v>1000</v>
      </c>
      <c r="G16" s="240">
        <f>SUM(F16:F25)</f>
        <v>2532.6799999999998</v>
      </c>
      <c r="H16" s="240">
        <v>7062</v>
      </c>
      <c r="I16" s="240">
        <f>H16-G16</f>
        <v>4529.32</v>
      </c>
      <c r="J16" s="241">
        <f>I16/H16</f>
        <v>0.64136505239308972</v>
      </c>
      <c r="L16" s="249"/>
      <c r="M16" s="244" t="s">
        <v>117</v>
      </c>
      <c r="N16" s="19" t="s">
        <v>63</v>
      </c>
      <c r="O16" s="16"/>
      <c r="P16" s="16"/>
      <c r="Q16" s="17">
        <v>1000</v>
      </c>
      <c r="R16" s="240">
        <f>SUM(Q16:Q25)</f>
        <v>2532.6799999999998</v>
      </c>
      <c r="S16" s="240">
        <v>7062</v>
      </c>
      <c r="T16" s="240">
        <f>S16-R16</f>
        <v>4529.32</v>
      </c>
      <c r="U16" s="241">
        <f>T16/S16</f>
        <v>0.64136505239308972</v>
      </c>
    </row>
    <row r="17" spans="1:21" ht="13">
      <c r="A17" s="249"/>
      <c r="B17" s="245"/>
      <c r="C17" s="19" t="s">
        <v>118</v>
      </c>
      <c r="D17" s="17"/>
      <c r="E17" s="17"/>
      <c r="F17" s="17">
        <v>170</v>
      </c>
      <c r="G17" s="236"/>
      <c r="H17" s="236"/>
      <c r="I17" s="236"/>
      <c r="J17" s="242"/>
      <c r="L17" s="249"/>
      <c r="M17" s="245"/>
      <c r="N17" s="19" t="s">
        <v>118</v>
      </c>
      <c r="O17" s="17"/>
      <c r="P17" s="17"/>
      <c r="Q17" s="17">
        <v>170</v>
      </c>
      <c r="R17" s="236"/>
      <c r="S17" s="236"/>
      <c r="T17" s="236"/>
      <c r="U17" s="242"/>
    </row>
    <row r="18" spans="1:21" ht="14">
      <c r="A18" s="249"/>
      <c r="B18" s="245"/>
      <c r="C18" s="45" t="s">
        <v>119</v>
      </c>
      <c r="D18" s="17"/>
      <c r="E18" s="17">
        <v>18.5</v>
      </c>
      <c r="F18" s="17">
        <f t="shared" ref="F18:F23" si="0">D18*E18</f>
        <v>0</v>
      </c>
      <c r="G18" s="236"/>
      <c r="H18" s="236"/>
      <c r="I18" s="236"/>
      <c r="J18" s="242"/>
      <c r="L18" s="249"/>
      <c r="M18" s="245"/>
      <c r="N18" s="45" t="s">
        <v>119</v>
      </c>
      <c r="O18" s="17"/>
      <c r="P18" s="17">
        <v>18.5</v>
      </c>
      <c r="Q18" s="17">
        <f t="shared" ref="Q18:Q23" si="1">O18*P18</f>
        <v>0</v>
      </c>
      <c r="R18" s="236"/>
      <c r="S18" s="236"/>
      <c r="T18" s="236"/>
      <c r="U18" s="242"/>
    </row>
    <row r="19" spans="1:21" ht="14">
      <c r="A19" s="249"/>
      <c r="B19" s="245"/>
      <c r="C19" s="45" t="s">
        <v>120</v>
      </c>
      <c r="D19" s="17">
        <v>12</v>
      </c>
      <c r="E19" s="17">
        <v>18.5</v>
      </c>
      <c r="F19" s="17">
        <f t="shared" si="0"/>
        <v>222</v>
      </c>
      <c r="G19" s="236"/>
      <c r="H19" s="236"/>
      <c r="I19" s="236"/>
      <c r="J19" s="242"/>
      <c r="L19" s="249"/>
      <c r="M19" s="245"/>
      <c r="N19" s="46" t="s">
        <v>120</v>
      </c>
      <c r="O19" s="17">
        <v>12</v>
      </c>
      <c r="P19" s="17">
        <v>18.5</v>
      </c>
      <c r="Q19" s="17">
        <f t="shared" si="1"/>
        <v>222</v>
      </c>
      <c r="R19" s="236"/>
      <c r="S19" s="236"/>
      <c r="T19" s="236"/>
      <c r="U19" s="242"/>
    </row>
    <row r="20" spans="1:21" ht="14">
      <c r="A20" s="249"/>
      <c r="B20" s="245"/>
      <c r="C20" s="45" t="s">
        <v>121</v>
      </c>
      <c r="D20" s="17">
        <v>12</v>
      </c>
      <c r="E20" s="17">
        <v>18.5</v>
      </c>
      <c r="F20" s="17">
        <f t="shared" si="0"/>
        <v>222</v>
      </c>
      <c r="G20" s="236"/>
      <c r="H20" s="236"/>
      <c r="I20" s="236"/>
      <c r="J20" s="242"/>
      <c r="L20" s="249"/>
      <c r="M20" s="245"/>
      <c r="N20" s="46" t="s">
        <v>121</v>
      </c>
      <c r="O20" s="17">
        <v>12</v>
      </c>
      <c r="P20" s="17">
        <v>18.5</v>
      </c>
      <c r="Q20" s="17">
        <f t="shared" si="1"/>
        <v>222</v>
      </c>
      <c r="R20" s="236"/>
      <c r="S20" s="236"/>
      <c r="T20" s="236"/>
      <c r="U20" s="242"/>
    </row>
    <row r="21" spans="1:21" ht="14">
      <c r="A21" s="249"/>
      <c r="B21" s="245"/>
      <c r="C21" s="45" t="s">
        <v>122</v>
      </c>
      <c r="D21" s="17">
        <v>6</v>
      </c>
      <c r="E21" s="17">
        <v>15</v>
      </c>
      <c r="F21" s="17">
        <f t="shared" si="0"/>
        <v>90</v>
      </c>
      <c r="G21" s="236"/>
      <c r="H21" s="236"/>
      <c r="I21" s="236"/>
      <c r="J21" s="242"/>
      <c r="L21" s="249"/>
      <c r="M21" s="245"/>
      <c r="N21" s="46" t="s">
        <v>122</v>
      </c>
      <c r="O21" s="17">
        <v>6</v>
      </c>
      <c r="P21" s="17">
        <v>15</v>
      </c>
      <c r="Q21" s="17">
        <f t="shared" si="1"/>
        <v>90</v>
      </c>
      <c r="R21" s="236"/>
      <c r="S21" s="236"/>
      <c r="T21" s="236"/>
      <c r="U21" s="242"/>
    </row>
    <row r="22" spans="1:21" ht="13">
      <c r="A22" s="249"/>
      <c r="B22" s="245"/>
      <c r="C22" s="47" t="s">
        <v>123</v>
      </c>
      <c r="D22" s="17">
        <v>12</v>
      </c>
      <c r="E22" s="17">
        <v>15</v>
      </c>
      <c r="F22" s="17">
        <f t="shared" si="0"/>
        <v>180</v>
      </c>
      <c r="G22" s="236"/>
      <c r="H22" s="236"/>
      <c r="I22" s="236"/>
      <c r="J22" s="242"/>
      <c r="L22" s="249"/>
      <c r="M22" s="245"/>
      <c r="N22" s="48" t="s">
        <v>123</v>
      </c>
      <c r="O22" s="17">
        <v>12</v>
      </c>
      <c r="P22" s="17">
        <v>15</v>
      </c>
      <c r="Q22" s="17">
        <f t="shared" si="1"/>
        <v>180</v>
      </c>
      <c r="R22" s="236"/>
      <c r="S22" s="236"/>
      <c r="T22" s="236"/>
      <c r="U22" s="242"/>
    </row>
    <row r="23" spans="1:21" ht="14">
      <c r="A23" s="249"/>
      <c r="B23" s="245"/>
      <c r="C23" s="45" t="s">
        <v>124</v>
      </c>
      <c r="D23" s="17">
        <v>12</v>
      </c>
      <c r="E23" s="17">
        <v>18.5</v>
      </c>
      <c r="F23" s="17">
        <f t="shared" si="0"/>
        <v>222</v>
      </c>
      <c r="G23" s="236"/>
      <c r="H23" s="236"/>
      <c r="I23" s="236"/>
      <c r="J23" s="242"/>
      <c r="L23" s="249"/>
      <c r="M23" s="245"/>
      <c r="N23" s="46" t="s">
        <v>124</v>
      </c>
      <c r="O23" s="17">
        <v>12</v>
      </c>
      <c r="P23" s="17">
        <v>18.5</v>
      </c>
      <c r="Q23" s="17">
        <f t="shared" si="1"/>
        <v>222</v>
      </c>
      <c r="R23" s="236"/>
      <c r="S23" s="236"/>
      <c r="T23" s="236"/>
      <c r="U23" s="242"/>
    </row>
    <row r="24" spans="1:21" ht="13">
      <c r="A24" s="249"/>
      <c r="B24" s="245"/>
      <c r="C24" s="19" t="s">
        <v>48</v>
      </c>
      <c r="D24" s="17"/>
      <c r="E24" s="17"/>
      <c r="F24" s="17">
        <v>426.68</v>
      </c>
      <c r="G24" s="236"/>
      <c r="H24" s="236"/>
      <c r="I24" s="236"/>
      <c r="J24" s="242"/>
      <c r="L24" s="249"/>
      <c r="M24" s="245"/>
      <c r="N24" s="19" t="s">
        <v>48</v>
      </c>
      <c r="O24" s="17"/>
      <c r="P24" s="17"/>
      <c r="Q24" s="17">
        <v>426.68</v>
      </c>
      <c r="R24" s="236"/>
      <c r="S24" s="236"/>
      <c r="T24" s="236"/>
      <c r="U24" s="242"/>
    </row>
    <row r="25" spans="1:21" ht="13">
      <c r="A25" s="249"/>
      <c r="B25" s="246"/>
      <c r="C25" s="44"/>
      <c r="D25" s="21"/>
      <c r="E25" s="17"/>
      <c r="F25" s="21"/>
      <c r="G25" s="238"/>
      <c r="H25" s="238"/>
      <c r="I25" s="238"/>
      <c r="J25" s="243"/>
      <c r="L25" s="249"/>
      <c r="M25" s="246"/>
      <c r="N25" s="44"/>
      <c r="O25" s="21"/>
      <c r="P25" s="21"/>
      <c r="Q25" s="21"/>
      <c r="R25" s="238"/>
      <c r="S25" s="238"/>
      <c r="T25" s="238"/>
      <c r="U25" s="243"/>
    </row>
    <row r="26" spans="1:21" ht="13">
      <c r="A26" s="249"/>
      <c r="B26" s="244" t="s">
        <v>125</v>
      </c>
      <c r="C26" s="19" t="s">
        <v>23</v>
      </c>
      <c r="D26" s="16">
        <v>21</v>
      </c>
      <c r="E26" s="16">
        <v>16</v>
      </c>
      <c r="F26" s="17">
        <f t="shared" ref="F26:F34" si="2">D26*E26</f>
        <v>336</v>
      </c>
      <c r="G26" s="240">
        <f>SUM(F26:F36)</f>
        <v>5610.7199999999993</v>
      </c>
      <c r="H26" s="237">
        <v>12037.04</v>
      </c>
      <c r="I26" s="237">
        <f>H26-G26</f>
        <v>6426.3200000000015</v>
      </c>
      <c r="J26" s="241">
        <f>I26/H26</f>
        <v>0.53387876089138198</v>
      </c>
      <c r="L26" s="249"/>
      <c r="M26" s="244" t="s">
        <v>125</v>
      </c>
      <c r="N26" s="19" t="s">
        <v>23</v>
      </c>
      <c r="O26" s="43"/>
      <c r="P26" s="43"/>
      <c r="Q26" s="43"/>
      <c r="R26" s="240">
        <f>SUM(Q26:Q36)</f>
        <v>4922.7199999999993</v>
      </c>
      <c r="S26" s="237">
        <v>12037.04</v>
      </c>
      <c r="T26" s="237">
        <f>S26-R26</f>
        <v>7114.3200000000015</v>
      </c>
      <c r="U26" s="241">
        <f>T26/S26</f>
        <v>0.5910356698989121</v>
      </c>
    </row>
    <row r="27" spans="1:21" ht="13">
      <c r="A27" s="249"/>
      <c r="B27" s="245"/>
      <c r="C27" s="19" t="s">
        <v>114</v>
      </c>
      <c r="D27" s="17">
        <v>21</v>
      </c>
      <c r="E27" s="17">
        <v>18</v>
      </c>
      <c r="F27" s="17">
        <f t="shared" si="2"/>
        <v>378</v>
      </c>
      <c r="G27" s="236"/>
      <c r="H27" s="236"/>
      <c r="I27" s="236"/>
      <c r="J27" s="242"/>
      <c r="L27" s="249"/>
      <c r="M27" s="245"/>
      <c r="N27" s="19" t="s">
        <v>114</v>
      </c>
      <c r="O27" s="18"/>
      <c r="P27" s="18"/>
      <c r="Q27" s="18"/>
      <c r="R27" s="236"/>
      <c r="S27" s="236"/>
      <c r="T27" s="236"/>
      <c r="U27" s="242"/>
    </row>
    <row r="28" spans="1:21" ht="14">
      <c r="A28" s="249"/>
      <c r="B28" s="245"/>
      <c r="C28" s="45" t="s">
        <v>62</v>
      </c>
      <c r="D28" s="17">
        <v>24.22</v>
      </c>
      <c r="E28" s="17">
        <v>13</v>
      </c>
      <c r="F28" s="17">
        <f t="shared" si="2"/>
        <v>314.86</v>
      </c>
      <c r="G28" s="236"/>
      <c r="H28" s="236"/>
      <c r="I28" s="236"/>
      <c r="J28" s="242"/>
      <c r="L28" s="249"/>
      <c r="M28" s="245"/>
      <c r="N28" s="45" t="s">
        <v>62</v>
      </c>
      <c r="O28" s="17">
        <v>24.22</v>
      </c>
      <c r="P28" s="17">
        <v>13</v>
      </c>
      <c r="Q28" s="17">
        <f t="shared" ref="Q28:Q34" si="3">O28*P28</f>
        <v>314.86</v>
      </c>
      <c r="R28" s="236"/>
      <c r="S28" s="236"/>
      <c r="T28" s="236"/>
      <c r="U28" s="242"/>
    </row>
    <row r="29" spans="1:21" ht="14">
      <c r="A29" s="249"/>
      <c r="B29" s="245"/>
      <c r="C29" s="45" t="s">
        <v>64</v>
      </c>
      <c r="D29" s="17">
        <v>18.5</v>
      </c>
      <c r="E29" s="17">
        <v>13</v>
      </c>
      <c r="F29" s="17">
        <f t="shared" si="2"/>
        <v>240.5</v>
      </c>
      <c r="G29" s="236"/>
      <c r="H29" s="236"/>
      <c r="I29" s="236"/>
      <c r="J29" s="242"/>
      <c r="L29" s="249"/>
      <c r="M29" s="245"/>
      <c r="N29" s="45" t="s">
        <v>64</v>
      </c>
      <c r="O29" s="17">
        <v>18.5</v>
      </c>
      <c r="P29" s="17">
        <v>13</v>
      </c>
      <c r="Q29" s="17">
        <f t="shared" si="3"/>
        <v>240.5</v>
      </c>
      <c r="R29" s="236"/>
      <c r="S29" s="236"/>
      <c r="T29" s="236"/>
      <c r="U29" s="242"/>
    </row>
    <row r="30" spans="1:21" ht="14">
      <c r="A30" s="249"/>
      <c r="B30" s="245"/>
      <c r="C30" s="45" t="s">
        <v>32</v>
      </c>
      <c r="D30" s="17">
        <v>17.04</v>
      </c>
      <c r="E30" s="17">
        <v>13</v>
      </c>
      <c r="F30" s="17">
        <f t="shared" si="2"/>
        <v>221.51999999999998</v>
      </c>
      <c r="G30" s="236"/>
      <c r="H30" s="236"/>
      <c r="I30" s="236"/>
      <c r="J30" s="242"/>
      <c r="L30" s="249"/>
      <c r="M30" s="245"/>
      <c r="N30" s="45" t="s">
        <v>32</v>
      </c>
      <c r="O30" s="17">
        <v>17.04</v>
      </c>
      <c r="P30" s="17">
        <v>13</v>
      </c>
      <c r="Q30" s="17">
        <f t="shared" si="3"/>
        <v>221.51999999999998</v>
      </c>
      <c r="R30" s="236"/>
      <c r="S30" s="236"/>
      <c r="T30" s="236"/>
      <c r="U30" s="242"/>
    </row>
    <row r="31" spans="1:21" ht="14">
      <c r="A31" s="249"/>
      <c r="B31" s="245"/>
      <c r="C31" s="45" t="s">
        <v>126</v>
      </c>
      <c r="D31" s="17">
        <v>22.48</v>
      </c>
      <c r="E31" s="17">
        <v>13</v>
      </c>
      <c r="F31" s="17">
        <f t="shared" si="2"/>
        <v>292.24</v>
      </c>
      <c r="G31" s="236"/>
      <c r="H31" s="236"/>
      <c r="I31" s="236"/>
      <c r="J31" s="242"/>
      <c r="L31" s="249"/>
      <c r="M31" s="245"/>
      <c r="N31" s="45" t="s">
        <v>126</v>
      </c>
      <c r="O31" s="17">
        <v>24.48</v>
      </c>
      <c r="P31" s="17">
        <v>13</v>
      </c>
      <c r="Q31" s="17">
        <f t="shared" si="3"/>
        <v>318.24</v>
      </c>
      <c r="R31" s="236"/>
      <c r="S31" s="236"/>
      <c r="T31" s="236"/>
      <c r="U31" s="242"/>
    </row>
    <row r="32" spans="1:21" ht="13">
      <c r="A32" s="249"/>
      <c r="B32" s="245"/>
      <c r="C32" s="48" t="s">
        <v>38</v>
      </c>
      <c r="D32" s="17">
        <v>18.600000000000001</v>
      </c>
      <c r="E32" s="17">
        <v>13</v>
      </c>
      <c r="F32" s="17">
        <f t="shared" si="2"/>
        <v>241.8</v>
      </c>
      <c r="G32" s="236"/>
      <c r="H32" s="236"/>
      <c r="I32" s="236"/>
      <c r="J32" s="242"/>
      <c r="L32" s="249"/>
      <c r="M32" s="245"/>
      <c r="N32" s="48" t="s">
        <v>38</v>
      </c>
      <c r="O32" s="17">
        <v>18.600000000000001</v>
      </c>
      <c r="P32" s="17">
        <v>13</v>
      </c>
      <c r="Q32" s="17">
        <f t="shared" si="3"/>
        <v>241.8</v>
      </c>
      <c r="R32" s="236"/>
      <c r="S32" s="236"/>
      <c r="T32" s="236"/>
      <c r="U32" s="242"/>
    </row>
    <row r="33" spans="1:21" ht="13">
      <c r="A33" s="249"/>
      <c r="B33" s="245"/>
      <c r="C33" s="48" t="s">
        <v>53</v>
      </c>
      <c r="D33" s="17">
        <v>10.15</v>
      </c>
      <c r="E33" s="17">
        <v>13</v>
      </c>
      <c r="F33" s="17">
        <f t="shared" si="2"/>
        <v>131.95000000000002</v>
      </c>
      <c r="G33" s="236"/>
      <c r="H33" s="236"/>
      <c r="I33" s="236"/>
      <c r="J33" s="242"/>
      <c r="L33" s="249"/>
      <c r="M33" s="245"/>
      <c r="N33" s="48" t="s">
        <v>53</v>
      </c>
      <c r="O33" s="17">
        <v>10.15</v>
      </c>
      <c r="P33" s="17">
        <v>13</v>
      </c>
      <c r="Q33" s="17">
        <f t="shared" si="3"/>
        <v>131.95000000000002</v>
      </c>
      <c r="R33" s="236"/>
      <c r="S33" s="236"/>
      <c r="T33" s="236"/>
      <c r="U33" s="242"/>
    </row>
    <row r="34" spans="1:21" ht="14">
      <c r="A34" s="249"/>
      <c r="B34" s="245"/>
      <c r="C34" s="45" t="s">
        <v>70</v>
      </c>
      <c r="D34" s="17">
        <v>7.45</v>
      </c>
      <c r="E34" s="17">
        <v>13</v>
      </c>
      <c r="F34" s="17">
        <f t="shared" si="2"/>
        <v>96.850000000000009</v>
      </c>
      <c r="G34" s="236"/>
      <c r="H34" s="236"/>
      <c r="I34" s="236"/>
      <c r="J34" s="242"/>
      <c r="L34" s="249"/>
      <c r="M34" s="245"/>
      <c r="N34" s="45" t="s">
        <v>70</v>
      </c>
      <c r="O34" s="17">
        <v>7.45</v>
      </c>
      <c r="P34" s="17">
        <v>13</v>
      </c>
      <c r="Q34" s="17">
        <f t="shared" si="3"/>
        <v>96.850000000000009</v>
      </c>
      <c r="R34" s="236"/>
      <c r="S34" s="236"/>
      <c r="T34" s="236"/>
      <c r="U34" s="242"/>
    </row>
    <row r="35" spans="1:21" ht="13">
      <c r="A35" s="249"/>
      <c r="B35" s="245"/>
      <c r="C35" s="19" t="s">
        <v>45</v>
      </c>
      <c r="D35" s="17"/>
      <c r="E35" s="17"/>
      <c r="F35" s="17">
        <v>167</v>
      </c>
      <c r="G35" s="236"/>
      <c r="H35" s="236"/>
      <c r="I35" s="236"/>
      <c r="J35" s="242"/>
      <c r="L35" s="249"/>
      <c r="M35" s="245"/>
      <c r="N35" s="19" t="s">
        <v>45</v>
      </c>
      <c r="O35" s="17"/>
      <c r="P35" s="17"/>
      <c r="Q35" s="17">
        <v>167</v>
      </c>
      <c r="R35" s="236"/>
      <c r="S35" s="236"/>
      <c r="T35" s="236"/>
      <c r="U35" s="242"/>
    </row>
    <row r="36" spans="1:21" ht="13">
      <c r="A36" s="249"/>
      <c r="B36" s="246"/>
      <c r="C36" s="44" t="s">
        <v>33</v>
      </c>
      <c r="D36" s="21"/>
      <c r="E36" s="21"/>
      <c r="F36" s="21">
        <v>3190</v>
      </c>
      <c r="G36" s="238"/>
      <c r="H36" s="238"/>
      <c r="I36" s="238"/>
      <c r="J36" s="243"/>
      <c r="L36" s="249"/>
      <c r="M36" s="246"/>
      <c r="N36" s="44" t="s">
        <v>127</v>
      </c>
      <c r="O36" s="21"/>
      <c r="P36" s="21"/>
      <c r="Q36" s="21">
        <v>3190</v>
      </c>
      <c r="R36" s="238"/>
      <c r="S36" s="238"/>
      <c r="T36" s="238"/>
      <c r="U36" s="243"/>
    </row>
    <row r="37" spans="1:21" ht="13">
      <c r="A37" s="249"/>
      <c r="B37" s="244" t="s">
        <v>128</v>
      </c>
      <c r="C37" s="15" t="s">
        <v>114</v>
      </c>
      <c r="D37" s="16">
        <v>3.5</v>
      </c>
      <c r="E37" s="16">
        <v>18</v>
      </c>
      <c r="F37" s="16">
        <f>D37*E37</f>
        <v>63</v>
      </c>
      <c r="G37" s="240">
        <f>SUM(F37:F39)</f>
        <v>126.5</v>
      </c>
      <c r="H37" s="237">
        <v>1362.69</v>
      </c>
      <c r="I37" s="237">
        <f>H37-G37</f>
        <v>1236.19</v>
      </c>
      <c r="J37" s="241">
        <f>I37/H37</f>
        <v>0.90716890855587107</v>
      </c>
      <c r="L37" s="249"/>
      <c r="M37" s="244" t="s">
        <v>128</v>
      </c>
      <c r="N37" s="15" t="s">
        <v>114</v>
      </c>
      <c r="O37" s="18"/>
      <c r="P37" s="18"/>
      <c r="Q37" s="18"/>
      <c r="R37" s="240">
        <f>SUM(Q37:Q39)</f>
        <v>63.5</v>
      </c>
      <c r="S37" s="237">
        <v>1362.69</v>
      </c>
      <c r="T37" s="237">
        <f>S37-R37</f>
        <v>1299.19</v>
      </c>
      <c r="U37" s="241">
        <f>T37/S37</f>
        <v>0.95340099362290764</v>
      </c>
    </row>
    <row r="38" spans="1:21" ht="13">
      <c r="A38" s="249"/>
      <c r="B38" s="245"/>
      <c r="C38" s="19" t="s">
        <v>44</v>
      </c>
      <c r="D38" s="17"/>
      <c r="E38" s="17"/>
      <c r="F38" s="17">
        <v>13.5</v>
      </c>
      <c r="G38" s="236"/>
      <c r="H38" s="236"/>
      <c r="I38" s="236"/>
      <c r="J38" s="242"/>
      <c r="L38" s="249"/>
      <c r="M38" s="245"/>
      <c r="N38" s="19" t="s">
        <v>44</v>
      </c>
      <c r="O38" s="17"/>
      <c r="P38" s="17"/>
      <c r="Q38" s="17">
        <v>13.5</v>
      </c>
      <c r="R38" s="236"/>
      <c r="S38" s="236"/>
      <c r="T38" s="236"/>
      <c r="U38" s="242"/>
    </row>
    <row r="39" spans="1:21" ht="13">
      <c r="A39" s="249"/>
      <c r="B39" s="246"/>
      <c r="C39" s="44" t="s">
        <v>45</v>
      </c>
      <c r="D39" s="21"/>
      <c r="E39" s="21"/>
      <c r="F39" s="21">
        <v>50</v>
      </c>
      <c r="G39" s="238"/>
      <c r="H39" s="238"/>
      <c r="I39" s="238"/>
      <c r="J39" s="243"/>
      <c r="L39" s="249"/>
      <c r="M39" s="246"/>
      <c r="N39" s="44" t="s">
        <v>45</v>
      </c>
      <c r="O39" s="21"/>
      <c r="P39" s="21"/>
      <c r="Q39" s="21">
        <v>50</v>
      </c>
      <c r="R39" s="238"/>
      <c r="S39" s="238"/>
      <c r="T39" s="238"/>
      <c r="U39" s="243"/>
    </row>
    <row r="40" spans="1:21" ht="13">
      <c r="A40" s="249"/>
      <c r="B40" s="244" t="s">
        <v>129</v>
      </c>
      <c r="C40" s="15" t="s">
        <v>114</v>
      </c>
      <c r="D40" s="16">
        <v>3.5</v>
      </c>
      <c r="E40" s="16">
        <v>18</v>
      </c>
      <c r="F40" s="16">
        <f>D40*E40</f>
        <v>63</v>
      </c>
      <c r="G40" s="240">
        <f>SUM(F40:F42)</f>
        <v>126.5</v>
      </c>
      <c r="H40" s="237">
        <v>1362.69</v>
      </c>
      <c r="I40" s="237">
        <f>H40-G40</f>
        <v>1236.19</v>
      </c>
      <c r="J40" s="241">
        <f>I40/H40</f>
        <v>0.90716890855587107</v>
      </c>
      <c r="L40" s="249"/>
      <c r="M40" s="244" t="s">
        <v>129</v>
      </c>
      <c r="N40" s="15" t="s">
        <v>114</v>
      </c>
      <c r="O40" s="18"/>
      <c r="P40" s="18"/>
      <c r="Q40" s="18"/>
      <c r="R40" s="240">
        <f>SUM(Q40:Q42)</f>
        <v>63.5</v>
      </c>
      <c r="S40" s="237">
        <v>1362.69</v>
      </c>
      <c r="T40" s="237">
        <f>S40-R40</f>
        <v>1299.19</v>
      </c>
      <c r="U40" s="241">
        <f>T40/S40</f>
        <v>0.95340099362290764</v>
      </c>
    </row>
    <row r="41" spans="1:21" ht="13">
      <c r="A41" s="249"/>
      <c r="B41" s="245"/>
      <c r="C41" s="19" t="s">
        <v>44</v>
      </c>
      <c r="D41" s="17"/>
      <c r="E41" s="17"/>
      <c r="F41" s="17">
        <v>13.5</v>
      </c>
      <c r="G41" s="236"/>
      <c r="H41" s="236"/>
      <c r="I41" s="236"/>
      <c r="J41" s="242"/>
      <c r="L41" s="249"/>
      <c r="M41" s="245"/>
      <c r="N41" s="19" t="s">
        <v>44</v>
      </c>
      <c r="O41" s="17"/>
      <c r="P41" s="17"/>
      <c r="Q41" s="17">
        <v>13.5</v>
      </c>
      <c r="R41" s="236"/>
      <c r="S41" s="236"/>
      <c r="T41" s="236"/>
      <c r="U41" s="242"/>
    </row>
    <row r="42" spans="1:21" ht="13">
      <c r="A42" s="249"/>
      <c r="B42" s="246"/>
      <c r="C42" s="44" t="s">
        <v>45</v>
      </c>
      <c r="D42" s="21"/>
      <c r="E42" s="21"/>
      <c r="F42" s="21">
        <v>50</v>
      </c>
      <c r="G42" s="238"/>
      <c r="H42" s="238"/>
      <c r="I42" s="238"/>
      <c r="J42" s="243"/>
      <c r="L42" s="249"/>
      <c r="M42" s="246"/>
      <c r="N42" s="44" t="s">
        <v>45</v>
      </c>
      <c r="O42" s="21"/>
      <c r="P42" s="21"/>
      <c r="Q42" s="21">
        <v>50</v>
      </c>
      <c r="R42" s="238"/>
      <c r="S42" s="238"/>
      <c r="T42" s="238"/>
      <c r="U42" s="243"/>
    </row>
    <row r="43" spans="1:21" ht="13">
      <c r="A43" s="249"/>
      <c r="B43" s="244" t="s">
        <v>130</v>
      </c>
      <c r="C43" s="19" t="s">
        <v>23</v>
      </c>
      <c r="D43" s="16">
        <v>21</v>
      </c>
      <c r="E43" s="16">
        <v>16</v>
      </c>
      <c r="F43" s="17">
        <f t="shared" ref="F43:F49" si="4">D43*E43</f>
        <v>336</v>
      </c>
      <c r="G43" s="240">
        <f>SUM(F43:F51)</f>
        <v>1744.4099999999999</v>
      </c>
      <c r="H43" s="237">
        <v>6562.5</v>
      </c>
      <c r="I43" s="237">
        <f>H43-G43</f>
        <v>4818.09</v>
      </c>
      <c r="J43" s="241">
        <f>I43/H43</f>
        <v>0.73418514285714287</v>
      </c>
      <c r="L43" s="249"/>
      <c r="M43" s="244" t="s">
        <v>130</v>
      </c>
      <c r="N43" s="19" t="s">
        <v>23</v>
      </c>
      <c r="O43" s="18"/>
      <c r="P43" s="18"/>
      <c r="Q43" s="18"/>
      <c r="R43" s="240">
        <f>SUM(Q43:Q51)</f>
        <v>1156.4099999999999</v>
      </c>
      <c r="S43" s="237">
        <v>6562.5</v>
      </c>
      <c r="T43" s="237">
        <f>S43-R43</f>
        <v>5406.09</v>
      </c>
      <c r="U43" s="241">
        <f>T43/S43</f>
        <v>0.82378514285714288</v>
      </c>
    </row>
    <row r="44" spans="1:21" ht="13">
      <c r="A44" s="249"/>
      <c r="B44" s="245"/>
      <c r="C44" s="19" t="s">
        <v>114</v>
      </c>
      <c r="D44" s="17">
        <v>14</v>
      </c>
      <c r="E44" s="17">
        <v>18</v>
      </c>
      <c r="F44" s="17">
        <f t="shared" si="4"/>
        <v>252</v>
      </c>
      <c r="G44" s="236"/>
      <c r="H44" s="236"/>
      <c r="I44" s="236"/>
      <c r="J44" s="242"/>
      <c r="L44" s="249"/>
      <c r="M44" s="245"/>
      <c r="N44" s="19" t="s">
        <v>114</v>
      </c>
      <c r="O44" s="18"/>
      <c r="P44" s="18"/>
      <c r="Q44" s="18"/>
      <c r="R44" s="236"/>
      <c r="S44" s="236"/>
      <c r="T44" s="236"/>
      <c r="U44" s="242"/>
    </row>
    <row r="45" spans="1:21" ht="14">
      <c r="A45" s="249"/>
      <c r="B45" s="245"/>
      <c r="C45" s="45" t="s">
        <v>53</v>
      </c>
      <c r="D45" s="17">
        <v>6.62</v>
      </c>
      <c r="E45" s="17">
        <v>13</v>
      </c>
      <c r="F45" s="17">
        <f t="shared" si="4"/>
        <v>86.06</v>
      </c>
      <c r="G45" s="236"/>
      <c r="H45" s="236"/>
      <c r="I45" s="236"/>
      <c r="J45" s="242"/>
      <c r="L45" s="249"/>
      <c r="M45" s="245"/>
      <c r="N45" s="45" t="s">
        <v>53</v>
      </c>
      <c r="O45" s="17">
        <v>6.62</v>
      </c>
      <c r="P45" s="17">
        <v>13</v>
      </c>
      <c r="Q45" s="17">
        <f t="shared" ref="Q45:Q49" si="5">O45*P45</f>
        <v>86.06</v>
      </c>
      <c r="R45" s="236"/>
      <c r="S45" s="236"/>
      <c r="T45" s="236"/>
      <c r="U45" s="242"/>
    </row>
    <row r="46" spans="1:21" ht="14">
      <c r="A46" s="249"/>
      <c r="B46" s="245"/>
      <c r="C46" s="45" t="s">
        <v>126</v>
      </c>
      <c r="D46" s="17">
        <v>17.04</v>
      </c>
      <c r="E46" s="17">
        <v>13</v>
      </c>
      <c r="F46" s="17">
        <f t="shared" si="4"/>
        <v>221.51999999999998</v>
      </c>
      <c r="G46" s="236"/>
      <c r="H46" s="236"/>
      <c r="I46" s="236"/>
      <c r="J46" s="242"/>
      <c r="L46" s="249"/>
      <c r="M46" s="245"/>
      <c r="N46" s="45" t="s">
        <v>126</v>
      </c>
      <c r="O46" s="17">
        <v>17.04</v>
      </c>
      <c r="P46" s="17">
        <v>13</v>
      </c>
      <c r="Q46" s="17">
        <f t="shared" si="5"/>
        <v>221.51999999999998</v>
      </c>
      <c r="R46" s="236"/>
      <c r="S46" s="236"/>
      <c r="T46" s="236"/>
      <c r="U46" s="242"/>
    </row>
    <row r="47" spans="1:21" ht="14">
      <c r="A47" s="249"/>
      <c r="B47" s="245"/>
      <c r="C47" s="45" t="s">
        <v>64</v>
      </c>
      <c r="D47" s="17">
        <v>16.87</v>
      </c>
      <c r="E47" s="17">
        <v>13</v>
      </c>
      <c r="F47" s="17">
        <f t="shared" si="4"/>
        <v>219.31</v>
      </c>
      <c r="G47" s="236"/>
      <c r="H47" s="236"/>
      <c r="I47" s="236"/>
      <c r="J47" s="242"/>
      <c r="L47" s="249"/>
      <c r="M47" s="245"/>
      <c r="N47" s="45" t="s">
        <v>64</v>
      </c>
      <c r="O47" s="17">
        <v>16.87</v>
      </c>
      <c r="P47" s="17">
        <v>13</v>
      </c>
      <c r="Q47" s="17">
        <f t="shared" si="5"/>
        <v>219.31</v>
      </c>
      <c r="R47" s="236"/>
      <c r="S47" s="236"/>
      <c r="T47" s="236"/>
      <c r="U47" s="242"/>
    </row>
    <row r="48" spans="1:21" ht="14">
      <c r="A48" s="249"/>
      <c r="B48" s="245"/>
      <c r="C48" s="45" t="s">
        <v>32</v>
      </c>
      <c r="D48" s="17">
        <v>16.59</v>
      </c>
      <c r="E48" s="17">
        <v>13</v>
      </c>
      <c r="F48" s="17">
        <f t="shared" si="4"/>
        <v>215.67</v>
      </c>
      <c r="G48" s="236"/>
      <c r="H48" s="236"/>
      <c r="I48" s="236"/>
      <c r="J48" s="242"/>
      <c r="L48" s="249"/>
      <c r="M48" s="245"/>
      <c r="N48" s="45" t="s">
        <v>32</v>
      </c>
      <c r="O48" s="17">
        <v>16.59</v>
      </c>
      <c r="P48" s="17">
        <v>13</v>
      </c>
      <c r="Q48" s="17">
        <f t="shared" si="5"/>
        <v>215.67</v>
      </c>
      <c r="R48" s="236"/>
      <c r="S48" s="236"/>
      <c r="T48" s="236"/>
      <c r="U48" s="242"/>
    </row>
    <row r="49" spans="1:21" ht="13">
      <c r="A49" s="249"/>
      <c r="B49" s="245"/>
      <c r="C49" s="48" t="s">
        <v>62</v>
      </c>
      <c r="D49" s="17">
        <v>16.45</v>
      </c>
      <c r="E49" s="17">
        <v>13</v>
      </c>
      <c r="F49" s="17">
        <f t="shared" si="4"/>
        <v>213.85</v>
      </c>
      <c r="G49" s="236"/>
      <c r="H49" s="236"/>
      <c r="I49" s="236"/>
      <c r="J49" s="242"/>
      <c r="L49" s="249"/>
      <c r="M49" s="245"/>
      <c r="N49" s="48" t="s">
        <v>62</v>
      </c>
      <c r="O49" s="17">
        <v>16.45</v>
      </c>
      <c r="P49" s="17">
        <v>13</v>
      </c>
      <c r="Q49" s="17">
        <f t="shared" si="5"/>
        <v>213.85</v>
      </c>
      <c r="R49" s="236"/>
      <c r="S49" s="236"/>
      <c r="T49" s="236"/>
      <c r="U49" s="242"/>
    </row>
    <row r="50" spans="1:21" ht="13">
      <c r="A50" s="249"/>
      <c r="B50" s="245"/>
      <c r="C50" s="19" t="s">
        <v>45</v>
      </c>
      <c r="D50" s="17"/>
      <c r="E50" s="17"/>
      <c r="F50" s="17">
        <v>200</v>
      </c>
      <c r="G50" s="236"/>
      <c r="H50" s="236"/>
      <c r="I50" s="236"/>
      <c r="J50" s="242"/>
      <c r="L50" s="249"/>
      <c r="M50" s="245"/>
      <c r="N50" s="19" t="s">
        <v>45</v>
      </c>
      <c r="O50" s="17"/>
      <c r="P50" s="17"/>
      <c r="Q50" s="17">
        <v>200</v>
      </c>
      <c r="R50" s="236"/>
      <c r="S50" s="236"/>
      <c r="T50" s="236"/>
      <c r="U50" s="242"/>
    </row>
    <row r="51" spans="1:21" ht="13">
      <c r="A51" s="249"/>
      <c r="B51" s="246"/>
      <c r="C51" s="44"/>
      <c r="D51" s="21"/>
      <c r="E51" s="21"/>
      <c r="F51" s="21"/>
      <c r="G51" s="238"/>
      <c r="H51" s="238"/>
      <c r="I51" s="238"/>
      <c r="J51" s="243"/>
      <c r="L51" s="249"/>
      <c r="M51" s="246"/>
      <c r="N51" s="44"/>
      <c r="O51" s="21"/>
      <c r="P51" s="21"/>
      <c r="Q51" s="21"/>
      <c r="R51" s="238"/>
      <c r="S51" s="238"/>
      <c r="T51" s="238"/>
      <c r="U51" s="243"/>
    </row>
    <row r="52" spans="1:21" ht="13">
      <c r="A52" s="249"/>
      <c r="B52" s="244" t="s">
        <v>131</v>
      </c>
      <c r="C52" s="15" t="s">
        <v>114</v>
      </c>
      <c r="D52" s="16">
        <v>7</v>
      </c>
      <c r="E52" s="16">
        <v>18</v>
      </c>
      <c r="F52" s="16">
        <f>D52*E52</f>
        <v>126</v>
      </c>
      <c r="G52" s="240">
        <f>SUM(F52:F54)</f>
        <v>238.11</v>
      </c>
      <c r="H52" s="237">
        <v>2699.2</v>
      </c>
      <c r="I52" s="237">
        <f>H52-G52</f>
        <v>2461.0899999999997</v>
      </c>
      <c r="J52" s="241">
        <f>I52/H52</f>
        <v>0.91178497332542974</v>
      </c>
      <c r="L52" s="249"/>
      <c r="M52" s="244" t="s">
        <v>131</v>
      </c>
      <c r="N52" s="15" t="s">
        <v>114</v>
      </c>
      <c r="O52" s="18"/>
      <c r="P52" s="18"/>
      <c r="Q52" s="18"/>
      <c r="R52" s="240">
        <f>SUM(Q52:Q54)</f>
        <v>112.11</v>
      </c>
      <c r="S52" s="237">
        <v>2699.2</v>
      </c>
      <c r="T52" s="237">
        <f>S52-R52</f>
        <v>2587.0899999999997</v>
      </c>
      <c r="U52" s="241">
        <f>T52/S52</f>
        <v>0.95846547125074089</v>
      </c>
    </row>
    <row r="53" spans="1:21" ht="13">
      <c r="A53" s="249"/>
      <c r="B53" s="245"/>
      <c r="C53" s="19" t="s">
        <v>44</v>
      </c>
      <c r="D53" s="17"/>
      <c r="E53" s="17"/>
      <c r="F53" s="17">
        <v>38.11</v>
      </c>
      <c r="G53" s="236"/>
      <c r="H53" s="236"/>
      <c r="I53" s="236"/>
      <c r="J53" s="242"/>
      <c r="L53" s="249"/>
      <c r="M53" s="245"/>
      <c r="N53" s="19" t="s">
        <v>44</v>
      </c>
      <c r="O53" s="17"/>
      <c r="P53" s="17"/>
      <c r="Q53" s="17">
        <v>38.11</v>
      </c>
      <c r="R53" s="236"/>
      <c r="S53" s="236"/>
      <c r="T53" s="236"/>
      <c r="U53" s="242"/>
    </row>
    <row r="54" spans="1:21" ht="13">
      <c r="A54" s="249"/>
      <c r="B54" s="246"/>
      <c r="C54" s="44" t="s">
        <v>45</v>
      </c>
      <c r="D54" s="21"/>
      <c r="E54" s="21"/>
      <c r="F54" s="21">
        <v>74</v>
      </c>
      <c r="G54" s="238"/>
      <c r="H54" s="238"/>
      <c r="I54" s="238"/>
      <c r="J54" s="243"/>
      <c r="L54" s="249"/>
      <c r="M54" s="246"/>
      <c r="N54" s="44" t="s">
        <v>45</v>
      </c>
      <c r="O54" s="21"/>
      <c r="P54" s="21"/>
      <c r="Q54" s="21">
        <v>74</v>
      </c>
      <c r="R54" s="238"/>
      <c r="S54" s="238"/>
      <c r="T54" s="238"/>
      <c r="U54" s="243"/>
    </row>
    <row r="55" spans="1:21" ht="13">
      <c r="A55" s="249"/>
      <c r="B55" s="244" t="s">
        <v>132</v>
      </c>
      <c r="C55" s="15" t="s">
        <v>23</v>
      </c>
      <c r="D55" s="16">
        <v>14</v>
      </c>
      <c r="E55" s="16">
        <v>16</v>
      </c>
      <c r="F55" s="16">
        <f>D55*E55</f>
        <v>224</v>
      </c>
      <c r="G55" s="240">
        <f>SUM(F55:F57)</f>
        <v>322.2</v>
      </c>
      <c r="H55" s="237">
        <v>2398.4499999999998</v>
      </c>
      <c r="I55" s="237">
        <f>H55-G55</f>
        <v>2076.25</v>
      </c>
      <c r="J55" s="241">
        <f>I55/H55</f>
        <v>0.86566324084304458</v>
      </c>
      <c r="L55" s="249"/>
      <c r="M55" s="244" t="s">
        <v>132</v>
      </c>
      <c r="N55" s="15" t="s">
        <v>23</v>
      </c>
      <c r="O55" s="18"/>
      <c r="P55" s="18"/>
      <c r="Q55" s="18"/>
      <c r="R55" s="240">
        <f>SUM(Q55:Q57)</f>
        <v>98.2</v>
      </c>
      <c r="S55" s="237">
        <v>2398.4499999999998</v>
      </c>
      <c r="T55" s="237">
        <f>S55-R55</f>
        <v>2300.25</v>
      </c>
      <c r="U55" s="241">
        <f>T55/S55</f>
        <v>0.95905689090871193</v>
      </c>
    </row>
    <row r="56" spans="1:21" ht="13">
      <c r="A56" s="249"/>
      <c r="B56" s="245"/>
      <c r="C56" s="19" t="s">
        <v>44</v>
      </c>
      <c r="D56" s="17"/>
      <c r="E56" s="17"/>
      <c r="F56" s="17">
        <v>28</v>
      </c>
      <c r="G56" s="236"/>
      <c r="H56" s="236"/>
      <c r="I56" s="236"/>
      <c r="J56" s="242"/>
      <c r="L56" s="249"/>
      <c r="M56" s="245"/>
      <c r="N56" s="19" t="s">
        <v>44</v>
      </c>
      <c r="O56" s="17"/>
      <c r="P56" s="17"/>
      <c r="Q56" s="17">
        <v>28</v>
      </c>
      <c r="R56" s="236"/>
      <c r="S56" s="236"/>
      <c r="T56" s="236"/>
      <c r="U56" s="242"/>
    </row>
    <row r="57" spans="1:21" ht="13">
      <c r="A57" s="249"/>
      <c r="B57" s="246"/>
      <c r="C57" s="44" t="s">
        <v>45</v>
      </c>
      <c r="D57" s="21"/>
      <c r="E57" s="21"/>
      <c r="F57" s="21">
        <v>70.2</v>
      </c>
      <c r="G57" s="238"/>
      <c r="H57" s="238"/>
      <c r="I57" s="238"/>
      <c r="J57" s="243"/>
      <c r="L57" s="249"/>
      <c r="M57" s="246"/>
      <c r="N57" s="44" t="s">
        <v>45</v>
      </c>
      <c r="O57" s="21"/>
      <c r="P57" s="21"/>
      <c r="Q57" s="21">
        <v>70.2</v>
      </c>
      <c r="R57" s="238"/>
      <c r="S57" s="238"/>
      <c r="T57" s="238"/>
      <c r="U57" s="243"/>
    </row>
    <row r="58" spans="1:21" ht="13">
      <c r="A58" s="249"/>
      <c r="B58" s="244" t="s">
        <v>133</v>
      </c>
      <c r="C58" s="15" t="s">
        <v>114</v>
      </c>
      <c r="D58" s="16">
        <v>7</v>
      </c>
      <c r="E58" s="16">
        <v>18</v>
      </c>
      <c r="F58" s="16">
        <f>D58*E58</f>
        <v>126</v>
      </c>
      <c r="G58" s="240">
        <f>SUM(F58:F60)</f>
        <v>294</v>
      </c>
      <c r="H58" s="237">
        <v>2076.48</v>
      </c>
      <c r="I58" s="237">
        <f>H58-G58</f>
        <v>1782.48</v>
      </c>
      <c r="J58" s="241">
        <f>I58/H58</f>
        <v>0.85841423948220064</v>
      </c>
      <c r="L58" s="249"/>
      <c r="M58" s="244" t="s">
        <v>133</v>
      </c>
      <c r="N58" s="15" t="s">
        <v>114</v>
      </c>
      <c r="O58" s="18"/>
      <c r="P58" s="18"/>
      <c r="Q58" s="18"/>
      <c r="R58" s="240">
        <f>SUM(Q58:Q60)</f>
        <v>168</v>
      </c>
      <c r="S58" s="237">
        <v>2076.48</v>
      </c>
      <c r="T58" s="237">
        <f>S58-R58</f>
        <v>1908.48</v>
      </c>
      <c r="U58" s="241">
        <f>T58/S58</f>
        <v>0.91909385113268605</v>
      </c>
    </row>
    <row r="59" spans="1:21" ht="13">
      <c r="A59" s="249"/>
      <c r="B59" s="245"/>
      <c r="C59" s="19" t="s">
        <v>44</v>
      </c>
      <c r="D59" s="17"/>
      <c r="E59" s="17"/>
      <c r="F59" s="17">
        <v>58</v>
      </c>
      <c r="G59" s="236"/>
      <c r="H59" s="236"/>
      <c r="I59" s="236"/>
      <c r="J59" s="242"/>
      <c r="L59" s="249"/>
      <c r="M59" s="245"/>
      <c r="N59" s="19" t="s">
        <v>44</v>
      </c>
      <c r="O59" s="17"/>
      <c r="P59" s="17"/>
      <c r="Q59" s="17">
        <v>58</v>
      </c>
      <c r="R59" s="236"/>
      <c r="S59" s="236"/>
      <c r="T59" s="236"/>
      <c r="U59" s="242"/>
    </row>
    <row r="60" spans="1:21" ht="13">
      <c r="A60" s="249"/>
      <c r="B60" s="246"/>
      <c r="C60" s="44" t="s">
        <v>45</v>
      </c>
      <c r="D60" s="21"/>
      <c r="E60" s="21"/>
      <c r="F60" s="21">
        <v>110</v>
      </c>
      <c r="G60" s="238"/>
      <c r="H60" s="238"/>
      <c r="I60" s="238"/>
      <c r="J60" s="243"/>
      <c r="L60" s="249"/>
      <c r="M60" s="246"/>
      <c r="N60" s="44" t="s">
        <v>45</v>
      </c>
      <c r="O60" s="21"/>
      <c r="P60" s="21"/>
      <c r="Q60" s="21">
        <v>110</v>
      </c>
      <c r="R60" s="238"/>
      <c r="S60" s="238"/>
      <c r="T60" s="238"/>
      <c r="U60" s="243"/>
    </row>
    <row r="61" spans="1:21" ht="13">
      <c r="A61" s="249"/>
      <c r="B61" s="244" t="s">
        <v>134</v>
      </c>
      <c r="C61" s="15" t="s">
        <v>114</v>
      </c>
      <c r="D61" s="16">
        <v>14</v>
      </c>
      <c r="E61" s="16">
        <v>18</v>
      </c>
      <c r="F61" s="16">
        <f>D61*E61</f>
        <v>252</v>
      </c>
      <c r="G61" s="240">
        <f>SUM(F61:F63)</f>
        <v>394.25</v>
      </c>
      <c r="H61" s="237">
        <v>1770</v>
      </c>
      <c r="I61" s="237">
        <f>H61-G61</f>
        <v>1375.75</v>
      </c>
      <c r="J61" s="241">
        <f>I61/H61</f>
        <v>0.77725988700564974</v>
      </c>
      <c r="L61" s="249"/>
      <c r="M61" s="244" t="s">
        <v>134</v>
      </c>
      <c r="N61" s="15" t="s">
        <v>114</v>
      </c>
      <c r="O61" s="18"/>
      <c r="P61" s="18"/>
      <c r="Q61" s="18"/>
      <c r="R61" s="240">
        <f>SUM(Q61:Q63)</f>
        <v>142.25</v>
      </c>
      <c r="S61" s="237">
        <v>1770</v>
      </c>
      <c r="T61" s="237">
        <f>S61-R61</f>
        <v>1627.75</v>
      </c>
      <c r="U61" s="241">
        <f>T61/S61</f>
        <v>0.91963276836158192</v>
      </c>
    </row>
    <row r="62" spans="1:21" ht="13">
      <c r="A62" s="249"/>
      <c r="B62" s="245"/>
      <c r="C62" s="19" t="s">
        <v>33</v>
      </c>
      <c r="D62" s="17"/>
      <c r="E62" s="17"/>
      <c r="F62" s="17">
        <v>142.25</v>
      </c>
      <c r="G62" s="236"/>
      <c r="H62" s="236"/>
      <c r="I62" s="236"/>
      <c r="J62" s="242"/>
      <c r="L62" s="249"/>
      <c r="M62" s="245"/>
      <c r="N62" s="19" t="s">
        <v>33</v>
      </c>
      <c r="O62" s="17"/>
      <c r="P62" s="17"/>
      <c r="Q62" s="17">
        <v>142.25</v>
      </c>
      <c r="R62" s="236"/>
      <c r="S62" s="236"/>
      <c r="T62" s="236"/>
      <c r="U62" s="242"/>
    </row>
    <row r="63" spans="1:21" ht="13">
      <c r="A63" s="249"/>
      <c r="B63" s="246"/>
      <c r="C63" s="44"/>
      <c r="D63" s="21"/>
      <c r="E63" s="21"/>
      <c r="F63" s="21"/>
      <c r="G63" s="238"/>
      <c r="H63" s="238"/>
      <c r="I63" s="238"/>
      <c r="J63" s="243"/>
      <c r="L63" s="249"/>
      <c r="M63" s="246"/>
      <c r="N63" s="44"/>
      <c r="O63" s="21"/>
      <c r="P63" s="21"/>
      <c r="Q63" s="21"/>
      <c r="R63" s="238"/>
      <c r="S63" s="238"/>
      <c r="T63" s="238"/>
      <c r="U63" s="243"/>
    </row>
    <row r="64" spans="1:21" ht="13">
      <c r="A64" s="249"/>
      <c r="B64" s="244" t="s">
        <v>135</v>
      </c>
      <c r="C64" s="15" t="s">
        <v>23</v>
      </c>
      <c r="D64" s="16">
        <v>7</v>
      </c>
      <c r="E64" s="16">
        <v>16</v>
      </c>
      <c r="F64" s="16">
        <f>D64*E64</f>
        <v>112</v>
      </c>
      <c r="G64" s="240">
        <f>SUM(F64:F65)</f>
        <v>112</v>
      </c>
      <c r="H64" s="237">
        <v>600</v>
      </c>
      <c r="I64" s="237">
        <f>H64-G64</f>
        <v>488</v>
      </c>
      <c r="J64" s="241">
        <f>I64/H64</f>
        <v>0.81333333333333335</v>
      </c>
      <c r="L64" s="249"/>
      <c r="M64" s="244" t="s">
        <v>135</v>
      </c>
      <c r="N64" s="15" t="s">
        <v>23</v>
      </c>
      <c r="O64" s="18"/>
      <c r="P64" s="18"/>
      <c r="Q64" s="18"/>
      <c r="R64" s="240">
        <f>SUM(Q64:Q65)</f>
        <v>0</v>
      </c>
      <c r="S64" s="237">
        <v>600</v>
      </c>
      <c r="T64" s="237">
        <f>S64-R64</f>
        <v>600</v>
      </c>
      <c r="U64" s="241">
        <f>T64/S64</f>
        <v>1</v>
      </c>
    </row>
    <row r="65" spans="1:21" ht="13">
      <c r="A65" s="249"/>
      <c r="B65" s="246"/>
      <c r="C65" s="44"/>
      <c r="D65" s="21"/>
      <c r="E65" s="21"/>
      <c r="F65" s="21"/>
      <c r="G65" s="238"/>
      <c r="H65" s="238"/>
      <c r="I65" s="238"/>
      <c r="J65" s="243"/>
      <c r="L65" s="249"/>
      <c r="M65" s="246"/>
      <c r="N65" s="44"/>
      <c r="O65" s="21"/>
      <c r="P65" s="21"/>
      <c r="Q65" s="21"/>
      <c r="R65" s="238"/>
      <c r="S65" s="238"/>
      <c r="T65" s="238"/>
      <c r="U65" s="243"/>
    </row>
    <row r="66" spans="1:21" ht="13">
      <c r="A66" s="249"/>
      <c r="B66" s="244" t="s">
        <v>136</v>
      </c>
      <c r="C66" s="19" t="s">
        <v>23</v>
      </c>
      <c r="D66" s="16">
        <v>7</v>
      </c>
      <c r="E66" s="16">
        <v>16</v>
      </c>
      <c r="F66" s="17">
        <f t="shared" ref="F66:F71" si="6">D66*E66</f>
        <v>112</v>
      </c>
      <c r="G66" s="240">
        <f>SUM(F66:F72)</f>
        <v>1016</v>
      </c>
      <c r="H66" s="237">
        <v>4215</v>
      </c>
      <c r="I66" s="237">
        <f>H66-G66</f>
        <v>3199</v>
      </c>
      <c r="J66" s="241">
        <f>I66/H66</f>
        <v>0.7589561091340451</v>
      </c>
      <c r="L66" s="249"/>
      <c r="M66" s="244" t="s">
        <v>136</v>
      </c>
      <c r="N66" s="19" t="s">
        <v>23</v>
      </c>
      <c r="O66" s="18"/>
      <c r="P66" s="18"/>
      <c r="Q66" s="18"/>
      <c r="R66" s="240">
        <f>SUM(Q66:Q72)</f>
        <v>904</v>
      </c>
      <c r="S66" s="237">
        <v>4215</v>
      </c>
      <c r="T66" s="237">
        <f>S66-R66</f>
        <v>3311</v>
      </c>
      <c r="U66" s="241">
        <f>T66/S66</f>
        <v>0.78552787663107948</v>
      </c>
    </row>
    <row r="67" spans="1:21" ht="13">
      <c r="A67" s="249"/>
      <c r="B67" s="245"/>
      <c r="C67" s="19" t="s">
        <v>137</v>
      </c>
      <c r="D67" s="17">
        <v>12</v>
      </c>
      <c r="E67" s="17">
        <v>15</v>
      </c>
      <c r="F67" s="17">
        <f t="shared" si="6"/>
        <v>180</v>
      </c>
      <c r="G67" s="236"/>
      <c r="H67" s="236"/>
      <c r="I67" s="236"/>
      <c r="J67" s="242"/>
      <c r="L67" s="249"/>
      <c r="M67" s="245"/>
      <c r="N67" s="19" t="s">
        <v>137</v>
      </c>
      <c r="O67" s="17">
        <v>12</v>
      </c>
      <c r="P67" s="17">
        <v>15</v>
      </c>
      <c r="Q67" s="17">
        <f t="shared" ref="Q67:Q71" si="7">O67*P67</f>
        <v>180</v>
      </c>
      <c r="R67" s="236"/>
      <c r="S67" s="236"/>
      <c r="T67" s="236"/>
      <c r="U67" s="242"/>
    </row>
    <row r="68" spans="1:21" ht="14">
      <c r="A68" s="249"/>
      <c r="B68" s="245"/>
      <c r="C68" s="45" t="s">
        <v>138</v>
      </c>
      <c r="D68" s="17">
        <v>12</v>
      </c>
      <c r="E68" s="17">
        <v>15</v>
      </c>
      <c r="F68" s="17">
        <f t="shared" si="6"/>
        <v>180</v>
      </c>
      <c r="G68" s="236"/>
      <c r="H68" s="236"/>
      <c r="I68" s="236"/>
      <c r="J68" s="242"/>
      <c r="L68" s="249"/>
      <c r="M68" s="245"/>
      <c r="N68" s="45" t="s">
        <v>138</v>
      </c>
      <c r="O68" s="17">
        <v>12</v>
      </c>
      <c r="P68" s="17">
        <v>15</v>
      </c>
      <c r="Q68" s="17">
        <f t="shared" si="7"/>
        <v>180</v>
      </c>
      <c r="R68" s="236"/>
      <c r="S68" s="236"/>
      <c r="T68" s="236"/>
      <c r="U68" s="242"/>
    </row>
    <row r="69" spans="1:21" ht="14">
      <c r="A69" s="249"/>
      <c r="B69" s="245"/>
      <c r="C69" s="45" t="s">
        <v>70</v>
      </c>
      <c r="D69" s="17">
        <v>6</v>
      </c>
      <c r="E69" s="17">
        <v>15</v>
      </c>
      <c r="F69" s="17">
        <f t="shared" si="6"/>
        <v>90</v>
      </c>
      <c r="G69" s="236"/>
      <c r="H69" s="236"/>
      <c r="I69" s="236"/>
      <c r="J69" s="242"/>
      <c r="L69" s="249"/>
      <c r="M69" s="245"/>
      <c r="N69" s="45" t="s">
        <v>70</v>
      </c>
      <c r="O69" s="17">
        <v>6</v>
      </c>
      <c r="P69" s="17">
        <v>15</v>
      </c>
      <c r="Q69" s="17">
        <f t="shared" si="7"/>
        <v>90</v>
      </c>
      <c r="R69" s="236"/>
      <c r="S69" s="236"/>
      <c r="T69" s="236"/>
      <c r="U69" s="242"/>
    </row>
    <row r="70" spans="1:21" ht="14">
      <c r="A70" s="249"/>
      <c r="B70" s="245"/>
      <c r="C70" s="45" t="s">
        <v>139</v>
      </c>
      <c r="D70" s="17">
        <v>6</v>
      </c>
      <c r="E70" s="17">
        <v>15</v>
      </c>
      <c r="F70" s="17">
        <f t="shared" si="6"/>
        <v>90</v>
      </c>
      <c r="G70" s="236"/>
      <c r="H70" s="236"/>
      <c r="I70" s="236"/>
      <c r="J70" s="242"/>
      <c r="L70" s="249"/>
      <c r="M70" s="245"/>
      <c r="N70" s="45" t="s">
        <v>139</v>
      </c>
      <c r="O70" s="17">
        <v>6</v>
      </c>
      <c r="P70" s="17">
        <v>15</v>
      </c>
      <c r="Q70" s="17">
        <f t="shared" si="7"/>
        <v>90</v>
      </c>
      <c r="R70" s="236"/>
      <c r="S70" s="236"/>
      <c r="T70" s="236"/>
      <c r="U70" s="242"/>
    </row>
    <row r="71" spans="1:21" ht="14">
      <c r="A71" s="249"/>
      <c r="B71" s="245"/>
      <c r="C71" s="45" t="s">
        <v>140</v>
      </c>
      <c r="D71" s="17">
        <v>12</v>
      </c>
      <c r="E71" s="17">
        <v>15</v>
      </c>
      <c r="F71" s="17">
        <f t="shared" si="6"/>
        <v>180</v>
      </c>
      <c r="G71" s="236"/>
      <c r="H71" s="236"/>
      <c r="I71" s="236"/>
      <c r="J71" s="242"/>
      <c r="L71" s="249"/>
      <c r="M71" s="245"/>
      <c r="N71" s="45" t="s">
        <v>140</v>
      </c>
      <c r="O71" s="17">
        <v>12</v>
      </c>
      <c r="P71" s="17">
        <v>15</v>
      </c>
      <c r="Q71" s="17">
        <f t="shared" si="7"/>
        <v>180</v>
      </c>
      <c r="R71" s="236"/>
      <c r="S71" s="236"/>
      <c r="T71" s="236"/>
      <c r="U71" s="242"/>
    </row>
    <row r="72" spans="1:21" ht="13">
      <c r="A72" s="249"/>
      <c r="B72" s="246"/>
      <c r="C72" s="44" t="s">
        <v>33</v>
      </c>
      <c r="D72" s="21"/>
      <c r="E72" s="21"/>
      <c r="F72" s="21">
        <v>184</v>
      </c>
      <c r="G72" s="238"/>
      <c r="H72" s="238"/>
      <c r="I72" s="238"/>
      <c r="J72" s="243"/>
      <c r="L72" s="249"/>
      <c r="M72" s="246"/>
      <c r="N72" s="44" t="s">
        <v>33</v>
      </c>
      <c r="O72" s="21"/>
      <c r="P72" s="21"/>
      <c r="Q72" s="21">
        <v>184</v>
      </c>
      <c r="R72" s="238"/>
      <c r="S72" s="238"/>
      <c r="T72" s="238"/>
      <c r="U72" s="243"/>
    </row>
    <row r="73" spans="1:21" ht="13">
      <c r="A73" s="249"/>
      <c r="B73" s="244" t="s">
        <v>134</v>
      </c>
      <c r="C73" s="15" t="s">
        <v>114</v>
      </c>
      <c r="D73" s="16">
        <v>7</v>
      </c>
      <c r="E73" s="16">
        <v>18</v>
      </c>
      <c r="F73" s="16">
        <f t="shared" ref="F73:F74" si="8">D73*E73</f>
        <v>126</v>
      </c>
      <c r="G73" s="240">
        <f>SUM(F73:F76)</f>
        <v>1119.67</v>
      </c>
      <c r="H73" s="237">
        <v>4455</v>
      </c>
      <c r="I73" s="237">
        <f>H73-G73</f>
        <v>3335.33</v>
      </c>
      <c r="J73" s="241">
        <f>I73/H73</f>
        <v>0.7486711560044893</v>
      </c>
      <c r="L73" s="249"/>
      <c r="M73" s="244" t="s">
        <v>134</v>
      </c>
      <c r="N73" s="15" t="s">
        <v>114</v>
      </c>
      <c r="O73" s="18"/>
      <c r="P73" s="18"/>
      <c r="Q73" s="18"/>
      <c r="R73" s="240">
        <f>SUM(Q73:Q76)</f>
        <v>881.67</v>
      </c>
      <c r="S73" s="237">
        <v>4455</v>
      </c>
      <c r="T73" s="237">
        <f>S73-R73</f>
        <v>3573.33</v>
      </c>
      <c r="U73" s="241">
        <f>T73/S73</f>
        <v>0.80209427609427608</v>
      </c>
    </row>
    <row r="74" spans="1:21" ht="13">
      <c r="A74" s="249"/>
      <c r="B74" s="245"/>
      <c r="C74" s="19" t="s">
        <v>23</v>
      </c>
      <c r="D74" s="17">
        <v>7</v>
      </c>
      <c r="E74" s="17">
        <v>16</v>
      </c>
      <c r="F74" s="17">
        <f t="shared" si="8"/>
        <v>112</v>
      </c>
      <c r="G74" s="236"/>
      <c r="H74" s="236"/>
      <c r="I74" s="236"/>
      <c r="J74" s="242"/>
      <c r="L74" s="249"/>
      <c r="M74" s="245"/>
      <c r="N74" s="19" t="s">
        <v>23</v>
      </c>
      <c r="O74" s="18"/>
      <c r="P74" s="18"/>
      <c r="Q74" s="18"/>
      <c r="R74" s="236"/>
      <c r="S74" s="236"/>
      <c r="T74" s="236"/>
      <c r="U74" s="242"/>
    </row>
    <row r="75" spans="1:21" ht="13">
      <c r="A75" s="249"/>
      <c r="B75" s="245"/>
      <c r="C75" s="19" t="s">
        <v>33</v>
      </c>
      <c r="D75" s="17"/>
      <c r="E75" s="17"/>
      <c r="F75" s="17">
        <v>881.67</v>
      </c>
      <c r="G75" s="236"/>
      <c r="H75" s="236"/>
      <c r="I75" s="236"/>
      <c r="J75" s="242"/>
      <c r="L75" s="249"/>
      <c r="M75" s="245"/>
      <c r="N75" s="19" t="s">
        <v>33</v>
      </c>
      <c r="O75" s="17"/>
      <c r="P75" s="17"/>
      <c r="Q75" s="17">
        <v>881.67</v>
      </c>
      <c r="R75" s="236"/>
      <c r="S75" s="236"/>
      <c r="T75" s="236"/>
      <c r="U75" s="242"/>
    </row>
    <row r="76" spans="1:21" ht="13">
      <c r="A76" s="249"/>
      <c r="B76" s="246"/>
      <c r="C76" s="44"/>
      <c r="D76" s="21"/>
      <c r="E76" s="21"/>
      <c r="F76" s="21"/>
      <c r="G76" s="238"/>
      <c r="H76" s="238"/>
      <c r="I76" s="238"/>
      <c r="J76" s="243"/>
      <c r="L76" s="249"/>
      <c r="M76" s="246"/>
      <c r="N76" s="44"/>
      <c r="O76" s="21"/>
      <c r="P76" s="21"/>
      <c r="Q76" s="21"/>
      <c r="R76" s="238"/>
      <c r="S76" s="238"/>
      <c r="T76" s="238"/>
      <c r="U76" s="243"/>
    </row>
    <row r="77" spans="1:21" ht="13">
      <c r="A77" s="249"/>
      <c r="B77" s="244" t="s">
        <v>135</v>
      </c>
      <c r="C77" s="15" t="s">
        <v>23</v>
      </c>
      <c r="D77" s="16">
        <v>7</v>
      </c>
      <c r="E77" s="16">
        <v>16</v>
      </c>
      <c r="F77" s="16">
        <f>D77*E77</f>
        <v>112</v>
      </c>
      <c r="G77" s="240">
        <f>SUM(F77:F79)</f>
        <v>112</v>
      </c>
      <c r="H77" s="237">
        <v>300</v>
      </c>
      <c r="I77" s="237">
        <f>H77-G77</f>
        <v>188</v>
      </c>
      <c r="J77" s="241">
        <f>I77/H77</f>
        <v>0.62666666666666671</v>
      </c>
      <c r="L77" s="249"/>
      <c r="M77" s="244" t="s">
        <v>135</v>
      </c>
      <c r="N77" s="15" t="s">
        <v>23</v>
      </c>
      <c r="O77" s="18"/>
      <c r="P77" s="18"/>
      <c r="Q77" s="18"/>
      <c r="R77" s="240">
        <f>SUM(Q77:Q79)</f>
        <v>0</v>
      </c>
      <c r="S77" s="237">
        <v>300</v>
      </c>
      <c r="T77" s="237">
        <f>S77-R77</f>
        <v>300</v>
      </c>
      <c r="U77" s="241">
        <f>T77/S77</f>
        <v>1</v>
      </c>
    </row>
    <row r="78" spans="1:21" ht="13">
      <c r="A78" s="249"/>
      <c r="B78" s="245"/>
      <c r="C78" s="24"/>
      <c r="D78" s="17"/>
      <c r="E78" s="17"/>
      <c r="F78" s="17"/>
      <c r="G78" s="236"/>
      <c r="H78" s="236"/>
      <c r="I78" s="236"/>
      <c r="J78" s="242"/>
      <c r="L78" s="249"/>
      <c r="M78" s="245"/>
      <c r="N78" s="24"/>
      <c r="O78" s="17"/>
      <c r="P78" s="17"/>
      <c r="Q78" s="17"/>
      <c r="R78" s="236"/>
      <c r="S78" s="236"/>
      <c r="T78" s="236"/>
      <c r="U78" s="242"/>
    </row>
    <row r="79" spans="1:21" ht="13">
      <c r="A79" s="249"/>
      <c r="B79" s="246"/>
      <c r="C79" s="44"/>
      <c r="D79" s="21"/>
      <c r="E79" s="21"/>
      <c r="F79" s="21"/>
      <c r="G79" s="238"/>
      <c r="H79" s="238"/>
      <c r="I79" s="238"/>
      <c r="J79" s="243"/>
      <c r="L79" s="249"/>
      <c r="M79" s="246"/>
      <c r="N79" s="44"/>
      <c r="O79" s="21"/>
      <c r="P79" s="21"/>
      <c r="Q79" s="21"/>
      <c r="R79" s="238"/>
      <c r="S79" s="238"/>
      <c r="T79" s="238"/>
      <c r="U79" s="243"/>
    </row>
    <row r="80" spans="1:21" ht="13">
      <c r="A80" s="249"/>
      <c r="B80" s="244" t="s">
        <v>574</v>
      </c>
      <c r="C80" s="19" t="s">
        <v>23</v>
      </c>
      <c r="D80" s="16">
        <v>14</v>
      </c>
      <c r="E80" s="16">
        <v>16</v>
      </c>
      <c r="F80" s="17">
        <f t="shared" ref="F80:F88" si="9">D80*E80</f>
        <v>224</v>
      </c>
      <c r="G80" s="240">
        <f>SUM(F80:F96)</f>
        <v>5378.03</v>
      </c>
      <c r="H80" s="240">
        <v>7000</v>
      </c>
      <c r="I80" s="240">
        <f>H80-G80</f>
        <v>1621.9700000000003</v>
      </c>
      <c r="J80" s="241">
        <f>I80/H80</f>
        <v>0.23171000000000003</v>
      </c>
      <c r="L80" s="249"/>
      <c r="M80" s="244" t="s">
        <v>574</v>
      </c>
      <c r="N80" s="19" t="s">
        <v>23</v>
      </c>
      <c r="O80" s="43"/>
      <c r="P80" s="43"/>
      <c r="Q80" s="43"/>
      <c r="R80" s="240">
        <f>SUM(Q80:Q96)</f>
        <v>5154.03</v>
      </c>
      <c r="S80" s="240">
        <v>7000</v>
      </c>
      <c r="T80" s="240">
        <f>S80-R80</f>
        <v>1845.9700000000003</v>
      </c>
      <c r="U80" s="241">
        <f>T80/S80</f>
        <v>0.26371000000000006</v>
      </c>
    </row>
    <row r="81" spans="1:21" ht="13">
      <c r="A81" s="249"/>
      <c r="B81" s="245"/>
      <c r="C81" s="19" t="s">
        <v>575</v>
      </c>
      <c r="D81" s="17">
        <v>10</v>
      </c>
      <c r="E81" s="17">
        <v>17</v>
      </c>
      <c r="F81" s="17">
        <f t="shared" si="9"/>
        <v>170</v>
      </c>
      <c r="G81" s="236"/>
      <c r="H81" s="236"/>
      <c r="I81" s="236"/>
      <c r="J81" s="242"/>
      <c r="L81" s="249"/>
      <c r="M81" s="245"/>
      <c r="N81" s="19" t="s">
        <v>575</v>
      </c>
      <c r="O81" s="17">
        <v>10</v>
      </c>
      <c r="P81" s="17">
        <v>17</v>
      </c>
      <c r="Q81" s="17">
        <f t="shared" ref="Q81:Q88" si="10">O81*P81</f>
        <v>170</v>
      </c>
      <c r="R81" s="236"/>
      <c r="S81" s="236"/>
      <c r="T81" s="236"/>
      <c r="U81" s="242"/>
    </row>
    <row r="82" spans="1:21" ht="13">
      <c r="A82" s="249"/>
      <c r="B82" s="245"/>
      <c r="C82" s="19" t="s">
        <v>62</v>
      </c>
      <c r="D82" s="17">
        <v>29.86</v>
      </c>
      <c r="E82" s="17">
        <v>17</v>
      </c>
      <c r="F82" s="17">
        <f t="shared" si="9"/>
        <v>507.62</v>
      </c>
      <c r="G82" s="236"/>
      <c r="H82" s="236"/>
      <c r="I82" s="236"/>
      <c r="J82" s="242"/>
      <c r="L82" s="249"/>
      <c r="M82" s="245"/>
      <c r="N82" s="19" t="s">
        <v>62</v>
      </c>
      <c r="O82" s="17">
        <v>29.86</v>
      </c>
      <c r="P82" s="17">
        <v>17</v>
      </c>
      <c r="Q82" s="17">
        <f t="shared" si="10"/>
        <v>507.62</v>
      </c>
      <c r="R82" s="236"/>
      <c r="S82" s="236"/>
      <c r="T82" s="236"/>
      <c r="U82" s="242"/>
    </row>
    <row r="83" spans="1:21" ht="13">
      <c r="A83" s="249"/>
      <c r="B83" s="245"/>
      <c r="C83" s="19" t="s">
        <v>55</v>
      </c>
      <c r="D83" s="17">
        <v>27.75</v>
      </c>
      <c r="E83" s="17">
        <v>17</v>
      </c>
      <c r="F83" s="17">
        <f t="shared" si="9"/>
        <v>471.75</v>
      </c>
      <c r="G83" s="236"/>
      <c r="H83" s="236"/>
      <c r="I83" s="236"/>
      <c r="J83" s="242"/>
      <c r="L83" s="249"/>
      <c r="M83" s="245"/>
      <c r="N83" s="19" t="s">
        <v>55</v>
      </c>
      <c r="O83" s="17">
        <v>27.75</v>
      </c>
      <c r="P83" s="17">
        <v>17</v>
      </c>
      <c r="Q83" s="17">
        <f t="shared" si="10"/>
        <v>471.75</v>
      </c>
      <c r="R83" s="236"/>
      <c r="S83" s="236"/>
      <c r="T83" s="236"/>
      <c r="U83" s="242"/>
    </row>
    <row r="84" spans="1:21" ht="13">
      <c r="A84" s="249"/>
      <c r="B84" s="245"/>
      <c r="C84" s="19" t="s">
        <v>32</v>
      </c>
      <c r="D84" s="17">
        <v>27.93</v>
      </c>
      <c r="E84" s="17">
        <v>17</v>
      </c>
      <c r="F84" s="17">
        <f t="shared" si="9"/>
        <v>474.81</v>
      </c>
      <c r="G84" s="236"/>
      <c r="H84" s="236"/>
      <c r="I84" s="236"/>
      <c r="J84" s="242"/>
      <c r="L84" s="249"/>
      <c r="M84" s="245"/>
      <c r="N84" s="19" t="s">
        <v>32</v>
      </c>
      <c r="O84" s="17">
        <v>27.93</v>
      </c>
      <c r="P84" s="17">
        <v>17</v>
      </c>
      <c r="Q84" s="17">
        <f t="shared" si="10"/>
        <v>474.81</v>
      </c>
      <c r="R84" s="236"/>
      <c r="S84" s="236"/>
      <c r="T84" s="236"/>
      <c r="U84" s="242"/>
    </row>
    <row r="85" spans="1:21" ht="13">
      <c r="A85" s="249"/>
      <c r="B85" s="245"/>
      <c r="C85" s="24" t="s">
        <v>63</v>
      </c>
      <c r="D85" s="17">
        <v>30</v>
      </c>
      <c r="E85" s="17">
        <v>17</v>
      </c>
      <c r="F85" s="17">
        <f t="shared" si="9"/>
        <v>510</v>
      </c>
      <c r="G85" s="236"/>
      <c r="H85" s="236"/>
      <c r="I85" s="236"/>
      <c r="J85" s="242"/>
      <c r="L85" s="249"/>
      <c r="M85" s="245"/>
      <c r="N85" s="24" t="s">
        <v>63</v>
      </c>
      <c r="O85" s="17">
        <v>30</v>
      </c>
      <c r="P85" s="17">
        <v>17</v>
      </c>
      <c r="Q85" s="17">
        <f t="shared" si="10"/>
        <v>510</v>
      </c>
      <c r="R85" s="236"/>
      <c r="S85" s="236"/>
      <c r="T85" s="236"/>
      <c r="U85" s="242"/>
    </row>
    <row r="86" spans="1:21" ht="13">
      <c r="A86" s="249"/>
      <c r="B86" s="245"/>
      <c r="C86" s="24" t="s">
        <v>576</v>
      </c>
      <c r="D86" s="17">
        <v>22.17</v>
      </c>
      <c r="E86" s="17">
        <v>17</v>
      </c>
      <c r="F86" s="17">
        <f t="shared" si="9"/>
        <v>376.89000000000004</v>
      </c>
      <c r="G86" s="236"/>
      <c r="H86" s="236"/>
      <c r="I86" s="236"/>
      <c r="J86" s="242"/>
      <c r="L86" s="249"/>
      <c r="M86" s="245"/>
      <c r="N86" s="24" t="s">
        <v>576</v>
      </c>
      <c r="O86" s="17">
        <v>22.17</v>
      </c>
      <c r="P86" s="17">
        <v>17</v>
      </c>
      <c r="Q86" s="17">
        <f t="shared" si="10"/>
        <v>376.89000000000004</v>
      </c>
      <c r="R86" s="236"/>
      <c r="S86" s="236"/>
      <c r="T86" s="236"/>
      <c r="U86" s="242"/>
    </row>
    <row r="87" spans="1:21" ht="13">
      <c r="A87" s="249"/>
      <c r="B87" s="245"/>
      <c r="C87" s="19" t="s">
        <v>577</v>
      </c>
      <c r="D87" s="17">
        <v>15.12</v>
      </c>
      <c r="E87" s="17">
        <v>15</v>
      </c>
      <c r="F87" s="17">
        <f t="shared" si="9"/>
        <v>226.79999999999998</v>
      </c>
      <c r="G87" s="236"/>
      <c r="H87" s="236"/>
      <c r="I87" s="236"/>
      <c r="J87" s="242"/>
      <c r="L87" s="249"/>
      <c r="M87" s="245"/>
      <c r="N87" s="19" t="s">
        <v>577</v>
      </c>
      <c r="O87" s="17">
        <v>15.12</v>
      </c>
      <c r="P87" s="17">
        <v>15</v>
      </c>
      <c r="Q87" s="17">
        <f t="shared" si="10"/>
        <v>226.79999999999998</v>
      </c>
      <c r="R87" s="236"/>
      <c r="S87" s="236"/>
      <c r="T87" s="236"/>
      <c r="U87" s="242"/>
    </row>
    <row r="88" spans="1:21" ht="13">
      <c r="A88" s="249"/>
      <c r="B88" s="245"/>
      <c r="C88" s="19" t="s">
        <v>578</v>
      </c>
      <c r="D88" s="17">
        <v>25.5</v>
      </c>
      <c r="E88" s="17">
        <v>15</v>
      </c>
      <c r="F88" s="17">
        <f t="shared" si="9"/>
        <v>382.5</v>
      </c>
      <c r="G88" s="236"/>
      <c r="H88" s="236"/>
      <c r="I88" s="236"/>
      <c r="J88" s="242"/>
      <c r="L88" s="249"/>
      <c r="M88" s="245"/>
      <c r="N88" s="19" t="s">
        <v>578</v>
      </c>
      <c r="O88" s="17">
        <v>25.5</v>
      </c>
      <c r="P88" s="17">
        <v>15</v>
      </c>
      <c r="Q88" s="17">
        <f t="shared" si="10"/>
        <v>382.5</v>
      </c>
      <c r="R88" s="236"/>
      <c r="S88" s="236"/>
      <c r="T88" s="236"/>
      <c r="U88" s="242"/>
    </row>
    <row r="89" spans="1:21" ht="13">
      <c r="A89" s="249"/>
      <c r="B89" s="245"/>
      <c r="C89" s="19" t="s">
        <v>579</v>
      </c>
      <c r="D89" s="17"/>
      <c r="E89" s="17"/>
      <c r="F89" s="17">
        <v>61.5</v>
      </c>
      <c r="G89" s="236"/>
      <c r="H89" s="236"/>
      <c r="I89" s="236"/>
      <c r="J89" s="242"/>
      <c r="L89" s="249"/>
      <c r="M89" s="245"/>
      <c r="N89" s="19" t="s">
        <v>579</v>
      </c>
      <c r="O89" s="17"/>
      <c r="P89" s="17"/>
      <c r="Q89" s="17">
        <v>61.5</v>
      </c>
      <c r="R89" s="236"/>
      <c r="S89" s="236"/>
      <c r="T89" s="236"/>
      <c r="U89" s="242"/>
    </row>
    <row r="90" spans="1:21" ht="13">
      <c r="A90" s="249"/>
      <c r="B90" s="245"/>
      <c r="C90" s="19" t="s">
        <v>580</v>
      </c>
      <c r="D90" s="17">
        <v>13.92</v>
      </c>
      <c r="E90" s="17">
        <v>15</v>
      </c>
      <c r="F90" s="17">
        <f t="shared" ref="F90:F91" si="11">D90*E90</f>
        <v>208.8</v>
      </c>
      <c r="G90" s="236"/>
      <c r="H90" s="236"/>
      <c r="I90" s="236"/>
      <c r="J90" s="242"/>
      <c r="L90" s="249"/>
      <c r="M90" s="245"/>
      <c r="N90" s="19" t="s">
        <v>580</v>
      </c>
      <c r="O90" s="17">
        <v>13.92</v>
      </c>
      <c r="P90" s="17">
        <v>15</v>
      </c>
      <c r="Q90" s="17">
        <f t="shared" ref="Q90:Q91" si="12">O90*P90</f>
        <v>208.8</v>
      </c>
      <c r="R90" s="236"/>
      <c r="S90" s="236"/>
      <c r="T90" s="236"/>
      <c r="U90" s="242"/>
    </row>
    <row r="91" spans="1:21" ht="13">
      <c r="A91" s="249"/>
      <c r="B91" s="245"/>
      <c r="C91" s="19" t="s">
        <v>581</v>
      </c>
      <c r="D91" s="17">
        <v>15.7</v>
      </c>
      <c r="E91" s="17">
        <v>17</v>
      </c>
      <c r="F91" s="17">
        <f t="shared" si="11"/>
        <v>266.89999999999998</v>
      </c>
      <c r="G91" s="236"/>
      <c r="H91" s="236"/>
      <c r="I91" s="236"/>
      <c r="J91" s="242"/>
      <c r="L91" s="249"/>
      <c r="M91" s="245"/>
      <c r="N91" s="19" t="s">
        <v>581</v>
      </c>
      <c r="O91" s="17">
        <v>15.7</v>
      </c>
      <c r="P91" s="17">
        <v>17</v>
      </c>
      <c r="Q91" s="17">
        <f t="shared" si="12"/>
        <v>266.89999999999998</v>
      </c>
      <c r="R91" s="236"/>
      <c r="S91" s="236"/>
      <c r="T91" s="236"/>
      <c r="U91" s="242"/>
    </row>
    <row r="92" spans="1:21" ht="13">
      <c r="A92" s="249"/>
      <c r="B92" s="245"/>
      <c r="C92" s="19" t="s">
        <v>48</v>
      </c>
      <c r="D92" s="17"/>
      <c r="E92" s="17"/>
      <c r="F92" s="17">
        <v>266.3</v>
      </c>
      <c r="G92" s="236"/>
      <c r="H92" s="236"/>
      <c r="I92" s="236"/>
      <c r="J92" s="242"/>
      <c r="L92" s="249"/>
      <c r="M92" s="245"/>
      <c r="N92" s="19" t="s">
        <v>48</v>
      </c>
      <c r="O92" s="17"/>
      <c r="P92" s="17"/>
      <c r="Q92" s="17">
        <v>266.3</v>
      </c>
      <c r="R92" s="236"/>
      <c r="S92" s="236"/>
      <c r="T92" s="236"/>
      <c r="U92" s="242"/>
    </row>
    <row r="93" spans="1:21" ht="13">
      <c r="A93" s="249"/>
      <c r="B93" s="245"/>
      <c r="C93" s="19" t="s">
        <v>193</v>
      </c>
      <c r="D93" s="17"/>
      <c r="E93" s="17"/>
      <c r="F93" s="17">
        <v>240.8</v>
      </c>
      <c r="G93" s="236"/>
      <c r="H93" s="236"/>
      <c r="I93" s="236"/>
      <c r="J93" s="242"/>
      <c r="L93" s="249"/>
      <c r="M93" s="245"/>
      <c r="N93" s="19" t="s">
        <v>193</v>
      </c>
      <c r="O93" s="17"/>
      <c r="P93" s="17"/>
      <c r="Q93" s="17">
        <v>240.8</v>
      </c>
      <c r="R93" s="236"/>
      <c r="S93" s="236"/>
      <c r="T93" s="236"/>
      <c r="U93" s="242"/>
    </row>
    <row r="94" spans="1:21" ht="13">
      <c r="A94" s="249"/>
      <c r="B94" s="245"/>
      <c r="C94" s="19" t="s">
        <v>45</v>
      </c>
      <c r="D94" s="17"/>
      <c r="E94" s="17"/>
      <c r="F94" s="17">
        <v>587.36</v>
      </c>
      <c r="G94" s="236"/>
      <c r="H94" s="236"/>
      <c r="I94" s="236"/>
      <c r="J94" s="242"/>
      <c r="L94" s="249"/>
      <c r="M94" s="245"/>
      <c r="N94" s="19" t="s">
        <v>45</v>
      </c>
      <c r="O94" s="17"/>
      <c r="P94" s="17"/>
      <c r="Q94" s="17">
        <v>587.36</v>
      </c>
      <c r="R94" s="236"/>
      <c r="S94" s="236"/>
      <c r="T94" s="236"/>
      <c r="U94" s="242"/>
    </row>
    <row r="95" spans="1:21" ht="13">
      <c r="A95" s="249"/>
      <c r="B95" s="245"/>
      <c r="C95" s="19" t="s">
        <v>47</v>
      </c>
      <c r="D95" s="17"/>
      <c r="E95" s="17"/>
      <c r="F95" s="17">
        <v>402</v>
      </c>
      <c r="G95" s="236"/>
      <c r="H95" s="236"/>
      <c r="I95" s="236"/>
      <c r="J95" s="242"/>
      <c r="L95" s="249"/>
      <c r="M95" s="245"/>
      <c r="N95" s="19" t="s">
        <v>47</v>
      </c>
      <c r="O95" s="17"/>
      <c r="P95" s="17"/>
      <c r="Q95" s="17">
        <v>402</v>
      </c>
      <c r="R95" s="236"/>
      <c r="S95" s="236"/>
      <c r="T95" s="236"/>
      <c r="U95" s="242"/>
    </row>
    <row r="96" spans="1:21" ht="13">
      <c r="A96" s="249"/>
      <c r="B96" s="246"/>
      <c r="C96" s="44"/>
      <c r="D96" s="21"/>
      <c r="E96" s="21"/>
      <c r="F96" s="21"/>
      <c r="G96" s="238"/>
      <c r="H96" s="238"/>
      <c r="I96" s="238"/>
      <c r="J96" s="243"/>
      <c r="L96" s="249"/>
      <c r="M96" s="246"/>
      <c r="N96" s="44"/>
      <c r="O96" s="21"/>
      <c r="P96" s="21"/>
      <c r="Q96" s="21"/>
      <c r="R96" s="238"/>
      <c r="S96" s="238"/>
      <c r="T96" s="238"/>
      <c r="U96" s="243"/>
    </row>
    <row r="97" spans="1:21" ht="13">
      <c r="A97" s="249"/>
      <c r="B97" s="244" t="s">
        <v>582</v>
      </c>
      <c r="C97" s="15" t="s">
        <v>23</v>
      </c>
      <c r="D97" s="16">
        <v>7</v>
      </c>
      <c r="E97" s="16">
        <v>16</v>
      </c>
      <c r="F97" s="17">
        <f t="shared" ref="F97:F106" si="13">D97*E97</f>
        <v>112</v>
      </c>
      <c r="G97" s="240">
        <f>SUM(F97:F108)</f>
        <v>1625.88</v>
      </c>
      <c r="H97" s="240">
        <v>2856</v>
      </c>
      <c r="I97" s="240">
        <f>H97-G97</f>
        <v>1230.1199999999999</v>
      </c>
      <c r="J97" s="241">
        <f>I97/H97</f>
        <v>0.43071428571428566</v>
      </c>
      <c r="L97" s="249"/>
      <c r="M97" s="244" t="s">
        <v>582</v>
      </c>
      <c r="N97" s="15" t="s">
        <v>23</v>
      </c>
      <c r="O97" s="43"/>
      <c r="P97" s="43"/>
      <c r="Q97" s="43"/>
      <c r="R97" s="240">
        <f>SUM(Q97:Q108)</f>
        <v>1513.88</v>
      </c>
      <c r="S97" s="240">
        <v>2856</v>
      </c>
      <c r="T97" s="240">
        <f>S97-R97</f>
        <v>1342.12</v>
      </c>
      <c r="U97" s="241">
        <f>T97/S97</f>
        <v>0.46992997198879549</v>
      </c>
    </row>
    <row r="98" spans="1:21" ht="13">
      <c r="A98" s="249"/>
      <c r="B98" s="245"/>
      <c r="C98" s="19" t="s">
        <v>35</v>
      </c>
      <c r="D98" s="17">
        <v>10</v>
      </c>
      <c r="E98" s="17">
        <v>15</v>
      </c>
      <c r="F98" s="17">
        <f t="shared" si="13"/>
        <v>150</v>
      </c>
      <c r="G98" s="236"/>
      <c r="H98" s="236"/>
      <c r="I98" s="236"/>
      <c r="J98" s="242"/>
      <c r="L98" s="249"/>
      <c r="M98" s="245"/>
      <c r="N98" s="19" t="s">
        <v>35</v>
      </c>
      <c r="O98" s="17">
        <v>10</v>
      </c>
      <c r="P98" s="17">
        <v>15</v>
      </c>
      <c r="Q98" s="17">
        <f t="shared" ref="Q98:Q106" si="14">O98*P98</f>
        <v>150</v>
      </c>
      <c r="R98" s="236"/>
      <c r="S98" s="236"/>
      <c r="T98" s="236"/>
      <c r="U98" s="242"/>
    </row>
    <row r="99" spans="1:21" ht="13">
      <c r="A99" s="249"/>
      <c r="B99" s="245"/>
      <c r="C99" s="19" t="s">
        <v>80</v>
      </c>
      <c r="D99" s="17">
        <v>7.75</v>
      </c>
      <c r="E99" s="17">
        <v>13</v>
      </c>
      <c r="F99" s="17">
        <f t="shared" si="13"/>
        <v>100.75</v>
      </c>
      <c r="G99" s="236"/>
      <c r="H99" s="236"/>
      <c r="I99" s="236"/>
      <c r="J99" s="242"/>
      <c r="L99" s="249"/>
      <c r="M99" s="245"/>
      <c r="N99" s="19" t="s">
        <v>80</v>
      </c>
      <c r="O99" s="17">
        <v>7.75</v>
      </c>
      <c r="P99" s="17">
        <v>13</v>
      </c>
      <c r="Q99" s="17">
        <f t="shared" si="14"/>
        <v>100.75</v>
      </c>
      <c r="R99" s="236"/>
      <c r="S99" s="236"/>
      <c r="T99" s="236"/>
      <c r="U99" s="242"/>
    </row>
    <row r="100" spans="1:21" ht="13">
      <c r="A100" s="249"/>
      <c r="B100" s="245"/>
      <c r="C100" s="19" t="s">
        <v>70</v>
      </c>
      <c r="D100" s="17">
        <v>13.45</v>
      </c>
      <c r="E100" s="17">
        <v>13</v>
      </c>
      <c r="F100" s="17">
        <f t="shared" si="13"/>
        <v>174.85</v>
      </c>
      <c r="G100" s="236"/>
      <c r="H100" s="236"/>
      <c r="I100" s="236"/>
      <c r="J100" s="242"/>
      <c r="L100" s="249"/>
      <c r="M100" s="245"/>
      <c r="N100" s="19" t="s">
        <v>70</v>
      </c>
      <c r="O100" s="17">
        <v>13.45</v>
      </c>
      <c r="P100" s="17">
        <v>13</v>
      </c>
      <c r="Q100" s="17">
        <f t="shared" si="14"/>
        <v>174.85</v>
      </c>
      <c r="R100" s="236"/>
      <c r="S100" s="236"/>
      <c r="T100" s="236"/>
      <c r="U100" s="242"/>
    </row>
    <row r="101" spans="1:21" ht="13">
      <c r="A101" s="249"/>
      <c r="B101" s="245"/>
      <c r="C101" s="19" t="s">
        <v>32</v>
      </c>
      <c r="D101" s="17">
        <v>14.9</v>
      </c>
      <c r="E101" s="17">
        <v>13</v>
      </c>
      <c r="F101" s="17">
        <f t="shared" si="13"/>
        <v>193.70000000000002</v>
      </c>
      <c r="G101" s="236"/>
      <c r="H101" s="236"/>
      <c r="I101" s="236"/>
      <c r="J101" s="242"/>
      <c r="L101" s="249"/>
      <c r="M101" s="245"/>
      <c r="N101" s="19" t="s">
        <v>32</v>
      </c>
      <c r="O101" s="17">
        <v>14.9</v>
      </c>
      <c r="P101" s="17">
        <v>13</v>
      </c>
      <c r="Q101" s="17">
        <f t="shared" si="14"/>
        <v>193.70000000000002</v>
      </c>
      <c r="R101" s="236"/>
      <c r="S101" s="236"/>
      <c r="T101" s="236"/>
      <c r="U101" s="242"/>
    </row>
    <row r="102" spans="1:21" ht="13">
      <c r="A102" s="249"/>
      <c r="B102" s="245"/>
      <c r="C102" s="19" t="s">
        <v>583</v>
      </c>
      <c r="D102" s="17">
        <v>12.2</v>
      </c>
      <c r="E102" s="17">
        <v>13</v>
      </c>
      <c r="F102" s="17">
        <f t="shared" si="13"/>
        <v>158.6</v>
      </c>
      <c r="G102" s="236"/>
      <c r="H102" s="236"/>
      <c r="I102" s="236"/>
      <c r="J102" s="242"/>
      <c r="L102" s="249"/>
      <c r="M102" s="245"/>
      <c r="N102" s="19" t="s">
        <v>583</v>
      </c>
      <c r="O102" s="17">
        <v>12.2</v>
      </c>
      <c r="P102" s="17">
        <v>13</v>
      </c>
      <c r="Q102" s="17">
        <f t="shared" si="14"/>
        <v>158.6</v>
      </c>
      <c r="R102" s="236"/>
      <c r="S102" s="236"/>
      <c r="T102" s="236"/>
      <c r="U102" s="242"/>
    </row>
    <row r="103" spans="1:21" ht="13">
      <c r="A103" s="249"/>
      <c r="B103" s="245"/>
      <c r="C103" s="19" t="s">
        <v>62</v>
      </c>
      <c r="D103" s="17">
        <v>19.05</v>
      </c>
      <c r="E103" s="17">
        <v>13</v>
      </c>
      <c r="F103" s="17">
        <f t="shared" si="13"/>
        <v>247.65</v>
      </c>
      <c r="G103" s="236"/>
      <c r="H103" s="236"/>
      <c r="I103" s="236"/>
      <c r="J103" s="242"/>
      <c r="L103" s="249"/>
      <c r="M103" s="245"/>
      <c r="N103" s="19" t="s">
        <v>62</v>
      </c>
      <c r="O103" s="17">
        <v>19.05</v>
      </c>
      <c r="P103" s="17">
        <v>13</v>
      </c>
      <c r="Q103" s="17">
        <f t="shared" si="14"/>
        <v>247.65</v>
      </c>
      <c r="R103" s="236"/>
      <c r="S103" s="236"/>
      <c r="T103" s="236"/>
      <c r="U103" s="242"/>
    </row>
    <row r="104" spans="1:21" ht="13">
      <c r="A104" s="249"/>
      <c r="B104" s="245"/>
      <c r="C104" s="19" t="s">
        <v>584</v>
      </c>
      <c r="D104" s="17">
        <v>7</v>
      </c>
      <c r="E104" s="17">
        <v>12</v>
      </c>
      <c r="F104" s="17">
        <f t="shared" si="13"/>
        <v>84</v>
      </c>
      <c r="G104" s="236"/>
      <c r="H104" s="236"/>
      <c r="I104" s="236"/>
      <c r="J104" s="242"/>
      <c r="L104" s="249"/>
      <c r="M104" s="245"/>
      <c r="N104" s="19" t="s">
        <v>584</v>
      </c>
      <c r="O104" s="17">
        <v>7</v>
      </c>
      <c r="P104" s="17">
        <v>12</v>
      </c>
      <c r="Q104" s="17">
        <f t="shared" si="14"/>
        <v>84</v>
      </c>
      <c r="R104" s="236"/>
      <c r="S104" s="236"/>
      <c r="T104" s="236"/>
      <c r="U104" s="242"/>
    </row>
    <row r="105" spans="1:21" ht="13">
      <c r="A105" s="249"/>
      <c r="B105" s="245"/>
      <c r="C105" s="19" t="s">
        <v>285</v>
      </c>
      <c r="D105" s="17">
        <v>7</v>
      </c>
      <c r="E105" s="17">
        <v>12</v>
      </c>
      <c r="F105" s="17">
        <f t="shared" si="13"/>
        <v>84</v>
      </c>
      <c r="G105" s="236"/>
      <c r="H105" s="236"/>
      <c r="I105" s="236"/>
      <c r="J105" s="242"/>
      <c r="L105" s="249"/>
      <c r="M105" s="245"/>
      <c r="N105" s="19" t="s">
        <v>285</v>
      </c>
      <c r="O105" s="17">
        <v>7</v>
      </c>
      <c r="P105" s="17">
        <v>12</v>
      </c>
      <c r="Q105" s="17">
        <f t="shared" si="14"/>
        <v>84</v>
      </c>
      <c r="R105" s="236"/>
      <c r="S105" s="236"/>
      <c r="T105" s="236"/>
      <c r="U105" s="242"/>
    </row>
    <row r="106" spans="1:21" ht="13">
      <c r="A106" s="249"/>
      <c r="B106" s="245"/>
      <c r="C106" s="19" t="s">
        <v>64</v>
      </c>
      <c r="D106" s="17">
        <v>15.41</v>
      </c>
      <c r="E106" s="17">
        <v>13</v>
      </c>
      <c r="F106" s="17">
        <f t="shared" si="13"/>
        <v>200.33</v>
      </c>
      <c r="G106" s="236"/>
      <c r="H106" s="236"/>
      <c r="I106" s="236"/>
      <c r="J106" s="242"/>
      <c r="L106" s="249"/>
      <c r="M106" s="245"/>
      <c r="N106" s="19" t="s">
        <v>64</v>
      </c>
      <c r="O106" s="17">
        <v>15.41</v>
      </c>
      <c r="P106" s="17">
        <v>13</v>
      </c>
      <c r="Q106" s="17">
        <f t="shared" si="14"/>
        <v>200.33</v>
      </c>
      <c r="R106" s="236"/>
      <c r="S106" s="236"/>
      <c r="T106" s="236"/>
      <c r="U106" s="242"/>
    </row>
    <row r="107" spans="1:21" ht="13">
      <c r="A107" s="249"/>
      <c r="B107" s="245"/>
      <c r="C107" s="19" t="s">
        <v>438</v>
      </c>
      <c r="D107" s="17"/>
      <c r="E107" s="17"/>
      <c r="F107" s="17">
        <v>50</v>
      </c>
      <c r="G107" s="236"/>
      <c r="H107" s="236"/>
      <c r="I107" s="236"/>
      <c r="J107" s="242"/>
      <c r="L107" s="249"/>
      <c r="M107" s="245"/>
      <c r="N107" s="19" t="s">
        <v>438</v>
      </c>
      <c r="O107" s="17"/>
      <c r="P107" s="17"/>
      <c r="Q107" s="17">
        <v>50</v>
      </c>
      <c r="R107" s="236"/>
      <c r="S107" s="236"/>
      <c r="T107" s="236"/>
      <c r="U107" s="242"/>
    </row>
    <row r="108" spans="1:21" ht="13">
      <c r="A108" s="250"/>
      <c r="B108" s="246"/>
      <c r="C108" s="19" t="s">
        <v>45</v>
      </c>
      <c r="D108" s="17"/>
      <c r="E108" s="17"/>
      <c r="F108" s="17">
        <v>70</v>
      </c>
      <c r="G108" s="238"/>
      <c r="H108" s="238"/>
      <c r="I108" s="238"/>
      <c r="J108" s="243"/>
      <c r="L108" s="250"/>
      <c r="M108" s="246"/>
      <c r="N108" s="19" t="s">
        <v>45</v>
      </c>
      <c r="O108" s="17"/>
      <c r="P108" s="17"/>
      <c r="Q108" s="17">
        <v>70</v>
      </c>
      <c r="R108" s="238"/>
      <c r="S108" s="238"/>
      <c r="T108" s="238"/>
      <c r="U108" s="243"/>
    </row>
    <row r="109" spans="1:21" ht="30">
      <c r="A109" s="251" t="s">
        <v>141</v>
      </c>
      <c r="B109" s="252"/>
      <c r="C109" s="253"/>
      <c r="D109" s="27">
        <f t="shared" ref="D109:I109" si="15">AVERAGE(D12:D108)</f>
        <v>13.578666666666663</v>
      </c>
      <c r="E109" s="27">
        <f t="shared" si="15"/>
        <v>15.409836065573771</v>
      </c>
      <c r="F109" s="27">
        <f t="shared" si="15"/>
        <v>238.4188764044944</v>
      </c>
      <c r="G109" s="27">
        <f t="shared" si="15"/>
        <v>1248.1929411764706</v>
      </c>
      <c r="H109" s="27">
        <f t="shared" si="15"/>
        <v>3559.1382352941177</v>
      </c>
      <c r="I109" s="27">
        <f t="shared" si="15"/>
        <v>2310.9452941176473</v>
      </c>
      <c r="J109" s="28">
        <f>AVERAGE($J$12:$J$76)</f>
        <v>0.79942354689485917</v>
      </c>
      <c r="L109" s="251" t="s">
        <v>141</v>
      </c>
      <c r="M109" s="252"/>
      <c r="N109" s="253"/>
      <c r="O109" s="27">
        <f t="shared" ref="O109:T109" si="16">AVERAGE(O12:O108)</f>
        <v>15.139512195121952</v>
      </c>
      <c r="P109" s="27">
        <f t="shared" si="16"/>
        <v>14.666666666666666</v>
      </c>
      <c r="Q109" s="27">
        <f t="shared" si="16"/>
        <v>256.10400000000004</v>
      </c>
      <c r="R109" s="27">
        <f t="shared" si="16"/>
        <v>1054.5458823529414</v>
      </c>
      <c r="S109" s="27">
        <f t="shared" si="16"/>
        <v>3559.1382352941177</v>
      </c>
      <c r="T109" s="27">
        <f t="shared" si="16"/>
        <v>2504.5923529411766</v>
      </c>
      <c r="U109" s="28">
        <f>AVERAGE($J$12:$J$76)</f>
        <v>0.79942354689485917</v>
      </c>
    </row>
    <row r="110" spans="1:21" ht="30">
      <c r="A110" s="254" t="s">
        <v>142</v>
      </c>
      <c r="B110" s="255"/>
      <c r="C110" s="256"/>
      <c r="D110" s="27">
        <f t="shared" ref="D110:I110" si="17">SUM(D12:D108)</f>
        <v>814.7199999999998</v>
      </c>
      <c r="E110" s="27">
        <f t="shared" si="17"/>
        <v>940</v>
      </c>
      <c r="F110" s="27">
        <f t="shared" si="17"/>
        <v>21219.280000000002</v>
      </c>
      <c r="G110" s="27">
        <f t="shared" si="17"/>
        <v>21219.280000000002</v>
      </c>
      <c r="H110" s="27">
        <f t="shared" si="17"/>
        <v>60505.35</v>
      </c>
      <c r="I110" s="27">
        <f t="shared" si="17"/>
        <v>39286.070000000007</v>
      </c>
      <c r="J110" s="29">
        <f t="shared" ref="J110:J111" si="18">I110/H110</f>
        <v>0.64929911156616738</v>
      </c>
      <c r="L110" s="254" t="s">
        <v>142</v>
      </c>
      <c r="M110" s="255"/>
      <c r="N110" s="256"/>
      <c r="O110" s="27">
        <f t="shared" ref="O110:T110" si="19">SUM(O12:O108)</f>
        <v>620.72</v>
      </c>
      <c r="P110" s="27">
        <f t="shared" si="19"/>
        <v>616</v>
      </c>
      <c r="Q110" s="27">
        <f t="shared" si="19"/>
        <v>17927.280000000002</v>
      </c>
      <c r="R110" s="27">
        <f t="shared" si="19"/>
        <v>17927.280000000002</v>
      </c>
      <c r="S110" s="27">
        <f t="shared" si="19"/>
        <v>60505.35</v>
      </c>
      <c r="T110" s="27">
        <f t="shared" si="19"/>
        <v>42578.07</v>
      </c>
      <c r="U110" s="29">
        <f t="shared" ref="U110:U111" si="20">T110/S110</f>
        <v>0.70370752338429576</v>
      </c>
    </row>
    <row r="111" spans="1:21" ht="13">
      <c r="A111" s="277" t="s">
        <v>1</v>
      </c>
      <c r="B111" s="244" t="s">
        <v>143</v>
      </c>
      <c r="C111" s="15" t="s">
        <v>114</v>
      </c>
      <c r="D111" s="16">
        <v>3.5</v>
      </c>
      <c r="E111" s="16">
        <v>18</v>
      </c>
      <c r="F111" s="16">
        <f>D111*E111</f>
        <v>63</v>
      </c>
      <c r="G111" s="240">
        <f>SUM(F111:F113)</f>
        <v>112.19999999999999</v>
      </c>
      <c r="H111" s="237">
        <v>1210.81</v>
      </c>
      <c r="I111" s="237">
        <f>H111-G111</f>
        <v>1098.6099999999999</v>
      </c>
      <c r="J111" s="241">
        <f t="shared" si="18"/>
        <v>0.90733475937595487</v>
      </c>
      <c r="L111" s="277" t="s">
        <v>1</v>
      </c>
      <c r="M111" s="244" t="s">
        <v>143</v>
      </c>
      <c r="N111" s="15" t="s">
        <v>114</v>
      </c>
      <c r="O111" s="18"/>
      <c r="P111" s="18"/>
      <c r="Q111" s="18"/>
      <c r="R111" s="240">
        <f>SUM(Q111:Q113)</f>
        <v>49.2</v>
      </c>
      <c r="S111" s="237">
        <v>1210.81</v>
      </c>
      <c r="T111" s="237">
        <f>S111-R111</f>
        <v>1161.6099999999999</v>
      </c>
      <c r="U111" s="241">
        <f t="shared" si="20"/>
        <v>0.95936604421833316</v>
      </c>
    </row>
    <row r="112" spans="1:21" ht="13">
      <c r="A112" s="249"/>
      <c r="B112" s="245"/>
      <c r="C112" s="19" t="s">
        <v>44</v>
      </c>
      <c r="D112" s="17"/>
      <c r="E112" s="17"/>
      <c r="F112" s="17">
        <v>11.3</v>
      </c>
      <c r="G112" s="236"/>
      <c r="H112" s="236"/>
      <c r="I112" s="236"/>
      <c r="J112" s="242"/>
      <c r="L112" s="249"/>
      <c r="M112" s="245"/>
      <c r="N112" s="19" t="s">
        <v>44</v>
      </c>
      <c r="O112" s="17"/>
      <c r="P112" s="17"/>
      <c r="Q112" s="17">
        <v>11.3</v>
      </c>
      <c r="R112" s="236"/>
      <c r="S112" s="236"/>
      <c r="T112" s="236"/>
      <c r="U112" s="242"/>
    </row>
    <row r="113" spans="1:21" ht="13">
      <c r="A113" s="249"/>
      <c r="B113" s="246"/>
      <c r="C113" s="44" t="s">
        <v>45</v>
      </c>
      <c r="D113" s="21"/>
      <c r="E113" s="21"/>
      <c r="F113" s="21">
        <v>37.9</v>
      </c>
      <c r="G113" s="238"/>
      <c r="H113" s="238"/>
      <c r="I113" s="238"/>
      <c r="J113" s="243"/>
      <c r="L113" s="249"/>
      <c r="M113" s="246"/>
      <c r="N113" s="44" t="s">
        <v>45</v>
      </c>
      <c r="O113" s="21"/>
      <c r="P113" s="21"/>
      <c r="Q113" s="21">
        <v>37.9</v>
      </c>
      <c r="R113" s="238"/>
      <c r="S113" s="238"/>
      <c r="T113" s="238"/>
      <c r="U113" s="243"/>
    </row>
    <row r="114" spans="1:21" ht="13">
      <c r="A114" s="249"/>
      <c r="B114" s="244" t="s">
        <v>144</v>
      </c>
      <c r="C114" s="15" t="s">
        <v>114</v>
      </c>
      <c r="D114" s="16">
        <v>3.5</v>
      </c>
      <c r="E114" s="16">
        <v>18</v>
      </c>
      <c r="F114" s="16">
        <f>D114*E114</f>
        <v>63</v>
      </c>
      <c r="G114" s="240">
        <f>SUM(F114:F116)</f>
        <v>112.19999999999999</v>
      </c>
      <c r="H114" s="237">
        <v>1210.81</v>
      </c>
      <c r="I114" s="237">
        <f>H114-G114</f>
        <v>1098.6099999999999</v>
      </c>
      <c r="J114" s="241">
        <f>I114/H114</f>
        <v>0.90733475937595487</v>
      </c>
      <c r="L114" s="249"/>
      <c r="M114" s="244" t="s">
        <v>144</v>
      </c>
      <c r="N114" s="15" t="s">
        <v>114</v>
      </c>
      <c r="O114" s="18"/>
      <c r="P114" s="18"/>
      <c r="Q114" s="18"/>
      <c r="R114" s="240">
        <f>SUM(Q114:Q116)</f>
        <v>49.2</v>
      </c>
      <c r="S114" s="237">
        <v>1210.81</v>
      </c>
      <c r="T114" s="237">
        <f>S114-R114</f>
        <v>1161.6099999999999</v>
      </c>
      <c r="U114" s="241">
        <f>T114/S114</f>
        <v>0.95936604421833316</v>
      </c>
    </row>
    <row r="115" spans="1:21" ht="13">
      <c r="A115" s="249"/>
      <c r="B115" s="245"/>
      <c r="C115" s="19" t="s">
        <v>44</v>
      </c>
      <c r="D115" s="17"/>
      <c r="E115" s="17"/>
      <c r="F115" s="17">
        <v>11.3</v>
      </c>
      <c r="G115" s="236"/>
      <c r="H115" s="236"/>
      <c r="I115" s="236"/>
      <c r="J115" s="242"/>
      <c r="L115" s="249"/>
      <c r="M115" s="245"/>
      <c r="N115" s="19" t="s">
        <v>44</v>
      </c>
      <c r="O115" s="17"/>
      <c r="P115" s="17"/>
      <c r="Q115" s="17">
        <v>11.3</v>
      </c>
      <c r="R115" s="236"/>
      <c r="S115" s="236"/>
      <c r="T115" s="236"/>
      <c r="U115" s="242"/>
    </row>
    <row r="116" spans="1:21" ht="13">
      <c r="A116" s="249"/>
      <c r="B116" s="246"/>
      <c r="C116" s="44" t="s">
        <v>45</v>
      </c>
      <c r="D116" s="21"/>
      <c r="E116" s="21"/>
      <c r="F116" s="21">
        <v>37.9</v>
      </c>
      <c r="G116" s="238"/>
      <c r="H116" s="238"/>
      <c r="I116" s="238"/>
      <c r="J116" s="243"/>
      <c r="L116" s="249"/>
      <c r="M116" s="246"/>
      <c r="N116" s="44" t="s">
        <v>45</v>
      </c>
      <c r="O116" s="21"/>
      <c r="P116" s="21"/>
      <c r="Q116" s="21">
        <v>37.9</v>
      </c>
      <c r="R116" s="238"/>
      <c r="S116" s="238"/>
      <c r="T116" s="238"/>
      <c r="U116" s="243"/>
    </row>
    <row r="117" spans="1:21" ht="13">
      <c r="A117" s="249"/>
      <c r="B117" s="244" t="s">
        <v>145</v>
      </c>
      <c r="C117" s="15" t="s">
        <v>146</v>
      </c>
      <c r="D117" s="16">
        <v>18</v>
      </c>
      <c r="E117" s="17">
        <v>15</v>
      </c>
      <c r="F117" s="17">
        <f t="shared" ref="F117:F119" si="21">D117*E117</f>
        <v>270</v>
      </c>
      <c r="G117" s="240">
        <f>SUM(F117:F120)</f>
        <v>810</v>
      </c>
      <c r="H117" s="273">
        <v>3480</v>
      </c>
      <c r="I117" s="273">
        <f>H117-G117</f>
        <v>2670</v>
      </c>
      <c r="J117" s="241">
        <f>I117/H117</f>
        <v>0.76724137931034486</v>
      </c>
      <c r="L117" s="249"/>
      <c r="M117" s="244" t="s">
        <v>145</v>
      </c>
      <c r="N117" s="15" t="s">
        <v>146</v>
      </c>
      <c r="O117" s="16">
        <v>18</v>
      </c>
      <c r="P117" s="17">
        <v>15</v>
      </c>
      <c r="Q117" s="17">
        <f t="shared" ref="Q117:Q119" si="22">O117*P117</f>
        <v>270</v>
      </c>
      <c r="R117" s="240">
        <f>SUM(Q117:Q120)</f>
        <v>810</v>
      </c>
      <c r="S117" s="273">
        <v>3480</v>
      </c>
      <c r="T117" s="273">
        <f>S117-R117</f>
        <v>2670</v>
      </c>
      <c r="U117" s="241">
        <f>T117/S117</f>
        <v>0.76724137931034486</v>
      </c>
    </row>
    <row r="118" spans="1:21" ht="13">
      <c r="A118" s="249"/>
      <c r="B118" s="245"/>
      <c r="C118" s="19" t="s">
        <v>147</v>
      </c>
      <c r="D118" s="17">
        <v>21</v>
      </c>
      <c r="E118" s="17">
        <v>15</v>
      </c>
      <c r="F118" s="17">
        <f t="shared" si="21"/>
        <v>315</v>
      </c>
      <c r="G118" s="236"/>
      <c r="H118" s="236"/>
      <c r="I118" s="236"/>
      <c r="J118" s="242"/>
      <c r="L118" s="249"/>
      <c r="M118" s="245"/>
      <c r="N118" s="19" t="s">
        <v>147</v>
      </c>
      <c r="O118" s="17">
        <v>21</v>
      </c>
      <c r="P118" s="17">
        <v>15</v>
      </c>
      <c r="Q118" s="17">
        <f t="shared" si="22"/>
        <v>315</v>
      </c>
      <c r="R118" s="236"/>
      <c r="S118" s="236"/>
      <c r="T118" s="236"/>
      <c r="U118" s="242"/>
    </row>
    <row r="119" spans="1:21" ht="13">
      <c r="A119" s="249"/>
      <c r="B119" s="245"/>
      <c r="C119" s="19" t="s">
        <v>138</v>
      </c>
      <c r="D119" s="17">
        <v>15</v>
      </c>
      <c r="E119" s="17">
        <v>15</v>
      </c>
      <c r="F119" s="17">
        <f t="shared" si="21"/>
        <v>225</v>
      </c>
      <c r="G119" s="236"/>
      <c r="H119" s="236"/>
      <c r="I119" s="236"/>
      <c r="J119" s="242"/>
      <c r="L119" s="249"/>
      <c r="M119" s="245"/>
      <c r="N119" s="19" t="s">
        <v>138</v>
      </c>
      <c r="O119" s="17">
        <v>15</v>
      </c>
      <c r="P119" s="17">
        <v>15</v>
      </c>
      <c r="Q119" s="17">
        <f t="shared" si="22"/>
        <v>225</v>
      </c>
      <c r="R119" s="236"/>
      <c r="S119" s="236"/>
      <c r="T119" s="236"/>
      <c r="U119" s="242"/>
    </row>
    <row r="120" spans="1:21" ht="13">
      <c r="A120" s="249"/>
      <c r="B120" s="246"/>
      <c r="C120" s="44"/>
      <c r="D120" s="21"/>
      <c r="E120" s="21"/>
      <c r="F120" s="21"/>
      <c r="G120" s="238"/>
      <c r="H120" s="238"/>
      <c r="I120" s="238"/>
      <c r="J120" s="243"/>
      <c r="L120" s="249"/>
      <c r="M120" s="246"/>
      <c r="N120" s="44"/>
      <c r="O120" s="21"/>
      <c r="P120" s="21"/>
      <c r="Q120" s="21"/>
      <c r="R120" s="238"/>
      <c r="S120" s="238"/>
      <c r="T120" s="238"/>
      <c r="U120" s="243"/>
    </row>
    <row r="121" spans="1:21" ht="13">
      <c r="A121" s="249"/>
      <c r="B121" s="244" t="s">
        <v>148</v>
      </c>
      <c r="C121" s="19" t="s">
        <v>114</v>
      </c>
      <c r="D121" s="16">
        <v>14</v>
      </c>
      <c r="E121" s="16">
        <v>18</v>
      </c>
      <c r="F121" s="17">
        <f t="shared" ref="F121:F126" si="23">D121*E121</f>
        <v>252</v>
      </c>
      <c r="G121" s="240">
        <f>SUM(F121:F127)</f>
        <v>1029.9099999999999</v>
      </c>
      <c r="H121" s="237">
        <v>3203.07</v>
      </c>
      <c r="I121" s="237">
        <f>H121-G121</f>
        <v>2173.1600000000003</v>
      </c>
      <c r="J121" s="241">
        <f>I121/H121</f>
        <v>0.6784616009016351</v>
      </c>
      <c r="L121" s="249"/>
      <c r="M121" s="244" t="s">
        <v>148</v>
      </c>
      <c r="N121" s="19" t="s">
        <v>114</v>
      </c>
      <c r="O121" s="18"/>
      <c r="P121" s="18"/>
      <c r="Q121" s="18"/>
      <c r="R121" s="240">
        <f>SUM(Q121:Q127)</f>
        <v>777.90999999999985</v>
      </c>
      <c r="S121" s="237">
        <v>3203.07</v>
      </c>
      <c r="T121" s="237">
        <f>S121-R121</f>
        <v>2425.1600000000003</v>
      </c>
      <c r="U121" s="241">
        <f>T121/S121</f>
        <v>0.75713612253244544</v>
      </c>
    </row>
    <row r="122" spans="1:21" ht="13">
      <c r="A122" s="249"/>
      <c r="B122" s="245"/>
      <c r="C122" s="19" t="s">
        <v>137</v>
      </c>
      <c r="D122" s="17">
        <v>15</v>
      </c>
      <c r="E122" s="17">
        <v>15</v>
      </c>
      <c r="F122" s="17">
        <f t="shared" si="23"/>
        <v>225</v>
      </c>
      <c r="G122" s="236"/>
      <c r="H122" s="236"/>
      <c r="I122" s="236"/>
      <c r="J122" s="242"/>
      <c r="L122" s="249"/>
      <c r="M122" s="245"/>
      <c r="N122" s="19" t="s">
        <v>137</v>
      </c>
      <c r="O122" s="17">
        <v>15</v>
      </c>
      <c r="P122" s="17">
        <v>15</v>
      </c>
      <c r="Q122" s="17">
        <f t="shared" ref="Q122:Q126" si="24">O122*P122</f>
        <v>225</v>
      </c>
      <c r="R122" s="236"/>
      <c r="S122" s="236"/>
      <c r="T122" s="236"/>
      <c r="U122" s="242"/>
    </row>
    <row r="123" spans="1:21" ht="14">
      <c r="A123" s="249"/>
      <c r="B123" s="245"/>
      <c r="C123" s="45" t="s">
        <v>140</v>
      </c>
      <c r="D123" s="17">
        <v>3</v>
      </c>
      <c r="E123" s="17">
        <v>15</v>
      </c>
      <c r="F123" s="17">
        <f t="shared" si="23"/>
        <v>45</v>
      </c>
      <c r="G123" s="236"/>
      <c r="H123" s="236"/>
      <c r="I123" s="236"/>
      <c r="J123" s="242"/>
      <c r="L123" s="249"/>
      <c r="M123" s="245"/>
      <c r="N123" s="45" t="s">
        <v>140</v>
      </c>
      <c r="O123" s="17">
        <v>3</v>
      </c>
      <c r="P123" s="17">
        <v>15</v>
      </c>
      <c r="Q123" s="17">
        <f t="shared" si="24"/>
        <v>45</v>
      </c>
      <c r="R123" s="236"/>
      <c r="S123" s="236"/>
      <c r="T123" s="236"/>
      <c r="U123" s="242"/>
    </row>
    <row r="124" spans="1:21" ht="14">
      <c r="A124" s="249"/>
      <c r="B124" s="245"/>
      <c r="C124" s="45" t="s">
        <v>70</v>
      </c>
      <c r="D124" s="17">
        <v>11.56</v>
      </c>
      <c r="E124" s="17">
        <v>13</v>
      </c>
      <c r="F124" s="17">
        <f t="shared" si="23"/>
        <v>150.28</v>
      </c>
      <c r="G124" s="236"/>
      <c r="H124" s="236"/>
      <c r="I124" s="236"/>
      <c r="J124" s="242"/>
      <c r="L124" s="249"/>
      <c r="M124" s="245"/>
      <c r="N124" s="45" t="s">
        <v>70</v>
      </c>
      <c r="O124" s="17">
        <v>11.56</v>
      </c>
      <c r="P124" s="17">
        <v>13</v>
      </c>
      <c r="Q124" s="17">
        <f t="shared" si="24"/>
        <v>150.28</v>
      </c>
      <c r="R124" s="236"/>
      <c r="S124" s="236"/>
      <c r="T124" s="236"/>
      <c r="U124" s="242"/>
    </row>
    <row r="125" spans="1:21" ht="14">
      <c r="A125" s="249"/>
      <c r="B125" s="245"/>
      <c r="C125" s="45" t="s">
        <v>32</v>
      </c>
      <c r="D125" s="17">
        <v>15.37</v>
      </c>
      <c r="E125" s="17">
        <v>13</v>
      </c>
      <c r="F125" s="17">
        <f t="shared" si="23"/>
        <v>199.81</v>
      </c>
      <c r="G125" s="236"/>
      <c r="H125" s="236"/>
      <c r="I125" s="236"/>
      <c r="J125" s="242"/>
      <c r="L125" s="249"/>
      <c r="M125" s="245"/>
      <c r="N125" s="45" t="s">
        <v>32</v>
      </c>
      <c r="O125" s="17">
        <v>15.37</v>
      </c>
      <c r="P125" s="17">
        <v>13</v>
      </c>
      <c r="Q125" s="17">
        <f t="shared" si="24"/>
        <v>199.81</v>
      </c>
      <c r="R125" s="236"/>
      <c r="S125" s="236"/>
      <c r="T125" s="236"/>
      <c r="U125" s="242"/>
    </row>
    <row r="126" spans="1:21" ht="14">
      <c r="A126" s="249"/>
      <c r="B126" s="245"/>
      <c r="C126" s="45" t="s">
        <v>53</v>
      </c>
      <c r="D126" s="17">
        <v>12.14</v>
      </c>
      <c r="E126" s="17">
        <v>13</v>
      </c>
      <c r="F126" s="17">
        <f t="shared" si="23"/>
        <v>157.82</v>
      </c>
      <c r="G126" s="236"/>
      <c r="H126" s="236"/>
      <c r="I126" s="236"/>
      <c r="J126" s="242"/>
      <c r="L126" s="249"/>
      <c r="M126" s="245"/>
      <c r="N126" s="45" t="s">
        <v>53</v>
      </c>
      <c r="O126" s="17">
        <v>12.14</v>
      </c>
      <c r="P126" s="17">
        <v>13</v>
      </c>
      <c r="Q126" s="17">
        <f t="shared" si="24"/>
        <v>157.82</v>
      </c>
      <c r="R126" s="236"/>
      <c r="S126" s="236"/>
      <c r="T126" s="236"/>
      <c r="U126" s="242"/>
    </row>
    <row r="127" spans="1:21" ht="13">
      <c r="A127" s="249"/>
      <c r="B127" s="246"/>
      <c r="C127" s="44"/>
      <c r="D127" s="21"/>
      <c r="E127" s="21"/>
      <c r="F127" s="21"/>
      <c r="G127" s="238"/>
      <c r="H127" s="238"/>
      <c r="I127" s="238"/>
      <c r="J127" s="243"/>
      <c r="L127" s="249"/>
      <c r="M127" s="246"/>
      <c r="N127" s="44"/>
      <c r="O127" s="21"/>
      <c r="P127" s="21"/>
      <c r="Q127" s="21"/>
      <c r="R127" s="238"/>
      <c r="S127" s="238"/>
      <c r="T127" s="238"/>
      <c r="U127" s="243"/>
    </row>
    <row r="128" spans="1:21" ht="13">
      <c r="A128" s="249"/>
      <c r="B128" s="244" t="s">
        <v>149</v>
      </c>
      <c r="C128" s="19" t="s">
        <v>114</v>
      </c>
      <c r="D128" s="16">
        <v>21</v>
      </c>
      <c r="E128" s="16">
        <v>18</v>
      </c>
      <c r="F128" s="17">
        <f t="shared" ref="F128:F132" si="25">D128*E128</f>
        <v>378</v>
      </c>
      <c r="G128" s="240">
        <f>SUM(F128:F136)</f>
        <v>1227.79</v>
      </c>
      <c r="H128" s="237">
        <v>2540</v>
      </c>
      <c r="I128" s="237">
        <f>H128-G128</f>
        <v>1312.21</v>
      </c>
      <c r="J128" s="241">
        <f>I128/H128</f>
        <v>0.51661811023622051</v>
      </c>
      <c r="L128" s="249"/>
      <c r="M128" s="244" t="s">
        <v>149</v>
      </c>
      <c r="N128" s="19" t="s">
        <v>114</v>
      </c>
      <c r="O128" s="18"/>
      <c r="P128" s="18"/>
      <c r="Q128" s="18"/>
      <c r="R128" s="240">
        <f>SUM(Q128:Q136)</f>
        <v>849.79000000000008</v>
      </c>
      <c r="S128" s="237">
        <v>2540</v>
      </c>
      <c r="T128" s="237">
        <f>S128-R128</f>
        <v>1690.21</v>
      </c>
      <c r="U128" s="241">
        <f>T128/S128</f>
        <v>0.66543700787401572</v>
      </c>
    </row>
    <row r="129" spans="1:21" ht="13">
      <c r="A129" s="249"/>
      <c r="B129" s="245"/>
      <c r="C129" s="19" t="s">
        <v>150</v>
      </c>
      <c r="D129" s="17">
        <v>6</v>
      </c>
      <c r="E129" s="17">
        <v>15</v>
      </c>
      <c r="F129" s="17">
        <f t="shared" si="25"/>
        <v>90</v>
      </c>
      <c r="G129" s="236"/>
      <c r="H129" s="236"/>
      <c r="I129" s="236"/>
      <c r="J129" s="242"/>
      <c r="L129" s="249"/>
      <c r="M129" s="245"/>
      <c r="N129" s="19" t="s">
        <v>150</v>
      </c>
      <c r="O129" s="17">
        <v>6</v>
      </c>
      <c r="P129" s="17">
        <v>15</v>
      </c>
      <c r="Q129" s="17">
        <f t="shared" ref="Q129:Q132" si="26">O129*P129</f>
        <v>90</v>
      </c>
      <c r="R129" s="236"/>
      <c r="S129" s="236"/>
      <c r="T129" s="236"/>
      <c r="U129" s="242"/>
    </row>
    <row r="130" spans="1:21" ht="14">
      <c r="A130" s="249"/>
      <c r="B130" s="245"/>
      <c r="C130" s="45" t="s">
        <v>151</v>
      </c>
      <c r="D130" s="17">
        <v>12</v>
      </c>
      <c r="E130" s="17">
        <v>15</v>
      </c>
      <c r="F130" s="17">
        <f t="shared" si="25"/>
        <v>180</v>
      </c>
      <c r="G130" s="236"/>
      <c r="H130" s="236"/>
      <c r="I130" s="236"/>
      <c r="J130" s="242"/>
      <c r="L130" s="249"/>
      <c r="M130" s="245"/>
      <c r="N130" s="45" t="s">
        <v>151</v>
      </c>
      <c r="O130" s="17">
        <v>12</v>
      </c>
      <c r="P130" s="17">
        <v>15</v>
      </c>
      <c r="Q130" s="17">
        <f t="shared" si="26"/>
        <v>180</v>
      </c>
      <c r="R130" s="236"/>
      <c r="S130" s="236"/>
      <c r="T130" s="236"/>
      <c r="U130" s="242"/>
    </row>
    <row r="131" spans="1:21" ht="14">
      <c r="A131" s="249"/>
      <c r="B131" s="245"/>
      <c r="C131" s="45" t="s">
        <v>118</v>
      </c>
      <c r="D131" s="17">
        <v>6</v>
      </c>
      <c r="E131" s="17">
        <v>15</v>
      </c>
      <c r="F131" s="17">
        <f t="shared" si="25"/>
        <v>90</v>
      </c>
      <c r="G131" s="236"/>
      <c r="H131" s="236"/>
      <c r="I131" s="236"/>
      <c r="J131" s="242"/>
      <c r="L131" s="249"/>
      <c r="M131" s="245"/>
      <c r="N131" s="45" t="s">
        <v>118</v>
      </c>
      <c r="O131" s="17">
        <v>6</v>
      </c>
      <c r="P131" s="17">
        <v>15</v>
      </c>
      <c r="Q131" s="17">
        <f t="shared" si="26"/>
        <v>90</v>
      </c>
      <c r="R131" s="236"/>
      <c r="S131" s="236"/>
      <c r="T131" s="236"/>
      <c r="U131" s="242"/>
    </row>
    <row r="132" spans="1:21" ht="14">
      <c r="A132" s="249"/>
      <c r="B132" s="245"/>
      <c r="C132" s="45" t="s">
        <v>152</v>
      </c>
      <c r="D132" s="17">
        <v>6</v>
      </c>
      <c r="E132" s="17">
        <v>15</v>
      </c>
      <c r="F132" s="17">
        <f t="shared" si="25"/>
        <v>90</v>
      </c>
      <c r="G132" s="236"/>
      <c r="H132" s="236"/>
      <c r="I132" s="236"/>
      <c r="J132" s="242"/>
      <c r="L132" s="249"/>
      <c r="M132" s="245"/>
      <c r="N132" s="45" t="s">
        <v>152</v>
      </c>
      <c r="O132" s="17">
        <v>6</v>
      </c>
      <c r="P132" s="17">
        <v>15</v>
      </c>
      <c r="Q132" s="17">
        <f t="shared" si="26"/>
        <v>90</v>
      </c>
      <c r="R132" s="236"/>
      <c r="S132" s="236"/>
      <c r="T132" s="236"/>
      <c r="U132" s="242"/>
    </row>
    <row r="133" spans="1:21" ht="14">
      <c r="A133" s="249"/>
      <c r="B133" s="245"/>
      <c r="C133" s="45" t="s">
        <v>45</v>
      </c>
      <c r="D133" s="17"/>
      <c r="E133" s="17"/>
      <c r="F133" s="17">
        <v>146.19999999999999</v>
      </c>
      <c r="G133" s="236"/>
      <c r="H133" s="236"/>
      <c r="I133" s="236"/>
      <c r="J133" s="242"/>
      <c r="L133" s="249"/>
      <c r="M133" s="245"/>
      <c r="N133" s="45" t="s">
        <v>45</v>
      </c>
      <c r="O133" s="17"/>
      <c r="P133" s="17"/>
      <c r="Q133" s="17">
        <v>146.19999999999999</v>
      </c>
      <c r="R133" s="236"/>
      <c r="S133" s="236"/>
      <c r="T133" s="236"/>
      <c r="U133" s="242"/>
    </row>
    <row r="134" spans="1:21" ht="13">
      <c r="A134" s="249"/>
      <c r="B134" s="245"/>
      <c r="C134" s="24" t="s">
        <v>47</v>
      </c>
      <c r="D134" s="17"/>
      <c r="E134" s="17"/>
      <c r="F134" s="17">
        <v>111.09</v>
      </c>
      <c r="G134" s="236"/>
      <c r="H134" s="236"/>
      <c r="I134" s="236"/>
      <c r="J134" s="242"/>
      <c r="L134" s="249"/>
      <c r="M134" s="245"/>
      <c r="N134" s="24" t="s">
        <v>47</v>
      </c>
      <c r="O134" s="17"/>
      <c r="P134" s="17"/>
      <c r="Q134" s="17">
        <v>111.09</v>
      </c>
      <c r="R134" s="236"/>
      <c r="S134" s="236"/>
      <c r="T134" s="236"/>
      <c r="U134" s="242"/>
    </row>
    <row r="135" spans="1:21" ht="13">
      <c r="A135" s="249"/>
      <c r="B135" s="245"/>
      <c r="C135" s="24" t="s">
        <v>153</v>
      </c>
      <c r="D135" s="17"/>
      <c r="E135" s="17"/>
      <c r="F135" s="17">
        <v>106.5</v>
      </c>
      <c r="G135" s="236"/>
      <c r="H135" s="236"/>
      <c r="I135" s="236"/>
      <c r="J135" s="242"/>
      <c r="L135" s="249"/>
      <c r="M135" s="245"/>
      <c r="N135" s="24" t="s">
        <v>153</v>
      </c>
      <c r="O135" s="17"/>
      <c r="P135" s="17"/>
      <c r="Q135" s="17">
        <v>106.5</v>
      </c>
      <c r="R135" s="236"/>
      <c r="S135" s="236"/>
      <c r="T135" s="236"/>
      <c r="U135" s="242"/>
    </row>
    <row r="136" spans="1:21" ht="13">
      <c r="A136" s="249"/>
      <c r="B136" s="246"/>
      <c r="C136" s="44" t="s">
        <v>44</v>
      </c>
      <c r="D136" s="21"/>
      <c r="E136" s="21"/>
      <c r="F136" s="21">
        <v>36</v>
      </c>
      <c r="G136" s="238"/>
      <c r="H136" s="238"/>
      <c r="I136" s="238"/>
      <c r="J136" s="243"/>
      <c r="L136" s="249"/>
      <c r="M136" s="246"/>
      <c r="N136" s="44" t="s">
        <v>44</v>
      </c>
      <c r="O136" s="21"/>
      <c r="P136" s="21"/>
      <c r="Q136" s="21">
        <v>36</v>
      </c>
      <c r="R136" s="238"/>
      <c r="S136" s="238"/>
      <c r="T136" s="238"/>
      <c r="U136" s="243"/>
    </row>
    <row r="137" spans="1:21" ht="13">
      <c r="A137" s="249"/>
      <c r="B137" s="244" t="s">
        <v>585</v>
      </c>
      <c r="C137" s="64" t="s">
        <v>23</v>
      </c>
      <c r="D137" s="50">
        <v>14</v>
      </c>
      <c r="E137" s="50">
        <v>16</v>
      </c>
      <c r="F137" s="65">
        <f t="shared" ref="F137:F147" si="27">D137*E137</f>
        <v>224</v>
      </c>
      <c r="G137" s="240">
        <f>SUM(F137:F153)</f>
        <v>5077.46</v>
      </c>
      <c r="H137" s="240">
        <v>7000</v>
      </c>
      <c r="I137" s="240">
        <f>H137-G137</f>
        <v>1922.54</v>
      </c>
      <c r="J137" s="241">
        <f>I137/H137</f>
        <v>0.27464857142857141</v>
      </c>
      <c r="L137" s="249"/>
      <c r="M137" s="244" t="s">
        <v>585</v>
      </c>
      <c r="N137" s="64" t="s">
        <v>23</v>
      </c>
      <c r="O137" s="43"/>
      <c r="P137" s="43"/>
      <c r="Q137" s="43"/>
      <c r="R137" s="240">
        <f>SUM(Q137:Q153)</f>
        <v>4853.46</v>
      </c>
      <c r="S137" s="240">
        <v>7000</v>
      </c>
      <c r="T137" s="240">
        <f>S137-R137</f>
        <v>2146.54</v>
      </c>
      <c r="U137" s="241">
        <f>T137/S137</f>
        <v>0.30664857142857144</v>
      </c>
    </row>
    <row r="138" spans="1:21" ht="13">
      <c r="A138" s="249"/>
      <c r="B138" s="245"/>
      <c r="C138" s="22" t="s">
        <v>575</v>
      </c>
      <c r="D138" s="23">
        <v>10</v>
      </c>
      <c r="E138" s="23">
        <v>17</v>
      </c>
      <c r="F138" s="23">
        <f t="shared" si="27"/>
        <v>170</v>
      </c>
      <c r="G138" s="236"/>
      <c r="H138" s="236"/>
      <c r="I138" s="236"/>
      <c r="J138" s="242"/>
      <c r="L138" s="249"/>
      <c r="M138" s="245"/>
      <c r="N138" s="22" t="s">
        <v>575</v>
      </c>
      <c r="O138" s="23">
        <v>10</v>
      </c>
      <c r="P138" s="23">
        <v>17</v>
      </c>
      <c r="Q138" s="23">
        <f t="shared" ref="Q138:Q147" si="28">O138*P138</f>
        <v>170</v>
      </c>
      <c r="R138" s="236"/>
      <c r="S138" s="236"/>
      <c r="T138" s="236"/>
      <c r="U138" s="242"/>
    </row>
    <row r="139" spans="1:21" ht="13">
      <c r="A139" s="249"/>
      <c r="B139" s="245"/>
      <c r="C139" s="22" t="s">
        <v>63</v>
      </c>
      <c r="D139" s="23">
        <v>26</v>
      </c>
      <c r="E139" s="23">
        <v>17</v>
      </c>
      <c r="F139" s="23">
        <f t="shared" si="27"/>
        <v>442</v>
      </c>
      <c r="G139" s="236"/>
      <c r="H139" s="236"/>
      <c r="I139" s="236"/>
      <c r="J139" s="242"/>
      <c r="L139" s="249"/>
      <c r="M139" s="245"/>
      <c r="N139" s="22" t="s">
        <v>63</v>
      </c>
      <c r="O139" s="23">
        <v>26</v>
      </c>
      <c r="P139" s="23">
        <v>17</v>
      </c>
      <c r="Q139" s="23">
        <f t="shared" si="28"/>
        <v>442</v>
      </c>
      <c r="R139" s="236"/>
      <c r="S139" s="236"/>
      <c r="T139" s="236"/>
      <c r="U139" s="242"/>
    </row>
    <row r="140" spans="1:21" ht="13">
      <c r="A140" s="249"/>
      <c r="B140" s="245"/>
      <c r="C140" s="22" t="s">
        <v>586</v>
      </c>
      <c r="D140" s="23">
        <v>24.66</v>
      </c>
      <c r="E140" s="23">
        <v>17</v>
      </c>
      <c r="F140" s="23">
        <f t="shared" si="27"/>
        <v>419.22</v>
      </c>
      <c r="G140" s="236"/>
      <c r="H140" s="236"/>
      <c r="I140" s="236"/>
      <c r="J140" s="242"/>
      <c r="L140" s="249"/>
      <c r="M140" s="245"/>
      <c r="N140" s="22" t="s">
        <v>586</v>
      </c>
      <c r="O140" s="23">
        <v>24.66</v>
      </c>
      <c r="P140" s="23">
        <v>17</v>
      </c>
      <c r="Q140" s="23">
        <f t="shared" si="28"/>
        <v>419.22</v>
      </c>
      <c r="R140" s="236"/>
      <c r="S140" s="236"/>
      <c r="T140" s="236"/>
      <c r="U140" s="242"/>
    </row>
    <row r="141" spans="1:21" ht="13">
      <c r="A141" s="249"/>
      <c r="B141" s="245"/>
      <c r="C141" s="22" t="s">
        <v>32</v>
      </c>
      <c r="D141" s="23">
        <v>23.8</v>
      </c>
      <c r="E141" s="23">
        <v>17</v>
      </c>
      <c r="F141" s="23">
        <f t="shared" si="27"/>
        <v>404.6</v>
      </c>
      <c r="G141" s="236"/>
      <c r="H141" s="236"/>
      <c r="I141" s="236"/>
      <c r="J141" s="242"/>
      <c r="L141" s="249"/>
      <c r="M141" s="245"/>
      <c r="N141" s="22" t="s">
        <v>32</v>
      </c>
      <c r="O141" s="23">
        <v>23.8</v>
      </c>
      <c r="P141" s="23">
        <v>17</v>
      </c>
      <c r="Q141" s="23">
        <f t="shared" si="28"/>
        <v>404.6</v>
      </c>
      <c r="R141" s="236"/>
      <c r="S141" s="236"/>
      <c r="T141" s="236"/>
      <c r="U141" s="242"/>
    </row>
    <row r="142" spans="1:21" ht="13">
      <c r="A142" s="249"/>
      <c r="B142" s="245"/>
      <c r="C142" s="22" t="s">
        <v>62</v>
      </c>
      <c r="D142" s="23">
        <v>25.85</v>
      </c>
      <c r="E142" s="23">
        <v>17</v>
      </c>
      <c r="F142" s="23">
        <f t="shared" si="27"/>
        <v>439.45000000000005</v>
      </c>
      <c r="G142" s="236"/>
      <c r="H142" s="236"/>
      <c r="I142" s="236"/>
      <c r="J142" s="242"/>
      <c r="L142" s="249"/>
      <c r="M142" s="245"/>
      <c r="N142" s="22" t="s">
        <v>62</v>
      </c>
      <c r="O142" s="23">
        <v>25.85</v>
      </c>
      <c r="P142" s="23">
        <v>17</v>
      </c>
      <c r="Q142" s="23">
        <f t="shared" si="28"/>
        <v>439.45000000000005</v>
      </c>
      <c r="R142" s="236"/>
      <c r="S142" s="236"/>
      <c r="T142" s="236"/>
      <c r="U142" s="242"/>
    </row>
    <row r="143" spans="1:21" ht="13">
      <c r="A143" s="249"/>
      <c r="B143" s="245"/>
      <c r="C143" s="22" t="s">
        <v>587</v>
      </c>
      <c r="D143" s="23">
        <v>10.5</v>
      </c>
      <c r="E143" s="23">
        <v>17</v>
      </c>
      <c r="F143" s="23">
        <f t="shared" si="27"/>
        <v>178.5</v>
      </c>
      <c r="G143" s="236"/>
      <c r="H143" s="236"/>
      <c r="I143" s="236"/>
      <c r="J143" s="242"/>
      <c r="L143" s="249"/>
      <c r="M143" s="245"/>
      <c r="N143" s="22" t="s">
        <v>587</v>
      </c>
      <c r="O143" s="23">
        <v>10.5</v>
      </c>
      <c r="P143" s="23">
        <v>17</v>
      </c>
      <c r="Q143" s="23">
        <f t="shared" si="28"/>
        <v>178.5</v>
      </c>
      <c r="R143" s="236"/>
      <c r="S143" s="236"/>
      <c r="T143" s="236"/>
      <c r="U143" s="242"/>
    </row>
    <row r="144" spans="1:21" ht="13">
      <c r="A144" s="249"/>
      <c r="B144" s="245"/>
      <c r="C144" s="22" t="s">
        <v>588</v>
      </c>
      <c r="D144" s="23">
        <v>21.55</v>
      </c>
      <c r="E144" s="23">
        <v>15</v>
      </c>
      <c r="F144" s="23">
        <f t="shared" si="27"/>
        <v>323.25</v>
      </c>
      <c r="G144" s="236"/>
      <c r="H144" s="236"/>
      <c r="I144" s="236"/>
      <c r="J144" s="242"/>
      <c r="L144" s="249"/>
      <c r="M144" s="245"/>
      <c r="N144" s="22" t="s">
        <v>588</v>
      </c>
      <c r="O144" s="23">
        <v>21.55</v>
      </c>
      <c r="P144" s="23">
        <v>15</v>
      </c>
      <c r="Q144" s="23">
        <f t="shared" si="28"/>
        <v>323.25</v>
      </c>
      <c r="R144" s="236"/>
      <c r="S144" s="236"/>
      <c r="T144" s="236"/>
      <c r="U144" s="242"/>
    </row>
    <row r="145" spans="1:21" ht="13">
      <c r="A145" s="249"/>
      <c r="B145" s="245"/>
      <c r="C145" s="22" t="s">
        <v>578</v>
      </c>
      <c r="D145" s="23">
        <v>23.8</v>
      </c>
      <c r="E145" s="23">
        <v>15</v>
      </c>
      <c r="F145" s="23">
        <f t="shared" si="27"/>
        <v>357</v>
      </c>
      <c r="G145" s="236"/>
      <c r="H145" s="236"/>
      <c r="I145" s="236"/>
      <c r="J145" s="242"/>
      <c r="L145" s="249"/>
      <c r="M145" s="245"/>
      <c r="N145" s="22" t="s">
        <v>578</v>
      </c>
      <c r="O145" s="23">
        <v>23.8</v>
      </c>
      <c r="P145" s="23">
        <v>15</v>
      </c>
      <c r="Q145" s="23">
        <f t="shared" si="28"/>
        <v>357</v>
      </c>
      <c r="R145" s="236"/>
      <c r="S145" s="236"/>
      <c r="T145" s="236"/>
      <c r="U145" s="242"/>
    </row>
    <row r="146" spans="1:21" ht="13">
      <c r="A146" s="249"/>
      <c r="B146" s="245"/>
      <c r="C146" s="22" t="s">
        <v>589</v>
      </c>
      <c r="D146" s="23">
        <v>16.88</v>
      </c>
      <c r="E146" s="23">
        <v>15</v>
      </c>
      <c r="F146" s="23">
        <f t="shared" si="27"/>
        <v>253.2</v>
      </c>
      <c r="G146" s="236"/>
      <c r="H146" s="236"/>
      <c r="I146" s="236"/>
      <c r="J146" s="242"/>
      <c r="L146" s="249"/>
      <c r="M146" s="245"/>
      <c r="N146" s="22" t="s">
        <v>589</v>
      </c>
      <c r="O146" s="23">
        <v>16.88</v>
      </c>
      <c r="P146" s="23">
        <v>15</v>
      </c>
      <c r="Q146" s="23">
        <f t="shared" si="28"/>
        <v>253.2</v>
      </c>
      <c r="R146" s="236"/>
      <c r="S146" s="236"/>
      <c r="T146" s="236"/>
      <c r="U146" s="242"/>
    </row>
    <row r="147" spans="1:21" ht="13">
      <c r="A147" s="249"/>
      <c r="B147" s="245"/>
      <c r="C147" s="22" t="s">
        <v>580</v>
      </c>
      <c r="D147" s="23">
        <v>13.13</v>
      </c>
      <c r="E147" s="23">
        <v>15</v>
      </c>
      <c r="F147" s="23">
        <f t="shared" si="27"/>
        <v>196.95000000000002</v>
      </c>
      <c r="G147" s="236"/>
      <c r="H147" s="236"/>
      <c r="I147" s="236"/>
      <c r="J147" s="242"/>
      <c r="L147" s="249"/>
      <c r="M147" s="245"/>
      <c r="N147" s="22" t="s">
        <v>580</v>
      </c>
      <c r="O147" s="23">
        <v>13.13</v>
      </c>
      <c r="P147" s="23">
        <v>15</v>
      </c>
      <c r="Q147" s="23">
        <f t="shared" si="28"/>
        <v>196.95000000000002</v>
      </c>
      <c r="R147" s="236"/>
      <c r="S147" s="236"/>
      <c r="T147" s="236"/>
      <c r="U147" s="242"/>
    </row>
    <row r="148" spans="1:21" ht="13">
      <c r="A148" s="249"/>
      <c r="B148" s="245"/>
      <c r="C148" s="22" t="s">
        <v>48</v>
      </c>
      <c r="D148" s="23"/>
      <c r="E148" s="23"/>
      <c r="F148" s="23">
        <v>177.93</v>
      </c>
      <c r="G148" s="236"/>
      <c r="H148" s="236"/>
      <c r="I148" s="236"/>
      <c r="J148" s="242"/>
      <c r="L148" s="249"/>
      <c r="M148" s="245"/>
      <c r="N148" s="22" t="s">
        <v>48</v>
      </c>
      <c r="O148" s="23"/>
      <c r="P148" s="23"/>
      <c r="Q148" s="23">
        <v>177.93</v>
      </c>
      <c r="R148" s="236"/>
      <c r="S148" s="236"/>
      <c r="T148" s="236"/>
      <c r="U148" s="242"/>
    </row>
    <row r="149" spans="1:21" ht="13">
      <c r="A149" s="249"/>
      <c r="B149" s="245"/>
      <c r="C149" s="22" t="s">
        <v>193</v>
      </c>
      <c r="D149" s="23"/>
      <c r="E149" s="23"/>
      <c r="F149" s="23">
        <v>120.4</v>
      </c>
      <c r="G149" s="236"/>
      <c r="H149" s="236"/>
      <c r="I149" s="236"/>
      <c r="J149" s="242"/>
      <c r="L149" s="249"/>
      <c r="M149" s="245"/>
      <c r="N149" s="22" t="s">
        <v>193</v>
      </c>
      <c r="O149" s="23"/>
      <c r="P149" s="23"/>
      <c r="Q149" s="23">
        <v>120.4</v>
      </c>
      <c r="R149" s="236"/>
      <c r="S149" s="236"/>
      <c r="T149" s="236"/>
      <c r="U149" s="242"/>
    </row>
    <row r="150" spans="1:21" ht="13">
      <c r="A150" s="249"/>
      <c r="B150" s="245"/>
      <c r="C150" s="22" t="s">
        <v>45</v>
      </c>
      <c r="D150" s="23"/>
      <c r="E150" s="23"/>
      <c r="F150" s="23">
        <v>316.27</v>
      </c>
      <c r="G150" s="236"/>
      <c r="H150" s="236"/>
      <c r="I150" s="236"/>
      <c r="J150" s="242"/>
      <c r="L150" s="249"/>
      <c r="M150" s="245"/>
      <c r="N150" s="22" t="s">
        <v>45</v>
      </c>
      <c r="O150" s="23"/>
      <c r="P150" s="23"/>
      <c r="Q150" s="23">
        <v>316.27</v>
      </c>
      <c r="R150" s="236"/>
      <c r="S150" s="236"/>
      <c r="T150" s="236"/>
      <c r="U150" s="242"/>
    </row>
    <row r="151" spans="1:21" ht="13">
      <c r="A151" s="249"/>
      <c r="B151" s="245"/>
      <c r="C151" s="22" t="s">
        <v>47</v>
      </c>
      <c r="D151" s="23"/>
      <c r="E151" s="23"/>
      <c r="F151" s="23">
        <v>327.17</v>
      </c>
      <c r="G151" s="236"/>
      <c r="H151" s="236"/>
      <c r="I151" s="236"/>
      <c r="J151" s="242"/>
      <c r="L151" s="249"/>
      <c r="M151" s="245"/>
      <c r="N151" s="22" t="s">
        <v>47</v>
      </c>
      <c r="O151" s="23"/>
      <c r="P151" s="23"/>
      <c r="Q151" s="23">
        <v>327.17</v>
      </c>
      <c r="R151" s="236"/>
      <c r="S151" s="236"/>
      <c r="T151" s="236"/>
      <c r="U151" s="242"/>
    </row>
    <row r="152" spans="1:21" ht="13">
      <c r="A152" s="249"/>
      <c r="B152" s="245"/>
      <c r="C152" s="22" t="s">
        <v>356</v>
      </c>
      <c r="D152" s="23"/>
      <c r="E152" s="23"/>
      <c r="F152" s="23">
        <v>162.52000000000001</v>
      </c>
      <c r="G152" s="236"/>
      <c r="H152" s="236"/>
      <c r="I152" s="236"/>
      <c r="J152" s="242"/>
      <c r="L152" s="249"/>
      <c r="M152" s="245"/>
      <c r="N152" s="22" t="s">
        <v>356</v>
      </c>
      <c r="O152" s="23"/>
      <c r="P152" s="23"/>
      <c r="Q152" s="23">
        <v>162.52000000000001</v>
      </c>
      <c r="R152" s="236"/>
      <c r="S152" s="236"/>
      <c r="T152" s="236"/>
      <c r="U152" s="242"/>
    </row>
    <row r="153" spans="1:21" ht="13">
      <c r="A153" s="249"/>
      <c r="B153" s="246"/>
      <c r="C153" s="25" t="s">
        <v>155</v>
      </c>
      <c r="D153" s="26"/>
      <c r="E153" s="26"/>
      <c r="F153" s="26">
        <v>565</v>
      </c>
      <c r="G153" s="238"/>
      <c r="H153" s="238"/>
      <c r="I153" s="238"/>
      <c r="J153" s="243"/>
      <c r="L153" s="249"/>
      <c r="M153" s="246"/>
      <c r="N153" s="25" t="s">
        <v>155</v>
      </c>
      <c r="O153" s="26"/>
      <c r="P153" s="26"/>
      <c r="Q153" s="26">
        <v>565</v>
      </c>
      <c r="R153" s="238"/>
      <c r="S153" s="238"/>
      <c r="T153" s="238"/>
      <c r="U153" s="243"/>
    </row>
    <row r="154" spans="1:21" ht="13">
      <c r="A154" s="249"/>
      <c r="B154" s="289" t="s">
        <v>582</v>
      </c>
      <c r="C154" s="77" t="s">
        <v>23</v>
      </c>
      <c r="D154" s="71">
        <v>21</v>
      </c>
      <c r="E154" s="71">
        <v>16</v>
      </c>
      <c r="F154" s="71">
        <f>D154*E154</f>
        <v>336</v>
      </c>
      <c r="G154" s="240">
        <f>SUM(F154:F155)</f>
        <v>336</v>
      </c>
      <c r="H154" s="240">
        <v>735</v>
      </c>
      <c r="I154" s="240">
        <f>H154-G154</f>
        <v>399</v>
      </c>
      <c r="J154" s="241">
        <f>I154/H154</f>
        <v>0.54285714285714282</v>
      </c>
      <c r="L154" s="249"/>
      <c r="M154" s="289" t="s">
        <v>582</v>
      </c>
      <c r="N154" s="77" t="s">
        <v>23</v>
      </c>
      <c r="O154" s="43"/>
      <c r="P154" s="43"/>
      <c r="Q154" s="43"/>
      <c r="R154" s="240">
        <f>SUM(Q154:Q155)</f>
        <v>0</v>
      </c>
      <c r="S154" s="240">
        <v>735</v>
      </c>
      <c r="T154" s="240">
        <f>S154-R154</f>
        <v>735</v>
      </c>
      <c r="U154" s="241">
        <f>T154/S154</f>
        <v>1</v>
      </c>
    </row>
    <row r="155" spans="1:21" ht="13">
      <c r="A155" s="249"/>
      <c r="B155" s="246"/>
      <c r="C155" s="20"/>
      <c r="D155" s="20"/>
      <c r="E155" s="20"/>
      <c r="F155" s="21"/>
      <c r="G155" s="238"/>
      <c r="H155" s="238"/>
      <c r="I155" s="238"/>
      <c r="J155" s="243"/>
      <c r="L155" s="249"/>
      <c r="M155" s="246"/>
      <c r="N155" s="20"/>
      <c r="O155" s="20"/>
      <c r="P155" s="20"/>
      <c r="Q155" s="21"/>
      <c r="R155" s="238"/>
      <c r="S155" s="238"/>
      <c r="T155" s="238"/>
      <c r="U155" s="243"/>
    </row>
    <row r="156" spans="1:21" ht="13">
      <c r="A156" s="249"/>
      <c r="B156" s="244" t="s">
        <v>590</v>
      </c>
      <c r="C156" s="15" t="s">
        <v>114</v>
      </c>
      <c r="D156" s="16">
        <v>21</v>
      </c>
      <c r="E156" s="16">
        <v>18</v>
      </c>
      <c r="F156" s="17">
        <f t="shared" ref="F156:F162" si="29">D156*E156</f>
        <v>378</v>
      </c>
      <c r="G156" s="240">
        <f>SUM(F156:F164)</f>
        <v>1648.5499999999997</v>
      </c>
      <c r="H156" s="237">
        <v>1428</v>
      </c>
      <c r="I156" s="237">
        <f>H156-G156</f>
        <v>-220.54999999999973</v>
      </c>
      <c r="J156" s="241">
        <f>I156/H156</f>
        <v>-0.15444677871148441</v>
      </c>
      <c r="L156" s="249"/>
      <c r="M156" s="244" t="s">
        <v>590</v>
      </c>
      <c r="N156" s="15" t="s">
        <v>114</v>
      </c>
      <c r="O156" s="43"/>
      <c r="P156" s="43"/>
      <c r="Q156" s="43"/>
      <c r="R156" s="240">
        <f>SUM(Q156:Q164)</f>
        <v>1270.5499999999997</v>
      </c>
      <c r="S156" s="237">
        <v>1428</v>
      </c>
      <c r="T156" s="237">
        <f>S156-R156</f>
        <v>157.45000000000027</v>
      </c>
      <c r="U156" s="241">
        <f>T156/S156</f>
        <v>0.11025910364145677</v>
      </c>
    </row>
    <row r="157" spans="1:21" ht="13">
      <c r="A157" s="249"/>
      <c r="B157" s="245"/>
      <c r="C157" s="19" t="s">
        <v>178</v>
      </c>
      <c r="D157" s="17">
        <v>21.75</v>
      </c>
      <c r="E157" s="17">
        <v>13</v>
      </c>
      <c r="F157" s="17">
        <f t="shared" si="29"/>
        <v>282.75</v>
      </c>
      <c r="G157" s="236"/>
      <c r="H157" s="236"/>
      <c r="I157" s="236"/>
      <c r="J157" s="242"/>
      <c r="L157" s="249"/>
      <c r="M157" s="245"/>
      <c r="N157" s="19" t="s">
        <v>178</v>
      </c>
      <c r="O157" s="17">
        <v>21.75</v>
      </c>
      <c r="P157" s="17">
        <v>13</v>
      </c>
      <c r="Q157" s="17">
        <f t="shared" ref="Q157:Q162" si="30">O157*P157</f>
        <v>282.75</v>
      </c>
      <c r="R157" s="236"/>
      <c r="S157" s="236"/>
      <c r="T157" s="236"/>
      <c r="U157" s="242"/>
    </row>
    <row r="158" spans="1:21" ht="13">
      <c r="A158" s="249"/>
      <c r="B158" s="245"/>
      <c r="C158" s="19" t="s">
        <v>70</v>
      </c>
      <c r="D158" s="17">
        <v>13.33</v>
      </c>
      <c r="E158" s="17">
        <v>13</v>
      </c>
      <c r="F158" s="17">
        <f t="shared" si="29"/>
        <v>173.29</v>
      </c>
      <c r="G158" s="236"/>
      <c r="H158" s="236"/>
      <c r="I158" s="236"/>
      <c r="J158" s="242"/>
      <c r="L158" s="249"/>
      <c r="M158" s="245"/>
      <c r="N158" s="19" t="s">
        <v>70</v>
      </c>
      <c r="O158" s="17">
        <v>13.33</v>
      </c>
      <c r="P158" s="17">
        <v>13</v>
      </c>
      <c r="Q158" s="17">
        <f t="shared" si="30"/>
        <v>173.29</v>
      </c>
      <c r="R158" s="236"/>
      <c r="S158" s="236"/>
      <c r="T158" s="236"/>
      <c r="U158" s="242"/>
    </row>
    <row r="159" spans="1:21" ht="13">
      <c r="A159" s="249"/>
      <c r="B159" s="245"/>
      <c r="C159" s="19" t="s">
        <v>53</v>
      </c>
      <c r="D159" s="17">
        <v>10.6</v>
      </c>
      <c r="E159" s="17">
        <v>13</v>
      </c>
      <c r="F159" s="17">
        <f t="shared" si="29"/>
        <v>137.79999999999998</v>
      </c>
      <c r="G159" s="236"/>
      <c r="H159" s="236"/>
      <c r="I159" s="236"/>
      <c r="J159" s="242"/>
      <c r="L159" s="249"/>
      <c r="M159" s="245"/>
      <c r="N159" s="19" t="s">
        <v>53</v>
      </c>
      <c r="O159" s="17">
        <v>10.6</v>
      </c>
      <c r="P159" s="17">
        <v>13</v>
      </c>
      <c r="Q159" s="17">
        <f t="shared" si="30"/>
        <v>137.79999999999998</v>
      </c>
      <c r="R159" s="236"/>
      <c r="S159" s="236"/>
      <c r="T159" s="236"/>
      <c r="U159" s="242"/>
    </row>
    <row r="160" spans="1:21" ht="13">
      <c r="A160" s="249"/>
      <c r="B160" s="245"/>
      <c r="C160" s="19" t="s">
        <v>583</v>
      </c>
      <c r="D160" s="17">
        <v>12.12</v>
      </c>
      <c r="E160" s="17">
        <v>13</v>
      </c>
      <c r="F160" s="17">
        <f t="shared" si="29"/>
        <v>157.56</v>
      </c>
      <c r="G160" s="236"/>
      <c r="H160" s="236"/>
      <c r="I160" s="236"/>
      <c r="J160" s="242"/>
      <c r="L160" s="249"/>
      <c r="M160" s="245"/>
      <c r="N160" s="19" t="s">
        <v>583</v>
      </c>
      <c r="O160" s="17">
        <v>12.12</v>
      </c>
      <c r="P160" s="17">
        <v>13</v>
      </c>
      <c r="Q160" s="17">
        <f t="shared" si="30"/>
        <v>157.56</v>
      </c>
      <c r="R160" s="236"/>
      <c r="S160" s="236"/>
      <c r="T160" s="236"/>
      <c r="U160" s="242"/>
    </row>
    <row r="161" spans="1:21" ht="13">
      <c r="A161" s="249"/>
      <c r="B161" s="245"/>
      <c r="C161" s="19" t="s">
        <v>64</v>
      </c>
      <c r="D161" s="17">
        <v>20.350000000000001</v>
      </c>
      <c r="E161" s="17">
        <v>13</v>
      </c>
      <c r="F161" s="17">
        <f t="shared" si="29"/>
        <v>264.55</v>
      </c>
      <c r="G161" s="236"/>
      <c r="H161" s="236"/>
      <c r="I161" s="236"/>
      <c r="J161" s="242"/>
      <c r="L161" s="249"/>
      <c r="M161" s="245"/>
      <c r="N161" s="19" t="s">
        <v>64</v>
      </c>
      <c r="O161" s="17">
        <v>20.350000000000001</v>
      </c>
      <c r="P161" s="17">
        <v>13</v>
      </c>
      <c r="Q161" s="17">
        <f t="shared" si="30"/>
        <v>264.55</v>
      </c>
      <c r="R161" s="236"/>
      <c r="S161" s="236"/>
      <c r="T161" s="236"/>
      <c r="U161" s="242"/>
    </row>
    <row r="162" spans="1:21" ht="13">
      <c r="A162" s="249"/>
      <c r="B162" s="245"/>
      <c r="C162" s="19" t="s">
        <v>591</v>
      </c>
      <c r="D162" s="17">
        <v>14.2</v>
      </c>
      <c r="E162" s="17">
        <v>13</v>
      </c>
      <c r="F162" s="17">
        <f t="shared" si="29"/>
        <v>184.6</v>
      </c>
      <c r="G162" s="236"/>
      <c r="H162" s="236"/>
      <c r="I162" s="236"/>
      <c r="J162" s="242"/>
      <c r="L162" s="249"/>
      <c r="M162" s="245"/>
      <c r="N162" s="19" t="s">
        <v>591</v>
      </c>
      <c r="O162" s="17">
        <v>14.2</v>
      </c>
      <c r="P162" s="17">
        <v>13</v>
      </c>
      <c r="Q162" s="17">
        <f t="shared" si="30"/>
        <v>184.6</v>
      </c>
      <c r="R162" s="236"/>
      <c r="S162" s="236"/>
      <c r="T162" s="236"/>
      <c r="U162" s="242"/>
    </row>
    <row r="163" spans="1:21" ht="13">
      <c r="A163" s="249"/>
      <c r="B163" s="245"/>
      <c r="C163" s="19" t="s">
        <v>438</v>
      </c>
      <c r="D163" s="17"/>
      <c r="E163" s="17"/>
      <c r="F163" s="17">
        <v>70</v>
      </c>
      <c r="G163" s="236"/>
      <c r="H163" s="236"/>
      <c r="I163" s="236"/>
      <c r="J163" s="242"/>
      <c r="L163" s="249"/>
      <c r="M163" s="245"/>
      <c r="N163" s="19" t="s">
        <v>438</v>
      </c>
      <c r="O163" s="17"/>
      <c r="P163" s="17"/>
      <c r="Q163" s="17">
        <v>70</v>
      </c>
      <c r="R163" s="236"/>
      <c r="S163" s="236"/>
      <c r="T163" s="236"/>
      <c r="U163" s="242"/>
    </row>
    <row r="164" spans="1:21" ht="13">
      <c r="A164" s="249"/>
      <c r="B164" s="246"/>
      <c r="C164" s="20"/>
      <c r="D164" s="21"/>
      <c r="E164" s="21"/>
      <c r="F164" s="21"/>
      <c r="G164" s="238"/>
      <c r="H164" s="238"/>
      <c r="I164" s="238"/>
      <c r="J164" s="243"/>
      <c r="L164" s="249"/>
      <c r="M164" s="246"/>
      <c r="N164" s="20"/>
      <c r="O164" s="21"/>
      <c r="P164" s="21"/>
      <c r="Q164" s="21"/>
      <c r="R164" s="238"/>
      <c r="S164" s="238"/>
      <c r="T164" s="238"/>
      <c r="U164" s="243"/>
    </row>
    <row r="165" spans="1:21" ht="13">
      <c r="A165" s="249"/>
      <c r="B165" s="244" t="s">
        <v>154</v>
      </c>
      <c r="C165" s="15" t="s">
        <v>23</v>
      </c>
      <c r="D165" s="16">
        <v>7</v>
      </c>
      <c r="E165" s="17">
        <v>16</v>
      </c>
      <c r="F165" s="17">
        <f>D165*E165</f>
        <v>112</v>
      </c>
      <c r="G165" s="240">
        <f>SUM(F165:F168)</f>
        <v>417.4</v>
      </c>
      <c r="H165" s="273">
        <v>3011</v>
      </c>
      <c r="I165" s="273">
        <f>H165-G165</f>
        <v>2593.6</v>
      </c>
      <c r="J165" s="241">
        <f>I165/H165</f>
        <v>0.8613749584855529</v>
      </c>
      <c r="L165" s="249"/>
      <c r="M165" s="244" t="s">
        <v>154</v>
      </c>
      <c r="N165" s="15" t="s">
        <v>23</v>
      </c>
      <c r="O165" s="43"/>
      <c r="P165" s="43"/>
      <c r="Q165" s="43"/>
      <c r="R165" s="240">
        <f>SUM(Q165:Q168)</f>
        <v>305.39999999999998</v>
      </c>
      <c r="S165" s="273">
        <v>3011</v>
      </c>
      <c r="T165" s="273">
        <f>S165-R165</f>
        <v>2705.6</v>
      </c>
      <c r="U165" s="241">
        <f>T165/S165</f>
        <v>0.89857190302225176</v>
      </c>
    </row>
    <row r="166" spans="1:21" ht="13">
      <c r="A166" s="249"/>
      <c r="B166" s="245"/>
      <c r="C166" s="19" t="s">
        <v>45</v>
      </c>
      <c r="D166" s="17"/>
      <c r="E166" s="17"/>
      <c r="F166" s="17">
        <v>70</v>
      </c>
      <c r="G166" s="236"/>
      <c r="H166" s="236"/>
      <c r="I166" s="236"/>
      <c r="J166" s="242"/>
      <c r="L166" s="249"/>
      <c r="M166" s="245"/>
      <c r="N166" s="19" t="s">
        <v>45</v>
      </c>
      <c r="O166" s="17"/>
      <c r="P166" s="17"/>
      <c r="Q166" s="17">
        <v>70</v>
      </c>
      <c r="R166" s="236"/>
      <c r="S166" s="236"/>
      <c r="T166" s="236"/>
      <c r="U166" s="242"/>
    </row>
    <row r="167" spans="1:21" ht="13">
      <c r="A167" s="249"/>
      <c r="B167" s="245"/>
      <c r="C167" s="19" t="s">
        <v>155</v>
      </c>
      <c r="D167" s="17"/>
      <c r="E167" s="17"/>
      <c r="F167" s="17">
        <v>235.4</v>
      </c>
      <c r="G167" s="236"/>
      <c r="H167" s="236"/>
      <c r="I167" s="236"/>
      <c r="J167" s="242"/>
      <c r="L167" s="249"/>
      <c r="M167" s="245"/>
      <c r="N167" s="19" t="s">
        <v>155</v>
      </c>
      <c r="O167" s="17"/>
      <c r="P167" s="17"/>
      <c r="Q167" s="17">
        <v>235.4</v>
      </c>
      <c r="R167" s="236"/>
      <c r="S167" s="236"/>
      <c r="T167" s="236"/>
      <c r="U167" s="242"/>
    </row>
    <row r="168" spans="1:21" ht="13">
      <c r="A168" s="249"/>
      <c r="B168" s="246"/>
      <c r="C168" s="44"/>
      <c r="D168" s="21"/>
      <c r="E168" s="21"/>
      <c r="F168" s="21"/>
      <c r="G168" s="238"/>
      <c r="H168" s="238"/>
      <c r="I168" s="238"/>
      <c r="J168" s="243"/>
      <c r="L168" s="249"/>
      <c r="M168" s="246"/>
      <c r="N168" s="44"/>
      <c r="O168" s="21"/>
      <c r="P168" s="21"/>
      <c r="Q168" s="21"/>
      <c r="R168" s="238"/>
      <c r="S168" s="238"/>
      <c r="T168" s="238"/>
      <c r="U168" s="243"/>
    </row>
    <row r="169" spans="1:21" ht="13">
      <c r="A169" s="249"/>
      <c r="B169" s="244" t="s">
        <v>156</v>
      </c>
      <c r="C169" s="19" t="s">
        <v>114</v>
      </c>
      <c r="D169" s="16">
        <v>21</v>
      </c>
      <c r="E169" s="16">
        <v>18</v>
      </c>
      <c r="F169" s="17">
        <f t="shared" ref="F169:F177" si="31">D169*E169</f>
        <v>378</v>
      </c>
      <c r="G169" s="240">
        <f>SUM(F169:F178)</f>
        <v>2864.63</v>
      </c>
      <c r="H169" s="237">
        <v>7587.78</v>
      </c>
      <c r="I169" s="237">
        <f>H169-G169</f>
        <v>4723.1499999999996</v>
      </c>
      <c r="J169" s="241">
        <f>I169/H169</f>
        <v>0.62246796823313277</v>
      </c>
      <c r="L169" s="249"/>
      <c r="M169" s="244" t="s">
        <v>156</v>
      </c>
      <c r="N169" s="19" t="s">
        <v>114</v>
      </c>
      <c r="O169" s="43"/>
      <c r="P169" s="43"/>
      <c r="Q169" s="43"/>
      <c r="R169" s="240">
        <f>SUM(Q169:Q178)</f>
        <v>2262.63</v>
      </c>
      <c r="S169" s="237">
        <v>7587.78</v>
      </c>
      <c r="T169" s="237">
        <f>S169-R169</f>
        <v>5325.15</v>
      </c>
      <c r="U169" s="241">
        <f>T169/S169</f>
        <v>0.70180606185208316</v>
      </c>
    </row>
    <row r="170" spans="1:21" ht="13">
      <c r="A170" s="249"/>
      <c r="B170" s="245"/>
      <c r="C170" s="19" t="s">
        <v>23</v>
      </c>
      <c r="D170" s="17">
        <v>14</v>
      </c>
      <c r="E170" s="17">
        <v>16</v>
      </c>
      <c r="F170" s="17">
        <f t="shared" si="31"/>
        <v>224</v>
      </c>
      <c r="G170" s="236"/>
      <c r="H170" s="236"/>
      <c r="I170" s="236"/>
      <c r="J170" s="242"/>
      <c r="L170" s="249"/>
      <c r="M170" s="245"/>
      <c r="N170" s="19" t="s">
        <v>23</v>
      </c>
      <c r="O170" s="18"/>
      <c r="P170" s="18"/>
      <c r="Q170" s="18"/>
      <c r="R170" s="236"/>
      <c r="S170" s="236"/>
      <c r="T170" s="236"/>
      <c r="U170" s="242"/>
    </row>
    <row r="171" spans="1:21" ht="14">
      <c r="A171" s="249"/>
      <c r="B171" s="245"/>
      <c r="C171" s="45" t="s">
        <v>157</v>
      </c>
      <c r="D171" s="17">
        <v>22.32</v>
      </c>
      <c r="E171" s="17">
        <v>13</v>
      </c>
      <c r="F171" s="17">
        <f t="shared" si="31"/>
        <v>290.16000000000003</v>
      </c>
      <c r="G171" s="236"/>
      <c r="H171" s="236"/>
      <c r="I171" s="236"/>
      <c r="J171" s="242"/>
      <c r="L171" s="249"/>
      <c r="M171" s="245"/>
      <c r="N171" s="45" t="s">
        <v>157</v>
      </c>
      <c r="O171" s="17">
        <v>22.32</v>
      </c>
      <c r="P171" s="17">
        <v>13</v>
      </c>
      <c r="Q171" s="17">
        <f t="shared" ref="Q171:Q177" si="32">O171*P171</f>
        <v>290.16000000000003</v>
      </c>
      <c r="R171" s="236"/>
      <c r="S171" s="236"/>
      <c r="T171" s="236"/>
      <c r="U171" s="242"/>
    </row>
    <row r="172" spans="1:21" ht="14">
      <c r="A172" s="249"/>
      <c r="B172" s="245"/>
      <c r="C172" s="45" t="s">
        <v>158</v>
      </c>
      <c r="D172" s="17">
        <v>18.84</v>
      </c>
      <c r="E172" s="17">
        <v>13</v>
      </c>
      <c r="F172" s="17">
        <f t="shared" si="31"/>
        <v>244.92</v>
      </c>
      <c r="G172" s="236"/>
      <c r="H172" s="236"/>
      <c r="I172" s="236"/>
      <c r="J172" s="242"/>
      <c r="L172" s="249"/>
      <c r="M172" s="245"/>
      <c r="N172" s="45" t="s">
        <v>158</v>
      </c>
      <c r="O172" s="17">
        <v>18.84</v>
      </c>
      <c r="P172" s="17">
        <v>13</v>
      </c>
      <c r="Q172" s="17">
        <f t="shared" si="32"/>
        <v>244.92</v>
      </c>
      <c r="R172" s="236"/>
      <c r="S172" s="236"/>
      <c r="T172" s="236"/>
      <c r="U172" s="242"/>
    </row>
    <row r="173" spans="1:21" ht="14">
      <c r="A173" s="249"/>
      <c r="B173" s="245"/>
      <c r="C173" s="45" t="s">
        <v>159</v>
      </c>
      <c r="D173" s="17">
        <v>15.1</v>
      </c>
      <c r="E173" s="17">
        <v>13</v>
      </c>
      <c r="F173" s="17">
        <f t="shared" si="31"/>
        <v>196.29999999999998</v>
      </c>
      <c r="G173" s="236"/>
      <c r="H173" s="236"/>
      <c r="I173" s="236"/>
      <c r="J173" s="242"/>
      <c r="L173" s="249"/>
      <c r="M173" s="245"/>
      <c r="N173" s="45" t="s">
        <v>159</v>
      </c>
      <c r="O173" s="17">
        <v>15.1</v>
      </c>
      <c r="P173" s="17">
        <v>13</v>
      </c>
      <c r="Q173" s="17">
        <f t="shared" si="32"/>
        <v>196.29999999999998</v>
      </c>
      <c r="R173" s="236"/>
      <c r="S173" s="236"/>
      <c r="T173" s="236"/>
      <c r="U173" s="242"/>
    </row>
    <row r="174" spans="1:21" ht="14">
      <c r="A174" s="249"/>
      <c r="B174" s="245"/>
      <c r="C174" s="45" t="s">
        <v>160</v>
      </c>
      <c r="D174" s="17">
        <v>32.5</v>
      </c>
      <c r="E174" s="17">
        <v>13</v>
      </c>
      <c r="F174" s="17">
        <f t="shared" si="31"/>
        <v>422.5</v>
      </c>
      <c r="G174" s="236"/>
      <c r="H174" s="236"/>
      <c r="I174" s="236"/>
      <c r="J174" s="242"/>
      <c r="L174" s="249"/>
      <c r="M174" s="245"/>
      <c r="N174" s="45" t="s">
        <v>160</v>
      </c>
      <c r="O174" s="17">
        <v>32.5</v>
      </c>
      <c r="P174" s="17">
        <v>13</v>
      </c>
      <c r="Q174" s="17">
        <f t="shared" si="32"/>
        <v>422.5</v>
      </c>
      <c r="R174" s="236"/>
      <c r="S174" s="236"/>
      <c r="T174" s="236"/>
      <c r="U174" s="242"/>
    </row>
    <row r="175" spans="1:21" ht="13">
      <c r="A175" s="249"/>
      <c r="B175" s="245"/>
      <c r="C175" s="24" t="s">
        <v>161</v>
      </c>
      <c r="D175" s="17">
        <v>24.75</v>
      </c>
      <c r="E175" s="17">
        <v>13</v>
      </c>
      <c r="F175" s="17">
        <f t="shared" si="31"/>
        <v>321.75</v>
      </c>
      <c r="G175" s="236"/>
      <c r="H175" s="236"/>
      <c r="I175" s="236"/>
      <c r="J175" s="242"/>
      <c r="L175" s="249"/>
      <c r="M175" s="245"/>
      <c r="N175" s="24" t="s">
        <v>161</v>
      </c>
      <c r="O175" s="17">
        <v>24.75</v>
      </c>
      <c r="P175" s="17">
        <v>13</v>
      </c>
      <c r="Q175" s="17">
        <f t="shared" si="32"/>
        <v>321.75</v>
      </c>
      <c r="R175" s="236"/>
      <c r="S175" s="236"/>
      <c r="T175" s="236"/>
      <c r="U175" s="242"/>
    </row>
    <row r="176" spans="1:21" ht="13">
      <c r="A176" s="249"/>
      <c r="B176" s="245"/>
      <c r="C176" s="24" t="s">
        <v>55</v>
      </c>
      <c r="D176" s="17">
        <v>25</v>
      </c>
      <c r="E176" s="17">
        <v>13</v>
      </c>
      <c r="F176" s="17">
        <f t="shared" si="31"/>
        <v>325</v>
      </c>
      <c r="G176" s="236"/>
      <c r="H176" s="236"/>
      <c r="I176" s="236"/>
      <c r="J176" s="242"/>
      <c r="L176" s="249"/>
      <c r="M176" s="245"/>
      <c r="N176" s="24" t="s">
        <v>55</v>
      </c>
      <c r="O176" s="17">
        <v>25</v>
      </c>
      <c r="P176" s="17">
        <v>13</v>
      </c>
      <c r="Q176" s="17">
        <f t="shared" si="32"/>
        <v>325</v>
      </c>
      <c r="R176" s="236"/>
      <c r="S176" s="236"/>
      <c r="T176" s="236"/>
      <c r="U176" s="242"/>
    </row>
    <row r="177" spans="1:21" ht="13">
      <c r="A177" s="249"/>
      <c r="B177" s="245"/>
      <c r="C177" s="24" t="s">
        <v>80</v>
      </c>
      <c r="D177" s="17">
        <v>24</v>
      </c>
      <c r="E177" s="17">
        <v>13</v>
      </c>
      <c r="F177" s="17">
        <f t="shared" si="31"/>
        <v>312</v>
      </c>
      <c r="G177" s="236"/>
      <c r="H177" s="236"/>
      <c r="I177" s="236"/>
      <c r="J177" s="242"/>
      <c r="L177" s="249"/>
      <c r="M177" s="245"/>
      <c r="N177" s="24" t="s">
        <v>80</v>
      </c>
      <c r="O177" s="17">
        <v>24</v>
      </c>
      <c r="P177" s="17">
        <v>13</v>
      </c>
      <c r="Q177" s="17">
        <f t="shared" si="32"/>
        <v>312</v>
      </c>
      <c r="R177" s="236"/>
      <c r="S177" s="236"/>
      <c r="T177" s="236"/>
      <c r="U177" s="242"/>
    </row>
    <row r="178" spans="1:21" ht="13">
      <c r="A178" s="249"/>
      <c r="B178" s="246"/>
      <c r="C178" s="44" t="s">
        <v>162</v>
      </c>
      <c r="D178" s="21"/>
      <c r="E178" s="21"/>
      <c r="F178" s="21">
        <v>150</v>
      </c>
      <c r="G178" s="238"/>
      <c r="H178" s="238"/>
      <c r="I178" s="238"/>
      <c r="J178" s="243"/>
      <c r="L178" s="249"/>
      <c r="M178" s="246"/>
      <c r="N178" s="44" t="s">
        <v>162</v>
      </c>
      <c r="O178" s="21"/>
      <c r="P178" s="21"/>
      <c r="Q178" s="21">
        <v>150</v>
      </c>
      <c r="R178" s="238"/>
      <c r="S178" s="238"/>
      <c r="T178" s="238"/>
      <c r="U178" s="243"/>
    </row>
    <row r="179" spans="1:21" ht="13">
      <c r="A179" s="249"/>
      <c r="B179" s="244" t="s">
        <v>163</v>
      </c>
      <c r="C179" s="15" t="s">
        <v>114</v>
      </c>
      <c r="D179" s="16">
        <v>7</v>
      </c>
      <c r="E179" s="17">
        <v>18</v>
      </c>
      <c r="F179" s="17">
        <f>D179*E179</f>
        <v>126</v>
      </c>
      <c r="G179" s="240">
        <f>SUM(F179:F181)</f>
        <v>236</v>
      </c>
      <c r="H179" s="273">
        <v>1768.97</v>
      </c>
      <c r="I179" s="273">
        <f>H179-G179</f>
        <v>1532.97</v>
      </c>
      <c r="J179" s="241">
        <f>I179/H179</f>
        <v>0.86658903203559134</v>
      </c>
      <c r="L179" s="249"/>
      <c r="M179" s="244" t="s">
        <v>163</v>
      </c>
      <c r="N179" s="15" t="s">
        <v>114</v>
      </c>
      <c r="O179" s="18"/>
      <c r="P179" s="18"/>
      <c r="Q179" s="18"/>
      <c r="R179" s="240">
        <f>SUM(Q179:Q181)</f>
        <v>110</v>
      </c>
      <c r="S179" s="273">
        <v>1768.97</v>
      </c>
      <c r="T179" s="273">
        <f>S179-R179</f>
        <v>1658.97</v>
      </c>
      <c r="U179" s="241">
        <f>T179/S179</f>
        <v>0.93781692171150444</v>
      </c>
    </row>
    <row r="180" spans="1:21" ht="13">
      <c r="A180" s="249"/>
      <c r="B180" s="245"/>
      <c r="C180" s="19" t="s">
        <v>45</v>
      </c>
      <c r="D180" s="17"/>
      <c r="E180" s="17"/>
      <c r="F180" s="17">
        <v>40</v>
      </c>
      <c r="G180" s="236"/>
      <c r="H180" s="236"/>
      <c r="I180" s="236"/>
      <c r="J180" s="242"/>
      <c r="L180" s="249"/>
      <c r="M180" s="245"/>
      <c r="N180" s="19" t="s">
        <v>45</v>
      </c>
      <c r="O180" s="17"/>
      <c r="P180" s="17"/>
      <c r="Q180" s="17">
        <v>40</v>
      </c>
      <c r="R180" s="236"/>
      <c r="S180" s="236"/>
      <c r="T180" s="236"/>
      <c r="U180" s="242"/>
    </row>
    <row r="181" spans="1:21" ht="13">
      <c r="A181" s="249"/>
      <c r="B181" s="246"/>
      <c r="C181" s="44" t="s">
        <v>153</v>
      </c>
      <c r="D181" s="21"/>
      <c r="E181" s="21"/>
      <c r="F181" s="21">
        <v>70</v>
      </c>
      <c r="G181" s="238"/>
      <c r="H181" s="238"/>
      <c r="I181" s="238"/>
      <c r="J181" s="243"/>
      <c r="L181" s="249"/>
      <c r="M181" s="246"/>
      <c r="N181" s="44" t="s">
        <v>153</v>
      </c>
      <c r="O181" s="21"/>
      <c r="P181" s="21"/>
      <c r="Q181" s="21">
        <v>70</v>
      </c>
      <c r="R181" s="238"/>
      <c r="S181" s="238"/>
      <c r="T181" s="238"/>
      <c r="U181" s="243"/>
    </row>
    <row r="182" spans="1:21" ht="13">
      <c r="A182" s="249"/>
      <c r="B182" s="244" t="s">
        <v>164</v>
      </c>
      <c r="C182" s="15" t="s">
        <v>114</v>
      </c>
      <c r="D182" s="16">
        <v>7</v>
      </c>
      <c r="E182" s="17">
        <v>18</v>
      </c>
      <c r="F182" s="17">
        <f>D182*E182</f>
        <v>126</v>
      </c>
      <c r="G182" s="240">
        <f>SUM(F182:F185)</f>
        <v>270.68</v>
      </c>
      <c r="H182" s="273">
        <v>1768.97</v>
      </c>
      <c r="I182" s="273">
        <f>H182-G182</f>
        <v>1498.29</v>
      </c>
      <c r="J182" s="241">
        <f>I182/H182</f>
        <v>0.84698440335336378</v>
      </c>
      <c r="L182" s="249"/>
      <c r="M182" s="244" t="s">
        <v>164</v>
      </c>
      <c r="N182" s="15" t="s">
        <v>114</v>
      </c>
      <c r="O182" s="18"/>
      <c r="P182" s="18"/>
      <c r="Q182" s="18"/>
      <c r="R182" s="240">
        <f>SUM(Q182:Q185)</f>
        <v>144.68</v>
      </c>
      <c r="S182" s="273">
        <v>1768.97</v>
      </c>
      <c r="T182" s="273">
        <f>S182-R182</f>
        <v>1624.29</v>
      </c>
      <c r="U182" s="241">
        <f>T182/S182</f>
        <v>0.91821229302927687</v>
      </c>
    </row>
    <row r="183" spans="1:21" ht="13">
      <c r="A183" s="249"/>
      <c r="B183" s="245"/>
      <c r="C183" s="19" t="s">
        <v>45</v>
      </c>
      <c r="D183" s="17"/>
      <c r="E183" s="17"/>
      <c r="F183" s="17">
        <v>40</v>
      </c>
      <c r="G183" s="236"/>
      <c r="H183" s="236"/>
      <c r="I183" s="236"/>
      <c r="J183" s="242"/>
      <c r="L183" s="249"/>
      <c r="M183" s="245"/>
      <c r="N183" s="19" t="s">
        <v>45</v>
      </c>
      <c r="O183" s="17"/>
      <c r="P183" s="17"/>
      <c r="Q183" s="17">
        <v>40</v>
      </c>
      <c r="R183" s="236"/>
      <c r="S183" s="236"/>
      <c r="T183" s="236"/>
      <c r="U183" s="242"/>
    </row>
    <row r="184" spans="1:21" ht="13">
      <c r="A184" s="249"/>
      <c r="B184" s="245"/>
      <c r="C184" s="19" t="s">
        <v>165</v>
      </c>
      <c r="D184" s="17"/>
      <c r="E184" s="17"/>
      <c r="F184" s="17">
        <v>79.08</v>
      </c>
      <c r="G184" s="236"/>
      <c r="H184" s="236"/>
      <c r="I184" s="236"/>
      <c r="J184" s="242"/>
      <c r="L184" s="249"/>
      <c r="M184" s="245"/>
      <c r="N184" s="19" t="s">
        <v>165</v>
      </c>
      <c r="O184" s="17"/>
      <c r="P184" s="17"/>
      <c r="Q184" s="17">
        <v>79.08</v>
      </c>
      <c r="R184" s="236"/>
      <c r="S184" s="236"/>
      <c r="T184" s="236"/>
      <c r="U184" s="242"/>
    </row>
    <row r="185" spans="1:21" ht="13">
      <c r="A185" s="249"/>
      <c r="B185" s="246"/>
      <c r="C185" s="44" t="s">
        <v>44</v>
      </c>
      <c r="D185" s="21"/>
      <c r="E185" s="21"/>
      <c r="F185" s="21">
        <v>25.6</v>
      </c>
      <c r="G185" s="238"/>
      <c r="H185" s="238"/>
      <c r="I185" s="238"/>
      <c r="J185" s="243"/>
      <c r="L185" s="249"/>
      <c r="M185" s="246"/>
      <c r="N185" s="44" t="s">
        <v>44</v>
      </c>
      <c r="O185" s="21"/>
      <c r="P185" s="21"/>
      <c r="Q185" s="21">
        <v>25.6</v>
      </c>
      <c r="R185" s="238"/>
      <c r="S185" s="238"/>
      <c r="T185" s="238"/>
      <c r="U185" s="243"/>
    </row>
    <row r="186" spans="1:21" ht="13">
      <c r="A186" s="249"/>
      <c r="B186" s="244" t="s">
        <v>166</v>
      </c>
      <c r="C186" s="15" t="s">
        <v>23</v>
      </c>
      <c r="D186" s="16">
        <v>14</v>
      </c>
      <c r="E186" s="17">
        <v>16</v>
      </c>
      <c r="F186" s="17">
        <f>D186*E186</f>
        <v>224</v>
      </c>
      <c r="G186" s="240">
        <f>SUM(F186:F191)</f>
        <v>783.12</v>
      </c>
      <c r="H186" s="273">
        <v>2824.38</v>
      </c>
      <c r="I186" s="273">
        <f>H186-G186</f>
        <v>2041.2600000000002</v>
      </c>
      <c r="J186" s="241">
        <f>I186/H186</f>
        <v>0.72272852803093068</v>
      </c>
      <c r="L186" s="249"/>
      <c r="M186" s="244" t="s">
        <v>166</v>
      </c>
      <c r="N186" s="15" t="s">
        <v>23</v>
      </c>
      <c r="O186" s="18"/>
      <c r="P186" s="18"/>
      <c r="Q186" s="18"/>
      <c r="R186" s="240">
        <f>SUM(Q186:Q191)</f>
        <v>559.12</v>
      </c>
      <c r="S186" s="273">
        <v>2824.38</v>
      </c>
      <c r="T186" s="273">
        <f>S186-R186</f>
        <v>2265.2600000000002</v>
      </c>
      <c r="U186" s="241">
        <f>T186/S186</f>
        <v>0.80203796939505312</v>
      </c>
    </row>
    <row r="187" spans="1:21" ht="13">
      <c r="A187" s="249"/>
      <c r="B187" s="245"/>
      <c r="C187" s="19" t="s">
        <v>44</v>
      </c>
      <c r="D187" s="17"/>
      <c r="E187" s="17"/>
      <c r="F187" s="17">
        <v>74.400000000000006</v>
      </c>
      <c r="G187" s="236"/>
      <c r="H187" s="236"/>
      <c r="I187" s="236"/>
      <c r="J187" s="242"/>
      <c r="L187" s="249"/>
      <c r="M187" s="245"/>
      <c r="N187" s="19" t="s">
        <v>44</v>
      </c>
      <c r="O187" s="17"/>
      <c r="P187" s="17"/>
      <c r="Q187" s="17">
        <v>74.400000000000006</v>
      </c>
      <c r="R187" s="236"/>
      <c r="S187" s="236"/>
      <c r="T187" s="236"/>
      <c r="U187" s="242"/>
    </row>
    <row r="188" spans="1:21" ht="13">
      <c r="A188" s="249"/>
      <c r="B188" s="245"/>
      <c r="C188" s="19" t="s">
        <v>45</v>
      </c>
      <c r="D188" s="17"/>
      <c r="E188" s="17"/>
      <c r="F188" s="17">
        <v>60</v>
      </c>
      <c r="G188" s="236"/>
      <c r="H188" s="236"/>
      <c r="I188" s="236"/>
      <c r="J188" s="242"/>
      <c r="L188" s="249"/>
      <c r="M188" s="245"/>
      <c r="N188" s="19" t="s">
        <v>45</v>
      </c>
      <c r="O188" s="17"/>
      <c r="P188" s="17"/>
      <c r="Q188" s="17">
        <v>60</v>
      </c>
      <c r="R188" s="236"/>
      <c r="S188" s="236"/>
      <c r="T188" s="236"/>
      <c r="U188" s="242"/>
    </row>
    <row r="189" spans="1:21" ht="13">
      <c r="A189" s="249"/>
      <c r="B189" s="245"/>
      <c r="C189" s="19" t="s">
        <v>153</v>
      </c>
      <c r="D189" s="17"/>
      <c r="E189" s="17"/>
      <c r="F189" s="17">
        <v>50</v>
      </c>
      <c r="G189" s="236"/>
      <c r="H189" s="236"/>
      <c r="I189" s="236"/>
      <c r="J189" s="242"/>
      <c r="L189" s="249"/>
      <c r="M189" s="245"/>
      <c r="N189" s="19" t="s">
        <v>153</v>
      </c>
      <c r="O189" s="17"/>
      <c r="P189" s="17"/>
      <c r="Q189" s="17">
        <v>50</v>
      </c>
      <c r="R189" s="236"/>
      <c r="S189" s="236"/>
      <c r="T189" s="236"/>
      <c r="U189" s="242"/>
    </row>
    <row r="190" spans="1:21" ht="13">
      <c r="A190" s="249"/>
      <c r="B190" s="245"/>
      <c r="C190" s="19" t="s">
        <v>155</v>
      </c>
      <c r="D190" s="17"/>
      <c r="E190" s="17"/>
      <c r="F190" s="17">
        <v>305</v>
      </c>
      <c r="G190" s="236"/>
      <c r="H190" s="236"/>
      <c r="I190" s="236"/>
      <c r="J190" s="242"/>
      <c r="L190" s="249"/>
      <c r="M190" s="245"/>
      <c r="N190" s="19" t="s">
        <v>155</v>
      </c>
      <c r="O190" s="17"/>
      <c r="P190" s="17"/>
      <c r="Q190" s="17">
        <v>305</v>
      </c>
      <c r="R190" s="236"/>
      <c r="S190" s="236"/>
      <c r="T190" s="236"/>
      <c r="U190" s="242"/>
    </row>
    <row r="191" spans="1:21" ht="13">
      <c r="A191" s="249"/>
      <c r="B191" s="246"/>
      <c r="C191" s="44" t="s">
        <v>165</v>
      </c>
      <c r="D191" s="21"/>
      <c r="E191" s="21"/>
      <c r="F191" s="21">
        <v>69.72</v>
      </c>
      <c r="G191" s="238"/>
      <c r="H191" s="238"/>
      <c r="I191" s="238"/>
      <c r="J191" s="243"/>
      <c r="L191" s="249"/>
      <c r="M191" s="246"/>
      <c r="N191" s="44" t="s">
        <v>165</v>
      </c>
      <c r="O191" s="21"/>
      <c r="P191" s="21"/>
      <c r="Q191" s="21">
        <v>69.72</v>
      </c>
      <c r="R191" s="238"/>
      <c r="S191" s="238"/>
      <c r="T191" s="238"/>
      <c r="U191" s="243"/>
    </row>
    <row r="192" spans="1:21" ht="13">
      <c r="A192" s="249"/>
      <c r="B192" s="244" t="s">
        <v>167</v>
      </c>
      <c r="C192" s="15" t="s">
        <v>114</v>
      </c>
      <c r="D192" s="16">
        <v>3.5</v>
      </c>
      <c r="E192" s="17">
        <v>18</v>
      </c>
      <c r="F192" s="17">
        <f>D192*E192</f>
        <v>63</v>
      </c>
      <c r="G192" s="240">
        <f>SUM(F192:F194)</f>
        <v>150.96</v>
      </c>
      <c r="H192" s="273">
        <v>1192.52</v>
      </c>
      <c r="I192" s="273">
        <f>H192-G192</f>
        <v>1041.56</v>
      </c>
      <c r="J192" s="241">
        <f>I192/H192</f>
        <v>0.87341092811860599</v>
      </c>
      <c r="L192" s="249"/>
      <c r="M192" s="244" t="s">
        <v>167</v>
      </c>
      <c r="N192" s="15" t="s">
        <v>114</v>
      </c>
      <c r="O192" s="18"/>
      <c r="P192" s="18"/>
      <c r="Q192" s="18"/>
      <c r="R192" s="240">
        <f>SUM(Q192:Q194)</f>
        <v>87.960000000000008</v>
      </c>
      <c r="S192" s="273">
        <v>1192.52</v>
      </c>
      <c r="T192" s="273">
        <f>S192-R192</f>
        <v>1104.56</v>
      </c>
      <c r="U192" s="241">
        <f>T192/S192</f>
        <v>0.92624023077181095</v>
      </c>
    </row>
    <row r="193" spans="1:21" ht="13">
      <c r="A193" s="249"/>
      <c r="B193" s="245"/>
      <c r="C193" s="19" t="s">
        <v>45</v>
      </c>
      <c r="D193" s="17"/>
      <c r="E193" s="17"/>
      <c r="F193" s="17">
        <v>30</v>
      </c>
      <c r="G193" s="236"/>
      <c r="H193" s="236"/>
      <c r="I193" s="236"/>
      <c r="J193" s="242"/>
      <c r="L193" s="249"/>
      <c r="M193" s="245"/>
      <c r="N193" s="19" t="s">
        <v>45</v>
      </c>
      <c r="O193" s="17"/>
      <c r="P193" s="17"/>
      <c r="Q193" s="17">
        <v>30</v>
      </c>
      <c r="R193" s="236"/>
      <c r="S193" s="236"/>
      <c r="T193" s="236"/>
      <c r="U193" s="242"/>
    </row>
    <row r="194" spans="1:21" ht="13">
      <c r="A194" s="249"/>
      <c r="B194" s="246"/>
      <c r="C194" s="19" t="s">
        <v>33</v>
      </c>
      <c r="D194" s="17"/>
      <c r="E194" s="21"/>
      <c r="F194" s="21">
        <v>57.96</v>
      </c>
      <c r="G194" s="238"/>
      <c r="H194" s="238"/>
      <c r="I194" s="238"/>
      <c r="J194" s="243"/>
      <c r="L194" s="249"/>
      <c r="M194" s="246"/>
      <c r="N194" s="19" t="s">
        <v>33</v>
      </c>
      <c r="O194" s="17"/>
      <c r="P194" s="21"/>
      <c r="Q194" s="21">
        <v>57.96</v>
      </c>
      <c r="R194" s="238"/>
      <c r="S194" s="238"/>
      <c r="T194" s="238"/>
      <c r="U194" s="243"/>
    </row>
    <row r="195" spans="1:21" ht="13">
      <c r="A195" s="249"/>
      <c r="B195" s="244" t="s">
        <v>168</v>
      </c>
      <c r="C195" s="49" t="s">
        <v>114</v>
      </c>
      <c r="D195" s="50">
        <v>3.5</v>
      </c>
      <c r="E195" s="23">
        <v>18</v>
      </c>
      <c r="F195" s="23">
        <f>D195*E195</f>
        <v>63</v>
      </c>
      <c r="G195" s="240">
        <f>SUM(F195:F197)</f>
        <v>158.34</v>
      </c>
      <c r="H195" s="273">
        <v>1192.52</v>
      </c>
      <c r="I195" s="273">
        <f>H195-G195</f>
        <v>1034.18</v>
      </c>
      <c r="J195" s="241">
        <f>I195/H195</f>
        <v>0.86722235266494485</v>
      </c>
      <c r="L195" s="249"/>
      <c r="M195" s="244" t="s">
        <v>168</v>
      </c>
      <c r="N195" s="49" t="s">
        <v>114</v>
      </c>
      <c r="O195" s="43"/>
      <c r="P195" s="18"/>
      <c r="Q195" s="18"/>
      <c r="R195" s="240">
        <f>SUM(Q195:Q197)</f>
        <v>95.34</v>
      </c>
      <c r="S195" s="273">
        <v>1192.52</v>
      </c>
      <c r="T195" s="273">
        <f>S195-R195</f>
        <v>1097.18</v>
      </c>
      <c r="U195" s="241">
        <f>T195/S195</f>
        <v>0.92005165531814992</v>
      </c>
    </row>
    <row r="196" spans="1:21" ht="13">
      <c r="A196" s="249"/>
      <c r="B196" s="245"/>
      <c r="C196" s="51" t="s">
        <v>45</v>
      </c>
      <c r="D196" s="51"/>
      <c r="E196" s="51"/>
      <c r="F196" s="23">
        <v>30</v>
      </c>
      <c r="G196" s="236"/>
      <c r="H196" s="236"/>
      <c r="I196" s="236"/>
      <c r="J196" s="242"/>
      <c r="L196" s="249"/>
      <c r="M196" s="245"/>
      <c r="N196" s="51" t="s">
        <v>45</v>
      </c>
      <c r="O196" s="51"/>
      <c r="P196" s="51"/>
      <c r="Q196" s="23">
        <v>30</v>
      </c>
      <c r="R196" s="236"/>
      <c r="S196" s="236"/>
      <c r="T196" s="236"/>
      <c r="U196" s="242"/>
    </row>
    <row r="197" spans="1:21" ht="13">
      <c r="A197" s="249"/>
      <c r="B197" s="246"/>
      <c r="C197" s="52" t="s">
        <v>33</v>
      </c>
      <c r="D197" s="52"/>
      <c r="E197" s="52"/>
      <c r="F197" s="26">
        <v>65.34</v>
      </c>
      <c r="G197" s="238"/>
      <c r="H197" s="238"/>
      <c r="I197" s="238"/>
      <c r="J197" s="243"/>
      <c r="L197" s="249"/>
      <c r="M197" s="246"/>
      <c r="N197" s="52" t="s">
        <v>33</v>
      </c>
      <c r="O197" s="52"/>
      <c r="P197" s="52"/>
      <c r="Q197" s="26">
        <v>65.34</v>
      </c>
      <c r="R197" s="238"/>
      <c r="S197" s="238"/>
      <c r="T197" s="238"/>
      <c r="U197" s="243"/>
    </row>
    <row r="198" spans="1:21" ht="13">
      <c r="A198" s="249"/>
      <c r="B198" s="244" t="s">
        <v>169</v>
      </c>
      <c r="C198" s="15" t="s">
        <v>23</v>
      </c>
      <c r="D198" s="16">
        <v>7</v>
      </c>
      <c r="E198" s="17">
        <v>16</v>
      </c>
      <c r="F198" s="17">
        <f t="shared" ref="F198:F199" si="33">D198*E198</f>
        <v>112</v>
      </c>
      <c r="G198" s="240">
        <f>SUM(F198:F202)</f>
        <v>626</v>
      </c>
      <c r="H198" s="273">
        <v>3416</v>
      </c>
      <c r="I198" s="273">
        <f>H198-G198</f>
        <v>2790</v>
      </c>
      <c r="J198" s="241">
        <f>I198/H198</f>
        <v>0.81674473067915687</v>
      </c>
      <c r="L198" s="249"/>
      <c r="M198" s="244" t="s">
        <v>169</v>
      </c>
      <c r="N198" s="15" t="s">
        <v>23</v>
      </c>
      <c r="O198" s="43"/>
      <c r="P198" s="18"/>
      <c r="Q198" s="18"/>
      <c r="R198" s="240">
        <f>SUM(Q198:Q202)</f>
        <v>262</v>
      </c>
      <c r="S198" s="273">
        <v>3416</v>
      </c>
      <c r="T198" s="273">
        <f>S198-R198</f>
        <v>3154</v>
      </c>
      <c r="U198" s="241">
        <f>T198/S198</f>
        <v>0.92330210772833721</v>
      </c>
    </row>
    <row r="199" spans="1:21" ht="13">
      <c r="A199" s="249"/>
      <c r="B199" s="245"/>
      <c r="C199" s="19" t="s">
        <v>114</v>
      </c>
      <c r="D199" s="17">
        <v>14</v>
      </c>
      <c r="E199" s="17">
        <v>18</v>
      </c>
      <c r="F199" s="17">
        <f t="shared" si="33"/>
        <v>252</v>
      </c>
      <c r="G199" s="236"/>
      <c r="H199" s="236"/>
      <c r="I199" s="236"/>
      <c r="J199" s="242"/>
      <c r="L199" s="249"/>
      <c r="M199" s="245"/>
      <c r="N199" s="19" t="s">
        <v>114</v>
      </c>
      <c r="O199" s="18"/>
      <c r="P199" s="18"/>
      <c r="Q199" s="18"/>
      <c r="R199" s="236"/>
      <c r="S199" s="236"/>
      <c r="T199" s="236"/>
      <c r="U199" s="242"/>
    </row>
    <row r="200" spans="1:21" ht="13">
      <c r="A200" s="249"/>
      <c r="B200" s="245"/>
      <c r="C200" s="19" t="s">
        <v>45</v>
      </c>
      <c r="D200" s="17"/>
      <c r="E200" s="17"/>
      <c r="F200" s="17">
        <v>150</v>
      </c>
      <c r="G200" s="236"/>
      <c r="H200" s="236"/>
      <c r="I200" s="236"/>
      <c r="J200" s="242"/>
      <c r="L200" s="249"/>
      <c r="M200" s="245"/>
      <c r="N200" s="19" t="s">
        <v>45</v>
      </c>
      <c r="O200" s="17"/>
      <c r="P200" s="17"/>
      <c r="Q200" s="17">
        <v>150</v>
      </c>
      <c r="R200" s="236"/>
      <c r="S200" s="236"/>
      <c r="T200" s="236"/>
      <c r="U200" s="242"/>
    </row>
    <row r="201" spans="1:21" ht="13">
      <c r="A201" s="249"/>
      <c r="B201" s="245"/>
      <c r="C201" s="19" t="s">
        <v>155</v>
      </c>
      <c r="D201" s="17"/>
      <c r="E201" s="17"/>
      <c r="F201" s="17">
        <v>112</v>
      </c>
      <c r="G201" s="236"/>
      <c r="H201" s="236"/>
      <c r="I201" s="236"/>
      <c r="J201" s="242"/>
      <c r="L201" s="249"/>
      <c r="M201" s="245"/>
      <c r="N201" s="19" t="s">
        <v>155</v>
      </c>
      <c r="O201" s="17"/>
      <c r="P201" s="17"/>
      <c r="Q201" s="17">
        <v>112</v>
      </c>
      <c r="R201" s="236"/>
      <c r="S201" s="236"/>
      <c r="T201" s="236"/>
      <c r="U201" s="242"/>
    </row>
    <row r="202" spans="1:21" ht="13">
      <c r="A202" s="249"/>
      <c r="B202" s="246"/>
      <c r="C202" s="44"/>
      <c r="D202" s="21"/>
      <c r="E202" s="21"/>
      <c r="F202" s="21"/>
      <c r="G202" s="238"/>
      <c r="H202" s="238"/>
      <c r="I202" s="238"/>
      <c r="J202" s="243"/>
      <c r="L202" s="249"/>
      <c r="M202" s="246"/>
      <c r="N202" s="44"/>
      <c r="O202" s="21"/>
      <c r="P202" s="21"/>
      <c r="Q202" s="21"/>
      <c r="R202" s="238"/>
      <c r="S202" s="238"/>
      <c r="T202" s="238"/>
      <c r="U202" s="243"/>
    </row>
    <row r="203" spans="1:21" ht="13">
      <c r="A203" s="249"/>
      <c r="B203" s="244" t="s">
        <v>170</v>
      </c>
      <c r="C203" s="15" t="s">
        <v>23</v>
      </c>
      <c r="D203" s="16">
        <v>21</v>
      </c>
      <c r="E203" s="17">
        <v>16</v>
      </c>
      <c r="F203" s="17">
        <f>D203*E203</f>
        <v>336</v>
      </c>
      <c r="G203" s="240">
        <f>SUM(F203:F211)</f>
        <v>1648.6399999999999</v>
      </c>
      <c r="H203" s="273">
        <v>2884</v>
      </c>
      <c r="I203" s="273">
        <f>H203-G203</f>
        <v>1235.3600000000001</v>
      </c>
      <c r="J203" s="241">
        <f>I203/H203</f>
        <v>0.42834951456310683</v>
      </c>
      <c r="L203" s="249"/>
      <c r="M203" s="244" t="s">
        <v>170</v>
      </c>
      <c r="N203" s="15" t="s">
        <v>23</v>
      </c>
      <c r="O203" s="18"/>
      <c r="P203" s="18"/>
      <c r="Q203" s="18"/>
      <c r="R203" s="240">
        <f>SUM(Q203:Q211)</f>
        <v>934.64</v>
      </c>
      <c r="S203" s="273">
        <v>2884</v>
      </c>
      <c r="T203" s="273">
        <f>S203-R203</f>
        <v>1949.3600000000001</v>
      </c>
      <c r="U203" s="241">
        <f>T203/S203</f>
        <v>0.67592233009708746</v>
      </c>
    </row>
    <row r="204" spans="1:21" ht="13">
      <c r="A204" s="249"/>
      <c r="B204" s="245"/>
      <c r="C204" s="19" t="s">
        <v>35</v>
      </c>
      <c r="D204" s="17"/>
      <c r="E204" s="17"/>
      <c r="F204" s="17">
        <v>100</v>
      </c>
      <c r="G204" s="236"/>
      <c r="H204" s="236"/>
      <c r="I204" s="236"/>
      <c r="J204" s="242"/>
      <c r="L204" s="249"/>
      <c r="M204" s="245"/>
      <c r="N204" s="19" t="s">
        <v>35</v>
      </c>
      <c r="O204" s="17"/>
      <c r="P204" s="17"/>
      <c r="Q204" s="17">
        <v>100</v>
      </c>
      <c r="R204" s="236"/>
      <c r="S204" s="236"/>
      <c r="T204" s="236"/>
      <c r="U204" s="242"/>
    </row>
    <row r="205" spans="1:21" ht="13">
      <c r="A205" s="249"/>
      <c r="B205" s="245"/>
      <c r="C205" s="19" t="s">
        <v>114</v>
      </c>
      <c r="D205" s="17">
        <v>21</v>
      </c>
      <c r="E205" s="17">
        <v>18</v>
      </c>
      <c r="F205" s="17">
        <f t="shared" ref="F205:F208" si="34">D205*E205</f>
        <v>378</v>
      </c>
      <c r="G205" s="236"/>
      <c r="H205" s="236"/>
      <c r="I205" s="236"/>
      <c r="J205" s="242"/>
      <c r="L205" s="249"/>
      <c r="M205" s="245"/>
      <c r="N205" s="19" t="s">
        <v>114</v>
      </c>
      <c r="O205" s="18"/>
      <c r="P205" s="18"/>
      <c r="Q205" s="18"/>
      <c r="R205" s="236"/>
      <c r="S205" s="236"/>
      <c r="T205" s="236"/>
      <c r="U205" s="242"/>
    </row>
    <row r="206" spans="1:21" ht="13">
      <c r="A206" s="249"/>
      <c r="B206" s="245"/>
      <c r="C206" s="19" t="s">
        <v>32</v>
      </c>
      <c r="D206" s="17">
        <v>17.75</v>
      </c>
      <c r="E206" s="17">
        <v>13</v>
      </c>
      <c r="F206" s="17">
        <f t="shared" si="34"/>
        <v>230.75</v>
      </c>
      <c r="G206" s="236"/>
      <c r="H206" s="236"/>
      <c r="I206" s="236"/>
      <c r="J206" s="242"/>
      <c r="L206" s="249"/>
      <c r="M206" s="245"/>
      <c r="N206" s="19" t="s">
        <v>32</v>
      </c>
      <c r="O206" s="17">
        <v>17.75</v>
      </c>
      <c r="P206" s="17">
        <v>13</v>
      </c>
      <c r="Q206" s="17">
        <f t="shared" ref="Q206:Q208" si="35">O206*P206</f>
        <v>230.75</v>
      </c>
      <c r="R206" s="236"/>
      <c r="S206" s="236"/>
      <c r="T206" s="236"/>
      <c r="U206" s="242"/>
    </row>
    <row r="207" spans="1:21" ht="13">
      <c r="A207" s="249"/>
      <c r="B207" s="245"/>
      <c r="C207" s="19" t="s">
        <v>171</v>
      </c>
      <c r="D207" s="17">
        <v>14.75</v>
      </c>
      <c r="E207" s="17">
        <v>13</v>
      </c>
      <c r="F207" s="17">
        <f t="shared" si="34"/>
        <v>191.75</v>
      </c>
      <c r="G207" s="236"/>
      <c r="H207" s="236"/>
      <c r="I207" s="236"/>
      <c r="J207" s="242"/>
      <c r="L207" s="249"/>
      <c r="M207" s="245"/>
      <c r="N207" s="19" t="s">
        <v>171</v>
      </c>
      <c r="O207" s="17">
        <v>14.75</v>
      </c>
      <c r="P207" s="17">
        <v>13</v>
      </c>
      <c r="Q207" s="17">
        <f t="shared" si="35"/>
        <v>191.75</v>
      </c>
      <c r="R207" s="236"/>
      <c r="S207" s="236"/>
      <c r="T207" s="236"/>
      <c r="U207" s="242"/>
    </row>
    <row r="208" spans="1:21" ht="13">
      <c r="A208" s="249"/>
      <c r="B208" s="245"/>
      <c r="C208" s="19" t="s">
        <v>55</v>
      </c>
      <c r="D208" s="17">
        <v>8.7799999999999994</v>
      </c>
      <c r="E208" s="17">
        <v>13</v>
      </c>
      <c r="F208" s="17">
        <f t="shared" si="34"/>
        <v>114.13999999999999</v>
      </c>
      <c r="G208" s="236"/>
      <c r="H208" s="236"/>
      <c r="I208" s="236"/>
      <c r="J208" s="242"/>
      <c r="L208" s="249"/>
      <c r="M208" s="245"/>
      <c r="N208" s="19" t="s">
        <v>55</v>
      </c>
      <c r="O208" s="17">
        <v>8.7799999999999994</v>
      </c>
      <c r="P208" s="17">
        <v>13</v>
      </c>
      <c r="Q208" s="17">
        <f t="shared" si="35"/>
        <v>114.13999999999999</v>
      </c>
      <c r="R208" s="236"/>
      <c r="S208" s="236"/>
      <c r="T208" s="236"/>
      <c r="U208" s="242"/>
    </row>
    <row r="209" spans="1:21" ht="13">
      <c r="A209" s="249"/>
      <c r="B209" s="245"/>
      <c r="C209" s="19" t="s">
        <v>172</v>
      </c>
      <c r="D209" s="17"/>
      <c r="E209" s="17"/>
      <c r="F209" s="17">
        <v>20</v>
      </c>
      <c r="G209" s="236"/>
      <c r="H209" s="236"/>
      <c r="I209" s="236"/>
      <c r="J209" s="242"/>
      <c r="L209" s="249"/>
      <c r="M209" s="245"/>
      <c r="N209" s="19" t="s">
        <v>172</v>
      </c>
      <c r="O209" s="17"/>
      <c r="P209" s="17"/>
      <c r="Q209" s="17">
        <v>20</v>
      </c>
      <c r="R209" s="236"/>
      <c r="S209" s="236"/>
      <c r="T209" s="236"/>
      <c r="U209" s="242"/>
    </row>
    <row r="210" spans="1:21" ht="13">
      <c r="A210" s="249"/>
      <c r="B210" s="245"/>
      <c r="C210" s="19" t="s">
        <v>45</v>
      </c>
      <c r="D210" s="17"/>
      <c r="E210" s="17"/>
      <c r="F210" s="17">
        <v>200</v>
      </c>
      <c r="G210" s="236"/>
      <c r="H210" s="236"/>
      <c r="I210" s="236"/>
      <c r="J210" s="242"/>
      <c r="L210" s="249"/>
      <c r="M210" s="245"/>
      <c r="N210" s="19" t="s">
        <v>45</v>
      </c>
      <c r="O210" s="17"/>
      <c r="P210" s="17"/>
      <c r="Q210" s="17">
        <v>200</v>
      </c>
      <c r="R210" s="236"/>
      <c r="S210" s="236"/>
      <c r="T210" s="236"/>
      <c r="U210" s="242"/>
    </row>
    <row r="211" spans="1:21" ht="13">
      <c r="A211" s="249"/>
      <c r="B211" s="246"/>
      <c r="C211" s="44" t="s">
        <v>155</v>
      </c>
      <c r="D211" s="21"/>
      <c r="E211" s="21"/>
      <c r="F211" s="21">
        <v>78</v>
      </c>
      <c r="G211" s="238"/>
      <c r="H211" s="238"/>
      <c r="I211" s="238"/>
      <c r="J211" s="243"/>
      <c r="L211" s="249"/>
      <c r="M211" s="246"/>
      <c r="N211" s="44" t="s">
        <v>155</v>
      </c>
      <c r="O211" s="21"/>
      <c r="P211" s="21"/>
      <c r="Q211" s="21">
        <v>78</v>
      </c>
      <c r="R211" s="238"/>
      <c r="S211" s="238"/>
      <c r="T211" s="238"/>
      <c r="U211" s="243"/>
    </row>
    <row r="212" spans="1:21" ht="13">
      <c r="A212" s="249"/>
      <c r="B212" s="244" t="s">
        <v>173</v>
      </c>
      <c r="C212" s="15" t="s">
        <v>23</v>
      </c>
      <c r="D212" s="16">
        <v>21</v>
      </c>
      <c r="E212" s="17">
        <v>16</v>
      </c>
      <c r="F212" s="17">
        <f>D212*E212</f>
        <v>336</v>
      </c>
      <c r="G212" s="240">
        <f>SUM(F212:F221)</f>
        <v>1689.4299999999998</v>
      </c>
      <c r="H212" s="273">
        <v>6818.08</v>
      </c>
      <c r="I212" s="273">
        <f>H212-G212</f>
        <v>5128.6499999999996</v>
      </c>
      <c r="J212" s="241">
        <f>I212/H212</f>
        <v>0.75221323305094689</v>
      </c>
      <c r="L212" s="249"/>
      <c r="M212" s="244" t="s">
        <v>173</v>
      </c>
      <c r="N212" s="15" t="s">
        <v>23</v>
      </c>
      <c r="O212" s="18"/>
      <c r="P212" s="18"/>
      <c r="Q212" s="18"/>
      <c r="R212" s="240">
        <f>SUM(Q212:Q221)</f>
        <v>1353.43</v>
      </c>
      <c r="S212" s="273">
        <v>6818.08</v>
      </c>
      <c r="T212" s="273">
        <f>S212-R212</f>
        <v>5464.65</v>
      </c>
      <c r="U212" s="241">
        <f>T212/S212</f>
        <v>0.8014939689766033</v>
      </c>
    </row>
    <row r="213" spans="1:21" ht="13">
      <c r="A213" s="249"/>
      <c r="B213" s="245"/>
      <c r="C213" s="19" t="s">
        <v>70</v>
      </c>
      <c r="D213" s="17"/>
      <c r="E213" s="17"/>
      <c r="F213" s="17">
        <v>400</v>
      </c>
      <c r="G213" s="236"/>
      <c r="H213" s="236"/>
      <c r="I213" s="236"/>
      <c r="J213" s="242"/>
      <c r="L213" s="249"/>
      <c r="M213" s="245"/>
      <c r="N213" s="19" t="s">
        <v>70</v>
      </c>
      <c r="O213" s="17"/>
      <c r="P213" s="17"/>
      <c r="Q213" s="17">
        <v>400</v>
      </c>
      <c r="R213" s="236"/>
      <c r="S213" s="236"/>
      <c r="T213" s="236"/>
      <c r="U213" s="242"/>
    </row>
    <row r="214" spans="1:21" ht="13">
      <c r="A214" s="249"/>
      <c r="B214" s="245"/>
      <c r="C214" s="19" t="s">
        <v>45</v>
      </c>
      <c r="D214" s="17"/>
      <c r="E214" s="17"/>
      <c r="F214" s="17">
        <v>54.02</v>
      </c>
      <c r="G214" s="236"/>
      <c r="H214" s="236"/>
      <c r="I214" s="236"/>
      <c r="J214" s="242"/>
      <c r="L214" s="249"/>
      <c r="M214" s="245"/>
      <c r="N214" s="19" t="s">
        <v>45</v>
      </c>
      <c r="O214" s="17"/>
      <c r="P214" s="17"/>
      <c r="Q214" s="17">
        <v>54.02</v>
      </c>
      <c r="R214" s="236"/>
      <c r="S214" s="236"/>
      <c r="T214" s="236"/>
      <c r="U214" s="242"/>
    </row>
    <row r="215" spans="1:21" ht="13">
      <c r="A215" s="249"/>
      <c r="B215" s="245"/>
      <c r="C215" s="19" t="s">
        <v>44</v>
      </c>
      <c r="D215" s="17"/>
      <c r="E215" s="17"/>
      <c r="F215" s="17">
        <v>13.8</v>
      </c>
      <c r="G215" s="236"/>
      <c r="H215" s="236"/>
      <c r="I215" s="236"/>
      <c r="J215" s="242"/>
      <c r="L215" s="249"/>
      <c r="M215" s="245"/>
      <c r="N215" s="19" t="s">
        <v>44</v>
      </c>
      <c r="O215" s="17"/>
      <c r="P215" s="17"/>
      <c r="Q215" s="17">
        <v>13.8</v>
      </c>
      <c r="R215" s="236"/>
      <c r="S215" s="236"/>
      <c r="T215" s="236"/>
      <c r="U215" s="242"/>
    </row>
    <row r="216" spans="1:21" ht="13">
      <c r="A216" s="249"/>
      <c r="B216" s="245"/>
      <c r="C216" s="19" t="s">
        <v>153</v>
      </c>
      <c r="D216" s="17"/>
      <c r="E216" s="17"/>
      <c r="F216" s="17">
        <v>81.3</v>
      </c>
      <c r="G216" s="236"/>
      <c r="H216" s="236"/>
      <c r="I216" s="236"/>
      <c r="J216" s="242"/>
      <c r="L216" s="249"/>
      <c r="M216" s="245"/>
      <c r="N216" s="19" t="s">
        <v>153</v>
      </c>
      <c r="O216" s="17"/>
      <c r="P216" s="17"/>
      <c r="Q216" s="17">
        <v>81.3</v>
      </c>
      <c r="R216" s="236"/>
      <c r="S216" s="236"/>
      <c r="T216" s="236"/>
      <c r="U216" s="242"/>
    </row>
    <row r="217" spans="1:21" ht="13">
      <c r="A217" s="249"/>
      <c r="B217" s="245"/>
      <c r="C217" s="19" t="s">
        <v>46</v>
      </c>
      <c r="D217" s="17"/>
      <c r="E217" s="17"/>
      <c r="F217" s="17">
        <v>172.6</v>
      </c>
      <c r="G217" s="236"/>
      <c r="H217" s="236"/>
      <c r="I217" s="236"/>
      <c r="J217" s="242"/>
      <c r="L217" s="249"/>
      <c r="M217" s="245"/>
      <c r="N217" s="19" t="s">
        <v>46</v>
      </c>
      <c r="O217" s="17"/>
      <c r="P217" s="17"/>
      <c r="Q217" s="17">
        <v>172.6</v>
      </c>
      <c r="R217" s="236"/>
      <c r="S217" s="236"/>
      <c r="T217" s="236"/>
      <c r="U217" s="242"/>
    </row>
    <row r="218" spans="1:21" ht="13">
      <c r="A218" s="249"/>
      <c r="B218" s="245"/>
      <c r="C218" s="19" t="s">
        <v>174</v>
      </c>
      <c r="D218" s="17"/>
      <c r="E218" s="17"/>
      <c r="F218" s="17">
        <v>16.3</v>
      </c>
      <c r="G218" s="236"/>
      <c r="H218" s="236"/>
      <c r="I218" s="236"/>
      <c r="J218" s="242"/>
      <c r="L218" s="249"/>
      <c r="M218" s="245"/>
      <c r="N218" s="19" t="s">
        <v>174</v>
      </c>
      <c r="O218" s="17"/>
      <c r="P218" s="17"/>
      <c r="Q218" s="17">
        <v>16.3</v>
      </c>
      <c r="R218" s="236"/>
      <c r="S218" s="236"/>
      <c r="T218" s="236"/>
      <c r="U218" s="242"/>
    </row>
    <row r="219" spans="1:21" ht="13">
      <c r="A219" s="249"/>
      <c r="B219" s="245"/>
      <c r="C219" s="19" t="s">
        <v>115</v>
      </c>
      <c r="D219" s="17"/>
      <c r="E219" s="17"/>
      <c r="F219" s="17">
        <v>300.43</v>
      </c>
      <c r="G219" s="236"/>
      <c r="H219" s="236"/>
      <c r="I219" s="236"/>
      <c r="J219" s="242"/>
      <c r="L219" s="249"/>
      <c r="M219" s="245"/>
      <c r="N219" s="19" t="s">
        <v>115</v>
      </c>
      <c r="O219" s="17"/>
      <c r="P219" s="17"/>
      <c r="Q219" s="17">
        <v>300.43</v>
      </c>
      <c r="R219" s="236"/>
      <c r="S219" s="236"/>
      <c r="T219" s="236"/>
      <c r="U219" s="242"/>
    </row>
    <row r="220" spans="1:21" ht="13">
      <c r="A220" s="249"/>
      <c r="B220" s="245"/>
      <c r="C220" s="19" t="s">
        <v>155</v>
      </c>
      <c r="D220" s="17"/>
      <c r="E220" s="17"/>
      <c r="F220" s="17">
        <v>111</v>
      </c>
      <c r="G220" s="236"/>
      <c r="H220" s="236"/>
      <c r="I220" s="236"/>
      <c r="J220" s="242"/>
      <c r="L220" s="249"/>
      <c r="M220" s="245"/>
      <c r="N220" s="19" t="s">
        <v>155</v>
      </c>
      <c r="O220" s="17"/>
      <c r="P220" s="17"/>
      <c r="Q220" s="17">
        <v>111</v>
      </c>
      <c r="R220" s="236"/>
      <c r="S220" s="236"/>
      <c r="T220" s="236"/>
      <c r="U220" s="242"/>
    </row>
    <row r="221" spans="1:21" ht="13">
      <c r="A221" s="250"/>
      <c r="B221" s="246"/>
      <c r="C221" s="44" t="s">
        <v>165</v>
      </c>
      <c r="D221" s="21"/>
      <c r="E221" s="21"/>
      <c r="F221" s="21">
        <v>203.98</v>
      </c>
      <c r="G221" s="238"/>
      <c r="H221" s="238"/>
      <c r="I221" s="238"/>
      <c r="J221" s="243"/>
      <c r="L221" s="250"/>
      <c r="M221" s="246"/>
      <c r="N221" s="44" t="s">
        <v>165</v>
      </c>
      <c r="O221" s="21"/>
      <c r="P221" s="21"/>
      <c r="Q221" s="21">
        <v>203.98</v>
      </c>
      <c r="R221" s="238"/>
      <c r="S221" s="238"/>
      <c r="T221" s="238"/>
      <c r="U221" s="243"/>
    </row>
    <row r="222" spans="1:21" ht="30">
      <c r="A222" s="251" t="s">
        <v>175</v>
      </c>
      <c r="B222" s="252"/>
      <c r="C222" s="253"/>
      <c r="D222" s="27">
        <f t="shared" ref="D222:I222" si="36">AVERAGE(D111:D221)</f>
        <v>15.385862068965521</v>
      </c>
      <c r="E222" s="27">
        <f t="shared" si="36"/>
        <v>15.310344827586206</v>
      </c>
      <c r="F222" s="27">
        <f t="shared" si="36"/>
        <v>182.85057142857139</v>
      </c>
      <c r="G222" s="27">
        <f t="shared" si="36"/>
        <v>1066.6283333333333</v>
      </c>
      <c r="H222" s="27">
        <f t="shared" si="36"/>
        <v>2959.5505555555555</v>
      </c>
      <c r="I222" s="27">
        <f t="shared" si="36"/>
        <v>1892.9222222222224</v>
      </c>
      <c r="J222" s="28">
        <f>AVERAGE($J$12:$J$76)</f>
        <v>0.79942354689485917</v>
      </c>
      <c r="L222" s="251" t="s">
        <v>175</v>
      </c>
      <c r="M222" s="252"/>
      <c r="N222" s="253"/>
      <c r="O222" s="27">
        <f t="shared" ref="O222:T222" si="37">AVERAGE(O111:O221)</f>
        <v>16.667894736842104</v>
      </c>
      <c r="P222" s="27">
        <f t="shared" si="37"/>
        <v>14.315789473684211</v>
      </c>
      <c r="Q222" s="27">
        <f t="shared" si="37"/>
        <v>173.8271764705882</v>
      </c>
      <c r="R222" s="27">
        <f t="shared" si="37"/>
        <v>820.8505555555555</v>
      </c>
      <c r="S222" s="27">
        <f t="shared" si="37"/>
        <v>2959.5505555555555</v>
      </c>
      <c r="T222" s="27">
        <f t="shared" si="37"/>
        <v>2138.7000000000003</v>
      </c>
      <c r="U222" s="28">
        <f>AVERAGE($J$12:$J$76)</f>
        <v>0.79942354689485917</v>
      </c>
    </row>
    <row r="223" spans="1:21" ht="30">
      <c r="A223" s="254" t="s">
        <v>176</v>
      </c>
      <c r="B223" s="255"/>
      <c r="C223" s="256"/>
      <c r="D223" s="27">
        <f t="shared" ref="D223:I223" si="38">SUM(D111:D221)</f>
        <v>892.38000000000022</v>
      </c>
      <c r="E223" s="27">
        <f t="shared" si="38"/>
        <v>888</v>
      </c>
      <c r="F223" s="27">
        <f t="shared" si="38"/>
        <v>19199.309999999994</v>
      </c>
      <c r="G223" s="27">
        <f t="shared" si="38"/>
        <v>19199.310000000001</v>
      </c>
      <c r="H223" s="27">
        <f t="shared" si="38"/>
        <v>53271.909999999996</v>
      </c>
      <c r="I223" s="27">
        <f t="shared" si="38"/>
        <v>34072.600000000006</v>
      </c>
      <c r="J223" s="29">
        <f t="shared" ref="J223:J224" si="39">I223/H223</f>
        <v>0.639597866868299</v>
      </c>
      <c r="L223" s="254" t="s">
        <v>176</v>
      </c>
      <c r="M223" s="255"/>
      <c r="N223" s="256"/>
      <c r="O223" s="27">
        <f t="shared" ref="O223:T223" si="40">SUM(O111:O221)</f>
        <v>633.38</v>
      </c>
      <c r="P223" s="27">
        <f t="shared" si="40"/>
        <v>544</v>
      </c>
      <c r="Q223" s="27">
        <f t="shared" si="40"/>
        <v>14775.309999999996</v>
      </c>
      <c r="R223" s="27">
        <f t="shared" si="40"/>
        <v>14775.31</v>
      </c>
      <c r="S223" s="27">
        <f t="shared" si="40"/>
        <v>53271.909999999996</v>
      </c>
      <c r="T223" s="27">
        <f t="shared" si="40"/>
        <v>38496.600000000006</v>
      </c>
      <c r="U223" s="29">
        <f t="shared" ref="U223:U224" si="41">T223/S223</f>
        <v>0.72264350949684386</v>
      </c>
    </row>
    <row r="224" spans="1:21" ht="13">
      <c r="A224" s="277" t="s">
        <v>592</v>
      </c>
      <c r="B224" s="244" t="s">
        <v>593</v>
      </c>
      <c r="C224" s="15" t="s">
        <v>114</v>
      </c>
      <c r="D224" s="16">
        <v>14</v>
      </c>
      <c r="E224" s="16">
        <v>18</v>
      </c>
      <c r="F224" s="17">
        <f t="shared" ref="F224:F230" si="42">D224*E224</f>
        <v>252</v>
      </c>
      <c r="G224" s="240">
        <f>SUM(F224:F231)</f>
        <v>1413.7449999999999</v>
      </c>
      <c r="H224" s="237">
        <v>1428</v>
      </c>
      <c r="I224" s="237">
        <f>H224-G224</f>
        <v>14.255000000000109</v>
      </c>
      <c r="J224" s="241">
        <f t="shared" si="39"/>
        <v>9.9824929971989562E-3</v>
      </c>
      <c r="L224" s="277" t="s">
        <v>592</v>
      </c>
      <c r="M224" s="244" t="s">
        <v>593</v>
      </c>
      <c r="N224" s="15" t="s">
        <v>114</v>
      </c>
      <c r="O224" s="18"/>
      <c r="P224" s="18"/>
      <c r="Q224" s="18"/>
      <c r="R224" s="240">
        <f>SUM(Q224:Q231)</f>
        <v>1161.7449999999999</v>
      </c>
      <c r="S224" s="237">
        <v>1428</v>
      </c>
      <c r="T224" s="237">
        <f>S224-R224</f>
        <v>266.25500000000011</v>
      </c>
      <c r="U224" s="241">
        <f t="shared" si="41"/>
        <v>0.18645308123249307</v>
      </c>
    </row>
    <row r="225" spans="1:21" ht="13">
      <c r="A225" s="249"/>
      <c r="B225" s="245"/>
      <c r="C225" s="19" t="s">
        <v>32</v>
      </c>
      <c r="D225" s="17">
        <v>14.005000000000001</v>
      </c>
      <c r="E225" s="17">
        <v>13</v>
      </c>
      <c r="F225" s="17">
        <f t="shared" si="42"/>
        <v>182.065</v>
      </c>
      <c r="G225" s="236"/>
      <c r="H225" s="236"/>
      <c r="I225" s="236"/>
      <c r="J225" s="242"/>
      <c r="L225" s="249"/>
      <c r="M225" s="245"/>
      <c r="N225" s="19" t="s">
        <v>32</v>
      </c>
      <c r="O225" s="17">
        <v>14.005000000000001</v>
      </c>
      <c r="P225" s="17">
        <v>13</v>
      </c>
      <c r="Q225" s="17">
        <f t="shared" ref="Q225:Q230" si="43">O225*P225</f>
        <v>182.065</v>
      </c>
      <c r="R225" s="236"/>
      <c r="S225" s="236"/>
      <c r="T225" s="236"/>
      <c r="U225" s="242"/>
    </row>
    <row r="226" spans="1:21" ht="13">
      <c r="A226" s="249"/>
      <c r="B226" s="245"/>
      <c r="C226" s="19" t="s">
        <v>126</v>
      </c>
      <c r="D226" s="17">
        <v>15.75</v>
      </c>
      <c r="E226" s="17">
        <v>13</v>
      </c>
      <c r="F226" s="17">
        <f t="shared" si="42"/>
        <v>204.75</v>
      </c>
      <c r="G226" s="236"/>
      <c r="H226" s="236"/>
      <c r="I226" s="236"/>
      <c r="J226" s="242"/>
      <c r="L226" s="249"/>
      <c r="M226" s="245"/>
      <c r="N226" s="19" t="s">
        <v>126</v>
      </c>
      <c r="O226" s="17">
        <v>15.75</v>
      </c>
      <c r="P226" s="17">
        <v>13</v>
      </c>
      <c r="Q226" s="17">
        <f t="shared" si="43"/>
        <v>204.75</v>
      </c>
      <c r="R226" s="236"/>
      <c r="S226" s="236"/>
      <c r="T226" s="236"/>
      <c r="U226" s="242"/>
    </row>
    <row r="227" spans="1:21" ht="13">
      <c r="A227" s="249"/>
      <c r="B227" s="245"/>
      <c r="C227" s="19" t="s">
        <v>53</v>
      </c>
      <c r="D227" s="17">
        <v>13.67</v>
      </c>
      <c r="E227" s="17">
        <v>13</v>
      </c>
      <c r="F227" s="17">
        <f t="shared" si="42"/>
        <v>177.71</v>
      </c>
      <c r="G227" s="236"/>
      <c r="H227" s="236"/>
      <c r="I227" s="236"/>
      <c r="J227" s="242"/>
      <c r="L227" s="249"/>
      <c r="M227" s="245"/>
      <c r="N227" s="19" t="s">
        <v>53</v>
      </c>
      <c r="O227" s="17">
        <v>13.67</v>
      </c>
      <c r="P227" s="17">
        <v>13</v>
      </c>
      <c r="Q227" s="17">
        <f t="shared" si="43"/>
        <v>177.71</v>
      </c>
      <c r="R227" s="236"/>
      <c r="S227" s="236"/>
      <c r="T227" s="236"/>
      <c r="U227" s="242"/>
    </row>
    <row r="228" spans="1:21" ht="13">
      <c r="A228" s="249"/>
      <c r="B228" s="245"/>
      <c r="C228" s="19" t="s">
        <v>64</v>
      </c>
      <c r="D228" s="17">
        <v>17.25</v>
      </c>
      <c r="E228" s="17">
        <v>13</v>
      </c>
      <c r="F228" s="17">
        <f t="shared" si="42"/>
        <v>224.25</v>
      </c>
      <c r="G228" s="236"/>
      <c r="H228" s="236"/>
      <c r="I228" s="236"/>
      <c r="J228" s="242"/>
      <c r="L228" s="249"/>
      <c r="M228" s="245"/>
      <c r="N228" s="19" t="s">
        <v>64</v>
      </c>
      <c r="O228" s="17">
        <v>17.25</v>
      </c>
      <c r="P228" s="17">
        <v>13</v>
      </c>
      <c r="Q228" s="17">
        <f t="shared" si="43"/>
        <v>224.25</v>
      </c>
      <c r="R228" s="236"/>
      <c r="S228" s="236"/>
      <c r="T228" s="236"/>
      <c r="U228" s="242"/>
    </row>
    <row r="229" spans="1:21" ht="13">
      <c r="A229" s="249"/>
      <c r="B229" s="245"/>
      <c r="C229" s="19" t="s">
        <v>583</v>
      </c>
      <c r="D229" s="17">
        <v>16.72</v>
      </c>
      <c r="E229" s="17">
        <v>13</v>
      </c>
      <c r="F229" s="17">
        <f t="shared" si="42"/>
        <v>217.35999999999999</v>
      </c>
      <c r="G229" s="236"/>
      <c r="H229" s="236"/>
      <c r="I229" s="236"/>
      <c r="J229" s="242"/>
      <c r="L229" s="249"/>
      <c r="M229" s="245"/>
      <c r="N229" s="19" t="s">
        <v>583</v>
      </c>
      <c r="O229" s="17">
        <v>16.72</v>
      </c>
      <c r="P229" s="17">
        <v>13</v>
      </c>
      <c r="Q229" s="17">
        <f t="shared" si="43"/>
        <v>217.35999999999999</v>
      </c>
      <c r="R229" s="236"/>
      <c r="S229" s="236"/>
      <c r="T229" s="236"/>
      <c r="U229" s="242"/>
    </row>
    <row r="230" spans="1:21" ht="13">
      <c r="A230" s="249"/>
      <c r="B230" s="245"/>
      <c r="C230" s="19" t="s">
        <v>591</v>
      </c>
      <c r="D230" s="17">
        <v>11.97</v>
      </c>
      <c r="E230" s="17">
        <v>13</v>
      </c>
      <c r="F230" s="17">
        <f t="shared" si="42"/>
        <v>155.61000000000001</v>
      </c>
      <c r="G230" s="236"/>
      <c r="H230" s="236"/>
      <c r="I230" s="236"/>
      <c r="J230" s="242"/>
      <c r="L230" s="249"/>
      <c r="M230" s="245"/>
      <c r="N230" s="19" t="s">
        <v>591</v>
      </c>
      <c r="O230" s="17">
        <v>11.97</v>
      </c>
      <c r="P230" s="17">
        <v>13</v>
      </c>
      <c r="Q230" s="17">
        <f t="shared" si="43"/>
        <v>155.61000000000001</v>
      </c>
      <c r="R230" s="236"/>
      <c r="S230" s="236"/>
      <c r="T230" s="236"/>
      <c r="U230" s="242"/>
    </row>
    <row r="231" spans="1:21" ht="13">
      <c r="A231" s="249"/>
      <c r="B231" s="246"/>
      <c r="C231" s="20"/>
      <c r="D231" s="21"/>
      <c r="E231" s="21"/>
      <c r="F231" s="21"/>
      <c r="G231" s="238"/>
      <c r="H231" s="238"/>
      <c r="I231" s="238"/>
      <c r="J231" s="243"/>
      <c r="L231" s="249"/>
      <c r="M231" s="246"/>
      <c r="N231" s="20"/>
      <c r="O231" s="21"/>
      <c r="P231" s="21"/>
      <c r="Q231" s="21"/>
      <c r="R231" s="238"/>
      <c r="S231" s="238"/>
      <c r="T231" s="238"/>
      <c r="U231" s="243"/>
    </row>
    <row r="232" spans="1:21" ht="13">
      <c r="A232" s="249"/>
      <c r="B232" s="244" t="s">
        <v>177</v>
      </c>
      <c r="C232" s="19" t="s">
        <v>114</v>
      </c>
      <c r="D232" s="16">
        <v>21</v>
      </c>
      <c r="E232" s="16">
        <v>18</v>
      </c>
      <c r="F232" s="17">
        <f t="shared" ref="F232:F233" si="44">D232*E232</f>
        <v>378</v>
      </c>
      <c r="G232" s="240">
        <f>SUM(F232:F242)</f>
        <v>3902.47</v>
      </c>
      <c r="H232" s="237">
        <v>8661.1</v>
      </c>
      <c r="I232" s="237">
        <f>H232-G232</f>
        <v>4758.630000000001</v>
      </c>
      <c r="J232" s="241">
        <f>I232/H232</f>
        <v>0.54942559259216506</v>
      </c>
      <c r="L232" s="249"/>
      <c r="M232" s="244" t="s">
        <v>177</v>
      </c>
      <c r="N232" s="19" t="s">
        <v>114</v>
      </c>
      <c r="O232" s="18"/>
      <c r="P232" s="18"/>
      <c r="Q232" s="18"/>
      <c r="R232" s="240">
        <f>SUM(Q232:Q242)</f>
        <v>3377.47</v>
      </c>
      <c r="S232" s="237">
        <v>8661.1</v>
      </c>
      <c r="T232" s="237">
        <f>S232-R232</f>
        <v>5283.630000000001</v>
      </c>
      <c r="U232" s="241">
        <f>T232/S232</f>
        <v>0.61004144970038454</v>
      </c>
    </row>
    <row r="233" spans="1:21" ht="13">
      <c r="A233" s="249"/>
      <c r="B233" s="245"/>
      <c r="C233" s="19" t="s">
        <v>102</v>
      </c>
      <c r="D233" s="17">
        <v>7</v>
      </c>
      <c r="E233" s="17">
        <v>21</v>
      </c>
      <c r="F233" s="17">
        <f t="shared" si="44"/>
        <v>147</v>
      </c>
      <c r="G233" s="236"/>
      <c r="H233" s="236"/>
      <c r="I233" s="236"/>
      <c r="J233" s="242"/>
      <c r="L233" s="249"/>
      <c r="M233" s="245"/>
      <c r="N233" s="19" t="s">
        <v>102</v>
      </c>
      <c r="O233" s="18"/>
      <c r="P233" s="18"/>
      <c r="Q233" s="18"/>
      <c r="R233" s="236"/>
      <c r="S233" s="236"/>
      <c r="T233" s="236"/>
      <c r="U233" s="242"/>
    </row>
    <row r="234" spans="1:21" ht="13">
      <c r="A234" s="249"/>
      <c r="B234" s="245"/>
      <c r="C234" s="19" t="s">
        <v>76</v>
      </c>
      <c r="D234" s="17"/>
      <c r="E234" s="17"/>
      <c r="F234" s="17">
        <v>991</v>
      </c>
      <c r="G234" s="236"/>
      <c r="H234" s="236"/>
      <c r="I234" s="236"/>
      <c r="J234" s="242"/>
      <c r="L234" s="249"/>
      <c r="M234" s="245"/>
      <c r="N234" s="19" t="s">
        <v>76</v>
      </c>
      <c r="O234" s="17"/>
      <c r="P234" s="17"/>
      <c r="Q234" s="17">
        <v>991</v>
      </c>
      <c r="R234" s="236"/>
      <c r="S234" s="236"/>
      <c r="T234" s="236"/>
      <c r="U234" s="242"/>
    </row>
    <row r="235" spans="1:21" ht="14">
      <c r="A235" s="249"/>
      <c r="B235" s="245"/>
      <c r="C235" s="45" t="s">
        <v>178</v>
      </c>
      <c r="D235" s="17">
        <v>31.33</v>
      </c>
      <c r="E235" s="17">
        <v>13</v>
      </c>
      <c r="F235" s="17">
        <f t="shared" ref="F235:F241" si="45">D235*E235</f>
        <v>407.28999999999996</v>
      </c>
      <c r="G235" s="236"/>
      <c r="H235" s="236"/>
      <c r="I235" s="236"/>
      <c r="J235" s="242"/>
      <c r="L235" s="249"/>
      <c r="M235" s="245"/>
      <c r="N235" s="45" t="s">
        <v>178</v>
      </c>
      <c r="O235" s="17">
        <v>31.33</v>
      </c>
      <c r="P235" s="17">
        <v>13</v>
      </c>
      <c r="Q235" s="17">
        <f t="shared" ref="Q235:Q241" si="46">O235*P235</f>
        <v>407.28999999999996</v>
      </c>
      <c r="R235" s="236"/>
      <c r="S235" s="236"/>
      <c r="T235" s="236"/>
      <c r="U235" s="242"/>
    </row>
    <row r="236" spans="1:21" ht="14">
      <c r="A236" s="249"/>
      <c r="B236" s="245"/>
      <c r="C236" s="45" t="s">
        <v>158</v>
      </c>
      <c r="D236" s="17">
        <v>5.05</v>
      </c>
      <c r="E236" s="17">
        <v>13</v>
      </c>
      <c r="F236" s="17">
        <f t="shared" si="45"/>
        <v>65.649999999999991</v>
      </c>
      <c r="G236" s="236"/>
      <c r="H236" s="236"/>
      <c r="I236" s="236"/>
      <c r="J236" s="242"/>
      <c r="L236" s="249"/>
      <c r="M236" s="245"/>
      <c r="N236" s="45" t="s">
        <v>158</v>
      </c>
      <c r="O236" s="17">
        <v>5.05</v>
      </c>
      <c r="P236" s="17">
        <v>13</v>
      </c>
      <c r="Q236" s="17">
        <f t="shared" si="46"/>
        <v>65.649999999999991</v>
      </c>
      <c r="R236" s="236"/>
      <c r="S236" s="236"/>
      <c r="T236" s="236"/>
      <c r="U236" s="242"/>
    </row>
    <row r="237" spans="1:21" ht="14">
      <c r="A237" s="249"/>
      <c r="B237" s="245"/>
      <c r="C237" s="45" t="s">
        <v>159</v>
      </c>
      <c r="D237" s="17">
        <v>25.5</v>
      </c>
      <c r="E237" s="17">
        <v>13</v>
      </c>
      <c r="F237" s="17">
        <f t="shared" si="45"/>
        <v>331.5</v>
      </c>
      <c r="G237" s="236"/>
      <c r="H237" s="236"/>
      <c r="I237" s="236"/>
      <c r="J237" s="242"/>
      <c r="L237" s="249"/>
      <c r="M237" s="245"/>
      <c r="N237" s="45" t="s">
        <v>159</v>
      </c>
      <c r="O237" s="17">
        <v>25.5</v>
      </c>
      <c r="P237" s="17">
        <v>13</v>
      </c>
      <c r="Q237" s="17">
        <f t="shared" si="46"/>
        <v>331.5</v>
      </c>
      <c r="R237" s="236"/>
      <c r="S237" s="236"/>
      <c r="T237" s="236"/>
      <c r="U237" s="242"/>
    </row>
    <row r="238" spans="1:21" ht="14">
      <c r="A238" s="249"/>
      <c r="B238" s="245"/>
      <c r="C238" s="45" t="s">
        <v>160</v>
      </c>
      <c r="D238" s="17">
        <v>30.2</v>
      </c>
      <c r="E238" s="17">
        <v>13</v>
      </c>
      <c r="F238" s="17">
        <f t="shared" si="45"/>
        <v>392.59999999999997</v>
      </c>
      <c r="G238" s="236"/>
      <c r="H238" s="236"/>
      <c r="I238" s="236"/>
      <c r="J238" s="242"/>
      <c r="L238" s="249"/>
      <c r="M238" s="245"/>
      <c r="N238" s="45" t="s">
        <v>160</v>
      </c>
      <c r="O238" s="17">
        <v>30.2</v>
      </c>
      <c r="P238" s="17">
        <v>13</v>
      </c>
      <c r="Q238" s="17">
        <f t="shared" si="46"/>
        <v>392.59999999999997</v>
      </c>
      <c r="R238" s="236"/>
      <c r="S238" s="236"/>
      <c r="T238" s="236"/>
      <c r="U238" s="242"/>
    </row>
    <row r="239" spans="1:21" ht="13">
      <c r="A239" s="249"/>
      <c r="B239" s="245"/>
      <c r="C239" s="24" t="s">
        <v>161</v>
      </c>
      <c r="D239" s="17">
        <v>31.75</v>
      </c>
      <c r="E239" s="17">
        <v>13</v>
      </c>
      <c r="F239" s="17">
        <f t="shared" si="45"/>
        <v>412.75</v>
      </c>
      <c r="G239" s="236"/>
      <c r="H239" s="236"/>
      <c r="I239" s="236"/>
      <c r="J239" s="242"/>
      <c r="L239" s="249"/>
      <c r="M239" s="245"/>
      <c r="N239" s="24" t="s">
        <v>161</v>
      </c>
      <c r="O239" s="17">
        <v>31.75</v>
      </c>
      <c r="P239" s="17">
        <v>13</v>
      </c>
      <c r="Q239" s="17">
        <f t="shared" si="46"/>
        <v>412.75</v>
      </c>
      <c r="R239" s="236"/>
      <c r="S239" s="236"/>
      <c r="T239" s="236"/>
      <c r="U239" s="242"/>
    </row>
    <row r="240" spans="1:21" ht="13">
      <c r="A240" s="249"/>
      <c r="B240" s="245"/>
      <c r="C240" s="24" t="s">
        <v>55</v>
      </c>
      <c r="D240" s="17">
        <v>25.36</v>
      </c>
      <c r="E240" s="17">
        <v>13</v>
      </c>
      <c r="F240" s="17">
        <f t="shared" si="45"/>
        <v>329.68</v>
      </c>
      <c r="G240" s="236"/>
      <c r="H240" s="236"/>
      <c r="I240" s="236"/>
      <c r="J240" s="242"/>
      <c r="L240" s="249"/>
      <c r="M240" s="245"/>
      <c r="N240" s="24" t="s">
        <v>55</v>
      </c>
      <c r="O240" s="17">
        <v>25.36</v>
      </c>
      <c r="P240" s="17">
        <v>13</v>
      </c>
      <c r="Q240" s="17">
        <f t="shared" si="46"/>
        <v>329.68</v>
      </c>
      <c r="R240" s="236"/>
      <c r="S240" s="236"/>
      <c r="T240" s="236"/>
      <c r="U240" s="242"/>
    </row>
    <row r="241" spans="1:21" ht="13">
      <c r="A241" s="249"/>
      <c r="B241" s="245"/>
      <c r="C241" s="24" t="s">
        <v>80</v>
      </c>
      <c r="D241" s="17">
        <v>19</v>
      </c>
      <c r="E241" s="17">
        <v>13</v>
      </c>
      <c r="F241" s="17">
        <f t="shared" si="45"/>
        <v>247</v>
      </c>
      <c r="G241" s="236"/>
      <c r="H241" s="236"/>
      <c r="I241" s="236"/>
      <c r="J241" s="242"/>
      <c r="L241" s="249"/>
      <c r="M241" s="245"/>
      <c r="N241" s="24" t="s">
        <v>80</v>
      </c>
      <c r="O241" s="17">
        <v>19</v>
      </c>
      <c r="P241" s="17">
        <v>13</v>
      </c>
      <c r="Q241" s="17">
        <f t="shared" si="46"/>
        <v>247</v>
      </c>
      <c r="R241" s="236"/>
      <c r="S241" s="236"/>
      <c r="T241" s="236"/>
      <c r="U241" s="242"/>
    </row>
    <row r="242" spans="1:21" ht="13">
      <c r="A242" s="249"/>
      <c r="B242" s="246"/>
      <c r="C242" s="44" t="s">
        <v>162</v>
      </c>
      <c r="D242" s="21"/>
      <c r="E242" s="21"/>
      <c r="F242" s="21">
        <v>200</v>
      </c>
      <c r="G242" s="238"/>
      <c r="H242" s="238"/>
      <c r="I242" s="238"/>
      <c r="J242" s="243"/>
      <c r="L242" s="249"/>
      <c r="M242" s="246"/>
      <c r="N242" s="44" t="s">
        <v>162</v>
      </c>
      <c r="O242" s="21"/>
      <c r="P242" s="21"/>
      <c r="Q242" s="21">
        <v>200</v>
      </c>
      <c r="R242" s="238"/>
      <c r="S242" s="238"/>
      <c r="T242" s="238"/>
      <c r="U242" s="243"/>
    </row>
    <row r="243" spans="1:21" ht="13">
      <c r="A243" s="249"/>
      <c r="B243" s="244" t="s">
        <v>179</v>
      </c>
      <c r="C243" s="15" t="s">
        <v>35</v>
      </c>
      <c r="D243" s="16"/>
      <c r="E243" s="17"/>
      <c r="F243" s="17">
        <v>150</v>
      </c>
      <c r="G243" s="240">
        <f>SUM(F243:F246)</f>
        <v>292.01</v>
      </c>
      <c r="H243" s="273">
        <v>2592.19</v>
      </c>
      <c r="I243" s="273">
        <f>H243-G243</f>
        <v>2300.1800000000003</v>
      </c>
      <c r="J243" s="241">
        <f>I243/H243</f>
        <v>0.88735007850504799</v>
      </c>
      <c r="L243" s="249"/>
      <c r="M243" s="244" t="s">
        <v>179</v>
      </c>
      <c r="N243" s="15" t="s">
        <v>51</v>
      </c>
      <c r="O243" s="16"/>
      <c r="P243" s="17"/>
      <c r="Q243" s="17">
        <v>150</v>
      </c>
      <c r="R243" s="240">
        <f>SUM(Q243:Q246)</f>
        <v>292.01</v>
      </c>
      <c r="S243" s="273">
        <v>2592.19</v>
      </c>
      <c r="T243" s="273">
        <f>S243-R243</f>
        <v>2300.1800000000003</v>
      </c>
      <c r="U243" s="241">
        <f>T243/S243</f>
        <v>0.88735007850504799</v>
      </c>
    </row>
    <row r="244" spans="1:21" ht="13">
      <c r="A244" s="249"/>
      <c r="B244" s="245"/>
      <c r="C244" s="19" t="s">
        <v>45</v>
      </c>
      <c r="D244" s="17"/>
      <c r="E244" s="17"/>
      <c r="F244" s="17">
        <v>64.010000000000005</v>
      </c>
      <c r="G244" s="236"/>
      <c r="H244" s="236"/>
      <c r="I244" s="236"/>
      <c r="J244" s="242"/>
      <c r="L244" s="249"/>
      <c r="M244" s="245"/>
      <c r="N244" s="19" t="s">
        <v>45</v>
      </c>
      <c r="O244" s="17"/>
      <c r="P244" s="17"/>
      <c r="Q244" s="17">
        <v>64.010000000000005</v>
      </c>
      <c r="R244" s="236"/>
      <c r="S244" s="236"/>
      <c r="T244" s="236"/>
      <c r="U244" s="242"/>
    </row>
    <row r="245" spans="1:21" ht="13">
      <c r="A245" s="249"/>
      <c r="B245" s="245"/>
      <c r="C245" s="19" t="s">
        <v>155</v>
      </c>
      <c r="D245" s="17"/>
      <c r="E245" s="17"/>
      <c r="F245" s="17">
        <v>78</v>
      </c>
      <c r="G245" s="236"/>
      <c r="H245" s="236"/>
      <c r="I245" s="236"/>
      <c r="J245" s="242"/>
      <c r="L245" s="249"/>
      <c r="M245" s="245"/>
      <c r="N245" s="19" t="s">
        <v>155</v>
      </c>
      <c r="O245" s="17"/>
      <c r="P245" s="17"/>
      <c r="Q245" s="17">
        <v>78</v>
      </c>
      <c r="R245" s="236"/>
      <c r="S245" s="236"/>
      <c r="T245" s="236"/>
      <c r="U245" s="242"/>
    </row>
    <row r="246" spans="1:21" ht="13">
      <c r="A246" s="249"/>
      <c r="B246" s="246"/>
      <c r="C246" s="44"/>
      <c r="D246" s="21"/>
      <c r="E246" s="21"/>
      <c r="F246" s="21"/>
      <c r="G246" s="238"/>
      <c r="H246" s="238"/>
      <c r="I246" s="238"/>
      <c r="J246" s="243"/>
      <c r="L246" s="249"/>
      <c r="M246" s="246"/>
      <c r="N246" s="44"/>
      <c r="O246" s="21"/>
      <c r="P246" s="21"/>
      <c r="Q246" s="21"/>
      <c r="R246" s="238"/>
      <c r="S246" s="238"/>
      <c r="T246" s="238"/>
      <c r="U246" s="243"/>
    </row>
    <row r="247" spans="1:21" ht="13">
      <c r="A247" s="249"/>
      <c r="B247" s="244" t="s">
        <v>594</v>
      </c>
      <c r="C247" s="64" t="s">
        <v>23</v>
      </c>
      <c r="D247" s="50">
        <v>14</v>
      </c>
      <c r="E247" s="50">
        <v>16</v>
      </c>
      <c r="F247" s="65">
        <f>D247*E247</f>
        <v>224</v>
      </c>
      <c r="G247" s="240">
        <f>SUM(F247:F260)</f>
        <v>4820.58</v>
      </c>
      <c r="H247" s="240">
        <v>7000</v>
      </c>
      <c r="I247" s="240">
        <f>H247-G247</f>
        <v>2179.42</v>
      </c>
      <c r="J247" s="241">
        <f>I247/H247</f>
        <v>0.31134571428571428</v>
      </c>
      <c r="L247" s="249"/>
      <c r="M247" s="244" t="s">
        <v>594</v>
      </c>
      <c r="N247" s="64" t="s">
        <v>23</v>
      </c>
      <c r="O247" s="18"/>
      <c r="P247" s="18"/>
      <c r="Q247" s="18"/>
      <c r="R247" s="240">
        <f>SUM(Q247:Q260)</f>
        <v>4596.58</v>
      </c>
      <c r="S247" s="240">
        <v>7000</v>
      </c>
      <c r="T247" s="240">
        <f>S247-R247</f>
        <v>2403.42</v>
      </c>
      <c r="U247" s="241">
        <f>T247/S247</f>
        <v>0.34334571428571431</v>
      </c>
    </row>
    <row r="248" spans="1:21" ht="13">
      <c r="A248" s="249"/>
      <c r="B248" s="245"/>
      <c r="C248" s="22" t="s">
        <v>575</v>
      </c>
      <c r="D248" s="23"/>
      <c r="E248" s="23"/>
      <c r="F248" s="23">
        <v>340</v>
      </c>
      <c r="G248" s="236"/>
      <c r="H248" s="236"/>
      <c r="I248" s="236"/>
      <c r="J248" s="242"/>
      <c r="L248" s="249"/>
      <c r="M248" s="245"/>
      <c r="N248" s="22" t="s">
        <v>575</v>
      </c>
      <c r="O248" s="23"/>
      <c r="P248" s="23"/>
      <c r="Q248" s="23">
        <v>340</v>
      </c>
      <c r="R248" s="236"/>
      <c r="S248" s="236"/>
      <c r="T248" s="236"/>
      <c r="U248" s="242"/>
    </row>
    <row r="249" spans="1:21" ht="13">
      <c r="A249" s="249"/>
      <c r="B249" s="245"/>
      <c r="C249" s="22" t="s">
        <v>595</v>
      </c>
      <c r="D249" s="23"/>
      <c r="E249" s="23"/>
      <c r="F249" s="23">
        <v>1600</v>
      </c>
      <c r="G249" s="236"/>
      <c r="H249" s="236"/>
      <c r="I249" s="236"/>
      <c r="J249" s="242"/>
      <c r="L249" s="249"/>
      <c r="M249" s="245"/>
      <c r="N249" s="22" t="s">
        <v>595</v>
      </c>
      <c r="O249" s="23"/>
      <c r="P249" s="23"/>
      <c r="Q249" s="23">
        <v>1600</v>
      </c>
      <c r="R249" s="236"/>
      <c r="S249" s="236"/>
      <c r="T249" s="236"/>
      <c r="U249" s="242"/>
    </row>
    <row r="250" spans="1:21" ht="13">
      <c r="A250" s="249"/>
      <c r="B250" s="245"/>
      <c r="C250" s="22" t="s">
        <v>596</v>
      </c>
      <c r="D250" s="23">
        <v>26.28</v>
      </c>
      <c r="E250" s="23">
        <v>15</v>
      </c>
      <c r="F250" s="23">
        <f t="shared" ref="F250:F254" si="47">D250*E250</f>
        <v>394.20000000000005</v>
      </c>
      <c r="G250" s="236"/>
      <c r="H250" s="236"/>
      <c r="I250" s="236"/>
      <c r="J250" s="242"/>
      <c r="L250" s="249"/>
      <c r="M250" s="245"/>
      <c r="N250" s="22" t="s">
        <v>596</v>
      </c>
      <c r="O250" s="23">
        <v>26.28</v>
      </c>
      <c r="P250" s="23">
        <v>15</v>
      </c>
      <c r="Q250" s="23">
        <f t="shared" ref="Q250:Q254" si="48">O250*P250</f>
        <v>394.20000000000005</v>
      </c>
      <c r="R250" s="236"/>
      <c r="S250" s="236"/>
      <c r="T250" s="236"/>
      <c r="U250" s="242"/>
    </row>
    <row r="251" spans="1:21" ht="13">
      <c r="A251" s="249"/>
      <c r="B251" s="245"/>
      <c r="C251" s="22" t="s">
        <v>70</v>
      </c>
      <c r="D251" s="23">
        <v>30.33</v>
      </c>
      <c r="E251" s="23">
        <v>15</v>
      </c>
      <c r="F251" s="23">
        <f t="shared" si="47"/>
        <v>454.95</v>
      </c>
      <c r="G251" s="236"/>
      <c r="H251" s="236"/>
      <c r="I251" s="236"/>
      <c r="J251" s="242"/>
      <c r="L251" s="249"/>
      <c r="M251" s="245"/>
      <c r="N251" s="22" t="s">
        <v>70</v>
      </c>
      <c r="O251" s="23">
        <v>30.33</v>
      </c>
      <c r="P251" s="23">
        <v>15</v>
      </c>
      <c r="Q251" s="23">
        <f t="shared" si="48"/>
        <v>454.95</v>
      </c>
      <c r="R251" s="236"/>
      <c r="S251" s="236"/>
      <c r="T251" s="236"/>
      <c r="U251" s="242"/>
    </row>
    <row r="252" spans="1:21" ht="13">
      <c r="A252" s="249"/>
      <c r="B252" s="245"/>
      <c r="C252" s="22" t="s">
        <v>597</v>
      </c>
      <c r="D252" s="23">
        <v>25.25</v>
      </c>
      <c r="E252" s="23">
        <v>17</v>
      </c>
      <c r="F252" s="23">
        <f t="shared" si="47"/>
        <v>429.25</v>
      </c>
      <c r="G252" s="236"/>
      <c r="H252" s="236"/>
      <c r="I252" s="236"/>
      <c r="J252" s="242"/>
      <c r="L252" s="249"/>
      <c r="M252" s="245"/>
      <c r="N252" s="22" t="s">
        <v>597</v>
      </c>
      <c r="O252" s="23">
        <v>25.25</v>
      </c>
      <c r="P252" s="23">
        <v>17</v>
      </c>
      <c r="Q252" s="23">
        <f t="shared" si="48"/>
        <v>429.25</v>
      </c>
      <c r="R252" s="236"/>
      <c r="S252" s="236"/>
      <c r="T252" s="236"/>
      <c r="U252" s="242"/>
    </row>
    <row r="253" spans="1:21" ht="13">
      <c r="A253" s="249"/>
      <c r="B253" s="245"/>
      <c r="C253" s="22" t="s">
        <v>578</v>
      </c>
      <c r="D253" s="23">
        <v>23.8</v>
      </c>
      <c r="E253" s="23">
        <v>15</v>
      </c>
      <c r="F253" s="23">
        <f t="shared" si="47"/>
        <v>357</v>
      </c>
      <c r="G253" s="236"/>
      <c r="H253" s="236"/>
      <c r="I253" s="236"/>
      <c r="J253" s="242"/>
      <c r="L253" s="249"/>
      <c r="M253" s="245"/>
      <c r="N253" s="22" t="s">
        <v>578</v>
      </c>
      <c r="O253" s="23">
        <v>23.8</v>
      </c>
      <c r="P253" s="23">
        <v>15</v>
      </c>
      <c r="Q253" s="23">
        <f t="shared" si="48"/>
        <v>357</v>
      </c>
      <c r="R253" s="236"/>
      <c r="S253" s="236"/>
      <c r="T253" s="236"/>
      <c r="U253" s="242"/>
    </row>
    <row r="254" spans="1:21" ht="13">
      <c r="A254" s="249"/>
      <c r="B254" s="245"/>
      <c r="C254" s="22" t="s">
        <v>580</v>
      </c>
      <c r="D254" s="23">
        <v>14.17</v>
      </c>
      <c r="E254" s="23">
        <v>15</v>
      </c>
      <c r="F254" s="23">
        <f t="shared" si="47"/>
        <v>212.55</v>
      </c>
      <c r="G254" s="236"/>
      <c r="H254" s="236"/>
      <c r="I254" s="236"/>
      <c r="J254" s="242"/>
      <c r="L254" s="249"/>
      <c r="M254" s="245"/>
      <c r="N254" s="22" t="s">
        <v>580</v>
      </c>
      <c r="O254" s="23">
        <v>14.17</v>
      </c>
      <c r="P254" s="23">
        <v>15</v>
      </c>
      <c r="Q254" s="23">
        <f t="shared" si="48"/>
        <v>212.55</v>
      </c>
      <c r="R254" s="236"/>
      <c r="S254" s="236"/>
      <c r="T254" s="236"/>
      <c r="U254" s="242"/>
    </row>
    <row r="255" spans="1:21" ht="13">
      <c r="A255" s="249"/>
      <c r="B255" s="245"/>
      <c r="C255" s="22" t="s">
        <v>48</v>
      </c>
      <c r="D255" s="23"/>
      <c r="E255" s="23"/>
      <c r="F255" s="23">
        <v>103.8</v>
      </c>
      <c r="G255" s="236"/>
      <c r="H255" s="236"/>
      <c r="I255" s="236"/>
      <c r="J255" s="242"/>
      <c r="L255" s="249"/>
      <c r="M255" s="245"/>
      <c r="N255" s="22" t="s">
        <v>48</v>
      </c>
      <c r="O255" s="23"/>
      <c r="P255" s="23"/>
      <c r="Q255" s="23">
        <v>103.8</v>
      </c>
      <c r="R255" s="236"/>
      <c r="S255" s="236"/>
      <c r="T255" s="236"/>
      <c r="U255" s="242"/>
    </row>
    <row r="256" spans="1:21" ht="13">
      <c r="A256" s="249"/>
      <c r="B256" s="245"/>
      <c r="C256" s="22" t="s">
        <v>598</v>
      </c>
      <c r="D256" s="23"/>
      <c r="E256" s="23"/>
      <c r="F256" s="23">
        <v>254</v>
      </c>
      <c r="G256" s="236"/>
      <c r="H256" s="236"/>
      <c r="I256" s="236"/>
      <c r="J256" s="242"/>
      <c r="L256" s="249"/>
      <c r="M256" s="245"/>
      <c r="N256" s="22" t="s">
        <v>598</v>
      </c>
      <c r="O256" s="23"/>
      <c r="P256" s="23"/>
      <c r="Q256" s="23">
        <v>254</v>
      </c>
      <c r="R256" s="236"/>
      <c r="S256" s="236"/>
      <c r="T256" s="236"/>
      <c r="U256" s="242"/>
    </row>
    <row r="257" spans="1:21" ht="13">
      <c r="A257" s="249"/>
      <c r="B257" s="245"/>
      <c r="C257" s="22" t="s">
        <v>45</v>
      </c>
      <c r="D257" s="23"/>
      <c r="E257" s="23"/>
      <c r="F257" s="23">
        <v>56.87</v>
      </c>
      <c r="G257" s="236"/>
      <c r="H257" s="236"/>
      <c r="I257" s="236"/>
      <c r="J257" s="242"/>
      <c r="L257" s="249"/>
      <c r="M257" s="245"/>
      <c r="N257" s="22" t="s">
        <v>45</v>
      </c>
      <c r="O257" s="23"/>
      <c r="P257" s="23"/>
      <c r="Q257" s="23">
        <v>56.87</v>
      </c>
      <c r="R257" s="236"/>
      <c r="S257" s="236"/>
      <c r="T257" s="236"/>
      <c r="U257" s="242"/>
    </row>
    <row r="258" spans="1:21" ht="13">
      <c r="A258" s="249"/>
      <c r="B258" s="245"/>
      <c r="C258" s="22" t="s">
        <v>47</v>
      </c>
      <c r="D258" s="23"/>
      <c r="E258" s="23"/>
      <c r="F258" s="23">
        <v>146.68</v>
      </c>
      <c r="G258" s="236"/>
      <c r="H258" s="236"/>
      <c r="I258" s="236"/>
      <c r="J258" s="242"/>
      <c r="L258" s="249"/>
      <c r="M258" s="245"/>
      <c r="N258" s="22" t="s">
        <v>47</v>
      </c>
      <c r="O258" s="23"/>
      <c r="P258" s="23"/>
      <c r="Q258" s="23">
        <v>146.68</v>
      </c>
      <c r="R258" s="236"/>
      <c r="S258" s="236"/>
      <c r="T258" s="236"/>
      <c r="U258" s="242"/>
    </row>
    <row r="259" spans="1:21" ht="13">
      <c r="A259" s="249"/>
      <c r="B259" s="245"/>
      <c r="C259" s="22" t="s">
        <v>155</v>
      </c>
      <c r="D259" s="23"/>
      <c r="E259" s="23"/>
      <c r="F259" s="23">
        <v>247.28</v>
      </c>
      <c r="G259" s="236"/>
      <c r="H259" s="236"/>
      <c r="I259" s="236"/>
      <c r="J259" s="242"/>
      <c r="L259" s="249"/>
      <c r="M259" s="245"/>
      <c r="N259" s="22" t="s">
        <v>155</v>
      </c>
      <c r="O259" s="23"/>
      <c r="P259" s="23"/>
      <c r="Q259" s="23">
        <v>247.28</v>
      </c>
      <c r="R259" s="236"/>
      <c r="S259" s="236"/>
      <c r="T259" s="236"/>
      <c r="U259" s="242"/>
    </row>
    <row r="260" spans="1:21" ht="13">
      <c r="A260" s="249"/>
      <c r="B260" s="246"/>
      <c r="C260" s="78"/>
      <c r="D260" s="26"/>
      <c r="E260" s="26"/>
      <c r="F260" s="26"/>
      <c r="G260" s="238"/>
      <c r="H260" s="238"/>
      <c r="I260" s="238"/>
      <c r="J260" s="243"/>
      <c r="L260" s="249"/>
      <c r="M260" s="246"/>
      <c r="N260" s="78"/>
      <c r="O260" s="26"/>
      <c r="P260" s="26"/>
      <c r="Q260" s="26"/>
      <c r="R260" s="238"/>
      <c r="S260" s="238"/>
      <c r="T260" s="238"/>
      <c r="U260" s="243"/>
    </row>
    <row r="261" spans="1:21" ht="13">
      <c r="A261" s="249"/>
      <c r="B261" s="244" t="s">
        <v>180</v>
      </c>
      <c r="C261" s="15" t="s">
        <v>64</v>
      </c>
      <c r="D261" s="16">
        <v>5.47</v>
      </c>
      <c r="E261" s="17">
        <v>15</v>
      </c>
      <c r="F261" s="17">
        <f t="shared" ref="F261:F265" si="49">D261*E261</f>
        <v>82.05</v>
      </c>
      <c r="G261" s="240">
        <f>SUM(F261:F266)</f>
        <v>569.1</v>
      </c>
      <c r="H261" s="273">
        <v>2000</v>
      </c>
      <c r="I261" s="273">
        <f>H261-G261</f>
        <v>1430.9</v>
      </c>
      <c r="J261" s="241">
        <f>I261/H261</f>
        <v>0.71545000000000003</v>
      </c>
      <c r="L261" s="249"/>
      <c r="M261" s="244" t="s">
        <v>180</v>
      </c>
      <c r="N261" s="15" t="s">
        <v>64</v>
      </c>
      <c r="O261" s="16">
        <v>5.47</v>
      </c>
      <c r="P261" s="17">
        <v>15</v>
      </c>
      <c r="Q261" s="17">
        <f t="shared" ref="Q261:Q265" si="50">O261*P261</f>
        <v>82.05</v>
      </c>
      <c r="R261" s="240">
        <f>SUM(Q261:Q266)</f>
        <v>569.1</v>
      </c>
      <c r="S261" s="273">
        <v>2000</v>
      </c>
      <c r="T261" s="273">
        <f>S261-R261</f>
        <v>1430.9</v>
      </c>
      <c r="U261" s="241">
        <f>T261/S261</f>
        <v>0.71545000000000003</v>
      </c>
    </row>
    <row r="262" spans="1:21" ht="13">
      <c r="A262" s="249"/>
      <c r="B262" s="245"/>
      <c r="C262" s="19" t="s">
        <v>32</v>
      </c>
      <c r="D262" s="17">
        <v>10.75</v>
      </c>
      <c r="E262" s="17">
        <v>15</v>
      </c>
      <c r="F262" s="17">
        <f t="shared" si="49"/>
        <v>161.25</v>
      </c>
      <c r="G262" s="236"/>
      <c r="H262" s="236"/>
      <c r="I262" s="236"/>
      <c r="J262" s="242"/>
      <c r="L262" s="249"/>
      <c r="M262" s="245"/>
      <c r="N262" s="19" t="s">
        <v>32</v>
      </c>
      <c r="O262" s="17">
        <v>10.75</v>
      </c>
      <c r="P262" s="17">
        <v>15</v>
      </c>
      <c r="Q262" s="17">
        <f t="shared" si="50"/>
        <v>161.25</v>
      </c>
      <c r="R262" s="236"/>
      <c r="S262" s="236"/>
      <c r="T262" s="236"/>
      <c r="U262" s="242"/>
    </row>
    <row r="263" spans="1:21" ht="13">
      <c r="A263" s="249"/>
      <c r="B263" s="245"/>
      <c r="C263" s="19" t="s">
        <v>171</v>
      </c>
      <c r="D263" s="17">
        <v>7.05</v>
      </c>
      <c r="E263" s="17">
        <v>15</v>
      </c>
      <c r="F263" s="17">
        <f t="shared" si="49"/>
        <v>105.75</v>
      </c>
      <c r="G263" s="236"/>
      <c r="H263" s="236"/>
      <c r="I263" s="236"/>
      <c r="J263" s="242"/>
      <c r="L263" s="249"/>
      <c r="M263" s="245"/>
      <c r="N263" s="19" t="s">
        <v>171</v>
      </c>
      <c r="O263" s="17">
        <v>7.05</v>
      </c>
      <c r="P263" s="17">
        <v>15</v>
      </c>
      <c r="Q263" s="17">
        <f t="shared" si="50"/>
        <v>105.75</v>
      </c>
      <c r="R263" s="236"/>
      <c r="S263" s="236"/>
      <c r="T263" s="236"/>
      <c r="U263" s="242"/>
    </row>
    <row r="264" spans="1:21" ht="13">
      <c r="A264" s="249"/>
      <c r="B264" s="245"/>
      <c r="C264" s="19" t="s">
        <v>55</v>
      </c>
      <c r="D264" s="17">
        <v>6.77</v>
      </c>
      <c r="E264" s="17">
        <v>15</v>
      </c>
      <c r="F264" s="17">
        <f t="shared" si="49"/>
        <v>101.55</v>
      </c>
      <c r="G264" s="236"/>
      <c r="H264" s="236"/>
      <c r="I264" s="236"/>
      <c r="J264" s="242"/>
      <c r="L264" s="249"/>
      <c r="M264" s="245"/>
      <c r="N264" s="19" t="s">
        <v>55</v>
      </c>
      <c r="O264" s="17">
        <v>6.77</v>
      </c>
      <c r="P264" s="17">
        <v>15</v>
      </c>
      <c r="Q264" s="17">
        <f t="shared" si="50"/>
        <v>101.55</v>
      </c>
      <c r="R264" s="236"/>
      <c r="S264" s="236"/>
      <c r="T264" s="236"/>
      <c r="U264" s="242"/>
    </row>
    <row r="265" spans="1:21" ht="13">
      <c r="A265" s="249"/>
      <c r="B265" s="245"/>
      <c r="C265" s="19" t="s">
        <v>53</v>
      </c>
      <c r="D265" s="17">
        <v>7.9</v>
      </c>
      <c r="E265" s="17">
        <v>15</v>
      </c>
      <c r="F265" s="17">
        <f t="shared" si="49"/>
        <v>118.5</v>
      </c>
      <c r="G265" s="236"/>
      <c r="H265" s="236"/>
      <c r="I265" s="236"/>
      <c r="J265" s="242"/>
      <c r="L265" s="249"/>
      <c r="M265" s="245"/>
      <c r="N265" s="19" t="s">
        <v>53</v>
      </c>
      <c r="O265" s="17">
        <v>7.9</v>
      </c>
      <c r="P265" s="17">
        <v>15</v>
      </c>
      <c r="Q265" s="17">
        <f t="shared" si="50"/>
        <v>118.5</v>
      </c>
      <c r="R265" s="236"/>
      <c r="S265" s="236"/>
      <c r="T265" s="236"/>
      <c r="U265" s="242"/>
    </row>
    <row r="266" spans="1:21" ht="13">
      <c r="A266" s="249"/>
      <c r="B266" s="246"/>
      <c r="C266" s="44"/>
      <c r="D266" s="21"/>
      <c r="E266" s="21"/>
      <c r="F266" s="21"/>
      <c r="G266" s="238"/>
      <c r="H266" s="238"/>
      <c r="I266" s="238"/>
      <c r="J266" s="243"/>
      <c r="L266" s="249"/>
      <c r="M266" s="246"/>
      <c r="N266" s="44"/>
      <c r="O266" s="21"/>
      <c r="P266" s="21"/>
      <c r="Q266" s="21"/>
      <c r="R266" s="238"/>
      <c r="S266" s="238"/>
      <c r="T266" s="238"/>
      <c r="U266" s="243"/>
    </row>
    <row r="267" spans="1:21" ht="13">
      <c r="A267" s="249"/>
      <c r="B267" s="244" t="s">
        <v>181</v>
      </c>
      <c r="C267" s="15" t="s">
        <v>55</v>
      </c>
      <c r="D267" s="16">
        <v>5.55</v>
      </c>
      <c r="E267" s="17">
        <v>13</v>
      </c>
      <c r="F267" s="17">
        <f t="shared" ref="F267:F268" si="51">D267*E267</f>
        <v>72.149999999999991</v>
      </c>
      <c r="G267" s="240">
        <f>SUM(F267:F270)</f>
        <v>179.79999999999998</v>
      </c>
      <c r="H267" s="273">
        <v>1508.73</v>
      </c>
      <c r="I267" s="273">
        <f>H267-G267</f>
        <v>1328.93</v>
      </c>
      <c r="J267" s="241">
        <f>I267/H267</f>
        <v>0.88082692065512058</v>
      </c>
      <c r="L267" s="249"/>
      <c r="M267" s="244" t="s">
        <v>181</v>
      </c>
      <c r="N267" s="15" t="s">
        <v>55</v>
      </c>
      <c r="O267" s="16">
        <v>5.55</v>
      </c>
      <c r="P267" s="17">
        <v>13</v>
      </c>
      <c r="Q267" s="17">
        <f t="shared" ref="Q267:Q268" si="52">O267*P267</f>
        <v>72.149999999999991</v>
      </c>
      <c r="R267" s="240">
        <f>SUM(Q267:Q270)</f>
        <v>179.79999999999998</v>
      </c>
      <c r="S267" s="273">
        <v>1508.73</v>
      </c>
      <c r="T267" s="273">
        <f>S267-R267</f>
        <v>1328.93</v>
      </c>
      <c r="U267" s="241">
        <f>T267/S267</f>
        <v>0.88082692065512058</v>
      </c>
    </row>
    <row r="268" spans="1:21" ht="13">
      <c r="A268" s="249"/>
      <c r="B268" s="245"/>
      <c r="C268" s="19" t="s">
        <v>53</v>
      </c>
      <c r="D268" s="17">
        <v>3.85</v>
      </c>
      <c r="E268" s="17">
        <v>13</v>
      </c>
      <c r="F268" s="17">
        <f t="shared" si="51"/>
        <v>50.050000000000004</v>
      </c>
      <c r="G268" s="236"/>
      <c r="H268" s="236"/>
      <c r="I268" s="236"/>
      <c r="J268" s="242"/>
      <c r="L268" s="249"/>
      <c r="M268" s="245"/>
      <c r="N268" s="19" t="s">
        <v>53</v>
      </c>
      <c r="O268" s="17">
        <v>3.85</v>
      </c>
      <c r="P268" s="17">
        <v>13</v>
      </c>
      <c r="Q268" s="17">
        <f t="shared" si="52"/>
        <v>50.050000000000004</v>
      </c>
      <c r="R268" s="236"/>
      <c r="S268" s="236"/>
      <c r="T268" s="236"/>
      <c r="U268" s="242"/>
    </row>
    <row r="269" spans="1:21" ht="13">
      <c r="A269" s="249"/>
      <c r="B269" s="245"/>
      <c r="C269" s="19" t="s">
        <v>33</v>
      </c>
      <c r="D269" s="17"/>
      <c r="E269" s="17"/>
      <c r="F269" s="17">
        <v>57.6</v>
      </c>
      <c r="G269" s="236"/>
      <c r="H269" s="236"/>
      <c r="I269" s="236"/>
      <c r="J269" s="242"/>
      <c r="L269" s="249"/>
      <c r="M269" s="245"/>
      <c r="N269" s="19" t="s">
        <v>33</v>
      </c>
      <c r="O269" s="17"/>
      <c r="P269" s="17"/>
      <c r="Q269" s="17">
        <v>57.6</v>
      </c>
      <c r="R269" s="236"/>
      <c r="S269" s="236"/>
      <c r="T269" s="236"/>
      <c r="U269" s="242"/>
    </row>
    <row r="270" spans="1:21" ht="13">
      <c r="A270" s="249"/>
      <c r="B270" s="246"/>
      <c r="C270" s="44"/>
      <c r="D270" s="21"/>
      <c r="E270" s="21"/>
      <c r="F270" s="21"/>
      <c r="G270" s="238"/>
      <c r="H270" s="238"/>
      <c r="I270" s="238"/>
      <c r="J270" s="243"/>
      <c r="L270" s="249"/>
      <c r="M270" s="246"/>
      <c r="N270" s="44"/>
      <c r="O270" s="21"/>
      <c r="P270" s="21"/>
      <c r="Q270" s="21"/>
      <c r="R270" s="238"/>
      <c r="S270" s="238"/>
      <c r="T270" s="238"/>
      <c r="U270" s="243"/>
    </row>
    <row r="271" spans="1:21" ht="13">
      <c r="A271" s="249"/>
      <c r="B271" s="244" t="s">
        <v>182</v>
      </c>
      <c r="C271" s="15" t="s">
        <v>55</v>
      </c>
      <c r="D271" s="16">
        <v>2.9</v>
      </c>
      <c r="E271" s="17">
        <v>13</v>
      </c>
      <c r="F271" s="17">
        <f>D271*E271</f>
        <v>37.699999999999996</v>
      </c>
      <c r="G271" s="240">
        <f>SUM(F271:F273)</f>
        <v>237.7</v>
      </c>
      <c r="H271" s="273">
        <v>1508.73</v>
      </c>
      <c r="I271" s="273">
        <f>H271-G271</f>
        <v>1271.03</v>
      </c>
      <c r="J271" s="241">
        <f>I271/H271</f>
        <v>0.84245027274595186</v>
      </c>
      <c r="L271" s="249"/>
      <c r="M271" s="244" t="s">
        <v>182</v>
      </c>
      <c r="N271" s="15" t="s">
        <v>55</v>
      </c>
      <c r="O271" s="16">
        <v>2.9</v>
      </c>
      <c r="P271" s="17">
        <v>13</v>
      </c>
      <c r="Q271" s="17">
        <f>O271*P271</f>
        <v>37.699999999999996</v>
      </c>
      <c r="R271" s="240">
        <f>SUM(Q271:Q273)</f>
        <v>237.7</v>
      </c>
      <c r="S271" s="273">
        <v>1508.73</v>
      </c>
      <c r="T271" s="273">
        <f>S271-R271</f>
        <v>1271.03</v>
      </c>
      <c r="U271" s="241">
        <f>T271/S271</f>
        <v>0.84245027274595186</v>
      </c>
    </row>
    <row r="272" spans="1:21" ht="13">
      <c r="A272" s="249"/>
      <c r="B272" s="245"/>
      <c r="C272" s="19" t="s">
        <v>33</v>
      </c>
      <c r="D272" s="17"/>
      <c r="E272" s="17"/>
      <c r="F272" s="17">
        <v>200</v>
      </c>
      <c r="G272" s="236"/>
      <c r="H272" s="236"/>
      <c r="I272" s="236"/>
      <c r="J272" s="242"/>
      <c r="L272" s="249"/>
      <c r="M272" s="245"/>
      <c r="N272" s="19" t="s">
        <v>33</v>
      </c>
      <c r="O272" s="17"/>
      <c r="P272" s="17"/>
      <c r="Q272" s="17">
        <v>200</v>
      </c>
      <c r="R272" s="236"/>
      <c r="S272" s="236"/>
      <c r="T272" s="236"/>
      <c r="U272" s="242"/>
    </row>
    <row r="273" spans="1:21" ht="13">
      <c r="A273" s="249"/>
      <c r="B273" s="246"/>
      <c r="C273" s="44"/>
      <c r="D273" s="21"/>
      <c r="E273" s="21"/>
      <c r="F273" s="21"/>
      <c r="G273" s="238"/>
      <c r="H273" s="238"/>
      <c r="I273" s="238"/>
      <c r="J273" s="243"/>
      <c r="L273" s="249"/>
      <c r="M273" s="246"/>
      <c r="N273" s="44"/>
      <c r="O273" s="21"/>
      <c r="P273" s="21"/>
      <c r="Q273" s="21"/>
      <c r="R273" s="238"/>
      <c r="S273" s="238"/>
      <c r="T273" s="238"/>
      <c r="U273" s="243"/>
    </row>
    <row r="274" spans="1:21" ht="13">
      <c r="A274" s="249"/>
      <c r="B274" s="244" t="s">
        <v>183</v>
      </c>
      <c r="C274" s="15" t="s">
        <v>114</v>
      </c>
      <c r="D274" s="16">
        <v>14</v>
      </c>
      <c r="E274" s="17">
        <v>18</v>
      </c>
      <c r="F274" s="17">
        <f>D274*E274</f>
        <v>252</v>
      </c>
      <c r="G274" s="240">
        <f>SUM(F274:F276)</f>
        <v>356.82</v>
      </c>
      <c r="H274" s="273">
        <v>5475</v>
      </c>
      <c r="I274" s="273">
        <f>H274-G274</f>
        <v>5118.18</v>
      </c>
      <c r="J274" s="241">
        <f>I274/H274</f>
        <v>0.93482739726027397</v>
      </c>
      <c r="L274" s="249"/>
      <c r="M274" s="244" t="s">
        <v>183</v>
      </c>
      <c r="N274" s="15" t="s">
        <v>114</v>
      </c>
      <c r="O274" s="18"/>
      <c r="P274" s="18"/>
      <c r="Q274" s="18"/>
      <c r="R274" s="240">
        <f>SUM(Q274:Q276)</f>
        <v>104.82</v>
      </c>
      <c r="S274" s="273">
        <v>5475</v>
      </c>
      <c r="T274" s="273">
        <f>S274-R274</f>
        <v>5370.18</v>
      </c>
      <c r="U274" s="241">
        <f>T274/S274</f>
        <v>0.98085479452054802</v>
      </c>
    </row>
    <row r="275" spans="1:21" ht="13">
      <c r="A275" s="249"/>
      <c r="B275" s="245"/>
      <c r="C275" s="19" t="s">
        <v>45</v>
      </c>
      <c r="D275" s="17"/>
      <c r="E275" s="17"/>
      <c r="F275" s="17">
        <v>104.82</v>
      </c>
      <c r="G275" s="236"/>
      <c r="H275" s="236"/>
      <c r="I275" s="236"/>
      <c r="J275" s="242"/>
      <c r="L275" s="249"/>
      <c r="M275" s="245"/>
      <c r="N275" s="19" t="s">
        <v>45</v>
      </c>
      <c r="O275" s="17"/>
      <c r="P275" s="17"/>
      <c r="Q275" s="17">
        <v>104.82</v>
      </c>
      <c r="R275" s="236"/>
      <c r="S275" s="236"/>
      <c r="T275" s="236"/>
      <c r="U275" s="242"/>
    </row>
    <row r="276" spans="1:21" ht="13">
      <c r="A276" s="249"/>
      <c r="B276" s="246"/>
      <c r="C276" s="44"/>
      <c r="D276" s="21"/>
      <c r="E276" s="21"/>
      <c r="F276" s="21"/>
      <c r="G276" s="238"/>
      <c r="H276" s="238"/>
      <c r="I276" s="238"/>
      <c r="J276" s="243"/>
      <c r="L276" s="249"/>
      <c r="M276" s="246"/>
      <c r="N276" s="44"/>
      <c r="O276" s="21"/>
      <c r="P276" s="21"/>
      <c r="Q276" s="21"/>
      <c r="R276" s="238"/>
      <c r="S276" s="238"/>
      <c r="T276" s="238"/>
      <c r="U276" s="243"/>
    </row>
    <row r="277" spans="1:21" ht="13">
      <c r="A277" s="249"/>
      <c r="B277" s="244" t="s">
        <v>189</v>
      </c>
      <c r="C277" s="15" t="s">
        <v>23</v>
      </c>
      <c r="D277" s="16">
        <v>21</v>
      </c>
      <c r="E277" s="16">
        <v>16</v>
      </c>
      <c r="F277" s="17">
        <f t="shared" ref="F277:F281" si="53">D277*E277</f>
        <v>336</v>
      </c>
      <c r="G277" s="240">
        <f>SUM(F277:F287)</f>
        <v>1851.21</v>
      </c>
      <c r="H277" s="240">
        <v>2735</v>
      </c>
      <c r="I277" s="240">
        <f>H277-G277</f>
        <v>883.79</v>
      </c>
      <c r="J277" s="241">
        <f>I277/H277</f>
        <v>0.32314076782449724</v>
      </c>
      <c r="L277" s="249"/>
      <c r="M277" s="244" t="s">
        <v>189</v>
      </c>
      <c r="N277" s="15" t="s">
        <v>23</v>
      </c>
      <c r="O277" s="18"/>
      <c r="P277" s="18"/>
      <c r="Q277" s="18"/>
      <c r="R277" s="240">
        <f>SUM(Q277:Q287)</f>
        <v>1515.21</v>
      </c>
      <c r="S277" s="240">
        <v>2735</v>
      </c>
      <c r="T277" s="240">
        <f>S277-R277</f>
        <v>1219.79</v>
      </c>
      <c r="U277" s="241">
        <f>T277/S277</f>
        <v>0.44599268738574038</v>
      </c>
    </row>
    <row r="278" spans="1:21" ht="13">
      <c r="A278" s="249"/>
      <c r="B278" s="245"/>
      <c r="C278" s="19" t="s">
        <v>190</v>
      </c>
      <c r="D278" s="17">
        <v>7.6</v>
      </c>
      <c r="E278" s="17">
        <v>15</v>
      </c>
      <c r="F278" s="17">
        <f t="shared" si="53"/>
        <v>114</v>
      </c>
      <c r="G278" s="236"/>
      <c r="H278" s="236"/>
      <c r="I278" s="236"/>
      <c r="J278" s="242"/>
      <c r="L278" s="249"/>
      <c r="M278" s="245"/>
      <c r="N278" s="19" t="s">
        <v>190</v>
      </c>
      <c r="O278" s="17">
        <v>7.6</v>
      </c>
      <c r="P278" s="17">
        <v>15</v>
      </c>
      <c r="Q278" s="17">
        <f t="shared" ref="Q278:Q281" si="54">O278*P278</f>
        <v>114</v>
      </c>
      <c r="R278" s="236"/>
      <c r="S278" s="236"/>
      <c r="T278" s="236"/>
      <c r="U278" s="242"/>
    </row>
    <row r="279" spans="1:21" ht="13">
      <c r="A279" s="249"/>
      <c r="B279" s="245"/>
      <c r="C279" s="19" t="s">
        <v>191</v>
      </c>
      <c r="D279" s="17">
        <v>14.1</v>
      </c>
      <c r="E279" s="17">
        <v>15</v>
      </c>
      <c r="F279" s="17">
        <f t="shared" si="53"/>
        <v>211.5</v>
      </c>
      <c r="G279" s="236"/>
      <c r="H279" s="236"/>
      <c r="I279" s="236"/>
      <c r="J279" s="242"/>
      <c r="L279" s="249"/>
      <c r="M279" s="245"/>
      <c r="N279" s="19" t="s">
        <v>191</v>
      </c>
      <c r="O279" s="17">
        <v>14.1</v>
      </c>
      <c r="P279" s="17">
        <v>15</v>
      </c>
      <c r="Q279" s="17">
        <f t="shared" si="54"/>
        <v>211.5</v>
      </c>
      <c r="R279" s="236"/>
      <c r="S279" s="236"/>
      <c r="T279" s="236"/>
      <c r="U279" s="242"/>
    </row>
    <row r="280" spans="1:21" ht="13">
      <c r="A280" s="249"/>
      <c r="B280" s="245"/>
      <c r="C280" s="19" t="s">
        <v>192</v>
      </c>
      <c r="D280" s="17">
        <v>11.55</v>
      </c>
      <c r="E280" s="17">
        <v>17</v>
      </c>
      <c r="F280" s="17">
        <f t="shared" si="53"/>
        <v>196.35000000000002</v>
      </c>
      <c r="G280" s="236"/>
      <c r="H280" s="236"/>
      <c r="I280" s="236"/>
      <c r="J280" s="242"/>
      <c r="L280" s="249"/>
      <c r="M280" s="245"/>
      <c r="N280" s="19" t="s">
        <v>192</v>
      </c>
      <c r="O280" s="17">
        <v>11.55</v>
      </c>
      <c r="P280" s="17">
        <v>17</v>
      </c>
      <c r="Q280" s="17">
        <f t="shared" si="54"/>
        <v>196.35000000000002</v>
      </c>
      <c r="R280" s="236"/>
      <c r="S280" s="236"/>
      <c r="T280" s="236"/>
      <c r="U280" s="242"/>
    </row>
    <row r="281" spans="1:21" ht="13">
      <c r="A281" s="249"/>
      <c r="B281" s="245"/>
      <c r="C281" s="19" t="s">
        <v>70</v>
      </c>
      <c r="D281" s="17">
        <v>18.649999999999999</v>
      </c>
      <c r="E281" s="17">
        <v>15</v>
      </c>
      <c r="F281" s="17">
        <f t="shared" si="53"/>
        <v>279.75</v>
      </c>
      <c r="G281" s="236"/>
      <c r="H281" s="236"/>
      <c r="I281" s="236"/>
      <c r="J281" s="242"/>
      <c r="L281" s="249"/>
      <c r="M281" s="245"/>
      <c r="N281" s="19" t="s">
        <v>70</v>
      </c>
      <c r="O281" s="17">
        <v>18.649999999999999</v>
      </c>
      <c r="P281" s="17">
        <v>15</v>
      </c>
      <c r="Q281" s="17">
        <f t="shared" si="54"/>
        <v>279.75</v>
      </c>
      <c r="R281" s="236"/>
      <c r="S281" s="236"/>
      <c r="T281" s="236"/>
      <c r="U281" s="242"/>
    </row>
    <row r="282" spans="1:21" ht="13">
      <c r="A282" s="249"/>
      <c r="B282" s="245"/>
      <c r="C282" s="19" t="s">
        <v>48</v>
      </c>
      <c r="D282" s="17"/>
      <c r="E282" s="17"/>
      <c r="F282" s="17">
        <v>123.88</v>
      </c>
      <c r="G282" s="236"/>
      <c r="H282" s="236"/>
      <c r="I282" s="236"/>
      <c r="J282" s="242"/>
      <c r="L282" s="249"/>
      <c r="M282" s="245"/>
      <c r="N282" s="19" t="s">
        <v>48</v>
      </c>
      <c r="O282" s="17"/>
      <c r="P282" s="17"/>
      <c r="Q282" s="17">
        <v>123.88</v>
      </c>
      <c r="R282" s="236"/>
      <c r="S282" s="236"/>
      <c r="T282" s="236"/>
      <c r="U282" s="242"/>
    </row>
    <row r="283" spans="1:21" ht="13">
      <c r="A283" s="249"/>
      <c r="B283" s="245"/>
      <c r="C283" s="19" t="s">
        <v>193</v>
      </c>
      <c r="D283" s="17"/>
      <c r="E283" s="17"/>
      <c r="F283" s="17">
        <v>64.5</v>
      </c>
      <c r="G283" s="236"/>
      <c r="H283" s="236"/>
      <c r="I283" s="236"/>
      <c r="J283" s="242"/>
      <c r="L283" s="249"/>
      <c r="M283" s="245"/>
      <c r="N283" s="19" t="s">
        <v>193</v>
      </c>
      <c r="O283" s="17"/>
      <c r="P283" s="17"/>
      <c r="Q283" s="17">
        <v>64.5</v>
      </c>
      <c r="R283" s="236"/>
      <c r="S283" s="236"/>
      <c r="T283" s="236"/>
      <c r="U283" s="242"/>
    </row>
    <row r="284" spans="1:21" ht="13">
      <c r="A284" s="249"/>
      <c r="B284" s="245"/>
      <c r="C284" s="19" t="s">
        <v>45</v>
      </c>
      <c r="D284" s="17"/>
      <c r="E284" s="17"/>
      <c r="F284" s="17">
        <v>120.01</v>
      </c>
      <c r="G284" s="236"/>
      <c r="H284" s="236"/>
      <c r="I284" s="236"/>
      <c r="J284" s="242"/>
      <c r="L284" s="249"/>
      <c r="M284" s="245"/>
      <c r="N284" s="19" t="s">
        <v>45</v>
      </c>
      <c r="O284" s="17"/>
      <c r="P284" s="17"/>
      <c r="Q284" s="17">
        <v>120.01</v>
      </c>
      <c r="R284" s="236"/>
      <c r="S284" s="236"/>
      <c r="T284" s="236"/>
      <c r="U284" s="242"/>
    </row>
    <row r="285" spans="1:21" ht="13">
      <c r="A285" s="249"/>
      <c r="B285" s="245"/>
      <c r="C285" s="19" t="s">
        <v>47</v>
      </c>
      <c r="D285" s="17"/>
      <c r="E285" s="17"/>
      <c r="F285" s="17">
        <v>376.22</v>
      </c>
      <c r="G285" s="236"/>
      <c r="H285" s="236"/>
      <c r="I285" s="236"/>
      <c r="J285" s="242"/>
      <c r="L285" s="249"/>
      <c r="M285" s="245"/>
      <c r="N285" s="19" t="s">
        <v>47</v>
      </c>
      <c r="O285" s="17"/>
      <c r="P285" s="17"/>
      <c r="Q285" s="17">
        <v>376.22</v>
      </c>
      <c r="R285" s="236"/>
      <c r="S285" s="236"/>
      <c r="T285" s="236"/>
      <c r="U285" s="242"/>
    </row>
    <row r="286" spans="1:21" ht="13">
      <c r="A286" s="249"/>
      <c r="B286" s="245"/>
      <c r="C286" s="19" t="s">
        <v>46</v>
      </c>
      <c r="D286" s="17"/>
      <c r="E286" s="17"/>
      <c r="F286" s="17">
        <v>29</v>
      </c>
      <c r="G286" s="236"/>
      <c r="H286" s="236"/>
      <c r="I286" s="236"/>
      <c r="J286" s="242"/>
      <c r="L286" s="249"/>
      <c r="M286" s="245"/>
      <c r="N286" s="19" t="s">
        <v>46</v>
      </c>
      <c r="O286" s="17"/>
      <c r="P286" s="17"/>
      <c r="Q286" s="17">
        <v>29</v>
      </c>
      <c r="R286" s="236"/>
      <c r="S286" s="236"/>
      <c r="T286" s="236"/>
      <c r="U286" s="242"/>
    </row>
    <row r="287" spans="1:21" ht="13">
      <c r="A287" s="249"/>
      <c r="B287" s="246"/>
      <c r="C287" s="44"/>
      <c r="D287" s="21"/>
      <c r="E287" s="21"/>
      <c r="F287" s="21"/>
      <c r="G287" s="238"/>
      <c r="H287" s="238"/>
      <c r="I287" s="238"/>
      <c r="J287" s="243"/>
      <c r="L287" s="249"/>
      <c r="M287" s="246"/>
      <c r="N287" s="44"/>
      <c r="O287" s="21"/>
      <c r="P287" s="21"/>
      <c r="Q287" s="21"/>
      <c r="R287" s="238"/>
      <c r="S287" s="238"/>
      <c r="T287" s="238"/>
      <c r="U287" s="243"/>
    </row>
    <row r="288" spans="1:21" ht="13">
      <c r="A288" s="249"/>
      <c r="B288" s="244" t="s">
        <v>184</v>
      </c>
      <c r="C288" s="15" t="s">
        <v>32</v>
      </c>
      <c r="D288" s="16">
        <v>6.8</v>
      </c>
      <c r="E288" s="17">
        <v>13</v>
      </c>
      <c r="F288" s="17">
        <f>D288*E288</f>
        <v>88.399999999999991</v>
      </c>
      <c r="G288" s="240">
        <f>SUM(F288:F290)</f>
        <v>493.4</v>
      </c>
      <c r="H288" s="273">
        <v>3000</v>
      </c>
      <c r="I288" s="273">
        <f>H288-G288</f>
        <v>2506.6</v>
      </c>
      <c r="J288" s="241">
        <f>I288/H288</f>
        <v>0.83553333333333335</v>
      </c>
      <c r="L288" s="249"/>
      <c r="M288" s="244" t="s">
        <v>184</v>
      </c>
      <c r="N288" s="15" t="s">
        <v>32</v>
      </c>
      <c r="O288" s="16">
        <v>6.8</v>
      </c>
      <c r="P288" s="17">
        <v>13</v>
      </c>
      <c r="Q288" s="17">
        <f>O288*P288</f>
        <v>88.399999999999991</v>
      </c>
      <c r="R288" s="240">
        <f>SUM(Q288:Q290)</f>
        <v>493.4</v>
      </c>
      <c r="S288" s="273">
        <v>3000</v>
      </c>
      <c r="T288" s="273">
        <f>S288-R288</f>
        <v>2506.6</v>
      </c>
      <c r="U288" s="241">
        <f>T288/S288</f>
        <v>0.83553333333333335</v>
      </c>
    </row>
    <row r="289" spans="1:21" ht="13">
      <c r="A289" s="249"/>
      <c r="B289" s="245"/>
      <c r="C289" s="19" t="s">
        <v>185</v>
      </c>
      <c r="D289" s="17"/>
      <c r="E289" s="17"/>
      <c r="F289" s="17">
        <v>30</v>
      </c>
      <c r="G289" s="236"/>
      <c r="H289" s="236"/>
      <c r="I289" s="236"/>
      <c r="J289" s="242"/>
      <c r="L289" s="249"/>
      <c r="M289" s="245"/>
      <c r="N289" s="19" t="s">
        <v>185</v>
      </c>
      <c r="O289" s="17"/>
      <c r="P289" s="17"/>
      <c r="Q289" s="17">
        <v>30</v>
      </c>
      <c r="R289" s="236"/>
      <c r="S289" s="236"/>
      <c r="T289" s="236"/>
      <c r="U289" s="242"/>
    </row>
    <row r="290" spans="1:21" ht="13">
      <c r="A290" s="249"/>
      <c r="B290" s="246"/>
      <c r="C290" s="44" t="s">
        <v>33</v>
      </c>
      <c r="D290" s="21"/>
      <c r="E290" s="21"/>
      <c r="F290" s="21">
        <v>375</v>
      </c>
      <c r="G290" s="238"/>
      <c r="H290" s="238"/>
      <c r="I290" s="238"/>
      <c r="J290" s="243"/>
      <c r="L290" s="249"/>
      <c r="M290" s="246"/>
      <c r="N290" s="44" t="s">
        <v>33</v>
      </c>
      <c r="O290" s="21"/>
      <c r="P290" s="21"/>
      <c r="Q290" s="21">
        <v>375</v>
      </c>
      <c r="R290" s="238"/>
      <c r="S290" s="238"/>
      <c r="T290" s="238"/>
      <c r="U290" s="243"/>
    </row>
    <row r="291" spans="1:21" ht="13">
      <c r="A291" s="249"/>
      <c r="B291" s="244" t="s">
        <v>186</v>
      </c>
      <c r="C291" s="15" t="s">
        <v>23</v>
      </c>
      <c r="D291" s="16">
        <v>14</v>
      </c>
      <c r="E291" s="17">
        <v>16</v>
      </c>
      <c r="F291" s="17">
        <f>D291*E291</f>
        <v>224</v>
      </c>
      <c r="G291" s="240">
        <f>SUM(F291:F297)</f>
        <v>858.89</v>
      </c>
      <c r="H291" s="273">
        <v>3012</v>
      </c>
      <c r="I291" s="273">
        <f>H291-G291</f>
        <v>2153.11</v>
      </c>
      <c r="J291" s="241">
        <f>I291/H291</f>
        <v>0.71484395750332008</v>
      </c>
      <c r="L291" s="249"/>
      <c r="M291" s="244" t="s">
        <v>186</v>
      </c>
      <c r="N291" s="15" t="s">
        <v>23</v>
      </c>
      <c r="O291" s="18"/>
      <c r="P291" s="18"/>
      <c r="Q291" s="18"/>
      <c r="R291" s="240">
        <f>SUM(Q291:Q297)</f>
        <v>634.8900000000001</v>
      </c>
      <c r="S291" s="273">
        <v>3012</v>
      </c>
      <c r="T291" s="273">
        <f>S291-R291</f>
        <v>2377.1099999999997</v>
      </c>
      <c r="U291" s="241">
        <f>T291/S291</f>
        <v>0.78921314741035842</v>
      </c>
    </row>
    <row r="292" spans="1:21" ht="13">
      <c r="A292" s="249"/>
      <c r="B292" s="245"/>
      <c r="C292" s="19" t="s">
        <v>45</v>
      </c>
      <c r="D292" s="17"/>
      <c r="E292" s="17"/>
      <c r="F292" s="17">
        <v>279.98</v>
      </c>
      <c r="G292" s="236"/>
      <c r="H292" s="236"/>
      <c r="I292" s="236"/>
      <c r="J292" s="242"/>
      <c r="L292" s="249"/>
      <c r="M292" s="245"/>
      <c r="N292" s="19" t="s">
        <v>45</v>
      </c>
      <c r="O292" s="17"/>
      <c r="P292" s="17"/>
      <c r="Q292" s="17">
        <v>279.98</v>
      </c>
      <c r="R292" s="236"/>
      <c r="S292" s="236"/>
      <c r="T292" s="236"/>
      <c r="U292" s="242"/>
    </row>
    <row r="293" spans="1:21" ht="13">
      <c r="A293" s="249"/>
      <c r="B293" s="245"/>
      <c r="C293" s="19" t="s">
        <v>44</v>
      </c>
      <c r="D293" s="17"/>
      <c r="E293" s="17"/>
      <c r="F293" s="17">
        <v>111.4</v>
      </c>
      <c r="G293" s="236"/>
      <c r="H293" s="236"/>
      <c r="I293" s="236"/>
      <c r="J293" s="242"/>
      <c r="L293" s="249"/>
      <c r="M293" s="245"/>
      <c r="N293" s="19" t="s">
        <v>44</v>
      </c>
      <c r="O293" s="17"/>
      <c r="P293" s="17"/>
      <c r="Q293" s="17">
        <v>111.4</v>
      </c>
      <c r="R293" s="236"/>
      <c r="S293" s="236"/>
      <c r="T293" s="236"/>
      <c r="U293" s="242"/>
    </row>
    <row r="294" spans="1:21" ht="13">
      <c r="A294" s="249"/>
      <c r="B294" s="245"/>
      <c r="C294" s="19" t="s">
        <v>153</v>
      </c>
      <c r="D294" s="17"/>
      <c r="E294" s="17"/>
      <c r="F294" s="17">
        <v>45.54</v>
      </c>
      <c r="G294" s="236"/>
      <c r="H294" s="236"/>
      <c r="I294" s="236"/>
      <c r="J294" s="242"/>
      <c r="L294" s="249"/>
      <c r="M294" s="245"/>
      <c r="N294" s="19" t="s">
        <v>153</v>
      </c>
      <c r="O294" s="17"/>
      <c r="P294" s="17"/>
      <c r="Q294" s="17">
        <v>45.54</v>
      </c>
      <c r="R294" s="236"/>
      <c r="S294" s="236"/>
      <c r="T294" s="236"/>
      <c r="U294" s="242"/>
    </row>
    <row r="295" spans="1:21" ht="13">
      <c r="A295" s="249"/>
      <c r="B295" s="245"/>
      <c r="C295" s="19" t="s">
        <v>115</v>
      </c>
      <c r="D295" s="17"/>
      <c r="E295" s="17"/>
      <c r="F295" s="17">
        <v>68.86</v>
      </c>
      <c r="G295" s="236"/>
      <c r="H295" s="236"/>
      <c r="I295" s="236"/>
      <c r="J295" s="242"/>
      <c r="L295" s="249"/>
      <c r="M295" s="245"/>
      <c r="N295" s="19" t="s">
        <v>115</v>
      </c>
      <c r="O295" s="17"/>
      <c r="P295" s="17"/>
      <c r="Q295" s="17">
        <v>68.86</v>
      </c>
      <c r="R295" s="236"/>
      <c r="S295" s="236"/>
      <c r="T295" s="236"/>
      <c r="U295" s="242"/>
    </row>
    <row r="296" spans="1:21" ht="13">
      <c r="A296" s="249"/>
      <c r="B296" s="245"/>
      <c r="C296" s="19" t="s">
        <v>165</v>
      </c>
      <c r="D296" s="17"/>
      <c r="E296" s="17"/>
      <c r="F296" s="17">
        <v>129.11000000000001</v>
      </c>
      <c r="G296" s="236"/>
      <c r="H296" s="236"/>
      <c r="I296" s="236"/>
      <c r="J296" s="242"/>
      <c r="L296" s="249"/>
      <c r="M296" s="245"/>
      <c r="N296" s="19" t="s">
        <v>165</v>
      </c>
      <c r="O296" s="17"/>
      <c r="P296" s="17"/>
      <c r="Q296" s="17">
        <v>129.11000000000001</v>
      </c>
      <c r="R296" s="236"/>
      <c r="S296" s="236"/>
      <c r="T296" s="236"/>
      <c r="U296" s="242"/>
    </row>
    <row r="297" spans="1:21" ht="13">
      <c r="A297" s="249"/>
      <c r="B297" s="246"/>
      <c r="C297" s="44"/>
      <c r="D297" s="21"/>
      <c r="E297" s="21"/>
      <c r="F297" s="21"/>
      <c r="G297" s="238"/>
      <c r="H297" s="238"/>
      <c r="I297" s="238"/>
      <c r="J297" s="243"/>
      <c r="L297" s="249"/>
      <c r="M297" s="246"/>
      <c r="N297" s="44"/>
      <c r="O297" s="21"/>
      <c r="P297" s="21"/>
      <c r="Q297" s="21"/>
      <c r="R297" s="238"/>
      <c r="S297" s="238"/>
      <c r="T297" s="238"/>
      <c r="U297" s="243"/>
    </row>
    <row r="298" spans="1:21" ht="13">
      <c r="A298" s="249"/>
      <c r="B298" s="244" t="s">
        <v>187</v>
      </c>
      <c r="C298" s="15" t="s">
        <v>23</v>
      </c>
      <c r="D298" s="16">
        <v>14</v>
      </c>
      <c r="E298" s="17">
        <v>16</v>
      </c>
      <c r="F298" s="17">
        <f t="shared" ref="F298:F299" si="55">D298*E298</f>
        <v>224</v>
      </c>
      <c r="G298" s="240">
        <f>SUM(F298:F304)</f>
        <v>803.13</v>
      </c>
      <c r="H298" s="273">
        <v>5275.2</v>
      </c>
      <c r="I298" s="273">
        <f>H298-G298</f>
        <v>4472.07</v>
      </c>
      <c r="J298" s="241">
        <f>I298/H298</f>
        <v>0.84775363967242945</v>
      </c>
      <c r="L298" s="249"/>
      <c r="M298" s="244" t="s">
        <v>187</v>
      </c>
      <c r="N298" s="15" t="s">
        <v>23</v>
      </c>
      <c r="O298" s="18"/>
      <c r="P298" s="18"/>
      <c r="Q298" s="18"/>
      <c r="R298" s="240">
        <f>SUM(Q298:Q304)</f>
        <v>579.13</v>
      </c>
      <c r="S298" s="273">
        <v>5275.2</v>
      </c>
      <c r="T298" s="273">
        <f>S298-R298</f>
        <v>4696.07</v>
      </c>
      <c r="U298" s="241">
        <f>T298/S298</f>
        <v>0.89021648468304515</v>
      </c>
    </row>
    <row r="299" spans="1:21" ht="13">
      <c r="A299" s="249"/>
      <c r="B299" s="245"/>
      <c r="C299" s="19" t="s">
        <v>32</v>
      </c>
      <c r="D299" s="17">
        <v>9.85</v>
      </c>
      <c r="E299" s="17">
        <v>17</v>
      </c>
      <c r="F299" s="17">
        <f t="shared" si="55"/>
        <v>167.45</v>
      </c>
      <c r="G299" s="236"/>
      <c r="H299" s="236"/>
      <c r="I299" s="236"/>
      <c r="J299" s="242"/>
      <c r="L299" s="249"/>
      <c r="M299" s="245"/>
      <c r="N299" s="19" t="s">
        <v>32</v>
      </c>
      <c r="O299" s="17">
        <v>9.85</v>
      </c>
      <c r="P299" s="17">
        <v>17</v>
      </c>
      <c r="Q299" s="17">
        <f>O299*P299</f>
        <v>167.45</v>
      </c>
      <c r="R299" s="236"/>
      <c r="S299" s="236"/>
      <c r="T299" s="236"/>
      <c r="U299" s="242"/>
    </row>
    <row r="300" spans="1:21" ht="13">
      <c r="A300" s="249"/>
      <c r="B300" s="245"/>
      <c r="C300" s="19" t="s">
        <v>47</v>
      </c>
      <c r="D300" s="17"/>
      <c r="E300" s="17"/>
      <c r="F300" s="17">
        <v>71.48</v>
      </c>
      <c r="G300" s="236"/>
      <c r="H300" s="236"/>
      <c r="I300" s="236"/>
      <c r="J300" s="242"/>
      <c r="L300" s="249"/>
      <c r="M300" s="245"/>
      <c r="N300" s="19" t="s">
        <v>47</v>
      </c>
      <c r="O300" s="17"/>
      <c r="P300" s="17"/>
      <c r="Q300" s="17">
        <v>71.48</v>
      </c>
      <c r="R300" s="236"/>
      <c r="S300" s="236"/>
      <c r="T300" s="236"/>
      <c r="U300" s="242"/>
    </row>
    <row r="301" spans="1:21" ht="13">
      <c r="A301" s="249"/>
      <c r="B301" s="245"/>
      <c r="C301" s="19" t="s">
        <v>188</v>
      </c>
      <c r="D301" s="17"/>
      <c r="E301" s="17"/>
      <c r="F301" s="17">
        <v>50.85</v>
      </c>
      <c r="G301" s="236"/>
      <c r="H301" s="236"/>
      <c r="I301" s="236"/>
      <c r="J301" s="242"/>
      <c r="L301" s="249"/>
      <c r="M301" s="245"/>
      <c r="N301" s="19" t="s">
        <v>188</v>
      </c>
      <c r="O301" s="17"/>
      <c r="P301" s="17"/>
      <c r="Q301" s="17">
        <v>50.85</v>
      </c>
      <c r="R301" s="236"/>
      <c r="S301" s="236"/>
      <c r="T301" s="236"/>
      <c r="U301" s="242"/>
    </row>
    <row r="302" spans="1:21" ht="13">
      <c r="A302" s="249"/>
      <c r="B302" s="245"/>
      <c r="C302" s="19" t="s">
        <v>45</v>
      </c>
      <c r="D302" s="17"/>
      <c r="E302" s="17"/>
      <c r="F302" s="17">
        <v>140.69999999999999</v>
      </c>
      <c r="G302" s="236"/>
      <c r="H302" s="236"/>
      <c r="I302" s="236"/>
      <c r="J302" s="242"/>
      <c r="L302" s="249"/>
      <c r="M302" s="245"/>
      <c r="N302" s="19" t="s">
        <v>45</v>
      </c>
      <c r="O302" s="17"/>
      <c r="P302" s="17"/>
      <c r="Q302" s="17">
        <v>140.69999999999999</v>
      </c>
      <c r="R302" s="236"/>
      <c r="S302" s="236"/>
      <c r="T302" s="236"/>
      <c r="U302" s="242"/>
    </row>
    <row r="303" spans="1:21" ht="13">
      <c r="A303" s="249"/>
      <c r="B303" s="245"/>
      <c r="C303" s="19" t="s">
        <v>33</v>
      </c>
      <c r="D303" s="17"/>
      <c r="E303" s="17"/>
      <c r="F303" s="17">
        <v>117.65</v>
      </c>
      <c r="G303" s="236"/>
      <c r="H303" s="236"/>
      <c r="I303" s="236"/>
      <c r="J303" s="242"/>
      <c r="L303" s="249"/>
      <c r="M303" s="245"/>
      <c r="N303" s="19" t="s">
        <v>33</v>
      </c>
      <c r="O303" s="17"/>
      <c r="P303" s="17"/>
      <c r="Q303" s="17">
        <v>117.65</v>
      </c>
      <c r="R303" s="236"/>
      <c r="S303" s="236"/>
      <c r="T303" s="236"/>
      <c r="U303" s="242"/>
    </row>
    <row r="304" spans="1:21" ht="13">
      <c r="A304" s="249"/>
      <c r="B304" s="246"/>
      <c r="C304" s="44" t="s">
        <v>44</v>
      </c>
      <c r="D304" s="21"/>
      <c r="E304" s="21"/>
      <c r="F304" s="21">
        <v>31</v>
      </c>
      <c r="G304" s="238"/>
      <c r="H304" s="238"/>
      <c r="I304" s="238"/>
      <c r="J304" s="243"/>
      <c r="L304" s="249"/>
      <c r="M304" s="246"/>
      <c r="N304" s="44" t="s">
        <v>44</v>
      </c>
      <c r="O304" s="21"/>
      <c r="P304" s="21"/>
      <c r="Q304" s="21">
        <v>31</v>
      </c>
      <c r="R304" s="238"/>
      <c r="S304" s="238"/>
      <c r="T304" s="238"/>
      <c r="U304" s="243"/>
    </row>
    <row r="305" spans="1:21" ht="13">
      <c r="A305" s="249"/>
      <c r="B305" s="244" t="s">
        <v>194</v>
      </c>
      <c r="C305" s="15" t="s">
        <v>114</v>
      </c>
      <c r="D305" s="16">
        <v>35</v>
      </c>
      <c r="E305" s="16">
        <v>18</v>
      </c>
      <c r="F305" s="17">
        <f t="shared" ref="F305:F312" si="56">D305*E305</f>
        <v>630</v>
      </c>
      <c r="G305" s="240">
        <f>SUM(F305:F315)</f>
        <v>3165.7600000000007</v>
      </c>
      <c r="H305" s="240">
        <v>7700</v>
      </c>
      <c r="I305" s="240">
        <f>H305-G305</f>
        <v>4534.24</v>
      </c>
      <c r="J305" s="241">
        <f>I305/H305</f>
        <v>0.58886233766233764</v>
      </c>
      <c r="L305" s="249"/>
      <c r="M305" s="244" t="s">
        <v>194</v>
      </c>
      <c r="N305" s="15" t="s">
        <v>114</v>
      </c>
      <c r="O305" s="18"/>
      <c r="P305" s="18"/>
      <c r="Q305" s="18"/>
      <c r="R305" s="240">
        <f>SUM(Q305:Q315)</f>
        <v>2535.7600000000002</v>
      </c>
      <c r="S305" s="240">
        <v>7700</v>
      </c>
      <c r="T305" s="240">
        <f>S305-R305</f>
        <v>5164.24</v>
      </c>
      <c r="U305" s="241">
        <f>T305/S305</f>
        <v>0.67068051948051943</v>
      </c>
    </row>
    <row r="306" spans="1:21" ht="13">
      <c r="A306" s="249"/>
      <c r="B306" s="245"/>
      <c r="C306" s="19" t="s">
        <v>195</v>
      </c>
      <c r="D306" s="17">
        <v>30</v>
      </c>
      <c r="E306" s="17">
        <v>17</v>
      </c>
      <c r="F306" s="17">
        <f t="shared" si="56"/>
        <v>510</v>
      </c>
      <c r="G306" s="236"/>
      <c r="H306" s="236"/>
      <c r="I306" s="236"/>
      <c r="J306" s="242"/>
      <c r="L306" s="249"/>
      <c r="M306" s="245"/>
      <c r="N306" s="19" t="s">
        <v>195</v>
      </c>
      <c r="O306" s="17">
        <v>30</v>
      </c>
      <c r="P306" s="17">
        <v>17</v>
      </c>
      <c r="Q306" s="17">
        <f t="shared" ref="Q306:Q312" si="57">O306*P306</f>
        <v>510</v>
      </c>
      <c r="R306" s="236"/>
      <c r="S306" s="236"/>
      <c r="T306" s="236"/>
      <c r="U306" s="242"/>
    </row>
    <row r="307" spans="1:21" ht="13">
      <c r="A307" s="249"/>
      <c r="B307" s="245"/>
      <c r="C307" s="19" t="s">
        <v>32</v>
      </c>
      <c r="D307" s="17">
        <v>19.5</v>
      </c>
      <c r="E307" s="17">
        <v>15</v>
      </c>
      <c r="F307" s="17">
        <f t="shared" si="56"/>
        <v>292.5</v>
      </c>
      <c r="G307" s="236"/>
      <c r="H307" s="236"/>
      <c r="I307" s="236"/>
      <c r="J307" s="242"/>
      <c r="L307" s="249"/>
      <c r="M307" s="245"/>
      <c r="N307" s="19" t="s">
        <v>32</v>
      </c>
      <c r="O307" s="17">
        <v>19.5</v>
      </c>
      <c r="P307" s="17">
        <v>15</v>
      </c>
      <c r="Q307" s="17">
        <f t="shared" si="57"/>
        <v>292.5</v>
      </c>
      <c r="R307" s="236"/>
      <c r="S307" s="236"/>
      <c r="T307" s="236"/>
      <c r="U307" s="242"/>
    </row>
    <row r="308" spans="1:21" ht="13">
      <c r="A308" s="249"/>
      <c r="B308" s="245"/>
      <c r="C308" s="19" t="s">
        <v>79</v>
      </c>
      <c r="D308" s="17">
        <v>25.68</v>
      </c>
      <c r="E308" s="17">
        <v>15</v>
      </c>
      <c r="F308" s="17">
        <f t="shared" si="56"/>
        <v>385.2</v>
      </c>
      <c r="G308" s="236"/>
      <c r="H308" s="236"/>
      <c r="I308" s="236"/>
      <c r="J308" s="242"/>
      <c r="L308" s="249"/>
      <c r="M308" s="245"/>
      <c r="N308" s="19" t="s">
        <v>79</v>
      </c>
      <c r="O308" s="17">
        <v>25.68</v>
      </c>
      <c r="P308" s="17">
        <v>15</v>
      </c>
      <c r="Q308" s="17">
        <f t="shared" si="57"/>
        <v>385.2</v>
      </c>
      <c r="R308" s="236"/>
      <c r="S308" s="236"/>
      <c r="T308" s="236"/>
      <c r="U308" s="242"/>
    </row>
    <row r="309" spans="1:21" ht="13">
      <c r="A309" s="249"/>
      <c r="B309" s="245"/>
      <c r="C309" s="19" t="s">
        <v>53</v>
      </c>
      <c r="D309" s="17">
        <v>13.91</v>
      </c>
      <c r="E309" s="17">
        <v>15</v>
      </c>
      <c r="F309" s="17">
        <f t="shared" si="56"/>
        <v>208.65</v>
      </c>
      <c r="G309" s="236"/>
      <c r="H309" s="236"/>
      <c r="I309" s="236"/>
      <c r="J309" s="242"/>
      <c r="L309" s="249"/>
      <c r="M309" s="245"/>
      <c r="N309" s="19" t="s">
        <v>53</v>
      </c>
      <c r="O309" s="17">
        <v>13.91</v>
      </c>
      <c r="P309" s="17">
        <v>15</v>
      </c>
      <c r="Q309" s="17">
        <f t="shared" si="57"/>
        <v>208.65</v>
      </c>
      <c r="R309" s="236"/>
      <c r="S309" s="236"/>
      <c r="T309" s="236"/>
      <c r="U309" s="242"/>
    </row>
    <row r="310" spans="1:21" ht="13">
      <c r="A310" s="249"/>
      <c r="B310" s="245"/>
      <c r="C310" s="19" t="s">
        <v>64</v>
      </c>
      <c r="D310" s="17">
        <v>19.7</v>
      </c>
      <c r="E310" s="17">
        <v>15</v>
      </c>
      <c r="F310" s="17">
        <f t="shared" si="56"/>
        <v>295.5</v>
      </c>
      <c r="G310" s="236"/>
      <c r="H310" s="236"/>
      <c r="I310" s="236"/>
      <c r="J310" s="242"/>
      <c r="L310" s="249"/>
      <c r="M310" s="245"/>
      <c r="N310" s="19" t="s">
        <v>64</v>
      </c>
      <c r="O310" s="17">
        <v>19.7</v>
      </c>
      <c r="P310" s="17">
        <v>15</v>
      </c>
      <c r="Q310" s="17">
        <f t="shared" si="57"/>
        <v>295.5</v>
      </c>
      <c r="R310" s="236"/>
      <c r="S310" s="236"/>
      <c r="T310" s="236"/>
      <c r="U310" s="242"/>
    </row>
    <row r="311" spans="1:21" ht="13">
      <c r="A311" s="249"/>
      <c r="B311" s="245"/>
      <c r="C311" s="19" t="s">
        <v>126</v>
      </c>
      <c r="D311" s="17">
        <v>20.16</v>
      </c>
      <c r="E311" s="17">
        <v>15</v>
      </c>
      <c r="F311" s="17">
        <f t="shared" si="56"/>
        <v>302.39999999999998</v>
      </c>
      <c r="G311" s="236"/>
      <c r="H311" s="236"/>
      <c r="I311" s="236"/>
      <c r="J311" s="242"/>
      <c r="L311" s="249"/>
      <c r="M311" s="245"/>
      <c r="N311" s="19" t="s">
        <v>126</v>
      </c>
      <c r="O311" s="17">
        <v>20.16</v>
      </c>
      <c r="P311" s="17">
        <v>15</v>
      </c>
      <c r="Q311" s="17">
        <f t="shared" si="57"/>
        <v>302.39999999999998</v>
      </c>
      <c r="R311" s="236"/>
      <c r="S311" s="236"/>
      <c r="T311" s="236"/>
      <c r="U311" s="242"/>
    </row>
    <row r="312" spans="1:21" ht="13">
      <c r="A312" s="249"/>
      <c r="B312" s="245"/>
      <c r="C312" s="19" t="s">
        <v>70</v>
      </c>
      <c r="D312" s="17">
        <v>12.5</v>
      </c>
      <c r="E312" s="17">
        <v>15</v>
      </c>
      <c r="F312" s="17">
        <f t="shared" si="56"/>
        <v>187.5</v>
      </c>
      <c r="G312" s="236"/>
      <c r="H312" s="236"/>
      <c r="I312" s="236"/>
      <c r="J312" s="242"/>
      <c r="L312" s="249"/>
      <c r="M312" s="245"/>
      <c r="N312" s="19" t="s">
        <v>70</v>
      </c>
      <c r="O312" s="17">
        <v>12.5</v>
      </c>
      <c r="P312" s="17">
        <v>15</v>
      </c>
      <c r="Q312" s="17">
        <f t="shared" si="57"/>
        <v>187.5</v>
      </c>
      <c r="R312" s="236"/>
      <c r="S312" s="236"/>
      <c r="T312" s="236"/>
      <c r="U312" s="242"/>
    </row>
    <row r="313" spans="1:21" ht="13">
      <c r="A313" s="249"/>
      <c r="B313" s="245"/>
      <c r="C313" s="19" t="s">
        <v>45</v>
      </c>
      <c r="D313" s="17"/>
      <c r="E313" s="17"/>
      <c r="F313" s="17">
        <v>120.01</v>
      </c>
      <c r="G313" s="236"/>
      <c r="H313" s="236"/>
      <c r="I313" s="236"/>
      <c r="J313" s="242"/>
      <c r="L313" s="249"/>
      <c r="M313" s="245"/>
      <c r="N313" s="19" t="s">
        <v>45</v>
      </c>
      <c r="O313" s="17"/>
      <c r="P313" s="17"/>
      <c r="Q313" s="17">
        <v>120.01</v>
      </c>
      <c r="R313" s="236"/>
      <c r="S313" s="236"/>
      <c r="T313" s="236"/>
      <c r="U313" s="242"/>
    </row>
    <row r="314" spans="1:21" ht="13">
      <c r="A314" s="249"/>
      <c r="B314" s="245"/>
      <c r="C314" s="19" t="s">
        <v>155</v>
      </c>
      <c r="D314" s="17"/>
      <c r="E314" s="17"/>
      <c r="F314" s="17">
        <v>234</v>
      </c>
      <c r="G314" s="236"/>
      <c r="H314" s="236"/>
      <c r="I314" s="236"/>
      <c r="J314" s="242"/>
      <c r="L314" s="249"/>
      <c r="M314" s="245"/>
      <c r="N314" s="19" t="s">
        <v>155</v>
      </c>
      <c r="O314" s="17"/>
      <c r="P314" s="17"/>
      <c r="Q314" s="17">
        <v>234</v>
      </c>
      <c r="R314" s="236"/>
      <c r="S314" s="236"/>
      <c r="T314" s="236"/>
      <c r="U314" s="242"/>
    </row>
    <row r="315" spans="1:21" ht="13">
      <c r="A315" s="249"/>
      <c r="B315" s="246"/>
      <c r="C315" s="44"/>
      <c r="D315" s="21"/>
      <c r="E315" s="21"/>
      <c r="F315" s="21"/>
      <c r="G315" s="238"/>
      <c r="H315" s="238"/>
      <c r="I315" s="238"/>
      <c r="J315" s="243"/>
      <c r="L315" s="249"/>
      <c r="M315" s="246"/>
      <c r="N315" s="44"/>
      <c r="O315" s="21"/>
      <c r="P315" s="21"/>
      <c r="Q315" s="21"/>
      <c r="R315" s="238"/>
      <c r="S315" s="238"/>
      <c r="T315" s="238"/>
      <c r="U315" s="243"/>
    </row>
    <row r="316" spans="1:21" ht="13">
      <c r="A316" s="249"/>
      <c r="B316" s="244" t="s">
        <v>182</v>
      </c>
      <c r="C316" s="53" t="s">
        <v>38</v>
      </c>
      <c r="D316" s="16">
        <v>3</v>
      </c>
      <c r="E316" s="17">
        <v>13</v>
      </c>
      <c r="F316" s="17">
        <f>D316*E316</f>
        <v>39</v>
      </c>
      <c r="G316" s="240">
        <f>SUM(F316:F319)</f>
        <v>220.18</v>
      </c>
      <c r="H316" s="273">
        <v>975</v>
      </c>
      <c r="I316" s="273">
        <f>H316-G316</f>
        <v>754.81999999999994</v>
      </c>
      <c r="J316" s="241">
        <f>I316/H316</f>
        <v>0.77417435897435893</v>
      </c>
      <c r="L316" s="249"/>
      <c r="M316" s="244" t="s">
        <v>182</v>
      </c>
      <c r="N316" s="53" t="s">
        <v>38</v>
      </c>
      <c r="O316" s="16">
        <v>3</v>
      </c>
      <c r="P316" s="17">
        <v>13</v>
      </c>
      <c r="Q316" s="17">
        <f>O316*P316</f>
        <v>39</v>
      </c>
      <c r="R316" s="240">
        <f>SUM(Q316:Q319)</f>
        <v>220.18</v>
      </c>
      <c r="S316" s="273">
        <v>975</v>
      </c>
      <c r="T316" s="273">
        <f>S316-R316</f>
        <v>754.81999999999994</v>
      </c>
      <c r="U316" s="241">
        <f>T316/S316</f>
        <v>0.77417435897435893</v>
      </c>
    </row>
    <row r="317" spans="1:21" ht="13">
      <c r="A317" s="249"/>
      <c r="B317" s="245"/>
      <c r="C317" s="54" t="s">
        <v>185</v>
      </c>
      <c r="D317" s="19"/>
      <c r="E317" s="19"/>
      <c r="F317" s="17">
        <v>11</v>
      </c>
      <c r="G317" s="236"/>
      <c r="H317" s="236"/>
      <c r="I317" s="236"/>
      <c r="J317" s="242"/>
      <c r="L317" s="249"/>
      <c r="M317" s="245"/>
      <c r="N317" s="54" t="s">
        <v>185</v>
      </c>
      <c r="O317" s="19"/>
      <c r="P317" s="19"/>
      <c r="Q317" s="17">
        <v>11</v>
      </c>
      <c r="R317" s="236"/>
      <c r="S317" s="236"/>
      <c r="T317" s="236"/>
      <c r="U317" s="242"/>
    </row>
    <row r="318" spans="1:21" ht="13">
      <c r="A318" s="249"/>
      <c r="B318" s="245"/>
      <c r="C318" s="54" t="s">
        <v>33</v>
      </c>
      <c r="D318" s="19"/>
      <c r="E318" s="19"/>
      <c r="F318" s="17">
        <v>120.18</v>
      </c>
      <c r="G318" s="236"/>
      <c r="H318" s="236"/>
      <c r="I318" s="236"/>
      <c r="J318" s="242"/>
      <c r="L318" s="249"/>
      <c r="M318" s="245"/>
      <c r="N318" s="54" t="s">
        <v>33</v>
      </c>
      <c r="O318" s="19"/>
      <c r="P318" s="19"/>
      <c r="Q318" s="17">
        <v>120.18</v>
      </c>
      <c r="R318" s="236"/>
      <c r="S318" s="236"/>
      <c r="T318" s="236"/>
      <c r="U318" s="242"/>
    </row>
    <row r="319" spans="1:21" ht="13">
      <c r="A319" s="249"/>
      <c r="B319" s="246"/>
      <c r="C319" s="55" t="s">
        <v>196</v>
      </c>
      <c r="D319" s="20"/>
      <c r="E319" s="20"/>
      <c r="F319" s="21">
        <v>50</v>
      </c>
      <c r="G319" s="238"/>
      <c r="H319" s="238"/>
      <c r="I319" s="238"/>
      <c r="J319" s="243"/>
      <c r="L319" s="249"/>
      <c r="M319" s="246"/>
      <c r="N319" s="55" t="s">
        <v>196</v>
      </c>
      <c r="O319" s="20"/>
      <c r="P319" s="20"/>
      <c r="Q319" s="21">
        <v>50</v>
      </c>
      <c r="R319" s="238"/>
      <c r="S319" s="238"/>
      <c r="T319" s="238"/>
      <c r="U319" s="243"/>
    </row>
    <row r="320" spans="1:21" ht="13">
      <c r="A320" s="249"/>
      <c r="B320" s="244" t="s">
        <v>197</v>
      </c>
      <c r="C320" s="53" t="s">
        <v>23</v>
      </c>
      <c r="D320" s="16">
        <v>7</v>
      </c>
      <c r="E320" s="17">
        <v>16</v>
      </c>
      <c r="F320" s="17">
        <f t="shared" ref="F320:F321" si="58">D320*E320</f>
        <v>112</v>
      </c>
      <c r="G320" s="240">
        <f>SUM(F320:F323)</f>
        <v>309.61</v>
      </c>
      <c r="H320" s="273">
        <v>1508.73</v>
      </c>
      <c r="I320" s="273">
        <f>H320-G320</f>
        <v>1199.1199999999999</v>
      </c>
      <c r="J320" s="241">
        <f>I320/H320</f>
        <v>0.79478766909917609</v>
      </c>
      <c r="L320" s="249"/>
      <c r="M320" s="244" t="s">
        <v>197</v>
      </c>
      <c r="N320" s="53" t="s">
        <v>23</v>
      </c>
      <c r="O320" s="18"/>
      <c r="P320" s="18"/>
      <c r="Q320" s="18"/>
      <c r="R320" s="240">
        <f>SUM(Q320:Q323)</f>
        <v>197.60999999999999</v>
      </c>
      <c r="S320" s="273">
        <v>1508.73</v>
      </c>
      <c r="T320" s="273">
        <f>S320-R320</f>
        <v>1311.1200000000001</v>
      </c>
      <c r="U320" s="241">
        <f>T320/S320</f>
        <v>0.86902229027062505</v>
      </c>
    </row>
    <row r="321" spans="1:21" ht="13">
      <c r="A321" s="249"/>
      <c r="B321" s="245"/>
      <c r="C321" s="54" t="s">
        <v>32</v>
      </c>
      <c r="D321" s="19">
        <v>10.77</v>
      </c>
      <c r="E321" s="19">
        <v>13</v>
      </c>
      <c r="F321" s="17">
        <f t="shared" si="58"/>
        <v>140.01</v>
      </c>
      <c r="G321" s="236"/>
      <c r="H321" s="236"/>
      <c r="I321" s="236"/>
      <c r="J321" s="242"/>
      <c r="L321" s="249"/>
      <c r="M321" s="245"/>
      <c r="N321" s="54" t="s">
        <v>32</v>
      </c>
      <c r="O321" s="19">
        <v>10.77</v>
      </c>
      <c r="P321" s="19">
        <v>13</v>
      </c>
      <c r="Q321" s="17">
        <f>O321*P321</f>
        <v>140.01</v>
      </c>
      <c r="R321" s="236"/>
      <c r="S321" s="236"/>
      <c r="T321" s="236"/>
      <c r="U321" s="242"/>
    </row>
    <row r="322" spans="1:21" ht="13">
      <c r="A322" s="249"/>
      <c r="B322" s="245"/>
      <c r="C322" s="54" t="s">
        <v>33</v>
      </c>
      <c r="D322" s="19"/>
      <c r="E322" s="19"/>
      <c r="F322" s="17">
        <v>57.6</v>
      </c>
      <c r="G322" s="236"/>
      <c r="H322" s="236"/>
      <c r="I322" s="236"/>
      <c r="J322" s="242"/>
      <c r="L322" s="249"/>
      <c r="M322" s="245"/>
      <c r="N322" s="54" t="s">
        <v>33</v>
      </c>
      <c r="O322" s="19"/>
      <c r="P322" s="19"/>
      <c r="Q322" s="17">
        <v>57.6</v>
      </c>
      <c r="R322" s="236"/>
      <c r="S322" s="236"/>
      <c r="T322" s="236"/>
      <c r="U322" s="242"/>
    </row>
    <row r="323" spans="1:21" ht="13">
      <c r="A323" s="249"/>
      <c r="B323" s="246"/>
      <c r="C323" s="55"/>
      <c r="D323" s="20"/>
      <c r="E323" s="20"/>
      <c r="F323" s="21"/>
      <c r="G323" s="238"/>
      <c r="H323" s="238"/>
      <c r="I323" s="238"/>
      <c r="J323" s="243"/>
      <c r="L323" s="249"/>
      <c r="M323" s="246"/>
      <c r="N323" s="55"/>
      <c r="O323" s="20"/>
      <c r="P323" s="20"/>
      <c r="Q323" s="21"/>
      <c r="R323" s="238"/>
      <c r="S323" s="238"/>
      <c r="T323" s="238"/>
      <c r="U323" s="243"/>
    </row>
    <row r="324" spans="1:21" ht="13">
      <c r="A324" s="249"/>
      <c r="B324" s="244" t="s">
        <v>198</v>
      </c>
      <c r="C324" s="53" t="s">
        <v>55</v>
      </c>
      <c r="D324" s="16">
        <v>3</v>
      </c>
      <c r="E324" s="17">
        <v>15</v>
      </c>
      <c r="F324" s="17">
        <f t="shared" ref="F324:F326" si="59">D324*E324</f>
        <v>45</v>
      </c>
      <c r="G324" s="240">
        <f>SUM(F324:F327)</f>
        <v>450</v>
      </c>
      <c r="H324" s="273">
        <v>1350</v>
      </c>
      <c r="I324" s="273">
        <f>H324-G324</f>
        <v>900</v>
      </c>
      <c r="J324" s="241">
        <f>I324/H324</f>
        <v>0.66666666666666663</v>
      </c>
      <c r="L324" s="249"/>
      <c r="M324" s="244" t="s">
        <v>198</v>
      </c>
      <c r="N324" s="53" t="s">
        <v>55</v>
      </c>
      <c r="O324" s="16">
        <v>3</v>
      </c>
      <c r="P324" s="17">
        <v>15</v>
      </c>
      <c r="Q324" s="17">
        <f t="shared" ref="Q324:Q326" si="60">O324*P324</f>
        <v>45</v>
      </c>
      <c r="R324" s="240">
        <f>SUM(Q324:Q327)</f>
        <v>450</v>
      </c>
      <c r="S324" s="273">
        <v>1350</v>
      </c>
      <c r="T324" s="273">
        <f>S324-R324</f>
        <v>900</v>
      </c>
      <c r="U324" s="241">
        <f>T324/S324</f>
        <v>0.66666666666666663</v>
      </c>
    </row>
    <row r="325" spans="1:21" ht="13">
      <c r="A325" s="249"/>
      <c r="B325" s="245"/>
      <c r="C325" s="54" t="s">
        <v>53</v>
      </c>
      <c r="D325" s="19">
        <v>12</v>
      </c>
      <c r="E325" s="19">
        <v>15</v>
      </c>
      <c r="F325" s="17">
        <f t="shared" si="59"/>
        <v>180</v>
      </c>
      <c r="G325" s="236"/>
      <c r="H325" s="236"/>
      <c r="I325" s="236"/>
      <c r="J325" s="242"/>
      <c r="L325" s="249"/>
      <c r="M325" s="245"/>
      <c r="N325" s="54" t="s">
        <v>53</v>
      </c>
      <c r="O325" s="19">
        <v>12</v>
      </c>
      <c r="P325" s="19">
        <v>15</v>
      </c>
      <c r="Q325" s="17">
        <f t="shared" si="60"/>
        <v>180</v>
      </c>
      <c r="R325" s="236"/>
      <c r="S325" s="236"/>
      <c r="T325" s="236"/>
      <c r="U325" s="242"/>
    </row>
    <row r="326" spans="1:21" ht="13">
      <c r="A326" s="249"/>
      <c r="B326" s="245"/>
      <c r="C326" s="54" t="s">
        <v>140</v>
      </c>
      <c r="D326" s="19">
        <v>15</v>
      </c>
      <c r="E326" s="19">
        <v>15</v>
      </c>
      <c r="F326" s="17">
        <f t="shared" si="59"/>
        <v>225</v>
      </c>
      <c r="G326" s="236"/>
      <c r="H326" s="236"/>
      <c r="I326" s="236"/>
      <c r="J326" s="242"/>
      <c r="L326" s="249"/>
      <c r="M326" s="245"/>
      <c r="N326" s="54" t="s">
        <v>140</v>
      </c>
      <c r="O326" s="19">
        <v>15</v>
      </c>
      <c r="P326" s="19">
        <v>15</v>
      </c>
      <c r="Q326" s="17">
        <f t="shared" si="60"/>
        <v>225</v>
      </c>
      <c r="R326" s="236"/>
      <c r="S326" s="236"/>
      <c r="T326" s="236"/>
      <c r="U326" s="242"/>
    </row>
    <row r="327" spans="1:21" ht="13">
      <c r="A327" s="249"/>
      <c r="B327" s="246"/>
      <c r="C327" s="55"/>
      <c r="D327" s="20"/>
      <c r="E327" s="20"/>
      <c r="F327" s="21"/>
      <c r="G327" s="238"/>
      <c r="H327" s="238"/>
      <c r="I327" s="238"/>
      <c r="J327" s="243"/>
      <c r="L327" s="249"/>
      <c r="M327" s="246"/>
      <c r="N327" s="55"/>
      <c r="O327" s="20"/>
      <c r="P327" s="20"/>
      <c r="Q327" s="21"/>
      <c r="R327" s="238"/>
      <c r="S327" s="238"/>
      <c r="T327" s="238"/>
      <c r="U327" s="243"/>
    </row>
    <row r="328" spans="1:21" ht="13">
      <c r="A328" s="249"/>
      <c r="B328" s="244" t="s">
        <v>199</v>
      </c>
      <c r="C328" s="53" t="s">
        <v>23</v>
      </c>
      <c r="D328" s="16">
        <v>14</v>
      </c>
      <c r="E328" s="17">
        <v>16</v>
      </c>
      <c r="F328" s="17">
        <f>D328*E328</f>
        <v>224</v>
      </c>
      <c r="G328" s="240">
        <f>SUM(F328:F333)</f>
        <v>739.78000000000009</v>
      </c>
      <c r="H328" s="273">
        <v>3531.46</v>
      </c>
      <c r="I328" s="273">
        <f>H328-G328</f>
        <v>2791.68</v>
      </c>
      <c r="J328" s="241">
        <f>I328/H328</f>
        <v>0.79051723649708616</v>
      </c>
      <c r="L328" s="249"/>
      <c r="M328" s="244" t="s">
        <v>199</v>
      </c>
      <c r="N328" s="53" t="s">
        <v>23</v>
      </c>
      <c r="O328" s="18"/>
      <c r="P328" s="18"/>
      <c r="Q328" s="18"/>
      <c r="R328" s="240">
        <f>SUM(Q328:Q333)</f>
        <v>515.78000000000009</v>
      </c>
      <c r="S328" s="273">
        <v>3531.46</v>
      </c>
      <c r="T328" s="273">
        <f>S328-R328</f>
        <v>3015.68</v>
      </c>
      <c r="U328" s="241">
        <f>T328/S328</f>
        <v>0.85394709270386748</v>
      </c>
    </row>
    <row r="329" spans="1:21" ht="13">
      <c r="A329" s="249"/>
      <c r="B329" s="245"/>
      <c r="C329" s="54" t="s">
        <v>47</v>
      </c>
      <c r="D329" s="19"/>
      <c r="E329" s="19"/>
      <c r="F329" s="17">
        <v>66.510000000000005</v>
      </c>
      <c r="G329" s="236"/>
      <c r="H329" s="236"/>
      <c r="I329" s="236"/>
      <c r="J329" s="242"/>
      <c r="L329" s="249"/>
      <c r="M329" s="245"/>
      <c r="N329" s="54" t="s">
        <v>47</v>
      </c>
      <c r="O329" s="19"/>
      <c r="P329" s="19"/>
      <c r="Q329" s="17">
        <v>66.510000000000005</v>
      </c>
      <c r="R329" s="236"/>
      <c r="S329" s="236"/>
      <c r="T329" s="236"/>
      <c r="U329" s="242"/>
    </row>
    <row r="330" spans="1:21" ht="13">
      <c r="A330" s="249"/>
      <c r="B330" s="245"/>
      <c r="C330" s="54" t="s">
        <v>33</v>
      </c>
      <c r="D330" s="19"/>
      <c r="E330" s="19"/>
      <c r="F330" s="17">
        <v>255.08</v>
      </c>
      <c r="G330" s="236"/>
      <c r="H330" s="236"/>
      <c r="I330" s="236"/>
      <c r="J330" s="242"/>
      <c r="L330" s="249"/>
      <c r="M330" s="245"/>
      <c r="N330" s="54" t="s">
        <v>33</v>
      </c>
      <c r="O330" s="19"/>
      <c r="P330" s="19"/>
      <c r="Q330" s="17">
        <v>255.08</v>
      </c>
      <c r="R330" s="236"/>
      <c r="S330" s="236"/>
      <c r="T330" s="236"/>
      <c r="U330" s="242"/>
    </row>
    <row r="331" spans="1:21" ht="13">
      <c r="A331" s="249"/>
      <c r="B331" s="245"/>
      <c r="C331" s="54" t="s">
        <v>153</v>
      </c>
      <c r="D331" s="19"/>
      <c r="E331" s="19"/>
      <c r="F331" s="17">
        <v>36.74</v>
      </c>
      <c r="G331" s="236"/>
      <c r="H331" s="236"/>
      <c r="I331" s="236"/>
      <c r="J331" s="242"/>
      <c r="L331" s="249"/>
      <c r="M331" s="245"/>
      <c r="N331" s="54" t="s">
        <v>153</v>
      </c>
      <c r="O331" s="19"/>
      <c r="P331" s="19"/>
      <c r="Q331" s="17">
        <v>36.74</v>
      </c>
      <c r="R331" s="236"/>
      <c r="S331" s="236"/>
      <c r="T331" s="236"/>
      <c r="U331" s="242"/>
    </row>
    <row r="332" spans="1:21" ht="13">
      <c r="A332" s="249"/>
      <c r="B332" s="245"/>
      <c r="C332" s="54" t="s">
        <v>45</v>
      </c>
      <c r="D332" s="19"/>
      <c r="E332" s="19"/>
      <c r="F332" s="17">
        <v>134.75</v>
      </c>
      <c r="G332" s="236"/>
      <c r="H332" s="236"/>
      <c r="I332" s="236"/>
      <c r="J332" s="242"/>
      <c r="L332" s="249"/>
      <c r="M332" s="245"/>
      <c r="N332" s="54" t="s">
        <v>45</v>
      </c>
      <c r="O332" s="19"/>
      <c r="P332" s="19"/>
      <c r="Q332" s="17">
        <v>134.75</v>
      </c>
      <c r="R332" s="236"/>
      <c r="S332" s="236"/>
      <c r="T332" s="236"/>
      <c r="U332" s="242"/>
    </row>
    <row r="333" spans="1:21" ht="13">
      <c r="A333" s="249"/>
      <c r="B333" s="246"/>
      <c r="C333" s="55" t="s">
        <v>44</v>
      </c>
      <c r="D333" s="20"/>
      <c r="E333" s="20"/>
      <c r="F333" s="21">
        <v>22.7</v>
      </c>
      <c r="G333" s="238"/>
      <c r="H333" s="238"/>
      <c r="I333" s="238"/>
      <c r="J333" s="243"/>
      <c r="L333" s="249"/>
      <c r="M333" s="246"/>
      <c r="N333" s="55" t="s">
        <v>44</v>
      </c>
      <c r="O333" s="20"/>
      <c r="P333" s="20"/>
      <c r="Q333" s="21">
        <v>22.7</v>
      </c>
      <c r="R333" s="238"/>
      <c r="S333" s="238"/>
      <c r="T333" s="238"/>
      <c r="U333" s="243"/>
    </row>
    <row r="334" spans="1:21" ht="13">
      <c r="A334" s="249"/>
      <c r="B334" s="244" t="s">
        <v>200</v>
      </c>
      <c r="C334" s="15" t="s">
        <v>114</v>
      </c>
      <c r="D334" s="16">
        <v>7</v>
      </c>
      <c r="E334" s="16">
        <v>18</v>
      </c>
      <c r="F334" s="17">
        <f t="shared" ref="F334:F336" si="61">D334*E334</f>
        <v>126</v>
      </c>
      <c r="G334" s="240">
        <f>SUM(F334:F344)</f>
        <v>1967.52</v>
      </c>
      <c r="H334" s="240">
        <v>4750.1400000000003</v>
      </c>
      <c r="I334" s="240">
        <f>H334-G334</f>
        <v>2782.6200000000003</v>
      </c>
      <c r="J334" s="241">
        <f>I334/H334</f>
        <v>0.58579747123242687</v>
      </c>
      <c r="L334" s="249"/>
      <c r="M334" s="244" t="s">
        <v>200</v>
      </c>
      <c r="N334" s="15" t="s">
        <v>114</v>
      </c>
      <c r="O334" s="18"/>
      <c r="P334" s="18"/>
      <c r="Q334" s="18"/>
      <c r="R334" s="240">
        <f>SUM(Q334:Q344)</f>
        <v>1841.52</v>
      </c>
      <c r="S334" s="240">
        <v>4750.1400000000003</v>
      </c>
      <c r="T334" s="240">
        <f>S334-R334</f>
        <v>2908.6200000000003</v>
      </c>
      <c r="U334" s="241">
        <f>T334/S334</f>
        <v>0.61232300521668837</v>
      </c>
    </row>
    <row r="335" spans="1:21" ht="13">
      <c r="A335" s="249"/>
      <c r="B335" s="245"/>
      <c r="C335" s="19" t="s">
        <v>63</v>
      </c>
      <c r="D335" s="17">
        <v>30</v>
      </c>
      <c r="E335" s="17">
        <v>17</v>
      </c>
      <c r="F335" s="17">
        <f t="shared" si="61"/>
        <v>510</v>
      </c>
      <c r="G335" s="236"/>
      <c r="H335" s="236"/>
      <c r="I335" s="236"/>
      <c r="J335" s="242"/>
      <c r="L335" s="249"/>
      <c r="M335" s="245"/>
      <c r="N335" s="19" t="s">
        <v>63</v>
      </c>
      <c r="O335" s="17">
        <v>30</v>
      </c>
      <c r="P335" s="17">
        <v>17</v>
      </c>
      <c r="Q335" s="17">
        <f t="shared" ref="Q335:Q336" si="62">O335*P335</f>
        <v>510</v>
      </c>
      <c r="R335" s="236"/>
      <c r="S335" s="236"/>
      <c r="T335" s="236"/>
      <c r="U335" s="242"/>
    </row>
    <row r="336" spans="1:21" ht="13">
      <c r="A336" s="249"/>
      <c r="B336" s="245"/>
      <c r="C336" s="19" t="s">
        <v>178</v>
      </c>
      <c r="D336" s="17">
        <v>17.5</v>
      </c>
      <c r="E336" s="17">
        <v>17</v>
      </c>
      <c r="F336" s="17">
        <f t="shared" si="61"/>
        <v>297.5</v>
      </c>
      <c r="G336" s="236"/>
      <c r="H336" s="236"/>
      <c r="I336" s="236"/>
      <c r="J336" s="242"/>
      <c r="L336" s="249"/>
      <c r="M336" s="245"/>
      <c r="N336" s="19" t="s">
        <v>178</v>
      </c>
      <c r="O336" s="17">
        <v>17.5</v>
      </c>
      <c r="P336" s="17">
        <v>17</v>
      </c>
      <c r="Q336" s="17">
        <f t="shared" si="62"/>
        <v>297.5</v>
      </c>
      <c r="R336" s="236"/>
      <c r="S336" s="236"/>
      <c r="T336" s="236"/>
      <c r="U336" s="242"/>
    </row>
    <row r="337" spans="1:21" ht="13">
      <c r="A337" s="249"/>
      <c r="B337" s="245"/>
      <c r="C337" s="19" t="s">
        <v>155</v>
      </c>
      <c r="D337" s="17"/>
      <c r="E337" s="17"/>
      <c r="F337" s="17">
        <v>421</v>
      </c>
      <c r="G337" s="236"/>
      <c r="H337" s="236"/>
      <c r="I337" s="236"/>
      <c r="J337" s="242"/>
      <c r="L337" s="249"/>
      <c r="M337" s="245"/>
      <c r="N337" s="19" t="s">
        <v>155</v>
      </c>
      <c r="O337" s="17"/>
      <c r="P337" s="17"/>
      <c r="Q337" s="17">
        <v>421</v>
      </c>
      <c r="R337" s="236"/>
      <c r="S337" s="236"/>
      <c r="T337" s="236"/>
      <c r="U337" s="242"/>
    </row>
    <row r="338" spans="1:21" ht="13">
      <c r="A338" s="249"/>
      <c r="B338" s="245"/>
      <c r="C338" s="19" t="s">
        <v>165</v>
      </c>
      <c r="D338" s="17"/>
      <c r="E338" s="17"/>
      <c r="F338" s="17">
        <v>217.53</v>
      </c>
      <c r="G338" s="236"/>
      <c r="H338" s="236"/>
      <c r="I338" s="236"/>
      <c r="J338" s="242"/>
      <c r="L338" s="249"/>
      <c r="M338" s="245"/>
      <c r="N338" s="19" t="s">
        <v>165</v>
      </c>
      <c r="O338" s="17"/>
      <c r="P338" s="17"/>
      <c r="Q338" s="17">
        <v>217.53</v>
      </c>
      <c r="R338" s="236"/>
      <c r="S338" s="236"/>
      <c r="T338" s="236"/>
      <c r="U338" s="242"/>
    </row>
    <row r="339" spans="1:21" ht="13">
      <c r="A339" s="249"/>
      <c r="B339" s="245"/>
      <c r="C339" s="19" t="s">
        <v>83</v>
      </c>
      <c r="D339" s="17"/>
      <c r="E339" s="17"/>
      <c r="F339" s="17">
        <v>153.69</v>
      </c>
      <c r="G339" s="236"/>
      <c r="H339" s="236"/>
      <c r="I339" s="236"/>
      <c r="J339" s="242"/>
      <c r="L339" s="249"/>
      <c r="M339" s="245"/>
      <c r="N339" s="19" t="s">
        <v>83</v>
      </c>
      <c r="O339" s="17"/>
      <c r="P339" s="17"/>
      <c r="Q339" s="17">
        <v>153.69</v>
      </c>
      <c r="R339" s="236"/>
      <c r="S339" s="236"/>
      <c r="T339" s="236"/>
      <c r="U339" s="242"/>
    </row>
    <row r="340" spans="1:21" ht="13">
      <c r="A340" s="249"/>
      <c r="B340" s="245"/>
      <c r="C340" s="19" t="s">
        <v>44</v>
      </c>
      <c r="D340" s="17"/>
      <c r="E340" s="17"/>
      <c r="F340" s="17">
        <v>127.8</v>
      </c>
      <c r="G340" s="236"/>
      <c r="H340" s="236"/>
      <c r="I340" s="236"/>
      <c r="J340" s="242"/>
      <c r="L340" s="249"/>
      <c r="M340" s="245"/>
      <c r="N340" s="19" t="s">
        <v>44</v>
      </c>
      <c r="O340" s="17"/>
      <c r="P340" s="17"/>
      <c r="Q340" s="17">
        <v>127.8</v>
      </c>
      <c r="R340" s="236"/>
      <c r="S340" s="236"/>
      <c r="T340" s="236"/>
      <c r="U340" s="242"/>
    </row>
    <row r="341" spans="1:21" ht="13">
      <c r="A341" s="249"/>
      <c r="B341" s="245"/>
      <c r="C341" s="19" t="s">
        <v>153</v>
      </c>
      <c r="D341" s="17"/>
      <c r="E341" s="17"/>
      <c r="F341" s="17">
        <v>87</v>
      </c>
      <c r="G341" s="236"/>
      <c r="H341" s="236"/>
      <c r="I341" s="236"/>
      <c r="J341" s="242"/>
      <c r="L341" s="249"/>
      <c r="M341" s="245"/>
      <c r="N341" s="19" t="s">
        <v>153</v>
      </c>
      <c r="O341" s="17"/>
      <c r="P341" s="17"/>
      <c r="Q341" s="17">
        <v>87</v>
      </c>
      <c r="R341" s="236"/>
      <c r="S341" s="236"/>
      <c r="T341" s="236"/>
      <c r="U341" s="242"/>
    </row>
    <row r="342" spans="1:21" ht="13">
      <c r="A342" s="249"/>
      <c r="B342" s="245"/>
      <c r="C342" s="19" t="s">
        <v>46</v>
      </c>
      <c r="D342" s="17"/>
      <c r="E342" s="17"/>
      <c r="F342" s="17">
        <v>27</v>
      </c>
      <c r="G342" s="236"/>
      <c r="H342" s="236"/>
      <c r="I342" s="236"/>
      <c r="J342" s="242"/>
      <c r="L342" s="249"/>
      <c r="M342" s="245"/>
      <c r="N342" s="19" t="s">
        <v>46</v>
      </c>
      <c r="O342" s="17"/>
      <c r="P342" s="17"/>
      <c r="Q342" s="17">
        <v>27</v>
      </c>
      <c r="R342" s="236"/>
      <c r="S342" s="236"/>
      <c r="T342" s="236"/>
      <c r="U342" s="242"/>
    </row>
    <row r="343" spans="1:21" ht="13">
      <c r="A343" s="249"/>
      <c r="B343" s="245"/>
      <c r="C343" s="19"/>
      <c r="D343" s="17"/>
      <c r="E343" s="17"/>
      <c r="F343" s="17"/>
      <c r="G343" s="236"/>
      <c r="H343" s="236"/>
      <c r="I343" s="236"/>
      <c r="J343" s="242"/>
      <c r="L343" s="249"/>
      <c r="M343" s="245"/>
      <c r="N343" s="19"/>
      <c r="O343" s="17"/>
      <c r="P343" s="17"/>
      <c r="Q343" s="17"/>
      <c r="R343" s="236"/>
      <c r="S343" s="236"/>
      <c r="T343" s="236"/>
      <c r="U343" s="242"/>
    </row>
    <row r="344" spans="1:21" ht="13">
      <c r="A344" s="249"/>
      <c r="B344" s="246"/>
      <c r="C344" s="44"/>
      <c r="D344" s="21"/>
      <c r="E344" s="21"/>
      <c r="F344" s="21"/>
      <c r="G344" s="238"/>
      <c r="H344" s="238"/>
      <c r="I344" s="238"/>
      <c r="J344" s="243"/>
      <c r="L344" s="249"/>
      <c r="M344" s="246"/>
      <c r="N344" s="44"/>
      <c r="O344" s="21"/>
      <c r="P344" s="21"/>
      <c r="Q344" s="21"/>
      <c r="R344" s="238"/>
      <c r="S344" s="238"/>
      <c r="T344" s="238"/>
      <c r="U344" s="243"/>
    </row>
    <row r="345" spans="1:21" ht="13">
      <c r="A345" s="249"/>
      <c r="B345" s="244" t="s">
        <v>201</v>
      </c>
      <c r="C345" s="53" t="s">
        <v>147</v>
      </c>
      <c r="D345" s="16">
        <v>48</v>
      </c>
      <c r="E345" s="17">
        <v>15</v>
      </c>
      <c r="F345" s="17">
        <f>D345*E345</f>
        <v>720</v>
      </c>
      <c r="G345" s="240">
        <f>SUM(F345:F346)</f>
        <v>720</v>
      </c>
      <c r="H345" s="273">
        <v>2544</v>
      </c>
      <c r="I345" s="273">
        <f>H345-G345</f>
        <v>1824</v>
      </c>
      <c r="J345" s="241">
        <f>I345/H345</f>
        <v>0.71698113207547165</v>
      </c>
      <c r="L345" s="249"/>
      <c r="M345" s="244" t="s">
        <v>201</v>
      </c>
      <c r="N345" s="53" t="s">
        <v>147</v>
      </c>
      <c r="O345" s="16">
        <v>48</v>
      </c>
      <c r="P345" s="17">
        <v>15</v>
      </c>
      <c r="Q345" s="17">
        <f>O345*P345</f>
        <v>720</v>
      </c>
      <c r="R345" s="240">
        <f>SUM(Q345:Q346)</f>
        <v>720</v>
      </c>
      <c r="S345" s="273">
        <v>2544</v>
      </c>
      <c r="T345" s="273">
        <f>S345-R345</f>
        <v>1824</v>
      </c>
      <c r="U345" s="241">
        <f>T345/S345</f>
        <v>0.71698113207547165</v>
      </c>
    </row>
    <row r="346" spans="1:21" ht="13">
      <c r="A346" s="250"/>
      <c r="B346" s="246"/>
      <c r="C346" s="55"/>
      <c r="D346" s="20"/>
      <c r="E346" s="20"/>
      <c r="F346" s="21"/>
      <c r="G346" s="238"/>
      <c r="H346" s="238"/>
      <c r="I346" s="238"/>
      <c r="J346" s="243"/>
      <c r="L346" s="250"/>
      <c r="M346" s="246"/>
      <c r="N346" s="55"/>
      <c r="O346" s="20"/>
      <c r="P346" s="20"/>
      <c r="Q346" s="21"/>
      <c r="R346" s="238"/>
      <c r="S346" s="238"/>
      <c r="T346" s="238"/>
      <c r="U346" s="243"/>
    </row>
    <row r="347" spans="1:21" ht="30">
      <c r="A347" s="278" t="s">
        <v>202</v>
      </c>
      <c r="B347" s="252"/>
      <c r="C347" s="253"/>
      <c r="D347" s="56">
        <f t="shared" ref="D347:I347" si="63">AVERAGE(D224:D346)</f>
        <v>16.252457627118641</v>
      </c>
      <c r="E347" s="56">
        <f t="shared" si="63"/>
        <v>15.016949152542374</v>
      </c>
      <c r="F347" s="56">
        <f t="shared" si="63"/>
        <v>216.21949074074072</v>
      </c>
      <c r="G347" s="56">
        <f t="shared" si="63"/>
        <v>1229.0371052631581</v>
      </c>
      <c r="H347" s="56">
        <f t="shared" si="63"/>
        <v>3502.9094736842103</v>
      </c>
      <c r="I347" s="56">
        <f t="shared" si="63"/>
        <v>2273.8723684210527</v>
      </c>
      <c r="J347" s="57">
        <f>AVERAGE($J$12:$J$76)</f>
        <v>0.79942354689485917</v>
      </c>
      <c r="L347" s="278" t="s">
        <v>202</v>
      </c>
      <c r="M347" s="252"/>
      <c r="N347" s="253"/>
      <c r="O347" s="56">
        <f t="shared" ref="O347:T347" si="64">AVERAGE(O224:O346)</f>
        <v>16.529680851063834</v>
      </c>
      <c r="P347" s="56">
        <f t="shared" si="64"/>
        <v>14.446808510638299</v>
      </c>
      <c r="Q347" s="56">
        <f t="shared" si="64"/>
        <v>210.65317708333328</v>
      </c>
      <c r="R347" s="56">
        <f t="shared" si="64"/>
        <v>1064.352894736842</v>
      </c>
      <c r="S347" s="56">
        <f t="shared" si="64"/>
        <v>3502.9094736842103</v>
      </c>
      <c r="T347" s="56">
        <f t="shared" si="64"/>
        <v>2438.5565789473685</v>
      </c>
      <c r="U347" s="57">
        <f>AVERAGE($J$12:$J$76)</f>
        <v>0.79942354689485917</v>
      </c>
    </row>
    <row r="348" spans="1:21" ht="30">
      <c r="A348" s="278" t="s">
        <v>203</v>
      </c>
      <c r="B348" s="252"/>
      <c r="C348" s="253"/>
      <c r="D348" s="56">
        <f t="shared" ref="D348:I348" si="65">SUM(D224:D346)</f>
        <v>958.89499999999987</v>
      </c>
      <c r="E348" s="56">
        <f t="shared" si="65"/>
        <v>886</v>
      </c>
      <c r="F348" s="56">
        <f t="shared" si="65"/>
        <v>23351.704999999998</v>
      </c>
      <c r="G348" s="56">
        <f t="shared" si="65"/>
        <v>23351.705000000002</v>
      </c>
      <c r="H348" s="56">
        <f t="shared" si="65"/>
        <v>66555.28</v>
      </c>
      <c r="I348" s="56">
        <f t="shared" si="65"/>
        <v>43203.575000000004</v>
      </c>
      <c r="J348" s="58">
        <f>I348/H348</f>
        <v>0.64913820511310305</v>
      </c>
      <c r="L348" s="278" t="s">
        <v>203</v>
      </c>
      <c r="M348" s="252"/>
      <c r="N348" s="253"/>
      <c r="O348" s="56">
        <f t="shared" ref="O348:T348" si="66">SUM(O224:O346)</f>
        <v>776.8950000000001</v>
      </c>
      <c r="P348" s="56">
        <f t="shared" si="66"/>
        <v>679</v>
      </c>
      <c r="Q348" s="56">
        <f t="shared" si="66"/>
        <v>20222.704999999994</v>
      </c>
      <c r="R348" s="56">
        <f t="shared" si="66"/>
        <v>20222.704999999998</v>
      </c>
      <c r="S348" s="56">
        <f t="shared" si="66"/>
        <v>66555.28</v>
      </c>
      <c r="T348" s="56">
        <f t="shared" si="66"/>
        <v>46332.575000000004</v>
      </c>
      <c r="U348" s="58">
        <f>T348/S348</f>
        <v>0.69615175535284357</v>
      </c>
    </row>
    <row r="349" spans="1:21" ht="30">
      <c r="A349" s="59"/>
      <c r="B349" s="60"/>
      <c r="C349" s="60"/>
      <c r="D349" s="61"/>
      <c r="E349" s="62"/>
      <c r="F349" s="62"/>
      <c r="G349" s="62"/>
      <c r="H349" s="62"/>
      <c r="I349" s="62"/>
      <c r="J349" s="63"/>
      <c r="L349" s="79"/>
      <c r="M349" s="80"/>
      <c r="N349" s="80"/>
      <c r="O349" s="81"/>
      <c r="P349" s="82"/>
      <c r="Q349" s="82"/>
      <c r="R349" s="82"/>
      <c r="S349" s="82"/>
      <c r="T349" s="82"/>
      <c r="U349" s="83"/>
    </row>
    <row r="350" spans="1:21" ht="30">
      <c r="A350" s="257" t="s">
        <v>204</v>
      </c>
      <c r="B350" s="252"/>
      <c r="C350" s="253"/>
      <c r="D350" s="34">
        <f t="shared" ref="D350:I350" si="67">SUM(D110,D223,D348)</f>
        <v>2665.9949999999999</v>
      </c>
      <c r="E350" s="34">
        <f t="shared" si="67"/>
        <v>2714</v>
      </c>
      <c r="F350" s="34">
        <f t="shared" si="67"/>
        <v>63770.294999999998</v>
      </c>
      <c r="G350" s="34">
        <f t="shared" si="67"/>
        <v>63770.295000000006</v>
      </c>
      <c r="H350" s="34">
        <f t="shared" si="67"/>
        <v>180332.53999999998</v>
      </c>
      <c r="I350" s="34">
        <f t="shared" si="67"/>
        <v>116562.24500000002</v>
      </c>
      <c r="J350" s="35">
        <f>I350/H350</f>
        <v>0.64637388792948869</v>
      </c>
      <c r="L350" s="257" t="s">
        <v>204</v>
      </c>
      <c r="M350" s="252"/>
      <c r="N350" s="253"/>
      <c r="O350" s="34">
        <f t="shared" ref="O350:T350" si="68">SUM(O110,O223,O348)</f>
        <v>2030.9949999999999</v>
      </c>
      <c r="P350" s="34">
        <f t="shared" si="68"/>
        <v>1839</v>
      </c>
      <c r="Q350" s="34">
        <f t="shared" si="68"/>
        <v>52925.294999999991</v>
      </c>
      <c r="R350" s="34">
        <f t="shared" si="68"/>
        <v>52925.294999999998</v>
      </c>
      <c r="S350" s="34">
        <f t="shared" si="68"/>
        <v>180332.53999999998</v>
      </c>
      <c r="T350" s="34">
        <f t="shared" si="68"/>
        <v>127407.24500000002</v>
      </c>
      <c r="U350" s="35">
        <f>T350/S350</f>
        <v>0.70651278465883105</v>
      </c>
    </row>
    <row r="351" spans="1:21" ht="30">
      <c r="A351" s="59"/>
      <c r="B351" s="60"/>
      <c r="C351" s="60"/>
      <c r="D351" s="61"/>
      <c r="E351" s="62"/>
      <c r="F351" s="62"/>
      <c r="G351" s="62"/>
      <c r="H351" s="62"/>
      <c r="I351" s="62"/>
      <c r="J351" s="63"/>
      <c r="L351" s="59"/>
      <c r="M351" s="60"/>
      <c r="N351" s="60"/>
      <c r="O351" s="61"/>
      <c r="P351" s="62"/>
      <c r="Q351" s="62"/>
      <c r="R351" s="62"/>
      <c r="S351" s="62"/>
      <c r="T351" s="62"/>
      <c r="U351" s="63"/>
    </row>
    <row r="352" spans="1:21" ht="13">
      <c r="A352" s="287" t="s">
        <v>3</v>
      </c>
      <c r="B352" s="244" t="s">
        <v>205</v>
      </c>
      <c r="C352" s="53" t="s">
        <v>55</v>
      </c>
      <c r="D352" s="16">
        <v>4</v>
      </c>
      <c r="E352" s="16">
        <v>13</v>
      </c>
      <c r="F352" s="16">
        <f>D352*E352</f>
        <v>52</v>
      </c>
      <c r="G352" s="240">
        <f>SUM(F352:F353)</f>
        <v>138.37</v>
      </c>
      <c r="H352" s="273">
        <v>1965</v>
      </c>
      <c r="I352" s="273">
        <f>H352-G352</f>
        <v>1826.63</v>
      </c>
      <c r="J352" s="241">
        <f>I352/H352</f>
        <v>0.92958269720101783</v>
      </c>
      <c r="L352" s="287" t="s">
        <v>3</v>
      </c>
      <c r="M352" s="244" t="s">
        <v>205</v>
      </c>
      <c r="N352" s="53" t="s">
        <v>55</v>
      </c>
      <c r="O352" s="16">
        <v>4</v>
      </c>
      <c r="P352" s="16">
        <v>13</v>
      </c>
      <c r="Q352" s="16">
        <f>O352*P352</f>
        <v>52</v>
      </c>
      <c r="R352" s="240">
        <f>SUM(Q352:Q353)</f>
        <v>138.37</v>
      </c>
      <c r="S352" s="273">
        <v>1965</v>
      </c>
      <c r="T352" s="273">
        <f>S352-R352</f>
        <v>1826.63</v>
      </c>
      <c r="U352" s="241">
        <f>T352/S352</f>
        <v>0.92958269720101783</v>
      </c>
    </row>
    <row r="353" spans="1:21" ht="13">
      <c r="A353" s="249"/>
      <c r="B353" s="246"/>
      <c r="C353" s="55" t="s">
        <v>33</v>
      </c>
      <c r="D353" s="20"/>
      <c r="E353" s="20"/>
      <c r="F353" s="21">
        <v>86.37</v>
      </c>
      <c r="G353" s="238"/>
      <c r="H353" s="238"/>
      <c r="I353" s="238"/>
      <c r="J353" s="243"/>
      <c r="L353" s="249"/>
      <c r="M353" s="246"/>
      <c r="N353" s="55" t="s">
        <v>33</v>
      </c>
      <c r="O353" s="20"/>
      <c r="P353" s="20"/>
      <c r="Q353" s="21">
        <v>86.37</v>
      </c>
      <c r="R353" s="238"/>
      <c r="S353" s="238"/>
      <c r="T353" s="238"/>
      <c r="U353" s="243"/>
    </row>
    <row r="354" spans="1:21" ht="13">
      <c r="A354" s="249"/>
      <c r="B354" s="244" t="s">
        <v>599</v>
      </c>
      <c r="C354" s="15" t="s">
        <v>114</v>
      </c>
      <c r="D354" s="16">
        <v>14</v>
      </c>
      <c r="E354" s="16">
        <v>18</v>
      </c>
      <c r="F354" s="17">
        <f t="shared" ref="F354:F360" si="69">D354*E354</f>
        <v>252</v>
      </c>
      <c r="G354" s="240">
        <f>SUM(F354:F361)</f>
        <v>1623.85</v>
      </c>
      <c r="H354" s="237">
        <v>1428</v>
      </c>
      <c r="I354" s="237">
        <f>H354-G354</f>
        <v>-195.84999999999991</v>
      </c>
      <c r="J354" s="241">
        <f>I354/H354</f>
        <v>-0.13714985994397752</v>
      </c>
      <c r="L354" s="249"/>
      <c r="M354" s="244" t="s">
        <v>599</v>
      </c>
      <c r="N354" s="15" t="s">
        <v>114</v>
      </c>
      <c r="O354" s="18"/>
      <c r="P354" s="18"/>
      <c r="Q354" s="18"/>
      <c r="R354" s="240">
        <f>SUM(Q354:Q361)</f>
        <v>1371.85</v>
      </c>
      <c r="S354" s="237">
        <v>1428</v>
      </c>
      <c r="T354" s="237">
        <f>S354-R354</f>
        <v>56.150000000000091</v>
      </c>
      <c r="U354" s="241">
        <f>T354/S354</f>
        <v>3.9320728291316588E-2</v>
      </c>
    </row>
    <row r="355" spans="1:21" ht="13">
      <c r="A355" s="249"/>
      <c r="B355" s="245"/>
      <c r="C355" s="19" t="s">
        <v>70</v>
      </c>
      <c r="D355" s="17">
        <v>13.51</v>
      </c>
      <c r="E355" s="17">
        <v>13</v>
      </c>
      <c r="F355" s="17">
        <f t="shared" si="69"/>
        <v>175.63</v>
      </c>
      <c r="G355" s="236"/>
      <c r="H355" s="236"/>
      <c r="I355" s="236"/>
      <c r="J355" s="242"/>
      <c r="L355" s="249"/>
      <c r="M355" s="245"/>
      <c r="N355" s="19" t="s">
        <v>70</v>
      </c>
      <c r="O355" s="17">
        <v>13.51</v>
      </c>
      <c r="P355" s="17">
        <v>13</v>
      </c>
      <c r="Q355" s="17">
        <f t="shared" ref="Q355:Q360" si="70">O355*P355</f>
        <v>175.63</v>
      </c>
      <c r="R355" s="236"/>
      <c r="S355" s="236"/>
      <c r="T355" s="236"/>
      <c r="U355" s="242"/>
    </row>
    <row r="356" spans="1:21" ht="13">
      <c r="A356" s="249"/>
      <c r="B356" s="245"/>
      <c r="C356" s="19" t="s">
        <v>62</v>
      </c>
      <c r="D356" s="17">
        <v>13.9</v>
      </c>
      <c r="E356" s="17">
        <v>13</v>
      </c>
      <c r="F356" s="17">
        <f t="shared" si="69"/>
        <v>180.70000000000002</v>
      </c>
      <c r="G356" s="236"/>
      <c r="H356" s="236"/>
      <c r="I356" s="236"/>
      <c r="J356" s="242"/>
      <c r="L356" s="249"/>
      <c r="M356" s="245"/>
      <c r="N356" s="19" t="s">
        <v>62</v>
      </c>
      <c r="O356" s="17">
        <v>13.9</v>
      </c>
      <c r="P356" s="17">
        <v>13</v>
      </c>
      <c r="Q356" s="17">
        <f t="shared" si="70"/>
        <v>180.70000000000002</v>
      </c>
      <c r="R356" s="236"/>
      <c r="S356" s="236"/>
      <c r="T356" s="236"/>
      <c r="U356" s="242"/>
    </row>
    <row r="357" spans="1:21" ht="13">
      <c r="A357" s="249"/>
      <c r="B357" s="245"/>
      <c r="C357" s="19" t="s">
        <v>53</v>
      </c>
      <c r="D357" s="17">
        <v>14.55</v>
      </c>
      <c r="E357" s="17">
        <v>13</v>
      </c>
      <c r="F357" s="17">
        <f t="shared" si="69"/>
        <v>189.15</v>
      </c>
      <c r="G357" s="236"/>
      <c r="H357" s="236"/>
      <c r="I357" s="236"/>
      <c r="J357" s="242"/>
      <c r="L357" s="249"/>
      <c r="M357" s="245"/>
      <c r="N357" s="19" t="s">
        <v>53</v>
      </c>
      <c r="O357" s="17">
        <v>14.55</v>
      </c>
      <c r="P357" s="17">
        <v>13</v>
      </c>
      <c r="Q357" s="17">
        <f t="shared" si="70"/>
        <v>189.15</v>
      </c>
      <c r="R357" s="236"/>
      <c r="S357" s="236"/>
      <c r="T357" s="236"/>
      <c r="U357" s="242"/>
    </row>
    <row r="358" spans="1:21" ht="13">
      <c r="A358" s="249"/>
      <c r="B358" s="245"/>
      <c r="C358" s="19" t="s">
        <v>64</v>
      </c>
      <c r="D358" s="17">
        <v>26.51</v>
      </c>
      <c r="E358" s="17">
        <v>15</v>
      </c>
      <c r="F358" s="17">
        <f t="shared" si="69"/>
        <v>397.65000000000003</v>
      </c>
      <c r="G358" s="236"/>
      <c r="H358" s="236"/>
      <c r="I358" s="236"/>
      <c r="J358" s="242"/>
      <c r="L358" s="249"/>
      <c r="M358" s="245"/>
      <c r="N358" s="19" t="s">
        <v>64</v>
      </c>
      <c r="O358" s="17">
        <v>26.51</v>
      </c>
      <c r="P358" s="17">
        <v>15</v>
      </c>
      <c r="Q358" s="17">
        <f t="shared" si="70"/>
        <v>397.65000000000003</v>
      </c>
      <c r="R358" s="236"/>
      <c r="S358" s="236"/>
      <c r="T358" s="236"/>
      <c r="U358" s="242"/>
    </row>
    <row r="359" spans="1:21" ht="13">
      <c r="A359" s="249"/>
      <c r="B359" s="245"/>
      <c r="C359" s="19" t="s">
        <v>583</v>
      </c>
      <c r="D359" s="17">
        <v>18.739999999999998</v>
      </c>
      <c r="E359" s="17">
        <v>13</v>
      </c>
      <c r="F359" s="17">
        <f t="shared" si="69"/>
        <v>243.61999999999998</v>
      </c>
      <c r="G359" s="236"/>
      <c r="H359" s="236"/>
      <c r="I359" s="236"/>
      <c r="J359" s="242"/>
      <c r="L359" s="249"/>
      <c r="M359" s="245"/>
      <c r="N359" s="19" t="s">
        <v>583</v>
      </c>
      <c r="O359" s="17">
        <v>18.739999999999998</v>
      </c>
      <c r="P359" s="17">
        <v>13</v>
      </c>
      <c r="Q359" s="17">
        <f t="shared" si="70"/>
        <v>243.61999999999998</v>
      </c>
      <c r="R359" s="236"/>
      <c r="S359" s="236"/>
      <c r="T359" s="236"/>
      <c r="U359" s="242"/>
    </row>
    <row r="360" spans="1:21" ht="13">
      <c r="A360" s="249"/>
      <c r="B360" s="245"/>
      <c r="C360" s="19" t="s">
        <v>591</v>
      </c>
      <c r="D360" s="17">
        <v>12.7</v>
      </c>
      <c r="E360" s="17">
        <v>13</v>
      </c>
      <c r="F360" s="17">
        <f t="shared" si="69"/>
        <v>165.1</v>
      </c>
      <c r="G360" s="236"/>
      <c r="H360" s="236"/>
      <c r="I360" s="236"/>
      <c r="J360" s="242"/>
      <c r="L360" s="249"/>
      <c r="M360" s="245"/>
      <c r="N360" s="19" t="s">
        <v>591</v>
      </c>
      <c r="O360" s="17">
        <v>12.7</v>
      </c>
      <c r="P360" s="17">
        <v>13</v>
      </c>
      <c r="Q360" s="17">
        <f t="shared" si="70"/>
        <v>165.1</v>
      </c>
      <c r="R360" s="236"/>
      <c r="S360" s="236"/>
      <c r="T360" s="236"/>
      <c r="U360" s="242"/>
    </row>
    <row r="361" spans="1:21" ht="13">
      <c r="A361" s="249"/>
      <c r="B361" s="246"/>
      <c r="C361" s="20" t="s">
        <v>45</v>
      </c>
      <c r="D361" s="21"/>
      <c r="E361" s="21"/>
      <c r="F361" s="21">
        <v>20</v>
      </c>
      <c r="G361" s="238"/>
      <c r="H361" s="238"/>
      <c r="I361" s="238"/>
      <c r="J361" s="243"/>
      <c r="L361" s="249"/>
      <c r="M361" s="246"/>
      <c r="N361" s="20" t="s">
        <v>45</v>
      </c>
      <c r="O361" s="21"/>
      <c r="P361" s="21"/>
      <c r="Q361" s="21">
        <v>20</v>
      </c>
      <c r="R361" s="238"/>
      <c r="S361" s="238"/>
      <c r="T361" s="238"/>
      <c r="U361" s="243"/>
    </row>
    <row r="362" spans="1:21" ht="13">
      <c r="A362" s="249"/>
      <c r="B362" s="244" t="s">
        <v>206</v>
      </c>
      <c r="C362" s="53" t="s">
        <v>55</v>
      </c>
      <c r="D362" s="16">
        <v>4.2</v>
      </c>
      <c r="E362" s="17">
        <v>13</v>
      </c>
      <c r="F362" s="17">
        <f>D362*E362</f>
        <v>54.6</v>
      </c>
      <c r="G362" s="240">
        <f>SUM(F362:F363)</f>
        <v>140.97</v>
      </c>
      <c r="H362" s="273">
        <v>1965</v>
      </c>
      <c r="I362" s="273">
        <f>H362-G362</f>
        <v>1824.03</v>
      </c>
      <c r="J362" s="241">
        <f>I362/H362</f>
        <v>0.92825954198473282</v>
      </c>
      <c r="L362" s="249"/>
      <c r="M362" s="244" t="s">
        <v>206</v>
      </c>
      <c r="N362" s="53" t="s">
        <v>55</v>
      </c>
      <c r="O362" s="16">
        <v>4.2</v>
      </c>
      <c r="P362" s="17">
        <v>13</v>
      </c>
      <c r="Q362" s="17">
        <f>O362*P362</f>
        <v>54.6</v>
      </c>
      <c r="R362" s="240">
        <f>SUM(Q362:Q363)</f>
        <v>140.97</v>
      </c>
      <c r="S362" s="273">
        <v>1965</v>
      </c>
      <c r="T362" s="273">
        <f>S362-R362</f>
        <v>1824.03</v>
      </c>
      <c r="U362" s="241">
        <f>T362/S362</f>
        <v>0.92825954198473282</v>
      </c>
    </row>
    <row r="363" spans="1:21" ht="13">
      <c r="A363" s="249"/>
      <c r="B363" s="246"/>
      <c r="C363" s="55" t="s">
        <v>33</v>
      </c>
      <c r="D363" s="20"/>
      <c r="E363" s="20"/>
      <c r="F363" s="21">
        <v>86.37</v>
      </c>
      <c r="G363" s="238"/>
      <c r="H363" s="238"/>
      <c r="I363" s="238"/>
      <c r="J363" s="243"/>
      <c r="L363" s="249"/>
      <c r="M363" s="246"/>
      <c r="N363" s="55" t="s">
        <v>33</v>
      </c>
      <c r="O363" s="20"/>
      <c r="P363" s="20"/>
      <c r="Q363" s="21">
        <v>86.37</v>
      </c>
      <c r="R363" s="238"/>
      <c r="S363" s="238"/>
      <c r="T363" s="238"/>
      <c r="U363" s="243"/>
    </row>
    <row r="364" spans="1:21" ht="13">
      <c r="A364" s="249"/>
      <c r="B364" s="244" t="s">
        <v>207</v>
      </c>
      <c r="C364" s="53" t="s">
        <v>114</v>
      </c>
      <c r="D364" s="16">
        <v>7</v>
      </c>
      <c r="E364" s="17">
        <v>18</v>
      </c>
      <c r="F364" s="17">
        <f t="shared" ref="F364:F365" si="71">D364*E364</f>
        <v>126</v>
      </c>
      <c r="G364" s="240">
        <f>SUM(F364:F367)</f>
        <v>269.01</v>
      </c>
      <c r="H364" s="273">
        <v>1508.73</v>
      </c>
      <c r="I364" s="273">
        <f>H364-G364</f>
        <v>1239.72</v>
      </c>
      <c r="J364" s="241">
        <f>I364/H364</f>
        <v>0.82169771927382629</v>
      </c>
      <c r="L364" s="249"/>
      <c r="M364" s="244" t="s">
        <v>207</v>
      </c>
      <c r="N364" s="53" t="s">
        <v>114</v>
      </c>
      <c r="O364" s="18"/>
      <c r="P364" s="18"/>
      <c r="Q364" s="18"/>
      <c r="R364" s="240">
        <f>SUM(Q364:Q367)</f>
        <v>143.01</v>
      </c>
      <c r="S364" s="273">
        <v>1508.73</v>
      </c>
      <c r="T364" s="273">
        <f>S364-R364</f>
        <v>1365.72</v>
      </c>
      <c r="U364" s="241">
        <f>T364/S364</f>
        <v>0.90521166809170628</v>
      </c>
    </row>
    <row r="365" spans="1:21" ht="13">
      <c r="A365" s="249"/>
      <c r="B365" s="245"/>
      <c r="C365" s="54" t="s">
        <v>32</v>
      </c>
      <c r="D365" s="19">
        <v>6.57</v>
      </c>
      <c r="E365" s="19">
        <v>13</v>
      </c>
      <c r="F365" s="17">
        <f t="shared" si="71"/>
        <v>85.41</v>
      </c>
      <c r="G365" s="236"/>
      <c r="H365" s="236"/>
      <c r="I365" s="236"/>
      <c r="J365" s="242"/>
      <c r="L365" s="249"/>
      <c r="M365" s="245"/>
      <c r="N365" s="54" t="s">
        <v>32</v>
      </c>
      <c r="O365" s="19">
        <v>6.57</v>
      </c>
      <c r="P365" s="19">
        <v>13</v>
      </c>
      <c r="Q365" s="17">
        <f>O365*P365</f>
        <v>85.41</v>
      </c>
      <c r="R365" s="236"/>
      <c r="S365" s="236"/>
      <c r="T365" s="236"/>
      <c r="U365" s="242"/>
    </row>
    <row r="366" spans="1:21" ht="13">
      <c r="A366" s="249"/>
      <c r="B366" s="245"/>
      <c r="C366" s="54" t="s">
        <v>33</v>
      </c>
      <c r="D366" s="19"/>
      <c r="E366" s="19"/>
      <c r="F366" s="17">
        <v>57.6</v>
      </c>
      <c r="G366" s="236"/>
      <c r="H366" s="236"/>
      <c r="I366" s="236"/>
      <c r="J366" s="242"/>
      <c r="L366" s="249"/>
      <c r="M366" s="245"/>
      <c r="N366" s="54" t="s">
        <v>33</v>
      </c>
      <c r="O366" s="19"/>
      <c r="P366" s="19"/>
      <c r="Q366" s="17">
        <v>57.6</v>
      </c>
      <c r="R366" s="236"/>
      <c r="S366" s="236"/>
      <c r="T366" s="236"/>
      <c r="U366" s="242"/>
    </row>
    <row r="367" spans="1:21" ht="13">
      <c r="A367" s="249"/>
      <c r="B367" s="246"/>
      <c r="C367" s="55"/>
      <c r="D367" s="20"/>
      <c r="E367" s="20"/>
      <c r="F367" s="21"/>
      <c r="G367" s="238"/>
      <c r="H367" s="238"/>
      <c r="I367" s="238"/>
      <c r="J367" s="243"/>
      <c r="L367" s="249"/>
      <c r="M367" s="246"/>
      <c r="N367" s="55"/>
      <c r="O367" s="20"/>
      <c r="P367" s="20"/>
      <c r="Q367" s="21"/>
      <c r="R367" s="238"/>
      <c r="S367" s="238"/>
      <c r="T367" s="238"/>
      <c r="U367" s="243"/>
    </row>
    <row r="368" spans="1:21" ht="13">
      <c r="A368" s="249"/>
      <c r="B368" s="244" t="s">
        <v>208</v>
      </c>
      <c r="C368" s="53" t="s">
        <v>35</v>
      </c>
      <c r="D368" s="16"/>
      <c r="E368" s="17"/>
      <c r="F368" s="17">
        <v>250</v>
      </c>
      <c r="G368" s="240">
        <f>SUM(F368:F374)</f>
        <v>874.92</v>
      </c>
      <c r="H368" s="273">
        <v>1758.4</v>
      </c>
      <c r="I368" s="273">
        <f>H368-G368</f>
        <v>883.48000000000013</v>
      </c>
      <c r="J368" s="241">
        <f>I368/H368</f>
        <v>0.50243403093721573</v>
      </c>
      <c r="L368" s="249"/>
      <c r="M368" s="244" t="s">
        <v>208</v>
      </c>
      <c r="N368" s="53" t="s">
        <v>35</v>
      </c>
      <c r="O368" s="16"/>
      <c r="P368" s="17"/>
      <c r="Q368" s="17">
        <v>250</v>
      </c>
      <c r="R368" s="240">
        <f>SUM(Q368:Q374)</f>
        <v>874.92</v>
      </c>
      <c r="S368" s="273">
        <v>1758.4</v>
      </c>
      <c r="T368" s="273">
        <f>S368-R368</f>
        <v>883.48000000000013</v>
      </c>
      <c r="U368" s="241">
        <f>T368/S368</f>
        <v>0.50243403093721573</v>
      </c>
    </row>
    <row r="369" spans="1:21" ht="13">
      <c r="A369" s="249"/>
      <c r="B369" s="245"/>
      <c r="C369" s="54" t="s">
        <v>209</v>
      </c>
      <c r="D369" s="19"/>
      <c r="E369" s="19"/>
      <c r="F369" s="17">
        <f>D369*E369</f>
        <v>0</v>
      </c>
      <c r="G369" s="236"/>
      <c r="H369" s="236"/>
      <c r="I369" s="236"/>
      <c r="J369" s="242"/>
      <c r="L369" s="249"/>
      <c r="M369" s="245"/>
      <c r="N369" s="54" t="s">
        <v>209</v>
      </c>
      <c r="O369" s="19"/>
      <c r="P369" s="19"/>
      <c r="Q369" s="17">
        <f>O369*P369</f>
        <v>0</v>
      </c>
      <c r="R369" s="236"/>
      <c r="S369" s="236"/>
      <c r="T369" s="236"/>
      <c r="U369" s="242"/>
    </row>
    <row r="370" spans="1:21" ht="13">
      <c r="A370" s="249"/>
      <c r="B370" s="245"/>
      <c r="C370" s="54" t="s">
        <v>44</v>
      </c>
      <c r="D370" s="19"/>
      <c r="E370" s="19"/>
      <c r="F370" s="17">
        <v>119.6</v>
      </c>
      <c r="G370" s="236"/>
      <c r="H370" s="236"/>
      <c r="I370" s="236"/>
      <c r="J370" s="242"/>
      <c r="L370" s="249"/>
      <c r="M370" s="245"/>
      <c r="N370" s="54" t="s">
        <v>44</v>
      </c>
      <c r="O370" s="19"/>
      <c r="P370" s="19"/>
      <c r="Q370" s="17">
        <v>119.6</v>
      </c>
      <c r="R370" s="236"/>
      <c r="S370" s="236"/>
      <c r="T370" s="236"/>
      <c r="U370" s="242"/>
    </row>
    <row r="371" spans="1:21" ht="13">
      <c r="A371" s="249"/>
      <c r="B371" s="245"/>
      <c r="C371" s="54" t="s">
        <v>210</v>
      </c>
      <c r="D371" s="19"/>
      <c r="E371" s="19"/>
      <c r="F371" s="17">
        <v>220</v>
      </c>
      <c r="G371" s="236"/>
      <c r="H371" s="236"/>
      <c r="I371" s="236"/>
      <c r="J371" s="242"/>
      <c r="L371" s="249"/>
      <c r="M371" s="245"/>
      <c r="N371" s="54" t="s">
        <v>210</v>
      </c>
      <c r="O371" s="19"/>
      <c r="P371" s="19"/>
      <c r="Q371" s="17">
        <v>220</v>
      </c>
      <c r="R371" s="236"/>
      <c r="S371" s="236"/>
      <c r="T371" s="236"/>
      <c r="U371" s="242"/>
    </row>
    <row r="372" spans="1:21" ht="13">
      <c r="A372" s="249"/>
      <c r="B372" s="245"/>
      <c r="C372" s="54" t="s">
        <v>47</v>
      </c>
      <c r="D372" s="19"/>
      <c r="E372" s="19"/>
      <c r="F372" s="17">
        <v>91.92</v>
      </c>
      <c r="G372" s="236"/>
      <c r="H372" s="236"/>
      <c r="I372" s="236"/>
      <c r="J372" s="242"/>
      <c r="L372" s="249"/>
      <c r="M372" s="245"/>
      <c r="N372" s="54" t="s">
        <v>47</v>
      </c>
      <c r="O372" s="19"/>
      <c r="P372" s="19"/>
      <c r="Q372" s="17">
        <v>91.92</v>
      </c>
      <c r="R372" s="236"/>
      <c r="S372" s="236"/>
      <c r="T372" s="236"/>
      <c r="U372" s="242"/>
    </row>
    <row r="373" spans="1:21" ht="13">
      <c r="A373" s="249"/>
      <c r="B373" s="245"/>
      <c r="C373" s="54" t="s">
        <v>45</v>
      </c>
      <c r="D373" s="19"/>
      <c r="E373" s="19"/>
      <c r="F373" s="17">
        <v>110</v>
      </c>
      <c r="G373" s="236"/>
      <c r="H373" s="236"/>
      <c r="I373" s="236"/>
      <c r="J373" s="242"/>
      <c r="L373" s="249"/>
      <c r="M373" s="245"/>
      <c r="N373" s="54" t="s">
        <v>45</v>
      </c>
      <c r="O373" s="19"/>
      <c r="P373" s="19"/>
      <c r="Q373" s="17">
        <v>110</v>
      </c>
      <c r="R373" s="236"/>
      <c r="S373" s="236"/>
      <c r="T373" s="236"/>
      <c r="U373" s="242"/>
    </row>
    <row r="374" spans="1:21" ht="13">
      <c r="A374" s="249"/>
      <c r="B374" s="246"/>
      <c r="C374" s="55" t="s">
        <v>153</v>
      </c>
      <c r="D374" s="20"/>
      <c r="E374" s="20"/>
      <c r="F374" s="21">
        <v>83.4</v>
      </c>
      <c r="G374" s="238"/>
      <c r="H374" s="238"/>
      <c r="I374" s="238"/>
      <c r="J374" s="243"/>
      <c r="L374" s="249"/>
      <c r="M374" s="246"/>
      <c r="N374" s="55" t="s">
        <v>153</v>
      </c>
      <c r="O374" s="20"/>
      <c r="P374" s="20"/>
      <c r="Q374" s="21">
        <v>83.4</v>
      </c>
      <c r="R374" s="238"/>
      <c r="S374" s="238"/>
      <c r="T374" s="238"/>
      <c r="U374" s="243"/>
    </row>
    <row r="375" spans="1:21" ht="13">
      <c r="A375" s="249"/>
      <c r="B375" s="244" t="s">
        <v>211</v>
      </c>
      <c r="C375" s="53" t="s">
        <v>114</v>
      </c>
      <c r="D375" s="16">
        <v>14</v>
      </c>
      <c r="E375" s="17">
        <v>18</v>
      </c>
      <c r="F375" s="17">
        <f t="shared" ref="F375:F376" si="72">D375*E375</f>
        <v>252</v>
      </c>
      <c r="G375" s="240">
        <f>SUM(F375:F381)</f>
        <v>896.33999999999992</v>
      </c>
      <c r="H375" s="273">
        <v>5844.42</v>
      </c>
      <c r="I375" s="273">
        <f>H375-G375</f>
        <v>4948.08</v>
      </c>
      <c r="J375" s="241">
        <f>I375/H375</f>
        <v>0.84663319884607879</v>
      </c>
      <c r="L375" s="249"/>
      <c r="M375" s="244" t="s">
        <v>211</v>
      </c>
      <c r="N375" s="53" t="s">
        <v>114</v>
      </c>
      <c r="O375" s="18"/>
      <c r="P375" s="18"/>
      <c r="Q375" s="18"/>
      <c r="R375" s="240">
        <f>SUM(Q375:Q381)</f>
        <v>644.33999999999992</v>
      </c>
      <c r="S375" s="273">
        <v>5844.42</v>
      </c>
      <c r="T375" s="273">
        <f>S375-R375</f>
        <v>5200.08</v>
      </c>
      <c r="U375" s="241">
        <f>T375/S375</f>
        <v>0.88975124991017074</v>
      </c>
    </row>
    <row r="376" spans="1:21" ht="13">
      <c r="A376" s="249"/>
      <c r="B376" s="245"/>
      <c r="C376" s="54" t="s">
        <v>64</v>
      </c>
      <c r="D376" s="19">
        <v>13</v>
      </c>
      <c r="E376" s="19">
        <v>17</v>
      </c>
      <c r="F376" s="17">
        <f t="shared" si="72"/>
        <v>221</v>
      </c>
      <c r="G376" s="236"/>
      <c r="H376" s="236"/>
      <c r="I376" s="236"/>
      <c r="J376" s="242"/>
      <c r="L376" s="249"/>
      <c r="M376" s="245"/>
      <c r="N376" s="54" t="s">
        <v>64</v>
      </c>
      <c r="O376" s="19">
        <v>13</v>
      </c>
      <c r="P376" s="19">
        <v>17</v>
      </c>
      <c r="Q376" s="17">
        <f>O376*P376</f>
        <v>221</v>
      </c>
      <c r="R376" s="236"/>
      <c r="S376" s="236"/>
      <c r="T376" s="236"/>
      <c r="U376" s="242"/>
    </row>
    <row r="377" spans="1:21" ht="13">
      <c r="A377" s="249"/>
      <c r="B377" s="245"/>
      <c r="C377" s="54" t="s">
        <v>153</v>
      </c>
      <c r="D377" s="19"/>
      <c r="E377" s="19"/>
      <c r="F377" s="17">
        <v>70</v>
      </c>
      <c r="G377" s="236"/>
      <c r="H377" s="236"/>
      <c r="I377" s="236"/>
      <c r="J377" s="242"/>
      <c r="L377" s="249"/>
      <c r="M377" s="245"/>
      <c r="N377" s="54" t="s">
        <v>153</v>
      </c>
      <c r="O377" s="19"/>
      <c r="P377" s="19"/>
      <c r="Q377" s="17">
        <v>70</v>
      </c>
      <c r="R377" s="236"/>
      <c r="S377" s="236"/>
      <c r="T377" s="236"/>
      <c r="U377" s="242"/>
    </row>
    <row r="378" spans="1:21" ht="13">
      <c r="A378" s="249"/>
      <c r="B378" s="245"/>
      <c r="C378" s="54" t="s">
        <v>45</v>
      </c>
      <c r="D378" s="19"/>
      <c r="E378" s="19"/>
      <c r="F378" s="17">
        <v>117</v>
      </c>
      <c r="G378" s="236"/>
      <c r="H378" s="236"/>
      <c r="I378" s="236"/>
      <c r="J378" s="242"/>
      <c r="L378" s="249"/>
      <c r="M378" s="245"/>
      <c r="N378" s="54" t="s">
        <v>45</v>
      </c>
      <c r="O378" s="19"/>
      <c r="P378" s="19"/>
      <c r="Q378" s="17">
        <v>117</v>
      </c>
      <c r="R378" s="236"/>
      <c r="S378" s="236"/>
      <c r="T378" s="236"/>
      <c r="U378" s="242"/>
    </row>
    <row r="379" spans="1:21" ht="13">
      <c r="A379" s="249"/>
      <c r="B379" s="245"/>
      <c r="C379" s="54" t="s">
        <v>212</v>
      </c>
      <c r="D379" s="19"/>
      <c r="E379" s="19"/>
      <c r="F379" s="24">
        <v>32.4</v>
      </c>
      <c r="G379" s="236"/>
      <c r="H379" s="236"/>
      <c r="I379" s="236"/>
      <c r="J379" s="242"/>
      <c r="L379" s="249"/>
      <c r="M379" s="245"/>
      <c r="N379" s="54" t="s">
        <v>212</v>
      </c>
      <c r="O379" s="19"/>
      <c r="P379" s="19"/>
      <c r="Q379" s="24">
        <v>32.4</v>
      </c>
      <c r="R379" s="236"/>
      <c r="S379" s="236"/>
      <c r="T379" s="236"/>
      <c r="U379" s="242"/>
    </row>
    <row r="380" spans="1:21" ht="13">
      <c r="A380" s="249"/>
      <c r="B380" s="245"/>
      <c r="C380" s="54" t="s">
        <v>33</v>
      </c>
      <c r="D380" s="19"/>
      <c r="E380" s="19"/>
      <c r="F380" s="17">
        <v>126.8</v>
      </c>
      <c r="G380" s="236"/>
      <c r="H380" s="236"/>
      <c r="I380" s="236"/>
      <c r="J380" s="242"/>
      <c r="L380" s="249"/>
      <c r="M380" s="245"/>
      <c r="N380" s="54" t="s">
        <v>33</v>
      </c>
      <c r="O380" s="19"/>
      <c r="P380" s="19"/>
      <c r="Q380" s="17">
        <v>126.8</v>
      </c>
      <c r="R380" s="236"/>
      <c r="S380" s="236"/>
      <c r="T380" s="236"/>
      <c r="U380" s="242"/>
    </row>
    <row r="381" spans="1:21" ht="13">
      <c r="A381" s="249"/>
      <c r="B381" s="246"/>
      <c r="C381" s="55" t="s">
        <v>47</v>
      </c>
      <c r="D381" s="20"/>
      <c r="E381" s="20"/>
      <c r="F381" s="21">
        <v>77.14</v>
      </c>
      <c r="G381" s="238"/>
      <c r="H381" s="238"/>
      <c r="I381" s="238"/>
      <c r="J381" s="243"/>
      <c r="L381" s="249"/>
      <c r="M381" s="246"/>
      <c r="N381" s="55" t="s">
        <v>47</v>
      </c>
      <c r="O381" s="20"/>
      <c r="P381" s="20"/>
      <c r="Q381" s="21">
        <v>77.14</v>
      </c>
      <c r="R381" s="238"/>
      <c r="S381" s="238"/>
      <c r="T381" s="238"/>
      <c r="U381" s="243"/>
    </row>
    <row r="382" spans="1:21" ht="13">
      <c r="A382" s="249"/>
      <c r="B382" s="244" t="s">
        <v>213</v>
      </c>
      <c r="C382" s="53" t="s">
        <v>55</v>
      </c>
      <c r="D382" s="16">
        <v>4.0999999999999996</v>
      </c>
      <c r="E382" s="17">
        <v>13</v>
      </c>
      <c r="F382" s="17">
        <f>D382*E382</f>
        <v>53.3</v>
      </c>
      <c r="G382" s="240">
        <f>SUM(F382:F383)</f>
        <v>117.16999999999999</v>
      </c>
      <c r="H382" s="273">
        <v>1965</v>
      </c>
      <c r="I382" s="273">
        <f>H382-G382</f>
        <v>1847.83</v>
      </c>
      <c r="J382" s="241">
        <f>I382/H382</f>
        <v>0.94037150127226454</v>
      </c>
      <c r="L382" s="249"/>
      <c r="M382" s="244" t="s">
        <v>213</v>
      </c>
      <c r="N382" s="53" t="s">
        <v>55</v>
      </c>
      <c r="O382" s="16">
        <v>4.0999999999999996</v>
      </c>
      <c r="P382" s="17">
        <v>13</v>
      </c>
      <c r="Q382" s="17">
        <f>O382*P382</f>
        <v>53.3</v>
      </c>
      <c r="R382" s="240">
        <f>SUM(Q382:Q383)</f>
        <v>117.16999999999999</v>
      </c>
      <c r="S382" s="273">
        <v>1965</v>
      </c>
      <c r="T382" s="273">
        <f>S382-R382</f>
        <v>1847.83</v>
      </c>
      <c r="U382" s="241">
        <f>T382/S382</f>
        <v>0.94037150127226454</v>
      </c>
    </row>
    <row r="383" spans="1:21" ht="13">
      <c r="A383" s="249"/>
      <c r="B383" s="246"/>
      <c r="C383" s="55" t="s">
        <v>33</v>
      </c>
      <c r="D383" s="20"/>
      <c r="E383" s="20"/>
      <c r="F383" s="21">
        <v>63.87</v>
      </c>
      <c r="G383" s="238"/>
      <c r="H383" s="238"/>
      <c r="I383" s="238"/>
      <c r="J383" s="243"/>
      <c r="L383" s="249"/>
      <c r="M383" s="246"/>
      <c r="N383" s="55" t="s">
        <v>33</v>
      </c>
      <c r="O383" s="20"/>
      <c r="P383" s="20"/>
      <c r="Q383" s="21">
        <v>63.87</v>
      </c>
      <c r="R383" s="238"/>
      <c r="S383" s="238"/>
      <c r="T383" s="238"/>
      <c r="U383" s="243"/>
    </row>
    <row r="384" spans="1:21" ht="13">
      <c r="A384" s="249"/>
      <c r="B384" s="244" t="s">
        <v>600</v>
      </c>
      <c r="C384" s="53" t="s">
        <v>114</v>
      </c>
      <c r="D384" s="16">
        <v>7</v>
      </c>
      <c r="E384" s="17">
        <v>18</v>
      </c>
      <c r="F384" s="17">
        <f>D384*E384</f>
        <v>126</v>
      </c>
      <c r="G384" s="240">
        <f>SUM(F384:F385)</f>
        <v>126</v>
      </c>
      <c r="H384" s="273">
        <v>227.5</v>
      </c>
      <c r="I384" s="273">
        <f>H384-G384</f>
        <v>101.5</v>
      </c>
      <c r="J384" s="241">
        <f>I384/H384</f>
        <v>0.44615384615384618</v>
      </c>
      <c r="L384" s="249"/>
      <c r="M384" s="244" t="s">
        <v>600</v>
      </c>
      <c r="N384" s="53" t="s">
        <v>114</v>
      </c>
      <c r="O384" s="43"/>
      <c r="P384" s="43"/>
      <c r="Q384" s="43"/>
      <c r="R384" s="240">
        <f>SUM(Q384:Q385)</f>
        <v>0</v>
      </c>
      <c r="S384" s="273">
        <v>227.5</v>
      </c>
      <c r="T384" s="273">
        <f>S384-R384</f>
        <v>227.5</v>
      </c>
      <c r="U384" s="241">
        <f>T384/S384</f>
        <v>1</v>
      </c>
    </row>
    <row r="385" spans="1:21" ht="13">
      <c r="A385" s="249"/>
      <c r="B385" s="246"/>
      <c r="C385" s="55"/>
      <c r="D385" s="20"/>
      <c r="E385" s="20"/>
      <c r="F385" s="21"/>
      <c r="G385" s="238"/>
      <c r="H385" s="238"/>
      <c r="I385" s="238"/>
      <c r="J385" s="243"/>
      <c r="L385" s="249"/>
      <c r="M385" s="246"/>
      <c r="N385" s="55"/>
      <c r="O385" s="20"/>
      <c r="P385" s="20"/>
      <c r="Q385" s="21"/>
      <c r="R385" s="238"/>
      <c r="S385" s="238"/>
      <c r="T385" s="238"/>
      <c r="U385" s="243"/>
    </row>
    <row r="386" spans="1:21" ht="13">
      <c r="A386" s="249"/>
      <c r="B386" s="244" t="s">
        <v>214</v>
      </c>
      <c r="C386" s="53" t="s">
        <v>114</v>
      </c>
      <c r="D386" s="16">
        <v>7</v>
      </c>
      <c r="E386" s="17">
        <v>18</v>
      </c>
      <c r="F386" s="17">
        <f>D386*E386</f>
        <v>126</v>
      </c>
      <c r="G386" s="240">
        <f>SUM(F386:F387)</f>
        <v>161.82</v>
      </c>
      <c r="H386" s="273">
        <v>1140</v>
      </c>
      <c r="I386" s="273">
        <f>H386-G386</f>
        <v>978.18000000000006</v>
      </c>
      <c r="J386" s="241">
        <f>I386/H386</f>
        <v>0.8580526315789474</v>
      </c>
      <c r="L386" s="249"/>
      <c r="M386" s="244" t="s">
        <v>214</v>
      </c>
      <c r="N386" s="53" t="s">
        <v>114</v>
      </c>
      <c r="O386" s="43"/>
      <c r="P386" s="43"/>
      <c r="Q386" s="43"/>
      <c r="R386" s="240">
        <f>SUM(Q386:Q387)</f>
        <v>35.82</v>
      </c>
      <c r="S386" s="273">
        <v>1140</v>
      </c>
      <c r="T386" s="273">
        <f>S386-R386</f>
        <v>1104.18</v>
      </c>
      <c r="U386" s="241">
        <f>T386/S386</f>
        <v>0.96857894736842109</v>
      </c>
    </row>
    <row r="387" spans="1:21" ht="13">
      <c r="A387" s="249"/>
      <c r="B387" s="246"/>
      <c r="C387" s="55" t="s">
        <v>33</v>
      </c>
      <c r="D387" s="20"/>
      <c r="E387" s="20"/>
      <c r="F387" s="21">
        <v>35.82</v>
      </c>
      <c r="G387" s="238"/>
      <c r="H387" s="238"/>
      <c r="I387" s="238"/>
      <c r="J387" s="243"/>
      <c r="L387" s="249"/>
      <c r="M387" s="246"/>
      <c r="N387" s="55" t="s">
        <v>33</v>
      </c>
      <c r="O387" s="20"/>
      <c r="P387" s="20"/>
      <c r="Q387" s="21">
        <v>35.82</v>
      </c>
      <c r="R387" s="238"/>
      <c r="S387" s="238"/>
      <c r="T387" s="238"/>
      <c r="U387" s="243"/>
    </row>
    <row r="388" spans="1:21" ht="13">
      <c r="A388" s="249"/>
      <c r="B388" s="244" t="s">
        <v>215</v>
      </c>
      <c r="C388" s="53" t="s">
        <v>216</v>
      </c>
      <c r="D388" s="16">
        <v>10.39</v>
      </c>
      <c r="E388" s="17">
        <v>17</v>
      </c>
      <c r="F388" s="17">
        <f t="shared" ref="F388:F389" si="73">D388*E388</f>
        <v>176.63</v>
      </c>
      <c r="G388" s="240">
        <f>SUM(F388:F393)</f>
        <v>1454.59</v>
      </c>
      <c r="H388" s="273">
        <v>3075</v>
      </c>
      <c r="I388" s="273">
        <f>H388-G388</f>
        <v>1620.41</v>
      </c>
      <c r="J388" s="241">
        <f>I388/H388</f>
        <v>0.52696260162601627</v>
      </c>
      <c r="L388" s="249"/>
      <c r="M388" s="244" t="s">
        <v>215</v>
      </c>
      <c r="N388" s="53" t="s">
        <v>216</v>
      </c>
      <c r="O388" s="16">
        <v>10.39</v>
      </c>
      <c r="P388" s="17">
        <v>17</v>
      </c>
      <c r="Q388" s="17">
        <f>O388*P388</f>
        <v>176.63</v>
      </c>
      <c r="R388" s="240">
        <f>SUM(Q388:Q393)</f>
        <v>1340.19</v>
      </c>
      <c r="S388" s="273">
        <v>3075</v>
      </c>
      <c r="T388" s="273">
        <f>S388-R388</f>
        <v>1734.81</v>
      </c>
      <c r="U388" s="241">
        <f>T388/S388</f>
        <v>0.56416585365853655</v>
      </c>
    </row>
    <row r="389" spans="1:21" ht="13">
      <c r="A389" s="249"/>
      <c r="B389" s="245"/>
      <c r="C389" s="54" t="s">
        <v>101</v>
      </c>
      <c r="D389" s="19">
        <v>8.8000000000000007</v>
      </c>
      <c r="E389" s="19">
        <v>13</v>
      </c>
      <c r="F389" s="17">
        <f t="shared" si="73"/>
        <v>114.4</v>
      </c>
      <c r="G389" s="236"/>
      <c r="H389" s="236"/>
      <c r="I389" s="236"/>
      <c r="J389" s="242"/>
      <c r="L389" s="249"/>
      <c r="M389" s="245"/>
      <c r="N389" s="54" t="s">
        <v>101</v>
      </c>
      <c r="O389" s="18"/>
      <c r="P389" s="18"/>
      <c r="Q389" s="18"/>
      <c r="R389" s="236"/>
      <c r="S389" s="236"/>
      <c r="T389" s="236"/>
      <c r="U389" s="242"/>
    </row>
    <row r="390" spans="1:21" ht="13">
      <c r="A390" s="249"/>
      <c r="B390" s="245"/>
      <c r="C390" s="54" t="s">
        <v>46</v>
      </c>
      <c r="D390" s="19"/>
      <c r="E390" s="19"/>
      <c r="F390" s="17">
        <v>229</v>
      </c>
      <c r="G390" s="236"/>
      <c r="H390" s="236"/>
      <c r="I390" s="236"/>
      <c r="J390" s="242"/>
      <c r="L390" s="249"/>
      <c r="M390" s="245"/>
      <c r="N390" s="54" t="s">
        <v>46</v>
      </c>
      <c r="O390" s="19"/>
      <c r="P390" s="19"/>
      <c r="Q390" s="17">
        <v>229</v>
      </c>
      <c r="R390" s="236"/>
      <c r="S390" s="236"/>
      <c r="T390" s="236"/>
      <c r="U390" s="242"/>
    </row>
    <row r="391" spans="1:21" ht="13">
      <c r="A391" s="249"/>
      <c r="B391" s="245"/>
      <c r="C391" s="54" t="s">
        <v>217</v>
      </c>
      <c r="D391" s="19"/>
      <c r="E391" s="19"/>
      <c r="F391" s="17">
        <v>70</v>
      </c>
      <c r="G391" s="236"/>
      <c r="H391" s="236"/>
      <c r="I391" s="236"/>
      <c r="J391" s="242"/>
      <c r="L391" s="249"/>
      <c r="M391" s="245"/>
      <c r="N391" s="54" t="s">
        <v>217</v>
      </c>
      <c r="O391" s="19"/>
      <c r="P391" s="19"/>
      <c r="Q391" s="17">
        <v>70</v>
      </c>
      <c r="R391" s="236"/>
      <c r="S391" s="236"/>
      <c r="T391" s="236"/>
      <c r="U391" s="242"/>
    </row>
    <row r="392" spans="1:21" ht="13">
      <c r="A392" s="249"/>
      <c r="B392" s="245"/>
      <c r="C392" s="54" t="s">
        <v>33</v>
      </c>
      <c r="D392" s="19"/>
      <c r="E392" s="19"/>
      <c r="F392" s="17">
        <v>737.4</v>
      </c>
      <c r="G392" s="236"/>
      <c r="H392" s="236"/>
      <c r="I392" s="236"/>
      <c r="J392" s="242"/>
      <c r="L392" s="249"/>
      <c r="M392" s="245"/>
      <c r="N392" s="54" t="s">
        <v>33</v>
      </c>
      <c r="O392" s="19"/>
      <c r="P392" s="19"/>
      <c r="Q392" s="17">
        <v>737.4</v>
      </c>
      <c r="R392" s="236"/>
      <c r="S392" s="236"/>
      <c r="T392" s="236"/>
      <c r="U392" s="242"/>
    </row>
    <row r="393" spans="1:21" ht="13">
      <c r="A393" s="249"/>
      <c r="B393" s="246"/>
      <c r="C393" s="55" t="s">
        <v>47</v>
      </c>
      <c r="D393" s="20"/>
      <c r="E393" s="20"/>
      <c r="F393" s="21">
        <v>127.16</v>
      </c>
      <c r="G393" s="238"/>
      <c r="H393" s="238"/>
      <c r="I393" s="238"/>
      <c r="J393" s="243"/>
      <c r="L393" s="249"/>
      <c r="M393" s="246"/>
      <c r="N393" s="55" t="s">
        <v>47</v>
      </c>
      <c r="O393" s="20"/>
      <c r="P393" s="20"/>
      <c r="Q393" s="21">
        <v>127.16</v>
      </c>
      <c r="R393" s="238"/>
      <c r="S393" s="238"/>
      <c r="T393" s="238"/>
      <c r="U393" s="243"/>
    </row>
    <row r="394" spans="1:21" ht="13">
      <c r="A394" s="249"/>
      <c r="B394" s="244" t="s">
        <v>601</v>
      </c>
      <c r="C394" s="64" t="s">
        <v>23</v>
      </c>
      <c r="D394" s="50">
        <v>21</v>
      </c>
      <c r="E394" s="50">
        <v>16</v>
      </c>
      <c r="F394" s="65">
        <f>D394*E394</f>
        <v>336</v>
      </c>
      <c r="G394" s="240">
        <f>SUM(F394:F408)</f>
        <v>4574.22</v>
      </c>
      <c r="H394" s="240">
        <v>7000</v>
      </c>
      <c r="I394" s="240">
        <f>H394-G394</f>
        <v>2425.7799999999997</v>
      </c>
      <c r="J394" s="241">
        <f>I394/H394</f>
        <v>0.34653999999999996</v>
      </c>
      <c r="L394" s="249"/>
      <c r="M394" s="244" t="s">
        <v>601</v>
      </c>
      <c r="N394" s="64" t="s">
        <v>23</v>
      </c>
      <c r="O394" s="18"/>
      <c r="P394" s="18"/>
      <c r="Q394" s="18"/>
      <c r="R394" s="240">
        <f>SUM(Q394:Q408)</f>
        <v>4238.22</v>
      </c>
      <c r="S394" s="240">
        <v>7000</v>
      </c>
      <c r="T394" s="240">
        <f>S394-R394</f>
        <v>2761.7799999999997</v>
      </c>
      <c r="U394" s="241">
        <f>T394/S394</f>
        <v>0.39453999999999995</v>
      </c>
    </row>
    <row r="395" spans="1:21" ht="13">
      <c r="A395" s="249"/>
      <c r="B395" s="245"/>
      <c r="C395" s="22" t="s">
        <v>575</v>
      </c>
      <c r="D395" s="23"/>
      <c r="E395" s="23"/>
      <c r="F395" s="23">
        <v>170</v>
      </c>
      <c r="G395" s="236"/>
      <c r="H395" s="236"/>
      <c r="I395" s="236"/>
      <c r="J395" s="242"/>
      <c r="L395" s="249"/>
      <c r="M395" s="245"/>
      <c r="N395" s="22" t="s">
        <v>575</v>
      </c>
      <c r="O395" s="23"/>
      <c r="P395" s="23"/>
      <c r="Q395" s="23">
        <v>170</v>
      </c>
      <c r="R395" s="236"/>
      <c r="S395" s="236"/>
      <c r="T395" s="236"/>
      <c r="U395" s="242"/>
    </row>
    <row r="396" spans="1:21" ht="13">
      <c r="A396" s="249"/>
      <c r="B396" s="245"/>
      <c r="C396" s="22" t="s">
        <v>597</v>
      </c>
      <c r="D396" s="23">
        <v>31.8</v>
      </c>
      <c r="E396" s="23">
        <v>17</v>
      </c>
      <c r="F396" s="23">
        <f t="shared" ref="F396:F404" si="74">D396*E396</f>
        <v>540.6</v>
      </c>
      <c r="G396" s="236"/>
      <c r="H396" s="236"/>
      <c r="I396" s="236"/>
      <c r="J396" s="242"/>
      <c r="L396" s="249"/>
      <c r="M396" s="245"/>
      <c r="N396" s="22" t="s">
        <v>597</v>
      </c>
      <c r="O396" s="23">
        <v>31.8</v>
      </c>
      <c r="P396" s="23">
        <v>17</v>
      </c>
      <c r="Q396" s="23">
        <f t="shared" ref="Q396:Q404" si="75">O396*P396</f>
        <v>540.6</v>
      </c>
      <c r="R396" s="236"/>
      <c r="S396" s="236"/>
      <c r="T396" s="236"/>
      <c r="U396" s="242"/>
    </row>
    <row r="397" spans="1:21" ht="13">
      <c r="A397" s="249"/>
      <c r="B397" s="245"/>
      <c r="C397" s="22" t="s">
        <v>596</v>
      </c>
      <c r="D397" s="23">
        <v>5.34</v>
      </c>
      <c r="E397" s="23">
        <v>15</v>
      </c>
      <c r="F397" s="23">
        <f t="shared" si="74"/>
        <v>80.099999999999994</v>
      </c>
      <c r="G397" s="236"/>
      <c r="H397" s="236"/>
      <c r="I397" s="236"/>
      <c r="J397" s="242"/>
      <c r="L397" s="249"/>
      <c r="M397" s="245"/>
      <c r="N397" s="22" t="s">
        <v>596</v>
      </c>
      <c r="O397" s="23">
        <v>5.34</v>
      </c>
      <c r="P397" s="23">
        <v>15</v>
      </c>
      <c r="Q397" s="23">
        <f t="shared" si="75"/>
        <v>80.099999999999994</v>
      </c>
      <c r="R397" s="236"/>
      <c r="S397" s="236"/>
      <c r="T397" s="236"/>
      <c r="U397" s="242"/>
    </row>
    <row r="398" spans="1:21" ht="13">
      <c r="A398" s="249"/>
      <c r="B398" s="245"/>
      <c r="C398" s="22" t="s">
        <v>191</v>
      </c>
      <c r="D398" s="23">
        <v>5.52</v>
      </c>
      <c r="E398" s="23">
        <v>15</v>
      </c>
      <c r="F398" s="23">
        <f t="shared" si="74"/>
        <v>82.8</v>
      </c>
      <c r="G398" s="236"/>
      <c r="H398" s="236"/>
      <c r="I398" s="236"/>
      <c r="J398" s="242"/>
      <c r="L398" s="249"/>
      <c r="M398" s="245"/>
      <c r="N398" s="22" t="s">
        <v>191</v>
      </c>
      <c r="O398" s="23">
        <v>5.52</v>
      </c>
      <c r="P398" s="23">
        <v>15</v>
      </c>
      <c r="Q398" s="23">
        <f t="shared" si="75"/>
        <v>82.8</v>
      </c>
      <c r="R398" s="236"/>
      <c r="S398" s="236"/>
      <c r="T398" s="236"/>
      <c r="U398" s="242"/>
    </row>
    <row r="399" spans="1:21" ht="13">
      <c r="A399" s="249"/>
      <c r="B399" s="245"/>
      <c r="C399" s="22" t="s">
        <v>190</v>
      </c>
      <c r="D399" s="23">
        <v>29.88</v>
      </c>
      <c r="E399" s="23">
        <v>15</v>
      </c>
      <c r="F399" s="23">
        <f t="shared" si="74"/>
        <v>448.2</v>
      </c>
      <c r="G399" s="236"/>
      <c r="H399" s="236"/>
      <c r="I399" s="236"/>
      <c r="J399" s="242"/>
      <c r="L399" s="249"/>
      <c r="M399" s="245"/>
      <c r="N399" s="22" t="s">
        <v>190</v>
      </c>
      <c r="O399" s="23">
        <v>29.88</v>
      </c>
      <c r="P399" s="23">
        <v>15</v>
      </c>
      <c r="Q399" s="23">
        <f t="shared" si="75"/>
        <v>448.2</v>
      </c>
      <c r="R399" s="236"/>
      <c r="S399" s="236"/>
      <c r="T399" s="236"/>
      <c r="U399" s="242"/>
    </row>
    <row r="400" spans="1:21" ht="13">
      <c r="A400" s="249"/>
      <c r="B400" s="245"/>
      <c r="C400" s="24" t="s">
        <v>602</v>
      </c>
      <c r="D400" s="23">
        <v>8.01</v>
      </c>
      <c r="E400" s="23">
        <v>15</v>
      </c>
      <c r="F400" s="23">
        <f t="shared" si="74"/>
        <v>120.14999999999999</v>
      </c>
      <c r="G400" s="236"/>
      <c r="H400" s="236"/>
      <c r="I400" s="236"/>
      <c r="J400" s="242"/>
      <c r="L400" s="249"/>
      <c r="M400" s="245"/>
      <c r="N400" s="24" t="s">
        <v>602</v>
      </c>
      <c r="O400" s="23">
        <v>8.01</v>
      </c>
      <c r="P400" s="23">
        <v>15</v>
      </c>
      <c r="Q400" s="23">
        <f t="shared" si="75"/>
        <v>120.14999999999999</v>
      </c>
      <c r="R400" s="236"/>
      <c r="S400" s="236"/>
      <c r="T400" s="236"/>
      <c r="U400" s="242"/>
    </row>
    <row r="401" spans="1:21" ht="13">
      <c r="A401" s="249"/>
      <c r="B401" s="245"/>
      <c r="C401" s="22" t="s">
        <v>603</v>
      </c>
      <c r="D401" s="23">
        <v>16</v>
      </c>
      <c r="E401" s="23">
        <v>17</v>
      </c>
      <c r="F401" s="23">
        <f t="shared" si="74"/>
        <v>272</v>
      </c>
      <c r="G401" s="236"/>
      <c r="H401" s="236"/>
      <c r="I401" s="236"/>
      <c r="J401" s="242"/>
      <c r="L401" s="249"/>
      <c r="M401" s="245"/>
      <c r="N401" s="22" t="s">
        <v>603</v>
      </c>
      <c r="O401" s="23">
        <v>16</v>
      </c>
      <c r="P401" s="23">
        <v>17</v>
      </c>
      <c r="Q401" s="23">
        <f t="shared" si="75"/>
        <v>272</v>
      </c>
      <c r="R401" s="236"/>
      <c r="S401" s="236"/>
      <c r="T401" s="236"/>
      <c r="U401" s="242"/>
    </row>
    <row r="402" spans="1:21" ht="13">
      <c r="A402" s="249"/>
      <c r="B402" s="245"/>
      <c r="C402" s="22" t="s">
        <v>98</v>
      </c>
      <c r="D402" s="23">
        <v>33</v>
      </c>
      <c r="E402" s="23">
        <v>17</v>
      </c>
      <c r="F402" s="23">
        <f t="shared" si="74"/>
        <v>561</v>
      </c>
      <c r="G402" s="236"/>
      <c r="H402" s="236"/>
      <c r="I402" s="236"/>
      <c r="J402" s="242"/>
      <c r="L402" s="249"/>
      <c r="M402" s="245"/>
      <c r="N402" s="22" t="s">
        <v>98</v>
      </c>
      <c r="O402" s="23">
        <v>33</v>
      </c>
      <c r="P402" s="23">
        <v>17</v>
      </c>
      <c r="Q402" s="23">
        <f t="shared" si="75"/>
        <v>561</v>
      </c>
      <c r="R402" s="236"/>
      <c r="S402" s="236"/>
      <c r="T402" s="236"/>
      <c r="U402" s="242"/>
    </row>
    <row r="403" spans="1:21" ht="13">
      <c r="A403" s="249"/>
      <c r="B403" s="245"/>
      <c r="C403" s="24" t="s">
        <v>62</v>
      </c>
      <c r="D403" s="23">
        <v>8.33</v>
      </c>
      <c r="E403" s="23">
        <v>17</v>
      </c>
      <c r="F403" s="23">
        <f t="shared" si="74"/>
        <v>141.61000000000001</v>
      </c>
      <c r="G403" s="236"/>
      <c r="H403" s="236"/>
      <c r="I403" s="236"/>
      <c r="J403" s="242"/>
      <c r="L403" s="249"/>
      <c r="M403" s="245"/>
      <c r="N403" s="24" t="s">
        <v>62</v>
      </c>
      <c r="O403" s="23">
        <v>8.33</v>
      </c>
      <c r="P403" s="23">
        <v>17</v>
      </c>
      <c r="Q403" s="23">
        <f t="shared" si="75"/>
        <v>141.61000000000001</v>
      </c>
      <c r="R403" s="236"/>
      <c r="S403" s="236"/>
      <c r="T403" s="236"/>
      <c r="U403" s="242"/>
    </row>
    <row r="404" spans="1:21" ht="13">
      <c r="A404" s="249"/>
      <c r="B404" s="245"/>
      <c r="C404" s="22" t="s">
        <v>236</v>
      </c>
      <c r="D404" s="23">
        <v>26.74</v>
      </c>
      <c r="E404" s="23">
        <v>17</v>
      </c>
      <c r="F404" s="23">
        <f t="shared" si="74"/>
        <v>454.58</v>
      </c>
      <c r="G404" s="236"/>
      <c r="H404" s="236"/>
      <c r="I404" s="236"/>
      <c r="J404" s="242"/>
      <c r="L404" s="249"/>
      <c r="M404" s="245"/>
      <c r="N404" s="22" t="s">
        <v>236</v>
      </c>
      <c r="O404" s="23">
        <v>26.74</v>
      </c>
      <c r="P404" s="23">
        <v>17</v>
      </c>
      <c r="Q404" s="23">
        <f t="shared" si="75"/>
        <v>454.58</v>
      </c>
      <c r="R404" s="236"/>
      <c r="S404" s="236"/>
      <c r="T404" s="236"/>
      <c r="U404" s="242"/>
    </row>
    <row r="405" spans="1:21" ht="13">
      <c r="A405" s="249"/>
      <c r="B405" s="245"/>
      <c r="C405" s="22" t="s">
        <v>45</v>
      </c>
      <c r="D405" s="23"/>
      <c r="E405" s="23"/>
      <c r="F405" s="23">
        <v>473.55</v>
      </c>
      <c r="G405" s="236"/>
      <c r="H405" s="236"/>
      <c r="I405" s="236"/>
      <c r="J405" s="242"/>
      <c r="L405" s="249"/>
      <c r="M405" s="245"/>
      <c r="N405" s="22" t="s">
        <v>45</v>
      </c>
      <c r="O405" s="23"/>
      <c r="P405" s="23"/>
      <c r="Q405" s="23">
        <v>473.55</v>
      </c>
      <c r="R405" s="236"/>
      <c r="S405" s="236"/>
      <c r="T405" s="236"/>
      <c r="U405" s="242"/>
    </row>
    <row r="406" spans="1:21" ht="13">
      <c r="A406" s="249"/>
      <c r="B406" s="245"/>
      <c r="C406" s="22" t="s">
        <v>47</v>
      </c>
      <c r="D406" s="23"/>
      <c r="E406" s="23"/>
      <c r="F406" s="23">
        <v>393.66</v>
      </c>
      <c r="G406" s="236"/>
      <c r="H406" s="236"/>
      <c r="I406" s="236"/>
      <c r="J406" s="242"/>
      <c r="L406" s="249"/>
      <c r="M406" s="245"/>
      <c r="N406" s="22" t="s">
        <v>47</v>
      </c>
      <c r="O406" s="23"/>
      <c r="P406" s="23"/>
      <c r="Q406" s="23">
        <v>393.66</v>
      </c>
      <c r="R406" s="236"/>
      <c r="S406" s="236"/>
      <c r="T406" s="236"/>
      <c r="U406" s="242"/>
    </row>
    <row r="407" spans="1:21" ht="13">
      <c r="A407" s="249"/>
      <c r="B407" s="245"/>
      <c r="C407" s="22" t="s">
        <v>44</v>
      </c>
      <c r="D407" s="23"/>
      <c r="E407" s="23"/>
      <c r="F407" s="23">
        <v>161.5</v>
      </c>
      <c r="G407" s="236"/>
      <c r="H407" s="236"/>
      <c r="I407" s="236"/>
      <c r="J407" s="242"/>
      <c r="L407" s="249"/>
      <c r="M407" s="245"/>
      <c r="N407" s="22" t="s">
        <v>44</v>
      </c>
      <c r="O407" s="23"/>
      <c r="P407" s="23"/>
      <c r="Q407" s="23">
        <v>161.5</v>
      </c>
      <c r="R407" s="236"/>
      <c r="S407" s="236"/>
      <c r="T407" s="236"/>
      <c r="U407" s="242"/>
    </row>
    <row r="408" spans="1:21" ht="13">
      <c r="A408" s="249"/>
      <c r="B408" s="246"/>
      <c r="C408" s="25" t="s">
        <v>48</v>
      </c>
      <c r="D408" s="26"/>
      <c r="E408" s="26"/>
      <c r="F408" s="26">
        <v>338.47</v>
      </c>
      <c r="G408" s="238"/>
      <c r="H408" s="238"/>
      <c r="I408" s="238"/>
      <c r="J408" s="243"/>
      <c r="L408" s="249"/>
      <c r="M408" s="246"/>
      <c r="N408" s="25" t="s">
        <v>48</v>
      </c>
      <c r="O408" s="26"/>
      <c r="P408" s="26"/>
      <c r="Q408" s="26">
        <v>338.47</v>
      </c>
      <c r="R408" s="238"/>
      <c r="S408" s="238"/>
      <c r="T408" s="238"/>
      <c r="U408" s="243"/>
    </row>
    <row r="409" spans="1:21" ht="13">
      <c r="A409" s="249"/>
      <c r="B409" s="244" t="s">
        <v>218</v>
      </c>
      <c r="C409" s="53" t="s">
        <v>31</v>
      </c>
      <c r="D409" s="16">
        <v>12</v>
      </c>
      <c r="E409" s="17">
        <v>17</v>
      </c>
      <c r="F409" s="17">
        <f t="shared" ref="F409:F410" si="76">D409*E409</f>
        <v>204</v>
      </c>
      <c r="G409" s="240">
        <f>SUM(F409:F414)</f>
        <v>565.21999999999991</v>
      </c>
      <c r="H409" s="273">
        <v>2550</v>
      </c>
      <c r="I409" s="273">
        <f>H409-G409</f>
        <v>1984.7800000000002</v>
      </c>
      <c r="J409" s="241">
        <f>I409/H409</f>
        <v>0.77834509803921581</v>
      </c>
      <c r="L409" s="249"/>
      <c r="M409" s="244" t="s">
        <v>218</v>
      </c>
      <c r="N409" s="53" t="s">
        <v>31</v>
      </c>
      <c r="O409" s="16">
        <v>12</v>
      </c>
      <c r="P409" s="17">
        <v>17</v>
      </c>
      <c r="Q409" s="17">
        <f>O409*P409</f>
        <v>204</v>
      </c>
      <c r="R409" s="240">
        <f>SUM(Q409:Q414)</f>
        <v>453.21999999999991</v>
      </c>
      <c r="S409" s="273">
        <v>2550</v>
      </c>
      <c r="T409" s="273">
        <f>S409-R409</f>
        <v>2096.7800000000002</v>
      </c>
      <c r="U409" s="241">
        <f>T409/S409</f>
        <v>0.8222666666666667</v>
      </c>
    </row>
    <row r="410" spans="1:21" ht="13">
      <c r="A410" s="249"/>
      <c r="B410" s="245"/>
      <c r="C410" s="54" t="s">
        <v>23</v>
      </c>
      <c r="D410" s="19">
        <v>7</v>
      </c>
      <c r="E410" s="19">
        <v>16</v>
      </c>
      <c r="F410" s="17">
        <f t="shared" si="76"/>
        <v>112</v>
      </c>
      <c r="G410" s="236"/>
      <c r="H410" s="236"/>
      <c r="I410" s="236"/>
      <c r="J410" s="242"/>
      <c r="L410" s="249"/>
      <c r="M410" s="245"/>
      <c r="N410" s="54" t="s">
        <v>23</v>
      </c>
      <c r="O410" s="18"/>
      <c r="P410" s="18"/>
      <c r="Q410" s="18"/>
      <c r="R410" s="236"/>
      <c r="S410" s="236"/>
      <c r="T410" s="236"/>
      <c r="U410" s="242"/>
    </row>
    <row r="411" spans="1:21" ht="13">
      <c r="A411" s="249"/>
      <c r="B411" s="245"/>
      <c r="C411" s="54" t="s">
        <v>45</v>
      </c>
      <c r="D411" s="19"/>
      <c r="E411" s="19"/>
      <c r="F411" s="17">
        <v>148.66999999999999</v>
      </c>
      <c r="G411" s="236"/>
      <c r="H411" s="236"/>
      <c r="I411" s="236"/>
      <c r="J411" s="242"/>
      <c r="L411" s="249"/>
      <c r="M411" s="245"/>
      <c r="N411" s="54" t="s">
        <v>45</v>
      </c>
      <c r="O411" s="19"/>
      <c r="P411" s="19"/>
      <c r="Q411" s="17">
        <v>148.66999999999999</v>
      </c>
      <c r="R411" s="236"/>
      <c r="S411" s="236"/>
      <c r="T411" s="236"/>
      <c r="U411" s="242"/>
    </row>
    <row r="412" spans="1:21" ht="13">
      <c r="A412" s="249"/>
      <c r="B412" s="245"/>
      <c r="C412" s="54" t="s">
        <v>188</v>
      </c>
      <c r="D412" s="19"/>
      <c r="E412" s="19"/>
      <c r="F412" s="17">
        <v>48.65</v>
      </c>
      <c r="G412" s="236"/>
      <c r="H412" s="236"/>
      <c r="I412" s="236"/>
      <c r="J412" s="242"/>
      <c r="L412" s="249"/>
      <c r="M412" s="245"/>
      <c r="N412" s="54" t="s">
        <v>188</v>
      </c>
      <c r="O412" s="19"/>
      <c r="P412" s="19"/>
      <c r="Q412" s="17">
        <v>48.65</v>
      </c>
      <c r="R412" s="236"/>
      <c r="S412" s="236"/>
      <c r="T412" s="236"/>
      <c r="U412" s="242"/>
    </row>
    <row r="413" spans="1:21" ht="13">
      <c r="A413" s="249"/>
      <c r="B413" s="245"/>
      <c r="C413" s="54" t="s">
        <v>44</v>
      </c>
      <c r="D413" s="19"/>
      <c r="E413" s="19"/>
      <c r="F413" s="17">
        <v>51.9</v>
      </c>
      <c r="G413" s="236"/>
      <c r="H413" s="236"/>
      <c r="I413" s="236"/>
      <c r="J413" s="242"/>
      <c r="L413" s="249"/>
      <c r="M413" s="245"/>
      <c r="N413" s="54" t="s">
        <v>44</v>
      </c>
      <c r="O413" s="19"/>
      <c r="P413" s="19"/>
      <c r="Q413" s="17">
        <v>51.9</v>
      </c>
      <c r="R413" s="236"/>
      <c r="S413" s="236"/>
      <c r="T413" s="236"/>
      <c r="U413" s="242"/>
    </row>
    <row r="414" spans="1:21" ht="13">
      <c r="A414" s="249"/>
      <c r="B414" s="246"/>
      <c r="C414" s="55"/>
      <c r="D414" s="20"/>
      <c r="E414" s="20"/>
      <c r="F414" s="21"/>
      <c r="G414" s="238"/>
      <c r="H414" s="238"/>
      <c r="I414" s="238"/>
      <c r="J414" s="243"/>
      <c r="L414" s="249"/>
      <c r="M414" s="246"/>
      <c r="N414" s="55"/>
      <c r="O414" s="20"/>
      <c r="P414" s="20"/>
      <c r="Q414" s="21"/>
      <c r="R414" s="238"/>
      <c r="S414" s="238"/>
      <c r="T414" s="238"/>
      <c r="U414" s="243"/>
    </row>
    <row r="415" spans="1:21" ht="13">
      <c r="A415" s="249"/>
      <c r="B415" s="244" t="s">
        <v>219</v>
      </c>
      <c r="C415" s="54" t="s">
        <v>23</v>
      </c>
      <c r="D415" s="19">
        <v>7</v>
      </c>
      <c r="E415" s="19">
        <v>16</v>
      </c>
      <c r="F415" s="17">
        <f>D415*E415</f>
        <v>112</v>
      </c>
      <c r="G415" s="240">
        <f>SUM(F415:F420)</f>
        <v>727.92</v>
      </c>
      <c r="H415" s="273">
        <v>2159.14</v>
      </c>
      <c r="I415" s="273">
        <f>H415-G415</f>
        <v>1431.2199999999998</v>
      </c>
      <c r="J415" s="241">
        <f>I415/H415</f>
        <v>0.66286577063089924</v>
      </c>
      <c r="L415" s="249"/>
      <c r="M415" s="244" t="s">
        <v>219</v>
      </c>
      <c r="N415" s="54" t="s">
        <v>23</v>
      </c>
      <c r="O415" s="18"/>
      <c r="P415" s="18"/>
      <c r="Q415" s="18"/>
      <c r="R415" s="240">
        <f>SUM(Q415:Q420)</f>
        <v>615.91999999999996</v>
      </c>
      <c r="S415" s="273">
        <v>2159.14</v>
      </c>
      <c r="T415" s="273">
        <f>S415-R415</f>
        <v>1543.2199999999998</v>
      </c>
      <c r="U415" s="241">
        <f>T415/S415</f>
        <v>0.71473827542447455</v>
      </c>
    </row>
    <row r="416" spans="1:21" ht="13">
      <c r="A416" s="249"/>
      <c r="B416" s="246"/>
      <c r="C416" s="55"/>
      <c r="D416" s="20"/>
      <c r="E416" s="20"/>
      <c r="F416" s="21"/>
      <c r="G416" s="238"/>
      <c r="H416" s="238"/>
      <c r="I416" s="238"/>
      <c r="J416" s="243"/>
      <c r="L416" s="249"/>
      <c r="M416" s="246"/>
      <c r="N416" s="55"/>
      <c r="O416" s="20"/>
      <c r="P416" s="20"/>
      <c r="Q416" s="21"/>
      <c r="R416" s="238"/>
      <c r="S416" s="238"/>
      <c r="T416" s="238"/>
      <c r="U416" s="243"/>
    </row>
    <row r="417" spans="1:21" ht="13">
      <c r="A417" s="249"/>
      <c r="B417" s="244" t="s">
        <v>220</v>
      </c>
      <c r="C417" s="54" t="s">
        <v>31</v>
      </c>
      <c r="D417" s="19">
        <v>9.76</v>
      </c>
      <c r="E417" s="19">
        <v>17</v>
      </c>
      <c r="F417" s="17">
        <f>D417*E417</f>
        <v>165.92</v>
      </c>
      <c r="G417" s="240">
        <f>SUM(F417:F418)</f>
        <v>165.92</v>
      </c>
      <c r="H417" s="273">
        <v>700</v>
      </c>
      <c r="I417" s="273">
        <f>H417-G417</f>
        <v>534.08000000000004</v>
      </c>
      <c r="J417" s="241">
        <f>I417/H417</f>
        <v>0.76297142857142863</v>
      </c>
      <c r="L417" s="249"/>
      <c r="M417" s="244" t="s">
        <v>220</v>
      </c>
      <c r="N417" s="54" t="s">
        <v>31</v>
      </c>
      <c r="O417" s="19">
        <v>9.76</v>
      </c>
      <c r="P417" s="19">
        <v>17</v>
      </c>
      <c r="Q417" s="17">
        <f>O417*P417</f>
        <v>165.92</v>
      </c>
      <c r="R417" s="240">
        <f>SUM(Q417:Q418)</f>
        <v>165.92</v>
      </c>
      <c r="S417" s="273">
        <v>700</v>
      </c>
      <c r="T417" s="273">
        <f>S417-R417</f>
        <v>534.08000000000004</v>
      </c>
      <c r="U417" s="241">
        <f>T417/S417</f>
        <v>0.76297142857142863</v>
      </c>
    </row>
    <row r="418" spans="1:21" ht="13">
      <c r="A418" s="249"/>
      <c r="B418" s="246"/>
      <c r="C418" s="55"/>
      <c r="D418" s="20"/>
      <c r="E418" s="20"/>
      <c r="F418" s="21"/>
      <c r="G418" s="238"/>
      <c r="H418" s="238"/>
      <c r="I418" s="238"/>
      <c r="J418" s="243"/>
      <c r="L418" s="249"/>
      <c r="M418" s="246"/>
      <c r="N418" s="55"/>
      <c r="O418" s="20"/>
      <c r="P418" s="20"/>
      <c r="Q418" s="21"/>
      <c r="R418" s="238"/>
      <c r="S418" s="238"/>
      <c r="T418" s="238"/>
      <c r="U418" s="243"/>
    </row>
    <row r="419" spans="1:21" ht="13">
      <c r="A419" s="249"/>
      <c r="B419" s="244" t="s">
        <v>221</v>
      </c>
      <c r="C419" s="15" t="s">
        <v>146</v>
      </c>
      <c r="D419" s="16">
        <v>15</v>
      </c>
      <c r="E419" s="17">
        <v>15</v>
      </c>
      <c r="F419" s="17">
        <f t="shared" ref="F419:F423" si="77">D419*E419</f>
        <v>225</v>
      </c>
      <c r="G419" s="240">
        <f>SUM(F419:F422)</f>
        <v>720</v>
      </c>
      <c r="H419" s="273">
        <v>2860</v>
      </c>
      <c r="I419" s="273">
        <f>H419-G419</f>
        <v>2140</v>
      </c>
      <c r="J419" s="241">
        <f>I419/H419</f>
        <v>0.74825174825174823</v>
      </c>
      <c r="L419" s="249"/>
      <c r="M419" s="244" t="s">
        <v>221</v>
      </c>
      <c r="N419" s="15" t="s">
        <v>146</v>
      </c>
      <c r="O419" s="16">
        <v>15</v>
      </c>
      <c r="P419" s="17">
        <v>15</v>
      </c>
      <c r="Q419" s="17">
        <f t="shared" ref="Q419:Q423" si="78">O419*P419</f>
        <v>225</v>
      </c>
      <c r="R419" s="240">
        <f>SUM(Q419:Q422)</f>
        <v>720</v>
      </c>
      <c r="S419" s="273">
        <v>2860</v>
      </c>
      <c r="T419" s="273">
        <f>S419-R419</f>
        <v>2140</v>
      </c>
      <c r="U419" s="241">
        <f>T419/S419</f>
        <v>0.74825174825174823</v>
      </c>
    </row>
    <row r="420" spans="1:21" ht="13">
      <c r="A420" s="249"/>
      <c r="B420" s="245"/>
      <c r="C420" s="19" t="s">
        <v>147</v>
      </c>
      <c r="D420" s="17">
        <v>15</v>
      </c>
      <c r="E420" s="17">
        <v>15</v>
      </c>
      <c r="F420" s="17">
        <f t="shared" si="77"/>
        <v>225</v>
      </c>
      <c r="G420" s="236"/>
      <c r="H420" s="236"/>
      <c r="I420" s="236"/>
      <c r="J420" s="242"/>
      <c r="L420" s="249"/>
      <c r="M420" s="245"/>
      <c r="N420" s="19" t="s">
        <v>147</v>
      </c>
      <c r="O420" s="17">
        <v>15</v>
      </c>
      <c r="P420" s="17">
        <v>15</v>
      </c>
      <c r="Q420" s="17">
        <f t="shared" si="78"/>
        <v>225</v>
      </c>
      <c r="R420" s="236"/>
      <c r="S420" s="236"/>
      <c r="T420" s="236"/>
      <c r="U420" s="242"/>
    </row>
    <row r="421" spans="1:21" ht="13">
      <c r="A421" s="249"/>
      <c r="B421" s="245"/>
      <c r="C421" s="19" t="s">
        <v>222</v>
      </c>
      <c r="D421" s="17">
        <v>12</v>
      </c>
      <c r="E421" s="17">
        <v>15</v>
      </c>
      <c r="F421" s="17">
        <f t="shared" si="77"/>
        <v>180</v>
      </c>
      <c r="G421" s="236"/>
      <c r="H421" s="236"/>
      <c r="I421" s="236"/>
      <c r="J421" s="242"/>
      <c r="L421" s="249"/>
      <c r="M421" s="245"/>
      <c r="N421" s="19" t="s">
        <v>222</v>
      </c>
      <c r="O421" s="17">
        <v>12</v>
      </c>
      <c r="P421" s="17">
        <v>15</v>
      </c>
      <c r="Q421" s="17">
        <f t="shared" si="78"/>
        <v>180</v>
      </c>
      <c r="R421" s="236"/>
      <c r="S421" s="236"/>
      <c r="T421" s="236"/>
      <c r="U421" s="242"/>
    </row>
    <row r="422" spans="1:21" ht="13">
      <c r="A422" s="249"/>
      <c r="B422" s="246"/>
      <c r="C422" s="44" t="s">
        <v>106</v>
      </c>
      <c r="D422" s="21">
        <v>6</v>
      </c>
      <c r="E422" s="21">
        <v>15</v>
      </c>
      <c r="F422" s="21">
        <f t="shared" si="77"/>
        <v>90</v>
      </c>
      <c r="G422" s="238"/>
      <c r="H422" s="238"/>
      <c r="I422" s="238"/>
      <c r="J422" s="243"/>
      <c r="L422" s="249"/>
      <c r="M422" s="246"/>
      <c r="N422" s="44" t="s">
        <v>106</v>
      </c>
      <c r="O422" s="21">
        <v>6</v>
      </c>
      <c r="P422" s="21">
        <v>15</v>
      </c>
      <c r="Q422" s="21">
        <f t="shared" si="78"/>
        <v>90</v>
      </c>
      <c r="R422" s="238"/>
      <c r="S422" s="238"/>
      <c r="T422" s="238"/>
      <c r="U422" s="243"/>
    </row>
    <row r="423" spans="1:21" ht="13">
      <c r="A423" s="249"/>
      <c r="B423" s="244" t="s">
        <v>223</v>
      </c>
      <c r="C423" s="64" t="s">
        <v>224</v>
      </c>
      <c r="D423" s="50">
        <v>30</v>
      </c>
      <c r="E423" s="50">
        <v>17</v>
      </c>
      <c r="F423" s="65">
        <f t="shared" si="77"/>
        <v>510</v>
      </c>
      <c r="G423" s="240">
        <f>SUM(F423:F437)</f>
        <v>6756.9000000000005</v>
      </c>
      <c r="H423" s="237">
        <v>13464.12</v>
      </c>
      <c r="I423" s="237">
        <f>H423-G423</f>
        <v>6707.22</v>
      </c>
      <c r="J423" s="241">
        <f>I423/H423</f>
        <v>0.4981550966568925</v>
      </c>
      <c r="L423" s="249"/>
      <c r="M423" s="244" t="s">
        <v>223</v>
      </c>
      <c r="N423" s="64" t="s">
        <v>224</v>
      </c>
      <c r="O423" s="50">
        <v>30</v>
      </c>
      <c r="P423" s="50">
        <v>17</v>
      </c>
      <c r="Q423" s="65">
        <f t="shared" si="78"/>
        <v>510</v>
      </c>
      <c r="R423" s="240">
        <f>SUM(Q423:Q437)</f>
        <v>6756.9000000000005</v>
      </c>
      <c r="S423" s="237">
        <v>13464.12</v>
      </c>
      <c r="T423" s="237">
        <f>S423-R423</f>
        <v>6707.22</v>
      </c>
      <c r="U423" s="241">
        <f>T423/S423</f>
        <v>0.4981550966568925</v>
      </c>
    </row>
    <row r="424" spans="1:21" ht="13">
      <c r="A424" s="249"/>
      <c r="B424" s="245"/>
      <c r="C424" s="22" t="s">
        <v>225</v>
      </c>
      <c r="D424" s="23"/>
      <c r="E424" s="23"/>
      <c r="F424" s="23">
        <v>222</v>
      </c>
      <c r="G424" s="236"/>
      <c r="H424" s="236"/>
      <c r="I424" s="236"/>
      <c r="J424" s="242"/>
      <c r="L424" s="249"/>
      <c r="M424" s="245"/>
      <c r="N424" s="22" t="s">
        <v>225</v>
      </c>
      <c r="O424" s="23"/>
      <c r="P424" s="23"/>
      <c r="Q424" s="23">
        <v>222</v>
      </c>
      <c r="R424" s="236"/>
      <c r="S424" s="236"/>
      <c r="T424" s="236"/>
      <c r="U424" s="242"/>
    </row>
    <row r="425" spans="1:21" ht="13">
      <c r="A425" s="249"/>
      <c r="B425" s="245"/>
      <c r="C425" s="22" t="s">
        <v>209</v>
      </c>
      <c r="D425" s="23">
        <v>23.68</v>
      </c>
      <c r="E425" s="23">
        <v>17</v>
      </c>
      <c r="F425" s="23">
        <f t="shared" ref="F425:F433" si="79">D425*E425</f>
        <v>402.56</v>
      </c>
      <c r="G425" s="236"/>
      <c r="H425" s="236"/>
      <c r="I425" s="236"/>
      <c r="J425" s="242"/>
      <c r="L425" s="249"/>
      <c r="M425" s="245"/>
      <c r="N425" s="22" t="s">
        <v>209</v>
      </c>
      <c r="O425" s="23">
        <v>23.68</v>
      </c>
      <c r="P425" s="23">
        <v>17</v>
      </c>
      <c r="Q425" s="23">
        <f t="shared" ref="Q425:Q433" si="80">O425*P425</f>
        <v>402.56</v>
      </c>
      <c r="R425" s="236"/>
      <c r="S425" s="236"/>
      <c r="T425" s="236"/>
      <c r="U425" s="242"/>
    </row>
    <row r="426" spans="1:21" ht="13">
      <c r="A426" s="249"/>
      <c r="B426" s="245"/>
      <c r="C426" s="22" t="s">
        <v>226</v>
      </c>
      <c r="D426" s="23">
        <v>35.19</v>
      </c>
      <c r="E426" s="23">
        <v>13</v>
      </c>
      <c r="F426" s="23">
        <f t="shared" si="79"/>
        <v>457.46999999999997</v>
      </c>
      <c r="G426" s="236"/>
      <c r="H426" s="236"/>
      <c r="I426" s="236"/>
      <c r="J426" s="242"/>
      <c r="L426" s="249"/>
      <c r="M426" s="245"/>
      <c r="N426" s="22" t="s">
        <v>226</v>
      </c>
      <c r="O426" s="23">
        <v>35.19</v>
      </c>
      <c r="P426" s="23">
        <v>13</v>
      </c>
      <c r="Q426" s="23">
        <f t="shared" si="80"/>
        <v>457.46999999999997</v>
      </c>
      <c r="R426" s="236"/>
      <c r="S426" s="236"/>
      <c r="T426" s="236"/>
      <c r="U426" s="242"/>
    </row>
    <row r="427" spans="1:21" ht="13">
      <c r="A427" s="249"/>
      <c r="B427" s="245"/>
      <c r="C427" s="22" t="s">
        <v>227</v>
      </c>
      <c r="D427" s="23">
        <v>23.35</v>
      </c>
      <c r="E427" s="23">
        <v>13</v>
      </c>
      <c r="F427" s="23">
        <f t="shared" si="79"/>
        <v>303.55</v>
      </c>
      <c r="G427" s="236"/>
      <c r="H427" s="236"/>
      <c r="I427" s="236"/>
      <c r="J427" s="242"/>
      <c r="L427" s="249"/>
      <c r="M427" s="245"/>
      <c r="N427" s="22" t="s">
        <v>227</v>
      </c>
      <c r="O427" s="23">
        <v>23.35</v>
      </c>
      <c r="P427" s="23">
        <v>13</v>
      </c>
      <c r="Q427" s="23">
        <f t="shared" si="80"/>
        <v>303.55</v>
      </c>
      <c r="R427" s="236"/>
      <c r="S427" s="236"/>
      <c r="T427" s="236"/>
      <c r="U427" s="242"/>
    </row>
    <row r="428" spans="1:21" ht="13">
      <c r="A428" s="249"/>
      <c r="B428" s="245"/>
      <c r="C428" s="22" t="s">
        <v>228</v>
      </c>
      <c r="D428" s="23">
        <v>23.68</v>
      </c>
      <c r="E428" s="23">
        <v>13</v>
      </c>
      <c r="F428" s="23">
        <f t="shared" si="79"/>
        <v>307.83999999999997</v>
      </c>
      <c r="G428" s="236"/>
      <c r="H428" s="236"/>
      <c r="I428" s="236"/>
      <c r="J428" s="242"/>
      <c r="L428" s="249"/>
      <c r="M428" s="245"/>
      <c r="N428" s="22" t="s">
        <v>228</v>
      </c>
      <c r="O428" s="23">
        <v>23.68</v>
      </c>
      <c r="P428" s="23">
        <v>13</v>
      </c>
      <c r="Q428" s="23">
        <f t="shared" si="80"/>
        <v>307.83999999999997</v>
      </c>
      <c r="R428" s="236"/>
      <c r="S428" s="236"/>
      <c r="T428" s="236"/>
      <c r="U428" s="242"/>
    </row>
    <row r="429" spans="1:21" ht="13">
      <c r="A429" s="249"/>
      <c r="B429" s="245"/>
      <c r="C429" s="22" t="s">
        <v>229</v>
      </c>
      <c r="D429" s="23">
        <v>26.97</v>
      </c>
      <c r="E429" s="23">
        <v>13</v>
      </c>
      <c r="F429" s="23">
        <f t="shared" si="79"/>
        <v>350.61</v>
      </c>
      <c r="G429" s="236"/>
      <c r="H429" s="236"/>
      <c r="I429" s="236"/>
      <c r="J429" s="242"/>
      <c r="L429" s="249"/>
      <c r="M429" s="245"/>
      <c r="N429" s="22" t="s">
        <v>229</v>
      </c>
      <c r="O429" s="23">
        <v>26.97</v>
      </c>
      <c r="P429" s="23">
        <v>13</v>
      </c>
      <c r="Q429" s="23">
        <f t="shared" si="80"/>
        <v>350.61</v>
      </c>
      <c r="R429" s="236"/>
      <c r="S429" s="236"/>
      <c r="T429" s="236"/>
      <c r="U429" s="242"/>
    </row>
    <row r="430" spans="1:21" ht="13">
      <c r="A430" s="249"/>
      <c r="B430" s="245"/>
      <c r="C430" s="24" t="s">
        <v>230</v>
      </c>
      <c r="D430" s="23">
        <v>32.17</v>
      </c>
      <c r="E430" s="23">
        <v>13</v>
      </c>
      <c r="F430" s="23">
        <f t="shared" si="79"/>
        <v>418.21000000000004</v>
      </c>
      <c r="G430" s="236"/>
      <c r="H430" s="236"/>
      <c r="I430" s="236"/>
      <c r="J430" s="242"/>
      <c r="L430" s="249"/>
      <c r="M430" s="245"/>
      <c r="N430" s="24" t="s">
        <v>230</v>
      </c>
      <c r="O430" s="23">
        <v>32.17</v>
      </c>
      <c r="P430" s="23">
        <v>13</v>
      </c>
      <c r="Q430" s="23">
        <f t="shared" si="80"/>
        <v>418.21000000000004</v>
      </c>
      <c r="R430" s="236"/>
      <c r="S430" s="236"/>
      <c r="T430" s="236"/>
      <c r="U430" s="242"/>
    </row>
    <row r="431" spans="1:21" ht="13">
      <c r="A431" s="249"/>
      <c r="B431" s="245"/>
      <c r="C431" s="22" t="s">
        <v>231</v>
      </c>
      <c r="D431" s="23">
        <v>7.5</v>
      </c>
      <c r="E431" s="23">
        <v>13</v>
      </c>
      <c r="F431" s="23">
        <f t="shared" si="79"/>
        <v>97.5</v>
      </c>
      <c r="G431" s="236"/>
      <c r="H431" s="236"/>
      <c r="I431" s="236"/>
      <c r="J431" s="242"/>
      <c r="L431" s="249"/>
      <c r="M431" s="245"/>
      <c r="N431" s="22" t="s">
        <v>231</v>
      </c>
      <c r="O431" s="23">
        <v>7.5</v>
      </c>
      <c r="P431" s="23">
        <v>13</v>
      </c>
      <c r="Q431" s="23">
        <f t="shared" si="80"/>
        <v>97.5</v>
      </c>
      <c r="R431" s="236"/>
      <c r="S431" s="236"/>
      <c r="T431" s="236"/>
      <c r="U431" s="242"/>
    </row>
    <row r="432" spans="1:21" ht="13">
      <c r="A432" s="249"/>
      <c r="B432" s="245"/>
      <c r="C432" s="22" t="s">
        <v>63</v>
      </c>
      <c r="D432" s="23">
        <v>26.34</v>
      </c>
      <c r="E432" s="23">
        <v>13</v>
      </c>
      <c r="F432" s="23">
        <f t="shared" si="79"/>
        <v>342.42</v>
      </c>
      <c r="G432" s="236"/>
      <c r="H432" s="236"/>
      <c r="I432" s="236"/>
      <c r="J432" s="242"/>
      <c r="L432" s="249"/>
      <c r="M432" s="245"/>
      <c r="N432" s="22" t="s">
        <v>63</v>
      </c>
      <c r="O432" s="23">
        <v>26.34</v>
      </c>
      <c r="P432" s="23">
        <v>13</v>
      </c>
      <c r="Q432" s="23">
        <f t="shared" si="80"/>
        <v>342.42</v>
      </c>
      <c r="R432" s="236"/>
      <c r="S432" s="236"/>
      <c r="T432" s="236"/>
      <c r="U432" s="242"/>
    </row>
    <row r="433" spans="1:21" ht="13">
      <c r="A433" s="249"/>
      <c r="B433" s="245"/>
      <c r="C433" s="24" t="s">
        <v>57</v>
      </c>
      <c r="D433" s="23">
        <v>7.1</v>
      </c>
      <c r="E433" s="23">
        <v>17</v>
      </c>
      <c r="F433" s="23">
        <f t="shared" si="79"/>
        <v>120.69999999999999</v>
      </c>
      <c r="G433" s="236"/>
      <c r="H433" s="236"/>
      <c r="I433" s="236"/>
      <c r="J433" s="242"/>
      <c r="L433" s="249"/>
      <c r="M433" s="245"/>
      <c r="N433" s="24" t="s">
        <v>57</v>
      </c>
      <c r="O433" s="23">
        <v>7.1</v>
      </c>
      <c r="P433" s="23">
        <v>17</v>
      </c>
      <c r="Q433" s="23">
        <f t="shared" si="80"/>
        <v>120.69999999999999</v>
      </c>
      <c r="R433" s="236"/>
      <c r="S433" s="236"/>
      <c r="T433" s="236"/>
      <c r="U433" s="242"/>
    </row>
    <row r="434" spans="1:21" ht="13">
      <c r="A434" s="249"/>
      <c r="B434" s="245"/>
      <c r="C434" s="22" t="s">
        <v>45</v>
      </c>
      <c r="D434" s="23"/>
      <c r="E434" s="23"/>
      <c r="F434" s="23">
        <v>127.67</v>
      </c>
      <c r="G434" s="236"/>
      <c r="H434" s="236"/>
      <c r="I434" s="236"/>
      <c r="J434" s="242"/>
      <c r="L434" s="249"/>
      <c r="M434" s="245"/>
      <c r="N434" s="22" t="s">
        <v>45</v>
      </c>
      <c r="O434" s="23"/>
      <c r="P434" s="23"/>
      <c r="Q434" s="23">
        <v>127.67</v>
      </c>
      <c r="R434" s="236"/>
      <c r="S434" s="236"/>
      <c r="T434" s="236"/>
      <c r="U434" s="242"/>
    </row>
    <row r="435" spans="1:21" ht="13">
      <c r="A435" s="249"/>
      <c r="B435" s="245"/>
      <c r="C435" s="22" t="s">
        <v>33</v>
      </c>
      <c r="D435" s="23"/>
      <c r="E435" s="23"/>
      <c r="F435" s="23">
        <v>2820</v>
      </c>
      <c r="G435" s="236"/>
      <c r="H435" s="236"/>
      <c r="I435" s="236"/>
      <c r="J435" s="242"/>
      <c r="L435" s="249"/>
      <c r="M435" s="245"/>
      <c r="N435" s="22" t="s">
        <v>33</v>
      </c>
      <c r="O435" s="23"/>
      <c r="P435" s="23"/>
      <c r="Q435" s="23">
        <v>2820</v>
      </c>
      <c r="R435" s="236"/>
      <c r="S435" s="236"/>
      <c r="T435" s="236"/>
      <c r="U435" s="242"/>
    </row>
    <row r="436" spans="1:21" ht="13">
      <c r="A436" s="249"/>
      <c r="B436" s="245"/>
      <c r="C436" s="22" t="s">
        <v>48</v>
      </c>
      <c r="D436" s="23"/>
      <c r="E436" s="23"/>
      <c r="F436" s="23">
        <v>38.97</v>
      </c>
      <c r="G436" s="236"/>
      <c r="H436" s="236"/>
      <c r="I436" s="236"/>
      <c r="J436" s="242"/>
      <c r="L436" s="249"/>
      <c r="M436" s="245"/>
      <c r="N436" s="22" t="s">
        <v>48</v>
      </c>
      <c r="O436" s="23"/>
      <c r="P436" s="23"/>
      <c r="Q436" s="23">
        <v>38.97</v>
      </c>
      <c r="R436" s="236"/>
      <c r="S436" s="236"/>
      <c r="T436" s="236"/>
      <c r="U436" s="242"/>
    </row>
    <row r="437" spans="1:21" ht="13">
      <c r="A437" s="249"/>
      <c r="B437" s="246"/>
      <c r="C437" s="25" t="s">
        <v>155</v>
      </c>
      <c r="D437" s="26"/>
      <c r="E437" s="26"/>
      <c r="F437" s="26">
        <v>237.4</v>
      </c>
      <c r="G437" s="238"/>
      <c r="H437" s="238"/>
      <c r="I437" s="238"/>
      <c r="J437" s="243"/>
      <c r="L437" s="249"/>
      <c r="M437" s="246"/>
      <c r="N437" s="25" t="s">
        <v>155</v>
      </c>
      <c r="O437" s="26"/>
      <c r="P437" s="26"/>
      <c r="Q437" s="26">
        <v>237.4</v>
      </c>
      <c r="R437" s="238"/>
      <c r="S437" s="238"/>
      <c r="T437" s="238"/>
      <c r="U437" s="243"/>
    </row>
    <row r="438" spans="1:21" ht="13">
      <c r="A438" s="249"/>
      <c r="B438" s="244" t="s">
        <v>232</v>
      </c>
      <c r="C438" s="15" t="s">
        <v>23</v>
      </c>
      <c r="D438" s="16">
        <v>14</v>
      </c>
      <c r="E438" s="17">
        <v>16</v>
      </c>
      <c r="F438" s="17">
        <f t="shared" ref="F438:F439" si="81">D438*E438</f>
        <v>224</v>
      </c>
      <c r="G438" s="240">
        <f>SUM(F438:F443)</f>
        <v>895.56</v>
      </c>
      <c r="H438" s="273">
        <v>3503.92</v>
      </c>
      <c r="I438" s="273">
        <f>H438-G438</f>
        <v>2608.36</v>
      </c>
      <c r="J438" s="241">
        <f>I438/H438</f>
        <v>0.74441197287609306</v>
      </c>
      <c r="L438" s="249"/>
      <c r="M438" s="244" t="s">
        <v>232</v>
      </c>
      <c r="N438" s="15" t="s">
        <v>23</v>
      </c>
      <c r="O438" s="18"/>
      <c r="P438" s="18"/>
      <c r="Q438" s="18"/>
      <c r="R438" s="240">
        <f>SUM(Q438:Q443)</f>
        <v>671.56000000000006</v>
      </c>
      <c r="S438" s="273">
        <v>3503.92</v>
      </c>
      <c r="T438" s="273">
        <f>S438-R438</f>
        <v>2832.36</v>
      </c>
      <c r="U438" s="241">
        <f>T438/S438</f>
        <v>0.80834037306787832</v>
      </c>
    </row>
    <row r="439" spans="1:21" ht="13">
      <c r="A439" s="249"/>
      <c r="B439" s="245"/>
      <c r="C439" s="19" t="s">
        <v>57</v>
      </c>
      <c r="D439" s="17">
        <v>18</v>
      </c>
      <c r="E439" s="17">
        <v>17</v>
      </c>
      <c r="F439" s="17">
        <f t="shared" si="81"/>
        <v>306</v>
      </c>
      <c r="G439" s="236"/>
      <c r="H439" s="236"/>
      <c r="I439" s="236"/>
      <c r="J439" s="242"/>
      <c r="L439" s="249"/>
      <c r="M439" s="245"/>
      <c r="N439" s="19" t="s">
        <v>57</v>
      </c>
      <c r="O439" s="17">
        <v>18</v>
      </c>
      <c r="P439" s="17">
        <v>17</v>
      </c>
      <c r="Q439" s="17">
        <f>O439*P439</f>
        <v>306</v>
      </c>
      <c r="R439" s="236"/>
      <c r="S439" s="236"/>
      <c r="T439" s="236"/>
      <c r="U439" s="242"/>
    </row>
    <row r="440" spans="1:21" ht="13">
      <c r="A440" s="249"/>
      <c r="B440" s="245"/>
      <c r="C440" s="19" t="s">
        <v>44</v>
      </c>
      <c r="D440" s="17"/>
      <c r="E440" s="17"/>
      <c r="F440" s="17">
        <v>69.3</v>
      </c>
      <c r="G440" s="236"/>
      <c r="H440" s="236"/>
      <c r="I440" s="236"/>
      <c r="J440" s="242"/>
      <c r="L440" s="249"/>
      <c r="M440" s="245"/>
      <c r="N440" s="19" t="s">
        <v>44</v>
      </c>
      <c r="O440" s="17"/>
      <c r="P440" s="17"/>
      <c r="Q440" s="17">
        <v>69.3</v>
      </c>
      <c r="R440" s="236"/>
      <c r="S440" s="236"/>
      <c r="T440" s="236"/>
      <c r="U440" s="242"/>
    </row>
    <row r="441" spans="1:21" ht="13">
      <c r="A441" s="249"/>
      <c r="B441" s="245"/>
      <c r="C441" s="19" t="s">
        <v>45</v>
      </c>
      <c r="D441" s="17"/>
      <c r="E441" s="17"/>
      <c r="F441" s="17">
        <v>120</v>
      </c>
      <c r="G441" s="236"/>
      <c r="H441" s="236"/>
      <c r="I441" s="236"/>
      <c r="J441" s="242"/>
      <c r="L441" s="249"/>
      <c r="M441" s="245"/>
      <c r="N441" s="19" t="s">
        <v>45</v>
      </c>
      <c r="O441" s="17"/>
      <c r="P441" s="17"/>
      <c r="Q441" s="17">
        <v>120</v>
      </c>
      <c r="R441" s="236"/>
      <c r="S441" s="236"/>
      <c r="T441" s="236"/>
      <c r="U441" s="242"/>
    </row>
    <row r="442" spans="1:21" ht="13">
      <c r="A442" s="249"/>
      <c r="B442" s="245"/>
      <c r="C442" s="19" t="s">
        <v>153</v>
      </c>
      <c r="D442" s="17"/>
      <c r="E442" s="17"/>
      <c r="F442" s="17">
        <v>56.26</v>
      </c>
      <c r="G442" s="236"/>
      <c r="H442" s="236"/>
      <c r="I442" s="236"/>
      <c r="J442" s="242"/>
      <c r="L442" s="249"/>
      <c r="M442" s="245"/>
      <c r="N442" s="19" t="s">
        <v>153</v>
      </c>
      <c r="O442" s="17"/>
      <c r="P442" s="17"/>
      <c r="Q442" s="17">
        <v>56.26</v>
      </c>
      <c r="R442" s="236"/>
      <c r="S442" s="236"/>
      <c r="T442" s="236"/>
      <c r="U442" s="242"/>
    </row>
    <row r="443" spans="1:21" ht="13">
      <c r="A443" s="249"/>
      <c r="B443" s="246"/>
      <c r="C443" s="44" t="s">
        <v>165</v>
      </c>
      <c r="D443" s="21"/>
      <c r="E443" s="21"/>
      <c r="F443" s="21">
        <v>120</v>
      </c>
      <c r="G443" s="238"/>
      <c r="H443" s="238"/>
      <c r="I443" s="238"/>
      <c r="J443" s="243"/>
      <c r="L443" s="249"/>
      <c r="M443" s="246"/>
      <c r="N443" s="44" t="s">
        <v>165</v>
      </c>
      <c r="O443" s="21"/>
      <c r="P443" s="21"/>
      <c r="Q443" s="21">
        <v>120</v>
      </c>
      <c r="R443" s="238"/>
      <c r="S443" s="238"/>
      <c r="T443" s="238"/>
      <c r="U443" s="243"/>
    </row>
    <row r="444" spans="1:21" ht="13">
      <c r="A444" s="249"/>
      <c r="B444" s="244" t="s">
        <v>233</v>
      </c>
      <c r="C444" s="15" t="s">
        <v>234</v>
      </c>
      <c r="D444" s="16">
        <v>9.75</v>
      </c>
      <c r="E444" s="17">
        <v>17</v>
      </c>
      <c r="F444" s="17">
        <f>D444*E444</f>
        <v>165.75</v>
      </c>
      <c r="G444" s="240">
        <f>SUM(F444:F445)</f>
        <v>165.75</v>
      </c>
      <c r="H444" s="273">
        <v>700</v>
      </c>
      <c r="I444" s="273">
        <f>H444-G444</f>
        <v>534.25</v>
      </c>
      <c r="J444" s="241">
        <f>I444/H444</f>
        <v>0.76321428571428573</v>
      </c>
      <c r="L444" s="249"/>
      <c r="M444" s="244" t="s">
        <v>233</v>
      </c>
      <c r="N444" s="15" t="s">
        <v>234</v>
      </c>
      <c r="O444" s="16">
        <v>9.75</v>
      </c>
      <c r="P444" s="17">
        <v>17</v>
      </c>
      <c r="Q444" s="17">
        <f>O444*P444</f>
        <v>165.75</v>
      </c>
      <c r="R444" s="240">
        <f>SUM(Q444:Q445)</f>
        <v>165.75</v>
      </c>
      <c r="S444" s="273">
        <v>700</v>
      </c>
      <c r="T444" s="273">
        <f>S444-R444</f>
        <v>534.25</v>
      </c>
      <c r="U444" s="241">
        <f>T444/S444</f>
        <v>0.76321428571428573</v>
      </c>
    </row>
    <row r="445" spans="1:21" ht="13">
      <c r="A445" s="249"/>
      <c r="B445" s="246"/>
      <c r="C445" s="44"/>
      <c r="D445" s="21"/>
      <c r="E445" s="21"/>
      <c r="F445" s="21"/>
      <c r="G445" s="238"/>
      <c r="H445" s="238"/>
      <c r="I445" s="238"/>
      <c r="J445" s="243"/>
      <c r="L445" s="249"/>
      <c r="M445" s="246"/>
      <c r="N445" s="44"/>
      <c r="O445" s="21"/>
      <c r="P445" s="21"/>
      <c r="Q445" s="21"/>
      <c r="R445" s="238"/>
      <c r="S445" s="238"/>
      <c r="T445" s="238"/>
      <c r="U445" s="243"/>
    </row>
    <row r="446" spans="1:21" ht="13">
      <c r="A446" s="249"/>
      <c r="B446" s="244" t="s">
        <v>220</v>
      </c>
      <c r="C446" s="64" t="s">
        <v>23</v>
      </c>
      <c r="D446" s="50">
        <v>21</v>
      </c>
      <c r="E446" s="50">
        <v>16</v>
      </c>
      <c r="F446" s="65">
        <f>D446*E446</f>
        <v>336</v>
      </c>
      <c r="G446" s="240">
        <f>SUM(F446:F451)</f>
        <v>1636.61</v>
      </c>
      <c r="H446" s="237">
        <v>2735</v>
      </c>
      <c r="I446" s="237">
        <f>H446-G446</f>
        <v>1098.3900000000001</v>
      </c>
      <c r="J446" s="241">
        <f>I446/H446</f>
        <v>0.40160511882998173</v>
      </c>
      <c r="L446" s="249"/>
      <c r="M446" s="244" t="s">
        <v>220</v>
      </c>
      <c r="N446" s="64" t="s">
        <v>23</v>
      </c>
      <c r="O446" s="18"/>
      <c r="P446" s="18"/>
      <c r="Q446" s="18"/>
      <c r="R446" s="240">
        <f>SUM(Q446:Q451)</f>
        <v>1300.6100000000001</v>
      </c>
      <c r="S446" s="237">
        <v>2735</v>
      </c>
      <c r="T446" s="237">
        <f>S446-R446</f>
        <v>1434.3899999999999</v>
      </c>
      <c r="U446" s="241">
        <f>T446/S446</f>
        <v>0.52445703839122482</v>
      </c>
    </row>
    <row r="447" spans="1:21" ht="13">
      <c r="A447" s="249"/>
      <c r="B447" s="245"/>
      <c r="C447" s="22" t="s">
        <v>235</v>
      </c>
      <c r="D447" s="23"/>
      <c r="E447" s="23"/>
      <c r="F447" s="23">
        <v>20</v>
      </c>
      <c r="G447" s="236"/>
      <c r="H447" s="236"/>
      <c r="I447" s="236"/>
      <c r="J447" s="242"/>
      <c r="L447" s="249"/>
      <c r="M447" s="245"/>
      <c r="N447" s="22" t="s">
        <v>235</v>
      </c>
      <c r="O447" s="23"/>
      <c r="P447" s="23"/>
      <c r="Q447" s="23">
        <v>20</v>
      </c>
      <c r="R447" s="236"/>
      <c r="S447" s="236"/>
      <c r="T447" s="236"/>
      <c r="U447" s="242"/>
    </row>
    <row r="448" spans="1:21" ht="13">
      <c r="A448" s="249"/>
      <c r="B448" s="245"/>
      <c r="C448" s="22" t="s">
        <v>236</v>
      </c>
      <c r="D448" s="23">
        <v>26.61</v>
      </c>
      <c r="E448" s="23">
        <v>17</v>
      </c>
      <c r="F448" s="23">
        <f t="shared" ref="F448:F450" si="82">D448*E448</f>
        <v>452.37</v>
      </c>
      <c r="G448" s="236"/>
      <c r="H448" s="236"/>
      <c r="I448" s="236"/>
      <c r="J448" s="242"/>
      <c r="L448" s="249"/>
      <c r="M448" s="245"/>
      <c r="N448" s="22" t="s">
        <v>236</v>
      </c>
      <c r="O448" s="23">
        <v>26.61</v>
      </c>
      <c r="P448" s="23">
        <v>17</v>
      </c>
      <c r="Q448" s="23">
        <f t="shared" ref="Q448:Q450" si="83">O448*P448</f>
        <v>452.37</v>
      </c>
      <c r="R448" s="236"/>
      <c r="S448" s="236"/>
      <c r="T448" s="236"/>
      <c r="U448" s="242"/>
    </row>
    <row r="449" spans="1:21" ht="13">
      <c r="A449" s="249"/>
      <c r="B449" s="245"/>
      <c r="C449" s="22" t="s">
        <v>237</v>
      </c>
      <c r="D449" s="23">
        <v>8.5</v>
      </c>
      <c r="E449" s="23">
        <v>15</v>
      </c>
      <c r="F449" s="23">
        <f t="shared" si="82"/>
        <v>127.5</v>
      </c>
      <c r="G449" s="236"/>
      <c r="H449" s="236"/>
      <c r="I449" s="236"/>
      <c r="J449" s="242"/>
      <c r="L449" s="249"/>
      <c r="M449" s="245"/>
      <c r="N449" s="22" t="s">
        <v>237</v>
      </c>
      <c r="O449" s="23">
        <v>8.5</v>
      </c>
      <c r="P449" s="23">
        <v>15</v>
      </c>
      <c r="Q449" s="23">
        <f t="shared" si="83"/>
        <v>127.5</v>
      </c>
      <c r="R449" s="236"/>
      <c r="S449" s="236"/>
      <c r="T449" s="236"/>
      <c r="U449" s="242"/>
    </row>
    <row r="450" spans="1:21" ht="13">
      <c r="A450" s="249"/>
      <c r="B450" s="245"/>
      <c r="C450" s="22" t="s">
        <v>62</v>
      </c>
      <c r="D450" s="23">
        <v>9</v>
      </c>
      <c r="E450" s="23">
        <v>17</v>
      </c>
      <c r="F450" s="23">
        <f t="shared" si="82"/>
        <v>153</v>
      </c>
      <c r="G450" s="236"/>
      <c r="H450" s="236"/>
      <c r="I450" s="236"/>
      <c r="J450" s="242"/>
      <c r="L450" s="249"/>
      <c r="M450" s="245"/>
      <c r="N450" s="22" t="s">
        <v>62</v>
      </c>
      <c r="O450" s="23">
        <v>9</v>
      </c>
      <c r="P450" s="23">
        <v>17</v>
      </c>
      <c r="Q450" s="23">
        <f t="shared" si="83"/>
        <v>153</v>
      </c>
      <c r="R450" s="236"/>
      <c r="S450" s="236"/>
      <c r="T450" s="236"/>
      <c r="U450" s="242"/>
    </row>
    <row r="451" spans="1:21" ht="13">
      <c r="A451" s="249"/>
      <c r="B451" s="246"/>
      <c r="C451" s="25" t="s">
        <v>47</v>
      </c>
      <c r="D451" s="26"/>
      <c r="E451" s="26"/>
      <c r="F451" s="26">
        <v>547.74</v>
      </c>
      <c r="G451" s="238"/>
      <c r="H451" s="238"/>
      <c r="I451" s="238"/>
      <c r="J451" s="243"/>
      <c r="L451" s="249"/>
      <c r="M451" s="246"/>
      <c r="N451" s="25" t="s">
        <v>47</v>
      </c>
      <c r="O451" s="26"/>
      <c r="P451" s="26"/>
      <c r="Q451" s="26">
        <v>547.74</v>
      </c>
      <c r="R451" s="238"/>
      <c r="S451" s="238"/>
      <c r="T451" s="238"/>
      <c r="U451" s="243"/>
    </row>
    <row r="452" spans="1:21" ht="13">
      <c r="A452" s="249"/>
      <c r="B452" s="244" t="s">
        <v>238</v>
      </c>
      <c r="C452" s="53" t="s">
        <v>31</v>
      </c>
      <c r="D452" s="16">
        <v>10</v>
      </c>
      <c r="E452" s="17">
        <v>17</v>
      </c>
      <c r="F452" s="17">
        <f t="shared" ref="F452:F453" si="84">D452*E452</f>
        <v>170</v>
      </c>
      <c r="G452" s="240">
        <f>SUM(F452:F456)</f>
        <v>913.83</v>
      </c>
      <c r="H452" s="273">
        <v>3330</v>
      </c>
      <c r="I452" s="273">
        <f>H452-G452</f>
        <v>2416.17</v>
      </c>
      <c r="J452" s="241">
        <f>I452/H452</f>
        <v>0.72557657657657659</v>
      </c>
      <c r="L452" s="249"/>
      <c r="M452" s="244" t="s">
        <v>238</v>
      </c>
      <c r="N452" s="53" t="s">
        <v>31</v>
      </c>
      <c r="O452" s="16">
        <v>10</v>
      </c>
      <c r="P452" s="17">
        <v>17</v>
      </c>
      <c r="Q452" s="17">
        <f t="shared" ref="Q452:Q453" si="85">O452*P452</f>
        <v>170</v>
      </c>
      <c r="R452" s="240">
        <f>SUM(Q452:Q456)</f>
        <v>913.83</v>
      </c>
      <c r="S452" s="273">
        <v>3330</v>
      </c>
      <c r="T452" s="273">
        <f>S452-R452</f>
        <v>2416.17</v>
      </c>
      <c r="U452" s="241">
        <f>T452/S452</f>
        <v>0.72557657657657659</v>
      </c>
    </row>
    <row r="453" spans="1:21" ht="13">
      <c r="A453" s="249"/>
      <c r="B453" s="245"/>
      <c r="C453" s="54" t="s">
        <v>70</v>
      </c>
      <c r="D453" s="19">
        <v>5</v>
      </c>
      <c r="E453" s="19">
        <v>17</v>
      </c>
      <c r="F453" s="17">
        <f t="shared" si="84"/>
        <v>85</v>
      </c>
      <c r="G453" s="236"/>
      <c r="H453" s="236"/>
      <c r="I453" s="236"/>
      <c r="J453" s="242"/>
      <c r="L453" s="249"/>
      <c r="M453" s="245"/>
      <c r="N453" s="54" t="s">
        <v>70</v>
      </c>
      <c r="O453" s="19">
        <v>5</v>
      </c>
      <c r="P453" s="19">
        <v>17</v>
      </c>
      <c r="Q453" s="17">
        <f t="shared" si="85"/>
        <v>85</v>
      </c>
      <c r="R453" s="236"/>
      <c r="S453" s="236"/>
      <c r="T453" s="236"/>
      <c r="U453" s="242"/>
    </row>
    <row r="454" spans="1:21" ht="13">
      <c r="A454" s="249"/>
      <c r="B454" s="245"/>
      <c r="C454" s="54" t="s">
        <v>46</v>
      </c>
      <c r="D454" s="19"/>
      <c r="E454" s="19"/>
      <c r="F454" s="17">
        <v>233</v>
      </c>
      <c r="G454" s="236"/>
      <c r="H454" s="236"/>
      <c r="I454" s="236"/>
      <c r="J454" s="242"/>
      <c r="L454" s="249"/>
      <c r="M454" s="245"/>
      <c r="N454" s="54" t="s">
        <v>46</v>
      </c>
      <c r="O454" s="19"/>
      <c r="P454" s="19"/>
      <c r="Q454" s="17">
        <v>233</v>
      </c>
      <c r="R454" s="236"/>
      <c r="S454" s="236"/>
      <c r="T454" s="236"/>
      <c r="U454" s="242"/>
    </row>
    <row r="455" spans="1:21" ht="13">
      <c r="A455" s="249"/>
      <c r="B455" s="245"/>
      <c r="C455" s="54" t="s">
        <v>33</v>
      </c>
      <c r="D455" s="19"/>
      <c r="E455" s="19"/>
      <c r="F455" s="17">
        <v>350</v>
      </c>
      <c r="G455" s="236"/>
      <c r="H455" s="236"/>
      <c r="I455" s="236"/>
      <c r="J455" s="242"/>
      <c r="L455" s="249"/>
      <c r="M455" s="245"/>
      <c r="N455" s="54" t="s">
        <v>33</v>
      </c>
      <c r="O455" s="19"/>
      <c r="P455" s="19"/>
      <c r="Q455" s="17">
        <v>350</v>
      </c>
      <c r="R455" s="236"/>
      <c r="S455" s="236"/>
      <c r="T455" s="236"/>
      <c r="U455" s="242"/>
    </row>
    <row r="456" spans="1:21" ht="13">
      <c r="A456" s="249"/>
      <c r="B456" s="246"/>
      <c r="C456" s="55" t="s">
        <v>48</v>
      </c>
      <c r="D456" s="20"/>
      <c r="E456" s="20"/>
      <c r="F456" s="21">
        <v>75.83</v>
      </c>
      <c r="G456" s="238"/>
      <c r="H456" s="238"/>
      <c r="I456" s="238"/>
      <c r="J456" s="243"/>
      <c r="L456" s="249"/>
      <c r="M456" s="246"/>
      <c r="N456" s="55" t="s">
        <v>48</v>
      </c>
      <c r="O456" s="20"/>
      <c r="P456" s="20"/>
      <c r="Q456" s="21">
        <v>75.83</v>
      </c>
      <c r="R456" s="238"/>
      <c r="S456" s="238"/>
      <c r="T456" s="238"/>
      <c r="U456" s="243"/>
    </row>
    <row r="457" spans="1:21" ht="13">
      <c r="A457" s="249"/>
      <c r="B457" s="244" t="s">
        <v>239</v>
      </c>
      <c r="C457" s="53" t="s">
        <v>23</v>
      </c>
      <c r="D457" s="16">
        <v>14</v>
      </c>
      <c r="E457" s="17">
        <v>16</v>
      </c>
      <c r="F457" s="17">
        <f>D457*E457</f>
        <v>224</v>
      </c>
      <c r="G457" s="240">
        <f>SUM(F457:F463)</f>
        <v>2069.31</v>
      </c>
      <c r="H457" s="273">
        <v>4558.3999999999996</v>
      </c>
      <c r="I457" s="273">
        <f>H457-G457</f>
        <v>2489.0899999999997</v>
      </c>
      <c r="J457" s="241">
        <f>I457/H457</f>
        <v>0.54604466479466474</v>
      </c>
      <c r="L457" s="249"/>
      <c r="M457" s="244" t="s">
        <v>239</v>
      </c>
      <c r="N457" s="53" t="s">
        <v>23</v>
      </c>
      <c r="O457" s="18"/>
      <c r="P457" s="18"/>
      <c r="Q457" s="18"/>
      <c r="R457" s="240">
        <f>SUM(Q457:Q463)</f>
        <v>1845.31</v>
      </c>
      <c r="S457" s="273">
        <v>4558.3999999999996</v>
      </c>
      <c r="T457" s="273">
        <f>S457-R457</f>
        <v>2713.0899999999997</v>
      </c>
      <c r="U457" s="241">
        <f>T457/S457</f>
        <v>0.59518471393471395</v>
      </c>
    </row>
    <row r="458" spans="1:21" ht="13">
      <c r="A458" s="249"/>
      <c r="B458" s="245"/>
      <c r="C458" s="54" t="s">
        <v>35</v>
      </c>
      <c r="D458" s="19"/>
      <c r="E458" s="19"/>
      <c r="F458" s="17">
        <v>200</v>
      </c>
      <c r="G458" s="236"/>
      <c r="H458" s="236"/>
      <c r="I458" s="236"/>
      <c r="J458" s="242"/>
      <c r="L458" s="249"/>
      <c r="M458" s="245"/>
      <c r="N458" s="54" t="s">
        <v>35</v>
      </c>
      <c r="O458" s="19"/>
      <c r="P458" s="19"/>
      <c r="Q458" s="17">
        <v>200</v>
      </c>
      <c r="R458" s="236"/>
      <c r="S458" s="236"/>
      <c r="T458" s="236"/>
      <c r="U458" s="242"/>
    </row>
    <row r="459" spans="1:21" ht="13">
      <c r="A459" s="249"/>
      <c r="B459" s="245"/>
      <c r="C459" s="54" t="s">
        <v>70</v>
      </c>
      <c r="D459" s="19">
        <v>18</v>
      </c>
      <c r="E459" s="19">
        <v>25</v>
      </c>
      <c r="F459" s="17">
        <f>D459*E459</f>
        <v>450</v>
      </c>
      <c r="G459" s="236"/>
      <c r="H459" s="236"/>
      <c r="I459" s="236"/>
      <c r="J459" s="242"/>
      <c r="L459" s="249"/>
      <c r="M459" s="245"/>
      <c r="N459" s="54" t="s">
        <v>70</v>
      </c>
      <c r="O459" s="19">
        <v>18</v>
      </c>
      <c r="P459" s="19">
        <v>25</v>
      </c>
      <c r="Q459" s="17">
        <f>O459*P459</f>
        <v>450</v>
      </c>
      <c r="R459" s="236"/>
      <c r="S459" s="236"/>
      <c r="T459" s="236"/>
      <c r="U459" s="242"/>
    </row>
    <row r="460" spans="1:21" ht="13">
      <c r="A460" s="249"/>
      <c r="B460" s="245"/>
      <c r="C460" s="54" t="s">
        <v>240</v>
      </c>
      <c r="D460" s="19"/>
      <c r="E460" s="19"/>
      <c r="F460" s="17">
        <v>266.73</v>
      </c>
      <c r="G460" s="236"/>
      <c r="H460" s="236"/>
      <c r="I460" s="236"/>
      <c r="J460" s="242"/>
      <c r="L460" s="249"/>
      <c r="M460" s="245"/>
      <c r="N460" s="54" t="s">
        <v>240</v>
      </c>
      <c r="O460" s="19"/>
      <c r="P460" s="19"/>
      <c r="Q460" s="17">
        <v>266.73</v>
      </c>
      <c r="R460" s="236"/>
      <c r="S460" s="236"/>
      <c r="T460" s="236"/>
      <c r="U460" s="242"/>
    </row>
    <row r="461" spans="1:21" ht="13">
      <c r="A461" s="249"/>
      <c r="B461" s="245"/>
      <c r="C461" s="54" t="s">
        <v>47</v>
      </c>
      <c r="D461" s="19"/>
      <c r="E461" s="19"/>
      <c r="F461" s="17">
        <v>356.5</v>
      </c>
      <c r="G461" s="236"/>
      <c r="H461" s="236"/>
      <c r="I461" s="236"/>
      <c r="J461" s="242"/>
      <c r="L461" s="249"/>
      <c r="M461" s="245"/>
      <c r="N461" s="54" t="s">
        <v>47</v>
      </c>
      <c r="O461" s="19"/>
      <c r="P461" s="19"/>
      <c r="Q461" s="17">
        <v>356.5</v>
      </c>
      <c r="R461" s="236"/>
      <c r="S461" s="236"/>
      <c r="T461" s="236"/>
      <c r="U461" s="242"/>
    </row>
    <row r="462" spans="1:21" ht="13">
      <c r="A462" s="249"/>
      <c r="B462" s="245"/>
      <c r="C462" s="54" t="s">
        <v>33</v>
      </c>
      <c r="D462" s="19"/>
      <c r="E462" s="19"/>
      <c r="F462" s="17">
        <v>305.08</v>
      </c>
      <c r="G462" s="236"/>
      <c r="H462" s="236"/>
      <c r="I462" s="236"/>
      <c r="J462" s="242"/>
      <c r="L462" s="249"/>
      <c r="M462" s="245"/>
      <c r="N462" s="54" t="s">
        <v>33</v>
      </c>
      <c r="O462" s="19"/>
      <c r="P462" s="19"/>
      <c r="Q462" s="17">
        <v>305.08</v>
      </c>
      <c r="R462" s="236"/>
      <c r="S462" s="236"/>
      <c r="T462" s="236"/>
      <c r="U462" s="242"/>
    </row>
    <row r="463" spans="1:21" ht="13">
      <c r="A463" s="249"/>
      <c r="B463" s="246"/>
      <c r="C463" s="55" t="s">
        <v>45</v>
      </c>
      <c r="D463" s="20"/>
      <c r="E463" s="20"/>
      <c r="F463" s="21">
        <v>267</v>
      </c>
      <c r="G463" s="238"/>
      <c r="H463" s="238"/>
      <c r="I463" s="238"/>
      <c r="J463" s="243"/>
      <c r="L463" s="249"/>
      <c r="M463" s="246"/>
      <c r="N463" s="55" t="s">
        <v>45</v>
      </c>
      <c r="O463" s="20"/>
      <c r="P463" s="20"/>
      <c r="Q463" s="21">
        <v>267</v>
      </c>
      <c r="R463" s="238"/>
      <c r="S463" s="238"/>
      <c r="T463" s="238"/>
      <c r="U463" s="243"/>
    </row>
    <row r="464" spans="1:21" ht="13">
      <c r="A464" s="249"/>
      <c r="B464" s="280" t="s">
        <v>241</v>
      </c>
      <c r="C464" s="54" t="s">
        <v>63</v>
      </c>
      <c r="D464" s="19"/>
      <c r="E464" s="19"/>
      <c r="F464" s="17">
        <v>200</v>
      </c>
      <c r="G464" s="240">
        <f>SUM(F464:F466)</f>
        <v>476.01</v>
      </c>
      <c r="H464" s="273">
        <v>2116.8000000000002</v>
      </c>
      <c r="I464" s="273">
        <f>H464-G464</f>
        <v>1640.7900000000002</v>
      </c>
      <c r="J464" s="241">
        <f>I464/H464</f>
        <v>0.7751275510204082</v>
      </c>
      <c r="L464" s="249"/>
      <c r="M464" s="280" t="s">
        <v>241</v>
      </c>
      <c r="N464" s="54" t="s">
        <v>63</v>
      </c>
      <c r="O464" s="19"/>
      <c r="P464" s="19"/>
      <c r="Q464" s="17">
        <v>200</v>
      </c>
      <c r="R464" s="240">
        <f>SUM(Q464:Q466)</f>
        <v>476.01</v>
      </c>
      <c r="S464" s="273">
        <v>2116.8000000000002</v>
      </c>
      <c r="T464" s="273">
        <f>S464-R464</f>
        <v>1640.7900000000002</v>
      </c>
      <c r="U464" s="241">
        <f>T464/S464</f>
        <v>0.7751275510204082</v>
      </c>
    </row>
    <row r="465" spans="1:21" ht="13">
      <c r="A465" s="249"/>
      <c r="B465" s="236"/>
      <c r="C465" s="54" t="s">
        <v>242</v>
      </c>
      <c r="D465" s="19"/>
      <c r="E465" s="19"/>
      <c r="F465" s="17">
        <v>217</v>
      </c>
      <c r="G465" s="236"/>
      <c r="H465" s="236"/>
      <c r="I465" s="236"/>
      <c r="J465" s="242"/>
      <c r="L465" s="249"/>
      <c r="M465" s="236"/>
      <c r="N465" s="54" t="s">
        <v>242</v>
      </c>
      <c r="O465" s="19"/>
      <c r="P465" s="19"/>
      <c r="Q465" s="17">
        <v>217</v>
      </c>
      <c r="R465" s="236"/>
      <c r="S465" s="236"/>
      <c r="T465" s="236"/>
      <c r="U465" s="242"/>
    </row>
    <row r="466" spans="1:21" ht="13">
      <c r="A466" s="249"/>
      <c r="B466" s="248"/>
      <c r="C466" s="55" t="s">
        <v>47</v>
      </c>
      <c r="D466" s="20"/>
      <c r="E466" s="20"/>
      <c r="F466" s="21">
        <v>59.01</v>
      </c>
      <c r="G466" s="238"/>
      <c r="H466" s="238"/>
      <c r="I466" s="238"/>
      <c r="J466" s="243"/>
      <c r="L466" s="249"/>
      <c r="M466" s="248"/>
      <c r="N466" s="55" t="s">
        <v>47</v>
      </c>
      <c r="O466" s="20"/>
      <c r="P466" s="20"/>
      <c r="Q466" s="21">
        <v>59.01</v>
      </c>
      <c r="R466" s="238"/>
      <c r="S466" s="238"/>
      <c r="T466" s="238"/>
      <c r="U466" s="243"/>
    </row>
    <row r="467" spans="1:21" ht="13">
      <c r="A467" s="249"/>
      <c r="B467" s="280" t="s">
        <v>243</v>
      </c>
      <c r="C467" s="54" t="s">
        <v>63</v>
      </c>
      <c r="D467" s="19"/>
      <c r="E467" s="19"/>
      <c r="F467" s="17">
        <v>200</v>
      </c>
      <c r="G467" s="240">
        <f>SUM(F467:F469)</f>
        <v>320</v>
      </c>
      <c r="H467" s="273">
        <v>2222.64</v>
      </c>
      <c r="I467" s="273">
        <f>H467-G467</f>
        <v>1902.6399999999999</v>
      </c>
      <c r="J467" s="241">
        <f>I467/H467</f>
        <v>0.85602706691142061</v>
      </c>
      <c r="L467" s="249"/>
      <c r="M467" s="280" t="s">
        <v>243</v>
      </c>
      <c r="N467" s="54" t="s">
        <v>63</v>
      </c>
      <c r="O467" s="19"/>
      <c r="P467" s="19"/>
      <c r="Q467" s="17">
        <v>200</v>
      </c>
      <c r="R467" s="240">
        <f>SUM(Q468:Q473)</f>
        <v>997.04</v>
      </c>
      <c r="S467" s="273">
        <v>2222.64</v>
      </c>
      <c r="T467" s="273">
        <f>S467-R467</f>
        <v>1225.5999999999999</v>
      </c>
      <c r="U467" s="241">
        <f>T467/S467</f>
        <v>0.55141633372925891</v>
      </c>
    </row>
    <row r="468" spans="1:21" ht="13">
      <c r="A468" s="249"/>
      <c r="B468" s="236"/>
      <c r="C468" s="54" t="s">
        <v>45</v>
      </c>
      <c r="D468" s="19"/>
      <c r="E468" s="19"/>
      <c r="F468" s="17">
        <v>120</v>
      </c>
      <c r="G468" s="236"/>
      <c r="H468" s="236"/>
      <c r="I468" s="236"/>
      <c r="J468" s="242"/>
      <c r="L468" s="249"/>
      <c r="M468" s="236"/>
      <c r="N468" s="54" t="s">
        <v>45</v>
      </c>
      <c r="O468" s="19"/>
      <c r="P468" s="19"/>
      <c r="Q468" s="17">
        <v>120</v>
      </c>
      <c r="R468" s="236"/>
      <c r="S468" s="236"/>
      <c r="T468" s="236"/>
      <c r="U468" s="242"/>
    </row>
    <row r="469" spans="1:21" ht="13">
      <c r="A469" s="249"/>
      <c r="B469" s="248"/>
      <c r="C469" s="55"/>
      <c r="D469" s="20"/>
      <c r="E469" s="20"/>
      <c r="F469" s="21"/>
      <c r="G469" s="238"/>
      <c r="H469" s="238"/>
      <c r="I469" s="238"/>
      <c r="J469" s="243"/>
      <c r="L469" s="249"/>
      <c r="M469" s="248"/>
      <c r="N469" s="55"/>
      <c r="O469" s="20"/>
      <c r="P469" s="20"/>
      <c r="Q469" s="21"/>
      <c r="R469" s="238"/>
      <c r="S469" s="238"/>
      <c r="T469" s="238"/>
      <c r="U469" s="243"/>
    </row>
    <row r="470" spans="1:21" ht="13">
      <c r="A470" s="249"/>
      <c r="B470" s="244" t="s">
        <v>244</v>
      </c>
      <c r="C470" s="53" t="s">
        <v>23</v>
      </c>
      <c r="D470" s="16">
        <v>28</v>
      </c>
      <c r="E470" s="17">
        <v>16</v>
      </c>
      <c r="F470" s="17">
        <f t="shared" ref="F470:F471" si="86">D470*E470</f>
        <v>448</v>
      </c>
      <c r="G470" s="240">
        <f>SUM(F470:F476)</f>
        <v>2053.7199999999998</v>
      </c>
      <c r="H470" s="273">
        <v>7293.62</v>
      </c>
      <c r="I470" s="273">
        <f>H470-G470</f>
        <v>5239.8999999999996</v>
      </c>
      <c r="J470" s="241">
        <f>I470/H470</f>
        <v>0.71842240204452656</v>
      </c>
      <c r="L470" s="249"/>
      <c r="M470" s="244" t="s">
        <v>244</v>
      </c>
      <c r="N470" s="53" t="s">
        <v>23</v>
      </c>
      <c r="O470" s="18"/>
      <c r="P470" s="18"/>
      <c r="Q470" s="18"/>
      <c r="R470" s="240">
        <f>SUM(Q470:Q476)</f>
        <v>1605.7199999999998</v>
      </c>
      <c r="S470" s="273">
        <v>7293.62</v>
      </c>
      <c r="T470" s="273">
        <f>S470-R470</f>
        <v>5687.9</v>
      </c>
      <c r="U470" s="241">
        <f>T470/S470</f>
        <v>0.7798459475541637</v>
      </c>
    </row>
    <row r="471" spans="1:21" ht="13">
      <c r="A471" s="249"/>
      <c r="B471" s="245"/>
      <c r="C471" s="54" t="s">
        <v>245</v>
      </c>
      <c r="D471" s="19">
        <v>29.43</v>
      </c>
      <c r="E471" s="19">
        <v>17</v>
      </c>
      <c r="F471" s="17">
        <f t="shared" si="86"/>
        <v>500.31</v>
      </c>
      <c r="G471" s="236"/>
      <c r="H471" s="236"/>
      <c r="I471" s="236"/>
      <c r="J471" s="242"/>
      <c r="L471" s="249"/>
      <c r="M471" s="245"/>
      <c r="N471" s="54" t="s">
        <v>245</v>
      </c>
      <c r="O471" s="19">
        <v>29.43</v>
      </c>
      <c r="P471" s="19">
        <v>17</v>
      </c>
      <c r="Q471" s="17">
        <f>O471*P471</f>
        <v>500.31</v>
      </c>
      <c r="R471" s="236"/>
      <c r="S471" s="236"/>
      <c r="T471" s="236"/>
      <c r="U471" s="242"/>
    </row>
    <row r="472" spans="1:21" ht="13">
      <c r="A472" s="249"/>
      <c r="B472" s="245"/>
      <c r="C472" s="54" t="s">
        <v>45</v>
      </c>
      <c r="D472" s="19"/>
      <c r="E472" s="19"/>
      <c r="F472" s="17">
        <v>110</v>
      </c>
      <c r="G472" s="236"/>
      <c r="H472" s="236"/>
      <c r="I472" s="236"/>
      <c r="J472" s="242"/>
      <c r="L472" s="249"/>
      <c r="M472" s="245"/>
      <c r="N472" s="54" t="s">
        <v>45</v>
      </c>
      <c r="O472" s="19"/>
      <c r="P472" s="19"/>
      <c r="Q472" s="17">
        <v>110</v>
      </c>
      <c r="R472" s="236"/>
      <c r="S472" s="236"/>
      <c r="T472" s="236"/>
      <c r="U472" s="242"/>
    </row>
    <row r="473" spans="1:21" ht="13">
      <c r="A473" s="249"/>
      <c r="B473" s="245"/>
      <c r="C473" s="54" t="s">
        <v>240</v>
      </c>
      <c r="D473" s="19"/>
      <c r="E473" s="19"/>
      <c r="F473" s="17">
        <v>266.73</v>
      </c>
      <c r="G473" s="236"/>
      <c r="H473" s="236"/>
      <c r="I473" s="236"/>
      <c r="J473" s="242"/>
      <c r="L473" s="249"/>
      <c r="M473" s="245"/>
      <c r="N473" s="54" t="s">
        <v>240</v>
      </c>
      <c r="O473" s="19"/>
      <c r="P473" s="19"/>
      <c r="Q473" s="17">
        <v>266.73</v>
      </c>
      <c r="R473" s="236"/>
      <c r="S473" s="236"/>
      <c r="T473" s="236"/>
      <c r="U473" s="242"/>
    </row>
    <row r="474" spans="1:21" ht="13">
      <c r="A474" s="249"/>
      <c r="B474" s="245"/>
      <c r="C474" s="54" t="s">
        <v>47</v>
      </c>
      <c r="D474" s="19"/>
      <c r="E474" s="19"/>
      <c r="F474" s="17">
        <v>266.37</v>
      </c>
      <c r="G474" s="236"/>
      <c r="H474" s="236"/>
      <c r="I474" s="236"/>
      <c r="J474" s="242"/>
      <c r="L474" s="249"/>
      <c r="M474" s="245"/>
      <c r="N474" s="54" t="s">
        <v>47</v>
      </c>
      <c r="O474" s="19"/>
      <c r="P474" s="19"/>
      <c r="Q474" s="17">
        <v>266.37</v>
      </c>
      <c r="R474" s="236"/>
      <c r="S474" s="236"/>
      <c r="T474" s="236"/>
      <c r="U474" s="242"/>
    </row>
    <row r="475" spans="1:21" ht="13">
      <c r="A475" s="249"/>
      <c r="B475" s="245"/>
      <c r="C475" s="54" t="s">
        <v>33</v>
      </c>
      <c r="D475" s="19"/>
      <c r="E475" s="19"/>
      <c r="F475" s="17">
        <v>343.81</v>
      </c>
      <c r="G475" s="236"/>
      <c r="H475" s="236"/>
      <c r="I475" s="236"/>
      <c r="J475" s="242"/>
      <c r="L475" s="249"/>
      <c r="M475" s="245"/>
      <c r="N475" s="54" t="s">
        <v>33</v>
      </c>
      <c r="O475" s="19"/>
      <c r="P475" s="19"/>
      <c r="Q475" s="17">
        <v>343.81</v>
      </c>
      <c r="R475" s="236"/>
      <c r="S475" s="236"/>
      <c r="T475" s="236"/>
      <c r="U475" s="242"/>
    </row>
    <row r="476" spans="1:21" ht="13">
      <c r="A476" s="249"/>
      <c r="B476" s="246"/>
      <c r="C476" s="55" t="s">
        <v>44</v>
      </c>
      <c r="D476" s="20"/>
      <c r="E476" s="20"/>
      <c r="F476" s="21">
        <v>118.5</v>
      </c>
      <c r="G476" s="238"/>
      <c r="H476" s="238"/>
      <c r="I476" s="238"/>
      <c r="J476" s="243"/>
      <c r="L476" s="249"/>
      <c r="M476" s="246"/>
      <c r="N476" s="55" t="s">
        <v>44</v>
      </c>
      <c r="O476" s="20"/>
      <c r="P476" s="20"/>
      <c r="Q476" s="21">
        <v>118.5</v>
      </c>
      <c r="R476" s="238"/>
      <c r="S476" s="238"/>
      <c r="T476" s="238"/>
      <c r="U476" s="243"/>
    </row>
    <row r="477" spans="1:21" ht="13">
      <c r="A477" s="249"/>
      <c r="B477" s="244" t="s">
        <v>246</v>
      </c>
      <c r="C477" s="53" t="s">
        <v>209</v>
      </c>
      <c r="D477" s="16">
        <v>28</v>
      </c>
      <c r="E477" s="17">
        <v>16</v>
      </c>
      <c r="F477" s="17">
        <f t="shared" ref="F477:F479" si="87">D477*E477</f>
        <v>448</v>
      </c>
      <c r="G477" s="240">
        <f>SUM(F477:F485)</f>
        <v>2291.7700000000004</v>
      </c>
      <c r="H477" s="273">
        <v>9465.16</v>
      </c>
      <c r="I477" s="273">
        <f>H477-G477</f>
        <v>7173.3899999999994</v>
      </c>
      <c r="J477" s="241">
        <f>I477/H477</f>
        <v>0.75787308402604914</v>
      </c>
      <c r="L477" s="249"/>
      <c r="M477" s="244" t="s">
        <v>246</v>
      </c>
      <c r="N477" s="53" t="s">
        <v>209</v>
      </c>
      <c r="O477" s="18"/>
      <c r="P477" s="18"/>
      <c r="Q477" s="18"/>
      <c r="R477" s="240">
        <f>SUM(Q477:Q485)</f>
        <v>1843.77</v>
      </c>
      <c r="S477" s="273">
        <v>9465.16</v>
      </c>
      <c r="T477" s="273">
        <f>S477-R477</f>
        <v>7621.3899999999994</v>
      </c>
      <c r="U477" s="241">
        <f>T477/S477</f>
        <v>0.805204560725862</v>
      </c>
    </row>
    <row r="478" spans="1:21" ht="13">
      <c r="A478" s="249"/>
      <c r="B478" s="245"/>
      <c r="C478" s="54" t="s">
        <v>70</v>
      </c>
      <c r="D478" s="19">
        <v>20.03</v>
      </c>
      <c r="E478" s="19">
        <v>17</v>
      </c>
      <c r="F478" s="17">
        <f t="shared" si="87"/>
        <v>340.51</v>
      </c>
      <c r="G478" s="236"/>
      <c r="H478" s="236"/>
      <c r="I478" s="236"/>
      <c r="J478" s="242"/>
      <c r="L478" s="249"/>
      <c r="M478" s="245"/>
      <c r="N478" s="54" t="s">
        <v>70</v>
      </c>
      <c r="O478" s="19">
        <v>20.03</v>
      </c>
      <c r="P478" s="19">
        <v>17</v>
      </c>
      <c r="Q478" s="17">
        <f t="shared" ref="Q478:Q479" si="88">O478*P478</f>
        <v>340.51</v>
      </c>
      <c r="R478" s="236"/>
      <c r="S478" s="236"/>
      <c r="T478" s="236"/>
      <c r="U478" s="242"/>
    </row>
    <row r="479" spans="1:21" ht="13">
      <c r="A479" s="249"/>
      <c r="B479" s="245"/>
      <c r="C479" s="54" t="s">
        <v>32</v>
      </c>
      <c r="D479" s="19">
        <v>19.8</v>
      </c>
      <c r="E479" s="19">
        <v>17</v>
      </c>
      <c r="F479" s="17">
        <f t="shared" si="87"/>
        <v>336.6</v>
      </c>
      <c r="G479" s="236"/>
      <c r="H479" s="236"/>
      <c r="I479" s="236"/>
      <c r="J479" s="242"/>
      <c r="L479" s="249"/>
      <c r="M479" s="245"/>
      <c r="N479" s="54" t="s">
        <v>32</v>
      </c>
      <c r="O479" s="19">
        <v>19.8</v>
      </c>
      <c r="P479" s="19">
        <v>17</v>
      </c>
      <c r="Q479" s="17">
        <f t="shared" si="88"/>
        <v>336.6</v>
      </c>
      <c r="R479" s="236"/>
      <c r="S479" s="236"/>
      <c r="T479" s="236"/>
      <c r="U479" s="242"/>
    </row>
    <row r="480" spans="1:21" ht="13">
      <c r="A480" s="249"/>
      <c r="B480" s="245"/>
      <c r="C480" s="54" t="s">
        <v>240</v>
      </c>
      <c r="D480" s="19"/>
      <c r="E480" s="19"/>
      <c r="F480" s="17">
        <v>138.15</v>
      </c>
      <c r="G480" s="236"/>
      <c r="H480" s="236"/>
      <c r="I480" s="236"/>
      <c r="J480" s="242"/>
      <c r="L480" s="249"/>
      <c r="M480" s="245"/>
      <c r="N480" s="54" t="s">
        <v>240</v>
      </c>
      <c r="O480" s="19"/>
      <c r="P480" s="19"/>
      <c r="Q480" s="17">
        <v>138.15</v>
      </c>
      <c r="R480" s="236"/>
      <c r="S480" s="236"/>
      <c r="T480" s="236"/>
      <c r="U480" s="242"/>
    </row>
    <row r="481" spans="1:21" ht="13">
      <c r="A481" s="249"/>
      <c r="B481" s="245"/>
      <c r="C481" s="54" t="s">
        <v>47</v>
      </c>
      <c r="D481" s="19"/>
      <c r="E481" s="19"/>
      <c r="F481" s="17">
        <v>234</v>
      </c>
      <c r="G481" s="236"/>
      <c r="H481" s="236"/>
      <c r="I481" s="236"/>
      <c r="J481" s="242"/>
      <c r="L481" s="249"/>
      <c r="M481" s="245"/>
      <c r="N481" s="54" t="s">
        <v>47</v>
      </c>
      <c r="O481" s="19"/>
      <c r="P481" s="19"/>
      <c r="Q481" s="17">
        <v>234</v>
      </c>
      <c r="R481" s="236"/>
      <c r="S481" s="236"/>
      <c r="T481" s="236"/>
      <c r="U481" s="242"/>
    </row>
    <row r="482" spans="1:21" ht="13">
      <c r="A482" s="249"/>
      <c r="B482" s="245"/>
      <c r="C482" s="54" t="s">
        <v>45</v>
      </c>
      <c r="D482" s="19"/>
      <c r="E482" s="19"/>
      <c r="F482" s="17">
        <v>238.71</v>
      </c>
      <c r="G482" s="236"/>
      <c r="H482" s="236"/>
      <c r="I482" s="236"/>
      <c r="J482" s="242"/>
      <c r="L482" s="249"/>
      <c r="M482" s="245"/>
      <c r="N482" s="54" t="s">
        <v>45</v>
      </c>
      <c r="O482" s="19"/>
      <c r="P482" s="19"/>
      <c r="Q482" s="17">
        <v>238.71</v>
      </c>
      <c r="R482" s="236"/>
      <c r="S482" s="236"/>
      <c r="T482" s="236"/>
      <c r="U482" s="242"/>
    </row>
    <row r="483" spans="1:21" ht="13">
      <c r="A483" s="249"/>
      <c r="B483" s="245"/>
      <c r="C483" s="54" t="s">
        <v>33</v>
      </c>
      <c r="D483" s="19"/>
      <c r="E483" s="19"/>
      <c r="F483" s="17">
        <v>406.75</v>
      </c>
      <c r="G483" s="236"/>
      <c r="H483" s="236"/>
      <c r="I483" s="236"/>
      <c r="J483" s="242"/>
      <c r="L483" s="249"/>
      <c r="M483" s="245"/>
      <c r="N483" s="54" t="s">
        <v>33</v>
      </c>
      <c r="O483" s="19"/>
      <c r="P483" s="19"/>
      <c r="Q483" s="17">
        <v>406.75</v>
      </c>
      <c r="R483" s="236"/>
      <c r="S483" s="236"/>
      <c r="T483" s="236"/>
      <c r="U483" s="242"/>
    </row>
    <row r="484" spans="1:21" ht="13">
      <c r="A484" s="249"/>
      <c r="B484" s="245"/>
      <c r="C484" s="54" t="s">
        <v>299</v>
      </c>
      <c r="D484" s="19"/>
      <c r="E484" s="19"/>
      <c r="F484" s="17">
        <v>30.55</v>
      </c>
      <c r="G484" s="236"/>
      <c r="H484" s="236"/>
      <c r="I484" s="236"/>
      <c r="J484" s="242"/>
      <c r="L484" s="249"/>
      <c r="M484" s="245"/>
      <c r="N484" s="54" t="s">
        <v>299</v>
      </c>
      <c r="O484" s="19"/>
      <c r="P484" s="19"/>
      <c r="Q484" s="17">
        <v>30.55</v>
      </c>
      <c r="R484" s="236"/>
      <c r="S484" s="236"/>
      <c r="T484" s="236"/>
      <c r="U484" s="242"/>
    </row>
    <row r="485" spans="1:21" ht="13">
      <c r="A485" s="249"/>
      <c r="B485" s="246"/>
      <c r="C485" s="55" t="s">
        <v>44</v>
      </c>
      <c r="D485" s="20"/>
      <c r="E485" s="20"/>
      <c r="F485" s="21">
        <v>118.5</v>
      </c>
      <c r="G485" s="238"/>
      <c r="H485" s="238"/>
      <c r="I485" s="238"/>
      <c r="J485" s="243"/>
      <c r="L485" s="249"/>
      <c r="M485" s="246"/>
      <c r="N485" s="55" t="s">
        <v>44</v>
      </c>
      <c r="O485" s="20"/>
      <c r="P485" s="20"/>
      <c r="Q485" s="21">
        <v>118.5</v>
      </c>
      <c r="R485" s="238"/>
      <c r="S485" s="238"/>
      <c r="T485" s="238"/>
      <c r="U485" s="243"/>
    </row>
    <row r="486" spans="1:21" ht="13">
      <c r="A486" s="249"/>
      <c r="B486" s="280" t="s">
        <v>248</v>
      </c>
      <c r="C486" s="54" t="s">
        <v>209</v>
      </c>
      <c r="D486" s="19">
        <v>7</v>
      </c>
      <c r="E486" s="19">
        <v>16</v>
      </c>
      <c r="F486" s="17">
        <f>D486*E486</f>
        <v>112</v>
      </c>
      <c r="G486" s="240">
        <f>SUM(F486:F490)</f>
        <v>489.92</v>
      </c>
      <c r="H486" s="273">
        <v>2328.48</v>
      </c>
      <c r="I486" s="273">
        <f>H486-G486</f>
        <v>1838.56</v>
      </c>
      <c r="J486" s="241">
        <f>I486/H486</f>
        <v>0.7895966467395038</v>
      </c>
      <c r="L486" s="249"/>
      <c r="M486" s="280" t="s">
        <v>248</v>
      </c>
      <c r="N486" s="54" t="s">
        <v>209</v>
      </c>
      <c r="O486" s="18"/>
      <c r="P486" s="18"/>
      <c r="Q486" s="18"/>
      <c r="R486" s="240">
        <f>SUM(Q486:Q490)</f>
        <v>377.92</v>
      </c>
      <c r="S486" s="273">
        <v>2328.48</v>
      </c>
      <c r="T486" s="273">
        <f>S486-R486</f>
        <v>1950.56</v>
      </c>
      <c r="U486" s="241">
        <f>T486/S486</f>
        <v>0.837696694839552</v>
      </c>
    </row>
    <row r="487" spans="1:21" ht="13">
      <c r="A487" s="249"/>
      <c r="B487" s="236"/>
      <c r="C487" s="54" t="s">
        <v>45</v>
      </c>
      <c r="D487" s="19"/>
      <c r="E487" s="19"/>
      <c r="F487" s="17">
        <v>256.41000000000003</v>
      </c>
      <c r="G487" s="236"/>
      <c r="H487" s="236"/>
      <c r="I487" s="236"/>
      <c r="J487" s="242"/>
      <c r="L487" s="249"/>
      <c r="M487" s="236"/>
      <c r="N487" s="54" t="s">
        <v>45</v>
      </c>
      <c r="O487" s="19"/>
      <c r="P487" s="19"/>
      <c r="Q487" s="17">
        <v>256.41000000000003</v>
      </c>
      <c r="R487" s="236"/>
      <c r="S487" s="236"/>
      <c r="T487" s="236"/>
      <c r="U487" s="242"/>
    </row>
    <row r="488" spans="1:21" ht="13">
      <c r="A488" s="249"/>
      <c r="B488" s="236"/>
      <c r="C488" s="54" t="s">
        <v>249</v>
      </c>
      <c r="D488" s="19"/>
      <c r="E488" s="19"/>
      <c r="F488" s="17">
        <v>35</v>
      </c>
      <c r="G488" s="236"/>
      <c r="H488" s="236"/>
      <c r="I488" s="236"/>
      <c r="J488" s="242"/>
      <c r="L488" s="249"/>
      <c r="M488" s="236"/>
      <c r="N488" s="54" t="s">
        <v>249</v>
      </c>
      <c r="O488" s="19"/>
      <c r="P488" s="19"/>
      <c r="Q488" s="17">
        <v>35</v>
      </c>
      <c r="R488" s="236"/>
      <c r="S488" s="236"/>
      <c r="T488" s="236"/>
      <c r="U488" s="242"/>
    </row>
    <row r="489" spans="1:21" ht="13">
      <c r="A489" s="249"/>
      <c r="B489" s="236"/>
      <c r="C489" s="54" t="s">
        <v>44</v>
      </c>
      <c r="D489" s="19"/>
      <c r="E489" s="19"/>
      <c r="F489" s="17">
        <v>19.2</v>
      </c>
      <c r="G489" s="236"/>
      <c r="H489" s="236"/>
      <c r="I489" s="236"/>
      <c r="J489" s="242"/>
      <c r="L489" s="249"/>
      <c r="M489" s="236"/>
      <c r="N489" s="54" t="s">
        <v>44</v>
      </c>
      <c r="O489" s="19"/>
      <c r="P489" s="19"/>
      <c r="Q489" s="17">
        <v>19.2</v>
      </c>
      <c r="R489" s="236"/>
      <c r="S489" s="236"/>
      <c r="T489" s="236"/>
      <c r="U489" s="242"/>
    </row>
    <row r="490" spans="1:21" ht="14">
      <c r="A490" s="249"/>
      <c r="B490" s="248"/>
      <c r="C490" s="55" t="s">
        <v>165</v>
      </c>
      <c r="D490" s="20"/>
      <c r="E490" s="20"/>
      <c r="F490" s="66">
        <v>67.31</v>
      </c>
      <c r="G490" s="238"/>
      <c r="H490" s="238"/>
      <c r="I490" s="238"/>
      <c r="J490" s="243"/>
      <c r="L490" s="249"/>
      <c r="M490" s="248"/>
      <c r="N490" s="55" t="s">
        <v>165</v>
      </c>
      <c r="O490" s="20"/>
      <c r="P490" s="20"/>
      <c r="Q490" s="66">
        <v>67.31</v>
      </c>
      <c r="R490" s="238"/>
      <c r="S490" s="238"/>
      <c r="T490" s="238"/>
      <c r="U490" s="243"/>
    </row>
    <row r="491" spans="1:21" ht="13">
      <c r="A491" s="249"/>
      <c r="B491" s="280" t="s">
        <v>250</v>
      </c>
      <c r="C491" s="54" t="s">
        <v>209</v>
      </c>
      <c r="D491" s="19">
        <v>7</v>
      </c>
      <c r="E491" s="19">
        <v>16</v>
      </c>
      <c r="F491" s="17">
        <f>D491*E491</f>
        <v>112</v>
      </c>
      <c r="G491" s="240">
        <f>SUM(F491:F493)</f>
        <v>132</v>
      </c>
      <c r="H491" s="273">
        <v>2217.6</v>
      </c>
      <c r="I491" s="273">
        <f>H491-G491</f>
        <v>2085.6</v>
      </c>
      <c r="J491" s="241">
        <f>I491/H491</f>
        <v>0.94047619047619047</v>
      </c>
      <c r="L491" s="249"/>
      <c r="M491" s="280" t="s">
        <v>250</v>
      </c>
      <c r="N491" s="54" t="s">
        <v>209</v>
      </c>
      <c r="O491" s="18"/>
      <c r="P491" s="18"/>
      <c r="Q491" s="18"/>
      <c r="R491" s="240">
        <f>SUM(Q491:Q493)</f>
        <v>20</v>
      </c>
      <c r="S491" s="273">
        <v>2217.6</v>
      </c>
      <c r="T491" s="273">
        <f>S491-R491</f>
        <v>2197.6</v>
      </c>
      <c r="U491" s="241">
        <f>T491/S491</f>
        <v>0.99098124098124096</v>
      </c>
    </row>
    <row r="492" spans="1:21" ht="13">
      <c r="A492" s="249"/>
      <c r="B492" s="236"/>
      <c r="C492" s="54" t="s">
        <v>249</v>
      </c>
      <c r="D492" s="19"/>
      <c r="E492" s="19"/>
      <c r="F492" s="17">
        <v>20</v>
      </c>
      <c r="G492" s="236"/>
      <c r="H492" s="236"/>
      <c r="I492" s="236"/>
      <c r="J492" s="242"/>
      <c r="L492" s="249"/>
      <c r="M492" s="236"/>
      <c r="N492" s="54" t="s">
        <v>249</v>
      </c>
      <c r="O492" s="19"/>
      <c r="P492" s="19"/>
      <c r="Q492" s="17">
        <v>20</v>
      </c>
      <c r="R492" s="236"/>
      <c r="S492" s="236"/>
      <c r="T492" s="236"/>
      <c r="U492" s="242"/>
    </row>
    <row r="493" spans="1:21" ht="13">
      <c r="A493" s="250"/>
      <c r="B493" s="248"/>
      <c r="C493" s="55"/>
      <c r="D493" s="20"/>
      <c r="E493" s="20"/>
      <c r="F493" s="21"/>
      <c r="G493" s="238"/>
      <c r="H493" s="238"/>
      <c r="I493" s="238"/>
      <c r="J493" s="243"/>
      <c r="L493" s="250"/>
      <c r="M493" s="248"/>
      <c r="N493" s="55"/>
      <c r="O493" s="20"/>
      <c r="P493" s="20"/>
      <c r="Q493" s="21"/>
      <c r="R493" s="238"/>
      <c r="S493" s="238"/>
      <c r="T493" s="238"/>
      <c r="U493" s="243"/>
    </row>
    <row r="494" spans="1:21" ht="30">
      <c r="A494" s="278" t="s">
        <v>251</v>
      </c>
      <c r="B494" s="252"/>
      <c r="C494" s="253"/>
      <c r="D494" s="56">
        <f t="shared" ref="D494:I494" si="89">AVERAGE(D352:D493)</f>
        <v>15.600781249999999</v>
      </c>
      <c r="E494" s="56">
        <f t="shared" si="89"/>
        <v>15.671875</v>
      </c>
      <c r="F494" s="56">
        <f t="shared" si="89"/>
        <v>224.93865671641791</v>
      </c>
      <c r="G494" s="56">
        <f t="shared" si="89"/>
        <v>1139.1740740740743</v>
      </c>
      <c r="H494" s="56">
        <f t="shared" si="89"/>
        <v>3336.367777777778</v>
      </c>
      <c r="I494" s="56">
        <f t="shared" si="89"/>
        <v>2197.1937037037037</v>
      </c>
      <c r="J494" s="57">
        <f>AVERAGE($J$12:$J$76)</f>
        <v>0.79942354689485917</v>
      </c>
      <c r="L494" s="278" t="s">
        <v>251</v>
      </c>
      <c r="M494" s="252"/>
      <c r="N494" s="253"/>
      <c r="O494" s="56">
        <f t="shared" ref="O494:T494" si="90">AVERAGE(O352:O493)</f>
        <v>16.388541666666665</v>
      </c>
      <c r="P494" s="56">
        <f t="shared" si="90"/>
        <v>15.416666666666666</v>
      </c>
      <c r="Q494" s="56">
        <f t="shared" si="90"/>
        <v>226.11338983050848</v>
      </c>
      <c r="R494" s="56">
        <f t="shared" si="90"/>
        <v>1036.0866666666668</v>
      </c>
      <c r="S494" s="56">
        <f t="shared" si="90"/>
        <v>3336.367777777778</v>
      </c>
      <c r="T494" s="56">
        <f t="shared" si="90"/>
        <v>2300.2811111111109</v>
      </c>
      <c r="U494" s="57">
        <f>AVERAGE($J$12:$J$76)</f>
        <v>0.79942354689485917</v>
      </c>
    </row>
    <row r="495" spans="1:21" ht="30">
      <c r="A495" s="279" t="s">
        <v>252</v>
      </c>
      <c r="B495" s="255"/>
      <c r="C495" s="256"/>
      <c r="D495" s="56">
        <f t="shared" ref="D495:I495" si="91">SUM(D352:D493)</f>
        <v>998.44999999999993</v>
      </c>
      <c r="E495" s="56">
        <f t="shared" si="91"/>
        <v>1003</v>
      </c>
      <c r="F495" s="56">
        <f t="shared" si="91"/>
        <v>30141.78</v>
      </c>
      <c r="G495" s="56">
        <f t="shared" si="91"/>
        <v>30757.700000000004</v>
      </c>
      <c r="H495" s="56">
        <f t="shared" si="91"/>
        <v>90081.930000000008</v>
      </c>
      <c r="I495" s="56">
        <f t="shared" si="91"/>
        <v>59324.229999999996</v>
      </c>
      <c r="J495" s="58">
        <f t="shared" ref="J495:J496" si="92">I495/H495</f>
        <v>0.65855860326260762</v>
      </c>
      <c r="L495" s="279" t="s">
        <v>252</v>
      </c>
      <c r="M495" s="255"/>
      <c r="N495" s="256"/>
      <c r="O495" s="56">
        <f t="shared" ref="O495:T495" si="93">SUM(O352:O493)</f>
        <v>786.65</v>
      </c>
      <c r="P495" s="56">
        <f t="shared" si="93"/>
        <v>740</v>
      </c>
      <c r="Q495" s="56">
        <f t="shared" si="93"/>
        <v>26681.38</v>
      </c>
      <c r="R495" s="56">
        <f t="shared" si="93"/>
        <v>27974.340000000004</v>
      </c>
      <c r="S495" s="56">
        <f t="shared" si="93"/>
        <v>90081.930000000008</v>
      </c>
      <c r="T495" s="56">
        <f t="shared" si="93"/>
        <v>62107.589999999989</v>
      </c>
      <c r="U495" s="58">
        <f t="shared" ref="U495:U496" si="94">T495/S495</f>
        <v>0.68945669791932729</v>
      </c>
    </row>
    <row r="496" spans="1:21" ht="13">
      <c r="A496" s="277" t="s">
        <v>4</v>
      </c>
      <c r="B496" s="280" t="s">
        <v>253</v>
      </c>
      <c r="C496" s="54" t="s">
        <v>73</v>
      </c>
      <c r="D496" s="19"/>
      <c r="E496" s="19"/>
      <c r="F496" s="17">
        <v>500</v>
      </c>
      <c r="G496" s="240">
        <f>SUM(F496:F501)</f>
        <v>1202.1299999999999</v>
      </c>
      <c r="H496" s="273">
        <v>4281</v>
      </c>
      <c r="I496" s="273">
        <f>H496-G496</f>
        <v>3078.87</v>
      </c>
      <c r="J496" s="241">
        <f t="shared" si="92"/>
        <v>0.71919411352487739</v>
      </c>
      <c r="L496" s="277" t="s">
        <v>4</v>
      </c>
      <c r="M496" s="280" t="s">
        <v>253</v>
      </c>
      <c r="N496" s="54" t="s">
        <v>73</v>
      </c>
      <c r="O496" s="19"/>
      <c r="P496" s="19"/>
      <c r="Q496" s="17">
        <v>500</v>
      </c>
      <c r="R496" s="240">
        <f>SUM(Q496:Q501)</f>
        <v>1202.1299999999999</v>
      </c>
      <c r="S496" s="273">
        <v>4281</v>
      </c>
      <c r="T496" s="273">
        <f>S496-R496</f>
        <v>3078.87</v>
      </c>
      <c r="U496" s="241">
        <f t="shared" si="94"/>
        <v>0.71919411352487739</v>
      </c>
    </row>
    <row r="497" spans="1:21" ht="13">
      <c r="A497" s="249"/>
      <c r="B497" s="236"/>
      <c r="C497" s="54" t="s">
        <v>45</v>
      </c>
      <c r="D497" s="19"/>
      <c r="E497" s="19"/>
      <c r="F497" s="17">
        <v>235</v>
      </c>
      <c r="G497" s="236"/>
      <c r="H497" s="236"/>
      <c r="I497" s="236"/>
      <c r="J497" s="242"/>
      <c r="L497" s="249"/>
      <c r="M497" s="236"/>
      <c r="N497" s="54" t="s">
        <v>45</v>
      </c>
      <c r="O497" s="19"/>
      <c r="P497" s="19"/>
      <c r="Q497" s="17">
        <v>235</v>
      </c>
      <c r="R497" s="236"/>
      <c r="S497" s="236"/>
      <c r="T497" s="236"/>
      <c r="U497" s="242"/>
    </row>
    <row r="498" spans="1:21" ht="13">
      <c r="A498" s="249"/>
      <c r="B498" s="236"/>
      <c r="C498" s="54" t="s">
        <v>249</v>
      </c>
      <c r="D498" s="19"/>
      <c r="E498" s="19"/>
      <c r="F498" s="17">
        <v>105</v>
      </c>
      <c r="G498" s="236"/>
      <c r="H498" s="236"/>
      <c r="I498" s="236"/>
      <c r="J498" s="242"/>
      <c r="L498" s="249"/>
      <c r="M498" s="236"/>
      <c r="N498" s="54" t="s">
        <v>249</v>
      </c>
      <c r="O498" s="19"/>
      <c r="P498" s="19"/>
      <c r="Q498" s="17">
        <v>105</v>
      </c>
      <c r="R498" s="236"/>
      <c r="S498" s="236"/>
      <c r="T498" s="236"/>
      <c r="U498" s="242"/>
    </row>
    <row r="499" spans="1:21" ht="13">
      <c r="A499" s="249"/>
      <c r="B499" s="236"/>
      <c r="C499" s="54" t="s">
        <v>44</v>
      </c>
      <c r="D499" s="19"/>
      <c r="E499" s="19"/>
      <c r="F499" s="17">
        <v>106.8</v>
      </c>
      <c r="G499" s="236"/>
      <c r="H499" s="236"/>
      <c r="I499" s="236"/>
      <c r="J499" s="242"/>
      <c r="L499" s="249"/>
      <c r="M499" s="236"/>
      <c r="N499" s="54" t="s">
        <v>44</v>
      </c>
      <c r="O499" s="19"/>
      <c r="P499" s="19"/>
      <c r="Q499" s="17">
        <v>106.8</v>
      </c>
      <c r="R499" s="236"/>
      <c r="S499" s="236"/>
      <c r="T499" s="236"/>
      <c r="U499" s="242"/>
    </row>
    <row r="500" spans="1:21" ht="13">
      <c r="A500" s="249"/>
      <c r="B500" s="236"/>
      <c r="C500" s="54" t="s">
        <v>33</v>
      </c>
      <c r="D500" s="19"/>
      <c r="E500" s="19"/>
      <c r="F500" s="17">
        <v>90</v>
      </c>
      <c r="G500" s="236"/>
      <c r="H500" s="236"/>
      <c r="I500" s="236"/>
      <c r="J500" s="242"/>
      <c r="L500" s="249"/>
      <c r="M500" s="236"/>
      <c r="N500" s="54" t="s">
        <v>33</v>
      </c>
      <c r="O500" s="19"/>
      <c r="P500" s="19"/>
      <c r="Q500" s="17">
        <v>90</v>
      </c>
      <c r="R500" s="236"/>
      <c r="S500" s="236"/>
      <c r="T500" s="236"/>
      <c r="U500" s="242"/>
    </row>
    <row r="501" spans="1:21" ht="14">
      <c r="A501" s="249"/>
      <c r="B501" s="248"/>
      <c r="C501" s="55" t="s">
        <v>254</v>
      </c>
      <c r="D501" s="20"/>
      <c r="E501" s="20"/>
      <c r="F501" s="67">
        <v>165.33</v>
      </c>
      <c r="G501" s="238"/>
      <c r="H501" s="238"/>
      <c r="I501" s="238"/>
      <c r="J501" s="243"/>
      <c r="L501" s="249"/>
      <c r="M501" s="248"/>
      <c r="N501" s="55" t="s">
        <v>254</v>
      </c>
      <c r="O501" s="20"/>
      <c r="P501" s="20"/>
      <c r="Q501" s="67">
        <v>165.33</v>
      </c>
      <c r="R501" s="238"/>
      <c r="S501" s="238"/>
      <c r="T501" s="238"/>
      <c r="U501" s="243"/>
    </row>
    <row r="502" spans="1:21" ht="13">
      <c r="A502" s="249"/>
      <c r="B502" s="244" t="s">
        <v>604</v>
      </c>
      <c r="C502" s="64" t="s">
        <v>23</v>
      </c>
      <c r="D502" s="50">
        <v>21</v>
      </c>
      <c r="E502" s="50">
        <v>16</v>
      </c>
      <c r="F502" s="65">
        <f t="shared" ref="F502:F509" si="95">D502*E502</f>
        <v>336</v>
      </c>
      <c r="G502" s="240">
        <f>SUM(F502:F514)</f>
        <v>4791.09</v>
      </c>
      <c r="H502" s="240">
        <v>7000</v>
      </c>
      <c r="I502" s="240">
        <f>H502-G502</f>
        <v>2208.91</v>
      </c>
      <c r="J502" s="241">
        <f>I502/H502</f>
        <v>0.31555857142857141</v>
      </c>
      <c r="L502" s="249"/>
      <c r="M502" s="244" t="s">
        <v>604</v>
      </c>
      <c r="N502" s="64" t="s">
        <v>23</v>
      </c>
      <c r="O502" s="43"/>
      <c r="P502" s="43"/>
      <c r="Q502" s="43"/>
      <c r="R502" s="240">
        <f>SUM(Q502:Q514)</f>
        <v>4119.09</v>
      </c>
      <c r="S502" s="240">
        <v>7000</v>
      </c>
      <c r="T502" s="240">
        <f>S502-R502</f>
        <v>2880.91</v>
      </c>
      <c r="U502" s="241">
        <f>T502/S502</f>
        <v>0.41155857142857138</v>
      </c>
    </row>
    <row r="503" spans="1:21" ht="13">
      <c r="A503" s="249"/>
      <c r="B503" s="245"/>
      <c r="C503" s="22" t="s">
        <v>209</v>
      </c>
      <c r="D503" s="23">
        <v>21</v>
      </c>
      <c r="E503" s="23">
        <v>16</v>
      </c>
      <c r="F503" s="23">
        <f t="shared" si="95"/>
        <v>336</v>
      </c>
      <c r="G503" s="236"/>
      <c r="H503" s="236"/>
      <c r="I503" s="236"/>
      <c r="J503" s="242"/>
      <c r="L503" s="249"/>
      <c r="M503" s="245"/>
      <c r="N503" s="22" t="s">
        <v>209</v>
      </c>
      <c r="O503" s="18"/>
      <c r="P503" s="18"/>
      <c r="Q503" s="18"/>
      <c r="R503" s="236"/>
      <c r="S503" s="236"/>
      <c r="T503" s="236"/>
      <c r="U503" s="242"/>
    </row>
    <row r="504" spans="1:21" ht="13">
      <c r="A504" s="249"/>
      <c r="B504" s="245"/>
      <c r="C504" s="22" t="s">
        <v>597</v>
      </c>
      <c r="D504" s="23">
        <v>14.2</v>
      </c>
      <c r="E504" s="23">
        <v>17</v>
      </c>
      <c r="F504" s="23">
        <f t="shared" si="95"/>
        <v>241.39999999999998</v>
      </c>
      <c r="G504" s="236"/>
      <c r="H504" s="236"/>
      <c r="I504" s="236"/>
      <c r="J504" s="242"/>
      <c r="L504" s="249"/>
      <c r="M504" s="245"/>
      <c r="N504" s="22" t="s">
        <v>597</v>
      </c>
      <c r="O504" s="23">
        <v>14.2</v>
      </c>
      <c r="P504" s="23">
        <v>17</v>
      </c>
      <c r="Q504" s="23">
        <f t="shared" ref="Q504:Q509" si="96">O504*P504</f>
        <v>241.39999999999998</v>
      </c>
      <c r="R504" s="236"/>
      <c r="S504" s="236"/>
      <c r="T504" s="236"/>
      <c r="U504" s="242"/>
    </row>
    <row r="505" spans="1:21" ht="13">
      <c r="A505" s="249"/>
      <c r="B505" s="245"/>
      <c r="C505" s="22" t="s">
        <v>70</v>
      </c>
      <c r="D505" s="23">
        <v>29.5</v>
      </c>
      <c r="E505" s="23">
        <v>15</v>
      </c>
      <c r="F505" s="23">
        <f t="shared" si="95"/>
        <v>442.5</v>
      </c>
      <c r="G505" s="236"/>
      <c r="H505" s="236"/>
      <c r="I505" s="236"/>
      <c r="J505" s="242"/>
      <c r="L505" s="249"/>
      <c r="M505" s="245"/>
      <c r="N505" s="22" t="s">
        <v>70</v>
      </c>
      <c r="O505" s="23">
        <v>29.5</v>
      </c>
      <c r="P505" s="23">
        <v>15</v>
      </c>
      <c r="Q505" s="23">
        <f t="shared" si="96"/>
        <v>442.5</v>
      </c>
      <c r="R505" s="236"/>
      <c r="S505" s="236"/>
      <c r="T505" s="236"/>
      <c r="U505" s="242"/>
    </row>
    <row r="506" spans="1:21" ht="13">
      <c r="A506" s="249"/>
      <c r="B506" s="245"/>
      <c r="C506" s="22" t="s">
        <v>330</v>
      </c>
      <c r="D506" s="23">
        <v>31.38</v>
      </c>
      <c r="E506" s="23">
        <v>15</v>
      </c>
      <c r="F506" s="23">
        <f t="shared" si="95"/>
        <v>470.7</v>
      </c>
      <c r="G506" s="236"/>
      <c r="H506" s="236"/>
      <c r="I506" s="236"/>
      <c r="J506" s="242"/>
      <c r="L506" s="249"/>
      <c r="M506" s="245"/>
      <c r="N506" s="22" t="s">
        <v>330</v>
      </c>
      <c r="O506" s="23">
        <v>31.38</v>
      </c>
      <c r="P506" s="23">
        <v>15</v>
      </c>
      <c r="Q506" s="23">
        <f t="shared" si="96"/>
        <v>470.7</v>
      </c>
      <c r="R506" s="236"/>
      <c r="S506" s="236"/>
      <c r="T506" s="236"/>
      <c r="U506" s="242"/>
    </row>
    <row r="507" spans="1:21" ht="13">
      <c r="A507" s="249"/>
      <c r="B507" s="245"/>
      <c r="C507" s="22" t="s">
        <v>190</v>
      </c>
      <c r="D507" s="23">
        <v>21.28</v>
      </c>
      <c r="E507" s="23">
        <v>15</v>
      </c>
      <c r="F507" s="23">
        <f t="shared" si="95"/>
        <v>319.20000000000005</v>
      </c>
      <c r="G507" s="236"/>
      <c r="H507" s="236"/>
      <c r="I507" s="236"/>
      <c r="J507" s="242"/>
      <c r="L507" s="249"/>
      <c r="M507" s="245"/>
      <c r="N507" s="22" t="s">
        <v>190</v>
      </c>
      <c r="O507" s="23">
        <v>21.28</v>
      </c>
      <c r="P507" s="23">
        <v>15</v>
      </c>
      <c r="Q507" s="23">
        <f t="shared" si="96"/>
        <v>319.20000000000005</v>
      </c>
      <c r="R507" s="236"/>
      <c r="S507" s="236"/>
      <c r="T507" s="236"/>
      <c r="U507" s="242"/>
    </row>
    <row r="508" spans="1:21" ht="13">
      <c r="A508" s="249"/>
      <c r="B508" s="245"/>
      <c r="C508" s="24" t="s">
        <v>236</v>
      </c>
      <c r="D508" s="23">
        <v>21.32</v>
      </c>
      <c r="E508" s="23">
        <v>17</v>
      </c>
      <c r="F508" s="23">
        <f t="shared" si="95"/>
        <v>362.44</v>
      </c>
      <c r="G508" s="236"/>
      <c r="H508" s="236"/>
      <c r="I508" s="236"/>
      <c r="J508" s="242"/>
      <c r="L508" s="249"/>
      <c r="M508" s="245"/>
      <c r="N508" s="24" t="s">
        <v>236</v>
      </c>
      <c r="O508" s="23">
        <v>21.32</v>
      </c>
      <c r="P508" s="23">
        <v>17</v>
      </c>
      <c r="Q508" s="23">
        <f t="shared" si="96"/>
        <v>362.44</v>
      </c>
      <c r="R508" s="236"/>
      <c r="S508" s="236"/>
      <c r="T508" s="236"/>
      <c r="U508" s="242"/>
    </row>
    <row r="509" spans="1:21" ht="13">
      <c r="A509" s="249"/>
      <c r="B509" s="245"/>
      <c r="C509" s="22" t="s">
        <v>63</v>
      </c>
      <c r="D509" s="23">
        <v>28.68</v>
      </c>
      <c r="E509" s="23">
        <v>17</v>
      </c>
      <c r="F509" s="23">
        <f t="shared" si="95"/>
        <v>487.56</v>
      </c>
      <c r="G509" s="236"/>
      <c r="H509" s="236"/>
      <c r="I509" s="236"/>
      <c r="J509" s="242"/>
      <c r="L509" s="249"/>
      <c r="M509" s="245"/>
      <c r="N509" s="22" t="s">
        <v>63</v>
      </c>
      <c r="O509" s="23">
        <v>28.68</v>
      </c>
      <c r="P509" s="23">
        <v>17</v>
      </c>
      <c r="Q509" s="23">
        <f t="shared" si="96"/>
        <v>487.56</v>
      </c>
      <c r="R509" s="236"/>
      <c r="S509" s="236"/>
      <c r="T509" s="236"/>
      <c r="U509" s="242"/>
    </row>
    <row r="510" spans="1:21" ht="13">
      <c r="A510" s="249"/>
      <c r="B510" s="245"/>
      <c r="C510" s="22" t="s">
        <v>210</v>
      </c>
      <c r="D510" s="23"/>
      <c r="E510" s="23"/>
      <c r="F510" s="23">
        <v>435</v>
      </c>
      <c r="G510" s="236"/>
      <c r="H510" s="236"/>
      <c r="I510" s="236"/>
      <c r="J510" s="242"/>
      <c r="L510" s="249"/>
      <c r="M510" s="245"/>
      <c r="N510" s="22" t="s">
        <v>210</v>
      </c>
      <c r="O510" s="23"/>
      <c r="P510" s="23"/>
      <c r="Q510" s="23">
        <v>435</v>
      </c>
      <c r="R510" s="236"/>
      <c r="S510" s="236"/>
      <c r="T510" s="236"/>
      <c r="U510" s="242"/>
    </row>
    <row r="511" spans="1:21" ht="13">
      <c r="A511" s="249"/>
      <c r="B511" s="245"/>
      <c r="C511" s="22" t="s">
        <v>45</v>
      </c>
      <c r="D511" s="23"/>
      <c r="E511" s="23"/>
      <c r="F511" s="23">
        <v>365.74</v>
      </c>
      <c r="G511" s="236"/>
      <c r="H511" s="236"/>
      <c r="I511" s="236"/>
      <c r="J511" s="242"/>
      <c r="L511" s="249"/>
      <c r="M511" s="245"/>
      <c r="N511" s="22" t="s">
        <v>45</v>
      </c>
      <c r="O511" s="23"/>
      <c r="P511" s="23"/>
      <c r="Q511" s="23">
        <v>365.74</v>
      </c>
      <c r="R511" s="236"/>
      <c r="S511" s="236"/>
      <c r="T511" s="236"/>
      <c r="U511" s="242"/>
    </row>
    <row r="512" spans="1:21" ht="13">
      <c r="A512" s="249"/>
      <c r="B512" s="245"/>
      <c r="C512" s="22" t="s">
        <v>47</v>
      </c>
      <c r="D512" s="23"/>
      <c r="E512" s="23"/>
      <c r="F512" s="23">
        <v>477.06</v>
      </c>
      <c r="G512" s="236"/>
      <c r="H512" s="236"/>
      <c r="I512" s="236"/>
      <c r="J512" s="242"/>
      <c r="L512" s="249"/>
      <c r="M512" s="245"/>
      <c r="N512" s="22" t="s">
        <v>47</v>
      </c>
      <c r="O512" s="23"/>
      <c r="P512" s="23"/>
      <c r="Q512" s="23">
        <v>477.06</v>
      </c>
      <c r="R512" s="236"/>
      <c r="S512" s="236"/>
      <c r="T512" s="236"/>
      <c r="U512" s="242"/>
    </row>
    <row r="513" spans="1:21" ht="13">
      <c r="A513" s="249"/>
      <c r="B513" s="245"/>
      <c r="C513" s="22" t="s">
        <v>44</v>
      </c>
      <c r="D513" s="23"/>
      <c r="E513" s="23"/>
      <c r="F513" s="23">
        <v>240.8</v>
      </c>
      <c r="G513" s="236"/>
      <c r="H513" s="236"/>
      <c r="I513" s="236"/>
      <c r="J513" s="242"/>
      <c r="L513" s="249"/>
      <c r="M513" s="245"/>
      <c r="N513" s="22" t="s">
        <v>44</v>
      </c>
      <c r="O513" s="23"/>
      <c r="P513" s="23"/>
      <c r="Q513" s="23">
        <v>240.8</v>
      </c>
      <c r="R513" s="236"/>
      <c r="S513" s="236"/>
      <c r="T513" s="236"/>
      <c r="U513" s="242"/>
    </row>
    <row r="514" spans="1:21" ht="13">
      <c r="A514" s="249"/>
      <c r="B514" s="246"/>
      <c r="C514" s="25" t="s">
        <v>48</v>
      </c>
      <c r="D514" s="26"/>
      <c r="E514" s="26"/>
      <c r="F514" s="26">
        <v>276.69</v>
      </c>
      <c r="G514" s="238"/>
      <c r="H514" s="238"/>
      <c r="I514" s="238"/>
      <c r="J514" s="243"/>
      <c r="L514" s="249"/>
      <c r="M514" s="246"/>
      <c r="N514" s="25" t="s">
        <v>48</v>
      </c>
      <c r="O514" s="26"/>
      <c r="P514" s="26"/>
      <c r="Q514" s="26">
        <v>276.69</v>
      </c>
      <c r="R514" s="238"/>
      <c r="S514" s="238"/>
      <c r="T514" s="238"/>
      <c r="U514" s="243"/>
    </row>
    <row r="515" spans="1:21" ht="13">
      <c r="A515" s="249"/>
      <c r="B515" s="244" t="s">
        <v>605</v>
      </c>
      <c r="C515" s="15" t="s">
        <v>51</v>
      </c>
      <c r="D515" s="16"/>
      <c r="E515" s="16"/>
      <c r="F515" s="16">
        <v>300</v>
      </c>
      <c r="G515" s="240">
        <f>SUM(F515:F524)</f>
        <v>1566.49</v>
      </c>
      <c r="H515" s="237">
        <v>1428</v>
      </c>
      <c r="I515" s="237">
        <f>H515-G515</f>
        <v>-138.49</v>
      </c>
      <c r="J515" s="241">
        <f>I515/H515</f>
        <v>-9.6981792717086845E-2</v>
      </c>
      <c r="L515" s="249"/>
      <c r="M515" s="244" t="s">
        <v>605</v>
      </c>
      <c r="N515" s="15" t="s">
        <v>51</v>
      </c>
      <c r="O515" s="16"/>
      <c r="P515" s="16"/>
      <c r="Q515" s="16">
        <v>300</v>
      </c>
      <c r="R515" s="240">
        <f>SUM(Q515:Q524)</f>
        <v>1454.49</v>
      </c>
      <c r="S515" s="237">
        <v>1428</v>
      </c>
      <c r="T515" s="237">
        <f>S515-R515</f>
        <v>-26.490000000000009</v>
      </c>
      <c r="U515" s="241">
        <f>T515/S515</f>
        <v>-1.8550420168067232E-2</v>
      </c>
    </row>
    <row r="516" spans="1:21" ht="13">
      <c r="A516" s="249"/>
      <c r="B516" s="245"/>
      <c r="C516" s="19" t="s">
        <v>209</v>
      </c>
      <c r="D516" s="17">
        <v>7</v>
      </c>
      <c r="E516" s="17">
        <v>16</v>
      </c>
      <c r="F516" s="17">
        <f t="shared" ref="F516:F517" si="97">D516*E516</f>
        <v>112</v>
      </c>
      <c r="G516" s="236"/>
      <c r="H516" s="236"/>
      <c r="I516" s="236"/>
      <c r="J516" s="242"/>
      <c r="L516" s="249"/>
      <c r="M516" s="245"/>
      <c r="N516" s="19" t="s">
        <v>209</v>
      </c>
      <c r="O516" s="18"/>
      <c r="P516" s="18"/>
      <c r="Q516" s="18"/>
      <c r="R516" s="236"/>
      <c r="S516" s="236"/>
      <c r="T516" s="236"/>
      <c r="U516" s="242"/>
    </row>
    <row r="517" spans="1:21" ht="13">
      <c r="A517" s="249"/>
      <c r="B517" s="245"/>
      <c r="C517" s="19" t="s">
        <v>62</v>
      </c>
      <c r="D517" s="17">
        <v>14.1</v>
      </c>
      <c r="E517" s="17">
        <v>13</v>
      </c>
      <c r="F517" s="17">
        <f t="shared" si="97"/>
        <v>183.29999999999998</v>
      </c>
      <c r="G517" s="236"/>
      <c r="H517" s="236"/>
      <c r="I517" s="236"/>
      <c r="J517" s="242"/>
      <c r="L517" s="249"/>
      <c r="M517" s="245"/>
      <c r="N517" s="19" t="s">
        <v>62</v>
      </c>
      <c r="O517" s="17">
        <v>14.1</v>
      </c>
      <c r="P517" s="17">
        <v>13</v>
      </c>
      <c r="Q517" s="17">
        <f>O517*P517</f>
        <v>183.29999999999998</v>
      </c>
      <c r="R517" s="236"/>
      <c r="S517" s="236"/>
      <c r="T517" s="236"/>
      <c r="U517" s="242"/>
    </row>
    <row r="518" spans="1:21" ht="13">
      <c r="A518" s="249"/>
      <c r="B518" s="245"/>
      <c r="C518" s="19" t="s">
        <v>606</v>
      </c>
      <c r="D518" s="17"/>
      <c r="E518" s="17"/>
      <c r="F518" s="17">
        <v>50</v>
      </c>
      <c r="G518" s="236"/>
      <c r="H518" s="236"/>
      <c r="I518" s="236"/>
      <c r="J518" s="242"/>
      <c r="L518" s="249"/>
      <c r="M518" s="245"/>
      <c r="N518" s="19" t="s">
        <v>606</v>
      </c>
      <c r="O518" s="17"/>
      <c r="P518" s="17"/>
      <c r="Q518" s="17">
        <v>50</v>
      </c>
      <c r="R518" s="236"/>
      <c r="S518" s="236"/>
      <c r="T518" s="236"/>
      <c r="U518" s="242"/>
    </row>
    <row r="519" spans="1:21" ht="13">
      <c r="A519" s="249"/>
      <c r="B519" s="245"/>
      <c r="C519" s="19" t="s">
        <v>63</v>
      </c>
      <c r="D519" s="17">
        <v>5.8</v>
      </c>
      <c r="E519" s="17">
        <v>13</v>
      </c>
      <c r="F519" s="17">
        <f t="shared" ref="F519:F525" si="98">D519*E519</f>
        <v>75.399999999999991</v>
      </c>
      <c r="G519" s="236"/>
      <c r="H519" s="236"/>
      <c r="I519" s="236"/>
      <c r="J519" s="242"/>
      <c r="L519" s="249"/>
      <c r="M519" s="245"/>
      <c r="N519" s="19" t="s">
        <v>63</v>
      </c>
      <c r="O519" s="17">
        <v>5.8</v>
      </c>
      <c r="P519" s="17">
        <v>13</v>
      </c>
      <c r="Q519" s="17">
        <f t="shared" ref="Q519:Q524" si="99">O519*P519</f>
        <v>75.399999999999991</v>
      </c>
      <c r="R519" s="236"/>
      <c r="S519" s="236"/>
      <c r="T519" s="236"/>
      <c r="U519" s="242"/>
    </row>
    <row r="520" spans="1:21" ht="13">
      <c r="A520" s="249"/>
      <c r="B520" s="245"/>
      <c r="C520" s="19" t="s">
        <v>64</v>
      </c>
      <c r="D520" s="17">
        <v>15.15</v>
      </c>
      <c r="E520" s="17">
        <v>15</v>
      </c>
      <c r="F520" s="17">
        <f t="shared" si="98"/>
        <v>227.25</v>
      </c>
      <c r="G520" s="236"/>
      <c r="H520" s="236"/>
      <c r="I520" s="236"/>
      <c r="J520" s="242"/>
      <c r="L520" s="249"/>
      <c r="M520" s="245"/>
      <c r="N520" s="19" t="s">
        <v>64</v>
      </c>
      <c r="O520" s="17">
        <v>15.15</v>
      </c>
      <c r="P520" s="17">
        <v>15</v>
      </c>
      <c r="Q520" s="17">
        <f t="shared" si="99"/>
        <v>227.25</v>
      </c>
      <c r="R520" s="236"/>
      <c r="S520" s="236"/>
      <c r="T520" s="236"/>
      <c r="U520" s="242"/>
    </row>
    <row r="521" spans="1:21" ht="13">
      <c r="A521" s="249"/>
      <c r="B521" s="245"/>
      <c r="C521" s="19" t="s">
        <v>583</v>
      </c>
      <c r="D521" s="17">
        <v>11.28</v>
      </c>
      <c r="E521" s="17">
        <v>13</v>
      </c>
      <c r="F521" s="17">
        <f t="shared" si="98"/>
        <v>146.63999999999999</v>
      </c>
      <c r="G521" s="236"/>
      <c r="H521" s="236"/>
      <c r="I521" s="236"/>
      <c r="J521" s="242"/>
      <c r="L521" s="249"/>
      <c r="M521" s="245"/>
      <c r="N521" s="19" t="s">
        <v>583</v>
      </c>
      <c r="O521" s="17">
        <v>11.28</v>
      </c>
      <c r="P521" s="17">
        <v>13</v>
      </c>
      <c r="Q521" s="17">
        <f t="shared" si="99"/>
        <v>146.63999999999999</v>
      </c>
      <c r="R521" s="236"/>
      <c r="S521" s="236"/>
      <c r="T521" s="236"/>
      <c r="U521" s="242"/>
    </row>
    <row r="522" spans="1:21" ht="13">
      <c r="A522" s="249"/>
      <c r="B522" s="245"/>
      <c r="C522" s="19" t="s">
        <v>57</v>
      </c>
      <c r="D522" s="17">
        <v>11.65</v>
      </c>
      <c r="E522" s="17">
        <v>13</v>
      </c>
      <c r="F522" s="17">
        <f t="shared" si="98"/>
        <v>151.45000000000002</v>
      </c>
      <c r="G522" s="236"/>
      <c r="H522" s="236"/>
      <c r="I522" s="236"/>
      <c r="J522" s="242"/>
      <c r="L522" s="249"/>
      <c r="M522" s="245"/>
      <c r="N522" s="19" t="s">
        <v>57</v>
      </c>
      <c r="O522" s="17">
        <v>11.65</v>
      </c>
      <c r="P522" s="17">
        <v>13</v>
      </c>
      <c r="Q522" s="17">
        <f t="shared" si="99"/>
        <v>151.45000000000002</v>
      </c>
      <c r="R522" s="236"/>
      <c r="S522" s="236"/>
      <c r="T522" s="236"/>
      <c r="U522" s="242"/>
    </row>
    <row r="523" spans="1:21" ht="13">
      <c r="A523" s="249"/>
      <c r="B523" s="245"/>
      <c r="C523" s="19" t="s">
        <v>591</v>
      </c>
      <c r="D523" s="17">
        <v>12.65</v>
      </c>
      <c r="E523" s="17">
        <v>13</v>
      </c>
      <c r="F523" s="17">
        <f t="shared" si="98"/>
        <v>164.45000000000002</v>
      </c>
      <c r="G523" s="236"/>
      <c r="H523" s="236"/>
      <c r="I523" s="236"/>
      <c r="J523" s="242"/>
      <c r="L523" s="249"/>
      <c r="M523" s="245"/>
      <c r="N523" s="19" t="s">
        <v>591</v>
      </c>
      <c r="O523" s="17">
        <v>12.65</v>
      </c>
      <c r="P523" s="17">
        <v>13</v>
      </c>
      <c r="Q523" s="17">
        <f t="shared" si="99"/>
        <v>164.45000000000002</v>
      </c>
      <c r="R523" s="236"/>
      <c r="S523" s="236"/>
      <c r="T523" s="236"/>
      <c r="U523" s="242"/>
    </row>
    <row r="524" spans="1:21" ht="13">
      <c r="A524" s="249"/>
      <c r="B524" s="246"/>
      <c r="C524" s="20" t="s">
        <v>607</v>
      </c>
      <c r="D524" s="21">
        <v>12</v>
      </c>
      <c r="E524" s="21">
        <v>13</v>
      </c>
      <c r="F524" s="21">
        <f t="shared" si="98"/>
        <v>156</v>
      </c>
      <c r="G524" s="238"/>
      <c r="H524" s="238"/>
      <c r="I524" s="238"/>
      <c r="J524" s="243"/>
      <c r="L524" s="249"/>
      <c r="M524" s="246"/>
      <c r="N524" s="20" t="s">
        <v>607</v>
      </c>
      <c r="O524" s="21">
        <v>12</v>
      </c>
      <c r="P524" s="21">
        <v>13</v>
      </c>
      <c r="Q524" s="21">
        <f t="shared" si="99"/>
        <v>156</v>
      </c>
      <c r="R524" s="238"/>
      <c r="S524" s="238"/>
      <c r="T524" s="238"/>
      <c r="U524" s="243"/>
    </row>
    <row r="525" spans="1:21" ht="13">
      <c r="A525" s="249"/>
      <c r="B525" s="244" t="s">
        <v>255</v>
      </c>
      <c r="C525" s="53" t="s">
        <v>256</v>
      </c>
      <c r="D525" s="16">
        <v>4</v>
      </c>
      <c r="E525" s="17">
        <v>13</v>
      </c>
      <c r="F525" s="17">
        <f t="shared" si="98"/>
        <v>52</v>
      </c>
      <c r="G525" s="240">
        <f>SUM(F525:F526)</f>
        <v>86.14</v>
      </c>
      <c r="H525" s="273">
        <v>1356.25</v>
      </c>
      <c r="I525" s="273">
        <f>H525-G525</f>
        <v>1270.1099999999999</v>
      </c>
      <c r="J525" s="241">
        <f>I525/H525</f>
        <v>0.93648663594470039</v>
      </c>
      <c r="L525" s="249"/>
      <c r="M525" s="244" t="s">
        <v>255</v>
      </c>
      <c r="N525" s="53" t="s">
        <v>256</v>
      </c>
      <c r="O525" s="18"/>
      <c r="P525" s="18"/>
      <c r="Q525" s="18"/>
      <c r="R525" s="240">
        <f>SUM(Q525:Q526)</f>
        <v>34.14</v>
      </c>
      <c r="S525" s="273">
        <v>1356.25</v>
      </c>
      <c r="T525" s="273">
        <f>S525-R525</f>
        <v>1322.11</v>
      </c>
      <c r="U525" s="241">
        <f>T525/S525</f>
        <v>0.97482764976958514</v>
      </c>
    </row>
    <row r="526" spans="1:21" ht="13">
      <c r="A526" s="249"/>
      <c r="B526" s="246"/>
      <c r="C526" s="55" t="s">
        <v>33</v>
      </c>
      <c r="D526" s="20"/>
      <c r="E526" s="20"/>
      <c r="F526" s="21">
        <v>34.14</v>
      </c>
      <c r="G526" s="238"/>
      <c r="H526" s="238"/>
      <c r="I526" s="238"/>
      <c r="J526" s="243"/>
      <c r="L526" s="249"/>
      <c r="M526" s="246"/>
      <c r="N526" s="55" t="s">
        <v>33</v>
      </c>
      <c r="O526" s="20"/>
      <c r="P526" s="20"/>
      <c r="Q526" s="21">
        <v>34.14</v>
      </c>
      <c r="R526" s="238"/>
      <c r="S526" s="238"/>
      <c r="T526" s="238"/>
      <c r="U526" s="243"/>
    </row>
    <row r="527" spans="1:21" ht="13">
      <c r="A527" s="249"/>
      <c r="B527" s="280" t="s">
        <v>257</v>
      </c>
      <c r="C527" s="54" t="s">
        <v>23</v>
      </c>
      <c r="D527" s="16">
        <v>7</v>
      </c>
      <c r="E527" s="17">
        <v>16</v>
      </c>
      <c r="F527" s="17">
        <f>D527*E527</f>
        <v>112</v>
      </c>
      <c r="G527" s="240">
        <f>SUM(F527:F529)</f>
        <v>197</v>
      </c>
      <c r="H527" s="273">
        <v>2116.8000000000002</v>
      </c>
      <c r="I527" s="273">
        <f>H527-G527</f>
        <v>1919.8000000000002</v>
      </c>
      <c r="J527" s="241">
        <f>I527/H527</f>
        <v>0.9069349962207105</v>
      </c>
      <c r="L527" s="249"/>
      <c r="M527" s="280" t="s">
        <v>257</v>
      </c>
      <c r="N527" s="54" t="s">
        <v>23</v>
      </c>
      <c r="O527" s="18"/>
      <c r="P527" s="18"/>
      <c r="Q527" s="18"/>
      <c r="R527" s="240">
        <f>SUM(Q527:Q529)</f>
        <v>85</v>
      </c>
      <c r="S527" s="273">
        <v>2116.8000000000002</v>
      </c>
      <c r="T527" s="273">
        <f>S527-R527</f>
        <v>2031.8000000000002</v>
      </c>
      <c r="U527" s="241">
        <f>T527/S527</f>
        <v>0.95984504913076341</v>
      </c>
    </row>
    <row r="528" spans="1:21" ht="13">
      <c r="A528" s="249"/>
      <c r="B528" s="236"/>
      <c r="C528" s="54" t="s">
        <v>45</v>
      </c>
      <c r="D528" s="19"/>
      <c r="E528" s="19"/>
      <c r="F528" s="17">
        <v>85</v>
      </c>
      <c r="G528" s="236"/>
      <c r="H528" s="236"/>
      <c r="I528" s="236"/>
      <c r="J528" s="242"/>
      <c r="L528" s="249"/>
      <c r="M528" s="236"/>
      <c r="N528" s="54" t="s">
        <v>45</v>
      </c>
      <c r="O528" s="19"/>
      <c r="P528" s="19"/>
      <c r="Q528" s="17">
        <v>85</v>
      </c>
      <c r="R528" s="236"/>
      <c r="S528" s="236"/>
      <c r="T528" s="236"/>
      <c r="U528" s="242"/>
    </row>
    <row r="529" spans="1:21" ht="14">
      <c r="A529" s="249"/>
      <c r="B529" s="248"/>
      <c r="C529" s="55"/>
      <c r="D529" s="20"/>
      <c r="E529" s="20"/>
      <c r="F529" s="67"/>
      <c r="G529" s="238"/>
      <c r="H529" s="238"/>
      <c r="I529" s="238"/>
      <c r="J529" s="243"/>
      <c r="L529" s="249"/>
      <c r="M529" s="248"/>
      <c r="N529" s="55"/>
      <c r="O529" s="20"/>
      <c r="P529" s="20"/>
      <c r="Q529" s="67"/>
      <c r="R529" s="238"/>
      <c r="S529" s="238"/>
      <c r="T529" s="238"/>
      <c r="U529" s="243"/>
    </row>
    <row r="530" spans="1:21" ht="13">
      <c r="A530" s="249"/>
      <c r="B530" s="280" t="s">
        <v>258</v>
      </c>
      <c r="C530" s="54" t="s">
        <v>23</v>
      </c>
      <c r="D530" s="16">
        <v>14</v>
      </c>
      <c r="E530" s="17">
        <v>16</v>
      </c>
      <c r="F530" s="17">
        <f>D530*E530</f>
        <v>224</v>
      </c>
      <c r="G530" s="240">
        <f>SUM(F530:F535)</f>
        <v>756.83999999999992</v>
      </c>
      <c r="H530" s="273">
        <v>4697.0200000000004</v>
      </c>
      <c r="I530" s="273">
        <f>H530-G530</f>
        <v>3940.1800000000003</v>
      </c>
      <c r="J530" s="241">
        <f>I530/H530</f>
        <v>0.83886804825187034</v>
      </c>
      <c r="L530" s="249"/>
      <c r="M530" s="280" t="s">
        <v>258</v>
      </c>
      <c r="N530" s="54" t="s">
        <v>23</v>
      </c>
      <c r="O530" s="18"/>
      <c r="P530" s="18"/>
      <c r="Q530" s="18"/>
      <c r="R530" s="240">
        <f>SUM(Q530:Q535)</f>
        <v>532.83999999999992</v>
      </c>
      <c r="S530" s="273">
        <v>4697.0200000000004</v>
      </c>
      <c r="T530" s="273">
        <f>S530-R530</f>
        <v>4164.18</v>
      </c>
      <c r="U530" s="241">
        <f>T530/S530</f>
        <v>0.88655786009001447</v>
      </c>
    </row>
    <row r="531" spans="1:21" ht="13">
      <c r="A531" s="249"/>
      <c r="B531" s="236"/>
      <c r="C531" s="54" t="s">
        <v>70</v>
      </c>
      <c r="D531" s="17"/>
      <c r="E531" s="17"/>
      <c r="F531" s="17">
        <v>150</v>
      </c>
      <c r="G531" s="236"/>
      <c r="H531" s="236"/>
      <c r="I531" s="236"/>
      <c r="J531" s="242"/>
      <c r="L531" s="249"/>
      <c r="M531" s="236"/>
      <c r="N531" s="54" t="s">
        <v>70</v>
      </c>
      <c r="O531" s="17"/>
      <c r="P531" s="17"/>
      <c r="Q531" s="17">
        <v>150</v>
      </c>
      <c r="R531" s="236"/>
      <c r="S531" s="236"/>
      <c r="T531" s="236"/>
      <c r="U531" s="242"/>
    </row>
    <row r="532" spans="1:21" ht="13">
      <c r="A532" s="249"/>
      <c r="B532" s="236"/>
      <c r="C532" s="54" t="s">
        <v>45</v>
      </c>
      <c r="D532" s="19"/>
      <c r="E532" s="19"/>
      <c r="F532" s="17">
        <v>120</v>
      </c>
      <c r="G532" s="236"/>
      <c r="H532" s="236"/>
      <c r="I532" s="236"/>
      <c r="J532" s="242"/>
      <c r="L532" s="249"/>
      <c r="M532" s="236"/>
      <c r="N532" s="54" t="s">
        <v>45</v>
      </c>
      <c r="O532" s="19"/>
      <c r="P532" s="19"/>
      <c r="Q532" s="17">
        <v>120</v>
      </c>
      <c r="R532" s="236"/>
      <c r="S532" s="236"/>
      <c r="T532" s="236"/>
      <c r="U532" s="242"/>
    </row>
    <row r="533" spans="1:21" ht="13">
      <c r="A533" s="249"/>
      <c r="B533" s="236"/>
      <c r="C533" s="54" t="s">
        <v>259</v>
      </c>
      <c r="D533" s="19"/>
      <c r="E533" s="19"/>
      <c r="F533" s="17">
        <v>68.650000000000006</v>
      </c>
      <c r="G533" s="236"/>
      <c r="H533" s="236"/>
      <c r="I533" s="236"/>
      <c r="J533" s="242"/>
      <c r="L533" s="249"/>
      <c r="M533" s="236"/>
      <c r="N533" s="54" t="s">
        <v>259</v>
      </c>
      <c r="O533" s="19"/>
      <c r="P533" s="19"/>
      <c r="Q533" s="17">
        <v>68.650000000000006</v>
      </c>
      <c r="R533" s="236"/>
      <c r="S533" s="236"/>
      <c r="T533" s="236"/>
      <c r="U533" s="242"/>
    </row>
    <row r="534" spans="1:21" ht="13">
      <c r="A534" s="249"/>
      <c r="B534" s="236"/>
      <c r="C534" s="54" t="s">
        <v>47</v>
      </c>
      <c r="D534" s="19"/>
      <c r="E534" s="19"/>
      <c r="F534" s="17">
        <v>68</v>
      </c>
      <c r="G534" s="236"/>
      <c r="H534" s="236"/>
      <c r="I534" s="236"/>
      <c r="J534" s="242"/>
      <c r="L534" s="249"/>
      <c r="M534" s="236"/>
      <c r="N534" s="54" t="s">
        <v>47</v>
      </c>
      <c r="O534" s="19"/>
      <c r="P534" s="19"/>
      <c r="Q534" s="17">
        <v>68</v>
      </c>
      <c r="R534" s="236"/>
      <c r="S534" s="236"/>
      <c r="T534" s="236"/>
      <c r="U534" s="242"/>
    </row>
    <row r="535" spans="1:21" ht="13">
      <c r="A535" s="249"/>
      <c r="B535" s="248"/>
      <c r="C535" s="55" t="s">
        <v>174</v>
      </c>
      <c r="D535" s="20"/>
      <c r="E535" s="20"/>
      <c r="F535" s="21">
        <v>126.19</v>
      </c>
      <c r="G535" s="238"/>
      <c r="H535" s="238"/>
      <c r="I535" s="238"/>
      <c r="J535" s="243"/>
      <c r="L535" s="249"/>
      <c r="M535" s="248"/>
      <c r="N535" s="55" t="s">
        <v>174</v>
      </c>
      <c r="O535" s="20"/>
      <c r="P535" s="20"/>
      <c r="Q535" s="21">
        <v>126.19</v>
      </c>
      <c r="R535" s="238"/>
      <c r="S535" s="238"/>
      <c r="T535" s="238"/>
      <c r="U535" s="243"/>
    </row>
    <row r="536" spans="1:21" ht="13">
      <c r="A536" s="249"/>
      <c r="B536" s="280" t="s">
        <v>260</v>
      </c>
      <c r="C536" s="54" t="s">
        <v>23</v>
      </c>
      <c r="D536" s="16">
        <v>14</v>
      </c>
      <c r="E536" s="17">
        <v>16</v>
      </c>
      <c r="F536" s="17">
        <f>D536*E536</f>
        <v>224</v>
      </c>
      <c r="G536" s="240">
        <f>SUM(F536:F541)</f>
        <v>797.61</v>
      </c>
      <c r="H536" s="273">
        <v>3202.5</v>
      </c>
      <c r="I536" s="273">
        <f>H536-G536</f>
        <v>2404.89</v>
      </c>
      <c r="J536" s="241">
        <f>I536/H536</f>
        <v>0.75094145199063222</v>
      </c>
      <c r="L536" s="249"/>
      <c r="M536" s="280" t="s">
        <v>260</v>
      </c>
      <c r="N536" s="54" t="s">
        <v>23</v>
      </c>
      <c r="O536" s="18"/>
      <c r="P536" s="18"/>
      <c r="Q536" s="18"/>
      <c r="R536" s="240">
        <f>SUM(Q536:Q541)</f>
        <v>573.6099999999999</v>
      </c>
      <c r="S536" s="273">
        <v>3202.5</v>
      </c>
      <c r="T536" s="273">
        <f>S536-R536</f>
        <v>2628.8900000000003</v>
      </c>
      <c r="U536" s="241">
        <f>T536/S536</f>
        <v>0.82088680718188922</v>
      </c>
    </row>
    <row r="537" spans="1:21" ht="13">
      <c r="A537" s="249"/>
      <c r="B537" s="236"/>
      <c r="C537" s="54" t="s">
        <v>45</v>
      </c>
      <c r="D537" s="19"/>
      <c r="E537" s="19"/>
      <c r="F537" s="17">
        <v>116</v>
      </c>
      <c r="G537" s="236"/>
      <c r="H537" s="236"/>
      <c r="I537" s="236"/>
      <c r="J537" s="242"/>
      <c r="L537" s="249"/>
      <c r="M537" s="236"/>
      <c r="N537" s="54" t="s">
        <v>45</v>
      </c>
      <c r="O537" s="19"/>
      <c r="P537" s="19"/>
      <c r="Q537" s="17">
        <v>116</v>
      </c>
      <c r="R537" s="236"/>
      <c r="S537" s="236"/>
      <c r="T537" s="236"/>
      <c r="U537" s="242"/>
    </row>
    <row r="538" spans="1:21" ht="13">
      <c r="A538" s="249"/>
      <c r="B538" s="236"/>
      <c r="C538" s="54" t="s">
        <v>259</v>
      </c>
      <c r="D538" s="19"/>
      <c r="E538" s="19"/>
      <c r="F538" s="17">
        <v>54.13</v>
      </c>
      <c r="G538" s="236"/>
      <c r="H538" s="236"/>
      <c r="I538" s="236"/>
      <c r="J538" s="242"/>
      <c r="L538" s="249"/>
      <c r="M538" s="236"/>
      <c r="N538" s="54" t="s">
        <v>259</v>
      </c>
      <c r="O538" s="19"/>
      <c r="P538" s="19"/>
      <c r="Q538" s="17">
        <v>54.13</v>
      </c>
      <c r="R538" s="236"/>
      <c r="S538" s="236"/>
      <c r="T538" s="236"/>
      <c r="U538" s="242"/>
    </row>
    <row r="539" spans="1:21" ht="13">
      <c r="A539" s="249"/>
      <c r="B539" s="236"/>
      <c r="C539" s="54" t="s">
        <v>47</v>
      </c>
      <c r="D539" s="19"/>
      <c r="E539" s="19"/>
      <c r="F539" s="17">
        <v>76.58</v>
      </c>
      <c r="G539" s="236"/>
      <c r="H539" s="236"/>
      <c r="I539" s="236"/>
      <c r="J539" s="242"/>
      <c r="L539" s="249"/>
      <c r="M539" s="236"/>
      <c r="N539" s="54" t="s">
        <v>47</v>
      </c>
      <c r="O539" s="19"/>
      <c r="P539" s="19"/>
      <c r="Q539" s="17">
        <v>76.58</v>
      </c>
      <c r="R539" s="236"/>
      <c r="S539" s="236"/>
      <c r="T539" s="236"/>
      <c r="U539" s="242"/>
    </row>
    <row r="540" spans="1:21" ht="13">
      <c r="A540" s="249"/>
      <c r="B540" s="236"/>
      <c r="C540" s="54" t="s">
        <v>44</v>
      </c>
      <c r="D540" s="19"/>
      <c r="E540" s="19"/>
      <c r="F540" s="17">
        <v>51.9</v>
      </c>
      <c r="G540" s="236"/>
      <c r="H540" s="236"/>
      <c r="I540" s="236"/>
      <c r="J540" s="242"/>
      <c r="L540" s="249"/>
      <c r="M540" s="236"/>
      <c r="N540" s="54" t="s">
        <v>44</v>
      </c>
      <c r="O540" s="19"/>
      <c r="P540" s="19"/>
      <c r="Q540" s="17">
        <v>51.9</v>
      </c>
      <c r="R540" s="236"/>
      <c r="S540" s="236"/>
      <c r="T540" s="236"/>
      <c r="U540" s="242"/>
    </row>
    <row r="541" spans="1:21" ht="13">
      <c r="A541" s="249"/>
      <c r="B541" s="248"/>
      <c r="C541" s="55" t="s">
        <v>33</v>
      </c>
      <c r="D541" s="20"/>
      <c r="E541" s="20"/>
      <c r="F541" s="21">
        <v>275</v>
      </c>
      <c r="G541" s="238"/>
      <c r="H541" s="238"/>
      <c r="I541" s="238"/>
      <c r="J541" s="243"/>
      <c r="L541" s="249"/>
      <c r="M541" s="248"/>
      <c r="N541" s="55" t="s">
        <v>33</v>
      </c>
      <c r="O541" s="20"/>
      <c r="P541" s="20"/>
      <c r="Q541" s="21">
        <v>275</v>
      </c>
      <c r="R541" s="238"/>
      <c r="S541" s="238"/>
      <c r="T541" s="238"/>
      <c r="U541" s="243"/>
    </row>
    <row r="542" spans="1:21" ht="13">
      <c r="A542" s="249"/>
      <c r="B542" s="280" t="s">
        <v>261</v>
      </c>
      <c r="C542" s="54" t="s">
        <v>23</v>
      </c>
      <c r="D542" s="16">
        <v>14</v>
      </c>
      <c r="E542" s="17">
        <v>16</v>
      </c>
      <c r="F542" s="17">
        <f>D542*E542</f>
        <v>224</v>
      </c>
      <c r="G542" s="240">
        <f>SUM(F542:F546)</f>
        <v>632.73</v>
      </c>
      <c r="H542" s="273">
        <v>3079.62</v>
      </c>
      <c r="I542" s="273">
        <f>H542-G542</f>
        <v>2446.89</v>
      </c>
      <c r="J542" s="241">
        <f>I542/H542</f>
        <v>0.79454283320669428</v>
      </c>
      <c r="L542" s="249"/>
      <c r="M542" s="280" t="s">
        <v>261</v>
      </c>
      <c r="N542" s="54" t="s">
        <v>23</v>
      </c>
      <c r="O542" s="18"/>
      <c r="P542" s="18"/>
      <c r="Q542" s="18"/>
      <c r="R542" s="240">
        <f>SUM(Q542:Q546)</f>
        <v>408.73</v>
      </c>
      <c r="S542" s="273">
        <v>3079.62</v>
      </c>
      <c r="T542" s="273">
        <f>S542-R542</f>
        <v>2670.89</v>
      </c>
      <c r="U542" s="241">
        <f>T542/S542</f>
        <v>0.86727907988647945</v>
      </c>
    </row>
    <row r="543" spans="1:21" ht="13">
      <c r="A543" s="249"/>
      <c r="B543" s="236"/>
      <c r="C543" s="54" t="s">
        <v>45</v>
      </c>
      <c r="D543" s="19"/>
      <c r="E543" s="19"/>
      <c r="F543" s="17">
        <v>90</v>
      </c>
      <c r="G543" s="236"/>
      <c r="H543" s="236"/>
      <c r="I543" s="236"/>
      <c r="J543" s="242"/>
      <c r="L543" s="249"/>
      <c r="M543" s="236"/>
      <c r="N543" s="54" t="s">
        <v>45</v>
      </c>
      <c r="O543" s="19"/>
      <c r="P543" s="19"/>
      <c r="Q543" s="17">
        <v>90</v>
      </c>
      <c r="R543" s="236"/>
      <c r="S543" s="236"/>
      <c r="T543" s="236"/>
      <c r="U543" s="242"/>
    </row>
    <row r="544" spans="1:21" ht="13">
      <c r="A544" s="249"/>
      <c r="B544" s="236"/>
      <c r="C544" s="54" t="s">
        <v>259</v>
      </c>
      <c r="D544" s="19"/>
      <c r="E544" s="19"/>
      <c r="F544" s="17">
        <v>59.89</v>
      </c>
      <c r="G544" s="236"/>
      <c r="H544" s="236"/>
      <c r="I544" s="236"/>
      <c r="J544" s="242"/>
      <c r="L544" s="249"/>
      <c r="M544" s="236"/>
      <c r="N544" s="54" t="s">
        <v>259</v>
      </c>
      <c r="O544" s="19"/>
      <c r="P544" s="19"/>
      <c r="Q544" s="17">
        <v>59.89</v>
      </c>
      <c r="R544" s="236"/>
      <c r="S544" s="236"/>
      <c r="T544" s="236"/>
      <c r="U544" s="242"/>
    </row>
    <row r="545" spans="1:21" ht="13">
      <c r="A545" s="249"/>
      <c r="B545" s="236"/>
      <c r="C545" s="54" t="s">
        <v>47</v>
      </c>
      <c r="D545" s="19"/>
      <c r="E545" s="19"/>
      <c r="F545" s="17">
        <v>133.47999999999999</v>
      </c>
      <c r="G545" s="236"/>
      <c r="H545" s="236"/>
      <c r="I545" s="236"/>
      <c r="J545" s="242"/>
      <c r="L545" s="249"/>
      <c r="M545" s="236"/>
      <c r="N545" s="54" t="s">
        <v>47</v>
      </c>
      <c r="O545" s="19"/>
      <c r="P545" s="19"/>
      <c r="Q545" s="17">
        <v>133.47999999999999</v>
      </c>
      <c r="R545" s="236"/>
      <c r="S545" s="236"/>
      <c r="T545" s="236"/>
      <c r="U545" s="242"/>
    </row>
    <row r="546" spans="1:21" ht="13">
      <c r="A546" s="249"/>
      <c r="B546" s="248"/>
      <c r="C546" s="55" t="s">
        <v>44</v>
      </c>
      <c r="D546" s="20"/>
      <c r="E546" s="20"/>
      <c r="F546" s="21">
        <v>125.36</v>
      </c>
      <c r="G546" s="238"/>
      <c r="H546" s="238"/>
      <c r="I546" s="238"/>
      <c r="J546" s="243"/>
      <c r="L546" s="249"/>
      <c r="M546" s="248"/>
      <c r="N546" s="55" t="s">
        <v>44</v>
      </c>
      <c r="O546" s="20"/>
      <c r="P546" s="20"/>
      <c r="Q546" s="21">
        <v>125.36</v>
      </c>
      <c r="R546" s="238"/>
      <c r="S546" s="238"/>
      <c r="T546" s="238"/>
      <c r="U546" s="243"/>
    </row>
    <row r="547" spans="1:21" ht="13">
      <c r="A547" s="249"/>
      <c r="B547" s="280" t="s">
        <v>262</v>
      </c>
      <c r="C547" s="54" t="s">
        <v>70</v>
      </c>
      <c r="D547" s="16">
        <v>35.909999999999997</v>
      </c>
      <c r="E547" s="17">
        <v>15</v>
      </c>
      <c r="F547" s="17">
        <f>D547*E547</f>
        <v>538.65</v>
      </c>
      <c r="G547" s="240">
        <f>SUM(F547:F548)</f>
        <v>538.65</v>
      </c>
      <c r="H547" s="273">
        <v>2600</v>
      </c>
      <c r="I547" s="273">
        <f>H547-G547</f>
        <v>2061.35</v>
      </c>
      <c r="J547" s="241">
        <f>I547/H547</f>
        <v>0.79282692307692304</v>
      </c>
      <c r="L547" s="249"/>
      <c r="M547" s="280" t="s">
        <v>262</v>
      </c>
      <c r="N547" s="54" t="s">
        <v>70</v>
      </c>
      <c r="O547" s="16">
        <v>35.909999999999997</v>
      </c>
      <c r="P547" s="17">
        <v>15</v>
      </c>
      <c r="Q547" s="17">
        <f>O547*P547</f>
        <v>538.65</v>
      </c>
      <c r="R547" s="240">
        <f>SUM(Q547:Q548)</f>
        <v>538.65</v>
      </c>
      <c r="S547" s="273">
        <v>2600</v>
      </c>
      <c r="T547" s="273">
        <f>S547-R547</f>
        <v>2061.35</v>
      </c>
      <c r="U547" s="241">
        <f>T547/S547</f>
        <v>0.79282692307692304</v>
      </c>
    </row>
    <row r="548" spans="1:21" ht="13">
      <c r="A548" s="249"/>
      <c r="B548" s="248"/>
      <c r="C548" s="55"/>
      <c r="D548" s="20"/>
      <c r="E548" s="20"/>
      <c r="F548" s="21"/>
      <c r="G548" s="238"/>
      <c r="H548" s="238"/>
      <c r="I548" s="238"/>
      <c r="J548" s="243"/>
      <c r="L548" s="249"/>
      <c r="M548" s="248"/>
      <c r="N548" s="55"/>
      <c r="O548" s="20"/>
      <c r="P548" s="20"/>
      <c r="Q548" s="21"/>
      <c r="R548" s="238"/>
      <c r="S548" s="238"/>
      <c r="T548" s="238"/>
      <c r="U548" s="243"/>
    </row>
    <row r="549" spans="1:21" ht="13">
      <c r="A549" s="249"/>
      <c r="B549" s="280" t="s">
        <v>263</v>
      </c>
      <c r="C549" s="54" t="s">
        <v>23</v>
      </c>
      <c r="D549" s="16">
        <v>14</v>
      </c>
      <c r="E549" s="17">
        <v>16</v>
      </c>
      <c r="F549" s="17">
        <f>D549*E549</f>
        <v>224</v>
      </c>
      <c r="G549" s="240">
        <f>SUM(F549:F565)</f>
        <v>5413.53</v>
      </c>
      <c r="H549" s="273">
        <v>9741.2099999999991</v>
      </c>
      <c r="I549" s="273">
        <f>H549-G549</f>
        <v>4327.6799999999994</v>
      </c>
      <c r="J549" s="241">
        <f>I549/H549</f>
        <v>0.44426513749318614</v>
      </c>
      <c r="L549" s="249"/>
      <c r="M549" s="280" t="s">
        <v>263</v>
      </c>
      <c r="N549" s="54" t="s">
        <v>23</v>
      </c>
      <c r="O549" s="18"/>
      <c r="P549" s="18"/>
      <c r="Q549" s="18"/>
      <c r="R549" s="240">
        <f>SUM(Q549:Q565)</f>
        <v>4685.53</v>
      </c>
      <c r="S549" s="273">
        <v>9741.2099999999991</v>
      </c>
      <c r="T549" s="273">
        <f>S549-R549</f>
        <v>5055.6799999999994</v>
      </c>
      <c r="U549" s="241">
        <f>T549/S549</f>
        <v>0.51899917977335464</v>
      </c>
    </row>
    <row r="550" spans="1:21" ht="13">
      <c r="A550" s="249"/>
      <c r="B550" s="236"/>
      <c r="C550" s="54" t="s">
        <v>51</v>
      </c>
      <c r="D550" s="17"/>
      <c r="E550" s="17"/>
      <c r="F550" s="17">
        <v>200</v>
      </c>
      <c r="G550" s="236"/>
      <c r="H550" s="236"/>
      <c r="I550" s="236"/>
      <c r="J550" s="242"/>
      <c r="L550" s="249"/>
      <c r="M550" s="236"/>
      <c r="N550" s="54" t="s">
        <v>51</v>
      </c>
      <c r="O550" s="17"/>
      <c r="P550" s="17"/>
      <c r="Q550" s="17">
        <v>200</v>
      </c>
      <c r="R550" s="236"/>
      <c r="S550" s="236"/>
      <c r="T550" s="236"/>
      <c r="U550" s="242"/>
    </row>
    <row r="551" spans="1:21" ht="13">
      <c r="A551" s="249"/>
      <c r="B551" s="236"/>
      <c r="C551" s="24" t="s">
        <v>209</v>
      </c>
      <c r="D551" s="17">
        <v>28</v>
      </c>
      <c r="E551" s="17">
        <v>18</v>
      </c>
      <c r="F551" s="17">
        <f t="shared" ref="F551:F557" si="100">D551*E551</f>
        <v>504</v>
      </c>
      <c r="G551" s="236"/>
      <c r="H551" s="236"/>
      <c r="I551" s="236"/>
      <c r="J551" s="242"/>
      <c r="L551" s="249"/>
      <c r="M551" s="236"/>
      <c r="N551" s="24" t="s">
        <v>209</v>
      </c>
      <c r="O551" s="18"/>
      <c r="P551" s="18"/>
      <c r="Q551" s="18"/>
      <c r="R551" s="236"/>
      <c r="S551" s="236"/>
      <c r="T551" s="236"/>
      <c r="U551" s="242"/>
    </row>
    <row r="552" spans="1:21" ht="13">
      <c r="A552" s="249"/>
      <c r="B552" s="236"/>
      <c r="C552" s="54" t="s">
        <v>58</v>
      </c>
      <c r="D552" s="17">
        <v>22.75</v>
      </c>
      <c r="E552" s="17">
        <v>13</v>
      </c>
      <c r="F552" s="17">
        <f t="shared" si="100"/>
        <v>295.75</v>
      </c>
      <c r="G552" s="236"/>
      <c r="H552" s="236"/>
      <c r="I552" s="236"/>
      <c r="J552" s="242"/>
      <c r="L552" s="249"/>
      <c r="M552" s="236"/>
      <c r="N552" s="54" t="s">
        <v>58</v>
      </c>
      <c r="O552" s="17">
        <v>22.75</v>
      </c>
      <c r="P552" s="17">
        <v>13</v>
      </c>
      <c r="Q552" s="17">
        <f t="shared" ref="Q552:Q557" si="101">O552*P552</f>
        <v>295.75</v>
      </c>
      <c r="R552" s="236"/>
      <c r="S552" s="236"/>
      <c r="T552" s="236"/>
      <c r="U552" s="242"/>
    </row>
    <row r="553" spans="1:21" ht="13">
      <c r="A553" s="249"/>
      <c r="B553" s="236"/>
      <c r="C553" s="54" t="s">
        <v>264</v>
      </c>
      <c r="D553" s="17">
        <v>14.75</v>
      </c>
      <c r="E553" s="17">
        <v>13</v>
      </c>
      <c r="F553" s="17">
        <f t="shared" si="100"/>
        <v>191.75</v>
      </c>
      <c r="G553" s="236"/>
      <c r="H553" s="236"/>
      <c r="I553" s="236"/>
      <c r="J553" s="242"/>
      <c r="L553" s="249"/>
      <c r="M553" s="236"/>
      <c r="N553" s="54" t="s">
        <v>264</v>
      </c>
      <c r="O553" s="17">
        <v>14.75</v>
      </c>
      <c r="P553" s="17">
        <v>13</v>
      </c>
      <c r="Q553" s="17">
        <f t="shared" si="101"/>
        <v>191.75</v>
      </c>
      <c r="R553" s="236"/>
      <c r="S553" s="236"/>
      <c r="T553" s="236"/>
      <c r="U553" s="242"/>
    </row>
    <row r="554" spans="1:21" ht="13">
      <c r="A554" s="249"/>
      <c r="B554" s="236"/>
      <c r="C554" s="54" t="s">
        <v>265</v>
      </c>
      <c r="D554" s="17">
        <v>30.12</v>
      </c>
      <c r="E554" s="17">
        <v>13</v>
      </c>
      <c r="F554" s="17">
        <f t="shared" si="100"/>
        <v>391.56</v>
      </c>
      <c r="G554" s="236"/>
      <c r="H554" s="236"/>
      <c r="I554" s="236"/>
      <c r="J554" s="242"/>
      <c r="L554" s="249"/>
      <c r="M554" s="236"/>
      <c r="N554" s="54" t="s">
        <v>265</v>
      </c>
      <c r="O554" s="17">
        <v>30.12</v>
      </c>
      <c r="P554" s="17">
        <v>13</v>
      </c>
      <c r="Q554" s="17">
        <f t="shared" si="101"/>
        <v>391.56</v>
      </c>
      <c r="R554" s="236"/>
      <c r="S554" s="236"/>
      <c r="T554" s="236"/>
      <c r="U554" s="242"/>
    </row>
    <row r="555" spans="1:21" ht="13">
      <c r="A555" s="249"/>
      <c r="B555" s="236"/>
      <c r="C555" s="54" t="s">
        <v>266</v>
      </c>
      <c r="D555" s="17">
        <v>30.5</v>
      </c>
      <c r="E555" s="17">
        <v>13</v>
      </c>
      <c r="F555" s="17">
        <f t="shared" si="100"/>
        <v>396.5</v>
      </c>
      <c r="G555" s="236"/>
      <c r="H555" s="236"/>
      <c r="I555" s="236"/>
      <c r="J555" s="242"/>
      <c r="L555" s="249"/>
      <c r="M555" s="236"/>
      <c r="N555" s="54" t="s">
        <v>266</v>
      </c>
      <c r="O555" s="17">
        <v>30.5</v>
      </c>
      <c r="P555" s="17">
        <v>13</v>
      </c>
      <c r="Q555" s="17">
        <f t="shared" si="101"/>
        <v>396.5</v>
      </c>
      <c r="R555" s="236"/>
      <c r="S555" s="236"/>
      <c r="T555" s="236"/>
      <c r="U555" s="242"/>
    </row>
    <row r="556" spans="1:21" ht="13">
      <c r="A556" s="249"/>
      <c r="B556" s="236"/>
      <c r="C556" s="54" t="s">
        <v>64</v>
      </c>
      <c r="D556" s="17">
        <v>25.77</v>
      </c>
      <c r="E556" s="17">
        <v>13</v>
      </c>
      <c r="F556" s="17">
        <f t="shared" si="100"/>
        <v>335.01</v>
      </c>
      <c r="G556" s="236"/>
      <c r="H556" s="236"/>
      <c r="I556" s="236"/>
      <c r="J556" s="242"/>
      <c r="L556" s="249"/>
      <c r="M556" s="236"/>
      <c r="N556" s="54" t="s">
        <v>64</v>
      </c>
      <c r="O556" s="17">
        <v>25.77</v>
      </c>
      <c r="P556" s="17">
        <v>13</v>
      </c>
      <c r="Q556" s="17">
        <f t="shared" si="101"/>
        <v>335.01</v>
      </c>
      <c r="R556" s="236"/>
      <c r="S556" s="236"/>
      <c r="T556" s="236"/>
      <c r="U556" s="242"/>
    </row>
    <row r="557" spans="1:21" ht="13">
      <c r="A557" s="249"/>
      <c r="B557" s="236"/>
      <c r="C557" s="54" t="s">
        <v>63</v>
      </c>
      <c r="D557" s="17">
        <v>6.38</v>
      </c>
      <c r="E557" s="17">
        <v>13</v>
      </c>
      <c r="F557" s="17">
        <f t="shared" si="100"/>
        <v>82.94</v>
      </c>
      <c r="G557" s="236"/>
      <c r="H557" s="236"/>
      <c r="I557" s="236"/>
      <c r="J557" s="242"/>
      <c r="L557" s="249"/>
      <c r="M557" s="236"/>
      <c r="N557" s="54" t="s">
        <v>63</v>
      </c>
      <c r="O557" s="17">
        <v>6.38</v>
      </c>
      <c r="P557" s="17">
        <v>13</v>
      </c>
      <c r="Q557" s="17">
        <f t="shared" si="101"/>
        <v>82.94</v>
      </c>
      <c r="R557" s="236"/>
      <c r="S557" s="236"/>
      <c r="T557" s="236"/>
      <c r="U557" s="242"/>
    </row>
    <row r="558" spans="1:21" ht="13">
      <c r="A558" s="249"/>
      <c r="B558" s="236"/>
      <c r="C558" s="54" t="s">
        <v>269</v>
      </c>
      <c r="D558" s="17"/>
      <c r="E558" s="17"/>
      <c r="F558" s="17">
        <v>180</v>
      </c>
      <c r="G558" s="236"/>
      <c r="H558" s="236"/>
      <c r="I558" s="236"/>
      <c r="J558" s="242"/>
      <c r="L558" s="249"/>
      <c r="M558" s="236"/>
      <c r="N558" s="54" t="s">
        <v>269</v>
      </c>
      <c r="O558" s="17"/>
      <c r="P558" s="17"/>
      <c r="Q558" s="17">
        <v>180</v>
      </c>
      <c r="R558" s="236"/>
      <c r="S558" s="236"/>
      <c r="T558" s="236"/>
      <c r="U558" s="242"/>
    </row>
    <row r="559" spans="1:21" ht="13">
      <c r="A559" s="249"/>
      <c r="B559" s="236"/>
      <c r="C559" s="54" t="s">
        <v>70</v>
      </c>
      <c r="D559" s="17">
        <v>9.15</v>
      </c>
      <c r="E559" s="17">
        <v>13</v>
      </c>
      <c r="F559" s="17">
        <f t="shared" ref="F559:F562" si="102">D559*E559</f>
        <v>118.95</v>
      </c>
      <c r="G559" s="236"/>
      <c r="H559" s="236"/>
      <c r="I559" s="236"/>
      <c r="J559" s="242"/>
      <c r="L559" s="249"/>
      <c r="M559" s="236"/>
      <c r="N559" s="54" t="s">
        <v>70</v>
      </c>
      <c r="O559" s="17">
        <v>9.15</v>
      </c>
      <c r="P559" s="17">
        <v>13</v>
      </c>
      <c r="Q559" s="17">
        <f t="shared" ref="Q559:Q562" si="103">O559*P559</f>
        <v>118.95</v>
      </c>
      <c r="R559" s="236"/>
      <c r="S559" s="236"/>
      <c r="T559" s="236"/>
      <c r="U559" s="242"/>
    </row>
    <row r="560" spans="1:21" ht="13">
      <c r="A560" s="249"/>
      <c r="B560" s="236"/>
      <c r="C560" s="54" t="s">
        <v>126</v>
      </c>
      <c r="D560" s="19">
        <v>30</v>
      </c>
      <c r="E560" s="17">
        <v>13</v>
      </c>
      <c r="F560" s="17">
        <f t="shared" si="102"/>
        <v>390</v>
      </c>
      <c r="G560" s="236"/>
      <c r="H560" s="236"/>
      <c r="I560" s="236"/>
      <c r="J560" s="242"/>
      <c r="L560" s="249"/>
      <c r="M560" s="236"/>
      <c r="N560" s="54" t="s">
        <v>126</v>
      </c>
      <c r="O560" s="19">
        <v>30</v>
      </c>
      <c r="P560" s="17">
        <v>13</v>
      </c>
      <c r="Q560" s="17">
        <f t="shared" si="103"/>
        <v>390</v>
      </c>
      <c r="R560" s="236"/>
      <c r="S560" s="236"/>
      <c r="T560" s="236"/>
      <c r="U560" s="242"/>
    </row>
    <row r="561" spans="1:21" ht="13">
      <c r="A561" s="249"/>
      <c r="B561" s="236"/>
      <c r="C561" s="54" t="s">
        <v>80</v>
      </c>
      <c r="D561" s="19">
        <v>12.65</v>
      </c>
      <c r="E561" s="17">
        <v>13</v>
      </c>
      <c r="F561" s="17">
        <f t="shared" si="102"/>
        <v>164.45000000000002</v>
      </c>
      <c r="G561" s="236"/>
      <c r="H561" s="236"/>
      <c r="I561" s="236"/>
      <c r="J561" s="242"/>
      <c r="L561" s="249"/>
      <c r="M561" s="236"/>
      <c r="N561" s="54" t="s">
        <v>80</v>
      </c>
      <c r="O561" s="19">
        <v>12.65</v>
      </c>
      <c r="P561" s="17">
        <v>13</v>
      </c>
      <c r="Q561" s="17">
        <f t="shared" si="103"/>
        <v>164.45000000000002</v>
      </c>
      <c r="R561" s="236"/>
      <c r="S561" s="236"/>
      <c r="T561" s="236"/>
      <c r="U561" s="242"/>
    </row>
    <row r="562" spans="1:21" ht="13">
      <c r="A562" s="249"/>
      <c r="B562" s="236"/>
      <c r="C562" s="54" t="s">
        <v>270</v>
      </c>
      <c r="D562" s="19">
        <v>10.72</v>
      </c>
      <c r="E562" s="17">
        <v>13</v>
      </c>
      <c r="F562" s="17">
        <f t="shared" si="102"/>
        <v>139.36000000000001</v>
      </c>
      <c r="G562" s="236"/>
      <c r="H562" s="236"/>
      <c r="I562" s="236"/>
      <c r="J562" s="242"/>
      <c r="L562" s="249"/>
      <c r="M562" s="236"/>
      <c r="N562" s="54" t="s">
        <v>270</v>
      </c>
      <c r="O562" s="19">
        <v>10.72</v>
      </c>
      <c r="P562" s="17">
        <v>13</v>
      </c>
      <c r="Q562" s="17">
        <f t="shared" si="103"/>
        <v>139.36000000000001</v>
      </c>
      <c r="R562" s="236"/>
      <c r="S562" s="236"/>
      <c r="T562" s="236"/>
      <c r="U562" s="242"/>
    </row>
    <row r="563" spans="1:21" ht="13">
      <c r="A563" s="249"/>
      <c r="B563" s="236"/>
      <c r="C563" s="54" t="s">
        <v>33</v>
      </c>
      <c r="D563" s="19"/>
      <c r="E563" s="17"/>
      <c r="F563" s="17">
        <v>1321.26</v>
      </c>
      <c r="G563" s="236"/>
      <c r="H563" s="236"/>
      <c r="I563" s="236"/>
      <c r="J563" s="242"/>
      <c r="L563" s="249"/>
      <c r="M563" s="236"/>
      <c r="N563" s="54" t="s">
        <v>33</v>
      </c>
      <c r="O563" s="19"/>
      <c r="P563" s="17"/>
      <c r="Q563" s="17">
        <v>1321.26</v>
      </c>
      <c r="R563" s="236"/>
      <c r="S563" s="236"/>
      <c r="T563" s="236"/>
      <c r="U563" s="242"/>
    </row>
    <row r="564" spans="1:21" ht="13">
      <c r="A564" s="249"/>
      <c r="B564" s="236"/>
      <c r="C564" s="54" t="s">
        <v>271</v>
      </c>
      <c r="D564" s="19"/>
      <c r="E564" s="17"/>
      <c r="F564" s="17">
        <v>178</v>
      </c>
      <c r="G564" s="236"/>
      <c r="H564" s="236"/>
      <c r="I564" s="236"/>
      <c r="J564" s="242"/>
      <c r="L564" s="249"/>
      <c r="M564" s="236"/>
      <c r="N564" s="54" t="s">
        <v>271</v>
      </c>
      <c r="O564" s="19"/>
      <c r="P564" s="17"/>
      <c r="Q564" s="17">
        <v>178</v>
      </c>
      <c r="R564" s="236"/>
      <c r="S564" s="236"/>
      <c r="T564" s="236"/>
      <c r="U564" s="242"/>
    </row>
    <row r="565" spans="1:21" ht="13">
      <c r="A565" s="249"/>
      <c r="B565" s="248"/>
      <c r="C565" s="55" t="s">
        <v>45</v>
      </c>
      <c r="D565" s="20"/>
      <c r="E565" s="20"/>
      <c r="F565" s="21">
        <v>300</v>
      </c>
      <c r="G565" s="238"/>
      <c r="H565" s="238"/>
      <c r="I565" s="238"/>
      <c r="J565" s="243"/>
      <c r="L565" s="249"/>
      <c r="M565" s="248"/>
      <c r="N565" s="55" t="s">
        <v>45</v>
      </c>
      <c r="O565" s="20"/>
      <c r="P565" s="20"/>
      <c r="Q565" s="21">
        <v>300</v>
      </c>
      <c r="R565" s="238"/>
      <c r="S565" s="238"/>
      <c r="T565" s="238"/>
      <c r="U565" s="243"/>
    </row>
    <row r="566" spans="1:21" ht="13">
      <c r="A566" s="249"/>
      <c r="B566" s="280" t="s">
        <v>272</v>
      </c>
      <c r="C566" s="54" t="s">
        <v>23</v>
      </c>
      <c r="D566" s="16">
        <v>14</v>
      </c>
      <c r="E566" s="17">
        <v>16</v>
      </c>
      <c r="F566" s="17">
        <f t="shared" ref="F566:F575" si="104">D566*E566</f>
        <v>224</v>
      </c>
      <c r="G566" s="240">
        <f>SUM(F566:F578)</f>
        <v>1802.5800000000002</v>
      </c>
      <c r="H566" s="273">
        <v>2544.7600000000002</v>
      </c>
      <c r="I566" s="273">
        <f>H566-G566</f>
        <v>742.18000000000006</v>
      </c>
      <c r="J566" s="241">
        <f>I566/H566</f>
        <v>0.29165029315141705</v>
      </c>
      <c r="L566" s="249"/>
      <c r="M566" s="280" t="s">
        <v>272</v>
      </c>
      <c r="N566" s="54" t="s">
        <v>23</v>
      </c>
      <c r="O566" s="18"/>
      <c r="P566" s="18"/>
      <c r="Q566" s="18"/>
      <c r="R566" s="240">
        <f>SUM(Q566:Q578)</f>
        <v>1326.58</v>
      </c>
      <c r="S566" s="273">
        <v>2544.7600000000002</v>
      </c>
      <c r="T566" s="273">
        <f>S566-R566</f>
        <v>1218.1800000000003</v>
      </c>
      <c r="U566" s="241">
        <f>T566/S566</f>
        <v>0.47870133136327203</v>
      </c>
    </row>
    <row r="567" spans="1:21" ht="13">
      <c r="A567" s="249"/>
      <c r="B567" s="236"/>
      <c r="C567" s="24" t="s">
        <v>209</v>
      </c>
      <c r="D567" s="17">
        <v>14</v>
      </c>
      <c r="E567" s="17">
        <v>18</v>
      </c>
      <c r="F567" s="17">
        <f t="shared" si="104"/>
        <v>252</v>
      </c>
      <c r="G567" s="236"/>
      <c r="H567" s="236"/>
      <c r="I567" s="236"/>
      <c r="J567" s="242"/>
      <c r="L567" s="249"/>
      <c r="M567" s="236"/>
      <c r="N567" s="24" t="s">
        <v>209</v>
      </c>
      <c r="O567" s="18"/>
      <c r="P567" s="18"/>
      <c r="Q567" s="18"/>
      <c r="R567" s="236"/>
      <c r="S567" s="236"/>
      <c r="T567" s="236"/>
      <c r="U567" s="242"/>
    </row>
    <row r="568" spans="1:21" ht="13">
      <c r="A568" s="249"/>
      <c r="B568" s="236"/>
      <c r="C568" s="54" t="s">
        <v>58</v>
      </c>
      <c r="D568" s="17">
        <v>5.9</v>
      </c>
      <c r="E568" s="17">
        <v>13</v>
      </c>
      <c r="F568" s="17">
        <f t="shared" si="104"/>
        <v>76.7</v>
      </c>
      <c r="G568" s="236"/>
      <c r="H568" s="236"/>
      <c r="I568" s="236"/>
      <c r="J568" s="242"/>
      <c r="L568" s="249"/>
      <c r="M568" s="236"/>
      <c r="N568" s="54" t="s">
        <v>58</v>
      </c>
      <c r="O568" s="17">
        <v>5.9</v>
      </c>
      <c r="P568" s="17">
        <v>13</v>
      </c>
      <c r="Q568" s="17">
        <f t="shared" ref="Q568:Q575" si="105">O568*P568</f>
        <v>76.7</v>
      </c>
      <c r="R568" s="236"/>
      <c r="S568" s="236"/>
      <c r="T568" s="236"/>
      <c r="U568" s="242"/>
    </row>
    <row r="569" spans="1:21" ht="13">
      <c r="A569" s="249"/>
      <c r="B569" s="236"/>
      <c r="C569" s="54" t="s">
        <v>265</v>
      </c>
      <c r="D569" s="17">
        <v>8.5</v>
      </c>
      <c r="E569" s="17">
        <v>13</v>
      </c>
      <c r="F569" s="17">
        <f t="shared" si="104"/>
        <v>110.5</v>
      </c>
      <c r="G569" s="236"/>
      <c r="H569" s="236"/>
      <c r="I569" s="236"/>
      <c r="J569" s="242"/>
      <c r="L569" s="249"/>
      <c r="M569" s="236"/>
      <c r="N569" s="54" t="s">
        <v>265</v>
      </c>
      <c r="O569" s="17">
        <v>8.5</v>
      </c>
      <c r="P569" s="17">
        <v>13</v>
      </c>
      <c r="Q569" s="17">
        <f t="shared" si="105"/>
        <v>110.5</v>
      </c>
      <c r="R569" s="236"/>
      <c r="S569" s="236"/>
      <c r="T569" s="236"/>
      <c r="U569" s="242"/>
    </row>
    <row r="570" spans="1:21" ht="13">
      <c r="A570" s="249"/>
      <c r="B570" s="236"/>
      <c r="C570" s="54" t="s">
        <v>266</v>
      </c>
      <c r="D570" s="17">
        <v>10.75</v>
      </c>
      <c r="E570" s="17">
        <v>13</v>
      </c>
      <c r="F570" s="17">
        <f t="shared" si="104"/>
        <v>139.75</v>
      </c>
      <c r="G570" s="236"/>
      <c r="H570" s="236"/>
      <c r="I570" s="236"/>
      <c r="J570" s="242"/>
      <c r="L570" s="249"/>
      <c r="M570" s="236"/>
      <c r="N570" s="54" t="s">
        <v>266</v>
      </c>
      <c r="O570" s="17">
        <v>10.75</v>
      </c>
      <c r="P570" s="17">
        <v>13</v>
      </c>
      <c r="Q570" s="17">
        <f t="shared" si="105"/>
        <v>139.75</v>
      </c>
      <c r="R570" s="236"/>
      <c r="S570" s="236"/>
      <c r="T570" s="236"/>
      <c r="U570" s="242"/>
    </row>
    <row r="571" spans="1:21" ht="13">
      <c r="A571" s="249"/>
      <c r="B571" s="236"/>
      <c r="C571" s="54" t="s">
        <v>64</v>
      </c>
      <c r="D571" s="17">
        <v>9.65</v>
      </c>
      <c r="E571" s="17">
        <v>13</v>
      </c>
      <c r="F571" s="17">
        <f t="shared" si="104"/>
        <v>125.45</v>
      </c>
      <c r="G571" s="236"/>
      <c r="H571" s="236"/>
      <c r="I571" s="236"/>
      <c r="J571" s="242"/>
      <c r="L571" s="249"/>
      <c r="M571" s="236"/>
      <c r="N571" s="54" t="s">
        <v>64</v>
      </c>
      <c r="O571" s="17">
        <v>9.65</v>
      </c>
      <c r="P571" s="17">
        <v>13</v>
      </c>
      <c r="Q571" s="17">
        <f t="shared" si="105"/>
        <v>125.45</v>
      </c>
      <c r="R571" s="236"/>
      <c r="S571" s="236"/>
      <c r="T571" s="236"/>
      <c r="U571" s="242"/>
    </row>
    <row r="572" spans="1:21" ht="13">
      <c r="A572" s="249"/>
      <c r="B572" s="236"/>
      <c r="C572" s="54" t="s">
        <v>70</v>
      </c>
      <c r="D572" s="17">
        <v>6.5</v>
      </c>
      <c r="E572" s="17">
        <v>13</v>
      </c>
      <c r="F572" s="17">
        <f t="shared" si="104"/>
        <v>84.5</v>
      </c>
      <c r="G572" s="236"/>
      <c r="H572" s="236"/>
      <c r="I572" s="236"/>
      <c r="J572" s="242"/>
      <c r="L572" s="249"/>
      <c r="M572" s="236"/>
      <c r="N572" s="54" t="s">
        <v>70</v>
      </c>
      <c r="O572" s="17">
        <v>6.5</v>
      </c>
      <c r="P572" s="17">
        <v>13</v>
      </c>
      <c r="Q572" s="17">
        <f t="shared" si="105"/>
        <v>84.5</v>
      </c>
      <c r="R572" s="236"/>
      <c r="S572" s="236"/>
      <c r="T572" s="236"/>
      <c r="U572" s="242"/>
    </row>
    <row r="573" spans="1:21" ht="13">
      <c r="A573" s="249"/>
      <c r="B573" s="236"/>
      <c r="C573" s="54" t="s">
        <v>126</v>
      </c>
      <c r="D573" s="19">
        <v>10.75</v>
      </c>
      <c r="E573" s="17">
        <v>13</v>
      </c>
      <c r="F573" s="17">
        <f t="shared" si="104"/>
        <v>139.75</v>
      </c>
      <c r="G573" s="236"/>
      <c r="H573" s="236"/>
      <c r="I573" s="236"/>
      <c r="J573" s="242"/>
      <c r="L573" s="249"/>
      <c r="M573" s="236"/>
      <c r="N573" s="54" t="s">
        <v>126</v>
      </c>
      <c r="O573" s="19">
        <v>10.75</v>
      </c>
      <c r="P573" s="17">
        <v>13</v>
      </c>
      <c r="Q573" s="17">
        <f t="shared" si="105"/>
        <v>139.75</v>
      </c>
      <c r="R573" s="236"/>
      <c r="S573" s="236"/>
      <c r="T573" s="236"/>
      <c r="U573" s="242"/>
    </row>
    <row r="574" spans="1:21" ht="13">
      <c r="A574" s="249"/>
      <c r="B574" s="236"/>
      <c r="C574" s="54" t="s">
        <v>80</v>
      </c>
      <c r="D574" s="19">
        <v>10</v>
      </c>
      <c r="E574" s="17">
        <v>13</v>
      </c>
      <c r="F574" s="17">
        <f t="shared" si="104"/>
        <v>130</v>
      </c>
      <c r="G574" s="236"/>
      <c r="H574" s="236"/>
      <c r="I574" s="236"/>
      <c r="J574" s="242"/>
      <c r="L574" s="249"/>
      <c r="M574" s="236"/>
      <c r="N574" s="54" t="s">
        <v>80</v>
      </c>
      <c r="O574" s="19">
        <v>10</v>
      </c>
      <c r="P574" s="17">
        <v>13</v>
      </c>
      <c r="Q574" s="17">
        <f t="shared" si="105"/>
        <v>130</v>
      </c>
      <c r="R574" s="236"/>
      <c r="S574" s="236"/>
      <c r="T574" s="236"/>
      <c r="U574" s="242"/>
    </row>
    <row r="575" spans="1:21" ht="13">
      <c r="A575" s="249"/>
      <c r="B575" s="236"/>
      <c r="C575" s="54" t="s">
        <v>270</v>
      </c>
      <c r="D575" s="19">
        <v>4.3</v>
      </c>
      <c r="E575" s="17">
        <v>13</v>
      </c>
      <c r="F575" s="17">
        <f t="shared" si="104"/>
        <v>55.9</v>
      </c>
      <c r="G575" s="236"/>
      <c r="H575" s="236"/>
      <c r="I575" s="236"/>
      <c r="J575" s="242"/>
      <c r="L575" s="249"/>
      <c r="M575" s="236"/>
      <c r="N575" s="54" t="s">
        <v>270</v>
      </c>
      <c r="O575" s="19">
        <v>4.3</v>
      </c>
      <c r="P575" s="17">
        <v>13</v>
      </c>
      <c r="Q575" s="17">
        <f t="shared" si="105"/>
        <v>55.9</v>
      </c>
      <c r="R575" s="236"/>
      <c r="S575" s="236"/>
      <c r="T575" s="236"/>
      <c r="U575" s="242"/>
    </row>
    <row r="576" spans="1:21" ht="13">
      <c r="A576" s="249"/>
      <c r="B576" s="236"/>
      <c r="C576" s="54" t="s">
        <v>33</v>
      </c>
      <c r="D576" s="19"/>
      <c r="E576" s="17"/>
      <c r="F576" s="17">
        <v>275.02999999999997</v>
      </c>
      <c r="G576" s="236"/>
      <c r="H576" s="236"/>
      <c r="I576" s="236"/>
      <c r="J576" s="242"/>
      <c r="L576" s="249"/>
      <c r="M576" s="236"/>
      <c r="N576" s="54" t="s">
        <v>33</v>
      </c>
      <c r="O576" s="19"/>
      <c r="P576" s="17"/>
      <c r="Q576" s="17">
        <v>275.02999999999997</v>
      </c>
      <c r="R576" s="236"/>
      <c r="S576" s="236"/>
      <c r="T576" s="236"/>
      <c r="U576" s="242"/>
    </row>
    <row r="577" spans="1:21" ht="13">
      <c r="A577" s="249"/>
      <c r="B577" s="236"/>
      <c r="C577" s="54" t="s">
        <v>271</v>
      </c>
      <c r="D577" s="19"/>
      <c r="E577" s="17"/>
      <c r="F577" s="17">
        <v>89</v>
      </c>
      <c r="G577" s="236"/>
      <c r="H577" s="236"/>
      <c r="I577" s="236"/>
      <c r="J577" s="242"/>
      <c r="L577" s="249"/>
      <c r="M577" s="236"/>
      <c r="N577" s="54" t="s">
        <v>271</v>
      </c>
      <c r="O577" s="19"/>
      <c r="P577" s="17"/>
      <c r="Q577" s="17">
        <v>89</v>
      </c>
      <c r="R577" s="236"/>
      <c r="S577" s="236"/>
      <c r="T577" s="236"/>
      <c r="U577" s="242"/>
    </row>
    <row r="578" spans="1:21" ht="13">
      <c r="A578" s="249"/>
      <c r="B578" s="248"/>
      <c r="C578" s="55" t="s">
        <v>45</v>
      </c>
      <c r="D578" s="20"/>
      <c r="E578" s="20"/>
      <c r="F578" s="21">
        <v>100</v>
      </c>
      <c r="G578" s="238"/>
      <c r="H578" s="238"/>
      <c r="I578" s="238"/>
      <c r="J578" s="243"/>
      <c r="L578" s="249"/>
      <c r="M578" s="248"/>
      <c r="N578" s="55" t="s">
        <v>45</v>
      </c>
      <c r="O578" s="20"/>
      <c r="P578" s="20"/>
      <c r="Q578" s="21">
        <v>100</v>
      </c>
      <c r="R578" s="238"/>
      <c r="S578" s="238"/>
      <c r="T578" s="238"/>
      <c r="U578" s="243"/>
    </row>
    <row r="579" spans="1:21" ht="13">
      <c r="A579" s="249"/>
      <c r="B579" s="244" t="s">
        <v>255</v>
      </c>
      <c r="C579" s="53" t="s">
        <v>23</v>
      </c>
      <c r="D579" s="16">
        <v>4</v>
      </c>
      <c r="E579" s="17">
        <v>16</v>
      </c>
      <c r="F579" s="17">
        <f t="shared" ref="F579:F580" si="106">D579*E579</f>
        <v>64</v>
      </c>
      <c r="G579" s="240">
        <f>SUM(F579:F581)</f>
        <v>247.72</v>
      </c>
      <c r="H579" s="273">
        <v>642.6</v>
      </c>
      <c r="I579" s="273">
        <f>H579-G579</f>
        <v>394.88</v>
      </c>
      <c r="J579" s="241">
        <f>I579/H579</f>
        <v>0.61450357920946153</v>
      </c>
      <c r="L579" s="249"/>
      <c r="M579" s="244" t="s">
        <v>255</v>
      </c>
      <c r="N579" s="53" t="s">
        <v>23</v>
      </c>
      <c r="O579" s="18"/>
      <c r="P579" s="18"/>
      <c r="Q579" s="18"/>
      <c r="R579" s="240">
        <f>SUM(Q579:Q581)</f>
        <v>57.72</v>
      </c>
      <c r="S579" s="273">
        <v>642.6</v>
      </c>
      <c r="T579" s="273">
        <f>S579-R579</f>
        <v>584.88</v>
      </c>
      <c r="U579" s="241">
        <f>T579/S579</f>
        <v>0.91017740429505134</v>
      </c>
    </row>
    <row r="580" spans="1:21" ht="13">
      <c r="A580" s="249"/>
      <c r="B580" s="245"/>
      <c r="C580" s="54" t="s">
        <v>209</v>
      </c>
      <c r="D580" s="17">
        <v>7</v>
      </c>
      <c r="E580" s="17">
        <v>18</v>
      </c>
      <c r="F580" s="17">
        <f t="shared" si="106"/>
        <v>126</v>
      </c>
      <c r="G580" s="236"/>
      <c r="H580" s="236"/>
      <c r="I580" s="236"/>
      <c r="J580" s="242"/>
      <c r="L580" s="249"/>
      <c r="M580" s="245"/>
      <c r="N580" s="54" t="s">
        <v>209</v>
      </c>
      <c r="O580" s="18"/>
      <c r="P580" s="18"/>
      <c r="Q580" s="18"/>
      <c r="R580" s="236"/>
      <c r="S580" s="236"/>
      <c r="T580" s="236"/>
      <c r="U580" s="242"/>
    </row>
    <row r="581" spans="1:21" ht="13">
      <c r="A581" s="249"/>
      <c r="B581" s="246"/>
      <c r="C581" s="55" t="s">
        <v>33</v>
      </c>
      <c r="D581" s="20"/>
      <c r="E581" s="20"/>
      <c r="F581" s="21">
        <v>57.72</v>
      </c>
      <c r="G581" s="238"/>
      <c r="H581" s="238"/>
      <c r="I581" s="238"/>
      <c r="J581" s="243"/>
      <c r="L581" s="249"/>
      <c r="M581" s="246"/>
      <c r="N581" s="55" t="s">
        <v>33</v>
      </c>
      <c r="O581" s="20"/>
      <c r="P581" s="20"/>
      <c r="Q581" s="21">
        <v>57.72</v>
      </c>
      <c r="R581" s="238"/>
      <c r="S581" s="238"/>
      <c r="T581" s="238"/>
      <c r="U581" s="243"/>
    </row>
    <row r="582" spans="1:21" ht="13">
      <c r="A582" s="249"/>
      <c r="B582" s="244" t="s">
        <v>273</v>
      </c>
      <c r="C582" s="15" t="s">
        <v>63</v>
      </c>
      <c r="D582" s="16">
        <v>23.32</v>
      </c>
      <c r="E582" s="16">
        <v>15</v>
      </c>
      <c r="F582" s="17">
        <f t="shared" ref="F582:F586" si="107">D582*E582</f>
        <v>349.8</v>
      </c>
      <c r="G582" s="240">
        <f>SUM(F582:F587)</f>
        <v>1634.3</v>
      </c>
      <c r="H582" s="237">
        <v>3850</v>
      </c>
      <c r="I582" s="237">
        <f>H582-G582</f>
        <v>2215.6999999999998</v>
      </c>
      <c r="J582" s="241">
        <f>I582/H582</f>
        <v>0.57550649350649341</v>
      </c>
      <c r="L582" s="249"/>
      <c r="M582" s="244" t="s">
        <v>273</v>
      </c>
      <c r="N582" s="15" t="s">
        <v>63</v>
      </c>
      <c r="O582" s="16">
        <v>23.32</v>
      </c>
      <c r="P582" s="16">
        <v>15</v>
      </c>
      <c r="Q582" s="17">
        <f>O582*P582</f>
        <v>349.8</v>
      </c>
      <c r="R582" s="240">
        <f>SUM(Q582:Q587)</f>
        <v>1529.3</v>
      </c>
      <c r="S582" s="237">
        <v>3850</v>
      </c>
      <c r="T582" s="237">
        <f>S582-R582</f>
        <v>2320.6999999999998</v>
      </c>
      <c r="U582" s="241">
        <f>T582/S582</f>
        <v>0.60277922077922075</v>
      </c>
    </row>
    <row r="583" spans="1:21" ht="13">
      <c r="A583" s="249"/>
      <c r="B583" s="245"/>
      <c r="C583" s="19" t="s">
        <v>209</v>
      </c>
      <c r="D583" s="17">
        <v>7</v>
      </c>
      <c r="E583" s="17">
        <v>15</v>
      </c>
      <c r="F583" s="17">
        <f t="shared" si="107"/>
        <v>105</v>
      </c>
      <c r="G583" s="236"/>
      <c r="H583" s="236"/>
      <c r="I583" s="236"/>
      <c r="J583" s="242"/>
      <c r="L583" s="249"/>
      <c r="M583" s="245"/>
      <c r="N583" s="19" t="s">
        <v>209</v>
      </c>
      <c r="O583" s="18"/>
      <c r="P583" s="18"/>
      <c r="Q583" s="18"/>
      <c r="R583" s="236"/>
      <c r="S583" s="236"/>
      <c r="T583" s="236"/>
      <c r="U583" s="242"/>
    </row>
    <row r="584" spans="1:21" ht="13">
      <c r="A584" s="249"/>
      <c r="B584" s="245"/>
      <c r="C584" s="19" t="s">
        <v>58</v>
      </c>
      <c r="D584" s="17">
        <v>29.84</v>
      </c>
      <c r="E584" s="17">
        <v>15</v>
      </c>
      <c r="F584" s="17">
        <f t="shared" si="107"/>
        <v>447.6</v>
      </c>
      <c r="G584" s="236"/>
      <c r="H584" s="236"/>
      <c r="I584" s="236"/>
      <c r="J584" s="242"/>
      <c r="L584" s="249"/>
      <c r="M584" s="245"/>
      <c r="N584" s="19" t="s">
        <v>58</v>
      </c>
      <c r="O584" s="17">
        <v>29.84</v>
      </c>
      <c r="P584" s="17">
        <v>15</v>
      </c>
      <c r="Q584" s="17">
        <f t="shared" ref="Q584:Q586" si="108">O584*P584</f>
        <v>447.6</v>
      </c>
      <c r="R584" s="236"/>
      <c r="S584" s="236"/>
      <c r="T584" s="236"/>
      <c r="U584" s="242"/>
    </row>
    <row r="585" spans="1:21" ht="13">
      <c r="A585" s="249"/>
      <c r="B585" s="245"/>
      <c r="C585" s="19" t="s">
        <v>266</v>
      </c>
      <c r="D585" s="17">
        <v>22.17</v>
      </c>
      <c r="E585" s="17">
        <v>15</v>
      </c>
      <c r="F585" s="17">
        <f t="shared" si="107"/>
        <v>332.55</v>
      </c>
      <c r="G585" s="236"/>
      <c r="H585" s="236"/>
      <c r="I585" s="236"/>
      <c r="J585" s="242"/>
      <c r="L585" s="249"/>
      <c r="M585" s="245"/>
      <c r="N585" s="19" t="s">
        <v>266</v>
      </c>
      <c r="O585" s="17">
        <v>22.17</v>
      </c>
      <c r="P585" s="17">
        <v>15</v>
      </c>
      <c r="Q585" s="17">
        <f t="shared" si="108"/>
        <v>332.55</v>
      </c>
      <c r="R585" s="236"/>
      <c r="S585" s="236"/>
      <c r="T585" s="236"/>
      <c r="U585" s="242"/>
    </row>
    <row r="586" spans="1:21" ht="13">
      <c r="A586" s="249"/>
      <c r="B586" s="245"/>
      <c r="C586" s="19" t="s">
        <v>265</v>
      </c>
      <c r="D586" s="17">
        <v>23.29</v>
      </c>
      <c r="E586" s="17">
        <v>15</v>
      </c>
      <c r="F586" s="17">
        <f t="shared" si="107"/>
        <v>349.34999999999997</v>
      </c>
      <c r="G586" s="236"/>
      <c r="H586" s="236"/>
      <c r="I586" s="236"/>
      <c r="J586" s="242"/>
      <c r="L586" s="249"/>
      <c r="M586" s="245"/>
      <c r="N586" s="19" t="s">
        <v>265</v>
      </c>
      <c r="O586" s="17">
        <v>23.29</v>
      </c>
      <c r="P586" s="17">
        <v>15</v>
      </c>
      <c r="Q586" s="17">
        <f t="shared" si="108"/>
        <v>349.34999999999997</v>
      </c>
      <c r="R586" s="236"/>
      <c r="S586" s="236"/>
      <c r="T586" s="236"/>
      <c r="U586" s="242"/>
    </row>
    <row r="587" spans="1:21" ht="13">
      <c r="A587" s="249"/>
      <c r="B587" s="246"/>
      <c r="C587" s="20" t="s">
        <v>45</v>
      </c>
      <c r="D587" s="21"/>
      <c r="E587" s="21"/>
      <c r="F587" s="21">
        <v>50</v>
      </c>
      <c r="G587" s="238"/>
      <c r="H587" s="238"/>
      <c r="I587" s="238"/>
      <c r="J587" s="243"/>
      <c r="L587" s="249"/>
      <c r="M587" s="246"/>
      <c r="N587" s="20" t="s">
        <v>45</v>
      </c>
      <c r="O587" s="21"/>
      <c r="P587" s="21"/>
      <c r="Q587" s="21">
        <v>50</v>
      </c>
      <c r="R587" s="238"/>
      <c r="S587" s="238"/>
      <c r="T587" s="238"/>
      <c r="U587" s="243"/>
    </row>
    <row r="588" spans="1:21" ht="13">
      <c r="A588" s="249"/>
      <c r="B588" s="244" t="s">
        <v>274</v>
      </c>
      <c r="C588" s="15" t="s">
        <v>209</v>
      </c>
      <c r="D588" s="16">
        <v>21</v>
      </c>
      <c r="E588" s="16">
        <v>18</v>
      </c>
      <c r="F588" s="17">
        <f>D588*E588</f>
        <v>378</v>
      </c>
      <c r="G588" s="240">
        <f>SUM(F588:F593)</f>
        <v>853.28000000000009</v>
      </c>
      <c r="H588" s="237">
        <v>5028.08</v>
      </c>
      <c r="I588" s="237">
        <f>H588-G588</f>
        <v>4174.8</v>
      </c>
      <c r="J588" s="241">
        <f>I588/H588</f>
        <v>0.83029705175733093</v>
      </c>
      <c r="L588" s="249"/>
      <c r="M588" s="244" t="s">
        <v>274</v>
      </c>
      <c r="N588" s="15" t="s">
        <v>209</v>
      </c>
      <c r="O588" s="18"/>
      <c r="P588" s="18"/>
      <c r="Q588" s="18"/>
      <c r="R588" s="240">
        <f>SUM(Q588:Q593)</f>
        <v>475.28000000000009</v>
      </c>
      <c r="S588" s="237">
        <v>5028.08</v>
      </c>
      <c r="T588" s="237">
        <f>S588-R588</f>
        <v>4552.8</v>
      </c>
      <c r="U588" s="241">
        <f>T588/S588</f>
        <v>0.90547485322429244</v>
      </c>
    </row>
    <row r="589" spans="1:21" ht="13">
      <c r="A589" s="249"/>
      <c r="B589" s="245"/>
      <c r="C589" s="19" t="s">
        <v>47</v>
      </c>
      <c r="D589" s="17"/>
      <c r="E589" s="17"/>
      <c r="F589" s="17">
        <v>139.46</v>
      </c>
      <c r="G589" s="236"/>
      <c r="H589" s="236"/>
      <c r="I589" s="236"/>
      <c r="J589" s="242"/>
      <c r="L589" s="249"/>
      <c r="M589" s="245"/>
      <c r="N589" s="19" t="s">
        <v>47</v>
      </c>
      <c r="O589" s="17"/>
      <c r="P589" s="17"/>
      <c r="Q589" s="17">
        <v>139.46</v>
      </c>
      <c r="R589" s="236"/>
      <c r="S589" s="236"/>
      <c r="T589" s="236"/>
      <c r="U589" s="242"/>
    </row>
    <row r="590" spans="1:21" ht="13">
      <c r="A590" s="249"/>
      <c r="B590" s="245"/>
      <c r="C590" s="19" t="s">
        <v>45</v>
      </c>
      <c r="D590" s="17"/>
      <c r="E590" s="17"/>
      <c r="F590" s="17">
        <v>130</v>
      </c>
      <c r="G590" s="236"/>
      <c r="H590" s="236"/>
      <c r="I590" s="236"/>
      <c r="J590" s="242"/>
      <c r="L590" s="249"/>
      <c r="M590" s="245"/>
      <c r="N590" s="19" t="s">
        <v>45</v>
      </c>
      <c r="O590" s="17"/>
      <c r="P590" s="17"/>
      <c r="Q590" s="17">
        <v>130</v>
      </c>
      <c r="R590" s="236"/>
      <c r="S590" s="236"/>
      <c r="T590" s="236"/>
      <c r="U590" s="242"/>
    </row>
    <row r="591" spans="1:21" ht="13">
      <c r="A591" s="249"/>
      <c r="B591" s="245"/>
      <c r="C591" s="19" t="s">
        <v>48</v>
      </c>
      <c r="D591" s="17"/>
      <c r="E591" s="17"/>
      <c r="F591" s="17">
        <v>162.22</v>
      </c>
      <c r="G591" s="236"/>
      <c r="H591" s="236"/>
      <c r="I591" s="236"/>
      <c r="J591" s="242"/>
      <c r="L591" s="249"/>
      <c r="M591" s="245"/>
      <c r="N591" s="19" t="s">
        <v>48</v>
      </c>
      <c r="O591" s="17"/>
      <c r="P591" s="17"/>
      <c r="Q591" s="17">
        <v>162.22</v>
      </c>
      <c r="R591" s="236"/>
      <c r="S591" s="236"/>
      <c r="T591" s="236"/>
      <c r="U591" s="242"/>
    </row>
    <row r="592" spans="1:21" ht="13">
      <c r="A592" s="249"/>
      <c r="B592" s="245"/>
      <c r="C592" s="19" t="s">
        <v>44</v>
      </c>
      <c r="D592" s="17"/>
      <c r="E592" s="17"/>
      <c r="F592" s="17">
        <v>43.6</v>
      </c>
      <c r="G592" s="236"/>
      <c r="H592" s="236"/>
      <c r="I592" s="236"/>
      <c r="J592" s="242"/>
      <c r="L592" s="249"/>
      <c r="M592" s="245"/>
      <c r="N592" s="19" t="s">
        <v>44</v>
      </c>
      <c r="O592" s="17"/>
      <c r="P592" s="17"/>
      <c r="Q592" s="17">
        <v>43.6</v>
      </c>
      <c r="R592" s="236"/>
      <c r="S592" s="236"/>
      <c r="T592" s="236"/>
      <c r="U592" s="242"/>
    </row>
    <row r="593" spans="1:21" ht="13">
      <c r="A593" s="249"/>
      <c r="B593" s="246"/>
      <c r="C593" s="20"/>
      <c r="D593" s="21"/>
      <c r="E593" s="21"/>
      <c r="F593" s="21"/>
      <c r="G593" s="238"/>
      <c r="H593" s="238"/>
      <c r="I593" s="238"/>
      <c r="J593" s="243"/>
      <c r="L593" s="249"/>
      <c r="M593" s="246"/>
      <c r="N593" s="20"/>
      <c r="O593" s="21"/>
      <c r="P593" s="21"/>
      <c r="Q593" s="21"/>
      <c r="R593" s="238"/>
      <c r="S593" s="238"/>
      <c r="T593" s="238"/>
      <c r="U593" s="243"/>
    </row>
    <row r="594" spans="1:21" ht="13">
      <c r="A594" s="249"/>
      <c r="B594" s="244" t="s">
        <v>275</v>
      </c>
      <c r="C594" s="15" t="s">
        <v>51</v>
      </c>
      <c r="D594" s="17"/>
      <c r="E594" s="16"/>
      <c r="F594" s="17">
        <v>200</v>
      </c>
      <c r="G594" s="240">
        <f>SUM(F594:F600)</f>
        <v>583.64</v>
      </c>
      <c r="H594" s="237">
        <v>1500</v>
      </c>
      <c r="I594" s="237">
        <f>H594-G594</f>
        <v>916.36</v>
      </c>
      <c r="J594" s="241">
        <f>I594/H594</f>
        <v>0.61090666666666671</v>
      </c>
      <c r="L594" s="249"/>
      <c r="M594" s="244" t="s">
        <v>275</v>
      </c>
      <c r="N594" s="15" t="s">
        <v>51</v>
      </c>
      <c r="O594" s="17"/>
      <c r="P594" s="16"/>
      <c r="Q594" s="17">
        <v>200</v>
      </c>
      <c r="R594" s="240">
        <f>SUM(Q594:Q600)</f>
        <v>583.64</v>
      </c>
      <c r="S594" s="237">
        <v>1500</v>
      </c>
      <c r="T594" s="237">
        <f>S594-R594</f>
        <v>916.36</v>
      </c>
      <c r="U594" s="241">
        <f>T594/S594</f>
        <v>0.61090666666666671</v>
      </c>
    </row>
    <row r="595" spans="1:21" ht="13">
      <c r="A595" s="249"/>
      <c r="B595" s="245"/>
      <c r="C595" s="19" t="s">
        <v>47</v>
      </c>
      <c r="E595" s="17"/>
      <c r="F595" s="17">
        <v>59.17</v>
      </c>
      <c r="G595" s="236"/>
      <c r="H595" s="236"/>
      <c r="I595" s="236"/>
      <c r="J595" s="242"/>
      <c r="L595" s="249"/>
      <c r="M595" s="245"/>
      <c r="N595" s="19" t="s">
        <v>47</v>
      </c>
      <c r="P595" s="17"/>
      <c r="Q595" s="17">
        <v>59.17</v>
      </c>
      <c r="R595" s="236"/>
      <c r="S595" s="236"/>
      <c r="T595" s="236"/>
      <c r="U595" s="242"/>
    </row>
    <row r="596" spans="1:21" ht="13">
      <c r="A596" s="249"/>
      <c r="B596" s="245"/>
      <c r="C596" s="19" t="s">
        <v>45</v>
      </c>
      <c r="D596" s="17"/>
      <c r="E596" s="17"/>
      <c r="F596" s="17">
        <v>30</v>
      </c>
      <c r="G596" s="236"/>
      <c r="H596" s="236"/>
      <c r="I596" s="236"/>
      <c r="J596" s="242"/>
      <c r="L596" s="249"/>
      <c r="M596" s="245"/>
      <c r="N596" s="19" t="s">
        <v>45</v>
      </c>
      <c r="O596" s="17"/>
      <c r="P596" s="17"/>
      <c r="Q596" s="17">
        <v>30</v>
      </c>
      <c r="R596" s="236"/>
      <c r="S596" s="236"/>
      <c r="T596" s="236"/>
      <c r="U596" s="242"/>
    </row>
    <row r="597" spans="1:21" ht="13">
      <c r="A597" s="249"/>
      <c r="B597" s="245"/>
      <c r="C597" s="19" t="s">
        <v>48</v>
      </c>
      <c r="D597" s="17"/>
      <c r="E597" s="17"/>
      <c r="F597" s="17">
        <v>39.33</v>
      </c>
      <c r="G597" s="236"/>
      <c r="H597" s="236"/>
      <c r="I597" s="236"/>
      <c r="J597" s="242"/>
      <c r="L597" s="249"/>
      <c r="M597" s="245"/>
      <c r="N597" s="19" t="s">
        <v>48</v>
      </c>
      <c r="O597" s="17"/>
      <c r="P597" s="17"/>
      <c r="Q597" s="17">
        <v>39.33</v>
      </c>
      <c r="R597" s="236"/>
      <c r="S597" s="236"/>
      <c r="T597" s="236"/>
      <c r="U597" s="242"/>
    </row>
    <row r="598" spans="1:21" ht="13">
      <c r="A598" s="249"/>
      <c r="B598" s="245"/>
      <c r="C598" s="19" t="s">
        <v>33</v>
      </c>
      <c r="D598" s="17"/>
      <c r="E598" s="17"/>
      <c r="F598" s="17">
        <v>34.14</v>
      </c>
      <c r="G598" s="236"/>
      <c r="H598" s="236"/>
      <c r="I598" s="236"/>
      <c r="J598" s="242"/>
      <c r="L598" s="249"/>
      <c r="M598" s="245"/>
      <c r="N598" s="19" t="s">
        <v>33</v>
      </c>
      <c r="O598" s="17"/>
      <c r="P598" s="17"/>
      <c r="Q598" s="17">
        <v>34.14</v>
      </c>
      <c r="R598" s="236"/>
      <c r="S598" s="236"/>
      <c r="T598" s="236"/>
      <c r="U598" s="242"/>
    </row>
    <row r="599" spans="1:21" ht="13">
      <c r="A599" s="249"/>
      <c r="B599" s="245"/>
      <c r="C599" s="19" t="s">
        <v>46</v>
      </c>
      <c r="D599" s="17"/>
      <c r="E599" s="17"/>
      <c r="F599" s="17">
        <v>178</v>
      </c>
      <c r="G599" s="236"/>
      <c r="H599" s="236"/>
      <c r="I599" s="236"/>
      <c r="J599" s="242"/>
      <c r="L599" s="249"/>
      <c r="M599" s="245"/>
      <c r="N599" s="19" t="s">
        <v>46</v>
      </c>
      <c r="O599" s="17"/>
      <c r="P599" s="17"/>
      <c r="Q599" s="17">
        <v>178</v>
      </c>
      <c r="R599" s="236"/>
      <c r="S599" s="236"/>
      <c r="T599" s="236"/>
      <c r="U599" s="242"/>
    </row>
    <row r="600" spans="1:21" ht="13">
      <c r="A600" s="249"/>
      <c r="B600" s="246"/>
      <c r="C600" s="20" t="s">
        <v>155</v>
      </c>
      <c r="D600" s="21"/>
      <c r="E600" s="21"/>
      <c r="F600" s="21">
        <v>43</v>
      </c>
      <c r="G600" s="238"/>
      <c r="H600" s="238"/>
      <c r="I600" s="238"/>
      <c r="J600" s="243"/>
      <c r="L600" s="249"/>
      <c r="M600" s="246"/>
      <c r="N600" s="20" t="s">
        <v>155</v>
      </c>
      <c r="O600" s="21"/>
      <c r="P600" s="21"/>
      <c r="Q600" s="21">
        <v>43</v>
      </c>
      <c r="R600" s="238"/>
      <c r="S600" s="238"/>
      <c r="T600" s="238"/>
      <c r="U600" s="243"/>
    </row>
    <row r="601" spans="1:21" ht="13">
      <c r="A601" s="249"/>
      <c r="B601" s="244" t="s">
        <v>276</v>
      </c>
      <c r="C601" s="15" t="s">
        <v>147</v>
      </c>
      <c r="D601" s="17">
        <v>42</v>
      </c>
      <c r="E601" s="16">
        <v>15</v>
      </c>
      <c r="F601" s="17">
        <f t="shared" ref="F601:F602" si="109">D601*E601</f>
        <v>630</v>
      </c>
      <c r="G601" s="240">
        <f>SUM(F601:F604)</f>
        <v>2628</v>
      </c>
      <c r="H601" s="237">
        <v>4137.55</v>
      </c>
      <c r="I601" s="237">
        <f>H601-G601</f>
        <v>1509.5500000000002</v>
      </c>
      <c r="J601" s="241">
        <f>I601/H601</f>
        <v>0.3648415124892751</v>
      </c>
      <c r="L601" s="249"/>
      <c r="M601" s="244" t="s">
        <v>276</v>
      </c>
      <c r="N601" s="15" t="s">
        <v>147</v>
      </c>
      <c r="O601" s="17">
        <v>42</v>
      </c>
      <c r="P601" s="16">
        <v>15</v>
      </c>
      <c r="Q601" s="17">
        <f t="shared" ref="Q601:Q602" si="110">O601*P601</f>
        <v>630</v>
      </c>
      <c r="R601" s="240">
        <f>SUM(Q601:Q604)</f>
        <v>2628</v>
      </c>
      <c r="S601" s="237">
        <v>4137.55</v>
      </c>
      <c r="T601" s="237">
        <f>S601-R601</f>
        <v>1509.5500000000002</v>
      </c>
      <c r="U601" s="241">
        <f>T601/S601</f>
        <v>0.3648415124892751</v>
      </c>
    </row>
    <row r="602" spans="1:21" ht="13">
      <c r="A602" s="249"/>
      <c r="B602" s="245"/>
      <c r="C602" s="24" t="s">
        <v>140</v>
      </c>
      <c r="D602" s="24">
        <v>18</v>
      </c>
      <c r="E602" s="17">
        <v>15</v>
      </c>
      <c r="F602" s="17">
        <f t="shared" si="109"/>
        <v>270</v>
      </c>
      <c r="G602" s="236"/>
      <c r="H602" s="236"/>
      <c r="I602" s="236"/>
      <c r="J602" s="242"/>
      <c r="L602" s="249"/>
      <c r="M602" s="245"/>
      <c r="N602" s="24" t="s">
        <v>140</v>
      </c>
      <c r="O602" s="24">
        <v>18</v>
      </c>
      <c r="P602" s="17">
        <v>15</v>
      </c>
      <c r="Q602" s="17">
        <f t="shared" si="110"/>
        <v>270</v>
      </c>
      <c r="R602" s="236"/>
      <c r="S602" s="236"/>
      <c r="T602" s="236"/>
      <c r="U602" s="242"/>
    </row>
    <row r="603" spans="1:21" ht="13">
      <c r="A603" s="249"/>
      <c r="B603" s="245"/>
      <c r="C603" s="19" t="s">
        <v>33</v>
      </c>
      <c r="D603" s="17"/>
      <c r="E603" s="17"/>
      <c r="F603" s="17">
        <v>1728</v>
      </c>
      <c r="G603" s="236"/>
      <c r="H603" s="236"/>
      <c r="I603" s="236"/>
      <c r="J603" s="242"/>
      <c r="L603" s="249"/>
      <c r="M603" s="245"/>
      <c r="N603" s="19" t="s">
        <v>33</v>
      </c>
      <c r="O603" s="17"/>
      <c r="P603" s="17"/>
      <c r="Q603" s="17">
        <v>1728</v>
      </c>
      <c r="R603" s="236"/>
      <c r="S603" s="236"/>
      <c r="T603" s="236"/>
      <c r="U603" s="242"/>
    </row>
    <row r="604" spans="1:21" ht="13">
      <c r="A604" s="249"/>
      <c r="B604" s="246"/>
      <c r="C604" s="20"/>
      <c r="D604" s="21"/>
      <c r="E604" s="21"/>
      <c r="F604" s="21"/>
      <c r="G604" s="238"/>
      <c r="H604" s="238"/>
      <c r="I604" s="238"/>
      <c r="J604" s="243"/>
      <c r="L604" s="249"/>
      <c r="M604" s="246"/>
      <c r="N604" s="20"/>
      <c r="O604" s="21"/>
      <c r="P604" s="21"/>
      <c r="Q604" s="21"/>
      <c r="R604" s="238"/>
      <c r="S604" s="238"/>
      <c r="T604" s="238"/>
      <c r="U604" s="243"/>
    </row>
    <row r="605" spans="1:21" ht="13">
      <c r="A605" s="249"/>
      <c r="B605" s="244" t="s">
        <v>277</v>
      </c>
      <c r="C605" s="15" t="s">
        <v>209</v>
      </c>
      <c r="D605" s="17">
        <v>7</v>
      </c>
      <c r="E605" s="16">
        <v>18</v>
      </c>
      <c r="F605" s="17">
        <f>D605*E605</f>
        <v>126</v>
      </c>
      <c r="G605" s="240">
        <f>SUM(F605:F609)</f>
        <v>258.60000000000002</v>
      </c>
      <c r="H605" s="237">
        <v>2201.4699999999998</v>
      </c>
      <c r="I605" s="237">
        <f>H605-G605</f>
        <v>1942.87</v>
      </c>
      <c r="J605" s="241">
        <f>I605/H605</f>
        <v>0.88253303474496592</v>
      </c>
      <c r="L605" s="249"/>
      <c r="M605" s="244" t="s">
        <v>277</v>
      </c>
      <c r="N605" s="15" t="s">
        <v>209</v>
      </c>
      <c r="O605" s="18"/>
      <c r="P605" s="18"/>
      <c r="Q605" s="18"/>
      <c r="R605" s="240">
        <f>SUM(Q605:Q609)</f>
        <v>132.6</v>
      </c>
      <c r="S605" s="237">
        <v>2201.4699999999998</v>
      </c>
      <c r="T605" s="237">
        <f>S605-R605</f>
        <v>2068.87</v>
      </c>
      <c r="U605" s="241">
        <f>T605/S605</f>
        <v>0.93976751897595701</v>
      </c>
    </row>
    <row r="606" spans="1:21" ht="13">
      <c r="A606" s="249"/>
      <c r="B606" s="245"/>
      <c r="C606" s="24" t="s">
        <v>83</v>
      </c>
      <c r="E606" s="17"/>
      <c r="F606" s="17">
        <v>85</v>
      </c>
      <c r="G606" s="236"/>
      <c r="H606" s="236"/>
      <c r="I606" s="236"/>
      <c r="J606" s="242"/>
      <c r="L606" s="249"/>
      <c r="M606" s="245"/>
      <c r="N606" s="24" t="s">
        <v>83</v>
      </c>
      <c r="P606" s="17"/>
      <c r="Q606" s="17">
        <v>85</v>
      </c>
      <c r="R606" s="236"/>
      <c r="S606" s="236"/>
      <c r="T606" s="236"/>
      <c r="U606" s="242"/>
    </row>
    <row r="607" spans="1:21" ht="13">
      <c r="A607" s="249"/>
      <c r="B607" s="245"/>
      <c r="C607" s="24" t="s">
        <v>278</v>
      </c>
      <c r="D607" s="24"/>
      <c r="E607" s="17"/>
      <c r="F607" s="17">
        <v>11.6</v>
      </c>
      <c r="G607" s="236"/>
      <c r="H607" s="236"/>
      <c r="I607" s="236"/>
      <c r="J607" s="242"/>
      <c r="L607" s="249"/>
      <c r="M607" s="245"/>
      <c r="N607" s="24" t="s">
        <v>278</v>
      </c>
      <c r="O607" s="24"/>
      <c r="P607" s="17"/>
      <c r="Q607" s="17">
        <v>11.6</v>
      </c>
      <c r="R607" s="236"/>
      <c r="S607" s="236"/>
      <c r="T607" s="236"/>
      <c r="U607" s="242"/>
    </row>
    <row r="608" spans="1:21" ht="13">
      <c r="A608" s="249"/>
      <c r="B608" s="245"/>
      <c r="C608" s="24" t="s">
        <v>44</v>
      </c>
      <c r="D608" s="24"/>
      <c r="E608" s="17"/>
      <c r="F608" s="17">
        <v>36</v>
      </c>
      <c r="G608" s="236"/>
      <c r="H608" s="236"/>
      <c r="I608" s="236"/>
      <c r="J608" s="242"/>
      <c r="L608" s="249"/>
      <c r="M608" s="245"/>
      <c r="N608" s="24" t="s">
        <v>44</v>
      </c>
      <c r="O608" s="24"/>
      <c r="P608" s="17"/>
      <c r="Q608" s="17">
        <v>36</v>
      </c>
      <c r="R608" s="236"/>
      <c r="S608" s="236"/>
      <c r="T608" s="236"/>
      <c r="U608" s="242"/>
    </row>
    <row r="609" spans="1:21" ht="13">
      <c r="A609" s="249"/>
      <c r="B609" s="246"/>
      <c r="C609" s="20"/>
      <c r="D609" s="21"/>
      <c r="E609" s="21"/>
      <c r="F609" s="21"/>
      <c r="G609" s="238"/>
      <c r="H609" s="238"/>
      <c r="I609" s="238"/>
      <c r="J609" s="243"/>
      <c r="L609" s="249"/>
      <c r="M609" s="246"/>
      <c r="N609" s="20"/>
      <c r="O609" s="21"/>
      <c r="P609" s="21"/>
      <c r="Q609" s="21"/>
      <c r="R609" s="238"/>
      <c r="S609" s="238"/>
      <c r="T609" s="238"/>
      <c r="U609" s="243"/>
    </row>
    <row r="610" spans="1:21" ht="13">
      <c r="A610" s="249"/>
      <c r="B610" s="244" t="s">
        <v>279</v>
      </c>
      <c r="C610" s="15" t="s">
        <v>209</v>
      </c>
      <c r="D610" s="17">
        <v>7</v>
      </c>
      <c r="E610" s="16">
        <v>18</v>
      </c>
      <c r="F610" s="17">
        <f t="shared" ref="F610:F614" si="111">D610*E610</f>
        <v>126</v>
      </c>
      <c r="G610" s="240">
        <f>SUM(F610:F614)</f>
        <v>1101.9100000000001</v>
      </c>
      <c r="H610" s="237">
        <v>2430</v>
      </c>
      <c r="I610" s="237">
        <f>H610-G610</f>
        <v>1328.09</v>
      </c>
      <c r="J610" s="241">
        <f>I610/H610</f>
        <v>0.54653909465020578</v>
      </c>
      <c r="L610" s="249"/>
      <c r="M610" s="244" t="s">
        <v>279</v>
      </c>
      <c r="N610" s="15" t="s">
        <v>209</v>
      </c>
      <c r="O610" s="18"/>
      <c r="P610" s="18"/>
      <c r="Q610" s="18"/>
      <c r="R610" s="240">
        <f>SUM(Q610:Q614)</f>
        <v>975.91000000000008</v>
      </c>
      <c r="S610" s="237">
        <v>2430</v>
      </c>
      <c r="T610" s="237">
        <f>S610-R610</f>
        <v>1454.09</v>
      </c>
      <c r="U610" s="241">
        <f>T610/S610</f>
        <v>0.5983909465020576</v>
      </c>
    </row>
    <row r="611" spans="1:21" ht="13">
      <c r="A611" s="249"/>
      <c r="B611" s="245"/>
      <c r="C611" s="24" t="s">
        <v>280</v>
      </c>
      <c r="D611" s="24">
        <v>18.45</v>
      </c>
      <c r="E611" s="17">
        <v>13</v>
      </c>
      <c r="F611" s="17">
        <f t="shared" si="111"/>
        <v>239.85</v>
      </c>
      <c r="G611" s="236"/>
      <c r="H611" s="236"/>
      <c r="I611" s="236"/>
      <c r="J611" s="242"/>
      <c r="L611" s="249"/>
      <c r="M611" s="245"/>
      <c r="N611" s="24" t="s">
        <v>280</v>
      </c>
      <c r="O611" s="24">
        <v>18.45</v>
      </c>
      <c r="P611" s="17">
        <v>13</v>
      </c>
      <c r="Q611" s="17">
        <f t="shared" ref="Q611:Q614" si="112">O611*P611</f>
        <v>239.85</v>
      </c>
      <c r="R611" s="236"/>
      <c r="S611" s="236"/>
      <c r="T611" s="236"/>
      <c r="U611" s="242"/>
    </row>
    <row r="612" spans="1:21" ht="13">
      <c r="A612" s="249"/>
      <c r="B612" s="245"/>
      <c r="C612" s="24" t="s">
        <v>64</v>
      </c>
      <c r="D612" s="17">
        <v>29.47</v>
      </c>
      <c r="E612" s="17">
        <v>13</v>
      </c>
      <c r="F612" s="17">
        <f t="shared" si="111"/>
        <v>383.11</v>
      </c>
      <c r="G612" s="236"/>
      <c r="H612" s="236"/>
      <c r="I612" s="236"/>
      <c r="J612" s="242"/>
      <c r="L612" s="249"/>
      <c r="M612" s="245"/>
      <c r="N612" s="24" t="s">
        <v>64</v>
      </c>
      <c r="O612" s="17">
        <v>29.47</v>
      </c>
      <c r="P612" s="17">
        <v>13</v>
      </c>
      <c r="Q612" s="17">
        <f t="shared" si="112"/>
        <v>383.11</v>
      </c>
      <c r="R612" s="236"/>
      <c r="S612" s="236"/>
      <c r="T612" s="236"/>
      <c r="U612" s="242"/>
    </row>
    <row r="613" spans="1:21" ht="13">
      <c r="A613" s="249"/>
      <c r="B613" s="245"/>
      <c r="C613" s="24" t="s">
        <v>222</v>
      </c>
      <c r="D613" s="17">
        <v>9.4</v>
      </c>
      <c r="E613" s="17">
        <v>13</v>
      </c>
      <c r="F613" s="17">
        <f t="shared" si="111"/>
        <v>122.2</v>
      </c>
      <c r="G613" s="236"/>
      <c r="H613" s="236"/>
      <c r="I613" s="236"/>
      <c r="J613" s="242"/>
      <c r="L613" s="249"/>
      <c r="M613" s="245"/>
      <c r="N613" s="24" t="s">
        <v>222</v>
      </c>
      <c r="O613" s="17">
        <v>9.4</v>
      </c>
      <c r="P613" s="17">
        <v>13</v>
      </c>
      <c r="Q613" s="17">
        <f t="shared" si="112"/>
        <v>122.2</v>
      </c>
      <c r="R613" s="236"/>
      <c r="S613" s="236"/>
      <c r="T613" s="236"/>
      <c r="U613" s="242"/>
    </row>
    <row r="614" spans="1:21" ht="13">
      <c r="A614" s="249"/>
      <c r="B614" s="245"/>
      <c r="C614" s="19" t="s">
        <v>80</v>
      </c>
      <c r="D614" s="17">
        <v>17.75</v>
      </c>
      <c r="E614" s="17">
        <v>13</v>
      </c>
      <c r="F614" s="17">
        <f t="shared" si="111"/>
        <v>230.75</v>
      </c>
      <c r="G614" s="236"/>
      <c r="H614" s="236"/>
      <c r="I614" s="236"/>
      <c r="J614" s="242"/>
      <c r="L614" s="249"/>
      <c r="M614" s="245"/>
      <c r="N614" s="19" t="s">
        <v>80</v>
      </c>
      <c r="O614" s="17">
        <v>17.75</v>
      </c>
      <c r="P614" s="17">
        <v>13</v>
      </c>
      <c r="Q614" s="17">
        <f t="shared" si="112"/>
        <v>230.75</v>
      </c>
      <c r="R614" s="236"/>
      <c r="S614" s="236"/>
      <c r="T614" s="236"/>
      <c r="U614" s="242"/>
    </row>
    <row r="615" spans="1:21" ht="13">
      <c r="A615" s="250"/>
      <c r="B615" s="246"/>
      <c r="C615" s="20"/>
      <c r="D615" s="21"/>
      <c r="E615" s="21"/>
      <c r="F615" s="21"/>
      <c r="G615" s="238"/>
      <c r="H615" s="238"/>
      <c r="I615" s="238"/>
      <c r="J615" s="243"/>
      <c r="L615" s="250"/>
      <c r="M615" s="246"/>
      <c r="N615" s="20"/>
      <c r="O615" s="21"/>
      <c r="P615" s="21"/>
      <c r="Q615" s="21"/>
      <c r="R615" s="238"/>
      <c r="S615" s="238"/>
      <c r="T615" s="238"/>
      <c r="U615" s="243"/>
    </row>
    <row r="616" spans="1:21" ht="30">
      <c r="A616" s="278" t="s">
        <v>281</v>
      </c>
      <c r="B616" s="252"/>
      <c r="C616" s="253"/>
      <c r="D616" s="56">
        <f t="shared" ref="D616:I616" si="113">AVERAGE(D496:D615)</f>
        <v>16.378833333333333</v>
      </c>
      <c r="E616" s="56">
        <f t="shared" si="113"/>
        <v>14.6</v>
      </c>
      <c r="F616" s="56">
        <f t="shared" si="113"/>
        <v>220.10736842105257</v>
      </c>
      <c r="G616" s="56">
        <f t="shared" si="113"/>
        <v>1394.0133333333333</v>
      </c>
      <c r="H616" s="56">
        <f t="shared" si="113"/>
        <v>3435.3811111111113</v>
      </c>
      <c r="I616" s="56">
        <f t="shared" si="113"/>
        <v>2041.367777777778</v>
      </c>
      <c r="J616" s="57">
        <f>AVERAGE($J$12:$J$76)</f>
        <v>0.79942354689485917</v>
      </c>
      <c r="L616" s="278" t="s">
        <v>281</v>
      </c>
      <c r="M616" s="252"/>
      <c r="N616" s="253"/>
      <c r="O616" s="56">
        <f t="shared" ref="O616:T616" si="114">AVERAGE(O496:O615)</f>
        <v>18.041190476190476</v>
      </c>
      <c r="P616" s="56">
        <f t="shared" si="114"/>
        <v>13.80952380952381</v>
      </c>
      <c r="Q616" s="56">
        <f t="shared" si="114"/>
        <v>222.32541666666665</v>
      </c>
      <c r="R616" s="56">
        <f t="shared" si="114"/>
        <v>1185.7355555555553</v>
      </c>
      <c r="S616" s="56">
        <f t="shared" si="114"/>
        <v>3435.3811111111113</v>
      </c>
      <c r="T616" s="56">
        <f t="shared" si="114"/>
        <v>2249.6455555555558</v>
      </c>
      <c r="U616" s="57">
        <f>AVERAGE($J$12:$J$76)</f>
        <v>0.79942354689485917</v>
      </c>
    </row>
    <row r="617" spans="1:21" ht="30">
      <c r="A617" s="279" t="s">
        <v>282</v>
      </c>
      <c r="B617" s="255"/>
      <c r="C617" s="256"/>
      <c r="D617" s="56">
        <f t="shared" ref="D617:I617" si="115">SUM(D496:D615)</f>
        <v>982.7299999999999</v>
      </c>
      <c r="E617" s="56">
        <f t="shared" si="115"/>
        <v>876</v>
      </c>
      <c r="F617" s="56">
        <f t="shared" si="115"/>
        <v>25092.239999999994</v>
      </c>
      <c r="G617" s="56">
        <f t="shared" si="115"/>
        <v>25092.239999999998</v>
      </c>
      <c r="H617" s="56">
        <f t="shared" si="115"/>
        <v>61836.86</v>
      </c>
      <c r="I617" s="56">
        <f t="shared" si="115"/>
        <v>36744.620000000003</v>
      </c>
      <c r="J617" s="58">
        <f t="shared" ref="J617:J618" si="116">I617/H617</f>
        <v>0.59421872326634961</v>
      </c>
      <c r="L617" s="279" t="s">
        <v>282</v>
      </c>
      <c r="M617" s="255"/>
      <c r="N617" s="256"/>
      <c r="O617" s="56">
        <f t="shared" ref="O617:T617" si="117">SUM(O496:O615)</f>
        <v>757.73</v>
      </c>
      <c r="P617" s="56">
        <f t="shared" si="117"/>
        <v>580</v>
      </c>
      <c r="Q617" s="56">
        <f t="shared" si="117"/>
        <v>21343.239999999998</v>
      </c>
      <c r="R617" s="56">
        <f t="shared" si="117"/>
        <v>21343.239999999994</v>
      </c>
      <c r="S617" s="56">
        <f t="shared" si="117"/>
        <v>61836.86</v>
      </c>
      <c r="T617" s="56">
        <f t="shared" si="117"/>
        <v>40493.620000000003</v>
      </c>
      <c r="U617" s="58">
        <f t="shared" ref="U617:U618" si="118">T617/S617</f>
        <v>0.65484599315036374</v>
      </c>
    </row>
    <row r="618" spans="1:21" ht="13">
      <c r="A618" s="277" t="s">
        <v>5</v>
      </c>
      <c r="B618" s="244" t="s">
        <v>608</v>
      </c>
      <c r="C618" s="15" t="s">
        <v>609</v>
      </c>
      <c r="D618" s="16">
        <v>6.87</v>
      </c>
      <c r="E618" s="16">
        <v>13</v>
      </c>
      <c r="F618" s="17">
        <f t="shared" ref="F618:F620" si="119">D618*E618</f>
        <v>89.31</v>
      </c>
      <c r="G618" s="240">
        <f>SUM(F618:F626)</f>
        <v>1818.9999999999998</v>
      </c>
      <c r="H618" s="237">
        <v>2784.6</v>
      </c>
      <c r="I618" s="237">
        <f>H618-G618</f>
        <v>965.60000000000014</v>
      </c>
      <c r="J618" s="241">
        <f t="shared" si="116"/>
        <v>0.34676434676434681</v>
      </c>
      <c r="L618" s="277" t="s">
        <v>5</v>
      </c>
      <c r="M618" s="244" t="s">
        <v>608</v>
      </c>
      <c r="N618" s="15" t="s">
        <v>609</v>
      </c>
      <c r="O618" s="16">
        <v>6.87</v>
      </c>
      <c r="P618" s="16">
        <v>13</v>
      </c>
      <c r="Q618" s="17">
        <f>O618*P618</f>
        <v>89.31</v>
      </c>
      <c r="R618" s="240">
        <f>SUM(Q618:Q626)</f>
        <v>1566.9999999999998</v>
      </c>
      <c r="S618" s="237">
        <v>2784.6</v>
      </c>
      <c r="T618" s="237">
        <f>S618-R618</f>
        <v>1217.6000000000001</v>
      </c>
      <c r="U618" s="241">
        <f t="shared" si="118"/>
        <v>0.43726208432090791</v>
      </c>
    </row>
    <row r="619" spans="1:21" ht="13">
      <c r="A619" s="249"/>
      <c r="B619" s="245"/>
      <c r="C619" s="19" t="s">
        <v>209</v>
      </c>
      <c r="D619" s="17">
        <v>14</v>
      </c>
      <c r="E619" s="17">
        <v>18</v>
      </c>
      <c r="F619" s="17">
        <f t="shared" si="119"/>
        <v>252</v>
      </c>
      <c r="G619" s="236"/>
      <c r="H619" s="236"/>
      <c r="I619" s="236"/>
      <c r="J619" s="242"/>
      <c r="L619" s="249"/>
      <c r="M619" s="245"/>
      <c r="N619" s="19" t="s">
        <v>209</v>
      </c>
      <c r="O619" s="18"/>
      <c r="P619" s="18"/>
      <c r="Q619" s="18"/>
      <c r="R619" s="236"/>
      <c r="S619" s="236"/>
      <c r="T619" s="236"/>
      <c r="U619" s="242"/>
    </row>
    <row r="620" spans="1:21" ht="13">
      <c r="A620" s="249"/>
      <c r="B620" s="245"/>
      <c r="C620" s="19" t="s">
        <v>62</v>
      </c>
      <c r="D620" s="17">
        <v>20.75</v>
      </c>
      <c r="E620" s="17">
        <v>13</v>
      </c>
      <c r="F620" s="17">
        <f t="shared" si="119"/>
        <v>269.75</v>
      </c>
      <c r="G620" s="236"/>
      <c r="H620" s="236"/>
      <c r="I620" s="236"/>
      <c r="J620" s="242"/>
      <c r="L620" s="249"/>
      <c r="M620" s="245"/>
      <c r="N620" s="19" t="s">
        <v>62</v>
      </c>
      <c r="O620" s="17">
        <v>20.75</v>
      </c>
      <c r="P620" s="17">
        <v>13</v>
      </c>
      <c r="Q620" s="17">
        <f>O620*P620</f>
        <v>269.75</v>
      </c>
      <c r="R620" s="236"/>
      <c r="S620" s="236"/>
      <c r="T620" s="236"/>
      <c r="U620" s="242"/>
    </row>
    <row r="621" spans="1:21" ht="13">
      <c r="A621" s="249"/>
      <c r="B621" s="245"/>
      <c r="C621" s="19" t="s">
        <v>35</v>
      </c>
      <c r="D621" s="17"/>
      <c r="E621" s="17"/>
      <c r="F621" s="17">
        <v>150</v>
      </c>
      <c r="G621" s="236"/>
      <c r="H621" s="236"/>
      <c r="I621" s="236"/>
      <c r="J621" s="242"/>
      <c r="L621" s="249"/>
      <c r="M621" s="245"/>
      <c r="N621" s="19" t="s">
        <v>35</v>
      </c>
      <c r="O621" s="17"/>
      <c r="P621" s="17"/>
      <c r="Q621" s="17">
        <v>150</v>
      </c>
      <c r="R621" s="236"/>
      <c r="S621" s="236"/>
      <c r="T621" s="236"/>
      <c r="U621" s="242"/>
    </row>
    <row r="622" spans="1:21" ht="13">
      <c r="A622" s="249"/>
      <c r="B622" s="245"/>
      <c r="C622" s="19" t="s">
        <v>106</v>
      </c>
      <c r="D622" s="17">
        <v>18.45</v>
      </c>
      <c r="E622" s="17">
        <v>13</v>
      </c>
      <c r="F622" s="17">
        <f t="shared" ref="F622:F636" si="120">D622*E622</f>
        <v>239.85</v>
      </c>
      <c r="G622" s="236"/>
      <c r="H622" s="236"/>
      <c r="I622" s="236"/>
      <c r="J622" s="242"/>
      <c r="L622" s="249"/>
      <c r="M622" s="245"/>
      <c r="N622" s="19" t="s">
        <v>106</v>
      </c>
      <c r="O622" s="17">
        <v>18.45</v>
      </c>
      <c r="P622" s="17">
        <v>13</v>
      </c>
      <c r="Q622" s="17">
        <f t="shared" ref="Q622:Q626" si="121">O622*P622</f>
        <v>239.85</v>
      </c>
      <c r="R622" s="236"/>
      <c r="S622" s="236"/>
      <c r="T622" s="236"/>
      <c r="U622" s="242"/>
    </row>
    <row r="623" spans="1:21" ht="13">
      <c r="A623" s="249"/>
      <c r="B623" s="245"/>
      <c r="C623" s="19" t="s">
        <v>58</v>
      </c>
      <c r="D623" s="17">
        <v>19.38</v>
      </c>
      <c r="E623" s="17">
        <v>13</v>
      </c>
      <c r="F623" s="17">
        <f t="shared" si="120"/>
        <v>251.94</v>
      </c>
      <c r="G623" s="236"/>
      <c r="H623" s="236"/>
      <c r="I623" s="236"/>
      <c r="J623" s="242"/>
      <c r="L623" s="249"/>
      <c r="M623" s="245"/>
      <c r="N623" s="19" t="s">
        <v>58</v>
      </c>
      <c r="O623" s="17">
        <v>19.38</v>
      </c>
      <c r="P623" s="17">
        <v>13</v>
      </c>
      <c r="Q623" s="17">
        <f t="shared" si="121"/>
        <v>251.94</v>
      </c>
      <c r="R623" s="236"/>
      <c r="S623" s="236"/>
      <c r="T623" s="236"/>
      <c r="U623" s="242"/>
    </row>
    <row r="624" spans="1:21" ht="13">
      <c r="A624" s="249"/>
      <c r="B624" s="245"/>
      <c r="C624" s="19" t="s">
        <v>583</v>
      </c>
      <c r="D624" s="17">
        <v>20.100000000000001</v>
      </c>
      <c r="E624" s="17">
        <v>13</v>
      </c>
      <c r="F624" s="17">
        <f t="shared" si="120"/>
        <v>261.3</v>
      </c>
      <c r="G624" s="236"/>
      <c r="H624" s="236"/>
      <c r="I624" s="236"/>
      <c r="J624" s="242"/>
      <c r="L624" s="249"/>
      <c r="M624" s="245"/>
      <c r="N624" s="19" t="s">
        <v>583</v>
      </c>
      <c r="O624" s="17">
        <v>20.100000000000001</v>
      </c>
      <c r="P624" s="17">
        <v>13</v>
      </c>
      <c r="Q624" s="17">
        <f t="shared" si="121"/>
        <v>261.3</v>
      </c>
      <c r="R624" s="236"/>
      <c r="S624" s="236"/>
      <c r="T624" s="236"/>
      <c r="U624" s="242"/>
    </row>
    <row r="625" spans="1:21" ht="13">
      <c r="A625" s="249"/>
      <c r="B625" s="245"/>
      <c r="C625" s="19" t="s">
        <v>216</v>
      </c>
      <c r="D625" s="17">
        <v>2</v>
      </c>
      <c r="E625" s="17">
        <v>13</v>
      </c>
      <c r="F625" s="17">
        <f t="shared" si="120"/>
        <v>26</v>
      </c>
      <c r="G625" s="236"/>
      <c r="H625" s="236"/>
      <c r="I625" s="236"/>
      <c r="J625" s="242"/>
      <c r="L625" s="249"/>
      <c r="M625" s="245"/>
      <c r="N625" s="19" t="s">
        <v>216</v>
      </c>
      <c r="O625" s="17">
        <v>2</v>
      </c>
      <c r="P625" s="17">
        <v>13</v>
      </c>
      <c r="Q625" s="17">
        <f t="shared" si="121"/>
        <v>26</v>
      </c>
      <c r="R625" s="236"/>
      <c r="S625" s="236"/>
      <c r="T625" s="236"/>
      <c r="U625" s="242"/>
    </row>
    <row r="626" spans="1:21" ht="13">
      <c r="A626" s="249"/>
      <c r="B626" s="246"/>
      <c r="C626" s="20" t="s">
        <v>607</v>
      </c>
      <c r="D626" s="21">
        <v>21.45</v>
      </c>
      <c r="E626" s="21">
        <v>13</v>
      </c>
      <c r="F626" s="21">
        <f t="shared" si="120"/>
        <v>278.84999999999997</v>
      </c>
      <c r="G626" s="238"/>
      <c r="H626" s="238"/>
      <c r="I626" s="238"/>
      <c r="J626" s="243"/>
      <c r="L626" s="249"/>
      <c r="M626" s="246"/>
      <c r="N626" s="20" t="s">
        <v>607</v>
      </c>
      <c r="O626" s="21">
        <v>21.45</v>
      </c>
      <c r="P626" s="21">
        <v>13</v>
      </c>
      <c r="Q626" s="21">
        <f t="shared" si="121"/>
        <v>278.84999999999997</v>
      </c>
      <c r="R626" s="238"/>
      <c r="S626" s="238"/>
      <c r="T626" s="238"/>
      <c r="U626" s="243"/>
    </row>
    <row r="627" spans="1:21" ht="13">
      <c r="A627" s="249"/>
      <c r="B627" s="244" t="s">
        <v>610</v>
      </c>
      <c r="C627" s="64" t="s">
        <v>23</v>
      </c>
      <c r="D627" s="50">
        <v>14</v>
      </c>
      <c r="E627" s="50">
        <v>16</v>
      </c>
      <c r="F627" s="65">
        <f t="shared" si="120"/>
        <v>224</v>
      </c>
      <c r="G627" s="240">
        <f>SUM(F627:F641)</f>
        <v>4745.9000000000005</v>
      </c>
      <c r="H627" s="240">
        <v>7000</v>
      </c>
      <c r="I627" s="240">
        <f>H627-G627</f>
        <v>2254.0999999999995</v>
      </c>
      <c r="J627" s="241">
        <f>I627/H627</f>
        <v>0.32201428571428564</v>
      </c>
      <c r="L627" s="249"/>
      <c r="M627" s="244" t="s">
        <v>610</v>
      </c>
      <c r="N627" s="64" t="s">
        <v>23</v>
      </c>
      <c r="O627" s="18"/>
      <c r="P627" s="18"/>
      <c r="Q627" s="18"/>
      <c r="R627" s="240">
        <f>SUM(Q627:Q641)</f>
        <v>4143.9000000000005</v>
      </c>
      <c r="S627" s="240">
        <v>7000</v>
      </c>
      <c r="T627" s="240">
        <f>S627-R627</f>
        <v>2856.0999999999995</v>
      </c>
      <c r="U627" s="241">
        <f>T627/S627</f>
        <v>0.40801428571428566</v>
      </c>
    </row>
    <row r="628" spans="1:21" ht="13">
      <c r="A628" s="249"/>
      <c r="B628" s="245"/>
      <c r="C628" s="22" t="s">
        <v>209</v>
      </c>
      <c r="D628" s="23">
        <v>21</v>
      </c>
      <c r="E628" s="23">
        <v>18</v>
      </c>
      <c r="F628" s="23">
        <f t="shared" si="120"/>
        <v>378</v>
      </c>
      <c r="G628" s="236"/>
      <c r="H628" s="236"/>
      <c r="I628" s="236"/>
      <c r="J628" s="242"/>
      <c r="L628" s="249"/>
      <c r="M628" s="245"/>
      <c r="N628" s="22" t="s">
        <v>209</v>
      </c>
      <c r="O628" s="18"/>
      <c r="P628" s="18"/>
      <c r="Q628" s="18"/>
      <c r="R628" s="236"/>
      <c r="S628" s="236"/>
      <c r="T628" s="236"/>
      <c r="U628" s="242"/>
    </row>
    <row r="629" spans="1:21" ht="13">
      <c r="A629" s="249"/>
      <c r="B629" s="245"/>
      <c r="C629" s="22" t="s">
        <v>597</v>
      </c>
      <c r="D629" s="23">
        <v>10.7</v>
      </c>
      <c r="E629" s="23">
        <v>17</v>
      </c>
      <c r="F629" s="23">
        <f t="shared" si="120"/>
        <v>181.89999999999998</v>
      </c>
      <c r="G629" s="236"/>
      <c r="H629" s="236"/>
      <c r="I629" s="236"/>
      <c r="J629" s="242"/>
      <c r="L629" s="249"/>
      <c r="M629" s="245"/>
      <c r="N629" s="22" t="s">
        <v>597</v>
      </c>
      <c r="O629" s="23">
        <v>10.7</v>
      </c>
      <c r="P629" s="23">
        <v>17</v>
      </c>
      <c r="Q629" s="23">
        <f t="shared" ref="Q629:Q636" si="122">O629*P629</f>
        <v>181.89999999999998</v>
      </c>
      <c r="R629" s="236"/>
      <c r="S629" s="236"/>
      <c r="T629" s="236"/>
      <c r="U629" s="242"/>
    </row>
    <row r="630" spans="1:21" ht="13">
      <c r="A630" s="249"/>
      <c r="B630" s="245"/>
      <c r="C630" s="22" t="s">
        <v>55</v>
      </c>
      <c r="D630" s="23">
        <v>24.25</v>
      </c>
      <c r="E630" s="23">
        <v>15</v>
      </c>
      <c r="F630" s="23">
        <f t="shared" si="120"/>
        <v>363.75</v>
      </c>
      <c r="G630" s="236"/>
      <c r="H630" s="236"/>
      <c r="I630" s="236"/>
      <c r="J630" s="242"/>
      <c r="L630" s="249"/>
      <c r="M630" s="245"/>
      <c r="N630" s="22" t="s">
        <v>55</v>
      </c>
      <c r="O630" s="23">
        <v>24.25</v>
      </c>
      <c r="P630" s="23">
        <v>15</v>
      </c>
      <c r="Q630" s="23">
        <f t="shared" si="122"/>
        <v>363.75</v>
      </c>
      <c r="R630" s="236"/>
      <c r="S630" s="236"/>
      <c r="T630" s="236"/>
      <c r="U630" s="242"/>
    </row>
    <row r="631" spans="1:21" ht="13">
      <c r="A631" s="249"/>
      <c r="B631" s="245"/>
      <c r="C631" s="22" t="s">
        <v>330</v>
      </c>
      <c r="D631" s="23">
        <v>28.65</v>
      </c>
      <c r="E631" s="23">
        <v>15</v>
      </c>
      <c r="F631" s="23">
        <f t="shared" si="120"/>
        <v>429.75</v>
      </c>
      <c r="G631" s="236"/>
      <c r="H631" s="236"/>
      <c r="I631" s="236"/>
      <c r="J631" s="242"/>
      <c r="L631" s="249"/>
      <c r="M631" s="245"/>
      <c r="N631" s="22" t="s">
        <v>330</v>
      </c>
      <c r="O631" s="23">
        <v>28.65</v>
      </c>
      <c r="P631" s="23">
        <v>15</v>
      </c>
      <c r="Q631" s="23">
        <f t="shared" si="122"/>
        <v>429.75</v>
      </c>
      <c r="R631" s="236"/>
      <c r="S631" s="236"/>
      <c r="T631" s="236"/>
      <c r="U631" s="242"/>
    </row>
    <row r="632" spans="1:21" ht="13">
      <c r="A632" s="249"/>
      <c r="B632" s="245"/>
      <c r="C632" s="22" t="s">
        <v>190</v>
      </c>
      <c r="D632" s="23">
        <v>17.7</v>
      </c>
      <c r="E632" s="23">
        <v>15</v>
      </c>
      <c r="F632" s="23">
        <f t="shared" si="120"/>
        <v>265.5</v>
      </c>
      <c r="G632" s="236"/>
      <c r="H632" s="236"/>
      <c r="I632" s="236"/>
      <c r="J632" s="242"/>
      <c r="L632" s="249"/>
      <c r="M632" s="245"/>
      <c r="N632" s="22" t="s">
        <v>190</v>
      </c>
      <c r="O632" s="23">
        <v>17.7</v>
      </c>
      <c r="P632" s="23">
        <v>15</v>
      </c>
      <c r="Q632" s="23">
        <f t="shared" si="122"/>
        <v>265.5</v>
      </c>
      <c r="R632" s="236"/>
      <c r="S632" s="236"/>
      <c r="T632" s="236"/>
      <c r="U632" s="242"/>
    </row>
    <row r="633" spans="1:21" ht="13">
      <c r="A633" s="249"/>
      <c r="B633" s="245"/>
      <c r="C633" s="24" t="s">
        <v>236</v>
      </c>
      <c r="D633" s="23">
        <v>20.7</v>
      </c>
      <c r="E633" s="23">
        <v>17</v>
      </c>
      <c r="F633" s="23">
        <f t="shared" si="120"/>
        <v>351.9</v>
      </c>
      <c r="G633" s="236"/>
      <c r="H633" s="236"/>
      <c r="I633" s="236"/>
      <c r="J633" s="242"/>
      <c r="L633" s="249"/>
      <c r="M633" s="245"/>
      <c r="N633" s="24" t="s">
        <v>236</v>
      </c>
      <c r="O633" s="23">
        <v>20.7</v>
      </c>
      <c r="P633" s="23">
        <v>17</v>
      </c>
      <c r="Q633" s="23">
        <f t="shared" si="122"/>
        <v>351.9</v>
      </c>
      <c r="R633" s="236"/>
      <c r="S633" s="236"/>
      <c r="T633" s="236"/>
      <c r="U633" s="242"/>
    </row>
    <row r="634" spans="1:21" ht="13">
      <c r="A634" s="249"/>
      <c r="B634" s="245"/>
      <c r="C634" s="22" t="s">
        <v>53</v>
      </c>
      <c r="D634" s="23">
        <v>23.05</v>
      </c>
      <c r="E634" s="23">
        <v>15</v>
      </c>
      <c r="F634" s="23">
        <f t="shared" si="120"/>
        <v>345.75</v>
      </c>
      <c r="G634" s="236"/>
      <c r="H634" s="236"/>
      <c r="I634" s="236"/>
      <c r="J634" s="242"/>
      <c r="L634" s="249"/>
      <c r="M634" s="245"/>
      <c r="N634" s="22" t="s">
        <v>53</v>
      </c>
      <c r="O634" s="23">
        <v>23.05</v>
      </c>
      <c r="P634" s="23">
        <v>15</v>
      </c>
      <c r="Q634" s="23">
        <f t="shared" si="122"/>
        <v>345.75</v>
      </c>
      <c r="R634" s="236"/>
      <c r="S634" s="236"/>
      <c r="T634" s="236"/>
      <c r="U634" s="242"/>
    </row>
    <row r="635" spans="1:21" ht="13">
      <c r="A635" s="249"/>
      <c r="B635" s="245"/>
      <c r="C635" s="22" t="s">
        <v>32</v>
      </c>
      <c r="D635" s="23">
        <v>25.4</v>
      </c>
      <c r="E635" s="23">
        <v>15</v>
      </c>
      <c r="F635" s="23">
        <f t="shared" si="120"/>
        <v>381</v>
      </c>
      <c r="G635" s="236"/>
      <c r="H635" s="236"/>
      <c r="I635" s="236"/>
      <c r="J635" s="242"/>
      <c r="L635" s="249"/>
      <c r="M635" s="245"/>
      <c r="N635" s="22" t="s">
        <v>32</v>
      </c>
      <c r="O635" s="23">
        <v>25.4</v>
      </c>
      <c r="P635" s="23">
        <v>15</v>
      </c>
      <c r="Q635" s="23">
        <f t="shared" si="122"/>
        <v>381</v>
      </c>
      <c r="R635" s="236"/>
      <c r="S635" s="236"/>
      <c r="T635" s="236"/>
      <c r="U635" s="242"/>
    </row>
    <row r="636" spans="1:21" ht="13">
      <c r="A636" s="249"/>
      <c r="B636" s="245"/>
      <c r="C636" s="22" t="s">
        <v>298</v>
      </c>
      <c r="D636" s="23">
        <v>23.85</v>
      </c>
      <c r="E636" s="23">
        <v>15</v>
      </c>
      <c r="F636" s="23">
        <f t="shared" si="120"/>
        <v>357.75</v>
      </c>
      <c r="G636" s="236"/>
      <c r="H636" s="236"/>
      <c r="I636" s="236"/>
      <c r="J636" s="242"/>
      <c r="L636" s="249"/>
      <c r="M636" s="245"/>
      <c r="N636" s="22" t="s">
        <v>298</v>
      </c>
      <c r="O636" s="23">
        <v>23.85</v>
      </c>
      <c r="P636" s="23">
        <v>15</v>
      </c>
      <c r="Q636" s="23">
        <f t="shared" si="122"/>
        <v>357.75</v>
      </c>
      <c r="R636" s="236"/>
      <c r="S636" s="236"/>
      <c r="T636" s="236"/>
      <c r="U636" s="242"/>
    </row>
    <row r="637" spans="1:21" ht="13">
      <c r="A637" s="249"/>
      <c r="B637" s="245"/>
      <c r="C637" s="22" t="s">
        <v>210</v>
      </c>
      <c r="D637" s="23"/>
      <c r="E637" s="23"/>
      <c r="F637" s="23">
        <v>653</v>
      </c>
      <c r="G637" s="236"/>
      <c r="H637" s="236"/>
      <c r="I637" s="236"/>
      <c r="J637" s="242"/>
      <c r="L637" s="249"/>
      <c r="M637" s="245"/>
      <c r="N637" s="22" t="s">
        <v>210</v>
      </c>
      <c r="O637" s="23"/>
      <c r="P637" s="23"/>
      <c r="Q637" s="23">
        <v>653</v>
      </c>
      <c r="R637" s="236"/>
      <c r="S637" s="236"/>
      <c r="T637" s="236"/>
      <c r="U637" s="242"/>
    </row>
    <row r="638" spans="1:21" ht="13">
      <c r="A638" s="249"/>
      <c r="B638" s="245"/>
      <c r="C638" s="22" t="s">
        <v>611</v>
      </c>
      <c r="D638" s="23"/>
      <c r="E638" s="23"/>
      <c r="F638" s="23">
        <v>81</v>
      </c>
      <c r="G638" s="236"/>
      <c r="H638" s="236"/>
      <c r="I638" s="236"/>
      <c r="J638" s="242"/>
      <c r="L638" s="249"/>
      <c r="M638" s="245"/>
      <c r="N638" s="22" t="s">
        <v>611</v>
      </c>
      <c r="O638" s="23"/>
      <c r="P638" s="23"/>
      <c r="Q638" s="23">
        <v>81</v>
      </c>
      <c r="R638" s="236"/>
      <c r="S638" s="236"/>
      <c r="T638" s="236"/>
      <c r="U638" s="242"/>
    </row>
    <row r="639" spans="1:21" ht="13">
      <c r="A639" s="249"/>
      <c r="B639" s="245"/>
      <c r="C639" s="22" t="s">
        <v>45</v>
      </c>
      <c r="D639" s="23"/>
      <c r="E639" s="23"/>
      <c r="F639" s="23">
        <v>255</v>
      </c>
      <c r="G639" s="236"/>
      <c r="H639" s="236"/>
      <c r="I639" s="236"/>
      <c r="J639" s="242"/>
      <c r="L639" s="249"/>
      <c r="M639" s="245"/>
      <c r="N639" s="22" t="s">
        <v>45</v>
      </c>
      <c r="O639" s="23"/>
      <c r="P639" s="23"/>
      <c r="Q639" s="23">
        <v>255</v>
      </c>
      <c r="R639" s="236"/>
      <c r="S639" s="236"/>
      <c r="T639" s="236"/>
      <c r="U639" s="242"/>
    </row>
    <row r="640" spans="1:21" ht="13">
      <c r="A640" s="249"/>
      <c r="B640" s="245"/>
      <c r="C640" s="22" t="s">
        <v>44</v>
      </c>
      <c r="D640" s="23"/>
      <c r="E640" s="23"/>
      <c r="F640" s="23">
        <v>240.8</v>
      </c>
      <c r="G640" s="236"/>
      <c r="H640" s="236"/>
      <c r="I640" s="236"/>
      <c r="J640" s="242"/>
      <c r="L640" s="249"/>
      <c r="M640" s="245"/>
      <c r="N640" s="22" t="s">
        <v>44</v>
      </c>
      <c r="O640" s="23"/>
      <c r="P640" s="23"/>
      <c r="Q640" s="23">
        <v>240.8</v>
      </c>
      <c r="R640" s="236"/>
      <c r="S640" s="236"/>
      <c r="T640" s="236"/>
      <c r="U640" s="242"/>
    </row>
    <row r="641" spans="1:21" ht="13">
      <c r="A641" s="249"/>
      <c r="B641" s="246"/>
      <c r="C641" s="25" t="s">
        <v>48</v>
      </c>
      <c r="D641" s="26"/>
      <c r="E641" s="26"/>
      <c r="F641" s="26">
        <v>236.8</v>
      </c>
      <c r="G641" s="238"/>
      <c r="H641" s="238"/>
      <c r="I641" s="238"/>
      <c r="J641" s="243"/>
      <c r="L641" s="249"/>
      <c r="M641" s="246"/>
      <c r="N641" s="25" t="s">
        <v>48</v>
      </c>
      <c r="O641" s="26"/>
      <c r="P641" s="26"/>
      <c r="Q641" s="26">
        <v>236.8</v>
      </c>
      <c r="R641" s="238"/>
      <c r="S641" s="238"/>
      <c r="T641" s="238"/>
      <c r="U641" s="243"/>
    </row>
    <row r="642" spans="1:21" ht="13">
      <c r="A642" s="249"/>
      <c r="B642" s="244" t="s">
        <v>283</v>
      </c>
      <c r="C642" s="15" t="s">
        <v>23</v>
      </c>
      <c r="D642" s="17">
        <v>7</v>
      </c>
      <c r="E642" s="16">
        <v>16</v>
      </c>
      <c r="F642" s="17">
        <f>D642*E642</f>
        <v>112</v>
      </c>
      <c r="G642" s="240">
        <f>SUM(F642:F644)</f>
        <v>731.3</v>
      </c>
      <c r="H642" s="237">
        <v>2689.91</v>
      </c>
      <c r="I642" s="237">
        <f>H642-G642</f>
        <v>1958.61</v>
      </c>
      <c r="J642" s="241">
        <f>I642/H642</f>
        <v>0.72813216799075065</v>
      </c>
      <c r="L642" s="249"/>
      <c r="M642" s="244" t="s">
        <v>283</v>
      </c>
      <c r="N642" s="15" t="s">
        <v>23</v>
      </c>
      <c r="O642" s="18"/>
      <c r="P642" s="18"/>
      <c r="Q642" s="18"/>
      <c r="R642" s="240">
        <f>SUM(Q642:Q644)</f>
        <v>619.29999999999995</v>
      </c>
      <c r="S642" s="237">
        <v>2689.91</v>
      </c>
      <c r="T642" s="237">
        <f>S642-R642</f>
        <v>2070.6099999999997</v>
      </c>
      <c r="U642" s="241">
        <f>T642/S642</f>
        <v>0.76976924878527531</v>
      </c>
    </row>
    <row r="643" spans="1:21" ht="13">
      <c r="A643" s="249"/>
      <c r="B643" s="245"/>
      <c r="C643" s="24" t="s">
        <v>47</v>
      </c>
      <c r="E643" s="17"/>
      <c r="F643" s="17">
        <v>562.4</v>
      </c>
      <c r="G643" s="236"/>
      <c r="H643" s="236"/>
      <c r="I643" s="236"/>
      <c r="J643" s="242"/>
      <c r="L643" s="249"/>
      <c r="M643" s="245"/>
      <c r="N643" s="24" t="s">
        <v>47</v>
      </c>
      <c r="P643" s="17"/>
      <c r="Q643" s="17">
        <v>562.4</v>
      </c>
      <c r="R643" s="236"/>
      <c r="S643" s="236"/>
      <c r="T643" s="236"/>
      <c r="U643" s="242"/>
    </row>
    <row r="644" spans="1:21" ht="13">
      <c r="A644" s="249"/>
      <c r="B644" s="245"/>
      <c r="C644" s="24" t="s">
        <v>33</v>
      </c>
      <c r="D644" s="17"/>
      <c r="E644" s="17"/>
      <c r="F644" s="17">
        <v>56.9</v>
      </c>
      <c r="G644" s="236"/>
      <c r="H644" s="236"/>
      <c r="I644" s="236"/>
      <c r="J644" s="242"/>
      <c r="L644" s="249"/>
      <c r="M644" s="245"/>
      <c r="N644" s="24" t="s">
        <v>33</v>
      </c>
      <c r="O644" s="17"/>
      <c r="P644" s="17"/>
      <c r="Q644" s="17">
        <v>56.9</v>
      </c>
      <c r="R644" s="236"/>
      <c r="S644" s="236"/>
      <c r="T644" s="236"/>
      <c r="U644" s="242"/>
    </row>
    <row r="645" spans="1:21" ht="13">
      <c r="A645" s="249"/>
      <c r="B645" s="246"/>
      <c r="C645" s="20"/>
      <c r="D645" s="21"/>
      <c r="E645" s="21"/>
      <c r="F645" s="21"/>
      <c r="G645" s="238"/>
      <c r="H645" s="238"/>
      <c r="I645" s="238"/>
      <c r="J645" s="243"/>
      <c r="L645" s="249"/>
      <c r="M645" s="246"/>
      <c r="N645" s="20"/>
      <c r="O645" s="21"/>
      <c r="P645" s="21"/>
      <c r="Q645" s="21"/>
      <c r="R645" s="238"/>
      <c r="S645" s="238"/>
      <c r="T645" s="238"/>
      <c r="U645" s="243"/>
    </row>
    <row r="646" spans="1:21" ht="13">
      <c r="A646" s="249"/>
      <c r="B646" s="244" t="s">
        <v>284</v>
      </c>
      <c r="C646" s="15" t="s">
        <v>285</v>
      </c>
      <c r="D646" s="17">
        <v>21</v>
      </c>
      <c r="E646" s="16">
        <v>13</v>
      </c>
      <c r="F646" s="17">
        <f t="shared" ref="F646:F647" si="123">D646*E646</f>
        <v>273</v>
      </c>
      <c r="G646" s="240">
        <f>SUM(F646:F650)</f>
        <v>1023.12</v>
      </c>
      <c r="H646" s="237">
        <v>5301.88</v>
      </c>
      <c r="I646" s="237">
        <f>H646-G646</f>
        <v>4278.76</v>
      </c>
      <c r="J646" s="241">
        <f>I646/H646</f>
        <v>0.80702694138682884</v>
      </c>
      <c r="L646" s="249"/>
      <c r="M646" s="244" t="s">
        <v>284</v>
      </c>
      <c r="N646" s="15" t="s">
        <v>285</v>
      </c>
      <c r="O646" s="18"/>
      <c r="P646" s="18"/>
      <c r="Q646" s="18"/>
      <c r="R646" s="240">
        <f>SUM(Q646:Q650)</f>
        <v>477.12</v>
      </c>
      <c r="S646" s="237">
        <v>5301.88</v>
      </c>
      <c r="T646" s="237">
        <f>S646-R646</f>
        <v>4824.76</v>
      </c>
      <c r="U646" s="241">
        <f>T646/S646</f>
        <v>0.91000927972719114</v>
      </c>
    </row>
    <row r="647" spans="1:21" ht="13">
      <c r="A647" s="249"/>
      <c r="B647" s="245"/>
      <c r="C647" s="24" t="s">
        <v>101</v>
      </c>
      <c r="D647" s="24">
        <v>21</v>
      </c>
      <c r="E647" s="17">
        <v>13</v>
      </c>
      <c r="F647" s="17">
        <f t="shared" si="123"/>
        <v>273</v>
      </c>
      <c r="G647" s="236"/>
      <c r="H647" s="236"/>
      <c r="I647" s="236"/>
      <c r="J647" s="242"/>
      <c r="L647" s="249"/>
      <c r="M647" s="245"/>
      <c r="N647" s="24" t="s">
        <v>101</v>
      </c>
      <c r="O647" s="18"/>
      <c r="P647" s="18"/>
      <c r="Q647" s="18"/>
      <c r="R647" s="236"/>
      <c r="S647" s="236"/>
      <c r="T647" s="236"/>
      <c r="U647" s="242"/>
    </row>
    <row r="648" spans="1:21" ht="13">
      <c r="A648" s="249"/>
      <c r="B648" s="245"/>
      <c r="C648" s="24" t="s">
        <v>47</v>
      </c>
      <c r="E648" s="17"/>
      <c r="F648" s="17">
        <v>67.95</v>
      </c>
      <c r="G648" s="236"/>
      <c r="H648" s="236"/>
      <c r="I648" s="236"/>
      <c r="J648" s="242"/>
      <c r="L648" s="249"/>
      <c r="M648" s="245"/>
      <c r="N648" s="24" t="s">
        <v>47</v>
      </c>
      <c r="P648" s="17"/>
      <c r="Q648" s="17">
        <v>67.95</v>
      </c>
      <c r="R648" s="236"/>
      <c r="S648" s="236"/>
      <c r="T648" s="236"/>
      <c r="U648" s="242"/>
    </row>
    <row r="649" spans="1:21" ht="13">
      <c r="A649" s="249"/>
      <c r="B649" s="245"/>
      <c r="C649" s="24" t="s">
        <v>48</v>
      </c>
      <c r="E649" s="17"/>
      <c r="F649" s="17">
        <v>232.17</v>
      </c>
      <c r="G649" s="236"/>
      <c r="H649" s="236"/>
      <c r="I649" s="236"/>
      <c r="J649" s="242"/>
      <c r="L649" s="249"/>
      <c r="M649" s="245"/>
      <c r="N649" s="24" t="s">
        <v>48</v>
      </c>
      <c r="P649" s="17"/>
      <c r="Q649" s="17">
        <v>232.17</v>
      </c>
      <c r="R649" s="236"/>
      <c r="S649" s="236"/>
      <c r="T649" s="236"/>
      <c r="U649" s="242"/>
    </row>
    <row r="650" spans="1:21" ht="13">
      <c r="A650" s="249"/>
      <c r="B650" s="246"/>
      <c r="C650" s="20" t="s">
        <v>155</v>
      </c>
      <c r="D650" s="21"/>
      <c r="E650" s="21"/>
      <c r="F650" s="21">
        <v>177</v>
      </c>
      <c r="G650" s="238"/>
      <c r="H650" s="238"/>
      <c r="I650" s="238"/>
      <c r="J650" s="243"/>
      <c r="L650" s="249"/>
      <c r="M650" s="246"/>
      <c r="N650" s="20" t="s">
        <v>155</v>
      </c>
      <c r="O650" s="21"/>
      <c r="P650" s="21"/>
      <c r="Q650" s="21">
        <v>177</v>
      </c>
      <c r="R650" s="238"/>
      <c r="S650" s="238"/>
      <c r="T650" s="238"/>
      <c r="U650" s="243"/>
    </row>
    <row r="651" spans="1:21" ht="13">
      <c r="A651" s="249"/>
      <c r="B651" s="244" t="s">
        <v>286</v>
      </c>
      <c r="C651" s="15" t="s">
        <v>287</v>
      </c>
      <c r="D651" s="16"/>
      <c r="E651" s="16"/>
      <c r="F651" s="17">
        <v>150</v>
      </c>
      <c r="G651" s="240">
        <f>SUM(F651:F655)</f>
        <v>495.77</v>
      </c>
      <c r="H651" s="237">
        <v>3377.92</v>
      </c>
      <c r="I651" s="237">
        <f>H651-G651</f>
        <v>2882.15</v>
      </c>
      <c r="J651" s="241">
        <f>I651/H651</f>
        <v>0.85323216654035616</v>
      </c>
      <c r="L651" s="249"/>
      <c r="M651" s="244" t="s">
        <v>286</v>
      </c>
      <c r="N651" s="15" t="s">
        <v>287</v>
      </c>
      <c r="O651" s="16"/>
      <c r="P651" s="16"/>
      <c r="Q651" s="17">
        <v>150</v>
      </c>
      <c r="R651" s="240">
        <f>SUM(Q651:Q655)</f>
        <v>495.77</v>
      </c>
      <c r="S651" s="237">
        <v>3377.92</v>
      </c>
      <c r="T651" s="237">
        <f>S651-R651</f>
        <v>2882.15</v>
      </c>
      <c r="U651" s="241">
        <f>T651/S651</f>
        <v>0.85323216654035616</v>
      </c>
    </row>
    <row r="652" spans="1:21" ht="13">
      <c r="A652" s="249"/>
      <c r="B652" s="245"/>
      <c r="C652" s="19" t="s">
        <v>47</v>
      </c>
      <c r="D652" s="17"/>
      <c r="E652" s="17"/>
      <c r="F652" s="17">
        <v>70.08</v>
      </c>
      <c r="G652" s="236"/>
      <c r="H652" s="236"/>
      <c r="I652" s="236"/>
      <c r="J652" s="242"/>
      <c r="L652" s="249"/>
      <c r="M652" s="245"/>
      <c r="N652" s="19" t="s">
        <v>47</v>
      </c>
      <c r="O652" s="17"/>
      <c r="P652" s="17"/>
      <c r="Q652" s="17">
        <v>70.08</v>
      </c>
      <c r="R652" s="236"/>
      <c r="S652" s="236"/>
      <c r="T652" s="236"/>
      <c r="U652" s="242"/>
    </row>
    <row r="653" spans="1:21" ht="13">
      <c r="A653" s="249"/>
      <c r="B653" s="245"/>
      <c r="C653" s="19" t="s">
        <v>45</v>
      </c>
      <c r="D653" s="17"/>
      <c r="E653" s="17"/>
      <c r="F653" s="17">
        <v>203.49</v>
      </c>
      <c r="G653" s="236"/>
      <c r="H653" s="236"/>
      <c r="I653" s="236"/>
      <c r="J653" s="242"/>
      <c r="L653" s="249"/>
      <c r="M653" s="245"/>
      <c r="N653" s="19" t="s">
        <v>45</v>
      </c>
      <c r="O653" s="17"/>
      <c r="P653" s="17"/>
      <c r="Q653" s="17">
        <v>203.49</v>
      </c>
      <c r="R653" s="236"/>
      <c r="S653" s="236"/>
      <c r="T653" s="236"/>
      <c r="U653" s="242"/>
    </row>
    <row r="654" spans="1:21" ht="13">
      <c r="A654" s="249"/>
      <c r="B654" s="245"/>
      <c r="C654" s="19" t="s">
        <v>44</v>
      </c>
      <c r="D654" s="17"/>
      <c r="E654" s="17"/>
      <c r="F654" s="17">
        <v>72.2</v>
      </c>
      <c r="G654" s="236"/>
      <c r="H654" s="236"/>
      <c r="I654" s="236"/>
      <c r="J654" s="242"/>
      <c r="L654" s="249"/>
      <c r="M654" s="245"/>
      <c r="N654" s="19" t="s">
        <v>44</v>
      </c>
      <c r="O654" s="17"/>
      <c r="P654" s="17"/>
      <c r="Q654" s="17">
        <v>72.2</v>
      </c>
      <c r="R654" s="236"/>
      <c r="S654" s="236"/>
      <c r="T654" s="236"/>
      <c r="U654" s="242"/>
    </row>
    <row r="655" spans="1:21" ht="13">
      <c r="A655" s="249"/>
      <c r="B655" s="246"/>
      <c r="C655" s="20"/>
      <c r="D655" s="21"/>
      <c r="E655" s="21"/>
      <c r="F655" s="21"/>
      <c r="G655" s="238"/>
      <c r="H655" s="238"/>
      <c r="I655" s="238"/>
      <c r="J655" s="243"/>
      <c r="L655" s="249"/>
      <c r="M655" s="246"/>
      <c r="N655" s="20"/>
      <c r="O655" s="21"/>
      <c r="P655" s="21"/>
      <c r="Q655" s="21"/>
      <c r="R655" s="238"/>
      <c r="S655" s="238"/>
      <c r="T655" s="238"/>
      <c r="U655" s="243"/>
    </row>
    <row r="656" spans="1:21" ht="13">
      <c r="A656" s="249"/>
      <c r="B656" s="244" t="s">
        <v>288</v>
      </c>
      <c r="C656" s="15" t="s">
        <v>287</v>
      </c>
      <c r="D656" s="16"/>
      <c r="E656" s="16"/>
      <c r="F656" s="17">
        <v>150</v>
      </c>
      <c r="G656" s="240">
        <f>SUM(F656:F663)</f>
        <v>1197.06</v>
      </c>
      <c r="H656" s="237">
        <v>3305.26</v>
      </c>
      <c r="I656" s="237">
        <f>H656-G656</f>
        <v>2108.2000000000003</v>
      </c>
      <c r="J656" s="241">
        <f>I656/H656</f>
        <v>0.63783181958454105</v>
      </c>
      <c r="L656" s="249"/>
      <c r="M656" s="244" t="s">
        <v>288</v>
      </c>
      <c r="N656" s="15" t="s">
        <v>287</v>
      </c>
      <c r="O656" s="16"/>
      <c r="P656" s="16"/>
      <c r="Q656" s="17">
        <v>150</v>
      </c>
      <c r="R656" s="240">
        <f>SUM(Q656:Q663)</f>
        <v>1197.06</v>
      </c>
      <c r="S656" s="237">
        <v>3305.26</v>
      </c>
      <c r="T656" s="237">
        <f>S656-R656</f>
        <v>2108.2000000000003</v>
      </c>
      <c r="U656" s="241">
        <f>T656/S656</f>
        <v>0.63783181958454105</v>
      </c>
    </row>
    <row r="657" spans="1:21" ht="13">
      <c r="A657" s="249"/>
      <c r="B657" s="245"/>
      <c r="C657" s="19" t="s">
        <v>35</v>
      </c>
      <c r="D657" s="17"/>
      <c r="E657" s="17"/>
      <c r="F657" s="17">
        <v>200</v>
      </c>
      <c r="G657" s="236"/>
      <c r="H657" s="236"/>
      <c r="I657" s="236"/>
      <c r="J657" s="242"/>
      <c r="L657" s="249"/>
      <c r="M657" s="245"/>
      <c r="N657" s="19" t="s">
        <v>35</v>
      </c>
      <c r="O657" s="17"/>
      <c r="P657" s="17"/>
      <c r="Q657" s="17">
        <v>200</v>
      </c>
      <c r="R657" s="236"/>
      <c r="S657" s="236"/>
      <c r="T657" s="236"/>
      <c r="U657" s="242"/>
    </row>
    <row r="658" spans="1:21" ht="13">
      <c r="A658" s="249"/>
      <c r="B658" s="245"/>
      <c r="C658" s="19" t="s">
        <v>289</v>
      </c>
      <c r="D658" s="17"/>
      <c r="E658" s="17"/>
      <c r="F658" s="17">
        <v>150</v>
      </c>
      <c r="G658" s="236"/>
      <c r="H658" s="236"/>
      <c r="I658" s="236"/>
      <c r="J658" s="242"/>
      <c r="L658" s="249"/>
      <c r="M658" s="245"/>
      <c r="N658" s="19" t="s">
        <v>289</v>
      </c>
      <c r="O658" s="17"/>
      <c r="P658" s="17"/>
      <c r="Q658" s="17">
        <v>150</v>
      </c>
      <c r="R658" s="236"/>
      <c r="S658" s="236"/>
      <c r="T658" s="236"/>
      <c r="U658" s="242"/>
    </row>
    <row r="659" spans="1:21" ht="13">
      <c r="A659" s="249"/>
      <c r="B659" s="245"/>
      <c r="C659" s="19" t="s">
        <v>290</v>
      </c>
      <c r="D659" s="17"/>
      <c r="E659" s="17"/>
      <c r="F659" s="17">
        <v>45</v>
      </c>
      <c r="G659" s="236"/>
      <c r="H659" s="236"/>
      <c r="I659" s="236"/>
      <c r="J659" s="242"/>
      <c r="L659" s="249"/>
      <c r="M659" s="245"/>
      <c r="N659" s="19" t="s">
        <v>290</v>
      </c>
      <c r="O659" s="17"/>
      <c r="P659" s="17"/>
      <c r="Q659" s="17">
        <v>45</v>
      </c>
      <c r="R659" s="236"/>
      <c r="S659" s="236"/>
      <c r="T659" s="236"/>
      <c r="U659" s="242"/>
    </row>
    <row r="660" spans="1:21" ht="13">
      <c r="A660" s="249"/>
      <c r="B660" s="245"/>
      <c r="C660" s="19" t="s">
        <v>291</v>
      </c>
      <c r="D660" s="17"/>
      <c r="E660" s="17"/>
      <c r="F660" s="17">
        <v>66.16</v>
      </c>
      <c r="G660" s="236"/>
      <c r="H660" s="236"/>
      <c r="I660" s="236"/>
      <c r="J660" s="242"/>
      <c r="L660" s="249"/>
      <c r="M660" s="245"/>
      <c r="N660" s="19" t="s">
        <v>291</v>
      </c>
      <c r="O660" s="17"/>
      <c r="P660" s="17"/>
      <c r="Q660" s="17">
        <v>66.16</v>
      </c>
      <c r="R660" s="236"/>
      <c r="S660" s="236"/>
      <c r="T660" s="236"/>
      <c r="U660" s="242"/>
    </row>
    <row r="661" spans="1:21" ht="13">
      <c r="A661" s="249"/>
      <c r="B661" s="245"/>
      <c r="C661" s="19" t="s">
        <v>45</v>
      </c>
      <c r="D661" s="17"/>
      <c r="E661" s="17"/>
      <c r="F661" s="17">
        <v>57.7</v>
      </c>
      <c r="G661" s="236"/>
      <c r="H661" s="236"/>
      <c r="I661" s="236"/>
      <c r="J661" s="242"/>
      <c r="L661" s="249"/>
      <c r="M661" s="245"/>
      <c r="N661" s="19" t="s">
        <v>45</v>
      </c>
      <c r="O661" s="17"/>
      <c r="P661" s="17"/>
      <c r="Q661" s="17">
        <v>57.7</v>
      </c>
      <c r="R661" s="236"/>
      <c r="S661" s="236"/>
      <c r="T661" s="236"/>
      <c r="U661" s="242"/>
    </row>
    <row r="662" spans="1:21" ht="13">
      <c r="A662" s="249"/>
      <c r="B662" s="245"/>
      <c r="C662" s="19" t="s">
        <v>44</v>
      </c>
      <c r="D662" s="17"/>
      <c r="E662" s="17"/>
      <c r="F662" s="17">
        <v>28.2</v>
      </c>
      <c r="G662" s="236"/>
      <c r="H662" s="236"/>
      <c r="I662" s="236"/>
      <c r="J662" s="242"/>
      <c r="L662" s="249"/>
      <c r="M662" s="245"/>
      <c r="N662" s="19" t="s">
        <v>44</v>
      </c>
      <c r="O662" s="17"/>
      <c r="P662" s="17"/>
      <c r="Q662" s="17">
        <v>28.2</v>
      </c>
      <c r="R662" s="236"/>
      <c r="S662" s="236"/>
      <c r="T662" s="236"/>
      <c r="U662" s="242"/>
    </row>
    <row r="663" spans="1:21" ht="13">
      <c r="A663" s="249"/>
      <c r="B663" s="246"/>
      <c r="C663" s="20" t="s">
        <v>33</v>
      </c>
      <c r="D663" s="21"/>
      <c r="E663" s="21"/>
      <c r="F663" s="21">
        <v>500</v>
      </c>
      <c r="G663" s="238"/>
      <c r="H663" s="238"/>
      <c r="I663" s="238"/>
      <c r="J663" s="243"/>
      <c r="L663" s="249"/>
      <c r="M663" s="246"/>
      <c r="N663" s="20" t="s">
        <v>33</v>
      </c>
      <c r="O663" s="21"/>
      <c r="P663" s="21"/>
      <c r="Q663" s="21">
        <v>500</v>
      </c>
      <c r="R663" s="238"/>
      <c r="S663" s="238"/>
      <c r="T663" s="238"/>
      <c r="U663" s="243"/>
    </row>
    <row r="664" spans="1:21" ht="13">
      <c r="A664" s="249"/>
      <c r="B664" s="244" t="s">
        <v>292</v>
      </c>
      <c r="C664" s="15" t="s">
        <v>293</v>
      </c>
      <c r="D664" s="16"/>
      <c r="E664" s="16"/>
      <c r="F664" s="17">
        <v>350</v>
      </c>
      <c r="G664" s="240">
        <f>SUM(F664:F666)</f>
        <v>455.26</v>
      </c>
      <c r="H664" s="237">
        <v>3322.5</v>
      </c>
      <c r="I664" s="237">
        <f>H664-G664</f>
        <v>2867.24</v>
      </c>
      <c r="J664" s="241">
        <f>I664/H664</f>
        <v>0.86297667419112112</v>
      </c>
      <c r="L664" s="249"/>
      <c r="M664" s="244" t="s">
        <v>292</v>
      </c>
      <c r="N664" s="15" t="s">
        <v>293</v>
      </c>
      <c r="O664" s="16"/>
      <c r="P664" s="16"/>
      <c r="Q664" s="17">
        <v>350</v>
      </c>
      <c r="R664" s="240">
        <f>SUM(Q664:Q666)</f>
        <v>455.26</v>
      </c>
      <c r="S664" s="237">
        <v>3322.5</v>
      </c>
      <c r="T664" s="237">
        <f>S664-R664</f>
        <v>2867.24</v>
      </c>
      <c r="U664" s="241">
        <f>T664/S664</f>
        <v>0.86297667419112112</v>
      </c>
    </row>
    <row r="665" spans="1:21" ht="13">
      <c r="A665" s="249"/>
      <c r="B665" s="245"/>
      <c r="C665" s="19" t="s">
        <v>33</v>
      </c>
      <c r="D665" s="17"/>
      <c r="E665" s="17"/>
      <c r="F665" s="17">
        <v>105.26</v>
      </c>
      <c r="G665" s="236"/>
      <c r="H665" s="236"/>
      <c r="I665" s="236"/>
      <c r="J665" s="242"/>
      <c r="L665" s="249"/>
      <c r="M665" s="245"/>
      <c r="N665" s="19" t="s">
        <v>33</v>
      </c>
      <c r="O665" s="17"/>
      <c r="P665" s="17"/>
      <c r="Q665" s="17">
        <v>105.26</v>
      </c>
      <c r="R665" s="236"/>
      <c r="S665" s="236"/>
      <c r="T665" s="236"/>
      <c r="U665" s="242"/>
    </row>
    <row r="666" spans="1:21" ht="13">
      <c r="A666" s="249"/>
      <c r="B666" s="246"/>
      <c r="C666" s="20"/>
      <c r="D666" s="21"/>
      <c r="E666" s="21"/>
      <c r="F666" s="21"/>
      <c r="G666" s="238"/>
      <c r="H666" s="238"/>
      <c r="I666" s="238"/>
      <c r="J666" s="243"/>
      <c r="L666" s="249"/>
      <c r="M666" s="246"/>
      <c r="N666" s="20"/>
      <c r="O666" s="21"/>
      <c r="P666" s="21"/>
      <c r="Q666" s="21"/>
      <c r="R666" s="238"/>
      <c r="S666" s="238"/>
      <c r="T666" s="238"/>
      <c r="U666" s="243"/>
    </row>
    <row r="667" spans="1:21" ht="13">
      <c r="A667" s="249"/>
      <c r="B667" s="244" t="s">
        <v>294</v>
      </c>
      <c r="C667" s="15" t="s">
        <v>295</v>
      </c>
      <c r="D667" s="16"/>
      <c r="E667" s="16"/>
      <c r="F667" s="17">
        <v>50</v>
      </c>
      <c r="G667" s="240">
        <f>SUM(F667:F669)</f>
        <v>82</v>
      </c>
      <c r="H667" s="237">
        <v>627</v>
      </c>
      <c r="I667" s="237">
        <f>H667-G667</f>
        <v>545</v>
      </c>
      <c r="J667" s="241">
        <f>I667/H667</f>
        <v>0.86921850079744811</v>
      </c>
      <c r="L667" s="249"/>
      <c r="M667" s="244" t="s">
        <v>294</v>
      </c>
      <c r="N667" s="15" t="s">
        <v>295</v>
      </c>
      <c r="O667" s="16"/>
      <c r="P667" s="16"/>
      <c r="Q667" s="17">
        <v>50</v>
      </c>
      <c r="R667" s="240">
        <f>SUM(Q667:Q669)</f>
        <v>82</v>
      </c>
      <c r="S667" s="237">
        <v>627</v>
      </c>
      <c r="T667" s="237">
        <f>S667-R667</f>
        <v>545</v>
      </c>
      <c r="U667" s="241">
        <f>T667/S667</f>
        <v>0.86921850079744811</v>
      </c>
    </row>
    <row r="668" spans="1:21" ht="13">
      <c r="A668" s="249"/>
      <c r="B668" s="245"/>
      <c r="C668" s="19" t="s">
        <v>33</v>
      </c>
      <c r="D668" s="17"/>
      <c r="E668" s="17"/>
      <c r="F668" s="17">
        <v>32</v>
      </c>
      <c r="G668" s="236"/>
      <c r="H668" s="236"/>
      <c r="I668" s="236"/>
      <c r="J668" s="242"/>
      <c r="L668" s="249"/>
      <c r="M668" s="245"/>
      <c r="N668" s="19" t="s">
        <v>33</v>
      </c>
      <c r="O668" s="17"/>
      <c r="P668" s="17"/>
      <c r="Q668" s="17">
        <v>32</v>
      </c>
      <c r="R668" s="236"/>
      <c r="S668" s="236"/>
      <c r="T668" s="236"/>
      <c r="U668" s="242"/>
    </row>
    <row r="669" spans="1:21" ht="13">
      <c r="A669" s="249"/>
      <c r="B669" s="246"/>
      <c r="C669" s="20"/>
      <c r="D669" s="21"/>
      <c r="E669" s="21"/>
      <c r="F669" s="21"/>
      <c r="G669" s="238"/>
      <c r="H669" s="238"/>
      <c r="I669" s="238"/>
      <c r="J669" s="243"/>
      <c r="L669" s="249"/>
      <c r="M669" s="246"/>
      <c r="N669" s="20"/>
      <c r="O669" s="21"/>
      <c r="P669" s="21"/>
      <c r="Q669" s="21"/>
      <c r="R669" s="238"/>
      <c r="S669" s="238"/>
      <c r="T669" s="238"/>
      <c r="U669" s="243"/>
    </row>
    <row r="670" spans="1:21" ht="13">
      <c r="A670" s="249"/>
      <c r="B670" s="244" t="s">
        <v>296</v>
      </c>
      <c r="C670" s="15" t="s">
        <v>295</v>
      </c>
      <c r="D670" s="16"/>
      <c r="E670" s="16"/>
      <c r="F670" s="17">
        <v>50</v>
      </c>
      <c r="G670" s="240">
        <f>SUM(F670:F672)</f>
        <v>79.489999999999995</v>
      </c>
      <c r="H670" s="237">
        <v>812.5</v>
      </c>
      <c r="I670" s="237">
        <f>H670-G670</f>
        <v>733.01</v>
      </c>
      <c r="J670" s="241">
        <f>I670/H670</f>
        <v>0.90216615384615384</v>
      </c>
      <c r="L670" s="249"/>
      <c r="M670" s="244" t="s">
        <v>296</v>
      </c>
      <c r="N670" s="15" t="s">
        <v>295</v>
      </c>
      <c r="O670" s="16"/>
      <c r="P670" s="16"/>
      <c r="Q670" s="17">
        <v>50</v>
      </c>
      <c r="R670" s="240">
        <f>SUM(Q670:Q672)</f>
        <v>79.489999999999995</v>
      </c>
      <c r="S670" s="237">
        <v>812.5</v>
      </c>
      <c r="T670" s="237">
        <f>S670-R670</f>
        <v>733.01</v>
      </c>
      <c r="U670" s="241">
        <f>T670/S670</f>
        <v>0.90216615384615384</v>
      </c>
    </row>
    <row r="671" spans="1:21" ht="13">
      <c r="A671" s="249"/>
      <c r="B671" s="245"/>
      <c r="C671" s="19" t="s">
        <v>33</v>
      </c>
      <c r="D671" s="17"/>
      <c r="E671" s="17"/>
      <c r="F671" s="17">
        <v>29.49</v>
      </c>
      <c r="G671" s="236"/>
      <c r="H671" s="236"/>
      <c r="I671" s="236"/>
      <c r="J671" s="242"/>
      <c r="L671" s="249"/>
      <c r="M671" s="245"/>
      <c r="N671" s="19" t="s">
        <v>33</v>
      </c>
      <c r="O671" s="17"/>
      <c r="P671" s="17"/>
      <c r="Q671" s="17">
        <v>29.49</v>
      </c>
      <c r="R671" s="236"/>
      <c r="S671" s="236"/>
      <c r="T671" s="236"/>
      <c r="U671" s="242"/>
    </row>
    <row r="672" spans="1:21" ht="13">
      <c r="A672" s="249"/>
      <c r="B672" s="246"/>
      <c r="C672" s="20"/>
      <c r="D672" s="21"/>
      <c r="E672" s="21"/>
      <c r="F672" s="21"/>
      <c r="G672" s="238"/>
      <c r="H672" s="238"/>
      <c r="I672" s="238"/>
      <c r="J672" s="243"/>
      <c r="L672" s="249"/>
      <c r="M672" s="246"/>
      <c r="N672" s="20"/>
      <c r="O672" s="21"/>
      <c r="P672" s="21"/>
      <c r="Q672" s="21"/>
      <c r="R672" s="238"/>
      <c r="S672" s="238"/>
      <c r="T672" s="238"/>
      <c r="U672" s="243"/>
    </row>
    <row r="673" spans="1:21" ht="13">
      <c r="A673" s="249"/>
      <c r="B673" s="244" t="s">
        <v>297</v>
      </c>
      <c r="C673" s="15" t="s">
        <v>209</v>
      </c>
      <c r="D673" s="17">
        <v>21</v>
      </c>
      <c r="E673" s="16">
        <v>18</v>
      </c>
      <c r="F673" s="17">
        <f t="shared" ref="F673:F676" si="124">D673*E673</f>
        <v>378</v>
      </c>
      <c r="G673" s="240">
        <f>SUM(F673:F682)</f>
        <v>2173.9299999999998</v>
      </c>
      <c r="H673" s="237">
        <v>4137.55</v>
      </c>
      <c r="I673" s="237">
        <f>H673-G673</f>
        <v>1963.6200000000003</v>
      </c>
      <c r="J673" s="241">
        <f>I673/H673</f>
        <v>0.47458520138729449</v>
      </c>
      <c r="L673" s="249"/>
      <c r="M673" s="244" t="s">
        <v>297</v>
      </c>
      <c r="N673" s="15" t="s">
        <v>209</v>
      </c>
      <c r="O673" s="18"/>
      <c r="P673" s="18"/>
      <c r="Q673" s="18"/>
      <c r="R673" s="240">
        <f>SUM(Q673:Q682)</f>
        <v>1795.93</v>
      </c>
      <c r="S673" s="237">
        <v>4137.55</v>
      </c>
      <c r="T673" s="237">
        <f>S673-R673</f>
        <v>2341.62</v>
      </c>
      <c r="U673" s="241">
        <f>T673/S673</f>
        <v>0.56594361397445347</v>
      </c>
    </row>
    <row r="674" spans="1:21" ht="13">
      <c r="A674" s="249"/>
      <c r="B674" s="245"/>
      <c r="C674" s="24" t="s">
        <v>98</v>
      </c>
      <c r="D674" s="24">
        <v>18.170000000000002</v>
      </c>
      <c r="E674" s="17">
        <v>15</v>
      </c>
      <c r="F674" s="17">
        <f t="shared" si="124"/>
        <v>272.55</v>
      </c>
      <c r="G674" s="236"/>
      <c r="H674" s="236"/>
      <c r="I674" s="236"/>
      <c r="J674" s="242"/>
      <c r="L674" s="249"/>
      <c r="M674" s="245"/>
      <c r="N674" s="24" t="s">
        <v>98</v>
      </c>
      <c r="O674" s="24">
        <v>18.170000000000002</v>
      </c>
      <c r="P674" s="17">
        <v>15</v>
      </c>
      <c r="Q674" s="17">
        <f t="shared" ref="Q674:Q676" si="125">O674*P674</f>
        <v>272.55</v>
      </c>
      <c r="R674" s="236"/>
      <c r="S674" s="236"/>
      <c r="T674" s="236"/>
      <c r="U674" s="242"/>
    </row>
    <row r="675" spans="1:21" ht="13">
      <c r="A675" s="249"/>
      <c r="B675" s="245"/>
      <c r="C675" s="24" t="s">
        <v>298</v>
      </c>
      <c r="D675" s="17">
        <v>16.600000000000001</v>
      </c>
      <c r="E675" s="17">
        <v>15</v>
      </c>
      <c r="F675" s="17">
        <f t="shared" si="124"/>
        <v>249.00000000000003</v>
      </c>
      <c r="G675" s="236"/>
      <c r="H675" s="236"/>
      <c r="I675" s="236"/>
      <c r="J675" s="242"/>
      <c r="L675" s="249"/>
      <c r="M675" s="245"/>
      <c r="N675" s="24" t="s">
        <v>298</v>
      </c>
      <c r="O675" s="17">
        <v>16.600000000000001</v>
      </c>
      <c r="P675" s="17">
        <v>15</v>
      </c>
      <c r="Q675" s="17">
        <f t="shared" si="125"/>
        <v>249.00000000000003</v>
      </c>
      <c r="R675" s="236"/>
      <c r="S675" s="236"/>
      <c r="T675" s="236"/>
      <c r="U675" s="242"/>
    </row>
    <row r="676" spans="1:21" ht="13">
      <c r="A676" s="249"/>
      <c r="B676" s="245"/>
      <c r="C676" s="24" t="s">
        <v>32</v>
      </c>
      <c r="D676" s="17">
        <v>15.55</v>
      </c>
      <c r="E676" s="17">
        <v>15</v>
      </c>
      <c r="F676" s="17">
        <f t="shared" si="124"/>
        <v>233.25</v>
      </c>
      <c r="G676" s="236"/>
      <c r="H676" s="236"/>
      <c r="I676" s="236"/>
      <c r="J676" s="242"/>
      <c r="L676" s="249"/>
      <c r="M676" s="245"/>
      <c r="N676" s="24" t="s">
        <v>32</v>
      </c>
      <c r="O676" s="17">
        <v>15.55</v>
      </c>
      <c r="P676" s="17">
        <v>15</v>
      </c>
      <c r="Q676" s="17">
        <f t="shared" si="125"/>
        <v>233.25</v>
      </c>
      <c r="R676" s="236"/>
      <c r="S676" s="236"/>
      <c r="T676" s="236"/>
      <c r="U676" s="242"/>
    </row>
    <row r="677" spans="1:21" ht="13">
      <c r="A677" s="249"/>
      <c r="B677" s="245"/>
      <c r="C677" s="19" t="s">
        <v>33</v>
      </c>
      <c r="D677" s="17"/>
      <c r="E677" s="17"/>
      <c r="F677" s="17">
        <v>295.13</v>
      </c>
      <c r="G677" s="236"/>
      <c r="H677" s="236"/>
      <c r="I677" s="236"/>
      <c r="J677" s="242"/>
      <c r="L677" s="249"/>
      <c r="M677" s="245"/>
      <c r="N677" s="19" t="s">
        <v>33</v>
      </c>
      <c r="O677" s="17"/>
      <c r="P677" s="17"/>
      <c r="Q677" s="17">
        <v>295.13</v>
      </c>
      <c r="R677" s="236"/>
      <c r="S677" s="236"/>
      <c r="T677" s="236"/>
      <c r="U677" s="242"/>
    </row>
    <row r="678" spans="1:21" ht="13">
      <c r="A678" s="249"/>
      <c r="B678" s="245"/>
      <c r="C678" s="19" t="s">
        <v>45</v>
      </c>
      <c r="D678" s="17"/>
      <c r="E678" s="17"/>
      <c r="F678" s="17">
        <v>246</v>
      </c>
      <c r="G678" s="236"/>
      <c r="H678" s="236"/>
      <c r="I678" s="236"/>
      <c r="J678" s="242"/>
      <c r="L678" s="249"/>
      <c r="M678" s="245"/>
      <c r="N678" s="19" t="s">
        <v>45</v>
      </c>
      <c r="O678" s="17"/>
      <c r="P678" s="17"/>
      <c r="Q678" s="17">
        <v>246</v>
      </c>
      <c r="R678" s="236"/>
      <c r="S678" s="236"/>
      <c r="T678" s="236"/>
      <c r="U678" s="242"/>
    </row>
    <row r="679" spans="1:21" ht="13">
      <c r="A679" s="249"/>
      <c r="B679" s="245"/>
      <c r="C679" s="19" t="s">
        <v>47</v>
      </c>
      <c r="D679" s="17"/>
      <c r="E679" s="17"/>
      <c r="F679" s="17">
        <v>312</v>
      </c>
      <c r="G679" s="236"/>
      <c r="H679" s="236"/>
      <c r="I679" s="236"/>
      <c r="J679" s="242"/>
      <c r="L679" s="249"/>
      <c r="M679" s="245"/>
      <c r="N679" s="19" t="s">
        <v>47</v>
      </c>
      <c r="O679" s="17"/>
      <c r="P679" s="17"/>
      <c r="Q679" s="17">
        <v>312</v>
      </c>
      <c r="R679" s="236"/>
      <c r="S679" s="236"/>
      <c r="T679" s="236"/>
      <c r="U679" s="242"/>
    </row>
    <row r="680" spans="1:21" ht="13">
      <c r="A680" s="249"/>
      <c r="B680" s="245"/>
      <c r="C680" s="19" t="s">
        <v>48</v>
      </c>
      <c r="D680" s="17"/>
      <c r="E680" s="17"/>
      <c r="F680" s="17">
        <v>150</v>
      </c>
      <c r="G680" s="236"/>
      <c r="H680" s="236"/>
      <c r="I680" s="236"/>
      <c r="J680" s="242"/>
      <c r="L680" s="249"/>
      <c r="M680" s="245"/>
      <c r="N680" s="19" t="s">
        <v>48</v>
      </c>
      <c r="O680" s="17"/>
      <c r="P680" s="17"/>
      <c r="Q680" s="17">
        <v>150</v>
      </c>
      <c r="R680" s="236"/>
      <c r="S680" s="236"/>
      <c r="T680" s="236"/>
      <c r="U680" s="242"/>
    </row>
    <row r="681" spans="1:21" ht="13">
      <c r="A681" s="249"/>
      <c r="B681" s="245"/>
      <c r="C681" s="19" t="s">
        <v>299</v>
      </c>
      <c r="D681" s="17"/>
      <c r="E681" s="17"/>
      <c r="F681" s="17" t="s">
        <v>300</v>
      </c>
      <c r="G681" s="236"/>
      <c r="H681" s="236"/>
      <c r="I681" s="236"/>
      <c r="J681" s="242"/>
      <c r="L681" s="249"/>
      <c r="M681" s="245"/>
      <c r="N681" s="19" t="s">
        <v>299</v>
      </c>
      <c r="O681" s="17"/>
      <c r="P681" s="17"/>
      <c r="Q681" s="17" t="s">
        <v>300</v>
      </c>
      <c r="R681" s="236"/>
      <c r="S681" s="236"/>
      <c r="T681" s="236"/>
      <c r="U681" s="242"/>
    </row>
    <row r="682" spans="1:21" ht="13">
      <c r="A682" s="249"/>
      <c r="B682" s="246"/>
      <c r="C682" s="20" t="s">
        <v>44</v>
      </c>
      <c r="D682" s="21"/>
      <c r="E682" s="21"/>
      <c r="F682" s="21">
        <v>38</v>
      </c>
      <c r="G682" s="238"/>
      <c r="H682" s="238"/>
      <c r="I682" s="238"/>
      <c r="J682" s="243"/>
      <c r="L682" s="249"/>
      <c r="M682" s="246"/>
      <c r="N682" s="20" t="s">
        <v>44</v>
      </c>
      <c r="O682" s="21"/>
      <c r="P682" s="21"/>
      <c r="Q682" s="21">
        <v>38</v>
      </c>
      <c r="R682" s="238"/>
      <c r="S682" s="238"/>
      <c r="T682" s="238"/>
      <c r="U682" s="243"/>
    </row>
    <row r="683" spans="1:21" ht="13">
      <c r="A683" s="249"/>
      <c r="B683" s="244" t="s">
        <v>301</v>
      </c>
      <c r="C683" s="15" t="s">
        <v>23</v>
      </c>
      <c r="D683" s="17">
        <v>21</v>
      </c>
      <c r="E683" s="16">
        <v>16</v>
      </c>
      <c r="F683" s="17">
        <f t="shared" ref="F683:F687" si="126">D683*E683</f>
        <v>336</v>
      </c>
      <c r="G683" s="240">
        <f>SUM(F683:F691)</f>
        <v>1626.6799999999998</v>
      </c>
      <c r="H683" s="237">
        <v>2735</v>
      </c>
      <c r="I683" s="237">
        <f>H683-G683</f>
        <v>1108.3200000000002</v>
      </c>
      <c r="J683" s="241">
        <f>I683/H683</f>
        <v>0.4052358318098721</v>
      </c>
      <c r="L683" s="249"/>
      <c r="M683" s="244" t="s">
        <v>301</v>
      </c>
      <c r="N683" s="15" t="s">
        <v>23</v>
      </c>
      <c r="O683" s="18"/>
      <c r="P683" s="18"/>
      <c r="Q683" s="18"/>
      <c r="R683" s="240">
        <f>SUM(Q683:Q691)</f>
        <v>1290.68</v>
      </c>
      <c r="S683" s="237">
        <v>2735</v>
      </c>
      <c r="T683" s="237">
        <f>S683-R683</f>
        <v>1444.32</v>
      </c>
      <c r="U683" s="241">
        <f>T683/S683</f>
        <v>0.52808775137111519</v>
      </c>
    </row>
    <row r="684" spans="1:21" ht="13">
      <c r="A684" s="249"/>
      <c r="B684" s="245"/>
      <c r="C684" s="19" t="s">
        <v>298</v>
      </c>
      <c r="D684" s="24">
        <v>10.9</v>
      </c>
      <c r="E684" s="17">
        <v>15</v>
      </c>
      <c r="F684" s="17">
        <f t="shared" si="126"/>
        <v>163.5</v>
      </c>
      <c r="G684" s="236"/>
      <c r="H684" s="236"/>
      <c r="I684" s="236"/>
      <c r="J684" s="242"/>
      <c r="L684" s="249"/>
      <c r="M684" s="245"/>
      <c r="N684" s="19" t="s">
        <v>298</v>
      </c>
      <c r="O684" s="24">
        <v>10.9</v>
      </c>
      <c r="P684" s="17">
        <v>15</v>
      </c>
      <c r="Q684" s="17">
        <f t="shared" ref="Q684:Q687" si="127">O684*P684</f>
        <v>163.5</v>
      </c>
      <c r="R684" s="236"/>
      <c r="S684" s="236"/>
      <c r="T684" s="236"/>
      <c r="U684" s="242"/>
    </row>
    <row r="685" spans="1:21" ht="13">
      <c r="A685" s="249"/>
      <c r="B685" s="245"/>
      <c r="C685" s="19" t="s">
        <v>289</v>
      </c>
      <c r="D685" s="17">
        <v>10.5</v>
      </c>
      <c r="E685" s="17">
        <v>15</v>
      </c>
      <c r="F685" s="17">
        <f t="shared" si="126"/>
        <v>157.5</v>
      </c>
      <c r="G685" s="236"/>
      <c r="H685" s="236"/>
      <c r="I685" s="236"/>
      <c r="J685" s="242"/>
      <c r="L685" s="249"/>
      <c r="M685" s="245"/>
      <c r="N685" s="19" t="s">
        <v>289</v>
      </c>
      <c r="O685" s="17">
        <v>10.5</v>
      </c>
      <c r="P685" s="17">
        <v>15</v>
      </c>
      <c r="Q685" s="17">
        <f t="shared" si="127"/>
        <v>157.5</v>
      </c>
      <c r="R685" s="236"/>
      <c r="S685" s="236"/>
      <c r="T685" s="236"/>
      <c r="U685" s="242"/>
    </row>
    <row r="686" spans="1:21" ht="13">
      <c r="A686" s="249"/>
      <c r="B686" s="245"/>
      <c r="C686" s="19" t="s">
        <v>302</v>
      </c>
      <c r="D686" s="17">
        <v>10.8</v>
      </c>
      <c r="E686" s="17">
        <v>17</v>
      </c>
      <c r="F686" s="17">
        <f t="shared" si="126"/>
        <v>183.60000000000002</v>
      </c>
      <c r="G686" s="236"/>
      <c r="H686" s="236"/>
      <c r="I686" s="236"/>
      <c r="J686" s="242"/>
      <c r="L686" s="249"/>
      <c r="M686" s="245"/>
      <c r="N686" s="19" t="s">
        <v>302</v>
      </c>
      <c r="O686" s="17">
        <v>10.8</v>
      </c>
      <c r="P686" s="17">
        <v>17</v>
      </c>
      <c r="Q686" s="17">
        <f t="shared" si="127"/>
        <v>183.60000000000002</v>
      </c>
      <c r="R686" s="236"/>
      <c r="S686" s="236"/>
      <c r="T686" s="236"/>
      <c r="U686" s="242"/>
    </row>
    <row r="687" spans="1:21" ht="13">
      <c r="A687" s="249"/>
      <c r="B687" s="245"/>
      <c r="C687" s="19" t="s">
        <v>190</v>
      </c>
      <c r="D687" s="17">
        <v>10.6</v>
      </c>
      <c r="E687" s="17">
        <v>15</v>
      </c>
      <c r="F687" s="17">
        <f t="shared" si="126"/>
        <v>159</v>
      </c>
      <c r="G687" s="236"/>
      <c r="H687" s="236"/>
      <c r="I687" s="236"/>
      <c r="J687" s="242"/>
      <c r="L687" s="249"/>
      <c r="M687" s="245"/>
      <c r="N687" s="19" t="s">
        <v>190</v>
      </c>
      <c r="O687" s="17">
        <v>10.6</v>
      </c>
      <c r="P687" s="17">
        <v>15</v>
      </c>
      <c r="Q687" s="17">
        <f t="shared" si="127"/>
        <v>159</v>
      </c>
      <c r="R687" s="236"/>
      <c r="S687" s="236"/>
      <c r="T687" s="236"/>
      <c r="U687" s="242"/>
    </row>
    <row r="688" spans="1:21" ht="13">
      <c r="A688" s="249"/>
      <c r="B688" s="245"/>
      <c r="C688" s="19" t="s">
        <v>45</v>
      </c>
      <c r="D688" s="17"/>
      <c r="F688" s="17">
        <v>185</v>
      </c>
      <c r="G688" s="236"/>
      <c r="H688" s="236"/>
      <c r="I688" s="236"/>
      <c r="J688" s="242"/>
      <c r="L688" s="249"/>
      <c r="M688" s="245"/>
      <c r="N688" s="19" t="s">
        <v>45</v>
      </c>
      <c r="O688" s="17"/>
      <c r="Q688" s="17">
        <v>185</v>
      </c>
      <c r="R688" s="236"/>
      <c r="S688" s="236"/>
      <c r="T688" s="236"/>
      <c r="U688" s="242"/>
    </row>
    <row r="689" spans="1:21" ht="13">
      <c r="A689" s="249"/>
      <c r="B689" s="245"/>
      <c r="C689" s="19" t="s">
        <v>47</v>
      </c>
      <c r="D689" s="17"/>
      <c r="F689" s="17">
        <v>292.58</v>
      </c>
      <c r="G689" s="236"/>
      <c r="H689" s="236"/>
      <c r="I689" s="236"/>
      <c r="J689" s="242"/>
      <c r="L689" s="249"/>
      <c r="M689" s="245"/>
      <c r="N689" s="19" t="s">
        <v>47</v>
      </c>
      <c r="O689" s="17"/>
      <c r="Q689" s="17">
        <v>292.58</v>
      </c>
      <c r="R689" s="236"/>
      <c r="S689" s="236"/>
      <c r="T689" s="236"/>
      <c r="U689" s="242"/>
    </row>
    <row r="690" spans="1:21" ht="13">
      <c r="A690" s="249"/>
      <c r="B690" s="245"/>
      <c r="C690" s="19" t="s">
        <v>290</v>
      </c>
      <c r="D690" s="17"/>
      <c r="F690" s="17">
        <v>105</v>
      </c>
      <c r="G690" s="236"/>
      <c r="H690" s="236"/>
      <c r="I690" s="236"/>
      <c r="J690" s="242"/>
      <c r="L690" s="249"/>
      <c r="M690" s="245"/>
      <c r="N690" s="19" t="s">
        <v>290</v>
      </c>
      <c r="O690" s="17"/>
      <c r="Q690" s="17">
        <v>105</v>
      </c>
      <c r="R690" s="236"/>
      <c r="S690" s="236"/>
      <c r="T690" s="236"/>
      <c r="U690" s="242"/>
    </row>
    <row r="691" spans="1:21" ht="13">
      <c r="A691" s="249"/>
      <c r="B691" s="246"/>
      <c r="C691" s="20" t="s">
        <v>44</v>
      </c>
      <c r="D691" s="21"/>
      <c r="E691" s="21"/>
      <c r="F691" s="21">
        <v>44.5</v>
      </c>
      <c r="G691" s="238"/>
      <c r="H691" s="238"/>
      <c r="I691" s="238"/>
      <c r="J691" s="243"/>
      <c r="L691" s="249"/>
      <c r="M691" s="246"/>
      <c r="N691" s="20" t="s">
        <v>44</v>
      </c>
      <c r="O691" s="21"/>
      <c r="P691" s="21"/>
      <c r="Q691" s="21">
        <v>44.5</v>
      </c>
      <c r="R691" s="238"/>
      <c r="S691" s="238"/>
      <c r="T691" s="238"/>
      <c r="U691" s="243"/>
    </row>
    <row r="692" spans="1:21" ht="13">
      <c r="A692" s="249"/>
      <c r="B692" s="244" t="s">
        <v>303</v>
      </c>
      <c r="C692" s="15" t="s">
        <v>304</v>
      </c>
      <c r="D692" s="16"/>
      <c r="E692" s="16"/>
      <c r="F692" s="17">
        <v>391</v>
      </c>
      <c r="G692" s="240">
        <f>SUM(F692:F694)</f>
        <v>531.96</v>
      </c>
      <c r="H692" s="237">
        <v>3243.51</v>
      </c>
      <c r="I692" s="237">
        <f>H692-G692</f>
        <v>2711.55</v>
      </c>
      <c r="J692" s="241">
        <f>I692/H692</f>
        <v>0.83599248961772898</v>
      </c>
      <c r="L692" s="249"/>
      <c r="M692" s="244" t="s">
        <v>303</v>
      </c>
      <c r="N692" s="15" t="s">
        <v>304</v>
      </c>
      <c r="O692" s="16"/>
      <c r="P692" s="16"/>
      <c r="Q692" s="17">
        <v>391</v>
      </c>
      <c r="R692" s="240">
        <f>SUM(Q692:Q694)</f>
        <v>531.96</v>
      </c>
      <c r="S692" s="237">
        <v>3243.51</v>
      </c>
      <c r="T692" s="237">
        <f>S692-R692</f>
        <v>2711.55</v>
      </c>
      <c r="U692" s="241">
        <f>T692/S692</f>
        <v>0.83599248961772898</v>
      </c>
    </row>
    <row r="693" spans="1:21" ht="13">
      <c r="A693" s="249"/>
      <c r="B693" s="245"/>
      <c r="C693" s="19" t="s">
        <v>47</v>
      </c>
      <c r="D693" s="17"/>
      <c r="E693" s="17"/>
      <c r="F693" s="17">
        <v>140.96</v>
      </c>
      <c r="G693" s="236"/>
      <c r="H693" s="236"/>
      <c r="I693" s="236"/>
      <c r="J693" s="242"/>
      <c r="L693" s="249"/>
      <c r="M693" s="245"/>
      <c r="N693" s="19" t="s">
        <v>47</v>
      </c>
      <c r="O693" s="17"/>
      <c r="P693" s="17"/>
      <c r="Q693" s="17">
        <v>140.96</v>
      </c>
      <c r="R693" s="236"/>
      <c r="S693" s="236"/>
      <c r="T693" s="236"/>
      <c r="U693" s="242"/>
    </row>
    <row r="694" spans="1:21" ht="13">
      <c r="A694" s="249"/>
      <c r="B694" s="246"/>
      <c r="C694" s="20"/>
      <c r="D694" s="21"/>
      <c r="E694" s="21"/>
      <c r="F694" s="21"/>
      <c r="G694" s="238"/>
      <c r="H694" s="238"/>
      <c r="I694" s="238"/>
      <c r="J694" s="243"/>
      <c r="L694" s="249"/>
      <c r="M694" s="246"/>
      <c r="N694" s="20"/>
      <c r="O694" s="21"/>
      <c r="P694" s="21"/>
      <c r="Q694" s="21"/>
      <c r="R694" s="238"/>
      <c r="S694" s="238"/>
      <c r="T694" s="238"/>
      <c r="U694" s="243"/>
    </row>
    <row r="695" spans="1:21" ht="13">
      <c r="A695" s="249"/>
      <c r="B695" s="244" t="s">
        <v>305</v>
      </c>
      <c r="C695" s="15" t="s">
        <v>304</v>
      </c>
      <c r="D695" s="16"/>
      <c r="E695" s="16"/>
      <c r="F695" s="17">
        <v>144.5</v>
      </c>
      <c r="G695" s="240">
        <f>SUM(F695:F697)</f>
        <v>326.09000000000003</v>
      </c>
      <c r="H695" s="237">
        <v>3243.51</v>
      </c>
      <c r="I695" s="237">
        <f>H695-G695</f>
        <v>2917.42</v>
      </c>
      <c r="J695" s="241">
        <f>I695/H695</f>
        <v>0.89946385243147076</v>
      </c>
      <c r="L695" s="249"/>
      <c r="M695" s="244" t="s">
        <v>305</v>
      </c>
      <c r="N695" s="15" t="s">
        <v>304</v>
      </c>
      <c r="O695" s="16"/>
      <c r="P695" s="16"/>
      <c r="Q695" s="17">
        <v>144.5</v>
      </c>
      <c r="R695" s="240">
        <f>SUM(Q695:Q697)</f>
        <v>326.09000000000003</v>
      </c>
      <c r="S695" s="237">
        <v>3243.51</v>
      </c>
      <c r="T695" s="237">
        <f>S695-R695</f>
        <v>2917.42</v>
      </c>
      <c r="U695" s="241">
        <f>T695/S695</f>
        <v>0.89946385243147076</v>
      </c>
    </row>
    <row r="696" spans="1:21" ht="13">
      <c r="A696" s="249"/>
      <c r="B696" s="245"/>
      <c r="C696" s="19" t="s">
        <v>47</v>
      </c>
      <c r="D696" s="17"/>
      <c r="E696" s="17"/>
      <c r="F696" s="17">
        <v>81.59</v>
      </c>
      <c r="G696" s="236"/>
      <c r="H696" s="236"/>
      <c r="I696" s="236"/>
      <c r="J696" s="242"/>
      <c r="L696" s="249"/>
      <c r="M696" s="245"/>
      <c r="N696" s="19" t="s">
        <v>47</v>
      </c>
      <c r="O696" s="17"/>
      <c r="P696" s="17"/>
      <c r="Q696" s="17">
        <v>81.59</v>
      </c>
      <c r="R696" s="236"/>
      <c r="S696" s="236"/>
      <c r="T696" s="236"/>
      <c r="U696" s="242"/>
    </row>
    <row r="697" spans="1:21" ht="13">
      <c r="A697" s="249"/>
      <c r="B697" s="246"/>
      <c r="C697" s="20" t="s">
        <v>306</v>
      </c>
      <c r="D697" s="21"/>
      <c r="E697" s="21"/>
      <c r="F697" s="21">
        <v>100</v>
      </c>
      <c r="G697" s="238"/>
      <c r="H697" s="238"/>
      <c r="I697" s="238"/>
      <c r="J697" s="243"/>
      <c r="L697" s="249"/>
      <c r="M697" s="246"/>
      <c r="N697" s="20" t="s">
        <v>306</v>
      </c>
      <c r="O697" s="21"/>
      <c r="P697" s="21"/>
      <c r="Q697" s="21">
        <v>100</v>
      </c>
      <c r="R697" s="238"/>
      <c r="S697" s="238"/>
      <c r="T697" s="238"/>
      <c r="U697" s="243"/>
    </row>
    <row r="698" spans="1:21" ht="13">
      <c r="A698" s="249"/>
      <c r="B698" s="244" t="s">
        <v>307</v>
      </c>
      <c r="C698" s="15" t="s">
        <v>140</v>
      </c>
      <c r="D698" s="16">
        <v>9</v>
      </c>
      <c r="E698" s="16">
        <v>15</v>
      </c>
      <c r="F698" s="17">
        <f t="shared" ref="F698:F706" si="128">D698*E698</f>
        <v>135</v>
      </c>
      <c r="G698" s="240">
        <f>SUM(F698:F701)</f>
        <v>270</v>
      </c>
      <c r="H698" s="237">
        <v>954</v>
      </c>
      <c r="I698" s="237">
        <f>H698-G698</f>
        <v>684</v>
      </c>
      <c r="J698" s="241">
        <f>I698/H698</f>
        <v>0.71698113207547165</v>
      </c>
      <c r="L698" s="249"/>
      <c r="M698" s="244" t="s">
        <v>307</v>
      </c>
      <c r="N698" s="15" t="s">
        <v>140</v>
      </c>
      <c r="O698" s="16">
        <v>9</v>
      </c>
      <c r="P698" s="16">
        <v>15</v>
      </c>
      <c r="Q698" s="17">
        <f t="shared" ref="Q698:Q706" si="129">O698*P698</f>
        <v>135</v>
      </c>
      <c r="R698" s="240">
        <f>SUM(Q698:Q701)</f>
        <v>270</v>
      </c>
      <c r="S698" s="237">
        <v>954</v>
      </c>
      <c r="T698" s="237">
        <f>S698-R698</f>
        <v>684</v>
      </c>
      <c r="U698" s="241">
        <f>T698/S698</f>
        <v>0.71698113207547165</v>
      </c>
    </row>
    <row r="699" spans="1:21" ht="13">
      <c r="A699" s="249"/>
      <c r="B699" s="245"/>
      <c r="C699" s="19" t="s">
        <v>308</v>
      </c>
      <c r="D699" s="17">
        <v>3</v>
      </c>
      <c r="E699" s="17">
        <v>15</v>
      </c>
      <c r="F699" s="17">
        <f t="shared" si="128"/>
        <v>45</v>
      </c>
      <c r="G699" s="236"/>
      <c r="H699" s="236"/>
      <c r="I699" s="236"/>
      <c r="J699" s="242"/>
      <c r="L699" s="249"/>
      <c r="M699" s="245"/>
      <c r="N699" s="19" t="s">
        <v>308</v>
      </c>
      <c r="O699" s="17">
        <v>3</v>
      </c>
      <c r="P699" s="17">
        <v>15</v>
      </c>
      <c r="Q699" s="17">
        <f t="shared" si="129"/>
        <v>45</v>
      </c>
      <c r="R699" s="236"/>
      <c r="S699" s="236"/>
      <c r="T699" s="236"/>
      <c r="U699" s="242"/>
    </row>
    <row r="700" spans="1:21" ht="13">
      <c r="A700" s="249"/>
      <c r="B700" s="245"/>
      <c r="C700" s="19" t="s">
        <v>147</v>
      </c>
      <c r="D700" s="17">
        <v>3</v>
      </c>
      <c r="E700" s="17">
        <v>15</v>
      </c>
      <c r="F700" s="17">
        <f t="shared" si="128"/>
        <v>45</v>
      </c>
      <c r="G700" s="236"/>
      <c r="H700" s="236"/>
      <c r="I700" s="236"/>
      <c r="J700" s="242"/>
      <c r="L700" s="249"/>
      <c r="M700" s="245"/>
      <c r="N700" s="19" t="s">
        <v>147</v>
      </c>
      <c r="O700" s="17">
        <v>3</v>
      </c>
      <c r="P700" s="17">
        <v>15</v>
      </c>
      <c r="Q700" s="17">
        <f t="shared" si="129"/>
        <v>45</v>
      </c>
      <c r="R700" s="236"/>
      <c r="S700" s="236"/>
      <c r="T700" s="236"/>
      <c r="U700" s="242"/>
    </row>
    <row r="701" spans="1:21" ht="13">
      <c r="A701" s="249"/>
      <c r="B701" s="246"/>
      <c r="C701" s="20" t="s">
        <v>80</v>
      </c>
      <c r="D701" s="21">
        <v>3</v>
      </c>
      <c r="E701" s="21">
        <v>15</v>
      </c>
      <c r="F701" s="21">
        <f t="shared" si="128"/>
        <v>45</v>
      </c>
      <c r="G701" s="238"/>
      <c r="H701" s="238"/>
      <c r="I701" s="238"/>
      <c r="J701" s="243"/>
      <c r="L701" s="249"/>
      <c r="M701" s="246"/>
      <c r="N701" s="20" t="s">
        <v>80</v>
      </c>
      <c r="O701" s="21">
        <v>3</v>
      </c>
      <c r="P701" s="21">
        <v>15</v>
      </c>
      <c r="Q701" s="21">
        <f t="shared" si="129"/>
        <v>45</v>
      </c>
      <c r="R701" s="238"/>
      <c r="S701" s="238"/>
      <c r="T701" s="238"/>
      <c r="U701" s="243"/>
    </row>
    <row r="702" spans="1:21" ht="13">
      <c r="A702" s="249"/>
      <c r="B702" s="244" t="s">
        <v>309</v>
      </c>
      <c r="C702" s="15" t="s">
        <v>138</v>
      </c>
      <c r="D702" s="16">
        <v>7.5</v>
      </c>
      <c r="E702" s="16">
        <v>15</v>
      </c>
      <c r="F702" s="17">
        <f t="shared" si="128"/>
        <v>112.5</v>
      </c>
      <c r="G702" s="240">
        <f>SUM(F702:F707)</f>
        <v>833.87</v>
      </c>
      <c r="H702" s="237">
        <v>2173</v>
      </c>
      <c r="I702" s="237">
        <f>H702-G702</f>
        <v>1339.13</v>
      </c>
      <c r="J702" s="241">
        <f>I702/H702</f>
        <v>0.61625862862402214</v>
      </c>
      <c r="L702" s="249"/>
      <c r="M702" s="244" t="s">
        <v>309</v>
      </c>
      <c r="N702" s="15" t="s">
        <v>138</v>
      </c>
      <c r="O702" s="16">
        <v>7.5</v>
      </c>
      <c r="P702" s="16">
        <v>15</v>
      </c>
      <c r="Q702" s="17">
        <f t="shared" si="129"/>
        <v>112.5</v>
      </c>
      <c r="R702" s="240">
        <f>SUM(Q702:Q707)</f>
        <v>833.87</v>
      </c>
      <c r="S702" s="237">
        <v>2173</v>
      </c>
      <c r="T702" s="237">
        <f>S702-R702</f>
        <v>1339.13</v>
      </c>
      <c r="U702" s="241">
        <f>T702/S702</f>
        <v>0.61625862862402214</v>
      </c>
    </row>
    <row r="703" spans="1:21" ht="13">
      <c r="A703" s="249"/>
      <c r="B703" s="245"/>
      <c r="C703" s="19" t="s">
        <v>310</v>
      </c>
      <c r="D703" s="17">
        <v>2.5</v>
      </c>
      <c r="E703" s="17">
        <v>15</v>
      </c>
      <c r="F703" s="17">
        <f t="shared" si="128"/>
        <v>37.5</v>
      </c>
      <c r="G703" s="236"/>
      <c r="H703" s="236"/>
      <c r="I703" s="236"/>
      <c r="J703" s="242"/>
      <c r="L703" s="249"/>
      <c r="M703" s="245"/>
      <c r="N703" s="19" t="s">
        <v>310</v>
      </c>
      <c r="O703" s="17">
        <v>2.5</v>
      </c>
      <c r="P703" s="17">
        <v>15</v>
      </c>
      <c r="Q703" s="17">
        <f t="shared" si="129"/>
        <v>37.5</v>
      </c>
      <c r="R703" s="236"/>
      <c r="S703" s="236"/>
      <c r="T703" s="236"/>
      <c r="U703" s="242"/>
    </row>
    <row r="704" spans="1:21" ht="13">
      <c r="A704" s="249"/>
      <c r="B704" s="245"/>
      <c r="C704" s="19" t="s">
        <v>140</v>
      </c>
      <c r="D704" s="17">
        <v>25</v>
      </c>
      <c r="E704" s="17">
        <v>15</v>
      </c>
      <c r="F704" s="17">
        <f t="shared" si="128"/>
        <v>375</v>
      </c>
      <c r="G704" s="236"/>
      <c r="H704" s="236"/>
      <c r="I704" s="236"/>
      <c r="J704" s="242"/>
      <c r="L704" s="249"/>
      <c r="M704" s="245"/>
      <c r="N704" s="19" t="s">
        <v>140</v>
      </c>
      <c r="O704" s="17">
        <v>25</v>
      </c>
      <c r="P704" s="17">
        <v>15</v>
      </c>
      <c r="Q704" s="17">
        <f t="shared" si="129"/>
        <v>375</v>
      </c>
      <c r="R704" s="236"/>
      <c r="S704" s="236"/>
      <c r="T704" s="236"/>
      <c r="U704" s="242"/>
    </row>
    <row r="705" spans="1:21" ht="13">
      <c r="A705" s="249"/>
      <c r="B705" s="245"/>
      <c r="C705" s="19" t="s">
        <v>147</v>
      </c>
      <c r="D705" s="17">
        <v>7.5</v>
      </c>
      <c r="E705" s="17">
        <v>15</v>
      </c>
      <c r="F705" s="17">
        <f t="shared" si="128"/>
        <v>112.5</v>
      </c>
      <c r="G705" s="236"/>
      <c r="H705" s="236"/>
      <c r="I705" s="236"/>
      <c r="J705" s="242"/>
      <c r="L705" s="249"/>
      <c r="M705" s="245"/>
      <c r="N705" s="19" t="s">
        <v>147</v>
      </c>
      <c r="O705" s="17">
        <v>7.5</v>
      </c>
      <c r="P705" s="17">
        <v>15</v>
      </c>
      <c r="Q705" s="17">
        <f t="shared" si="129"/>
        <v>112.5</v>
      </c>
      <c r="R705" s="236"/>
      <c r="S705" s="236"/>
      <c r="T705" s="236"/>
      <c r="U705" s="242"/>
    </row>
    <row r="706" spans="1:21" ht="13">
      <c r="A706" s="249"/>
      <c r="B706" s="245"/>
      <c r="C706" s="19" t="s">
        <v>123</v>
      </c>
      <c r="D706" s="17">
        <v>7.5</v>
      </c>
      <c r="E706" s="17">
        <v>15</v>
      </c>
      <c r="F706" s="17">
        <f t="shared" si="128"/>
        <v>112.5</v>
      </c>
      <c r="G706" s="236"/>
      <c r="H706" s="236"/>
      <c r="I706" s="236"/>
      <c r="J706" s="242"/>
      <c r="L706" s="249"/>
      <c r="M706" s="245"/>
      <c r="N706" s="19" t="s">
        <v>123</v>
      </c>
      <c r="O706" s="17">
        <v>7.5</v>
      </c>
      <c r="P706" s="17">
        <v>15</v>
      </c>
      <c r="Q706" s="17">
        <f t="shared" si="129"/>
        <v>112.5</v>
      </c>
      <c r="R706" s="236"/>
      <c r="S706" s="236"/>
      <c r="T706" s="236"/>
      <c r="U706" s="242"/>
    </row>
    <row r="707" spans="1:21" ht="13">
      <c r="A707" s="249"/>
      <c r="B707" s="246"/>
      <c r="C707" s="20" t="s">
        <v>33</v>
      </c>
      <c r="D707" s="21"/>
      <c r="E707" s="21"/>
      <c r="F707" s="21">
        <v>83.87</v>
      </c>
      <c r="G707" s="238"/>
      <c r="H707" s="238"/>
      <c r="I707" s="238"/>
      <c r="J707" s="243"/>
      <c r="L707" s="249"/>
      <c r="M707" s="246"/>
      <c r="N707" s="20" t="s">
        <v>33</v>
      </c>
      <c r="O707" s="21"/>
      <c r="P707" s="21"/>
      <c r="Q707" s="21">
        <v>83.87</v>
      </c>
      <c r="R707" s="238"/>
      <c r="S707" s="238"/>
      <c r="T707" s="238"/>
      <c r="U707" s="243"/>
    </row>
    <row r="708" spans="1:21" ht="13">
      <c r="A708" s="249"/>
      <c r="B708" s="244" t="s">
        <v>311</v>
      </c>
      <c r="C708" s="15" t="s">
        <v>312</v>
      </c>
      <c r="D708" s="16">
        <v>7</v>
      </c>
      <c r="E708" s="16">
        <v>15</v>
      </c>
      <c r="F708" s="17">
        <f t="shared" ref="F708:F716" si="130">D708*E708</f>
        <v>105</v>
      </c>
      <c r="G708" s="240">
        <f>SUM(F708:F717)</f>
        <v>1629.46</v>
      </c>
      <c r="H708" s="237">
        <v>6428.5</v>
      </c>
      <c r="I708" s="237">
        <f>H708-G708</f>
        <v>4799.04</v>
      </c>
      <c r="J708" s="241">
        <f>I708/H708</f>
        <v>0.74652562806253397</v>
      </c>
      <c r="L708" s="249"/>
      <c r="M708" s="244" t="s">
        <v>311</v>
      </c>
      <c r="N708" s="15" t="s">
        <v>312</v>
      </c>
      <c r="O708" s="16">
        <v>7</v>
      </c>
      <c r="P708" s="16">
        <v>15</v>
      </c>
      <c r="Q708" s="17">
        <f t="shared" ref="Q708:Q716" si="131">O708*P708</f>
        <v>105</v>
      </c>
      <c r="R708" s="240">
        <f>SUM(Q708:Q717)</f>
        <v>1629.46</v>
      </c>
      <c r="S708" s="237">
        <v>6428.5</v>
      </c>
      <c r="T708" s="237">
        <f>S708-R708</f>
        <v>4799.04</v>
      </c>
      <c r="U708" s="241">
        <f>T708/S708</f>
        <v>0.74652562806253397</v>
      </c>
    </row>
    <row r="709" spans="1:21" ht="13">
      <c r="A709" s="249"/>
      <c r="B709" s="245"/>
      <c r="C709" s="19" t="s">
        <v>313</v>
      </c>
      <c r="D709" s="17">
        <v>7</v>
      </c>
      <c r="E709" s="17">
        <v>15</v>
      </c>
      <c r="F709" s="17">
        <f t="shared" si="130"/>
        <v>105</v>
      </c>
      <c r="G709" s="236"/>
      <c r="H709" s="236"/>
      <c r="I709" s="236"/>
      <c r="J709" s="242"/>
      <c r="L709" s="249"/>
      <c r="M709" s="245"/>
      <c r="N709" s="19" t="s">
        <v>313</v>
      </c>
      <c r="O709" s="17">
        <v>7</v>
      </c>
      <c r="P709" s="17">
        <v>15</v>
      </c>
      <c r="Q709" s="17">
        <f t="shared" si="131"/>
        <v>105</v>
      </c>
      <c r="R709" s="236"/>
      <c r="S709" s="236"/>
      <c r="T709" s="236"/>
      <c r="U709" s="242"/>
    </row>
    <row r="710" spans="1:21" ht="13">
      <c r="A710" s="249"/>
      <c r="B710" s="245"/>
      <c r="C710" s="19" t="s">
        <v>314</v>
      </c>
      <c r="D710" s="17">
        <v>4.1500000000000004</v>
      </c>
      <c r="E710" s="17">
        <v>13</v>
      </c>
      <c r="F710" s="17">
        <f t="shared" si="130"/>
        <v>53.95</v>
      </c>
      <c r="G710" s="236"/>
      <c r="H710" s="236"/>
      <c r="I710" s="236"/>
      <c r="J710" s="242"/>
      <c r="L710" s="249"/>
      <c r="M710" s="245"/>
      <c r="N710" s="19" t="s">
        <v>314</v>
      </c>
      <c r="O710" s="17">
        <v>4.1500000000000004</v>
      </c>
      <c r="P710" s="17">
        <v>13</v>
      </c>
      <c r="Q710" s="17">
        <f t="shared" si="131"/>
        <v>53.95</v>
      </c>
      <c r="R710" s="236"/>
      <c r="S710" s="236"/>
      <c r="T710" s="236"/>
      <c r="U710" s="242"/>
    </row>
    <row r="711" spans="1:21" ht="13">
      <c r="A711" s="249"/>
      <c r="B711" s="245"/>
      <c r="C711" s="19" t="s">
        <v>315</v>
      </c>
      <c r="D711" s="17">
        <v>6.83</v>
      </c>
      <c r="E711" s="17">
        <v>13</v>
      </c>
      <c r="F711" s="17">
        <f t="shared" si="130"/>
        <v>88.79</v>
      </c>
      <c r="G711" s="236"/>
      <c r="H711" s="236"/>
      <c r="I711" s="236"/>
      <c r="J711" s="242"/>
      <c r="L711" s="249"/>
      <c r="M711" s="245"/>
      <c r="N711" s="19" t="s">
        <v>315</v>
      </c>
      <c r="O711" s="17">
        <v>6.83</v>
      </c>
      <c r="P711" s="17">
        <v>13</v>
      </c>
      <c r="Q711" s="17">
        <f t="shared" si="131"/>
        <v>88.79</v>
      </c>
      <c r="R711" s="236"/>
      <c r="S711" s="236"/>
      <c r="T711" s="236"/>
      <c r="U711" s="242"/>
    </row>
    <row r="712" spans="1:21" ht="13">
      <c r="A712" s="249"/>
      <c r="B712" s="245"/>
      <c r="C712" s="19" t="s">
        <v>316</v>
      </c>
      <c r="D712" s="17">
        <v>21.85</v>
      </c>
      <c r="E712" s="17">
        <v>13</v>
      </c>
      <c r="F712" s="17">
        <f t="shared" si="130"/>
        <v>284.05</v>
      </c>
      <c r="G712" s="236"/>
      <c r="H712" s="236"/>
      <c r="I712" s="236"/>
      <c r="J712" s="242"/>
      <c r="L712" s="249"/>
      <c r="M712" s="245"/>
      <c r="N712" s="19" t="s">
        <v>316</v>
      </c>
      <c r="O712" s="17">
        <v>21.85</v>
      </c>
      <c r="P712" s="17">
        <v>13</v>
      </c>
      <c r="Q712" s="17">
        <f t="shared" si="131"/>
        <v>284.05</v>
      </c>
      <c r="R712" s="236"/>
      <c r="S712" s="236"/>
      <c r="T712" s="236"/>
      <c r="U712" s="242"/>
    </row>
    <row r="713" spans="1:21" ht="13">
      <c r="A713" s="249"/>
      <c r="B713" s="245"/>
      <c r="C713" s="19" t="s">
        <v>317</v>
      </c>
      <c r="D713" s="17">
        <v>3</v>
      </c>
      <c r="E713" s="17">
        <v>13</v>
      </c>
      <c r="F713" s="17">
        <f t="shared" si="130"/>
        <v>39</v>
      </c>
      <c r="G713" s="236"/>
      <c r="H713" s="236"/>
      <c r="I713" s="236"/>
      <c r="J713" s="242"/>
      <c r="L713" s="249"/>
      <c r="M713" s="245"/>
      <c r="N713" s="19" t="s">
        <v>317</v>
      </c>
      <c r="O713" s="17">
        <v>3</v>
      </c>
      <c r="P713" s="17">
        <v>13</v>
      </c>
      <c r="Q713" s="17">
        <f t="shared" si="131"/>
        <v>39</v>
      </c>
      <c r="R713" s="236"/>
      <c r="S713" s="236"/>
      <c r="T713" s="236"/>
      <c r="U713" s="242"/>
    </row>
    <row r="714" spans="1:21" ht="13">
      <c r="A714" s="249"/>
      <c r="B714" s="245"/>
      <c r="C714" s="19" t="s">
        <v>318</v>
      </c>
      <c r="D714" s="17">
        <v>18</v>
      </c>
      <c r="E714" s="17">
        <v>15</v>
      </c>
      <c r="F714" s="17">
        <f t="shared" si="130"/>
        <v>270</v>
      </c>
      <c r="G714" s="236"/>
      <c r="H714" s="236"/>
      <c r="I714" s="236"/>
      <c r="J714" s="242"/>
      <c r="L714" s="249"/>
      <c r="M714" s="245"/>
      <c r="N714" s="19" t="s">
        <v>318</v>
      </c>
      <c r="O714" s="17">
        <v>18</v>
      </c>
      <c r="P714" s="17">
        <v>15</v>
      </c>
      <c r="Q714" s="17">
        <f t="shared" si="131"/>
        <v>270</v>
      </c>
      <c r="R714" s="236"/>
      <c r="S714" s="236"/>
      <c r="T714" s="236"/>
      <c r="U714" s="242"/>
    </row>
    <row r="715" spans="1:21" ht="13">
      <c r="A715" s="249"/>
      <c r="B715" s="245"/>
      <c r="C715" s="19" t="s">
        <v>319</v>
      </c>
      <c r="D715" s="17">
        <v>3</v>
      </c>
      <c r="E715" s="17">
        <v>15</v>
      </c>
      <c r="F715" s="17">
        <f t="shared" si="130"/>
        <v>45</v>
      </c>
      <c r="G715" s="236"/>
      <c r="H715" s="236"/>
      <c r="I715" s="236"/>
      <c r="J715" s="242"/>
      <c r="L715" s="249"/>
      <c r="M715" s="245"/>
      <c r="N715" s="19" t="s">
        <v>319</v>
      </c>
      <c r="O715" s="17">
        <v>3</v>
      </c>
      <c r="P715" s="17">
        <v>15</v>
      </c>
      <c r="Q715" s="17">
        <f t="shared" si="131"/>
        <v>45</v>
      </c>
      <c r="R715" s="236"/>
      <c r="S715" s="236"/>
      <c r="T715" s="236"/>
      <c r="U715" s="242"/>
    </row>
    <row r="716" spans="1:21" ht="13">
      <c r="A716" s="249"/>
      <c r="B716" s="245"/>
      <c r="C716" s="19" t="s">
        <v>320</v>
      </c>
      <c r="D716" s="17">
        <v>5</v>
      </c>
      <c r="E716" s="17">
        <v>15</v>
      </c>
      <c r="F716" s="17">
        <f t="shared" si="130"/>
        <v>75</v>
      </c>
      <c r="G716" s="236"/>
      <c r="H716" s="236"/>
      <c r="I716" s="236"/>
      <c r="J716" s="242"/>
      <c r="L716" s="249"/>
      <c r="M716" s="245"/>
      <c r="N716" s="19" t="s">
        <v>320</v>
      </c>
      <c r="O716" s="17">
        <v>5</v>
      </c>
      <c r="P716" s="17">
        <v>15</v>
      </c>
      <c r="Q716" s="17">
        <f t="shared" si="131"/>
        <v>75</v>
      </c>
      <c r="R716" s="236"/>
      <c r="S716" s="236"/>
      <c r="T716" s="236"/>
      <c r="U716" s="242"/>
    </row>
    <row r="717" spans="1:21" ht="13">
      <c r="A717" s="249"/>
      <c r="B717" s="246"/>
      <c r="C717" s="20" t="s">
        <v>321</v>
      </c>
      <c r="D717" s="21"/>
      <c r="E717" s="21"/>
      <c r="F717" s="21">
        <v>563.66999999999996</v>
      </c>
      <c r="G717" s="238"/>
      <c r="H717" s="238"/>
      <c r="I717" s="238"/>
      <c r="J717" s="243"/>
      <c r="L717" s="249"/>
      <c r="M717" s="246"/>
      <c r="N717" s="20" t="s">
        <v>321</v>
      </c>
      <c r="O717" s="21"/>
      <c r="P717" s="21"/>
      <c r="Q717" s="21">
        <v>563.66999999999996</v>
      </c>
      <c r="R717" s="238"/>
      <c r="S717" s="238"/>
      <c r="T717" s="238"/>
      <c r="U717" s="243"/>
    </row>
    <row r="718" spans="1:21" ht="13">
      <c r="A718" s="249"/>
      <c r="B718" s="244" t="s">
        <v>322</v>
      </c>
      <c r="C718" s="15" t="s">
        <v>51</v>
      </c>
      <c r="D718" s="16"/>
      <c r="E718" s="16"/>
      <c r="F718" s="17">
        <v>150</v>
      </c>
      <c r="G718" s="240">
        <f>SUM(F718:F720)</f>
        <v>220</v>
      </c>
      <c r="H718" s="237">
        <v>2111.4</v>
      </c>
      <c r="I718" s="237">
        <f>H718-G718</f>
        <v>1891.4</v>
      </c>
      <c r="J718" s="241">
        <f>I718/H718</f>
        <v>0.89580373212086772</v>
      </c>
      <c r="L718" s="249"/>
      <c r="M718" s="244" t="s">
        <v>322</v>
      </c>
      <c r="N718" s="15" t="s">
        <v>51</v>
      </c>
      <c r="O718" s="16"/>
      <c r="P718" s="16"/>
      <c r="Q718" s="17">
        <v>150</v>
      </c>
      <c r="R718" s="240">
        <f>SUM(Q718:Q720)</f>
        <v>220</v>
      </c>
      <c r="S718" s="237">
        <v>2111.4</v>
      </c>
      <c r="T718" s="237">
        <f>S718-R718</f>
        <v>1891.4</v>
      </c>
      <c r="U718" s="241">
        <f>T718/S718</f>
        <v>0.89580373212086772</v>
      </c>
    </row>
    <row r="719" spans="1:21" ht="13">
      <c r="A719" s="249"/>
      <c r="B719" s="245"/>
      <c r="C719" s="19" t="s">
        <v>45</v>
      </c>
      <c r="D719" s="17"/>
      <c r="E719" s="17"/>
      <c r="F719" s="17">
        <v>70</v>
      </c>
      <c r="G719" s="236"/>
      <c r="H719" s="236"/>
      <c r="I719" s="236"/>
      <c r="J719" s="242"/>
      <c r="L719" s="249"/>
      <c r="M719" s="245"/>
      <c r="N719" s="19" t="s">
        <v>45</v>
      </c>
      <c r="O719" s="17"/>
      <c r="P719" s="17"/>
      <c r="Q719" s="17">
        <v>70</v>
      </c>
      <c r="R719" s="236"/>
      <c r="S719" s="236"/>
      <c r="T719" s="236"/>
      <c r="U719" s="242"/>
    </row>
    <row r="720" spans="1:21" ht="13">
      <c r="A720" s="249"/>
      <c r="B720" s="246"/>
      <c r="C720" s="20"/>
      <c r="D720" s="21"/>
      <c r="E720" s="21"/>
      <c r="F720" s="21"/>
      <c r="G720" s="238"/>
      <c r="H720" s="238"/>
      <c r="I720" s="238"/>
      <c r="J720" s="243"/>
      <c r="L720" s="249"/>
      <c r="M720" s="246"/>
      <c r="N720" s="20"/>
      <c r="O720" s="21"/>
      <c r="P720" s="21"/>
      <c r="Q720" s="21"/>
      <c r="R720" s="238"/>
      <c r="S720" s="238"/>
      <c r="T720" s="238"/>
      <c r="U720" s="243"/>
    </row>
    <row r="721" spans="1:21" ht="13">
      <c r="A721" s="249"/>
      <c r="B721" s="244" t="s">
        <v>323</v>
      </c>
      <c r="C721" s="15" t="s">
        <v>53</v>
      </c>
      <c r="D721" s="16">
        <v>16.920000000000002</v>
      </c>
      <c r="E721" s="16">
        <v>13</v>
      </c>
      <c r="F721" s="17">
        <f t="shared" ref="F721:F724" si="132">D721*E721</f>
        <v>219.96000000000004</v>
      </c>
      <c r="G721" s="240">
        <f>SUM(F721:F724)</f>
        <v>672.23</v>
      </c>
      <c r="H721" s="237">
        <v>1965.6</v>
      </c>
      <c r="I721" s="237">
        <f>H721-G721</f>
        <v>1293.3699999999999</v>
      </c>
      <c r="J721" s="241">
        <f>I721/H721</f>
        <v>0.65800264550264542</v>
      </c>
      <c r="L721" s="249"/>
      <c r="M721" s="244" t="s">
        <v>323</v>
      </c>
      <c r="N721" s="15" t="s">
        <v>53</v>
      </c>
      <c r="O721" s="16">
        <v>16.920000000000002</v>
      </c>
      <c r="P721" s="16">
        <v>13</v>
      </c>
      <c r="Q721" s="17">
        <f t="shared" ref="Q721:Q724" si="133">O721*P721</f>
        <v>219.96000000000004</v>
      </c>
      <c r="R721" s="240">
        <f>SUM(Q721:Q724)</f>
        <v>672.23</v>
      </c>
      <c r="S721" s="237">
        <v>1965.6</v>
      </c>
      <c r="T721" s="237">
        <f>S721-R721</f>
        <v>1293.3699999999999</v>
      </c>
      <c r="U721" s="241">
        <f>T721/S721</f>
        <v>0.65800264550264542</v>
      </c>
    </row>
    <row r="722" spans="1:21" ht="13">
      <c r="A722" s="249"/>
      <c r="B722" s="245"/>
      <c r="C722" s="19" t="s">
        <v>324</v>
      </c>
      <c r="D722" s="17">
        <v>12.35</v>
      </c>
      <c r="E722" s="17">
        <v>13</v>
      </c>
      <c r="F722" s="17">
        <f t="shared" si="132"/>
        <v>160.54999999999998</v>
      </c>
      <c r="G722" s="236"/>
      <c r="H722" s="236"/>
      <c r="I722" s="236"/>
      <c r="J722" s="242"/>
      <c r="L722" s="249"/>
      <c r="M722" s="245"/>
      <c r="N722" s="19" t="s">
        <v>324</v>
      </c>
      <c r="O722" s="17">
        <v>12.35</v>
      </c>
      <c r="P722" s="17">
        <v>13</v>
      </c>
      <c r="Q722" s="17">
        <f t="shared" si="133"/>
        <v>160.54999999999998</v>
      </c>
      <c r="R722" s="236"/>
      <c r="S722" s="236"/>
      <c r="T722" s="236"/>
      <c r="U722" s="242"/>
    </row>
    <row r="723" spans="1:21" ht="13">
      <c r="A723" s="249"/>
      <c r="B723" s="245"/>
      <c r="C723" s="19" t="s">
        <v>31</v>
      </c>
      <c r="D723" s="17">
        <v>13.8</v>
      </c>
      <c r="E723" s="17">
        <v>13</v>
      </c>
      <c r="F723" s="17">
        <f t="shared" si="132"/>
        <v>179.4</v>
      </c>
      <c r="G723" s="236"/>
      <c r="H723" s="236"/>
      <c r="I723" s="236"/>
      <c r="J723" s="242"/>
      <c r="L723" s="249"/>
      <c r="M723" s="245"/>
      <c r="N723" s="19" t="s">
        <v>31</v>
      </c>
      <c r="O723" s="17">
        <v>13.8</v>
      </c>
      <c r="P723" s="17">
        <v>13</v>
      </c>
      <c r="Q723" s="17">
        <f t="shared" si="133"/>
        <v>179.4</v>
      </c>
      <c r="R723" s="236"/>
      <c r="S723" s="236"/>
      <c r="T723" s="236"/>
      <c r="U723" s="242"/>
    </row>
    <row r="724" spans="1:21" ht="13">
      <c r="A724" s="249"/>
      <c r="B724" s="246"/>
      <c r="C724" s="20" t="s">
        <v>325</v>
      </c>
      <c r="D724" s="21">
        <v>8.64</v>
      </c>
      <c r="E724" s="21">
        <v>13</v>
      </c>
      <c r="F724" s="21">
        <f t="shared" si="132"/>
        <v>112.32000000000001</v>
      </c>
      <c r="G724" s="238"/>
      <c r="H724" s="238"/>
      <c r="I724" s="238"/>
      <c r="J724" s="243"/>
      <c r="L724" s="249"/>
      <c r="M724" s="246"/>
      <c r="N724" s="20" t="s">
        <v>325</v>
      </c>
      <c r="O724" s="21">
        <v>8.64</v>
      </c>
      <c r="P724" s="21">
        <v>13</v>
      </c>
      <c r="Q724" s="21">
        <f t="shared" si="133"/>
        <v>112.32000000000001</v>
      </c>
      <c r="R724" s="238"/>
      <c r="S724" s="238"/>
      <c r="T724" s="238"/>
      <c r="U724" s="243"/>
    </row>
    <row r="725" spans="1:21" ht="13">
      <c r="A725" s="249"/>
      <c r="B725" s="244" t="s">
        <v>326</v>
      </c>
      <c r="C725" s="15" t="s">
        <v>53</v>
      </c>
      <c r="D725" s="16"/>
      <c r="E725" s="16"/>
      <c r="F725" s="17">
        <v>160</v>
      </c>
      <c r="G725" s="240">
        <f>SUM(F725:F727)</f>
        <v>235.20999999999998</v>
      </c>
      <c r="H725" s="237">
        <v>2455.6</v>
      </c>
      <c r="I725" s="237">
        <f>H725-G725</f>
        <v>2220.39</v>
      </c>
      <c r="J725" s="241">
        <f>I725/H725</f>
        <v>0.90421485583971328</v>
      </c>
      <c r="L725" s="249"/>
      <c r="M725" s="244" t="s">
        <v>326</v>
      </c>
      <c r="N725" s="15" t="s">
        <v>53</v>
      </c>
      <c r="O725" s="16"/>
      <c r="P725" s="16"/>
      <c r="Q725" s="17">
        <v>160</v>
      </c>
      <c r="R725" s="240">
        <f>SUM(Q725:Q727)</f>
        <v>235.20999999999998</v>
      </c>
      <c r="S725" s="237">
        <v>2455.6</v>
      </c>
      <c r="T725" s="237">
        <f>S725-R725</f>
        <v>2220.39</v>
      </c>
      <c r="U725" s="241">
        <f>T725/S725</f>
        <v>0.90421485583971328</v>
      </c>
    </row>
    <row r="726" spans="1:21" ht="13">
      <c r="A726" s="249"/>
      <c r="B726" s="245"/>
      <c r="C726" s="19" t="s">
        <v>33</v>
      </c>
      <c r="D726" s="17"/>
      <c r="E726" s="17"/>
      <c r="F726" s="17">
        <v>75.209999999999994</v>
      </c>
      <c r="G726" s="236"/>
      <c r="H726" s="236"/>
      <c r="I726" s="236"/>
      <c r="J726" s="242"/>
      <c r="L726" s="249"/>
      <c r="M726" s="245"/>
      <c r="N726" s="19" t="s">
        <v>33</v>
      </c>
      <c r="O726" s="17"/>
      <c r="P726" s="17"/>
      <c r="Q726" s="17">
        <v>75.209999999999994</v>
      </c>
      <c r="R726" s="236"/>
      <c r="S726" s="236"/>
      <c r="T726" s="236"/>
      <c r="U726" s="242"/>
    </row>
    <row r="727" spans="1:21" ht="13">
      <c r="A727" s="249"/>
      <c r="B727" s="246"/>
      <c r="C727" s="20"/>
      <c r="D727" s="21"/>
      <c r="E727" s="21"/>
      <c r="F727" s="21"/>
      <c r="G727" s="238"/>
      <c r="H727" s="238"/>
      <c r="I727" s="238"/>
      <c r="J727" s="243"/>
      <c r="L727" s="249"/>
      <c r="M727" s="246"/>
      <c r="N727" s="20"/>
      <c r="O727" s="21"/>
      <c r="P727" s="21"/>
      <c r="Q727" s="21"/>
      <c r="R727" s="238"/>
      <c r="S727" s="238"/>
      <c r="T727" s="238"/>
      <c r="U727" s="243"/>
    </row>
    <row r="728" spans="1:21" ht="13">
      <c r="A728" s="249"/>
      <c r="B728" s="244" t="s">
        <v>327</v>
      </c>
      <c r="C728" s="64" t="s">
        <v>209</v>
      </c>
      <c r="D728" s="50">
        <v>70</v>
      </c>
      <c r="E728" s="50">
        <v>18</v>
      </c>
      <c r="F728" s="65">
        <f>D728*E728</f>
        <v>1260</v>
      </c>
      <c r="G728" s="240">
        <f>SUM(F728:F749)</f>
        <v>21160.68</v>
      </c>
      <c r="H728" s="237">
        <v>31393.599999999999</v>
      </c>
      <c r="I728" s="237">
        <f>H728-G728</f>
        <v>10232.919999999998</v>
      </c>
      <c r="J728" s="241">
        <f>I728/H728</f>
        <v>0.3259556087865042</v>
      </c>
      <c r="L728" s="249"/>
      <c r="M728" s="244" t="s">
        <v>327</v>
      </c>
      <c r="N728" s="64" t="s">
        <v>209</v>
      </c>
      <c r="O728" s="18"/>
      <c r="P728" s="18"/>
      <c r="Q728" s="18"/>
      <c r="R728" s="240">
        <f>SUM(Q728:Q749)</f>
        <v>19900.68</v>
      </c>
      <c r="S728" s="237">
        <v>31393.599999999999</v>
      </c>
      <c r="T728" s="237">
        <f>S728-R728</f>
        <v>11492.919999999998</v>
      </c>
      <c r="U728" s="241">
        <f>T728/S728</f>
        <v>0.36609117781968298</v>
      </c>
    </row>
    <row r="729" spans="1:21" ht="13">
      <c r="A729" s="249"/>
      <c r="B729" s="245"/>
      <c r="C729" s="24" t="s">
        <v>328</v>
      </c>
      <c r="D729" s="23"/>
      <c r="E729" s="23"/>
      <c r="F729" s="23">
        <v>340</v>
      </c>
      <c r="G729" s="236"/>
      <c r="H729" s="236"/>
      <c r="I729" s="236"/>
      <c r="J729" s="242"/>
      <c r="L729" s="249"/>
      <c r="M729" s="245"/>
      <c r="N729" s="24" t="s">
        <v>328</v>
      </c>
      <c r="O729" s="23"/>
      <c r="P729" s="23"/>
      <c r="Q729" s="23">
        <v>340</v>
      </c>
      <c r="R729" s="236"/>
      <c r="S729" s="236"/>
      <c r="T729" s="236"/>
      <c r="U729" s="242"/>
    </row>
    <row r="730" spans="1:21" ht="13">
      <c r="A730" s="249"/>
      <c r="B730" s="245"/>
      <c r="C730" s="22" t="s">
        <v>329</v>
      </c>
      <c r="D730" s="23">
        <v>25.23</v>
      </c>
      <c r="E730" s="23">
        <v>15</v>
      </c>
      <c r="F730" s="23">
        <f t="shared" ref="F730:F739" si="134">D730*E730</f>
        <v>378.45</v>
      </c>
      <c r="G730" s="236"/>
      <c r="H730" s="236"/>
      <c r="I730" s="236"/>
      <c r="J730" s="242"/>
      <c r="L730" s="249"/>
      <c r="M730" s="245"/>
      <c r="N730" s="22" t="s">
        <v>329</v>
      </c>
      <c r="O730" s="23">
        <v>25.23</v>
      </c>
      <c r="P730" s="23">
        <v>15</v>
      </c>
      <c r="Q730" s="23">
        <f t="shared" ref="Q730:Q739" si="135">O730*P730</f>
        <v>378.45</v>
      </c>
      <c r="R730" s="236"/>
      <c r="S730" s="236"/>
      <c r="T730" s="236"/>
      <c r="U730" s="242"/>
    </row>
    <row r="731" spans="1:21" ht="13">
      <c r="A731" s="249"/>
      <c r="B731" s="245"/>
      <c r="C731" s="22" t="s">
        <v>55</v>
      </c>
      <c r="D731" s="23">
        <v>76.58</v>
      </c>
      <c r="E731" s="23">
        <v>17</v>
      </c>
      <c r="F731" s="23">
        <f t="shared" si="134"/>
        <v>1301.8599999999999</v>
      </c>
      <c r="G731" s="236"/>
      <c r="H731" s="236"/>
      <c r="I731" s="236"/>
      <c r="J731" s="242"/>
      <c r="L731" s="249"/>
      <c r="M731" s="245"/>
      <c r="N731" s="22" t="s">
        <v>55</v>
      </c>
      <c r="O731" s="23">
        <v>76.58</v>
      </c>
      <c r="P731" s="23">
        <v>17</v>
      </c>
      <c r="Q731" s="23">
        <f t="shared" si="135"/>
        <v>1301.8599999999999</v>
      </c>
      <c r="R731" s="236"/>
      <c r="S731" s="236"/>
      <c r="T731" s="236"/>
      <c r="U731" s="242"/>
    </row>
    <row r="732" spans="1:21" ht="13">
      <c r="A732" s="249"/>
      <c r="B732" s="245"/>
      <c r="C732" s="22" t="s">
        <v>330</v>
      </c>
      <c r="D732" s="23">
        <v>26.42</v>
      </c>
      <c r="E732" s="23">
        <v>17</v>
      </c>
      <c r="F732" s="23">
        <f t="shared" si="134"/>
        <v>449.14000000000004</v>
      </c>
      <c r="G732" s="236"/>
      <c r="H732" s="236"/>
      <c r="I732" s="236"/>
      <c r="J732" s="242"/>
      <c r="L732" s="249"/>
      <c r="M732" s="245"/>
      <c r="N732" s="22" t="s">
        <v>330</v>
      </c>
      <c r="O732" s="23">
        <v>26.42</v>
      </c>
      <c r="P732" s="23">
        <v>17</v>
      </c>
      <c r="Q732" s="23">
        <f t="shared" si="135"/>
        <v>449.14000000000004</v>
      </c>
      <c r="R732" s="236"/>
      <c r="S732" s="236"/>
      <c r="T732" s="236"/>
      <c r="U732" s="242"/>
    </row>
    <row r="733" spans="1:21" ht="13">
      <c r="A733" s="249"/>
      <c r="B733" s="245"/>
      <c r="C733" s="22" t="s">
        <v>331</v>
      </c>
      <c r="D733" s="23">
        <v>17.09</v>
      </c>
      <c r="E733" s="23">
        <v>20.5</v>
      </c>
      <c r="F733" s="23">
        <f t="shared" si="134"/>
        <v>350.34499999999997</v>
      </c>
      <c r="G733" s="236"/>
      <c r="H733" s="236"/>
      <c r="I733" s="236"/>
      <c r="J733" s="242"/>
      <c r="L733" s="249"/>
      <c r="M733" s="245"/>
      <c r="N733" s="22" t="s">
        <v>331</v>
      </c>
      <c r="O733" s="23">
        <v>17.09</v>
      </c>
      <c r="P733" s="23">
        <v>20.5</v>
      </c>
      <c r="Q733" s="23">
        <f t="shared" si="135"/>
        <v>350.34499999999997</v>
      </c>
      <c r="R733" s="236"/>
      <c r="S733" s="236"/>
      <c r="T733" s="236"/>
      <c r="U733" s="242"/>
    </row>
    <row r="734" spans="1:21" ht="13">
      <c r="A734" s="249"/>
      <c r="B734" s="245"/>
      <c r="C734" s="24" t="s">
        <v>332</v>
      </c>
      <c r="D734" s="23">
        <v>25.67</v>
      </c>
      <c r="E734" s="23">
        <v>20.5</v>
      </c>
      <c r="F734" s="23">
        <f t="shared" si="134"/>
        <v>526.23500000000001</v>
      </c>
      <c r="G734" s="236"/>
      <c r="H734" s="236"/>
      <c r="I734" s="236"/>
      <c r="J734" s="242"/>
      <c r="L734" s="249"/>
      <c r="M734" s="245"/>
      <c r="N734" s="24" t="s">
        <v>332</v>
      </c>
      <c r="O734" s="23">
        <v>25.67</v>
      </c>
      <c r="P734" s="23">
        <v>20.5</v>
      </c>
      <c r="Q734" s="23">
        <f t="shared" si="135"/>
        <v>526.23500000000001</v>
      </c>
      <c r="R734" s="236"/>
      <c r="S734" s="236"/>
      <c r="T734" s="236"/>
      <c r="U734" s="242"/>
    </row>
    <row r="735" spans="1:21" ht="13">
      <c r="A735" s="249"/>
      <c r="B735" s="245"/>
      <c r="C735" s="22" t="s">
        <v>80</v>
      </c>
      <c r="D735" s="23">
        <v>68.95</v>
      </c>
      <c r="E735" s="23">
        <v>17</v>
      </c>
      <c r="F735" s="23">
        <f t="shared" si="134"/>
        <v>1172.1500000000001</v>
      </c>
      <c r="G735" s="236"/>
      <c r="H735" s="236"/>
      <c r="I735" s="236"/>
      <c r="J735" s="242"/>
      <c r="L735" s="249"/>
      <c r="M735" s="245"/>
      <c r="N735" s="22" t="s">
        <v>80</v>
      </c>
      <c r="O735" s="23">
        <v>68.95</v>
      </c>
      <c r="P735" s="23">
        <v>17</v>
      </c>
      <c r="Q735" s="23">
        <f t="shared" si="135"/>
        <v>1172.1500000000001</v>
      </c>
      <c r="R735" s="236"/>
      <c r="S735" s="236"/>
      <c r="T735" s="236"/>
      <c r="U735" s="242"/>
    </row>
    <row r="736" spans="1:21" ht="13">
      <c r="A736" s="249"/>
      <c r="B736" s="245"/>
      <c r="C736" s="22" t="s">
        <v>32</v>
      </c>
      <c r="D736" s="23">
        <v>70.09</v>
      </c>
      <c r="E736" s="23">
        <v>17</v>
      </c>
      <c r="F736" s="23">
        <f t="shared" si="134"/>
        <v>1191.53</v>
      </c>
      <c r="G736" s="236"/>
      <c r="H736" s="236"/>
      <c r="I736" s="236"/>
      <c r="J736" s="242"/>
      <c r="L736" s="249"/>
      <c r="M736" s="245"/>
      <c r="N736" s="22" t="s">
        <v>32</v>
      </c>
      <c r="O736" s="23">
        <v>70.09</v>
      </c>
      <c r="P736" s="23">
        <v>17</v>
      </c>
      <c r="Q736" s="23">
        <f t="shared" si="135"/>
        <v>1191.53</v>
      </c>
      <c r="R736" s="236"/>
      <c r="S736" s="236"/>
      <c r="T736" s="236"/>
      <c r="U736" s="242"/>
    </row>
    <row r="737" spans="1:21" ht="13">
      <c r="A737" s="249"/>
      <c r="B737" s="245"/>
      <c r="C737" s="22" t="s">
        <v>298</v>
      </c>
      <c r="D737" s="23">
        <v>24.78</v>
      </c>
      <c r="E737" s="23">
        <v>17</v>
      </c>
      <c r="F737" s="23">
        <f t="shared" si="134"/>
        <v>421.26</v>
      </c>
      <c r="G737" s="236"/>
      <c r="H737" s="236"/>
      <c r="I737" s="236"/>
      <c r="J737" s="242"/>
      <c r="L737" s="249"/>
      <c r="M737" s="245"/>
      <c r="N737" s="22" t="s">
        <v>298</v>
      </c>
      <c r="O737" s="23">
        <v>24.78</v>
      </c>
      <c r="P737" s="23">
        <v>17</v>
      </c>
      <c r="Q737" s="23">
        <f t="shared" si="135"/>
        <v>421.26</v>
      </c>
      <c r="R737" s="236"/>
      <c r="S737" s="236"/>
      <c r="T737" s="236"/>
      <c r="U737" s="242"/>
    </row>
    <row r="738" spans="1:21" ht="13">
      <c r="A738" s="249"/>
      <c r="B738" s="245"/>
      <c r="C738" s="22" t="s">
        <v>70</v>
      </c>
      <c r="D738" s="23">
        <v>61.88</v>
      </c>
      <c r="E738" s="23">
        <v>17</v>
      </c>
      <c r="F738" s="23">
        <f t="shared" si="134"/>
        <v>1051.96</v>
      </c>
      <c r="G738" s="236"/>
      <c r="H738" s="236"/>
      <c r="I738" s="236"/>
      <c r="J738" s="242"/>
      <c r="L738" s="249"/>
      <c r="M738" s="245"/>
      <c r="N738" s="22" t="s">
        <v>70</v>
      </c>
      <c r="O738" s="23">
        <v>61.88</v>
      </c>
      <c r="P738" s="23">
        <v>17</v>
      </c>
      <c r="Q738" s="23">
        <f t="shared" si="135"/>
        <v>1051.96</v>
      </c>
      <c r="R738" s="236"/>
      <c r="S738" s="236"/>
      <c r="T738" s="236"/>
      <c r="U738" s="242"/>
    </row>
    <row r="739" spans="1:21" ht="13">
      <c r="A739" s="249"/>
      <c r="B739" s="245"/>
      <c r="C739" s="22" t="s">
        <v>333</v>
      </c>
      <c r="D739" s="23">
        <v>60.15</v>
      </c>
      <c r="E739" s="23">
        <v>15</v>
      </c>
      <c r="F739" s="23">
        <f t="shared" si="134"/>
        <v>902.25</v>
      </c>
      <c r="G739" s="236"/>
      <c r="H739" s="236"/>
      <c r="I739" s="236"/>
      <c r="J739" s="242"/>
      <c r="L739" s="249"/>
      <c r="M739" s="245"/>
      <c r="N739" s="22" t="s">
        <v>333</v>
      </c>
      <c r="O739" s="23">
        <v>60.15</v>
      </c>
      <c r="P739" s="23">
        <v>15</v>
      </c>
      <c r="Q739" s="23">
        <f t="shared" si="135"/>
        <v>902.25</v>
      </c>
      <c r="R739" s="236"/>
      <c r="S739" s="236"/>
      <c r="T739" s="236"/>
      <c r="U739" s="242"/>
    </row>
    <row r="740" spans="1:21" ht="13">
      <c r="A740" s="249"/>
      <c r="B740" s="245"/>
      <c r="C740" s="22" t="s">
        <v>33</v>
      </c>
      <c r="D740" s="23"/>
      <c r="E740" s="23"/>
      <c r="F740" s="23">
        <v>6300</v>
      </c>
      <c r="G740" s="236"/>
      <c r="H740" s="236"/>
      <c r="I740" s="236"/>
      <c r="J740" s="242"/>
      <c r="L740" s="249"/>
      <c r="M740" s="245"/>
      <c r="N740" s="22" t="s">
        <v>33</v>
      </c>
      <c r="O740" s="23"/>
      <c r="P740" s="23"/>
      <c r="Q740" s="23">
        <v>6300</v>
      </c>
      <c r="R740" s="236"/>
      <c r="S740" s="236"/>
      <c r="T740" s="236"/>
      <c r="U740" s="242"/>
    </row>
    <row r="741" spans="1:21" ht="13">
      <c r="A741" s="249"/>
      <c r="B741" s="245"/>
      <c r="C741" s="22" t="s">
        <v>334</v>
      </c>
      <c r="D741" s="23"/>
      <c r="E741" s="23"/>
      <c r="F741" s="23">
        <v>167</v>
      </c>
      <c r="G741" s="236"/>
      <c r="H741" s="236"/>
      <c r="I741" s="236"/>
      <c r="J741" s="242"/>
      <c r="L741" s="249"/>
      <c r="M741" s="245"/>
      <c r="N741" s="22" t="s">
        <v>334</v>
      </c>
      <c r="O741" s="23"/>
      <c r="P741" s="23"/>
      <c r="Q741" s="23">
        <v>167</v>
      </c>
      <c r="R741" s="236"/>
      <c r="S741" s="236"/>
      <c r="T741" s="236"/>
      <c r="U741" s="242"/>
    </row>
    <row r="742" spans="1:21" ht="13">
      <c r="A742" s="249"/>
      <c r="B742" s="245"/>
      <c r="C742" s="24" t="s">
        <v>82</v>
      </c>
      <c r="D742" s="23"/>
      <c r="E742" s="23"/>
      <c r="F742" s="23">
        <v>308.17</v>
      </c>
      <c r="G742" s="236"/>
      <c r="H742" s="236"/>
      <c r="I742" s="236"/>
      <c r="J742" s="242"/>
      <c r="L742" s="249"/>
      <c r="M742" s="245"/>
      <c r="N742" s="24" t="s">
        <v>82</v>
      </c>
      <c r="O742" s="23"/>
      <c r="P742" s="23"/>
      <c r="Q742" s="23">
        <v>308.17</v>
      </c>
      <c r="R742" s="236"/>
      <c r="S742" s="236"/>
      <c r="T742" s="236"/>
      <c r="U742" s="242"/>
    </row>
    <row r="743" spans="1:21" ht="13">
      <c r="A743" s="249"/>
      <c r="B743" s="245"/>
      <c r="C743" s="24" t="s">
        <v>335</v>
      </c>
      <c r="D743" s="23"/>
      <c r="E743" s="23"/>
      <c r="F743" s="23">
        <v>1682.6</v>
      </c>
      <c r="G743" s="236"/>
      <c r="H743" s="236"/>
      <c r="I743" s="236"/>
      <c r="J743" s="242"/>
      <c r="L743" s="249"/>
      <c r="M743" s="245"/>
      <c r="N743" s="24" t="s">
        <v>335</v>
      </c>
      <c r="O743" s="23"/>
      <c r="P743" s="23"/>
      <c r="Q743" s="23">
        <v>1682.6</v>
      </c>
      <c r="R743" s="236"/>
      <c r="S743" s="236"/>
      <c r="T743" s="236"/>
      <c r="U743" s="242"/>
    </row>
    <row r="744" spans="1:21" ht="13">
      <c r="A744" s="249"/>
      <c r="B744" s="245"/>
      <c r="C744" s="22" t="s">
        <v>210</v>
      </c>
      <c r="D744" s="23"/>
      <c r="E744" s="23"/>
      <c r="F744" s="23">
        <v>1953</v>
      </c>
      <c r="G744" s="236"/>
      <c r="H744" s="236"/>
      <c r="I744" s="236"/>
      <c r="J744" s="242"/>
      <c r="L744" s="249"/>
      <c r="M744" s="245"/>
      <c r="N744" s="22" t="s">
        <v>210</v>
      </c>
      <c r="O744" s="23"/>
      <c r="P744" s="23"/>
      <c r="Q744" s="23">
        <v>1953</v>
      </c>
      <c r="R744" s="236"/>
      <c r="S744" s="236"/>
      <c r="T744" s="236"/>
      <c r="U744" s="242"/>
    </row>
    <row r="745" spans="1:21" ht="13">
      <c r="A745" s="249"/>
      <c r="B745" s="245"/>
      <c r="C745" s="22" t="s">
        <v>336</v>
      </c>
      <c r="D745" s="23"/>
      <c r="E745" s="23"/>
      <c r="F745" s="23">
        <v>103</v>
      </c>
      <c r="G745" s="236"/>
      <c r="H745" s="236"/>
      <c r="I745" s="236"/>
      <c r="J745" s="242"/>
      <c r="L745" s="249"/>
      <c r="M745" s="245"/>
      <c r="N745" s="22" t="s">
        <v>336</v>
      </c>
      <c r="O745" s="23"/>
      <c r="P745" s="23"/>
      <c r="Q745" s="23">
        <v>103</v>
      </c>
      <c r="R745" s="236"/>
      <c r="S745" s="236"/>
      <c r="T745" s="236"/>
      <c r="U745" s="242"/>
    </row>
    <row r="746" spans="1:21" ht="13">
      <c r="A746" s="249"/>
      <c r="B746" s="245"/>
      <c r="C746" s="22" t="s">
        <v>45</v>
      </c>
      <c r="D746" s="23"/>
      <c r="E746" s="23"/>
      <c r="F746" s="23">
        <v>492.01</v>
      </c>
      <c r="G746" s="236"/>
      <c r="H746" s="236"/>
      <c r="I746" s="236"/>
      <c r="J746" s="242"/>
      <c r="L746" s="249"/>
      <c r="M746" s="245"/>
      <c r="N746" s="22" t="s">
        <v>45</v>
      </c>
      <c r="O746" s="23"/>
      <c r="P746" s="23"/>
      <c r="Q746" s="23">
        <v>492.01</v>
      </c>
      <c r="R746" s="236"/>
      <c r="S746" s="236"/>
      <c r="T746" s="236"/>
      <c r="U746" s="242"/>
    </row>
    <row r="747" spans="1:21" ht="13">
      <c r="A747" s="249"/>
      <c r="B747" s="245"/>
      <c r="C747" s="22" t="s">
        <v>44</v>
      </c>
      <c r="D747" s="23"/>
      <c r="E747" s="23"/>
      <c r="F747" s="23">
        <v>191.59</v>
      </c>
      <c r="G747" s="236"/>
      <c r="H747" s="236"/>
      <c r="I747" s="236"/>
      <c r="J747" s="242"/>
      <c r="L747" s="249"/>
      <c r="M747" s="245"/>
      <c r="N747" s="22" t="s">
        <v>44</v>
      </c>
      <c r="O747" s="23"/>
      <c r="P747" s="23"/>
      <c r="Q747" s="23">
        <v>191.59</v>
      </c>
      <c r="R747" s="236"/>
      <c r="S747" s="236"/>
      <c r="T747" s="236"/>
      <c r="U747" s="242"/>
    </row>
    <row r="748" spans="1:21" ht="13">
      <c r="A748" s="249"/>
      <c r="B748" s="245"/>
      <c r="C748" s="24" t="s">
        <v>48</v>
      </c>
      <c r="D748" s="23"/>
      <c r="E748" s="23"/>
      <c r="F748" s="23">
        <v>618.13</v>
      </c>
      <c r="G748" s="236"/>
      <c r="H748" s="236"/>
      <c r="I748" s="236"/>
      <c r="J748" s="242"/>
      <c r="L748" s="249"/>
      <c r="M748" s="245"/>
      <c r="N748" s="24" t="s">
        <v>48</v>
      </c>
      <c r="O748" s="23"/>
      <c r="P748" s="23"/>
      <c r="Q748" s="23">
        <v>618.13</v>
      </c>
      <c r="R748" s="236"/>
      <c r="S748" s="236"/>
      <c r="T748" s="236"/>
      <c r="U748" s="242"/>
    </row>
    <row r="749" spans="1:21" ht="13">
      <c r="A749" s="249"/>
      <c r="B749" s="246"/>
      <c r="C749" s="25"/>
      <c r="D749" s="26"/>
      <c r="E749" s="26"/>
      <c r="F749" s="26"/>
      <c r="G749" s="238"/>
      <c r="H749" s="238"/>
      <c r="I749" s="238"/>
      <c r="J749" s="243"/>
      <c r="L749" s="249"/>
      <c r="M749" s="246"/>
      <c r="N749" s="25"/>
      <c r="O749" s="26"/>
      <c r="P749" s="26"/>
      <c r="Q749" s="26"/>
      <c r="R749" s="238"/>
      <c r="S749" s="238"/>
      <c r="T749" s="238"/>
      <c r="U749" s="243"/>
    </row>
    <row r="750" spans="1:21" ht="13">
      <c r="A750" s="249"/>
      <c r="B750" s="244" t="s">
        <v>337</v>
      </c>
      <c r="C750" s="15" t="s">
        <v>209</v>
      </c>
      <c r="D750" s="16">
        <v>7</v>
      </c>
      <c r="E750" s="16">
        <v>18</v>
      </c>
      <c r="F750" s="17">
        <f t="shared" ref="F750:F765" si="136">D750*E750</f>
        <v>126</v>
      </c>
      <c r="G750" s="240">
        <f>SUM(F750:F765)</f>
        <v>3317.6299999999997</v>
      </c>
      <c r="H750" s="237">
        <v>6500</v>
      </c>
      <c r="I750" s="237">
        <f>H750-G750</f>
        <v>3182.3700000000003</v>
      </c>
      <c r="J750" s="241">
        <f>I750/H750</f>
        <v>0.48959538461538465</v>
      </c>
      <c r="L750" s="249"/>
      <c r="M750" s="244" t="s">
        <v>337</v>
      </c>
      <c r="N750" s="15" t="s">
        <v>209</v>
      </c>
      <c r="O750" s="18"/>
      <c r="P750" s="18"/>
      <c r="Q750" s="18"/>
      <c r="R750" s="240">
        <f>SUM(Q750:Q765)</f>
        <v>3191.6299999999997</v>
      </c>
      <c r="S750" s="237">
        <v>6500</v>
      </c>
      <c r="T750" s="237">
        <f>S750-R750</f>
        <v>3308.3700000000003</v>
      </c>
      <c r="U750" s="241">
        <f>T750/S750</f>
        <v>0.5089800000000001</v>
      </c>
    </row>
    <row r="751" spans="1:21" ht="13">
      <c r="A751" s="249"/>
      <c r="B751" s="245"/>
      <c r="C751" s="19" t="s">
        <v>229</v>
      </c>
      <c r="D751" s="17">
        <v>7.06</v>
      </c>
      <c r="E751" s="17">
        <v>13</v>
      </c>
      <c r="F751" s="17">
        <f t="shared" si="136"/>
        <v>91.78</v>
      </c>
      <c r="G751" s="236"/>
      <c r="H751" s="236"/>
      <c r="I751" s="236"/>
      <c r="J751" s="242"/>
      <c r="L751" s="249"/>
      <c r="M751" s="245"/>
      <c r="N751" s="19" t="s">
        <v>229</v>
      </c>
      <c r="O751" s="17">
        <v>7.06</v>
      </c>
      <c r="P751" s="17">
        <v>13</v>
      </c>
      <c r="Q751" s="17">
        <f t="shared" ref="Q751:Q765" si="137">O751*P751</f>
        <v>91.78</v>
      </c>
      <c r="R751" s="236"/>
      <c r="S751" s="236"/>
      <c r="T751" s="236"/>
      <c r="U751" s="242"/>
    </row>
    <row r="752" spans="1:21" ht="13">
      <c r="A752" s="249"/>
      <c r="B752" s="245"/>
      <c r="C752" s="19" t="s">
        <v>226</v>
      </c>
      <c r="D752" s="17">
        <v>2.4500000000000002</v>
      </c>
      <c r="E752" s="17">
        <v>13</v>
      </c>
      <c r="F752" s="17">
        <f t="shared" si="136"/>
        <v>31.85</v>
      </c>
      <c r="G752" s="236"/>
      <c r="H752" s="236"/>
      <c r="I752" s="236"/>
      <c r="J752" s="242"/>
      <c r="L752" s="249"/>
      <c r="M752" s="245"/>
      <c r="N752" s="19" t="s">
        <v>226</v>
      </c>
      <c r="O752" s="17">
        <v>2.4500000000000002</v>
      </c>
      <c r="P752" s="17">
        <v>13</v>
      </c>
      <c r="Q752" s="17">
        <f t="shared" si="137"/>
        <v>31.85</v>
      </c>
      <c r="R752" s="236"/>
      <c r="S752" s="236"/>
      <c r="T752" s="236"/>
      <c r="U752" s="242"/>
    </row>
    <row r="753" spans="1:21" ht="13">
      <c r="A753" s="249"/>
      <c r="B753" s="245"/>
      <c r="C753" s="19" t="s">
        <v>338</v>
      </c>
      <c r="D753" s="17">
        <v>6.3</v>
      </c>
      <c r="E753" s="17">
        <v>13</v>
      </c>
      <c r="F753" s="17">
        <f t="shared" si="136"/>
        <v>81.899999999999991</v>
      </c>
      <c r="G753" s="236"/>
      <c r="H753" s="236"/>
      <c r="I753" s="236"/>
      <c r="J753" s="242"/>
      <c r="L753" s="249"/>
      <c r="M753" s="245"/>
      <c r="N753" s="19" t="s">
        <v>338</v>
      </c>
      <c r="O753" s="17">
        <v>6.3</v>
      </c>
      <c r="P753" s="17">
        <v>13</v>
      </c>
      <c r="Q753" s="17">
        <f t="shared" si="137"/>
        <v>81.899999999999991</v>
      </c>
      <c r="R753" s="236"/>
      <c r="S753" s="236"/>
      <c r="T753" s="236"/>
      <c r="U753" s="242"/>
    </row>
    <row r="754" spans="1:21" ht="13">
      <c r="A754" s="249"/>
      <c r="B754" s="245"/>
      <c r="C754" s="19" t="s">
        <v>339</v>
      </c>
      <c r="D754" s="17">
        <v>48.72</v>
      </c>
      <c r="E754" s="17">
        <v>13</v>
      </c>
      <c r="F754" s="17">
        <f t="shared" si="136"/>
        <v>633.36</v>
      </c>
      <c r="G754" s="236"/>
      <c r="H754" s="236"/>
      <c r="I754" s="236"/>
      <c r="J754" s="242"/>
      <c r="L754" s="249"/>
      <c r="M754" s="245"/>
      <c r="N754" s="19" t="s">
        <v>339</v>
      </c>
      <c r="O754" s="17">
        <v>48.72</v>
      </c>
      <c r="P754" s="17">
        <v>13</v>
      </c>
      <c r="Q754" s="17">
        <f t="shared" si="137"/>
        <v>633.36</v>
      </c>
      <c r="R754" s="236"/>
      <c r="S754" s="236"/>
      <c r="T754" s="236"/>
      <c r="U754" s="242"/>
    </row>
    <row r="755" spans="1:21" ht="13">
      <c r="A755" s="249"/>
      <c r="B755" s="245"/>
      <c r="C755" s="19" t="s">
        <v>340</v>
      </c>
      <c r="D755" s="17">
        <v>7.03</v>
      </c>
      <c r="E755" s="17">
        <v>13</v>
      </c>
      <c r="F755" s="17">
        <f t="shared" si="136"/>
        <v>91.39</v>
      </c>
      <c r="G755" s="236"/>
      <c r="H755" s="236"/>
      <c r="I755" s="236"/>
      <c r="J755" s="242"/>
      <c r="L755" s="249"/>
      <c r="M755" s="245"/>
      <c r="N755" s="19" t="s">
        <v>340</v>
      </c>
      <c r="O755" s="17">
        <v>7.03</v>
      </c>
      <c r="P755" s="17">
        <v>13</v>
      </c>
      <c r="Q755" s="17">
        <f t="shared" si="137"/>
        <v>91.39</v>
      </c>
      <c r="R755" s="236"/>
      <c r="S755" s="236"/>
      <c r="T755" s="236"/>
      <c r="U755" s="242"/>
    </row>
    <row r="756" spans="1:21" ht="13">
      <c r="A756" s="249"/>
      <c r="B756" s="245"/>
      <c r="C756" s="19" t="s">
        <v>228</v>
      </c>
      <c r="D756" s="17">
        <v>6.33</v>
      </c>
      <c r="E756" s="17">
        <v>13</v>
      </c>
      <c r="F756" s="17">
        <f t="shared" si="136"/>
        <v>82.29</v>
      </c>
      <c r="G756" s="236"/>
      <c r="H756" s="236"/>
      <c r="I756" s="236"/>
      <c r="J756" s="242"/>
      <c r="L756" s="249"/>
      <c r="M756" s="245"/>
      <c r="N756" s="19" t="s">
        <v>228</v>
      </c>
      <c r="O756" s="17">
        <v>6.33</v>
      </c>
      <c r="P756" s="17">
        <v>13</v>
      </c>
      <c r="Q756" s="17">
        <f t="shared" si="137"/>
        <v>82.29</v>
      </c>
      <c r="R756" s="236"/>
      <c r="S756" s="236"/>
      <c r="T756" s="236"/>
      <c r="U756" s="242"/>
    </row>
    <row r="757" spans="1:21" ht="13">
      <c r="A757" s="249"/>
      <c r="B757" s="245"/>
      <c r="C757" s="19" t="s">
        <v>231</v>
      </c>
      <c r="D757" s="17">
        <v>13.58</v>
      </c>
      <c r="E757" s="17">
        <v>13</v>
      </c>
      <c r="F757" s="17">
        <f t="shared" si="136"/>
        <v>176.54</v>
      </c>
      <c r="G757" s="236"/>
      <c r="H757" s="236"/>
      <c r="I757" s="236"/>
      <c r="J757" s="242"/>
      <c r="L757" s="249"/>
      <c r="M757" s="245"/>
      <c r="N757" s="19" t="s">
        <v>231</v>
      </c>
      <c r="O757" s="17">
        <v>13.58</v>
      </c>
      <c r="P757" s="17">
        <v>13</v>
      </c>
      <c r="Q757" s="17">
        <f t="shared" si="137"/>
        <v>176.54</v>
      </c>
      <c r="R757" s="236"/>
      <c r="S757" s="236"/>
      <c r="T757" s="236"/>
      <c r="U757" s="242"/>
    </row>
    <row r="758" spans="1:21" ht="13">
      <c r="A758" s="249"/>
      <c r="B758" s="245"/>
      <c r="C758" s="19" t="s">
        <v>264</v>
      </c>
      <c r="D758" s="17">
        <v>33.520000000000003</v>
      </c>
      <c r="E758" s="17">
        <v>13</v>
      </c>
      <c r="F758" s="17">
        <f t="shared" si="136"/>
        <v>435.76000000000005</v>
      </c>
      <c r="G758" s="236"/>
      <c r="H758" s="236"/>
      <c r="I758" s="236"/>
      <c r="J758" s="242"/>
      <c r="L758" s="249"/>
      <c r="M758" s="245"/>
      <c r="N758" s="19" t="s">
        <v>264</v>
      </c>
      <c r="O758" s="17">
        <v>33.520000000000003</v>
      </c>
      <c r="P758" s="17">
        <v>13</v>
      </c>
      <c r="Q758" s="17">
        <f t="shared" si="137"/>
        <v>435.76000000000005</v>
      </c>
      <c r="R758" s="236"/>
      <c r="S758" s="236"/>
      <c r="T758" s="236"/>
      <c r="U758" s="242"/>
    </row>
    <row r="759" spans="1:21" ht="13">
      <c r="A759" s="249"/>
      <c r="B759" s="245"/>
      <c r="C759" s="19" t="s">
        <v>230</v>
      </c>
      <c r="D759" s="17">
        <v>45.87</v>
      </c>
      <c r="E759" s="17">
        <v>13</v>
      </c>
      <c r="F759" s="17">
        <f t="shared" si="136"/>
        <v>596.30999999999995</v>
      </c>
      <c r="G759" s="236"/>
      <c r="H759" s="236"/>
      <c r="I759" s="236"/>
      <c r="J759" s="242"/>
      <c r="L759" s="249"/>
      <c r="M759" s="245"/>
      <c r="N759" s="19" t="s">
        <v>230</v>
      </c>
      <c r="O759" s="17">
        <v>45.87</v>
      </c>
      <c r="P759" s="17">
        <v>13</v>
      </c>
      <c r="Q759" s="17">
        <f t="shared" si="137"/>
        <v>596.30999999999995</v>
      </c>
      <c r="R759" s="236"/>
      <c r="S759" s="236"/>
      <c r="T759" s="236"/>
      <c r="U759" s="242"/>
    </row>
    <row r="760" spans="1:21" ht="13">
      <c r="A760" s="249"/>
      <c r="B760" s="245"/>
      <c r="C760" s="19" t="s">
        <v>341</v>
      </c>
      <c r="D760" s="17">
        <v>15.45</v>
      </c>
      <c r="E760" s="17">
        <v>13</v>
      </c>
      <c r="F760" s="17">
        <f t="shared" si="136"/>
        <v>200.85</v>
      </c>
      <c r="G760" s="236"/>
      <c r="H760" s="236"/>
      <c r="I760" s="236"/>
      <c r="J760" s="242"/>
      <c r="L760" s="249"/>
      <c r="M760" s="245"/>
      <c r="N760" s="19" t="s">
        <v>341</v>
      </c>
      <c r="O760" s="17">
        <v>15.45</v>
      </c>
      <c r="P760" s="17">
        <v>13</v>
      </c>
      <c r="Q760" s="17">
        <f t="shared" si="137"/>
        <v>200.85</v>
      </c>
      <c r="R760" s="236"/>
      <c r="S760" s="236"/>
      <c r="T760" s="236"/>
      <c r="U760" s="242"/>
    </row>
    <row r="761" spans="1:21" ht="13">
      <c r="A761" s="249"/>
      <c r="B761" s="245"/>
      <c r="C761" s="19" t="s">
        <v>342</v>
      </c>
      <c r="D761" s="17">
        <v>13.89</v>
      </c>
      <c r="E761" s="17">
        <v>13</v>
      </c>
      <c r="F761" s="17">
        <f t="shared" si="136"/>
        <v>180.57</v>
      </c>
      <c r="G761" s="236"/>
      <c r="H761" s="236"/>
      <c r="I761" s="236"/>
      <c r="J761" s="242"/>
      <c r="L761" s="249"/>
      <c r="M761" s="245"/>
      <c r="N761" s="19" t="s">
        <v>342</v>
      </c>
      <c r="O761" s="17">
        <v>13.89</v>
      </c>
      <c r="P761" s="17">
        <v>13</v>
      </c>
      <c r="Q761" s="17">
        <f t="shared" si="137"/>
        <v>180.57</v>
      </c>
      <c r="R761" s="236"/>
      <c r="S761" s="236"/>
      <c r="T761" s="236"/>
      <c r="U761" s="242"/>
    </row>
    <row r="762" spans="1:21" ht="13">
      <c r="A762" s="249"/>
      <c r="B762" s="245"/>
      <c r="C762" s="19" t="s">
        <v>343</v>
      </c>
      <c r="D762" s="17">
        <v>2.75</v>
      </c>
      <c r="E762" s="17">
        <v>13</v>
      </c>
      <c r="F762" s="17">
        <f t="shared" si="136"/>
        <v>35.75</v>
      </c>
      <c r="G762" s="236"/>
      <c r="H762" s="236"/>
      <c r="I762" s="236"/>
      <c r="J762" s="242"/>
      <c r="L762" s="249"/>
      <c r="M762" s="245"/>
      <c r="N762" s="19" t="s">
        <v>343</v>
      </c>
      <c r="O762" s="17">
        <v>2.75</v>
      </c>
      <c r="P762" s="17">
        <v>13</v>
      </c>
      <c r="Q762" s="17">
        <f t="shared" si="137"/>
        <v>35.75</v>
      </c>
      <c r="R762" s="236"/>
      <c r="S762" s="236"/>
      <c r="T762" s="236"/>
      <c r="U762" s="242"/>
    </row>
    <row r="763" spans="1:21" ht="13">
      <c r="A763" s="249"/>
      <c r="B763" s="245"/>
      <c r="C763" s="19" t="s">
        <v>344</v>
      </c>
      <c r="D763" s="17">
        <v>11.03</v>
      </c>
      <c r="E763" s="17">
        <v>13</v>
      </c>
      <c r="F763" s="17">
        <f t="shared" si="136"/>
        <v>143.38999999999999</v>
      </c>
      <c r="G763" s="236"/>
      <c r="H763" s="236"/>
      <c r="I763" s="236"/>
      <c r="J763" s="242"/>
      <c r="L763" s="249"/>
      <c r="M763" s="245"/>
      <c r="N763" s="19" t="s">
        <v>344</v>
      </c>
      <c r="O763" s="17">
        <v>11.03</v>
      </c>
      <c r="P763" s="17">
        <v>13</v>
      </c>
      <c r="Q763" s="17">
        <f t="shared" si="137"/>
        <v>143.38999999999999</v>
      </c>
      <c r="R763" s="236"/>
      <c r="S763" s="236"/>
      <c r="T763" s="236"/>
      <c r="U763" s="242"/>
    </row>
    <row r="764" spans="1:21" ht="13">
      <c r="A764" s="249"/>
      <c r="B764" s="245"/>
      <c r="C764" s="19" t="s">
        <v>345</v>
      </c>
      <c r="D764" s="17">
        <v>27.03</v>
      </c>
      <c r="E764" s="17">
        <v>13</v>
      </c>
      <c r="F764" s="17">
        <f t="shared" si="136"/>
        <v>351.39</v>
      </c>
      <c r="G764" s="236"/>
      <c r="H764" s="236"/>
      <c r="I764" s="236"/>
      <c r="J764" s="242"/>
      <c r="L764" s="249"/>
      <c r="M764" s="245"/>
      <c r="N764" s="19" t="s">
        <v>345</v>
      </c>
      <c r="O764" s="17">
        <v>27.03</v>
      </c>
      <c r="P764" s="17">
        <v>13</v>
      </c>
      <c r="Q764" s="17">
        <f t="shared" si="137"/>
        <v>351.39</v>
      </c>
      <c r="R764" s="236"/>
      <c r="S764" s="236"/>
      <c r="T764" s="236"/>
      <c r="U764" s="242"/>
    </row>
    <row r="765" spans="1:21" ht="13">
      <c r="A765" s="249"/>
      <c r="B765" s="246"/>
      <c r="C765" s="20" t="s">
        <v>346</v>
      </c>
      <c r="D765" s="21">
        <v>4.5</v>
      </c>
      <c r="E765" s="21">
        <v>13</v>
      </c>
      <c r="F765" s="21">
        <f t="shared" si="136"/>
        <v>58.5</v>
      </c>
      <c r="G765" s="238"/>
      <c r="H765" s="238"/>
      <c r="I765" s="238"/>
      <c r="J765" s="243"/>
      <c r="L765" s="249"/>
      <c r="M765" s="246"/>
      <c r="N765" s="20" t="s">
        <v>346</v>
      </c>
      <c r="O765" s="21">
        <v>4.5</v>
      </c>
      <c r="P765" s="21">
        <v>13</v>
      </c>
      <c r="Q765" s="21">
        <f t="shared" si="137"/>
        <v>58.5</v>
      </c>
      <c r="R765" s="238"/>
      <c r="S765" s="238"/>
      <c r="T765" s="238"/>
      <c r="U765" s="243"/>
    </row>
    <row r="766" spans="1:21" ht="13">
      <c r="A766" s="249"/>
      <c r="B766" s="244" t="s">
        <v>347</v>
      </c>
      <c r="C766" s="15" t="s">
        <v>349</v>
      </c>
      <c r="D766" s="16"/>
      <c r="E766" s="16"/>
      <c r="F766" s="17">
        <v>300</v>
      </c>
      <c r="G766" s="240">
        <f>SUM(F766:F772)</f>
        <v>851.24</v>
      </c>
      <c r="H766" s="237">
        <v>3800.38</v>
      </c>
      <c r="I766" s="237">
        <f>H766-G766</f>
        <v>2949.1400000000003</v>
      </c>
      <c r="J766" s="241">
        <f>I766/H766</f>
        <v>0.77601187249696091</v>
      </c>
      <c r="L766" s="249"/>
      <c r="M766" s="244" t="s">
        <v>347</v>
      </c>
      <c r="N766" s="15" t="s">
        <v>349</v>
      </c>
      <c r="O766" s="16"/>
      <c r="P766" s="16"/>
      <c r="Q766" s="17">
        <v>300</v>
      </c>
      <c r="R766" s="240">
        <f>SUM(Q766:Q772)</f>
        <v>851.24</v>
      </c>
      <c r="S766" s="237">
        <v>3800.38</v>
      </c>
      <c r="T766" s="237">
        <f>S766-R766</f>
        <v>2949.1400000000003</v>
      </c>
      <c r="U766" s="241">
        <f>T766/S766</f>
        <v>0.77601187249696091</v>
      </c>
    </row>
    <row r="767" spans="1:21" ht="13">
      <c r="A767" s="249"/>
      <c r="B767" s="245"/>
      <c r="C767" s="19" t="s">
        <v>47</v>
      </c>
      <c r="D767" s="17"/>
      <c r="E767" s="17"/>
      <c r="F767" s="17">
        <v>78.22</v>
      </c>
      <c r="G767" s="236"/>
      <c r="H767" s="236"/>
      <c r="I767" s="236"/>
      <c r="J767" s="242"/>
      <c r="L767" s="249"/>
      <c r="M767" s="245"/>
      <c r="N767" s="19" t="s">
        <v>47</v>
      </c>
      <c r="O767" s="17"/>
      <c r="P767" s="17"/>
      <c r="Q767" s="17">
        <v>78.22</v>
      </c>
      <c r="R767" s="236"/>
      <c r="S767" s="236"/>
      <c r="T767" s="236"/>
      <c r="U767" s="242"/>
    </row>
    <row r="768" spans="1:21" ht="13">
      <c r="A768" s="249"/>
      <c r="B768" s="245"/>
      <c r="C768" s="19" t="s">
        <v>155</v>
      </c>
      <c r="D768" s="17"/>
      <c r="E768" s="17"/>
      <c r="F768" s="17">
        <v>237</v>
      </c>
      <c r="G768" s="236"/>
      <c r="H768" s="236"/>
      <c r="I768" s="236"/>
      <c r="J768" s="242"/>
      <c r="L768" s="249"/>
      <c r="M768" s="245"/>
      <c r="N768" s="19" t="s">
        <v>155</v>
      </c>
      <c r="O768" s="17"/>
      <c r="P768" s="17"/>
      <c r="Q768" s="17">
        <v>237</v>
      </c>
      <c r="R768" s="236"/>
      <c r="S768" s="236"/>
      <c r="T768" s="236"/>
      <c r="U768" s="242"/>
    </row>
    <row r="769" spans="1:21" ht="13">
      <c r="A769" s="249"/>
      <c r="B769" s="245"/>
      <c r="C769" s="19" t="s">
        <v>290</v>
      </c>
      <c r="D769" s="17"/>
      <c r="E769" s="17"/>
      <c r="F769" s="17">
        <v>45.65</v>
      </c>
      <c r="G769" s="236"/>
      <c r="H769" s="236"/>
      <c r="I769" s="236"/>
      <c r="J769" s="242"/>
      <c r="L769" s="249"/>
      <c r="M769" s="245"/>
      <c r="N769" s="19" t="s">
        <v>290</v>
      </c>
      <c r="O769" s="17"/>
      <c r="P769" s="17"/>
      <c r="Q769" s="17">
        <v>45.65</v>
      </c>
      <c r="R769" s="236"/>
      <c r="S769" s="236"/>
      <c r="T769" s="236"/>
      <c r="U769" s="242"/>
    </row>
    <row r="770" spans="1:21" ht="13">
      <c r="A770" s="249"/>
      <c r="B770" s="245"/>
      <c r="C770" s="19" t="s">
        <v>45</v>
      </c>
      <c r="D770" s="17"/>
      <c r="E770" s="17"/>
      <c r="F770" s="17">
        <v>120</v>
      </c>
      <c r="G770" s="236"/>
      <c r="H770" s="236"/>
      <c r="I770" s="236"/>
      <c r="J770" s="242"/>
      <c r="L770" s="249"/>
      <c r="M770" s="245"/>
      <c r="N770" s="19" t="s">
        <v>45</v>
      </c>
      <c r="O770" s="17"/>
      <c r="P770" s="17"/>
      <c r="Q770" s="17">
        <v>120</v>
      </c>
      <c r="R770" s="236"/>
      <c r="S770" s="236"/>
      <c r="T770" s="236"/>
      <c r="U770" s="242"/>
    </row>
    <row r="771" spans="1:21" ht="13">
      <c r="A771" s="249"/>
      <c r="B771" s="245"/>
      <c r="C771" s="19" t="s">
        <v>44</v>
      </c>
      <c r="D771" s="17"/>
      <c r="E771" s="17"/>
      <c r="F771" s="17">
        <v>70.37</v>
      </c>
      <c r="G771" s="236"/>
      <c r="H771" s="236"/>
      <c r="I771" s="236"/>
      <c r="J771" s="242"/>
      <c r="L771" s="249"/>
      <c r="M771" s="245"/>
      <c r="N771" s="19" t="s">
        <v>44</v>
      </c>
      <c r="O771" s="17"/>
      <c r="P771" s="17"/>
      <c r="Q771" s="17">
        <v>70.37</v>
      </c>
      <c r="R771" s="236"/>
      <c r="S771" s="236"/>
      <c r="T771" s="236"/>
      <c r="U771" s="242"/>
    </row>
    <row r="772" spans="1:21" ht="13">
      <c r="A772" s="249"/>
      <c r="B772" s="246"/>
      <c r="C772" s="20"/>
      <c r="D772" s="21"/>
      <c r="E772" s="21"/>
      <c r="F772" s="21"/>
      <c r="G772" s="238"/>
      <c r="H772" s="238"/>
      <c r="I772" s="238"/>
      <c r="J772" s="243"/>
      <c r="L772" s="249"/>
      <c r="M772" s="246"/>
      <c r="N772" s="20"/>
      <c r="O772" s="21"/>
      <c r="P772" s="21"/>
      <c r="Q772" s="21"/>
      <c r="R772" s="238"/>
      <c r="S772" s="238"/>
      <c r="T772" s="238"/>
      <c r="U772" s="243"/>
    </row>
    <row r="773" spans="1:21" ht="13">
      <c r="A773" s="249"/>
      <c r="B773" s="244" t="s">
        <v>350</v>
      </c>
      <c r="C773" s="15" t="s">
        <v>349</v>
      </c>
      <c r="D773" s="16"/>
      <c r="E773" s="16"/>
      <c r="F773" s="17">
        <v>150</v>
      </c>
      <c r="G773" s="240">
        <f>SUM(F773:F779)</f>
        <v>667.23000000000013</v>
      </c>
      <c r="H773" s="237">
        <v>2890.72</v>
      </c>
      <c r="I773" s="237">
        <f>H773-G773</f>
        <v>2223.4899999999998</v>
      </c>
      <c r="J773" s="241">
        <f>I773/H773</f>
        <v>0.76918207228648916</v>
      </c>
      <c r="L773" s="249"/>
      <c r="M773" s="244" t="s">
        <v>350</v>
      </c>
      <c r="N773" s="15" t="s">
        <v>349</v>
      </c>
      <c r="O773" s="16"/>
      <c r="P773" s="16"/>
      <c r="Q773" s="17">
        <v>150</v>
      </c>
      <c r="R773" s="240">
        <f>SUM(Q773:Q779)</f>
        <v>667.23000000000013</v>
      </c>
      <c r="S773" s="237">
        <v>2890.72</v>
      </c>
      <c r="T773" s="237">
        <f>S773-R773</f>
        <v>2223.4899999999998</v>
      </c>
      <c r="U773" s="241">
        <f>T773/S773</f>
        <v>0.76918207228648916</v>
      </c>
    </row>
    <row r="774" spans="1:21" ht="13">
      <c r="A774" s="249"/>
      <c r="B774" s="245"/>
      <c r="C774" s="19" t="s">
        <v>47</v>
      </c>
      <c r="D774" s="17"/>
      <c r="E774" s="17"/>
      <c r="F774" s="17">
        <v>68.63</v>
      </c>
      <c r="G774" s="236"/>
      <c r="H774" s="236"/>
      <c r="I774" s="236"/>
      <c r="J774" s="242"/>
      <c r="L774" s="249"/>
      <c r="M774" s="245"/>
      <c r="N774" s="19" t="s">
        <v>47</v>
      </c>
      <c r="O774" s="17"/>
      <c r="P774" s="17"/>
      <c r="Q774" s="17">
        <v>68.63</v>
      </c>
      <c r="R774" s="236"/>
      <c r="S774" s="236"/>
      <c r="T774" s="236"/>
      <c r="U774" s="242"/>
    </row>
    <row r="775" spans="1:21" ht="13">
      <c r="A775" s="249"/>
      <c r="B775" s="245"/>
      <c r="C775" s="19" t="s">
        <v>155</v>
      </c>
      <c r="D775" s="17"/>
      <c r="E775" s="17"/>
      <c r="F775" s="17">
        <v>229.12</v>
      </c>
      <c r="G775" s="236"/>
      <c r="H775" s="236"/>
      <c r="I775" s="236"/>
      <c r="J775" s="242"/>
      <c r="L775" s="249"/>
      <c r="M775" s="245"/>
      <c r="N775" s="19"/>
      <c r="O775" s="17"/>
      <c r="P775" s="17"/>
      <c r="Q775" s="17">
        <v>229.12</v>
      </c>
      <c r="R775" s="236"/>
      <c r="S775" s="236"/>
      <c r="T775" s="236"/>
      <c r="U775" s="242"/>
    </row>
    <row r="776" spans="1:21" ht="13">
      <c r="A776" s="249"/>
      <c r="B776" s="245"/>
      <c r="C776" s="19" t="s">
        <v>290</v>
      </c>
      <c r="D776" s="17"/>
      <c r="E776" s="17"/>
      <c r="F776" s="17">
        <v>37.42</v>
      </c>
      <c r="G776" s="236"/>
      <c r="H776" s="236"/>
      <c r="I776" s="236"/>
      <c r="J776" s="242"/>
      <c r="L776" s="249"/>
      <c r="M776" s="245"/>
      <c r="N776" s="19" t="s">
        <v>290</v>
      </c>
      <c r="O776" s="17"/>
      <c r="P776" s="17"/>
      <c r="Q776" s="17">
        <v>37.42</v>
      </c>
      <c r="R776" s="236"/>
      <c r="S776" s="236"/>
      <c r="T776" s="236"/>
      <c r="U776" s="242"/>
    </row>
    <row r="777" spans="1:21" ht="13">
      <c r="A777" s="249"/>
      <c r="B777" s="245"/>
      <c r="C777" s="19" t="s">
        <v>45</v>
      </c>
      <c r="D777" s="17"/>
      <c r="E777" s="17"/>
      <c r="F777" s="17">
        <v>60</v>
      </c>
      <c r="G777" s="236"/>
      <c r="H777" s="236"/>
      <c r="I777" s="236"/>
      <c r="J777" s="242"/>
      <c r="L777" s="249"/>
      <c r="M777" s="245"/>
      <c r="N777" s="19" t="s">
        <v>45</v>
      </c>
      <c r="O777" s="17"/>
      <c r="P777" s="17"/>
      <c r="Q777" s="17">
        <v>60</v>
      </c>
      <c r="R777" s="236"/>
      <c r="S777" s="236"/>
      <c r="T777" s="236"/>
      <c r="U777" s="242"/>
    </row>
    <row r="778" spans="1:21" ht="13">
      <c r="A778" s="249"/>
      <c r="B778" s="245"/>
      <c r="C778" s="19" t="s">
        <v>44</v>
      </c>
      <c r="D778" s="17"/>
      <c r="E778" s="17"/>
      <c r="F778" s="17">
        <v>32.700000000000003</v>
      </c>
      <c r="G778" s="236"/>
      <c r="H778" s="236"/>
      <c r="I778" s="236"/>
      <c r="J778" s="242"/>
      <c r="L778" s="249"/>
      <c r="M778" s="245"/>
      <c r="N778" s="19" t="s">
        <v>44</v>
      </c>
      <c r="O778" s="17"/>
      <c r="P778" s="17"/>
      <c r="Q778" s="17">
        <v>32.700000000000003</v>
      </c>
      <c r="R778" s="236"/>
      <c r="S778" s="236"/>
      <c r="T778" s="236"/>
      <c r="U778" s="242"/>
    </row>
    <row r="779" spans="1:21" ht="13">
      <c r="A779" s="249"/>
      <c r="B779" s="246"/>
      <c r="C779" s="20" t="s">
        <v>33</v>
      </c>
      <c r="D779" s="21"/>
      <c r="E779" s="21"/>
      <c r="F779" s="21">
        <v>89.36</v>
      </c>
      <c r="G779" s="238"/>
      <c r="H779" s="238"/>
      <c r="I779" s="238"/>
      <c r="J779" s="243"/>
      <c r="L779" s="249"/>
      <c r="M779" s="246"/>
      <c r="N779" s="20" t="s">
        <v>33</v>
      </c>
      <c r="O779" s="21"/>
      <c r="P779" s="21"/>
      <c r="Q779" s="21">
        <v>89.36</v>
      </c>
      <c r="R779" s="238"/>
      <c r="S779" s="238"/>
      <c r="T779" s="238"/>
      <c r="U779" s="243"/>
    </row>
    <row r="780" spans="1:21" ht="13">
      <c r="A780" s="249"/>
      <c r="B780" s="281" t="s">
        <v>351</v>
      </c>
      <c r="C780" s="15" t="s">
        <v>285</v>
      </c>
      <c r="D780" s="16">
        <v>7</v>
      </c>
      <c r="E780" s="16">
        <v>14</v>
      </c>
      <c r="F780" s="17">
        <f>D780*E780</f>
        <v>98</v>
      </c>
      <c r="G780" s="240">
        <f>SUM(F780:F784)</f>
        <v>289.09000000000003</v>
      </c>
      <c r="H780" s="237">
        <v>3172.5</v>
      </c>
      <c r="I780" s="237">
        <f>H780-G780</f>
        <v>2883.41</v>
      </c>
      <c r="J780" s="241">
        <f>I780/H780</f>
        <v>0.90887628053585501</v>
      </c>
      <c r="L780" s="249"/>
      <c r="M780" s="281" t="s">
        <v>351</v>
      </c>
      <c r="N780" s="15" t="s">
        <v>285</v>
      </c>
      <c r="O780" s="18"/>
      <c r="P780" s="18"/>
      <c r="Q780" s="18"/>
      <c r="R780" s="240">
        <f>SUM(Q780:Q784)</f>
        <v>191.09</v>
      </c>
      <c r="S780" s="237">
        <v>3172.5</v>
      </c>
      <c r="T780" s="237">
        <f>S780-R780</f>
        <v>2981.41</v>
      </c>
      <c r="U780" s="241">
        <f>T780/S780</f>
        <v>0.93976674546887307</v>
      </c>
    </row>
    <row r="781" spans="1:21" ht="13">
      <c r="A781" s="249"/>
      <c r="B781" s="245"/>
      <c r="C781" s="19" t="s">
        <v>33</v>
      </c>
      <c r="D781" s="17"/>
      <c r="E781" s="17"/>
      <c r="F781" s="17">
        <v>23.09</v>
      </c>
      <c r="G781" s="236"/>
      <c r="H781" s="236"/>
      <c r="I781" s="236"/>
      <c r="J781" s="242"/>
      <c r="L781" s="249"/>
      <c r="M781" s="245"/>
      <c r="N781" s="19" t="s">
        <v>33</v>
      </c>
      <c r="O781" s="17"/>
      <c r="P781" s="17"/>
      <c r="Q781" s="17">
        <v>23.09</v>
      </c>
      <c r="R781" s="236"/>
      <c r="S781" s="236"/>
      <c r="T781" s="236"/>
      <c r="U781" s="242"/>
    </row>
    <row r="782" spans="1:21" ht="13">
      <c r="A782" s="249"/>
      <c r="B782" s="245"/>
      <c r="C782" s="19" t="s">
        <v>290</v>
      </c>
      <c r="D782" s="17"/>
      <c r="E782" s="17"/>
      <c r="F782" s="17">
        <v>20</v>
      </c>
      <c r="G782" s="236"/>
      <c r="H782" s="236"/>
      <c r="I782" s="236"/>
      <c r="J782" s="242"/>
      <c r="L782" s="249"/>
      <c r="M782" s="245"/>
      <c r="N782" s="19" t="s">
        <v>290</v>
      </c>
      <c r="O782" s="17"/>
      <c r="P782" s="17"/>
      <c r="Q782" s="17">
        <v>20</v>
      </c>
      <c r="R782" s="236"/>
      <c r="S782" s="236"/>
      <c r="T782" s="236"/>
      <c r="U782" s="242"/>
    </row>
    <row r="783" spans="1:21" ht="13">
      <c r="A783" s="249"/>
      <c r="B783" s="245"/>
      <c r="C783" s="19" t="s">
        <v>45</v>
      </c>
      <c r="D783" s="17"/>
      <c r="E783" s="17"/>
      <c r="F783" s="17">
        <v>30</v>
      </c>
      <c r="G783" s="236"/>
      <c r="H783" s="236"/>
      <c r="I783" s="236"/>
      <c r="J783" s="242"/>
      <c r="L783" s="249"/>
      <c r="M783" s="245"/>
      <c r="N783" s="19" t="s">
        <v>45</v>
      </c>
      <c r="O783" s="17"/>
      <c r="P783" s="17"/>
      <c r="Q783" s="17">
        <v>30</v>
      </c>
      <c r="R783" s="236"/>
      <c r="S783" s="236"/>
      <c r="T783" s="236"/>
      <c r="U783" s="242"/>
    </row>
    <row r="784" spans="1:21" ht="13">
      <c r="A784" s="249"/>
      <c r="B784" s="246"/>
      <c r="C784" s="20" t="s">
        <v>155</v>
      </c>
      <c r="D784" s="21"/>
      <c r="E784" s="21"/>
      <c r="F784" s="21">
        <v>118</v>
      </c>
      <c r="G784" s="238"/>
      <c r="H784" s="238"/>
      <c r="I784" s="238"/>
      <c r="J784" s="243"/>
      <c r="L784" s="249"/>
      <c r="M784" s="246"/>
      <c r="N784" s="20" t="s">
        <v>155</v>
      </c>
      <c r="O784" s="21"/>
      <c r="P784" s="21"/>
      <c r="Q784" s="21">
        <v>118</v>
      </c>
      <c r="R784" s="238"/>
      <c r="S784" s="238"/>
      <c r="T784" s="238"/>
      <c r="U784" s="243"/>
    </row>
    <row r="785" spans="1:21" ht="13">
      <c r="A785" s="249"/>
      <c r="B785" s="244" t="s">
        <v>352</v>
      </c>
      <c r="C785" s="15" t="s">
        <v>209</v>
      </c>
      <c r="D785" s="16">
        <v>21</v>
      </c>
      <c r="E785" s="16">
        <v>18</v>
      </c>
      <c r="F785" s="17">
        <f t="shared" ref="F785:F795" si="138">D785*E785</f>
        <v>378</v>
      </c>
      <c r="G785" s="240">
        <f>SUM(F785:F796)</f>
        <v>2522.6899999999996</v>
      </c>
      <c r="H785" s="237">
        <v>6112.5</v>
      </c>
      <c r="I785" s="237">
        <f>H785-G785</f>
        <v>3589.8100000000004</v>
      </c>
      <c r="J785" s="241">
        <f>I785/H785</f>
        <v>0.58728997955010231</v>
      </c>
      <c r="L785" s="249"/>
      <c r="M785" s="244" t="s">
        <v>352</v>
      </c>
      <c r="N785" s="15" t="s">
        <v>209</v>
      </c>
      <c r="O785" s="18"/>
      <c r="P785" s="18"/>
      <c r="Q785" s="18"/>
      <c r="R785" s="240">
        <f>SUM(Q785:Q796)</f>
        <v>2144.6899999999996</v>
      </c>
      <c r="S785" s="237">
        <v>6112.5</v>
      </c>
      <c r="T785" s="237">
        <f>S785-R785</f>
        <v>3967.8100000000004</v>
      </c>
      <c r="U785" s="241">
        <f>T785/S785</f>
        <v>0.64913047034764837</v>
      </c>
    </row>
    <row r="786" spans="1:21" ht="13">
      <c r="A786" s="249"/>
      <c r="B786" s="245"/>
      <c r="C786" s="19" t="s">
        <v>353</v>
      </c>
      <c r="D786" s="17">
        <v>12.8</v>
      </c>
      <c r="E786" s="17">
        <v>13</v>
      </c>
      <c r="F786" s="17">
        <f t="shared" si="138"/>
        <v>166.4</v>
      </c>
      <c r="G786" s="236"/>
      <c r="H786" s="236"/>
      <c r="I786" s="236"/>
      <c r="J786" s="242"/>
      <c r="L786" s="249"/>
      <c r="M786" s="245"/>
      <c r="N786" s="19" t="s">
        <v>353</v>
      </c>
      <c r="O786" s="17">
        <v>12.8</v>
      </c>
      <c r="P786" s="17">
        <v>13</v>
      </c>
      <c r="Q786" s="17">
        <f t="shared" ref="Q786:Q795" si="139">O786*P786</f>
        <v>166.4</v>
      </c>
      <c r="R786" s="236"/>
      <c r="S786" s="236"/>
      <c r="T786" s="236"/>
      <c r="U786" s="242"/>
    </row>
    <row r="787" spans="1:21" ht="13">
      <c r="A787" s="249"/>
      <c r="B787" s="245"/>
      <c r="C787" s="19" t="s">
        <v>344</v>
      </c>
      <c r="D787" s="17">
        <v>27.72</v>
      </c>
      <c r="E787" s="17">
        <v>13</v>
      </c>
      <c r="F787" s="17">
        <f t="shared" si="138"/>
        <v>360.36</v>
      </c>
      <c r="G787" s="236"/>
      <c r="H787" s="236"/>
      <c r="I787" s="236"/>
      <c r="J787" s="242"/>
      <c r="L787" s="249"/>
      <c r="M787" s="245"/>
      <c r="N787" s="19" t="s">
        <v>344</v>
      </c>
      <c r="O787" s="17">
        <v>27.72</v>
      </c>
      <c r="P787" s="17">
        <v>13</v>
      </c>
      <c r="Q787" s="17">
        <f t="shared" si="139"/>
        <v>360.36</v>
      </c>
      <c r="R787" s="236"/>
      <c r="S787" s="236"/>
      <c r="T787" s="236"/>
      <c r="U787" s="242"/>
    </row>
    <row r="788" spans="1:21" ht="13">
      <c r="A788" s="249"/>
      <c r="B788" s="245"/>
      <c r="C788" s="19" t="s">
        <v>295</v>
      </c>
      <c r="D788" s="17">
        <v>6.84</v>
      </c>
      <c r="E788" s="17">
        <v>13</v>
      </c>
      <c r="F788" s="17">
        <f t="shared" si="138"/>
        <v>88.92</v>
      </c>
      <c r="G788" s="236"/>
      <c r="H788" s="236"/>
      <c r="I788" s="236"/>
      <c r="J788" s="242"/>
      <c r="L788" s="249"/>
      <c r="M788" s="245"/>
      <c r="N788" s="19" t="s">
        <v>295</v>
      </c>
      <c r="O788" s="17">
        <v>6.84</v>
      </c>
      <c r="P788" s="17">
        <v>13</v>
      </c>
      <c r="Q788" s="17">
        <f t="shared" si="139"/>
        <v>88.92</v>
      </c>
      <c r="R788" s="236"/>
      <c r="S788" s="236"/>
      <c r="T788" s="236"/>
      <c r="U788" s="242"/>
    </row>
    <row r="789" spans="1:21" ht="13">
      <c r="A789" s="249"/>
      <c r="B789" s="245"/>
      <c r="C789" s="19" t="s">
        <v>345</v>
      </c>
      <c r="D789" s="17">
        <v>31.5</v>
      </c>
      <c r="E789" s="17">
        <v>13</v>
      </c>
      <c r="F789" s="17">
        <f t="shared" si="138"/>
        <v>409.5</v>
      </c>
      <c r="G789" s="236"/>
      <c r="H789" s="236"/>
      <c r="I789" s="236"/>
      <c r="J789" s="242"/>
      <c r="L789" s="249"/>
      <c r="M789" s="245"/>
      <c r="N789" s="19" t="s">
        <v>345</v>
      </c>
      <c r="O789" s="17">
        <v>31.5</v>
      </c>
      <c r="P789" s="17">
        <v>13</v>
      </c>
      <c r="Q789" s="17">
        <f t="shared" si="139"/>
        <v>409.5</v>
      </c>
      <c r="R789" s="236"/>
      <c r="S789" s="236"/>
      <c r="T789" s="236"/>
      <c r="U789" s="242"/>
    </row>
    <row r="790" spans="1:21" ht="13">
      <c r="A790" s="249"/>
      <c r="B790" s="245"/>
      <c r="C790" s="19" t="s">
        <v>341</v>
      </c>
      <c r="D790" s="17">
        <v>17.2</v>
      </c>
      <c r="E790" s="17">
        <v>13</v>
      </c>
      <c r="F790" s="17">
        <f t="shared" si="138"/>
        <v>223.6</v>
      </c>
      <c r="G790" s="236"/>
      <c r="H790" s="236"/>
      <c r="I790" s="236"/>
      <c r="J790" s="242"/>
      <c r="L790" s="249"/>
      <c r="M790" s="245"/>
      <c r="N790" s="19" t="s">
        <v>341</v>
      </c>
      <c r="O790" s="17">
        <v>17.2</v>
      </c>
      <c r="P790" s="17">
        <v>13</v>
      </c>
      <c r="Q790" s="17">
        <f t="shared" si="139"/>
        <v>223.6</v>
      </c>
      <c r="R790" s="236"/>
      <c r="S790" s="236"/>
      <c r="T790" s="236"/>
      <c r="U790" s="242"/>
    </row>
    <row r="791" spans="1:21" ht="13">
      <c r="A791" s="249"/>
      <c r="B791" s="245"/>
      <c r="C791" s="19" t="s">
        <v>231</v>
      </c>
      <c r="D791" s="17">
        <v>11.39</v>
      </c>
      <c r="E791" s="17">
        <v>13</v>
      </c>
      <c r="F791" s="17">
        <f t="shared" si="138"/>
        <v>148.07</v>
      </c>
      <c r="G791" s="236"/>
      <c r="H791" s="236"/>
      <c r="I791" s="236"/>
      <c r="J791" s="242"/>
      <c r="L791" s="249"/>
      <c r="M791" s="245"/>
      <c r="N791" s="19" t="s">
        <v>231</v>
      </c>
      <c r="O791" s="17">
        <v>11.39</v>
      </c>
      <c r="P791" s="17">
        <v>13</v>
      </c>
      <c r="Q791" s="17">
        <f t="shared" si="139"/>
        <v>148.07</v>
      </c>
      <c r="R791" s="236"/>
      <c r="S791" s="236"/>
      <c r="T791" s="236"/>
      <c r="U791" s="242"/>
    </row>
    <row r="792" spans="1:21" ht="13">
      <c r="A792" s="249"/>
      <c r="B792" s="245"/>
      <c r="C792" s="19" t="s">
        <v>229</v>
      </c>
      <c r="D792" s="17">
        <v>16.78</v>
      </c>
      <c r="E792" s="17">
        <v>13</v>
      </c>
      <c r="F792" s="17">
        <f t="shared" si="138"/>
        <v>218.14000000000001</v>
      </c>
      <c r="G792" s="236"/>
      <c r="H792" s="236"/>
      <c r="I792" s="236"/>
      <c r="J792" s="242"/>
      <c r="L792" s="249"/>
      <c r="M792" s="245"/>
      <c r="N792" s="19" t="s">
        <v>229</v>
      </c>
      <c r="O792" s="17">
        <v>16.78</v>
      </c>
      <c r="P792" s="17">
        <v>13</v>
      </c>
      <c r="Q792" s="17">
        <f t="shared" si="139"/>
        <v>218.14000000000001</v>
      </c>
      <c r="R792" s="236"/>
      <c r="S792" s="236"/>
      <c r="T792" s="236"/>
      <c r="U792" s="242"/>
    </row>
    <row r="793" spans="1:21" ht="13">
      <c r="A793" s="249"/>
      <c r="B793" s="245"/>
      <c r="C793" s="19" t="s">
        <v>228</v>
      </c>
      <c r="D793" s="17">
        <v>14.69</v>
      </c>
      <c r="E793" s="17">
        <v>13</v>
      </c>
      <c r="F793" s="17">
        <f t="shared" si="138"/>
        <v>190.97</v>
      </c>
      <c r="G793" s="236"/>
      <c r="H793" s="236"/>
      <c r="I793" s="236"/>
      <c r="J793" s="242"/>
      <c r="L793" s="249"/>
      <c r="M793" s="245"/>
      <c r="N793" s="19" t="s">
        <v>228</v>
      </c>
      <c r="O793" s="17">
        <v>14.69</v>
      </c>
      <c r="P793" s="17">
        <v>13</v>
      </c>
      <c r="Q793" s="17">
        <f t="shared" si="139"/>
        <v>190.97</v>
      </c>
      <c r="R793" s="236"/>
      <c r="S793" s="236"/>
      <c r="T793" s="236"/>
      <c r="U793" s="242"/>
    </row>
    <row r="794" spans="1:21" ht="13">
      <c r="A794" s="249"/>
      <c r="B794" s="245"/>
      <c r="C794" s="19" t="s">
        <v>264</v>
      </c>
      <c r="D794" s="17">
        <v>15.96</v>
      </c>
      <c r="E794" s="17">
        <v>13</v>
      </c>
      <c r="F794" s="17">
        <f t="shared" si="138"/>
        <v>207.48000000000002</v>
      </c>
      <c r="G794" s="236"/>
      <c r="H794" s="236"/>
      <c r="I794" s="236"/>
      <c r="J794" s="242"/>
      <c r="L794" s="249"/>
      <c r="M794" s="245"/>
      <c r="N794" s="19" t="s">
        <v>264</v>
      </c>
      <c r="O794" s="17">
        <v>15.96</v>
      </c>
      <c r="P794" s="17">
        <v>13</v>
      </c>
      <c r="Q794" s="17">
        <f t="shared" si="139"/>
        <v>207.48000000000002</v>
      </c>
      <c r="R794" s="236"/>
      <c r="S794" s="236"/>
      <c r="T794" s="236"/>
      <c r="U794" s="242"/>
    </row>
    <row r="795" spans="1:21" ht="13">
      <c r="A795" s="249"/>
      <c r="B795" s="245"/>
      <c r="C795" s="19" t="s">
        <v>346</v>
      </c>
      <c r="D795" s="17">
        <v>8.75</v>
      </c>
      <c r="E795" s="17">
        <v>15</v>
      </c>
      <c r="F795" s="17">
        <f t="shared" si="138"/>
        <v>131.25</v>
      </c>
      <c r="G795" s="236"/>
      <c r="H795" s="236"/>
      <c r="I795" s="236"/>
      <c r="J795" s="242"/>
      <c r="L795" s="249"/>
      <c r="M795" s="245"/>
      <c r="N795" s="19" t="s">
        <v>346</v>
      </c>
      <c r="O795" s="17">
        <v>8.75</v>
      </c>
      <c r="P795" s="17">
        <v>15</v>
      </c>
      <c r="Q795" s="17">
        <f t="shared" si="139"/>
        <v>131.25</v>
      </c>
      <c r="R795" s="236"/>
      <c r="S795" s="236"/>
      <c r="T795" s="236"/>
      <c r="U795" s="242"/>
    </row>
    <row r="796" spans="1:21" ht="13">
      <c r="A796" s="249"/>
      <c r="B796" s="246"/>
      <c r="C796" s="20"/>
      <c r="D796" s="21"/>
      <c r="E796" s="21"/>
      <c r="F796" s="21"/>
      <c r="G796" s="238"/>
      <c r="H796" s="238"/>
      <c r="I796" s="238"/>
      <c r="J796" s="243"/>
      <c r="L796" s="249"/>
      <c r="M796" s="246"/>
      <c r="N796" s="20"/>
      <c r="O796" s="21"/>
      <c r="P796" s="21"/>
      <c r="Q796" s="21"/>
      <c r="R796" s="238"/>
      <c r="S796" s="238"/>
      <c r="T796" s="238"/>
      <c r="U796" s="243"/>
    </row>
    <row r="797" spans="1:21" ht="13">
      <c r="A797" s="249"/>
      <c r="B797" s="244" t="s">
        <v>354</v>
      </c>
      <c r="C797" s="15" t="s">
        <v>209</v>
      </c>
      <c r="D797" s="17">
        <v>14</v>
      </c>
      <c r="E797" s="16">
        <v>18</v>
      </c>
      <c r="F797" s="17">
        <f>D797*E797</f>
        <v>252</v>
      </c>
      <c r="G797" s="240">
        <f>SUM(F797:F804)</f>
        <v>893.79</v>
      </c>
      <c r="H797" s="237">
        <v>3754</v>
      </c>
      <c r="I797" s="237">
        <f>H797-G797</f>
        <v>2860.21</v>
      </c>
      <c r="J797" s="241">
        <f>I797/H797</f>
        <v>0.76190996270644651</v>
      </c>
      <c r="L797" s="249"/>
      <c r="M797" s="244" t="s">
        <v>354</v>
      </c>
      <c r="N797" s="15" t="s">
        <v>209</v>
      </c>
      <c r="O797" s="18"/>
      <c r="P797" s="18"/>
      <c r="Q797" s="18"/>
      <c r="R797" s="240">
        <f>SUM(Q797:Q804)</f>
        <v>641.79</v>
      </c>
      <c r="S797" s="237">
        <v>3754</v>
      </c>
      <c r="T797" s="237">
        <f>S797-R797</f>
        <v>3112.21</v>
      </c>
      <c r="U797" s="241">
        <f>T797/S797</f>
        <v>0.82903835908364409</v>
      </c>
    </row>
    <row r="798" spans="1:21" ht="13">
      <c r="A798" s="249"/>
      <c r="B798" s="245"/>
      <c r="C798" s="24" t="s">
        <v>289</v>
      </c>
      <c r="E798" s="17"/>
      <c r="F798" s="17">
        <v>238</v>
      </c>
      <c r="G798" s="236"/>
      <c r="H798" s="236"/>
      <c r="I798" s="236"/>
      <c r="J798" s="242"/>
      <c r="L798" s="249"/>
      <c r="M798" s="245"/>
      <c r="N798" s="24" t="s">
        <v>289</v>
      </c>
      <c r="P798" s="17"/>
      <c r="Q798" s="17">
        <v>238</v>
      </c>
      <c r="R798" s="236"/>
      <c r="S798" s="236"/>
      <c r="T798" s="236"/>
      <c r="U798" s="242"/>
    </row>
    <row r="799" spans="1:21" ht="13">
      <c r="A799" s="249"/>
      <c r="B799" s="245"/>
      <c r="C799" s="19" t="s">
        <v>33</v>
      </c>
      <c r="D799" s="17"/>
      <c r="E799" s="17"/>
      <c r="F799" s="17">
        <v>118.29</v>
      </c>
      <c r="G799" s="236"/>
      <c r="H799" s="236"/>
      <c r="I799" s="236"/>
      <c r="J799" s="242"/>
      <c r="L799" s="249"/>
      <c r="M799" s="245"/>
      <c r="N799" s="19" t="s">
        <v>33</v>
      </c>
      <c r="O799" s="17"/>
      <c r="P799" s="17"/>
      <c r="Q799" s="17">
        <v>118.29</v>
      </c>
      <c r="R799" s="236"/>
      <c r="S799" s="236"/>
      <c r="T799" s="236"/>
      <c r="U799" s="242"/>
    </row>
    <row r="800" spans="1:21" ht="13">
      <c r="A800" s="249"/>
      <c r="B800" s="245"/>
      <c r="C800" s="19" t="s">
        <v>45</v>
      </c>
      <c r="D800" s="17"/>
      <c r="E800" s="17"/>
      <c r="F800" s="17">
        <v>80</v>
      </c>
      <c r="G800" s="236"/>
      <c r="H800" s="236"/>
      <c r="I800" s="236"/>
      <c r="J800" s="242"/>
      <c r="L800" s="249"/>
      <c r="M800" s="245"/>
      <c r="N800" s="19" t="s">
        <v>45</v>
      </c>
      <c r="O800" s="17"/>
      <c r="P800" s="17"/>
      <c r="Q800" s="17">
        <v>80</v>
      </c>
      <c r="R800" s="236"/>
      <c r="S800" s="236"/>
      <c r="T800" s="236"/>
      <c r="U800" s="242"/>
    </row>
    <row r="801" spans="1:21" ht="13">
      <c r="A801" s="249"/>
      <c r="B801" s="245"/>
      <c r="C801" s="19" t="s">
        <v>47</v>
      </c>
      <c r="D801" s="17"/>
      <c r="E801" s="17"/>
      <c r="F801" s="17">
        <v>54</v>
      </c>
      <c r="G801" s="236"/>
      <c r="H801" s="236"/>
      <c r="I801" s="236"/>
      <c r="J801" s="242"/>
      <c r="L801" s="249"/>
      <c r="M801" s="245"/>
      <c r="N801" s="19" t="s">
        <v>47</v>
      </c>
      <c r="O801" s="17"/>
      <c r="P801" s="17"/>
      <c r="Q801" s="17">
        <v>54</v>
      </c>
      <c r="R801" s="236"/>
      <c r="S801" s="236"/>
      <c r="T801" s="236"/>
      <c r="U801" s="242"/>
    </row>
    <row r="802" spans="1:21" ht="13">
      <c r="A802" s="249"/>
      <c r="B802" s="245"/>
      <c r="C802" s="19" t="s">
        <v>48</v>
      </c>
      <c r="D802" s="17"/>
      <c r="E802" s="17"/>
      <c r="F802" s="17">
        <v>65.7</v>
      </c>
      <c r="G802" s="236"/>
      <c r="H802" s="236"/>
      <c r="I802" s="236"/>
      <c r="J802" s="242"/>
      <c r="L802" s="249"/>
      <c r="M802" s="245"/>
      <c r="N802" s="19" t="s">
        <v>48</v>
      </c>
      <c r="O802" s="17"/>
      <c r="P802" s="17"/>
      <c r="Q802" s="17">
        <v>65.7</v>
      </c>
      <c r="R802" s="236"/>
      <c r="S802" s="236"/>
      <c r="T802" s="236"/>
      <c r="U802" s="242"/>
    </row>
    <row r="803" spans="1:21" ht="13">
      <c r="A803" s="249"/>
      <c r="B803" s="245"/>
      <c r="C803" s="19" t="s">
        <v>44</v>
      </c>
      <c r="D803" s="17"/>
      <c r="E803" s="17"/>
      <c r="F803" s="17">
        <v>85.8</v>
      </c>
      <c r="G803" s="236"/>
      <c r="H803" s="236"/>
      <c r="I803" s="236"/>
      <c r="J803" s="242"/>
      <c r="L803" s="249"/>
      <c r="M803" s="245"/>
      <c r="N803" s="19" t="s">
        <v>44</v>
      </c>
      <c r="O803" s="17"/>
      <c r="P803" s="17"/>
      <c r="Q803" s="17">
        <v>85.8</v>
      </c>
      <c r="R803" s="236"/>
      <c r="S803" s="236"/>
      <c r="T803" s="236"/>
      <c r="U803" s="242"/>
    </row>
    <row r="804" spans="1:21" ht="13">
      <c r="A804" s="249"/>
      <c r="B804" s="246"/>
      <c r="C804" s="20"/>
      <c r="D804" s="21"/>
      <c r="E804" s="21"/>
      <c r="F804" s="21"/>
      <c r="G804" s="238"/>
      <c r="H804" s="238"/>
      <c r="I804" s="238"/>
      <c r="J804" s="243"/>
      <c r="L804" s="249"/>
      <c r="M804" s="246"/>
      <c r="N804" s="20"/>
      <c r="O804" s="21"/>
      <c r="P804" s="21"/>
      <c r="Q804" s="21"/>
      <c r="R804" s="238"/>
      <c r="S804" s="238"/>
      <c r="T804" s="238"/>
      <c r="U804" s="243"/>
    </row>
    <row r="805" spans="1:21" ht="13">
      <c r="A805" s="249"/>
      <c r="B805" s="244" t="s">
        <v>355</v>
      </c>
      <c r="C805" s="15" t="s">
        <v>23</v>
      </c>
      <c r="D805" s="17">
        <v>7</v>
      </c>
      <c r="E805" s="16">
        <v>18</v>
      </c>
      <c r="F805" s="17">
        <f>D805*E805</f>
        <v>126</v>
      </c>
      <c r="G805" s="240">
        <f>SUM(F805:F812)</f>
        <v>683.16</v>
      </c>
      <c r="H805" s="237">
        <v>2890.72</v>
      </c>
      <c r="I805" s="237">
        <f>H805-G805</f>
        <v>2207.56</v>
      </c>
      <c r="J805" s="241">
        <f>I805/H805</f>
        <v>0.76367133447722368</v>
      </c>
      <c r="L805" s="249"/>
      <c r="M805" s="244" t="s">
        <v>355</v>
      </c>
      <c r="N805" s="15" t="s">
        <v>23</v>
      </c>
      <c r="O805" s="18"/>
      <c r="P805" s="18"/>
      <c r="Q805" s="18"/>
      <c r="R805" s="240">
        <f>SUM(Q805:Q812)</f>
        <v>557.16</v>
      </c>
      <c r="S805" s="237">
        <v>2890.72</v>
      </c>
      <c r="T805" s="237">
        <f>S805-R805</f>
        <v>2333.56</v>
      </c>
      <c r="U805" s="241">
        <f>T805/S805</f>
        <v>0.80725909116067973</v>
      </c>
    </row>
    <row r="806" spans="1:21" ht="13">
      <c r="A806" s="249"/>
      <c r="B806" s="245"/>
      <c r="C806" s="24" t="s">
        <v>356</v>
      </c>
      <c r="E806" s="17"/>
      <c r="F806" s="17">
        <v>226.2</v>
      </c>
      <c r="G806" s="236"/>
      <c r="H806" s="236"/>
      <c r="I806" s="236"/>
      <c r="J806" s="242"/>
      <c r="L806" s="249"/>
      <c r="M806" s="245"/>
      <c r="N806" s="24" t="s">
        <v>356</v>
      </c>
      <c r="P806" s="17"/>
      <c r="Q806" s="17">
        <v>226.2</v>
      </c>
      <c r="R806" s="236"/>
      <c r="S806" s="236"/>
      <c r="T806" s="236"/>
      <c r="U806" s="242"/>
    </row>
    <row r="807" spans="1:21" ht="13">
      <c r="A807" s="249"/>
      <c r="B807" s="245"/>
      <c r="C807" s="19" t="s">
        <v>33</v>
      </c>
      <c r="D807" s="17"/>
      <c r="E807" s="17"/>
      <c r="F807" s="17">
        <v>79.95</v>
      </c>
      <c r="G807" s="236"/>
      <c r="H807" s="236"/>
      <c r="I807" s="236"/>
      <c r="J807" s="242"/>
      <c r="L807" s="249"/>
      <c r="M807" s="245"/>
      <c r="N807" s="19" t="s">
        <v>33</v>
      </c>
      <c r="O807" s="17"/>
      <c r="P807" s="17"/>
      <c r="Q807" s="17">
        <v>79.95</v>
      </c>
      <c r="R807" s="236"/>
      <c r="S807" s="236"/>
      <c r="T807" s="236"/>
      <c r="U807" s="242"/>
    </row>
    <row r="808" spans="1:21" ht="13">
      <c r="A808" s="249"/>
      <c r="B808" s="245"/>
      <c r="C808" s="19" t="s">
        <v>45</v>
      </c>
      <c r="D808" s="17"/>
      <c r="E808" s="17"/>
      <c r="F808" s="17">
        <v>90</v>
      </c>
      <c r="G808" s="236"/>
      <c r="H808" s="236"/>
      <c r="I808" s="236"/>
      <c r="J808" s="242"/>
      <c r="L808" s="249"/>
      <c r="M808" s="245"/>
      <c r="N808" s="19" t="s">
        <v>45</v>
      </c>
      <c r="O808" s="17"/>
      <c r="P808" s="17"/>
      <c r="Q808" s="17">
        <v>90</v>
      </c>
      <c r="R808" s="236"/>
      <c r="S808" s="236"/>
      <c r="T808" s="236"/>
      <c r="U808" s="242"/>
    </row>
    <row r="809" spans="1:21" ht="13">
      <c r="A809" s="249"/>
      <c r="B809" s="245"/>
      <c r="C809" s="19" t="s">
        <v>47</v>
      </c>
      <c r="D809" s="17"/>
      <c r="E809" s="17"/>
      <c r="F809" s="17">
        <v>65.41</v>
      </c>
      <c r="G809" s="236"/>
      <c r="H809" s="236"/>
      <c r="I809" s="236"/>
      <c r="J809" s="242"/>
      <c r="L809" s="249"/>
      <c r="M809" s="245"/>
      <c r="N809" s="19" t="s">
        <v>47</v>
      </c>
      <c r="O809" s="17"/>
      <c r="P809" s="17"/>
      <c r="Q809" s="17">
        <v>65.41</v>
      </c>
      <c r="R809" s="236"/>
      <c r="S809" s="236"/>
      <c r="T809" s="236"/>
      <c r="U809" s="242"/>
    </row>
    <row r="810" spans="1:21" ht="13">
      <c r="A810" s="249"/>
      <c r="B810" s="245"/>
      <c r="C810" s="19" t="s">
        <v>48</v>
      </c>
      <c r="D810" s="17"/>
      <c r="E810" s="17"/>
      <c r="F810" s="17">
        <v>70</v>
      </c>
      <c r="G810" s="236"/>
      <c r="H810" s="236"/>
      <c r="I810" s="236"/>
      <c r="J810" s="242"/>
      <c r="L810" s="249"/>
      <c r="M810" s="245"/>
      <c r="N810" s="19" t="s">
        <v>48</v>
      </c>
      <c r="O810" s="17"/>
      <c r="P810" s="17"/>
      <c r="Q810" s="17">
        <v>70</v>
      </c>
      <c r="R810" s="236"/>
      <c r="S810" s="236"/>
      <c r="T810" s="236"/>
      <c r="U810" s="242"/>
    </row>
    <row r="811" spans="1:21" ht="13">
      <c r="A811" s="249"/>
      <c r="B811" s="245"/>
      <c r="C811" s="19" t="s">
        <v>44</v>
      </c>
      <c r="D811" s="17"/>
      <c r="E811" s="17"/>
      <c r="F811" s="17">
        <v>25.6</v>
      </c>
      <c r="G811" s="236"/>
      <c r="H811" s="236"/>
      <c r="I811" s="236"/>
      <c r="J811" s="242"/>
      <c r="L811" s="249"/>
      <c r="M811" s="245"/>
      <c r="N811" s="19" t="s">
        <v>44</v>
      </c>
      <c r="O811" s="17"/>
      <c r="P811" s="17"/>
      <c r="Q811" s="17">
        <v>25.6</v>
      </c>
      <c r="R811" s="236"/>
      <c r="S811" s="236"/>
      <c r="T811" s="236"/>
      <c r="U811" s="242"/>
    </row>
    <row r="812" spans="1:21" ht="13">
      <c r="A812" s="249"/>
      <c r="B812" s="246"/>
      <c r="C812" s="20"/>
      <c r="D812" s="21"/>
      <c r="E812" s="21"/>
      <c r="F812" s="21"/>
      <c r="G812" s="238"/>
      <c r="H812" s="238"/>
      <c r="I812" s="238"/>
      <c r="J812" s="243"/>
      <c r="L812" s="249"/>
      <c r="M812" s="246"/>
      <c r="N812" s="20"/>
      <c r="O812" s="21"/>
      <c r="P812" s="21"/>
      <c r="Q812" s="21"/>
      <c r="R812" s="238"/>
      <c r="S812" s="238"/>
      <c r="T812" s="238"/>
      <c r="U812" s="243"/>
    </row>
    <row r="813" spans="1:21" ht="13">
      <c r="A813" s="249"/>
      <c r="B813" s="244" t="s">
        <v>357</v>
      </c>
      <c r="C813" s="15" t="s">
        <v>23</v>
      </c>
      <c r="D813" s="17">
        <v>7</v>
      </c>
      <c r="E813" s="16">
        <v>18</v>
      </c>
      <c r="F813" s="17">
        <f>D813*E813</f>
        <v>126</v>
      </c>
      <c r="G813" s="240">
        <f>SUM(F813:F816)</f>
        <v>191</v>
      </c>
      <c r="H813" s="237">
        <v>2096.64</v>
      </c>
      <c r="I813" s="237">
        <f>H813-G813</f>
        <v>1905.6399999999999</v>
      </c>
      <c r="J813" s="241">
        <f>I813/H813</f>
        <v>0.90890186202686207</v>
      </c>
      <c r="L813" s="249"/>
      <c r="M813" s="244" t="s">
        <v>357</v>
      </c>
      <c r="N813" s="15" t="s">
        <v>23</v>
      </c>
      <c r="O813" s="17">
        <v>7</v>
      </c>
      <c r="P813" s="16">
        <v>18</v>
      </c>
      <c r="Q813" s="17">
        <f>O813*P813</f>
        <v>126</v>
      </c>
      <c r="R813" s="240">
        <f>SUM(Q813:Q816)</f>
        <v>191</v>
      </c>
      <c r="S813" s="237">
        <v>2096.64</v>
      </c>
      <c r="T813" s="237">
        <f>S813-R813</f>
        <v>1905.6399999999999</v>
      </c>
      <c r="U813" s="241">
        <f>T813/S813</f>
        <v>0.90890186202686207</v>
      </c>
    </row>
    <row r="814" spans="1:21" ht="13">
      <c r="A814" s="249"/>
      <c r="B814" s="245"/>
      <c r="C814" s="19" t="s">
        <v>45</v>
      </c>
      <c r="D814" s="17"/>
      <c r="E814" s="17"/>
      <c r="F814" s="17">
        <v>30</v>
      </c>
      <c r="G814" s="236"/>
      <c r="H814" s="236"/>
      <c r="I814" s="236"/>
      <c r="J814" s="242"/>
      <c r="L814" s="249"/>
      <c r="M814" s="245"/>
      <c r="N814" s="19" t="s">
        <v>45</v>
      </c>
      <c r="O814" s="17"/>
      <c r="P814" s="17"/>
      <c r="Q814" s="17">
        <v>30</v>
      </c>
      <c r="R814" s="236"/>
      <c r="S814" s="236"/>
      <c r="T814" s="236"/>
      <c r="U814" s="242"/>
    </row>
    <row r="815" spans="1:21" ht="13">
      <c r="A815" s="249"/>
      <c r="B815" s="245"/>
      <c r="C815" s="19" t="s">
        <v>48</v>
      </c>
      <c r="D815" s="17"/>
      <c r="E815" s="17"/>
      <c r="F815" s="17">
        <v>35</v>
      </c>
      <c r="G815" s="236"/>
      <c r="H815" s="236"/>
      <c r="I815" s="236"/>
      <c r="J815" s="242"/>
      <c r="L815" s="249"/>
      <c r="M815" s="245"/>
      <c r="N815" s="19" t="s">
        <v>48</v>
      </c>
      <c r="O815" s="17"/>
      <c r="P815" s="17"/>
      <c r="Q815" s="17">
        <v>35</v>
      </c>
      <c r="R815" s="236"/>
      <c r="S815" s="236"/>
      <c r="T815" s="236"/>
      <c r="U815" s="242"/>
    </row>
    <row r="816" spans="1:21" ht="13">
      <c r="A816" s="250"/>
      <c r="B816" s="246"/>
      <c r="C816" s="20"/>
      <c r="D816" s="21"/>
      <c r="E816" s="21"/>
      <c r="F816" s="21"/>
      <c r="G816" s="238"/>
      <c r="H816" s="238"/>
      <c r="I816" s="238"/>
      <c r="J816" s="243"/>
      <c r="L816" s="250"/>
      <c r="M816" s="246"/>
      <c r="N816" s="20"/>
      <c r="O816" s="21"/>
      <c r="P816" s="21"/>
      <c r="Q816" s="21"/>
      <c r="R816" s="238"/>
      <c r="S816" s="238"/>
      <c r="T816" s="238"/>
      <c r="U816" s="243"/>
    </row>
    <row r="817" spans="1:21" ht="30">
      <c r="A817" s="278" t="s">
        <v>358</v>
      </c>
      <c r="B817" s="252"/>
      <c r="C817" s="253"/>
      <c r="D817" s="56">
        <f t="shared" ref="D817:I817" si="140">AVERAGE(D618:D816)</f>
        <v>18.201489361702127</v>
      </c>
      <c r="E817" s="56">
        <f t="shared" si="140"/>
        <v>14.74468085106383</v>
      </c>
      <c r="F817" s="56">
        <f t="shared" si="140"/>
        <v>270.24369565217381</v>
      </c>
      <c r="G817" s="56">
        <f t="shared" si="140"/>
        <v>1775.8871428571426</v>
      </c>
      <c r="H817" s="56">
        <f t="shared" si="140"/>
        <v>4331.4392857142857</v>
      </c>
      <c r="I817" s="56">
        <f t="shared" si="140"/>
        <v>2555.5521428571424</v>
      </c>
      <c r="J817" s="57">
        <f>AVERAGE($J$12:$J$76)</f>
        <v>0.79942354689485917</v>
      </c>
      <c r="L817" s="278" t="s">
        <v>358</v>
      </c>
      <c r="M817" s="252"/>
      <c r="N817" s="253"/>
      <c r="O817" s="56">
        <f t="shared" ref="O817:T817" si="141">AVERAGE(O618:O816)</f>
        <v>18.061749999999996</v>
      </c>
      <c r="P817" s="56">
        <f t="shared" si="141"/>
        <v>14.425000000000001</v>
      </c>
      <c r="Q817" s="56">
        <f t="shared" si="141"/>
        <v>266.22847058823521</v>
      </c>
      <c r="R817" s="56">
        <f t="shared" si="141"/>
        <v>1616.3871428571431</v>
      </c>
      <c r="S817" s="56">
        <f t="shared" si="141"/>
        <v>4331.4392857142857</v>
      </c>
      <c r="T817" s="56">
        <f t="shared" si="141"/>
        <v>2715.0521428571424</v>
      </c>
      <c r="U817" s="57">
        <f>AVERAGE($J$12:$J$76)</f>
        <v>0.79942354689485917</v>
      </c>
    </row>
    <row r="818" spans="1:21" ht="30">
      <c r="A818" s="279" t="s">
        <v>359</v>
      </c>
      <c r="B818" s="255"/>
      <c r="C818" s="256"/>
      <c r="D818" s="56">
        <f t="shared" ref="D818:I818" si="142">SUM(D618:D816)</f>
        <v>1710.94</v>
      </c>
      <c r="E818" s="56">
        <f t="shared" si="142"/>
        <v>1386</v>
      </c>
      <c r="F818" s="56">
        <f t="shared" si="142"/>
        <v>49724.839999999982</v>
      </c>
      <c r="G818" s="56">
        <f t="shared" si="142"/>
        <v>49724.84</v>
      </c>
      <c r="H818" s="56">
        <f t="shared" si="142"/>
        <v>121280.3</v>
      </c>
      <c r="I818" s="56">
        <f t="shared" si="142"/>
        <v>71555.459999999992</v>
      </c>
      <c r="J818" s="58">
        <f>I818/H818</f>
        <v>0.5900006843650617</v>
      </c>
      <c r="L818" s="279" t="s">
        <v>359</v>
      </c>
      <c r="M818" s="255"/>
      <c r="N818" s="256"/>
      <c r="O818" s="56">
        <f t="shared" ref="O818:T818" si="143">SUM(O618:O816)</f>
        <v>1444.9399999999998</v>
      </c>
      <c r="P818" s="56">
        <f t="shared" si="143"/>
        <v>1154</v>
      </c>
      <c r="Q818" s="56">
        <f t="shared" si="143"/>
        <v>45258.839999999989</v>
      </c>
      <c r="R818" s="56">
        <f t="shared" si="143"/>
        <v>45258.840000000004</v>
      </c>
      <c r="S818" s="56">
        <f t="shared" si="143"/>
        <v>121280.3</v>
      </c>
      <c r="T818" s="56">
        <f t="shared" si="143"/>
        <v>76021.459999999992</v>
      </c>
      <c r="U818" s="58">
        <f>T818/S818</f>
        <v>0.6268244719051651</v>
      </c>
    </row>
    <row r="820" spans="1:21" ht="30">
      <c r="A820" s="257" t="s">
        <v>360</v>
      </c>
      <c r="B820" s="252"/>
      <c r="C820" s="253"/>
      <c r="D820" s="34">
        <f t="shared" ref="D820:I820" si="144">SUM(D495,D617,D818)</f>
        <v>3692.12</v>
      </c>
      <c r="E820" s="34">
        <f t="shared" si="144"/>
        <v>3265</v>
      </c>
      <c r="F820" s="34">
        <f t="shared" si="144"/>
        <v>104958.85999999997</v>
      </c>
      <c r="G820" s="34">
        <f t="shared" si="144"/>
        <v>105574.78</v>
      </c>
      <c r="H820" s="34">
        <f t="shared" si="144"/>
        <v>273199.09000000003</v>
      </c>
      <c r="I820" s="34">
        <f t="shared" si="144"/>
        <v>167624.31</v>
      </c>
      <c r="J820" s="35">
        <f>I820/H820</f>
        <v>0.61356101149531639</v>
      </c>
      <c r="L820" s="257" t="s">
        <v>360</v>
      </c>
      <c r="M820" s="252"/>
      <c r="N820" s="253"/>
      <c r="O820" s="34">
        <f t="shared" ref="O820:T820" si="145">SUM(O495,O617,O818)</f>
        <v>2989.3199999999997</v>
      </c>
      <c r="P820" s="34">
        <f t="shared" si="145"/>
        <v>2474</v>
      </c>
      <c r="Q820" s="34">
        <f t="shared" si="145"/>
        <v>93283.459999999992</v>
      </c>
      <c r="R820" s="34">
        <f t="shared" si="145"/>
        <v>94576.420000000013</v>
      </c>
      <c r="S820" s="34">
        <f t="shared" si="145"/>
        <v>273199.09000000003</v>
      </c>
      <c r="T820" s="34">
        <f t="shared" si="145"/>
        <v>178622.66999999998</v>
      </c>
      <c r="U820" s="35">
        <f>T820/S820</f>
        <v>0.65381868585287006</v>
      </c>
    </row>
    <row r="822" spans="1:21" ht="23.25" customHeight="1">
      <c r="A822" s="277" t="s">
        <v>6</v>
      </c>
      <c r="B822" s="247" t="s">
        <v>361</v>
      </c>
      <c r="C822" s="15" t="s">
        <v>23</v>
      </c>
      <c r="D822" s="16">
        <v>14</v>
      </c>
      <c r="E822" s="16">
        <v>18</v>
      </c>
      <c r="F822" s="16">
        <f>D822*E822</f>
        <v>252</v>
      </c>
      <c r="G822" s="240">
        <f>SUM(F822:F827)</f>
        <v>569.13</v>
      </c>
      <c r="H822" s="237">
        <v>2295</v>
      </c>
      <c r="I822" s="237">
        <f>H822-G822</f>
        <v>1725.87</v>
      </c>
      <c r="J822" s="241">
        <f>I822/H822</f>
        <v>0.75201307189542477</v>
      </c>
      <c r="L822" s="277" t="s">
        <v>6</v>
      </c>
      <c r="M822" s="247" t="s">
        <v>361</v>
      </c>
      <c r="N822" s="15" t="s">
        <v>23</v>
      </c>
      <c r="O822" s="18"/>
      <c r="P822" s="18"/>
      <c r="Q822" s="18"/>
      <c r="R822" s="240">
        <f>SUM(Q822:Q827)</f>
        <v>317.13</v>
      </c>
      <c r="S822" s="237">
        <v>2295</v>
      </c>
      <c r="T822" s="237">
        <f>S822-R822</f>
        <v>1977.87</v>
      </c>
      <c r="U822" s="241">
        <f>T822/S822</f>
        <v>0.86181699346405227</v>
      </c>
    </row>
    <row r="823" spans="1:21" ht="13">
      <c r="A823" s="249"/>
      <c r="B823" s="236"/>
      <c r="C823" s="19" t="s">
        <v>45</v>
      </c>
      <c r="D823" s="17"/>
      <c r="E823" s="17"/>
      <c r="F823" s="17">
        <v>90</v>
      </c>
      <c r="G823" s="236"/>
      <c r="H823" s="236"/>
      <c r="I823" s="236"/>
      <c r="J823" s="242"/>
      <c r="L823" s="249"/>
      <c r="M823" s="236"/>
      <c r="N823" s="19" t="s">
        <v>45</v>
      </c>
      <c r="O823" s="17"/>
      <c r="P823" s="17"/>
      <c r="Q823" s="17">
        <v>90</v>
      </c>
      <c r="R823" s="236"/>
      <c r="S823" s="236"/>
      <c r="T823" s="236"/>
      <c r="U823" s="242"/>
    </row>
    <row r="824" spans="1:21" ht="13">
      <c r="A824" s="249"/>
      <c r="B824" s="236"/>
      <c r="C824" s="19" t="s">
        <v>44</v>
      </c>
      <c r="D824" s="17"/>
      <c r="E824" s="17"/>
      <c r="F824" s="17">
        <v>25.6</v>
      </c>
      <c r="G824" s="236"/>
      <c r="H824" s="236"/>
      <c r="I824" s="236"/>
      <c r="J824" s="242"/>
      <c r="L824" s="249"/>
      <c r="M824" s="236"/>
      <c r="N824" s="19" t="s">
        <v>44</v>
      </c>
      <c r="O824" s="17"/>
      <c r="P824" s="17"/>
      <c r="Q824" s="17">
        <v>25.6</v>
      </c>
      <c r="R824" s="236"/>
      <c r="S824" s="236"/>
      <c r="T824" s="236"/>
      <c r="U824" s="242"/>
    </row>
    <row r="825" spans="1:21" ht="13">
      <c r="A825" s="249"/>
      <c r="B825" s="236"/>
      <c r="C825" s="19" t="s">
        <v>155</v>
      </c>
      <c r="D825" s="17"/>
      <c r="E825" s="17"/>
      <c r="F825" s="17">
        <v>58.22</v>
      </c>
      <c r="G825" s="236"/>
      <c r="H825" s="236"/>
      <c r="I825" s="236"/>
      <c r="J825" s="242"/>
      <c r="L825" s="249"/>
      <c r="M825" s="236"/>
      <c r="N825" s="19" t="s">
        <v>155</v>
      </c>
      <c r="O825" s="17"/>
      <c r="P825" s="17"/>
      <c r="Q825" s="17">
        <v>58.22</v>
      </c>
      <c r="R825" s="236"/>
      <c r="S825" s="236"/>
      <c r="T825" s="236"/>
      <c r="U825" s="242"/>
    </row>
    <row r="826" spans="1:21" ht="13">
      <c r="A826" s="249"/>
      <c r="B826" s="236"/>
      <c r="C826" s="19" t="s">
        <v>48</v>
      </c>
      <c r="D826" s="17"/>
      <c r="E826" s="17"/>
      <c r="F826" s="17">
        <v>65.760000000000005</v>
      </c>
      <c r="G826" s="236"/>
      <c r="H826" s="236"/>
      <c r="I826" s="236"/>
      <c r="J826" s="242"/>
      <c r="L826" s="249"/>
      <c r="M826" s="236"/>
      <c r="N826" s="19" t="s">
        <v>48</v>
      </c>
      <c r="O826" s="17"/>
      <c r="P826" s="17"/>
      <c r="Q826" s="17">
        <v>65.760000000000005</v>
      </c>
      <c r="R826" s="236"/>
      <c r="S826" s="236"/>
      <c r="T826" s="236"/>
      <c r="U826" s="242"/>
    </row>
    <row r="827" spans="1:21" ht="13">
      <c r="A827" s="249"/>
      <c r="B827" s="248"/>
      <c r="C827" s="20" t="s">
        <v>47</v>
      </c>
      <c r="D827" s="21"/>
      <c r="E827" s="21"/>
      <c r="F827" s="21">
        <v>77.55</v>
      </c>
      <c r="G827" s="238"/>
      <c r="H827" s="238"/>
      <c r="I827" s="238"/>
      <c r="J827" s="243"/>
      <c r="L827" s="249"/>
      <c r="M827" s="248"/>
      <c r="N827" s="20" t="s">
        <v>47</v>
      </c>
      <c r="O827" s="21"/>
      <c r="P827" s="21"/>
      <c r="Q827" s="21">
        <v>77.55</v>
      </c>
      <c r="R827" s="238"/>
      <c r="S827" s="238"/>
      <c r="T827" s="238"/>
      <c r="U827" s="243"/>
    </row>
    <row r="828" spans="1:21" ht="13">
      <c r="A828" s="249"/>
      <c r="B828" s="247" t="s">
        <v>362</v>
      </c>
      <c r="C828" s="15" t="s">
        <v>209</v>
      </c>
      <c r="D828" s="16">
        <v>14</v>
      </c>
      <c r="E828" s="16">
        <v>18</v>
      </c>
      <c r="F828" s="16">
        <f t="shared" ref="F828:F833" si="146">D828*E828</f>
        <v>252</v>
      </c>
      <c r="G828" s="240">
        <f>SUM(F828:F836)</f>
        <v>1566.83</v>
      </c>
      <c r="H828" s="237">
        <v>2735</v>
      </c>
      <c r="I828" s="237">
        <f>H828-G828</f>
        <v>1168.17</v>
      </c>
      <c r="J828" s="241">
        <f>I828/H828</f>
        <v>0.42711882998171852</v>
      </c>
      <c r="L828" s="249"/>
      <c r="M828" s="247" t="s">
        <v>362</v>
      </c>
      <c r="N828" s="15" t="s">
        <v>209</v>
      </c>
      <c r="O828" s="18"/>
      <c r="P828" s="18"/>
      <c r="Q828" s="18"/>
      <c r="R828" s="240">
        <f>SUM(Q828:Q836)</f>
        <v>1314.83</v>
      </c>
      <c r="S828" s="237">
        <v>2735</v>
      </c>
      <c r="T828" s="237">
        <f>S828-R828</f>
        <v>1420.17</v>
      </c>
      <c r="U828" s="241">
        <f>T828/S828</f>
        <v>0.5192577696526508</v>
      </c>
    </row>
    <row r="829" spans="1:21" ht="13">
      <c r="A829" s="249"/>
      <c r="B829" s="236"/>
      <c r="C829" s="24" t="s">
        <v>31</v>
      </c>
      <c r="D829" s="17">
        <v>14.15</v>
      </c>
      <c r="E829" s="17">
        <v>15</v>
      </c>
      <c r="F829" s="17">
        <f t="shared" si="146"/>
        <v>212.25</v>
      </c>
      <c r="G829" s="236"/>
      <c r="H829" s="236"/>
      <c r="I829" s="236"/>
      <c r="J829" s="242"/>
      <c r="L829" s="249"/>
      <c r="M829" s="236"/>
      <c r="N829" s="24" t="s">
        <v>31</v>
      </c>
      <c r="O829" s="17">
        <v>14.15</v>
      </c>
      <c r="P829" s="17">
        <v>15</v>
      </c>
      <c r="Q829" s="17">
        <f t="shared" ref="Q829:Q833" si="147">O829*P829</f>
        <v>212.25</v>
      </c>
      <c r="R829" s="236"/>
      <c r="S829" s="236"/>
      <c r="T829" s="236"/>
      <c r="U829" s="242"/>
    </row>
    <row r="830" spans="1:21" ht="13">
      <c r="A830" s="249"/>
      <c r="B830" s="236"/>
      <c r="C830" s="24" t="s">
        <v>298</v>
      </c>
      <c r="D830" s="17">
        <v>13.53</v>
      </c>
      <c r="E830" s="17">
        <v>15</v>
      </c>
      <c r="F830" s="17">
        <f t="shared" si="146"/>
        <v>202.95</v>
      </c>
      <c r="G830" s="236"/>
      <c r="H830" s="236"/>
      <c r="I830" s="236"/>
      <c r="J830" s="242"/>
      <c r="L830" s="249"/>
      <c r="M830" s="236"/>
      <c r="N830" s="24" t="s">
        <v>298</v>
      </c>
      <c r="O830" s="17">
        <v>13.53</v>
      </c>
      <c r="P830" s="17">
        <v>15</v>
      </c>
      <c r="Q830" s="17">
        <f t="shared" si="147"/>
        <v>202.95</v>
      </c>
      <c r="R830" s="236"/>
      <c r="S830" s="236"/>
      <c r="T830" s="236"/>
      <c r="U830" s="242"/>
    </row>
    <row r="831" spans="1:21" ht="13">
      <c r="A831" s="249"/>
      <c r="B831" s="236"/>
      <c r="C831" s="24" t="s">
        <v>363</v>
      </c>
      <c r="D831" s="17">
        <v>12</v>
      </c>
      <c r="E831" s="17">
        <v>15</v>
      </c>
      <c r="F831" s="17">
        <f t="shared" si="146"/>
        <v>180</v>
      </c>
      <c r="G831" s="236"/>
      <c r="H831" s="236"/>
      <c r="I831" s="236"/>
      <c r="J831" s="242"/>
      <c r="L831" s="249"/>
      <c r="M831" s="236"/>
      <c r="N831" s="24" t="s">
        <v>363</v>
      </c>
      <c r="O831" s="17">
        <v>12</v>
      </c>
      <c r="P831" s="17">
        <v>15</v>
      </c>
      <c r="Q831" s="17">
        <f t="shared" si="147"/>
        <v>180</v>
      </c>
      <c r="R831" s="236"/>
      <c r="S831" s="236"/>
      <c r="T831" s="236"/>
      <c r="U831" s="242"/>
    </row>
    <row r="832" spans="1:21" ht="13">
      <c r="A832" s="249"/>
      <c r="B832" s="236"/>
      <c r="C832" s="24" t="s">
        <v>364</v>
      </c>
      <c r="D832" s="17">
        <v>8.08</v>
      </c>
      <c r="E832" s="17">
        <v>17</v>
      </c>
      <c r="F832" s="17">
        <f t="shared" si="146"/>
        <v>137.36000000000001</v>
      </c>
      <c r="G832" s="236"/>
      <c r="H832" s="236"/>
      <c r="I832" s="236"/>
      <c r="J832" s="242"/>
      <c r="L832" s="249"/>
      <c r="M832" s="236"/>
      <c r="N832" s="24" t="s">
        <v>364</v>
      </c>
      <c r="O832" s="17">
        <v>8.08</v>
      </c>
      <c r="P832" s="17">
        <v>17</v>
      </c>
      <c r="Q832" s="17">
        <f t="shared" si="147"/>
        <v>137.36000000000001</v>
      </c>
      <c r="R832" s="236"/>
      <c r="S832" s="236"/>
      <c r="T832" s="236"/>
      <c r="U832" s="242"/>
    </row>
    <row r="833" spans="1:21" ht="13">
      <c r="A833" s="249"/>
      <c r="B833" s="236"/>
      <c r="C833" s="24" t="s">
        <v>365</v>
      </c>
      <c r="D833" s="17">
        <v>12.75</v>
      </c>
      <c r="E833" s="17">
        <v>15</v>
      </c>
      <c r="F833" s="17">
        <f t="shared" si="146"/>
        <v>191.25</v>
      </c>
      <c r="G833" s="236"/>
      <c r="H833" s="236"/>
      <c r="I833" s="236"/>
      <c r="J833" s="242"/>
      <c r="L833" s="249"/>
      <c r="M833" s="236"/>
      <c r="N833" s="24" t="s">
        <v>365</v>
      </c>
      <c r="O833" s="17">
        <v>12.75</v>
      </c>
      <c r="P833" s="17">
        <v>15</v>
      </c>
      <c r="Q833" s="17">
        <f t="shared" si="147"/>
        <v>191.25</v>
      </c>
      <c r="R833" s="236"/>
      <c r="S833" s="236"/>
      <c r="T833" s="236"/>
      <c r="U833" s="242"/>
    </row>
    <row r="834" spans="1:21" ht="13">
      <c r="A834" s="249"/>
      <c r="B834" s="236"/>
      <c r="C834" s="19" t="s">
        <v>44</v>
      </c>
      <c r="D834" s="17"/>
      <c r="E834" s="17"/>
      <c r="F834" s="17">
        <v>60.5</v>
      </c>
      <c r="G834" s="236"/>
      <c r="H834" s="236"/>
      <c r="I834" s="236"/>
      <c r="J834" s="242"/>
      <c r="L834" s="249"/>
      <c r="M834" s="236"/>
      <c r="N834" s="19" t="s">
        <v>44</v>
      </c>
      <c r="O834" s="17"/>
      <c r="P834" s="17"/>
      <c r="Q834" s="17">
        <v>60.5</v>
      </c>
      <c r="R834" s="236"/>
      <c r="S834" s="236"/>
      <c r="T834" s="236"/>
      <c r="U834" s="242"/>
    </row>
    <row r="835" spans="1:21" ht="13">
      <c r="A835" s="249"/>
      <c r="B835" s="236"/>
      <c r="C835" s="19" t="s">
        <v>48</v>
      </c>
      <c r="D835" s="17"/>
      <c r="E835" s="17"/>
      <c r="F835" s="17">
        <v>129.41</v>
      </c>
      <c r="G835" s="236"/>
      <c r="H835" s="236"/>
      <c r="I835" s="236"/>
      <c r="J835" s="242"/>
      <c r="L835" s="249"/>
      <c r="M835" s="236"/>
      <c r="N835" s="19" t="s">
        <v>48</v>
      </c>
      <c r="O835" s="17"/>
      <c r="P835" s="17"/>
      <c r="Q835" s="17">
        <v>129.41</v>
      </c>
      <c r="R835" s="236"/>
      <c r="S835" s="236"/>
      <c r="T835" s="236"/>
      <c r="U835" s="242"/>
    </row>
    <row r="836" spans="1:21" ht="13">
      <c r="A836" s="249"/>
      <c r="B836" s="248"/>
      <c r="C836" s="20" t="s">
        <v>47</v>
      </c>
      <c r="D836" s="21"/>
      <c r="E836" s="21"/>
      <c r="F836" s="21">
        <v>201.11</v>
      </c>
      <c r="G836" s="238"/>
      <c r="H836" s="238"/>
      <c r="I836" s="238"/>
      <c r="J836" s="243"/>
      <c r="L836" s="249"/>
      <c r="M836" s="248"/>
      <c r="N836" s="20" t="s">
        <v>47</v>
      </c>
      <c r="O836" s="21"/>
      <c r="P836" s="21"/>
      <c r="Q836" s="21">
        <v>201.11</v>
      </c>
      <c r="R836" s="238"/>
      <c r="S836" s="238"/>
      <c r="T836" s="238"/>
      <c r="U836" s="243"/>
    </row>
    <row r="837" spans="1:21" ht="13">
      <c r="A837" s="249"/>
      <c r="B837" s="247" t="s">
        <v>612</v>
      </c>
      <c r="C837" s="64" t="s">
        <v>209</v>
      </c>
      <c r="D837" s="50">
        <v>21</v>
      </c>
      <c r="E837" s="50">
        <v>16</v>
      </c>
      <c r="F837" s="65">
        <f t="shared" ref="F837:F845" si="148">D837*E837</f>
        <v>336</v>
      </c>
      <c r="G837" s="240">
        <f>SUM(F837:F851)</f>
        <v>5552.4099999999989</v>
      </c>
      <c r="H837" s="240">
        <v>7000</v>
      </c>
      <c r="I837" s="240">
        <f>H837-G837</f>
        <v>1447.5900000000011</v>
      </c>
      <c r="J837" s="241">
        <f>I837/H837</f>
        <v>0.20679857142857158</v>
      </c>
      <c r="L837" s="249"/>
      <c r="M837" s="247" t="s">
        <v>612</v>
      </c>
      <c r="N837" s="64" t="s">
        <v>209</v>
      </c>
      <c r="O837" s="18"/>
      <c r="P837" s="18"/>
      <c r="Q837" s="18"/>
      <c r="R837" s="240">
        <f>SUM(Q837:Q851)</f>
        <v>5216.41</v>
      </c>
      <c r="S837" s="240">
        <v>7000</v>
      </c>
      <c r="T837" s="240">
        <f>S837-R837</f>
        <v>1783.5900000000001</v>
      </c>
      <c r="U837" s="241">
        <f>T837/S837</f>
        <v>0.25479857142857143</v>
      </c>
    </row>
    <row r="838" spans="1:21" ht="13">
      <c r="A838" s="249"/>
      <c r="B838" s="236"/>
      <c r="C838" s="22" t="s">
        <v>613</v>
      </c>
      <c r="D838" s="23">
        <v>28.82</v>
      </c>
      <c r="E838" s="23">
        <v>15</v>
      </c>
      <c r="F838" s="23">
        <f t="shared" si="148"/>
        <v>432.3</v>
      </c>
      <c r="G838" s="236"/>
      <c r="H838" s="236"/>
      <c r="I838" s="236"/>
      <c r="J838" s="242"/>
      <c r="L838" s="249"/>
      <c r="M838" s="236"/>
      <c r="N838" s="22" t="s">
        <v>613</v>
      </c>
      <c r="O838" s="23">
        <v>28.82</v>
      </c>
      <c r="P838" s="23">
        <v>15</v>
      </c>
      <c r="Q838" s="23">
        <f t="shared" ref="Q838:Q845" si="149">O838*P838</f>
        <v>432.3</v>
      </c>
      <c r="R838" s="236"/>
      <c r="S838" s="236"/>
      <c r="T838" s="236"/>
      <c r="U838" s="242"/>
    </row>
    <row r="839" spans="1:21" ht="13">
      <c r="A839" s="249"/>
      <c r="B839" s="236"/>
      <c r="C839" s="22" t="s">
        <v>597</v>
      </c>
      <c r="D839" s="23">
        <v>10.93</v>
      </c>
      <c r="E839" s="23">
        <v>17</v>
      </c>
      <c r="F839" s="23">
        <f t="shared" si="148"/>
        <v>185.81</v>
      </c>
      <c r="G839" s="236"/>
      <c r="H839" s="236"/>
      <c r="I839" s="236"/>
      <c r="J839" s="242"/>
      <c r="L839" s="249"/>
      <c r="M839" s="236"/>
      <c r="N839" s="22" t="s">
        <v>597</v>
      </c>
      <c r="O839" s="23">
        <v>10.93</v>
      </c>
      <c r="P839" s="23">
        <v>17</v>
      </c>
      <c r="Q839" s="23">
        <f t="shared" si="149"/>
        <v>185.81</v>
      </c>
      <c r="R839" s="236"/>
      <c r="S839" s="236"/>
      <c r="T839" s="236"/>
      <c r="U839" s="242"/>
    </row>
    <row r="840" spans="1:21" ht="13">
      <c r="A840" s="249"/>
      <c r="B840" s="236"/>
      <c r="C840" s="22" t="s">
        <v>226</v>
      </c>
      <c r="D840" s="23">
        <v>30</v>
      </c>
      <c r="E840" s="23">
        <v>15</v>
      </c>
      <c r="F840" s="23">
        <f t="shared" si="148"/>
        <v>450</v>
      </c>
      <c r="G840" s="236"/>
      <c r="H840" s="236"/>
      <c r="I840" s="236"/>
      <c r="J840" s="242"/>
      <c r="L840" s="249"/>
      <c r="M840" s="236"/>
      <c r="N840" s="22" t="s">
        <v>226</v>
      </c>
      <c r="O840" s="23">
        <v>30</v>
      </c>
      <c r="P840" s="23">
        <v>15</v>
      </c>
      <c r="Q840" s="23">
        <f t="shared" si="149"/>
        <v>450</v>
      </c>
      <c r="R840" s="236"/>
      <c r="S840" s="236"/>
      <c r="T840" s="236"/>
      <c r="U840" s="242"/>
    </row>
    <row r="841" spans="1:21" ht="13">
      <c r="A841" s="249"/>
      <c r="B841" s="236"/>
      <c r="C841" s="22" t="s">
        <v>264</v>
      </c>
      <c r="D841" s="23">
        <v>26.38</v>
      </c>
      <c r="E841" s="23">
        <v>15</v>
      </c>
      <c r="F841" s="23">
        <f t="shared" si="148"/>
        <v>395.7</v>
      </c>
      <c r="G841" s="236"/>
      <c r="H841" s="236"/>
      <c r="I841" s="236"/>
      <c r="J841" s="242"/>
      <c r="L841" s="249"/>
      <c r="M841" s="236"/>
      <c r="N841" s="22" t="s">
        <v>264</v>
      </c>
      <c r="O841" s="23">
        <v>26.38</v>
      </c>
      <c r="P841" s="23">
        <v>15</v>
      </c>
      <c r="Q841" s="23">
        <f t="shared" si="149"/>
        <v>395.7</v>
      </c>
      <c r="R841" s="236"/>
      <c r="S841" s="236"/>
      <c r="T841" s="236"/>
      <c r="U841" s="242"/>
    </row>
    <row r="842" spans="1:21" ht="13">
      <c r="A842" s="249"/>
      <c r="B842" s="236"/>
      <c r="C842" s="22" t="s">
        <v>231</v>
      </c>
      <c r="D842" s="23">
        <v>31.5</v>
      </c>
      <c r="E842" s="23">
        <v>15</v>
      </c>
      <c r="F842" s="23">
        <f t="shared" si="148"/>
        <v>472.5</v>
      </c>
      <c r="G842" s="236"/>
      <c r="H842" s="236"/>
      <c r="I842" s="236"/>
      <c r="J842" s="242"/>
      <c r="L842" s="249"/>
      <c r="M842" s="236"/>
      <c r="N842" s="22" t="s">
        <v>231</v>
      </c>
      <c r="O842" s="23">
        <v>31.5</v>
      </c>
      <c r="P842" s="23">
        <v>15</v>
      </c>
      <c r="Q842" s="23">
        <f t="shared" si="149"/>
        <v>472.5</v>
      </c>
      <c r="R842" s="236"/>
      <c r="S842" s="236"/>
      <c r="T842" s="236"/>
      <c r="U842" s="242"/>
    </row>
    <row r="843" spans="1:21" ht="13">
      <c r="A843" s="249"/>
      <c r="B843" s="236"/>
      <c r="C843" s="24" t="s">
        <v>614</v>
      </c>
      <c r="D843" s="23">
        <v>19.55</v>
      </c>
      <c r="E843" s="23">
        <v>15</v>
      </c>
      <c r="F843" s="23">
        <f t="shared" si="148"/>
        <v>293.25</v>
      </c>
      <c r="G843" s="236"/>
      <c r="H843" s="236"/>
      <c r="I843" s="236"/>
      <c r="J843" s="242"/>
      <c r="L843" s="249"/>
      <c r="M843" s="236"/>
      <c r="N843" s="24" t="s">
        <v>614</v>
      </c>
      <c r="O843" s="23">
        <v>19.55</v>
      </c>
      <c r="P843" s="23">
        <v>15</v>
      </c>
      <c r="Q843" s="23">
        <f t="shared" si="149"/>
        <v>293.25</v>
      </c>
      <c r="R843" s="236"/>
      <c r="S843" s="236"/>
      <c r="T843" s="236"/>
      <c r="U843" s="242"/>
    </row>
    <row r="844" spans="1:21" ht="13">
      <c r="A844" s="249"/>
      <c r="B844" s="236"/>
      <c r="C844" s="22" t="s">
        <v>417</v>
      </c>
      <c r="D844" s="23">
        <v>42.01</v>
      </c>
      <c r="E844" s="23">
        <v>15</v>
      </c>
      <c r="F844" s="23">
        <f t="shared" si="148"/>
        <v>630.15</v>
      </c>
      <c r="G844" s="236"/>
      <c r="H844" s="236"/>
      <c r="I844" s="236"/>
      <c r="J844" s="242"/>
      <c r="L844" s="249"/>
      <c r="M844" s="236"/>
      <c r="N844" s="22" t="s">
        <v>417</v>
      </c>
      <c r="O844" s="23">
        <v>42.01</v>
      </c>
      <c r="P844" s="23">
        <v>15</v>
      </c>
      <c r="Q844" s="23">
        <f t="shared" si="149"/>
        <v>630.15</v>
      </c>
      <c r="R844" s="236"/>
      <c r="S844" s="236"/>
      <c r="T844" s="236"/>
      <c r="U844" s="242"/>
    </row>
    <row r="845" spans="1:21" ht="13">
      <c r="A845" s="249"/>
      <c r="B845" s="236"/>
      <c r="C845" s="22" t="s">
        <v>229</v>
      </c>
      <c r="D845" s="23">
        <v>26.85</v>
      </c>
      <c r="E845" s="23">
        <v>15</v>
      </c>
      <c r="F845" s="23">
        <f t="shared" si="148"/>
        <v>402.75</v>
      </c>
      <c r="G845" s="236"/>
      <c r="H845" s="236"/>
      <c r="I845" s="236"/>
      <c r="J845" s="242"/>
      <c r="L845" s="249"/>
      <c r="M845" s="236"/>
      <c r="N845" s="22" t="s">
        <v>229</v>
      </c>
      <c r="O845" s="23">
        <v>26.85</v>
      </c>
      <c r="P845" s="23">
        <v>15</v>
      </c>
      <c r="Q845" s="23">
        <f t="shared" si="149"/>
        <v>402.75</v>
      </c>
      <c r="R845" s="236"/>
      <c r="S845" s="236"/>
      <c r="T845" s="236"/>
      <c r="U845" s="242"/>
    </row>
    <row r="846" spans="1:21" ht="13">
      <c r="A846" s="249"/>
      <c r="B846" s="236"/>
      <c r="C846" s="24" t="s">
        <v>155</v>
      </c>
      <c r="D846" s="23"/>
      <c r="E846" s="23"/>
      <c r="F846" s="23">
        <v>715.32</v>
      </c>
      <c r="G846" s="236"/>
      <c r="H846" s="236"/>
      <c r="I846" s="236"/>
      <c r="J846" s="242"/>
      <c r="L846" s="249"/>
      <c r="M846" s="236"/>
      <c r="N846" s="24" t="s">
        <v>155</v>
      </c>
      <c r="O846" s="23"/>
      <c r="P846" s="23"/>
      <c r="Q846" s="23">
        <v>715.32</v>
      </c>
      <c r="R846" s="236"/>
      <c r="S846" s="236"/>
      <c r="T846" s="236"/>
      <c r="U846" s="242"/>
    </row>
    <row r="847" spans="1:21" ht="13">
      <c r="A847" s="249"/>
      <c r="B847" s="236"/>
      <c r="C847" s="22" t="s">
        <v>46</v>
      </c>
      <c r="D847" s="23"/>
      <c r="E847" s="23"/>
      <c r="F847" s="23">
        <v>416.2</v>
      </c>
      <c r="G847" s="236"/>
      <c r="H847" s="236"/>
      <c r="I847" s="236"/>
      <c r="J847" s="242"/>
      <c r="L847" s="249"/>
      <c r="M847" s="236"/>
      <c r="N847" s="22" t="s">
        <v>46</v>
      </c>
      <c r="O847" s="23"/>
      <c r="P847" s="23"/>
      <c r="Q847" s="23">
        <v>416.2</v>
      </c>
      <c r="R847" s="236"/>
      <c r="S847" s="236"/>
      <c r="T847" s="236"/>
      <c r="U847" s="242"/>
    </row>
    <row r="848" spans="1:21" ht="13">
      <c r="A848" s="249"/>
      <c r="B848" s="236"/>
      <c r="C848" s="22" t="s">
        <v>45</v>
      </c>
      <c r="D848" s="23"/>
      <c r="E848" s="23"/>
      <c r="F848" s="23">
        <v>168.87</v>
      </c>
      <c r="G848" s="236"/>
      <c r="H848" s="236"/>
      <c r="I848" s="236"/>
      <c r="J848" s="242"/>
      <c r="L848" s="249"/>
      <c r="M848" s="236"/>
      <c r="N848" s="22" t="s">
        <v>45</v>
      </c>
      <c r="O848" s="23"/>
      <c r="P848" s="23"/>
      <c r="Q848" s="23">
        <v>168.87</v>
      </c>
      <c r="R848" s="236"/>
      <c r="S848" s="236"/>
      <c r="T848" s="236"/>
      <c r="U848" s="242"/>
    </row>
    <row r="849" spans="1:21" ht="13">
      <c r="A849" s="249"/>
      <c r="B849" s="236"/>
      <c r="C849" s="22" t="s">
        <v>47</v>
      </c>
      <c r="D849" s="23"/>
      <c r="E849" s="23"/>
      <c r="F849" s="23">
        <v>436.74</v>
      </c>
      <c r="G849" s="236"/>
      <c r="H849" s="236"/>
      <c r="I849" s="236"/>
      <c r="J849" s="242"/>
      <c r="L849" s="249"/>
      <c r="M849" s="236"/>
      <c r="N849" s="22" t="s">
        <v>47</v>
      </c>
      <c r="O849" s="23"/>
      <c r="P849" s="23"/>
      <c r="Q849" s="23">
        <v>436.74</v>
      </c>
      <c r="R849" s="236"/>
      <c r="S849" s="236"/>
      <c r="T849" s="236"/>
      <c r="U849" s="242"/>
    </row>
    <row r="850" spans="1:21" ht="13">
      <c r="A850" s="249"/>
      <c r="B850" s="236"/>
      <c r="C850" s="22" t="s">
        <v>44</v>
      </c>
      <c r="D850" s="23"/>
      <c r="E850" s="23"/>
      <c r="F850" s="23">
        <v>60.5</v>
      </c>
      <c r="G850" s="236"/>
      <c r="H850" s="236"/>
      <c r="I850" s="236"/>
      <c r="J850" s="242"/>
      <c r="L850" s="249"/>
      <c r="M850" s="236"/>
      <c r="N850" s="22" t="s">
        <v>44</v>
      </c>
      <c r="O850" s="23"/>
      <c r="P850" s="23"/>
      <c r="Q850" s="23">
        <v>60.5</v>
      </c>
      <c r="R850" s="236"/>
      <c r="S850" s="236"/>
      <c r="T850" s="236"/>
      <c r="U850" s="242"/>
    </row>
    <row r="851" spans="1:21" ht="13">
      <c r="A851" s="249"/>
      <c r="B851" s="248"/>
      <c r="C851" s="25" t="s">
        <v>48</v>
      </c>
      <c r="D851" s="26"/>
      <c r="E851" s="26"/>
      <c r="F851" s="26">
        <v>156.32</v>
      </c>
      <c r="G851" s="238"/>
      <c r="H851" s="238"/>
      <c r="I851" s="238"/>
      <c r="J851" s="243"/>
      <c r="L851" s="249"/>
      <c r="M851" s="248"/>
      <c r="N851" s="25" t="s">
        <v>48</v>
      </c>
      <c r="O851" s="26"/>
      <c r="P851" s="26"/>
      <c r="Q851" s="26">
        <v>156.32</v>
      </c>
      <c r="R851" s="238"/>
      <c r="S851" s="238"/>
      <c r="T851" s="238"/>
      <c r="U851" s="243"/>
    </row>
    <row r="852" spans="1:21" ht="13">
      <c r="A852" s="249"/>
      <c r="B852" s="247" t="s">
        <v>366</v>
      </c>
      <c r="C852" s="15" t="s">
        <v>23</v>
      </c>
      <c r="D852" s="17">
        <v>7</v>
      </c>
      <c r="E852" s="16">
        <v>18</v>
      </c>
      <c r="F852" s="17">
        <f>D852*E852</f>
        <v>126</v>
      </c>
      <c r="G852" s="240">
        <f>SUM(F852:F858)</f>
        <v>668.34</v>
      </c>
      <c r="H852" s="237">
        <v>2261.9499999999998</v>
      </c>
      <c r="I852" s="237">
        <f>H852-G852</f>
        <v>1593.6099999999997</v>
      </c>
      <c r="J852" s="241">
        <f>I852/H852</f>
        <v>0.70452927783549579</v>
      </c>
      <c r="L852" s="249"/>
      <c r="M852" s="247" t="s">
        <v>366</v>
      </c>
      <c r="N852" s="15" t="s">
        <v>23</v>
      </c>
      <c r="O852" s="18"/>
      <c r="P852" s="18"/>
      <c r="Q852" s="18"/>
      <c r="R852" s="240">
        <f>SUM(Q852:Q858)</f>
        <v>542.34</v>
      </c>
      <c r="S852" s="237">
        <v>2261.9499999999998</v>
      </c>
      <c r="T852" s="237">
        <f>S852-R852</f>
        <v>1719.6099999999997</v>
      </c>
      <c r="U852" s="241">
        <f>T852/S852</f>
        <v>0.76023342691040907</v>
      </c>
    </row>
    <row r="853" spans="1:21" ht="13">
      <c r="A853" s="249"/>
      <c r="B853" s="236"/>
      <c r="C853" s="24" t="s">
        <v>356</v>
      </c>
      <c r="E853" s="17"/>
      <c r="F853" s="17">
        <v>369.38</v>
      </c>
      <c r="G853" s="236"/>
      <c r="H853" s="236"/>
      <c r="I853" s="236"/>
      <c r="J853" s="242"/>
      <c r="L853" s="249"/>
      <c r="M853" s="236"/>
      <c r="N853" s="24" t="s">
        <v>356</v>
      </c>
      <c r="P853" s="17"/>
      <c r="Q853" s="17">
        <v>369.38</v>
      </c>
      <c r="R853" s="236"/>
      <c r="S853" s="236"/>
      <c r="T853" s="236"/>
      <c r="U853" s="242"/>
    </row>
    <row r="854" spans="1:21" ht="13">
      <c r="A854" s="249"/>
      <c r="B854" s="236"/>
      <c r="C854" s="19" t="s">
        <v>45</v>
      </c>
      <c r="D854" s="17"/>
      <c r="E854" s="17"/>
      <c r="F854" s="17">
        <v>84.06</v>
      </c>
      <c r="G854" s="236"/>
      <c r="H854" s="236"/>
      <c r="I854" s="236"/>
      <c r="J854" s="242"/>
      <c r="L854" s="249"/>
      <c r="M854" s="236"/>
      <c r="N854" s="19" t="s">
        <v>45</v>
      </c>
      <c r="O854" s="17"/>
      <c r="P854" s="17"/>
      <c r="Q854" s="17">
        <v>84.06</v>
      </c>
      <c r="R854" s="236"/>
      <c r="S854" s="236"/>
      <c r="T854" s="236"/>
      <c r="U854" s="242"/>
    </row>
    <row r="855" spans="1:21" ht="13">
      <c r="A855" s="249"/>
      <c r="B855" s="236"/>
      <c r="C855" s="19" t="s">
        <v>367</v>
      </c>
      <c r="D855" s="17"/>
      <c r="E855" s="17"/>
      <c r="F855" s="17">
        <v>29</v>
      </c>
      <c r="G855" s="236"/>
      <c r="H855" s="236"/>
      <c r="I855" s="236"/>
      <c r="J855" s="242"/>
      <c r="L855" s="249"/>
      <c r="M855" s="236"/>
      <c r="N855" s="19" t="s">
        <v>367</v>
      </c>
      <c r="O855" s="17"/>
      <c r="P855" s="17"/>
      <c r="Q855" s="17">
        <v>29</v>
      </c>
      <c r="R855" s="236"/>
      <c r="S855" s="236"/>
      <c r="T855" s="236"/>
      <c r="U855" s="242"/>
    </row>
    <row r="856" spans="1:21" ht="13">
      <c r="A856" s="249"/>
      <c r="B856" s="236"/>
      <c r="C856" s="19" t="s">
        <v>48</v>
      </c>
      <c r="D856" s="17"/>
      <c r="E856" s="17"/>
      <c r="F856" s="17">
        <v>14.1</v>
      </c>
      <c r="G856" s="236"/>
      <c r="H856" s="236"/>
      <c r="I856" s="236"/>
      <c r="J856" s="242"/>
      <c r="L856" s="249"/>
      <c r="M856" s="236"/>
      <c r="N856" s="19" t="s">
        <v>48</v>
      </c>
      <c r="O856" s="17"/>
      <c r="P856" s="17"/>
      <c r="Q856" s="17">
        <v>14.1</v>
      </c>
      <c r="R856" s="236"/>
      <c r="S856" s="236"/>
      <c r="T856" s="236"/>
      <c r="U856" s="242"/>
    </row>
    <row r="857" spans="1:21" ht="13">
      <c r="A857" s="249"/>
      <c r="B857" s="236"/>
      <c r="C857" s="19" t="s">
        <v>44</v>
      </c>
      <c r="D857" s="17"/>
      <c r="E857" s="17"/>
      <c r="F857" s="17">
        <v>45.8</v>
      </c>
      <c r="G857" s="236"/>
      <c r="H857" s="236"/>
      <c r="I857" s="236"/>
      <c r="J857" s="242"/>
      <c r="L857" s="249"/>
      <c r="M857" s="236"/>
      <c r="N857" s="19" t="s">
        <v>44</v>
      </c>
      <c r="O857" s="17"/>
      <c r="P857" s="17"/>
      <c r="Q857" s="17">
        <v>45.8</v>
      </c>
      <c r="R857" s="236"/>
      <c r="S857" s="236"/>
      <c r="T857" s="236"/>
      <c r="U857" s="242"/>
    </row>
    <row r="858" spans="1:21" ht="13">
      <c r="A858" s="249"/>
      <c r="B858" s="248"/>
      <c r="C858" s="20"/>
      <c r="D858" s="21"/>
      <c r="E858" s="21"/>
      <c r="F858" s="21"/>
      <c r="G858" s="238"/>
      <c r="H858" s="238"/>
      <c r="I858" s="238"/>
      <c r="J858" s="243"/>
      <c r="L858" s="249"/>
      <c r="M858" s="248"/>
      <c r="N858" s="20"/>
      <c r="O858" s="21"/>
      <c r="P858" s="21"/>
      <c r="Q858" s="21"/>
      <c r="R858" s="238"/>
      <c r="S858" s="238"/>
      <c r="T858" s="238"/>
      <c r="U858" s="243"/>
    </row>
    <row r="859" spans="1:21" ht="13">
      <c r="A859" s="249"/>
      <c r="B859" s="247" t="s">
        <v>368</v>
      </c>
      <c r="C859" s="15" t="s">
        <v>70</v>
      </c>
      <c r="D859" s="17">
        <v>3</v>
      </c>
      <c r="E859" s="16">
        <v>15</v>
      </c>
      <c r="F859" s="17">
        <f t="shared" ref="F859:F861" si="150">D859*E859</f>
        <v>45</v>
      </c>
      <c r="G859" s="240">
        <f>SUM(F859:F863)</f>
        <v>295</v>
      </c>
      <c r="H859" s="237">
        <v>1500</v>
      </c>
      <c r="I859" s="237">
        <f>H859-G859</f>
        <v>1205</v>
      </c>
      <c r="J859" s="241">
        <f>I859/H859</f>
        <v>0.80333333333333334</v>
      </c>
      <c r="L859" s="249"/>
      <c r="M859" s="247" t="s">
        <v>368</v>
      </c>
      <c r="N859" s="15" t="s">
        <v>70</v>
      </c>
      <c r="O859" s="17">
        <v>3</v>
      </c>
      <c r="P859" s="16">
        <v>15</v>
      </c>
      <c r="Q859" s="17">
        <f t="shared" ref="Q859:Q861" si="151">O859*P859</f>
        <v>45</v>
      </c>
      <c r="R859" s="240">
        <f>SUM(Q859:Q863)</f>
        <v>295</v>
      </c>
      <c r="S859" s="237">
        <v>1500</v>
      </c>
      <c r="T859" s="237">
        <f>S859-R859</f>
        <v>1205</v>
      </c>
      <c r="U859" s="241">
        <f>T859/S859</f>
        <v>0.80333333333333334</v>
      </c>
    </row>
    <row r="860" spans="1:21" ht="13">
      <c r="A860" s="249"/>
      <c r="B860" s="236"/>
      <c r="C860" s="24" t="s">
        <v>53</v>
      </c>
      <c r="D860" s="17">
        <v>12</v>
      </c>
      <c r="E860" s="17">
        <v>15</v>
      </c>
      <c r="F860" s="17">
        <f t="shared" si="150"/>
        <v>180</v>
      </c>
      <c r="G860" s="236"/>
      <c r="H860" s="236"/>
      <c r="I860" s="236"/>
      <c r="J860" s="242"/>
      <c r="L860" s="249"/>
      <c r="M860" s="236"/>
      <c r="N860" s="24" t="s">
        <v>53</v>
      </c>
      <c r="O860" s="17">
        <v>12</v>
      </c>
      <c r="P860" s="17">
        <v>15</v>
      </c>
      <c r="Q860" s="17">
        <f t="shared" si="151"/>
        <v>180</v>
      </c>
      <c r="R860" s="236"/>
      <c r="S860" s="236"/>
      <c r="T860" s="236"/>
      <c r="U860" s="242"/>
    </row>
    <row r="861" spans="1:21" ht="13">
      <c r="A861" s="249"/>
      <c r="B861" s="236"/>
      <c r="C861" s="19" t="s">
        <v>80</v>
      </c>
      <c r="D861" s="17">
        <v>3</v>
      </c>
      <c r="E861" s="17">
        <v>15</v>
      </c>
      <c r="F861" s="17">
        <f t="shared" si="150"/>
        <v>45</v>
      </c>
      <c r="G861" s="236"/>
      <c r="H861" s="236"/>
      <c r="I861" s="236"/>
      <c r="J861" s="242"/>
      <c r="L861" s="249"/>
      <c r="M861" s="236"/>
      <c r="N861" s="19" t="s">
        <v>80</v>
      </c>
      <c r="O861" s="17">
        <v>3</v>
      </c>
      <c r="P861" s="17">
        <v>15</v>
      </c>
      <c r="Q861" s="17">
        <f t="shared" si="151"/>
        <v>45</v>
      </c>
      <c r="R861" s="236"/>
      <c r="S861" s="236"/>
      <c r="T861" s="236"/>
      <c r="U861" s="242"/>
    </row>
    <row r="862" spans="1:21" ht="13">
      <c r="A862" s="249"/>
      <c r="B862" s="236"/>
      <c r="C862" s="19" t="s">
        <v>369</v>
      </c>
      <c r="D862" s="17">
        <v>3</v>
      </c>
      <c r="E862" s="17">
        <v>25</v>
      </c>
      <c r="F862" s="17">
        <v>10</v>
      </c>
      <c r="G862" s="236"/>
      <c r="H862" s="236"/>
      <c r="I862" s="236"/>
      <c r="J862" s="242"/>
      <c r="L862" s="249"/>
      <c r="M862" s="236"/>
      <c r="N862" s="19" t="s">
        <v>369</v>
      </c>
      <c r="O862" s="17">
        <v>3</v>
      </c>
      <c r="P862" s="17">
        <v>25</v>
      </c>
      <c r="Q862" s="17">
        <v>10</v>
      </c>
      <c r="R862" s="236"/>
      <c r="S862" s="236"/>
      <c r="T862" s="236"/>
      <c r="U862" s="242"/>
    </row>
    <row r="863" spans="1:21" ht="13">
      <c r="A863" s="249"/>
      <c r="B863" s="248"/>
      <c r="C863" s="20" t="s">
        <v>367</v>
      </c>
      <c r="D863" s="21"/>
      <c r="E863" s="21"/>
      <c r="F863" s="21">
        <v>15</v>
      </c>
      <c r="G863" s="238"/>
      <c r="H863" s="238"/>
      <c r="I863" s="238"/>
      <c r="J863" s="243"/>
      <c r="L863" s="249"/>
      <c r="M863" s="248"/>
      <c r="N863" s="20" t="s">
        <v>367</v>
      </c>
      <c r="O863" s="21"/>
      <c r="P863" s="21"/>
      <c r="Q863" s="21">
        <v>15</v>
      </c>
      <c r="R863" s="238"/>
      <c r="S863" s="238"/>
      <c r="T863" s="238"/>
      <c r="U863" s="243"/>
    </row>
    <row r="864" spans="1:21" ht="13">
      <c r="A864" s="249"/>
      <c r="B864" s="247" t="s">
        <v>370</v>
      </c>
      <c r="C864" s="15" t="s">
        <v>23</v>
      </c>
      <c r="D864" s="17">
        <v>4</v>
      </c>
      <c r="E864" s="16">
        <v>16</v>
      </c>
      <c r="F864" s="17">
        <f t="shared" ref="F864:F866" si="152">D864*E864</f>
        <v>64</v>
      </c>
      <c r="G864" s="240">
        <f>SUM(F864:F865)</f>
        <v>120</v>
      </c>
      <c r="H864" s="237">
        <v>400</v>
      </c>
      <c r="I864" s="237">
        <f>H864-G864</f>
        <v>280</v>
      </c>
      <c r="J864" s="241">
        <f>I864/H864</f>
        <v>0.7</v>
      </c>
      <c r="L864" s="249"/>
      <c r="M864" s="247" t="s">
        <v>370</v>
      </c>
      <c r="N864" s="15" t="s">
        <v>23</v>
      </c>
      <c r="O864" s="18"/>
      <c r="P864" s="18"/>
      <c r="Q864" s="18"/>
      <c r="R864" s="240">
        <f>SUM(Q864:Q865)</f>
        <v>0</v>
      </c>
      <c r="S864" s="237">
        <v>400</v>
      </c>
      <c r="T864" s="237">
        <f>S864-R864</f>
        <v>400</v>
      </c>
      <c r="U864" s="241">
        <f>T864/S864</f>
        <v>1</v>
      </c>
    </row>
    <row r="865" spans="1:21" ht="13">
      <c r="A865" s="249"/>
      <c r="B865" s="248"/>
      <c r="C865" s="44" t="s">
        <v>216</v>
      </c>
      <c r="D865" s="21">
        <v>4</v>
      </c>
      <c r="E865" s="21">
        <v>14</v>
      </c>
      <c r="F865" s="21">
        <f t="shared" si="152"/>
        <v>56</v>
      </c>
      <c r="G865" s="238"/>
      <c r="H865" s="238"/>
      <c r="I865" s="238"/>
      <c r="J865" s="243"/>
      <c r="L865" s="249"/>
      <c r="M865" s="248"/>
      <c r="N865" s="44" t="s">
        <v>216</v>
      </c>
      <c r="O865" s="68"/>
      <c r="P865" s="68"/>
      <c r="Q865" s="68"/>
      <c r="R865" s="238"/>
      <c r="S865" s="238"/>
      <c r="T865" s="238"/>
      <c r="U865" s="243"/>
    </row>
    <row r="866" spans="1:21" ht="13">
      <c r="A866" s="249"/>
      <c r="B866" s="247" t="s">
        <v>371</v>
      </c>
      <c r="C866" s="15" t="s">
        <v>372</v>
      </c>
      <c r="D866" s="17">
        <v>21</v>
      </c>
      <c r="E866" s="16">
        <v>15</v>
      </c>
      <c r="F866" s="17">
        <f t="shared" si="152"/>
        <v>315</v>
      </c>
      <c r="G866" s="240">
        <f>SUM(F866:F868)</f>
        <v>395</v>
      </c>
      <c r="H866" s="237">
        <v>1600</v>
      </c>
      <c r="I866" s="237">
        <f>H866-G866</f>
        <v>1205</v>
      </c>
      <c r="J866" s="241">
        <f>I866/H866</f>
        <v>0.75312500000000004</v>
      </c>
      <c r="L866" s="249"/>
      <c r="M866" s="247" t="s">
        <v>371</v>
      </c>
      <c r="N866" s="15" t="s">
        <v>372</v>
      </c>
      <c r="O866" s="17">
        <v>21</v>
      </c>
      <c r="P866" s="16">
        <v>15</v>
      </c>
      <c r="Q866" s="17">
        <f>O866*P866</f>
        <v>315</v>
      </c>
      <c r="R866" s="240">
        <f>SUM(Q866:Q868)</f>
        <v>395</v>
      </c>
      <c r="S866" s="237">
        <v>1600</v>
      </c>
      <c r="T866" s="237">
        <f>S866-R866</f>
        <v>1205</v>
      </c>
      <c r="U866" s="241">
        <f>T866/S866</f>
        <v>0.75312500000000004</v>
      </c>
    </row>
    <row r="867" spans="1:21" ht="13">
      <c r="A867" s="249"/>
      <c r="B867" s="236"/>
      <c r="C867" s="24" t="s">
        <v>373</v>
      </c>
      <c r="D867" s="17"/>
      <c r="E867" s="17"/>
      <c r="F867" s="17">
        <v>80</v>
      </c>
      <c r="G867" s="236"/>
      <c r="H867" s="236"/>
      <c r="I867" s="236"/>
      <c r="J867" s="242"/>
      <c r="L867" s="249"/>
      <c r="M867" s="236"/>
      <c r="N867" s="24" t="s">
        <v>373</v>
      </c>
      <c r="O867" s="17"/>
      <c r="P867" s="17"/>
      <c r="Q867" s="17">
        <v>80</v>
      </c>
      <c r="R867" s="236"/>
      <c r="S867" s="236"/>
      <c r="T867" s="236"/>
      <c r="U867" s="242"/>
    </row>
    <row r="868" spans="1:21" ht="13">
      <c r="A868" s="249"/>
      <c r="B868" s="248"/>
      <c r="C868" s="20"/>
      <c r="D868" s="21"/>
      <c r="E868" s="21"/>
      <c r="F868" s="21"/>
      <c r="G868" s="238"/>
      <c r="H868" s="238"/>
      <c r="I868" s="238"/>
      <c r="J868" s="243"/>
      <c r="L868" s="249"/>
      <c r="M868" s="248"/>
      <c r="N868" s="20"/>
      <c r="O868" s="21"/>
      <c r="P868" s="21"/>
      <c r="Q868" s="21"/>
      <c r="R868" s="238"/>
      <c r="S868" s="238"/>
      <c r="T868" s="238"/>
      <c r="U868" s="243"/>
    </row>
    <row r="869" spans="1:21" ht="13">
      <c r="A869" s="249"/>
      <c r="B869" s="283" t="s">
        <v>374</v>
      </c>
      <c r="C869" s="69" t="s">
        <v>137</v>
      </c>
      <c r="D869" s="65">
        <v>84</v>
      </c>
      <c r="E869" s="65">
        <v>15</v>
      </c>
      <c r="F869" s="23">
        <f t="shared" ref="F869:F881" si="153">D869*E869</f>
        <v>1260</v>
      </c>
      <c r="G869" s="240">
        <f>SUM(F869:F897)</f>
        <v>21036.25</v>
      </c>
      <c r="H869" s="237">
        <v>58551.81</v>
      </c>
      <c r="I869" s="237">
        <f>H869-G869</f>
        <v>37515.56</v>
      </c>
      <c r="J869" s="241">
        <f>I869/H869</f>
        <v>0.64072417231849876</v>
      </c>
      <c r="L869" s="249"/>
      <c r="M869" s="283" t="s">
        <v>374</v>
      </c>
      <c r="N869" s="69" t="s">
        <v>137</v>
      </c>
      <c r="O869" s="65">
        <v>84</v>
      </c>
      <c r="P869" s="65">
        <v>15</v>
      </c>
      <c r="Q869" s="23">
        <f t="shared" ref="Q869:Q878" si="154">O869*P869</f>
        <v>1260</v>
      </c>
      <c r="R869" s="240">
        <f>SUM(Q869:Q897)</f>
        <v>18926.25</v>
      </c>
      <c r="S869" s="237">
        <v>58551.81</v>
      </c>
      <c r="T869" s="237">
        <f>S869-R869</f>
        <v>39625.56</v>
      </c>
      <c r="U869" s="241">
        <f>T869/S869</f>
        <v>0.67676063301885969</v>
      </c>
    </row>
    <row r="870" spans="1:21" ht="13">
      <c r="A870" s="249"/>
      <c r="B870" s="236"/>
      <c r="C870" s="22" t="s">
        <v>375</v>
      </c>
      <c r="D870" s="23">
        <v>7</v>
      </c>
      <c r="E870" s="23">
        <v>15</v>
      </c>
      <c r="F870" s="23">
        <f t="shared" si="153"/>
        <v>105</v>
      </c>
      <c r="G870" s="236"/>
      <c r="H870" s="236"/>
      <c r="I870" s="236"/>
      <c r="J870" s="242"/>
      <c r="L870" s="249"/>
      <c r="M870" s="236"/>
      <c r="N870" s="22" t="s">
        <v>375</v>
      </c>
      <c r="O870" s="23">
        <v>7</v>
      </c>
      <c r="P870" s="23">
        <v>15</v>
      </c>
      <c r="Q870" s="23">
        <f t="shared" si="154"/>
        <v>105</v>
      </c>
      <c r="R870" s="236"/>
      <c r="S870" s="236"/>
      <c r="T870" s="236"/>
      <c r="U870" s="242"/>
    </row>
    <row r="871" spans="1:21" ht="13">
      <c r="A871" s="249"/>
      <c r="B871" s="236"/>
      <c r="C871" s="22" t="s">
        <v>376</v>
      </c>
      <c r="D871" s="23">
        <v>37</v>
      </c>
      <c r="E871" s="23">
        <v>15</v>
      </c>
      <c r="F871" s="23">
        <f t="shared" si="153"/>
        <v>555</v>
      </c>
      <c r="G871" s="236"/>
      <c r="H871" s="236"/>
      <c r="I871" s="236"/>
      <c r="J871" s="242"/>
      <c r="L871" s="249"/>
      <c r="M871" s="236"/>
      <c r="N871" s="22" t="s">
        <v>376</v>
      </c>
      <c r="O871" s="23">
        <v>37</v>
      </c>
      <c r="P871" s="23">
        <v>15</v>
      </c>
      <c r="Q871" s="23">
        <f t="shared" si="154"/>
        <v>555</v>
      </c>
      <c r="R871" s="236"/>
      <c r="S871" s="236"/>
      <c r="T871" s="236"/>
      <c r="U871" s="242"/>
    </row>
    <row r="872" spans="1:21" ht="13">
      <c r="A872" s="249"/>
      <c r="B872" s="236"/>
      <c r="C872" s="22" t="s">
        <v>377</v>
      </c>
      <c r="D872" s="23">
        <v>40</v>
      </c>
      <c r="E872" s="23">
        <v>15</v>
      </c>
      <c r="F872" s="23">
        <f t="shared" si="153"/>
        <v>600</v>
      </c>
      <c r="G872" s="236"/>
      <c r="H872" s="236"/>
      <c r="I872" s="236"/>
      <c r="J872" s="242"/>
      <c r="L872" s="249"/>
      <c r="M872" s="236"/>
      <c r="N872" s="22" t="s">
        <v>377</v>
      </c>
      <c r="O872" s="23">
        <v>40</v>
      </c>
      <c r="P872" s="23">
        <v>15</v>
      </c>
      <c r="Q872" s="23">
        <f t="shared" si="154"/>
        <v>600</v>
      </c>
      <c r="R872" s="236"/>
      <c r="S872" s="236"/>
      <c r="T872" s="236"/>
      <c r="U872" s="242"/>
    </row>
    <row r="873" spans="1:21" ht="13">
      <c r="A873" s="249"/>
      <c r="B873" s="236"/>
      <c r="C873" s="22" t="s">
        <v>378</v>
      </c>
      <c r="D873" s="23">
        <v>21</v>
      </c>
      <c r="E873" s="23">
        <v>15</v>
      </c>
      <c r="F873" s="23">
        <f t="shared" si="153"/>
        <v>315</v>
      </c>
      <c r="G873" s="236"/>
      <c r="H873" s="236"/>
      <c r="I873" s="236"/>
      <c r="J873" s="242"/>
      <c r="L873" s="249"/>
      <c r="M873" s="236"/>
      <c r="N873" s="22" t="s">
        <v>378</v>
      </c>
      <c r="O873" s="23">
        <v>21</v>
      </c>
      <c r="P873" s="23">
        <v>15</v>
      </c>
      <c r="Q873" s="23">
        <f t="shared" si="154"/>
        <v>315</v>
      </c>
      <c r="R873" s="236"/>
      <c r="S873" s="236"/>
      <c r="T873" s="236"/>
      <c r="U873" s="242"/>
    </row>
    <row r="874" spans="1:21" ht="13">
      <c r="A874" s="249"/>
      <c r="B874" s="236"/>
      <c r="C874" s="22" t="s">
        <v>379</v>
      </c>
      <c r="D874" s="23">
        <v>70</v>
      </c>
      <c r="E874" s="23">
        <v>15</v>
      </c>
      <c r="F874" s="23">
        <f t="shared" si="153"/>
        <v>1050</v>
      </c>
      <c r="G874" s="236"/>
      <c r="H874" s="236"/>
      <c r="I874" s="236"/>
      <c r="J874" s="242"/>
      <c r="L874" s="249"/>
      <c r="M874" s="236"/>
      <c r="N874" s="22" t="s">
        <v>379</v>
      </c>
      <c r="O874" s="23">
        <v>70</v>
      </c>
      <c r="P874" s="23">
        <v>15</v>
      </c>
      <c r="Q874" s="23">
        <f t="shared" si="154"/>
        <v>1050</v>
      </c>
      <c r="R874" s="236"/>
      <c r="S874" s="236"/>
      <c r="T874" s="236"/>
      <c r="U874" s="242"/>
    </row>
    <row r="875" spans="1:21" ht="13">
      <c r="A875" s="249"/>
      <c r="B875" s="236"/>
      <c r="C875" s="22" t="s">
        <v>380</v>
      </c>
      <c r="D875" s="23">
        <v>50</v>
      </c>
      <c r="E875" s="23">
        <v>15</v>
      </c>
      <c r="F875" s="23">
        <f t="shared" si="153"/>
        <v>750</v>
      </c>
      <c r="G875" s="236"/>
      <c r="H875" s="236"/>
      <c r="I875" s="236"/>
      <c r="J875" s="242"/>
      <c r="L875" s="249"/>
      <c r="M875" s="236"/>
      <c r="N875" s="22" t="s">
        <v>380</v>
      </c>
      <c r="O875" s="23">
        <v>50</v>
      </c>
      <c r="P875" s="23">
        <v>15</v>
      </c>
      <c r="Q875" s="23">
        <f t="shared" si="154"/>
        <v>750</v>
      </c>
      <c r="R875" s="236"/>
      <c r="S875" s="236"/>
      <c r="T875" s="236"/>
      <c r="U875" s="242"/>
    </row>
    <row r="876" spans="1:21" ht="13">
      <c r="A876" s="249"/>
      <c r="B876" s="236"/>
      <c r="C876" s="22" t="s">
        <v>381</v>
      </c>
      <c r="D876" s="23">
        <v>40</v>
      </c>
      <c r="E876" s="23">
        <v>15</v>
      </c>
      <c r="F876" s="23">
        <f t="shared" si="153"/>
        <v>600</v>
      </c>
      <c r="G876" s="236"/>
      <c r="H876" s="236"/>
      <c r="I876" s="236"/>
      <c r="J876" s="242"/>
      <c r="L876" s="249"/>
      <c r="M876" s="236"/>
      <c r="N876" s="22" t="s">
        <v>381</v>
      </c>
      <c r="O876" s="23">
        <v>40</v>
      </c>
      <c r="P876" s="23">
        <v>15</v>
      </c>
      <c r="Q876" s="23">
        <f t="shared" si="154"/>
        <v>600</v>
      </c>
      <c r="R876" s="236"/>
      <c r="S876" s="236"/>
      <c r="T876" s="236"/>
      <c r="U876" s="242"/>
    </row>
    <row r="877" spans="1:21" ht="13">
      <c r="A877" s="249"/>
      <c r="B877" s="236"/>
      <c r="C877" s="22" t="s">
        <v>382</v>
      </c>
      <c r="D877" s="23">
        <v>35</v>
      </c>
      <c r="E877" s="23">
        <v>15</v>
      </c>
      <c r="F877" s="23">
        <f t="shared" si="153"/>
        <v>525</v>
      </c>
      <c r="G877" s="236"/>
      <c r="H877" s="236"/>
      <c r="I877" s="236"/>
      <c r="J877" s="242"/>
      <c r="L877" s="249"/>
      <c r="M877" s="236"/>
      <c r="N877" s="22" t="s">
        <v>382</v>
      </c>
      <c r="O877" s="23">
        <v>35</v>
      </c>
      <c r="P877" s="23">
        <v>15</v>
      </c>
      <c r="Q877" s="23">
        <f t="shared" si="154"/>
        <v>525</v>
      </c>
      <c r="R877" s="236"/>
      <c r="S877" s="236"/>
      <c r="T877" s="236"/>
      <c r="U877" s="242"/>
    </row>
    <row r="878" spans="1:21" ht="13">
      <c r="A878" s="249"/>
      <c r="B878" s="236"/>
      <c r="C878" s="22" t="s">
        <v>383</v>
      </c>
      <c r="D878" s="23">
        <v>40</v>
      </c>
      <c r="E878" s="23">
        <v>15</v>
      </c>
      <c r="F878" s="23">
        <f t="shared" si="153"/>
        <v>600</v>
      </c>
      <c r="G878" s="236"/>
      <c r="H878" s="236"/>
      <c r="I878" s="236"/>
      <c r="J878" s="242"/>
      <c r="L878" s="249"/>
      <c r="M878" s="236"/>
      <c r="N878" s="22" t="s">
        <v>383</v>
      </c>
      <c r="O878" s="23">
        <v>40</v>
      </c>
      <c r="P878" s="23">
        <v>15</v>
      </c>
      <c r="Q878" s="23">
        <f t="shared" si="154"/>
        <v>600</v>
      </c>
      <c r="R878" s="236"/>
      <c r="S878" s="236"/>
      <c r="T878" s="236"/>
      <c r="U878" s="242"/>
    </row>
    <row r="879" spans="1:21" ht="13">
      <c r="A879" s="249"/>
      <c r="B879" s="236"/>
      <c r="C879" s="22" t="s">
        <v>384</v>
      </c>
      <c r="D879" s="23">
        <v>84</v>
      </c>
      <c r="E879" s="23">
        <v>18</v>
      </c>
      <c r="F879" s="23">
        <f t="shared" si="153"/>
        <v>1512</v>
      </c>
      <c r="G879" s="236"/>
      <c r="H879" s="236"/>
      <c r="I879" s="236"/>
      <c r="J879" s="242"/>
      <c r="L879" s="249"/>
      <c r="M879" s="236"/>
      <c r="N879" s="22" t="s">
        <v>384</v>
      </c>
      <c r="O879" s="18"/>
      <c r="P879" s="18"/>
      <c r="Q879" s="18"/>
      <c r="R879" s="236"/>
      <c r="S879" s="236"/>
      <c r="T879" s="236"/>
      <c r="U879" s="242"/>
    </row>
    <row r="880" spans="1:21" ht="13">
      <c r="A880" s="249"/>
      <c r="B880" s="236"/>
      <c r="C880" s="22" t="s">
        <v>35</v>
      </c>
      <c r="D880" s="23">
        <v>79</v>
      </c>
      <c r="E880" s="23">
        <v>15</v>
      </c>
      <c r="F880" s="23">
        <f t="shared" si="153"/>
        <v>1185</v>
      </c>
      <c r="G880" s="236"/>
      <c r="H880" s="236"/>
      <c r="I880" s="236"/>
      <c r="J880" s="242"/>
      <c r="L880" s="249"/>
      <c r="M880" s="236"/>
      <c r="N880" s="22" t="s">
        <v>35</v>
      </c>
      <c r="O880" s="23">
        <v>79</v>
      </c>
      <c r="P880" s="23">
        <v>15</v>
      </c>
      <c r="Q880" s="23">
        <f t="shared" ref="Q880:Q881" si="155">O880*P880</f>
        <v>1185</v>
      </c>
      <c r="R880" s="236"/>
      <c r="S880" s="236"/>
      <c r="T880" s="236"/>
      <c r="U880" s="242"/>
    </row>
    <row r="881" spans="1:21" ht="13">
      <c r="A881" s="249"/>
      <c r="B881" s="236"/>
      <c r="C881" s="22" t="s">
        <v>50</v>
      </c>
      <c r="D881" s="23">
        <v>54</v>
      </c>
      <c r="E881" s="23">
        <v>15</v>
      </c>
      <c r="F881" s="23">
        <f t="shared" si="153"/>
        <v>810</v>
      </c>
      <c r="G881" s="236"/>
      <c r="H881" s="236"/>
      <c r="I881" s="236"/>
      <c r="J881" s="242"/>
      <c r="L881" s="249"/>
      <c r="M881" s="236"/>
      <c r="N881" s="22" t="s">
        <v>50</v>
      </c>
      <c r="O881" s="23">
        <v>54</v>
      </c>
      <c r="P881" s="23">
        <v>15</v>
      </c>
      <c r="Q881" s="23">
        <f t="shared" si="155"/>
        <v>810</v>
      </c>
      <c r="R881" s="236"/>
      <c r="S881" s="236"/>
      <c r="T881" s="236"/>
      <c r="U881" s="242"/>
    </row>
    <row r="882" spans="1:21" ht="13">
      <c r="A882" s="249"/>
      <c r="B882" s="236"/>
      <c r="C882" s="22" t="s">
        <v>287</v>
      </c>
      <c r="D882" s="23"/>
      <c r="E882" s="23"/>
      <c r="F882" s="23">
        <v>246.5</v>
      </c>
      <c r="G882" s="236"/>
      <c r="H882" s="236"/>
      <c r="I882" s="236"/>
      <c r="J882" s="242"/>
      <c r="L882" s="249"/>
      <c r="M882" s="236"/>
      <c r="N882" s="22" t="s">
        <v>287</v>
      </c>
      <c r="O882" s="23"/>
      <c r="P882" s="23"/>
      <c r="Q882" s="23">
        <v>246.5</v>
      </c>
      <c r="R882" s="236"/>
      <c r="S882" s="236"/>
      <c r="T882" s="236"/>
      <c r="U882" s="242"/>
    </row>
    <row r="883" spans="1:21" ht="13">
      <c r="A883" s="249"/>
      <c r="B883" s="236"/>
      <c r="C883" s="22" t="s">
        <v>372</v>
      </c>
      <c r="D883" s="23">
        <v>47.5</v>
      </c>
      <c r="E883" s="23">
        <v>15</v>
      </c>
      <c r="F883" s="23">
        <f t="shared" ref="F883:F886" si="156">D883*E883</f>
        <v>712.5</v>
      </c>
      <c r="G883" s="236"/>
      <c r="H883" s="236"/>
      <c r="I883" s="236"/>
      <c r="J883" s="242"/>
      <c r="L883" s="249"/>
      <c r="M883" s="236"/>
      <c r="N883" s="22" t="s">
        <v>372</v>
      </c>
      <c r="O883" s="23">
        <v>47.5</v>
      </c>
      <c r="P883" s="23">
        <v>15</v>
      </c>
      <c r="Q883" s="23">
        <f t="shared" ref="Q883:Q886" si="157">O883*P883</f>
        <v>712.5</v>
      </c>
      <c r="R883" s="236"/>
      <c r="S883" s="236"/>
      <c r="T883" s="236"/>
      <c r="U883" s="242"/>
    </row>
    <row r="884" spans="1:21" ht="13">
      <c r="A884" s="249"/>
      <c r="B884" s="236"/>
      <c r="C884" s="22" t="s">
        <v>385</v>
      </c>
      <c r="D884" s="23">
        <v>7</v>
      </c>
      <c r="E884" s="23">
        <v>15</v>
      </c>
      <c r="F884" s="23">
        <f t="shared" si="156"/>
        <v>105</v>
      </c>
      <c r="G884" s="236"/>
      <c r="H884" s="236"/>
      <c r="I884" s="236"/>
      <c r="J884" s="242"/>
      <c r="L884" s="249"/>
      <c r="M884" s="236"/>
      <c r="N884" s="22" t="s">
        <v>385</v>
      </c>
      <c r="O884" s="23">
        <v>7</v>
      </c>
      <c r="P884" s="23">
        <v>15</v>
      </c>
      <c r="Q884" s="23">
        <f t="shared" si="157"/>
        <v>105</v>
      </c>
      <c r="R884" s="236"/>
      <c r="S884" s="236"/>
      <c r="T884" s="236"/>
      <c r="U884" s="242"/>
    </row>
    <row r="885" spans="1:21" ht="13">
      <c r="A885" s="249"/>
      <c r="B885" s="236"/>
      <c r="C885" s="22" t="s">
        <v>106</v>
      </c>
      <c r="D885" s="23">
        <v>7</v>
      </c>
      <c r="E885" s="23">
        <v>15</v>
      </c>
      <c r="F885" s="23">
        <f t="shared" si="156"/>
        <v>105</v>
      </c>
      <c r="G885" s="236"/>
      <c r="H885" s="236"/>
      <c r="I885" s="236"/>
      <c r="J885" s="242"/>
      <c r="L885" s="249"/>
      <c r="M885" s="236"/>
      <c r="N885" s="22" t="s">
        <v>106</v>
      </c>
      <c r="O885" s="23">
        <v>7</v>
      </c>
      <c r="P885" s="23">
        <v>15</v>
      </c>
      <c r="Q885" s="23">
        <f t="shared" si="157"/>
        <v>105</v>
      </c>
      <c r="R885" s="236"/>
      <c r="S885" s="236"/>
      <c r="T885" s="236"/>
      <c r="U885" s="242"/>
    </row>
    <row r="886" spans="1:21" ht="13">
      <c r="A886" s="249"/>
      <c r="B886" s="236"/>
      <c r="C886" s="22" t="s">
        <v>386</v>
      </c>
      <c r="D886" s="23">
        <v>16</v>
      </c>
      <c r="E886" s="23">
        <v>15</v>
      </c>
      <c r="F886" s="23">
        <f t="shared" si="156"/>
        <v>240</v>
      </c>
      <c r="G886" s="236"/>
      <c r="H886" s="236"/>
      <c r="I886" s="236"/>
      <c r="J886" s="242"/>
      <c r="L886" s="249"/>
      <c r="M886" s="236"/>
      <c r="N886" s="22" t="s">
        <v>386</v>
      </c>
      <c r="O886" s="23">
        <v>16</v>
      </c>
      <c r="P886" s="23">
        <v>15</v>
      </c>
      <c r="Q886" s="23">
        <f t="shared" si="157"/>
        <v>240</v>
      </c>
      <c r="R886" s="236"/>
      <c r="S886" s="236"/>
      <c r="T886" s="236"/>
      <c r="U886" s="242"/>
    </row>
    <row r="887" spans="1:21" ht="13">
      <c r="A887" s="249"/>
      <c r="B887" s="236"/>
      <c r="C887" s="22" t="s">
        <v>387</v>
      </c>
      <c r="D887" s="23"/>
      <c r="E887" s="23"/>
      <c r="F887" s="23">
        <v>649.1</v>
      </c>
      <c r="G887" s="236"/>
      <c r="H887" s="236"/>
      <c r="I887" s="236"/>
      <c r="J887" s="242"/>
      <c r="L887" s="249"/>
      <c r="M887" s="236"/>
      <c r="N887" s="22" t="s">
        <v>387</v>
      </c>
      <c r="O887" s="23"/>
      <c r="P887" s="23"/>
      <c r="Q887" s="23">
        <v>649.1</v>
      </c>
      <c r="R887" s="236"/>
      <c r="S887" s="236"/>
      <c r="T887" s="236"/>
      <c r="U887" s="242"/>
    </row>
    <row r="888" spans="1:21" ht="13">
      <c r="A888" s="249"/>
      <c r="B888" s="236"/>
      <c r="C888" s="22" t="s">
        <v>388</v>
      </c>
      <c r="D888" s="23"/>
      <c r="E888" s="23"/>
      <c r="F888" s="23">
        <v>5500</v>
      </c>
      <c r="G888" s="236"/>
      <c r="H888" s="236"/>
      <c r="I888" s="236"/>
      <c r="J888" s="242"/>
      <c r="L888" s="249"/>
      <c r="M888" s="236"/>
      <c r="N888" s="22" t="s">
        <v>388</v>
      </c>
      <c r="O888" s="23"/>
      <c r="P888" s="23"/>
      <c r="Q888" s="23">
        <v>5500</v>
      </c>
      <c r="R888" s="236"/>
      <c r="S888" s="236"/>
      <c r="T888" s="236"/>
      <c r="U888" s="242"/>
    </row>
    <row r="889" spans="1:21" ht="13">
      <c r="A889" s="249"/>
      <c r="B889" s="236"/>
      <c r="C889" s="22" t="s">
        <v>389</v>
      </c>
      <c r="D889" s="23"/>
      <c r="E889" s="23"/>
      <c r="F889" s="23">
        <v>90.72</v>
      </c>
      <c r="G889" s="236"/>
      <c r="H889" s="236"/>
      <c r="I889" s="236"/>
      <c r="J889" s="242"/>
      <c r="L889" s="249"/>
      <c r="M889" s="236"/>
      <c r="N889" s="22" t="s">
        <v>389</v>
      </c>
      <c r="O889" s="23"/>
      <c r="P889" s="23"/>
      <c r="Q889" s="23">
        <v>90.72</v>
      </c>
      <c r="R889" s="236"/>
      <c r="S889" s="236"/>
      <c r="T889" s="236"/>
      <c r="U889" s="242"/>
    </row>
    <row r="890" spans="1:21" ht="13">
      <c r="A890" s="249"/>
      <c r="B890" s="236"/>
      <c r="C890" s="22" t="s">
        <v>390</v>
      </c>
      <c r="D890" s="23"/>
      <c r="E890" s="23"/>
      <c r="F890" s="23">
        <v>320</v>
      </c>
      <c r="G890" s="236"/>
      <c r="H890" s="236"/>
      <c r="I890" s="236"/>
      <c r="J890" s="242"/>
      <c r="L890" s="249"/>
      <c r="M890" s="236"/>
      <c r="N890" s="22" t="s">
        <v>390</v>
      </c>
      <c r="O890" s="23"/>
      <c r="P890" s="23"/>
      <c r="Q890" s="23">
        <v>320</v>
      </c>
      <c r="R890" s="236"/>
      <c r="S890" s="236"/>
      <c r="T890" s="236"/>
      <c r="U890" s="242"/>
    </row>
    <row r="891" spans="1:21" ht="13">
      <c r="A891" s="249"/>
      <c r="B891" s="236"/>
      <c r="C891" s="22" t="s">
        <v>391</v>
      </c>
      <c r="D891" s="23"/>
      <c r="E891" s="23"/>
      <c r="F891" s="23">
        <v>205.43</v>
      </c>
      <c r="G891" s="236"/>
      <c r="H891" s="236"/>
      <c r="I891" s="236"/>
      <c r="J891" s="242"/>
      <c r="L891" s="249"/>
      <c r="M891" s="236"/>
      <c r="N891" s="22" t="s">
        <v>391</v>
      </c>
      <c r="O891" s="23"/>
      <c r="P891" s="23"/>
      <c r="Q891" s="23">
        <v>205.43</v>
      </c>
      <c r="R891" s="236"/>
      <c r="S891" s="236"/>
      <c r="T891" s="236"/>
      <c r="U891" s="242"/>
    </row>
    <row r="892" spans="1:21" ht="13">
      <c r="A892" s="249"/>
      <c r="B892" s="236"/>
      <c r="C892" s="22" t="s">
        <v>392</v>
      </c>
      <c r="D892" s="23"/>
      <c r="E892" s="23"/>
      <c r="F892" s="23">
        <v>1290</v>
      </c>
      <c r="G892" s="236"/>
      <c r="H892" s="236"/>
      <c r="I892" s="236"/>
      <c r="J892" s="242"/>
      <c r="L892" s="249"/>
      <c r="M892" s="236"/>
      <c r="N892" s="22" t="s">
        <v>392</v>
      </c>
      <c r="O892" s="23"/>
      <c r="P892" s="23"/>
      <c r="Q892" s="23">
        <v>1290</v>
      </c>
      <c r="R892" s="236"/>
      <c r="S892" s="236"/>
      <c r="T892" s="236"/>
      <c r="U892" s="242"/>
    </row>
    <row r="893" spans="1:21" ht="13">
      <c r="A893" s="249"/>
      <c r="B893" s="236"/>
      <c r="C893" s="22" t="s">
        <v>393</v>
      </c>
      <c r="D893" s="23"/>
      <c r="E893" s="23"/>
      <c r="F893" s="23">
        <v>254</v>
      </c>
      <c r="G893" s="236"/>
      <c r="H893" s="236"/>
      <c r="I893" s="236"/>
      <c r="J893" s="242"/>
      <c r="L893" s="249"/>
      <c r="M893" s="236"/>
      <c r="N893" s="22" t="s">
        <v>393</v>
      </c>
      <c r="O893" s="23"/>
      <c r="P893" s="23"/>
      <c r="Q893" s="23">
        <v>254</v>
      </c>
      <c r="R893" s="236"/>
      <c r="S893" s="236"/>
      <c r="T893" s="236"/>
      <c r="U893" s="242"/>
    </row>
    <row r="894" spans="1:21" ht="13">
      <c r="A894" s="249"/>
      <c r="B894" s="236"/>
      <c r="C894" s="22" t="s">
        <v>394</v>
      </c>
      <c r="D894" s="23">
        <v>14</v>
      </c>
      <c r="E894" s="23">
        <v>21</v>
      </c>
      <c r="F894" s="23">
        <f t="shared" ref="F894:F895" si="158">D894*E894</f>
        <v>294</v>
      </c>
      <c r="G894" s="236"/>
      <c r="H894" s="236"/>
      <c r="I894" s="236"/>
      <c r="J894" s="242"/>
      <c r="L894" s="249"/>
      <c r="M894" s="236"/>
      <c r="N894" s="22" t="s">
        <v>394</v>
      </c>
      <c r="O894" s="18"/>
      <c r="P894" s="18"/>
      <c r="Q894" s="18"/>
      <c r="R894" s="236"/>
      <c r="S894" s="236"/>
      <c r="T894" s="236"/>
      <c r="U894" s="242"/>
    </row>
    <row r="895" spans="1:21" ht="13">
      <c r="A895" s="249"/>
      <c r="B895" s="236"/>
      <c r="C895" s="22" t="s">
        <v>102</v>
      </c>
      <c r="D895" s="23">
        <v>16</v>
      </c>
      <c r="E895" s="23">
        <v>19</v>
      </c>
      <c r="F895" s="23">
        <f t="shared" si="158"/>
        <v>304</v>
      </c>
      <c r="G895" s="236"/>
      <c r="H895" s="236"/>
      <c r="I895" s="236"/>
      <c r="J895" s="242"/>
      <c r="L895" s="249"/>
      <c r="M895" s="236"/>
      <c r="N895" s="22" t="s">
        <v>102</v>
      </c>
      <c r="O895" s="18"/>
      <c r="P895" s="18"/>
      <c r="Q895" s="18"/>
      <c r="R895" s="236"/>
      <c r="S895" s="236"/>
      <c r="T895" s="236"/>
      <c r="U895" s="242"/>
    </row>
    <row r="896" spans="1:21" ht="13">
      <c r="A896" s="249"/>
      <c r="B896" s="236"/>
      <c r="C896" s="22" t="s">
        <v>395</v>
      </c>
      <c r="D896" s="23"/>
      <c r="E896" s="23"/>
      <c r="F896" s="23">
        <v>853</v>
      </c>
      <c r="G896" s="236"/>
      <c r="H896" s="236"/>
      <c r="I896" s="236"/>
      <c r="J896" s="242"/>
      <c r="L896" s="249"/>
      <c r="M896" s="236"/>
      <c r="N896" s="22" t="s">
        <v>395</v>
      </c>
      <c r="O896" s="23"/>
      <c r="P896" s="23"/>
      <c r="Q896" s="23">
        <v>853</v>
      </c>
      <c r="R896" s="236"/>
      <c r="S896" s="236"/>
      <c r="T896" s="236"/>
      <c r="U896" s="242"/>
    </row>
    <row r="897" spans="1:21" ht="13">
      <c r="A897" s="249"/>
      <c r="B897" s="248"/>
      <c r="C897" s="25"/>
      <c r="D897" s="26"/>
      <c r="E897" s="26"/>
      <c r="F897" s="26"/>
      <c r="G897" s="238"/>
      <c r="H897" s="238"/>
      <c r="I897" s="238"/>
      <c r="J897" s="243"/>
      <c r="L897" s="249"/>
      <c r="M897" s="248"/>
      <c r="N897" s="25" t="s">
        <v>615</v>
      </c>
      <c r="O897" s="26"/>
      <c r="P897" s="26"/>
      <c r="Q897" s="26"/>
      <c r="R897" s="238"/>
      <c r="S897" s="238"/>
      <c r="T897" s="238"/>
      <c r="U897" s="243"/>
    </row>
    <row r="898" spans="1:21" ht="13">
      <c r="A898" s="249"/>
      <c r="B898" s="247" t="s">
        <v>396</v>
      </c>
      <c r="C898" s="15" t="s">
        <v>397</v>
      </c>
      <c r="D898" s="17"/>
      <c r="E898" s="16"/>
      <c r="F898" s="17">
        <v>150</v>
      </c>
      <c r="G898" s="240">
        <f>SUM(F898:F899)</f>
        <v>220</v>
      </c>
      <c r="H898" s="237">
        <v>1375</v>
      </c>
      <c r="I898" s="237">
        <f>H898-G898</f>
        <v>1155</v>
      </c>
      <c r="J898" s="241">
        <f>I898/H898</f>
        <v>0.84</v>
      </c>
      <c r="L898" s="249"/>
      <c r="M898" s="247" t="s">
        <v>396</v>
      </c>
      <c r="N898" s="15" t="s">
        <v>397</v>
      </c>
      <c r="O898" s="17"/>
      <c r="P898" s="16"/>
      <c r="Q898" s="17">
        <v>150</v>
      </c>
      <c r="R898" s="240">
        <f>SUM(Q898:Q899)</f>
        <v>150</v>
      </c>
      <c r="S898" s="237">
        <v>1375</v>
      </c>
      <c r="T898" s="237">
        <f>S898-R898</f>
        <v>1225</v>
      </c>
      <c r="U898" s="241">
        <f>T898/S898</f>
        <v>0.89090909090909087</v>
      </c>
    </row>
    <row r="899" spans="1:21" ht="13">
      <c r="A899" s="249"/>
      <c r="B899" s="248"/>
      <c r="C899" s="20" t="s">
        <v>398</v>
      </c>
      <c r="D899" s="21">
        <v>5</v>
      </c>
      <c r="E899" s="21">
        <v>14</v>
      </c>
      <c r="F899" s="26">
        <f>D899*E899</f>
        <v>70</v>
      </c>
      <c r="G899" s="238"/>
      <c r="H899" s="238"/>
      <c r="I899" s="238"/>
      <c r="J899" s="243"/>
      <c r="L899" s="249"/>
      <c r="M899" s="248"/>
      <c r="N899" s="20" t="s">
        <v>398</v>
      </c>
      <c r="O899" s="68"/>
      <c r="P899" s="68"/>
      <c r="Q899" s="68"/>
      <c r="R899" s="238"/>
      <c r="S899" s="238"/>
      <c r="T899" s="238"/>
      <c r="U899" s="243"/>
    </row>
    <row r="900" spans="1:21" ht="13">
      <c r="A900" s="249"/>
      <c r="B900" s="247" t="s">
        <v>399</v>
      </c>
      <c r="C900" s="15" t="s">
        <v>53</v>
      </c>
      <c r="D900" s="17"/>
      <c r="E900" s="16"/>
      <c r="F900" s="17">
        <v>50</v>
      </c>
      <c r="G900" s="240">
        <f>SUM(F900:F901)</f>
        <v>84.14</v>
      </c>
      <c r="H900" s="237">
        <v>1160</v>
      </c>
      <c r="I900" s="237">
        <f>H900-G900</f>
        <v>1075.8599999999999</v>
      </c>
      <c r="J900" s="241">
        <f>I900/H900</f>
        <v>0.92746551724137927</v>
      </c>
      <c r="L900" s="249"/>
      <c r="M900" s="247" t="s">
        <v>399</v>
      </c>
      <c r="N900" s="15" t="s">
        <v>53</v>
      </c>
      <c r="O900" s="17"/>
      <c r="P900" s="16"/>
      <c r="Q900" s="17">
        <v>50</v>
      </c>
      <c r="R900" s="240">
        <f>SUM(Q900:Q901)</f>
        <v>84.14</v>
      </c>
      <c r="S900" s="237">
        <v>1160</v>
      </c>
      <c r="T900" s="237">
        <f>S900-R900</f>
        <v>1075.8599999999999</v>
      </c>
      <c r="U900" s="241">
        <f>T900/S900</f>
        <v>0.92746551724137927</v>
      </c>
    </row>
    <row r="901" spans="1:21" ht="13">
      <c r="A901" s="249"/>
      <c r="B901" s="248"/>
      <c r="C901" s="20" t="s">
        <v>33</v>
      </c>
      <c r="D901" s="21"/>
      <c r="E901" s="21"/>
      <c r="F901" s="26">
        <v>34.14</v>
      </c>
      <c r="G901" s="238"/>
      <c r="H901" s="238"/>
      <c r="I901" s="238"/>
      <c r="J901" s="243"/>
      <c r="L901" s="249"/>
      <c r="M901" s="248"/>
      <c r="N901" s="20" t="s">
        <v>33</v>
      </c>
      <c r="O901" s="21"/>
      <c r="P901" s="21"/>
      <c r="Q901" s="26">
        <v>34.14</v>
      </c>
      <c r="R901" s="238"/>
      <c r="S901" s="238"/>
      <c r="T901" s="238"/>
      <c r="U901" s="243"/>
    </row>
    <row r="902" spans="1:21" ht="13">
      <c r="A902" s="249"/>
      <c r="B902" s="247" t="s">
        <v>400</v>
      </c>
      <c r="C902" s="15" t="s">
        <v>209</v>
      </c>
      <c r="D902" s="23">
        <v>7</v>
      </c>
      <c r="E902" s="23">
        <v>18</v>
      </c>
      <c r="F902" s="23">
        <f>D902*E902</f>
        <v>126</v>
      </c>
      <c r="G902" s="240">
        <f>SUM(F902:F903)</f>
        <v>184.69</v>
      </c>
      <c r="H902" s="237">
        <v>2187.62</v>
      </c>
      <c r="I902" s="237">
        <f>H902-G902</f>
        <v>2002.9299999999998</v>
      </c>
      <c r="J902" s="241">
        <f>I902/H902</f>
        <v>0.91557491703312277</v>
      </c>
      <c r="L902" s="249"/>
      <c r="M902" s="247" t="s">
        <v>400</v>
      </c>
      <c r="N902" s="15" t="s">
        <v>209</v>
      </c>
      <c r="O902" s="18"/>
      <c r="P902" s="18"/>
      <c r="Q902" s="18"/>
      <c r="R902" s="240">
        <f>SUM(Q902:Q903)</f>
        <v>58.69</v>
      </c>
      <c r="S902" s="237">
        <v>2187.62</v>
      </c>
      <c r="T902" s="237">
        <f>S902-R902</f>
        <v>2128.9299999999998</v>
      </c>
      <c r="U902" s="241">
        <f>T902/S902</f>
        <v>0.97317175743502071</v>
      </c>
    </row>
    <row r="903" spans="1:21" ht="13">
      <c r="A903" s="249"/>
      <c r="B903" s="248"/>
      <c r="C903" s="20" t="s">
        <v>33</v>
      </c>
      <c r="D903" s="21"/>
      <c r="E903" s="21"/>
      <c r="F903" s="26">
        <v>58.69</v>
      </c>
      <c r="G903" s="238"/>
      <c r="H903" s="238"/>
      <c r="I903" s="238"/>
      <c r="J903" s="243"/>
      <c r="L903" s="249"/>
      <c r="M903" s="248"/>
      <c r="N903" s="20" t="s">
        <v>33</v>
      </c>
      <c r="O903" s="21"/>
      <c r="P903" s="21"/>
      <c r="Q903" s="26">
        <v>58.69</v>
      </c>
      <c r="R903" s="238"/>
      <c r="S903" s="238"/>
      <c r="T903" s="238"/>
      <c r="U903" s="243"/>
    </row>
    <row r="904" spans="1:21" ht="13">
      <c r="A904" s="249"/>
      <c r="B904" s="247" t="s">
        <v>401</v>
      </c>
      <c r="C904" s="15" t="s">
        <v>70</v>
      </c>
      <c r="D904" s="16">
        <v>6</v>
      </c>
      <c r="E904" s="16">
        <v>15</v>
      </c>
      <c r="F904" s="17">
        <f t="shared" ref="F904:F905" si="159">D904*E904</f>
        <v>90</v>
      </c>
      <c r="G904" s="240">
        <f>SUM(F904:F906)</f>
        <v>270</v>
      </c>
      <c r="H904" s="237">
        <v>954</v>
      </c>
      <c r="I904" s="237">
        <f>H904-G904</f>
        <v>684</v>
      </c>
      <c r="J904" s="241">
        <f>I904/H904</f>
        <v>0.71698113207547165</v>
      </c>
      <c r="L904" s="249"/>
      <c r="M904" s="247" t="s">
        <v>401</v>
      </c>
      <c r="N904" s="15" t="s">
        <v>70</v>
      </c>
      <c r="O904" s="16">
        <v>6</v>
      </c>
      <c r="P904" s="16">
        <v>15</v>
      </c>
      <c r="Q904" s="17">
        <f t="shared" ref="Q904:Q905" si="160">O904*P904</f>
        <v>90</v>
      </c>
      <c r="R904" s="240">
        <f>SUM(Q904:Q906)</f>
        <v>270</v>
      </c>
      <c r="S904" s="237">
        <v>954</v>
      </c>
      <c r="T904" s="237">
        <f>S904-R904</f>
        <v>684</v>
      </c>
      <c r="U904" s="241">
        <f>T904/S904</f>
        <v>0.71698113207547165</v>
      </c>
    </row>
    <row r="905" spans="1:21" ht="13">
      <c r="A905" s="249"/>
      <c r="B905" s="236"/>
      <c r="C905" s="19" t="s">
        <v>147</v>
      </c>
      <c r="D905" s="17">
        <v>12</v>
      </c>
      <c r="E905" s="17">
        <v>15</v>
      </c>
      <c r="F905" s="17">
        <f t="shared" si="159"/>
        <v>180</v>
      </c>
      <c r="G905" s="236"/>
      <c r="H905" s="236"/>
      <c r="I905" s="236"/>
      <c r="J905" s="242"/>
      <c r="L905" s="249"/>
      <c r="M905" s="236"/>
      <c r="N905" s="19" t="s">
        <v>147</v>
      </c>
      <c r="O905" s="17">
        <v>12</v>
      </c>
      <c r="P905" s="17">
        <v>15</v>
      </c>
      <c r="Q905" s="17">
        <f t="shared" si="160"/>
        <v>180</v>
      </c>
      <c r="R905" s="236"/>
      <c r="S905" s="236"/>
      <c r="T905" s="236"/>
      <c r="U905" s="242"/>
    </row>
    <row r="906" spans="1:21" ht="13">
      <c r="A906" s="249"/>
      <c r="B906" s="248"/>
      <c r="C906" s="20"/>
      <c r="D906" s="21"/>
      <c r="E906" s="21"/>
      <c r="F906" s="21"/>
      <c r="G906" s="238"/>
      <c r="H906" s="238"/>
      <c r="I906" s="238"/>
      <c r="J906" s="243"/>
      <c r="L906" s="249"/>
      <c r="M906" s="248"/>
      <c r="N906" s="20"/>
      <c r="O906" s="21"/>
      <c r="P906" s="21"/>
      <c r="Q906" s="21"/>
      <c r="R906" s="238"/>
      <c r="S906" s="238"/>
      <c r="T906" s="238"/>
      <c r="U906" s="243"/>
    </row>
    <row r="907" spans="1:21" ht="13">
      <c r="A907" s="249"/>
      <c r="B907" s="247" t="s">
        <v>402</v>
      </c>
      <c r="C907" s="15" t="s">
        <v>77</v>
      </c>
      <c r="D907" s="16">
        <v>1.5</v>
      </c>
      <c r="E907" s="16">
        <v>13</v>
      </c>
      <c r="F907" s="17">
        <f>D907*E907</f>
        <v>19.5</v>
      </c>
      <c r="G907" s="240">
        <f>SUM(F907:F909)</f>
        <v>64.849999999999994</v>
      </c>
      <c r="H907" s="237">
        <v>812.25</v>
      </c>
      <c r="I907" s="237">
        <f>H907-G907</f>
        <v>747.4</v>
      </c>
      <c r="J907" s="241">
        <f>I907/H907</f>
        <v>0.92016004924592176</v>
      </c>
      <c r="L907" s="249"/>
      <c r="M907" s="247" t="s">
        <v>402</v>
      </c>
      <c r="N907" s="15" t="s">
        <v>77</v>
      </c>
      <c r="O907" s="16">
        <v>1.5</v>
      </c>
      <c r="P907" s="16">
        <v>13</v>
      </c>
      <c r="Q907" s="17">
        <f>O907*P907</f>
        <v>19.5</v>
      </c>
      <c r="R907" s="240">
        <f>SUM(Q907:Q909)</f>
        <v>64.849999999999994</v>
      </c>
      <c r="S907" s="237">
        <v>812.25</v>
      </c>
      <c r="T907" s="237">
        <f>S907-R907</f>
        <v>747.4</v>
      </c>
      <c r="U907" s="241">
        <f>T907/S907</f>
        <v>0.92016004924592176</v>
      </c>
    </row>
    <row r="908" spans="1:21" ht="13">
      <c r="A908" s="249"/>
      <c r="B908" s="236"/>
      <c r="C908" s="19" t="s">
        <v>33</v>
      </c>
      <c r="D908" s="17"/>
      <c r="E908" s="17"/>
      <c r="F908" s="17">
        <v>45.35</v>
      </c>
      <c r="G908" s="236"/>
      <c r="H908" s="236"/>
      <c r="I908" s="236"/>
      <c r="J908" s="242"/>
      <c r="L908" s="249"/>
      <c r="M908" s="236"/>
      <c r="N908" s="19" t="s">
        <v>33</v>
      </c>
      <c r="O908" s="17"/>
      <c r="P908" s="17"/>
      <c r="Q908" s="17">
        <v>45.35</v>
      </c>
      <c r="R908" s="236"/>
      <c r="S908" s="236"/>
      <c r="T908" s="236"/>
      <c r="U908" s="242"/>
    </row>
    <row r="909" spans="1:21" ht="13">
      <c r="A909" s="249"/>
      <c r="B909" s="248"/>
      <c r="C909" s="20"/>
      <c r="D909" s="21"/>
      <c r="E909" s="21"/>
      <c r="F909" s="21"/>
      <c r="G909" s="238"/>
      <c r="H909" s="238"/>
      <c r="I909" s="238"/>
      <c r="J909" s="243"/>
      <c r="L909" s="249"/>
      <c r="M909" s="248"/>
      <c r="N909" s="20"/>
      <c r="O909" s="21"/>
      <c r="P909" s="21"/>
      <c r="Q909" s="21"/>
      <c r="R909" s="238"/>
      <c r="S909" s="238"/>
      <c r="T909" s="238"/>
      <c r="U909" s="243"/>
    </row>
    <row r="910" spans="1:21" ht="30">
      <c r="A910" s="278" t="s">
        <v>403</v>
      </c>
      <c r="B910" s="252"/>
      <c r="C910" s="253"/>
      <c r="D910" s="56">
        <f t="shared" ref="D910:G910" si="161">AVERAGE(D837:D909)</f>
        <v>26.196097560975609</v>
      </c>
      <c r="E910" s="56">
        <f t="shared" si="161"/>
        <v>15.707317073170731</v>
      </c>
      <c r="F910" s="56">
        <f t="shared" si="161"/>
        <v>424.86294117647054</v>
      </c>
      <c r="G910" s="56">
        <f t="shared" si="161"/>
        <v>2626.4254545454542</v>
      </c>
      <c r="H910" s="56">
        <f t="shared" ref="H910:I910" si="162">AVERAGE(H822:H909)</f>
        <v>6371.7407692307688</v>
      </c>
      <c r="I910" s="56">
        <f t="shared" si="162"/>
        <v>3985.0761538461543</v>
      </c>
      <c r="J910" s="57">
        <f>AVERAGE($J$12:$J$76)</f>
        <v>0.79942354689485917</v>
      </c>
      <c r="L910" s="278" t="s">
        <v>403</v>
      </c>
      <c r="M910" s="252"/>
      <c r="N910" s="253"/>
      <c r="O910" s="56">
        <f t="shared" ref="O910:R910" si="163">AVERAGE(O837:O909)</f>
        <v>28.501249999999999</v>
      </c>
      <c r="P910" s="56">
        <f t="shared" si="163"/>
        <v>15.3125</v>
      </c>
      <c r="Q910" s="56">
        <f t="shared" si="163"/>
        <v>440.72338983050844</v>
      </c>
      <c r="R910" s="56">
        <f t="shared" si="163"/>
        <v>2363.8799999999997</v>
      </c>
      <c r="S910" s="56">
        <f t="shared" ref="S910:T910" si="164">AVERAGE(S822:S909)</f>
        <v>6371.7407692307688</v>
      </c>
      <c r="T910" s="56">
        <f t="shared" si="164"/>
        <v>4245.999230769231</v>
      </c>
      <c r="U910" s="57">
        <f>AVERAGE($J$12:$J$76)</f>
        <v>0.79942354689485917</v>
      </c>
    </row>
    <row r="911" spans="1:21" ht="30">
      <c r="A911" s="279" t="s">
        <v>404</v>
      </c>
      <c r="B911" s="255"/>
      <c r="C911" s="256"/>
      <c r="D911" s="56">
        <f t="shared" ref="D911:G911" si="165">SUM(D837:D909)</f>
        <v>1074.04</v>
      </c>
      <c r="E911" s="56">
        <f t="shared" si="165"/>
        <v>644</v>
      </c>
      <c r="F911" s="56">
        <f t="shared" si="165"/>
        <v>28890.679999999997</v>
      </c>
      <c r="G911" s="56">
        <f t="shared" si="165"/>
        <v>28890.679999999997</v>
      </c>
      <c r="H911" s="56">
        <f t="shared" ref="H911:I911" si="166">SUM(H822:H909)</f>
        <v>82832.62999999999</v>
      </c>
      <c r="I911" s="56">
        <f t="shared" si="166"/>
        <v>51805.990000000005</v>
      </c>
      <c r="J911" s="58">
        <f t="shared" ref="J911:J912" si="167">I911/H911</f>
        <v>0.62542973704927651</v>
      </c>
      <c r="L911" s="279" t="s">
        <v>404</v>
      </c>
      <c r="M911" s="255"/>
      <c r="N911" s="256"/>
      <c r="O911" s="56">
        <f t="shared" ref="O911:R911" si="168">SUM(O837:O909)</f>
        <v>912.04</v>
      </c>
      <c r="P911" s="56">
        <f t="shared" si="168"/>
        <v>490</v>
      </c>
      <c r="Q911" s="56">
        <f t="shared" si="168"/>
        <v>26002.679999999997</v>
      </c>
      <c r="R911" s="56">
        <f t="shared" si="168"/>
        <v>26002.679999999997</v>
      </c>
      <c r="S911" s="56">
        <f t="shared" ref="S911:T911" si="169">SUM(S822:S909)</f>
        <v>82832.62999999999</v>
      </c>
      <c r="T911" s="56">
        <f t="shared" si="169"/>
        <v>55197.99</v>
      </c>
      <c r="U911" s="58">
        <f t="shared" ref="U911:U912" si="170">T911/S911</f>
        <v>0.66637978294302624</v>
      </c>
    </row>
    <row r="912" spans="1:21" ht="13">
      <c r="A912" s="290" t="s">
        <v>7</v>
      </c>
      <c r="B912" s="247" t="s">
        <v>405</v>
      </c>
      <c r="C912" s="15" t="s">
        <v>23</v>
      </c>
      <c r="D912" s="16">
        <v>28</v>
      </c>
      <c r="E912" s="16">
        <v>15</v>
      </c>
      <c r="F912" s="16">
        <f t="shared" ref="F912:F914" si="171">D912*E912</f>
        <v>420</v>
      </c>
      <c r="G912" s="240">
        <f>SUM(F912:F925)</f>
        <v>2794.4900000000002</v>
      </c>
      <c r="H912" s="237">
        <v>8016</v>
      </c>
      <c r="I912" s="237">
        <f>H912-G912</f>
        <v>5221.51</v>
      </c>
      <c r="J912" s="241">
        <f t="shared" si="167"/>
        <v>0.65138597804391218</v>
      </c>
      <c r="L912" s="277" t="s">
        <v>7</v>
      </c>
      <c r="M912" s="247" t="s">
        <v>405</v>
      </c>
      <c r="N912" s="15" t="s">
        <v>23</v>
      </c>
      <c r="O912" s="18"/>
      <c r="P912" s="18"/>
      <c r="Q912" s="18"/>
      <c r="R912" s="240">
        <f>SUM(Q912:Q925)</f>
        <v>2374.4900000000002</v>
      </c>
      <c r="S912" s="237">
        <v>8016</v>
      </c>
      <c r="T912" s="237">
        <f>S912-R912</f>
        <v>5641.51</v>
      </c>
      <c r="U912" s="241">
        <f t="shared" si="170"/>
        <v>0.7037811876247505</v>
      </c>
    </row>
    <row r="913" spans="1:21" ht="13">
      <c r="A913" s="270"/>
      <c r="B913" s="236"/>
      <c r="C913" s="24" t="s">
        <v>51</v>
      </c>
      <c r="D913" s="17">
        <v>12</v>
      </c>
      <c r="E913" s="17">
        <v>15</v>
      </c>
      <c r="F913" s="17">
        <f t="shared" si="171"/>
        <v>180</v>
      </c>
      <c r="G913" s="236"/>
      <c r="H913" s="236"/>
      <c r="I913" s="236"/>
      <c r="J913" s="242"/>
      <c r="L913" s="249"/>
      <c r="M913" s="236"/>
      <c r="N913" s="24" t="s">
        <v>51</v>
      </c>
      <c r="O913" s="17">
        <v>12</v>
      </c>
      <c r="P913" s="17">
        <v>15</v>
      </c>
      <c r="Q913" s="17">
        <f t="shared" ref="Q913:Q914" si="172">O913*P913</f>
        <v>180</v>
      </c>
      <c r="R913" s="236"/>
      <c r="S913" s="236"/>
      <c r="T913" s="236"/>
      <c r="U913" s="242"/>
    </row>
    <row r="914" spans="1:21" ht="13">
      <c r="A914" s="270"/>
      <c r="B914" s="236"/>
      <c r="C914" s="24" t="s">
        <v>406</v>
      </c>
      <c r="D914" s="17">
        <v>7</v>
      </c>
      <c r="E914" s="17">
        <v>15</v>
      </c>
      <c r="F914" s="17">
        <f t="shared" si="171"/>
        <v>105</v>
      </c>
      <c r="G914" s="236"/>
      <c r="H914" s="236"/>
      <c r="I914" s="236"/>
      <c r="J914" s="242"/>
      <c r="L914" s="249"/>
      <c r="M914" s="236"/>
      <c r="N914" s="24" t="s">
        <v>406</v>
      </c>
      <c r="O914" s="17">
        <v>7</v>
      </c>
      <c r="P914" s="17">
        <v>15</v>
      </c>
      <c r="Q914" s="17">
        <f t="shared" si="172"/>
        <v>105</v>
      </c>
      <c r="R914" s="236"/>
      <c r="S914" s="236"/>
      <c r="T914" s="236"/>
      <c r="U914" s="242"/>
    </row>
    <row r="915" spans="1:21" ht="13">
      <c r="A915" s="270"/>
      <c r="B915" s="236"/>
      <c r="C915" s="24" t="s">
        <v>407</v>
      </c>
      <c r="D915" s="17"/>
      <c r="E915" s="17"/>
      <c r="F915" s="17">
        <v>903.71</v>
      </c>
      <c r="G915" s="236"/>
      <c r="H915" s="236"/>
      <c r="I915" s="236"/>
      <c r="J915" s="242"/>
      <c r="L915" s="249"/>
      <c r="M915" s="236"/>
      <c r="N915" s="24" t="s">
        <v>407</v>
      </c>
      <c r="O915" s="17"/>
      <c r="P915" s="17"/>
      <c r="Q915" s="17">
        <v>903.71</v>
      </c>
      <c r="R915" s="236"/>
      <c r="S915" s="236"/>
      <c r="T915" s="236"/>
      <c r="U915" s="242"/>
    </row>
    <row r="916" spans="1:21" ht="13">
      <c r="A916" s="270"/>
      <c r="B916" s="236"/>
      <c r="C916" s="19" t="s">
        <v>408</v>
      </c>
      <c r="D916" s="17"/>
      <c r="E916" s="17"/>
      <c r="F916" s="17">
        <v>122.63</v>
      </c>
      <c r="G916" s="236"/>
      <c r="H916" s="236"/>
      <c r="I916" s="236"/>
      <c r="J916" s="242"/>
      <c r="L916" s="249"/>
      <c r="M916" s="236"/>
      <c r="N916" s="19" t="s">
        <v>408</v>
      </c>
      <c r="O916" s="17"/>
      <c r="P916" s="17"/>
      <c r="Q916" s="17">
        <v>122.63</v>
      </c>
      <c r="R916" s="236"/>
      <c r="S916" s="236"/>
      <c r="T916" s="236"/>
      <c r="U916" s="242"/>
    </row>
    <row r="917" spans="1:21" ht="13">
      <c r="A917" s="270"/>
      <c r="B917" s="236"/>
      <c r="C917" s="19" t="s">
        <v>409</v>
      </c>
      <c r="D917" s="17"/>
      <c r="E917" s="17"/>
      <c r="F917" s="17">
        <v>121</v>
      </c>
      <c r="G917" s="236"/>
      <c r="H917" s="236"/>
      <c r="I917" s="236"/>
      <c r="J917" s="242"/>
      <c r="L917" s="249"/>
      <c r="M917" s="236"/>
      <c r="N917" s="19" t="s">
        <v>409</v>
      </c>
      <c r="O917" s="17"/>
      <c r="P917" s="17"/>
      <c r="Q917" s="17">
        <v>121</v>
      </c>
      <c r="R917" s="236"/>
      <c r="S917" s="236"/>
      <c r="T917" s="236"/>
      <c r="U917" s="242"/>
    </row>
    <row r="918" spans="1:21" ht="13">
      <c r="A918" s="270"/>
      <c r="B918" s="236"/>
      <c r="C918" s="19" t="s">
        <v>410</v>
      </c>
      <c r="D918" s="17"/>
      <c r="E918" s="17"/>
      <c r="F918" s="17">
        <v>48.53</v>
      </c>
      <c r="G918" s="236"/>
      <c r="H918" s="236"/>
      <c r="I918" s="236"/>
      <c r="J918" s="242"/>
      <c r="L918" s="249"/>
      <c r="M918" s="236"/>
      <c r="N918" s="19" t="s">
        <v>410</v>
      </c>
      <c r="O918" s="17"/>
      <c r="P918" s="17"/>
      <c r="Q918" s="17">
        <v>48.53</v>
      </c>
      <c r="R918" s="236"/>
      <c r="S918" s="236"/>
      <c r="T918" s="236"/>
      <c r="U918" s="242"/>
    </row>
    <row r="919" spans="1:21" ht="13">
      <c r="A919" s="270"/>
      <c r="B919" s="236"/>
      <c r="C919" s="19" t="s">
        <v>411</v>
      </c>
      <c r="D919" s="17"/>
      <c r="E919" s="17"/>
      <c r="F919" s="17">
        <v>72</v>
      </c>
      <c r="G919" s="236"/>
      <c r="H919" s="236"/>
      <c r="I919" s="236"/>
      <c r="J919" s="242"/>
      <c r="L919" s="249"/>
      <c r="M919" s="236"/>
      <c r="N919" s="19" t="s">
        <v>411</v>
      </c>
      <c r="O919" s="17"/>
      <c r="P919" s="17"/>
      <c r="Q919" s="17">
        <v>72</v>
      </c>
      <c r="R919" s="236"/>
      <c r="S919" s="236"/>
      <c r="T919" s="236"/>
      <c r="U919" s="242"/>
    </row>
    <row r="920" spans="1:21" ht="13">
      <c r="A920" s="270"/>
      <c r="B920" s="236"/>
      <c r="C920" s="19" t="s">
        <v>412</v>
      </c>
      <c r="D920" s="17"/>
      <c r="E920" s="17"/>
      <c r="F920" s="17">
        <v>128.74</v>
      </c>
      <c r="G920" s="236"/>
      <c r="H920" s="236"/>
      <c r="I920" s="236"/>
      <c r="J920" s="242"/>
      <c r="L920" s="249"/>
      <c r="M920" s="236"/>
      <c r="N920" s="19" t="s">
        <v>412</v>
      </c>
      <c r="O920" s="17"/>
      <c r="P920" s="17"/>
      <c r="Q920" s="17">
        <v>128.74</v>
      </c>
      <c r="R920" s="236"/>
      <c r="S920" s="236"/>
      <c r="T920" s="236"/>
      <c r="U920" s="242"/>
    </row>
    <row r="921" spans="1:21" ht="13">
      <c r="A921" s="270"/>
      <c r="B921" s="236"/>
      <c r="C921" s="19" t="s">
        <v>413</v>
      </c>
      <c r="D921" s="17"/>
      <c r="E921" s="17"/>
      <c r="F921" s="17">
        <v>46</v>
      </c>
      <c r="G921" s="236"/>
      <c r="H921" s="236"/>
      <c r="I921" s="236"/>
      <c r="J921" s="242"/>
      <c r="L921" s="249"/>
      <c r="M921" s="236"/>
      <c r="N921" s="19" t="s">
        <v>413</v>
      </c>
      <c r="O921" s="17"/>
      <c r="P921" s="17"/>
      <c r="Q921" s="17">
        <v>46</v>
      </c>
      <c r="R921" s="236"/>
      <c r="S921" s="236"/>
      <c r="T921" s="236"/>
      <c r="U921" s="242"/>
    </row>
    <row r="922" spans="1:21" ht="13">
      <c r="A922" s="270"/>
      <c r="B922" s="236"/>
      <c r="C922" s="19" t="s">
        <v>47</v>
      </c>
      <c r="D922" s="17"/>
      <c r="E922" s="17"/>
      <c r="F922" s="17">
        <v>265.38</v>
      </c>
      <c r="G922" s="236"/>
      <c r="H922" s="236"/>
      <c r="I922" s="236"/>
      <c r="J922" s="242"/>
      <c r="L922" s="249"/>
      <c r="M922" s="236"/>
      <c r="N922" s="19" t="s">
        <v>47</v>
      </c>
      <c r="O922" s="17"/>
      <c r="P922" s="17"/>
      <c r="Q922" s="17">
        <v>265.38</v>
      </c>
      <c r="R922" s="236"/>
      <c r="S922" s="236"/>
      <c r="T922" s="236"/>
      <c r="U922" s="242"/>
    </row>
    <row r="923" spans="1:21" ht="13">
      <c r="A923" s="270"/>
      <c r="B923" s="236"/>
      <c r="C923" s="19" t="s">
        <v>414</v>
      </c>
      <c r="D923" s="17"/>
      <c r="E923" s="17"/>
      <c r="F923" s="17">
        <v>37.54</v>
      </c>
      <c r="G923" s="236"/>
      <c r="H923" s="236"/>
      <c r="I923" s="236"/>
      <c r="J923" s="242"/>
      <c r="L923" s="249"/>
      <c r="M923" s="236"/>
      <c r="N923" s="19" t="s">
        <v>414</v>
      </c>
      <c r="O923" s="17"/>
      <c r="P923" s="17"/>
      <c r="Q923" s="17">
        <v>37.54</v>
      </c>
      <c r="R923" s="236"/>
      <c r="S923" s="236"/>
      <c r="T923" s="236"/>
      <c r="U923" s="242"/>
    </row>
    <row r="924" spans="1:21" ht="13">
      <c r="A924" s="270"/>
      <c r="B924" s="236"/>
      <c r="C924" s="19" t="s">
        <v>83</v>
      </c>
      <c r="D924" s="17"/>
      <c r="E924" s="17"/>
      <c r="F924" s="17">
        <v>216.45</v>
      </c>
      <c r="G924" s="236"/>
      <c r="H924" s="236"/>
      <c r="I924" s="236"/>
      <c r="J924" s="242"/>
      <c r="L924" s="249"/>
      <c r="M924" s="236"/>
      <c r="N924" s="19" t="s">
        <v>83</v>
      </c>
      <c r="O924" s="17"/>
      <c r="P924" s="17"/>
      <c r="Q924" s="17">
        <v>216.45</v>
      </c>
      <c r="R924" s="236"/>
      <c r="S924" s="236"/>
      <c r="T924" s="236"/>
      <c r="U924" s="242"/>
    </row>
    <row r="925" spans="1:21" ht="13">
      <c r="A925" s="270"/>
      <c r="B925" s="248"/>
      <c r="C925" s="20" t="s">
        <v>240</v>
      </c>
      <c r="D925" s="21"/>
      <c r="E925" s="21"/>
      <c r="F925" s="21">
        <v>127.51</v>
      </c>
      <c r="G925" s="238"/>
      <c r="H925" s="238"/>
      <c r="I925" s="238"/>
      <c r="J925" s="243"/>
      <c r="L925" s="249"/>
      <c r="M925" s="248"/>
      <c r="N925" s="20" t="s">
        <v>240</v>
      </c>
      <c r="O925" s="21"/>
      <c r="P925" s="21"/>
      <c r="Q925" s="21">
        <v>127.51</v>
      </c>
      <c r="R925" s="238"/>
      <c r="S925" s="238"/>
      <c r="T925" s="238"/>
      <c r="U925" s="243"/>
    </row>
    <row r="926" spans="1:21" ht="13">
      <c r="A926" s="270"/>
      <c r="B926" s="247" t="s">
        <v>415</v>
      </c>
      <c r="C926" s="15" t="s">
        <v>53</v>
      </c>
      <c r="D926" s="16">
        <v>10</v>
      </c>
      <c r="E926" s="16">
        <v>15</v>
      </c>
      <c r="F926" s="17">
        <f>D926*E926</f>
        <v>150</v>
      </c>
      <c r="G926" s="240">
        <f>SUM(F926:F927)</f>
        <v>150</v>
      </c>
      <c r="H926" s="237">
        <v>650</v>
      </c>
      <c r="I926" s="237">
        <f>H926-G926</f>
        <v>500</v>
      </c>
      <c r="J926" s="241">
        <f>I926/H926</f>
        <v>0.76923076923076927</v>
      </c>
      <c r="L926" s="249"/>
      <c r="M926" s="247" t="s">
        <v>415</v>
      </c>
      <c r="N926" s="15" t="s">
        <v>53</v>
      </c>
      <c r="O926" s="16">
        <v>10</v>
      </c>
      <c r="P926" s="16">
        <v>15</v>
      </c>
      <c r="Q926" s="17">
        <f>O926*P926</f>
        <v>150</v>
      </c>
      <c r="R926" s="240">
        <f>SUM(Q926:Q927)</f>
        <v>150</v>
      </c>
      <c r="S926" s="237">
        <v>650</v>
      </c>
      <c r="T926" s="237">
        <f>S926-R926</f>
        <v>500</v>
      </c>
      <c r="U926" s="241">
        <f>T926/S926</f>
        <v>0.76923076923076927</v>
      </c>
    </row>
    <row r="927" spans="1:21" ht="13">
      <c r="A927" s="270"/>
      <c r="B927" s="248"/>
      <c r="C927" s="20"/>
      <c r="D927" s="21"/>
      <c r="E927" s="21"/>
      <c r="F927" s="21"/>
      <c r="G927" s="238"/>
      <c r="H927" s="238"/>
      <c r="I927" s="238"/>
      <c r="J927" s="243"/>
      <c r="L927" s="249"/>
      <c r="M927" s="248"/>
      <c r="N927" s="20"/>
      <c r="O927" s="21"/>
      <c r="P927" s="21"/>
      <c r="Q927" s="21"/>
      <c r="R927" s="238"/>
      <c r="S927" s="238"/>
      <c r="T927" s="238"/>
      <c r="U927" s="243"/>
    </row>
    <row r="928" spans="1:21" ht="13">
      <c r="A928" s="270"/>
      <c r="B928" s="247" t="s">
        <v>416</v>
      </c>
      <c r="C928" s="64" t="s">
        <v>209</v>
      </c>
      <c r="D928" s="50">
        <v>14</v>
      </c>
      <c r="E928" s="50">
        <v>18</v>
      </c>
      <c r="F928" s="65">
        <f t="shared" ref="F928:F937" si="173">D928*E928</f>
        <v>252</v>
      </c>
      <c r="G928" s="240">
        <f>SUM(F928:F938)</f>
        <v>2690.7000000000003</v>
      </c>
      <c r="H928" s="237">
        <v>13750</v>
      </c>
      <c r="I928" s="237">
        <f>H928-G928</f>
        <v>11059.3</v>
      </c>
      <c r="J928" s="241">
        <f>I928/H928</f>
        <v>0.80431272727272718</v>
      </c>
      <c r="L928" s="249"/>
      <c r="M928" s="247" t="s">
        <v>416</v>
      </c>
      <c r="N928" s="64" t="s">
        <v>209</v>
      </c>
      <c r="O928" s="18"/>
      <c r="P928" s="18"/>
      <c r="Q928" s="18"/>
      <c r="R928" s="240">
        <f>SUM(Q928:Q938)</f>
        <v>2060.7000000000003</v>
      </c>
      <c r="S928" s="237">
        <v>13750</v>
      </c>
      <c r="T928" s="237">
        <f>S928-R928</f>
        <v>11689.3</v>
      </c>
      <c r="U928" s="241">
        <f>T928/S928</f>
        <v>0.85013090909090905</v>
      </c>
    </row>
    <row r="929" spans="1:21" ht="13">
      <c r="A929" s="270"/>
      <c r="B929" s="236"/>
      <c r="C929" s="22" t="s">
        <v>23</v>
      </c>
      <c r="D929" s="23">
        <v>21</v>
      </c>
      <c r="E929" s="23">
        <v>18</v>
      </c>
      <c r="F929" s="23">
        <f t="shared" si="173"/>
        <v>378</v>
      </c>
      <c r="G929" s="236"/>
      <c r="H929" s="236"/>
      <c r="I929" s="236"/>
      <c r="J929" s="242"/>
      <c r="L929" s="249"/>
      <c r="M929" s="236"/>
      <c r="N929" s="22" t="s">
        <v>23</v>
      </c>
      <c r="O929" s="18"/>
      <c r="P929" s="18"/>
      <c r="Q929" s="18"/>
      <c r="R929" s="236"/>
      <c r="S929" s="236"/>
      <c r="T929" s="236"/>
      <c r="U929" s="242"/>
    </row>
    <row r="930" spans="1:21" ht="13">
      <c r="A930" s="270"/>
      <c r="B930" s="236"/>
      <c r="C930" s="22" t="s">
        <v>417</v>
      </c>
      <c r="D930" s="23">
        <v>14</v>
      </c>
      <c r="E930" s="23">
        <v>15</v>
      </c>
      <c r="F930" s="23">
        <f t="shared" si="173"/>
        <v>210</v>
      </c>
      <c r="G930" s="236"/>
      <c r="H930" s="236"/>
      <c r="I930" s="236"/>
      <c r="J930" s="242"/>
      <c r="L930" s="249"/>
      <c r="M930" s="236"/>
      <c r="N930" s="22" t="s">
        <v>417</v>
      </c>
      <c r="O930" s="23">
        <v>14</v>
      </c>
      <c r="P930" s="23">
        <v>15</v>
      </c>
      <c r="Q930" s="23">
        <f t="shared" ref="Q930:Q937" si="174">O930*P930</f>
        <v>210</v>
      </c>
      <c r="R930" s="236"/>
      <c r="S930" s="236"/>
      <c r="T930" s="236"/>
      <c r="U930" s="242"/>
    </row>
    <row r="931" spans="1:21" ht="13">
      <c r="A931" s="270"/>
      <c r="B931" s="236"/>
      <c r="C931" s="22" t="s">
        <v>372</v>
      </c>
      <c r="D931" s="23">
        <v>22</v>
      </c>
      <c r="E931" s="23">
        <v>15</v>
      </c>
      <c r="F931" s="23">
        <f t="shared" si="173"/>
        <v>330</v>
      </c>
      <c r="G931" s="236"/>
      <c r="H931" s="236"/>
      <c r="I931" s="236"/>
      <c r="J931" s="242"/>
      <c r="L931" s="249"/>
      <c r="M931" s="236"/>
      <c r="N931" s="22" t="s">
        <v>372</v>
      </c>
      <c r="O931" s="23">
        <v>22</v>
      </c>
      <c r="P931" s="23">
        <v>15</v>
      </c>
      <c r="Q931" s="23">
        <f t="shared" si="174"/>
        <v>330</v>
      </c>
      <c r="R931" s="236"/>
      <c r="S931" s="236"/>
      <c r="T931" s="236"/>
      <c r="U931" s="242"/>
    </row>
    <row r="932" spans="1:21" ht="13">
      <c r="A932" s="270"/>
      <c r="B932" s="236"/>
      <c r="C932" s="22" t="s">
        <v>418</v>
      </c>
      <c r="D932" s="23">
        <v>15.5</v>
      </c>
      <c r="E932" s="23">
        <v>15</v>
      </c>
      <c r="F932" s="23">
        <f t="shared" si="173"/>
        <v>232.5</v>
      </c>
      <c r="G932" s="236"/>
      <c r="H932" s="236"/>
      <c r="I932" s="236"/>
      <c r="J932" s="242"/>
      <c r="L932" s="249"/>
      <c r="M932" s="236"/>
      <c r="N932" s="22" t="s">
        <v>418</v>
      </c>
      <c r="O932" s="23">
        <v>15.5</v>
      </c>
      <c r="P932" s="23">
        <v>15</v>
      </c>
      <c r="Q932" s="23">
        <f t="shared" si="174"/>
        <v>232.5</v>
      </c>
      <c r="R932" s="236"/>
      <c r="S932" s="236"/>
      <c r="T932" s="236"/>
      <c r="U932" s="242"/>
    </row>
    <row r="933" spans="1:21" ht="13">
      <c r="A933" s="270"/>
      <c r="B933" s="236"/>
      <c r="C933" s="22" t="s">
        <v>231</v>
      </c>
      <c r="D933" s="23">
        <v>27.31</v>
      </c>
      <c r="E933" s="23">
        <v>15</v>
      </c>
      <c r="F933" s="23">
        <f t="shared" si="173"/>
        <v>409.65</v>
      </c>
      <c r="G933" s="236"/>
      <c r="H933" s="236"/>
      <c r="I933" s="236"/>
      <c r="J933" s="242"/>
      <c r="L933" s="249"/>
      <c r="M933" s="236"/>
      <c r="N933" s="22" t="s">
        <v>231</v>
      </c>
      <c r="O933" s="23">
        <v>27.31</v>
      </c>
      <c r="P933" s="23">
        <v>15</v>
      </c>
      <c r="Q933" s="23">
        <f t="shared" si="174"/>
        <v>409.65</v>
      </c>
      <c r="R933" s="236"/>
      <c r="S933" s="236"/>
      <c r="T933" s="236"/>
      <c r="U933" s="242"/>
    </row>
    <row r="934" spans="1:21" ht="13">
      <c r="A934" s="270"/>
      <c r="B934" s="236"/>
      <c r="C934" s="24" t="s">
        <v>70</v>
      </c>
      <c r="D934" s="23">
        <v>15</v>
      </c>
      <c r="E934" s="23">
        <v>15</v>
      </c>
      <c r="F934" s="23">
        <f t="shared" si="173"/>
        <v>225</v>
      </c>
      <c r="G934" s="236"/>
      <c r="H934" s="236"/>
      <c r="I934" s="236"/>
      <c r="J934" s="242"/>
      <c r="L934" s="249"/>
      <c r="M934" s="236"/>
      <c r="N934" s="24" t="s">
        <v>70</v>
      </c>
      <c r="O934" s="23">
        <v>15</v>
      </c>
      <c r="P934" s="23">
        <v>15</v>
      </c>
      <c r="Q934" s="23">
        <f t="shared" si="174"/>
        <v>225</v>
      </c>
      <c r="R934" s="236"/>
      <c r="S934" s="236"/>
      <c r="T934" s="236"/>
      <c r="U934" s="242"/>
    </row>
    <row r="935" spans="1:21" ht="13">
      <c r="A935" s="270"/>
      <c r="B935" s="236"/>
      <c r="C935" s="22" t="s">
        <v>298</v>
      </c>
      <c r="D935" s="23">
        <v>5</v>
      </c>
      <c r="E935" s="23">
        <v>15</v>
      </c>
      <c r="F935" s="23">
        <f t="shared" si="173"/>
        <v>75</v>
      </c>
      <c r="G935" s="236"/>
      <c r="H935" s="236"/>
      <c r="I935" s="236"/>
      <c r="J935" s="242"/>
      <c r="L935" s="249"/>
      <c r="M935" s="236"/>
      <c r="N935" s="22" t="s">
        <v>298</v>
      </c>
      <c r="O935" s="23">
        <v>5</v>
      </c>
      <c r="P935" s="23">
        <v>15</v>
      </c>
      <c r="Q935" s="23">
        <f t="shared" si="174"/>
        <v>75</v>
      </c>
      <c r="R935" s="236"/>
      <c r="S935" s="236"/>
      <c r="T935" s="236"/>
      <c r="U935" s="242"/>
    </row>
    <row r="936" spans="1:21" ht="13">
      <c r="A936" s="270"/>
      <c r="B936" s="236"/>
      <c r="C936" s="22" t="s">
        <v>419</v>
      </c>
      <c r="D936" s="23">
        <v>20</v>
      </c>
      <c r="E936" s="23">
        <v>15</v>
      </c>
      <c r="F936" s="23">
        <f t="shared" si="173"/>
        <v>300</v>
      </c>
      <c r="G936" s="236"/>
      <c r="H936" s="236"/>
      <c r="I936" s="236"/>
      <c r="J936" s="242"/>
      <c r="L936" s="249"/>
      <c r="M936" s="236"/>
      <c r="N936" s="22" t="s">
        <v>419</v>
      </c>
      <c r="O936" s="23">
        <v>20</v>
      </c>
      <c r="P936" s="23">
        <v>15</v>
      </c>
      <c r="Q936" s="23">
        <f t="shared" si="174"/>
        <v>300</v>
      </c>
      <c r="R936" s="236"/>
      <c r="S936" s="236"/>
      <c r="T936" s="236"/>
      <c r="U936" s="242"/>
    </row>
    <row r="937" spans="1:21" ht="13">
      <c r="A937" s="270"/>
      <c r="B937" s="236"/>
      <c r="C937" s="22" t="s">
        <v>32</v>
      </c>
      <c r="D937" s="23">
        <v>18.57</v>
      </c>
      <c r="E937" s="23">
        <v>15</v>
      </c>
      <c r="F937" s="23">
        <f t="shared" si="173"/>
        <v>278.55</v>
      </c>
      <c r="G937" s="236"/>
      <c r="H937" s="236"/>
      <c r="I937" s="236"/>
      <c r="J937" s="242"/>
      <c r="L937" s="249"/>
      <c r="M937" s="236"/>
      <c r="N937" s="22" t="s">
        <v>32</v>
      </c>
      <c r="O937" s="23">
        <v>18.57</v>
      </c>
      <c r="P937" s="23">
        <v>15</v>
      </c>
      <c r="Q937" s="23">
        <f t="shared" si="174"/>
        <v>278.55</v>
      </c>
      <c r="R937" s="236"/>
      <c r="S937" s="236"/>
      <c r="T937" s="236"/>
      <c r="U937" s="242"/>
    </row>
    <row r="938" spans="1:21" ht="13">
      <c r="A938" s="270"/>
      <c r="B938" s="248"/>
      <c r="C938" s="25"/>
      <c r="D938" s="26"/>
      <c r="E938" s="26"/>
      <c r="F938" s="26"/>
      <c r="G938" s="238"/>
      <c r="H938" s="238"/>
      <c r="I938" s="238"/>
      <c r="J938" s="243"/>
      <c r="L938" s="249"/>
      <c r="M938" s="248"/>
      <c r="N938" s="25"/>
      <c r="O938" s="26"/>
      <c r="P938" s="26"/>
      <c r="Q938" s="26"/>
      <c r="R938" s="238"/>
      <c r="S938" s="238"/>
      <c r="T938" s="238"/>
      <c r="U938" s="243"/>
    </row>
    <row r="939" spans="1:21" ht="13">
      <c r="A939" s="270"/>
      <c r="B939" s="247" t="s">
        <v>420</v>
      </c>
      <c r="C939" s="64" t="s">
        <v>209</v>
      </c>
      <c r="D939" s="50">
        <v>35</v>
      </c>
      <c r="E939" s="50">
        <v>18</v>
      </c>
      <c r="F939" s="65">
        <f t="shared" ref="F939:F941" si="175">D939*E939</f>
        <v>630</v>
      </c>
      <c r="G939" s="240">
        <f>SUM(F939:F946)</f>
        <v>2316.17</v>
      </c>
      <c r="H939" s="237">
        <v>2500</v>
      </c>
      <c r="I939" s="237">
        <f>H939-G939</f>
        <v>183.82999999999993</v>
      </c>
      <c r="J939" s="241">
        <f>I939/H939</f>
        <v>7.3531999999999972E-2</v>
      </c>
      <c r="L939" s="249"/>
      <c r="M939" s="247" t="s">
        <v>420</v>
      </c>
      <c r="N939" s="64" t="s">
        <v>209</v>
      </c>
      <c r="O939" s="18"/>
      <c r="P939" s="18"/>
      <c r="Q939" s="18"/>
      <c r="R939" s="240">
        <f>SUM(Q939:Q946)</f>
        <v>1686.17</v>
      </c>
      <c r="S939" s="237">
        <v>2500</v>
      </c>
      <c r="T939" s="237">
        <f>S939-R939</f>
        <v>813.82999999999993</v>
      </c>
      <c r="U939" s="241">
        <f>T939/S939</f>
        <v>0.32553199999999999</v>
      </c>
    </row>
    <row r="940" spans="1:21" ht="13">
      <c r="A940" s="270"/>
      <c r="B940" s="236"/>
      <c r="C940" s="22" t="s">
        <v>421</v>
      </c>
      <c r="D940" s="23">
        <v>33.049999999999997</v>
      </c>
      <c r="E940" s="23">
        <v>15</v>
      </c>
      <c r="F940" s="23">
        <f t="shared" si="175"/>
        <v>495.74999999999994</v>
      </c>
      <c r="G940" s="236"/>
      <c r="H940" s="236"/>
      <c r="I940" s="236"/>
      <c r="J940" s="242"/>
      <c r="L940" s="249"/>
      <c r="M940" s="236"/>
      <c r="N940" s="22" t="s">
        <v>421</v>
      </c>
      <c r="O940" s="23">
        <v>33.049999999999997</v>
      </c>
      <c r="P940" s="23">
        <v>15</v>
      </c>
      <c r="Q940" s="23">
        <f t="shared" ref="Q940:Q941" si="176">O940*P940</f>
        <v>495.74999999999994</v>
      </c>
      <c r="R940" s="236"/>
      <c r="S940" s="236"/>
      <c r="T940" s="236"/>
      <c r="U940" s="242"/>
    </row>
    <row r="941" spans="1:21" ht="13">
      <c r="A941" s="270"/>
      <c r="B941" s="236"/>
      <c r="C941" s="22" t="s">
        <v>417</v>
      </c>
      <c r="D941" s="23">
        <v>32.68</v>
      </c>
      <c r="E941" s="23">
        <v>15</v>
      </c>
      <c r="F941" s="23">
        <f t="shared" si="175"/>
        <v>490.2</v>
      </c>
      <c r="G941" s="236"/>
      <c r="H941" s="236"/>
      <c r="I941" s="236"/>
      <c r="J941" s="242"/>
      <c r="L941" s="249"/>
      <c r="M941" s="236"/>
      <c r="N941" s="22" t="s">
        <v>417</v>
      </c>
      <c r="O941" s="23">
        <v>32.68</v>
      </c>
      <c r="P941" s="23">
        <v>15</v>
      </c>
      <c r="Q941" s="23">
        <f t="shared" si="176"/>
        <v>490.2</v>
      </c>
      <c r="R941" s="236"/>
      <c r="S941" s="236"/>
      <c r="T941" s="236"/>
      <c r="U941" s="242"/>
    </row>
    <row r="942" spans="1:21" ht="13">
      <c r="A942" s="270"/>
      <c r="B942" s="236"/>
      <c r="C942" s="22" t="s">
        <v>47</v>
      </c>
      <c r="D942" s="23"/>
      <c r="E942" s="23"/>
      <c r="F942" s="23">
        <v>297.94</v>
      </c>
      <c r="G942" s="236"/>
      <c r="H942" s="236"/>
      <c r="I942" s="236"/>
      <c r="J942" s="242"/>
      <c r="L942" s="249"/>
      <c r="M942" s="236"/>
      <c r="N942" s="22" t="s">
        <v>47</v>
      </c>
      <c r="O942" s="23"/>
      <c r="P942" s="23"/>
      <c r="Q942" s="23">
        <v>297.94</v>
      </c>
      <c r="R942" s="236"/>
      <c r="S942" s="236"/>
      <c r="T942" s="236"/>
      <c r="U942" s="242"/>
    </row>
    <row r="943" spans="1:21" ht="13">
      <c r="A943" s="270"/>
      <c r="B943" s="236"/>
      <c r="C943" s="22" t="s">
        <v>395</v>
      </c>
      <c r="D943" s="23"/>
      <c r="E943" s="23"/>
      <c r="F943" s="23">
        <v>118.39</v>
      </c>
      <c r="G943" s="236"/>
      <c r="H943" s="236"/>
      <c r="I943" s="236"/>
      <c r="J943" s="242"/>
      <c r="L943" s="249"/>
      <c r="M943" s="236"/>
      <c r="N943" s="22" t="s">
        <v>395</v>
      </c>
      <c r="O943" s="23"/>
      <c r="P943" s="23"/>
      <c r="Q943" s="23">
        <v>118.39</v>
      </c>
      <c r="R943" s="236"/>
      <c r="S943" s="236"/>
      <c r="T943" s="236"/>
      <c r="U943" s="242"/>
    </row>
    <row r="944" spans="1:21" ht="13">
      <c r="A944" s="270"/>
      <c r="B944" s="236"/>
      <c r="C944" s="22" t="s">
        <v>422</v>
      </c>
      <c r="D944" s="23"/>
      <c r="E944" s="23"/>
      <c r="F944" s="23">
        <v>162.88999999999999</v>
      </c>
      <c r="G944" s="236"/>
      <c r="H944" s="236"/>
      <c r="I944" s="236"/>
      <c r="J944" s="242"/>
      <c r="L944" s="249"/>
      <c r="M944" s="236"/>
      <c r="N944" s="22" t="s">
        <v>422</v>
      </c>
      <c r="O944" s="23"/>
      <c r="P944" s="23"/>
      <c r="Q944" s="23">
        <v>162.88999999999999</v>
      </c>
      <c r="R944" s="236"/>
      <c r="S944" s="236"/>
      <c r="T944" s="236"/>
      <c r="U944" s="242"/>
    </row>
    <row r="945" spans="1:21" ht="13">
      <c r="A945" s="270"/>
      <c r="B945" s="236"/>
      <c r="C945" s="24" t="s">
        <v>423</v>
      </c>
      <c r="D945" s="23"/>
      <c r="E945" s="23"/>
      <c r="F945" s="23">
        <v>121</v>
      </c>
      <c r="G945" s="236"/>
      <c r="H945" s="236"/>
      <c r="I945" s="236"/>
      <c r="J945" s="242"/>
      <c r="L945" s="249"/>
      <c r="M945" s="236"/>
      <c r="N945" s="24" t="s">
        <v>423</v>
      </c>
      <c r="O945" s="23"/>
      <c r="P945" s="23"/>
      <c r="Q945" s="23">
        <v>121</v>
      </c>
      <c r="R945" s="236"/>
      <c r="S945" s="236"/>
      <c r="T945" s="236"/>
      <c r="U945" s="242"/>
    </row>
    <row r="946" spans="1:21" ht="13">
      <c r="A946" s="270"/>
      <c r="B946" s="248"/>
      <c r="C946" s="25"/>
      <c r="D946" s="26"/>
      <c r="E946" s="26"/>
      <c r="F946" s="26"/>
      <c r="G946" s="238"/>
      <c r="H946" s="238"/>
      <c r="I946" s="238"/>
      <c r="J946" s="243"/>
      <c r="L946" s="249"/>
      <c r="M946" s="248"/>
      <c r="N946" s="25"/>
      <c r="O946" s="26"/>
      <c r="P946" s="26"/>
      <c r="Q946" s="26"/>
      <c r="R946" s="238"/>
      <c r="S946" s="238"/>
      <c r="T946" s="238"/>
      <c r="U946" s="243"/>
    </row>
    <row r="947" spans="1:21" ht="13">
      <c r="A947" s="270"/>
      <c r="B947" s="247" t="s">
        <v>424</v>
      </c>
      <c r="C947" s="15" t="s">
        <v>23</v>
      </c>
      <c r="D947" s="16">
        <v>56</v>
      </c>
      <c r="E947" s="16">
        <v>18</v>
      </c>
      <c r="F947" s="16">
        <f t="shared" ref="F947:F953" si="177">D947*E947</f>
        <v>1008</v>
      </c>
      <c r="G947" s="240">
        <f>SUM(F947:F958)</f>
        <v>12741.270000000002</v>
      </c>
      <c r="H947" s="237">
        <v>16236</v>
      </c>
      <c r="I947" s="237">
        <f>H947-G947</f>
        <v>3494.7299999999977</v>
      </c>
      <c r="J947" s="241">
        <f>I947/H947</f>
        <v>0.21524575018477443</v>
      </c>
      <c r="L947" s="249"/>
      <c r="M947" s="247" t="s">
        <v>424</v>
      </c>
      <c r="N947" s="15" t="s">
        <v>23</v>
      </c>
      <c r="O947" s="18"/>
      <c r="P947" s="18"/>
      <c r="Q947" s="18"/>
      <c r="R947" s="240">
        <f>SUM(Q947:Q958)</f>
        <v>10599.270000000002</v>
      </c>
      <c r="S947" s="237">
        <v>16236</v>
      </c>
      <c r="T947" s="237">
        <f>S947-R947</f>
        <v>5636.7299999999977</v>
      </c>
      <c r="U947" s="241">
        <f>T947/S947</f>
        <v>0.34717479674796736</v>
      </c>
    </row>
    <row r="948" spans="1:21" ht="13">
      <c r="A948" s="270"/>
      <c r="B948" s="236"/>
      <c r="C948" s="24" t="s">
        <v>209</v>
      </c>
      <c r="D948" s="17">
        <v>63</v>
      </c>
      <c r="E948" s="17">
        <v>18</v>
      </c>
      <c r="F948" s="17">
        <f t="shared" si="177"/>
        <v>1134</v>
      </c>
      <c r="G948" s="236"/>
      <c r="H948" s="236"/>
      <c r="I948" s="236"/>
      <c r="J948" s="242"/>
      <c r="L948" s="249"/>
      <c r="M948" s="236"/>
      <c r="N948" s="24" t="s">
        <v>209</v>
      </c>
      <c r="O948" s="18"/>
      <c r="P948" s="18"/>
      <c r="Q948" s="18"/>
      <c r="R948" s="236"/>
      <c r="S948" s="236"/>
      <c r="T948" s="236"/>
      <c r="U948" s="242"/>
    </row>
    <row r="949" spans="1:21" ht="13">
      <c r="A949" s="270"/>
      <c r="B949" s="236"/>
      <c r="C949" s="24" t="s">
        <v>31</v>
      </c>
      <c r="D949" s="17">
        <v>82.85</v>
      </c>
      <c r="E949" s="17">
        <v>15</v>
      </c>
      <c r="F949" s="17">
        <f t="shared" si="177"/>
        <v>1242.75</v>
      </c>
      <c r="G949" s="236"/>
      <c r="H949" s="236"/>
      <c r="I949" s="236"/>
      <c r="J949" s="242"/>
      <c r="L949" s="249"/>
      <c r="M949" s="236"/>
      <c r="N949" s="24" t="s">
        <v>31</v>
      </c>
      <c r="O949" s="17">
        <v>82.85</v>
      </c>
      <c r="P949" s="17">
        <v>15</v>
      </c>
      <c r="Q949" s="17">
        <f t="shared" ref="Q949:Q953" si="178">O949*P949</f>
        <v>1242.75</v>
      </c>
      <c r="R949" s="236"/>
      <c r="S949" s="236"/>
      <c r="T949" s="236"/>
      <c r="U949" s="242"/>
    </row>
    <row r="950" spans="1:21" ht="13">
      <c r="A950" s="270"/>
      <c r="B950" s="236"/>
      <c r="C950" s="24" t="s">
        <v>298</v>
      </c>
      <c r="D950" s="17">
        <v>78.77</v>
      </c>
      <c r="E950" s="17">
        <v>15</v>
      </c>
      <c r="F950" s="17">
        <f t="shared" si="177"/>
        <v>1181.55</v>
      </c>
      <c r="G950" s="236"/>
      <c r="H950" s="236"/>
      <c r="I950" s="236"/>
      <c r="J950" s="242"/>
      <c r="L950" s="249"/>
      <c r="M950" s="236"/>
      <c r="N950" s="24" t="s">
        <v>298</v>
      </c>
      <c r="O950" s="17">
        <v>78.77</v>
      </c>
      <c r="P950" s="17">
        <v>15</v>
      </c>
      <c r="Q950" s="17">
        <f t="shared" si="178"/>
        <v>1181.55</v>
      </c>
      <c r="R950" s="236"/>
      <c r="S950" s="236"/>
      <c r="T950" s="236"/>
      <c r="U950" s="242"/>
    </row>
    <row r="951" spans="1:21" ht="13">
      <c r="A951" s="270"/>
      <c r="B951" s="236"/>
      <c r="C951" s="19" t="s">
        <v>38</v>
      </c>
      <c r="D951" s="17">
        <v>77.45</v>
      </c>
      <c r="E951" s="17">
        <v>15</v>
      </c>
      <c r="F951" s="17">
        <f t="shared" si="177"/>
        <v>1161.75</v>
      </c>
      <c r="G951" s="236"/>
      <c r="H951" s="236"/>
      <c r="I951" s="236"/>
      <c r="J951" s="242"/>
      <c r="L951" s="249"/>
      <c r="M951" s="236"/>
      <c r="N951" s="19" t="s">
        <v>38</v>
      </c>
      <c r="O951" s="17">
        <v>77.45</v>
      </c>
      <c r="P951" s="17">
        <v>15</v>
      </c>
      <c r="Q951" s="17">
        <f t="shared" si="178"/>
        <v>1161.75</v>
      </c>
      <c r="R951" s="236"/>
      <c r="S951" s="236"/>
      <c r="T951" s="236"/>
      <c r="U951" s="242"/>
    </row>
    <row r="952" spans="1:21" ht="13">
      <c r="A952" s="270"/>
      <c r="B952" s="236"/>
      <c r="C952" s="19" t="s">
        <v>32</v>
      </c>
      <c r="D952" s="17">
        <v>84.97</v>
      </c>
      <c r="E952" s="17">
        <v>15</v>
      </c>
      <c r="F952" s="17">
        <f t="shared" si="177"/>
        <v>1274.55</v>
      </c>
      <c r="G952" s="236"/>
      <c r="H952" s="236"/>
      <c r="I952" s="236"/>
      <c r="J952" s="242"/>
      <c r="L952" s="249"/>
      <c r="M952" s="236"/>
      <c r="N952" s="19" t="s">
        <v>32</v>
      </c>
      <c r="O952" s="17">
        <v>84.97</v>
      </c>
      <c r="P952" s="17">
        <v>15</v>
      </c>
      <c r="Q952" s="17">
        <f t="shared" si="178"/>
        <v>1274.55</v>
      </c>
      <c r="R952" s="236"/>
      <c r="S952" s="236"/>
      <c r="T952" s="236"/>
      <c r="U952" s="242"/>
    </row>
    <row r="953" spans="1:21" ht="13">
      <c r="A953" s="270"/>
      <c r="B953" s="236"/>
      <c r="C953" s="19" t="s">
        <v>53</v>
      </c>
      <c r="D953" s="17">
        <v>31.45</v>
      </c>
      <c r="E953" s="17">
        <v>15</v>
      </c>
      <c r="F953" s="17">
        <f t="shared" si="177"/>
        <v>471.75</v>
      </c>
      <c r="G953" s="236"/>
      <c r="H953" s="236"/>
      <c r="I953" s="236"/>
      <c r="J953" s="242"/>
      <c r="L953" s="249"/>
      <c r="M953" s="236"/>
      <c r="N953" s="19" t="s">
        <v>53</v>
      </c>
      <c r="O953" s="17">
        <v>31.45</v>
      </c>
      <c r="P953" s="17">
        <v>15</v>
      </c>
      <c r="Q953" s="17">
        <f t="shared" si="178"/>
        <v>471.75</v>
      </c>
      <c r="R953" s="236"/>
      <c r="S953" s="236"/>
      <c r="T953" s="236"/>
      <c r="U953" s="242"/>
    </row>
    <row r="954" spans="1:21" ht="13">
      <c r="A954" s="270"/>
      <c r="B954" s="236"/>
      <c r="C954" s="19" t="s">
        <v>155</v>
      </c>
      <c r="D954" s="17"/>
      <c r="E954" s="17"/>
      <c r="F954" s="17">
        <v>1831.1</v>
      </c>
      <c r="G954" s="236"/>
      <c r="H954" s="236"/>
      <c r="I954" s="236"/>
      <c r="J954" s="242"/>
      <c r="L954" s="249"/>
      <c r="M954" s="236"/>
      <c r="N954" s="19" t="s">
        <v>155</v>
      </c>
      <c r="O954" s="17"/>
      <c r="P954" s="17"/>
      <c r="Q954" s="17">
        <v>1831.1</v>
      </c>
      <c r="R954" s="236"/>
      <c r="S954" s="236"/>
      <c r="T954" s="236"/>
      <c r="U954" s="242"/>
    </row>
    <row r="955" spans="1:21" ht="13">
      <c r="A955" s="270"/>
      <c r="B955" s="236"/>
      <c r="C955" s="19" t="s">
        <v>47</v>
      </c>
      <c r="D955" s="17"/>
      <c r="E955" s="17"/>
      <c r="F955" s="17">
        <v>1927.95</v>
      </c>
      <c r="G955" s="236"/>
      <c r="H955" s="236"/>
      <c r="I955" s="236"/>
      <c r="J955" s="242"/>
      <c r="L955" s="249"/>
      <c r="M955" s="236"/>
      <c r="N955" s="19" t="s">
        <v>47</v>
      </c>
      <c r="O955" s="17"/>
      <c r="P955" s="17"/>
      <c r="Q955" s="17">
        <v>1927.95</v>
      </c>
      <c r="R955" s="236"/>
      <c r="S955" s="236"/>
      <c r="T955" s="236"/>
      <c r="U955" s="242"/>
    </row>
    <row r="956" spans="1:21" ht="13">
      <c r="A956" s="270"/>
      <c r="B956" s="236"/>
      <c r="C956" s="19" t="s">
        <v>414</v>
      </c>
      <c r="D956" s="17"/>
      <c r="E956" s="17"/>
      <c r="F956" s="17">
        <v>145.1</v>
      </c>
      <c r="G956" s="236"/>
      <c r="H956" s="236"/>
      <c r="I956" s="236"/>
      <c r="J956" s="242"/>
      <c r="L956" s="249"/>
      <c r="M956" s="236"/>
      <c r="N956" s="19" t="s">
        <v>414</v>
      </c>
      <c r="O956" s="17"/>
      <c r="P956" s="17"/>
      <c r="Q956" s="17">
        <v>145.1</v>
      </c>
      <c r="R956" s="236"/>
      <c r="S956" s="236"/>
      <c r="T956" s="236"/>
      <c r="U956" s="242"/>
    </row>
    <row r="957" spans="1:21" ht="13">
      <c r="A957" s="270"/>
      <c r="B957" s="236"/>
      <c r="C957" s="19" t="s">
        <v>83</v>
      </c>
      <c r="D957" s="17"/>
      <c r="E957" s="17"/>
      <c r="F957" s="17">
        <v>344.28</v>
      </c>
      <c r="G957" s="236"/>
      <c r="H957" s="236"/>
      <c r="I957" s="236"/>
      <c r="J957" s="242"/>
      <c r="L957" s="249"/>
      <c r="M957" s="236"/>
      <c r="N957" s="19" t="s">
        <v>83</v>
      </c>
      <c r="O957" s="17"/>
      <c r="P957" s="17"/>
      <c r="Q957" s="17">
        <v>344.28</v>
      </c>
      <c r="R957" s="236"/>
      <c r="S957" s="236"/>
      <c r="T957" s="236"/>
      <c r="U957" s="242"/>
    </row>
    <row r="958" spans="1:21" ht="13">
      <c r="A958" s="270"/>
      <c r="B958" s="248"/>
      <c r="C958" s="20" t="s">
        <v>240</v>
      </c>
      <c r="D958" s="21"/>
      <c r="E958" s="21"/>
      <c r="F958" s="21">
        <v>1018.49</v>
      </c>
      <c r="G958" s="238"/>
      <c r="H958" s="238"/>
      <c r="I958" s="238"/>
      <c r="J958" s="243"/>
      <c r="L958" s="249"/>
      <c r="M958" s="248"/>
      <c r="N958" s="20" t="s">
        <v>240</v>
      </c>
      <c r="O958" s="21"/>
      <c r="P958" s="21"/>
      <c r="Q958" s="21">
        <v>1018.49</v>
      </c>
      <c r="R958" s="238"/>
      <c r="S958" s="238"/>
      <c r="T958" s="238"/>
      <c r="U958" s="243"/>
    </row>
    <row r="959" spans="1:21" ht="13">
      <c r="A959" s="270"/>
      <c r="B959" s="247" t="s">
        <v>425</v>
      </c>
      <c r="C959" s="15" t="s">
        <v>147</v>
      </c>
      <c r="D959" s="16">
        <v>28.5</v>
      </c>
      <c r="E959" s="16">
        <v>15</v>
      </c>
      <c r="F959" s="17">
        <f>D959*E959</f>
        <v>427.5</v>
      </c>
      <c r="G959" s="240">
        <f>SUM(F959:F960)</f>
        <v>427.5</v>
      </c>
      <c r="H959" s="237">
        <v>1250</v>
      </c>
      <c r="I959" s="237">
        <f>H959-G959</f>
        <v>822.5</v>
      </c>
      <c r="J959" s="241">
        <f>I959/H959</f>
        <v>0.65800000000000003</v>
      </c>
      <c r="L959" s="249"/>
      <c r="M959" s="247" t="s">
        <v>425</v>
      </c>
      <c r="N959" s="15" t="s">
        <v>147</v>
      </c>
      <c r="O959" s="16">
        <v>28.5</v>
      </c>
      <c r="P959" s="16">
        <v>15</v>
      </c>
      <c r="Q959" s="17">
        <f>O959*P959</f>
        <v>427.5</v>
      </c>
      <c r="R959" s="240">
        <f>SUM(Q959:Q960)</f>
        <v>427.5</v>
      </c>
      <c r="S959" s="237">
        <v>1250</v>
      </c>
      <c r="T959" s="237">
        <f>S959-R959</f>
        <v>822.5</v>
      </c>
      <c r="U959" s="241">
        <f>T959/S959</f>
        <v>0.65800000000000003</v>
      </c>
    </row>
    <row r="960" spans="1:21" ht="13">
      <c r="A960" s="270"/>
      <c r="B960" s="248"/>
      <c r="C960" s="20"/>
      <c r="D960" s="21"/>
      <c r="E960" s="21"/>
      <c r="F960" s="21"/>
      <c r="G960" s="238"/>
      <c r="H960" s="238"/>
      <c r="I960" s="238"/>
      <c r="J960" s="243"/>
      <c r="L960" s="249"/>
      <c r="M960" s="248"/>
      <c r="N960" s="20"/>
      <c r="O960" s="21"/>
      <c r="P960" s="21"/>
      <c r="Q960" s="21"/>
      <c r="R960" s="238"/>
      <c r="S960" s="238"/>
      <c r="T960" s="238"/>
      <c r="U960" s="243"/>
    </row>
    <row r="961" spans="1:21" ht="13">
      <c r="A961" s="270"/>
      <c r="B961" s="244" t="s">
        <v>616</v>
      </c>
      <c r="C961" s="15" t="s">
        <v>609</v>
      </c>
      <c r="D961" s="16">
        <v>5.5</v>
      </c>
      <c r="E961" s="16">
        <v>13</v>
      </c>
      <c r="F961" s="16">
        <f t="shared" ref="F961:F964" si="179">D961*E961</f>
        <v>71.5</v>
      </c>
      <c r="G961" s="240">
        <f>SUM(F961:F969)</f>
        <v>1956.5900000000001</v>
      </c>
      <c r="H961" s="237">
        <v>4126.92</v>
      </c>
      <c r="I961" s="237">
        <f>H961-G961</f>
        <v>2170.33</v>
      </c>
      <c r="J961" s="241">
        <f>I961/H961</f>
        <v>0.5258958254582109</v>
      </c>
      <c r="L961" s="249"/>
      <c r="M961" s="247" t="s">
        <v>616</v>
      </c>
      <c r="N961" s="15" t="s">
        <v>609</v>
      </c>
      <c r="O961" s="16">
        <v>5.5</v>
      </c>
      <c r="P961" s="16">
        <v>13</v>
      </c>
      <c r="Q961" s="16">
        <f t="shared" ref="Q961:Q963" si="180">O961*P961</f>
        <v>71.5</v>
      </c>
      <c r="R961" s="240">
        <f>SUM(Q961:Q969)</f>
        <v>1704.5900000000001</v>
      </c>
      <c r="S961" s="237">
        <v>4126.92</v>
      </c>
      <c r="T961" s="237">
        <f>S961-R961</f>
        <v>2422.33</v>
      </c>
      <c r="U961" s="241">
        <f>T961/S961</f>
        <v>0.58695831273685939</v>
      </c>
    </row>
    <row r="962" spans="1:21" ht="13">
      <c r="A962" s="270"/>
      <c r="B962" s="245"/>
      <c r="C962" s="19" t="s">
        <v>57</v>
      </c>
      <c r="D962" s="17">
        <v>17.43</v>
      </c>
      <c r="E962" s="17">
        <v>15</v>
      </c>
      <c r="F962" s="17">
        <f t="shared" si="179"/>
        <v>261.45</v>
      </c>
      <c r="G962" s="236"/>
      <c r="H962" s="236"/>
      <c r="I962" s="236"/>
      <c r="J962" s="242"/>
      <c r="L962" s="249"/>
      <c r="M962" s="236"/>
      <c r="N962" s="19" t="s">
        <v>57</v>
      </c>
      <c r="O962" s="17">
        <v>17.43</v>
      </c>
      <c r="P962" s="17">
        <v>15</v>
      </c>
      <c r="Q962" s="17">
        <f t="shared" si="180"/>
        <v>261.45</v>
      </c>
      <c r="R962" s="236"/>
      <c r="S962" s="236"/>
      <c r="T962" s="236"/>
      <c r="U962" s="242"/>
    </row>
    <row r="963" spans="1:21" ht="13">
      <c r="A963" s="270"/>
      <c r="B963" s="245"/>
      <c r="C963" s="19" t="s">
        <v>62</v>
      </c>
      <c r="D963" s="17">
        <v>22.58</v>
      </c>
      <c r="E963" s="17">
        <v>13</v>
      </c>
      <c r="F963" s="17">
        <f t="shared" si="179"/>
        <v>293.53999999999996</v>
      </c>
      <c r="G963" s="236"/>
      <c r="H963" s="236"/>
      <c r="I963" s="236"/>
      <c r="J963" s="242"/>
      <c r="L963" s="249"/>
      <c r="M963" s="236"/>
      <c r="N963" s="19" t="s">
        <v>62</v>
      </c>
      <c r="O963" s="17">
        <v>22.58</v>
      </c>
      <c r="P963" s="17">
        <v>13</v>
      </c>
      <c r="Q963" s="17">
        <f t="shared" si="180"/>
        <v>293.53999999999996</v>
      </c>
      <c r="R963" s="236"/>
      <c r="S963" s="236"/>
      <c r="T963" s="236"/>
      <c r="U963" s="242"/>
    </row>
    <row r="964" spans="1:21" ht="13">
      <c r="A964" s="270"/>
      <c r="B964" s="245"/>
      <c r="C964" s="19" t="s">
        <v>23</v>
      </c>
      <c r="D964" s="17">
        <v>14</v>
      </c>
      <c r="E964" s="17">
        <v>18</v>
      </c>
      <c r="F964" s="17">
        <f t="shared" si="179"/>
        <v>252</v>
      </c>
      <c r="G964" s="236"/>
      <c r="H964" s="236"/>
      <c r="I964" s="236"/>
      <c r="J964" s="242"/>
      <c r="L964" s="249"/>
      <c r="M964" s="236"/>
      <c r="N964" s="19" t="s">
        <v>23</v>
      </c>
      <c r="O964" s="18"/>
      <c r="P964" s="18"/>
      <c r="Q964" s="18"/>
      <c r="R964" s="236"/>
      <c r="S964" s="236"/>
      <c r="T964" s="236"/>
      <c r="U964" s="242"/>
    </row>
    <row r="965" spans="1:21" ht="13">
      <c r="A965" s="270"/>
      <c r="B965" s="245"/>
      <c r="C965" s="19" t="s">
        <v>35</v>
      </c>
      <c r="D965" s="17"/>
      <c r="E965" s="17"/>
      <c r="F965" s="17">
        <v>250</v>
      </c>
      <c r="G965" s="236"/>
      <c r="H965" s="236"/>
      <c r="I965" s="236"/>
      <c r="J965" s="242"/>
      <c r="L965" s="249"/>
      <c r="M965" s="236"/>
      <c r="N965" s="19" t="s">
        <v>35</v>
      </c>
      <c r="O965" s="17"/>
      <c r="P965" s="17"/>
      <c r="Q965" s="17">
        <v>250</v>
      </c>
      <c r="R965" s="236"/>
      <c r="S965" s="236"/>
      <c r="T965" s="236"/>
      <c r="U965" s="242"/>
    </row>
    <row r="966" spans="1:21" ht="13">
      <c r="A966" s="270"/>
      <c r="B966" s="245"/>
      <c r="C966" s="19" t="s">
        <v>106</v>
      </c>
      <c r="D966" s="17">
        <v>13.32</v>
      </c>
      <c r="E966" s="17">
        <v>13</v>
      </c>
      <c r="F966" s="17">
        <f t="shared" ref="F966:F971" si="181">D966*E966</f>
        <v>173.16</v>
      </c>
      <c r="G966" s="236"/>
      <c r="H966" s="236"/>
      <c r="I966" s="236"/>
      <c r="J966" s="242"/>
      <c r="L966" s="249"/>
      <c r="M966" s="236"/>
      <c r="N966" s="19" t="s">
        <v>106</v>
      </c>
      <c r="O966" s="17">
        <v>13.32</v>
      </c>
      <c r="P966" s="17">
        <v>13</v>
      </c>
      <c r="Q966" s="17">
        <f t="shared" ref="Q966:Q971" si="182">O966*P966</f>
        <v>173.16</v>
      </c>
      <c r="R966" s="236"/>
      <c r="S966" s="236"/>
      <c r="T966" s="236"/>
      <c r="U966" s="242"/>
    </row>
    <row r="967" spans="1:21" ht="13">
      <c r="A967" s="270"/>
      <c r="B967" s="245"/>
      <c r="C967" s="19" t="s">
        <v>58</v>
      </c>
      <c r="D967" s="17">
        <v>19.23</v>
      </c>
      <c r="E967" s="17">
        <v>13</v>
      </c>
      <c r="F967" s="17">
        <f t="shared" si="181"/>
        <v>249.99</v>
      </c>
      <c r="G967" s="236"/>
      <c r="H967" s="236"/>
      <c r="I967" s="236"/>
      <c r="J967" s="242"/>
      <c r="L967" s="249"/>
      <c r="M967" s="236"/>
      <c r="N967" s="19" t="s">
        <v>58</v>
      </c>
      <c r="O967" s="17">
        <v>19.23</v>
      </c>
      <c r="P967" s="17">
        <v>13</v>
      </c>
      <c r="Q967" s="17">
        <f t="shared" si="182"/>
        <v>249.99</v>
      </c>
      <c r="R967" s="236"/>
      <c r="S967" s="236"/>
      <c r="T967" s="236"/>
      <c r="U967" s="242"/>
    </row>
    <row r="968" spans="1:21" ht="13">
      <c r="A968" s="270"/>
      <c r="B968" s="245"/>
      <c r="C968" s="19" t="s">
        <v>607</v>
      </c>
      <c r="D968" s="17">
        <v>23.5</v>
      </c>
      <c r="E968" s="17">
        <v>13</v>
      </c>
      <c r="F968" s="17">
        <f t="shared" si="181"/>
        <v>305.5</v>
      </c>
      <c r="G968" s="236"/>
      <c r="H968" s="236"/>
      <c r="I968" s="236"/>
      <c r="J968" s="242"/>
      <c r="L968" s="249"/>
      <c r="M968" s="236"/>
      <c r="N968" s="19" t="s">
        <v>607</v>
      </c>
      <c r="O968" s="17">
        <v>23.5</v>
      </c>
      <c r="P968" s="17">
        <v>13</v>
      </c>
      <c r="Q968" s="17">
        <f t="shared" si="182"/>
        <v>305.5</v>
      </c>
      <c r="R968" s="236"/>
      <c r="S968" s="236"/>
      <c r="T968" s="236"/>
      <c r="U968" s="242"/>
    </row>
    <row r="969" spans="1:21" ht="13">
      <c r="A969" s="270"/>
      <c r="B969" s="246"/>
      <c r="C969" s="20" t="s">
        <v>26</v>
      </c>
      <c r="D969" s="21">
        <v>7.65</v>
      </c>
      <c r="E969" s="21">
        <v>13</v>
      </c>
      <c r="F969" s="21">
        <f t="shared" si="181"/>
        <v>99.45</v>
      </c>
      <c r="G969" s="238"/>
      <c r="H969" s="238"/>
      <c r="I969" s="238"/>
      <c r="J969" s="243"/>
      <c r="L969" s="249"/>
      <c r="M969" s="248"/>
      <c r="N969" s="20" t="s">
        <v>26</v>
      </c>
      <c r="O969" s="21">
        <v>7.65</v>
      </c>
      <c r="P969" s="21">
        <v>13</v>
      </c>
      <c r="Q969" s="21">
        <f t="shared" si="182"/>
        <v>99.45</v>
      </c>
      <c r="R969" s="238"/>
      <c r="S969" s="238"/>
      <c r="T969" s="238"/>
      <c r="U969" s="243"/>
    </row>
    <row r="970" spans="1:21" ht="13">
      <c r="A970" s="270"/>
      <c r="B970" s="244" t="s">
        <v>426</v>
      </c>
      <c r="C970" s="15" t="s">
        <v>427</v>
      </c>
      <c r="D970" s="16">
        <v>3</v>
      </c>
      <c r="E970" s="16">
        <v>15</v>
      </c>
      <c r="F970" s="16">
        <f t="shared" si="181"/>
        <v>45</v>
      </c>
      <c r="G970" s="240">
        <f>SUM(F970:F978)</f>
        <v>1180.26</v>
      </c>
      <c r="H970" s="237">
        <v>4134.3999999999996</v>
      </c>
      <c r="I970" s="237">
        <f>H970-G970</f>
        <v>2954.1399999999994</v>
      </c>
      <c r="J970" s="241">
        <f>I970/H970</f>
        <v>0.71452689628482968</v>
      </c>
      <c r="L970" s="249"/>
      <c r="M970" s="247" t="s">
        <v>426</v>
      </c>
      <c r="N970" s="15" t="s">
        <v>427</v>
      </c>
      <c r="O970" s="16">
        <v>3</v>
      </c>
      <c r="P970" s="16">
        <v>15</v>
      </c>
      <c r="Q970" s="16">
        <f t="shared" si="182"/>
        <v>45</v>
      </c>
      <c r="R970" s="240">
        <f>SUM(Q970:Q978)</f>
        <v>1180.26</v>
      </c>
      <c r="S970" s="237">
        <v>4134.3999999999996</v>
      </c>
      <c r="T970" s="237">
        <f>S970-R970</f>
        <v>2954.1399999999994</v>
      </c>
      <c r="U970" s="241">
        <f>T970/S970</f>
        <v>0.71452689628482968</v>
      </c>
    </row>
    <row r="971" spans="1:21" ht="13">
      <c r="A971" s="270"/>
      <c r="B971" s="245"/>
      <c r="C971" s="19" t="s">
        <v>428</v>
      </c>
      <c r="D971" s="17">
        <v>11.16</v>
      </c>
      <c r="E971" s="17">
        <v>15</v>
      </c>
      <c r="F971" s="17">
        <f t="shared" si="181"/>
        <v>167.4</v>
      </c>
      <c r="G971" s="236"/>
      <c r="H971" s="236"/>
      <c r="I971" s="236"/>
      <c r="J971" s="242"/>
      <c r="L971" s="249"/>
      <c r="M971" s="236"/>
      <c r="N971" s="19" t="s">
        <v>428</v>
      </c>
      <c r="O971" s="17">
        <v>11.16</v>
      </c>
      <c r="P971" s="17">
        <v>15</v>
      </c>
      <c r="Q971" s="17">
        <f t="shared" si="182"/>
        <v>167.4</v>
      </c>
      <c r="R971" s="236"/>
      <c r="S971" s="236"/>
      <c r="T971" s="236"/>
      <c r="U971" s="242"/>
    </row>
    <row r="972" spans="1:21" ht="13">
      <c r="A972" s="270"/>
      <c r="B972" s="245"/>
      <c r="C972" s="19" t="s">
        <v>429</v>
      </c>
      <c r="D972" s="17"/>
      <c r="E972" s="17"/>
      <c r="F972" s="17">
        <v>150</v>
      </c>
      <c r="G972" s="236"/>
      <c r="H972" s="236"/>
      <c r="I972" s="236"/>
      <c r="J972" s="242"/>
      <c r="L972" s="249"/>
      <c r="M972" s="236"/>
      <c r="N972" s="19" t="s">
        <v>429</v>
      </c>
      <c r="O972" s="17"/>
      <c r="P972" s="17"/>
      <c r="Q972" s="17">
        <v>150</v>
      </c>
      <c r="R972" s="236"/>
      <c r="S972" s="236"/>
      <c r="T972" s="236"/>
      <c r="U972" s="242"/>
    </row>
    <row r="973" spans="1:21" ht="13">
      <c r="A973" s="270"/>
      <c r="B973" s="245"/>
      <c r="C973" s="19" t="s">
        <v>430</v>
      </c>
      <c r="D973" s="17"/>
      <c r="E973" s="17"/>
      <c r="F973" s="17">
        <v>300</v>
      </c>
      <c r="G973" s="236"/>
      <c r="H973" s="236"/>
      <c r="I973" s="236"/>
      <c r="J973" s="242"/>
      <c r="L973" s="249"/>
      <c r="M973" s="236"/>
      <c r="N973" s="19" t="s">
        <v>430</v>
      </c>
      <c r="O973" s="17"/>
      <c r="P973" s="17"/>
      <c r="Q973" s="17">
        <v>300</v>
      </c>
      <c r="R973" s="236"/>
      <c r="S973" s="236"/>
      <c r="T973" s="236"/>
      <c r="U973" s="242"/>
    </row>
    <row r="974" spans="1:21" ht="13">
      <c r="A974" s="270"/>
      <c r="B974" s="245"/>
      <c r="C974" s="19" t="s">
        <v>431</v>
      </c>
      <c r="D974" s="17">
        <v>9</v>
      </c>
      <c r="E974" s="17">
        <v>15</v>
      </c>
      <c r="F974" s="17">
        <f t="shared" ref="F974:F976" si="183">D974*E974</f>
        <v>135</v>
      </c>
      <c r="G974" s="236"/>
      <c r="H974" s="236"/>
      <c r="I974" s="236"/>
      <c r="J974" s="242"/>
      <c r="L974" s="249"/>
      <c r="M974" s="236"/>
      <c r="N974" s="19" t="s">
        <v>431</v>
      </c>
      <c r="O974" s="17">
        <v>9</v>
      </c>
      <c r="P974" s="17">
        <v>15</v>
      </c>
      <c r="Q974" s="17">
        <f t="shared" ref="Q974:Q976" si="184">O974*P974</f>
        <v>135</v>
      </c>
      <c r="R974" s="236"/>
      <c r="S974" s="236"/>
      <c r="T974" s="236"/>
      <c r="U974" s="242"/>
    </row>
    <row r="975" spans="1:21" ht="13">
      <c r="A975" s="270"/>
      <c r="B975" s="245"/>
      <c r="C975" s="19" t="s">
        <v>432</v>
      </c>
      <c r="D975" s="17">
        <v>2.82</v>
      </c>
      <c r="E975" s="17">
        <v>15</v>
      </c>
      <c r="F975" s="17">
        <f t="shared" si="183"/>
        <v>42.3</v>
      </c>
      <c r="G975" s="236"/>
      <c r="H975" s="236"/>
      <c r="I975" s="236"/>
      <c r="J975" s="242"/>
      <c r="L975" s="249"/>
      <c r="M975" s="236"/>
      <c r="N975" s="19" t="s">
        <v>432</v>
      </c>
      <c r="O975" s="17">
        <v>2.82</v>
      </c>
      <c r="P975" s="17">
        <v>15</v>
      </c>
      <c r="Q975" s="17">
        <f t="shared" si="184"/>
        <v>42.3</v>
      </c>
      <c r="R975" s="236"/>
      <c r="S975" s="236"/>
      <c r="T975" s="236"/>
      <c r="U975" s="242"/>
    </row>
    <row r="976" spans="1:21" ht="13">
      <c r="A976" s="270"/>
      <c r="B976" s="245"/>
      <c r="C976" s="19" t="s">
        <v>433</v>
      </c>
      <c r="D976" s="17">
        <v>10.38</v>
      </c>
      <c r="E976" s="17">
        <v>15</v>
      </c>
      <c r="F976" s="17">
        <f t="shared" si="183"/>
        <v>155.70000000000002</v>
      </c>
      <c r="G976" s="236"/>
      <c r="H976" s="236"/>
      <c r="I976" s="236"/>
      <c r="J976" s="242"/>
      <c r="L976" s="249"/>
      <c r="M976" s="236"/>
      <c r="N976" s="19" t="s">
        <v>433</v>
      </c>
      <c r="O976" s="17">
        <v>10.38</v>
      </c>
      <c r="P976" s="17">
        <v>15</v>
      </c>
      <c r="Q976" s="17">
        <f t="shared" si="184"/>
        <v>155.70000000000002</v>
      </c>
      <c r="R976" s="236"/>
      <c r="S976" s="236"/>
      <c r="T976" s="236"/>
      <c r="U976" s="242"/>
    </row>
    <row r="977" spans="1:21" ht="13">
      <c r="A977" s="270"/>
      <c r="B977" s="245"/>
      <c r="C977" s="19" t="s">
        <v>174</v>
      </c>
      <c r="D977" s="17"/>
      <c r="E977" s="17"/>
      <c r="F977" s="17">
        <v>64.2</v>
      </c>
      <c r="G977" s="236"/>
      <c r="H977" s="236"/>
      <c r="I977" s="236"/>
      <c r="J977" s="242"/>
      <c r="L977" s="249"/>
      <c r="M977" s="236"/>
      <c r="N977" s="19" t="s">
        <v>174</v>
      </c>
      <c r="O977" s="17"/>
      <c r="P977" s="17"/>
      <c r="Q977" s="17">
        <v>64.2</v>
      </c>
      <c r="R977" s="236"/>
      <c r="S977" s="236"/>
      <c r="T977" s="236"/>
      <c r="U977" s="242"/>
    </row>
    <row r="978" spans="1:21" ht="13">
      <c r="A978" s="270"/>
      <c r="B978" s="246"/>
      <c r="C978" s="20" t="s">
        <v>434</v>
      </c>
      <c r="D978" s="21"/>
      <c r="E978" s="21"/>
      <c r="F978" s="21">
        <v>120.66</v>
      </c>
      <c r="G978" s="238"/>
      <c r="H978" s="238"/>
      <c r="I978" s="238"/>
      <c r="J978" s="243"/>
      <c r="L978" s="249"/>
      <c r="M978" s="248"/>
      <c r="N978" s="20" t="s">
        <v>434</v>
      </c>
      <c r="O978" s="21"/>
      <c r="P978" s="21"/>
      <c r="Q978" s="21">
        <v>120.66</v>
      </c>
      <c r="R978" s="238"/>
      <c r="S978" s="238"/>
      <c r="T978" s="238"/>
      <c r="U978" s="243"/>
    </row>
    <row r="979" spans="1:21" ht="13">
      <c r="A979" s="270"/>
      <c r="B979" s="244" t="s">
        <v>435</v>
      </c>
      <c r="C979" s="15" t="s">
        <v>436</v>
      </c>
      <c r="D979" s="16">
        <v>35</v>
      </c>
      <c r="E979" s="16">
        <v>18</v>
      </c>
      <c r="F979" s="16">
        <f t="shared" ref="F979:F987" si="185">D979*E979</f>
        <v>630</v>
      </c>
      <c r="G979" s="240">
        <f>SUM(F979:F989)</f>
        <v>6732.5300000000007</v>
      </c>
      <c r="H979" s="237">
        <v>15852.3</v>
      </c>
      <c r="I979" s="237">
        <f>H979-G979</f>
        <v>9119.7699999999986</v>
      </c>
      <c r="J979" s="241">
        <f>I979/H979</f>
        <v>0.57529632923929008</v>
      </c>
      <c r="L979" s="249"/>
      <c r="M979" s="247" t="s">
        <v>435</v>
      </c>
      <c r="N979" s="15" t="s">
        <v>436</v>
      </c>
      <c r="O979" s="18"/>
      <c r="P979" s="18"/>
      <c r="Q979" s="18"/>
      <c r="R979" s="240">
        <f>SUM(Q979:Q989)</f>
        <v>6102.5300000000007</v>
      </c>
      <c r="S979" s="237">
        <v>15852.3</v>
      </c>
      <c r="T979" s="237">
        <f>S979-R979</f>
        <v>9749.7699999999986</v>
      </c>
      <c r="U979" s="241">
        <f>T979/S979</f>
        <v>0.61503819635005641</v>
      </c>
    </row>
    <row r="980" spans="1:21" ht="13">
      <c r="A980" s="270"/>
      <c r="B980" s="245"/>
      <c r="C980" s="19" t="s">
        <v>38</v>
      </c>
      <c r="D980" s="17">
        <v>8.2799999999999994</v>
      </c>
      <c r="E980" s="17">
        <v>13</v>
      </c>
      <c r="F980" s="17">
        <f t="shared" si="185"/>
        <v>107.63999999999999</v>
      </c>
      <c r="G980" s="236"/>
      <c r="H980" s="236"/>
      <c r="I980" s="236"/>
      <c r="J980" s="242"/>
      <c r="L980" s="249"/>
      <c r="M980" s="236"/>
      <c r="N980" s="19" t="s">
        <v>38</v>
      </c>
      <c r="O980" s="17">
        <v>8.2799999999999994</v>
      </c>
      <c r="P980" s="17">
        <v>13</v>
      </c>
      <c r="Q980" s="17">
        <f t="shared" ref="Q980:Q987" si="186">O980*P980</f>
        <v>107.63999999999999</v>
      </c>
      <c r="R980" s="236"/>
      <c r="S980" s="236"/>
      <c r="T980" s="236"/>
      <c r="U980" s="242"/>
    </row>
    <row r="981" spans="1:21" ht="13">
      <c r="A981" s="270"/>
      <c r="B981" s="245"/>
      <c r="C981" s="19" t="s">
        <v>353</v>
      </c>
      <c r="D981" s="17">
        <v>20</v>
      </c>
      <c r="E981" s="17">
        <v>13</v>
      </c>
      <c r="F981" s="17">
        <f t="shared" si="185"/>
        <v>260</v>
      </c>
      <c r="G981" s="236"/>
      <c r="H981" s="236"/>
      <c r="I981" s="236"/>
      <c r="J981" s="242"/>
      <c r="L981" s="249"/>
      <c r="M981" s="236"/>
      <c r="N981" s="19" t="s">
        <v>353</v>
      </c>
      <c r="O981" s="17">
        <v>20</v>
      </c>
      <c r="P981" s="17">
        <v>13</v>
      </c>
      <c r="Q981" s="17">
        <f t="shared" si="186"/>
        <v>260</v>
      </c>
      <c r="R981" s="236"/>
      <c r="S981" s="236"/>
      <c r="T981" s="236"/>
      <c r="U981" s="242"/>
    </row>
    <row r="982" spans="1:21" ht="13">
      <c r="A982" s="270"/>
      <c r="B982" s="245"/>
      <c r="C982" s="19" t="s">
        <v>346</v>
      </c>
      <c r="D982" s="17">
        <v>7.8</v>
      </c>
      <c r="E982" s="17">
        <v>13</v>
      </c>
      <c r="F982" s="17">
        <f t="shared" si="185"/>
        <v>101.39999999999999</v>
      </c>
      <c r="G982" s="236"/>
      <c r="H982" s="236"/>
      <c r="I982" s="236"/>
      <c r="J982" s="242"/>
      <c r="L982" s="249"/>
      <c r="M982" s="236"/>
      <c r="N982" s="19" t="s">
        <v>346</v>
      </c>
      <c r="O982" s="17">
        <v>7.8</v>
      </c>
      <c r="P982" s="17">
        <v>13</v>
      </c>
      <c r="Q982" s="17">
        <f t="shared" si="186"/>
        <v>101.39999999999999</v>
      </c>
      <c r="R982" s="236"/>
      <c r="S982" s="236"/>
      <c r="T982" s="236"/>
      <c r="U982" s="242"/>
    </row>
    <row r="983" spans="1:21" ht="13">
      <c r="A983" s="270"/>
      <c r="B983" s="245"/>
      <c r="C983" s="19" t="s">
        <v>73</v>
      </c>
      <c r="D983" s="17">
        <v>36.4</v>
      </c>
      <c r="E983" s="17">
        <v>13</v>
      </c>
      <c r="F983" s="17">
        <f t="shared" si="185"/>
        <v>473.2</v>
      </c>
      <c r="G983" s="236"/>
      <c r="H983" s="236"/>
      <c r="I983" s="236"/>
      <c r="J983" s="242"/>
      <c r="L983" s="249"/>
      <c r="M983" s="236"/>
      <c r="N983" s="19" t="s">
        <v>73</v>
      </c>
      <c r="O983" s="17">
        <v>36.4</v>
      </c>
      <c r="P983" s="17">
        <v>13</v>
      </c>
      <c r="Q983" s="17">
        <f t="shared" si="186"/>
        <v>473.2</v>
      </c>
      <c r="R983" s="236"/>
      <c r="S983" s="236"/>
      <c r="T983" s="236"/>
      <c r="U983" s="242"/>
    </row>
    <row r="984" spans="1:21" ht="13">
      <c r="A984" s="270"/>
      <c r="B984" s="245"/>
      <c r="C984" s="19" t="s">
        <v>31</v>
      </c>
      <c r="D984" s="17">
        <v>19.149999999999999</v>
      </c>
      <c r="E984" s="17">
        <v>13</v>
      </c>
      <c r="F984" s="17">
        <f t="shared" si="185"/>
        <v>248.95</v>
      </c>
      <c r="G984" s="236"/>
      <c r="H984" s="236"/>
      <c r="I984" s="236"/>
      <c r="J984" s="242"/>
      <c r="L984" s="249"/>
      <c r="M984" s="236"/>
      <c r="N984" s="19" t="s">
        <v>31</v>
      </c>
      <c r="O984" s="17">
        <v>19.149999999999999</v>
      </c>
      <c r="P984" s="17">
        <v>13</v>
      </c>
      <c r="Q984" s="17">
        <f t="shared" si="186"/>
        <v>248.95</v>
      </c>
      <c r="R984" s="236"/>
      <c r="S984" s="236"/>
      <c r="T984" s="236"/>
      <c r="U984" s="242"/>
    </row>
    <row r="985" spans="1:21" ht="13">
      <c r="A985" s="270"/>
      <c r="B985" s="245"/>
      <c r="C985" s="19" t="s">
        <v>437</v>
      </c>
      <c r="D985" s="17">
        <v>24.5</v>
      </c>
      <c r="E985" s="17">
        <v>13</v>
      </c>
      <c r="F985" s="17">
        <f t="shared" si="185"/>
        <v>318.5</v>
      </c>
      <c r="G985" s="236"/>
      <c r="H985" s="236"/>
      <c r="I985" s="236"/>
      <c r="J985" s="242"/>
      <c r="L985" s="249"/>
      <c r="M985" s="236"/>
      <c r="N985" s="19" t="s">
        <v>437</v>
      </c>
      <c r="O985" s="17">
        <v>24.5</v>
      </c>
      <c r="P985" s="17">
        <v>13</v>
      </c>
      <c r="Q985" s="17">
        <f t="shared" si="186"/>
        <v>318.5</v>
      </c>
      <c r="R985" s="236"/>
      <c r="S985" s="236"/>
      <c r="T985" s="236"/>
      <c r="U985" s="242"/>
    </row>
    <row r="986" spans="1:21" ht="13">
      <c r="A986" s="270"/>
      <c r="B986" s="245"/>
      <c r="C986" s="19" t="s">
        <v>50</v>
      </c>
      <c r="D986" s="17">
        <v>30.5</v>
      </c>
      <c r="E986" s="17">
        <v>13</v>
      </c>
      <c r="F986" s="17">
        <f t="shared" si="185"/>
        <v>396.5</v>
      </c>
      <c r="G986" s="236"/>
      <c r="H986" s="236"/>
      <c r="I986" s="236"/>
      <c r="J986" s="242"/>
      <c r="L986" s="249"/>
      <c r="M986" s="236"/>
      <c r="N986" s="19" t="s">
        <v>50</v>
      </c>
      <c r="O986" s="17">
        <v>30.5</v>
      </c>
      <c r="P986" s="17">
        <v>13</v>
      </c>
      <c r="Q986" s="17">
        <f t="shared" si="186"/>
        <v>396.5</v>
      </c>
      <c r="R986" s="236"/>
      <c r="S986" s="236"/>
      <c r="T986" s="236"/>
      <c r="U986" s="242"/>
    </row>
    <row r="987" spans="1:21" ht="13">
      <c r="A987" s="270"/>
      <c r="B987" s="245"/>
      <c r="C987" s="19" t="s">
        <v>62</v>
      </c>
      <c r="D987" s="17">
        <v>20.12</v>
      </c>
      <c r="E987" s="17">
        <v>13</v>
      </c>
      <c r="F987" s="17">
        <f t="shared" si="185"/>
        <v>261.56</v>
      </c>
      <c r="G987" s="236"/>
      <c r="H987" s="236"/>
      <c r="I987" s="236"/>
      <c r="J987" s="242"/>
      <c r="L987" s="249"/>
      <c r="M987" s="236"/>
      <c r="N987" s="19" t="s">
        <v>62</v>
      </c>
      <c r="O987" s="17">
        <v>20.12</v>
      </c>
      <c r="P987" s="17">
        <v>13</v>
      </c>
      <c r="Q987" s="17">
        <f t="shared" si="186"/>
        <v>261.56</v>
      </c>
      <c r="R987" s="236"/>
      <c r="S987" s="236"/>
      <c r="T987" s="236"/>
      <c r="U987" s="242"/>
    </row>
    <row r="988" spans="1:21" ht="13">
      <c r="A988" s="270"/>
      <c r="B988" s="245"/>
      <c r="C988" s="19" t="s">
        <v>438</v>
      </c>
      <c r="D988" s="17"/>
      <c r="E988" s="17"/>
      <c r="F988" s="17">
        <v>100</v>
      </c>
      <c r="G988" s="236"/>
      <c r="H988" s="236"/>
      <c r="I988" s="236"/>
      <c r="J988" s="242"/>
      <c r="L988" s="249"/>
      <c r="M988" s="236"/>
      <c r="N988" s="19" t="s">
        <v>438</v>
      </c>
      <c r="O988" s="17"/>
      <c r="P988" s="17"/>
      <c r="Q988" s="17">
        <v>100</v>
      </c>
      <c r="R988" s="236"/>
      <c r="S988" s="236"/>
      <c r="T988" s="236"/>
      <c r="U988" s="242"/>
    </row>
    <row r="989" spans="1:21" ht="13">
      <c r="A989" s="270"/>
      <c r="B989" s="246"/>
      <c r="C989" s="20" t="s">
        <v>434</v>
      </c>
      <c r="D989" s="21"/>
      <c r="E989" s="21"/>
      <c r="F989" s="21">
        <v>3834.78</v>
      </c>
      <c r="G989" s="238"/>
      <c r="H989" s="238"/>
      <c r="I989" s="238"/>
      <c r="J989" s="243"/>
      <c r="L989" s="249"/>
      <c r="M989" s="248"/>
      <c r="N989" s="20" t="s">
        <v>434</v>
      </c>
      <c r="O989" s="21"/>
      <c r="P989" s="21"/>
      <c r="Q989" s="21">
        <v>3834.78</v>
      </c>
      <c r="R989" s="238"/>
      <c r="S989" s="238"/>
      <c r="T989" s="238"/>
      <c r="U989" s="243"/>
    </row>
    <row r="990" spans="1:21" ht="13">
      <c r="A990" s="270"/>
      <c r="B990" s="244" t="s">
        <v>439</v>
      </c>
      <c r="C990" s="15" t="s">
        <v>77</v>
      </c>
      <c r="D990" s="16">
        <v>43.4</v>
      </c>
      <c r="E990" s="16">
        <v>13</v>
      </c>
      <c r="F990" s="17">
        <f t="shared" ref="F990:F997" si="187">D990*E990</f>
        <v>564.19999999999993</v>
      </c>
      <c r="G990" s="240">
        <f>SUM(F990:F998)</f>
        <v>4268.84</v>
      </c>
      <c r="H990" s="237">
        <v>13912.64</v>
      </c>
      <c r="I990" s="237">
        <f>H990-G990</f>
        <v>9643.7999999999993</v>
      </c>
      <c r="J990" s="241">
        <f>I990/H990</f>
        <v>0.69316822687857949</v>
      </c>
      <c r="L990" s="249"/>
      <c r="M990" s="247" t="s">
        <v>439</v>
      </c>
      <c r="N990" s="15" t="s">
        <v>77</v>
      </c>
      <c r="O990" s="16">
        <v>43.4</v>
      </c>
      <c r="P990" s="16">
        <v>13</v>
      </c>
      <c r="Q990" s="17">
        <f t="shared" ref="Q990:Q997" si="188">O990*P990</f>
        <v>564.19999999999993</v>
      </c>
      <c r="R990" s="240">
        <f>SUM(Q990:Q998)</f>
        <v>4268.84</v>
      </c>
      <c r="S990" s="237">
        <v>13912.64</v>
      </c>
      <c r="T990" s="237">
        <f>S990-R990</f>
        <v>9643.7999999999993</v>
      </c>
      <c r="U990" s="241">
        <f>T990/S990</f>
        <v>0.69316822687857949</v>
      </c>
    </row>
    <row r="991" spans="1:21" ht="13">
      <c r="A991" s="270"/>
      <c r="B991" s="245"/>
      <c r="C991" s="19" t="s">
        <v>70</v>
      </c>
      <c r="D991" s="17">
        <v>30.1</v>
      </c>
      <c r="E991" s="17">
        <v>13</v>
      </c>
      <c r="F991" s="17">
        <f t="shared" si="187"/>
        <v>391.3</v>
      </c>
      <c r="G991" s="236"/>
      <c r="H991" s="236"/>
      <c r="I991" s="236"/>
      <c r="J991" s="242"/>
      <c r="L991" s="249"/>
      <c r="M991" s="236"/>
      <c r="N991" s="19" t="s">
        <v>70</v>
      </c>
      <c r="O991" s="17">
        <v>30.1</v>
      </c>
      <c r="P991" s="17">
        <v>13</v>
      </c>
      <c r="Q991" s="17">
        <f t="shared" si="188"/>
        <v>391.3</v>
      </c>
      <c r="R991" s="236"/>
      <c r="S991" s="236"/>
      <c r="T991" s="236"/>
      <c r="U991" s="242"/>
    </row>
    <row r="992" spans="1:21" ht="13">
      <c r="A992" s="270"/>
      <c r="B992" s="245"/>
      <c r="C992" s="19" t="s">
        <v>80</v>
      </c>
      <c r="D992" s="17">
        <v>16.100000000000001</v>
      </c>
      <c r="E992" s="17">
        <v>13</v>
      </c>
      <c r="F992" s="17">
        <f t="shared" si="187"/>
        <v>209.3</v>
      </c>
      <c r="G992" s="236"/>
      <c r="H992" s="236"/>
      <c r="I992" s="236"/>
      <c r="J992" s="242"/>
      <c r="L992" s="249"/>
      <c r="M992" s="236"/>
      <c r="N992" s="19" t="s">
        <v>80</v>
      </c>
      <c r="O992" s="17">
        <v>16.100000000000001</v>
      </c>
      <c r="P992" s="17">
        <v>13</v>
      </c>
      <c r="Q992" s="17">
        <f t="shared" si="188"/>
        <v>209.3</v>
      </c>
      <c r="R992" s="236"/>
      <c r="S992" s="236"/>
      <c r="T992" s="236"/>
      <c r="U992" s="242"/>
    </row>
    <row r="993" spans="1:21" ht="13">
      <c r="A993" s="270"/>
      <c r="B993" s="245"/>
      <c r="C993" s="19" t="s">
        <v>440</v>
      </c>
      <c r="D993" s="17">
        <v>5</v>
      </c>
      <c r="E993" s="17">
        <v>13</v>
      </c>
      <c r="F993" s="17">
        <f t="shared" si="187"/>
        <v>65</v>
      </c>
      <c r="G993" s="236"/>
      <c r="H993" s="236"/>
      <c r="I993" s="236"/>
      <c r="J993" s="242"/>
      <c r="L993" s="249"/>
      <c r="M993" s="236"/>
      <c r="N993" s="19" t="s">
        <v>440</v>
      </c>
      <c r="O993" s="17">
        <v>5</v>
      </c>
      <c r="P993" s="17">
        <v>13</v>
      </c>
      <c r="Q993" s="17">
        <f t="shared" si="188"/>
        <v>65</v>
      </c>
      <c r="R993" s="236"/>
      <c r="S993" s="236"/>
      <c r="T993" s="236"/>
      <c r="U993" s="242"/>
    </row>
    <row r="994" spans="1:21" ht="13">
      <c r="A994" s="270"/>
      <c r="B994" s="245"/>
      <c r="C994" s="19" t="s">
        <v>73</v>
      </c>
      <c r="D994" s="17">
        <v>14</v>
      </c>
      <c r="E994" s="17">
        <v>17</v>
      </c>
      <c r="F994" s="17">
        <f t="shared" si="187"/>
        <v>238</v>
      </c>
      <c r="G994" s="236"/>
      <c r="H994" s="236"/>
      <c r="I994" s="236"/>
      <c r="J994" s="242"/>
      <c r="L994" s="249"/>
      <c r="M994" s="236"/>
      <c r="N994" s="19" t="s">
        <v>73</v>
      </c>
      <c r="O994" s="17">
        <v>14</v>
      </c>
      <c r="P994" s="17">
        <v>17</v>
      </c>
      <c r="Q994" s="17">
        <f t="shared" si="188"/>
        <v>238</v>
      </c>
      <c r="R994" s="236"/>
      <c r="S994" s="236"/>
      <c r="T994" s="236"/>
      <c r="U994" s="242"/>
    </row>
    <row r="995" spans="1:21" ht="13">
      <c r="A995" s="270"/>
      <c r="B995" s="245"/>
      <c r="C995" s="19" t="s">
        <v>346</v>
      </c>
      <c r="D995" s="17">
        <v>5.27</v>
      </c>
      <c r="E995" s="17">
        <v>13</v>
      </c>
      <c r="F995" s="17">
        <f t="shared" si="187"/>
        <v>68.509999999999991</v>
      </c>
      <c r="G995" s="236"/>
      <c r="H995" s="236"/>
      <c r="I995" s="236"/>
      <c r="J995" s="242"/>
      <c r="L995" s="249"/>
      <c r="M995" s="236"/>
      <c r="N995" s="19" t="s">
        <v>346</v>
      </c>
      <c r="O995" s="17">
        <v>5.27</v>
      </c>
      <c r="P995" s="17">
        <v>13</v>
      </c>
      <c r="Q995" s="17">
        <f t="shared" si="188"/>
        <v>68.509999999999991</v>
      </c>
      <c r="R995" s="236"/>
      <c r="S995" s="236"/>
      <c r="T995" s="236"/>
      <c r="U995" s="242"/>
    </row>
    <row r="996" spans="1:21" ht="13">
      <c r="A996" s="270"/>
      <c r="B996" s="245"/>
      <c r="C996" s="19" t="s">
        <v>441</v>
      </c>
      <c r="D996" s="17">
        <v>7</v>
      </c>
      <c r="E996" s="17">
        <v>13</v>
      </c>
      <c r="F996" s="17">
        <f t="shared" si="187"/>
        <v>91</v>
      </c>
      <c r="G996" s="236"/>
      <c r="H996" s="236"/>
      <c r="I996" s="236"/>
      <c r="J996" s="242"/>
      <c r="L996" s="249"/>
      <c r="M996" s="236"/>
      <c r="N996" s="19" t="s">
        <v>441</v>
      </c>
      <c r="O996" s="17">
        <v>7</v>
      </c>
      <c r="P996" s="17">
        <v>13</v>
      </c>
      <c r="Q996" s="17">
        <f t="shared" si="188"/>
        <v>91</v>
      </c>
      <c r="R996" s="236"/>
      <c r="S996" s="236"/>
      <c r="T996" s="236"/>
      <c r="U996" s="242"/>
    </row>
    <row r="997" spans="1:21" ht="13">
      <c r="A997" s="270"/>
      <c r="B997" s="245"/>
      <c r="C997" s="19" t="s">
        <v>50</v>
      </c>
      <c r="D997" s="17">
        <v>13</v>
      </c>
      <c r="E997" s="17">
        <v>13</v>
      </c>
      <c r="F997" s="17">
        <f t="shared" si="187"/>
        <v>169</v>
      </c>
      <c r="G997" s="236"/>
      <c r="H997" s="236"/>
      <c r="I997" s="236"/>
      <c r="J997" s="242"/>
      <c r="L997" s="249"/>
      <c r="M997" s="236"/>
      <c r="N997" s="19" t="s">
        <v>50</v>
      </c>
      <c r="O997" s="17">
        <v>13</v>
      </c>
      <c r="P997" s="17">
        <v>13</v>
      </c>
      <c r="Q997" s="17">
        <f t="shared" si="188"/>
        <v>169</v>
      </c>
      <c r="R997" s="236"/>
      <c r="S997" s="236"/>
      <c r="T997" s="236"/>
      <c r="U997" s="242"/>
    </row>
    <row r="998" spans="1:21" ht="13">
      <c r="A998" s="270"/>
      <c r="B998" s="246"/>
      <c r="C998" s="20" t="s">
        <v>434</v>
      </c>
      <c r="D998" s="21"/>
      <c r="E998" s="21"/>
      <c r="F998" s="21">
        <v>2472.5300000000002</v>
      </c>
      <c r="G998" s="238"/>
      <c r="H998" s="238"/>
      <c r="I998" s="238"/>
      <c r="J998" s="243"/>
      <c r="L998" s="249"/>
      <c r="M998" s="248"/>
      <c r="N998" s="20" t="s">
        <v>434</v>
      </c>
      <c r="O998" s="21"/>
      <c r="P998" s="21"/>
      <c r="Q998" s="21">
        <v>2472.5300000000002</v>
      </c>
      <c r="R998" s="238"/>
      <c r="S998" s="238"/>
      <c r="T998" s="238"/>
      <c r="U998" s="243"/>
    </row>
    <row r="999" spans="1:21" ht="13">
      <c r="A999" s="270"/>
      <c r="B999" s="244" t="s">
        <v>442</v>
      </c>
      <c r="C999" s="15" t="s">
        <v>443</v>
      </c>
      <c r="D999" s="16">
        <v>12.45</v>
      </c>
      <c r="E999" s="16">
        <v>15</v>
      </c>
      <c r="F999" s="17">
        <f t="shared" ref="F999:F1004" si="189">D999*E999</f>
        <v>186.75</v>
      </c>
      <c r="G999" s="240">
        <f>SUM(F999:F1007)</f>
        <v>1669.45</v>
      </c>
      <c r="H999" s="237">
        <v>2735</v>
      </c>
      <c r="I999" s="237">
        <f>H999-G999</f>
        <v>1065.55</v>
      </c>
      <c r="J999" s="241">
        <f>I999/H999</f>
        <v>0.3895978062157221</v>
      </c>
      <c r="L999" s="249"/>
      <c r="M999" s="247" t="s">
        <v>442</v>
      </c>
      <c r="N999" s="15" t="s">
        <v>443</v>
      </c>
      <c r="O999" s="16">
        <v>12.45</v>
      </c>
      <c r="P999" s="16">
        <v>15</v>
      </c>
      <c r="Q999" s="17">
        <f t="shared" ref="Q999:Q1002" si="190">O999*P999</f>
        <v>186.75</v>
      </c>
      <c r="R999" s="240">
        <f>SUM(Q999:Q1007)</f>
        <v>1417.4499999999998</v>
      </c>
      <c r="S999" s="237">
        <v>2735</v>
      </c>
      <c r="T999" s="237">
        <f>S999-R999</f>
        <v>1317.5500000000002</v>
      </c>
      <c r="U999" s="241">
        <f>T999/S999</f>
        <v>0.48173674588665455</v>
      </c>
    </row>
    <row r="1000" spans="1:21" ht="13">
      <c r="A1000" s="270"/>
      <c r="B1000" s="245"/>
      <c r="C1000" s="19" t="s">
        <v>444</v>
      </c>
      <c r="D1000" s="17">
        <v>12.2</v>
      </c>
      <c r="E1000" s="17">
        <v>15</v>
      </c>
      <c r="F1000" s="17">
        <f t="shared" si="189"/>
        <v>183</v>
      </c>
      <c r="G1000" s="236"/>
      <c r="H1000" s="236"/>
      <c r="I1000" s="236"/>
      <c r="J1000" s="242"/>
      <c r="L1000" s="249"/>
      <c r="M1000" s="236"/>
      <c r="N1000" s="19" t="s">
        <v>444</v>
      </c>
      <c r="O1000" s="17">
        <v>12.2</v>
      </c>
      <c r="P1000" s="17">
        <v>15</v>
      </c>
      <c r="Q1000" s="17">
        <f t="shared" si="190"/>
        <v>183</v>
      </c>
      <c r="R1000" s="236"/>
      <c r="S1000" s="236"/>
      <c r="T1000" s="236"/>
      <c r="U1000" s="242"/>
    </row>
    <row r="1001" spans="1:21" ht="13">
      <c r="A1001" s="270"/>
      <c r="B1001" s="245"/>
      <c r="C1001" s="19" t="s">
        <v>31</v>
      </c>
      <c r="D1001" s="17">
        <v>10.5</v>
      </c>
      <c r="E1001" s="17">
        <v>15</v>
      </c>
      <c r="F1001" s="17">
        <f t="shared" si="189"/>
        <v>157.5</v>
      </c>
      <c r="G1001" s="236"/>
      <c r="H1001" s="236"/>
      <c r="I1001" s="236"/>
      <c r="J1001" s="242"/>
      <c r="L1001" s="249"/>
      <c r="M1001" s="236"/>
      <c r="N1001" s="19" t="s">
        <v>31</v>
      </c>
      <c r="O1001" s="17">
        <v>10.5</v>
      </c>
      <c r="P1001" s="17">
        <v>15</v>
      </c>
      <c r="Q1001" s="17">
        <f t="shared" si="190"/>
        <v>157.5</v>
      </c>
      <c r="R1001" s="236"/>
      <c r="S1001" s="236"/>
      <c r="T1001" s="236"/>
      <c r="U1001" s="242"/>
    </row>
    <row r="1002" spans="1:21" ht="13">
      <c r="A1002" s="270"/>
      <c r="B1002" s="245"/>
      <c r="C1002" s="19" t="s">
        <v>58</v>
      </c>
      <c r="D1002" s="17">
        <v>10</v>
      </c>
      <c r="E1002" s="17">
        <v>15</v>
      </c>
      <c r="F1002" s="17">
        <f t="shared" si="189"/>
        <v>150</v>
      </c>
      <c r="G1002" s="236"/>
      <c r="H1002" s="236"/>
      <c r="I1002" s="236"/>
      <c r="J1002" s="242"/>
      <c r="L1002" s="249"/>
      <c r="M1002" s="236"/>
      <c r="N1002" s="19" t="s">
        <v>58</v>
      </c>
      <c r="O1002" s="17">
        <v>10</v>
      </c>
      <c r="P1002" s="17">
        <v>15</v>
      </c>
      <c r="Q1002" s="17">
        <f t="shared" si="190"/>
        <v>150</v>
      </c>
      <c r="R1002" s="236"/>
      <c r="S1002" s="236"/>
      <c r="T1002" s="236"/>
      <c r="U1002" s="242"/>
    </row>
    <row r="1003" spans="1:21" ht="13">
      <c r="A1003" s="270"/>
      <c r="B1003" s="245"/>
      <c r="C1003" s="19" t="s">
        <v>23</v>
      </c>
      <c r="D1003" s="17">
        <v>14</v>
      </c>
      <c r="E1003" s="17">
        <v>18</v>
      </c>
      <c r="F1003" s="17">
        <f t="shared" si="189"/>
        <v>252</v>
      </c>
      <c r="G1003" s="236"/>
      <c r="H1003" s="236"/>
      <c r="I1003" s="236"/>
      <c r="J1003" s="242"/>
      <c r="L1003" s="249"/>
      <c r="M1003" s="236"/>
      <c r="N1003" s="19" t="s">
        <v>23</v>
      </c>
      <c r="O1003" s="18"/>
      <c r="P1003" s="18"/>
      <c r="Q1003" s="18"/>
      <c r="R1003" s="236"/>
      <c r="S1003" s="236"/>
      <c r="T1003" s="236"/>
      <c r="U1003" s="242"/>
    </row>
    <row r="1004" spans="1:21" ht="13">
      <c r="A1004" s="270"/>
      <c r="B1004" s="245"/>
      <c r="C1004" s="19" t="s">
        <v>62</v>
      </c>
      <c r="D1004" s="17">
        <v>10.82</v>
      </c>
      <c r="E1004" s="17">
        <v>15</v>
      </c>
      <c r="F1004" s="17">
        <f t="shared" si="189"/>
        <v>162.30000000000001</v>
      </c>
      <c r="G1004" s="236"/>
      <c r="H1004" s="236"/>
      <c r="I1004" s="236"/>
      <c r="J1004" s="242"/>
      <c r="L1004" s="249"/>
      <c r="M1004" s="236"/>
      <c r="N1004" s="19" t="s">
        <v>62</v>
      </c>
      <c r="O1004" s="17">
        <v>10.82</v>
      </c>
      <c r="P1004" s="17">
        <v>15</v>
      </c>
      <c r="Q1004" s="17">
        <f>O1004*P1004</f>
        <v>162.30000000000001</v>
      </c>
      <c r="R1004" s="236"/>
      <c r="S1004" s="236"/>
      <c r="T1004" s="236"/>
      <c r="U1004" s="242"/>
    </row>
    <row r="1005" spans="1:21" ht="13">
      <c r="A1005" s="270"/>
      <c r="B1005" s="245"/>
      <c r="C1005" s="19" t="s">
        <v>445</v>
      </c>
      <c r="D1005" s="17"/>
      <c r="E1005" s="17"/>
      <c r="F1005" s="17">
        <v>81.66</v>
      </c>
      <c r="G1005" s="236"/>
      <c r="H1005" s="236"/>
      <c r="I1005" s="236"/>
      <c r="J1005" s="242"/>
      <c r="L1005" s="249"/>
      <c r="M1005" s="236"/>
      <c r="N1005" s="19" t="s">
        <v>445</v>
      </c>
      <c r="O1005" s="17"/>
      <c r="P1005" s="17"/>
      <c r="Q1005" s="17">
        <v>81.66</v>
      </c>
      <c r="R1005" s="236"/>
      <c r="S1005" s="236"/>
      <c r="T1005" s="236"/>
      <c r="U1005" s="242"/>
    </row>
    <row r="1006" spans="1:21" ht="13">
      <c r="A1006" s="270"/>
      <c r="B1006" s="245"/>
      <c r="C1006" s="19" t="s">
        <v>47</v>
      </c>
      <c r="D1006" s="17"/>
      <c r="E1006" s="17"/>
      <c r="F1006" s="17">
        <v>376.24</v>
      </c>
      <c r="G1006" s="236"/>
      <c r="H1006" s="236"/>
      <c r="I1006" s="236"/>
      <c r="J1006" s="242"/>
      <c r="L1006" s="249"/>
      <c r="M1006" s="236"/>
      <c r="N1006" s="19" t="s">
        <v>47</v>
      </c>
      <c r="O1006" s="17"/>
      <c r="P1006" s="17"/>
      <c r="Q1006" s="17">
        <v>376.24</v>
      </c>
      <c r="R1006" s="236"/>
      <c r="S1006" s="236"/>
      <c r="T1006" s="236"/>
      <c r="U1006" s="242"/>
    </row>
    <row r="1007" spans="1:21" ht="13">
      <c r="A1007" s="270"/>
      <c r="B1007" s="246"/>
      <c r="C1007" s="20" t="s">
        <v>45</v>
      </c>
      <c r="D1007" s="21"/>
      <c r="E1007" s="21"/>
      <c r="F1007" s="21">
        <v>120</v>
      </c>
      <c r="G1007" s="238"/>
      <c r="H1007" s="238"/>
      <c r="I1007" s="238"/>
      <c r="J1007" s="243"/>
      <c r="L1007" s="249"/>
      <c r="M1007" s="248"/>
      <c r="N1007" s="20" t="s">
        <v>45</v>
      </c>
      <c r="O1007" s="21"/>
      <c r="P1007" s="21"/>
      <c r="Q1007" s="21">
        <v>120</v>
      </c>
      <c r="R1007" s="238"/>
      <c r="S1007" s="238"/>
      <c r="T1007" s="238"/>
      <c r="U1007" s="243"/>
    </row>
    <row r="1008" spans="1:21" ht="13">
      <c r="A1008" s="270"/>
      <c r="B1008" s="281" t="s">
        <v>446</v>
      </c>
      <c r="C1008" s="15" t="s">
        <v>23</v>
      </c>
      <c r="D1008" s="16">
        <v>7</v>
      </c>
      <c r="E1008" s="16">
        <v>18</v>
      </c>
      <c r="F1008" s="17">
        <f>D1008*E1008</f>
        <v>126</v>
      </c>
      <c r="G1008" s="240">
        <f>SUM(F1008:F1014)</f>
        <v>700.54</v>
      </c>
      <c r="H1008" s="237">
        <v>2925.44</v>
      </c>
      <c r="I1008" s="237">
        <f>H1008-G1008</f>
        <v>2224.9</v>
      </c>
      <c r="J1008" s="241">
        <f>I1008/H1008</f>
        <v>0.76053516735943993</v>
      </c>
      <c r="L1008" s="249"/>
      <c r="M1008" s="282" t="s">
        <v>446</v>
      </c>
      <c r="N1008" s="15" t="s">
        <v>23</v>
      </c>
      <c r="O1008" s="18"/>
      <c r="P1008" s="18"/>
      <c r="Q1008" s="18"/>
      <c r="R1008" s="240">
        <f>SUM(Q1008:Q1014)</f>
        <v>574.54</v>
      </c>
      <c r="S1008" s="237">
        <v>2925.44</v>
      </c>
      <c r="T1008" s="237">
        <f>S1008-R1008</f>
        <v>2350.9</v>
      </c>
      <c r="U1008" s="241">
        <f>T1008/S1008</f>
        <v>0.80360561146357468</v>
      </c>
    </row>
    <row r="1009" spans="1:21" ht="13">
      <c r="A1009" s="270"/>
      <c r="B1009" s="245"/>
      <c r="C1009" s="19" t="s">
        <v>447</v>
      </c>
      <c r="D1009" s="17"/>
      <c r="E1009" s="17"/>
      <c r="F1009" s="17">
        <v>34.549999999999997</v>
      </c>
      <c r="G1009" s="236"/>
      <c r="H1009" s="236"/>
      <c r="I1009" s="236"/>
      <c r="J1009" s="242"/>
      <c r="L1009" s="249"/>
      <c r="M1009" s="236"/>
      <c r="N1009" s="19" t="s">
        <v>447</v>
      </c>
      <c r="O1009" s="17"/>
      <c r="P1009" s="17"/>
      <c r="Q1009" s="17">
        <v>34.549999999999997</v>
      </c>
      <c r="R1009" s="236"/>
      <c r="S1009" s="236"/>
      <c r="T1009" s="236"/>
      <c r="U1009" s="242"/>
    </row>
    <row r="1010" spans="1:21" ht="13">
      <c r="A1010" s="270"/>
      <c r="B1010" s="245"/>
      <c r="C1010" s="19" t="s">
        <v>45</v>
      </c>
      <c r="D1010" s="17"/>
      <c r="E1010" s="17"/>
      <c r="F1010" s="17">
        <v>78.39</v>
      </c>
      <c r="G1010" s="236"/>
      <c r="H1010" s="236"/>
      <c r="I1010" s="236"/>
      <c r="J1010" s="242"/>
      <c r="L1010" s="249"/>
      <c r="M1010" s="236"/>
      <c r="N1010" s="19" t="s">
        <v>45</v>
      </c>
      <c r="O1010" s="17"/>
      <c r="P1010" s="17"/>
      <c r="Q1010" s="17">
        <v>78.39</v>
      </c>
      <c r="R1010" s="236"/>
      <c r="S1010" s="236"/>
      <c r="T1010" s="236"/>
      <c r="U1010" s="242"/>
    </row>
    <row r="1011" spans="1:21" ht="13">
      <c r="A1011" s="270"/>
      <c r="B1011" s="245"/>
      <c r="C1011" s="19" t="s">
        <v>155</v>
      </c>
      <c r="D1011" s="17"/>
      <c r="E1011" s="17"/>
      <c r="F1011" s="17">
        <v>333.8</v>
      </c>
      <c r="G1011" s="236"/>
      <c r="H1011" s="236"/>
      <c r="I1011" s="236"/>
      <c r="J1011" s="242"/>
      <c r="L1011" s="249"/>
      <c r="M1011" s="236"/>
      <c r="N1011" s="19" t="s">
        <v>155</v>
      </c>
      <c r="O1011" s="17"/>
      <c r="P1011" s="17"/>
      <c r="Q1011" s="17">
        <v>333.8</v>
      </c>
      <c r="R1011" s="236"/>
      <c r="S1011" s="236"/>
      <c r="T1011" s="236"/>
      <c r="U1011" s="242"/>
    </row>
    <row r="1012" spans="1:21" ht="13">
      <c r="A1012" s="270"/>
      <c r="B1012" s="245"/>
      <c r="C1012" s="19" t="s">
        <v>306</v>
      </c>
      <c r="D1012" s="17"/>
      <c r="E1012" s="17"/>
      <c r="F1012" s="17">
        <v>35</v>
      </c>
      <c r="G1012" s="236"/>
      <c r="H1012" s="236"/>
      <c r="I1012" s="236"/>
      <c r="J1012" s="242"/>
      <c r="L1012" s="249"/>
      <c r="M1012" s="236"/>
      <c r="N1012" s="19" t="s">
        <v>306</v>
      </c>
      <c r="O1012" s="17"/>
      <c r="P1012" s="17"/>
      <c r="Q1012" s="17">
        <v>35</v>
      </c>
      <c r="R1012" s="236"/>
      <c r="S1012" s="236"/>
      <c r="T1012" s="236"/>
      <c r="U1012" s="242"/>
    </row>
    <row r="1013" spans="1:21" ht="13">
      <c r="A1013" s="270"/>
      <c r="B1013" s="245"/>
      <c r="C1013" s="19" t="s">
        <v>434</v>
      </c>
      <c r="D1013" s="17"/>
      <c r="E1013" s="17"/>
      <c r="F1013" s="17">
        <v>65.8</v>
      </c>
      <c r="G1013" s="236"/>
      <c r="H1013" s="236"/>
      <c r="I1013" s="236"/>
      <c r="J1013" s="242"/>
      <c r="L1013" s="249"/>
      <c r="M1013" s="236"/>
      <c r="N1013" s="19" t="s">
        <v>434</v>
      </c>
      <c r="O1013" s="17"/>
      <c r="P1013" s="17"/>
      <c r="Q1013" s="17">
        <v>65.8</v>
      </c>
      <c r="R1013" s="236"/>
      <c r="S1013" s="236"/>
      <c r="T1013" s="236"/>
      <c r="U1013" s="242"/>
    </row>
    <row r="1014" spans="1:21" ht="13">
      <c r="A1014" s="270"/>
      <c r="B1014" s="246"/>
      <c r="C1014" s="20" t="s">
        <v>367</v>
      </c>
      <c r="D1014" s="21"/>
      <c r="E1014" s="21"/>
      <c r="F1014" s="21">
        <v>27</v>
      </c>
      <c r="G1014" s="238"/>
      <c r="H1014" s="238"/>
      <c r="I1014" s="238"/>
      <c r="J1014" s="243"/>
      <c r="L1014" s="249"/>
      <c r="M1014" s="248"/>
      <c r="N1014" s="20" t="s">
        <v>367</v>
      </c>
      <c r="O1014" s="21"/>
      <c r="P1014" s="21"/>
      <c r="Q1014" s="21">
        <v>27</v>
      </c>
      <c r="R1014" s="238"/>
      <c r="S1014" s="238"/>
      <c r="T1014" s="238"/>
      <c r="U1014" s="243"/>
    </row>
    <row r="1015" spans="1:21" ht="13">
      <c r="A1015" s="270"/>
      <c r="B1015" s="281" t="s">
        <v>448</v>
      </c>
      <c r="C1015" s="15" t="s">
        <v>285</v>
      </c>
      <c r="D1015" s="16">
        <v>35</v>
      </c>
      <c r="E1015" s="16">
        <v>13</v>
      </c>
      <c r="F1015" s="17">
        <f>D1015*E1015</f>
        <v>455</v>
      </c>
      <c r="G1015" s="240">
        <f>SUM(F1015:F1020)</f>
        <v>2794.84</v>
      </c>
      <c r="H1015" s="237">
        <v>4953.88</v>
      </c>
      <c r="I1015" s="237">
        <f>H1015-G1015</f>
        <v>2159.04</v>
      </c>
      <c r="J1015" s="241">
        <f>I1015/H1015</f>
        <v>0.43582807819325459</v>
      </c>
      <c r="L1015" s="249"/>
      <c r="M1015" s="282" t="s">
        <v>448</v>
      </c>
      <c r="N1015" s="15" t="s">
        <v>285</v>
      </c>
      <c r="O1015" s="18"/>
      <c r="P1015" s="18"/>
      <c r="Q1015" s="18"/>
      <c r="R1015" s="240">
        <f>SUM(Q1015:Q1020)</f>
        <v>2339.84</v>
      </c>
      <c r="S1015" s="237">
        <v>4953.88</v>
      </c>
      <c r="T1015" s="237">
        <f>S1015-R1015</f>
        <v>2614.04</v>
      </c>
      <c r="U1015" s="241">
        <f>T1015/S1015</f>
        <v>0.52767527675276749</v>
      </c>
    </row>
    <row r="1016" spans="1:21" ht="13">
      <c r="A1016" s="270"/>
      <c r="B1016" s="245"/>
      <c r="C1016" s="19" t="s">
        <v>449</v>
      </c>
      <c r="D1016" s="17"/>
      <c r="E1016" s="17"/>
      <c r="F1016" s="17">
        <v>1373</v>
      </c>
      <c r="G1016" s="236"/>
      <c r="H1016" s="236"/>
      <c r="I1016" s="236"/>
      <c r="J1016" s="242"/>
      <c r="L1016" s="249"/>
      <c r="M1016" s="236"/>
      <c r="N1016" s="19" t="s">
        <v>449</v>
      </c>
      <c r="O1016" s="17"/>
      <c r="P1016" s="17"/>
      <c r="Q1016" s="17">
        <v>1373</v>
      </c>
      <c r="R1016" s="236"/>
      <c r="S1016" s="236"/>
      <c r="T1016" s="236"/>
      <c r="U1016" s="242"/>
    </row>
    <row r="1017" spans="1:21" ht="13">
      <c r="A1017" s="270"/>
      <c r="B1017" s="245"/>
      <c r="C1017" s="19" t="s">
        <v>155</v>
      </c>
      <c r="D1017" s="17"/>
      <c r="E1017" s="17"/>
      <c r="F1017" s="17">
        <v>476.82</v>
      </c>
      <c r="G1017" s="236"/>
      <c r="H1017" s="236"/>
      <c r="I1017" s="236"/>
      <c r="J1017" s="242"/>
      <c r="L1017" s="249"/>
      <c r="M1017" s="236"/>
      <c r="N1017" s="19" t="s">
        <v>155</v>
      </c>
      <c r="O1017" s="17"/>
      <c r="P1017" s="17"/>
      <c r="Q1017" s="17">
        <v>476.82</v>
      </c>
      <c r="R1017" s="236"/>
      <c r="S1017" s="236"/>
      <c r="T1017" s="236"/>
      <c r="U1017" s="242"/>
    </row>
    <row r="1018" spans="1:21" ht="13">
      <c r="A1018" s="270"/>
      <c r="B1018" s="245"/>
      <c r="C1018" s="19" t="s">
        <v>46</v>
      </c>
      <c r="D1018" s="17"/>
      <c r="E1018" s="17"/>
      <c r="F1018" s="17">
        <v>157</v>
      </c>
      <c r="G1018" s="236"/>
      <c r="H1018" s="236"/>
      <c r="I1018" s="236"/>
      <c r="J1018" s="242"/>
      <c r="L1018" s="249"/>
      <c r="M1018" s="236"/>
      <c r="N1018" s="19" t="s">
        <v>46</v>
      </c>
      <c r="O1018" s="17"/>
      <c r="P1018" s="17"/>
      <c r="Q1018" s="17">
        <v>157</v>
      </c>
      <c r="R1018" s="236"/>
      <c r="S1018" s="236"/>
      <c r="T1018" s="236"/>
      <c r="U1018" s="242"/>
    </row>
    <row r="1019" spans="1:21" ht="13">
      <c r="A1019" s="270"/>
      <c r="B1019" s="245"/>
      <c r="C1019" s="19" t="s">
        <v>47</v>
      </c>
      <c r="D1019" s="17"/>
      <c r="E1019" s="17"/>
      <c r="F1019" s="17">
        <v>333.02</v>
      </c>
      <c r="G1019" s="236"/>
      <c r="H1019" s="236"/>
      <c r="I1019" s="236"/>
      <c r="J1019" s="242"/>
      <c r="L1019" s="249"/>
      <c r="M1019" s="236"/>
      <c r="N1019" s="19" t="s">
        <v>47</v>
      </c>
      <c r="O1019" s="17"/>
      <c r="P1019" s="17"/>
      <c r="Q1019" s="17">
        <v>333.02</v>
      </c>
      <c r="R1019" s="236"/>
      <c r="S1019" s="236"/>
      <c r="T1019" s="236"/>
      <c r="U1019" s="242"/>
    </row>
    <row r="1020" spans="1:21" ht="13">
      <c r="A1020" s="270"/>
      <c r="B1020" s="246"/>
      <c r="C1020" s="20"/>
      <c r="D1020" s="21"/>
      <c r="E1020" s="21"/>
      <c r="F1020" s="21"/>
      <c r="G1020" s="238"/>
      <c r="H1020" s="238"/>
      <c r="I1020" s="238"/>
      <c r="J1020" s="243"/>
      <c r="L1020" s="249"/>
      <c r="M1020" s="248"/>
      <c r="N1020" s="20"/>
      <c r="O1020" s="21"/>
      <c r="P1020" s="21"/>
      <c r="Q1020" s="21"/>
      <c r="R1020" s="238"/>
      <c r="S1020" s="238"/>
      <c r="T1020" s="238"/>
      <c r="U1020" s="243"/>
    </row>
    <row r="1021" spans="1:21" ht="13">
      <c r="A1021" s="270"/>
      <c r="B1021" s="244" t="s">
        <v>617</v>
      </c>
      <c r="C1021" s="64" t="s">
        <v>23</v>
      </c>
      <c r="D1021" s="50">
        <v>21</v>
      </c>
      <c r="E1021" s="50">
        <v>16</v>
      </c>
      <c r="F1021" s="65">
        <f>D1021*E1021</f>
        <v>336</v>
      </c>
      <c r="G1021" s="240">
        <f>SUM(F1021:F1034)</f>
        <v>4508.7199999999993</v>
      </c>
      <c r="H1021" s="240">
        <v>7000</v>
      </c>
      <c r="I1021" s="240">
        <f>H1021-G1021</f>
        <v>2491.2800000000007</v>
      </c>
      <c r="J1021" s="241">
        <f>I1021/H1021</f>
        <v>0.35589714285714297</v>
      </c>
      <c r="L1021" s="249"/>
      <c r="M1021" s="247" t="s">
        <v>617</v>
      </c>
      <c r="N1021" s="64" t="s">
        <v>23</v>
      </c>
      <c r="O1021" s="18"/>
      <c r="P1021" s="18"/>
      <c r="Q1021" s="18"/>
      <c r="R1021" s="240">
        <f>SUM(Q1021:Q1034)</f>
        <v>4172.7199999999993</v>
      </c>
      <c r="S1021" s="240">
        <v>7000</v>
      </c>
      <c r="T1021" s="240">
        <f>S1021-R1021</f>
        <v>2827.2800000000007</v>
      </c>
      <c r="U1021" s="241">
        <f>T1021/S1021</f>
        <v>0.40389714285714295</v>
      </c>
    </row>
    <row r="1022" spans="1:21" ht="13">
      <c r="A1022" s="270"/>
      <c r="B1022" s="245"/>
      <c r="C1022" s="22" t="s">
        <v>35</v>
      </c>
      <c r="D1022" s="23"/>
      <c r="E1022" s="23"/>
      <c r="F1022" s="23">
        <v>150</v>
      </c>
      <c r="G1022" s="236"/>
      <c r="H1022" s="236"/>
      <c r="I1022" s="236"/>
      <c r="J1022" s="242"/>
      <c r="L1022" s="249"/>
      <c r="M1022" s="236"/>
      <c r="N1022" s="22" t="s">
        <v>35</v>
      </c>
      <c r="O1022" s="23"/>
      <c r="P1022" s="23"/>
      <c r="Q1022" s="23">
        <v>150</v>
      </c>
      <c r="R1022" s="236"/>
      <c r="S1022" s="236"/>
      <c r="T1022" s="236"/>
      <c r="U1022" s="242"/>
    </row>
    <row r="1023" spans="1:21" ht="13">
      <c r="A1023" s="270"/>
      <c r="B1023" s="245"/>
      <c r="C1023" s="22" t="s">
        <v>618</v>
      </c>
      <c r="D1023" s="23">
        <v>11.82</v>
      </c>
      <c r="E1023" s="23">
        <v>17</v>
      </c>
      <c r="F1023" s="23">
        <f t="shared" ref="F1023:F1030" si="191">D1023*E1023</f>
        <v>200.94</v>
      </c>
      <c r="G1023" s="236"/>
      <c r="H1023" s="236"/>
      <c r="I1023" s="236"/>
      <c r="J1023" s="242"/>
      <c r="L1023" s="249"/>
      <c r="M1023" s="236"/>
      <c r="N1023" s="22" t="s">
        <v>618</v>
      </c>
      <c r="O1023" s="23">
        <v>11.82</v>
      </c>
      <c r="P1023" s="23">
        <v>17</v>
      </c>
      <c r="Q1023" s="23">
        <f t="shared" ref="Q1023:Q1030" si="192">O1023*P1023</f>
        <v>200.94</v>
      </c>
      <c r="R1023" s="236"/>
      <c r="S1023" s="236"/>
      <c r="T1023" s="236"/>
      <c r="U1023" s="242"/>
    </row>
    <row r="1024" spans="1:21" ht="13">
      <c r="A1024" s="270"/>
      <c r="B1024" s="245"/>
      <c r="C1024" s="22" t="s">
        <v>59</v>
      </c>
      <c r="D1024" s="23">
        <v>22.05</v>
      </c>
      <c r="E1024" s="23">
        <v>15</v>
      </c>
      <c r="F1024" s="23">
        <f t="shared" si="191"/>
        <v>330.75</v>
      </c>
      <c r="G1024" s="236"/>
      <c r="H1024" s="236"/>
      <c r="I1024" s="236"/>
      <c r="J1024" s="242"/>
      <c r="L1024" s="249"/>
      <c r="M1024" s="236"/>
      <c r="N1024" s="22" t="s">
        <v>59</v>
      </c>
      <c r="O1024" s="23">
        <v>22.05</v>
      </c>
      <c r="P1024" s="23">
        <v>15</v>
      </c>
      <c r="Q1024" s="23">
        <f t="shared" si="192"/>
        <v>330.75</v>
      </c>
      <c r="R1024" s="236"/>
      <c r="S1024" s="236"/>
      <c r="T1024" s="236"/>
      <c r="U1024" s="242"/>
    </row>
    <row r="1025" spans="1:21" ht="13">
      <c r="A1025" s="270"/>
      <c r="B1025" s="245"/>
      <c r="C1025" s="22" t="s">
        <v>417</v>
      </c>
      <c r="D1025" s="23">
        <v>34.85</v>
      </c>
      <c r="E1025" s="23">
        <v>15</v>
      </c>
      <c r="F1025" s="23">
        <f t="shared" si="191"/>
        <v>522.75</v>
      </c>
      <c r="G1025" s="236"/>
      <c r="H1025" s="236"/>
      <c r="I1025" s="236"/>
      <c r="J1025" s="242"/>
      <c r="L1025" s="249"/>
      <c r="M1025" s="236"/>
      <c r="N1025" s="22" t="s">
        <v>417</v>
      </c>
      <c r="O1025" s="23">
        <v>34.85</v>
      </c>
      <c r="P1025" s="23">
        <v>15</v>
      </c>
      <c r="Q1025" s="23">
        <f t="shared" si="192"/>
        <v>522.75</v>
      </c>
      <c r="R1025" s="236"/>
      <c r="S1025" s="236"/>
      <c r="T1025" s="236"/>
      <c r="U1025" s="242"/>
    </row>
    <row r="1026" spans="1:21" ht="13">
      <c r="A1026" s="270"/>
      <c r="B1026" s="245"/>
      <c r="C1026" s="24" t="s">
        <v>444</v>
      </c>
      <c r="D1026" s="23">
        <v>27.39</v>
      </c>
      <c r="E1026" s="23">
        <v>15</v>
      </c>
      <c r="F1026" s="23">
        <f t="shared" si="191"/>
        <v>410.85</v>
      </c>
      <c r="G1026" s="236"/>
      <c r="H1026" s="236"/>
      <c r="I1026" s="236"/>
      <c r="J1026" s="242"/>
      <c r="L1026" s="249"/>
      <c r="M1026" s="236"/>
      <c r="N1026" s="24" t="s">
        <v>444</v>
      </c>
      <c r="O1026" s="23">
        <v>27.39</v>
      </c>
      <c r="P1026" s="23">
        <v>15</v>
      </c>
      <c r="Q1026" s="23">
        <f t="shared" si="192"/>
        <v>410.85</v>
      </c>
      <c r="R1026" s="236"/>
      <c r="S1026" s="236"/>
      <c r="T1026" s="236"/>
      <c r="U1026" s="242"/>
    </row>
    <row r="1027" spans="1:21" ht="13">
      <c r="A1027" s="270"/>
      <c r="B1027" s="245"/>
      <c r="C1027" s="22" t="s">
        <v>231</v>
      </c>
      <c r="D1027" s="23">
        <v>35.880000000000003</v>
      </c>
      <c r="E1027" s="23">
        <v>15</v>
      </c>
      <c r="F1027" s="23">
        <f t="shared" si="191"/>
        <v>538.20000000000005</v>
      </c>
      <c r="G1027" s="236"/>
      <c r="H1027" s="236"/>
      <c r="I1027" s="236"/>
      <c r="J1027" s="242"/>
      <c r="L1027" s="249"/>
      <c r="M1027" s="236"/>
      <c r="N1027" s="22" t="s">
        <v>231</v>
      </c>
      <c r="O1027" s="23">
        <v>35.880000000000003</v>
      </c>
      <c r="P1027" s="23">
        <v>15</v>
      </c>
      <c r="Q1027" s="23">
        <f t="shared" si="192"/>
        <v>538.20000000000005</v>
      </c>
      <c r="R1027" s="236"/>
      <c r="S1027" s="236"/>
      <c r="T1027" s="236"/>
      <c r="U1027" s="242"/>
    </row>
    <row r="1028" spans="1:21" ht="13">
      <c r="A1028" s="270"/>
      <c r="B1028" s="245"/>
      <c r="C1028" s="22" t="s">
        <v>264</v>
      </c>
      <c r="D1028" s="23">
        <v>33.42</v>
      </c>
      <c r="E1028" s="23">
        <v>15</v>
      </c>
      <c r="F1028" s="23">
        <f t="shared" si="191"/>
        <v>501.3</v>
      </c>
      <c r="G1028" s="236"/>
      <c r="H1028" s="236"/>
      <c r="I1028" s="236"/>
      <c r="J1028" s="242"/>
      <c r="L1028" s="249"/>
      <c r="M1028" s="236"/>
      <c r="N1028" s="22" t="s">
        <v>264</v>
      </c>
      <c r="O1028" s="23">
        <v>33.42</v>
      </c>
      <c r="P1028" s="23">
        <v>15</v>
      </c>
      <c r="Q1028" s="23">
        <f t="shared" si="192"/>
        <v>501.3</v>
      </c>
      <c r="R1028" s="236"/>
      <c r="S1028" s="236"/>
      <c r="T1028" s="236"/>
      <c r="U1028" s="242"/>
    </row>
    <row r="1029" spans="1:21" ht="13">
      <c r="A1029" s="270"/>
      <c r="B1029" s="245"/>
      <c r="C1029" s="22" t="s">
        <v>32</v>
      </c>
      <c r="D1029" s="23">
        <v>35.22</v>
      </c>
      <c r="E1029" s="23">
        <v>15</v>
      </c>
      <c r="F1029" s="23">
        <f t="shared" si="191"/>
        <v>528.29999999999995</v>
      </c>
      <c r="G1029" s="236"/>
      <c r="H1029" s="236"/>
      <c r="I1029" s="236"/>
      <c r="J1029" s="242"/>
      <c r="L1029" s="249"/>
      <c r="M1029" s="236"/>
      <c r="N1029" s="22" t="s">
        <v>32</v>
      </c>
      <c r="O1029" s="23">
        <v>35.22</v>
      </c>
      <c r="P1029" s="23">
        <v>15</v>
      </c>
      <c r="Q1029" s="23">
        <f t="shared" si="192"/>
        <v>528.29999999999995</v>
      </c>
      <c r="R1029" s="236"/>
      <c r="S1029" s="236"/>
      <c r="T1029" s="236"/>
      <c r="U1029" s="242"/>
    </row>
    <row r="1030" spans="1:21" ht="13">
      <c r="A1030" s="270"/>
      <c r="B1030" s="245"/>
      <c r="C1030" s="22" t="s">
        <v>619</v>
      </c>
      <c r="D1030" s="23">
        <v>11.48</v>
      </c>
      <c r="E1030" s="23">
        <v>15</v>
      </c>
      <c r="F1030" s="23">
        <f t="shared" si="191"/>
        <v>172.20000000000002</v>
      </c>
      <c r="G1030" s="236"/>
      <c r="H1030" s="236"/>
      <c r="I1030" s="236"/>
      <c r="J1030" s="242"/>
      <c r="L1030" s="249"/>
      <c r="M1030" s="236"/>
      <c r="N1030" s="22" t="s">
        <v>619</v>
      </c>
      <c r="O1030" s="23">
        <v>11.48</v>
      </c>
      <c r="P1030" s="23">
        <v>15</v>
      </c>
      <c r="Q1030" s="23">
        <f t="shared" si="192"/>
        <v>172.20000000000002</v>
      </c>
      <c r="R1030" s="236"/>
      <c r="S1030" s="236"/>
      <c r="T1030" s="236"/>
      <c r="U1030" s="242"/>
    </row>
    <row r="1031" spans="1:21" ht="13">
      <c r="A1031" s="270"/>
      <c r="B1031" s="245"/>
      <c r="C1031" s="22" t="s">
        <v>45</v>
      </c>
      <c r="D1031" s="23"/>
      <c r="E1031" s="23"/>
      <c r="F1031" s="23">
        <v>120</v>
      </c>
      <c r="G1031" s="236"/>
      <c r="H1031" s="236"/>
      <c r="I1031" s="236"/>
      <c r="J1031" s="242"/>
      <c r="L1031" s="249"/>
      <c r="M1031" s="236"/>
      <c r="N1031" s="22" t="s">
        <v>45</v>
      </c>
      <c r="O1031" s="23"/>
      <c r="P1031" s="23"/>
      <c r="Q1031" s="23">
        <v>120</v>
      </c>
      <c r="R1031" s="236"/>
      <c r="S1031" s="236"/>
      <c r="T1031" s="236"/>
      <c r="U1031" s="242"/>
    </row>
    <row r="1032" spans="1:21" ht="13">
      <c r="A1032" s="270"/>
      <c r="B1032" s="245"/>
      <c r="C1032" s="22" t="s">
        <v>47</v>
      </c>
      <c r="D1032" s="23"/>
      <c r="E1032" s="23"/>
      <c r="F1032" s="23">
        <v>484.95</v>
      </c>
      <c r="G1032" s="236"/>
      <c r="H1032" s="236"/>
      <c r="I1032" s="236"/>
      <c r="J1032" s="242"/>
      <c r="L1032" s="249"/>
      <c r="M1032" s="236"/>
      <c r="N1032" s="22" t="s">
        <v>47</v>
      </c>
      <c r="O1032" s="23"/>
      <c r="P1032" s="23"/>
      <c r="Q1032" s="23">
        <v>484.95</v>
      </c>
      <c r="R1032" s="236"/>
      <c r="S1032" s="236"/>
      <c r="T1032" s="236"/>
      <c r="U1032" s="242"/>
    </row>
    <row r="1033" spans="1:21" ht="13">
      <c r="A1033" s="270"/>
      <c r="B1033" s="245"/>
      <c r="C1033" s="22" t="s">
        <v>44</v>
      </c>
      <c r="D1033" s="23"/>
      <c r="E1033" s="23"/>
      <c r="F1033" s="23">
        <v>60.5</v>
      </c>
      <c r="G1033" s="236"/>
      <c r="H1033" s="236"/>
      <c r="I1033" s="236"/>
      <c r="J1033" s="242"/>
      <c r="L1033" s="249"/>
      <c r="M1033" s="236"/>
      <c r="N1033" s="22" t="s">
        <v>44</v>
      </c>
      <c r="O1033" s="23"/>
      <c r="P1033" s="23"/>
      <c r="Q1033" s="23">
        <v>60.5</v>
      </c>
      <c r="R1033" s="236"/>
      <c r="S1033" s="236"/>
      <c r="T1033" s="236"/>
      <c r="U1033" s="242"/>
    </row>
    <row r="1034" spans="1:21" ht="13">
      <c r="A1034" s="270"/>
      <c r="B1034" s="246"/>
      <c r="C1034" s="25" t="s">
        <v>48</v>
      </c>
      <c r="D1034" s="26"/>
      <c r="E1034" s="26"/>
      <c r="F1034" s="26">
        <v>151.97999999999999</v>
      </c>
      <c r="G1034" s="238"/>
      <c r="H1034" s="238"/>
      <c r="I1034" s="238"/>
      <c r="J1034" s="243"/>
      <c r="L1034" s="249"/>
      <c r="M1034" s="248"/>
      <c r="N1034" s="25" t="s">
        <v>48</v>
      </c>
      <c r="O1034" s="26"/>
      <c r="P1034" s="26"/>
      <c r="Q1034" s="26">
        <v>151.97999999999999</v>
      </c>
      <c r="R1034" s="238"/>
      <c r="S1034" s="238"/>
      <c r="T1034" s="238"/>
      <c r="U1034" s="243"/>
    </row>
    <row r="1035" spans="1:21" ht="13">
      <c r="A1035" s="270"/>
      <c r="B1035" s="244" t="s">
        <v>620</v>
      </c>
      <c r="C1035" s="15" t="s">
        <v>436</v>
      </c>
      <c r="D1035" s="16">
        <v>14</v>
      </c>
      <c r="E1035" s="16">
        <v>18</v>
      </c>
      <c r="F1035" s="16">
        <f t="shared" ref="F1035:F1042" si="193">D1035*E1035</f>
        <v>252</v>
      </c>
      <c r="G1035" s="240">
        <f>SUM(F1035:F1043)</f>
        <v>1779.68</v>
      </c>
      <c r="H1035" s="237">
        <v>2678</v>
      </c>
      <c r="I1035" s="237">
        <f>H1035-G1035</f>
        <v>898.31999999999994</v>
      </c>
      <c r="J1035" s="241">
        <f>I1035/H1035</f>
        <v>0.33544436146377893</v>
      </c>
      <c r="L1035" s="249"/>
      <c r="M1035" s="247" t="s">
        <v>620</v>
      </c>
      <c r="N1035" s="15" t="s">
        <v>436</v>
      </c>
      <c r="O1035" s="18"/>
      <c r="P1035" s="18"/>
      <c r="Q1035" s="18"/>
      <c r="R1035" s="240">
        <f>SUM(Q1035:Q1043)</f>
        <v>1527.68</v>
      </c>
      <c r="S1035" s="237">
        <v>2678</v>
      </c>
      <c r="T1035" s="237">
        <f>S1035-R1035</f>
        <v>1150.32</v>
      </c>
      <c r="U1035" s="241">
        <f>T1035/S1035</f>
        <v>0.42954443614637788</v>
      </c>
    </row>
    <row r="1036" spans="1:21" ht="13">
      <c r="A1036" s="270"/>
      <c r="B1036" s="245"/>
      <c r="C1036" s="19" t="s">
        <v>57</v>
      </c>
      <c r="D1036" s="17">
        <v>14</v>
      </c>
      <c r="E1036" s="17">
        <v>15</v>
      </c>
      <c r="F1036" s="17">
        <f t="shared" si="193"/>
        <v>210</v>
      </c>
      <c r="G1036" s="236"/>
      <c r="H1036" s="236"/>
      <c r="I1036" s="236"/>
      <c r="J1036" s="242"/>
      <c r="L1036" s="249"/>
      <c r="M1036" s="236"/>
      <c r="N1036" s="19" t="s">
        <v>57</v>
      </c>
      <c r="O1036" s="17">
        <v>14</v>
      </c>
      <c r="P1036" s="17">
        <v>15</v>
      </c>
      <c r="Q1036" s="17">
        <f t="shared" ref="Q1036:Q1042" si="194">O1036*P1036</f>
        <v>210</v>
      </c>
      <c r="R1036" s="236"/>
      <c r="S1036" s="236"/>
      <c r="T1036" s="236"/>
      <c r="U1036" s="242"/>
    </row>
    <row r="1037" spans="1:21" ht="13">
      <c r="A1037" s="270"/>
      <c r="B1037" s="245"/>
      <c r="C1037" s="19" t="s">
        <v>266</v>
      </c>
      <c r="D1037" s="17">
        <v>23.64</v>
      </c>
      <c r="E1037" s="17">
        <v>13</v>
      </c>
      <c r="F1037" s="17">
        <f t="shared" si="193"/>
        <v>307.32</v>
      </c>
      <c r="G1037" s="236"/>
      <c r="H1037" s="236"/>
      <c r="I1037" s="236"/>
      <c r="J1037" s="242"/>
      <c r="L1037" s="249"/>
      <c r="M1037" s="236"/>
      <c r="N1037" s="19" t="s">
        <v>266</v>
      </c>
      <c r="O1037" s="17">
        <v>23.64</v>
      </c>
      <c r="P1037" s="17">
        <v>13</v>
      </c>
      <c r="Q1037" s="17">
        <f t="shared" si="194"/>
        <v>307.32</v>
      </c>
      <c r="R1037" s="236"/>
      <c r="S1037" s="236"/>
      <c r="T1037" s="236"/>
      <c r="U1037" s="242"/>
    </row>
    <row r="1038" spans="1:21" ht="13">
      <c r="A1038" s="270"/>
      <c r="B1038" s="245"/>
      <c r="C1038" s="19" t="s">
        <v>500</v>
      </c>
      <c r="D1038" s="17">
        <v>10.67</v>
      </c>
      <c r="E1038" s="17">
        <v>13</v>
      </c>
      <c r="F1038" s="17">
        <f t="shared" si="193"/>
        <v>138.71</v>
      </c>
      <c r="G1038" s="236"/>
      <c r="H1038" s="236"/>
      <c r="I1038" s="236"/>
      <c r="J1038" s="242"/>
      <c r="L1038" s="249"/>
      <c r="M1038" s="236"/>
      <c r="N1038" s="19" t="s">
        <v>500</v>
      </c>
      <c r="O1038" s="17">
        <v>10.67</v>
      </c>
      <c r="P1038" s="17">
        <v>13</v>
      </c>
      <c r="Q1038" s="17">
        <f t="shared" si="194"/>
        <v>138.71</v>
      </c>
      <c r="R1038" s="236"/>
      <c r="S1038" s="236"/>
      <c r="T1038" s="236"/>
      <c r="U1038" s="242"/>
    </row>
    <row r="1039" spans="1:21" ht="13">
      <c r="A1039" s="270"/>
      <c r="B1039" s="245"/>
      <c r="C1039" s="19" t="s">
        <v>27</v>
      </c>
      <c r="D1039" s="17">
        <v>11.78</v>
      </c>
      <c r="E1039" s="17">
        <v>13</v>
      </c>
      <c r="F1039" s="17">
        <f t="shared" si="193"/>
        <v>153.13999999999999</v>
      </c>
      <c r="G1039" s="236"/>
      <c r="H1039" s="236"/>
      <c r="I1039" s="236"/>
      <c r="J1039" s="242"/>
      <c r="L1039" s="249"/>
      <c r="M1039" s="236"/>
      <c r="N1039" s="19" t="s">
        <v>27</v>
      </c>
      <c r="O1039" s="17">
        <v>11.78</v>
      </c>
      <c r="P1039" s="17">
        <v>13</v>
      </c>
      <c r="Q1039" s="17">
        <f t="shared" si="194"/>
        <v>153.13999999999999</v>
      </c>
      <c r="R1039" s="236"/>
      <c r="S1039" s="236"/>
      <c r="T1039" s="236"/>
      <c r="U1039" s="242"/>
    </row>
    <row r="1040" spans="1:21" ht="13">
      <c r="A1040" s="270"/>
      <c r="B1040" s="245"/>
      <c r="C1040" s="19" t="s">
        <v>106</v>
      </c>
      <c r="D1040" s="17">
        <v>17.670000000000002</v>
      </c>
      <c r="E1040" s="17">
        <v>13</v>
      </c>
      <c r="F1040" s="17">
        <f t="shared" si="193"/>
        <v>229.71000000000004</v>
      </c>
      <c r="G1040" s="236"/>
      <c r="H1040" s="236"/>
      <c r="I1040" s="236"/>
      <c r="J1040" s="242"/>
      <c r="L1040" s="249"/>
      <c r="M1040" s="236"/>
      <c r="N1040" s="19" t="s">
        <v>106</v>
      </c>
      <c r="O1040" s="17">
        <v>17.670000000000002</v>
      </c>
      <c r="P1040" s="17">
        <v>13</v>
      </c>
      <c r="Q1040" s="17">
        <f t="shared" si="194"/>
        <v>229.71000000000004</v>
      </c>
      <c r="R1040" s="236"/>
      <c r="S1040" s="236"/>
      <c r="T1040" s="236"/>
      <c r="U1040" s="242"/>
    </row>
    <row r="1041" spans="1:21" ht="13">
      <c r="A1041" s="270"/>
      <c r="B1041" s="245"/>
      <c r="C1041" s="19" t="s">
        <v>621</v>
      </c>
      <c r="D1041" s="17">
        <v>15.77</v>
      </c>
      <c r="E1041" s="17">
        <v>13</v>
      </c>
      <c r="F1041" s="17">
        <f t="shared" si="193"/>
        <v>205.01</v>
      </c>
      <c r="G1041" s="236"/>
      <c r="H1041" s="236"/>
      <c r="I1041" s="236"/>
      <c r="J1041" s="242"/>
      <c r="L1041" s="249"/>
      <c r="M1041" s="236"/>
      <c r="N1041" s="19" t="s">
        <v>621</v>
      </c>
      <c r="O1041" s="17">
        <v>15.77</v>
      </c>
      <c r="P1041" s="17">
        <v>13</v>
      </c>
      <c r="Q1041" s="17">
        <f t="shared" si="194"/>
        <v>205.01</v>
      </c>
      <c r="R1041" s="236"/>
      <c r="S1041" s="236"/>
      <c r="T1041" s="236"/>
      <c r="U1041" s="242"/>
    </row>
    <row r="1042" spans="1:21" ht="13">
      <c r="A1042" s="270"/>
      <c r="B1042" s="245"/>
      <c r="C1042" s="19" t="s">
        <v>622</v>
      </c>
      <c r="D1042" s="17">
        <v>21.83</v>
      </c>
      <c r="E1042" s="17">
        <v>13</v>
      </c>
      <c r="F1042" s="17">
        <f t="shared" si="193"/>
        <v>283.78999999999996</v>
      </c>
      <c r="G1042" s="236"/>
      <c r="H1042" s="236"/>
      <c r="I1042" s="236"/>
      <c r="J1042" s="242"/>
      <c r="L1042" s="249"/>
      <c r="M1042" s="236"/>
      <c r="N1042" s="19" t="s">
        <v>622</v>
      </c>
      <c r="O1042" s="17">
        <v>21.83</v>
      </c>
      <c r="P1042" s="17">
        <v>13</v>
      </c>
      <c r="Q1042" s="17">
        <f t="shared" si="194"/>
        <v>283.78999999999996</v>
      </c>
      <c r="R1042" s="236"/>
      <c r="S1042" s="236"/>
      <c r="T1042" s="236"/>
      <c r="U1042" s="242"/>
    </row>
    <row r="1043" spans="1:21" ht="13">
      <c r="A1043" s="270"/>
      <c r="B1043" s="246"/>
      <c r="C1043" s="20"/>
      <c r="D1043" s="21"/>
      <c r="E1043" s="21"/>
      <c r="F1043" s="21"/>
      <c r="G1043" s="238"/>
      <c r="H1043" s="238"/>
      <c r="I1043" s="238"/>
      <c r="J1043" s="243"/>
      <c r="L1043" s="249"/>
      <c r="M1043" s="248"/>
      <c r="N1043" s="20"/>
      <c r="O1043" s="21"/>
      <c r="P1043" s="21"/>
      <c r="Q1043" s="21"/>
      <c r="R1043" s="238"/>
      <c r="S1043" s="238"/>
      <c r="T1043" s="238"/>
      <c r="U1043" s="243"/>
    </row>
    <row r="1044" spans="1:21" ht="13">
      <c r="A1044" s="270"/>
      <c r="B1044" s="244" t="s">
        <v>616</v>
      </c>
      <c r="C1044" s="15" t="s">
        <v>609</v>
      </c>
      <c r="D1044" s="16">
        <v>5.5</v>
      </c>
      <c r="E1044" s="16">
        <v>13</v>
      </c>
      <c r="F1044" s="16">
        <f t="shared" ref="F1044:F1047" si="195">D1044*E1044</f>
        <v>71.5</v>
      </c>
      <c r="G1044" s="240">
        <f>SUM(F1044:F1052)</f>
        <v>2106.59</v>
      </c>
      <c r="H1044" s="237">
        <v>4126.92</v>
      </c>
      <c r="I1044" s="237">
        <f>H1044-G1044</f>
        <v>2020.33</v>
      </c>
      <c r="J1044" s="241">
        <f>I1044/H1044</f>
        <v>0.48954910683996777</v>
      </c>
      <c r="L1044" s="249"/>
      <c r="M1044" s="244" t="s">
        <v>616</v>
      </c>
      <c r="N1044" s="15" t="s">
        <v>609</v>
      </c>
      <c r="O1044" s="16">
        <v>5.5</v>
      </c>
      <c r="P1044" s="16">
        <v>13</v>
      </c>
      <c r="Q1044" s="16">
        <f t="shared" ref="Q1044:Q1046" si="196">O1044*P1044</f>
        <v>71.5</v>
      </c>
      <c r="R1044" s="240">
        <f>SUM(Q1044:Q1052)</f>
        <v>1854.5900000000001</v>
      </c>
      <c r="S1044" s="237">
        <v>4126.92</v>
      </c>
      <c r="T1044" s="237">
        <f>S1044-R1044</f>
        <v>2272.33</v>
      </c>
      <c r="U1044" s="241">
        <f>T1044/S1044</f>
        <v>0.55061159411861627</v>
      </c>
    </row>
    <row r="1045" spans="1:21" ht="13">
      <c r="A1045" s="270"/>
      <c r="B1045" s="245"/>
      <c r="C1045" s="19" t="s">
        <v>57</v>
      </c>
      <c r="D1045" s="17">
        <v>17.43</v>
      </c>
      <c r="E1045" s="17">
        <v>15</v>
      </c>
      <c r="F1045" s="17">
        <f t="shared" si="195"/>
        <v>261.45</v>
      </c>
      <c r="G1045" s="236"/>
      <c r="H1045" s="236"/>
      <c r="I1045" s="236"/>
      <c r="J1045" s="242"/>
      <c r="L1045" s="249"/>
      <c r="M1045" s="245"/>
      <c r="N1045" s="19" t="s">
        <v>57</v>
      </c>
      <c r="O1045" s="17">
        <v>17.43</v>
      </c>
      <c r="P1045" s="17">
        <v>15</v>
      </c>
      <c r="Q1045" s="17">
        <f t="shared" si="196"/>
        <v>261.45</v>
      </c>
      <c r="R1045" s="236"/>
      <c r="S1045" s="236"/>
      <c r="T1045" s="236"/>
      <c r="U1045" s="242"/>
    </row>
    <row r="1046" spans="1:21" ht="13">
      <c r="A1046" s="270"/>
      <c r="B1046" s="245"/>
      <c r="C1046" s="19" t="s">
        <v>62</v>
      </c>
      <c r="D1046" s="17">
        <v>22.58</v>
      </c>
      <c r="E1046" s="17">
        <v>13</v>
      </c>
      <c r="F1046" s="17">
        <f t="shared" si="195"/>
        <v>293.53999999999996</v>
      </c>
      <c r="G1046" s="236"/>
      <c r="H1046" s="236"/>
      <c r="I1046" s="236"/>
      <c r="J1046" s="242"/>
      <c r="L1046" s="249"/>
      <c r="M1046" s="245"/>
      <c r="N1046" s="19" t="s">
        <v>62</v>
      </c>
      <c r="O1046" s="17">
        <v>22.58</v>
      </c>
      <c r="P1046" s="17">
        <v>13</v>
      </c>
      <c r="Q1046" s="17">
        <f t="shared" si="196"/>
        <v>293.53999999999996</v>
      </c>
      <c r="R1046" s="236"/>
      <c r="S1046" s="236"/>
      <c r="T1046" s="236"/>
      <c r="U1046" s="242"/>
    </row>
    <row r="1047" spans="1:21" ht="13">
      <c r="A1047" s="270"/>
      <c r="B1047" s="245"/>
      <c r="C1047" s="19" t="s">
        <v>23</v>
      </c>
      <c r="D1047" s="17">
        <v>14</v>
      </c>
      <c r="E1047" s="17">
        <v>18</v>
      </c>
      <c r="F1047" s="17">
        <f t="shared" si="195"/>
        <v>252</v>
      </c>
      <c r="G1047" s="236"/>
      <c r="H1047" s="236"/>
      <c r="I1047" s="236"/>
      <c r="J1047" s="242"/>
      <c r="L1047" s="249"/>
      <c r="M1047" s="245"/>
      <c r="N1047" s="19" t="s">
        <v>23</v>
      </c>
      <c r="O1047" s="18"/>
      <c r="P1047" s="18"/>
      <c r="Q1047" s="18"/>
      <c r="R1047" s="236"/>
      <c r="S1047" s="236"/>
      <c r="T1047" s="236"/>
      <c r="U1047" s="242"/>
    </row>
    <row r="1048" spans="1:21" ht="13">
      <c r="A1048" s="270"/>
      <c r="B1048" s="245"/>
      <c r="C1048" s="19" t="s">
        <v>35</v>
      </c>
      <c r="D1048" s="17"/>
      <c r="E1048" s="17"/>
      <c r="F1048" s="17">
        <v>400</v>
      </c>
      <c r="G1048" s="236"/>
      <c r="H1048" s="236"/>
      <c r="I1048" s="236"/>
      <c r="J1048" s="242"/>
      <c r="L1048" s="249"/>
      <c r="M1048" s="245"/>
      <c r="N1048" s="19" t="s">
        <v>35</v>
      </c>
      <c r="O1048" s="17"/>
      <c r="P1048" s="17"/>
      <c r="Q1048" s="17">
        <v>400</v>
      </c>
      <c r="R1048" s="236"/>
      <c r="S1048" s="236"/>
      <c r="T1048" s="236"/>
      <c r="U1048" s="242"/>
    </row>
    <row r="1049" spans="1:21" ht="13">
      <c r="A1049" s="270"/>
      <c r="B1049" s="245"/>
      <c r="C1049" s="19" t="s">
        <v>106</v>
      </c>
      <c r="D1049" s="17">
        <v>13.32</v>
      </c>
      <c r="E1049" s="17">
        <v>13</v>
      </c>
      <c r="F1049" s="17">
        <f t="shared" ref="F1049:F1052" si="197">D1049*E1049</f>
        <v>173.16</v>
      </c>
      <c r="G1049" s="236"/>
      <c r="H1049" s="236"/>
      <c r="I1049" s="236"/>
      <c r="J1049" s="242"/>
      <c r="L1049" s="249"/>
      <c r="M1049" s="245"/>
      <c r="N1049" s="19" t="s">
        <v>106</v>
      </c>
      <c r="O1049" s="17">
        <v>13.32</v>
      </c>
      <c r="P1049" s="17">
        <v>13</v>
      </c>
      <c r="Q1049" s="17">
        <f t="shared" ref="Q1049:Q1052" si="198">O1049*P1049</f>
        <v>173.16</v>
      </c>
      <c r="R1049" s="236"/>
      <c r="S1049" s="236"/>
      <c r="T1049" s="236"/>
      <c r="U1049" s="242"/>
    </row>
    <row r="1050" spans="1:21" ht="13">
      <c r="A1050" s="270"/>
      <c r="B1050" s="245"/>
      <c r="C1050" s="19" t="s">
        <v>58</v>
      </c>
      <c r="D1050" s="17">
        <v>19.23</v>
      </c>
      <c r="E1050" s="17">
        <v>13</v>
      </c>
      <c r="F1050" s="17">
        <f t="shared" si="197"/>
        <v>249.99</v>
      </c>
      <c r="G1050" s="236"/>
      <c r="H1050" s="236"/>
      <c r="I1050" s="236"/>
      <c r="J1050" s="242"/>
      <c r="L1050" s="249"/>
      <c r="M1050" s="245"/>
      <c r="N1050" s="19" t="s">
        <v>58</v>
      </c>
      <c r="O1050" s="17">
        <v>19.23</v>
      </c>
      <c r="P1050" s="17">
        <v>13</v>
      </c>
      <c r="Q1050" s="17">
        <f t="shared" si="198"/>
        <v>249.99</v>
      </c>
      <c r="R1050" s="236"/>
      <c r="S1050" s="236"/>
      <c r="T1050" s="236"/>
      <c r="U1050" s="242"/>
    </row>
    <row r="1051" spans="1:21" ht="13">
      <c r="A1051" s="270"/>
      <c r="B1051" s="245"/>
      <c r="C1051" s="19" t="s">
        <v>607</v>
      </c>
      <c r="D1051" s="17">
        <v>23.5</v>
      </c>
      <c r="E1051" s="17">
        <v>13</v>
      </c>
      <c r="F1051" s="17">
        <f t="shared" si="197"/>
        <v>305.5</v>
      </c>
      <c r="G1051" s="236"/>
      <c r="H1051" s="236"/>
      <c r="I1051" s="236"/>
      <c r="J1051" s="242"/>
      <c r="L1051" s="249"/>
      <c r="M1051" s="245"/>
      <c r="N1051" s="19" t="s">
        <v>607</v>
      </c>
      <c r="O1051" s="17">
        <v>23.5</v>
      </c>
      <c r="P1051" s="17">
        <v>13</v>
      </c>
      <c r="Q1051" s="17">
        <f t="shared" si="198"/>
        <v>305.5</v>
      </c>
      <c r="R1051" s="236"/>
      <c r="S1051" s="236"/>
      <c r="T1051" s="236"/>
      <c r="U1051" s="242"/>
    </row>
    <row r="1052" spans="1:21" ht="13">
      <c r="A1052" s="270"/>
      <c r="B1052" s="246"/>
      <c r="C1052" s="20" t="s">
        <v>26</v>
      </c>
      <c r="D1052" s="21">
        <v>7.65</v>
      </c>
      <c r="E1052" s="21">
        <v>13</v>
      </c>
      <c r="F1052" s="21">
        <f t="shared" si="197"/>
        <v>99.45</v>
      </c>
      <c r="G1052" s="238"/>
      <c r="H1052" s="238"/>
      <c r="I1052" s="238"/>
      <c r="J1052" s="243"/>
      <c r="L1052" s="249"/>
      <c r="M1052" s="246"/>
      <c r="N1052" s="20" t="s">
        <v>26</v>
      </c>
      <c r="O1052" s="21">
        <v>7.65</v>
      </c>
      <c r="P1052" s="21">
        <v>13</v>
      </c>
      <c r="Q1052" s="21">
        <f t="shared" si="198"/>
        <v>99.45</v>
      </c>
      <c r="R1052" s="238"/>
      <c r="S1052" s="238"/>
      <c r="T1052" s="238"/>
      <c r="U1052" s="243"/>
    </row>
    <row r="1053" spans="1:21" ht="30">
      <c r="A1053" s="278" t="s">
        <v>450</v>
      </c>
      <c r="B1053" s="252"/>
      <c r="C1053" s="253"/>
      <c r="D1053" s="56">
        <f t="shared" ref="D1053:I1053" si="199">AVERAGE(D912:D1052)</f>
        <v>21.885681818181823</v>
      </c>
      <c r="E1053" s="56">
        <f t="shared" si="199"/>
        <v>14.659090909090908</v>
      </c>
      <c r="F1053" s="56">
        <f t="shared" si="199"/>
        <v>361.61607407407416</v>
      </c>
      <c r="G1053" s="56">
        <f t="shared" si="199"/>
        <v>3051.1356250000008</v>
      </c>
      <c r="H1053" s="56">
        <f t="shared" si="199"/>
        <v>6552.96875</v>
      </c>
      <c r="I1053" s="56">
        <f t="shared" si="199"/>
        <v>3501.8331249999997</v>
      </c>
      <c r="J1053" s="57">
        <f>AVERAGE($J$12:$J$76)</f>
        <v>0.79942354689485917</v>
      </c>
      <c r="L1053" s="278" t="s">
        <v>450</v>
      </c>
      <c r="M1053" s="252"/>
      <c r="N1053" s="253"/>
      <c r="O1053" s="56">
        <f t="shared" ref="O1053:T1053" si="200">AVERAGE(O912:O1052)</f>
        <v>21.012702702702708</v>
      </c>
      <c r="P1053" s="56">
        <f t="shared" si="200"/>
        <v>14.162162162162161</v>
      </c>
      <c r="Q1053" s="56">
        <f t="shared" si="200"/>
        <v>350.75347107438017</v>
      </c>
      <c r="R1053" s="56">
        <f t="shared" si="200"/>
        <v>2652.5731250000008</v>
      </c>
      <c r="S1053" s="56">
        <f t="shared" si="200"/>
        <v>6552.96875</v>
      </c>
      <c r="T1053" s="56">
        <f t="shared" si="200"/>
        <v>3900.3956249999997</v>
      </c>
      <c r="U1053" s="57">
        <f>AVERAGE($J$12:$J$76)</f>
        <v>0.79942354689485917</v>
      </c>
    </row>
    <row r="1054" spans="1:21" ht="30">
      <c r="A1054" s="279" t="s">
        <v>451</v>
      </c>
      <c r="B1054" s="255"/>
      <c r="C1054" s="256"/>
      <c r="D1054" s="72">
        <f t="shared" ref="D1054:I1054" si="201">SUM(D912:D1052)</f>
        <v>1925.9400000000003</v>
      </c>
      <c r="E1054" s="72">
        <f t="shared" si="201"/>
        <v>1290</v>
      </c>
      <c r="F1054" s="72">
        <f t="shared" si="201"/>
        <v>48818.170000000013</v>
      </c>
      <c r="G1054" s="72">
        <f t="shared" si="201"/>
        <v>48818.170000000013</v>
      </c>
      <c r="H1054" s="72">
        <f t="shared" si="201"/>
        <v>104847.5</v>
      </c>
      <c r="I1054" s="72">
        <f t="shared" si="201"/>
        <v>56029.329999999994</v>
      </c>
      <c r="J1054" s="76">
        <f t="shared" ref="J1054:J1055" si="202">I1054/H1054</f>
        <v>0.53438880278499723</v>
      </c>
      <c r="L1054" s="279" t="s">
        <v>451</v>
      </c>
      <c r="M1054" s="255"/>
      <c r="N1054" s="256"/>
      <c r="O1054" s="72">
        <f t="shared" ref="O1054:T1054" si="203">SUM(O912:O1052)</f>
        <v>1554.9400000000003</v>
      </c>
      <c r="P1054" s="72">
        <f t="shared" si="203"/>
        <v>1048</v>
      </c>
      <c r="Q1054" s="72">
        <f t="shared" si="203"/>
        <v>42441.17</v>
      </c>
      <c r="R1054" s="72">
        <f t="shared" si="203"/>
        <v>42441.170000000013</v>
      </c>
      <c r="S1054" s="72">
        <f t="shared" si="203"/>
        <v>104847.5</v>
      </c>
      <c r="T1054" s="72">
        <f t="shared" si="203"/>
        <v>62406.329999999994</v>
      </c>
      <c r="U1054" s="76">
        <f t="shared" ref="U1054:U1055" si="204">T1054/S1054</f>
        <v>0.59521047235270264</v>
      </c>
    </row>
    <row r="1055" spans="1:21" ht="13">
      <c r="A1055" s="288" t="s">
        <v>8</v>
      </c>
      <c r="B1055" s="281" t="s">
        <v>452</v>
      </c>
      <c r="C1055" s="15" t="s">
        <v>32</v>
      </c>
      <c r="D1055" s="16">
        <v>8.44</v>
      </c>
      <c r="E1055" s="16">
        <v>13</v>
      </c>
      <c r="F1055" s="17">
        <f t="shared" ref="F1055:F1057" si="205">D1055*E1055</f>
        <v>109.72</v>
      </c>
      <c r="G1055" s="240">
        <f>SUM(F1055:F1058)</f>
        <v>302.64</v>
      </c>
      <c r="H1055" s="237">
        <v>1693.44</v>
      </c>
      <c r="I1055" s="237">
        <f>H1055-G1055</f>
        <v>1390.8000000000002</v>
      </c>
      <c r="J1055" s="241">
        <f t="shared" si="202"/>
        <v>0.82128684807256247</v>
      </c>
      <c r="L1055" s="288" t="s">
        <v>8</v>
      </c>
      <c r="M1055" s="281" t="s">
        <v>452</v>
      </c>
      <c r="N1055" s="15" t="s">
        <v>32</v>
      </c>
      <c r="O1055" s="16">
        <v>8.44</v>
      </c>
      <c r="P1055" s="16">
        <v>13</v>
      </c>
      <c r="Q1055" s="17">
        <f t="shared" ref="Q1055:Q1057" si="206">O1055*P1055</f>
        <v>109.72</v>
      </c>
      <c r="R1055" s="240">
        <f>SUM(Q1055:Q1058)</f>
        <v>302.64</v>
      </c>
      <c r="S1055" s="237">
        <v>1693.44</v>
      </c>
      <c r="T1055" s="237">
        <f>S1055-R1055</f>
        <v>1390.8000000000002</v>
      </c>
      <c r="U1055" s="241">
        <f t="shared" si="204"/>
        <v>0.82128684807256247</v>
      </c>
    </row>
    <row r="1056" spans="1:21" ht="13">
      <c r="A1056" s="270"/>
      <c r="B1056" s="245"/>
      <c r="C1056" s="19" t="s">
        <v>298</v>
      </c>
      <c r="D1056" s="17">
        <v>6.95</v>
      </c>
      <c r="E1056" s="17">
        <v>13</v>
      </c>
      <c r="F1056" s="17">
        <f t="shared" si="205"/>
        <v>90.350000000000009</v>
      </c>
      <c r="G1056" s="236"/>
      <c r="H1056" s="236"/>
      <c r="I1056" s="236"/>
      <c r="J1056" s="242"/>
      <c r="L1056" s="270"/>
      <c r="M1056" s="245"/>
      <c r="N1056" s="19" t="s">
        <v>298</v>
      </c>
      <c r="O1056" s="17">
        <v>6.95</v>
      </c>
      <c r="P1056" s="17">
        <v>13</v>
      </c>
      <c r="Q1056" s="17">
        <f t="shared" si="206"/>
        <v>90.350000000000009</v>
      </c>
      <c r="R1056" s="236"/>
      <c r="S1056" s="236"/>
      <c r="T1056" s="236"/>
      <c r="U1056" s="242"/>
    </row>
    <row r="1057" spans="1:21" ht="13">
      <c r="A1057" s="270"/>
      <c r="B1057" s="245"/>
      <c r="C1057" s="19" t="s">
        <v>55</v>
      </c>
      <c r="D1057" s="17">
        <v>7.89</v>
      </c>
      <c r="E1057" s="17">
        <v>13</v>
      </c>
      <c r="F1057" s="17">
        <f t="shared" si="205"/>
        <v>102.57</v>
      </c>
      <c r="G1057" s="236"/>
      <c r="H1057" s="236"/>
      <c r="I1057" s="236"/>
      <c r="J1057" s="242"/>
      <c r="L1057" s="270"/>
      <c r="M1057" s="245"/>
      <c r="N1057" s="19" t="s">
        <v>55</v>
      </c>
      <c r="O1057" s="17">
        <v>7.89</v>
      </c>
      <c r="P1057" s="17">
        <v>13</v>
      </c>
      <c r="Q1057" s="17">
        <f t="shared" si="206"/>
        <v>102.57</v>
      </c>
      <c r="R1057" s="236"/>
      <c r="S1057" s="236"/>
      <c r="T1057" s="236"/>
      <c r="U1057" s="242"/>
    </row>
    <row r="1058" spans="1:21" ht="13">
      <c r="A1058" s="270"/>
      <c r="B1058" s="246"/>
      <c r="C1058" s="20"/>
      <c r="D1058" s="21"/>
      <c r="E1058" s="21"/>
      <c r="F1058" s="21"/>
      <c r="G1058" s="238"/>
      <c r="H1058" s="238"/>
      <c r="I1058" s="238"/>
      <c r="J1058" s="243"/>
      <c r="L1058" s="270"/>
      <c r="M1058" s="246"/>
      <c r="N1058" s="20"/>
      <c r="O1058" s="21"/>
      <c r="P1058" s="21"/>
      <c r="Q1058" s="21"/>
      <c r="R1058" s="238"/>
      <c r="S1058" s="238"/>
      <c r="T1058" s="238"/>
      <c r="U1058" s="243"/>
    </row>
    <row r="1059" spans="1:21" ht="13">
      <c r="A1059" s="270"/>
      <c r="B1059" s="281" t="s">
        <v>453</v>
      </c>
      <c r="C1059" s="15" t="s">
        <v>23</v>
      </c>
      <c r="D1059" s="16">
        <v>14</v>
      </c>
      <c r="E1059" s="16">
        <v>18</v>
      </c>
      <c r="F1059" s="17">
        <f>D1059*E1059</f>
        <v>252</v>
      </c>
      <c r="G1059" s="240">
        <f>SUM(F1059:F1066)</f>
        <v>786.78</v>
      </c>
      <c r="H1059" s="237">
        <v>2981.22</v>
      </c>
      <c r="I1059" s="237">
        <f>H1059-G1059</f>
        <v>2194.4399999999996</v>
      </c>
      <c r="J1059" s="241">
        <f>I1059/H1059</f>
        <v>0.73608791031859433</v>
      </c>
      <c r="L1059" s="270"/>
      <c r="M1059" s="281" t="s">
        <v>453</v>
      </c>
      <c r="N1059" s="15" t="s">
        <v>23</v>
      </c>
      <c r="O1059" s="18"/>
      <c r="P1059" s="18"/>
      <c r="Q1059" s="18"/>
      <c r="R1059" s="240">
        <f>SUM(Q1059:Q1066)</f>
        <v>534.78</v>
      </c>
      <c r="S1059" s="237">
        <v>2981.22</v>
      </c>
      <c r="T1059" s="237">
        <f>S1059-R1059</f>
        <v>2446.4399999999996</v>
      </c>
      <c r="U1059" s="241">
        <f>T1059/S1059</f>
        <v>0.82061706281321067</v>
      </c>
    </row>
    <row r="1060" spans="1:21" ht="13">
      <c r="A1060" s="270"/>
      <c r="B1060" s="245"/>
      <c r="C1060" s="19" t="s">
        <v>31</v>
      </c>
      <c r="D1060" s="17"/>
      <c r="E1060" s="17"/>
      <c r="F1060" s="17">
        <v>120</v>
      </c>
      <c r="G1060" s="236"/>
      <c r="H1060" s="236"/>
      <c r="I1060" s="236"/>
      <c r="J1060" s="242"/>
      <c r="L1060" s="270"/>
      <c r="M1060" s="245"/>
      <c r="N1060" s="19" t="s">
        <v>31</v>
      </c>
      <c r="O1060" s="17"/>
      <c r="P1060" s="17"/>
      <c r="Q1060" s="17">
        <v>120</v>
      </c>
      <c r="R1060" s="236"/>
      <c r="S1060" s="236"/>
      <c r="T1060" s="236"/>
      <c r="U1060" s="242"/>
    </row>
    <row r="1061" spans="1:21" ht="13">
      <c r="A1061" s="270"/>
      <c r="B1061" s="245"/>
      <c r="C1061" s="19" t="s">
        <v>47</v>
      </c>
      <c r="D1061" s="17"/>
      <c r="E1061" s="17"/>
      <c r="F1061" s="17">
        <v>146.93</v>
      </c>
      <c r="G1061" s="236"/>
      <c r="H1061" s="236"/>
      <c r="I1061" s="236"/>
      <c r="J1061" s="242"/>
      <c r="L1061" s="270"/>
      <c r="M1061" s="245"/>
      <c r="N1061" s="19" t="s">
        <v>47</v>
      </c>
      <c r="O1061" s="17"/>
      <c r="P1061" s="17"/>
      <c r="Q1061" s="17">
        <v>146.93</v>
      </c>
      <c r="R1061" s="236"/>
      <c r="S1061" s="236"/>
      <c r="T1061" s="236"/>
      <c r="U1061" s="242"/>
    </row>
    <row r="1062" spans="1:21" ht="13">
      <c r="A1062" s="270"/>
      <c r="B1062" s="245"/>
      <c r="C1062" s="19" t="s">
        <v>45</v>
      </c>
      <c r="D1062" s="17"/>
      <c r="E1062" s="17"/>
      <c r="F1062" s="17">
        <v>67</v>
      </c>
      <c r="G1062" s="236"/>
      <c r="H1062" s="236"/>
      <c r="I1062" s="236"/>
      <c r="J1062" s="242"/>
      <c r="L1062" s="270"/>
      <c r="M1062" s="245"/>
      <c r="N1062" s="19" t="s">
        <v>45</v>
      </c>
      <c r="O1062" s="17"/>
      <c r="P1062" s="17"/>
      <c r="Q1062" s="17">
        <v>67</v>
      </c>
      <c r="R1062" s="236"/>
      <c r="S1062" s="236"/>
      <c r="T1062" s="236"/>
      <c r="U1062" s="242"/>
    </row>
    <row r="1063" spans="1:21" ht="13">
      <c r="A1063" s="270"/>
      <c r="B1063" s="245"/>
      <c r="C1063" s="19" t="s">
        <v>212</v>
      </c>
      <c r="D1063" s="17"/>
      <c r="E1063" s="17"/>
      <c r="F1063" s="17">
        <v>50.6</v>
      </c>
      <c r="G1063" s="236"/>
      <c r="H1063" s="236"/>
      <c r="I1063" s="236"/>
      <c r="J1063" s="242"/>
      <c r="L1063" s="270"/>
      <c r="M1063" s="245"/>
      <c r="N1063" s="19" t="s">
        <v>212</v>
      </c>
      <c r="O1063" s="17"/>
      <c r="P1063" s="17"/>
      <c r="Q1063" s="17">
        <v>50.6</v>
      </c>
      <c r="R1063" s="236"/>
      <c r="S1063" s="236"/>
      <c r="T1063" s="236"/>
      <c r="U1063" s="242"/>
    </row>
    <row r="1064" spans="1:21" ht="13">
      <c r="A1064" s="270"/>
      <c r="B1064" s="245"/>
      <c r="C1064" s="19" t="s">
        <v>240</v>
      </c>
      <c r="D1064" s="17"/>
      <c r="E1064" s="17"/>
      <c r="F1064" s="17">
        <v>62.69</v>
      </c>
      <c r="G1064" s="236"/>
      <c r="H1064" s="236"/>
      <c r="I1064" s="236"/>
      <c r="J1064" s="242"/>
      <c r="L1064" s="270"/>
      <c r="M1064" s="245"/>
      <c r="N1064" s="19" t="s">
        <v>240</v>
      </c>
      <c r="O1064" s="17"/>
      <c r="P1064" s="17"/>
      <c r="Q1064" s="17">
        <v>62.69</v>
      </c>
      <c r="R1064" s="236"/>
      <c r="S1064" s="236"/>
      <c r="T1064" s="236"/>
      <c r="U1064" s="242"/>
    </row>
    <row r="1065" spans="1:21" ht="13">
      <c r="A1065" s="270"/>
      <c r="B1065" s="245"/>
      <c r="C1065" s="19" t="s">
        <v>33</v>
      </c>
      <c r="D1065" s="17"/>
      <c r="E1065" s="17"/>
      <c r="F1065" s="17">
        <v>87.56</v>
      </c>
      <c r="G1065" s="236"/>
      <c r="H1065" s="236"/>
      <c r="I1065" s="236"/>
      <c r="J1065" s="242"/>
      <c r="L1065" s="270"/>
      <c r="M1065" s="245"/>
      <c r="N1065" s="19" t="s">
        <v>33</v>
      </c>
      <c r="O1065" s="17"/>
      <c r="P1065" s="17"/>
      <c r="Q1065" s="17">
        <v>87.56</v>
      </c>
      <c r="R1065" s="236"/>
      <c r="S1065" s="236"/>
      <c r="T1065" s="236"/>
      <c r="U1065" s="242"/>
    </row>
    <row r="1066" spans="1:21" ht="13">
      <c r="A1066" s="270"/>
      <c r="B1066" s="246"/>
      <c r="C1066" s="20"/>
      <c r="D1066" s="21"/>
      <c r="E1066" s="21"/>
      <c r="F1066" s="21"/>
      <c r="G1066" s="238"/>
      <c r="H1066" s="238"/>
      <c r="I1066" s="238"/>
      <c r="J1066" s="243"/>
      <c r="L1066" s="270"/>
      <c r="M1066" s="246"/>
      <c r="N1066" s="20"/>
      <c r="O1066" s="21"/>
      <c r="P1066" s="21"/>
      <c r="Q1066" s="21"/>
      <c r="R1066" s="238"/>
      <c r="S1066" s="238"/>
      <c r="T1066" s="238"/>
      <c r="U1066" s="243"/>
    </row>
    <row r="1067" spans="1:21" ht="13">
      <c r="A1067" s="270"/>
      <c r="B1067" s="281" t="s">
        <v>454</v>
      </c>
      <c r="C1067" s="15" t="s">
        <v>23</v>
      </c>
      <c r="D1067" s="16">
        <v>21</v>
      </c>
      <c r="E1067" s="16">
        <v>18</v>
      </c>
      <c r="F1067" s="17">
        <f t="shared" ref="F1067:F1068" si="207">D1067*E1067</f>
        <v>378</v>
      </c>
      <c r="G1067" s="240">
        <f>SUM(F1067:F1073)</f>
        <v>1310.57</v>
      </c>
      <c r="H1067" s="237">
        <v>3375.5</v>
      </c>
      <c r="I1067" s="237">
        <f>H1067-G1067</f>
        <v>2064.9300000000003</v>
      </c>
      <c r="J1067" s="241">
        <f>I1067/H1067</f>
        <v>0.61174048289142358</v>
      </c>
      <c r="L1067" s="270"/>
      <c r="M1067" s="281" t="s">
        <v>454</v>
      </c>
      <c r="N1067" s="15" t="s">
        <v>23</v>
      </c>
      <c r="O1067" s="18"/>
      <c r="P1067" s="18"/>
      <c r="Q1067" s="18"/>
      <c r="R1067" s="240">
        <f>SUM(Q1067:Q1073)</f>
        <v>932.56999999999994</v>
      </c>
      <c r="S1067" s="237">
        <v>3375.5</v>
      </c>
      <c r="T1067" s="237">
        <f>S1067-R1067</f>
        <v>2442.9300000000003</v>
      </c>
      <c r="U1067" s="241">
        <f>T1067/S1067</f>
        <v>0.72372389275662874</v>
      </c>
    </row>
    <row r="1068" spans="1:21" ht="13">
      <c r="A1068" s="270"/>
      <c r="B1068" s="245"/>
      <c r="C1068" s="19" t="s">
        <v>31</v>
      </c>
      <c r="D1068" s="17">
        <v>12.2</v>
      </c>
      <c r="E1068" s="17">
        <v>17</v>
      </c>
      <c r="F1068" s="17">
        <f t="shared" si="207"/>
        <v>207.39999999999998</v>
      </c>
      <c r="G1068" s="236"/>
      <c r="H1068" s="236"/>
      <c r="I1068" s="236"/>
      <c r="J1068" s="242"/>
      <c r="L1068" s="270"/>
      <c r="M1068" s="245"/>
      <c r="N1068" s="19" t="s">
        <v>31</v>
      </c>
      <c r="O1068" s="17">
        <v>12.2</v>
      </c>
      <c r="P1068" s="17">
        <v>17</v>
      </c>
      <c r="Q1068" s="17">
        <f>O1068*P1068</f>
        <v>207.39999999999998</v>
      </c>
      <c r="R1068" s="236"/>
      <c r="S1068" s="236"/>
      <c r="T1068" s="236"/>
      <c r="U1068" s="242"/>
    </row>
    <row r="1069" spans="1:21" ht="13">
      <c r="A1069" s="270"/>
      <c r="B1069" s="245"/>
      <c r="C1069" s="19" t="s">
        <v>47</v>
      </c>
      <c r="D1069" s="17"/>
      <c r="E1069" s="17"/>
      <c r="F1069" s="17">
        <v>255.28</v>
      </c>
      <c r="G1069" s="236"/>
      <c r="H1069" s="236"/>
      <c r="I1069" s="236"/>
      <c r="J1069" s="242"/>
      <c r="L1069" s="270"/>
      <c r="M1069" s="245"/>
      <c r="N1069" s="19" t="s">
        <v>47</v>
      </c>
      <c r="O1069" s="17"/>
      <c r="P1069" s="17"/>
      <c r="Q1069" s="17">
        <v>255.28</v>
      </c>
      <c r="R1069" s="236"/>
      <c r="S1069" s="236"/>
      <c r="T1069" s="236"/>
      <c r="U1069" s="242"/>
    </row>
    <row r="1070" spans="1:21" ht="13">
      <c r="A1070" s="270"/>
      <c r="B1070" s="245"/>
      <c r="C1070" s="19" t="s">
        <v>45</v>
      </c>
      <c r="D1070" s="17"/>
      <c r="E1070" s="17"/>
      <c r="F1070" s="17">
        <v>207</v>
      </c>
      <c r="G1070" s="236"/>
      <c r="H1070" s="236"/>
      <c r="I1070" s="236"/>
      <c r="J1070" s="242"/>
      <c r="L1070" s="270"/>
      <c r="M1070" s="245"/>
      <c r="N1070" s="19" t="s">
        <v>45</v>
      </c>
      <c r="O1070" s="17"/>
      <c r="P1070" s="17"/>
      <c r="Q1070" s="17">
        <v>207</v>
      </c>
      <c r="R1070" s="236"/>
      <c r="S1070" s="236"/>
      <c r="T1070" s="236"/>
      <c r="U1070" s="242"/>
    </row>
    <row r="1071" spans="1:21" ht="13">
      <c r="A1071" s="270"/>
      <c r="B1071" s="245"/>
      <c r="C1071" s="19" t="s">
        <v>212</v>
      </c>
      <c r="D1071" s="17"/>
      <c r="E1071" s="17"/>
      <c r="F1071" s="17">
        <v>149.24</v>
      </c>
      <c r="G1071" s="236"/>
      <c r="H1071" s="236"/>
      <c r="I1071" s="236"/>
      <c r="J1071" s="242"/>
      <c r="L1071" s="270"/>
      <c r="M1071" s="245"/>
      <c r="N1071" s="19" t="s">
        <v>212</v>
      </c>
      <c r="O1071" s="17"/>
      <c r="P1071" s="17"/>
      <c r="Q1071" s="17">
        <v>149.24</v>
      </c>
      <c r="R1071" s="236"/>
      <c r="S1071" s="236"/>
      <c r="T1071" s="236"/>
      <c r="U1071" s="242"/>
    </row>
    <row r="1072" spans="1:21" ht="13">
      <c r="A1072" s="270"/>
      <c r="B1072" s="245"/>
      <c r="C1072" s="19" t="s">
        <v>240</v>
      </c>
      <c r="D1072" s="17"/>
      <c r="E1072" s="17"/>
      <c r="F1072" s="17">
        <v>113.65</v>
      </c>
      <c r="G1072" s="236"/>
      <c r="H1072" s="236"/>
      <c r="I1072" s="236"/>
      <c r="J1072" s="242"/>
      <c r="L1072" s="270"/>
      <c r="M1072" s="245"/>
      <c r="N1072" s="19" t="s">
        <v>240</v>
      </c>
      <c r="O1072" s="17"/>
      <c r="P1072" s="17"/>
      <c r="Q1072" s="17">
        <v>113.65</v>
      </c>
      <c r="R1072" s="236"/>
      <c r="S1072" s="236"/>
      <c r="T1072" s="236"/>
      <c r="U1072" s="242"/>
    </row>
    <row r="1073" spans="1:21" ht="13">
      <c r="A1073" s="270"/>
      <c r="B1073" s="246"/>
      <c r="C1073" s="20"/>
      <c r="D1073" s="21"/>
      <c r="E1073" s="21"/>
      <c r="F1073" s="21"/>
      <c r="G1073" s="238"/>
      <c r="H1073" s="238"/>
      <c r="I1073" s="238"/>
      <c r="J1073" s="243"/>
      <c r="L1073" s="270"/>
      <c r="M1073" s="246"/>
      <c r="N1073" s="20"/>
      <c r="O1073" s="21"/>
      <c r="P1073" s="21"/>
      <c r="Q1073" s="21"/>
      <c r="R1073" s="238"/>
      <c r="S1073" s="238"/>
      <c r="T1073" s="238"/>
      <c r="U1073" s="243"/>
    </row>
    <row r="1074" spans="1:21" ht="13">
      <c r="A1074" s="270"/>
      <c r="B1074" s="282" t="s">
        <v>455</v>
      </c>
      <c r="C1074" s="15" t="s">
        <v>70</v>
      </c>
      <c r="D1074" s="16"/>
      <c r="E1074" s="16"/>
      <c r="F1074" s="17">
        <v>150</v>
      </c>
      <c r="G1074" s="240">
        <f>SUM(F1074:F1080)</f>
        <v>793.2</v>
      </c>
      <c r="H1074" s="237">
        <v>2575.44</v>
      </c>
      <c r="I1074" s="237">
        <f>H1074-G1074</f>
        <v>1782.24</v>
      </c>
      <c r="J1074" s="241">
        <f>I1074/H1074</f>
        <v>0.69201379181809708</v>
      </c>
      <c r="L1074" s="270"/>
      <c r="M1074" s="282" t="s">
        <v>455</v>
      </c>
      <c r="N1074" s="15" t="s">
        <v>70</v>
      </c>
      <c r="O1074" s="16"/>
      <c r="P1074" s="16"/>
      <c r="Q1074" s="17">
        <v>150</v>
      </c>
      <c r="R1074" s="240">
        <f>SUM(Q1074:Q1080)</f>
        <v>793.2</v>
      </c>
      <c r="S1074" s="237">
        <v>2575.44</v>
      </c>
      <c r="T1074" s="237">
        <f>S1074-R1074</f>
        <v>1782.24</v>
      </c>
      <c r="U1074" s="241">
        <f>T1074/S1074</f>
        <v>0.69201379181809708</v>
      </c>
    </row>
    <row r="1075" spans="1:21" ht="13">
      <c r="A1075" s="270"/>
      <c r="B1075" s="236"/>
      <c r="C1075" s="19" t="s">
        <v>155</v>
      </c>
      <c r="D1075" s="17"/>
      <c r="E1075" s="17"/>
      <c r="F1075" s="17">
        <v>258.60000000000002</v>
      </c>
      <c r="G1075" s="236"/>
      <c r="H1075" s="236"/>
      <c r="I1075" s="236"/>
      <c r="J1075" s="242"/>
      <c r="L1075" s="270"/>
      <c r="M1075" s="236"/>
      <c r="N1075" s="19" t="s">
        <v>155</v>
      </c>
      <c r="O1075" s="17"/>
      <c r="P1075" s="17"/>
      <c r="Q1075" s="17">
        <v>258.60000000000002</v>
      </c>
      <c r="R1075" s="236"/>
      <c r="S1075" s="236"/>
      <c r="T1075" s="236"/>
      <c r="U1075" s="242"/>
    </row>
    <row r="1076" spans="1:21" ht="13">
      <c r="A1076" s="270"/>
      <c r="B1076" s="236"/>
      <c r="C1076" s="19" t="s">
        <v>47</v>
      </c>
      <c r="D1076" s="17"/>
      <c r="E1076" s="17"/>
      <c r="F1076" s="17">
        <v>60.89</v>
      </c>
      <c r="G1076" s="236"/>
      <c r="H1076" s="236"/>
      <c r="I1076" s="236"/>
      <c r="J1076" s="242"/>
      <c r="L1076" s="270"/>
      <c r="M1076" s="236"/>
      <c r="N1076" s="19" t="s">
        <v>47</v>
      </c>
      <c r="O1076" s="17"/>
      <c r="P1076" s="17"/>
      <c r="Q1076" s="17">
        <v>60.89</v>
      </c>
      <c r="R1076" s="236"/>
      <c r="S1076" s="236"/>
      <c r="T1076" s="236"/>
      <c r="U1076" s="242"/>
    </row>
    <row r="1077" spans="1:21" ht="13">
      <c r="A1077" s="270"/>
      <c r="B1077" s="236"/>
      <c r="C1077" s="19" t="s">
        <v>45</v>
      </c>
      <c r="D1077" s="17"/>
      <c r="E1077" s="17"/>
      <c r="F1077" s="17">
        <v>123.1</v>
      </c>
      <c r="G1077" s="236"/>
      <c r="H1077" s="236"/>
      <c r="I1077" s="236"/>
      <c r="J1077" s="242"/>
      <c r="L1077" s="270"/>
      <c r="M1077" s="236"/>
      <c r="N1077" s="19" t="s">
        <v>45</v>
      </c>
      <c r="O1077" s="17"/>
      <c r="P1077" s="17"/>
      <c r="Q1077" s="17">
        <v>123.1</v>
      </c>
      <c r="R1077" s="236"/>
      <c r="S1077" s="236"/>
      <c r="T1077" s="236"/>
      <c r="U1077" s="242"/>
    </row>
    <row r="1078" spans="1:21" ht="13">
      <c r="A1078" s="270"/>
      <c r="B1078" s="236"/>
      <c r="C1078" s="19" t="s">
        <v>212</v>
      </c>
      <c r="D1078" s="17"/>
      <c r="E1078" s="17"/>
      <c r="F1078" s="17">
        <v>113.3</v>
      </c>
      <c r="G1078" s="236"/>
      <c r="H1078" s="236"/>
      <c r="I1078" s="236"/>
      <c r="J1078" s="242"/>
      <c r="L1078" s="270"/>
      <c r="M1078" s="236"/>
      <c r="N1078" s="19" t="s">
        <v>212</v>
      </c>
      <c r="O1078" s="17"/>
      <c r="P1078" s="17"/>
      <c r="Q1078" s="17">
        <v>113.3</v>
      </c>
      <c r="R1078" s="236"/>
      <c r="S1078" s="236"/>
      <c r="T1078" s="236"/>
      <c r="U1078" s="242"/>
    </row>
    <row r="1079" spans="1:21" ht="13">
      <c r="A1079" s="270"/>
      <c r="B1079" s="236"/>
      <c r="C1079" s="19" t="s">
        <v>240</v>
      </c>
      <c r="D1079" s="17"/>
      <c r="E1079" s="17"/>
      <c r="F1079" s="17">
        <v>24.09</v>
      </c>
      <c r="G1079" s="236"/>
      <c r="H1079" s="236"/>
      <c r="I1079" s="236"/>
      <c r="J1079" s="242"/>
      <c r="L1079" s="270"/>
      <c r="M1079" s="236"/>
      <c r="N1079" s="19" t="s">
        <v>240</v>
      </c>
      <c r="O1079" s="17"/>
      <c r="P1079" s="17"/>
      <c r="Q1079" s="17">
        <v>24.09</v>
      </c>
      <c r="R1079" s="236"/>
      <c r="S1079" s="236"/>
      <c r="T1079" s="236"/>
      <c r="U1079" s="242"/>
    </row>
    <row r="1080" spans="1:21" ht="13">
      <c r="A1080" s="270"/>
      <c r="B1080" s="248"/>
      <c r="C1080" s="20" t="s">
        <v>33</v>
      </c>
      <c r="D1080" s="21"/>
      <c r="E1080" s="21"/>
      <c r="F1080" s="21">
        <v>63.22</v>
      </c>
      <c r="G1080" s="238"/>
      <c r="H1080" s="238"/>
      <c r="I1080" s="238"/>
      <c r="J1080" s="243"/>
      <c r="L1080" s="270"/>
      <c r="M1080" s="248"/>
      <c r="N1080" s="20" t="s">
        <v>33</v>
      </c>
      <c r="O1080" s="21"/>
      <c r="P1080" s="21"/>
      <c r="Q1080" s="21">
        <v>63.22</v>
      </c>
      <c r="R1080" s="238"/>
      <c r="S1080" s="238"/>
      <c r="T1080" s="238"/>
      <c r="U1080" s="243"/>
    </row>
    <row r="1081" spans="1:21" ht="13">
      <c r="A1081" s="270"/>
      <c r="B1081" s="247" t="s">
        <v>456</v>
      </c>
      <c r="C1081" s="15" t="s">
        <v>457</v>
      </c>
      <c r="D1081" s="16">
        <v>58</v>
      </c>
      <c r="E1081" s="16">
        <v>17</v>
      </c>
      <c r="F1081" s="17">
        <f t="shared" ref="F1081:F1087" si="208">D1081*E1081</f>
        <v>986</v>
      </c>
      <c r="G1081" s="240">
        <f>SUM(F1081:F1087)</f>
        <v>3112.15</v>
      </c>
      <c r="H1081" s="237">
        <v>9900</v>
      </c>
      <c r="I1081" s="237">
        <f>H1081-G1081</f>
        <v>6787.85</v>
      </c>
      <c r="J1081" s="241">
        <f>I1081/H1081</f>
        <v>0.68564141414141422</v>
      </c>
      <c r="L1081" s="270"/>
      <c r="M1081" s="247" t="s">
        <v>456</v>
      </c>
      <c r="N1081" s="15" t="s">
        <v>457</v>
      </c>
      <c r="O1081" s="16">
        <v>58</v>
      </c>
      <c r="P1081" s="16">
        <v>17</v>
      </c>
      <c r="Q1081" s="17">
        <f t="shared" ref="Q1081:Q1087" si="209">O1081*P1081</f>
        <v>986</v>
      </c>
      <c r="R1081" s="240">
        <f>SUM(Q1081:Q1087)</f>
        <v>3112.15</v>
      </c>
      <c r="S1081" s="237">
        <v>9900</v>
      </c>
      <c r="T1081" s="237">
        <f>S1081-R1081</f>
        <v>6787.85</v>
      </c>
      <c r="U1081" s="241">
        <f>T1081/S1081</f>
        <v>0.68564141414141422</v>
      </c>
    </row>
    <row r="1082" spans="1:21" ht="13">
      <c r="A1082" s="270"/>
      <c r="B1082" s="236"/>
      <c r="C1082" s="19" t="s">
        <v>76</v>
      </c>
      <c r="D1082" s="17">
        <v>39.549999999999997</v>
      </c>
      <c r="E1082" s="17">
        <v>17</v>
      </c>
      <c r="F1082" s="17">
        <f t="shared" si="208"/>
        <v>672.34999999999991</v>
      </c>
      <c r="G1082" s="236"/>
      <c r="H1082" s="236"/>
      <c r="I1082" s="236"/>
      <c r="J1082" s="242"/>
      <c r="L1082" s="270"/>
      <c r="M1082" s="236"/>
      <c r="N1082" s="19" t="s">
        <v>76</v>
      </c>
      <c r="O1082" s="17">
        <v>39.549999999999997</v>
      </c>
      <c r="P1082" s="17">
        <v>17</v>
      </c>
      <c r="Q1082" s="17">
        <f t="shared" si="209"/>
        <v>672.34999999999991</v>
      </c>
      <c r="R1082" s="236"/>
      <c r="S1082" s="236"/>
      <c r="T1082" s="236"/>
      <c r="U1082" s="242"/>
    </row>
    <row r="1083" spans="1:21" ht="13">
      <c r="A1083" s="270"/>
      <c r="B1083" s="236"/>
      <c r="C1083" s="19" t="s">
        <v>137</v>
      </c>
      <c r="D1083" s="17">
        <v>30.58</v>
      </c>
      <c r="E1083" s="17">
        <v>15</v>
      </c>
      <c r="F1083" s="17">
        <f t="shared" si="208"/>
        <v>458.7</v>
      </c>
      <c r="G1083" s="236"/>
      <c r="H1083" s="236"/>
      <c r="I1083" s="236"/>
      <c r="J1083" s="242"/>
      <c r="L1083" s="270"/>
      <c r="M1083" s="236"/>
      <c r="N1083" s="19" t="s">
        <v>137</v>
      </c>
      <c r="O1083" s="17">
        <v>30.58</v>
      </c>
      <c r="P1083" s="17">
        <v>15</v>
      </c>
      <c r="Q1083" s="17">
        <f t="shared" si="209"/>
        <v>458.7</v>
      </c>
      <c r="R1083" s="236"/>
      <c r="S1083" s="236"/>
      <c r="T1083" s="236"/>
      <c r="U1083" s="242"/>
    </row>
    <row r="1084" spans="1:21" ht="13">
      <c r="A1084" s="270"/>
      <c r="B1084" s="236"/>
      <c r="C1084" s="19" t="s">
        <v>62</v>
      </c>
      <c r="D1084" s="17">
        <v>13.82</v>
      </c>
      <c r="E1084" s="17">
        <v>15</v>
      </c>
      <c r="F1084" s="17">
        <f t="shared" si="208"/>
        <v>207.3</v>
      </c>
      <c r="G1084" s="236"/>
      <c r="H1084" s="236"/>
      <c r="I1084" s="236"/>
      <c r="J1084" s="242"/>
      <c r="L1084" s="270"/>
      <c r="M1084" s="236"/>
      <c r="N1084" s="19" t="s">
        <v>62</v>
      </c>
      <c r="O1084" s="17">
        <v>13.82</v>
      </c>
      <c r="P1084" s="17">
        <v>15</v>
      </c>
      <c r="Q1084" s="17">
        <f t="shared" si="209"/>
        <v>207.3</v>
      </c>
      <c r="R1084" s="236"/>
      <c r="S1084" s="236"/>
      <c r="T1084" s="236"/>
      <c r="U1084" s="242"/>
    </row>
    <row r="1085" spans="1:21" ht="13">
      <c r="A1085" s="270"/>
      <c r="B1085" s="236"/>
      <c r="C1085" s="19" t="s">
        <v>38</v>
      </c>
      <c r="D1085" s="17">
        <v>14.1</v>
      </c>
      <c r="E1085" s="17">
        <v>15</v>
      </c>
      <c r="F1085" s="17">
        <f t="shared" si="208"/>
        <v>211.5</v>
      </c>
      <c r="G1085" s="236"/>
      <c r="H1085" s="236"/>
      <c r="I1085" s="236"/>
      <c r="J1085" s="242"/>
      <c r="L1085" s="270"/>
      <c r="M1085" s="236"/>
      <c r="N1085" s="19" t="s">
        <v>38</v>
      </c>
      <c r="O1085" s="17">
        <v>14.1</v>
      </c>
      <c r="P1085" s="17">
        <v>15</v>
      </c>
      <c r="Q1085" s="17">
        <f t="shared" si="209"/>
        <v>211.5</v>
      </c>
      <c r="R1085" s="236"/>
      <c r="S1085" s="236"/>
      <c r="T1085" s="236"/>
      <c r="U1085" s="242"/>
    </row>
    <row r="1086" spans="1:21" ht="13">
      <c r="A1086" s="270"/>
      <c r="B1086" s="236"/>
      <c r="C1086" s="19" t="s">
        <v>32</v>
      </c>
      <c r="D1086" s="17">
        <v>10.15</v>
      </c>
      <c r="E1086" s="17">
        <v>15</v>
      </c>
      <c r="F1086" s="17">
        <f t="shared" si="208"/>
        <v>152.25</v>
      </c>
      <c r="G1086" s="236"/>
      <c r="H1086" s="236"/>
      <c r="I1086" s="236"/>
      <c r="J1086" s="242"/>
      <c r="L1086" s="270"/>
      <c r="M1086" s="236"/>
      <c r="N1086" s="19" t="s">
        <v>32</v>
      </c>
      <c r="O1086" s="17">
        <v>10.15</v>
      </c>
      <c r="P1086" s="17">
        <v>15</v>
      </c>
      <c r="Q1086" s="17">
        <f t="shared" si="209"/>
        <v>152.25</v>
      </c>
      <c r="R1086" s="236"/>
      <c r="S1086" s="236"/>
      <c r="T1086" s="236"/>
      <c r="U1086" s="242"/>
    </row>
    <row r="1087" spans="1:21" ht="13">
      <c r="A1087" s="270"/>
      <c r="B1087" s="248"/>
      <c r="C1087" s="20" t="s">
        <v>458</v>
      </c>
      <c r="D1087" s="21">
        <v>28.27</v>
      </c>
      <c r="E1087" s="21">
        <v>15</v>
      </c>
      <c r="F1087" s="21">
        <f t="shared" si="208"/>
        <v>424.05</v>
      </c>
      <c r="G1087" s="238"/>
      <c r="H1087" s="238"/>
      <c r="I1087" s="238"/>
      <c r="J1087" s="243"/>
      <c r="L1087" s="270"/>
      <c r="M1087" s="248"/>
      <c r="N1087" s="20" t="s">
        <v>458</v>
      </c>
      <c r="O1087" s="21">
        <v>28.27</v>
      </c>
      <c r="P1087" s="21">
        <v>15</v>
      </c>
      <c r="Q1087" s="21">
        <f t="shared" si="209"/>
        <v>424.05</v>
      </c>
      <c r="R1087" s="238"/>
      <c r="S1087" s="238"/>
      <c r="T1087" s="238"/>
      <c r="U1087" s="243"/>
    </row>
    <row r="1088" spans="1:21" ht="13">
      <c r="A1088" s="270"/>
      <c r="B1088" s="282" t="s">
        <v>459</v>
      </c>
      <c r="C1088" s="15" t="s">
        <v>51</v>
      </c>
      <c r="D1088" s="16"/>
      <c r="E1088" s="16"/>
      <c r="F1088" s="17">
        <v>200</v>
      </c>
      <c r="G1088" s="240">
        <f>SUM(F1088:F1092)</f>
        <v>736.52</v>
      </c>
      <c r="H1088" s="237">
        <v>3225.73</v>
      </c>
      <c r="I1088" s="237">
        <f>H1088-G1088</f>
        <v>2489.21</v>
      </c>
      <c r="J1088" s="241">
        <f>I1088/H1088</f>
        <v>0.77167338865931123</v>
      </c>
      <c r="L1088" s="270"/>
      <c r="M1088" s="282" t="s">
        <v>459</v>
      </c>
      <c r="N1088" s="15" t="s">
        <v>51</v>
      </c>
      <c r="O1088" s="16"/>
      <c r="P1088" s="16"/>
      <c r="Q1088" s="17">
        <v>200</v>
      </c>
      <c r="R1088" s="240">
        <f>SUM(Q1088:Q1092)</f>
        <v>736.52</v>
      </c>
      <c r="S1088" s="237">
        <v>3225.73</v>
      </c>
      <c r="T1088" s="237">
        <f>S1088-R1088</f>
        <v>2489.21</v>
      </c>
      <c r="U1088" s="241">
        <f>T1088/S1088</f>
        <v>0.77167338865931123</v>
      </c>
    </row>
    <row r="1089" spans="1:21" ht="13">
      <c r="A1089" s="270"/>
      <c r="B1089" s="236"/>
      <c r="C1089" s="19" t="s">
        <v>45</v>
      </c>
      <c r="D1089" s="17"/>
      <c r="E1089" s="17"/>
      <c r="F1089" s="17">
        <v>121.59</v>
      </c>
      <c r="G1089" s="236"/>
      <c r="H1089" s="236"/>
      <c r="I1089" s="236"/>
      <c r="J1089" s="242"/>
      <c r="L1089" s="270"/>
      <c r="M1089" s="236"/>
      <c r="N1089" s="19" t="s">
        <v>45</v>
      </c>
      <c r="O1089" s="17"/>
      <c r="P1089" s="17"/>
      <c r="Q1089" s="17">
        <v>121.59</v>
      </c>
      <c r="R1089" s="236"/>
      <c r="S1089" s="236"/>
      <c r="T1089" s="236"/>
      <c r="U1089" s="242"/>
    </row>
    <row r="1090" spans="1:21" ht="13">
      <c r="A1090" s="270"/>
      <c r="B1090" s="236"/>
      <c r="C1090" s="19" t="s">
        <v>155</v>
      </c>
      <c r="D1090" s="17"/>
      <c r="E1090" s="17"/>
      <c r="F1090" s="17">
        <v>199.2</v>
      </c>
      <c r="G1090" s="236"/>
      <c r="H1090" s="236"/>
      <c r="I1090" s="236"/>
      <c r="J1090" s="242"/>
      <c r="L1090" s="270"/>
      <c r="M1090" s="236"/>
      <c r="N1090" s="19" t="s">
        <v>155</v>
      </c>
      <c r="O1090" s="17"/>
      <c r="P1090" s="17"/>
      <c r="Q1090" s="17">
        <v>199.2</v>
      </c>
      <c r="R1090" s="236"/>
      <c r="S1090" s="236"/>
      <c r="T1090" s="236"/>
      <c r="U1090" s="242"/>
    </row>
    <row r="1091" spans="1:21" ht="13">
      <c r="A1091" s="270"/>
      <c r="B1091" s="236"/>
      <c r="C1091" s="19" t="s">
        <v>212</v>
      </c>
      <c r="D1091" s="17"/>
      <c r="E1091" s="17"/>
      <c r="F1091" s="17">
        <v>42.5</v>
      </c>
      <c r="G1091" s="236"/>
      <c r="H1091" s="236"/>
      <c r="I1091" s="236"/>
      <c r="J1091" s="242"/>
      <c r="L1091" s="270"/>
      <c r="M1091" s="236"/>
      <c r="N1091" s="19" t="s">
        <v>212</v>
      </c>
      <c r="O1091" s="17"/>
      <c r="P1091" s="17"/>
      <c r="Q1091" s="17">
        <v>42.5</v>
      </c>
      <c r="R1091" s="236"/>
      <c r="S1091" s="236"/>
      <c r="T1091" s="236"/>
      <c r="U1091" s="242"/>
    </row>
    <row r="1092" spans="1:21" ht="13">
      <c r="A1092" s="270"/>
      <c r="B1092" s="248"/>
      <c r="C1092" s="20" t="s">
        <v>33</v>
      </c>
      <c r="D1092" s="21"/>
      <c r="E1092" s="21"/>
      <c r="F1092" s="21">
        <v>173.23</v>
      </c>
      <c r="G1092" s="238"/>
      <c r="H1092" s="238"/>
      <c r="I1092" s="238"/>
      <c r="J1092" s="243"/>
      <c r="L1092" s="270"/>
      <c r="M1092" s="248"/>
      <c r="N1092" s="20" t="s">
        <v>33</v>
      </c>
      <c r="O1092" s="21"/>
      <c r="P1092" s="21"/>
      <c r="Q1092" s="21">
        <v>173.23</v>
      </c>
      <c r="R1092" s="238"/>
      <c r="S1092" s="238"/>
      <c r="T1092" s="238"/>
      <c r="U1092" s="243"/>
    </row>
    <row r="1093" spans="1:21" ht="13">
      <c r="A1093" s="270"/>
      <c r="B1093" s="247" t="s">
        <v>460</v>
      </c>
      <c r="C1093" s="15" t="s">
        <v>461</v>
      </c>
      <c r="D1093" s="16">
        <v>39.270000000000003</v>
      </c>
      <c r="E1093" s="16">
        <v>15</v>
      </c>
      <c r="F1093" s="17">
        <f t="shared" ref="F1093:F1097" si="210">D1093*E1093</f>
        <v>589.05000000000007</v>
      </c>
      <c r="G1093" s="240">
        <f>SUM(F1093:F1099)</f>
        <v>2379.54</v>
      </c>
      <c r="H1093" s="237">
        <v>4228.1400000000003</v>
      </c>
      <c r="I1093" s="237">
        <f>H1093-G1093</f>
        <v>1848.6000000000004</v>
      </c>
      <c r="J1093" s="241">
        <f>I1093/H1093</f>
        <v>0.43721352651520534</v>
      </c>
      <c r="L1093" s="270"/>
      <c r="M1093" s="247" t="s">
        <v>460</v>
      </c>
      <c r="N1093" s="15" t="s">
        <v>461</v>
      </c>
      <c r="O1093" s="16">
        <v>39.270000000000003</v>
      </c>
      <c r="P1093" s="16">
        <v>15</v>
      </c>
      <c r="Q1093" s="17">
        <f t="shared" ref="Q1093:Q1097" si="211">O1093*P1093</f>
        <v>589.05000000000007</v>
      </c>
      <c r="R1093" s="240">
        <f>SUM(Q1093:Q1099)</f>
        <v>2379.54</v>
      </c>
      <c r="S1093" s="237">
        <v>4228.1400000000003</v>
      </c>
      <c r="T1093" s="237">
        <f>S1093-R1093</f>
        <v>1848.6000000000004</v>
      </c>
      <c r="U1093" s="241">
        <f>T1093/S1093</f>
        <v>0.43721352651520534</v>
      </c>
    </row>
    <row r="1094" spans="1:21" ht="13">
      <c r="A1094" s="270"/>
      <c r="B1094" s="236"/>
      <c r="C1094" s="19" t="s">
        <v>462</v>
      </c>
      <c r="D1094" s="17">
        <v>12.3</v>
      </c>
      <c r="E1094" s="17">
        <v>15</v>
      </c>
      <c r="F1094" s="17">
        <f t="shared" si="210"/>
        <v>184.5</v>
      </c>
      <c r="G1094" s="236"/>
      <c r="H1094" s="236"/>
      <c r="I1094" s="236"/>
      <c r="J1094" s="242"/>
      <c r="L1094" s="270"/>
      <c r="M1094" s="236"/>
      <c r="N1094" s="19" t="s">
        <v>462</v>
      </c>
      <c r="O1094" s="17">
        <v>12.3</v>
      </c>
      <c r="P1094" s="17">
        <v>15</v>
      </c>
      <c r="Q1094" s="17">
        <f t="shared" si="211"/>
        <v>184.5</v>
      </c>
      <c r="R1094" s="236"/>
      <c r="S1094" s="236"/>
      <c r="T1094" s="236"/>
      <c r="U1094" s="242"/>
    </row>
    <row r="1095" spans="1:21" ht="13">
      <c r="A1095" s="270"/>
      <c r="B1095" s="236"/>
      <c r="C1095" s="19" t="s">
        <v>27</v>
      </c>
      <c r="D1095" s="17">
        <v>5.5</v>
      </c>
      <c r="E1095" s="17">
        <v>15</v>
      </c>
      <c r="F1095" s="17">
        <f t="shared" si="210"/>
        <v>82.5</v>
      </c>
      <c r="G1095" s="236"/>
      <c r="H1095" s="236"/>
      <c r="I1095" s="236"/>
      <c r="J1095" s="242"/>
      <c r="L1095" s="270"/>
      <c r="M1095" s="236"/>
      <c r="N1095" s="19" t="s">
        <v>27</v>
      </c>
      <c r="O1095" s="17">
        <v>5.5</v>
      </c>
      <c r="P1095" s="17">
        <v>15</v>
      </c>
      <c r="Q1095" s="17">
        <f t="shared" si="211"/>
        <v>82.5</v>
      </c>
      <c r="R1095" s="236"/>
      <c r="S1095" s="236"/>
      <c r="T1095" s="236"/>
      <c r="U1095" s="242"/>
    </row>
    <row r="1096" spans="1:21" ht="13">
      <c r="A1096" s="270"/>
      <c r="B1096" s="236"/>
      <c r="C1096" s="19" t="s">
        <v>463</v>
      </c>
      <c r="D1096" s="17">
        <v>22.5</v>
      </c>
      <c r="E1096" s="17">
        <v>15</v>
      </c>
      <c r="F1096" s="17">
        <f t="shared" si="210"/>
        <v>337.5</v>
      </c>
      <c r="G1096" s="236"/>
      <c r="H1096" s="236"/>
      <c r="I1096" s="236"/>
      <c r="J1096" s="242"/>
      <c r="L1096" s="270"/>
      <c r="M1096" s="236"/>
      <c r="N1096" s="19" t="s">
        <v>463</v>
      </c>
      <c r="O1096" s="17">
        <v>22.5</v>
      </c>
      <c r="P1096" s="17">
        <v>15</v>
      </c>
      <c r="Q1096" s="17">
        <f t="shared" si="211"/>
        <v>337.5</v>
      </c>
      <c r="R1096" s="236"/>
      <c r="S1096" s="236"/>
      <c r="T1096" s="236"/>
      <c r="U1096" s="242"/>
    </row>
    <row r="1097" spans="1:21" ht="13">
      <c r="A1097" s="270"/>
      <c r="B1097" s="236"/>
      <c r="C1097" s="19" t="s">
        <v>53</v>
      </c>
      <c r="D1097" s="17">
        <v>18.45</v>
      </c>
      <c r="E1097" s="17">
        <v>15</v>
      </c>
      <c r="F1097" s="17">
        <f t="shared" si="210"/>
        <v>276.75</v>
      </c>
      <c r="G1097" s="236"/>
      <c r="H1097" s="236"/>
      <c r="I1097" s="236"/>
      <c r="J1097" s="242"/>
      <c r="L1097" s="270"/>
      <c r="M1097" s="236"/>
      <c r="N1097" s="19" t="s">
        <v>53</v>
      </c>
      <c r="O1097" s="17">
        <v>18.45</v>
      </c>
      <c r="P1097" s="17">
        <v>15</v>
      </c>
      <c r="Q1097" s="17">
        <f t="shared" si="211"/>
        <v>276.75</v>
      </c>
      <c r="R1097" s="236"/>
      <c r="S1097" s="236"/>
      <c r="T1097" s="236"/>
      <c r="U1097" s="242"/>
    </row>
    <row r="1098" spans="1:21" ht="13">
      <c r="A1098" s="270"/>
      <c r="B1098" s="236"/>
      <c r="C1098" s="19" t="s">
        <v>33</v>
      </c>
      <c r="D1098" s="17"/>
      <c r="E1098" s="17"/>
      <c r="F1098" s="17">
        <v>789.24</v>
      </c>
      <c r="G1098" s="236"/>
      <c r="H1098" s="236"/>
      <c r="I1098" s="236"/>
      <c r="J1098" s="242"/>
      <c r="L1098" s="270"/>
      <c r="M1098" s="236"/>
      <c r="N1098" s="19" t="s">
        <v>33</v>
      </c>
      <c r="O1098" s="17"/>
      <c r="P1098" s="17"/>
      <c r="Q1098" s="17">
        <v>789.24</v>
      </c>
      <c r="R1098" s="236"/>
      <c r="S1098" s="236"/>
      <c r="T1098" s="236"/>
      <c r="U1098" s="242"/>
    </row>
    <row r="1099" spans="1:21" ht="13">
      <c r="A1099" s="270"/>
      <c r="B1099" s="248"/>
      <c r="C1099" s="20" t="s">
        <v>464</v>
      </c>
      <c r="D1099" s="21"/>
      <c r="E1099" s="21"/>
      <c r="F1099" s="21">
        <v>120</v>
      </c>
      <c r="G1099" s="238"/>
      <c r="H1099" s="238"/>
      <c r="I1099" s="238"/>
      <c r="J1099" s="243"/>
      <c r="L1099" s="270"/>
      <c r="M1099" s="248"/>
      <c r="N1099" s="20" t="s">
        <v>464</v>
      </c>
      <c r="O1099" s="21"/>
      <c r="P1099" s="21"/>
      <c r="Q1099" s="21">
        <v>120</v>
      </c>
      <c r="R1099" s="238"/>
      <c r="S1099" s="238"/>
      <c r="T1099" s="238"/>
      <c r="U1099" s="243"/>
    </row>
    <row r="1100" spans="1:21" ht="13">
      <c r="A1100" s="270"/>
      <c r="B1100" s="244" t="s">
        <v>465</v>
      </c>
      <c r="C1100" s="64" t="s">
        <v>436</v>
      </c>
      <c r="D1100" s="50">
        <v>35</v>
      </c>
      <c r="E1100" s="50">
        <v>18</v>
      </c>
      <c r="F1100" s="65">
        <f t="shared" ref="F1100:F1104" si="212">D1100*E1100</f>
        <v>630</v>
      </c>
      <c r="G1100" s="240">
        <f>SUM(F1100:F1110)</f>
        <v>5108.78</v>
      </c>
      <c r="H1100" s="237">
        <v>8579.2000000000007</v>
      </c>
      <c r="I1100" s="237">
        <f>H1100-G1100</f>
        <v>3470.420000000001</v>
      </c>
      <c r="J1100" s="241">
        <f>I1100/H1100</f>
        <v>0.40451557254755699</v>
      </c>
      <c r="L1100" s="270"/>
      <c r="M1100" s="244" t="s">
        <v>465</v>
      </c>
      <c r="N1100" s="64" t="s">
        <v>436</v>
      </c>
      <c r="O1100" s="18"/>
      <c r="P1100" s="18"/>
      <c r="Q1100" s="18"/>
      <c r="R1100" s="240">
        <f>SUM(Q1100:Q1110)</f>
        <v>4478.78</v>
      </c>
      <c r="S1100" s="237">
        <v>8579.2000000000007</v>
      </c>
      <c r="T1100" s="237">
        <f>S1100-R1100</f>
        <v>4100.420000000001</v>
      </c>
      <c r="U1100" s="241">
        <f>T1100/S1100</f>
        <v>0.47794899291309223</v>
      </c>
    </row>
    <row r="1101" spans="1:21" ht="13">
      <c r="A1101" s="270"/>
      <c r="B1101" s="245"/>
      <c r="C1101" s="22" t="s">
        <v>70</v>
      </c>
      <c r="D1101" s="23">
        <v>26.16</v>
      </c>
      <c r="E1101" s="23">
        <v>15</v>
      </c>
      <c r="F1101" s="23">
        <f t="shared" si="212"/>
        <v>392.4</v>
      </c>
      <c r="G1101" s="236"/>
      <c r="H1101" s="236"/>
      <c r="I1101" s="236"/>
      <c r="J1101" s="242"/>
      <c r="L1101" s="270"/>
      <c r="M1101" s="245"/>
      <c r="N1101" s="22" t="s">
        <v>70</v>
      </c>
      <c r="O1101" s="23">
        <v>26.16</v>
      </c>
      <c r="P1101" s="23">
        <v>15</v>
      </c>
      <c r="Q1101" s="23">
        <f t="shared" ref="Q1101:Q1104" si="213">O1101*P1101</f>
        <v>392.4</v>
      </c>
      <c r="R1101" s="236"/>
      <c r="S1101" s="236"/>
      <c r="T1101" s="236"/>
      <c r="U1101" s="242"/>
    </row>
    <row r="1102" spans="1:21" ht="13">
      <c r="A1102" s="270"/>
      <c r="B1102" s="245"/>
      <c r="C1102" s="22" t="s">
        <v>38</v>
      </c>
      <c r="D1102" s="23">
        <v>29.16</v>
      </c>
      <c r="E1102" s="23">
        <v>15</v>
      </c>
      <c r="F1102" s="23">
        <f t="shared" si="212"/>
        <v>437.4</v>
      </c>
      <c r="G1102" s="236"/>
      <c r="H1102" s="236"/>
      <c r="I1102" s="236"/>
      <c r="J1102" s="242"/>
      <c r="L1102" s="270"/>
      <c r="M1102" s="245"/>
      <c r="N1102" s="22" t="s">
        <v>38</v>
      </c>
      <c r="O1102" s="23">
        <v>29.16</v>
      </c>
      <c r="P1102" s="23">
        <v>15</v>
      </c>
      <c r="Q1102" s="23">
        <f t="shared" si="213"/>
        <v>437.4</v>
      </c>
      <c r="R1102" s="236"/>
      <c r="S1102" s="236"/>
      <c r="T1102" s="236"/>
      <c r="U1102" s="242"/>
    </row>
    <row r="1103" spans="1:21" ht="13">
      <c r="A1103" s="270"/>
      <c r="B1103" s="245"/>
      <c r="C1103" s="22" t="s">
        <v>466</v>
      </c>
      <c r="D1103" s="23">
        <v>23.77</v>
      </c>
      <c r="E1103" s="23">
        <v>15</v>
      </c>
      <c r="F1103" s="23">
        <f t="shared" si="212"/>
        <v>356.55</v>
      </c>
      <c r="G1103" s="236"/>
      <c r="H1103" s="236"/>
      <c r="I1103" s="236"/>
      <c r="J1103" s="242"/>
      <c r="L1103" s="270"/>
      <c r="M1103" s="245"/>
      <c r="N1103" s="22" t="s">
        <v>466</v>
      </c>
      <c r="O1103" s="23">
        <v>23.77</v>
      </c>
      <c r="P1103" s="23">
        <v>15</v>
      </c>
      <c r="Q1103" s="23">
        <f t="shared" si="213"/>
        <v>356.55</v>
      </c>
      <c r="R1103" s="236"/>
      <c r="S1103" s="236"/>
      <c r="T1103" s="236"/>
      <c r="U1103" s="242"/>
    </row>
    <row r="1104" spans="1:21" ht="13">
      <c r="A1104" s="270"/>
      <c r="B1104" s="245"/>
      <c r="C1104" s="22" t="s">
        <v>467</v>
      </c>
      <c r="D1104" s="23">
        <v>30</v>
      </c>
      <c r="E1104" s="23">
        <v>15</v>
      </c>
      <c r="F1104" s="23">
        <f t="shared" si="212"/>
        <v>450</v>
      </c>
      <c r="G1104" s="236"/>
      <c r="H1104" s="236"/>
      <c r="I1104" s="236"/>
      <c r="J1104" s="242"/>
      <c r="L1104" s="270"/>
      <c r="M1104" s="245"/>
      <c r="N1104" s="22" t="s">
        <v>467</v>
      </c>
      <c r="O1104" s="23">
        <v>30</v>
      </c>
      <c r="P1104" s="23">
        <v>15</v>
      </c>
      <c r="Q1104" s="23">
        <f t="shared" si="213"/>
        <v>450</v>
      </c>
      <c r="R1104" s="236"/>
      <c r="S1104" s="236"/>
      <c r="T1104" s="236"/>
      <c r="U1104" s="242"/>
    </row>
    <row r="1105" spans="1:21" ht="13">
      <c r="A1105" s="270"/>
      <c r="B1105" s="245"/>
      <c r="C1105" s="22" t="s">
        <v>449</v>
      </c>
      <c r="D1105" s="23"/>
      <c r="E1105" s="23"/>
      <c r="F1105" s="23">
        <v>1182.17</v>
      </c>
      <c r="G1105" s="236"/>
      <c r="H1105" s="236"/>
      <c r="I1105" s="236"/>
      <c r="J1105" s="242"/>
      <c r="L1105" s="270"/>
      <c r="M1105" s="245"/>
      <c r="N1105" s="22" t="s">
        <v>449</v>
      </c>
      <c r="O1105" s="23"/>
      <c r="P1105" s="23"/>
      <c r="Q1105" s="23">
        <v>1182.17</v>
      </c>
      <c r="R1105" s="236"/>
      <c r="S1105" s="236"/>
      <c r="T1105" s="236"/>
      <c r="U1105" s="242"/>
    </row>
    <row r="1106" spans="1:21" ht="13">
      <c r="A1106" s="270"/>
      <c r="B1106" s="245"/>
      <c r="C1106" s="22" t="s">
        <v>45</v>
      </c>
      <c r="D1106" s="23"/>
      <c r="E1106" s="23"/>
      <c r="F1106" s="23">
        <v>284.47000000000003</v>
      </c>
      <c r="G1106" s="236"/>
      <c r="H1106" s="236"/>
      <c r="I1106" s="236"/>
      <c r="J1106" s="242"/>
      <c r="L1106" s="270"/>
      <c r="M1106" s="245"/>
      <c r="N1106" s="22" t="s">
        <v>45</v>
      </c>
      <c r="O1106" s="23"/>
      <c r="P1106" s="23"/>
      <c r="Q1106" s="23">
        <v>284.47000000000003</v>
      </c>
      <c r="R1106" s="236"/>
      <c r="S1106" s="236"/>
      <c r="T1106" s="236"/>
      <c r="U1106" s="242"/>
    </row>
    <row r="1107" spans="1:21" ht="13">
      <c r="A1107" s="270"/>
      <c r="B1107" s="245"/>
      <c r="C1107" s="22" t="s">
        <v>47</v>
      </c>
      <c r="D1107" s="23"/>
      <c r="E1107" s="23"/>
      <c r="F1107" s="23">
        <v>527.55999999999995</v>
      </c>
      <c r="G1107" s="236"/>
      <c r="H1107" s="236"/>
      <c r="I1107" s="236"/>
      <c r="J1107" s="242"/>
      <c r="L1107" s="270"/>
      <c r="M1107" s="245"/>
      <c r="N1107" s="22" t="s">
        <v>47</v>
      </c>
      <c r="O1107" s="23"/>
      <c r="P1107" s="23"/>
      <c r="Q1107" s="23">
        <v>527.55999999999995</v>
      </c>
      <c r="R1107" s="236"/>
      <c r="S1107" s="236"/>
      <c r="T1107" s="236"/>
      <c r="U1107" s="242"/>
    </row>
    <row r="1108" spans="1:21" ht="13">
      <c r="A1108" s="270"/>
      <c r="B1108" s="245"/>
      <c r="C1108" s="22" t="s">
        <v>44</v>
      </c>
      <c r="D1108" s="23"/>
      <c r="E1108" s="23"/>
      <c r="F1108" s="23">
        <v>144.02000000000001</v>
      </c>
      <c r="G1108" s="236"/>
      <c r="H1108" s="236"/>
      <c r="I1108" s="236"/>
      <c r="J1108" s="242"/>
      <c r="L1108" s="270"/>
      <c r="M1108" s="245"/>
      <c r="N1108" s="22" t="s">
        <v>44</v>
      </c>
      <c r="O1108" s="23"/>
      <c r="P1108" s="23"/>
      <c r="Q1108" s="23">
        <v>144.02000000000001</v>
      </c>
      <c r="R1108" s="236"/>
      <c r="S1108" s="236"/>
      <c r="T1108" s="236"/>
      <c r="U1108" s="242"/>
    </row>
    <row r="1109" spans="1:21" ht="13">
      <c r="A1109" s="270"/>
      <c r="B1109" s="245"/>
      <c r="C1109" s="22" t="s">
        <v>33</v>
      </c>
      <c r="D1109" s="23"/>
      <c r="E1109" s="23"/>
      <c r="F1109" s="23">
        <v>439.51</v>
      </c>
      <c r="G1109" s="236"/>
      <c r="H1109" s="236"/>
      <c r="I1109" s="236"/>
      <c r="J1109" s="242"/>
      <c r="L1109" s="270"/>
      <c r="M1109" s="245"/>
      <c r="N1109" s="22" t="s">
        <v>33</v>
      </c>
      <c r="O1109" s="23"/>
      <c r="P1109" s="23"/>
      <c r="Q1109" s="23">
        <v>439.51</v>
      </c>
      <c r="R1109" s="236"/>
      <c r="S1109" s="236"/>
      <c r="T1109" s="236"/>
      <c r="U1109" s="242"/>
    </row>
    <row r="1110" spans="1:21" ht="13">
      <c r="A1110" s="270"/>
      <c r="B1110" s="246"/>
      <c r="C1110" s="25" t="s">
        <v>48</v>
      </c>
      <c r="D1110" s="26"/>
      <c r="E1110" s="26"/>
      <c r="F1110" s="26">
        <v>264.7</v>
      </c>
      <c r="G1110" s="238"/>
      <c r="H1110" s="238"/>
      <c r="I1110" s="238"/>
      <c r="J1110" s="243"/>
      <c r="L1110" s="270"/>
      <c r="M1110" s="246"/>
      <c r="N1110" s="25" t="s">
        <v>48</v>
      </c>
      <c r="O1110" s="26"/>
      <c r="P1110" s="26"/>
      <c r="Q1110" s="26">
        <v>264.7</v>
      </c>
      <c r="R1110" s="238"/>
      <c r="S1110" s="238"/>
      <c r="T1110" s="238"/>
      <c r="U1110" s="243"/>
    </row>
    <row r="1111" spans="1:21" ht="13">
      <c r="A1111" s="270"/>
      <c r="B1111" s="282" t="s">
        <v>468</v>
      </c>
      <c r="C1111" s="15" t="s">
        <v>216</v>
      </c>
      <c r="D1111" s="16"/>
      <c r="E1111" s="16"/>
      <c r="F1111" s="17">
        <v>89</v>
      </c>
      <c r="G1111" s="240">
        <f>SUM(F1111:F1113)</f>
        <v>242</v>
      </c>
      <c r="H1111" s="237">
        <v>750</v>
      </c>
      <c r="I1111" s="237">
        <f>H1111-G1111</f>
        <v>508</v>
      </c>
      <c r="J1111" s="241">
        <f>I1111/H1111</f>
        <v>0.67733333333333334</v>
      </c>
      <c r="L1111" s="270"/>
      <c r="M1111" s="282" t="s">
        <v>468</v>
      </c>
      <c r="N1111" s="15" t="s">
        <v>216</v>
      </c>
      <c r="O1111" s="16"/>
      <c r="P1111" s="16"/>
      <c r="Q1111" s="17">
        <v>89</v>
      </c>
      <c r="R1111" s="240">
        <f>SUM(Q1111:Q1113)</f>
        <v>242</v>
      </c>
      <c r="S1111" s="237">
        <v>750</v>
      </c>
      <c r="T1111" s="237">
        <f>S1111-R1111</f>
        <v>508</v>
      </c>
      <c r="U1111" s="241">
        <f>T1111/S1111</f>
        <v>0.67733333333333334</v>
      </c>
    </row>
    <row r="1112" spans="1:21" ht="13">
      <c r="A1112" s="270"/>
      <c r="B1112" s="236"/>
      <c r="C1112" s="19" t="s">
        <v>38</v>
      </c>
      <c r="D1112" s="17"/>
      <c r="E1112" s="17"/>
      <c r="F1112" s="17">
        <v>153</v>
      </c>
      <c r="G1112" s="236"/>
      <c r="H1112" s="236"/>
      <c r="I1112" s="236"/>
      <c r="J1112" s="242"/>
      <c r="L1112" s="270"/>
      <c r="M1112" s="236"/>
      <c r="N1112" s="19" t="s">
        <v>38</v>
      </c>
      <c r="O1112" s="17"/>
      <c r="P1112" s="17"/>
      <c r="Q1112" s="17">
        <v>153</v>
      </c>
      <c r="R1112" s="236"/>
      <c r="S1112" s="236"/>
      <c r="T1112" s="236"/>
      <c r="U1112" s="242"/>
    </row>
    <row r="1113" spans="1:21" ht="13">
      <c r="A1113" s="270"/>
      <c r="B1113" s="248"/>
      <c r="C1113" s="20"/>
      <c r="D1113" s="21"/>
      <c r="E1113" s="21"/>
      <c r="F1113" s="21"/>
      <c r="G1113" s="238"/>
      <c r="H1113" s="238"/>
      <c r="I1113" s="238"/>
      <c r="J1113" s="243"/>
      <c r="L1113" s="270"/>
      <c r="M1113" s="248"/>
      <c r="N1113" s="20"/>
      <c r="O1113" s="21"/>
      <c r="P1113" s="21"/>
      <c r="Q1113" s="21"/>
      <c r="R1113" s="238"/>
      <c r="S1113" s="238"/>
      <c r="T1113" s="238"/>
      <c r="U1113" s="243"/>
    </row>
    <row r="1114" spans="1:21" ht="13">
      <c r="A1114" s="270"/>
      <c r="B1114" s="247" t="s">
        <v>469</v>
      </c>
      <c r="C1114" s="15" t="s">
        <v>63</v>
      </c>
      <c r="D1114" s="16">
        <v>34.9</v>
      </c>
      <c r="E1114" s="16">
        <v>17</v>
      </c>
      <c r="F1114" s="17">
        <f t="shared" ref="F1114:F1117" si="214">D1114*E1114</f>
        <v>593.29999999999995</v>
      </c>
      <c r="G1114" s="240">
        <f>SUM(F1114:F1120)</f>
        <v>2246.12</v>
      </c>
      <c r="H1114" s="237">
        <v>5020.76</v>
      </c>
      <c r="I1114" s="237">
        <f>H1114-G1114</f>
        <v>2774.6400000000003</v>
      </c>
      <c r="J1114" s="241">
        <f>I1114/H1114</f>
        <v>0.55263346584979167</v>
      </c>
      <c r="L1114" s="270"/>
      <c r="M1114" s="247" t="s">
        <v>469</v>
      </c>
      <c r="N1114" s="15" t="s">
        <v>63</v>
      </c>
      <c r="O1114" s="16">
        <v>34.9</v>
      </c>
      <c r="P1114" s="16">
        <v>17</v>
      </c>
      <c r="Q1114" s="17">
        <f t="shared" ref="Q1114:Q1117" si="215">O1114*P1114</f>
        <v>593.29999999999995</v>
      </c>
      <c r="R1114" s="240">
        <f>SUM(Q1114:Q1120)</f>
        <v>2246.12</v>
      </c>
      <c r="S1114" s="237">
        <v>5020.76</v>
      </c>
      <c r="T1114" s="237">
        <f>S1114-R1114</f>
        <v>2774.6400000000003</v>
      </c>
      <c r="U1114" s="241">
        <f>T1114/S1114</f>
        <v>0.55263346584979167</v>
      </c>
    </row>
    <row r="1115" spans="1:21" ht="13">
      <c r="A1115" s="270"/>
      <c r="B1115" s="236"/>
      <c r="C1115" s="19" t="s">
        <v>32</v>
      </c>
      <c r="D1115" s="17">
        <v>25.93</v>
      </c>
      <c r="E1115" s="17">
        <v>15</v>
      </c>
      <c r="F1115" s="17">
        <f t="shared" si="214"/>
        <v>388.95</v>
      </c>
      <c r="G1115" s="236"/>
      <c r="H1115" s="236"/>
      <c r="I1115" s="236"/>
      <c r="J1115" s="242"/>
      <c r="L1115" s="270"/>
      <c r="M1115" s="236"/>
      <c r="N1115" s="19" t="s">
        <v>32</v>
      </c>
      <c r="O1115" s="17">
        <v>25.93</v>
      </c>
      <c r="P1115" s="17">
        <v>15</v>
      </c>
      <c r="Q1115" s="17">
        <f t="shared" si="215"/>
        <v>388.95</v>
      </c>
      <c r="R1115" s="236"/>
      <c r="S1115" s="236"/>
      <c r="T1115" s="236"/>
      <c r="U1115" s="242"/>
    </row>
    <row r="1116" spans="1:21" ht="13">
      <c r="A1116" s="270"/>
      <c r="B1116" s="236"/>
      <c r="C1116" s="19" t="s">
        <v>31</v>
      </c>
      <c r="D1116" s="17">
        <v>24.82</v>
      </c>
      <c r="E1116" s="17">
        <v>15</v>
      </c>
      <c r="F1116" s="17">
        <f t="shared" si="214"/>
        <v>372.3</v>
      </c>
      <c r="G1116" s="236"/>
      <c r="H1116" s="236"/>
      <c r="I1116" s="236"/>
      <c r="J1116" s="242"/>
      <c r="L1116" s="270"/>
      <c r="M1116" s="236"/>
      <c r="N1116" s="19" t="s">
        <v>31</v>
      </c>
      <c r="O1116" s="17">
        <v>24.82</v>
      </c>
      <c r="P1116" s="17">
        <v>15</v>
      </c>
      <c r="Q1116" s="17">
        <f t="shared" si="215"/>
        <v>372.3</v>
      </c>
      <c r="R1116" s="236"/>
      <c r="S1116" s="236"/>
      <c r="T1116" s="236"/>
      <c r="U1116" s="242"/>
    </row>
    <row r="1117" spans="1:21" ht="13">
      <c r="A1117" s="270"/>
      <c r="B1117" s="236"/>
      <c r="C1117" s="19" t="s">
        <v>62</v>
      </c>
      <c r="D1117" s="17">
        <v>24.59</v>
      </c>
      <c r="E1117" s="17">
        <v>15</v>
      </c>
      <c r="F1117" s="17">
        <f t="shared" si="214"/>
        <v>368.85</v>
      </c>
      <c r="G1117" s="236"/>
      <c r="H1117" s="236"/>
      <c r="I1117" s="236"/>
      <c r="J1117" s="242"/>
      <c r="L1117" s="270"/>
      <c r="M1117" s="236"/>
      <c r="N1117" s="19" t="s">
        <v>62</v>
      </c>
      <c r="O1117" s="17">
        <v>24.59</v>
      </c>
      <c r="P1117" s="17">
        <v>15</v>
      </c>
      <c r="Q1117" s="17">
        <f t="shared" si="215"/>
        <v>368.85</v>
      </c>
      <c r="R1117" s="236"/>
      <c r="S1117" s="236"/>
      <c r="T1117" s="236"/>
      <c r="U1117" s="242"/>
    </row>
    <row r="1118" spans="1:21" ht="13">
      <c r="A1118" s="270"/>
      <c r="B1118" s="236"/>
      <c r="C1118" s="19" t="s">
        <v>45</v>
      </c>
      <c r="D1118" s="17"/>
      <c r="E1118" s="17"/>
      <c r="F1118" s="17">
        <v>100</v>
      </c>
      <c r="G1118" s="236"/>
      <c r="H1118" s="236"/>
      <c r="I1118" s="236"/>
      <c r="J1118" s="242"/>
      <c r="L1118" s="270"/>
      <c r="M1118" s="236"/>
      <c r="N1118" s="19" t="s">
        <v>45</v>
      </c>
      <c r="O1118" s="17"/>
      <c r="P1118" s="17"/>
      <c r="Q1118" s="17">
        <v>100</v>
      </c>
      <c r="R1118" s="236"/>
      <c r="S1118" s="236"/>
      <c r="T1118" s="236"/>
      <c r="U1118" s="242"/>
    </row>
    <row r="1119" spans="1:21" ht="13">
      <c r="A1119" s="270"/>
      <c r="B1119" s="236"/>
      <c r="C1119" s="19" t="s">
        <v>33</v>
      </c>
      <c r="D1119" s="17"/>
      <c r="E1119" s="17"/>
      <c r="F1119" s="17">
        <v>142.06</v>
      </c>
      <c r="G1119" s="236"/>
      <c r="H1119" s="236"/>
      <c r="I1119" s="236"/>
      <c r="J1119" s="242"/>
      <c r="L1119" s="270"/>
      <c r="M1119" s="236"/>
      <c r="N1119" s="19" t="s">
        <v>33</v>
      </c>
      <c r="O1119" s="17"/>
      <c r="P1119" s="17"/>
      <c r="Q1119" s="17">
        <v>142.06</v>
      </c>
      <c r="R1119" s="236"/>
      <c r="S1119" s="236"/>
      <c r="T1119" s="236"/>
      <c r="U1119" s="242"/>
    </row>
    <row r="1120" spans="1:21" ht="13">
      <c r="A1120" s="270"/>
      <c r="B1120" s="248"/>
      <c r="C1120" s="20" t="s">
        <v>47</v>
      </c>
      <c r="D1120" s="21"/>
      <c r="E1120" s="21"/>
      <c r="F1120" s="21">
        <v>280.66000000000003</v>
      </c>
      <c r="G1120" s="238"/>
      <c r="H1120" s="238"/>
      <c r="I1120" s="238"/>
      <c r="J1120" s="243"/>
      <c r="L1120" s="270"/>
      <c r="M1120" s="248"/>
      <c r="N1120" s="20" t="s">
        <v>47</v>
      </c>
      <c r="O1120" s="21"/>
      <c r="P1120" s="21"/>
      <c r="Q1120" s="21">
        <v>280.66000000000003</v>
      </c>
      <c r="R1120" s="238"/>
      <c r="S1120" s="238"/>
      <c r="T1120" s="238"/>
      <c r="U1120" s="243"/>
    </row>
    <row r="1121" spans="1:21" ht="13">
      <c r="A1121" s="270"/>
      <c r="B1121" s="282" t="s">
        <v>470</v>
      </c>
      <c r="C1121" s="15" t="s">
        <v>63</v>
      </c>
      <c r="D1121" s="16"/>
      <c r="E1121" s="16"/>
      <c r="F1121" s="17">
        <v>150</v>
      </c>
      <c r="G1121" s="240">
        <f>SUM(F1121:F1123)</f>
        <v>218.9</v>
      </c>
      <c r="H1121" s="237">
        <v>2116.8000000000002</v>
      </c>
      <c r="I1121" s="237">
        <f>H1121-G1121</f>
        <v>1897.9</v>
      </c>
      <c r="J1121" s="241">
        <f>I1121/H1121</f>
        <v>0.89658919123204839</v>
      </c>
      <c r="L1121" s="270"/>
      <c r="M1121" s="282" t="s">
        <v>470</v>
      </c>
      <c r="N1121" s="15" t="s">
        <v>63</v>
      </c>
      <c r="O1121" s="16"/>
      <c r="P1121" s="16"/>
      <c r="Q1121" s="17">
        <v>150</v>
      </c>
      <c r="R1121" s="240">
        <f>SUM(Q1121:Q1123)</f>
        <v>218.9</v>
      </c>
      <c r="S1121" s="237">
        <v>2116.8000000000002</v>
      </c>
      <c r="T1121" s="237">
        <f>S1121-R1121</f>
        <v>1897.9</v>
      </c>
      <c r="U1121" s="241">
        <f>T1121/S1121</f>
        <v>0.89658919123204839</v>
      </c>
    </row>
    <row r="1122" spans="1:21" ht="13">
      <c r="A1122" s="270"/>
      <c r="B1122" s="236"/>
      <c r="C1122" s="19" t="s">
        <v>44</v>
      </c>
      <c r="D1122" s="17"/>
      <c r="E1122" s="17"/>
      <c r="F1122" s="17">
        <v>18.899999999999999</v>
      </c>
      <c r="G1122" s="236"/>
      <c r="H1122" s="236"/>
      <c r="I1122" s="236"/>
      <c r="J1122" s="242"/>
      <c r="L1122" s="270"/>
      <c r="M1122" s="236"/>
      <c r="N1122" s="19" t="s">
        <v>44</v>
      </c>
      <c r="O1122" s="17"/>
      <c r="P1122" s="17"/>
      <c r="Q1122" s="17">
        <v>18.899999999999999</v>
      </c>
      <c r="R1122" s="236"/>
      <c r="S1122" s="236"/>
      <c r="T1122" s="236"/>
      <c r="U1122" s="242"/>
    </row>
    <row r="1123" spans="1:21" ht="13">
      <c r="A1123" s="270"/>
      <c r="B1123" s="248"/>
      <c r="C1123" s="20" t="s">
        <v>45</v>
      </c>
      <c r="D1123" s="21"/>
      <c r="E1123" s="21"/>
      <c r="F1123" s="21">
        <v>50</v>
      </c>
      <c r="G1123" s="238"/>
      <c r="H1123" s="238"/>
      <c r="I1123" s="238"/>
      <c r="J1123" s="243"/>
      <c r="L1123" s="270"/>
      <c r="M1123" s="248"/>
      <c r="N1123" s="20" t="s">
        <v>45</v>
      </c>
      <c r="O1123" s="21"/>
      <c r="P1123" s="21"/>
      <c r="Q1123" s="21">
        <v>50</v>
      </c>
      <c r="R1123" s="238"/>
      <c r="S1123" s="238"/>
      <c r="T1123" s="238"/>
      <c r="U1123" s="243"/>
    </row>
    <row r="1124" spans="1:21" ht="13">
      <c r="A1124" s="270"/>
      <c r="B1124" s="282" t="s">
        <v>471</v>
      </c>
      <c r="C1124" s="15" t="s">
        <v>31</v>
      </c>
      <c r="D1124" s="16"/>
      <c r="E1124" s="16"/>
      <c r="F1124" s="17">
        <v>150</v>
      </c>
      <c r="G1124" s="240">
        <f>SUM(F1124:F1127)</f>
        <v>317.46999999999997</v>
      </c>
      <c r="H1124" s="237">
        <v>2569.4699999999998</v>
      </c>
      <c r="I1124" s="237">
        <f>H1124-G1124</f>
        <v>2252</v>
      </c>
      <c r="J1124" s="241">
        <f>I1124/H1124</f>
        <v>0.87644533697610794</v>
      </c>
      <c r="L1124" s="270"/>
      <c r="M1124" s="282" t="s">
        <v>471</v>
      </c>
      <c r="N1124" s="15" t="s">
        <v>31</v>
      </c>
      <c r="O1124" s="16"/>
      <c r="P1124" s="16"/>
      <c r="Q1124" s="17">
        <v>150</v>
      </c>
      <c r="R1124" s="240">
        <f>SUM(Q1124:Q1127)</f>
        <v>317.46999999999997</v>
      </c>
      <c r="S1124" s="237">
        <v>2569.4699999999998</v>
      </c>
      <c r="T1124" s="237">
        <f>S1124-R1124</f>
        <v>2252</v>
      </c>
      <c r="U1124" s="241">
        <f>T1124/S1124</f>
        <v>0.87644533697610794</v>
      </c>
    </row>
    <row r="1125" spans="1:21" ht="13">
      <c r="A1125" s="270"/>
      <c r="B1125" s="236"/>
      <c r="C1125" s="19" t="s">
        <v>33</v>
      </c>
      <c r="D1125" s="17"/>
      <c r="E1125" s="17"/>
      <c r="F1125" s="17">
        <v>98.57</v>
      </c>
      <c r="G1125" s="236"/>
      <c r="H1125" s="236"/>
      <c r="I1125" s="236"/>
      <c r="J1125" s="242"/>
      <c r="L1125" s="270"/>
      <c r="M1125" s="236"/>
      <c r="N1125" s="19" t="s">
        <v>33</v>
      </c>
      <c r="O1125" s="17"/>
      <c r="P1125" s="17"/>
      <c r="Q1125" s="17">
        <v>98.57</v>
      </c>
      <c r="R1125" s="236"/>
      <c r="S1125" s="236"/>
      <c r="T1125" s="236"/>
      <c r="U1125" s="242"/>
    </row>
    <row r="1126" spans="1:21" ht="13">
      <c r="A1126" s="270"/>
      <c r="B1126" s="236"/>
      <c r="C1126" s="19" t="s">
        <v>44</v>
      </c>
      <c r="D1126" s="17"/>
      <c r="E1126" s="17"/>
      <c r="F1126" s="17">
        <v>18.899999999999999</v>
      </c>
      <c r="G1126" s="236"/>
      <c r="H1126" s="236"/>
      <c r="I1126" s="236"/>
      <c r="J1126" s="242"/>
      <c r="L1126" s="270"/>
      <c r="M1126" s="236"/>
      <c r="N1126" s="19" t="s">
        <v>44</v>
      </c>
      <c r="O1126" s="17"/>
      <c r="P1126" s="17"/>
      <c r="Q1126" s="17">
        <v>18.899999999999999</v>
      </c>
      <c r="R1126" s="236"/>
      <c r="S1126" s="236"/>
      <c r="T1126" s="236"/>
      <c r="U1126" s="242"/>
    </row>
    <row r="1127" spans="1:21" ht="13">
      <c r="A1127" s="270"/>
      <c r="B1127" s="248"/>
      <c r="C1127" s="20" t="s">
        <v>45</v>
      </c>
      <c r="D1127" s="21"/>
      <c r="E1127" s="21"/>
      <c r="F1127" s="21">
        <v>50</v>
      </c>
      <c r="G1127" s="238"/>
      <c r="H1127" s="238"/>
      <c r="I1127" s="238"/>
      <c r="J1127" s="243"/>
      <c r="L1127" s="270"/>
      <c r="M1127" s="248"/>
      <c r="N1127" s="20" t="s">
        <v>45</v>
      </c>
      <c r="O1127" s="21"/>
      <c r="P1127" s="21"/>
      <c r="Q1127" s="21">
        <v>50</v>
      </c>
      <c r="R1127" s="238"/>
      <c r="S1127" s="238"/>
      <c r="T1127" s="238"/>
      <c r="U1127" s="243"/>
    </row>
    <row r="1128" spans="1:21" ht="13">
      <c r="A1128" s="270"/>
      <c r="B1128" s="282" t="s">
        <v>472</v>
      </c>
      <c r="C1128" s="15" t="s">
        <v>31</v>
      </c>
      <c r="D1128" s="17">
        <v>7</v>
      </c>
      <c r="E1128" s="17">
        <v>15</v>
      </c>
      <c r="F1128" s="17">
        <f>D1128*E1128</f>
        <v>105</v>
      </c>
      <c r="G1128" s="240">
        <f>SUM(F1128:F1129)</f>
        <v>105</v>
      </c>
      <c r="H1128" s="237">
        <v>700</v>
      </c>
      <c r="I1128" s="237">
        <f>H1128-G1128</f>
        <v>595</v>
      </c>
      <c r="J1128" s="241">
        <f>I1128/H1128</f>
        <v>0.85</v>
      </c>
      <c r="L1128" s="270"/>
      <c r="M1128" s="282" t="s">
        <v>472</v>
      </c>
      <c r="N1128" s="15" t="s">
        <v>31</v>
      </c>
      <c r="O1128" s="17">
        <v>7</v>
      </c>
      <c r="P1128" s="17">
        <v>15</v>
      </c>
      <c r="Q1128" s="17">
        <f>O1128*P1128</f>
        <v>105</v>
      </c>
      <c r="R1128" s="240">
        <f>SUM(Q1128:Q1129)</f>
        <v>105</v>
      </c>
      <c r="S1128" s="237">
        <v>700</v>
      </c>
      <c r="T1128" s="237">
        <f>S1128-R1128</f>
        <v>595</v>
      </c>
      <c r="U1128" s="241">
        <f>T1128/S1128</f>
        <v>0.85</v>
      </c>
    </row>
    <row r="1129" spans="1:21" ht="13">
      <c r="A1129" s="270"/>
      <c r="B1129" s="248"/>
      <c r="C1129" s="20"/>
      <c r="D1129" s="21"/>
      <c r="E1129" s="21"/>
      <c r="F1129" s="21"/>
      <c r="G1129" s="238"/>
      <c r="H1129" s="238"/>
      <c r="I1129" s="238"/>
      <c r="J1129" s="243"/>
      <c r="L1129" s="270"/>
      <c r="M1129" s="248"/>
      <c r="N1129" s="20"/>
      <c r="O1129" s="21"/>
      <c r="P1129" s="21"/>
      <c r="Q1129" s="21"/>
      <c r="R1129" s="238"/>
      <c r="S1129" s="238"/>
      <c r="T1129" s="238"/>
      <c r="U1129" s="243"/>
    </row>
    <row r="1130" spans="1:21" ht="13">
      <c r="A1130" s="270"/>
      <c r="B1130" s="282" t="s">
        <v>468</v>
      </c>
      <c r="C1130" s="15" t="s">
        <v>147</v>
      </c>
      <c r="D1130" s="16"/>
      <c r="E1130" s="16"/>
      <c r="F1130" s="17">
        <v>75</v>
      </c>
      <c r="G1130" s="240">
        <f>SUM(F1130:F1132)</f>
        <v>175</v>
      </c>
      <c r="H1130" s="237">
        <v>750</v>
      </c>
      <c r="I1130" s="237">
        <f>H1130-G1130</f>
        <v>575</v>
      </c>
      <c r="J1130" s="241">
        <f>I1130/H1130</f>
        <v>0.76666666666666672</v>
      </c>
      <c r="L1130" s="270"/>
      <c r="M1130" s="282" t="s">
        <v>468</v>
      </c>
      <c r="N1130" s="15" t="s">
        <v>147</v>
      </c>
      <c r="O1130" s="16"/>
      <c r="P1130" s="16"/>
      <c r="Q1130" s="17">
        <v>75</v>
      </c>
      <c r="R1130" s="240">
        <f>SUM(Q1130:Q1132)</f>
        <v>175</v>
      </c>
      <c r="S1130" s="237">
        <v>750</v>
      </c>
      <c r="T1130" s="237">
        <f>S1130-R1130</f>
        <v>575</v>
      </c>
      <c r="U1130" s="241">
        <f>T1130/S1130</f>
        <v>0.76666666666666672</v>
      </c>
    </row>
    <row r="1131" spans="1:21" ht="13">
      <c r="A1131" s="270"/>
      <c r="B1131" s="236"/>
      <c r="C1131" s="19" t="s">
        <v>38</v>
      </c>
      <c r="D1131" s="17"/>
      <c r="E1131" s="17"/>
      <c r="F1131" s="17">
        <v>50</v>
      </c>
      <c r="G1131" s="236"/>
      <c r="H1131" s="236"/>
      <c r="I1131" s="236"/>
      <c r="J1131" s="242"/>
      <c r="L1131" s="270"/>
      <c r="M1131" s="236"/>
      <c r="N1131" s="19" t="s">
        <v>38</v>
      </c>
      <c r="O1131" s="17"/>
      <c r="P1131" s="17"/>
      <c r="Q1131" s="17">
        <v>50</v>
      </c>
      <c r="R1131" s="236"/>
      <c r="S1131" s="236"/>
      <c r="T1131" s="236"/>
      <c r="U1131" s="242"/>
    </row>
    <row r="1132" spans="1:21" ht="13">
      <c r="A1132" s="270"/>
      <c r="B1132" s="248"/>
      <c r="C1132" s="20" t="s">
        <v>53</v>
      </c>
      <c r="D1132" s="21"/>
      <c r="E1132" s="21"/>
      <c r="F1132" s="21">
        <v>50</v>
      </c>
      <c r="G1132" s="238"/>
      <c r="H1132" s="238"/>
      <c r="I1132" s="238"/>
      <c r="J1132" s="243"/>
      <c r="L1132" s="270"/>
      <c r="M1132" s="248"/>
      <c r="N1132" s="20" t="s">
        <v>53</v>
      </c>
      <c r="O1132" s="21"/>
      <c r="P1132" s="21"/>
      <c r="Q1132" s="21">
        <v>50</v>
      </c>
      <c r="R1132" s="238"/>
      <c r="S1132" s="238"/>
      <c r="T1132" s="238"/>
      <c r="U1132" s="243"/>
    </row>
    <row r="1133" spans="1:21" ht="13">
      <c r="A1133" s="270"/>
      <c r="B1133" s="283" t="s">
        <v>374</v>
      </c>
      <c r="C1133" s="69" t="s">
        <v>137</v>
      </c>
      <c r="D1133" s="65">
        <v>42</v>
      </c>
      <c r="E1133" s="65">
        <v>15</v>
      </c>
      <c r="F1133" s="23">
        <f t="shared" ref="F1133:F1143" si="216">D1133*E1133</f>
        <v>630</v>
      </c>
      <c r="G1133" s="240">
        <f>SUM(F1133:F1153)</f>
        <v>13967.92</v>
      </c>
      <c r="H1133" s="237">
        <v>24819.200000000001</v>
      </c>
      <c r="I1133" s="237">
        <f>H1133-G1133</f>
        <v>10851.28</v>
      </c>
      <c r="J1133" s="241">
        <f>I1133/H1133</f>
        <v>0.43721312532233109</v>
      </c>
      <c r="L1133" s="270"/>
      <c r="M1133" s="283" t="s">
        <v>374</v>
      </c>
      <c r="N1133" s="69" t="s">
        <v>137</v>
      </c>
      <c r="O1133" s="65">
        <v>42</v>
      </c>
      <c r="P1133" s="65">
        <v>15</v>
      </c>
      <c r="Q1133" s="23">
        <f t="shared" ref="Q1133:Q1139" si="217">O1133*P1133</f>
        <v>630</v>
      </c>
      <c r="R1133" s="240">
        <f>SUM(Q1133:Q1153)</f>
        <v>13513.92</v>
      </c>
      <c r="S1133" s="237">
        <v>24819.200000000001</v>
      </c>
      <c r="T1133" s="237">
        <f>S1133-R1133</f>
        <v>11305.28</v>
      </c>
      <c r="U1133" s="241">
        <f>T1133/S1133</f>
        <v>0.45550541516245491</v>
      </c>
    </row>
    <row r="1134" spans="1:21" ht="13">
      <c r="A1134" s="270"/>
      <c r="B1134" s="236"/>
      <c r="C1134" s="22" t="s">
        <v>72</v>
      </c>
      <c r="D1134" s="23">
        <v>49</v>
      </c>
      <c r="E1134" s="23">
        <v>15</v>
      </c>
      <c r="F1134" s="23">
        <f t="shared" si="216"/>
        <v>735</v>
      </c>
      <c r="G1134" s="236"/>
      <c r="H1134" s="236"/>
      <c r="I1134" s="236"/>
      <c r="J1134" s="242"/>
      <c r="L1134" s="270"/>
      <c r="M1134" s="236"/>
      <c r="N1134" s="22" t="s">
        <v>72</v>
      </c>
      <c r="O1134" s="23">
        <v>49</v>
      </c>
      <c r="P1134" s="23">
        <v>15</v>
      </c>
      <c r="Q1134" s="23">
        <f t="shared" si="217"/>
        <v>735</v>
      </c>
      <c r="R1134" s="236"/>
      <c r="S1134" s="236"/>
      <c r="T1134" s="236"/>
      <c r="U1134" s="242"/>
    </row>
    <row r="1135" spans="1:21" ht="13">
      <c r="A1135" s="270"/>
      <c r="B1135" s="236"/>
      <c r="C1135" s="22" t="s">
        <v>473</v>
      </c>
      <c r="D1135" s="23">
        <v>7</v>
      </c>
      <c r="E1135" s="23">
        <v>15</v>
      </c>
      <c r="F1135" s="23">
        <f t="shared" si="216"/>
        <v>105</v>
      </c>
      <c r="G1135" s="236"/>
      <c r="H1135" s="236"/>
      <c r="I1135" s="236"/>
      <c r="J1135" s="242"/>
      <c r="L1135" s="270"/>
      <c r="M1135" s="236"/>
      <c r="N1135" s="22" t="s">
        <v>473</v>
      </c>
      <c r="O1135" s="23">
        <v>7</v>
      </c>
      <c r="P1135" s="23">
        <v>15</v>
      </c>
      <c r="Q1135" s="23">
        <f t="shared" si="217"/>
        <v>105</v>
      </c>
      <c r="R1135" s="236"/>
      <c r="S1135" s="236"/>
      <c r="T1135" s="236"/>
      <c r="U1135" s="242"/>
    </row>
    <row r="1136" spans="1:21" ht="13">
      <c r="A1136" s="270"/>
      <c r="B1136" s="236"/>
      <c r="C1136" s="22" t="s">
        <v>377</v>
      </c>
      <c r="D1136" s="23">
        <v>23</v>
      </c>
      <c r="E1136" s="23">
        <v>15</v>
      </c>
      <c r="F1136" s="23">
        <f t="shared" si="216"/>
        <v>345</v>
      </c>
      <c r="G1136" s="236"/>
      <c r="H1136" s="236"/>
      <c r="I1136" s="236"/>
      <c r="J1136" s="242"/>
      <c r="L1136" s="270"/>
      <c r="M1136" s="236"/>
      <c r="N1136" s="22" t="s">
        <v>377</v>
      </c>
      <c r="O1136" s="23">
        <v>23</v>
      </c>
      <c r="P1136" s="23">
        <v>15</v>
      </c>
      <c r="Q1136" s="23">
        <f t="shared" si="217"/>
        <v>345</v>
      </c>
      <c r="R1136" s="236"/>
      <c r="S1136" s="236"/>
      <c r="T1136" s="236"/>
      <c r="U1136" s="242"/>
    </row>
    <row r="1137" spans="1:21" ht="13">
      <c r="A1137" s="270"/>
      <c r="B1137" s="236"/>
      <c r="C1137" s="22" t="s">
        <v>106</v>
      </c>
      <c r="D1137" s="23">
        <v>9</v>
      </c>
      <c r="E1137" s="23">
        <v>15</v>
      </c>
      <c r="F1137" s="23">
        <f t="shared" si="216"/>
        <v>135</v>
      </c>
      <c r="G1137" s="236"/>
      <c r="H1137" s="236"/>
      <c r="I1137" s="236"/>
      <c r="J1137" s="242"/>
      <c r="L1137" s="270"/>
      <c r="M1137" s="236"/>
      <c r="N1137" s="22" t="s">
        <v>106</v>
      </c>
      <c r="O1137" s="23">
        <v>9</v>
      </c>
      <c r="P1137" s="23">
        <v>15</v>
      </c>
      <c r="Q1137" s="23">
        <f t="shared" si="217"/>
        <v>135</v>
      </c>
      <c r="R1137" s="236"/>
      <c r="S1137" s="236"/>
      <c r="T1137" s="236"/>
      <c r="U1137" s="242"/>
    </row>
    <row r="1138" spans="1:21" ht="13">
      <c r="A1138" s="270"/>
      <c r="B1138" s="236"/>
      <c r="C1138" s="22" t="s">
        <v>379</v>
      </c>
      <c r="D1138" s="23">
        <v>46</v>
      </c>
      <c r="E1138" s="23">
        <v>15</v>
      </c>
      <c r="F1138" s="23">
        <f t="shared" si="216"/>
        <v>690</v>
      </c>
      <c r="G1138" s="236"/>
      <c r="H1138" s="236"/>
      <c r="I1138" s="236"/>
      <c r="J1138" s="242"/>
      <c r="L1138" s="270"/>
      <c r="M1138" s="236"/>
      <c r="N1138" s="22" t="s">
        <v>379</v>
      </c>
      <c r="O1138" s="23">
        <v>46</v>
      </c>
      <c r="P1138" s="23">
        <v>15</v>
      </c>
      <c r="Q1138" s="23">
        <f t="shared" si="217"/>
        <v>690</v>
      </c>
      <c r="R1138" s="236"/>
      <c r="S1138" s="236"/>
      <c r="T1138" s="236"/>
      <c r="U1138" s="242"/>
    </row>
    <row r="1139" spans="1:21" ht="13">
      <c r="A1139" s="270"/>
      <c r="B1139" s="236"/>
      <c r="C1139" s="22" t="s">
        <v>100</v>
      </c>
      <c r="D1139" s="23">
        <v>7</v>
      </c>
      <c r="E1139" s="23">
        <v>15</v>
      </c>
      <c r="F1139" s="23">
        <f t="shared" si="216"/>
        <v>105</v>
      </c>
      <c r="G1139" s="236"/>
      <c r="H1139" s="236"/>
      <c r="I1139" s="236"/>
      <c r="J1139" s="242"/>
      <c r="L1139" s="270"/>
      <c r="M1139" s="236"/>
      <c r="N1139" s="22" t="s">
        <v>100</v>
      </c>
      <c r="O1139" s="23">
        <v>7</v>
      </c>
      <c r="P1139" s="23">
        <v>15</v>
      </c>
      <c r="Q1139" s="23">
        <f t="shared" si="217"/>
        <v>105</v>
      </c>
      <c r="R1139" s="236"/>
      <c r="S1139" s="236"/>
      <c r="T1139" s="236"/>
      <c r="U1139" s="242"/>
    </row>
    <row r="1140" spans="1:21" ht="13">
      <c r="A1140" s="270"/>
      <c r="B1140" s="236"/>
      <c r="C1140" s="22" t="s">
        <v>384</v>
      </c>
      <c r="D1140" s="23">
        <v>21</v>
      </c>
      <c r="E1140" s="23">
        <v>18</v>
      </c>
      <c r="F1140" s="23">
        <f t="shared" si="216"/>
        <v>378</v>
      </c>
      <c r="G1140" s="236"/>
      <c r="H1140" s="236"/>
      <c r="I1140" s="236"/>
      <c r="J1140" s="242"/>
      <c r="L1140" s="270"/>
      <c r="M1140" s="236"/>
      <c r="N1140" s="22" t="s">
        <v>384</v>
      </c>
      <c r="O1140" s="18"/>
      <c r="P1140" s="18"/>
      <c r="Q1140" s="18"/>
      <c r="R1140" s="236"/>
      <c r="S1140" s="236"/>
      <c r="T1140" s="236"/>
      <c r="U1140" s="242"/>
    </row>
    <row r="1141" spans="1:21" ht="13">
      <c r="A1141" s="270"/>
      <c r="B1141" s="236"/>
      <c r="C1141" s="22" t="s">
        <v>474</v>
      </c>
      <c r="D1141" s="23">
        <v>7</v>
      </c>
      <c r="E1141" s="23">
        <v>15</v>
      </c>
      <c r="F1141" s="23">
        <f t="shared" si="216"/>
        <v>105</v>
      </c>
      <c r="G1141" s="236"/>
      <c r="H1141" s="236"/>
      <c r="I1141" s="236"/>
      <c r="J1141" s="242"/>
      <c r="L1141" s="270"/>
      <c r="M1141" s="236"/>
      <c r="N1141" s="22" t="s">
        <v>474</v>
      </c>
      <c r="O1141" s="23">
        <v>7</v>
      </c>
      <c r="P1141" s="23">
        <v>15</v>
      </c>
      <c r="Q1141" s="23">
        <f t="shared" ref="Q1141:Q1143" si="218">O1141*P1141</f>
        <v>105</v>
      </c>
      <c r="R1141" s="236"/>
      <c r="S1141" s="236"/>
      <c r="T1141" s="236"/>
      <c r="U1141" s="242"/>
    </row>
    <row r="1142" spans="1:21" ht="13">
      <c r="A1142" s="270"/>
      <c r="B1142" s="236"/>
      <c r="C1142" s="22" t="s">
        <v>35</v>
      </c>
      <c r="D1142" s="23">
        <v>74</v>
      </c>
      <c r="E1142" s="23">
        <v>15</v>
      </c>
      <c r="F1142" s="23">
        <f t="shared" si="216"/>
        <v>1110</v>
      </c>
      <c r="G1142" s="236"/>
      <c r="H1142" s="236"/>
      <c r="I1142" s="236"/>
      <c r="J1142" s="242"/>
      <c r="L1142" s="270"/>
      <c r="M1142" s="236"/>
      <c r="N1142" s="22" t="s">
        <v>35</v>
      </c>
      <c r="O1142" s="23">
        <v>74</v>
      </c>
      <c r="P1142" s="23">
        <v>15</v>
      </c>
      <c r="Q1142" s="23">
        <f t="shared" si="218"/>
        <v>1110</v>
      </c>
      <c r="R1142" s="236"/>
      <c r="S1142" s="236"/>
      <c r="T1142" s="236"/>
      <c r="U1142" s="242"/>
    </row>
    <row r="1143" spans="1:21" ht="13">
      <c r="A1143" s="270"/>
      <c r="B1143" s="236"/>
      <c r="C1143" s="22" t="s">
        <v>50</v>
      </c>
      <c r="D1143" s="23">
        <v>72.349999999999994</v>
      </c>
      <c r="E1143" s="23">
        <v>15</v>
      </c>
      <c r="F1143" s="23">
        <f t="shared" si="216"/>
        <v>1085.25</v>
      </c>
      <c r="G1143" s="236"/>
      <c r="H1143" s="236"/>
      <c r="I1143" s="236"/>
      <c r="J1143" s="242"/>
      <c r="L1143" s="270"/>
      <c r="M1143" s="236"/>
      <c r="N1143" s="22" t="s">
        <v>50</v>
      </c>
      <c r="O1143" s="23">
        <v>72.349999999999994</v>
      </c>
      <c r="P1143" s="23">
        <v>15</v>
      </c>
      <c r="Q1143" s="23">
        <f t="shared" si="218"/>
        <v>1085.25</v>
      </c>
      <c r="R1143" s="236"/>
      <c r="S1143" s="236"/>
      <c r="T1143" s="236"/>
      <c r="U1143" s="242"/>
    </row>
    <row r="1144" spans="1:21" ht="13">
      <c r="A1144" s="270"/>
      <c r="B1144" s="236"/>
      <c r="C1144" s="22" t="s">
        <v>475</v>
      </c>
      <c r="D1144" s="23"/>
      <c r="E1144" s="23"/>
      <c r="F1144" s="23">
        <v>915.9</v>
      </c>
      <c r="G1144" s="236"/>
      <c r="H1144" s="236"/>
      <c r="I1144" s="236"/>
      <c r="J1144" s="242"/>
      <c r="L1144" s="270"/>
      <c r="M1144" s="236"/>
      <c r="N1144" s="22" t="s">
        <v>475</v>
      </c>
      <c r="O1144" s="23"/>
      <c r="P1144" s="23"/>
      <c r="Q1144" s="23">
        <v>915.9</v>
      </c>
      <c r="R1144" s="236"/>
      <c r="S1144" s="236"/>
      <c r="T1144" s="236"/>
      <c r="U1144" s="242"/>
    </row>
    <row r="1145" spans="1:21" ht="13">
      <c r="A1145" s="270"/>
      <c r="B1145" s="236"/>
      <c r="C1145" s="22" t="s">
        <v>388</v>
      </c>
      <c r="D1145" s="23"/>
      <c r="E1145" s="23"/>
      <c r="F1145" s="23">
        <v>4179.8500000000004</v>
      </c>
      <c r="G1145" s="236"/>
      <c r="H1145" s="236"/>
      <c r="I1145" s="236"/>
      <c r="J1145" s="242"/>
      <c r="L1145" s="270"/>
      <c r="M1145" s="236"/>
      <c r="N1145" s="22" t="s">
        <v>388</v>
      </c>
      <c r="O1145" s="23"/>
      <c r="P1145" s="23"/>
      <c r="Q1145" s="23">
        <v>4179.8500000000004</v>
      </c>
      <c r="R1145" s="236"/>
      <c r="S1145" s="236"/>
      <c r="T1145" s="236"/>
      <c r="U1145" s="242"/>
    </row>
    <row r="1146" spans="1:21" ht="13">
      <c r="A1146" s="270"/>
      <c r="B1146" s="236"/>
      <c r="C1146" s="22" t="s">
        <v>389</v>
      </c>
      <c r="D1146" s="23"/>
      <c r="E1146" s="23"/>
      <c r="F1146" s="23">
        <v>0</v>
      </c>
      <c r="G1146" s="236"/>
      <c r="H1146" s="236"/>
      <c r="I1146" s="236"/>
      <c r="J1146" s="242"/>
      <c r="L1146" s="270"/>
      <c r="M1146" s="236"/>
      <c r="N1146" s="22" t="s">
        <v>389</v>
      </c>
      <c r="O1146" s="23"/>
      <c r="P1146" s="23"/>
      <c r="Q1146" s="23">
        <v>0</v>
      </c>
      <c r="R1146" s="236"/>
      <c r="S1146" s="236"/>
      <c r="T1146" s="236"/>
      <c r="U1146" s="242"/>
    </row>
    <row r="1147" spans="1:21" ht="13">
      <c r="A1147" s="270"/>
      <c r="B1147" s="236"/>
      <c r="C1147" s="22" t="s">
        <v>391</v>
      </c>
      <c r="D1147" s="23"/>
      <c r="E1147" s="23"/>
      <c r="F1147" s="23">
        <v>0</v>
      </c>
      <c r="G1147" s="236"/>
      <c r="H1147" s="236"/>
      <c r="I1147" s="236"/>
      <c r="J1147" s="242"/>
      <c r="L1147" s="270"/>
      <c r="M1147" s="236"/>
      <c r="N1147" s="22" t="s">
        <v>391</v>
      </c>
      <c r="O1147" s="23"/>
      <c r="P1147" s="23"/>
      <c r="Q1147" s="23">
        <v>0</v>
      </c>
      <c r="R1147" s="236"/>
      <c r="S1147" s="236"/>
      <c r="T1147" s="236"/>
      <c r="U1147" s="242"/>
    </row>
    <row r="1148" spans="1:21" ht="13">
      <c r="A1148" s="270"/>
      <c r="B1148" s="236"/>
      <c r="C1148" s="22" t="s">
        <v>476</v>
      </c>
      <c r="D1148" s="23"/>
      <c r="E1148" s="23"/>
      <c r="F1148" s="23">
        <v>151.47999999999999</v>
      </c>
      <c r="G1148" s="236"/>
      <c r="H1148" s="236"/>
      <c r="I1148" s="236"/>
      <c r="J1148" s="242"/>
      <c r="L1148" s="270"/>
      <c r="M1148" s="236"/>
      <c r="N1148" s="22" t="s">
        <v>476</v>
      </c>
      <c r="O1148" s="23"/>
      <c r="P1148" s="23"/>
      <c r="Q1148" s="23">
        <v>151.47999999999999</v>
      </c>
      <c r="R1148" s="236"/>
      <c r="S1148" s="236"/>
      <c r="T1148" s="236"/>
      <c r="U1148" s="242"/>
    </row>
    <row r="1149" spans="1:21" ht="13">
      <c r="A1149" s="270"/>
      <c r="B1149" s="236"/>
      <c r="C1149" s="22" t="s">
        <v>392</v>
      </c>
      <c r="D1149" s="23"/>
      <c r="E1149" s="23"/>
      <c r="F1149" s="23">
        <v>2580</v>
      </c>
      <c r="G1149" s="236"/>
      <c r="H1149" s="236"/>
      <c r="I1149" s="236"/>
      <c r="J1149" s="242"/>
      <c r="L1149" s="270"/>
      <c r="M1149" s="236"/>
      <c r="N1149" s="22" t="s">
        <v>392</v>
      </c>
      <c r="O1149" s="23"/>
      <c r="P1149" s="23"/>
      <c r="Q1149" s="23">
        <v>2580</v>
      </c>
      <c r="R1149" s="236"/>
      <c r="S1149" s="236"/>
      <c r="T1149" s="236"/>
      <c r="U1149" s="242"/>
    </row>
    <row r="1150" spans="1:21" ht="13">
      <c r="A1150" s="270"/>
      <c r="B1150" s="236"/>
      <c r="C1150" s="22" t="s">
        <v>393</v>
      </c>
      <c r="D1150" s="23"/>
      <c r="E1150" s="23"/>
      <c r="F1150" s="23">
        <v>143</v>
      </c>
      <c r="G1150" s="236"/>
      <c r="H1150" s="236"/>
      <c r="I1150" s="236"/>
      <c r="J1150" s="242"/>
      <c r="L1150" s="270"/>
      <c r="M1150" s="236"/>
      <c r="N1150" s="22" t="s">
        <v>393</v>
      </c>
      <c r="O1150" s="23"/>
      <c r="P1150" s="23"/>
      <c r="Q1150" s="23">
        <v>143</v>
      </c>
      <c r="R1150" s="236"/>
      <c r="S1150" s="236"/>
      <c r="T1150" s="236"/>
      <c r="U1150" s="242"/>
    </row>
    <row r="1151" spans="1:21" ht="13">
      <c r="A1151" s="270"/>
      <c r="B1151" s="236"/>
      <c r="C1151" s="22" t="s">
        <v>102</v>
      </c>
      <c r="D1151" s="23">
        <v>4</v>
      </c>
      <c r="E1151" s="23">
        <v>19</v>
      </c>
      <c r="F1151" s="23">
        <f>D1151*E1151</f>
        <v>76</v>
      </c>
      <c r="G1151" s="236"/>
      <c r="H1151" s="236"/>
      <c r="I1151" s="236"/>
      <c r="J1151" s="242"/>
      <c r="L1151" s="270"/>
      <c r="M1151" s="236"/>
      <c r="N1151" s="22" t="s">
        <v>102</v>
      </c>
      <c r="O1151" s="18"/>
      <c r="P1151" s="18"/>
      <c r="Q1151" s="18"/>
      <c r="R1151" s="236"/>
      <c r="S1151" s="236"/>
      <c r="T1151" s="236"/>
      <c r="U1151" s="242"/>
    </row>
    <row r="1152" spans="1:21" ht="13">
      <c r="A1152" s="270"/>
      <c r="B1152" s="236"/>
      <c r="C1152" s="22" t="s">
        <v>395</v>
      </c>
      <c r="D1152" s="23"/>
      <c r="E1152" s="23"/>
      <c r="F1152" s="23">
        <v>498.44</v>
      </c>
      <c r="G1152" s="236"/>
      <c r="H1152" s="236"/>
      <c r="I1152" s="236"/>
      <c r="J1152" s="242"/>
      <c r="L1152" s="270"/>
      <c r="M1152" s="236"/>
      <c r="N1152" s="22" t="s">
        <v>395</v>
      </c>
      <c r="O1152" s="23"/>
      <c r="P1152" s="23"/>
      <c r="Q1152" s="23">
        <v>498.44</v>
      </c>
      <c r="R1152" s="236"/>
      <c r="S1152" s="236"/>
      <c r="T1152" s="236"/>
      <c r="U1152" s="242"/>
    </row>
    <row r="1153" spans="1:21" ht="13">
      <c r="A1153" s="270"/>
      <c r="B1153" s="248"/>
      <c r="C1153" s="25"/>
      <c r="D1153" s="26"/>
      <c r="E1153" s="26"/>
      <c r="F1153" s="26"/>
      <c r="G1153" s="238"/>
      <c r="H1153" s="238"/>
      <c r="I1153" s="238"/>
      <c r="J1153" s="243"/>
      <c r="L1153" s="270"/>
      <c r="M1153" s="248"/>
      <c r="N1153" s="25"/>
      <c r="O1153" s="26"/>
      <c r="P1153" s="26"/>
      <c r="Q1153" s="26"/>
      <c r="R1153" s="238"/>
      <c r="S1153" s="238"/>
      <c r="T1153" s="238"/>
      <c r="U1153" s="243"/>
    </row>
    <row r="1154" spans="1:21" ht="13">
      <c r="A1154" s="270"/>
      <c r="B1154" s="244" t="s">
        <v>477</v>
      </c>
      <c r="C1154" s="15" t="s">
        <v>100</v>
      </c>
      <c r="D1154" s="16">
        <v>9</v>
      </c>
      <c r="E1154" s="16">
        <v>15</v>
      </c>
      <c r="F1154" s="17">
        <f t="shared" ref="F1154:F1156" si="219">D1154*E1154</f>
        <v>135</v>
      </c>
      <c r="G1154" s="240">
        <f>SUM(F1154:F1157)</f>
        <v>405</v>
      </c>
      <c r="H1154" s="237">
        <v>1431</v>
      </c>
      <c r="I1154" s="237">
        <f>H1154-G1154</f>
        <v>1026</v>
      </c>
      <c r="J1154" s="241">
        <f>I1154/H1154</f>
        <v>0.71698113207547165</v>
      </c>
      <c r="L1154" s="270"/>
      <c r="M1154" s="244" t="s">
        <v>477</v>
      </c>
      <c r="N1154" s="15" t="s">
        <v>100</v>
      </c>
      <c r="O1154" s="16">
        <v>9</v>
      </c>
      <c r="P1154" s="16">
        <v>15</v>
      </c>
      <c r="Q1154" s="17">
        <f t="shared" ref="Q1154:Q1156" si="220">O1154*P1154</f>
        <v>135</v>
      </c>
      <c r="R1154" s="240">
        <f>SUM(Q1154:Q1157)</f>
        <v>405</v>
      </c>
      <c r="S1154" s="237">
        <v>1431</v>
      </c>
      <c r="T1154" s="237">
        <f>S1154-R1154</f>
        <v>1026</v>
      </c>
      <c r="U1154" s="241">
        <f>T1154/S1154</f>
        <v>0.71698113207547165</v>
      </c>
    </row>
    <row r="1155" spans="1:21" ht="13">
      <c r="A1155" s="270"/>
      <c r="B1155" s="245"/>
      <c r="C1155" s="19" t="s">
        <v>53</v>
      </c>
      <c r="D1155" s="17">
        <v>3</v>
      </c>
      <c r="E1155" s="17">
        <v>15</v>
      </c>
      <c r="F1155" s="17">
        <f t="shared" si="219"/>
        <v>45</v>
      </c>
      <c r="G1155" s="236"/>
      <c r="H1155" s="236"/>
      <c r="I1155" s="236"/>
      <c r="J1155" s="242"/>
      <c r="L1155" s="270"/>
      <c r="M1155" s="245"/>
      <c r="N1155" s="19" t="s">
        <v>53</v>
      </c>
      <c r="O1155" s="17">
        <v>3</v>
      </c>
      <c r="P1155" s="17">
        <v>15</v>
      </c>
      <c r="Q1155" s="17">
        <f t="shared" si="220"/>
        <v>45</v>
      </c>
      <c r="R1155" s="236"/>
      <c r="S1155" s="236"/>
      <c r="T1155" s="236"/>
      <c r="U1155" s="242"/>
    </row>
    <row r="1156" spans="1:21" ht="13">
      <c r="A1156" s="270"/>
      <c r="B1156" s="245"/>
      <c r="C1156" s="19" t="s">
        <v>147</v>
      </c>
      <c r="D1156" s="17">
        <v>15</v>
      </c>
      <c r="E1156" s="17">
        <v>15</v>
      </c>
      <c r="F1156" s="17">
        <f t="shared" si="219"/>
        <v>225</v>
      </c>
      <c r="G1156" s="236"/>
      <c r="H1156" s="236"/>
      <c r="I1156" s="236"/>
      <c r="J1156" s="242"/>
      <c r="L1156" s="270"/>
      <c r="M1156" s="245"/>
      <c r="N1156" s="19" t="s">
        <v>147</v>
      </c>
      <c r="O1156" s="17">
        <v>15</v>
      </c>
      <c r="P1156" s="17">
        <v>15</v>
      </c>
      <c r="Q1156" s="17">
        <f t="shared" si="220"/>
        <v>225</v>
      </c>
      <c r="R1156" s="236"/>
      <c r="S1156" s="236"/>
      <c r="T1156" s="236"/>
      <c r="U1156" s="242"/>
    </row>
    <row r="1157" spans="1:21" ht="13">
      <c r="A1157" s="270"/>
      <c r="B1157" s="246"/>
      <c r="C1157" s="20"/>
      <c r="D1157" s="21"/>
      <c r="E1157" s="21"/>
      <c r="F1157" s="21"/>
      <c r="G1157" s="238"/>
      <c r="H1157" s="238"/>
      <c r="I1157" s="238"/>
      <c r="J1157" s="243"/>
      <c r="L1157" s="270"/>
      <c r="M1157" s="246"/>
      <c r="N1157" s="20"/>
      <c r="O1157" s="21"/>
      <c r="P1157" s="21"/>
      <c r="Q1157" s="21"/>
      <c r="R1157" s="238"/>
      <c r="S1157" s="238"/>
      <c r="T1157" s="238"/>
      <c r="U1157" s="243"/>
    </row>
    <row r="1158" spans="1:21" ht="13">
      <c r="A1158" s="270"/>
      <c r="B1158" s="244" t="s">
        <v>478</v>
      </c>
      <c r="C1158" s="15" t="s">
        <v>38</v>
      </c>
      <c r="D1158" s="16">
        <v>15.82</v>
      </c>
      <c r="E1158" s="17">
        <v>13</v>
      </c>
      <c r="F1158" s="17">
        <f t="shared" ref="F1158:F1160" si="221">D1158*E1158</f>
        <v>205.66</v>
      </c>
      <c r="G1158" s="240">
        <f>SUM(F1158:F1161)</f>
        <v>846.11999999999989</v>
      </c>
      <c r="H1158" s="237">
        <v>1296.4000000000001</v>
      </c>
      <c r="I1158" s="237">
        <f>H1158-G1158</f>
        <v>450.2800000000002</v>
      </c>
      <c r="J1158" s="241">
        <f>I1158/H1158</f>
        <v>0.3473310706572047</v>
      </c>
      <c r="L1158" s="270"/>
      <c r="M1158" s="244" t="s">
        <v>478</v>
      </c>
      <c r="N1158" s="15" t="s">
        <v>38</v>
      </c>
      <c r="O1158" s="16">
        <v>15.82</v>
      </c>
      <c r="P1158" s="17">
        <v>13</v>
      </c>
      <c r="Q1158" s="17">
        <f t="shared" ref="Q1158:Q1160" si="222">O1158*P1158</f>
        <v>205.66</v>
      </c>
      <c r="R1158" s="240">
        <f>SUM(Q1158:Q1161)</f>
        <v>846.11999999999989</v>
      </c>
      <c r="S1158" s="237">
        <v>1296.4000000000001</v>
      </c>
      <c r="T1158" s="237">
        <f>S1158-R1158</f>
        <v>450.2800000000002</v>
      </c>
      <c r="U1158" s="241">
        <f>T1158/S1158</f>
        <v>0.3473310706572047</v>
      </c>
    </row>
    <row r="1159" spans="1:21" ht="13">
      <c r="A1159" s="270"/>
      <c r="B1159" s="245"/>
      <c r="C1159" s="19" t="s">
        <v>32</v>
      </c>
      <c r="D1159" s="17">
        <v>6.5</v>
      </c>
      <c r="E1159" s="17">
        <v>13</v>
      </c>
      <c r="F1159" s="17">
        <f t="shared" si="221"/>
        <v>84.5</v>
      </c>
      <c r="G1159" s="236"/>
      <c r="H1159" s="236"/>
      <c r="I1159" s="236"/>
      <c r="J1159" s="242"/>
      <c r="L1159" s="270"/>
      <c r="M1159" s="245"/>
      <c r="N1159" s="19" t="s">
        <v>32</v>
      </c>
      <c r="O1159" s="17">
        <v>6.5</v>
      </c>
      <c r="P1159" s="17">
        <v>13</v>
      </c>
      <c r="Q1159" s="17">
        <f t="shared" si="222"/>
        <v>84.5</v>
      </c>
      <c r="R1159" s="236"/>
      <c r="S1159" s="236"/>
      <c r="T1159" s="236"/>
      <c r="U1159" s="242"/>
    </row>
    <row r="1160" spans="1:21" ht="13">
      <c r="A1160" s="270"/>
      <c r="B1160" s="245"/>
      <c r="C1160" s="19" t="s">
        <v>64</v>
      </c>
      <c r="D1160" s="17">
        <v>8.92</v>
      </c>
      <c r="E1160" s="17">
        <v>13</v>
      </c>
      <c r="F1160" s="17">
        <f t="shared" si="221"/>
        <v>115.96</v>
      </c>
      <c r="G1160" s="236"/>
      <c r="H1160" s="236"/>
      <c r="I1160" s="236"/>
      <c r="J1160" s="242"/>
      <c r="L1160" s="270"/>
      <c r="M1160" s="245"/>
      <c r="N1160" s="19" t="s">
        <v>64</v>
      </c>
      <c r="O1160" s="17">
        <v>8.92</v>
      </c>
      <c r="P1160" s="17">
        <v>13</v>
      </c>
      <c r="Q1160" s="17">
        <f t="shared" si="222"/>
        <v>115.96</v>
      </c>
      <c r="R1160" s="236"/>
      <c r="S1160" s="236"/>
      <c r="T1160" s="236"/>
      <c r="U1160" s="242"/>
    </row>
    <row r="1161" spans="1:21" ht="13">
      <c r="A1161" s="270"/>
      <c r="B1161" s="246"/>
      <c r="C1161" s="20" t="s">
        <v>70</v>
      </c>
      <c r="D1161" s="21"/>
      <c r="E1161" s="21"/>
      <c r="F1161" s="21">
        <v>440</v>
      </c>
      <c r="G1161" s="238"/>
      <c r="H1161" s="238"/>
      <c r="I1161" s="238"/>
      <c r="J1161" s="243"/>
      <c r="L1161" s="270"/>
      <c r="M1161" s="246"/>
      <c r="N1161" s="20" t="s">
        <v>70</v>
      </c>
      <c r="O1161" s="21"/>
      <c r="P1161" s="21"/>
      <c r="Q1161" s="21">
        <v>440</v>
      </c>
      <c r="R1161" s="238"/>
      <c r="S1161" s="238"/>
      <c r="T1161" s="238"/>
      <c r="U1161" s="243"/>
    </row>
    <row r="1162" spans="1:21" ht="13">
      <c r="A1162" s="270"/>
      <c r="B1162" s="244" t="s">
        <v>479</v>
      </c>
      <c r="C1162" s="64" t="s">
        <v>23</v>
      </c>
      <c r="D1162" s="50">
        <v>14</v>
      </c>
      <c r="E1162" s="50">
        <v>18</v>
      </c>
      <c r="F1162" s="65">
        <f>D1162*E1162</f>
        <v>252</v>
      </c>
      <c r="G1162" s="240">
        <f>SUM(F1162:F1166)</f>
        <v>668.58</v>
      </c>
      <c r="H1162" s="237">
        <v>2830.92</v>
      </c>
      <c r="I1162" s="237">
        <f>H1162-G1162</f>
        <v>2162.34</v>
      </c>
      <c r="J1162" s="241">
        <f>I1162/H1162</f>
        <v>0.76382942647619856</v>
      </c>
      <c r="L1162" s="270"/>
      <c r="M1162" s="244" t="s">
        <v>479</v>
      </c>
      <c r="N1162" s="64" t="s">
        <v>23</v>
      </c>
      <c r="O1162" s="18"/>
      <c r="P1162" s="18"/>
      <c r="Q1162" s="18"/>
      <c r="R1162" s="240">
        <f>SUM(Q1162:Q1166)</f>
        <v>416.58</v>
      </c>
      <c r="S1162" s="237">
        <v>2830.92</v>
      </c>
      <c r="T1162" s="237">
        <f>S1162-R1162</f>
        <v>2414.34</v>
      </c>
      <c r="U1162" s="241">
        <f>T1162/S1162</f>
        <v>0.85284642448391335</v>
      </c>
    </row>
    <row r="1163" spans="1:21" ht="13">
      <c r="A1163" s="270"/>
      <c r="B1163" s="245"/>
      <c r="C1163" s="22" t="s">
        <v>31</v>
      </c>
      <c r="D1163" s="23"/>
      <c r="E1163" s="23"/>
      <c r="F1163" s="23">
        <v>200</v>
      </c>
      <c r="G1163" s="236"/>
      <c r="H1163" s="236"/>
      <c r="I1163" s="236"/>
      <c r="J1163" s="242"/>
      <c r="L1163" s="270"/>
      <c r="M1163" s="245"/>
      <c r="N1163" s="22" t="s">
        <v>31</v>
      </c>
      <c r="O1163" s="23"/>
      <c r="P1163" s="23"/>
      <c r="Q1163" s="23">
        <v>200</v>
      </c>
      <c r="R1163" s="236"/>
      <c r="S1163" s="236"/>
      <c r="T1163" s="236"/>
      <c r="U1163" s="242"/>
    </row>
    <row r="1164" spans="1:21" ht="13">
      <c r="A1164" s="270"/>
      <c r="B1164" s="245"/>
      <c r="C1164" s="22" t="s">
        <v>45</v>
      </c>
      <c r="D1164" s="23"/>
      <c r="E1164" s="23"/>
      <c r="F1164" s="23">
        <v>150</v>
      </c>
      <c r="G1164" s="236"/>
      <c r="H1164" s="236"/>
      <c r="I1164" s="236"/>
      <c r="J1164" s="242"/>
      <c r="L1164" s="270"/>
      <c r="M1164" s="245"/>
      <c r="N1164" s="22" t="s">
        <v>45</v>
      </c>
      <c r="O1164" s="23"/>
      <c r="P1164" s="23"/>
      <c r="Q1164" s="23">
        <v>150</v>
      </c>
      <c r="R1164" s="236"/>
      <c r="S1164" s="236"/>
      <c r="T1164" s="236"/>
      <c r="U1164" s="242"/>
    </row>
    <row r="1165" spans="1:21" ht="13">
      <c r="A1165" s="270"/>
      <c r="B1165" s="245"/>
      <c r="C1165" s="22" t="s">
        <v>33</v>
      </c>
      <c r="D1165" s="23"/>
      <c r="E1165" s="23"/>
      <c r="F1165" s="23">
        <v>66.58</v>
      </c>
      <c r="G1165" s="236"/>
      <c r="H1165" s="236"/>
      <c r="I1165" s="236"/>
      <c r="J1165" s="242"/>
      <c r="L1165" s="270"/>
      <c r="M1165" s="245"/>
      <c r="N1165" s="22" t="s">
        <v>33</v>
      </c>
      <c r="O1165" s="23"/>
      <c r="P1165" s="23"/>
      <c r="Q1165" s="23">
        <v>66.58</v>
      </c>
      <c r="R1165" s="236"/>
      <c r="S1165" s="236"/>
      <c r="T1165" s="236"/>
      <c r="U1165" s="242"/>
    </row>
    <row r="1166" spans="1:21" ht="13">
      <c r="A1166" s="270"/>
      <c r="B1166" s="246"/>
      <c r="C1166" s="25"/>
      <c r="D1166" s="26"/>
      <c r="E1166" s="26"/>
      <c r="F1166" s="26"/>
      <c r="G1166" s="238"/>
      <c r="H1166" s="238"/>
      <c r="I1166" s="238"/>
      <c r="J1166" s="243"/>
      <c r="L1166" s="270"/>
      <c r="M1166" s="246"/>
      <c r="N1166" s="25"/>
      <c r="O1166" s="26"/>
      <c r="P1166" s="26"/>
      <c r="Q1166" s="26"/>
      <c r="R1166" s="238"/>
      <c r="S1166" s="238"/>
      <c r="T1166" s="238"/>
      <c r="U1166" s="243"/>
    </row>
    <row r="1167" spans="1:21" ht="13">
      <c r="A1167" s="270"/>
      <c r="B1167" s="282" t="s">
        <v>480</v>
      </c>
      <c r="C1167" s="15" t="s">
        <v>64</v>
      </c>
      <c r="D1167" s="16">
        <v>3</v>
      </c>
      <c r="E1167" s="16">
        <v>13</v>
      </c>
      <c r="F1167" s="65">
        <f>D1167*E1167</f>
        <v>39</v>
      </c>
      <c r="G1167" s="240">
        <f>SUM(F1167:F1169)</f>
        <v>84.35</v>
      </c>
      <c r="H1167" s="237">
        <v>1069.2</v>
      </c>
      <c r="I1167" s="237">
        <f>H1167-G1167</f>
        <v>984.85</v>
      </c>
      <c r="J1167" s="241">
        <f>I1167/H1167</f>
        <v>0.92110924055368493</v>
      </c>
      <c r="L1167" s="270"/>
      <c r="M1167" s="282" t="s">
        <v>480</v>
      </c>
      <c r="N1167" s="15" t="s">
        <v>64</v>
      </c>
      <c r="O1167" s="16">
        <v>3</v>
      </c>
      <c r="P1167" s="16">
        <v>13</v>
      </c>
      <c r="Q1167" s="65">
        <f>O1167*P1167</f>
        <v>39</v>
      </c>
      <c r="R1167" s="240">
        <f>SUM(Q1167:Q1169)</f>
        <v>84.35</v>
      </c>
      <c r="S1167" s="237">
        <v>1069.2</v>
      </c>
      <c r="T1167" s="237">
        <f>S1167-R1167</f>
        <v>984.85</v>
      </c>
      <c r="U1167" s="241">
        <f>T1167/S1167</f>
        <v>0.92110924055368493</v>
      </c>
    </row>
    <row r="1168" spans="1:21" ht="13">
      <c r="A1168" s="270"/>
      <c r="B1168" s="236"/>
      <c r="C1168" s="19" t="s">
        <v>33</v>
      </c>
      <c r="D1168" s="17"/>
      <c r="E1168" s="17"/>
      <c r="F1168" s="17">
        <v>45.35</v>
      </c>
      <c r="G1168" s="236"/>
      <c r="H1168" s="236"/>
      <c r="I1168" s="236"/>
      <c r="J1168" s="242"/>
      <c r="L1168" s="270"/>
      <c r="M1168" s="236"/>
      <c r="N1168" s="19" t="s">
        <v>33</v>
      </c>
      <c r="O1168" s="17"/>
      <c r="P1168" s="17"/>
      <c r="Q1168" s="17">
        <v>45.35</v>
      </c>
      <c r="R1168" s="236"/>
      <c r="S1168" s="236"/>
      <c r="T1168" s="236"/>
      <c r="U1168" s="242"/>
    </row>
    <row r="1169" spans="1:21" ht="13">
      <c r="A1169" s="270"/>
      <c r="B1169" s="248"/>
      <c r="C1169" s="20"/>
      <c r="D1169" s="21"/>
      <c r="E1169" s="21"/>
      <c r="F1169" s="21"/>
      <c r="G1169" s="238"/>
      <c r="H1169" s="238"/>
      <c r="I1169" s="238"/>
      <c r="J1169" s="243"/>
      <c r="L1169" s="270"/>
      <c r="M1169" s="248"/>
      <c r="N1169" s="20"/>
      <c r="O1169" s="21"/>
      <c r="P1169" s="21"/>
      <c r="Q1169" s="21"/>
      <c r="R1169" s="238"/>
      <c r="S1169" s="238"/>
      <c r="T1169" s="238"/>
      <c r="U1169" s="243"/>
    </row>
    <row r="1170" spans="1:21" ht="13">
      <c r="A1170" s="270"/>
      <c r="B1170" s="244" t="s">
        <v>481</v>
      </c>
      <c r="C1170" s="64" t="s">
        <v>482</v>
      </c>
      <c r="D1170" s="50"/>
      <c r="E1170" s="50"/>
      <c r="F1170" s="65">
        <v>100</v>
      </c>
      <c r="G1170" s="240">
        <f>SUM(F1170:F1176)</f>
        <v>517.44999999999993</v>
      </c>
      <c r="H1170" s="237">
        <v>1530.41</v>
      </c>
      <c r="I1170" s="237">
        <f>H1170-G1170</f>
        <v>1012.9600000000002</v>
      </c>
      <c r="J1170" s="241">
        <f>I1170/H1170</f>
        <v>0.66188799079985106</v>
      </c>
      <c r="L1170" s="270"/>
      <c r="M1170" s="244" t="s">
        <v>481</v>
      </c>
      <c r="N1170" s="64" t="s">
        <v>482</v>
      </c>
      <c r="O1170" s="50"/>
      <c r="P1170" s="50"/>
      <c r="Q1170" s="65">
        <v>100</v>
      </c>
      <c r="R1170" s="240">
        <f>SUM(Q1170:Q1176)</f>
        <v>517.44999999999993</v>
      </c>
      <c r="S1170" s="237">
        <v>1530.41</v>
      </c>
      <c r="T1170" s="237">
        <f>S1170-R1170</f>
        <v>1012.9600000000002</v>
      </c>
      <c r="U1170" s="241">
        <f>T1170/S1170</f>
        <v>0.66188799079985106</v>
      </c>
    </row>
    <row r="1171" spans="1:21" ht="13">
      <c r="A1171" s="270"/>
      <c r="B1171" s="245"/>
      <c r="C1171" s="22" t="s">
        <v>70</v>
      </c>
      <c r="D1171" s="23"/>
      <c r="E1171" s="23"/>
      <c r="F1171" s="23">
        <v>100</v>
      </c>
      <c r="G1171" s="236"/>
      <c r="H1171" s="236"/>
      <c r="I1171" s="236"/>
      <c r="J1171" s="242"/>
      <c r="L1171" s="270"/>
      <c r="M1171" s="245"/>
      <c r="N1171" s="22" t="s">
        <v>70</v>
      </c>
      <c r="O1171" s="23"/>
      <c r="P1171" s="23"/>
      <c r="Q1171" s="23">
        <v>100</v>
      </c>
      <c r="R1171" s="236"/>
      <c r="S1171" s="236"/>
      <c r="T1171" s="236"/>
      <c r="U1171" s="242"/>
    </row>
    <row r="1172" spans="1:21" ht="13">
      <c r="A1172" s="270"/>
      <c r="B1172" s="245"/>
      <c r="C1172" s="22" t="s">
        <v>45</v>
      </c>
      <c r="D1172" s="23"/>
      <c r="E1172" s="23"/>
      <c r="F1172" s="23">
        <v>110.05</v>
      </c>
      <c r="G1172" s="236"/>
      <c r="H1172" s="236"/>
      <c r="I1172" s="236"/>
      <c r="J1172" s="242"/>
      <c r="L1172" s="270"/>
      <c r="M1172" s="245"/>
      <c r="N1172" s="22" t="s">
        <v>45</v>
      </c>
      <c r="O1172" s="23"/>
      <c r="P1172" s="23"/>
      <c r="Q1172" s="23">
        <v>110.05</v>
      </c>
      <c r="R1172" s="236"/>
      <c r="S1172" s="236"/>
      <c r="T1172" s="236"/>
      <c r="U1172" s="242"/>
    </row>
    <row r="1173" spans="1:21" ht="13">
      <c r="A1173" s="270"/>
      <c r="B1173" s="245"/>
      <c r="C1173" s="22" t="s">
        <v>44</v>
      </c>
      <c r="D1173" s="23"/>
      <c r="E1173" s="23"/>
      <c r="F1173" s="23">
        <v>51.4</v>
      </c>
      <c r="G1173" s="236"/>
      <c r="H1173" s="236"/>
      <c r="I1173" s="236"/>
      <c r="J1173" s="242"/>
      <c r="L1173" s="270"/>
      <c r="M1173" s="245"/>
      <c r="N1173" s="22" t="s">
        <v>44</v>
      </c>
      <c r="O1173" s="23"/>
      <c r="P1173" s="23"/>
      <c r="Q1173" s="23">
        <v>51.4</v>
      </c>
      <c r="R1173" s="236"/>
      <c r="S1173" s="236"/>
      <c r="T1173" s="236"/>
      <c r="U1173" s="242"/>
    </row>
    <row r="1174" spans="1:21" ht="13">
      <c r="A1174" s="270"/>
      <c r="B1174" s="245"/>
      <c r="C1174" s="22" t="s">
        <v>33</v>
      </c>
      <c r="D1174" s="23"/>
      <c r="E1174" s="23"/>
      <c r="F1174" s="23">
        <v>105.6</v>
      </c>
      <c r="G1174" s="236"/>
      <c r="H1174" s="236"/>
      <c r="I1174" s="236"/>
      <c r="J1174" s="242"/>
      <c r="L1174" s="270"/>
      <c r="M1174" s="245"/>
      <c r="N1174" s="22" t="s">
        <v>33</v>
      </c>
      <c r="O1174" s="23"/>
      <c r="P1174" s="23"/>
      <c r="Q1174" s="23">
        <v>105.6</v>
      </c>
      <c r="R1174" s="236"/>
      <c r="S1174" s="236"/>
      <c r="T1174" s="236"/>
      <c r="U1174" s="242"/>
    </row>
    <row r="1175" spans="1:21" ht="13">
      <c r="A1175" s="270"/>
      <c r="B1175" s="245"/>
      <c r="C1175" s="22" t="s">
        <v>483</v>
      </c>
      <c r="D1175" s="23"/>
      <c r="E1175" s="23"/>
      <c r="F1175" s="23">
        <v>3.3</v>
      </c>
      <c r="G1175" s="236"/>
      <c r="H1175" s="236"/>
      <c r="I1175" s="236"/>
      <c r="J1175" s="242"/>
      <c r="L1175" s="270"/>
      <c r="M1175" s="245"/>
      <c r="N1175" s="22" t="s">
        <v>483</v>
      </c>
      <c r="O1175" s="23"/>
      <c r="P1175" s="23"/>
      <c r="Q1175" s="23">
        <v>3.3</v>
      </c>
      <c r="R1175" s="236"/>
      <c r="S1175" s="236"/>
      <c r="T1175" s="236"/>
      <c r="U1175" s="242"/>
    </row>
    <row r="1176" spans="1:21" ht="13">
      <c r="A1176" s="270"/>
      <c r="B1176" s="246"/>
      <c r="C1176" s="25" t="s">
        <v>48</v>
      </c>
      <c r="D1176" s="26"/>
      <c r="E1176" s="26"/>
      <c r="F1176" s="26">
        <v>47.1</v>
      </c>
      <c r="G1176" s="238"/>
      <c r="H1176" s="238"/>
      <c r="I1176" s="238"/>
      <c r="J1176" s="243"/>
      <c r="L1176" s="270"/>
      <c r="M1176" s="246"/>
      <c r="N1176" s="25" t="s">
        <v>48</v>
      </c>
      <c r="O1176" s="26"/>
      <c r="P1176" s="26"/>
      <c r="Q1176" s="26">
        <v>47.1</v>
      </c>
      <c r="R1176" s="238"/>
      <c r="S1176" s="238"/>
      <c r="T1176" s="238"/>
      <c r="U1176" s="243"/>
    </row>
    <row r="1177" spans="1:21" ht="13">
      <c r="A1177" s="270"/>
      <c r="B1177" s="244" t="s">
        <v>484</v>
      </c>
      <c r="C1177" s="64" t="s">
        <v>35</v>
      </c>
      <c r="D1177" s="50"/>
      <c r="E1177" s="50"/>
      <c r="F1177" s="65">
        <v>150</v>
      </c>
      <c r="G1177" s="240">
        <f>SUM(F1177:F1184)</f>
        <v>1684.96</v>
      </c>
      <c r="H1177" s="237">
        <v>4467.97</v>
      </c>
      <c r="I1177" s="237">
        <f>H1177-G1177</f>
        <v>2783.01</v>
      </c>
      <c r="J1177" s="241">
        <f>I1177/H1177</f>
        <v>0.6228801894372612</v>
      </c>
      <c r="L1177" s="270"/>
      <c r="M1177" s="244" t="s">
        <v>484</v>
      </c>
      <c r="N1177" s="64" t="s">
        <v>35</v>
      </c>
      <c r="O1177" s="50"/>
      <c r="P1177" s="50"/>
      <c r="Q1177" s="65">
        <v>150</v>
      </c>
      <c r="R1177" s="240">
        <f>SUM(Q1177:Q1184)</f>
        <v>1432.96</v>
      </c>
      <c r="S1177" s="237">
        <v>4467.97</v>
      </c>
      <c r="T1177" s="237">
        <f>S1177-R1177</f>
        <v>3035.01</v>
      </c>
      <c r="U1177" s="241">
        <f>T1177/S1177</f>
        <v>0.6792816424461221</v>
      </c>
    </row>
    <row r="1178" spans="1:21" ht="13">
      <c r="A1178" s="270"/>
      <c r="B1178" s="245"/>
      <c r="C1178" s="22" t="s">
        <v>349</v>
      </c>
      <c r="D1178" s="17">
        <v>14</v>
      </c>
      <c r="E1178" s="17">
        <v>18</v>
      </c>
      <c r="F1178" s="17">
        <f>D1178*E1178</f>
        <v>252</v>
      </c>
      <c r="G1178" s="236"/>
      <c r="H1178" s="236"/>
      <c r="I1178" s="236"/>
      <c r="J1178" s="242"/>
      <c r="L1178" s="270"/>
      <c r="M1178" s="245"/>
      <c r="N1178" s="22" t="s">
        <v>349</v>
      </c>
      <c r="O1178" s="18"/>
      <c r="P1178" s="18"/>
      <c r="Q1178" s="18"/>
      <c r="R1178" s="236"/>
      <c r="S1178" s="236"/>
      <c r="T1178" s="236"/>
      <c r="U1178" s="242"/>
    </row>
    <row r="1179" spans="1:21" ht="13">
      <c r="A1179" s="270"/>
      <c r="B1179" s="245"/>
      <c r="C1179" s="22" t="s">
        <v>31</v>
      </c>
      <c r="D1179" s="17"/>
      <c r="E1179" s="17"/>
      <c r="F1179" s="17">
        <v>300</v>
      </c>
      <c r="G1179" s="236"/>
      <c r="H1179" s="236"/>
      <c r="I1179" s="236"/>
      <c r="J1179" s="242"/>
      <c r="L1179" s="270"/>
      <c r="M1179" s="245"/>
      <c r="N1179" s="22" t="s">
        <v>31</v>
      </c>
      <c r="O1179" s="17"/>
      <c r="P1179" s="17"/>
      <c r="Q1179" s="17">
        <v>300</v>
      </c>
      <c r="R1179" s="236"/>
      <c r="S1179" s="236"/>
      <c r="T1179" s="236"/>
      <c r="U1179" s="242"/>
    </row>
    <row r="1180" spans="1:21" ht="13">
      <c r="A1180" s="270"/>
      <c r="B1180" s="245"/>
      <c r="C1180" s="22" t="s">
        <v>45</v>
      </c>
      <c r="D1180" s="23"/>
      <c r="E1180" s="23"/>
      <c r="F1180" s="23">
        <v>256</v>
      </c>
      <c r="G1180" s="236"/>
      <c r="H1180" s="236"/>
      <c r="I1180" s="236"/>
      <c r="J1180" s="242"/>
      <c r="L1180" s="270"/>
      <c r="M1180" s="245"/>
      <c r="N1180" s="22" t="s">
        <v>45</v>
      </c>
      <c r="O1180" s="23"/>
      <c r="P1180" s="23"/>
      <c r="Q1180" s="23">
        <v>256</v>
      </c>
      <c r="R1180" s="236"/>
      <c r="S1180" s="236"/>
      <c r="T1180" s="236"/>
      <c r="U1180" s="242"/>
    </row>
    <row r="1181" spans="1:21" ht="13">
      <c r="A1181" s="270"/>
      <c r="B1181" s="245"/>
      <c r="C1181" s="22" t="s">
        <v>44</v>
      </c>
      <c r="D1181" s="23"/>
      <c r="E1181" s="23"/>
      <c r="F1181" s="23">
        <v>95.65</v>
      </c>
      <c r="G1181" s="236"/>
      <c r="H1181" s="236"/>
      <c r="I1181" s="236"/>
      <c r="J1181" s="242"/>
      <c r="L1181" s="270"/>
      <c r="M1181" s="245"/>
      <c r="N1181" s="22" t="s">
        <v>44</v>
      </c>
      <c r="O1181" s="23"/>
      <c r="P1181" s="23"/>
      <c r="Q1181" s="23">
        <v>95.65</v>
      </c>
      <c r="R1181" s="236"/>
      <c r="S1181" s="236"/>
      <c r="T1181" s="236"/>
      <c r="U1181" s="242"/>
    </row>
    <row r="1182" spans="1:21" ht="13">
      <c r="A1182" s="270"/>
      <c r="B1182" s="245"/>
      <c r="C1182" s="22" t="s">
        <v>33</v>
      </c>
      <c r="D1182" s="23"/>
      <c r="E1182" s="23"/>
      <c r="F1182" s="23">
        <v>193.13</v>
      </c>
      <c r="G1182" s="236"/>
      <c r="H1182" s="236"/>
      <c r="I1182" s="236"/>
      <c r="J1182" s="242"/>
      <c r="L1182" s="270"/>
      <c r="M1182" s="245"/>
      <c r="N1182" s="22" t="s">
        <v>33</v>
      </c>
      <c r="O1182" s="23"/>
      <c r="P1182" s="23"/>
      <c r="Q1182" s="23">
        <v>193.13</v>
      </c>
      <c r="R1182" s="236"/>
      <c r="S1182" s="236"/>
      <c r="T1182" s="236"/>
      <c r="U1182" s="242"/>
    </row>
    <row r="1183" spans="1:21" ht="13">
      <c r="A1183" s="270"/>
      <c r="B1183" s="245"/>
      <c r="C1183" s="22" t="s">
        <v>47</v>
      </c>
      <c r="D1183" s="23"/>
      <c r="E1183" s="23"/>
      <c r="F1183" s="23">
        <v>267.12</v>
      </c>
      <c r="G1183" s="236"/>
      <c r="H1183" s="236"/>
      <c r="I1183" s="236"/>
      <c r="J1183" s="242"/>
      <c r="L1183" s="270"/>
      <c r="M1183" s="245"/>
      <c r="N1183" s="22" t="s">
        <v>47</v>
      </c>
      <c r="O1183" s="23"/>
      <c r="P1183" s="23"/>
      <c r="Q1183" s="23">
        <v>267.12</v>
      </c>
      <c r="R1183" s="236"/>
      <c r="S1183" s="236"/>
      <c r="T1183" s="236"/>
      <c r="U1183" s="242"/>
    </row>
    <row r="1184" spans="1:21" ht="13">
      <c r="A1184" s="270"/>
      <c r="B1184" s="246"/>
      <c r="C1184" s="25" t="s">
        <v>48</v>
      </c>
      <c r="D1184" s="26"/>
      <c r="E1184" s="26"/>
      <c r="F1184" s="26">
        <v>171.06</v>
      </c>
      <c r="G1184" s="238"/>
      <c r="H1184" s="238"/>
      <c r="I1184" s="238"/>
      <c r="J1184" s="243"/>
      <c r="L1184" s="270"/>
      <c r="M1184" s="246"/>
      <c r="N1184" s="25" t="s">
        <v>48</v>
      </c>
      <c r="O1184" s="26"/>
      <c r="P1184" s="26"/>
      <c r="Q1184" s="26">
        <v>171.06</v>
      </c>
      <c r="R1184" s="238"/>
      <c r="S1184" s="238"/>
      <c r="T1184" s="238"/>
      <c r="U1184" s="243"/>
    </row>
    <row r="1185" spans="1:21" ht="13">
      <c r="A1185" s="270"/>
      <c r="B1185" s="282" t="s">
        <v>480</v>
      </c>
      <c r="C1185" s="15" t="s">
        <v>485</v>
      </c>
      <c r="D1185" s="16">
        <v>3</v>
      </c>
      <c r="E1185" s="16">
        <v>21</v>
      </c>
      <c r="F1185" s="65">
        <f t="shared" ref="F1185:F1186" si="223">D1185*E1185</f>
        <v>63</v>
      </c>
      <c r="G1185" s="240">
        <f>SUM(F1185:F1187)</f>
        <v>166.88</v>
      </c>
      <c r="H1185" s="237">
        <v>1116</v>
      </c>
      <c r="I1185" s="237">
        <f>H1185-G1185</f>
        <v>949.12</v>
      </c>
      <c r="J1185" s="241">
        <f>I1185/H1185</f>
        <v>0.85046594982078849</v>
      </c>
      <c r="L1185" s="270"/>
      <c r="M1185" s="282" t="s">
        <v>480</v>
      </c>
      <c r="N1185" s="15" t="s">
        <v>485</v>
      </c>
      <c r="O1185" s="18"/>
      <c r="P1185" s="18"/>
      <c r="Q1185" s="18"/>
      <c r="R1185" s="240">
        <f>SUM(Q1185:Q1187)</f>
        <v>64.88</v>
      </c>
      <c r="S1185" s="237">
        <v>1116</v>
      </c>
      <c r="T1185" s="237">
        <f>S1185-R1185</f>
        <v>1051.1199999999999</v>
      </c>
      <c r="U1185" s="241">
        <f>T1185/S1185</f>
        <v>0.941863799283154</v>
      </c>
    </row>
    <row r="1186" spans="1:21" ht="13">
      <c r="A1186" s="270"/>
      <c r="B1186" s="236"/>
      <c r="C1186" s="19" t="s">
        <v>486</v>
      </c>
      <c r="D1186" s="17">
        <v>3</v>
      </c>
      <c r="E1186" s="17">
        <v>13</v>
      </c>
      <c r="F1186" s="17">
        <f t="shared" si="223"/>
        <v>39</v>
      </c>
      <c r="G1186" s="236"/>
      <c r="H1186" s="236"/>
      <c r="I1186" s="236"/>
      <c r="J1186" s="242"/>
      <c r="L1186" s="270"/>
      <c r="M1186" s="236"/>
      <c r="N1186" s="19" t="s">
        <v>486</v>
      </c>
      <c r="O1186" s="18"/>
      <c r="P1186" s="18"/>
      <c r="Q1186" s="18"/>
      <c r="R1186" s="236"/>
      <c r="S1186" s="236"/>
      <c r="T1186" s="236"/>
      <c r="U1186" s="242"/>
    </row>
    <row r="1187" spans="1:21" ht="13">
      <c r="A1187" s="270"/>
      <c r="B1187" s="248"/>
      <c r="C1187" s="20" t="s">
        <v>33</v>
      </c>
      <c r="D1187" s="21"/>
      <c r="E1187" s="21"/>
      <c r="F1187" s="21">
        <v>64.88</v>
      </c>
      <c r="G1187" s="238"/>
      <c r="H1187" s="238"/>
      <c r="I1187" s="238"/>
      <c r="J1187" s="243"/>
      <c r="L1187" s="270"/>
      <c r="M1187" s="248"/>
      <c r="N1187" s="20" t="s">
        <v>33</v>
      </c>
      <c r="O1187" s="21"/>
      <c r="P1187" s="21"/>
      <c r="Q1187" s="21">
        <v>64.88</v>
      </c>
      <c r="R1187" s="238"/>
      <c r="S1187" s="238"/>
      <c r="T1187" s="238"/>
      <c r="U1187" s="243"/>
    </row>
    <row r="1188" spans="1:21" ht="13">
      <c r="A1188" s="270"/>
      <c r="B1188" s="244" t="s">
        <v>487</v>
      </c>
      <c r="C1188" s="64" t="s">
        <v>349</v>
      </c>
      <c r="D1188" s="50">
        <v>21</v>
      </c>
      <c r="E1188" s="17">
        <v>18</v>
      </c>
      <c r="F1188" s="17">
        <f t="shared" ref="F1188:F1191" si="224">D1188*E1188</f>
        <v>378</v>
      </c>
      <c r="G1188" s="240">
        <f>SUM(F1188:F1196)</f>
        <v>1769.7400000000002</v>
      </c>
      <c r="H1188" s="237">
        <v>5996.67</v>
      </c>
      <c r="I1188" s="237">
        <f>H1188-G1188</f>
        <v>4226.93</v>
      </c>
      <c r="J1188" s="241">
        <f>I1188/H1188</f>
        <v>0.70487954147885412</v>
      </c>
      <c r="L1188" s="270"/>
      <c r="M1188" s="244" t="s">
        <v>487</v>
      </c>
      <c r="N1188" s="64" t="s">
        <v>349</v>
      </c>
      <c r="O1188" s="18"/>
      <c r="P1188" s="18"/>
      <c r="Q1188" s="18"/>
      <c r="R1188" s="240">
        <f>SUM(Q1188:Q1196)</f>
        <v>1391.74</v>
      </c>
      <c r="S1188" s="237">
        <v>5996.67</v>
      </c>
      <c r="T1188" s="237">
        <f>S1188-R1188</f>
        <v>4604.93</v>
      </c>
      <c r="U1188" s="241">
        <f>T1188/S1188</f>
        <v>0.76791452589520526</v>
      </c>
    </row>
    <row r="1189" spans="1:21" ht="13">
      <c r="A1189" s="270"/>
      <c r="B1189" s="245"/>
      <c r="C1189" s="22" t="s">
        <v>57</v>
      </c>
      <c r="D1189" s="17">
        <v>13</v>
      </c>
      <c r="E1189" s="17">
        <v>15</v>
      </c>
      <c r="F1189" s="17">
        <f t="shared" si="224"/>
        <v>195</v>
      </c>
      <c r="G1189" s="236"/>
      <c r="H1189" s="236"/>
      <c r="I1189" s="236"/>
      <c r="J1189" s="242"/>
      <c r="L1189" s="270"/>
      <c r="M1189" s="245"/>
      <c r="N1189" s="22" t="s">
        <v>57</v>
      </c>
      <c r="O1189" s="17">
        <v>13</v>
      </c>
      <c r="P1189" s="17">
        <v>15</v>
      </c>
      <c r="Q1189" s="17">
        <f t="shared" ref="Q1189:Q1191" si="225">O1189*P1189</f>
        <v>195</v>
      </c>
      <c r="R1189" s="236"/>
      <c r="S1189" s="236"/>
      <c r="T1189" s="236"/>
      <c r="U1189" s="242"/>
    </row>
    <row r="1190" spans="1:21" ht="13">
      <c r="A1190" s="270"/>
      <c r="B1190" s="245"/>
      <c r="C1190" s="22" t="s">
        <v>49</v>
      </c>
      <c r="D1190" s="17">
        <v>13</v>
      </c>
      <c r="E1190" s="17">
        <v>15</v>
      </c>
      <c r="F1190" s="17">
        <f t="shared" si="224"/>
        <v>195</v>
      </c>
      <c r="G1190" s="236"/>
      <c r="H1190" s="236"/>
      <c r="I1190" s="236"/>
      <c r="J1190" s="242"/>
      <c r="L1190" s="270"/>
      <c r="M1190" s="245"/>
      <c r="N1190" s="22" t="s">
        <v>49</v>
      </c>
      <c r="O1190" s="17">
        <v>13</v>
      </c>
      <c r="P1190" s="17">
        <v>15</v>
      </c>
      <c r="Q1190" s="17">
        <f t="shared" si="225"/>
        <v>195</v>
      </c>
      <c r="R1190" s="236"/>
      <c r="S1190" s="236"/>
      <c r="T1190" s="236"/>
      <c r="U1190" s="242"/>
    </row>
    <row r="1191" spans="1:21" ht="13">
      <c r="A1191" s="270"/>
      <c r="B1191" s="245"/>
      <c r="C1191" s="22" t="s">
        <v>31</v>
      </c>
      <c r="D1191" s="17">
        <v>12</v>
      </c>
      <c r="E1191" s="17">
        <v>15</v>
      </c>
      <c r="F1191" s="17">
        <f t="shared" si="224"/>
        <v>180</v>
      </c>
      <c r="G1191" s="236"/>
      <c r="H1191" s="236"/>
      <c r="I1191" s="236"/>
      <c r="J1191" s="242"/>
      <c r="L1191" s="270"/>
      <c r="M1191" s="245"/>
      <c r="N1191" s="22" t="s">
        <v>31</v>
      </c>
      <c r="O1191" s="17">
        <v>12</v>
      </c>
      <c r="P1191" s="17">
        <v>15</v>
      </c>
      <c r="Q1191" s="17">
        <f t="shared" si="225"/>
        <v>180</v>
      </c>
      <c r="R1191" s="236"/>
      <c r="S1191" s="236"/>
      <c r="T1191" s="236"/>
      <c r="U1191" s="242"/>
    </row>
    <row r="1192" spans="1:21" ht="13">
      <c r="A1192" s="270"/>
      <c r="B1192" s="245"/>
      <c r="C1192" s="22" t="s">
        <v>45</v>
      </c>
      <c r="D1192" s="23"/>
      <c r="E1192" s="23"/>
      <c r="F1192" s="23">
        <v>100</v>
      </c>
      <c r="G1192" s="236"/>
      <c r="H1192" s="236"/>
      <c r="I1192" s="236"/>
      <c r="J1192" s="242"/>
      <c r="L1192" s="270"/>
      <c r="M1192" s="245"/>
      <c r="N1192" s="22" t="s">
        <v>45</v>
      </c>
      <c r="O1192" s="23"/>
      <c r="P1192" s="23"/>
      <c r="Q1192" s="23">
        <v>100</v>
      </c>
      <c r="R1192" s="236"/>
      <c r="S1192" s="236"/>
      <c r="T1192" s="236"/>
      <c r="U1192" s="242"/>
    </row>
    <row r="1193" spans="1:21" ht="13">
      <c r="A1193" s="270"/>
      <c r="B1193" s="245"/>
      <c r="C1193" s="22" t="s">
        <v>44</v>
      </c>
      <c r="D1193" s="23"/>
      <c r="E1193" s="23"/>
      <c r="F1193" s="23">
        <v>68.67</v>
      </c>
      <c r="G1193" s="236"/>
      <c r="H1193" s="236"/>
      <c r="I1193" s="236"/>
      <c r="J1193" s="242"/>
      <c r="L1193" s="270"/>
      <c r="M1193" s="245"/>
      <c r="N1193" s="22" t="s">
        <v>44</v>
      </c>
      <c r="O1193" s="23"/>
      <c r="P1193" s="23"/>
      <c r="Q1193" s="23">
        <v>68.67</v>
      </c>
      <c r="R1193" s="236"/>
      <c r="S1193" s="236"/>
      <c r="T1193" s="236"/>
      <c r="U1193" s="242"/>
    </row>
    <row r="1194" spans="1:21" ht="13">
      <c r="A1194" s="270"/>
      <c r="B1194" s="245"/>
      <c r="C1194" s="22" t="s">
        <v>33</v>
      </c>
      <c r="D1194" s="23"/>
      <c r="E1194" s="23"/>
      <c r="F1194" s="23">
        <v>86.96</v>
      </c>
      <c r="G1194" s="236"/>
      <c r="H1194" s="236"/>
      <c r="I1194" s="236"/>
      <c r="J1194" s="242"/>
      <c r="L1194" s="270"/>
      <c r="M1194" s="245"/>
      <c r="N1194" s="22" t="s">
        <v>33</v>
      </c>
      <c r="O1194" s="23"/>
      <c r="P1194" s="23"/>
      <c r="Q1194" s="23">
        <v>86.96</v>
      </c>
      <c r="R1194" s="236"/>
      <c r="S1194" s="236"/>
      <c r="T1194" s="236"/>
      <c r="U1194" s="242"/>
    </row>
    <row r="1195" spans="1:21" ht="13">
      <c r="A1195" s="270"/>
      <c r="B1195" s="245"/>
      <c r="C1195" s="22" t="s">
        <v>47</v>
      </c>
      <c r="D1195" s="23"/>
      <c r="E1195" s="23"/>
      <c r="F1195" s="23">
        <v>246.92</v>
      </c>
      <c r="G1195" s="236"/>
      <c r="H1195" s="236"/>
      <c r="I1195" s="236"/>
      <c r="J1195" s="242"/>
      <c r="L1195" s="270"/>
      <c r="M1195" s="245"/>
      <c r="N1195" s="22" t="s">
        <v>47</v>
      </c>
      <c r="O1195" s="23"/>
      <c r="P1195" s="23"/>
      <c r="Q1195" s="23">
        <v>246.92</v>
      </c>
      <c r="R1195" s="236"/>
      <c r="S1195" s="236"/>
      <c r="T1195" s="236"/>
      <c r="U1195" s="242"/>
    </row>
    <row r="1196" spans="1:21" ht="13">
      <c r="A1196" s="270"/>
      <c r="B1196" s="246"/>
      <c r="C1196" s="25" t="s">
        <v>48</v>
      </c>
      <c r="D1196" s="26"/>
      <c r="E1196" s="26"/>
      <c r="F1196" s="26">
        <v>319.19</v>
      </c>
      <c r="G1196" s="238"/>
      <c r="H1196" s="238"/>
      <c r="I1196" s="238"/>
      <c r="J1196" s="243"/>
      <c r="L1196" s="270"/>
      <c r="M1196" s="246"/>
      <c r="N1196" s="25" t="s">
        <v>48</v>
      </c>
      <c r="O1196" s="26"/>
      <c r="P1196" s="26"/>
      <c r="Q1196" s="26">
        <v>319.19</v>
      </c>
      <c r="R1196" s="238"/>
      <c r="S1196" s="238"/>
      <c r="T1196" s="238"/>
      <c r="U1196" s="243"/>
    </row>
    <row r="1197" spans="1:21" ht="30">
      <c r="A1197" s="278" t="s">
        <v>488</v>
      </c>
      <c r="B1197" s="252"/>
      <c r="C1197" s="253"/>
      <c r="D1197" s="56">
        <f t="shared" ref="D1197:I1197" si="226">AVERAGE(D1055:D1196)</f>
        <v>20.725272727272728</v>
      </c>
      <c r="E1197" s="56">
        <f t="shared" si="226"/>
        <v>15.418181818181818</v>
      </c>
      <c r="F1197" s="56">
        <f t="shared" si="226"/>
        <v>285.30578947368423</v>
      </c>
      <c r="G1197" s="56">
        <f t="shared" si="226"/>
        <v>1649.8117391304347</v>
      </c>
      <c r="H1197" s="56">
        <f t="shared" si="226"/>
        <v>4044.4986956521739</v>
      </c>
      <c r="I1197" s="56">
        <f t="shared" si="226"/>
        <v>2394.6869565217394</v>
      </c>
      <c r="J1197" s="57">
        <f>AVERAGE($J$12:$J$76)</f>
        <v>0.79942354689485917</v>
      </c>
      <c r="L1197" s="278" t="s">
        <v>488</v>
      </c>
      <c r="M1197" s="252"/>
      <c r="N1197" s="253"/>
      <c r="O1197" s="56">
        <f t="shared" ref="O1197:T1197" si="227">AVERAGE(O1055:O1196)</f>
        <v>21.997555555555557</v>
      </c>
      <c r="P1197" s="56">
        <f t="shared" si="227"/>
        <v>14.866666666666667</v>
      </c>
      <c r="Q1197" s="56">
        <f t="shared" si="227"/>
        <v>286.56642276422758</v>
      </c>
      <c r="R1197" s="56">
        <f t="shared" si="227"/>
        <v>1532.5073913043475</v>
      </c>
      <c r="S1197" s="56">
        <f t="shared" si="227"/>
        <v>4044.4986956521739</v>
      </c>
      <c r="T1197" s="56">
        <f t="shared" si="227"/>
        <v>2511.9913043478264</v>
      </c>
      <c r="U1197" s="57">
        <f>AVERAGE($J$12:$J$76)</f>
        <v>0.79942354689485917</v>
      </c>
    </row>
    <row r="1198" spans="1:21" ht="30">
      <c r="A1198" s="279" t="s">
        <v>489</v>
      </c>
      <c r="B1198" s="255"/>
      <c r="C1198" s="256"/>
      <c r="D1198" s="56">
        <f t="shared" ref="D1198:I1198" si="228">SUM(D1055:D1196)</f>
        <v>1139.8900000000001</v>
      </c>
      <c r="E1198" s="56">
        <f t="shared" si="228"/>
        <v>848</v>
      </c>
      <c r="F1198" s="56">
        <f t="shared" si="228"/>
        <v>37945.670000000006</v>
      </c>
      <c r="G1198" s="56">
        <f t="shared" si="228"/>
        <v>37945.67</v>
      </c>
      <c r="H1198" s="56">
        <f t="shared" si="228"/>
        <v>93023.47</v>
      </c>
      <c r="I1198" s="56">
        <f t="shared" si="228"/>
        <v>55077.80000000001</v>
      </c>
      <c r="J1198" s="58">
        <f>I1198/H1198</f>
        <v>0.5920849867243182</v>
      </c>
      <c r="L1198" s="279" t="s">
        <v>489</v>
      </c>
      <c r="M1198" s="255"/>
      <c r="N1198" s="256"/>
      <c r="O1198" s="56">
        <f t="shared" ref="O1198:T1198" si="229">SUM(O1055:O1196)</f>
        <v>989.8900000000001</v>
      </c>
      <c r="P1198" s="56">
        <f t="shared" si="229"/>
        <v>669</v>
      </c>
      <c r="Q1198" s="56">
        <f t="shared" si="229"/>
        <v>35247.669999999991</v>
      </c>
      <c r="R1198" s="56">
        <f t="shared" si="229"/>
        <v>35247.669999999991</v>
      </c>
      <c r="S1198" s="56">
        <f t="shared" si="229"/>
        <v>93023.47</v>
      </c>
      <c r="T1198" s="56">
        <f t="shared" si="229"/>
        <v>57775.80000000001</v>
      </c>
      <c r="U1198" s="58">
        <f>T1198/S1198</f>
        <v>0.62108841994391317</v>
      </c>
    </row>
    <row r="1200" spans="1:21" ht="30">
      <c r="A1200" s="257" t="s">
        <v>490</v>
      </c>
      <c r="B1200" s="252"/>
      <c r="C1200" s="253"/>
      <c r="D1200" s="34">
        <f t="shared" ref="D1200:I1200" si="230">SUM(D911,D1054,D1198)</f>
        <v>4139.8700000000008</v>
      </c>
      <c r="E1200" s="34">
        <f t="shared" si="230"/>
        <v>2782</v>
      </c>
      <c r="F1200" s="34">
        <f t="shared" si="230"/>
        <v>115654.52000000002</v>
      </c>
      <c r="G1200" s="34">
        <f t="shared" si="230"/>
        <v>115654.52</v>
      </c>
      <c r="H1200" s="34">
        <f t="shared" si="230"/>
        <v>280703.59999999998</v>
      </c>
      <c r="I1200" s="34">
        <f t="shared" si="230"/>
        <v>162913.12000000002</v>
      </c>
      <c r="J1200" s="35">
        <f>I1200/H1200</f>
        <v>0.58037417403980585</v>
      </c>
      <c r="L1200" s="257" t="s">
        <v>490</v>
      </c>
      <c r="M1200" s="252"/>
      <c r="N1200" s="253"/>
      <c r="O1200" s="34">
        <f t="shared" ref="O1200:T1200" si="231">SUM(O911,O1054,O1198)</f>
        <v>3456.8700000000008</v>
      </c>
      <c r="P1200" s="34">
        <f t="shared" si="231"/>
        <v>2207</v>
      </c>
      <c r="Q1200" s="34">
        <f t="shared" si="231"/>
        <v>103691.51999999999</v>
      </c>
      <c r="R1200" s="34">
        <f t="shared" si="231"/>
        <v>103691.51999999999</v>
      </c>
      <c r="S1200" s="34">
        <f t="shared" si="231"/>
        <v>280703.59999999998</v>
      </c>
      <c r="T1200" s="34">
        <f t="shared" si="231"/>
        <v>175380.12</v>
      </c>
      <c r="U1200" s="35">
        <f>T1200/S1200</f>
        <v>0.62478756952173042</v>
      </c>
    </row>
    <row r="1201" spans="1:21" ht="16">
      <c r="A1201" s="33"/>
      <c r="B1201" s="30"/>
      <c r="C1201" s="22"/>
      <c r="D1201" s="23"/>
      <c r="E1201" s="23"/>
      <c r="F1201" s="23"/>
      <c r="G1201" s="31"/>
      <c r="H1201" s="32"/>
      <c r="I1201" s="31"/>
      <c r="J1201" s="85"/>
      <c r="L1201" s="86"/>
    </row>
    <row r="1202" spans="1:21" ht="13">
      <c r="A1202" s="290" t="s">
        <v>9</v>
      </c>
      <c r="B1202" s="244" t="s">
        <v>623</v>
      </c>
      <c r="C1202" s="15" t="s">
        <v>63</v>
      </c>
      <c r="D1202" s="16">
        <v>25.6</v>
      </c>
      <c r="E1202" s="16">
        <v>15</v>
      </c>
      <c r="F1202" s="16">
        <f t="shared" ref="F1202:F1207" si="232">D1202*E1202</f>
        <v>384</v>
      </c>
      <c r="G1202" s="240">
        <f>SUM(F1202:F1209)</f>
        <v>1661.1599999999999</v>
      </c>
      <c r="H1202" s="237">
        <v>1428</v>
      </c>
      <c r="I1202" s="237">
        <f>H1202-G1202</f>
        <v>-233.15999999999985</v>
      </c>
      <c r="J1202" s="241">
        <f>I1202/H1202</f>
        <v>-0.16327731092436965</v>
      </c>
      <c r="L1202" s="277" t="s">
        <v>9</v>
      </c>
      <c r="M1202" s="247" t="s">
        <v>623</v>
      </c>
      <c r="N1202" s="15" t="s">
        <v>63</v>
      </c>
      <c r="O1202" s="16">
        <v>25.6</v>
      </c>
      <c r="P1202" s="16">
        <v>15</v>
      </c>
      <c r="Q1202" s="16">
        <f t="shared" ref="Q1202:Q1207" si="233">O1202*P1202</f>
        <v>384</v>
      </c>
      <c r="R1202" s="240">
        <f>SUM(Q1202:Q1209)</f>
        <v>1661.1599999999999</v>
      </c>
      <c r="S1202" s="237">
        <v>1428</v>
      </c>
      <c r="T1202" s="237">
        <f>S1202-R1202</f>
        <v>-233.15999999999985</v>
      </c>
      <c r="U1202" s="241">
        <f>T1202/S1202</f>
        <v>-0.16327731092436965</v>
      </c>
    </row>
    <row r="1203" spans="1:21" ht="13">
      <c r="A1203" s="270"/>
      <c r="B1203" s="245"/>
      <c r="C1203" s="19" t="s">
        <v>77</v>
      </c>
      <c r="D1203" s="17">
        <v>13.6</v>
      </c>
      <c r="E1203" s="17">
        <v>13</v>
      </c>
      <c r="F1203" s="17">
        <f t="shared" si="232"/>
        <v>176.79999999999998</v>
      </c>
      <c r="G1203" s="236"/>
      <c r="H1203" s="236"/>
      <c r="I1203" s="236"/>
      <c r="J1203" s="242"/>
      <c r="L1203" s="249"/>
      <c r="M1203" s="236"/>
      <c r="N1203" s="19" t="s">
        <v>77</v>
      </c>
      <c r="O1203" s="17">
        <v>13.6</v>
      </c>
      <c r="P1203" s="17">
        <v>13</v>
      </c>
      <c r="Q1203" s="17">
        <f t="shared" si="233"/>
        <v>176.79999999999998</v>
      </c>
      <c r="R1203" s="236"/>
      <c r="S1203" s="236"/>
      <c r="T1203" s="236"/>
      <c r="U1203" s="242"/>
    </row>
    <row r="1204" spans="1:21" ht="13">
      <c r="A1204" s="270"/>
      <c r="B1204" s="245"/>
      <c r="C1204" s="19" t="s">
        <v>266</v>
      </c>
      <c r="D1204" s="17">
        <v>13.7</v>
      </c>
      <c r="E1204" s="17">
        <v>13</v>
      </c>
      <c r="F1204" s="17">
        <f t="shared" si="232"/>
        <v>178.1</v>
      </c>
      <c r="G1204" s="236"/>
      <c r="H1204" s="236"/>
      <c r="I1204" s="236"/>
      <c r="J1204" s="242"/>
      <c r="L1204" s="249"/>
      <c r="M1204" s="236"/>
      <c r="N1204" s="19" t="s">
        <v>266</v>
      </c>
      <c r="O1204" s="17">
        <v>13.7</v>
      </c>
      <c r="P1204" s="17">
        <v>13</v>
      </c>
      <c r="Q1204" s="17">
        <f t="shared" si="233"/>
        <v>178.1</v>
      </c>
      <c r="R1204" s="236"/>
      <c r="S1204" s="236"/>
      <c r="T1204" s="236"/>
      <c r="U1204" s="242"/>
    </row>
    <row r="1205" spans="1:21" ht="13">
      <c r="A1205" s="270"/>
      <c r="B1205" s="245"/>
      <c r="C1205" s="19" t="s">
        <v>500</v>
      </c>
      <c r="D1205" s="17">
        <v>19</v>
      </c>
      <c r="E1205" s="17">
        <v>13</v>
      </c>
      <c r="F1205" s="17">
        <f t="shared" si="232"/>
        <v>247</v>
      </c>
      <c r="G1205" s="236"/>
      <c r="H1205" s="236"/>
      <c r="I1205" s="236"/>
      <c r="J1205" s="242"/>
      <c r="L1205" s="249"/>
      <c r="M1205" s="236"/>
      <c r="N1205" s="19" t="s">
        <v>500</v>
      </c>
      <c r="O1205" s="17">
        <v>19</v>
      </c>
      <c r="P1205" s="17">
        <v>13</v>
      </c>
      <c r="Q1205" s="17">
        <f t="shared" si="233"/>
        <v>247</v>
      </c>
      <c r="R1205" s="236"/>
      <c r="S1205" s="236"/>
      <c r="T1205" s="236"/>
      <c r="U1205" s="242"/>
    </row>
    <row r="1206" spans="1:21" ht="13">
      <c r="A1206" s="270"/>
      <c r="B1206" s="245"/>
      <c r="C1206" s="19" t="s">
        <v>32</v>
      </c>
      <c r="D1206" s="17">
        <v>25.55</v>
      </c>
      <c r="E1206" s="17">
        <v>13</v>
      </c>
      <c r="F1206" s="17">
        <f t="shared" si="232"/>
        <v>332.15000000000003</v>
      </c>
      <c r="G1206" s="236"/>
      <c r="H1206" s="236"/>
      <c r="I1206" s="236"/>
      <c r="J1206" s="242"/>
      <c r="L1206" s="249"/>
      <c r="M1206" s="236"/>
      <c r="N1206" s="19" t="s">
        <v>32</v>
      </c>
      <c r="O1206" s="17">
        <v>25.55</v>
      </c>
      <c r="P1206" s="17">
        <v>13</v>
      </c>
      <c r="Q1206" s="17">
        <f t="shared" si="233"/>
        <v>332.15000000000003</v>
      </c>
      <c r="R1206" s="236"/>
      <c r="S1206" s="236"/>
      <c r="T1206" s="236"/>
      <c r="U1206" s="242"/>
    </row>
    <row r="1207" spans="1:21" ht="13">
      <c r="A1207" s="270"/>
      <c r="B1207" s="245"/>
      <c r="C1207" s="19" t="s">
        <v>621</v>
      </c>
      <c r="D1207" s="17">
        <v>19.47</v>
      </c>
      <c r="E1207" s="17">
        <v>13</v>
      </c>
      <c r="F1207" s="17">
        <f t="shared" si="232"/>
        <v>253.10999999999999</v>
      </c>
      <c r="G1207" s="236"/>
      <c r="H1207" s="236"/>
      <c r="I1207" s="236"/>
      <c r="J1207" s="242"/>
      <c r="L1207" s="249"/>
      <c r="M1207" s="236"/>
      <c r="N1207" s="19" t="s">
        <v>621</v>
      </c>
      <c r="O1207" s="17">
        <v>19.47</v>
      </c>
      <c r="P1207" s="17">
        <v>13</v>
      </c>
      <c r="Q1207" s="17">
        <f t="shared" si="233"/>
        <v>253.10999999999999</v>
      </c>
      <c r="R1207" s="236"/>
      <c r="S1207" s="236"/>
      <c r="T1207" s="236"/>
      <c r="U1207" s="242"/>
    </row>
    <row r="1208" spans="1:21" ht="13">
      <c r="A1208" s="270"/>
      <c r="B1208" s="245"/>
      <c r="C1208" s="19" t="s">
        <v>624</v>
      </c>
      <c r="D1208" s="17"/>
      <c r="E1208" s="17"/>
      <c r="F1208" s="17">
        <v>90</v>
      </c>
      <c r="G1208" s="236"/>
      <c r="H1208" s="236"/>
      <c r="I1208" s="236"/>
      <c r="J1208" s="242"/>
      <c r="L1208" s="249"/>
      <c r="M1208" s="236"/>
      <c r="N1208" s="19" t="s">
        <v>624</v>
      </c>
      <c r="O1208" s="17"/>
      <c r="P1208" s="17"/>
      <c r="Q1208" s="17">
        <v>90</v>
      </c>
      <c r="R1208" s="236"/>
      <c r="S1208" s="236"/>
      <c r="T1208" s="236"/>
      <c r="U1208" s="242"/>
    </row>
    <row r="1209" spans="1:21" ht="13">
      <c r="A1209" s="270"/>
      <c r="B1209" s="246"/>
      <c r="C1209" s="20"/>
      <c r="D1209" s="21"/>
      <c r="E1209" s="21"/>
      <c r="F1209" s="21"/>
      <c r="G1209" s="238"/>
      <c r="H1209" s="238"/>
      <c r="I1209" s="238"/>
      <c r="J1209" s="243"/>
      <c r="L1209" s="249"/>
      <c r="M1209" s="248"/>
      <c r="N1209" s="20"/>
      <c r="O1209" s="21"/>
      <c r="P1209" s="21"/>
      <c r="Q1209" s="21"/>
      <c r="R1209" s="238"/>
      <c r="S1209" s="238"/>
      <c r="T1209" s="238"/>
      <c r="U1209" s="243"/>
    </row>
    <row r="1210" spans="1:21" ht="13">
      <c r="A1210" s="270"/>
      <c r="B1210" s="244" t="s">
        <v>491</v>
      </c>
      <c r="C1210" s="64" t="s">
        <v>482</v>
      </c>
      <c r="D1210" s="50"/>
      <c r="E1210" s="50"/>
      <c r="F1210" s="65">
        <v>150</v>
      </c>
      <c r="G1210" s="240">
        <f>SUM(F1210:F1216)</f>
        <v>483.55999999999995</v>
      </c>
      <c r="H1210" s="237">
        <v>1530.4</v>
      </c>
      <c r="I1210" s="237">
        <f>H1210-G1210</f>
        <v>1046.8400000000001</v>
      </c>
      <c r="J1210" s="241">
        <f>I1210/H1210</f>
        <v>0.6840303188708835</v>
      </c>
      <c r="L1210" s="249"/>
      <c r="M1210" s="247" t="s">
        <v>491</v>
      </c>
      <c r="N1210" s="64" t="s">
        <v>482</v>
      </c>
      <c r="O1210" s="50"/>
      <c r="P1210" s="50"/>
      <c r="Q1210" s="65">
        <v>150</v>
      </c>
      <c r="R1210" s="240">
        <f>SUM(Q1210:Q1216)</f>
        <v>483.55999999999995</v>
      </c>
      <c r="S1210" s="237">
        <v>1530.4</v>
      </c>
      <c r="T1210" s="237">
        <f>S1210-R1210</f>
        <v>1046.8400000000001</v>
      </c>
      <c r="U1210" s="241">
        <f>T1210/S1210</f>
        <v>0.6840303188708835</v>
      </c>
    </row>
    <row r="1211" spans="1:21" ht="13">
      <c r="A1211" s="270"/>
      <c r="B1211" s="245"/>
      <c r="C1211" s="22" t="s">
        <v>63</v>
      </c>
      <c r="D1211" s="23"/>
      <c r="E1211" s="23"/>
      <c r="F1211" s="23">
        <v>100</v>
      </c>
      <c r="G1211" s="236"/>
      <c r="H1211" s="236"/>
      <c r="I1211" s="236"/>
      <c r="J1211" s="242"/>
      <c r="L1211" s="249"/>
      <c r="M1211" s="236"/>
      <c r="N1211" s="22" t="s">
        <v>63</v>
      </c>
      <c r="O1211" s="23"/>
      <c r="P1211" s="23"/>
      <c r="Q1211" s="23">
        <v>100</v>
      </c>
      <c r="R1211" s="236"/>
      <c r="S1211" s="236"/>
      <c r="T1211" s="236"/>
      <c r="U1211" s="242"/>
    </row>
    <row r="1212" spans="1:21" ht="13">
      <c r="A1212" s="270"/>
      <c r="B1212" s="245"/>
      <c r="C1212" s="22" t="s">
        <v>45</v>
      </c>
      <c r="D1212" s="23"/>
      <c r="E1212" s="23"/>
      <c r="F1212" s="23">
        <v>99.63</v>
      </c>
      <c r="G1212" s="236"/>
      <c r="H1212" s="236"/>
      <c r="I1212" s="236"/>
      <c r="J1212" s="242"/>
      <c r="L1212" s="249"/>
      <c r="M1212" s="236"/>
      <c r="N1212" s="22" t="s">
        <v>45</v>
      </c>
      <c r="O1212" s="23"/>
      <c r="P1212" s="23"/>
      <c r="Q1212" s="23">
        <v>99.63</v>
      </c>
      <c r="R1212" s="236"/>
      <c r="S1212" s="236"/>
      <c r="T1212" s="236"/>
      <c r="U1212" s="242"/>
    </row>
    <row r="1213" spans="1:21" ht="13">
      <c r="A1213" s="270"/>
      <c r="B1213" s="245"/>
      <c r="C1213" s="22" t="s">
        <v>44</v>
      </c>
      <c r="D1213" s="23"/>
      <c r="E1213" s="23"/>
      <c r="F1213" s="23">
        <v>51.4</v>
      </c>
      <c r="G1213" s="236"/>
      <c r="H1213" s="236"/>
      <c r="I1213" s="236"/>
      <c r="J1213" s="242"/>
      <c r="L1213" s="249"/>
      <c r="M1213" s="236"/>
      <c r="N1213" s="22" t="s">
        <v>44</v>
      </c>
      <c r="O1213" s="23"/>
      <c r="P1213" s="23"/>
      <c r="Q1213" s="23">
        <v>51.4</v>
      </c>
      <c r="R1213" s="236"/>
      <c r="S1213" s="236"/>
      <c r="T1213" s="236"/>
      <c r="U1213" s="242"/>
    </row>
    <row r="1214" spans="1:21" ht="13">
      <c r="A1214" s="270"/>
      <c r="B1214" s="245"/>
      <c r="C1214" s="22" t="s">
        <v>33</v>
      </c>
      <c r="D1214" s="23"/>
      <c r="E1214" s="23"/>
      <c r="F1214" s="23">
        <v>38.93</v>
      </c>
      <c r="G1214" s="236"/>
      <c r="H1214" s="236"/>
      <c r="I1214" s="236"/>
      <c r="J1214" s="242"/>
      <c r="L1214" s="249"/>
      <c r="M1214" s="236"/>
      <c r="N1214" s="22" t="s">
        <v>33</v>
      </c>
      <c r="O1214" s="23"/>
      <c r="P1214" s="23"/>
      <c r="Q1214" s="23">
        <v>38.93</v>
      </c>
      <c r="R1214" s="236"/>
      <c r="S1214" s="236"/>
      <c r="T1214" s="236"/>
      <c r="U1214" s="242"/>
    </row>
    <row r="1215" spans="1:21" ht="13">
      <c r="A1215" s="270"/>
      <c r="B1215" s="245"/>
      <c r="C1215" s="22" t="s">
        <v>483</v>
      </c>
      <c r="D1215" s="23"/>
      <c r="E1215" s="23"/>
      <c r="F1215" s="23">
        <v>4.4000000000000004</v>
      </c>
      <c r="G1215" s="236"/>
      <c r="H1215" s="236"/>
      <c r="I1215" s="236"/>
      <c r="J1215" s="242"/>
      <c r="L1215" s="249"/>
      <c r="M1215" s="236"/>
      <c r="N1215" s="22" t="s">
        <v>483</v>
      </c>
      <c r="O1215" s="23"/>
      <c r="P1215" s="23"/>
      <c r="Q1215" s="23">
        <v>4.4000000000000004</v>
      </c>
      <c r="R1215" s="236"/>
      <c r="S1215" s="236"/>
      <c r="T1215" s="236"/>
      <c r="U1215" s="242"/>
    </row>
    <row r="1216" spans="1:21" ht="13">
      <c r="A1216" s="270"/>
      <c r="B1216" s="246"/>
      <c r="C1216" s="25" t="s">
        <v>48</v>
      </c>
      <c r="D1216" s="26"/>
      <c r="E1216" s="26"/>
      <c r="F1216" s="26">
        <v>39.200000000000003</v>
      </c>
      <c r="G1216" s="238"/>
      <c r="H1216" s="238"/>
      <c r="I1216" s="238"/>
      <c r="J1216" s="243"/>
      <c r="L1216" s="249"/>
      <c r="M1216" s="248"/>
      <c r="N1216" s="25" t="s">
        <v>48</v>
      </c>
      <c r="O1216" s="26"/>
      <c r="P1216" s="26"/>
      <c r="Q1216" s="26">
        <v>39.200000000000003</v>
      </c>
      <c r="R1216" s="238"/>
      <c r="S1216" s="238"/>
      <c r="T1216" s="238"/>
      <c r="U1216" s="243"/>
    </row>
    <row r="1217" spans="1:21" ht="13">
      <c r="A1217" s="270"/>
      <c r="B1217" s="244" t="s">
        <v>625</v>
      </c>
      <c r="C1217" s="64" t="s">
        <v>23</v>
      </c>
      <c r="D1217" s="50">
        <v>14</v>
      </c>
      <c r="E1217" s="50">
        <v>16</v>
      </c>
      <c r="F1217" s="65">
        <f>D1217*E1217</f>
        <v>224</v>
      </c>
      <c r="G1217" s="240">
        <f>SUM(F1217:F1231)</f>
        <v>4469.1499999999996</v>
      </c>
      <c r="H1217" s="240">
        <v>7000</v>
      </c>
      <c r="I1217" s="240">
        <f>H1217-G1217</f>
        <v>2530.8500000000004</v>
      </c>
      <c r="J1217" s="241">
        <f>I1217/H1217</f>
        <v>0.36155000000000004</v>
      </c>
      <c r="L1217" s="249"/>
      <c r="M1217" s="247" t="s">
        <v>625</v>
      </c>
      <c r="N1217" s="64" t="s">
        <v>23</v>
      </c>
      <c r="O1217" s="18"/>
      <c r="P1217" s="18"/>
      <c r="Q1217" s="18"/>
      <c r="R1217" s="240">
        <f>SUM(Q1217:Q1231)</f>
        <v>4245.1499999999996</v>
      </c>
      <c r="S1217" s="240">
        <v>7000</v>
      </c>
      <c r="T1217" s="240">
        <f>S1217-R1217</f>
        <v>2754.8500000000004</v>
      </c>
      <c r="U1217" s="241">
        <f>T1217/S1217</f>
        <v>0.39355000000000007</v>
      </c>
    </row>
    <row r="1218" spans="1:21" ht="13">
      <c r="A1218" s="270"/>
      <c r="B1218" s="245"/>
      <c r="C1218" s="22" t="s">
        <v>35</v>
      </c>
      <c r="D1218" s="23"/>
      <c r="E1218" s="23"/>
      <c r="F1218" s="23">
        <v>300</v>
      </c>
      <c r="G1218" s="236"/>
      <c r="H1218" s="236"/>
      <c r="I1218" s="236"/>
      <c r="J1218" s="242"/>
      <c r="L1218" s="249"/>
      <c r="M1218" s="236"/>
      <c r="N1218" s="22" t="s">
        <v>35</v>
      </c>
      <c r="O1218" s="23"/>
      <c r="P1218" s="23"/>
      <c r="Q1218" s="23">
        <v>300</v>
      </c>
      <c r="R1218" s="236"/>
      <c r="S1218" s="236"/>
      <c r="T1218" s="236"/>
      <c r="U1218" s="242"/>
    </row>
    <row r="1219" spans="1:21" ht="13">
      <c r="A1219" s="270"/>
      <c r="B1219" s="245"/>
      <c r="C1219" s="22" t="s">
        <v>626</v>
      </c>
      <c r="D1219" s="23">
        <v>1.5</v>
      </c>
      <c r="E1219" s="23">
        <v>17</v>
      </c>
      <c r="F1219" s="23">
        <f t="shared" ref="F1219:F1227" si="234">D1219*E1219</f>
        <v>25.5</v>
      </c>
      <c r="G1219" s="236"/>
      <c r="H1219" s="236"/>
      <c r="I1219" s="236"/>
      <c r="J1219" s="242"/>
      <c r="L1219" s="249"/>
      <c r="M1219" s="236"/>
      <c r="N1219" s="22" t="s">
        <v>626</v>
      </c>
      <c r="O1219" s="23">
        <v>1.5</v>
      </c>
      <c r="P1219" s="23">
        <v>17</v>
      </c>
      <c r="Q1219" s="23">
        <f t="shared" ref="Q1219:Q1227" si="235">O1219*P1219</f>
        <v>25.5</v>
      </c>
      <c r="R1219" s="236"/>
      <c r="S1219" s="236"/>
      <c r="T1219" s="236"/>
      <c r="U1219" s="242"/>
    </row>
    <row r="1220" spans="1:21" ht="13">
      <c r="A1220" s="270"/>
      <c r="B1220" s="245"/>
      <c r="C1220" s="22" t="s">
        <v>586</v>
      </c>
      <c r="D1220" s="23">
        <v>35.25</v>
      </c>
      <c r="E1220" s="23">
        <v>15</v>
      </c>
      <c r="F1220" s="23">
        <f t="shared" si="234"/>
        <v>528.75</v>
      </c>
      <c r="G1220" s="236"/>
      <c r="H1220" s="236"/>
      <c r="I1220" s="236"/>
      <c r="J1220" s="242"/>
      <c r="L1220" s="249"/>
      <c r="M1220" s="236"/>
      <c r="N1220" s="22" t="s">
        <v>586</v>
      </c>
      <c r="O1220" s="23">
        <v>35.25</v>
      </c>
      <c r="P1220" s="23">
        <v>15</v>
      </c>
      <c r="Q1220" s="23">
        <f t="shared" si="235"/>
        <v>528.75</v>
      </c>
      <c r="R1220" s="236"/>
      <c r="S1220" s="236"/>
      <c r="T1220" s="236"/>
      <c r="U1220" s="242"/>
    </row>
    <row r="1221" spans="1:21" ht="13">
      <c r="A1221" s="270"/>
      <c r="B1221" s="245"/>
      <c r="C1221" s="22" t="s">
        <v>627</v>
      </c>
      <c r="D1221" s="23">
        <v>24.38</v>
      </c>
      <c r="E1221" s="23">
        <v>15</v>
      </c>
      <c r="F1221" s="23">
        <f t="shared" si="234"/>
        <v>365.7</v>
      </c>
      <c r="G1221" s="236"/>
      <c r="H1221" s="236"/>
      <c r="I1221" s="236"/>
      <c r="J1221" s="242"/>
      <c r="L1221" s="249"/>
      <c r="M1221" s="236"/>
      <c r="N1221" s="22" t="s">
        <v>627</v>
      </c>
      <c r="O1221" s="23">
        <v>24.38</v>
      </c>
      <c r="P1221" s="23">
        <v>15</v>
      </c>
      <c r="Q1221" s="23">
        <f t="shared" si="235"/>
        <v>365.7</v>
      </c>
      <c r="R1221" s="236"/>
      <c r="S1221" s="236"/>
      <c r="T1221" s="236"/>
      <c r="U1221" s="242"/>
    </row>
    <row r="1222" spans="1:21" ht="13">
      <c r="A1222" s="270"/>
      <c r="B1222" s="245"/>
      <c r="C1222" s="24" t="s">
        <v>628</v>
      </c>
      <c r="D1222" s="23">
        <v>23.6</v>
      </c>
      <c r="E1222" s="23">
        <v>15</v>
      </c>
      <c r="F1222" s="23">
        <f t="shared" si="234"/>
        <v>354</v>
      </c>
      <c r="G1222" s="236"/>
      <c r="H1222" s="236"/>
      <c r="I1222" s="236"/>
      <c r="J1222" s="242"/>
      <c r="L1222" s="249"/>
      <c r="M1222" s="236"/>
      <c r="N1222" s="24" t="s">
        <v>628</v>
      </c>
      <c r="O1222" s="23">
        <v>23.6</v>
      </c>
      <c r="P1222" s="23">
        <v>15</v>
      </c>
      <c r="Q1222" s="23">
        <f t="shared" si="235"/>
        <v>354</v>
      </c>
      <c r="R1222" s="236"/>
      <c r="S1222" s="236"/>
      <c r="T1222" s="236"/>
      <c r="U1222" s="242"/>
    </row>
    <row r="1223" spans="1:21" ht="13">
      <c r="A1223" s="270"/>
      <c r="B1223" s="245"/>
      <c r="C1223" s="22" t="s">
        <v>70</v>
      </c>
      <c r="D1223" s="23">
        <v>33.33</v>
      </c>
      <c r="E1223" s="23">
        <v>15</v>
      </c>
      <c r="F1223" s="23">
        <f t="shared" si="234"/>
        <v>499.95</v>
      </c>
      <c r="G1223" s="236"/>
      <c r="H1223" s="236"/>
      <c r="I1223" s="236"/>
      <c r="J1223" s="242"/>
      <c r="L1223" s="249"/>
      <c r="M1223" s="236"/>
      <c r="N1223" s="22" t="s">
        <v>70</v>
      </c>
      <c r="O1223" s="23">
        <v>33.33</v>
      </c>
      <c r="P1223" s="23">
        <v>15</v>
      </c>
      <c r="Q1223" s="23">
        <f t="shared" si="235"/>
        <v>499.95</v>
      </c>
      <c r="R1223" s="236"/>
      <c r="S1223" s="236"/>
      <c r="T1223" s="236"/>
      <c r="U1223" s="242"/>
    </row>
    <row r="1224" spans="1:21" ht="13">
      <c r="A1224" s="270"/>
      <c r="B1224" s="245"/>
      <c r="C1224" s="22" t="s">
        <v>629</v>
      </c>
      <c r="D1224" s="23">
        <v>20</v>
      </c>
      <c r="E1224" s="23">
        <v>15</v>
      </c>
      <c r="F1224" s="23">
        <f t="shared" si="234"/>
        <v>300</v>
      </c>
      <c r="G1224" s="236"/>
      <c r="H1224" s="236"/>
      <c r="I1224" s="236"/>
      <c r="J1224" s="242"/>
      <c r="L1224" s="249"/>
      <c r="M1224" s="236"/>
      <c r="N1224" s="22" t="s">
        <v>629</v>
      </c>
      <c r="O1224" s="23">
        <v>20</v>
      </c>
      <c r="P1224" s="23">
        <v>15</v>
      </c>
      <c r="Q1224" s="23">
        <f t="shared" si="235"/>
        <v>300</v>
      </c>
      <c r="R1224" s="236"/>
      <c r="S1224" s="236"/>
      <c r="T1224" s="236"/>
      <c r="U1224" s="242"/>
    </row>
    <row r="1225" spans="1:21" ht="13">
      <c r="A1225" s="270"/>
      <c r="B1225" s="245"/>
      <c r="C1225" s="22" t="s">
        <v>630</v>
      </c>
      <c r="D1225" s="23">
        <v>33.65</v>
      </c>
      <c r="E1225" s="23">
        <v>15</v>
      </c>
      <c r="F1225" s="23">
        <f t="shared" si="234"/>
        <v>504.75</v>
      </c>
      <c r="G1225" s="236"/>
      <c r="H1225" s="236"/>
      <c r="I1225" s="236"/>
      <c r="J1225" s="242"/>
      <c r="L1225" s="249"/>
      <c r="M1225" s="236"/>
      <c r="N1225" s="22" t="s">
        <v>630</v>
      </c>
      <c r="O1225" s="23">
        <v>33.65</v>
      </c>
      <c r="P1225" s="23">
        <v>15</v>
      </c>
      <c r="Q1225" s="23">
        <f t="shared" si="235"/>
        <v>504.75</v>
      </c>
      <c r="R1225" s="236"/>
      <c r="S1225" s="236"/>
      <c r="T1225" s="236"/>
      <c r="U1225" s="242"/>
    </row>
    <row r="1226" spans="1:21" ht="13">
      <c r="A1226" s="270"/>
      <c r="B1226" s="245"/>
      <c r="C1226" s="22" t="s">
        <v>619</v>
      </c>
      <c r="D1226" s="23">
        <v>4</v>
      </c>
      <c r="E1226" s="23">
        <v>15</v>
      </c>
      <c r="F1226" s="23">
        <f t="shared" si="234"/>
        <v>60</v>
      </c>
      <c r="G1226" s="236"/>
      <c r="H1226" s="236"/>
      <c r="I1226" s="236"/>
      <c r="J1226" s="242"/>
      <c r="L1226" s="249"/>
      <c r="M1226" s="236"/>
      <c r="N1226" s="22" t="s">
        <v>619</v>
      </c>
      <c r="O1226" s="23">
        <v>4</v>
      </c>
      <c r="P1226" s="23">
        <v>15</v>
      </c>
      <c r="Q1226" s="23">
        <f t="shared" si="235"/>
        <v>60</v>
      </c>
      <c r="R1226" s="236"/>
      <c r="S1226" s="236"/>
      <c r="T1226" s="236"/>
      <c r="U1226" s="242"/>
    </row>
    <row r="1227" spans="1:21" ht="13">
      <c r="A1227" s="270"/>
      <c r="B1227" s="245"/>
      <c r="C1227" s="22" t="s">
        <v>631</v>
      </c>
      <c r="D1227" s="23">
        <v>18.38</v>
      </c>
      <c r="E1227" s="23">
        <v>15</v>
      </c>
      <c r="F1227" s="23">
        <f t="shared" si="234"/>
        <v>275.7</v>
      </c>
      <c r="G1227" s="236"/>
      <c r="H1227" s="236"/>
      <c r="I1227" s="236"/>
      <c r="J1227" s="242"/>
      <c r="L1227" s="249"/>
      <c r="M1227" s="236"/>
      <c r="N1227" s="22" t="s">
        <v>631</v>
      </c>
      <c r="O1227" s="23">
        <v>18.38</v>
      </c>
      <c r="P1227" s="23">
        <v>15</v>
      </c>
      <c r="Q1227" s="23">
        <f t="shared" si="235"/>
        <v>275.7</v>
      </c>
      <c r="R1227" s="236"/>
      <c r="S1227" s="236"/>
      <c r="T1227" s="236"/>
      <c r="U1227" s="242"/>
    </row>
    <row r="1228" spans="1:21" ht="13">
      <c r="A1228" s="270"/>
      <c r="B1228" s="245"/>
      <c r="C1228" s="22" t="s">
        <v>45</v>
      </c>
      <c r="D1228" s="23"/>
      <c r="E1228" s="23"/>
      <c r="F1228" s="23">
        <v>150</v>
      </c>
      <c r="G1228" s="236"/>
      <c r="H1228" s="236"/>
      <c r="I1228" s="236"/>
      <c r="J1228" s="242"/>
      <c r="L1228" s="249"/>
      <c r="M1228" s="236"/>
      <c r="N1228" s="22" t="s">
        <v>45</v>
      </c>
      <c r="O1228" s="23"/>
      <c r="P1228" s="23"/>
      <c r="Q1228" s="23">
        <v>150</v>
      </c>
      <c r="R1228" s="236"/>
      <c r="S1228" s="236"/>
      <c r="T1228" s="236"/>
      <c r="U1228" s="242"/>
    </row>
    <row r="1229" spans="1:21" ht="13">
      <c r="A1229" s="270"/>
      <c r="B1229" s="245"/>
      <c r="C1229" s="22" t="s">
        <v>47</v>
      </c>
      <c r="D1229" s="23"/>
      <c r="E1229" s="23"/>
      <c r="F1229" s="23">
        <v>596.65</v>
      </c>
      <c r="G1229" s="236"/>
      <c r="H1229" s="236"/>
      <c r="I1229" s="236"/>
      <c r="J1229" s="242"/>
      <c r="L1229" s="249"/>
      <c r="M1229" s="236"/>
      <c r="N1229" s="22" t="s">
        <v>47</v>
      </c>
      <c r="O1229" s="23"/>
      <c r="P1229" s="23"/>
      <c r="Q1229" s="23">
        <v>596.65</v>
      </c>
      <c r="R1229" s="236"/>
      <c r="S1229" s="236"/>
      <c r="T1229" s="236"/>
      <c r="U1229" s="242"/>
    </row>
    <row r="1230" spans="1:21" ht="13">
      <c r="A1230" s="270"/>
      <c r="B1230" s="245"/>
      <c r="C1230" s="22" t="s">
        <v>44</v>
      </c>
      <c r="D1230" s="23"/>
      <c r="E1230" s="23"/>
      <c r="F1230" s="23">
        <v>60.5</v>
      </c>
      <c r="G1230" s="236"/>
      <c r="H1230" s="236"/>
      <c r="I1230" s="236"/>
      <c r="J1230" s="242"/>
      <c r="L1230" s="249"/>
      <c r="M1230" s="236"/>
      <c r="N1230" s="22" t="s">
        <v>44</v>
      </c>
      <c r="O1230" s="23"/>
      <c r="P1230" s="23"/>
      <c r="Q1230" s="23">
        <v>60.5</v>
      </c>
      <c r="R1230" s="236"/>
      <c r="S1230" s="236"/>
      <c r="T1230" s="236"/>
      <c r="U1230" s="242"/>
    </row>
    <row r="1231" spans="1:21" ht="13">
      <c r="A1231" s="270"/>
      <c r="B1231" s="246"/>
      <c r="C1231" s="25" t="s">
        <v>48</v>
      </c>
      <c r="D1231" s="26"/>
      <c r="E1231" s="26"/>
      <c r="F1231" s="26">
        <v>223.65</v>
      </c>
      <c r="G1231" s="238"/>
      <c r="H1231" s="238"/>
      <c r="I1231" s="238"/>
      <c r="J1231" s="243"/>
      <c r="L1231" s="249"/>
      <c r="M1231" s="248"/>
      <c r="N1231" s="25" t="s">
        <v>48</v>
      </c>
      <c r="O1231" s="26"/>
      <c r="P1231" s="26"/>
      <c r="Q1231" s="26">
        <v>223.65</v>
      </c>
      <c r="R1231" s="238"/>
      <c r="S1231" s="238"/>
      <c r="T1231" s="238"/>
      <c r="U1231" s="243"/>
    </row>
    <row r="1232" spans="1:21" ht="13">
      <c r="A1232" s="270"/>
      <c r="B1232" s="244" t="s">
        <v>492</v>
      </c>
      <c r="C1232" s="64" t="s">
        <v>349</v>
      </c>
      <c r="D1232" s="50">
        <v>21</v>
      </c>
      <c r="E1232" s="17">
        <v>18</v>
      </c>
      <c r="F1232" s="17">
        <f t="shared" ref="F1232:F1233" si="236">D1232*E1232</f>
        <v>378</v>
      </c>
      <c r="G1232" s="240">
        <f>SUM(F1232:F1238)</f>
        <v>1087.29</v>
      </c>
      <c r="H1232" s="237">
        <v>5191.2</v>
      </c>
      <c r="I1232" s="237">
        <f>H1232-G1232</f>
        <v>4103.91</v>
      </c>
      <c r="J1232" s="241">
        <f>I1232/H1232</f>
        <v>0.79055131761442443</v>
      </c>
      <c r="L1232" s="249"/>
      <c r="M1232" s="247" t="s">
        <v>492</v>
      </c>
      <c r="N1232" s="64" t="s">
        <v>349</v>
      </c>
      <c r="O1232" s="18"/>
      <c r="P1232" s="18"/>
      <c r="Q1232" s="18"/>
      <c r="R1232" s="240">
        <f>SUM(Q1232:Q1238)</f>
        <v>709.29</v>
      </c>
      <c r="S1232" s="237">
        <v>5191.2</v>
      </c>
      <c r="T1232" s="237">
        <f>S1232-R1232</f>
        <v>4481.91</v>
      </c>
      <c r="U1232" s="241">
        <f>T1232/S1232</f>
        <v>0.86336685159500692</v>
      </c>
    </row>
    <row r="1233" spans="1:21" ht="13">
      <c r="A1233" s="270"/>
      <c r="B1233" s="245"/>
      <c r="C1233" s="22" t="s">
        <v>31</v>
      </c>
      <c r="D1233" s="17">
        <v>12.75</v>
      </c>
      <c r="E1233" s="17">
        <v>17</v>
      </c>
      <c r="F1233" s="17">
        <f t="shared" si="236"/>
        <v>216.75</v>
      </c>
      <c r="G1233" s="236"/>
      <c r="H1233" s="236"/>
      <c r="I1233" s="236"/>
      <c r="J1233" s="242"/>
      <c r="L1233" s="249"/>
      <c r="M1233" s="236"/>
      <c r="N1233" s="22" t="s">
        <v>31</v>
      </c>
      <c r="O1233" s="17">
        <v>12.75</v>
      </c>
      <c r="P1233" s="17">
        <v>17</v>
      </c>
      <c r="Q1233" s="17">
        <f>O1233*P1233</f>
        <v>216.75</v>
      </c>
      <c r="R1233" s="236"/>
      <c r="S1233" s="236"/>
      <c r="T1233" s="236"/>
      <c r="U1233" s="242"/>
    </row>
    <row r="1234" spans="1:21" ht="13">
      <c r="A1234" s="270"/>
      <c r="B1234" s="245"/>
      <c r="C1234" s="22" t="s">
        <v>45</v>
      </c>
      <c r="D1234" s="23"/>
      <c r="E1234" s="23"/>
      <c r="F1234" s="23">
        <v>143.59</v>
      </c>
      <c r="G1234" s="236"/>
      <c r="H1234" s="236"/>
      <c r="I1234" s="236"/>
      <c r="J1234" s="242"/>
      <c r="L1234" s="249"/>
      <c r="M1234" s="236"/>
      <c r="N1234" s="22" t="s">
        <v>45</v>
      </c>
      <c r="O1234" s="23"/>
      <c r="P1234" s="23"/>
      <c r="Q1234" s="23">
        <v>143.59</v>
      </c>
      <c r="R1234" s="236"/>
      <c r="S1234" s="236"/>
      <c r="T1234" s="236"/>
      <c r="U1234" s="242"/>
    </row>
    <row r="1235" spans="1:21" ht="13">
      <c r="A1235" s="270"/>
      <c r="B1235" s="245"/>
      <c r="C1235" s="22" t="s">
        <v>44</v>
      </c>
      <c r="D1235" s="23"/>
      <c r="E1235" s="23"/>
      <c r="F1235" s="23">
        <v>27.4</v>
      </c>
      <c r="G1235" s="236"/>
      <c r="H1235" s="236"/>
      <c r="I1235" s="236"/>
      <c r="J1235" s="242"/>
      <c r="L1235" s="249"/>
      <c r="M1235" s="236"/>
      <c r="N1235" s="22" t="s">
        <v>44</v>
      </c>
      <c r="O1235" s="23"/>
      <c r="P1235" s="23"/>
      <c r="Q1235" s="23">
        <v>27.4</v>
      </c>
      <c r="R1235" s="236"/>
      <c r="S1235" s="236"/>
      <c r="T1235" s="236"/>
      <c r="U1235" s="242"/>
    </row>
    <row r="1236" spans="1:21" ht="13">
      <c r="A1236" s="270"/>
      <c r="B1236" s="245"/>
      <c r="C1236" s="22" t="s">
        <v>33</v>
      </c>
      <c r="D1236" s="23"/>
      <c r="E1236" s="23"/>
      <c r="F1236" s="23">
        <v>125.6</v>
      </c>
      <c r="G1236" s="236"/>
      <c r="H1236" s="236"/>
      <c r="I1236" s="236"/>
      <c r="J1236" s="242"/>
      <c r="L1236" s="249"/>
      <c r="M1236" s="236"/>
      <c r="N1236" s="22" t="s">
        <v>33</v>
      </c>
      <c r="O1236" s="23"/>
      <c r="P1236" s="23"/>
      <c r="Q1236" s="23">
        <v>125.6</v>
      </c>
      <c r="R1236" s="236"/>
      <c r="S1236" s="236"/>
      <c r="T1236" s="236"/>
      <c r="U1236" s="242"/>
    </row>
    <row r="1237" spans="1:21" ht="13">
      <c r="A1237" s="270"/>
      <c r="B1237" s="245"/>
      <c r="C1237" s="22" t="s">
        <v>47</v>
      </c>
      <c r="D1237" s="23"/>
      <c r="E1237" s="23"/>
      <c r="F1237" s="23">
        <v>95.15</v>
      </c>
      <c r="G1237" s="236"/>
      <c r="H1237" s="236"/>
      <c r="I1237" s="236"/>
      <c r="J1237" s="242"/>
      <c r="L1237" s="249"/>
      <c r="M1237" s="236"/>
      <c r="N1237" s="22" t="s">
        <v>47</v>
      </c>
      <c r="O1237" s="23"/>
      <c r="P1237" s="23"/>
      <c r="Q1237" s="23">
        <v>95.15</v>
      </c>
      <c r="R1237" s="236"/>
      <c r="S1237" s="236"/>
      <c r="T1237" s="236"/>
      <c r="U1237" s="242"/>
    </row>
    <row r="1238" spans="1:21" ht="13">
      <c r="A1238" s="270"/>
      <c r="B1238" s="246"/>
      <c r="C1238" s="25" t="s">
        <v>48</v>
      </c>
      <c r="D1238" s="26"/>
      <c r="E1238" s="26"/>
      <c r="F1238" s="26">
        <v>100.8</v>
      </c>
      <c r="G1238" s="238"/>
      <c r="H1238" s="238"/>
      <c r="I1238" s="238"/>
      <c r="J1238" s="243"/>
      <c r="L1238" s="249"/>
      <c r="M1238" s="248"/>
      <c r="N1238" s="25" t="s">
        <v>48</v>
      </c>
      <c r="O1238" s="26"/>
      <c r="P1238" s="26"/>
      <c r="Q1238" s="26">
        <v>100.8</v>
      </c>
      <c r="R1238" s="238"/>
      <c r="S1238" s="238"/>
      <c r="T1238" s="238"/>
      <c r="U1238" s="243"/>
    </row>
    <row r="1239" spans="1:21" ht="13">
      <c r="A1239" s="270"/>
      <c r="B1239" s="244" t="s">
        <v>493</v>
      </c>
      <c r="C1239" s="64" t="s">
        <v>70</v>
      </c>
      <c r="D1239" s="50"/>
      <c r="E1239" s="17"/>
      <c r="F1239" s="17">
        <v>200</v>
      </c>
      <c r="G1239" s="240">
        <f>SUM(F1239:F1244)</f>
        <v>620.62</v>
      </c>
      <c r="H1239" s="237">
        <v>3714.84</v>
      </c>
      <c r="I1239" s="237">
        <f>H1239-G1239</f>
        <v>3094.2200000000003</v>
      </c>
      <c r="J1239" s="241">
        <f>I1239/H1239</f>
        <v>0.83293493124872142</v>
      </c>
      <c r="L1239" s="249"/>
      <c r="M1239" s="247" t="s">
        <v>493</v>
      </c>
      <c r="N1239" s="64" t="s">
        <v>70</v>
      </c>
      <c r="O1239" s="50"/>
      <c r="P1239" s="17"/>
      <c r="Q1239" s="17">
        <v>200</v>
      </c>
      <c r="R1239" s="240">
        <f>SUM(Q1239:Q1244)</f>
        <v>620.62</v>
      </c>
      <c r="S1239" s="237">
        <v>3714.84</v>
      </c>
      <c r="T1239" s="237">
        <f>S1239-R1239</f>
        <v>3094.2200000000003</v>
      </c>
      <c r="U1239" s="241">
        <f>T1239/S1239</f>
        <v>0.83293493124872142</v>
      </c>
    </row>
    <row r="1240" spans="1:21" ht="13">
      <c r="A1240" s="270"/>
      <c r="B1240" s="245"/>
      <c r="C1240" s="22" t="s">
        <v>45</v>
      </c>
      <c r="D1240" s="23"/>
      <c r="E1240" s="23"/>
      <c r="F1240" s="23">
        <v>120</v>
      </c>
      <c r="G1240" s="236"/>
      <c r="H1240" s="236"/>
      <c r="I1240" s="236"/>
      <c r="J1240" s="242"/>
      <c r="L1240" s="249"/>
      <c r="M1240" s="236"/>
      <c r="N1240" s="22" t="s">
        <v>45</v>
      </c>
      <c r="O1240" s="23"/>
      <c r="P1240" s="23"/>
      <c r="Q1240" s="23">
        <v>120</v>
      </c>
      <c r="R1240" s="236"/>
      <c r="S1240" s="236"/>
      <c r="T1240" s="236"/>
      <c r="U1240" s="242"/>
    </row>
    <row r="1241" spans="1:21" ht="13">
      <c r="A1241" s="270"/>
      <c r="B1241" s="245"/>
      <c r="C1241" s="22" t="s">
        <v>44</v>
      </c>
      <c r="D1241" s="23"/>
      <c r="E1241" s="23"/>
      <c r="F1241" s="23">
        <v>50.92</v>
      </c>
      <c r="G1241" s="236"/>
      <c r="H1241" s="236"/>
      <c r="I1241" s="236"/>
      <c r="J1241" s="242"/>
      <c r="L1241" s="249"/>
      <c r="M1241" s="236"/>
      <c r="N1241" s="22" t="s">
        <v>44</v>
      </c>
      <c r="O1241" s="23"/>
      <c r="P1241" s="23"/>
      <c r="Q1241" s="23">
        <v>50.92</v>
      </c>
      <c r="R1241" s="236"/>
      <c r="S1241" s="236"/>
      <c r="T1241" s="236"/>
      <c r="U1241" s="242"/>
    </row>
    <row r="1242" spans="1:21" ht="13">
      <c r="A1242" s="270"/>
      <c r="B1242" s="245"/>
      <c r="C1242" s="22" t="s">
        <v>33</v>
      </c>
      <c r="D1242" s="23"/>
      <c r="E1242" s="23"/>
      <c r="F1242" s="23">
        <v>98.7</v>
      </c>
      <c r="G1242" s="236"/>
      <c r="H1242" s="236"/>
      <c r="I1242" s="236"/>
      <c r="J1242" s="242"/>
      <c r="L1242" s="249"/>
      <c r="M1242" s="236"/>
      <c r="N1242" s="22" t="s">
        <v>33</v>
      </c>
      <c r="O1242" s="23"/>
      <c r="P1242" s="23"/>
      <c r="Q1242" s="23">
        <v>98.7</v>
      </c>
      <c r="R1242" s="236"/>
      <c r="S1242" s="236"/>
      <c r="T1242" s="236"/>
      <c r="U1242" s="242"/>
    </row>
    <row r="1243" spans="1:21" ht="13">
      <c r="A1243" s="270"/>
      <c r="B1243" s="245"/>
      <c r="C1243" s="22" t="s">
        <v>47</v>
      </c>
      <c r="D1243" s="23"/>
      <c r="E1243" s="23"/>
      <c r="F1243" s="23">
        <v>101</v>
      </c>
      <c r="G1243" s="236"/>
      <c r="H1243" s="236"/>
      <c r="I1243" s="236"/>
      <c r="J1243" s="242"/>
      <c r="L1243" s="249"/>
      <c r="M1243" s="236"/>
      <c r="N1243" s="22" t="s">
        <v>47</v>
      </c>
      <c r="O1243" s="23"/>
      <c r="P1243" s="23"/>
      <c r="Q1243" s="23">
        <v>101</v>
      </c>
      <c r="R1243" s="236"/>
      <c r="S1243" s="236"/>
      <c r="T1243" s="236"/>
      <c r="U1243" s="242"/>
    </row>
    <row r="1244" spans="1:21" ht="13">
      <c r="A1244" s="270"/>
      <c r="B1244" s="246"/>
      <c r="C1244" s="25" t="s">
        <v>48</v>
      </c>
      <c r="D1244" s="26"/>
      <c r="E1244" s="26"/>
      <c r="F1244" s="26">
        <v>50</v>
      </c>
      <c r="G1244" s="238"/>
      <c r="H1244" s="238"/>
      <c r="I1244" s="238"/>
      <c r="J1244" s="243"/>
      <c r="L1244" s="249"/>
      <c r="M1244" s="248"/>
      <c r="N1244" s="25" t="s">
        <v>48</v>
      </c>
      <c r="O1244" s="26"/>
      <c r="P1244" s="26"/>
      <c r="Q1244" s="26">
        <v>50</v>
      </c>
      <c r="R1244" s="238"/>
      <c r="S1244" s="238"/>
      <c r="T1244" s="238"/>
      <c r="U1244" s="243"/>
    </row>
    <row r="1245" spans="1:21" ht="13">
      <c r="A1245" s="270"/>
      <c r="B1245" s="282" t="s">
        <v>494</v>
      </c>
      <c r="C1245" s="15" t="s">
        <v>436</v>
      </c>
      <c r="D1245" s="16">
        <v>7</v>
      </c>
      <c r="E1245" s="16">
        <v>17</v>
      </c>
      <c r="F1245" s="65">
        <f>D1245*E1245</f>
        <v>119</v>
      </c>
      <c r="G1245" s="240">
        <f>SUM(F1245:F1246)</f>
        <v>119</v>
      </c>
      <c r="H1245" s="237">
        <v>750</v>
      </c>
      <c r="I1245" s="237">
        <f>H1245-G1245</f>
        <v>631</v>
      </c>
      <c r="J1245" s="241">
        <f>I1245/H1245</f>
        <v>0.84133333333333338</v>
      </c>
      <c r="L1245" s="249"/>
      <c r="M1245" s="282" t="s">
        <v>494</v>
      </c>
      <c r="N1245" s="15" t="s">
        <v>436</v>
      </c>
      <c r="O1245" s="18"/>
      <c r="P1245" s="18"/>
      <c r="Q1245" s="18"/>
      <c r="R1245" s="240">
        <f>SUM(Q1245:Q1246)</f>
        <v>0</v>
      </c>
      <c r="S1245" s="237">
        <v>750</v>
      </c>
      <c r="T1245" s="237">
        <f>S1245-R1245</f>
        <v>750</v>
      </c>
      <c r="U1245" s="241">
        <f>T1245/S1245</f>
        <v>1</v>
      </c>
    </row>
    <row r="1246" spans="1:21" ht="13">
      <c r="A1246" s="270"/>
      <c r="B1246" s="248"/>
      <c r="C1246" s="20"/>
      <c r="D1246" s="21"/>
      <c r="E1246" s="21"/>
      <c r="F1246" s="21"/>
      <c r="G1246" s="238"/>
      <c r="H1246" s="238"/>
      <c r="I1246" s="238"/>
      <c r="J1246" s="243"/>
      <c r="L1246" s="249"/>
      <c r="M1246" s="248"/>
      <c r="N1246" s="20"/>
      <c r="O1246" s="21"/>
      <c r="P1246" s="21"/>
      <c r="Q1246" s="21"/>
      <c r="R1246" s="238"/>
      <c r="S1246" s="238"/>
      <c r="T1246" s="238"/>
      <c r="U1246" s="243"/>
    </row>
    <row r="1247" spans="1:21" ht="13">
      <c r="A1247" s="270"/>
      <c r="B1247" s="282" t="s">
        <v>495</v>
      </c>
      <c r="C1247" s="15" t="s">
        <v>436</v>
      </c>
      <c r="D1247" s="16">
        <v>7</v>
      </c>
      <c r="E1247" s="16">
        <v>17</v>
      </c>
      <c r="F1247" s="71">
        <f>D1247*E1247</f>
        <v>119</v>
      </c>
      <c r="G1247" s="274">
        <f>SUM(F1247:F1248)</f>
        <v>119</v>
      </c>
      <c r="H1247" s="275">
        <v>825</v>
      </c>
      <c r="I1247" s="275">
        <f>H1247-G1247</f>
        <v>706</v>
      </c>
      <c r="J1247" s="276">
        <f>I1247/H1247</f>
        <v>0.85575757575757572</v>
      </c>
      <c r="L1247" s="249"/>
      <c r="M1247" s="282" t="s">
        <v>495</v>
      </c>
      <c r="N1247" s="15" t="s">
        <v>436</v>
      </c>
      <c r="O1247" s="18"/>
      <c r="P1247" s="18"/>
      <c r="Q1247" s="18"/>
      <c r="R1247" s="274">
        <f>SUM(Q1247:Q1248)</f>
        <v>0</v>
      </c>
      <c r="S1247" s="275">
        <v>825</v>
      </c>
      <c r="T1247" s="275">
        <f>S1247-R1247</f>
        <v>825</v>
      </c>
      <c r="U1247" s="276">
        <f>T1247/S1247</f>
        <v>1</v>
      </c>
    </row>
    <row r="1248" spans="1:21" ht="13">
      <c r="A1248" s="270"/>
      <c r="B1248" s="248"/>
      <c r="C1248" s="20"/>
      <c r="D1248" s="20"/>
      <c r="E1248" s="20"/>
      <c r="F1248" s="20"/>
      <c r="G1248" s="238"/>
      <c r="H1248" s="238"/>
      <c r="I1248" s="238"/>
      <c r="J1248" s="243"/>
      <c r="L1248" s="249"/>
      <c r="M1248" s="248"/>
      <c r="N1248" s="20"/>
      <c r="O1248" s="20"/>
      <c r="P1248" s="20"/>
      <c r="Q1248" s="20"/>
      <c r="R1248" s="238"/>
      <c r="S1248" s="238"/>
      <c r="T1248" s="238"/>
      <c r="U1248" s="243"/>
    </row>
    <row r="1249" spans="1:21" ht="13">
      <c r="A1249" s="270"/>
      <c r="B1249" s="282" t="s">
        <v>496</v>
      </c>
      <c r="C1249" s="15" t="s">
        <v>62</v>
      </c>
      <c r="D1249" s="16"/>
      <c r="E1249" s="16"/>
      <c r="F1249" s="71">
        <v>70</v>
      </c>
      <c r="G1249" s="274">
        <f>SUM(F1249:F1250)</f>
        <v>185</v>
      </c>
      <c r="H1249" s="275">
        <v>1569.2</v>
      </c>
      <c r="I1249" s="275">
        <f>H1249-G1249</f>
        <v>1384.2</v>
      </c>
      <c r="J1249" s="276">
        <f>I1249/H1249</f>
        <v>0.88210553148100945</v>
      </c>
      <c r="L1249" s="249"/>
      <c r="M1249" s="282" t="s">
        <v>496</v>
      </c>
      <c r="N1249" s="15" t="s">
        <v>62</v>
      </c>
      <c r="O1249" s="16"/>
      <c r="P1249" s="16"/>
      <c r="Q1249" s="71">
        <v>70</v>
      </c>
      <c r="R1249" s="274">
        <f>SUM(Q1249:Q1250)</f>
        <v>185</v>
      </c>
      <c r="S1249" s="275">
        <v>1569.2</v>
      </c>
      <c r="T1249" s="275">
        <f>S1249-R1249</f>
        <v>1384.2</v>
      </c>
      <c r="U1249" s="276">
        <f>T1249/S1249</f>
        <v>0.88210553148100945</v>
      </c>
    </row>
    <row r="1250" spans="1:21" ht="13">
      <c r="A1250" s="270"/>
      <c r="B1250" s="248"/>
      <c r="C1250" s="20" t="s">
        <v>33</v>
      </c>
      <c r="D1250" s="20"/>
      <c r="E1250" s="20"/>
      <c r="F1250" s="20">
        <v>115</v>
      </c>
      <c r="G1250" s="238"/>
      <c r="H1250" s="238"/>
      <c r="I1250" s="238"/>
      <c r="J1250" s="243"/>
      <c r="L1250" s="249"/>
      <c r="M1250" s="248"/>
      <c r="N1250" s="20" t="s">
        <v>33</v>
      </c>
      <c r="O1250" s="20"/>
      <c r="P1250" s="20"/>
      <c r="Q1250" s="20">
        <v>115</v>
      </c>
      <c r="R1250" s="238"/>
      <c r="S1250" s="238"/>
      <c r="T1250" s="238"/>
      <c r="U1250" s="243"/>
    </row>
    <row r="1251" spans="1:21" ht="13">
      <c r="A1251" s="270"/>
      <c r="B1251" s="247" t="s">
        <v>497</v>
      </c>
      <c r="C1251" s="15" t="s">
        <v>147</v>
      </c>
      <c r="D1251" s="16">
        <v>18</v>
      </c>
      <c r="E1251" s="16">
        <v>15</v>
      </c>
      <c r="F1251" s="17">
        <f t="shared" ref="F1251:F1255" si="237">D1251*E1251</f>
        <v>270</v>
      </c>
      <c r="G1251" s="240">
        <f>SUM(F1251:F1257)</f>
        <v>854.33</v>
      </c>
      <c r="H1251" s="237">
        <v>2116</v>
      </c>
      <c r="I1251" s="237">
        <f>H1251-G1251</f>
        <v>1261.67</v>
      </c>
      <c r="J1251" s="241">
        <f>I1251/H1251</f>
        <v>0.59625236294896033</v>
      </c>
      <c r="L1251" s="249"/>
      <c r="M1251" s="247" t="s">
        <v>497</v>
      </c>
      <c r="N1251" s="15" t="s">
        <v>147</v>
      </c>
      <c r="O1251" s="16">
        <v>18</v>
      </c>
      <c r="P1251" s="16">
        <v>15</v>
      </c>
      <c r="Q1251" s="17">
        <f t="shared" ref="Q1251:Q1255" si="238">O1251*P1251</f>
        <v>270</v>
      </c>
      <c r="R1251" s="240">
        <f>SUM(Q1251:Q1257)</f>
        <v>854.33</v>
      </c>
      <c r="S1251" s="237">
        <v>2116</v>
      </c>
      <c r="T1251" s="237">
        <f>S1251-R1251</f>
        <v>1261.67</v>
      </c>
      <c r="U1251" s="241">
        <f>T1251/S1251</f>
        <v>0.59625236294896033</v>
      </c>
    </row>
    <row r="1252" spans="1:21" ht="13">
      <c r="A1252" s="270"/>
      <c r="B1252" s="236"/>
      <c r="C1252" s="19" t="s">
        <v>146</v>
      </c>
      <c r="D1252" s="17">
        <v>9</v>
      </c>
      <c r="E1252" s="17">
        <v>15</v>
      </c>
      <c r="F1252" s="17">
        <f t="shared" si="237"/>
        <v>135</v>
      </c>
      <c r="G1252" s="236"/>
      <c r="H1252" s="236"/>
      <c r="I1252" s="236"/>
      <c r="J1252" s="242"/>
      <c r="L1252" s="249"/>
      <c r="M1252" s="236"/>
      <c r="N1252" s="19" t="s">
        <v>146</v>
      </c>
      <c r="O1252" s="17">
        <v>9</v>
      </c>
      <c r="P1252" s="17">
        <v>15</v>
      </c>
      <c r="Q1252" s="17">
        <f t="shared" si="238"/>
        <v>135</v>
      </c>
      <c r="R1252" s="236"/>
      <c r="S1252" s="236"/>
      <c r="T1252" s="236"/>
      <c r="U1252" s="242"/>
    </row>
    <row r="1253" spans="1:21" ht="13">
      <c r="A1253" s="270"/>
      <c r="B1253" s="236"/>
      <c r="C1253" s="19" t="s">
        <v>102</v>
      </c>
      <c r="D1253" s="17">
        <v>3</v>
      </c>
      <c r="E1253" s="17">
        <v>15</v>
      </c>
      <c r="F1253" s="17">
        <f t="shared" si="237"/>
        <v>45</v>
      </c>
      <c r="G1253" s="236"/>
      <c r="H1253" s="236"/>
      <c r="I1253" s="236"/>
      <c r="J1253" s="242"/>
      <c r="L1253" s="249"/>
      <c r="M1253" s="236"/>
      <c r="N1253" s="19" t="s">
        <v>102</v>
      </c>
      <c r="O1253" s="17">
        <v>3</v>
      </c>
      <c r="P1253" s="17">
        <v>15</v>
      </c>
      <c r="Q1253" s="17">
        <f t="shared" si="238"/>
        <v>45</v>
      </c>
      <c r="R1253" s="236"/>
      <c r="S1253" s="236"/>
      <c r="T1253" s="236"/>
      <c r="U1253" s="242"/>
    </row>
    <row r="1254" spans="1:21" ht="13">
      <c r="A1254" s="270"/>
      <c r="B1254" s="236"/>
      <c r="C1254" s="19" t="s">
        <v>53</v>
      </c>
      <c r="D1254" s="17">
        <v>3</v>
      </c>
      <c r="E1254" s="17">
        <v>15</v>
      </c>
      <c r="F1254" s="17">
        <f t="shared" si="237"/>
        <v>45</v>
      </c>
      <c r="G1254" s="236"/>
      <c r="H1254" s="236"/>
      <c r="I1254" s="236"/>
      <c r="J1254" s="242"/>
      <c r="L1254" s="249"/>
      <c r="M1254" s="236"/>
      <c r="N1254" s="19" t="s">
        <v>53</v>
      </c>
      <c r="O1254" s="17">
        <v>3</v>
      </c>
      <c r="P1254" s="17">
        <v>15</v>
      </c>
      <c r="Q1254" s="17">
        <f t="shared" si="238"/>
        <v>45</v>
      </c>
      <c r="R1254" s="236"/>
      <c r="S1254" s="236"/>
      <c r="T1254" s="236"/>
      <c r="U1254" s="242"/>
    </row>
    <row r="1255" spans="1:21" ht="13">
      <c r="A1255" s="270"/>
      <c r="B1255" s="236"/>
      <c r="C1255" s="19" t="s">
        <v>38</v>
      </c>
      <c r="D1255" s="17">
        <v>3</v>
      </c>
      <c r="E1255" s="17">
        <v>15</v>
      </c>
      <c r="F1255" s="17">
        <f t="shared" si="237"/>
        <v>45</v>
      </c>
      <c r="G1255" s="236"/>
      <c r="H1255" s="236"/>
      <c r="I1255" s="236"/>
      <c r="J1255" s="242"/>
      <c r="L1255" s="249"/>
      <c r="M1255" s="236"/>
      <c r="N1255" s="19" t="s">
        <v>38</v>
      </c>
      <c r="O1255" s="17">
        <v>3</v>
      </c>
      <c r="P1255" s="17">
        <v>15</v>
      </c>
      <c r="Q1255" s="17">
        <f t="shared" si="238"/>
        <v>45</v>
      </c>
      <c r="R1255" s="236"/>
      <c r="S1255" s="236"/>
      <c r="T1255" s="236"/>
      <c r="U1255" s="242"/>
    </row>
    <row r="1256" spans="1:21" ht="13">
      <c r="A1256" s="270"/>
      <c r="B1256" s="236"/>
      <c r="C1256" s="19" t="s">
        <v>33</v>
      </c>
      <c r="D1256" s="17"/>
      <c r="E1256" s="17"/>
      <c r="F1256" s="17">
        <v>112.33</v>
      </c>
      <c r="G1256" s="236"/>
      <c r="H1256" s="236"/>
      <c r="I1256" s="236"/>
      <c r="J1256" s="242"/>
      <c r="L1256" s="249"/>
      <c r="M1256" s="236"/>
      <c r="N1256" s="19" t="s">
        <v>33</v>
      </c>
      <c r="O1256" s="17"/>
      <c r="P1256" s="17"/>
      <c r="Q1256" s="17">
        <v>112.33</v>
      </c>
      <c r="R1256" s="236"/>
      <c r="S1256" s="236"/>
      <c r="T1256" s="236"/>
      <c r="U1256" s="242"/>
    </row>
    <row r="1257" spans="1:21" ht="13">
      <c r="A1257" s="270"/>
      <c r="B1257" s="248"/>
      <c r="C1257" s="20" t="s">
        <v>498</v>
      </c>
      <c r="D1257" s="21"/>
      <c r="E1257" s="21"/>
      <c r="F1257" s="21">
        <v>202</v>
      </c>
      <c r="G1257" s="238"/>
      <c r="H1257" s="238"/>
      <c r="I1257" s="238"/>
      <c r="J1257" s="243"/>
      <c r="L1257" s="249"/>
      <c r="M1257" s="248"/>
      <c r="N1257" s="20" t="s">
        <v>498</v>
      </c>
      <c r="O1257" s="21"/>
      <c r="P1257" s="21"/>
      <c r="Q1257" s="21">
        <v>202</v>
      </c>
      <c r="R1257" s="238"/>
      <c r="S1257" s="238"/>
      <c r="T1257" s="238"/>
      <c r="U1257" s="243"/>
    </row>
    <row r="1258" spans="1:21" ht="13">
      <c r="A1258" s="270"/>
      <c r="B1258" s="247" t="s">
        <v>499</v>
      </c>
      <c r="C1258" s="15" t="s">
        <v>57</v>
      </c>
      <c r="D1258" s="16">
        <v>27.75</v>
      </c>
      <c r="E1258" s="16">
        <v>15</v>
      </c>
      <c r="F1258" s="17">
        <f t="shared" ref="F1258:F1261" si="239">D1258*E1258</f>
        <v>416.25</v>
      </c>
      <c r="G1258" s="240">
        <f>SUM(F1258:F1262)</f>
        <v>1649.4</v>
      </c>
      <c r="H1258" s="237">
        <v>21500</v>
      </c>
      <c r="I1258" s="237">
        <f>H1258-G1258</f>
        <v>19850.599999999999</v>
      </c>
      <c r="J1258" s="241">
        <f>I1258/H1258</f>
        <v>0.92328372093023248</v>
      </c>
      <c r="L1258" s="249"/>
      <c r="M1258" s="247" t="s">
        <v>499</v>
      </c>
      <c r="N1258" s="15" t="s">
        <v>57</v>
      </c>
      <c r="O1258" s="16">
        <v>27.75</v>
      </c>
      <c r="P1258" s="16">
        <v>15</v>
      </c>
      <c r="Q1258" s="17">
        <f t="shared" ref="Q1258:Q1261" si="240">O1258*P1258</f>
        <v>416.25</v>
      </c>
      <c r="R1258" s="240">
        <f>SUM(Q1258:Q1262)</f>
        <v>1649.4</v>
      </c>
      <c r="S1258" s="237">
        <v>21500</v>
      </c>
      <c r="T1258" s="237">
        <f>S1258-R1258</f>
        <v>19850.599999999999</v>
      </c>
      <c r="U1258" s="241">
        <f>T1258/S1258</f>
        <v>0.92328372093023248</v>
      </c>
    </row>
    <row r="1259" spans="1:21" ht="13">
      <c r="A1259" s="270"/>
      <c r="B1259" s="236"/>
      <c r="C1259" s="19" t="s">
        <v>500</v>
      </c>
      <c r="D1259" s="17">
        <v>24</v>
      </c>
      <c r="E1259" s="17">
        <v>15</v>
      </c>
      <c r="F1259" s="17">
        <f t="shared" si="239"/>
        <v>360</v>
      </c>
      <c r="G1259" s="236"/>
      <c r="H1259" s="236"/>
      <c r="I1259" s="236"/>
      <c r="J1259" s="242"/>
      <c r="L1259" s="249"/>
      <c r="M1259" s="236"/>
      <c r="N1259" s="19" t="s">
        <v>500</v>
      </c>
      <c r="O1259" s="17">
        <v>24</v>
      </c>
      <c r="P1259" s="17">
        <v>15</v>
      </c>
      <c r="Q1259" s="17">
        <f t="shared" si="240"/>
        <v>360</v>
      </c>
      <c r="R1259" s="236"/>
      <c r="S1259" s="236"/>
      <c r="T1259" s="236"/>
      <c r="U1259" s="242"/>
    </row>
    <row r="1260" spans="1:21" ht="13">
      <c r="A1260" s="270"/>
      <c r="B1260" s="236"/>
      <c r="C1260" s="19" t="s">
        <v>31</v>
      </c>
      <c r="D1260" s="17">
        <v>25.32</v>
      </c>
      <c r="E1260" s="17">
        <v>15</v>
      </c>
      <c r="F1260" s="17">
        <f t="shared" si="239"/>
        <v>379.8</v>
      </c>
      <c r="G1260" s="236"/>
      <c r="H1260" s="236"/>
      <c r="I1260" s="236"/>
      <c r="J1260" s="242"/>
      <c r="L1260" s="249"/>
      <c r="M1260" s="236"/>
      <c r="N1260" s="19" t="s">
        <v>31</v>
      </c>
      <c r="O1260" s="17">
        <v>25.32</v>
      </c>
      <c r="P1260" s="17">
        <v>15</v>
      </c>
      <c r="Q1260" s="17">
        <f t="shared" si="240"/>
        <v>379.8</v>
      </c>
      <c r="R1260" s="236"/>
      <c r="S1260" s="236"/>
      <c r="T1260" s="236"/>
      <c r="U1260" s="242"/>
    </row>
    <row r="1261" spans="1:21" ht="13">
      <c r="A1261" s="270"/>
      <c r="B1261" s="236"/>
      <c r="C1261" s="19" t="s">
        <v>32</v>
      </c>
      <c r="D1261" s="17">
        <v>32.89</v>
      </c>
      <c r="E1261" s="17">
        <v>15</v>
      </c>
      <c r="F1261" s="17">
        <f t="shared" si="239"/>
        <v>493.35</v>
      </c>
      <c r="G1261" s="236"/>
      <c r="H1261" s="236"/>
      <c r="I1261" s="236"/>
      <c r="J1261" s="242"/>
      <c r="L1261" s="249"/>
      <c r="M1261" s="236"/>
      <c r="N1261" s="19" t="s">
        <v>32</v>
      </c>
      <c r="O1261" s="17">
        <v>32.89</v>
      </c>
      <c r="P1261" s="17">
        <v>15</v>
      </c>
      <c r="Q1261" s="17">
        <f t="shared" si="240"/>
        <v>493.35</v>
      </c>
      <c r="R1261" s="236"/>
      <c r="S1261" s="236"/>
      <c r="T1261" s="236"/>
      <c r="U1261" s="242"/>
    </row>
    <row r="1262" spans="1:21" ht="13">
      <c r="A1262" s="270"/>
      <c r="B1262" s="248"/>
      <c r="C1262" s="20"/>
      <c r="D1262" s="21"/>
      <c r="E1262" s="21"/>
      <c r="F1262" s="21"/>
      <c r="G1262" s="238"/>
      <c r="H1262" s="238"/>
      <c r="I1262" s="238"/>
      <c r="J1262" s="243"/>
      <c r="L1262" s="249"/>
      <c r="M1262" s="248"/>
      <c r="N1262" s="20"/>
      <c r="O1262" s="21"/>
      <c r="P1262" s="21"/>
      <c r="Q1262" s="21"/>
      <c r="R1262" s="238"/>
      <c r="S1262" s="238"/>
      <c r="T1262" s="238"/>
      <c r="U1262" s="243"/>
    </row>
    <row r="1263" spans="1:21" ht="13">
      <c r="A1263" s="270"/>
      <c r="B1263" s="247" t="s">
        <v>501</v>
      </c>
      <c r="C1263" s="15" t="s">
        <v>38</v>
      </c>
      <c r="D1263" s="16">
        <v>21.89</v>
      </c>
      <c r="E1263" s="16">
        <v>15</v>
      </c>
      <c r="F1263" s="17">
        <f t="shared" ref="F1263:F1265" si="241">D1263*E1263</f>
        <v>328.35</v>
      </c>
      <c r="G1263" s="240">
        <f>SUM(F1263:F1266)</f>
        <v>563.25</v>
      </c>
      <c r="H1263" s="237">
        <v>1200</v>
      </c>
      <c r="I1263" s="237">
        <f>H1263-G1263</f>
        <v>636.75</v>
      </c>
      <c r="J1263" s="241">
        <f>I1263/H1263</f>
        <v>0.53062500000000001</v>
      </c>
      <c r="L1263" s="249"/>
      <c r="M1263" s="247" t="s">
        <v>501</v>
      </c>
      <c r="N1263" s="15" t="s">
        <v>38</v>
      </c>
      <c r="O1263" s="16">
        <v>21.89</v>
      </c>
      <c r="P1263" s="16">
        <v>15</v>
      </c>
      <c r="Q1263" s="17">
        <f t="shared" ref="Q1263:Q1265" si="242">O1263*P1263</f>
        <v>328.35</v>
      </c>
      <c r="R1263" s="240">
        <f>SUM(Q1263:Q1266)</f>
        <v>563.25</v>
      </c>
      <c r="S1263" s="237">
        <v>1200</v>
      </c>
      <c r="T1263" s="237">
        <f>S1263-R1263</f>
        <v>636.75</v>
      </c>
      <c r="U1263" s="241">
        <f>T1263/S1263</f>
        <v>0.53062500000000001</v>
      </c>
    </row>
    <row r="1264" spans="1:21" ht="13">
      <c r="A1264" s="270"/>
      <c r="B1264" s="236"/>
      <c r="C1264" s="19" t="s">
        <v>62</v>
      </c>
      <c r="D1264" s="17">
        <v>7.42</v>
      </c>
      <c r="E1264" s="17">
        <v>15</v>
      </c>
      <c r="F1264" s="17">
        <f t="shared" si="241"/>
        <v>111.3</v>
      </c>
      <c r="G1264" s="236"/>
      <c r="H1264" s="236"/>
      <c r="I1264" s="236"/>
      <c r="J1264" s="242"/>
      <c r="L1264" s="249"/>
      <c r="M1264" s="236"/>
      <c r="N1264" s="19" t="s">
        <v>62</v>
      </c>
      <c r="O1264" s="17">
        <v>7.42</v>
      </c>
      <c r="P1264" s="17">
        <v>15</v>
      </c>
      <c r="Q1264" s="17">
        <f t="shared" si="242"/>
        <v>111.3</v>
      </c>
      <c r="R1264" s="236"/>
      <c r="S1264" s="236"/>
      <c r="T1264" s="236"/>
      <c r="U1264" s="242"/>
    </row>
    <row r="1265" spans="1:21" ht="13">
      <c r="A1265" s="270"/>
      <c r="B1265" s="236"/>
      <c r="C1265" s="19" t="s">
        <v>53</v>
      </c>
      <c r="D1265" s="17">
        <v>8.24</v>
      </c>
      <c r="E1265" s="17">
        <v>15</v>
      </c>
      <c r="F1265" s="17">
        <f t="shared" si="241"/>
        <v>123.60000000000001</v>
      </c>
      <c r="G1265" s="236"/>
      <c r="H1265" s="236"/>
      <c r="I1265" s="236"/>
      <c r="J1265" s="242"/>
      <c r="L1265" s="249"/>
      <c r="M1265" s="236"/>
      <c r="N1265" s="19" t="s">
        <v>53</v>
      </c>
      <c r="O1265" s="17">
        <v>8.24</v>
      </c>
      <c r="P1265" s="17">
        <v>15</v>
      </c>
      <c r="Q1265" s="17">
        <f t="shared" si="242"/>
        <v>123.60000000000001</v>
      </c>
      <c r="R1265" s="236"/>
      <c r="S1265" s="236"/>
      <c r="T1265" s="236"/>
      <c r="U1265" s="242"/>
    </row>
    <row r="1266" spans="1:21" ht="13">
      <c r="A1266" s="270"/>
      <c r="B1266" s="248"/>
      <c r="C1266" s="20"/>
      <c r="D1266" s="21"/>
      <c r="E1266" s="21"/>
      <c r="F1266" s="21"/>
      <c r="G1266" s="238"/>
      <c r="H1266" s="238"/>
      <c r="I1266" s="238"/>
      <c r="J1266" s="243"/>
      <c r="L1266" s="249"/>
      <c r="M1266" s="248"/>
      <c r="N1266" s="20"/>
      <c r="O1266" s="21"/>
      <c r="P1266" s="21"/>
      <c r="Q1266" s="21"/>
      <c r="R1266" s="238"/>
      <c r="S1266" s="238"/>
      <c r="T1266" s="238"/>
      <c r="U1266" s="243"/>
    </row>
    <row r="1267" spans="1:21" ht="13">
      <c r="A1267" s="270"/>
      <c r="B1267" s="244" t="s">
        <v>502</v>
      </c>
      <c r="C1267" s="15" t="s">
        <v>23</v>
      </c>
      <c r="D1267" s="17">
        <v>21</v>
      </c>
      <c r="E1267" s="16">
        <v>16</v>
      </c>
      <c r="F1267" s="17">
        <f t="shared" ref="F1267:F1271" si="243">D1267*E1267</f>
        <v>336</v>
      </c>
      <c r="G1267" s="240">
        <f>SUM(F1267:F1275)</f>
        <v>2039.91</v>
      </c>
      <c r="H1267" s="237">
        <v>2735</v>
      </c>
      <c r="I1267" s="237">
        <f>H1267-G1267</f>
        <v>695.08999999999992</v>
      </c>
      <c r="J1267" s="241">
        <f>I1267/H1267</f>
        <v>0.25414625228519194</v>
      </c>
      <c r="L1267" s="249"/>
      <c r="M1267" s="247" t="s">
        <v>502</v>
      </c>
      <c r="N1267" s="15" t="s">
        <v>23</v>
      </c>
      <c r="O1267" s="18"/>
      <c r="P1267" s="18"/>
      <c r="Q1267" s="18"/>
      <c r="R1267" s="240">
        <f>SUM(Q1267:Q1275)</f>
        <v>1703.91</v>
      </c>
      <c r="S1267" s="237">
        <v>2735</v>
      </c>
      <c r="T1267" s="237">
        <f>S1267-R1267</f>
        <v>1031.0899999999999</v>
      </c>
      <c r="U1267" s="241">
        <f>T1267/S1267</f>
        <v>0.37699817184643508</v>
      </c>
    </row>
    <row r="1268" spans="1:21" ht="13">
      <c r="A1268" s="270"/>
      <c r="B1268" s="245"/>
      <c r="C1268" s="19" t="s">
        <v>70</v>
      </c>
      <c r="D1268" s="24">
        <v>12.85</v>
      </c>
      <c r="E1268" s="17">
        <v>15</v>
      </c>
      <c r="F1268" s="17">
        <f t="shared" si="243"/>
        <v>192.75</v>
      </c>
      <c r="G1268" s="236"/>
      <c r="H1268" s="236"/>
      <c r="I1268" s="236"/>
      <c r="J1268" s="242"/>
      <c r="L1268" s="249"/>
      <c r="M1268" s="236"/>
      <c r="N1268" s="19" t="s">
        <v>70</v>
      </c>
      <c r="O1268" s="24">
        <v>12.85</v>
      </c>
      <c r="P1268" s="17">
        <v>15</v>
      </c>
      <c r="Q1268" s="17">
        <f t="shared" ref="Q1268:Q1271" si="244">O1268*P1268</f>
        <v>192.75</v>
      </c>
      <c r="R1268" s="236"/>
      <c r="S1268" s="236"/>
      <c r="T1268" s="236"/>
      <c r="U1268" s="242"/>
    </row>
    <row r="1269" spans="1:21" ht="13">
      <c r="A1269" s="270"/>
      <c r="B1269" s="245"/>
      <c r="C1269" s="19" t="s">
        <v>289</v>
      </c>
      <c r="D1269" s="17">
        <v>14.15</v>
      </c>
      <c r="E1269" s="17">
        <v>15</v>
      </c>
      <c r="F1269" s="17">
        <f t="shared" si="243"/>
        <v>212.25</v>
      </c>
      <c r="G1269" s="236"/>
      <c r="H1269" s="236"/>
      <c r="I1269" s="236"/>
      <c r="J1269" s="242"/>
      <c r="L1269" s="249"/>
      <c r="M1269" s="236"/>
      <c r="N1269" s="19" t="s">
        <v>289</v>
      </c>
      <c r="O1269" s="17">
        <v>14.15</v>
      </c>
      <c r="P1269" s="17">
        <v>15</v>
      </c>
      <c r="Q1269" s="17">
        <f t="shared" si="244"/>
        <v>212.25</v>
      </c>
      <c r="R1269" s="236"/>
      <c r="S1269" s="236"/>
      <c r="T1269" s="236"/>
      <c r="U1269" s="242"/>
    </row>
    <row r="1270" spans="1:21" ht="13">
      <c r="A1270" s="270"/>
      <c r="B1270" s="245"/>
      <c r="C1270" s="19" t="s">
        <v>32</v>
      </c>
      <c r="D1270" s="17">
        <v>14.65</v>
      </c>
      <c r="E1270" s="17">
        <v>15</v>
      </c>
      <c r="F1270" s="17">
        <f t="shared" si="243"/>
        <v>219.75</v>
      </c>
      <c r="G1270" s="236"/>
      <c r="H1270" s="236"/>
      <c r="I1270" s="236"/>
      <c r="J1270" s="242"/>
      <c r="L1270" s="249"/>
      <c r="M1270" s="236"/>
      <c r="N1270" s="19" t="s">
        <v>32</v>
      </c>
      <c r="O1270" s="17">
        <v>14.65</v>
      </c>
      <c r="P1270" s="17">
        <v>15</v>
      </c>
      <c r="Q1270" s="17">
        <f t="shared" si="244"/>
        <v>219.75</v>
      </c>
      <c r="R1270" s="236"/>
      <c r="S1270" s="236"/>
      <c r="T1270" s="236"/>
      <c r="U1270" s="242"/>
    </row>
    <row r="1271" spans="1:21" ht="13">
      <c r="A1271" s="270"/>
      <c r="B1271" s="245"/>
      <c r="C1271" s="19" t="s">
        <v>37</v>
      </c>
      <c r="D1271" s="17">
        <v>21.25</v>
      </c>
      <c r="E1271" s="17">
        <v>15</v>
      </c>
      <c r="F1271" s="17">
        <f t="shared" si="243"/>
        <v>318.75</v>
      </c>
      <c r="G1271" s="236"/>
      <c r="H1271" s="236"/>
      <c r="I1271" s="236"/>
      <c r="J1271" s="242"/>
      <c r="L1271" s="249"/>
      <c r="M1271" s="236"/>
      <c r="N1271" s="19" t="s">
        <v>37</v>
      </c>
      <c r="O1271" s="17">
        <v>21.25</v>
      </c>
      <c r="P1271" s="17">
        <v>15</v>
      </c>
      <c r="Q1271" s="17">
        <f t="shared" si="244"/>
        <v>318.75</v>
      </c>
      <c r="R1271" s="236"/>
      <c r="S1271" s="236"/>
      <c r="T1271" s="236"/>
      <c r="U1271" s="242"/>
    </row>
    <row r="1272" spans="1:21" ht="13">
      <c r="A1272" s="270"/>
      <c r="B1272" s="245"/>
      <c r="C1272" s="19" t="s">
        <v>45</v>
      </c>
      <c r="D1272" s="17"/>
      <c r="F1272" s="17">
        <v>170</v>
      </c>
      <c r="G1272" s="236"/>
      <c r="H1272" s="236"/>
      <c r="I1272" s="236"/>
      <c r="J1272" s="242"/>
      <c r="L1272" s="249"/>
      <c r="M1272" s="236"/>
      <c r="N1272" s="19" t="s">
        <v>45</v>
      </c>
      <c r="O1272" s="17"/>
      <c r="Q1272" s="17">
        <v>170</v>
      </c>
      <c r="R1272" s="236"/>
      <c r="S1272" s="236"/>
      <c r="T1272" s="236"/>
      <c r="U1272" s="242"/>
    </row>
    <row r="1273" spans="1:21" ht="13">
      <c r="A1273" s="270"/>
      <c r="B1273" s="245"/>
      <c r="C1273" s="19" t="s">
        <v>47</v>
      </c>
      <c r="D1273" s="17"/>
      <c r="F1273" s="17">
        <v>332.71</v>
      </c>
      <c r="G1273" s="236"/>
      <c r="H1273" s="236"/>
      <c r="I1273" s="236"/>
      <c r="J1273" s="242"/>
      <c r="L1273" s="249"/>
      <c r="M1273" s="236"/>
      <c r="N1273" s="19" t="s">
        <v>47</v>
      </c>
      <c r="O1273" s="17"/>
      <c r="Q1273" s="17">
        <v>332.71</v>
      </c>
      <c r="R1273" s="236"/>
      <c r="S1273" s="236"/>
      <c r="T1273" s="236"/>
      <c r="U1273" s="242"/>
    </row>
    <row r="1274" spans="1:21" ht="13">
      <c r="A1274" s="270"/>
      <c r="B1274" s="245"/>
      <c r="C1274" s="19" t="s">
        <v>290</v>
      </c>
      <c r="D1274" s="17"/>
      <c r="F1274" s="17">
        <v>136.69999999999999</v>
      </c>
      <c r="G1274" s="236"/>
      <c r="H1274" s="236"/>
      <c r="I1274" s="236"/>
      <c r="J1274" s="242"/>
      <c r="L1274" s="249"/>
      <c r="M1274" s="236"/>
      <c r="N1274" s="19" t="s">
        <v>290</v>
      </c>
      <c r="O1274" s="17"/>
      <c r="Q1274" s="17">
        <v>136.69999999999999</v>
      </c>
      <c r="R1274" s="236"/>
      <c r="S1274" s="236"/>
      <c r="T1274" s="236"/>
      <c r="U1274" s="242"/>
    </row>
    <row r="1275" spans="1:21" ht="13">
      <c r="A1275" s="270"/>
      <c r="B1275" s="246"/>
      <c r="C1275" s="20" t="s">
        <v>44</v>
      </c>
      <c r="D1275" s="21"/>
      <c r="E1275" s="21"/>
      <c r="F1275" s="21">
        <v>121</v>
      </c>
      <c r="G1275" s="238"/>
      <c r="H1275" s="238"/>
      <c r="I1275" s="238"/>
      <c r="J1275" s="243"/>
      <c r="L1275" s="249"/>
      <c r="M1275" s="248"/>
      <c r="N1275" s="20" t="s">
        <v>44</v>
      </c>
      <c r="O1275" s="21"/>
      <c r="P1275" s="21"/>
      <c r="Q1275" s="21">
        <v>121</v>
      </c>
      <c r="R1275" s="238"/>
      <c r="S1275" s="238"/>
      <c r="T1275" s="238"/>
      <c r="U1275" s="243"/>
    </row>
    <row r="1276" spans="1:21" ht="13">
      <c r="A1276" s="270"/>
      <c r="B1276" s="282" t="s">
        <v>503</v>
      </c>
      <c r="C1276" s="15" t="s">
        <v>38</v>
      </c>
      <c r="D1276" s="16"/>
      <c r="E1276" s="16"/>
      <c r="F1276" s="71">
        <v>50</v>
      </c>
      <c r="G1276" s="240">
        <f>SUM(F1276:F1277)</f>
        <v>130</v>
      </c>
      <c r="H1276" s="237">
        <v>1069.75</v>
      </c>
      <c r="I1276" s="237">
        <f>H1276-G1276</f>
        <v>939.75</v>
      </c>
      <c r="J1276" s="241">
        <f>I1276/H1276</f>
        <v>0.87847627950455709</v>
      </c>
      <c r="L1276" s="249"/>
      <c r="M1276" s="282" t="s">
        <v>503</v>
      </c>
      <c r="N1276" s="15" t="s">
        <v>38</v>
      </c>
      <c r="O1276" s="16"/>
      <c r="P1276" s="16"/>
      <c r="Q1276" s="71">
        <v>50</v>
      </c>
      <c r="R1276" s="240">
        <f>SUM(Q1276:Q1277)</f>
        <v>130</v>
      </c>
      <c r="S1276" s="237">
        <v>1069.75</v>
      </c>
      <c r="T1276" s="237">
        <f>S1276-R1276</f>
        <v>939.75</v>
      </c>
      <c r="U1276" s="241">
        <f>T1276/S1276</f>
        <v>0.87847627950455709</v>
      </c>
    </row>
    <row r="1277" spans="1:21" ht="13">
      <c r="A1277" s="270"/>
      <c r="B1277" s="248"/>
      <c r="C1277" s="20" t="s">
        <v>33</v>
      </c>
      <c r="D1277" s="20"/>
      <c r="E1277" s="20"/>
      <c r="F1277" s="20">
        <v>80</v>
      </c>
      <c r="G1277" s="238"/>
      <c r="H1277" s="238"/>
      <c r="I1277" s="238"/>
      <c r="J1277" s="243"/>
      <c r="L1277" s="249"/>
      <c r="M1277" s="248"/>
      <c r="N1277" s="20" t="s">
        <v>33</v>
      </c>
      <c r="O1277" s="20"/>
      <c r="P1277" s="20"/>
      <c r="Q1277" s="20">
        <v>80</v>
      </c>
      <c r="R1277" s="238"/>
      <c r="S1277" s="238"/>
      <c r="T1277" s="238"/>
      <c r="U1277" s="243"/>
    </row>
    <row r="1278" spans="1:21" ht="30">
      <c r="A1278" s="278" t="s">
        <v>504</v>
      </c>
      <c r="B1278" s="252"/>
      <c r="C1278" s="253"/>
      <c r="D1278" s="56">
        <f t="shared" ref="D1278:I1278" si="245">AVERAGE(D1202:D1277)</f>
        <v>17.301891891891891</v>
      </c>
      <c r="E1278" s="56">
        <f t="shared" si="245"/>
        <v>15.081081081081081</v>
      </c>
      <c r="F1278" s="56">
        <f t="shared" si="245"/>
        <v>196.92492957746475</v>
      </c>
      <c r="G1278" s="56">
        <f t="shared" si="245"/>
        <v>1075.5130769230768</v>
      </c>
      <c r="H1278" s="56">
        <f t="shared" si="245"/>
        <v>3894.5684615384616</v>
      </c>
      <c r="I1278" s="56">
        <f t="shared" si="245"/>
        <v>2819.0553846153844</v>
      </c>
      <c r="J1278" s="57">
        <f>AVERAGE($J$12:$J$76)</f>
        <v>0.79942354689485917</v>
      </c>
      <c r="L1278" s="278" t="s">
        <v>504</v>
      </c>
      <c r="M1278" s="252"/>
      <c r="N1278" s="253"/>
      <c r="O1278" s="56">
        <f t="shared" ref="O1278:T1278" si="246">AVERAGE(O1202:O1277)</f>
        <v>17.817812499999999</v>
      </c>
      <c r="P1278" s="56">
        <f t="shared" si="246"/>
        <v>14.8125</v>
      </c>
      <c r="Q1278" s="56">
        <f t="shared" si="246"/>
        <v>194.02530303030301</v>
      </c>
      <c r="R1278" s="56">
        <f t="shared" si="246"/>
        <v>985.05153846153837</v>
      </c>
      <c r="S1278" s="56">
        <f t="shared" si="246"/>
        <v>3894.5684615384616</v>
      </c>
      <c r="T1278" s="56">
        <f t="shared" si="246"/>
        <v>2909.5169230769225</v>
      </c>
      <c r="U1278" s="57">
        <f>AVERAGE($J$12:$J$76)</f>
        <v>0.79942354689485917</v>
      </c>
    </row>
    <row r="1279" spans="1:21" ht="30">
      <c r="A1279" s="279" t="s">
        <v>505</v>
      </c>
      <c r="B1279" s="255"/>
      <c r="C1279" s="256"/>
      <c r="D1279" s="56">
        <f t="shared" ref="D1279:I1279" si="247">SUM(D1202:D1277)</f>
        <v>640.16999999999996</v>
      </c>
      <c r="E1279" s="56">
        <f t="shared" si="247"/>
        <v>558</v>
      </c>
      <c r="F1279" s="56">
        <f t="shared" si="247"/>
        <v>13981.669999999998</v>
      </c>
      <c r="G1279" s="74">
        <f t="shared" si="247"/>
        <v>13981.669999999998</v>
      </c>
      <c r="H1279" s="72">
        <f t="shared" si="247"/>
        <v>50629.39</v>
      </c>
      <c r="I1279" s="72">
        <f t="shared" si="247"/>
        <v>36647.719999999994</v>
      </c>
      <c r="J1279" s="76">
        <f t="shared" ref="J1279:J1280" si="248">I1279/H1279</f>
        <v>0.72384281145792972</v>
      </c>
      <c r="L1279" s="279" t="s">
        <v>505</v>
      </c>
      <c r="M1279" s="255"/>
      <c r="N1279" s="256"/>
      <c r="O1279" s="72">
        <f t="shared" ref="O1279:T1279" si="249">SUM(O1202:O1277)</f>
        <v>570.16999999999996</v>
      </c>
      <c r="P1279" s="72">
        <f t="shared" si="249"/>
        <v>474</v>
      </c>
      <c r="Q1279" s="72">
        <f t="shared" si="249"/>
        <v>12805.669999999998</v>
      </c>
      <c r="R1279" s="72">
        <f t="shared" si="249"/>
        <v>12805.669999999998</v>
      </c>
      <c r="S1279" s="72">
        <f t="shared" si="249"/>
        <v>50629.39</v>
      </c>
      <c r="T1279" s="72">
        <f t="shared" si="249"/>
        <v>37823.719999999994</v>
      </c>
      <c r="U1279" s="76">
        <f t="shared" ref="U1279:U1280" si="250">T1279/S1279</f>
        <v>0.74707042688051339</v>
      </c>
    </row>
    <row r="1280" spans="1:21" ht="13">
      <c r="A1280" s="290" t="s">
        <v>10</v>
      </c>
      <c r="B1280" s="244" t="s">
        <v>506</v>
      </c>
      <c r="C1280" s="49" t="s">
        <v>507</v>
      </c>
      <c r="D1280" s="51"/>
      <c r="E1280" s="49"/>
      <c r="F1280" s="23">
        <v>4662</v>
      </c>
      <c r="G1280" s="284">
        <f>SUM(F1280:F1286)</f>
        <v>25810.569999999996</v>
      </c>
      <c r="H1280" s="237">
        <v>39800</v>
      </c>
      <c r="I1280" s="237">
        <f>H1280-G1280</f>
        <v>13989.430000000004</v>
      </c>
      <c r="J1280" s="241">
        <f t="shared" si="248"/>
        <v>0.35149321608040213</v>
      </c>
      <c r="L1280" s="277" t="s">
        <v>10</v>
      </c>
      <c r="M1280" s="244" t="s">
        <v>506</v>
      </c>
      <c r="N1280" s="49" t="s">
        <v>507</v>
      </c>
      <c r="O1280" s="18"/>
      <c r="P1280" s="18"/>
      <c r="Q1280" s="18"/>
      <c r="R1280" s="240">
        <f>SUM(Q1280:Q1286)</f>
        <v>21148.569999999996</v>
      </c>
      <c r="S1280" s="237">
        <v>39800</v>
      </c>
      <c r="T1280" s="237">
        <f>S1280-R1280</f>
        <v>18651.430000000004</v>
      </c>
      <c r="U1280" s="241">
        <f t="shared" si="250"/>
        <v>0.46862889447236189</v>
      </c>
    </row>
    <row r="1281" spans="1:21" ht="13">
      <c r="A1281" s="270"/>
      <c r="B1281" s="245"/>
      <c r="C1281" s="51" t="s">
        <v>508</v>
      </c>
      <c r="D1281" s="51"/>
      <c r="E1281" s="51"/>
      <c r="F1281" s="23">
        <v>13933.29</v>
      </c>
      <c r="G1281" s="236"/>
      <c r="H1281" s="236"/>
      <c r="I1281" s="236"/>
      <c r="J1281" s="242"/>
      <c r="L1281" s="249"/>
      <c r="M1281" s="245"/>
      <c r="N1281" s="51" t="s">
        <v>508</v>
      </c>
      <c r="O1281" s="51"/>
      <c r="P1281" s="51"/>
      <c r="Q1281" s="23">
        <v>13933.29</v>
      </c>
      <c r="R1281" s="236"/>
      <c r="S1281" s="236"/>
      <c r="T1281" s="236"/>
      <c r="U1281" s="242"/>
    </row>
    <row r="1282" spans="1:21" ht="13">
      <c r="A1282" s="270"/>
      <c r="B1282" s="245"/>
      <c r="C1282" s="51" t="s">
        <v>45</v>
      </c>
      <c r="D1282" s="51"/>
      <c r="E1282" s="51"/>
      <c r="F1282" s="23">
        <v>1562.37</v>
      </c>
      <c r="G1282" s="236"/>
      <c r="H1282" s="236"/>
      <c r="I1282" s="236"/>
      <c r="J1282" s="242"/>
      <c r="L1282" s="249"/>
      <c r="M1282" s="245"/>
      <c r="N1282" s="51" t="s">
        <v>45</v>
      </c>
      <c r="O1282" s="51"/>
      <c r="P1282" s="51"/>
      <c r="Q1282" s="23">
        <v>1562.37</v>
      </c>
      <c r="R1282" s="236"/>
      <c r="S1282" s="236"/>
      <c r="T1282" s="236"/>
      <c r="U1282" s="242"/>
    </row>
    <row r="1283" spans="1:21" ht="13">
      <c r="A1283" s="270"/>
      <c r="B1283" s="245"/>
      <c r="C1283" s="51" t="s">
        <v>509</v>
      </c>
      <c r="D1283" s="51"/>
      <c r="E1283" s="51"/>
      <c r="F1283" s="23">
        <v>226</v>
      </c>
      <c r="G1283" s="236"/>
      <c r="H1283" s="236"/>
      <c r="I1283" s="236"/>
      <c r="J1283" s="242"/>
      <c r="L1283" s="249"/>
      <c r="M1283" s="245"/>
      <c r="N1283" s="51" t="s">
        <v>509</v>
      </c>
      <c r="O1283" s="51"/>
      <c r="P1283" s="51"/>
      <c r="Q1283" s="23">
        <v>226</v>
      </c>
      <c r="R1283" s="236"/>
      <c r="S1283" s="236"/>
      <c r="T1283" s="236"/>
      <c r="U1283" s="242"/>
    </row>
    <row r="1284" spans="1:21" ht="13">
      <c r="A1284" s="270"/>
      <c r="B1284" s="245"/>
      <c r="C1284" s="51" t="s">
        <v>47</v>
      </c>
      <c r="D1284" s="51"/>
      <c r="E1284" s="51"/>
      <c r="F1284" s="23">
        <v>3384.94</v>
      </c>
      <c r="G1284" s="236"/>
      <c r="H1284" s="236"/>
      <c r="I1284" s="236"/>
      <c r="J1284" s="242"/>
      <c r="L1284" s="249"/>
      <c r="M1284" s="245"/>
      <c r="N1284" s="51" t="s">
        <v>47</v>
      </c>
      <c r="O1284" s="51"/>
      <c r="P1284" s="51"/>
      <c r="Q1284" s="23">
        <v>3384.94</v>
      </c>
      <c r="R1284" s="236"/>
      <c r="S1284" s="236"/>
      <c r="T1284" s="236"/>
      <c r="U1284" s="242"/>
    </row>
    <row r="1285" spans="1:21" ht="13">
      <c r="A1285" s="270"/>
      <c r="B1285" s="245"/>
      <c r="C1285" s="51" t="s">
        <v>93</v>
      </c>
      <c r="D1285" s="51"/>
      <c r="E1285" s="51"/>
      <c r="F1285" s="23">
        <v>1682.87</v>
      </c>
      <c r="G1285" s="236"/>
      <c r="H1285" s="236"/>
      <c r="I1285" s="236"/>
      <c r="J1285" s="242"/>
      <c r="L1285" s="249"/>
      <c r="M1285" s="245"/>
      <c r="N1285" s="51" t="s">
        <v>93</v>
      </c>
      <c r="O1285" s="51"/>
      <c r="P1285" s="51"/>
      <c r="Q1285" s="23">
        <v>1682.87</v>
      </c>
      <c r="R1285" s="236"/>
      <c r="S1285" s="236"/>
      <c r="T1285" s="236"/>
      <c r="U1285" s="242"/>
    </row>
    <row r="1286" spans="1:21" ht="13">
      <c r="A1286" s="270"/>
      <c r="B1286" s="246"/>
      <c r="C1286" s="52" t="s">
        <v>44</v>
      </c>
      <c r="D1286" s="52"/>
      <c r="E1286" s="52"/>
      <c r="F1286" s="26">
        <v>359.1</v>
      </c>
      <c r="G1286" s="238"/>
      <c r="H1286" s="238"/>
      <c r="I1286" s="238"/>
      <c r="J1286" s="243"/>
      <c r="L1286" s="249"/>
      <c r="M1286" s="246"/>
      <c r="N1286" s="52" t="s">
        <v>44</v>
      </c>
      <c r="O1286" s="52"/>
      <c r="P1286" s="52"/>
      <c r="Q1286" s="26">
        <v>359.1</v>
      </c>
      <c r="R1286" s="238"/>
      <c r="S1286" s="238"/>
      <c r="T1286" s="238"/>
      <c r="U1286" s="243"/>
    </row>
    <row r="1287" spans="1:21" ht="13">
      <c r="A1287" s="270"/>
      <c r="B1287" s="244" t="s">
        <v>632</v>
      </c>
      <c r="C1287" s="64" t="s">
        <v>23</v>
      </c>
      <c r="D1287" s="50">
        <v>21</v>
      </c>
      <c r="E1287" s="50">
        <v>16</v>
      </c>
      <c r="F1287" s="65">
        <f>D1287*E1287</f>
        <v>336</v>
      </c>
      <c r="G1287" s="240">
        <f>SUM(F1287:F1303)</f>
        <v>4828.38</v>
      </c>
      <c r="H1287" s="240">
        <v>7000</v>
      </c>
      <c r="I1287" s="240">
        <f>H1287-G1287</f>
        <v>2171.62</v>
      </c>
      <c r="J1287" s="241">
        <f>I1287/H1287</f>
        <v>0.31023142857142855</v>
      </c>
      <c r="L1287" s="249"/>
      <c r="M1287" s="244" t="s">
        <v>632</v>
      </c>
      <c r="N1287" s="64" t="s">
        <v>23</v>
      </c>
      <c r="O1287" s="18"/>
      <c r="P1287" s="18"/>
      <c r="Q1287" s="18"/>
      <c r="R1287" s="240">
        <f>SUM(Q1287:Q1303)</f>
        <v>4492.38</v>
      </c>
      <c r="S1287" s="240">
        <v>7000</v>
      </c>
      <c r="T1287" s="240">
        <f>S1287-R1287</f>
        <v>2507.62</v>
      </c>
      <c r="U1287" s="241">
        <f>T1287/S1287</f>
        <v>0.35823142857142853</v>
      </c>
    </row>
    <row r="1288" spans="1:21" ht="13">
      <c r="A1288" s="270"/>
      <c r="B1288" s="245"/>
      <c r="C1288" s="22" t="s">
        <v>35</v>
      </c>
      <c r="D1288" s="23"/>
      <c r="E1288" s="23"/>
      <c r="F1288" s="23">
        <v>150</v>
      </c>
      <c r="G1288" s="236"/>
      <c r="H1288" s="236"/>
      <c r="I1288" s="236"/>
      <c r="J1288" s="242"/>
      <c r="L1288" s="249"/>
      <c r="M1288" s="245"/>
      <c r="N1288" s="22" t="s">
        <v>35</v>
      </c>
      <c r="O1288" s="23"/>
      <c r="P1288" s="23"/>
      <c r="Q1288" s="23">
        <v>150</v>
      </c>
      <c r="R1288" s="236"/>
      <c r="S1288" s="236"/>
      <c r="T1288" s="236"/>
      <c r="U1288" s="242"/>
    </row>
    <row r="1289" spans="1:21" ht="13">
      <c r="A1289" s="270"/>
      <c r="B1289" s="245"/>
      <c r="C1289" s="22" t="s">
        <v>58</v>
      </c>
      <c r="D1289" s="23">
        <v>34.9</v>
      </c>
      <c r="E1289" s="23">
        <v>15</v>
      </c>
      <c r="F1289" s="23">
        <f t="shared" ref="F1289:F1298" si="251">D1289*E1289</f>
        <v>523.5</v>
      </c>
      <c r="G1289" s="236"/>
      <c r="H1289" s="236"/>
      <c r="I1289" s="236"/>
      <c r="J1289" s="242"/>
      <c r="L1289" s="249"/>
      <c r="M1289" s="245"/>
      <c r="N1289" s="22" t="s">
        <v>58</v>
      </c>
      <c r="O1289" s="23">
        <v>34.9</v>
      </c>
      <c r="P1289" s="23">
        <v>15</v>
      </c>
      <c r="Q1289" s="23">
        <f t="shared" ref="Q1289:Q1298" si="252">O1289*P1289</f>
        <v>523.5</v>
      </c>
      <c r="R1289" s="236"/>
      <c r="S1289" s="236"/>
      <c r="T1289" s="236"/>
      <c r="U1289" s="242"/>
    </row>
    <row r="1290" spans="1:21" ht="13">
      <c r="A1290" s="270"/>
      <c r="B1290" s="245"/>
      <c r="C1290" s="22" t="s">
        <v>633</v>
      </c>
      <c r="D1290" s="23">
        <v>5.38</v>
      </c>
      <c r="E1290" s="23">
        <v>15</v>
      </c>
      <c r="F1290" s="23">
        <f t="shared" si="251"/>
        <v>80.7</v>
      </c>
      <c r="G1290" s="236"/>
      <c r="H1290" s="236"/>
      <c r="I1290" s="236"/>
      <c r="J1290" s="242"/>
      <c r="L1290" s="249"/>
      <c r="M1290" s="245"/>
      <c r="N1290" s="22" t="s">
        <v>633</v>
      </c>
      <c r="O1290" s="23">
        <v>5.38</v>
      </c>
      <c r="P1290" s="23">
        <v>15</v>
      </c>
      <c r="Q1290" s="23">
        <f t="shared" si="252"/>
        <v>80.7</v>
      </c>
      <c r="R1290" s="236"/>
      <c r="S1290" s="236"/>
      <c r="T1290" s="236"/>
      <c r="U1290" s="242"/>
    </row>
    <row r="1291" spans="1:21" ht="13">
      <c r="A1291" s="270"/>
      <c r="B1291" s="245"/>
      <c r="C1291" s="22" t="s">
        <v>634</v>
      </c>
      <c r="D1291" s="23">
        <v>5</v>
      </c>
      <c r="E1291" s="23">
        <v>15</v>
      </c>
      <c r="F1291" s="23">
        <f t="shared" si="251"/>
        <v>75</v>
      </c>
      <c r="G1291" s="236"/>
      <c r="H1291" s="236"/>
      <c r="I1291" s="236"/>
      <c r="J1291" s="242"/>
      <c r="L1291" s="249"/>
      <c r="M1291" s="245"/>
      <c r="N1291" s="22" t="s">
        <v>634</v>
      </c>
      <c r="O1291" s="23">
        <v>5</v>
      </c>
      <c r="P1291" s="23">
        <v>15</v>
      </c>
      <c r="Q1291" s="23">
        <f t="shared" si="252"/>
        <v>75</v>
      </c>
      <c r="R1291" s="236"/>
      <c r="S1291" s="236"/>
      <c r="T1291" s="236"/>
      <c r="U1291" s="242"/>
    </row>
    <row r="1292" spans="1:21" ht="13">
      <c r="A1292" s="270"/>
      <c r="B1292" s="245"/>
      <c r="C1292" s="24" t="s">
        <v>635</v>
      </c>
      <c r="D1292" s="23">
        <v>24.18</v>
      </c>
      <c r="E1292" s="23">
        <v>15</v>
      </c>
      <c r="F1292" s="23">
        <f t="shared" si="251"/>
        <v>362.7</v>
      </c>
      <c r="G1292" s="236"/>
      <c r="H1292" s="236"/>
      <c r="I1292" s="236"/>
      <c r="J1292" s="242"/>
      <c r="L1292" s="249"/>
      <c r="M1292" s="245"/>
      <c r="N1292" s="24" t="s">
        <v>635</v>
      </c>
      <c r="O1292" s="23">
        <v>24.18</v>
      </c>
      <c r="P1292" s="23">
        <v>15</v>
      </c>
      <c r="Q1292" s="23">
        <f t="shared" si="252"/>
        <v>362.7</v>
      </c>
      <c r="R1292" s="236"/>
      <c r="S1292" s="236"/>
      <c r="T1292" s="236"/>
      <c r="U1292" s="242"/>
    </row>
    <row r="1293" spans="1:21" ht="13">
      <c r="A1293" s="270"/>
      <c r="B1293" s="245"/>
      <c r="C1293" s="22" t="s">
        <v>636</v>
      </c>
      <c r="D1293" s="23">
        <v>17.100000000000001</v>
      </c>
      <c r="E1293" s="23">
        <v>15</v>
      </c>
      <c r="F1293" s="23">
        <f t="shared" si="251"/>
        <v>256.5</v>
      </c>
      <c r="G1293" s="236"/>
      <c r="H1293" s="236"/>
      <c r="I1293" s="236"/>
      <c r="J1293" s="242"/>
      <c r="L1293" s="249"/>
      <c r="M1293" s="245"/>
      <c r="N1293" s="22" t="s">
        <v>636</v>
      </c>
      <c r="O1293" s="23">
        <v>17.100000000000001</v>
      </c>
      <c r="P1293" s="23">
        <v>15</v>
      </c>
      <c r="Q1293" s="23">
        <f t="shared" si="252"/>
        <v>256.5</v>
      </c>
      <c r="R1293" s="236"/>
      <c r="S1293" s="236"/>
      <c r="T1293" s="236"/>
      <c r="U1293" s="242"/>
    </row>
    <row r="1294" spans="1:21" ht="13">
      <c r="A1294" s="270"/>
      <c r="B1294" s="245"/>
      <c r="C1294" s="22" t="s">
        <v>637</v>
      </c>
      <c r="D1294" s="23">
        <v>19.27</v>
      </c>
      <c r="E1294" s="23">
        <v>15</v>
      </c>
      <c r="F1294" s="23">
        <f t="shared" si="251"/>
        <v>289.05</v>
      </c>
      <c r="G1294" s="236"/>
      <c r="H1294" s="236"/>
      <c r="I1294" s="236"/>
      <c r="J1294" s="242"/>
      <c r="L1294" s="249"/>
      <c r="M1294" s="245"/>
      <c r="N1294" s="22" t="s">
        <v>637</v>
      </c>
      <c r="O1294" s="23">
        <v>19.27</v>
      </c>
      <c r="P1294" s="23">
        <v>15</v>
      </c>
      <c r="Q1294" s="23">
        <f t="shared" si="252"/>
        <v>289.05</v>
      </c>
      <c r="R1294" s="236"/>
      <c r="S1294" s="236"/>
      <c r="T1294" s="236"/>
      <c r="U1294" s="242"/>
    </row>
    <row r="1295" spans="1:21" ht="13">
      <c r="A1295" s="270"/>
      <c r="B1295" s="245"/>
      <c r="C1295" s="22" t="s">
        <v>638</v>
      </c>
      <c r="D1295" s="23">
        <v>29.25</v>
      </c>
      <c r="E1295" s="23">
        <v>15</v>
      </c>
      <c r="F1295" s="23">
        <f t="shared" si="251"/>
        <v>438.75</v>
      </c>
      <c r="G1295" s="236"/>
      <c r="H1295" s="236"/>
      <c r="I1295" s="236"/>
      <c r="J1295" s="242"/>
      <c r="L1295" s="249"/>
      <c r="M1295" s="245"/>
      <c r="N1295" s="22" t="s">
        <v>638</v>
      </c>
      <c r="O1295" s="23">
        <v>29.25</v>
      </c>
      <c r="P1295" s="23">
        <v>15</v>
      </c>
      <c r="Q1295" s="23">
        <f t="shared" si="252"/>
        <v>438.75</v>
      </c>
      <c r="R1295" s="236"/>
      <c r="S1295" s="236"/>
      <c r="T1295" s="236"/>
      <c r="U1295" s="242"/>
    </row>
    <row r="1296" spans="1:21" ht="13">
      <c r="A1296" s="270"/>
      <c r="B1296" s="245"/>
      <c r="C1296" s="22" t="s">
        <v>90</v>
      </c>
      <c r="D1296" s="23">
        <v>14.45</v>
      </c>
      <c r="E1296" s="23">
        <v>15</v>
      </c>
      <c r="F1296" s="23">
        <f t="shared" si="251"/>
        <v>216.75</v>
      </c>
      <c r="G1296" s="236"/>
      <c r="H1296" s="236"/>
      <c r="I1296" s="236"/>
      <c r="J1296" s="242"/>
      <c r="L1296" s="249"/>
      <c r="M1296" s="245"/>
      <c r="N1296" s="22" t="s">
        <v>90</v>
      </c>
      <c r="O1296" s="23">
        <v>14.45</v>
      </c>
      <c r="P1296" s="23">
        <v>15</v>
      </c>
      <c r="Q1296" s="23">
        <f t="shared" si="252"/>
        <v>216.75</v>
      </c>
      <c r="R1296" s="236"/>
      <c r="S1296" s="236"/>
      <c r="T1296" s="236"/>
      <c r="U1296" s="242"/>
    </row>
    <row r="1297" spans="1:21" ht="13">
      <c r="A1297" s="270"/>
      <c r="B1297" s="245"/>
      <c r="C1297" s="22" t="s">
        <v>639</v>
      </c>
      <c r="D1297" s="23">
        <v>31.85</v>
      </c>
      <c r="E1297" s="23">
        <v>15</v>
      </c>
      <c r="F1297" s="23">
        <f t="shared" si="251"/>
        <v>477.75</v>
      </c>
      <c r="G1297" s="236"/>
      <c r="H1297" s="236"/>
      <c r="I1297" s="236"/>
      <c r="J1297" s="242"/>
      <c r="L1297" s="249"/>
      <c r="M1297" s="245"/>
      <c r="N1297" s="22" t="s">
        <v>639</v>
      </c>
      <c r="O1297" s="23">
        <v>31.85</v>
      </c>
      <c r="P1297" s="23">
        <v>15</v>
      </c>
      <c r="Q1297" s="23">
        <f t="shared" si="252"/>
        <v>477.75</v>
      </c>
      <c r="R1297" s="236"/>
      <c r="S1297" s="236"/>
      <c r="T1297" s="236"/>
      <c r="U1297" s="242"/>
    </row>
    <row r="1298" spans="1:21" ht="13">
      <c r="A1298" s="270"/>
      <c r="B1298" s="245"/>
      <c r="C1298" s="22" t="s">
        <v>330</v>
      </c>
      <c r="D1298" s="23">
        <v>29.25</v>
      </c>
      <c r="E1298" s="23">
        <v>15</v>
      </c>
      <c r="F1298" s="23">
        <f t="shared" si="251"/>
        <v>438.75</v>
      </c>
      <c r="G1298" s="236"/>
      <c r="H1298" s="236"/>
      <c r="I1298" s="236"/>
      <c r="J1298" s="242"/>
      <c r="L1298" s="249"/>
      <c r="M1298" s="245"/>
      <c r="N1298" s="22" t="s">
        <v>330</v>
      </c>
      <c r="O1298" s="23">
        <v>29.25</v>
      </c>
      <c r="P1298" s="23">
        <v>15</v>
      </c>
      <c r="Q1298" s="23">
        <f t="shared" si="252"/>
        <v>438.75</v>
      </c>
      <c r="R1298" s="236"/>
      <c r="S1298" s="236"/>
      <c r="T1298" s="236"/>
      <c r="U1298" s="242"/>
    </row>
    <row r="1299" spans="1:21" ht="13">
      <c r="A1299" s="270"/>
      <c r="B1299" s="245"/>
      <c r="C1299" s="22" t="s">
        <v>45</v>
      </c>
      <c r="D1299" s="23"/>
      <c r="E1299" s="23"/>
      <c r="F1299" s="23">
        <v>173.6</v>
      </c>
      <c r="G1299" s="236"/>
      <c r="H1299" s="236"/>
      <c r="I1299" s="236"/>
      <c r="J1299" s="242"/>
      <c r="L1299" s="249"/>
      <c r="M1299" s="245"/>
      <c r="N1299" s="22" t="s">
        <v>45</v>
      </c>
      <c r="O1299" s="23"/>
      <c r="P1299" s="23"/>
      <c r="Q1299" s="23">
        <v>173.6</v>
      </c>
      <c r="R1299" s="236"/>
      <c r="S1299" s="236"/>
      <c r="T1299" s="236"/>
      <c r="U1299" s="242"/>
    </row>
    <row r="1300" spans="1:21" ht="13">
      <c r="A1300" s="270"/>
      <c r="B1300" s="245"/>
      <c r="C1300" s="22" t="s">
        <v>47</v>
      </c>
      <c r="D1300" s="23"/>
      <c r="E1300" s="23"/>
      <c r="F1300" s="23">
        <v>536.53</v>
      </c>
      <c r="G1300" s="236"/>
      <c r="H1300" s="236"/>
      <c r="I1300" s="236"/>
      <c r="J1300" s="242"/>
      <c r="L1300" s="249"/>
      <c r="M1300" s="245"/>
      <c r="N1300" s="22" t="s">
        <v>47</v>
      </c>
      <c r="O1300" s="23"/>
      <c r="P1300" s="23"/>
      <c r="Q1300" s="23">
        <v>536.53</v>
      </c>
      <c r="R1300" s="236"/>
      <c r="S1300" s="236"/>
      <c r="T1300" s="236"/>
      <c r="U1300" s="242"/>
    </row>
    <row r="1301" spans="1:21" ht="13">
      <c r="A1301" s="270"/>
      <c r="B1301" s="245"/>
      <c r="C1301" s="22" t="s">
        <v>44</v>
      </c>
      <c r="D1301" s="23"/>
      <c r="E1301" s="23"/>
      <c r="F1301" s="23">
        <v>121</v>
      </c>
      <c r="G1301" s="236"/>
      <c r="H1301" s="236"/>
      <c r="I1301" s="236"/>
      <c r="J1301" s="242"/>
      <c r="L1301" s="249"/>
      <c r="M1301" s="245"/>
      <c r="N1301" s="22" t="s">
        <v>44</v>
      </c>
      <c r="O1301" s="23"/>
      <c r="P1301" s="23"/>
      <c r="Q1301" s="23">
        <v>121</v>
      </c>
      <c r="R1301" s="236"/>
      <c r="S1301" s="236"/>
      <c r="T1301" s="236"/>
      <c r="U1301" s="242"/>
    </row>
    <row r="1302" spans="1:21" ht="13">
      <c r="A1302" s="270"/>
      <c r="B1302" s="245"/>
      <c r="C1302" s="22" t="s">
        <v>46</v>
      </c>
      <c r="D1302" s="23"/>
      <c r="E1302" s="23"/>
      <c r="F1302" s="23">
        <v>124</v>
      </c>
      <c r="G1302" s="236"/>
      <c r="H1302" s="236"/>
      <c r="I1302" s="236"/>
      <c r="J1302" s="242"/>
      <c r="L1302" s="249"/>
      <c r="M1302" s="245"/>
      <c r="N1302" s="22" t="s">
        <v>46</v>
      </c>
      <c r="O1302" s="23"/>
      <c r="P1302" s="23"/>
      <c r="Q1302" s="23">
        <v>124</v>
      </c>
      <c r="R1302" s="236"/>
      <c r="S1302" s="236"/>
      <c r="T1302" s="236"/>
      <c r="U1302" s="242"/>
    </row>
    <row r="1303" spans="1:21" ht="13">
      <c r="A1303" s="270"/>
      <c r="B1303" s="246"/>
      <c r="C1303" s="25" t="s">
        <v>48</v>
      </c>
      <c r="D1303" s="26"/>
      <c r="E1303" s="26"/>
      <c r="F1303" s="26">
        <v>227.8</v>
      </c>
      <c r="G1303" s="238"/>
      <c r="H1303" s="238"/>
      <c r="I1303" s="238"/>
      <c r="J1303" s="243"/>
      <c r="L1303" s="249"/>
      <c r="M1303" s="246"/>
      <c r="N1303" s="25" t="s">
        <v>48</v>
      </c>
      <c r="O1303" s="26"/>
      <c r="P1303" s="26"/>
      <c r="Q1303" s="26">
        <v>227.8</v>
      </c>
      <c r="R1303" s="238"/>
      <c r="S1303" s="238"/>
      <c r="T1303" s="238"/>
      <c r="U1303" s="243"/>
    </row>
    <row r="1304" spans="1:21" ht="13">
      <c r="A1304" s="270"/>
      <c r="B1304" s="244" t="s">
        <v>510</v>
      </c>
      <c r="C1304" s="15" t="s">
        <v>23</v>
      </c>
      <c r="D1304" s="17">
        <v>28</v>
      </c>
      <c r="E1304" s="16">
        <v>18</v>
      </c>
      <c r="F1304" s="17">
        <f t="shared" ref="F1304:F1314" si="253">D1304*E1304</f>
        <v>504</v>
      </c>
      <c r="G1304" s="240">
        <f>SUM(F1304:F1319)</f>
        <v>5479.5999999999995</v>
      </c>
      <c r="H1304" s="237">
        <v>15363.48</v>
      </c>
      <c r="I1304" s="237">
        <f>H1304-G1304</f>
        <v>9883.880000000001</v>
      </c>
      <c r="J1304" s="241">
        <f>I1304/H1304</f>
        <v>0.64333601501743098</v>
      </c>
      <c r="L1304" s="249"/>
      <c r="M1304" s="244" t="s">
        <v>510</v>
      </c>
      <c r="N1304" s="15" t="s">
        <v>23</v>
      </c>
      <c r="O1304" s="18"/>
      <c r="P1304" s="18"/>
      <c r="Q1304" s="18"/>
      <c r="R1304" s="240">
        <f>SUM(Q1304:Q1319)</f>
        <v>4975.5999999999995</v>
      </c>
      <c r="S1304" s="237">
        <v>15363.48</v>
      </c>
      <c r="T1304" s="237">
        <f>S1304-R1304</f>
        <v>10387.880000000001</v>
      </c>
      <c r="U1304" s="241">
        <f>T1304/S1304</f>
        <v>0.6761410826193025</v>
      </c>
    </row>
    <row r="1305" spans="1:21" ht="13">
      <c r="A1305" s="270"/>
      <c r="B1305" s="245"/>
      <c r="C1305" s="19" t="s">
        <v>51</v>
      </c>
      <c r="D1305" s="24">
        <v>23</v>
      </c>
      <c r="E1305" s="17">
        <v>15</v>
      </c>
      <c r="F1305" s="17">
        <f t="shared" si="253"/>
        <v>345</v>
      </c>
      <c r="G1305" s="236"/>
      <c r="H1305" s="236"/>
      <c r="I1305" s="236"/>
      <c r="J1305" s="242"/>
      <c r="L1305" s="249"/>
      <c r="M1305" s="245"/>
      <c r="N1305" s="19" t="s">
        <v>51</v>
      </c>
      <c r="O1305" s="24">
        <v>23</v>
      </c>
      <c r="P1305" s="17">
        <v>15</v>
      </c>
      <c r="Q1305" s="17">
        <f t="shared" ref="Q1305:Q1314" si="254">O1305*P1305</f>
        <v>345</v>
      </c>
      <c r="R1305" s="236"/>
      <c r="S1305" s="236"/>
      <c r="T1305" s="236"/>
      <c r="U1305" s="242"/>
    </row>
    <row r="1306" spans="1:21" ht="13">
      <c r="A1306" s="270"/>
      <c r="B1306" s="245"/>
      <c r="C1306" s="19" t="s">
        <v>511</v>
      </c>
      <c r="D1306" s="24">
        <v>11</v>
      </c>
      <c r="E1306" s="17">
        <v>22.5</v>
      </c>
      <c r="F1306" s="17">
        <f t="shared" si="253"/>
        <v>247.5</v>
      </c>
      <c r="G1306" s="236"/>
      <c r="H1306" s="236"/>
      <c r="I1306" s="236"/>
      <c r="J1306" s="242"/>
      <c r="L1306" s="249"/>
      <c r="M1306" s="245"/>
      <c r="N1306" s="19" t="s">
        <v>511</v>
      </c>
      <c r="O1306" s="24">
        <v>11</v>
      </c>
      <c r="P1306" s="17">
        <v>22.5</v>
      </c>
      <c r="Q1306" s="17">
        <f t="shared" si="254"/>
        <v>247.5</v>
      </c>
      <c r="R1306" s="236"/>
      <c r="S1306" s="236"/>
      <c r="T1306" s="236"/>
      <c r="U1306" s="242"/>
    </row>
    <row r="1307" spans="1:21" ht="13">
      <c r="A1307" s="270"/>
      <c r="B1307" s="245"/>
      <c r="C1307" s="19" t="s">
        <v>50</v>
      </c>
      <c r="D1307" s="17">
        <v>12</v>
      </c>
      <c r="E1307" s="17">
        <v>15</v>
      </c>
      <c r="F1307" s="17">
        <f t="shared" si="253"/>
        <v>180</v>
      </c>
      <c r="G1307" s="236"/>
      <c r="H1307" s="236"/>
      <c r="I1307" s="236"/>
      <c r="J1307" s="242"/>
      <c r="L1307" s="249"/>
      <c r="M1307" s="245"/>
      <c r="N1307" s="19" t="s">
        <v>50</v>
      </c>
      <c r="O1307" s="17">
        <v>12</v>
      </c>
      <c r="P1307" s="17">
        <v>15</v>
      </c>
      <c r="Q1307" s="17">
        <f t="shared" si="254"/>
        <v>180</v>
      </c>
      <c r="R1307" s="236"/>
      <c r="S1307" s="236"/>
      <c r="T1307" s="236"/>
      <c r="U1307" s="242"/>
    </row>
    <row r="1308" spans="1:21" ht="13">
      <c r="A1308" s="270"/>
      <c r="B1308" s="245"/>
      <c r="C1308" s="19" t="s">
        <v>70</v>
      </c>
      <c r="D1308" s="17">
        <v>10</v>
      </c>
      <c r="E1308" s="17">
        <v>15</v>
      </c>
      <c r="F1308" s="17">
        <f t="shared" si="253"/>
        <v>150</v>
      </c>
      <c r="G1308" s="236"/>
      <c r="H1308" s="236"/>
      <c r="I1308" s="236"/>
      <c r="J1308" s="242"/>
      <c r="L1308" s="249"/>
      <c r="M1308" s="245"/>
      <c r="N1308" s="19" t="s">
        <v>70</v>
      </c>
      <c r="O1308" s="17">
        <v>10</v>
      </c>
      <c r="P1308" s="17">
        <v>15</v>
      </c>
      <c r="Q1308" s="17">
        <f t="shared" si="254"/>
        <v>150</v>
      </c>
      <c r="R1308" s="236"/>
      <c r="S1308" s="236"/>
      <c r="T1308" s="236"/>
      <c r="U1308" s="242"/>
    </row>
    <row r="1309" spans="1:21" ht="13">
      <c r="A1309" s="270"/>
      <c r="B1309" s="245"/>
      <c r="C1309" s="19" t="s">
        <v>147</v>
      </c>
      <c r="D1309" s="17">
        <v>48</v>
      </c>
      <c r="E1309" s="17">
        <v>15</v>
      </c>
      <c r="F1309" s="17">
        <f t="shared" si="253"/>
        <v>720</v>
      </c>
      <c r="G1309" s="236"/>
      <c r="H1309" s="236"/>
      <c r="I1309" s="236"/>
      <c r="J1309" s="242"/>
      <c r="L1309" s="249"/>
      <c r="M1309" s="245"/>
      <c r="N1309" s="19" t="s">
        <v>147</v>
      </c>
      <c r="O1309" s="17">
        <v>48</v>
      </c>
      <c r="P1309" s="17">
        <v>15</v>
      </c>
      <c r="Q1309" s="17">
        <f t="shared" si="254"/>
        <v>720</v>
      </c>
      <c r="R1309" s="236"/>
      <c r="S1309" s="236"/>
      <c r="T1309" s="236"/>
      <c r="U1309" s="242"/>
    </row>
    <row r="1310" spans="1:21" ht="13">
      <c r="A1310" s="270"/>
      <c r="B1310" s="245"/>
      <c r="C1310" s="19" t="s">
        <v>512</v>
      </c>
      <c r="D1310" s="17">
        <v>8</v>
      </c>
      <c r="E1310" s="24">
        <v>22.5</v>
      </c>
      <c r="F1310" s="17">
        <f t="shared" si="253"/>
        <v>180</v>
      </c>
      <c r="G1310" s="236"/>
      <c r="H1310" s="236"/>
      <c r="I1310" s="236"/>
      <c r="J1310" s="242"/>
      <c r="L1310" s="249"/>
      <c r="M1310" s="245"/>
      <c r="N1310" s="19" t="s">
        <v>512</v>
      </c>
      <c r="O1310" s="17">
        <v>8</v>
      </c>
      <c r="P1310" s="24">
        <v>22.5</v>
      </c>
      <c r="Q1310" s="17">
        <f t="shared" si="254"/>
        <v>180</v>
      </c>
      <c r="R1310" s="236"/>
      <c r="S1310" s="236"/>
      <c r="T1310" s="236"/>
      <c r="U1310" s="242"/>
    </row>
    <row r="1311" spans="1:21" ht="13">
      <c r="A1311" s="270"/>
      <c r="B1311" s="245"/>
      <c r="C1311" s="19" t="s">
        <v>72</v>
      </c>
      <c r="D1311" s="17">
        <v>56</v>
      </c>
      <c r="E1311" s="24">
        <v>15</v>
      </c>
      <c r="F1311" s="17">
        <f t="shared" si="253"/>
        <v>840</v>
      </c>
      <c r="G1311" s="236"/>
      <c r="H1311" s="236"/>
      <c r="I1311" s="236"/>
      <c r="J1311" s="242"/>
      <c r="L1311" s="249"/>
      <c r="M1311" s="245"/>
      <c r="N1311" s="19" t="s">
        <v>72</v>
      </c>
      <c r="O1311" s="17">
        <v>56</v>
      </c>
      <c r="P1311" s="24">
        <v>15</v>
      </c>
      <c r="Q1311" s="17">
        <f t="shared" si="254"/>
        <v>840</v>
      </c>
      <c r="R1311" s="236"/>
      <c r="S1311" s="236"/>
      <c r="T1311" s="236"/>
      <c r="U1311" s="242"/>
    </row>
    <row r="1312" spans="1:21" ht="13">
      <c r="A1312" s="270"/>
      <c r="B1312" s="245"/>
      <c r="C1312" s="19" t="s">
        <v>513</v>
      </c>
      <c r="D1312" s="17">
        <v>8</v>
      </c>
      <c r="E1312" s="24">
        <v>22.5</v>
      </c>
      <c r="F1312" s="17">
        <f t="shared" si="253"/>
        <v>180</v>
      </c>
      <c r="G1312" s="236"/>
      <c r="H1312" s="236"/>
      <c r="I1312" s="236"/>
      <c r="J1312" s="242"/>
      <c r="L1312" s="249"/>
      <c r="M1312" s="245"/>
      <c r="N1312" s="19" t="s">
        <v>513</v>
      </c>
      <c r="O1312" s="17">
        <v>8</v>
      </c>
      <c r="P1312" s="24">
        <v>22.5</v>
      </c>
      <c r="Q1312" s="17">
        <f t="shared" si="254"/>
        <v>180</v>
      </c>
      <c r="R1312" s="236"/>
      <c r="S1312" s="236"/>
      <c r="T1312" s="236"/>
      <c r="U1312" s="242"/>
    </row>
    <row r="1313" spans="1:21" ht="13">
      <c r="A1313" s="270"/>
      <c r="B1313" s="245"/>
      <c r="C1313" s="19" t="s">
        <v>146</v>
      </c>
      <c r="D1313" s="17">
        <v>7</v>
      </c>
      <c r="E1313" s="24">
        <v>15</v>
      </c>
      <c r="F1313" s="17">
        <f t="shared" si="253"/>
        <v>105</v>
      </c>
      <c r="G1313" s="236"/>
      <c r="H1313" s="236"/>
      <c r="I1313" s="236"/>
      <c r="J1313" s="242"/>
      <c r="L1313" s="249"/>
      <c r="M1313" s="245"/>
      <c r="N1313" s="19" t="s">
        <v>146</v>
      </c>
      <c r="O1313" s="17">
        <v>7</v>
      </c>
      <c r="P1313" s="24">
        <v>15</v>
      </c>
      <c r="Q1313" s="17">
        <f t="shared" si="254"/>
        <v>105</v>
      </c>
      <c r="R1313" s="236"/>
      <c r="S1313" s="236"/>
      <c r="T1313" s="236"/>
      <c r="U1313" s="242"/>
    </row>
    <row r="1314" spans="1:21" ht="13">
      <c r="A1314" s="270"/>
      <c r="B1314" s="245"/>
      <c r="C1314" s="19" t="s">
        <v>100</v>
      </c>
      <c r="D1314" s="17">
        <v>8</v>
      </c>
      <c r="E1314" s="24">
        <v>15</v>
      </c>
      <c r="F1314" s="17">
        <f t="shared" si="253"/>
        <v>120</v>
      </c>
      <c r="G1314" s="236"/>
      <c r="H1314" s="236"/>
      <c r="I1314" s="236"/>
      <c r="J1314" s="242"/>
      <c r="L1314" s="249"/>
      <c r="M1314" s="245"/>
      <c r="N1314" s="19" t="s">
        <v>100</v>
      </c>
      <c r="O1314" s="17">
        <v>8</v>
      </c>
      <c r="P1314" s="24">
        <v>15</v>
      </c>
      <c r="Q1314" s="17">
        <f t="shared" si="254"/>
        <v>120</v>
      </c>
      <c r="R1314" s="236"/>
      <c r="S1314" s="236"/>
      <c r="T1314" s="236"/>
      <c r="U1314" s="242"/>
    </row>
    <row r="1315" spans="1:21" ht="13">
      <c r="A1315" s="270"/>
      <c r="B1315" s="245"/>
      <c r="C1315" s="19" t="s">
        <v>155</v>
      </c>
      <c r="D1315" s="17"/>
      <c r="F1315" s="17">
        <v>978.2</v>
      </c>
      <c r="G1315" s="236"/>
      <c r="H1315" s="236"/>
      <c r="I1315" s="236"/>
      <c r="J1315" s="242"/>
      <c r="L1315" s="249"/>
      <c r="M1315" s="245"/>
      <c r="N1315" s="19" t="s">
        <v>155</v>
      </c>
      <c r="O1315" s="17"/>
      <c r="Q1315" s="17">
        <v>978.2</v>
      </c>
      <c r="R1315" s="236"/>
      <c r="S1315" s="236"/>
      <c r="T1315" s="236"/>
      <c r="U1315" s="242"/>
    </row>
    <row r="1316" spans="1:21" ht="13">
      <c r="A1316" s="270"/>
      <c r="B1316" s="245"/>
      <c r="C1316" s="19" t="s">
        <v>367</v>
      </c>
      <c r="D1316" s="17"/>
      <c r="F1316" s="17">
        <v>54</v>
      </c>
      <c r="G1316" s="236"/>
      <c r="H1316" s="236"/>
      <c r="I1316" s="236"/>
      <c r="J1316" s="242"/>
      <c r="L1316" s="249"/>
      <c r="M1316" s="245"/>
      <c r="N1316" s="19" t="s">
        <v>367</v>
      </c>
      <c r="O1316" s="17"/>
      <c r="Q1316" s="17">
        <v>54</v>
      </c>
      <c r="R1316" s="236"/>
      <c r="S1316" s="236"/>
      <c r="T1316" s="236"/>
      <c r="U1316" s="242"/>
    </row>
    <row r="1317" spans="1:21" ht="13">
      <c r="A1317" s="270"/>
      <c r="B1317" s="245"/>
      <c r="C1317" s="22" t="s">
        <v>514</v>
      </c>
      <c r="D1317" s="17"/>
      <c r="F1317" s="17">
        <v>515.9</v>
      </c>
      <c r="G1317" s="236"/>
      <c r="H1317" s="236"/>
      <c r="I1317" s="236"/>
      <c r="J1317" s="242"/>
      <c r="L1317" s="249"/>
      <c r="M1317" s="245"/>
      <c r="N1317" s="22" t="s">
        <v>514</v>
      </c>
      <c r="O1317" s="17"/>
      <c r="Q1317" s="17">
        <v>515.9</v>
      </c>
      <c r="R1317" s="236"/>
      <c r="S1317" s="236"/>
      <c r="T1317" s="236"/>
      <c r="U1317" s="242"/>
    </row>
    <row r="1318" spans="1:21" ht="13">
      <c r="A1318" s="270"/>
      <c r="B1318" s="245"/>
      <c r="C1318" s="22" t="s">
        <v>395</v>
      </c>
      <c r="D1318" s="17"/>
      <c r="F1318" s="17">
        <v>360</v>
      </c>
      <c r="G1318" s="236"/>
      <c r="H1318" s="236"/>
      <c r="I1318" s="236"/>
      <c r="J1318" s="242"/>
      <c r="L1318" s="249"/>
      <c r="M1318" s="245"/>
      <c r="N1318" s="22" t="s">
        <v>395</v>
      </c>
      <c r="O1318" s="17"/>
      <c r="Q1318" s="17">
        <v>360</v>
      </c>
      <c r="R1318" s="236"/>
      <c r="S1318" s="236"/>
      <c r="T1318" s="236"/>
      <c r="U1318" s="242"/>
    </row>
    <row r="1319" spans="1:21" ht="13">
      <c r="A1319" s="270"/>
      <c r="B1319" s="246"/>
      <c r="C1319" s="20"/>
      <c r="D1319" s="21"/>
      <c r="E1319" s="21"/>
      <c r="F1319" s="21"/>
      <c r="G1319" s="238"/>
      <c r="H1319" s="238"/>
      <c r="I1319" s="238"/>
      <c r="J1319" s="243"/>
      <c r="L1319" s="249"/>
      <c r="M1319" s="246"/>
      <c r="N1319" s="20"/>
      <c r="O1319" s="21"/>
      <c r="P1319" s="21"/>
      <c r="Q1319" s="21"/>
      <c r="R1319" s="238"/>
      <c r="S1319" s="238"/>
      <c r="T1319" s="238"/>
      <c r="U1319" s="243"/>
    </row>
    <row r="1320" spans="1:21" ht="13">
      <c r="A1320" s="270"/>
      <c r="B1320" s="244" t="s">
        <v>515</v>
      </c>
      <c r="C1320" s="15" t="s">
        <v>146</v>
      </c>
      <c r="D1320" s="17">
        <v>57</v>
      </c>
      <c r="E1320" s="16">
        <v>15</v>
      </c>
      <c r="F1320" s="17">
        <f t="shared" ref="F1320:F1324" si="255">D1320*E1320</f>
        <v>855</v>
      </c>
      <c r="G1320" s="240">
        <f>SUM(F1320:F1326)</f>
        <v>2228.7600000000002</v>
      </c>
      <c r="H1320" s="237">
        <v>5010</v>
      </c>
      <c r="I1320" s="237">
        <f>H1320-G1320</f>
        <v>2781.24</v>
      </c>
      <c r="J1320" s="241">
        <f>I1320/H1320</f>
        <v>0.55513772455089816</v>
      </c>
      <c r="L1320" s="249"/>
      <c r="M1320" s="244" t="s">
        <v>515</v>
      </c>
      <c r="N1320" s="15" t="s">
        <v>146</v>
      </c>
      <c r="O1320" s="17">
        <v>57</v>
      </c>
      <c r="P1320" s="16">
        <v>15</v>
      </c>
      <c r="Q1320" s="17">
        <f t="shared" ref="Q1320:Q1324" si="256">O1320*P1320</f>
        <v>855</v>
      </c>
      <c r="R1320" s="240">
        <f>SUM(Q1320:Q1326)</f>
        <v>2228.7600000000002</v>
      </c>
      <c r="S1320" s="237">
        <v>5010</v>
      </c>
      <c r="T1320" s="237">
        <f>S1320-R1320</f>
        <v>2781.24</v>
      </c>
      <c r="U1320" s="241">
        <f>T1320/S1320</f>
        <v>0.55513772455089816</v>
      </c>
    </row>
    <row r="1321" spans="1:21" ht="13">
      <c r="A1321" s="270"/>
      <c r="B1321" s="245"/>
      <c r="C1321" s="19" t="s">
        <v>516</v>
      </c>
      <c r="D1321" s="24">
        <v>18</v>
      </c>
      <c r="E1321" s="17">
        <v>15</v>
      </c>
      <c r="F1321" s="17">
        <f t="shared" si="255"/>
        <v>270</v>
      </c>
      <c r="G1321" s="236"/>
      <c r="H1321" s="236"/>
      <c r="I1321" s="236"/>
      <c r="J1321" s="242"/>
      <c r="L1321" s="249"/>
      <c r="M1321" s="245"/>
      <c r="N1321" s="19" t="s">
        <v>516</v>
      </c>
      <c r="O1321" s="24">
        <v>18</v>
      </c>
      <c r="P1321" s="17">
        <v>15</v>
      </c>
      <c r="Q1321" s="17">
        <f t="shared" si="256"/>
        <v>270</v>
      </c>
      <c r="R1321" s="236"/>
      <c r="S1321" s="236"/>
      <c r="T1321" s="236"/>
      <c r="U1321" s="242"/>
    </row>
    <row r="1322" spans="1:21" ht="13">
      <c r="A1322" s="270"/>
      <c r="B1322" s="245"/>
      <c r="C1322" s="19" t="s">
        <v>147</v>
      </c>
      <c r="D1322" s="24">
        <v>9</v>
      </c>
      <c r="E1322" s="17">
        <v>15</v>
      </c>
      <c r="F1322" s="17">
        <f t="shared" si="255"/>
        <v>135</v>
      </c>
      <c r="G1322" s="236"/>
      <c r="H1322" s="236"/>
      <c r="I1322" s="236"/>
      <c r="J1322" s="242"/>
      <c r="L1322" s="249"/>
      <c r="M1322" s="245"/>
      <c r="N1322" s="19" t="s">
        <v>147</v>
      </c>
      <c r="O1322" s="24">
        <v>9</v>
      </c>
      <c r="P1322" s="17">
        <v>15</v>
      </c>
      <c r="Q1322" s="17">
        <f t="shared" si="256"/>
        <v>135</v>
      </c>
      <c r="R1322" s="236"/>
      <c r="S1322" s="236"/>
      <c r="T1322" s="236"/>
      <c r="U1322" s="242"/>
    </row>
    <row r="1323" spans="1:21" ht="13">
      <c r="A1323" s="270"/>
      <c r="B1323" s="245"/>
      <c r="C1323" s="19" t="s">
        <v>38</v>
      </c>
      <c r="D1323" s="17">
        <v>9</v>
      </c>
      <c r="E1323" s="17">
        <v>15</v>
      </c>
      <c r="F1323" s="17">
        <f t="shared" si="255"/>
        <v>135</v>
      </c>
      <c r="G1323" s="236"/>
      <c r="H1323" s="236"/>
      <c r="I1323" s="236"/>
      <c r="J1323" s="242"/>
      <c r="L1323" s="249"/>
      <c r="M1323" s="245"/>
      <c r="N1323" s="19" t="s">
        <v>38</v>
      </c>
      <c r="O1323" s="17">
        <v>9</v>
      </c>
      <c r="P1323" s="17">
        <v>15</v>
      </c>
      <c r="Q1323" s="17">
        <f t="shared" si="256"/>
        <v>135</v>
      </c>
      <c r="R1323" s="236"/>
      <c r="S1323" s="236"/>
      <c r="T1323" s="236"/>
      <c r="U1323" s="242"/>
    </row>
    <row r="1324" spans="1:21" ht="13">
      <c r="A1324" s="270"/>
      <c r="B1324" s="245"/>
      <c r="C1324" s="19" t="s">
        <v>517</v>
      </c>
      <c r="D1324" s="17">
        <v>27</v>
      </c>
      <c r="E1324" s="17">
        <v>15</v>
      </c>
      <c r="F1324" s="17">
        <f t="shared" si="255"/>
        <v>405</v>
      </c>
      <c r="G1324" s="236"/>
      <c r="H1324" s="236"/>
      <c r="I1324" s="236"/>
      <c r="J1324" s="242"/>
      <c r="L1324" s="249"/>
      <c r="M1324" s="245"/>
      <c r="N1324" s="19" t="s">
        <v>517</v>
      </c>
      <c r="O1324" s="17">
        <v>27</v>
      </c>
      <c r="P1324" s="17">
        <v>15</v>
      </c>
      <c r="Q1324" s="17">
        <f t="shared" si="256"/>
        <v>405</v>
      </c>
      <c r="R1324" s="236"/>
      <c r="S1324" s="236"/>
      <c r="T1324" s="236"/>
      <c r="U1324" s="242"/>
    </row>
    <row r="1325" spans="1:21" ht="13">
      <c r="A1325" s="270"/>
      <c r="B1325" s="245"/>
      <c r="C1325" s="22" t="s">
        <v>518</v>
      </c>
      <c r="D1325" s="17"/>
      <c r="F1325" s="17">
        <v>201.95</v>
      </c>
      <c r="G1325" s="236"/>
      <c r="H1325" s="236"/>
      <c r="I1325" s="236"/>
      <c r="J1325" s="242"/>
      <c r="L1325" s="249"/>
      <c r="M1325" s="245"/>
      <c r="N1325" s="22" t="s">
        <v>518</v>
      </c>
      <c r="O1325" s="17"/>
      <c r="Q1325" s="17">
        <v>201.95</v>
      </c>
      <c r="R1325" s="236"/>
      <c r="S1325" s="236"/>
      <c r="T1325" s="236"/>
      <c r="U1325" s="242"/>
    </row>
    <row r="1326" spans="1:21" ht="13">
      <c r="A1326" s="270"/>
      <c r="B1326" s="246"/>
      <c r="C1326" s="20" t="s">
        <v>519</v>
      </c>
      <c r="D1326" s="21"/>
      <c r="E1326" s="21"/>
      <c r="F1326" s="21">
        <v>226.81</v>
      </c>
      <c r="G1326" s="238"/>
      <c r="H1326" s="238"/>
      <c r="I1326" s="238"/>
      <c r="J1326" s="243"/>
      <c r="L1326" s="249"/>
      <c r="M1326" s="246"/>
      <c r="N1326" s="20" t="s">
        <v>519</v>
      </c>
      <c r="O1326" s="21"/>
      <c r="P1326" s="21"/>
      <c r="Q1326" s="21">
        <v>226.81</v>
      </c>
      <c r="R1326" s="238"/>
      <c r="S1326" s="238"/>
      <c r="T1326" s="238"/>
      <c r="U1326" s="243"/>
    </row>
    <row r="1327" spans="1:21" ht="13">
      <c r="A1327" s="270"/>
      <c r="B1327" s="244" t="s">
        <v>520</v>
      </c>
      <c r="C1327" s="15" t="s">
        <v>146</v>
      </c>
      <c r="D1327" s="17">
        <v>7</v>
      </c>
      <c r="E1327" s="16">
        <v>15</v>
      </c>
      <c r="F1327" s="17">
        <f>D1327*E1327</f>
        <v>105</v>
      </c>
      <c r="G1327" s="240">
        <f>SUM(F1327:F1329)</f>
        <v>667.54</v>
      </c>
      <c r="H1327" s="237">
        <v>1568</v>
      </c>
      <c r="I1327" s="237">
        <f>H1327-G1327</f>
        <v>900.46</v>
      </c>
      <c r="J1327" s="241">
        <f>I1327/H1327</f>
        <v>0.57427295918367349</v>
      </c>
      <c r="L1327" s="249"/>
      <c r="M1327" s="244" t="s">
        <v>520</v>
      </c>
      <c r="N1327" s="15" t="s">
        <v>146</v>
      </c>
      <c r="O1327" s="17">
        <v>7</v>
      </c>
      <c r="P1327" s="16">
        <v>15</v>
      </c>
      <c r="Q1327" s="17">
        <f>O1327*P1327</f>
        <v>105</v>
      </c>
      <c r="R1327" s="240">
        <f>SUM(Q1327:Q1329)</f>
        <v>667.54</v>
      </c>
      <c r="S1327" s="237">
        <v>1568</v>
      </c>
      <c r="T1327" s="237">
        <f>S1327-R1327</f>
        <v>900.46</v>
      </c>
      <c r="U1327" s="241">
        <f>T1327/S1327</f>
        <v>0.57427295918367349</v>
      </c>
    </row>
    <row r="1328" spans="1:21" ht="13">
      <c r="A1328" s="270"/>
      <c r="B1328" s="245"/>
      <c r="C1328" s="19" t="s">
        <v>521</v>
      </c>
      <c r="E1328" s="17"/>
      <c r="F1328" s="17">
        <v>562.54</v>
      </c>
      <c r="G1328" s="236"/>
      <c r="H1328" s="236"/>
      <c r="I1328" s="236"/>
      <c r="J1328" s="242"/>
      <c r="L1328" s="249"/>
      <c r="M1328" s="245"/>
      <c r="N1328" s="19" t="s">
        <v>521</v>
      </c>
      <c r="P1328" s="17"/>
      <c r="Q1328" s="17">
        <v>562.54</v>
      </c>
      <c r="R1328" s="236"/>
      <c r="S1328" s="236"/>
      <c r="T1328" s="236"/>
      <c r="U1328" s="242"/>
    </row>
    <row r="1329" spans="1:21" ht="13">
      <c r="A1329" s="270"/>
      <c r="B1329" s="246"/>
      <c r="C1329" s="20"/>
      <c r="D1329" s="21"/>
      <c r="E1329" s="21"/>
      <c r="F1329" s="21"/>
      <c r="G1329" s="238"/>
      <c r="H1329" s="238"/>
      <c r="I1329" s="238"/>
      <c r="J1329" s="243"/>
      <c r="L1329" s="249"/>
      <c r="M1329" s="246"/>
      <c r="N1329" s="20"/>
      <c r="O1329" s="21"/>
      <c r="P1329" s="21"/>
      <c r="Q1329" s="21"/>
      <c r="R1329" s="238"/>
      <c r="S1329" s="238"/>
      <c r="T1329" s="238"/>
      <c r="U1329" s="243"/>
    </row>
    <row r="1330" spans="1:21" ht="13">
      <c r="A1330" s="270"/>
      <c r="B1330" s="244" t="s">
        <v>522</v>
      </c>
      <c r="C1330" s="15" t="s">
        <v>23</v>
      </c>
      <c r="D1330" s="17">
        <v>14</v>
      </c>
      <c r="E1330" s="16">
        <v>16</v>
      </c>
      <c r="F1330" s="17">
        <f>D1330*E1330</f>
        <v>224</v>
      </c>
      <c r="G1330" s="240">
        <f>SUM(F1330:F1336)</f>
        <v>801.15</v>
      </c>
      <c r="H1330" s="237">
        <v>2943.68</v>
      </c>
      <c r="I1330" s="237">
        <f>H1330-G1330</f>
        <v>2142.5299999999997</v>
      </c>
      <c r="J1330" s="241">
        <f>I1330/H1330</f>
        <v>0.7278406620284813</v>
      </c>
      <c r="L1330" s="249"/>
      <c r="M1330" s="244" t="s">
        <v>522</v>
      </c>
      <c r="N1330" s="15" t="s">
        <v>23</v>
      </c>
      <c r="O1330" s="18"/>
      <c r="P1330" s="18"/>
      <c r="Q1330" s="18"/>
      <c r="R1330" s="240">
        <f>SUM(Q1330:Q1336)</f>
        <v>577.15</v>
      </c>
      <c r="S1330" s="237">
        <v>2943.68</v>
      </c>
      <c r="T1330" s="237">
        <f>S1330-R1330</f>
        <v>2366.5299999999997</v>
      </c>
      <c r="U1330" s="241">
        <f>T1330/S1330</f>
        <v>0.80393588977062724</v>
      </c>
    </row>
    <row r="1331" spans="1:21" ht="13">
      <c r="A1331" s="270"/>
      <c r="B1331" s="245"/>
      <c r="C1331" s="19" t="s">
        <v>31</v>
      </c>
      <c r="E1331" s="17"/>
      <c r="F1331" s="17">
        <v>200</v>
      </c>
      <c r="G1331" s="236"/>
      <c r="H1331" s="236"/>
      <c r="I1331" s="236"/>
      <c r="J1331" s="242"/>
      <c r="L1331" s="249"/>
      <c r="M1331" s="245"/>
      <c r="N1331" s="19" t="s">
        <v>31</v>
      </c>
      <c r="O1331" s="24">
        <v>18</v>
      </c>
      <c r="P1331" s="17">
        <v>15</v>
      </c>
      <c r="Q1331" s="17">
        <v>200</v>
      </c>
      <c r="R1331" s="236"/>
      <c r="S1331" s="236"/>
      <c r="T1331" s="236"/>
      <c r="U1331" s="242"/>
    </row>
    <row r="1332" spans="1:21" ht="13">
      <c r="A1332" s="270"/>
      <c r="B1332" s="245"/>
      <c r="C1332" s="19" t="s">
        <v>47</v>
      </c>
      <c r="E1332" s="17"/>
      <c r="F1332" s="17">
        <v>111.01</v>
      </c>
      <c r="G1332" s="236"/>
      <c r="H1332" s="236"/>
      <c r="I1332" s="236"/>
      <c r="J1332" s="242"/>
      <c r="L1332" s="249"/>
      <c r="M1332" s="245"/>
      <c r="N1332" s="19" t="s">
        <v>47</v>
      </c>
      <c r="P1332" s="17"/>
      <c r="Q1332" s="17">
        <v>111.01</v>
      </c>
      <c r="R1332" s="236"/>
      <c r="S1332" s="236"/>
      <c r="T1332" s="236"/>
      <c r="U1332" s="242"/>
    </row>
    <row r="1333" spans="1:21" ht="13">
      <c r="A1333" s="270"/>
      <c r="B1333" s="245"/>
      <c r="C1333" s="19" t="s">
        <v>523</v>
      </c>
      <c r="D1333" s="17"/>
      <c r="E1333" s="17"/>
      <c r="F1333" s="17">
        <v>111.86</v>
      </c>
      <c r="G1333" s="236"/>
      <c r="H1333" s="236"/>
      <c r="I1333" s="236"/>
      <c r="J1333" s="242"/>
      <c r="L1333" s="249"/>
      <c r="M1333" s="245"/>
      <c r="N1333" s="19" t="s">
        <v>523</v>
      </c>
      <c r="O1333" s="17"/>
      <c r="P1333" s="17"/>
      <c r="Q1333" s="17">
        <v>111.86</v>
      </c>
      <c r="R1333" s="236"/>
      <c r="S1333" s="236"/>
      <c r="T1333" s="236"/>
      <c r="U1333" s="242"/>
    </row>
    <row r="1334" spans="1:21" ht="13">
      <c r="A1334" s="270"/>
      <c r="B1334" s="245"/>
      <c r="C1334" s="19" t="s">
        <v>44</v>
      </c>
      <c r="D1334" s="17"/>
      <c r="E1334" s="17"/>
      <c r="F1334" s="17">
        <v>69.8</v>
      </c>
      <c r="G1334" s="236"/>
      <c r="H1334" s="236"/>
      <c r="I1334" s="236"/>
      <c r="J1334" s="242"/>
      <c r="L1334" s="249"/>
      <c r="M1334" s="245"/>
      <c r="N1334" s="19" t="s">
        <v>44</v>
      </c>
      <c r="O1334" s="17"/>
      <c r="P1334" s="17"/>
      <c r="Q1334" s="17">
        <v>69.8</v>
      </c>
      <c r="R1334" s="236"/>
      <c r="S1334" s="236"/>
      <c r="T1334" s="236"/>
      <c r="U1334" s="242"/>
    </row>
    <row r="1335" spans="1:21" ht="13">
      <c r="A1335" s="270"/>
      <c r="B1335" s="245"/>
      <c r="C1335" s="22" t="s">
        <v>306</v>
      </c>
      <c r="D1335" s="17"/>
      <c r="F1335" s="17">
        <v>84.48</v>
      </c>
      <c r="G1335" s="236"/>
      <c r="H1335" s="236"/>
      <c r="I1335" s="236"/>
      <c r="J1335" s="242"/>
      <c r="L1335" s="249"/>
      <c r="M1335" s="245"/>
      <c r="N1335" s="22" t="s">
        <v>306</v>
      </c>
      <c r="O1335" s="17"/>
      <c r="Q1335" s="17">
        <v>84.48</v>
      </c>
      <c r="R1335" s="236"/>
      <c r="S1335" s="236"/>
      <c r="T1335" s="236"/>
      <c r="U1335" s="242"/>
    </row>
    <row r="1336" spans="1:21" ht="13">
      <c r="A1336" s="270"/>
      <c r="B1336" s="246"/>
      <c r="C1336" s="20"/>
      <c r="D1336" s="21"/>
      <c r="E1336" s="21"/>
      <c r="F1336" s="21"/>
      <c r="G1336" s="238"/>
      <c r="H1336" s="238"/>
      <c r="I1336" s="238"/>
      <c r="J1336" s="243"/>
      <c r="L1336" s="249"/>
      <c r="M1336" s="246"/>
      <c r="N1336" s="20"/>
      <c r="O1336" s="21"/>
      <c r="P1336" s="21"/>
      <c r="Q1336" s="21"/>
      <c r="R1336" s="238"/>
      <c r="S1336" s="238"/>
      <c r="T1336" s="238"/>
      <c r="U1336" s="243"/>
    </row>
    <row r="1337" spans="1:21" ht="13">
      <c r="A1337" s="270"/>
      <c r="B1337" s="244" t="s">
        <v>524</v>
      </c>
      <c r="C1337" s="15" t="s">
        <v>525</v>
      </c>
      <c r="D1337" s="17">
        <v>18.45</v>
      </c>
      <c r="E1337" s="16">
        <v>13</v>
      </c>
      <c r="F1337" s="17">
        <f t="shared" ref="F1337:F1343" si="257">D1337*E1337</f>
        <v>239.85</v>
      </c>
      <c r="G1337" s="240">
        <f>SUM(F1337:F1345)</f>
        <v>2257.11</v>
      </c>
      <c r="H1337" s="237">
        <v>5353.6</v>
      </c>
      <c r="I1337" s="237">
        <f>H1337-G1337</f>
        <v>3096.4900000000002</v>
      </c>
      <c r="J1337" s="241">
        <f>I1337/H1337</f>
        <v>0.57839397788404068</v>
      </c>
      <c r="L1337" s="249"/>
      <c r="M1337" s="244" t="s">
        <v>524</v>
      </c>
      <c r="N1337" s="15" t="s">
        <v>525</v>
      </c>
      <c r="O1337" s="17">
        <v>18.45</v>
      </c>
      <c r="P1337" s="16">
        <v>13</v>
      </c>
      <c r="Q1337" s="17">
        <f t="shared" ref="Q1337:Q1338" si="258">O1337*P1337</f>
        <v>239.85</v>
      </c>
      <c r="R1337" s="240">
        <f>SUM(Q1337:Q1345)</f>
        <v>1879.1100000000001</v>
      </c>
      <c r="S1337" s="237">
        <v>5353.6</v>
      </c>
      <c r="T1337" s="237">
        <f>S1337-R1337</f>
        <v>3474.4900000000002</v>
      </c>
      <c r="U1337" s="241">
        <f>T1337/S1337</f>
        <v>0.64900067244471005</v>
      </c>
    </row>
    <row r="1338" spans="1:21" ht="13">
      <c r="A1338" s="270"/>
      <c r="B1338" s="245"/>
      <c r="C1338" s="19" t="s">
        <v>106</v>
      </c>
      <c r="D1338" s="24">
        <v>20.62</v>
      </c>
      <c r="E1338" s="17">
        <v>13</v>
      </c>
      <c r="F1338" s="17">
        <f t="shared" si="257"/>
        <v>268.06</v>
      </c>
      <c r="G1338" s="236"/>
      <c r="H1338" s="236"/>
      <c r="I1338" s="236"/>
      <c r="J1338" s="242"/>
      <c r="L1338" s="249"/>
      <c r="M1338" s="245"/>
      <c r="N1338" s="19" t="s">
        <v>106</v>
      </c>
      <c r="O1338" s="24">
        <v>20.62</v>
      </c>
      <c r="P1338" s="17">
        <v>13</v>
      </c>
      <c r="Q1338" s="17">
        <f t="shared" si="258"/>
        <v>268.06</v>
      </c>
      <c r="R1338" s="236"/>
      <c r="S1338" s="236"/>
      <c r="T1338" s="236"/>
      <c r="U1338" s="242"/>
    </row>
    <row r="1339" spans="1:21" ht="13">
      <c r="A1339" s="270"/>
      <c r="B1339" s="245"/>
      <c r="C1339" s="19" t="s">
        <v>436</v>
      </c>
      <c r="D1339" s="24">
        <v>21</v>
      </c>
      <c r="E1339" s="17">
        <v>18</v>
      </c>
      <c r="F1339" s="17">
        <f t="shared" si="257"/>
        <v>378</v>
      </c>
      <c r="G1339" s="236"/>
      <c r="H1339" s="236"/>
      <c r="I1339" s="236"/>
      <c r="J1339" s="242"/>
      <c r="L1339" s="249"/>
      <c r="M1339" s="245"/>
      <c r="N1339" s="19" t="s">
        <v>436</v>
      </c>
      <c r="O1339" s="18"/>
      <c r="P1339" s="18"/>
      <c r="Q1339" s="18"/>
      <c r="R1339" s="236"/>
      <c r="S1339" s="236"/>
      <c r="T1339" s="236"/>
      <c r="U1339" s="242"/>
    </row>
    <row r="1340" spans="1:21" ht="13">
      <c r="A1340" s="270"/>
      <c r="B1340" s="245"/>
      <c r="C1340" s="19" t="s">
        <v>526</v>
      </c>
      <c r="D1340" s="17">
        <v>17.28</v>
      </c>
      <c r="E1340" s="17">
        <v>13</v>
      </c>
      <c r="F1340" s="17">
        <f t="shared" si="257"/>
        <v>224.64000000000001</v>
      </c>
      <c r="G1340" s="236"/>
      <c r="H1340" s="236"/>
      <c r="I1340" s="236"/>
      <c r="J1340" s="242"/>
      <c r="L1340" s="249"/>
      <c r="M1340" s="245"/>
      <c r="N1340" s="19" t="s">
        <v>526</v>
      </c>
      <c r="O1340" s="17">
        <v>17.28</v>
      </c>
      <c r="P1340" s="17">
        <v>13</v>
      </c>
      <c r="Q1340" s="17">
        <f t="shared" ref="Q1340:Q1343" si="259">O1340*P1340</f>
        <v>224.64000000000001</v>
      </c>
      <c r="R1340" s="236"/>
      <c r="S1340" s="236"/>
      <c r="T1340" s="236"/>
      <c r="U1340" s="242"/>
    </row>
    <row r="1341" spans="1:21" ht="13">
      <c r="A1341" s="270"/>
      <c r="B1341" s="245"/>
      <c r="C1341" s="19" t="s">
        <v>25</v>
      </c>
      <c r="D1341" s="17">
        <v>12.88</v>
      </c>
      <c r="E1341" s="17">
        <v>13</v>
      </c>
      <c r="F1341" s="17">
        <f t="shared" si="257"/>
        <v>167.44</v>
      </c>
      <c r="G1341" s="236"/>
      <c r="H1341" s="236"/>
      <c r="I1341" s="236"/>
      <c r="J1341" s="242"/>
      <c r="L1341" s="249"/>
      <c r="M1341" s="245"/>
      <c r="N1341" s="19" t="s">
        <v>25</v>
      </c>
      <c r="O1341" s="17">
        <v>12.88</v>
      </c>
      <c r="P1341" s="17">
        <v>13</v>
      </c>
      <c r="Q1341" s="17">
        <f t="shared" si="259"/>
        <v>167.44</v>
      </c>
      <c r="R1341" s="236"/>
      <c r="S1341" s="236"/>
      <c r="T1341" s="236"/>
      <c r="U1341" s="242"/>
    </row>
    <row r="1342" spans="1:21" ht="13">
      <c r="A1342" s="270"/>
      <c r="B1342" s="245"/>
      <c r="C1342" s="19" t="s">
        <v>527</v>
      </c>
      <c r="D1342" s="17">
        <v>15.75</v>
      </c>
      <c r="E1342" s="17">
        <v>13</v>
      </c>
      <c r="F1342" s="17">
        <f t="shared" si="257"/>
        <v>204.75</v>
      </c>
      <c r="G1342" s="236"/>
      <c r="H1342" s="236"/>
      <c r="I1342" s="236"/>
      <c r="J1342" s="242"/>
      <c r="L1342" s="249"/>
      <c r="M1342" s="245"/>
      <c r="N1342" s="19" t="s">
        <v>527</v>
      </c>
      <c r="O1342" s="17">
        <v>15.75</v>
      </c>
      <c r="P1342" s="17">
        <v>13</v>
      </c>
      <c r="Q1342" s="17">
        <f t="shared" si="259"/>
        <v>204.75</v>
      </c>
      <c r="R1342" s="236"/>
      <c r="S1342" s="236"/>
      <c r="T1342" s="236"/>
      <c r="U1342" s="242"/>
    </row>
    <row r="1343" spans="1:21" ht="13">
      <c r="A1343" s="270"/>
      <c r="B1343" s="245"/>
      <c r="C1343" s="19" t="s">
        <v>528</v>
      </c>
      <c r="D1343" s="17">
        <v>2.3199999999999998</v>
      </c>
      <c r="E1343" s="17">
        <v>13</v>
      </c>
      <c r="F1343" s="17">
        <f t="shared" si="257"/>
        <v>30.159999999999997</v>
      </c>
      <c r="G1343" s="236"/>
      <c r="H1343" s="236"/>
      <c r="I1343" s="236"/>
      <c r="J1343" s="242"/>
      <c r="L1343" s="249"/>
      <c r="M1343" s="245"/>
      <c r="N1343" s="19" t="s">
        <v>528</v>
      </c>
      <c r="O1343" s="17">
        <v>2.3199999999999998</v>
      </c>
      <c r="P1343" s="17">
        <v>13</v>
      </c>
      <c r="Q1343" s="17">
        <f t="shared" si="259"/>
        <v>30.159999999999997</v>
      </c>
      <c r="R1343" s="236"/>
      <c r="S1343" s="236"/>
      <c r="T1343" s="236"/>
      <c r="U1343" s="242"/>
    </row>
    <row r="1344" spans="1:21" ht="13">
      <c r="A1344" s="270"/>
      <c r="B1344" s="245"/>
      <c r="C1344" s="22" t="s">
        <v>33</v>
      </c>
      <c r="D1344" s="17"/>
      <c r="F1344" s="17">
        <v>744.21</v>
      </c>
      <c r="G1344" s="236"/>
      <c r="H1344" s="236"/>
      <c r="I1344" s="236"/>
      <c r="J1344" s="242"/>
      <c r="L1344" s="249"/>
      <c r="M1344" s="245"/>
      <c r="N1344" s="22" t="s">
        <v>33</v>
      </c>
      <c r="O1344" s="17"/>
      <c r="Q1344" s="17">
        <v>744.21</v>
      </c>
      <c r="R1344" s="236"/>
      <c r="S1344" s="236"/>
      <c r="T1344" s="236"/>
      <c r="U1344" s="242"/>
    </row>
    <row r="1345" spans="1:21" ht="13">
      <c r="A1345" s="270"/>
      <c r="B1345" s="246"/>
      <c r="C1345" s="20"/>
      <c r="D1345" s="21"/>
      <c r="E1345" s="21"/>
      <c r="F1345" s="21"/>
      <c r="G1345" s="238"/>
      <c r="H1345" s="238"/>
      <c r="I1345" s="238"/>
      <c r="J1345" s="243"/>
      <c r="L1345" s="249"/>
      <c r="M1345" s="246"/>
      <c r="N1345" s="20"/>
      <c r="O1345" s="21"/>
      <c r="P1345" s="21"/>
      <c r="Q1345" s="21"/>
      <c r="R1345" s="238"/>
      <c r="S1345" s="238"/>
      <c r="T1345" s="238"/>
      <c r="U1345" s="243"/>
    </row>
    <row r="1346" spans="1:21" ht="13">
      <c r="A1346" s="270"/>
      <c r="B1346" s="244" t="s">
        <v>640</v>
      </c>
      <c r="C1346" s="15" t="s">
        <v>436</v>
      </c>
      <c r="D1346" s="16">
        <v>21</v>
      </c>
      <c r="E1346" s="16">
        <v>15</v>
      </c>
      <c r="F1346" s="16">
        <f t="shared" ref="F1346:F1356" si="260">D1346*E1346</f>
        <v>315</v>
      </c>
      <c r="G1346" s="240">
        <f>SUM(F1346:F1353)</f>
        <v>1917.96</v>
      </c>
      <c r="H1346" s="237">
        <v>1428</v>
      </c>
      <c r="I1346" s="237">
        <f>H1346-G1346</f>
        <v>-489.96000000000004</v>
      </c>
      <c r="J1346" s="241">
        <f>I1346/H1346</f>
        <v>-0.34310924369747903</v>
      </c>
      <c r="L1346" s="249"/>
      <c r="M1346" s="244" t="s">
        <v>640</v>
      </c>
      <c r="N1346" s="15" t="s">
        <v>436</v>
      </c>
      <c r="O1346" s="18"/>
      <c r="P1346" s="18"/>
      <c r="Q1346" s="18"/>
      <c r="R1346" s="240">
        <f>SUM(Q1346:Q1353)</f>
        <v>1602.96</v>
      </c>
      <c r="S1346" s="237">
        <v>1428</v>
      </c>
      <c r="T1346" s="237">
        <f>S1346-R1346</f>
        <v>-174.96000000000004</v>
      </c>
      <c r="U1346" s="241">
        <f>T1346/S1346</f>
        <v>-0.12252100840336137</v>
      </c>
    </row>
    <row r="1347" spans="1:21" ht="13">
      <c r="A1347" s="270"/>
      <c r="B1347" s="245"/>
      <c r="C1347" s="19" t="s">
        <v>50</v>
      </c>
      <c r="D1347" s="17">
        <v>35.17</v>
      </c>
      <c r="E1347" s="17">
        <v>15</v>
      </c>
      <c r="F1347" s="17">
        <f t="shared" si="260"/>
        <v>527.55000000000007</v>
      </c>
      <c r="G1347" s="236"/>
      <c r="H1347" s="236"/>
      <c r="I1347" s="236"/>
      <c r="J1347" s="242"/>
      <c r="L1347" s="249"/>
      <c r="M1347" s="245"/>
      <c r="N1347" s="19" t="s">
        <v>50</v>
      </c>
      <c r="O1347" s="17">
        <v>35.17</v>
      </c>
      <c r="P1347" s="17">
        <v>15</v>
      </c>
      <c r="Q1347" s="17">
        <f t="shared" ref="Q1347:Q1356" si="261">O1347*P1347</f>
        <v>527.55000000000007</v>
      </c>
      <c r="R1347" s="236"/>
      <c r="S1347" s="236"/>
      <c r="T1347" s="236"/>
      <c r="U1347" s="242"/>
    </row>
    <row r="1348" spans="1:21" ht="13">
      <c r="A1348" s="270"/>
      <c r="B1348" s="245"/>
      <c r="C1348" s="19" t="s">
        <v>54</v>
      </c>
      <c r="D1348" s="17">
        <v>15.37</v>
      </c>
      <c r="E1348" s="17">
        <v>13</v>
      </c>
      <c r="F1348" s="17">
        <f t="shared" si="260"/>
        <v>199.81</v>
      </c>
      <c r="G1348" s="236"/>
      <c r="H1348" s="236"/>
      <c r="I1348" s="236"/>
      <c r="J1348" s="242"/>
      <c r="L1348" s="249"/>
      <c r="M1348" s="245"/>
      <c r="N1348" s="19" t="s">
        <v>54</v>
      </c>
      <c r="O1348" s="17">
        <v>15.37</v>
      </c>
      <c r="P1348" s="17">
        <v>13</v>
      </c>
      <c r="Q1348" s="17">
        <f t="shared" si="261"/>
        <v>199.81</v>
      </c>
      <c r="R1348" s="236"/>
      <c r="S1348" s="236"/>
      <c r="T1348" s="236"/>
      <c r="U1348" s="242"/>
    </row>
    <row r="1349" spans="1:21" ht="13">
      <c r="A1349" s="270"/>
      <c r="B1349" s="245"/>
      <c r="C1349" s="19" t="s">
        <v>80</v>
      </c>
      <c r="D1349" s="17">
        <v>13.1</v>
      </c>
      <c r="E1349" s="17">
        <v>13</v>
      </c>
      <c r="F1349" s="17">
        <f t="shared" si="260"/>
        <v>170.29999999999998</v>
      </c>
      <c r="G1349" s="236"/>
      <c r="H1349" s="236"/>
      <c r="I1349" s="236"/>
      <c r="J1349" s="242"/>
      <c r="L1349" s="249"/>
      <c r="M1349" s="245"/>
      <c r="N1349" s="19" t="s">
        <v>80</v>
      </c>
      <c r="O1349" s="17">
        <v>13.1</v>
      </c>
      <c r="P1349" s="17">
        <v>13</v>
      </c>
      <c r="Q1349" s="17">
        <f t="shared" si="261"/>
        <v>170.29999999999998</v>
      </c>
      <c r="R1349" s="236"/>
      <c r="S1349" s="236"/>
      <c r="T1349" s="236"/>
      <c r="U1349" s="242"/>
    </row>
    <row r="1350" spans="1:21" ht="13">
      <c r="A1350" s="270"/>
      <c r="B1350" s="245"/>
      <c r="C1350" s="19" t="s">
        <v>72</v>
      </c>
      <c r="D1350" s="17">
        <v>18.2</v>
      </c>
      <c r="E1350" s="17">
        <v>13</v>
      </c>
      <c r="F1350" s="17">
        <f t="shared" si="260"/>
        <v>236.6</v>
      </c>
      <c r="G1350" s="236"/>
      <c r="H1350" s="236"/>
      <c r="I1350" s="236"/>
      <c r="J1350" s="242"/>
      <c r="L1350" s="249"/>
      <c r="M1350" s="245"/>
      <c r="N1350" s="19" t="s">
        <v>72</v>
      </c>
      <c r="O1350" s="17">
        <v>18.2</v>
      </c>
      <c r="P1350" s="17">
        <v>13</v>
      </c>
      <c r="Q1350" s="17">
        <f t="shared" si="261"/>
        <v>236.6</v>
      </c>
      <c r="R1350" s="236"/>
      <c r="S1350" s="236"/>
      <c r="T1350" s="236"/>
      <c r="U1350" s="242"/>
    </row>
    <row r="1351" spans="1:21" ht="13">
      <c r="A1351" s="270"/>
      <c r="B1351" s="245"/>
      <c r="C1351" s="19" t="s">
        <v>62</v>
      </c>
      <c r="D1351" s="17">
        <v>20.55</v>
      </c>
      <c r="E1351" s="17">
        <v>13</v>
      </c>
      <c r="F1351" s="17">
        <f t="shared" si="260"/>
        <v>267.15000000000003</v>
      </c>
      <c r="G1351" s="236"/>
      <c r="H1351" s="236"/>
      <c r="I1351" s="236"/>
      <c r="J1351" s="242"/>
      <c r="L1351" s="249"/>
      <c r="M1351" s="245"/>
      <c r="N1351" s="19" t="s">
        <v>62</v>
      </c>
      <c r="O1351" s="17">
        <v>20.55</v>
      </c>
      <c r="P1351" s="17">
        <v>13</v>
      </c>
      <c r="Q1351" s="17">
        <f t="shared" si="261"/>
        <v>267.15000000000003</v>
      </c>
      <c r="R1351" s="236"/>
      <c r="S1351" s="236"/>
      <c r="T1351" s="236"/>
      <c r="U1351" s="242"/>
    </row>
    <row r="1352" spans="1:21" ht="13">
      <c r="A1352" s="270"/>
      <c r="B1352" s="245"/>
      <c r="C1352" s="19" t="s">
        <v>70</v>
      </c>
      <c r="D1352" s="17">
        <v>13</v>
      </c>
      <c r="E1352" s="17">
        <v>13</v>
      </c>
      <c r="F1352" s="17">
        <f t="shared" si="260"/>
        <v>169</v>
      </c>
      <c r="G1352" s="236"/>
      <c r="H1352" s="236"/>
      <c r="I1352" s="236"/>
      <c r="J1352" s="242"/>
      <c r="L1352" s="249"/>
      <c r="M1352" s="245"/>
      <c r="N1352" s="19" t="s">
        <v>70</v>
      </c>
      <c r="O1352" s="17">
        <v>13</v>
      </c>
      <c r="P1352" s="17">
        <v>13</v>
      </c>
      <c r="Q1352" s="17">
        <f t="shared" si="261"/>
        <v>169</v>
      </c>
      <c r="R1352" s="236"/>
      <c r="S1352" s="236"/>
      <c r="T1352" s="236"/>
      <c r="U1352" s="242"/>
    </row>
    <row r="1353" spans="1:21" ht="13">
      <c r="A1353" s="270"/>
      <c r="B1353" s="246"/>
      <c r="C1353" s="20" t="s">
        <v>641</v>
      </c>
      <c r="D1353" s="21">
        <v>2.17</v>
      </c>
      <c r="E1353" s="21">
        <v>15</v>
      </c>
      <c r="F1353" s="21">
        <f t="shared" si="260"/>
        <v>32.549999999999997</v>
      </c>
      <c r="G1353" s="238"/>
      <c r="H1353" s="238"/>
      <c r="I1353" s="238"/>
      <c r="J1353" s="243"/>
      <c r="L1353" s="249"/>
      <c r="M1353" s="246"/>
      <c r="N1353" s="20" t="s">
        <v>641</v>
      </c>
      <c r="O1353" s="21">
        <v>2.17</v>
      </c>
      <c r="P1353" s="21">
        <v>15</v>
      </c>
      <c r="Q1353" s="21">
        <f t="shared" si="261"/>
        <v>32.549999999999997</v>
      </c>
      <c r="R1353" s="238"/>
      <c r="S1353" s="238"/>
      <c r="T1353" s="238"/>
      <c r="U1353" s="243"/>
    </row>
    <row r="1354" spans="1:21" ht="13">
      <c r="A1354" s="270"/>
      <c r="B1354" s="244" t="s">
        <v>529</v>
      </c>
      <c r="C1354" s="15" t="s">
        <v>31</v>
      </c>
      <c r="D1354" s="16">
        <v>21</v>
      </c>
      <c r="E1354" s="16">
        <v>13</v>
      </c>
      <c r="F1354" s="16">
        <f t="shared" si="260"/>
        <v>273</v>
      </c>
      <c r="G1354" s="240">
        <f>SUM(F1354:F1357)</f>
        <v>914.45</v>
      </c>
      <c r="H1354" s="237">
        <v>2055</v>
      </c>
      <c r="I1354" s="237">
        <f>H1354-G1354</f>
        <v>1140.55</v>
      </c>
      <c r="J1354" s="241">
        <f>I1354/H1354</f>
        <v>0.55501216545012166</v>
      </c>
      <c r="L1354" s="249"/>
      <c r="M1354" s="244" t="s">
        <v>529</v>
      </c>
      <c r="N1354" s="15" t="s">
        <v>31</v>
      </c>
      <c r="O1354" s="16">
        <v>21</v>
      </c>
      <c r="P1354" s="16">
        <v>13</v>
      </c>
      <c r="Q1354" s="16">
        <f t="shared" si="261"/>
        <v>273</v>
      </c>
      <c r="R1354" s="240">
        <f>SUM(Q1354:Q1357)</f>
        <v>914.45</v>
      </c>
      <c r="S1354" s="237">
        <v>2055</v>
      </c>
      <c r="T1354" s="237">
        <f>S1354-R1354</f>
        <v>1140.55</v>
      </c>
      <c r="U1354" s="241">
        <f>T1354/S1354</f>
        <v>0.55501216545012166</v>
      </c>
    </row>
    <row r="1355" spans="1:21" ht="13">
      <c r="A1355" s="270"/>
      <c r="B1355" s="245"/>
      <c r="C1355" s="19" t="s">
        <v>32</v>
      </c>
      <c r="D1355" s="17">
        <v>20.5</v>
      </c>
      <c r="E1355" s="17">
        <v>13</v>
      </c>
      <c r="F1355" s="17">
        <f t="shared" si="260"/>
        <v>266.5</v>
      </c>
      <c r="G1355" s="236"/>
      <c r="H1355" s="236"/>
      <c r="I1355" s="236"/>
      <c r="J1355" s="242"/>
      <c r="L1355" s="249"/>
      <c r="M1355" s="245"/>
      <c r="N1355" s="19" t="s">
        <v>32</v>
      </c>
      <c r="O1355" s="17">
        <v>20.5</v>
      </c>
      <c r="P1355" s="17">
        <v>13</v>
      </c>
      <c r="Q1355" s="17">
        <f t="shared" si="261"/>
        <v>266.5</v>
      </c>
      <c r="R1355" s="236"/>
      <c r="S1355" s="236"/>
      <c r="T1355" s="236"/>
      <c r="U1355" s="242"/>
    </row>
    <row r="1356" spans="1:21" ht="13">
      <c r="A1356" s="270"/>
      <c r="B1356" s="245"/>
      <c r="C1356" s="19" t="s">
        <v>50</v>
      </c>
      <c r="D1356" s="17">
        <v>16.149999999999999</v>
      </c>
      <c r="E1356" s="17">
        <v>13</v>
      </c>
      <c r="F1356" s="17">
        <f t="shared" si="260"/>
        <v>209.95</v>
      </c>
      <c r="G1356" s="236"/>
      <c r="H1356" s="236"/>
      <c r="I1356" s="236"/>
      <c r="J1356" s="242"/>
      <c r="L1356" s="249"/>
      <c r="M1356" s="245"/>
      <c r="N1356" s="19" t="s">
        <v>50</v>
      </c>
      <c r="O1356" s="17">
        <v>16.149999999999999</v>
      </c>
      <c r="P1356" s="17">
        <v>13</v>
      </c>
      <c r="Q1356" s="17">
        <f t="shared" si="261"/>
        <v>209.95</v>
      </c>
      <c r="R1356" s="236"/>
      <c r="S1356" s="236"/>
      <c r="T1356" s="236"/>
      <c r="U1356" s="242"/>
    </row>
    <row r="1357" spans="1:21" ht="13">
      <c r="A1357" s="270"/>
      <c r="B1357" s="246"/>
      <c r="C1357" s="20" t="s">
        <v>33</v>
      </c>
      <c r="D1357" s="21"/>
      <c r="E1357" s="21"/>
      <c r="F1357" s="21">
        <v>165</v>
      </c>
      <c r="G1357" s="238"/>
      <c r="H1357" s="238"/>
      <c r="I1357" s="238"/>
      <c r="J1357" s="243"/>
      <c r="L1357" s="249"/>
      <c r="M1357" s="246"/>
      <c r="N1357" s="20" t="s">
        <v>33</v>
      </c>
      <c r="O1357" s="21"/>
      <c r="P1357" s="21"/>
      <c r="Q1357" s="21">
        <v>165</v>
      </c>
      <c r="R1357" s="238"/>
      <c r="S1357" s="238"/>
      <c r="T1357" s="238"/>
      <c r="U1357" s="243"/>
    </row>
    <row r="1358" spans="1:21" ht="13">
      <c r="A1358" s="270"/>
      <c r="B1358" s="244" t="s">
        <v>530</v>
      </c>
      <c r="C1358" s="15" t="s">
        <v>525</v>
      </c>
      <c r="D1358" s="16">
        <v>18.25</v>
      </c>
      <c r="E1358" s="16">
        <v>13</v>
      </c>
      <c r="F1358" s="16">
        <f>D1358*E1358</f>
        <v>237.25</v>
      </c>
      <c r="G1358" s="240">
        <f>SUM(F1358:F1359)</f>
        <v>237.25</v>
      </c>
      <c r="H1358" s="237">
        <v>1792</v>
      </c>
      <c r="I1358" s="237">
        <f>H1358-G1358</f>
        <v>1554.75</v>
      </c>
      <c r="J1358" s="241">
        <f>I1358/H1358</f>
        <v>0.8676060267857143</v>
      </c>
      <c r="L1358" s="249"/>
      <c r="M1358" s="244" t="s">
        <v>530</v>
      </c>
      <c r="N1358" s="15" t="s">
        <v>525</v>
      </c>
      <c r="O1358" s="16">
        <v>18.25</v>
      </c>
      <c r="P1358" s="16">
        <v>13</v>
      </c>
      <c r="Q1358" s="16">
        <f>O1358*P1358</f>
        <v>237.25</v>
      </c>
      <c r="R1358" s="240">
        <f>SUM(Q1358:Q1359)</f>
        <v>237.25</v>
      </c>
      <c r="S1358" s="237">
        <v>1792</v>
      </c>
      <c r="T1358" s="237">
        <f>S1358-R1358</f>
        <v>1554.75</v>
      </c>
      <c r="U1358" s="241">
        <f>T1358/S1358</f>
        <v>0.8676060267857143</v>
      </c>
    </row>
    <row r="1359" spans="1:21" ht="13">
      <c r="A1359" s="270"/>
      <c r="B1359" s="246"/>
      <c r="C1359" s="20"/>
      <c r="D1359" s="21"/>
      <c r="E1359" s="21"/>
      <c r="F1359" s="21"/>
      <c r="G1359" s="238"/>
      <c r="H1359" s="238"/>
      <c r="I1359" s="238"/>
      <c r="J1359" s="243"/>
      <c r="L1359" s="249"/>
      <c r="M1359" s="246"/>
      <c r="N1359" s="20"/>
      <c r="O1359" s="21"/>
      <c r="P1359" s="21"/>
      <c r="Q1359" s="21"/>
      <c r="R1359" s="238"/>
      <c r="S1359" s="238"/>
      <c r="T1359" s="238"/>
      <c r="U1359" s="243"/>
    </row>
    <row r="1360" spans="1:21" ht="13">
      <c r="A1360" s="270"/>
      <c r="B1360" s="244" t="s">
        <v>531</v>
      </c>
      <c r="C1360" s="15" t="s">
        <v>25</v>
      </c>
      <c r="D1360" s="16">
        <v>12.5</v>
      </c>
      <c r="E1360" s="16">
        <v>13</v>
      </c>
      <c r="F1360" s="16">
        <f>D1360*E1360</f>
        <v>162.5</v>
      </c>
      <c r="G1360" s="240">
        <f>SUM(F1360:F1361)</f>
        <v>162.5</v>
      </c>
      <c r="H1360" s="237">
        <v>1232</v>
      </c>
      <c r="I1360" s="237">
        <f>H1360-G1360</f>
        <v>1069.5</v>
      </c>
      <c r="J1360" s="241">
        <f>I1360/H1360</f>
        <v>0.86810064935064934</v>
      </c>
      <c r="L1360" s="249"/>
      <c r="M1360" s="244" t="s">
        <v>531</v>
      </c>
      <c r="N1360" s="15" t="s">
        <v>25</v>
      </c>
      <c r="O1360" s="16">
        <v>12.5</v>
      </c>
      <c r="P1360" s="16">
        <v>13</v>
      </c>
      <c r="Q1360" s="16">
        <f>O1360*P1360</f>
        <v>162.5</v>
      </c>
      <c r="R1360" s="240">
        <f>SUM(Q1360:Q1361)</f>
        <v>162.5</v>
      </c>
      <c r="S1360" s="237">
        <v>1232</v>
      </c>
      <c r="T1360" s="237">
        <f>S1360-R1360</f>
        <v>1069.5</v>
      </c>
      <c r="U1360" s="241">
        <f>T1360/S1360</f>
        <v>0.86810064935064934</v>
      </c>
    </row>
    <row r="1361" spans="1:21" ht="13">
      <c r="A1361" s="270"/>
      <c r="B1361" s="246"/>
      <c r="C1361" s="20"/>
      <c r="D1361" s="21"/>
      <c r="E1361" s="21"/>
      <c r="F1361" s="21"/>
      <c r="G1361" s="238"/>
      <c r="H1361" s="238"/>
      <c r="I1361" s="238"/>
      <c r="J1361" s="243"/>
      <c r="L1361" s="249"/>
      <c r="M1361" s="246"/>
      <c r="N1361" s="20"/>
      <c r="O1361" s="21"/>
      <c r="P1361" s="21"/>
      <c r="Q1361" s="21"/>
      <c r="R1361" s="238"/>
      <c r="S1361" s="238"/>
      <c r="T1361" s="238"/>
      <c r="U1361" s="243"/>
    </row>
    <row r="1362" spans="1:21" ht="13">
      <c r="A1362" s="270"/>
      <c r="B1362" s="244" t="s">
        <v>532</v>
      </c>
      <c r="C1362" s="15" t="s">
        <v>528</v>
      </c>
      <c r="D1362" s="16">
        <v>18.05</v>
      </c>
      <c r="E1362" s="16">
        <v>13</v>
      </c>
      <c r="F1362" s="16">
        <f>D1362*E1362</f>
        <v>234.65</v>
      </c>
      <c r="G1362" s="240">
        <f>SUM(F1362:F1363)</f>
        <v>234.65</v>
      </c>
      <c r="H1362" s="237">
        <v>1105</v>
      </c>
      <c r="I1362" s="237">
        <f>H1362-G1362</f>
        <v>870.35</v>
      </c>
      <c r="J1362" s="241">
        <f>I1362/H1362</f>
        <v>0.78764705882352948</v>
      </c>
      <c r="L1362" s="249"/>
      <c r="M1362" s="244" t="s">
        <v>532</v>
      </c>
      <c r="N1362" s="15" t="s">
        <v>528</v>
      </c>
      <c r="O1362" s="16">
        <v>18.05</v>
      </c>
      <c r="P1362" s="16">
        <v>13</v>
      </c>
      <c r="Q1362" s="16">
        <f>O1362*P1362</f>
        <v>234.65</v>
      </c>
      <c r="R1362" s="240">
        <f>SUM(Q1362:Q1363)</f>
        <v>234.65</v>
      </c>
      <c r="S1362" s="237">
        <v>1105</v>
      </c>
      <c r="T1362" s="237">
        <f>S1362-R1362</f>
        <v>870.35</v>
      </c>
      <c r="U1362" s="241">
        <f>T1362/S1362</f>
        <v>0.78764705882352948</v>
      </c>
    </row>
    <row r="1363" spans="1:21" ht="13">
      <c r="A1363" s="270"/>
      <c r="B1363" s="246"/>
      <c r="C1363" s="20"/>
      <c r="D1363" s="21"/>
      <c r="E1363" s="21"/>
      <c r="F1363" s="21"/>
      <c r="G1363" s="238"/>
      <c r="H1363" s="238"/>
      <c r="I1363" s="238"/>
      <c r="J1363" s="243"/>
      <c r="L1363" s="249"/>
      <c r="M1363" s="246"/>
      <c r="N1363" s="20"/>
      <c r="O1363" s="21"/>
      <c r="P1363" s="21"/>
      <c r="Q1363" s="21"/>
      <c r="R1363" s="238"/>
      <c r="S1363" s="238"/>
      <c r="T1363" s="238"/>
      <c r="U1363" s="243"/>
    </row>
    <row r="1364" spans="1:21" ht="13">
      <c r="A1364" s="270"/>
      <c r="B1364" s="244" t="s">
        <v>533</v>
      </c>
      <c r="C1364" s="15" t="s">
        <v>23</v>
      </c>
      <c r="D1364" s="16">
        <v>14</v>
      </c>
      <c r="E1364" s="16">
        <v>16</v>
      </c>
      <c r="F1364" s="16">
        <f>D1364*E1364</f>
        <v>224</v>
      </c>
      <c r="G1364" s="240">
        <f>SUM(F1364:F1368)</f>
        <v>446.75</v>
      </c>
      <c r="H1364" s="237">
        <v>3015.05</v>
      </c>
      <c r="I1364" s="237">
        <f>H1364-G1364</f>
        <v>2568.3000000000002</v>
      </c>
      <c r="J1364" s="241">
        <f>I1364/H1364</f>
        <v>0.85182666954113528</v>
      </c>
      <c r="L1364" s="249"/>
      <c r="M1364" s="244" t="s">
        <v>533</v>
      </c>
      <c r="N1364" s="15" t="s">
        <v>23</v>
      </c>
      <c r="O1364" s="18"/>
      <c r="P1364" s="18"/>
      <c r="Q1364" s="18"/>
      <c r="R1364" s="240">
        <f>SUM(Q1364:Q1368)</f>
        <v>222.75</v>
      </c>
      <c r="S1364" s="237">
        <v>3015.05</v>
      </c>
      <c r="T1364" s="237">
        <f>S1364-R1364</f>
        <v>2792.3</v>
      </c>
      <c r="U1364" s="241">
        <f>T1364/S1364</f>
        <v>0.92612062818195384</v>
      </c>
    </row>
    <row r="1365" spans="1:21" ht="13">
      <c r="A1365" s="270"/>
      <c r="B1365" s="245"/>
      <c r="C1365" s="19" t="s">
        <v>47</v>
      </c>
      <c r="D1365" s="17"/>
      <c r="E1365" s="17"/>
      <c r="F1365" s="17">
        <v>64.63</v>
      </c>
      <c r="G1365" s="236"/>
      <c r="H1365" s="236"/>
      <c r="I1365" s="236"/>
      <c r="J1365" s="242"/>
      <c r="L1365" s="249"/>
      <c r="M1365" s="245"/>
      <c r="N1365" s="19" t="s">
        <v>47</v>
      </c>
      <c r="O1365" s="17"/>
      <c r="P1365" s="17"/>
      <c r="Q1365" s="17">
        <v>64.63</v>
      </c>
      <c r="R1365" s="236"/>
      <c r="S1365" s="236"/>
      <c r="T1365" s="236"/>
      <c r="U1365" s="242"/>
    </row>
    <row r="1366" spans="1:21" ht="13">
      <c r="A1366" s="270"/>
      <c r="B1366" s="245"/>
      <c r="C1366" s="19" t="s">
        <v>45</v>
      </c>
      <c r="D1366" s="17"/>
      <c r="E1366" s="17"/>
      <c r="F1366" s="17">
        <v>90.5</v>
      </c>
      <c r="G1366" s="236"/>
      <c r="H1366" s="236"/>
      <c r="I1366" s="236"/>
      <c r="J1366" s="242"/>
      <c r="L1366" s="249"/>
      <c r="M1366" s="245"/>
      <c r="N1366" s="19" t="s">
        <v>45</v>
      </c>
      <c r="O1366" s="17"/>
      <c r="P1366" s="17"/>
      <c r="Q1366" s="17">
        <v>90.5</v>
      </c>
      <c r="R1366" s="236"/>
      <c r="S1366" s="236"/>
      <c r="T1366" s="236"/>
      <c r="U1366" s="242"/>
    </row>
    <row r="1367" spans="1:21" ht="13">
      <c r="A1367" s="270"/>
      <c r="B1367" s="245"/>
      <c r="C1367" s="19" t="s">
        <v>48</v>
      </c>
      <c r="D1367" s="17"/>
      <c r="E1367" s="17"/>
      <c r="F1367" s="17">
        <v>33.380000000000003</v>
      </c>
      <c r="G1367" s="236"/>
      <c r="H1367" s="236"/>
      <c r="I1367" s="236"/>
      <c r="J1367" s="242"/>
      <c r="L1367" s="249"/>
      <c r="M1367" s="245"/>
      <c r="N1367" s="19" t="s">
        <v>48</v>
      </c>
      <c r="O1367" s="17"/>
      <c r="P1367" s="17"/>
      <c r="Q1367" s="17">
        <v>33.380000000000003</v>
      </c>
      <c r="R1367" s="236"/>
      <c r="S1367" s="236"/>
      <c r="T1367" s="236"/>
      <c r="U1367" s="242"/>
    </row>
    <row r="1368" spans="1:21" ht="13">
      <c r="A1368" s="270"/>
      <c r="B1368" s="246"/>
      <c r="C1368" s="20" t="s">
        <v>33</v>
      </c>
      <c r="D1368" s="21"/>
      <c r="E1368" s="21"/>
      <c r="F1368" s="21">
        <v>34.24</v>
      </c>
      <c r="G1368" s="238"/>
      <c r="H1368" s="238"/>
      <c r="I1368" s="238"/>
      <c r="J1368" s="243"/>
      <c r="L1368" s="249"/>
      <c r="M1368" s="246"/>
      <c r="N1368" s="20" t="s">
        <v>33</v>
      </c>
      <c r="O1368" s="21"/>
      <c r="P1368" s="21"/>
      <c r="Q1368" s="21">
        <v>34.24</v>
      </c>
      <c r="R1368" s="238"/>
      <c r="S1368" s="238"/>
      <c r="T1368" s="238"/>
      <c r="U1368" s="243"/>
    </row>
    <row r="1369" spans="1:21" ht="13">
      <c r="A1369" s="270"/>
      <c r="B1369" s="244" t="s">
        <v>534</v>
      </c>
      <c r="C1369" s="15" t="s">
        <v>51</v>
      </c>
      <c r="D1369" s="16"/>
      <c r="E1369" s="16"/>
      <c r="F1369" s="16">
        <v>450</v>
      </c>
      <c r="G1369" s="240">
        <f>SUM(F1369:F1375)</f>
        <v>1023.8400000000001</v>
      </c>
      <c r="H1369" s="237">
        <v>4281</v>
      </c>
      <c r="I1369" s="237">
        <f>H1369-G1369</f>
        <v>3257.16</v>
      </c>
      <c r="J1369" s="241">
        <f>I1369/H1369</f>
        <v>0.76084092501751921</v>
      </c>
      <c r="L1369" s="249"/>
      <c r="M1369" s="244" t="s">
        <v>534</v>
      </c>
      <c r="N1369" s="15" t="s">
        <v>51</v>
      </c>
      <c r="O1369" s="16"/>
      <c r="P1369" s="16"/>
      <c r="Q1369" s="16">
        <v>450</v>
      </c>
      <c r="R1369" s="240">
        <f>SUM(Q1369:Q1375)</f>
        <v>1023.8400000000001</v>
      </c>
      <c r="S1369" s="237">
        <v>4281</v>
      </c>
      <c r="T1369" s="237">
        <f>S1369-R1369</f>
        <v>3257.16</v>
      </c>
      <c r="U1369" s="241">
        <f>T1369/S1369</f>
        <v>0.76084092501751921</v>
      </c>
    </row>
    <row r="1370" spans="1:21" ht="13">
      <c r="A1370" s="270"/>
      <c r="B1370" s="245"/>
      <c r="C1370" s="19" t="s">
        <v>47</v>
      </c>
      <c r="D1370" s="17"/>
      <c r="E1370" s="17"/>
      <c r="F1370" s="17">
        <v>116.48</v>
      </c>
      <c r="G1370" s="236"/>
      <c r="H1370" s="236"/>
      <c r="I1370" s="236"/>
      <c r="J1370" s="242"/>
      <c r="L1370" s="249"/>
      <c r="M1370" s="245"/>
      <c r="N1370" s="19" t="s">
        <v>47</v>
      </c>
      <c r="O1370" s="17"/>
      <c r="P1370" s="17"/>
      <c r="Q1370" s="17">
        <v>116.48</v>
      </c>
      <c r="R1370" s="236"/>
      <c r="S1370" s="236"/>
      <c r="T1370" s="236"/>
      <c r="U1370" s="242"/>
    </row>
    <row r="1371" spans="1:21" ht="13">
      <c r="A1371" s="270"/>
      <c r="B1371" s="245"/>
      <c r="C1371" s="19" t="s">
        <v>45</v>
      </c>
      <c r="D1371" s="17"/>
      <c r="E1371" s="17"/>
      <c r="F1371" s="17">
        <v>116.87</v>
      </c>
      <c r="G1371" s="236"/>
      <c r="H1371" s="236"/>
      <c r="I1371" s="236"/>
      <c r="J1371" s="242"/>
      <c r="L1371" s="249"/>
      <c r="M1371" s="245"/>
      <c r="N1371" s="19" t="s">
        <v>45</v>
      </c>
      <c r="O1371" s="17"/>
      <c r="P1371" s="17"/>
      <c r="Q1371" s="17">
        <v>116.87</v>
      </c>
      <c r="R1371" s="236"/>
      <c r="S1371" s="236"/>
      <c r="T1371" s="236"/>
      <c r="U1371" s="242"/>
    </row>
    <row r="1372" spans="1:21" ht="13">
      <c r="A1372" s="270"/>
      <c r="B1372" s="245"/>
      <c r="C1372" s="19" t="s">
        <v>48</v>
      </c>
      <c r="D1372" s="17"/>
      <c r="E1372" s="17"/>
      <c r="F1372" s="17">
        <v>136.6</v>
      </c>
      <c r="G1372" s="236"/>
      <c r="H1372" s="236"/>
      <c r="I1372" s="236"/>
      <c r="J1372" s="242"/>
      <c r="L1372" s="249"/>
      <c r="M1372" s="245"/>
      <c r="N1372" s="19" t="s">
        <v>48</v>
      </c>
      <c r="O1372" s="17"/>
      <c r="P1372" s="17"/>
      <c r="Q1372" s="17">
        <v>136.6</v>
      </c>
      <c r="R1372" s="236"/>
      <c r="S1372" s="236"/>
      <c r="T1372" s="236"/>
      <c r="U1372" s="242"/>
    </row>
    <row r="1373" spans="1:21" ht="13">
      <c r="A1373" s="270"/>
      <c r="B1373" s="245"/>
      <c r="C1373" s="19" t="s">
        <v>33</v>
      </c>
      <c r="D1373" s="17"/>
      <c r="E1373" s="17"/>
      <c r="F1373" s="17">
        <v>92.71</v>
      </c>
      <c r="G1373" s="236"/>
      <c r="H1373" s="236"/>
      <c r="I1373" s="236"/>
      <c r="J1373" s="242"/>
      <c r="L1373" s="249"/>
      <c r="M1373" s="245"/>
      <c r="N1373" s="19" t="s">
        <v>33</v>
      </c>
      <c r="O1373" s="17"/>
      <c r="P1373" s="17"/>
      <c r="Q1373" s="17">
        <v>92.71</v>
      </c>
      <c r="R1373" s="236"/>
      <c r="S1373" s="236"/>
      <c r="T1373" s="236"/>
      <c r="U1373" s="242"/>
    </row>
    <row r="1374" spans="1:21" ht="13">
      <c r="A1374" s="270"/>
      <c r="B1374" s="245"/>
      <c r="C1374" s="19" t="s">
        <v>44</v>
      </c>
      <c r="D1374" s="17"/>
      <c r="E1374" s="17"/>
      <c r="F1374" s="17">
        <v>111.18</v>
      </c>
      <c r="G1374" s="236"/>
      <c r="H1374" s="236"/>
      <c r="I1374" s="236"/>
      <c r="J1374" s="242"/>
      <c r="L1374" s="249"/>
      <c r="M1374" s="245"/>
      <c r="N1374" s="19" t="s">
        <v>44</v>
      </c>
      <c r="O1374" s="17"/>
      <c r="P1374" s="17"/>
      <c r="Q1374" s="17">
        <v>111.18</v>
      </c>
      <c r="R1374" s="236"/>
      <c r="S1374" s="236"/>
      <c r="T1374" s="236"/>
      <c r="U1374" s="242"/>
    </row>
    <row r="1375" spans="1:21" ht="13">
      <c r="A1375" s="270"/>
      <c r="B1375" s="246"/>
      <c r="C1375" s="20"/>
      <c r="D1375" s="21"/>
      <c r="E1375" s="21"/>
      <c r="F1375" s="21"/>
      <c r="G1375" s="238"/>
      <c r="H1375" s="238"/>
      <c r="I1375" s="238"/>
      <c r="J1375" s="243"/>
      <c r="L1375" s="249"/>
      <c r="M1375" s="246"/>
      <c r="N1375" s="20"/>
      <c r="O1375" s="21"/>
      <c r="P1375" s="21"/>
      <c r="Q1375" s="21"/>
      <c r="R1375" s="238"/>
      <c r="S1375" s="238"/>
      <c r="T1375" s="238"/>
      <c r="U1375" s="243"/>
    </row>
    <row r="1376" spans="1:21" ht="13">
      <c r="A1376" s="270"/>
      <c r="B1376" s="244" t="s">
        <v>535</v>
      </c>
      <c r="C1376" s="15" t="s">
        <v>525</v>
      </c>
      <c r="D1376" s="16">
        <v>13</v>
      </c>
      <c r="E1376" s="16">
        <v>13</v>
      </c>
      <c r="F1376" s="16">
        <f t="shared" ref="F1376:F1383" si="262">D1376*E1376</f>
        <v>169</v>
      </c>
      <c r="G1376" s="240">
        <f>SUM(F1376:F1383)</f>
        <v>789.1</v>
      </c>
      <c r="H1376" s="237">
        <v>2900</v>
      </c>
      <c r="I1376" s="237">
        <f>H1376-G1376</f>
        <v>2110.9</v>
      </c>
      <c r="J1376" s="241">
        <f>I1376/H1376</f>
        <v>0.72789655172413792</v>
      </c>
      <c r="L1376" s="249"/>
      <c r="M1376" s="244" t="s">
        <v>535</v>
      </c>
      <c r="N1376" s="15" t="s">
        <v>525</v>
      </c>
      <c r="O1376" s="16">
        <v>13</v>
      </c>
      <c r="P1376" s="16">
        <v>13</v>
      </c>
      <c r="Q1376" s="16">
        <f t="shared" ref="Q1376:Q1377" si="263">O1376*P1376</f>
        <v>169</v>
      </c>
      <c r="R1376" s="240">
        <f>SUM(Q1376:Q1383)</f>
        <v>769.6</v>
      </c>
      <c r="S1376" s="237">
        <v>2900</v>
      </c>
      <c r="T1376" s="237">
        <f>S1376-R1376</f>
        <v>2130.4</v>
      </c>
      <c r="U1376" s="241">
        <f>T1376/S1376</f>
        <v>0.73462068965517247</v>
      </c>
    </row>
    <row r="1377" spans="1:21" ht="13">
      <c r="A1377" s="270"/>
      <c r="B1377" s="245"/>
      <c r="C1377" s="19" t="s">
        <v>25</v>
      </c>
      <c r="D1377" s="17">
        <v>8.5</v>
      </c>
      <c r="E1377" s="17">
        <v>13</v>
      </c>
      <c r="F1377" s="17">
        <f t="shared" si="262"/>
        <v>110.5</v>
      </c>
      <c r="G1377" s="236"/>
      <c r="H1377" s="236"/>
      <c r="I1377" s="236"/>
      <c r="J1377" s="242"/>
      <c r="L1377" s="249"/>
      <c r="M1377" s="245"/>
      <c r="N1377" s="19" t="s">
        <v>25</v>
      </c>
      <c r="O1377" s="17">
        <v>8.5</v>
      </c>
      <c r="P1377" s="17">
        <v>13</v>
      </c>
      <c r="Q1377" s="17">
        <f t="shared" si="263"/>
        <v>110.5</v>
      </c>
      <c r="R1377" s="236"/>
      <c r="S1377" s="236"/>
      <c r="T1377" s="236"/>
      <c r="U1377" s="242"/>
    </row>
    <row r="1378" spans="1:21" ht="13">
      <c r="A1378" s="270"/>
      <c r="B1378" s="245"/>
      <c r="C1378" s="19" t="s">
        <v>536</v>
      </c>
      <c r="D1378" s="17">
        <v>1.5</v>
      </c>
      <c r="E1378" s="17">
        <v>13</v>
      </c>
      <c r="F1378" s="17">
        <f t="shared" si="262"/>
        <v>19.5</v>
      </c>
      <c r="G1378" s="236"/>
      <c r="H1378" s="236"/>
      <c r="I1378" s="236"/>
      <c r="J1378" s="242"/>
      <c r="L1378" s="249"/>
      <c r="M1378" s="245"/>
      <c r="N1378" s="19" t="s">
        <v>536</v>
      </c>
      <c r="O1378" s="18"/>
      <c r="P1378" s="18"/>
      <c r="Q1378" s="18"/>
      <c r="R1378" s="236"/>
      <c r="S1378" s="236"/>
      <c r="T1378" s="236"/>
      <c r="U1378" s="242"/>
    </row>
    <row r="1379" spans="1:21" ht="13">
      <c r="A1379" s="270"/>
      <c r="B1379" s="245"/>
      <c r="C1379" s="19" t="s">
        <v>537</v>
      </c>
      <c r="D1379" s="17">
        <v>4</v>
      </c>
      <c r="E1379" s="17">
        <v>13</v>
      </c>
      <c r="F1379" s="17">
        <f t="shared" si="262"/>
        <v>52</v>
      </c>
      <c r="G1379" s="236"/>
      <c r="H1379" s="236"/>
      <c r="I1379" s="236"/>
      <c r="J1379" s="242"/>
      <c r="L1379" s="249"/>
      <c r="M1379" s="245"/>
      <c r="N1379" s="19" t="s">
        <v>537</v>
      </c>
      <c r="O1379" s="17">
        <v>4</v>
      </c>
      <c r="P1379" s="17">
        <v>13</v>
      </c>
      <c r="Q1379" s="17">
        <f t="shared" ref="Q1379:Q1383" si="264">O1379*P1379</f>
        <v>52</v>
      </c>
      <c r="R1379" s="236"/>
      <c r="S1379" s="236"/>
      <c r="T1379" s="236"/>
      <c r="U1379" s="242"/>
    </row>
    <row r="1380" spans="1:21" ht="13">
      <c r="A1380" s="270"/>
      <c r="B1380" s="245"/>
      <c r="C1380" s="19" t="s">
        <v>538</v>
      </c>
      <c r="D1380" s="17">
        <v>9.6999999999999993</v>
      </c>
      <c r="E1380" s="17">
        <v>13</v>
      </c>
      <c r="F1380" s="17">
        <f t="shared" si="262"/>
        <v>126.1</v>
      </c>
      <c r="G1380" s="236"/>
      <c r="H1380" s="236"/>
      <c r="I1380" s="236"/>
      <c r="J1380" s="242"/>
      <c r="L1380" s="249"/>
      <c r="M1380" s="245"/>
      <c r="N1380" s="19" t="s">
        <v>538</v>
      </c>
      <c r="O1380" s="17">
        <v>9.6999999999999993</v>
      </c>
      <c r="P1380" s="17">
        <v>13</v>
      </c>
      <c r="Q1380" s="17">
        <f t="shared" si="264"/>
        <v>126.1</v>
      </c>
      <c r="R1380" s="236"/>
      <c r="S1380" s="236"/>
      <c r="T1380" s="236"/>
      <c r="U1380" s="242"/>
    </row>
    <row r="1381" spans="1:21" ht="13">
      <c r="A1381" s="270"/>
      <c r="B1381" s="245"/>
      <c r="C1381" s="19" t="s">
        <v>107</v>
      </c>
      <c r="D1381" s="17">
        <v>8.5</v>
      </c>
      <c r="E1381" s="17">
        <v>13</v>
      </c>
      <c r="F1381" s="17">
        <f t="shared" si="262"/>
        <v>110.5</v>
      </c>
      <c r="G1381" s="236"/>
      <c r="H1381" s="236"/>
      <c r="I1381" s="236"/>
      <c r="J1381" s="242"/>
      <c r="L1381" s="249"/>
      <c r="M1381" s="245"/>
      <c r="N1381" s="19" t="s">
        <v>107</v>
      </c>
      <c r="O1381" s="17">
        <v>8.5</v>
      </c>
      <c r="P1381" s="17">
        <v>13</v>
      </c>
      <c r="Q1381" s="17">
        <f t="shared" si="264"/>
        <v>110.5</v>
      </c>
      <c r="R1381" s="236"/>
      <c r="S1381" s="236"/>
      <c r="T1381" s="236"/>
      <c r="U1381" s="242"/>
    </row>
    <row r="1382" spans="1:21" ht="13">
      <c r="A1382" s="270"/>
      <c r="B1382" s="245"/>
      <c r="C1382" s="19" t="s">
        <v>539</v>
      </c>
      <c r="D1382" s="17">
        <v>8.5</v>
      </c>
      <c r="E1382" s="17">
        <v>13</v>
      </c>
      <c r="F1382" s="17">
        <f t="shared" si="262"/>
        <v>110.5</v>
      </c>
      <c r="G1382" s="236"/>
      <c r="H1382" s="236"/>
      <c r="I1382" s="236"/>
      <c r="J1382" s="242"/>
      <c r="L1382" s="249"/>
      <c r="M1382" s="245"/>
      <c r="N1382" s="19" t="s">
        <v>539</v>
      </c>
      <c r="O1382" s="17">
        <v>8.5</v>
      </c>
      <c r="P1382" s="17">
        <v>13</v>
      </c>
      <c r="Q1382" s="17">
        <f t="shared" si="264"/>
        <v>110.5</v>
      </c>
      <c r="R1382" s="236"/>
      <c r="S1382" s="236"/>
      <c r="T1382" s="236"/>
      <c r="U1382" s="242"/>
    </row>
    <row r="1383" spans="1:21" ht="13">
      <c r="A1383" s="270"/>
      <c r="B1383" s="246"/>
      <c r="C1383" s="20" t="s">
        <v>528</v>
      </c>
      <c r="D1383" s="21">
        <v>7</v>
      </c>
      <c r="E1383" s="21">
        <v>13</v>
      </c>
      <c r="F1383" s="21">
        <f t="shared" si="262"/>
        <v>91</v>
      </c>
      <c r="G1383" s="238"/>
      <c r="H1383" s="238"/>
      <c r="I1383" s="238"/>
      <c r="J1383" s="243"/>
      <c r="L1383" s="249"/>
      <c r="M1383" s="246"/>
      <c r="N1383" s="20" t="s">
        <v>528</v>
      </c>
      <c r="O1383" s="21">
        <v>7</v>
      </c>
      <c r="P1383" s="21">
        <v>13</v>
      </c>
      <c r="Q1383" s="21">
        <f t="shared" si="264"/>
        <v>91</v>
      </c>
      <c r="R1383" s="238"/>
      <c r="S1383" s="238"/>
      <c r="T1383" s="238"/>
      <c r="U1383" s="243"/>
    </row>
    <row r="1384" spans="1:21" ht="13">
      <c r="A1384" s="270"/>
      <c r="B1384" s="244" t="s">
        <v>540</v>
      </c>
      <c r="C1384" s="15" t="s">
        <v>57</v>
      </c>
      <c r="D1384" s="16"/>
      <c r="E1384" s="16"/>
      <c r="F1384" s="16">
        <v>200</v>
      </c>
      <c r="G1384" s="240">
        <f>SUM(F1384:F1386)</f>
        <v>372.39</v>
      </c>
      <c r="H1384" s="237">
        <v>2403.5300000000002</v>
      </c>
      <c r="I1384" s="237">
        <f>H1384-G1384</f>
        <v>2031.1400000000003</v>
      </c>
      <c r="J1384" s="241">
        <f>I1384/H1384</f>
        <v>0.84506538299917211</v>
      </c>
      <c r="L1384" s="249"/>
      <c r="M1384" s="244" t="s">
        <v>540</v>
      </c>
      <c r="N1384" s="15" t="s">
        <v>57</v>
      </c>
      <c r="O1384" s="16"/>
      <c r="P1384" s="16"/>
      <c r="Q1384" s="16">
        <v>200</v>
      </c>
      <c r="R1384" s="240">
        <f>SUM(Q1384:Q1386)</f>
        <v>372.39</v>
      </c>
      <c r="S1384" s="237">
        <v>2403.5300000000002</v>
      </c>
      <c r="T1384" s="237">
        <f>S1384-R1384</f>
        <v>2031.1400000000003</v>
      </c>
      <c r="U1384" s="241">
        <f>T1384/S1384</f>
        <v>0.84506538299917211</v>
      </c>
    </row>
    <row r="1385" spans="1:21" ht="13">
      <c r="A1385" s="270"/>
      <c r="B1385" s="245"/>
      <c r="C1385" s="19" t="s">
        <v>45</v>
      </c>
      <c r="D1385" s="17"/>
      <c r="E1385" s="17"/>
      <c r="F1385" s="17">
        <v>70</v>
      </c>
      <c r="G1385" s="236"/>
      <c r="H1385" s="236"/>
      <c r="I1385" s="236"/>
      <c r="J1385" s="242"/>
      <c r="L1385" s="249"/>
      <c r="M1385" s="245"/>
      <c r="N1385" s="19" t="s">
        <v>45</v>
      </c>
      <c r="O1385" s="17"/>
      <c r="P1385" s="17"/>
      <c r="Q1385" s="17">
        <v>70</v>
      </c>
      <c r="R1385" s="236"/>
      <c r="S1385" s="236"/>
      <c r="T1385" s="236"/>
      <c r="U1385" s="242"/>
    </row>
    <row r="1386" spans="1:21" ht="13">
      <c r="A1386" s="270"/>
      <c r="B1386" s="246"/>
      <c r="C1386" s="20" t="s">
        <v>33</v>
      </c>
      <c r="D1386" s="21"/>
      <c r="E1386" s="21"/>
      <c r="F1386" s="21">
        <v>102.39</v>
      </c>
      <c r="G1386" s="238"/>
      <c r="H1386" s="238"/>
      <c r="I1386" s="238"/>
      <c r="J1386" s="243"/>
      <c r="L1386" s="249"/>
      <c r="M1386" s="246"/>
      <c r="N1386" s="20" t="s">
        <v>33</v>
      </c>
      <c r="O1386" s="21"/>
      <c r="P1386" s="21"/>
      <c r="Q1386" s="21">
        <v>102.39</v>
      </c>
      <c r="R1386" s="238"/>
      <c r="S1386" s="238"/>
      <c r="T1386" s="238"/>
      <c r="U1386" s="243"/>
    </row>
    <row r="1387" spans="1:21" ht="13">
      <c r="A1387" s="270"/>
      <c r="B1387" s="244" t="s">
        <v>541</v>
      </c>
      <c r="C1387" s="15" t="s">
        <v>23</v>
      </c>
      <c r="D1387" s="16">
        <v>14</v>
      </c>
      <c r="E1387" s="16">
        <v>18</v>
      </c>
      <c r="F1387" s="16">
        <f>D1387*E1387</f>
        <v>252</v>
      </c>
      <c r="G1387" s="240">
        <f>SUM(F1387:F1388)</f>
        <v>252</v>
      </c>
      <c r="H1387" s="237">
        <v>1624</v>
      </c>
      <c r="I1387" s="237">
        <f>H1387-G1387</f>
        <v>1372</v>
      </c>
      <c r="J1387" s="241">
        <f>I1387/H1387</f>
        <v>0.84482758620689657</v>
      </c>
      <c r="L1387" s="249"/>
      <c r="M1387" s="244" t="s">
        <v>541</v>
      </c>
      <c r="N1387" s="15" t="s">
        <v>23</v>
      </c>
      <c r="O1387" s="18"/>
      <c r="P1387" s="18"/>
      <c r="Q1387" s="18"/>
      <c r="R1387" s="240">
        <f>SUM(Q1387:Q1388)</f>
        <v>0</v>
      </c>
      <c r="S1387" s="237">
        <v>1624</v>
      </c>
      <c r="T1387" s="237">
        <f>S1387-R1387</f>
        <v>1624</v>
      </c>
      <c r="U1387" s="241">
        <f>T1387/S1387</f>
        <v>1</v>
      </c>
    </row>
    <row r="1388" spans="1:21" ht="13">
      <c r="A1388" s="270"/>
      <c r="B1388" s="246"/>
      <c r="C1388" s="20"/>
      <c r="D1388" s="21"/>
      <c r="E1388" s="21"/>
      <c r="F1388" s="21"/>
      <c r="G1388" s="238"/>
      <c r="H1388" s="238"/>
      <c r="I1388" s="238"/>
      <c r="J1388" s="243"/>
      <c r="L1388" s="249"/>
      <c r="M1388" s="246"/>
      <c r="N1388" s="20"/>
      <c r="O1388" s="21"/>
      <c r="P1388" s="21"/>
      <c r="Q1388" s="21"/>
      <c r="R1388" s="238"/>
      <c r="S1388" s="238"/>
      <c r="T1388" s="238"/>
      <c r="U1388" s="243"/>
    </row>
    <row r="1389" spans="1:21" ht="13">
      <c r="A1389" s="270"/>
      <c r="B1389" s="244" t="s">
        <v>542</v>
      </c>
      <c r="C1389" s="15" t="s">
        <v>436</v>
      </c>
      <c r="D1389" s="17">
        <v>7</v>
      </c>
      <c r="E1389" s="16">
        <v>18</v>
      </c>
      <c r="F1389" s="17">
        <f t="shared" ref="F1389:F1392" si="265">D1389*E1389</f>
        <v>126</v>
      </c>
      <c r="G1389" s="240">
        <f>SUM(F1389:F1393)</f>
        <v>892</v>
      </c>
      <c r="H1389" s="237">
        <v>4150</v>
      </c>
      <c r="I1389" s="237">
        <f>H1389-G1389</f>
        <v>3258</v>
      </c>
      <c r="J1389" s="241">
        <f>I1389/H1389</f>
        <v>0.7850602409638554</v>
      </c>
      <c r="L1389" s="249"/>
      <c r="M1389" s="244" t="s">
        <v>542</v>
      </c>
      <c r="N1389" s="15" t="s">
        <v>436</v>
      </c>
      <c r="O1389" s="18"/>
      <c r="P1389" s="18"/>
      <c r="Q1389" s="18"/>
      <c r="R1389" s="240">
        <f>SUM(Q1389:Q1393)</f>
        <v>640</v>
      </c>
      <c r="S1389" s="237">
        <v>4150</v>
      </c>
      <c r="T1389" s="237">
        <f>S1389-R1389</f>
        <v>3510</v>
      </c>
      <c r="U1389" s="241">
        <f>T1389/S1389</f>
        <v>0.8457831325301205</v>
      </c>
    </row>
    <row r="1390" spans="1:21" ht="13">
      <c r="A1390" s="270"/>
      <c r="B1390" s="245"/>
      <c r="C1390" s="19" t="s">
        <v>23</v>
      </c>
      <c r="D1390" s="24">
        <v>7</v>
      </c>
      <c r="E1390" s="17">
        <v>18</v>
      </c>
      <c r="F1390" s="17">
        <f t="shared" si="265"/>
        <v>126</v>
      </c>
      <c r="G1390" s="236"/>
      <c r="H1390" s="236"/>
      <c r="I1390" s="236"/>
      <c r="J1390" s="242"/>
      <c r="L1390" s="249"/>
      <c r="M1390" s="245"/>
      <c r="N1390" s="19" t="s">
        <v>23</v>
      </c>
      <c r="O1390" s="18"/>
      <c r="P1390" s="18"/>
      <c r="Q1390" s="18"/>
      <c r="R1390" s="236"/>
      <c r="S1390" s="236"/>
      <c r="T1390" s="236"/>
      <c r="U1390" s="242"/>
    </row>
    <row r="1391" spans="1:21" ht="13">
      <c r="A1391" s="270"/>
      <c r="B1391" s="245"/>
      <c r="C1391" s="19" t="s">
        <v>38</v>
      </c>
      <c r="D1391" s="24">
        <v>8.75</v>
      </c>
      <c r="E1391" s="17">
        <v>17</v>
      </c>
      <c r="F1391" s="17">
        <f t="shared" si="265"/>
        <v>148.75</v>
      </c>
      <c r="G1391" s="236"/>
      <c r="H1391" s="236"/>
      <c r="I1391" s="236"/>
      <c r="J1391" s="242"/>
      <c r="L1391" s="249"/>
      <c r="M1391" s="245"/>
      <c r="N1391" s="19" t="s">
        <v>38</v>
      </c>
      <c r="O1391" s="24">
        <v>8.75</v>
      </c>
      <c r="P1391" s="17">
        <v>17</v>
      </c>
      <c r="Q1391" s="17">
        <f t="shared" ref="Q1391:Q1392" si="266">O1391*P1391</f>
        <v>148.75</v>
      </c>
      <c r="R1391" s="236"/>
      <c r="S1391" s="236"/>
      <c r="T1391" s="236"/>
      <c r="U1391" s="242"/>
    </row>
    <row r="1392" spans="1:21" ht="13">
      <c r="A1392" s="270"/>
      <c r="B1392" s="245"/>
      <c r="C1392" s="19" t="s">
        <v>27</v>
      </c>
      <c r="D1392" s="17">
        <v>32.75</v>
      </c>
      <c r="E1392" s="17">
        <v>15</v>
      </c>
      <c r="F1392" s="17">
        <f t="shared" si="265"/>
        <v>491.25</v>
      </c>
      <c r="G1392" s="236"/>
      <c r="H1392" s="236"/>
      <c r="I1392" s="236"/>
      <c r="J1392" s="242"/>
      <c r="L1392" s="249"/>
      <c r="M1392" s="245"/>
      <c r="N1392" s="19" t="s">
        <v>27</v>
      </c>
      <c r="O1392" s="17">
        <v>32.75</v>
      </c>
      <c r="P1392" s="17">
        <v>15</v>
      </c>
      <c r="Q1392" s="17">
        <f t="shared" si="266"/>
        <v>491.25</v>
      </c>
      <c r="R1392" s="236"/>
      <c r="S1392" s="236"/>
      <c r="T1392" s="236"/>
      <c r="U1392" s="242"/>
    </row>
    <row r="1393" spans="1:21" ht="13">
      <c r="A1393" s="270"/>
      <c r="B1393" s="246"/>
      <c r="C1393" s="20"/>
      <c r="D1393" s="21"/>
      <c r="E1393" s="21"/>
      <c r="F1393" s="21"/>
      <c r="G1393" s="238"/>
      <c r="H1393" s="238"/>
      <c r="I1393" s="238"/>
      <c r="J1393" s="243"/>
      <c r="L1393" s="249"/>
      <c r="M1393" s="246"/>
      <c r="N1393" s="20"/>
      <c r="O1393" s="21"/>
      <c r="P1393" s="21"/>
      <c r="Q1393" s="21"/>
      <c r="R1393" s="238"/>
      <c r="S1393" s="238"/>
      <c r="T1393" s="238"/>
      <c r="U1393" s="243"/>
    </row>
    <row r="1394" spans="1:21" ht="13">
      <c r="A1394" s="270"/>
      <c r="B1394" s="244" t="s">
        <v>543</v>
      </c>
      <c r="C1394" s="15" t="s">
        <v>436</v>
      </c>
      <c r="D1394" s="17">
        <v>21</v>
      </c>
      <c r="E1394" s="16">
        <v>18</v>
      </c>
      <c r="F1394" s="17">
        <f t="shared" ref="F1394:F1397" si="267">D1394*E1394</f>
        <v>378</v>
      </c>
      <c r="G1394" s="240">
        <f>SUM(F1394:F1398)</f>
        <v>1018.05</v>
      </c>
      <c r="H1394" s="237">
        <v>4400</v>
      </c>
      <c r="I1394" s="237">
        <f>H1394-G1394</f>
        <v>3381.95</v>
      </c>
      <c r="J1394" s="241">
        <f>I1394/H1394</f>
        <v>0.768625</v>
      </c>
      <c r="L1394" s="249"/>
      <c r="M1394" s="244" t="s">
        <v>543</v>
      </c>
      <c r="N1394" s="15" t="s">
        <v>436</v>
      </c>
      <c r="O1394" s="18"/>
      <c r="P1394" s="18"/>
      <c r="Q1394" s="18"/>
      <c r="R1394" s="240">
        <f>SUM(Q1394:Q1398)</f>
        <v>388.05</v>
      </c>
      <c r="S1394" s="237">
        <v>4400</v>
      </c>
      <c r="T1394" s="237">
        <f>S1394-R1394</f>
        <v>4011.95</v>
      </c>
      <c r="U1394" s="241">
        <f>T1394/S1394</f>
        <v>0.91180681818181819</v>
      </c>
    </row>
    <row r="1395" spans="1:21" ht="13">
      <c r="A1395" s="270"/>
      <c r="B1395" s="245"/>
      <c r="C1395" s="19" t="s">
        <v>23</v>
      </c>
      <c r="D1395" s="24">
        <v>14</v>
      </c>
      <c r="E1395" s="17">
        <v>18</v>
      </c>
      <c r="F1395" s="17">
        <f t="shared" si="267"/>
        <v>252</v>
      </c>
      <c r="G1395" s="236"/>
      <c r="H1395" s="236"/>
      <c r="I1395" s="236"/>
      <c r="J1395" s="242"/>
      <c r="L1395" s="249"/>
      <c r="M1395" s="245"/>
      <c r="N1395" s="19" t="s">
        <v>23</v>
      </c>
      <c r="O1395" s="18"/>
      <c r="P1395" s="18"/>
      <c r="Q1395" s="18"/>
      <c r="R1395" s="236"/>
      <c r="S1395" s="236"/>
      <c r="T1395" s="236"/>
      <c r="U1395" s="242"/>
    </row>
    <row r="1396" spans="1:21" ht="13">
      <c r="A1396" s="270"/>
      <c r="B1396" s="245"/>
      <c r="C1396" s="19" t="s">
        <v>544</v>
      </c>
      <c r="D1396" s="24">
        <v>5.3</v>
      </c>
      <c r="E1396" s="17">
        <v>15</v>
      </c>
      <c r="F1396" s="17">
        <f t="shared" si="267"/>
        <v>79.5</v>
      </c>
      <c r="G1396" s="236"/>
      <c r="H1396" s="236"/>
      <c r="I1396" s="236"/>
      <c r="J1396" s="242"/>
      <c r="L1396" s="249"/>
      <c r="M1396" s="245"/>
      <c r="N1396" s="19" t="s">
        <v>544</v>
      </c>
      <c r="O1396" s="24">
        <v>5.3</v>
      </c>
      <c r="P1396" s="17">
        <v>15</v>
      </c>
      <c r="Q1396" s="17">
        <f t="shared" ref="Q1396:Q1397" si="268">O1396*P1396</f>
        <v>79.5</v>
      </c>
      <c r="R1396" s="236"/>
      <c r="S1396" s="236"/>
      <c r="T1396" s="236"/>
      <c r="U1396" s="242"/>
    </row>
    <row r="1397" spans="1:21" ht="13">
      <c r="A1397" s="270"/>
      <c r="B1397" s="245"/>
      <c r="C1397" s="19" t="s">
        <v>70</v>
      </c>
      <c r="D1397" s="17">
        <v>20.57</v>
      </c>
      <c r="E1397" s="17">
        <v>15</v>
      </c>
      <c r="F1397" s="17">
        <f t="shared" si="267"/>
        <v>308.55</v>
      </c>
      <c r="G1397" s="236"/>
      <c r="H1397" s="236"/>
      <c r="I1397" s="236"/>
      <c r="J1397" s="242"/>
      <c r="L1397" s="249"/>
      <c r="M1397" s="245"/>
      <c r="N1397" s="19" t="s">
        <v>70</v>
      </c>
      <c r="O1397" s="17">
        <v>20.57</v>
      </c>
      <c r="P1397" s="17">
        <v>15</v>
      </c>
      <c r="Q1397" s="17">
        <f t="shared" si="268"/>
        <v>308.55</v>
      </c>
      <c r="R1397" s="236"/>
      <c r="S1397" s="236"/>
      <c r="T1397" s="236"/>
      <c r="U1397" s="242"/>
    </row>
    <row r="1398" spans="1:21" ht="13">
      <c r="A1398" s="270"/>
      <c r="B1398" s="246"/>
      <c r="C1398" s="20"/>
      <c r="D1398" s="21"/>
      <c r="E1398" s="21"/>
      <c r="F1398" s="21"/>
      <c r="G1398" s="238"/>
      <c r="H1398" s="238"/>
      <c r="I1398" s="238"/>
      <c r="J1398" s="243"/>
      <c r="L1398" s="249"/>
      <c r="M1398" s="246"/>
      <c r="N1398" s="20"/>
      <c r="O1398" s="21"/>
      <c r="P1398" s="21"/>
      <c r="Q1398" s="21"/>
      <c r="R1398" s="238"/>
      <c r="S1398" s="238"/>
      <c r="T1398" s="238"/>
      <c r="U1398" s="243"/>
    </row>
    <row r="1399" spans="1:21" ht="13">
      <c r="A1399" s="270"/>
      <c r="B1399" s="244" t="s">
        <v>545</v>
      </c>
      <c r="C1399" s="15" t="s">
        <v>436</v>
      </c>
      <c r="D1399" s="17">
        <v>35</v>
      </c>
      <c r="E1399" s="16">
        <v>18</v>
      </c>
      <c r="F1399" s="17">
        <f t="shared" ref="F1399:F1404" si="269">D1399*E1399</f>
        <v>630</v>
      </c>
      <c r="G1399" s="240">
        <f>SUM(F1399:F1404)</f>
        <v>3173.4</v>
      </c>
      <c r="H1399" s="237">
        <v>7500</v>
      </c>
      <c r="I1399" s="237">
        <f>H1399-G1399</f>
        <v>4326.6000000000004</v>
      </c>
      <c r="J1399" s="241">
        <f>I1399/H1399</f>
        <v>0.57688000000000006</v>
      </c>
      <c r="L1399" s="249"/>
      <c r="M1399" s="244" t="s">
        <v>545</v>
      </c>
      <c r="N1399" s="15" t="s">
        <v>436</v>
      </c>
      <c r="O1399" s="18"/>
      <c r="P1399" s="18"/>
      <c r="Q1399" s="18"/>
      <c r="R1399" s="240">
        <f>SUM(Q1399:Q1404)</f>
        <v>1913.4</v>
      </c>
      <c r="S1399" s="237">
        <v>7500</v>
      </c>
      <c r="T1399" s="237">
        <f>S1399-R1399</f>
        <v>5586.6</v>
      </c>
      <c r="U1399" s="241">
        <f>T1399/S1399</f>
        <v>0.7448800000000001</v>
      </c>
    </row>
    <row r="1400" spans="1:21" ht="13">
      <c r="A1400" s="270"/>
      <c r="B1400" s="245"/>
      <c r="C1400" s="19" t="s">
        <v>23</v>
      </c>
      <c r="D1400" s="24">
        <v>35</v>
      </c>
      <c r="E1400" s="17">
        <v>18</v>
      </c>
      <c r="F1400" s="17">
        <f t="shared" si="269"/>
        <v>630</v>
      </c>
      <c r="G1400" s="236"/>
      <c r="H1400" s="236"/>
      <c r="I1400" s="236"/>
      <c r="J1400" s="242"/>
      <c r="L1400" s="249"/>
      <c r="M1400" s="245"/>
      <c r="N1400" s="19" t="s">
        <v>23</v>
      </c>
      <c r="O1400" s="18"/>
      <c r="P1400" s="18"/>
      <c r="Q1400" s="18"/>
      <c r="R1400" s="236"/>
      <c r="S1400" s="236"/>
      <c r="T1400" s="236"/>
      <c r="U1400" s="242"/>
    </row>
    <row r="1401" spans="1:21" ht="13">
      <c r="A1401" s="270"/>
      <c r="B1401" s="245"/>
      <c r="C1401" s="19" t="s">
        <v>49</v>
      </c>
      <c r="D1401" s="24">
        <v>37.86</v>
      </c>
      <c r="E1401" s="17">
        <v>15</v>
      </c>
      <c r="F1401" s="17">
        <f t="shared" si="269"/>
        <v>567.9</v>
      </c>
      <c r="G1401" s="236"/>
      <c r="H1401" s="236"/>
      <c r="I1401" s="236"/>
      <c r="J1401" s="242"/>
      <c r="L1401" s="249"/>
      <c r="M1401" s="245"/>
      <c r="N1401" s="19" t="s">
        <v>49</v>
      </c>
      <c r="O1401" s="24">
        <v>37.86</v>
      </c>
      <c r="P1401" s="17">
        <v>15</v>
      </c>
      <c r="Q1401" s="17">
        <f t="shared" ref="Q1401:Q1404" si="270">O1401*P1401</f>
        <v>567.9</v>
      </c>
      <c r="R1401" s="236"/>
      <c r="S1401" s="236"/>
      <c r="T1401" s="236"/>
      <c r="U1401" s="242"/>
    </row>
    <row r="1402" spans="1:21" ht="13">
      <c r="A1402" s="270"/>
      <c r="B1402" s="245"/>
      <c r="C1402" s="19" t="s">
        <v>50</v>
      </c>
      <c r="D1402" s="17">
        <v>38.64</v>
      </c>
      <c r="E1402" s="17">
        <v>15</v>
      </c>
      <c r="F1402" s="17">
        <f t="shared" si="269"/>
        <v>579.6</v>
      </c>
      <c r="G1402" s="236"/>
      <c r="H1402" s="236"/>
      <c r="I1402" s="236"/>
      <c r="J1402" s="242"/>
      <c r="L1402" s="249"/>
      <c r="M1402" s="245"/>
      <c r="N1402" s="19" t="s">
        <v>50</v>
      </c>
      <c r="O1402" s="17">
        <v>38.64</v>
      </c>
      <c r="P1402" s="17">
        <v>15</v>
      </c>
      <c r="Q1402" s="17">
        <f t="shared" si="270"/>
        <v>579.6</v>
      </c>
      <c r="R1402" s="236"/>
      <c r="S1402" s="236"/>
      <c r="T1402" s="236"/>
      <c r="U1402" s="242"/>
    </row>
    <row r="1403" spans="1:21" ht="13">
      <c r="A1403" s="270"/>
      <c r="B1403" s="245"/>
      <c r="C1403" s="19" t="s">
        <v>38</v>
      </c>
      <c r="D1403" s="17">
        <v>26.7</v>
      </c>
      <c r="E1403" s="17">
        <v>15</v>
      </c>
      <c r="F1403" s="17">
        <f t="shared" si="269"/>
        <v>400.5</v>
      </c>
      <c r="G1403" s="236"/>
      <c r="H1403" s="236"/>
      <c r="I1403" s="236"/>
      <c r="J1403" s="242"/>
      <c r="L1403" s="249"/>
      <c r="M1403" s="245"/>
      <c r="N1403" s="19" t="s">
        <v>38</v>
      </c>
      <c r="O1403" s="17">
        <v>26.7</v>
      </c>
      <c r="P1403" s="17">
        <v>15</v>
      </c>
      <c r="Q1403" s="17">
        <f t="shared" si="270"/>
        <v>400.5</v>
      </c>
      <c r="R1403" s="236"/>
      <c r="S1403" s="236"/>
      <c r="T1403" s="236"/>
      <c r="U1403" s="242"/>
    </row>
    <row r="1404" spans="1:21" ht="13">
      <c r="A1404" s="270"/>
      <c r="B1404" s="246"/>
      <c r="C1404" s="20" t="s">
        <v>31</v>
      </c>
      <c r="D1404" s="21">
        <v>24.36</v>
      </c>
      <c r="E1404" s="21">
        <v>15</v>
      </c>
      <c r="F1404" s="17">
        <f t="shared" si="269"/>
        <v>365.4</v>
      </c>
      <c r="G1404" s="238"/>
      <c r="H1404" s="238"/>
      <c r="I1404" s="238"/>
      <c r="J1404" s="243"/>
      <c r="L1404" s="249"/>
      <c r="M1404" s="246"/>
      <c r="N1404" s="20" t="s">
        <v>31</v>
      </c>
      <c r="O1404" s="21">
        <v>24.36</v>
      </c>
      <c r="P1404" s="21">
        <v>15</v>
      </c>
      <c r="Q1404" s="17">
        <f t="shared" si="270"/>
        <v>365.4</v>
      </c>
      <c r="R1404" s="238"/>
      <c r="S1404" s="238"/>
      <c r="T1404" s="238"/>
      <c r="U1404" s="243"/>
    </row>
    <row r="1405" spans="1:21" ht="13">
      <c r="A1405" s="270"/>
      <c r="B1405" s="244" t="s">
        <v>546</v>
      </c>
      <c r="C1405" s="15" t="s">
        <v>57</v>
      </c>
      <c r="D1405" s="16"/>
      <c r="E1405" s="16"/>
      <c r="F1405" s="16">
        <v>100</v>
      </c>
      <c r="G1405" s="240">
        <f>SUM(F1405:F1406)</f>
        <v>192.7</v>
      </c>
      <c r="H1405" s="237">
        <v>1950</v>
      </c>
      <c r="I1405" s="237">
        <f>H1405-G1405</f>
        <v>1757.3</v>
      </c>
      <c r="J1405" s="241">
        <f>I1405/H1405</f>
        <v>0.90117948717948715</v>
      </c>
      <c r="L1405" s="249"/>
      <c r="M1405" s="244" t="s">
        <v>546</v>
      </c>
      <c r="N1405" s="15" t="s">
        <v>57</v>
      </c>
      <c r="O1405" s="16"/>
      <c r="P1405" s="16"/>
      <c r="Q1405" s="16">
        <v>100</v>
      </c>
      <c r="R1405" s="240">
        <f>SUM(Q1405:Q1406)</f>
        <v>192.7</v>
      </c>
      <c r="S1405" s="237">
        <v>1950</v>
      </c>
      <c r="T1405" s="237">
        <f>S1405-R1405</f>
        <v>1757.3</v>
      </c>
      <c r="U1405" s="241">
        <f>T1405/S1405</f>
        <v>0.90117948717948715</v>
      </c>
    </row>
    <row r="1406" spans="1:21" ht="13">
      <c r="A1406" s="270"/>
      <c r="B1406" s="246"/>
      <c r="C1406" s="20" t="s">
        <v>33</v>
      </c>
      <c r="D1406" s="21"/>
      <c r="E1406" s="21"/>
      <c r="F1406" s="21">
        <v>92.7</v>
      </c>
      <c r="G1406" s="238"/>
      <c r="H1406" s="238"/>
      <c r="I1406" s="238"/>
      <c r="J1406" s="243"/>
      <c r="L1406" s="249"/>
      <c r="M1406" s="246"/>
      <c r="N1406" s="20" t="s">
        <v>33</v>
      </c>
      <c r="O1406" s="21"/>
      <c r="P1406" s="21"/>
      <c r="Q1406" s="21">
        <v>92.7</v>
      </c>
      <c r="R1406" s="238"/>
      <c r="S1406" s="238"/>
      <c r="T1406" s="238"/>
      <c r="U1406" s="243"/>
    </row>
    <row r="1407" spans="1:21" ht="13">
      <c r="A1407" s="270"/>
      <c r="B1407" s="244" t="s">
        <v>547</v>
      </c>
      <c r="C1407" s="15" t="s">
        <v>70</v>
      </c>
      <c r="D1407" s="16">
        <v>27.66</v>
      </c>
      <c r="E1407" s="16">
        <v>15</v>
      </c>
      <c r="F1407" s="16">
        <f t="shared" ref="F1407:F1410" si="271">D1407*E1407</f>
        <v>414.9</v>
      </c>
      <c r="G1407" s="240">
        <f>SUM(F1407:F1414)</f>
        <v>2250.85</v>
      </c>
      <c r="H1407" s="237">
        <v>3680.25</v>
      </c>
      <c r="I1407" s="237">
        <f>H1407-G1407</f>
        <v>1429.4</v>
      </c>
      <c r="J1407" s="241">
        <f>I1407/H1407</f>
        <v>0.38839752734189253</v>
      </c>
      <c r="L1407" s="249"/>
      <c r="M1407" s="244" t="s">
        <v>547</v>
      </c>
      <c r="N1407" s="15" t="s">
        <v>70</v>
      </c>
      <c r="O1407" s="16">
        <v>27.66</v>
      </c>
      <c r="P1407" s="16">
        <v>15</v>
      </c>
      <c r="Q1407" s="16">
        <f t="shared" ref="Q1407:Q1410" si="272">O1407*P1407</f>
        <v>414.9</v>
      </c>
      <c r="R1407" s="240">
        <f>SUM(Q1407:Q1414)</f>
        <v>2250.85</v>
      </c>
      <c r="S1407" s="237">
        <v>3680.25</v>
      </c>
      <c r="T1407" s="237">
        <f>S1407-R1407</f>
        <v>1429.4</v>
      </c>
      <c r="U1407" s="241">
        <f>T1407/S1407</f>
        <v>0.38839752734189253</v>
      </c>
    </row>
    <row r="1408" spans="1:21" ht="13">
      <c r="A1408" s="270"/>
      <c r="B1408" s="245"/>
      <c r="C1408" s="19" t="s">
        <v>38</v>
      </c>
      <c r="D1408" s="17">
        <v>27.59</v>
      </c>
      <c r="E1408" s="17">
        <v>15</v>
      </c>
      <c r="F1408" s="17">
        <f t="shared" si="271"/>
        <v>413.85</v>
      </c>
      <c r="G1408" s="236"/>
      <c r="H1408" s="236"/>
      <c r="I1408" s="236"/>
      <c r="J1408" s="242"/>
      <c r="L1408" s="249"/>
      <c r="M1408" s="245"/>
      <c r="N1408" s="19" t="s">
        <v>38</v>
      </c>
      <c r="O1408" s="17">
        <v>27.59</v>
      </c>
      <c r="P1408" s="17">
        <v>15</v>
      </c>
      <c r="Q1408" s="17">
        <f t="shared" si="272"/>
        <v>413.85</v>
      </c>
      <c r="R1408" s="236"/>
      <c r="S1408" s="236"/>
      <c r="T1408" s="236"/>
      <c r="U1408" s="242"/>
    </row>
    <row r="1409" spans="1:21" ht="13">
      <c r="A1409" s="270"/>
      <c r="B1409" s="245"/>
      <c r="C1409" s="19" t="s">
        <v>32</v>
      </c>
      <c r="D1409" s="17">
        <v>25.21</v>
      </c>
      <c r="E1409" s="17">
        <v>15</v>
      </c>
      <c r="F1409" s="17">
        <f t="shared" si="271"/>
        <v>378.15000000000003</v>
      </c>
      <c r="G1409" s="236"/>
      <c r="H1409" s="236"/>
      <c r="I1409" s="236"/>
      <c r="J1409" s="242"/>
      <c r="L1409" s="249"/>
      <c r="M1409" s="245"/>
      <c r="N1409" s="19" t="s">
        <v>32</v>
      </c>
      <c r="O1409" s="17">
        <v>25.21</v>
      </c>
      <c r="P1409" s="17">
        <v>15</v>
      </c>
      <c r="Q1409" s="17">
        <f t="shared" si="272"/>
        <v>378.15000000000003</v>
      </c>
      <c r="R1409" s="236"/>
      <c r="S1409" s="236"/>
      <c r="T1409" s="236"/>
      <c r="U1409" s="242"/>
    </row>
    <row r="1410" spans="1:21" ht="13">
      <c r="A1410" s="270"/>
      <c r="B1410" s="245"/>
      <c r="C1410" s="19" t="s">
        <v>31</v>
      </c>
      <c r="D1410" s="17">
        <v>26.91</v>
      </c>
      <c r="E1410" s="17">
        <v>15</v>
      </c>
      <c r="F1410" s="17">
        <f t="shared" si="271"/>
        <v>403.65</v>
      </c>
      <c r="G1410" s="236"/>
      <c r="H1410" s="236"/>
      <c r="I1410" s="236"/>
      <c r="J1410" s="242"/>
      <c r="L1410" s="249"/>
      <c r="M1410" s="245"/>
      <c r="N1410" s="19" t="s">
        <v>31</v>
      </c>
      <c r="O1410" s="17">
        <v>26.91</v>
      </c>
      <c r="P1410" s="17">
        <v>15</v>
      </c>
      <c r="Q1410" s="17">
        <f t="shared" si="272"/>
        <v>403.65</v>
      </c>
      <c r="R1410" s="236"/>
      <c r="S1410" s="236"/>
      <c r="T1410" s="236"/>
      <c r="U1410" s="242"/>
    </row>
    <row r="1411" spans="1:21" ht="13">
      <c r="A1411" s="270"/>
      <c r="B1411" s="245"/>
      <c r="C1411" s="19" t="s">
        <v>45</v>
      </c>
      <c r="D1411" s="17"/>
      <c r="E1411" s="17"/>
      <c r="F1411" s="17">
        <v>217</v>
      </c>
      <c r="G1411" s="236"/>
      <c r="H1411" s="236"/>
      <c r="I1411" s="236"/>
      <c r="J1411" s="242"/>
      <c r="L1411" s="249"/>
      <c r="M1411" s="245"/>
      <c r="N1411" s="19" t="s">
        <v>45</v>
      </c>
      <c r="O1411" s="17"/>
      <c r="P1411" s="17"/>
      <c r="Q1411" s="17">
        <v>217</v>
      </c>
      <c r="R1411" s="236"/>
      <c r="S1411" s="236"/>
      <c r="T1411" s="236"/>
      <c r="U1411" s="242"/>
    </row>
    <row r="1412" spans="1:21" ht="13">
      <c r="A1412" s="270"/>
      <c r="B1412" s="245"/>
      <c r="C1412" s="19" t="s">
        <v>44</v>
      </c>
      <c r="D1412" s="17"/>
      <c r="E1412" s="17"/>
      <c r="F1412" s="17">
        <v>48.6</v>
      </c>
      <c r="G1412" s="236"/>
      <c r="H1412" s="236"/>
      <c r="I1412" s="236"/>
      <c r="J1412" s="242"/>
      <c r="L1412" s="249"/>
      <c r="M1412" s="245"/>
      <c r="N1412" s="19" t="s">
        <v>44</v>
      </c>
      <c r="O1412" s="17"/>
      <c r="P1412" s="17"/>
      <c r="Q1412" s="17">
        <v>48.6</v>
      </c>
      <c r="R1412" s="236"/>
      <c r="S1412" s="236"/>
      <c r="T1412" s="236"/>
      <c r="U1412" s="242"/>
    </row>
    <row r="1413" spans="1:21" ht="13">
      <c r="A1413" s="270"/>
      <c r="B1413" s="245"/>
      <c r="C1413" s="19" t="s">
        <v>33</v>
      </c>
      <c r="D1413" s="17"/>
      <c r="E1413" s="17"/>
      <c r="F1413" s="17">
        <v>96.01</v>
      </c>
      <c r="G1413" s="236"/>
      <c r="H1413" s="236"/>
      <c r="I1413" s="236"/>
      <c r="J1413" s="242"/>
      <c r="L1413" s="249"/>
      <c r="M1413" s="245"/>
      <c r="N1413" s="19" t="s">
        <v>33</v>
      </c>
      <c r="O1413" s="17"/>
      <c r="P1413" s="17"/>
      <c r="Q1413" s="17">
        <v>96.01</v>
      </c>
      <c r="R1413" s="236"/>
      <c r="S1413" s="236"/>
      <c r="T1413" s="236"/>
      <c r="U1413" s="242"/>
    </row>
    <row r="1414" spans="1:21" ht="13">
      <c r="A1414" s="270"/>
      <c r="B1414" s="246"/>
      <c r="C1414" s="20" t="s">
        <v>47</v>
      </c>
      <c r="D1414" s="21"/>
      <c r="E1414" s="21"/>
      <c r="F1414" s="21">
        <v>278.69</v>
      </c>
      <c r="G1414" s="238"/>
      <c r="H1414" s="238"/>
      <c r="I1414" s="238"/>
      <c r="J1414" s="243"/>
      <c r="L1414" s="249"/>
      <c r="M1414" s="246"/>
      <c r="N1414" s="20" t="s">
        <v>47</v>
      </c>
      <c r="O1414" s="21"/>
      <c r="P1414" s="21"/>
      <c r="Q1414" s="21">
        <v>278.69</v>
      </c>
      <c r="R1414" s="238"/>
      <c r="S1414" s="238"/>
      <c r="T1414" s="238"/>
      <c r="U1414" s="243"/>
    </row>
    <row r="1415" spans="1:21" ht="13">
      <c r="A1415" s="270"/>
      <c r="B1415" s="244" t="s">
        <v>548</v>
      </c>
      <c r="C1415" s="15" t="s">
        <v>70</v>
      </c>
      <c r="D1415" s="16">
        <v>8</v>
      </c>
      <c r="E1415" s="16">
        <v>15</v>
      </c>
      <c r="F1415" s="16">
        <f>D1415*E1415</f>
        <v>120</v>
      </c>
      <c r="G1415" s="240">
        <f>SUM(F1415:F1416)</f>
        <v>120</v>
      </c>
      <c r="H1415" s="237">
        <v>1200</v>
      </c>
      <c r="I1415" s="237">
        <f>H1415-G1415</f>
        <v>1080</v>
      </c>
      <c r="J1415" s="241">
        <f>I1415/H1415</f>
        <v>0.9</v>
      </c>
      <c r="L1415" s="249"/>
      <c r="M1415" s="244" t="s">
        <v>548</v>
      </c>
      <c r="N1415" s="15" t="s">
        <v>70</v>
      </c>
      <c r="O1415" s="16">
        <v>8</v>
      </c>
      <c r="P1415" s="16">
        <v>15</v>
      </c>
      <c r="Q1415" s="16">
        <f>O1415*P1415</f>
        <v>120</v>
      </c>
      <c r="R1415" s="240">
        <f>SUM(Q1415:Q1416)</f>
        <v>120</v>
      </c>
      <c r="S1415" s="237">
        <v>1200</v>
      </c>
      <c r="T1415" s="237">
        <f>S1415-R1415</f>
        <v>1080</v>
      </c>
      <c r="U1415" s="241">
        <f>T1415/S1415</f>
        <v>0.9</v>
      </c>
    </row>
    <row r="1416" spans="1:21" ht="13">
      <c r="A1416" s="270"/>
      <c r="B1416" s="246"/>
      <c r="C1416" s="20"/>
      <c r="D1416" s="21"/>
      <c r="E1416" s="21"/>
      <c r="F1416" s="21"/>
      <c r="G1416" s="238"/>
      <c r="H1416" s="238"/>
      <c r="I1416" s="238"/>
      <c r="J1416" s="243"/>
      <c r="L1416" s="249"/>
      <c r="M1416" s="246"/>
      <c r="N1416" s="20"/>
      <c r="O1416" s="21"/>
      <c r="P1416" s="21"/>
      <c r="Q1416" s="21"/>
      <c r="R1416" s="238"/>
      <c r="S1416" s="238"/>
      <c r="T1416" s="238"/>
      <c r="U1416" s="243"/>
    </row>
    <row r="1417" spans="1:21" ht="13">
      <c r="A1417" s="270"/>
      <c r="B1417" s="244" t="s">
        <v>642</v>
      </c>
      <c r="C1417" s="15" t="s">
        <v>50</v>
      </c>
      <c r="D1417" s="16">
        <v>20.6</v>
      </c>
      <c r="E1417" s="16">
        <v>15</v>
      </c>
      <c r="F1417" s="16">
        <f t="shared" ref="F1417:F1424" si="273">D1417*E1417</f>
        <v>309</v>
      </c>
      <c r="G1417" s="240">
        <f>SUM(F1417:F1424)</f>
        <v>1333.53</v>
      </c>
      <c r="H1417" s="237">
        <v>1428</v>
      </c>
      <c r="I1417" s="237">
        <f>H1417-G1417</f>
        <v>94.470000000000027</v>
      </c>
      <c r="J1417" s="241">
        <f>I1417/H1417</f>
        <v>6.6155462184873975E-2</v>
      </c>
      <c r="L1417" s="249"/>
      <c r="M1417" s="244" t="s">
        <v>642</v>
      </c>
      <c r="N1417" s="15" t="s">
        <v>50</v>
      </c>
      <c r="O1417" s="16">
        <v>20.6</v>
      </c>
      <c r="P1417" s="16">
        <v>15</v>
      </c>
      <c r="Q1417" s="16">
        <f t="shared" ref="Q1417:Q1424" si="274">O1417*P1417</f>
        <v>309</v>
      </c>
      <c r="R1417" s="240">
        <f>SUM(Q1417:Q1424)</f>
        <v>1333.53</v>
      </c>
      <c r="S1417" s="237">
        <v>1428</v>
      </c>
      <c r="T1417" s="237">
        <f>S1417-R1417</f>
        <v>94.470000000000027</v>
      </c>
      <c r="U1417" s="241">
        <f>T1417/S1417</f>
        <v>6.6155462184873975E-2</v>
      </c>
    </row>
    <row r="1418" spans="1:21" ht="13">
      <c r="A1418" s="270"/>
      <c r="B1418" s="245"/>
      <c r="C1418" s="19" t="s">
        <v>54</v>
      </c>
      <c r="D1418" s="17">
        <v>11.78</v>
      </c>
      <c r="E1418" s="17">
        <v>13</v>
      </c>
      <c r="F1418" s="17">
        <f t="shared" si="273"/>
        <v>153.13999999999999</v>
      </c>
      <c r="G1418" s="236"/>
      <c r="H1418" s="236"/>
      <c r="I1418" s="236"/>
      <c r="J1418" s="242"/>
      <c r="L1418" s="249"/>
      <c r="M1418" s="245"/>
      <c r="N1418" s="19" t="s">
        <v>54</v>
      </c>
      <c r="O1418" s="17">
        <v>11.78</v>
      </c>
      <c r="P1418" s="17">
        <v>13</v>
      </c>
      <c r="Q1418" s="17">
        <f t="shared" si="274"/>
        <v>153.13999999999999</v>
      </c>
      <c r="R1418" s="236"/>
      <c r="S1418" s="236"/>
      <c r="T1418" s="236"/>
      <c r="U1418" s="242"/>
    </row>
    <row r="1419" spans="1:21" ht="13">
      <c r="A1419" s="270"/>
      <c r="B1419" s="245"/>
      <c r="C1419" s="19" t="s">
        <v>80</v>
      </c>
      <c r="D1419" s="17">
        <v>12.74</v>
      </c>
      <c r="E1419" s="17">
        <v>13</v>
      </c>
      <c r="F1419" s="17">
        <f t="shared" si="273"/>
        <v>165.62</v>
      </c>
      <c r="G1419" s="236"/>
      <c r="H1419" s="236"/>
      <c r="I1419" s="236"/>
      <c r="J1419" s="242"/>
      <c r="L1419" s="249"/>
      <c r="M1419" s="245"/>
      <c r="N1419" s="19" t="s">
        <v>80</v>
      </c>
      <c r="O1419" s="17">
        <v>12.74</v>
      </c>
      <c r="P1419" s="17">
        <v>13</v>
      </c>
      <c r="Q1419" s="17">
        <f t="shared" si="274"/>
        <v>165.62</v>
      </c>
      <c r="R1419" s="236"/>
      <c r="S1419" s="236"/>
      <c r="T1419" s="236"/>
      <c r="U1419" s="242"/>
    </row>
    <row r="1420" spans="1:21" ht="13">
      <c r="A1420" s="270"/>
      <c r="B1420" s="245"/>
      <c r="C1420" s="19" t="s">
        <v>418</v>
      </c>
      <c r="D1420" s="17">
        <v>10.050000000000001</v>
      </c>
      <c r="E1420" s="17">
        <v>13</v>
      </c>
      <c r="F1420" s="17">
        <f t="shared" si="273"/>
        <v>130.65</v>
      </c>
      <c r="G1420" s="236"/>
      <c r="H1420" s="236"/>
      <c r="I1420" s="236"/>
      <c r="J1420" s="242"/>
      <c r="L1420" s="249"/>
      <c r="M1420" s="245"/>
      <c r="N1420" s="19" t="s">
        <v>418</v>
      </c>
      <c r="O1420" s="17">
        <v>10.050000000000001</v>
      </c>
      <c r="P1420" s="17">
        <v>13</v>
      </c>
      <c r="Q1420" s="17">
        <f t="shared" si="274"/>
        <v>130.65</v>
      </c>
      <c r="R1420" s="236"/>
      <c r="S1420" s="236"/>
      <c r="T1420" s="236"/>
      <c r="U1420" s="242"/>
    </row>
    <row r="1421" spans="1:21" ht="13">
      <c r="A1421" s="270"/>
      <c r="B1421" s="245"/>
      <c r="C1421" s="19" t="s">
        <v>72</v>
      </c>
      <c r="D1421" s="17">
        <v>9.5500000000000007</v>
      </c>
      <c r="E1421" s="17">
        <v>13</v>
      </c>
      <c r="F1421" s="17">
        <f t="shared" si="273"/>
        <v>124.15</v>
      </c>
      <c r="G1421" s="236"/>
      <c r="H1421" s="236"/>
      <c r="I1421" s="236"/>
      <c r="J1421" s="242"/>
      <c r="L1421" s="249"/>
      <c r="M1421" s="245"/>
      <c r="N1421" s="19" t="s">
        <v>72</v>
      </c>
      <c r="O1421" s="17">
        <v>9.5500000000000007</v>
      </c>
      <c r="P1421" s="17">
        <v>13</v>
      </c>
      <c r="Q1421" s="17">
        <f t="shared" si="274"/>
        <v>124.15</v>
      </c>
      <c r="R1421" s="236"/>
      <c r="S1421" s="236"/>
      <c r="T1421" s="236"/>
      <c r="U1421" s="242"/>
    </row>
    <row r="1422" spans="1:21" ht="13">
      <c r="A1422" s="270"/>
      <c r="B1422" s="245"/>
      <c r="C1422" s="19" t="s">
        <v>53</v>
      </c>
      <c r="D1422" s="17">
        <v>9.67</v>
      </c>
      <c r="E1422" s="17">
        <v>13</v>
      </c>
      <c r="F1422" s="17">
        <f t="shared" si="273"/>
        <v>125.71</v>
      </c>
      <c r="G1422" s="236"/>
      <c r="H1422" s="236"/>
      <c r="I1422" s="236"/>
      <c r="J1422" s="242"/>
      <c r="L1422" s="249"/>
      <c r="M1422" s="245"/>
      <c r="N1422" s="19" t="s">
        <v>53</v>
      </c>
      <c r="O1422" s="17">
        <v>9.67</v>
      </c>
      <c r="P1422" s="17">
        <v>13</v>
      </c>
      <c r="Q1422" s="17">
        <f t="shared" si="274"/>
        <v>125.71</v>
      </c>
      <c r="R1422" s="236"/>
      <c r="S1422" s="236"/>
      <c r="T1422" s="236"/>
      <c r="U1422" s="242"/>
    </row>
    <row r="1423" spans="1:21" ht="13">
      <c r="A1423" s="270"/>
      <c r="B1423" s="245"/>
      <c r="C1423" s="19" t="s">
        <v>70</v>
      </c>
      <c r="D1423" s="17">
        <v>11.1</v>
      </c>
      <c r="E1423" s="17">
        <v>13</v>
      </c>
      <c r="F1423" s="17">
        <f t="shared" si="273"/>
        <v>144.29999999999998</v>
      </c>
      <c r="G1423" s="236"/>
      <c r="H1423" s="236"/>
      <c r="I1423" s="236"/>
      <c r="J1423" s="242"/>
      <c r="L1423" s="249"/>
      <c r="M1423" s="245"/>
      <c r="N1423" s="19" t="s">
        <v>70</v>
      </c>
      <c r="O1423" s="17">
        <v>11.1</v>
      </c>
      <c r="P1423" s="17">
        <v>13</v>
      </c>
      <c r="Q1423" s="17">
        <f t="shared" si="274"/>
        <v>144.29999999999998</v>
      </c>
      <c r="R1423" s="236"/>
      <c r="S1423" s="236"/>
      <c r="T1423" s="236"/>
      <c r="U1423" s="242"/>
    </row>
    <row r="1424" spans="1:21" ht="13">
      <c r="A1424" s="270"/>
      <c r="B1424" s="246"/>
      <c r="C1424" s="20" t="s">
        <v>49</v>
      </c>
      <c r="D1424" s="21">
        <v>13.92</v>
      </c>
      <c r="E1424" s="21">
        <v>13</v>
      </c>
      <c r="F1424" s="21">
        <f t="shared" si="273"/>
        <v>180.96</v>
      </c>
      <c r="G1424" s="238"/>
      <c r="H1424" s="238"/>
      <c r="I1424" s="238"/>
      <c r="J1424" s="243"/>
      <c r="L1424" s="249"/>
      <c r="M1424" s="246"/>
      <c r="N1424" s="20" t="s">
        <v>49</v>
      </c>
      <c r="O1424" s="21">
        <v>13.92</v>
      </c>
      <c r="P1424" s="21">
        <v>13</v>
      </c>
      <c r="Q1424" s="21">
        <f t="shared" si="274"/>
        <v>180.96</v>
      </c>
      <c r="R1424" s="238"/>
      <c r="S1424" s="238"/>
      <c r="T1424" s="238"/>
      <c r="U1424" s="243"/>
    </row>
    <row r="1425" spans="1:21" ht="30">
      <c r="A1425" s="278" t="s">
        <v>549</v>
      </c>
      <c r="B1425" s="252"/>
      <c r="C1425" s="253"/>
      <c r="D1425" s="56">
        <f t="shared" ref="D1425:I1425" si="275">AVERAGE(D1280:D1424)</f>
        <v>17.958045977011491</v>
      </c>
      <c r="E1425" s="56">
        <f t="shared" si="275"/>
        <v>14.89080459770115</v>
      </c>
      <c r="F1425" s="56">
        <f t="shared" si="275"/>
        <v>431.61300751879708</v>
      </c>
      <c r="G1425" s="56">
        <f t="shared" si="275"/>
        <v>2391.8554166666663</v>
      </c>
      <c r="H1425" s="56">
        <f t="shared" si="275"/>
        <v>5132.6079166666668</v>
      </c>
      <c r="I1425" s="56">
        <f t="shared" si="275"/>
        <v>2740.7525000000001</v>
      </c>
      <c r="J1425" s="57">
        <f>AVERAGE($J$12:$J$76)</f>
        <v>0.79942354689485917</v>
      </c>
      <c r="L1425" s="278" t="s">
        <v>549</v>
      </c>
      <c r="M1425" s="252"/>
      <c r="N1425" s="253"/>
      <c r="O1425" s="56">
        <f t="shared" ref="O1425:T1425" si="276">AVERAGE(O1280:O1424)</f>
        <v>17.930405405405406</v>
      </c>
      <c r="P1425" s="56">
        <f t="shared" si="276"/>
        <v>14.493243243243244</v>
      </c>
      <c r="Q1425" s="56">
        <f t="shared" si="276"/>
        <v>409.72906779661037</v>
      </c>
      <c r="R1425" s="56">
        <f t="shared" si="276"/>
        <v>2014.5012499999996</v>
      </c>
      <c r="S1425" s="56">
        <f t="shared" si="276"/>
        <v>5132.6079166666668</v>
      </c>
      <c r="T1425" s="56">
        <f t="shared" si="276"/>
        <v>3118.1066666666666</v>
      </c>
      <c r="U1425" s="57">
        <f>AVERAGE($J$12:$J$76)</f>
        <v>0.79942354689485917</v>
      </c>
    </row>
    <row r="1426" spans="1:21" ht="30">
      <c r="A1426" s="279" t="s">
        <v>550</v>
      </c>
      <c r="B1426" s="255"/>
      <c r="C1426" s="256"/>
      <c r="D1426" s="72">
        <f t="shared" ref="D1426:I1426" si="277">SUM(D1280:D1424)</f>
        <v>1562.3499999999997</v>
      </c>
      <c r="E1426" s="72">
        <f t="shared" si="277"/>
        <v>1295.5</v>
      </c>
      <c r="F1426" s="72">
        <f t="shared" si="277"/>
        <v>57404.530000000013</v>
      </c>
      <c r="G1426" s="72">
        <f t="shared" si="277"/>
        <v>57404.529999999992</v>
      </c>
      <c r="H1426" s="72">
        <f t="shared" si="277"/>
        <v>123182.59</v>
      </c>
      <c r="I1426" s="72">
        <f t="shared" si="277"/>
        <v>65778.06</v>
      </c>
      <c r="J1426" s="76">
        <f t="shared" ref="J1426:J1427" si="278">I1426/H1426</f>
        <v>0.5339882851951725</v>
      </c>
      <c r="L1426" s="279" t="s">
        <v>550</v>
      </c>
      <c r="M1426" s="255"/>
      <c r="N1426" s="256"/>
      <c r="O1426" s="72">
        <f t="shared" ref="O1426:T1426" si="279">SUM(O1280:O1424)</f>
        <v>1326.85</v>
      </c>
      <c r="P1426" s="72">
        <f t="shared" si="279"/>
        <v>1072.5</v>
      </c>
      <c r="Q1426" s="72">
        <f t="shared" si="279"/>
        <v>48348.030000000021</v>
      </c>
      <c r="R1426" s="72">
        <f t="shared" si="279"/>
        <v>48348.029999999992</v>
      </c>
      <c r="S1426" s="72">
        <f t="shared" si="279"/>
        <v>123182.59</v>
      </c>
      <c r="T1426" s="72">
        <f t="shared" si="279"/>
        <v>74834.559999999998</v>
      </c>
      <c r="U1426" s="76">
        <f t="shared" ref="U1426:U1427" si="280">T1426/S1426</f>
        <v>0.60750922675030616</v>
      </c>
    </row>
    <row r="1427" spans="1:21" ht="13">
      <c r="A1427" s="290" t="s">
        <v>11</v>
      </c>
      <c r="B1427" s="244" t="s">
        <v>551</v>
      </c>
      <c r="C1427" s="15" t="s">
        <v>63</v>
      </c>
      <c r="D1427" s="16"/>
      <c r="E1427" s="16"/>
      <c r="F1427" s="16">
        <v>200</v>
      </c>
      <c r="G1427" s="240">
        <f>SUM(F1427:F1429)</f>
        <v>362</v>
      </c>
      <c r="H1427" s="237">
        <v>3487.5</v>
      </c>
      <c r="I1427" s="237">
        <f>H1427-G1427</f>
        <v>3125.5</v>
      </c>
      <c r="J1427" s="241">
        <f t="shared" si="278"/>
        <v>0.8962007168458781</v>
      </c>
      <c r="L1427" s="290" t="s">
        <v>11</v>
      </c>
      <c r="M1427" s="244" t="s">
        <v>551</v>
      </c>
      <c r="N1427" s="15" t="s">
        <v>63</v>
      </c>
      <c r="O1427" s="16"/>
      <c r="P1427" s="16"/>
      <c r="Q1427" s="16">
        <v>200</v>
      </c>
      <c r="R1427" s="240">
        <f>SUM(Q1427:Q1429)</f>
        <v>362</v>
      </c>
      <c r="S1427" s="237">
        <v>3487.5</v>
      </c>
      <c r="T1427" s="237">
        <f>S1427-R1427</f>
        <v>3125.5</v>
      </c>
      <c r="U1427" s="241">
        <f t="shared" si="280"/>
        <v>0.8962007168458781</v>
      </c>
    </row>
    <row r="1428" spans="1:21" ht="13">
      <c r="A1428" s="270"/>
      <c r="B1428" s="245"/>
      <c r="C1428" s="19" t="s">
        <v>45</v>
      </c>
      <c r="D1428" s="17"/>
      <c r="E1428" s="17"/>
      <c r="F1428" s="17">
        <v>70</v>
      </c>
      <c r="G1428" s="236"/>
      <c r="H1428" s="236"/>
      <c r="I1428" s="236"/>
      <c r="J1428" s="242"/>
      <c r="L1428" s="270"/>
      <c r="M1428" s="245"/>
      <c r="N1428" s="19" t="s">
        <v>45</v>
      </c>
      <c r="O1428" s="17"/>
      <c r="P1428" s="17"/>
      <c r="Q1428" s="17">
        <v>70</v>
      </c>
      <c r="R1428" s="236"/>
      <c r="S1428" s="236"/>
      <c r="T1428" s="236"/>
      <c r="U1428" s="242"/>
    </row>
    <row r="1429" spans="1:21" ht="13">
      <c r="A1429" s="270"/>
      <c r="B1429" s="246"/>
      <c r="C1429" s="20" t="s">
        <v>94</v>
      </c>
      <c r="D1429" s="21"/>
      <c r="E1429" s="21"/>
      <c r="F1429" s="21">
        <v>92</v>
      </c>
      <c r="G1429" s="238"/>
      <c r="H1429" s="238"/>
      <c r="I1429" s="238"/>
      <c r="J1429" s="243"/>
      <c r="L1429" s="270"/>
      <c r="M1429" s="246"/>
      <c r="N1429" s="20" t="s">
        <v>94</v>
      </c>
      <c r="O1429" s="21"/>
      <c r="P1429" s="21"/>
      <c r="Q1429" s="21">
        <v>92</v>
      </c>
      <c r="R1429" s="238"/>
      <c r="S1429" s="238"/>
      <c r="T1429" s="238"/>
      <c r="U1429" s="243"/>
    </row>
    <row r="1430" spans="1:21" ht="13">
      <c r="A1430" s="270"/>
      <c r="B1430" s="244" t="s">
        <v>552</v>
      </c>
      <c r="C1430" s="15" t="s">
        <v>63</v>
      </c>
      <c r="D1430" s="16"/>
      <c r="E1430" s="16"/>
      <c r="F1430" s="16">
        <v>250</v>
      </c>
      <c r="G1430" s="240">
        <f>SUM(F1430:F1431)</f>
        <v>330.08</v>
      </c>
      <c r="H1430" s="237">
        <v>2523.3200000000002</v>
      </c>
      <c r="I1430" s="237">
        <f>H1430-G1430</f>
        <v>2193.2400000000002</v>
      </c>
      <c r="J1430" s="241">
        <f>I1430/H1430</f>
        <v>0.8691882123551512</v>
      </c>
      <c r="L1430" s="270"/>
      <c r="M1430" s="244" t="s">
        <v>552</v>
      </c>
      <c r="N1430" s="15" t="s">
        <v>63</v>
      </c>
      <c r="O1430" s="16"/>
      <c r="P1430" s="16"/>
      <c r="Q1430" s="16">
        <v>250</v>
      </c>
      <c r="R1430" s="240">
        <f>SUM(Q1430:Q1431)</f>
        <v>330.08</v>
      </c>
      <c r="S1430" s="237">
        <v>2523.3200000000002</v>
      </c>
      <c r="T1430" s="237">
        <f>S1430-R1430</f>
        <v>2193.2400000000002</v>
      </c>
      <c r="U1430" s="241">
        <f>T1430/S1430</f>
        <v>0.8691882123551512</v>
      </c>
    </row>
    <row r="1431" spans="1:21" ht="13">
      <c r="A1431" s="270"/>
      <c r="B1431" s="246"/>
      <c r="C1431" s="20" t="s">
        <v>94</v>
      </c>
      <c r="D1431" s="21"/>
      <c r="E1431" s="21"/>
      <c r="F1431" s="21">
        <v>80.08</v>
      </c>
      <c r="G1431" s="238"/>
      <c r="H1431" s="238"/>
      <c r="I1431" s="238"/>
      <c r="J1431" s="243"/>
      <c r="L1431" s="270"/>
      <c r="M1431" s="246"/>
      <c r="N1431" s="20" t="s">
        <v>94</v>
      </c>
      <c r="O1431" s="21"/>
      <c r="P1431" s="21"/>
      <c r="Q1431" s="21">
        <v>80.08</v>
      </c>
      <c r="R1431" s="238"/>
      <c r="S1431" s="238"/>
      <c r="T1431" s="238"/>
      <c r="U1431" s="243"/>
    </row>
    <row r="1432" spans="1:21" ht="13">
      <c r="A1432" s="270"/>
      <c r="B1432" s="244" t="s">
        <v>553</v>
      </c>
      <c r="C1432" s="15" t="s">
        <v>70</v>
      </c>
      <c r="D1432" s="16">
        <v>29.31</v>
      </c>
      <c r="E1432" s="16">
        <v>15</v>
      </c>
      <c r="F1432" s="16">
        <f t="shared" ref="F1432:F1434" si="281">D1432*E1432</f>
        <v>439.65</v>
      </c>
      <c r="G1432" s="240">
        <f>SUM(F1432:F1435)</f>
        <v>1958.8700000000001</v>
      </c>
      <c r="H1432" s="237">
        <v>2985</v>
      </c>
      <c r="I1432" s="237">
        <f>H1432-G1432</f>
        <v>1026.1299999999999</v>
      </c>
      <c r="J1432" s="241">
        <f>I1432/H1432</f>
        <v>0.34376214405360128</v>
      </c>
      <c r="L1432" s="270"/>
      <c r="M1432" s="244" t="s">
        <v>553</v>
      </c>
      <c r="N1432" s="15" t="s">
        <v>70</v>
      </c>
      <c r="O1432" s="16">
        <v>29.31</v>
      </c>
      <c r="P1432" s="16">
        <v>15</v>
      </c>
      <c r="Q1432" s="16">
        <f t="shared" ref="Q1432:Q1433" si="282">O1432*P1432</f>
        <v>439.65</v>
      </c>
      <c r="R1432" s="240">
        <f>SUM(Q1432:Q1435)</f>
        <v>1510.87</v>
      </c>
      <c r="S1432" s="237">
        <v>2985</v>
      </c>
      <c r="T1432" s="237">
        <f>S1432-R1432</f>
        <v>1474.13</v>
      </c>
      <c r="U1432" s="241">
        <f>T1432/S1432</f>
        <v>0.49384589614740371</v>
      </c>
    </row>
    <row r="1433" spans="1:21" ht="13">
      <c r="A1433" s="270"/>
      <c r="B1433" s="245"/>
      <c r="C1433" s="19" t="s">
        <v>32</v>
      </c>
      <c r="D1433" s="17">
        <v>35</v>
      </c>
      <c r="E1433" s="17">
        <v>15</v>
      </c>
      <c r="F1433" s="17">
        <f t="shared" si="281"/>
        <v>525</v>
      </c>
      <c r="G1433" s="236"/>
      <c r="H1433" s="236"/>
      <c r="I1433" s="236"/>
      <c r="J1433" s="242"/>
      <c r="L1433" s="270"/>
      <c r="M1433" s="245"/>
      <c r="N1433" s="19" t="s">
        <v>32</v>
      </c>
      <c r="O1433" s="17">
        <v>35</v>
      </c>
      <c r="P1433" s="17">
        <v>15</v>
      </c>
      <c r="Q1433" s="17">
        <f t="shared" si="282"/>
        <v>525</v>
      </c>
      <c r="R1433" s="236"/>
      <c r="S1433" s="236"/>
      <c r="T1433" s="236"/>
      <c r="U1433" s="242"/>
    </row>
    <row r="1434" spans="1:21" ht="13">
      <c r="A1434" s="270"/>
      <c r="B1434" s="245"/>
      <c r="C1434" s="19" t="s">
        <v>554</v>
      </c>
      <c r="D1434" s="17">
        <v>28</v>
      </c>
      <c r="E1434" s="17">
        <v>16</v>
      </c>
      <c r="F1434" s="17">
        <f t="shared" si="281"/>
        <v>448</v>
      </c>
      <c r="G1434" s="236"/>
      <c r="H1434" s="236"/>
      <c r="I1434" s="236"/>
      <c r="J1434" s="242"/>
      <c r="L1434" s="270"/>
      <c r="M1434" s="245"/>
      <c r="N1434" s="19" t="s">
        <v>554</v>
      </c>
      <c r="O1434" s="18"/>
      <c r="P1434" s="18"/>
      <c r="Q1434" s="18"/>
      <c r="R1434" s="236"/>
      <c r="S1434" s="236"/>
      <c r="T1434" s="236"/>
      <c r="U1434" s="242"/>
    </row>
    <row r="1435" spans="1:21" ht="13">
      <c r="A1435" s="270"/>
      <c r="B1435" s="246"/>
      <c r="C1435" s="20" t="s">
        <v>47</v>
      </c>
      <c r="D1435" s="21"/>
      <c r="E1435" s="21"/>
      <c r="F1435" s="21">
        <v>546.22</v>
      </c>
      <c r="G1435" s="238"/>
      <c r="H1435" s="238"/>
      <c r="I1435" s="238"/>
      <c r="J1435" s="243"/>
      <c r="L1435" s="270"/>
      <c r="M1435" s="246"/>
      <c r="N1435" s="20" t="s">
        <v>47</v>
      </c>
      <c r="O1435" s="21"/>
      <c r="P1435" s="21"/>
      <c r="Q1435" s="21">
        <v>546.22</v>
      </c>
      <c r="R1435" s="238"/>
      <c r="S1435" s="238"/>
      <c r="T1435" s="238"/>
      <c r="U1435" s="243"/>
    </row>
    <row r="1436" spans="1:21" ht="13">
      <c r="A1436" s="270"/>
      <c r="B1436" s="244" t="s">
        <v>643</v>
      </c>
      <c r="C1436" s="22" t="s">
        <v>35</v>
      </c>
      <c r="D1436" s="23"/>
      <c r="E1436" s="23"/>
      <c r="F1436" s="23">
        <v>150</v>
      </c>
      <c r="G1436" s="240">
        <f>SUM(F1436:F1449)</f>
        <v>4198.79</v>
      </c>
      <c r="H1436" s="240">
        <v>7000</v>
      </c>
      <c r="I1436" s="240">
        <f>H1436-G1436</f>
        <v>2801.21</v>
      </c>
      <c r="J1436" s="241">
        <f>I1436/H1436</f>
        <v>0.40017285714285716</v>
      </c>
      <c r="L1436" s="270"/>
      <c r="M1436" s="244" t="s">
        <v>643</v>
      </c>
      <c r="N1436" s="22" t="s">
        <v>35</v>
      </c>
      <c r="O1436" s="23"/>
      <c r="P1436" s="23"/>
      <c r="Q1436" s="23">
        <v>150</v>
      </c>
      <c r="R1436" s="240">
        <f>SUM(Q1436:Q1449)</f>
        <v>4198.79</v>
      </c>
      <c r="S1436" s="240">
        <v>7000</v>
      </c>
      <c r="T1436" s="240">
        <f>S1436-R1436</f>
        <v>2801.21</v>
      </c>
      <c r="U1436" s="241">
        <f>T1436/S1436</f>
        <v>0.40017285714285716</v>
      </c>
    </row>
    <row r="1437" spans="1:21" ht="13">
      <c r="A1437" s="270"/>
      <c r="B1437" s="245"/>
      <c r="C1437" s="22" t="s">
        <v>644</v>
      </c>
      <c r="D1437" s="23">
        <v>37.83</v>
      </c>
      <c r="E1437" s="23">
        <v>17</v>
      </c>
      <c r="F1437" s="23">
        <f t="shared" ref="F1437:F1446" si="283">D1437*E1437</f>
        <v>643.11</v>
      </c>
      <c r="G1437" s="236"/>
      <c r="H1437" s="236"/>
      <c r="I1437" s="236"/>
      <c r="J1437" s="242"/>
      <c r="L1437" s="270"/>
      <c r="M1437" s="245"/>
      <c r="N1437" s="22" t="s">
        <v>644</v>
      </c>
      <c r="O1437" s="23">
        <v>37.83</v>
      </c>
      <c r="P1437" s="23">
        <v>17</v>
      </c>
      <c r="Q1437" s="23">
        <f t="shared" ref="Q1437:Q1446" si="284">O1437*P1437</f>
        <v>643.11</v>
      </c>
      <c r="R1437" s="236"/>
      <c r="S1437" s="236"/>
      <c r="T1437" s="236"/>
      <c r="U1437" s="242"/>
    </row>
    <row r="1438" spans="1:21" ht="13">
      <c r="A1438" s="270"/>
      <c r="B1438" s="245"/>
      <c r="C1438" s="22" t="s">
        <v>70</v>
      </c>
      <c r="D1438" s="23">
        <v>3</v>
      </c>
      <c r="E1438" s="23">
        <v>15</v>
      </c>
      <c r="F1438" s="23">
        <f t="shared" si="283"/>
        <v>45</v>
      </c>
      <c r="G1438" s="236"/>
      <c r="H1438" s="236"/>
      <c r="I1438" s="236"/>
      <c r="J1438" s="242"/>
      <c r="L1438" s="270"/>
      <c r="M1438" s="245"/>
      <c r="N1438" s="22" t="s">
        <v>70</v>
      </c>
      <c r="O1438" s="23">
        <v>3</v>
      </c>
      <c r="P1438" s="23">
        <v>15</v>
      </c>
      <c r="Q1438" s="23">
        <f t="shared" si="284"/>
        <v>45</v>
      </c>
      <c r="R1438" s="236"/>
      <c r="S1438" s="236"/>
      <c r="T1438" s="236"/>
      <c r="U1438" s="242"/>
    </row>
    <row r="1439" spans="1:21" ht="13">
      <c r="A1439" s="270"/>
      <c r="B1439" s="245"/>
      <c r="C1439" s="22" t="s">
        <v>636</v>
      </c>
      <c r="D1439" s="23">
        <v>18.329999999999998</v>
      </c>
      <c r="E1439" s="23">
        <v>15</v>
      </c>
      <c r="F1439" s="23">
        <f t="shared" si="283"/>
        <v>274.95</v>
      </c>
      <c r="G1439" s="236"/>
      <c r="H1439" s="236"/>
      <c r="I1439" s="236"/>
      <c r="J1439" s="242"/>
      <c r="L1439" s="270"/>
      <c r="M1439" s="245"/>
      <c r="N1439" s="22" t="s">
        <v>636</v>
      </c>
      <c r="O1439" s="23">
        <v>18.329999999999998</v>
      </c>
      <c r="P1439" s="23">
        <v>15</v>
      </c>
      <c r="Q1439" s="23">
        <f t="shared" si="284"/>
        <v>274.95</v>
      </c>
      <c r="R1439" s="236"/>
      <c r="S1439" s="236"/>
      <c r="T1439" s="236"/>
      <c r="U1439" s="242"/>
    </row>
    <row r="1440" spans="1:21" ht="13">
      <c r="A1440" s="270"/>
      <c r="B1440" s="245"/>
      <c r="C1440" s="24" t="s">
        <v>635</v>
      </c>
      <c r="D1440" s="23">
        <v>24.1</v>
      </c>
      <c r="E1440" s="23">
        <v>15</v>
      </c>
      <c r="F1440" s="23">
        <f t="shared" si="283"/>
        <v>361.5</v>
      </c>
      <c r="G1440" s="236"/>
      <c r="H1440" s="236"/>
      <c r="I1440" s="236"/>
      <c r="J1440" s="242"/>
      <c r="L1440" s="270"/>
      <c r="M1440" s="245"/>
      <c r="N1440" s="24" t="s">
        <v>635</v>
      </c>
      <c r="O1440" s="23">
        <v>24.1</v>
      </c>
      <c r="P1440" s="23">
        <v>15</v>
      </c>
      <c r="Q1440" s="23">
        <f t="shared" si="284"/>
        <v>361.5</v>
      </c>
      <c r="R1440" s="236"/>
      <c r="S1440" s="236"/>
      <c r="T1440" s="236"/>
      <c r="U1440" s="242"/>
    </row>
    <row r="1441" spans="1:21" ht="13">
      <c r="A1441" s="270"/>
      <c r="B1441" s="245"/>
      <c r="C1441" s="22" t="s">
        <v>638</v>
      </c>
      <c r="D1441" s="23">
        <v>29.18</v>
      </c>
      <c r="E1441" s="23">
        <v>15</v>
      </c>
      <c r="F1441" s="23">
        <f t="shared" si="283"/>
        <v>437.7</v>
      </c>
      <c r="G1441" s="236"/>
      <c r="H1441" s="236"/>
      <c r="I1441" s="236"/>
      <c r="J1441" s="242"/>
      <c r="L1441" s="270"/>
      <c r="M1441" s="245"/>
      <c r="N1441" s="22" t="s">
        <v>638</v>
      </c>
      <c r="O1441" s="23">
        <v>29.18</v>
      </c>
      <c r="P1441" s="23">
        <v>15</v>
      </c>
      <c r="Q1441" s="23">
        <f t="shared" si="284"/>
        <v>437.7</v>
      </c>
      <c r="R1441" s="236"/>
      <c r="S1441" s="236"/>
      <c r="T1441" s="236"/>
      <c r="U1441" s="242"/>
    </row>
    <row r="1442" spans="1:21" ht="13">
      <c r="A1442" s="270"/>
      <c r="B1442" s="245"/>
      <c r="C1442" s="22" t="s">
        <v>90</v>
      </c>
      <c r="D1442" s="23">
        <v>20.87</v>
      </c>
      <c r="E1442" s="23">
        <v>15</v>
      </c>
      <c r="F1442" s="23">
        <f t="shared" si="283"/>
        <v>313.05</v>
      </c>
      <c r="G1442" s="236"/>
      <c r="H1442" s="236"/>
      <c r="I1442" s="236"/>
      <c r="J1442" s="242"/>
      <c r="L1442" s="270"/>
      <c r="M1442" s="245"/>
      <c r="N1442" s="22" t="s">
        <v>90</v>
      </c>
      <c r="O1442" s="23">
        <v>20.87</v>
      </c>
      <c r="P1442" s="23">
        <v>15</v>
      </c>
      <c r="Q1442" s="23">
        <f t="shared" si="284"/>
        <v>313.05</v>
      </c>
      <c r="R1442" s="236"/>
      <c r="S1442" s="236"/>
      <c r="T1442" s="236"/>
      <c r="U1442" s="242"/>
    </row>
    <row r="1443" spans="1:21" ht="13">
      <c r="A1443" s="270"/>
      <c r="B1443" s="245"/>
      <c r="C1443" s="22" t="s">
        <v>645</v>
      </c>
      <c r="D1443" s="23">
        <v>25.85</v>
      </c>
      <c r="E1443" s="23">
        <v>15</v>
      </c>
      <c r="F1443" s="23">
        <f t="shared" si="283"/>
        <v>387.75</v>
      </c>
      <c r="G1443" s="236"/>
      <c r="H1443" s="236"/>
      <c r="I1443" s="236"/>
      <c r="J1443" s="242"/>
      <c r="L1443" s="270"/>
      <c r="M1443" s="245"/>
      <c r="N1443" s="22" t="s">
        <v>645</v>
      </c>
      <c r="O1443" s="23">
        <v>25.85</v>
      </c>
      <c r="P1443" s="23">
        <v>15</v>
      </c>
      <c r="Q1443" s="23">
        <f t="shared" si="284"/>
        <v>387.75</v>
      </c>
      <c r="R1443" s="236"/>
      <c r="S1443" s="236"/>
      <c r="T1443" s="236"/>
      <c r="U1443" s="242"/>
    </row>
    <row r="1444" spans="1:21" ht="13">
      <c r="A1444" s="270"/>
      <c r="B1444" s="245"/>
      <c r="C1444" s="22" t="s">
        <v>646</v>
      </c>
      <c r="D1444" s="23">
        <v>22.4</v>
      </c>
      <c r="E1444" s="23">
        <v>15</v>
      </c>
      <c r="F1444" s="23">
        <f t="shared" si="283"/>
        <v>336</v>
      </c>
      <c r="G1444" s="236"/>
      <c r="H1444" s="236"/>
      <c r="I1444" s="236"/>
      <c r="J1444" s="242"/>
      <c r="L1444" s="270"/>
      <c r="M1444" s="245"/>
      <c r="N1444" s="22" t="s">
        <v>646</v>
      </c>
      <c r="O1444" s="23">
        <v>22.4</v>
      </c>
      <c r="P1444" s="23">
        <v>15</v>
      </c>
      <c r="Q1444" s="23">
        <f t="shared" si="284"/>
        <v>336</v>
      </c>
      <c r="R1444" s="236"/>
      <c r="S1444" s="236"/>
      <c r="T1444" s="236"/>
      <c r="U1444" s="242"/>
    </row>
    <row r="1445" spans="1:21" ht="13">
      <c r="A1445" s="270"/>
      <c r="B1445" s="245"/>
      <c r="C1445" s="22" t="s">
        <v>647</v>
      </c>
      <c r="D1445" s="23">
        <v>26.75</v>
      </c>
      <c r="E1445" s="23">
        <v>15</v>
      </c>
      <c r="F1445" s="23">
        <f t="shared" si="283"/>
        <v>401.25</v>
      </c>
      <c r="G1445" s="236"/>
      <c r="H1445" s="236"/>
      <c r="I1445" s="236"/>
      <c r="J1445" s="242"/>
      <c r="L1445" s="270"/>
      <c r="M1445" s="245"/>
      <c r="N1445" s="22" t="s">
        <v>647</v>
      </c>
      <c r="O1445" s="23">
        <v>26.75</v>
      </c>
      <c r="P1445" s="23">
        <v>15</v>
      </c>
      <c r="Q1445" s="23">
        <f t="shared" si="284"/>
        <v>401.25</v>
      </c>
      <c r="R1445" s="236"/>
      <c r="S1445" s="236"/>
      <c r="T1445" s="236"/>
      <c r="U1445" s="242"/>
    </row>
    <row r="1446" spans="1:21" ht="13">
      <c r="A1446" s="270"/>
      <c r="B1446" s="245"/>
      <c r="C1446" s="22" t="s">
        <v>36</v>
      </c>
      <c r="D1446" s="23">
        <v>22.4</v>
      </c>
      <c r="E1446" s="23">
        <v>15</v>
      </c>
      <c r="F1446" s="23">
        <f t="shared" si="283"/>
        <v>336</v>
      </c>
      <c r="G1446" s="236"/>
      <c r="H1446" s="236"/>
      <c r="I1446" s="236"/>
      <c r="J1446" s="242"/>
      <c r="L1446" s="270"/>
      <c r="M1446" s="245"/>
      <c r="N1446" s="22" t="s">
        <v>36</v>
      </c>
      <c r="O1446" s="23">
        <v>22.4</v>
      </c>
      <c r="P1446" s="23">
        <v>15</v>
      </c>
      <c r="Q1446" s="23">
        <f t="shared" si="284"/>
        <v>336</v>
      </c>
      <c r="R1446" s="236"/>
      <c r="S1446" s="236"/>
      <c r="T1446" s="236"/>
      <c r="U1446" s="242"/>
    </row>
    <row r="1447" spans="1:21" ht="13">
      <c r="A1447" s="270"/>
      <c r="B1447" s="245"/>
      <c r="C1447" s="22" t="s">
        <v>44</v>
      </c>
      <c r="D1447" s="23"/>
      <c r="E1447" s="23"/>
      <c r="F1447" s="23">
        <v>121</v>
      </c>
      <c r="G1447" s="236"/>
      <c r="H1447" s="236"/>
      <c r="I1447" s="236"/>
      <c r="J1447" s="242"/>
      <c r="L1447" s="270"/>
      <c r="M1447" s="245"/>
      <c r="N1447" s="22" t="s">
        <v>44</v>
      </c>
      <c r="O1447" s="23"/>
      <c r="P1447" s="23"/>
      <c r="Q1447" s="23">
        <v>121</v>
      </c>
      <c r="R1447" s="236"/>
      <c r="S1447" s="236"/>
      <c r="T1447" s="236"/>
      <c r="U1447" s="242"/>
    </row>
    <row r="1448" spans="1:21" ht="13">
      <c r="A1448" s="270"/>
      <c r="B1448" s="245"/>
      <c r="C1448" s="22" t="s">
        <v>45</v>
      </c>
      <c r="D1448" s="23"/>
      <c r="E1448" s="23"/>
      <c r="F1448" s="23">
        <v>198</v>
      </c>
      <c r="G1448" s="236"/>
      <c r="H1448" s="236"/>
      <c r="I1448" s="236"/>
      <c r="J1448" s="242"/>
      <c r="L1448" s="270"/>
      <c r="M1448" s="245"/>
      <c r="N1448" s="22" t="s">
        <v>45</v>
      </c>
      <c r="O1448" s="23"/>
      <c r="P1448" s="23"/>
      <c r="Q1448" s="23">
        <v>198</v>
      </c>
      <c r="R1448" s="236"/>
      <c r="S1448" s="236"/>
      <c r="T1448" s="236"/>
      <c r="U1448" s="242"/>
    </row>
    <row r="1449" spans="1:21" ht="13">
      <c r="A1449" s="270"/>
      <c r="B1449" s="246"/>
      <c r="C1449" s="25" t="s">
        <v>48</v>
      </c>
      <c r="D1449" s="26"/>
      <c r="E1449" s="26"/>
      <c r="F1449" s="26">
        <v>193.48</v>
      </c>
      <c r="G1449" s="238"/>
      <c r="H1449" s="238"/>
      <c r="I1449" s="238"/>
      <c r="J1449" s="243"/>
      <c r="L1449" s="270"/>
      <c r="M1449" s="246"/>
      <c r="N1449" s="25" t="s">
        <v>48</v>
      </c>
      <c r="O1449" s="26"/>
      <c r="P1449" s="26"/>
      <c r="Q1449" s="26">
        <v>193.48</v>
      </c>
      <c r="R1449" s="238"/>
      <c r="S1449" s="238"/>
      <c r="T1449" s="238"/>
      <c r="U1449" s="243"/>
    </row>
    <row r="1450" spans="1:21" ht="13">
      <c r="A1450" s="270"/>
      <c r="B1450" s="244" t="s">
        <v>555</v>
      </c>
      <c r="C1450" s="15" t="s">
        <v>70</v>
      </c>
      <c r="D1450" s="16">
        <v>20.32</v>
      </c>
      <c r="E1450" s="16">
        <v>17</v>
      </c>
      <c r="F1450" s="16">
        <f t="shared" ref="F1450:F1453" si="285">D1450*E1450</f>
        <v>345.44</v>
      </c>
      <c r="G1450" s="240">
        <f>SUM(F1450:F1457)</f>
        <v>2047</v>
      </c>
      <c r="H1450" s="237">
        <v>2842</v>
      </c>
      <c r="I1450" s="237">
        <f>H1450-G1450</f>
        <v>795</v>
      </c>
      <c r="J1450" s="241">
        <f>I1450/H1450</f>
        <v>0.27973258268824769</v>
      </c>
      <c r="L1450" s="270"/>
      <c r="M1450" s="244" t="s">
        <v>555</v>
      </c>
      <c r="N1450" s="15" t="s">
        <v>70</v>
      </c>
      <c r="O1450" s="16">
        <v>20.32</v>
      </c>
      <c r="P1450" s="16">
        <v>17</v>
      </c>
      <c r="Q1450" s="16">
        <f t="shared" ref="Q1450:Q1453" si="286">O1450*P1450</f>
        <v>345.44</v>
      </c>
      <c r="R1450" s="240">
        <f>SUM(Q1450:Q1457)</f>
        <v>2047</v>
      </c>
      <c r="S1450" s="237">
        <v>2842</v>
      </c>
      <c r="T1450" s="237">
        <f>S1450-R1450</f>
        <v>795</v>
      </c>
      <c r="U1450" s="241">
        <f>T1450/S1450</f>
        <v>0.27973258268824769</v>
      </c>
    </row>
    <row r="1451" spans="1:21" ht="13">
      <c r="A1451" s="270"/>
      <c r="B1451" s="245"/>
      <c r="C1451" s="19" t="s">
        <v>50</v>
      </c>
      <c r="D1451" s="17">
        <v>21.17</v>
      </c>
      <c r="E1451" s="17">
        <v>17</v>
      </c>
      <c r="F1451" s="17">
        <f t="shared" si="285"/>
        <v>359.89000000000004</v>
      </c>
      <c r="G1451" s="236"/>
      <c r="H1451" s="236"/>
      <c r="I1451" s="236"/>
      <c r="J1451" s="242"/>
      <c r="L1451" s="270"/>
      <c r="M1451" s="245"/>
      <c r="N1451" s="19" t="s">
        <v>50</v>
      </c>
      <c r="O1451" s="17">
        <v>21.17</v>
      </c>
      <c r="P1451" s="17">
        <v>17</v>
      </c>
      <c r="Q1451" s="17">
        <f t="shared" si="286"/>
        <v>359.89000000000004</v>
      </c>
      <c r="R1451" s="236"/>
      <c r="S1451" s="236"/>
      <c r="T1451" s="236"/>
      <c r="U1451" s="242"/>
    </row>
    <row r="1452" spans="1:21" ht="13">
      <c r="A1452" s="270"/>
      <c r="B1452" s="245"/>
      <c r="C1452" s="19" t="s">
        <v>32</v>
      </c>
      <c r="D1452" s="17">
        <v>20.149999999999999</v>
      </c>
      <c r="E1452" s="17">
        <v>17</v>
      </c>
      <c r="F1452" s="17">
        <f t="shared" si="285"/>
        <v>342.54999999999995</v>
      </c>
      <c r="G1452" s="236"/>
      <c r="H1452" s="236"/>
      <c r="I1452" s="236"/>
      <c r="J1452" s="242"/>
      <c r="L1452" s="270"/>
      <c r="M1452" s="245"/>
      <c r="N1452" s="19" t="s">
        <v>32</v>
      </c>
      <c r="O1452" s="17">
        <v>20.149999999999999</v>
      </c>
      <c r="P1452" s="17">
        <v>17</v>
      </c>
      <c r="Q1452" s="17">
        <f t="shared" si="286"/>
        <v>342.54999999999995</v>
      </c>
      <c r="R1452" s="236"/>
      <c r="S1452" s="236"/>
      <c r="T1452" s="236"/>
      <c r="U1452" s="242"/>
    </row>
    <row r="1453" spans="1:21" ht="13">
      <c r="A1453" s="270"/>
      <c r="B1453" s="245"/>
      <c r="C1453" s="19" t="s">
        <v>49</v>
      </c>
      <c r="D1453" s="17">
        <v>18.100000000000001</v>
      </c>
      <c r="E1453" s="17">
        <v>17</v>
      </c>
      <c r="F1453" s="17">
        <f t="shared" si="285"/>
        <v>307.70000000000005</v>
      </c>
      <c r="G1453" s="236"/>
      <c r="H1453" s="236"/>
      <c r="I1453" s="236"/>
      <c r="J1453" s="242"/>
      <c r="L1453" s="270"/>
      <c r="M1453" s="245"/>
      <c r="N1453" s="19" t="s">
        <v>49</v>
      </c>
      <c r="O1453" s="17">
        <v>18.100000000000001</v>
      </c>
      <c r="P1453" s="17">
        <v>17</v>
      </c>
      <c r="Q1453" s="17">
        <f t="shared" si="286"/>
        <v>307.70000000000005</v>
      </c>
      <c r="R1453" s="236"/>
      <c r="S1453" s="236"/>
      <c r="T1453" s="236"/>
      <c r="U1453" s="242"/>
    </row>
    <row r="1454" spans="1:21" ht="13">
      <c r="A1454" s="270"/>
      <c r="B1454" s="245"/>
      <c r="C1454" s="19" t="s">
        <v>45</v>
      </c>
      <c r="D1454" s="17"/>
      <c r="E1454" s="17"/>
      <c r="F1454" s="17">
        <v>122</v>
      </c>
      <c r="G1454" s="236"/>
      <c r="H1454" s="236"/>
      <c r="I1454" s="236"/>
      <c r="J1454" s="242"/>
      <c r="L1454" s="270"/>
      <c r="M1454" s="245"/>
      <c r="N1454" s="19" t="s">
        <v>45</v>
      </c>
      <c r="O1454" s="17"/>
      <c r="P1454" s="17"/>
      <c r="Q1454" s="17">
        <v>122</v>
      </c>
      <c r="R1454" s="236"/>
      <c r="S1454" s="236"/>
      <c r="T1454" s="236"/>
      <c r="U1454" s="242"/>
    </row>
    <row r="1455" spans="1:21" ht="13">
      <c r="A1455" s="270"/>
      <c r="B1455" s="245"/>
      <c r="C1455" s="19" t="s">
        <v>44</v>
      </c>
      <c r="D1455" s="17"/>
      <c r="E1455" s="17"/>
      <c r="F1455" s="17">
        <v>140.6</v>
      </c>
      <c r="G1455" s="236"/>
      <c r="H1455" s="236"/>
      <c r="I1455" s="236"/>
      <c r="J1455" s="242"/>
      <c r="L1455" s="270"/>
      <c r="M1455" s="245"/>
      <c r="N1455" s="19" t="s">
        <v>44</v>
      </c>
      <c r="O1455" s="17"/>
      <c r="P1455" s="17"/>
      <c r="Q1455" s="17">
        <v>140.6</v>
      </c>
      <c r="R1455" s="236"/>
      <c r="S1455" s="236"/>
      <c r="T1455" s="236"/>
      <c r="U1455" s="242"/>
    </row>
    <row r="1456" spans="1:21" ht="13">
      <c r="A1456" s="270"/>
      <c r="B1456" s="245"/>
      <c r="C1456" s="19" t="s">
        <v>48</v>
      </c>
      <c r="D1456" s="17"/>
      <c r="E1456" s="17"/>
      <c r="F1456" s="17">
        <v>160</v>
      </c>
      <c r="G1456" s="236"/>
      <c r="H1456" s="236"/>
      <c r="I1456" s="236"/>
      <c r="J1456" s="242"/>
      <c r="L1456" s="270"/>
      <c r="M1456" s="245"/>
      <c r="N1456" s="19" t="s">
        <v>48</v>
      </c>
      <c r="O1456" s="17"/>
      <c r="P1456" s="17"/>
      <c r="Q1456" s="17">
        <v>160</v>
      </c>
      <c r="R1456" s="236"/>
      <c r="S1456" s="236"/>
      <c r="T1456" s="236"/>
      <c r="U1456" s="242"/>
    </row>
    <row r="1457" spans="1:21" ht="13">
      <c r="A1457" s="270"/>
      <c r="B1457" s="246"/>
      <c r="C1457" s="20" t="s">
        <v>47</v>
      </c>
      <c r="D1457" s="21"/>
      <c r="E1457" s="21"/>
      <c r="F1457" s="21">
        <v>268.82</v>
      </c>
      <c r="G1457" s="238"/>
      <c r="H1457" s="238"/>
      <c r="I1457" s="238"/>
      <c r="J1457" s="243"/>
      <c r="L1457" s="270"/>
      <c r="M1457" s="246"/>
      <c r="N1457" s="20" t="s">
        <v>47</v>
      </c>
      <c r="O1457" s="21"/>
      <c r="P1457" s="21"/>
      <c r="Q1457" s="21">
        <v>268.82</v>
      </c>
      <c r="R1457" s="238"/>
      <c r="S1457" s="238"/>
      <c r="T1457" s="238"/>
      <c r="U1457" s="243"/>
    </row>
    <row r="1458" spans="1:21" ht="13">
      <c r="A1458" s="270"/>
      <c r="B1458" s="244" t="s">
        <v>556</v>
      </c>
      <c r="C1458" s="15" t="s">
        <v>28</v>
      </c>
      <c r="D1458" s="16">
        <v>34.61</v>
      </c>
      <c r="E1458" s="16">
        <v>15</v>
      </c>
      <c r="F1458" s="16">
        <f>D1458*E1458</f>
        <v>519.15</v>
      </c>
      <c r="G1458" s="240">
        <f>SUM(F1458:F1461)</f>
        <v>884.15</v>
      </c>
      <c r="H1458" s="237">
        <v>2600</v>
      </c>
      <c r="I1458" s="237">
        <f>H1458-G1458</f>
        <v>1715.85</v>
      </c>
      <c r="J1458" s="241">
        <f>I1458/H1458</f>
        <v>0.65994230769230766</v>
      </c>
      <c r="L1458" s="270"/>
      <c r="M1458" s="244" t="s">
        <v>556</v>
      </c>
      <c r="N1458" s="15" t="s">
        <v>28</v>
      </c>
      <c r="O1458" s="16">
        <v>34.61</v>
      </c>
      <c r="P1458" s="16">
        <v>15</v>
      </c>
      <c r="Q1458" s="16">
        <f>O1458*P1458</f>
        <v>519.15</v>
      </c>
      <c r="R1458" s="240">
        <f>SUM(Q1458:Q1461)</f>
        <v>884.15</v>
      </c>
      <c r="S1458" s="237">
        <v>2600</v>
      </c>
      <c r="T1458" s="237">
        <f>S1458-R1458</f>
        <v>1715.85</v>
      </c>
      <c r="U1458" s="241">
        <f>T1458/S1458</f>
        <v>0.65994230769230766</v>
      </c>
    </row>
    <row r="1459" spans="1:21" ht="13">
      <c r="A1459" s="270"/>
      <c r="B1459" s="245"/>
      <c r="C1459" s="19" t="s">
        <v>557</v>
      </c>
      <c r="D1459" s="17"/>
      <c r="E1459" s="17"/>
      <c r="F1459" s="17">
        <v>100</v>
      </c>
      <c r="G1459" s="236"/>
      <c r="H1459" s="236"/>
      <c r="I1459" s="236"/>
      <c r="J1459" s="242"/>
      <c r="L1459" s="270"/>
      <c r="M1459" s="245"/>
      <c r="N1459" s="19" t="s">
        <v>557</v>
      </c>
      <c r="O1459" s="17"/>
      <c r="P1459" s="17"/>
      <c r="Q1459" s="17">
        <v>100</v>
      </c>
      <c r="R1459" s="236"/>
      <c r="S1459" s="236"/>
      <c r="T1459" s="236"/>
      <c r="U1459" s="242"/>
    </row>
    <row r="1460" spans="1:21" ht="13">
      <c r="A1460" s="270"/>
      <c r="B1460" s="245"/>
      <c r="C1460" s="19" t="s">
        <v>558</v>
      </c>
      <c r="D1460" s="17">
        <v>11</v>
      </c>
      <c r="E1460" s="17">
        <v>15</v>
      </c>
      <c r="F1460" s="17">
        <f>D1460*E1460</f>
        <v>165</v>
      </c>
      <c r="G1460" s="236"/>
      <c r="H1460" s="236"/>
      <c r="I1460" s="236"/>
      <c r="J1460" s="242"/>
      <c r="L1460" s="270"/>
      <c r="M1460" s="245"/>
      <c r="N1460" s="19" t="s">
        <v>558</v>
      </c>
      <c r="O1460" s="17">
        <v>11</v>
      </c>
      <c r="P1460" s="17">
        <v>15</v>
      </c>
      <c r="Q1460" s="17">
        <f>O1460*P1460</f>
        <v>165</v>
      </c>
      <c r="R1460" s="236"/>
      <c r="S1460" s="236"/>
      <c r="T1460" s="236"/>
      <c r="U1460" s="242"/>
    </row>
    <row r="1461" spans="1:21" ht="13">
      <c r="A1461" s="270"/>
      <c r="B1461" s="246"/>
      <c r="C1461" s="20" t="s">
        <v>45</v>
      </c>
      <c r="D1461" s="21"/>
      <c r="E1461" s="21"/>
      <c r="F1461" s="21">
        <v>100</v>
      </c>
      <c r="G1461" s="238"/>
      <c r="H1461" s="238"/>
      <c r="I1461" s="238"/>
      <c r="J1461" s="243"/>
      <c r="L1461" s="270"/>
      <c r="M1461" s="246"/>
      <c r="N1461" s="20" t="s">
        <v>45</v>
      </c>
      <c r="O1461" s="21"/>
      <c r="P1461" s="21"/>
      <c r="Q1461" s="21">
        <v>100</v>
      </c>
      <c r="R1461" s="238"/>
      <c r="S1461" s="238"/>
      <c r="T1461" s="238"/>
      <c r="U1461" s="243"/>
    </row>
    <row r="1462" spans="1:21" ht="13">
      <c r="A1462" s="270"/>
      <c r="B1462" s="244" t="s">
        <v>559</v>
      </c>
      <c r="C1462" s="15" t="s">
        <v>28</v>
      </c>
      <c r="D1462" s="16">
        <v>46.36</v>
      </c>
      <c r="E1462" s="16">
        <v>15</v>
      </c>
      <c r="F1462" s="16">
        <f t="shared" ref="F1462:F1471" si="287">D1462*E1462</f>
        <v>695.4</v>
      </c>
      <c r="G1462" s="240">
        <f>SUM(F1462:F1472)</f>
        <v>4976.25</v>
      </c>
      <c r="H1462" s="237">
        <v>21500</v>
      </c>
      <c r="I1462" s="237">
        <f>H1462-G1462</f>
        <v>16523.75</v>
      </c>
      <c r="J1462" s="241">
        <f>I1462/H1462</f>
        <v>0.76854651162790699</v>
      </c>
      <c r="L1462" s="270"/>
      <c r="M1462" s="244" t="s">
        <v>559</v>
      </c>
      <c r="N1462" s="15" t="s">
        <v>28</v>
      </c>
      <c r="O1462" s="16">
        <v>46.36</v>
      </c>
      <c r="P1462" s="16">
        <v>15</v>
      </c>
      <c r="Q1462" s="16">
        <f t="shared" ref="Q1462:Q1471" si="288">O1462*P1462</f>
        <v>695.4</v>
      </c>
      <c r="R1462" s="240">
        <f>SUM(Q1462:Q1472)</f>
        <v>4976.25</v>
      </c>
      <c r="S1462" s="237">
        <v>21500</v>
      </c>
      <c r="T1462" s="237">
        <f>S1462-R1462</f>
        <v>16523.75</v>
      </c>
      <c r="U1462" s="241">
        <f>T1462/S1462</f>
        <v>0.76854651162790699</v>
      </c>
    </row>
    <row r="1463" spans="1:21" ht="13">
      <c r="A1463" s="270"/>
      <c r="B1463" s="245"/>
      <c r="C1463" s="19" t="s">
        <v>57</v>
      </c>
      <c r="D1463" s="17">
        <v>18.75</v>
      </c>
      <c r="E1463" s="17">
        <v>15</v>
      </c>
      <c r="F1463" s="17">
        <f t="shared" si="287"/>
        <v>281.25</v>
      </c>
      <c r="G1463" s="236"/>
      <c r="H1463" s="236"/>
      <c r="I1463" s="236"/>
      <c r="J1463" s="242"/>
      <c r="L1463" s="270"/>
      <c r="M1463" s="245"/>
      <c r="N1463" s="19" t="s">
        <v>57</v>
      </c>
      <c r="O1463" s="17">
        <v>18.75</v>
      </c>
      <c r="P1463" s="17">
        <v>15</v>
      </c>
      <c r="Q1463" s="17">
        <f t="shared" si="288"/>
        <v>281.25</v>
      </c>
      <c r="R1463" s="236"/>
      <c r="S1463" s="236"/>
      <c r="T1463" s="236"/>
      <c r="U1463" s="242"/>
    </row>
    <row r="1464" spans="1:21" ht="13">
      <c r="A1464" s="270"/>
      <c r="B1464" s="245"/>
      <c r="C1464" s="19" t="s">
        <v>560</v>
      </c>
      <c r="D1464" s="17">
        <v>13.8</v>
      </c>
      <c r="E1464" s="17">
        <v>15</v>
      </c>
      <c r="F1464" s="17">
        <f t="shared" si="287"/>
        <v>207</v>
      </c>
      <c r="G1464" s="236"/>
      <c r="H1464" s="236"/>
      <c r="I1464" s="236"/>
      <c r="J1464" s="242"/>
      <c r="L1464" s="270"/>
      <c r="M1464" s="245"/>
      <c r="N1464" s="19" t="s">
        <v>560</v>
      </c>
      <c r="O1464" s="17">
        <v>13.8</v>
      </c>
      <c r="P1464" s="17">
        <v>15</v>
      </c>
      <c r="Q1464" s="17">
        <f t="shared" si="288"/>
        <v>207</v>
      </c>
      <c r="R1464" s="236"/>
      <c r="S1464" s="236"/>
      <c r="T1464" s="236"/>
      <c r="U1464" s="242"/>
    </row>
    <row r="1465" spans="1:21" ht="13">
      <c r="A1465" s="270"/>
      <c r="B1465" s="245"/>
      <c r="C1465" s="19" t="s">
        <v>31</v>
      </c>
      <c r="D1465" s="17">
        <v>6.5</v>
      </c>
      <c r="E1465" s="17">
        <v>15</v>
      </c>
      <c r="F1465" s="17">
        <f t="shared" si="287"/>
        <v>97.5</v>
      </c>
      <c r="G1465" s="236"/>
      <c r="H1465" s="236"/>
      <c r="I1465" s="236"/>
      <c r="J1465" s="242"/>
      <c r="L1465" s="270"/>
      <c r="M1465" s="245"/>
      <c r="N1465" s="19" t="s">
        <v>31</v>
      </c>
      <c r="O1465" s="17">
        <v>6.5</v>
      </c>
      <c r="P1465" s="17">
        <v>15</v>
      </c>
      <c r="Q1465" s="17">
        <f t="shared" si="288"/>
        <v>97.5</v>
      </c>
      <c r="R1465" s="236"/>
      <c r="S1465" s="236"/>
      <c r="T1465" s="236"/>
      <c r="U1465" s="242"/>
    </row>
    <row r="1466" spans="1:21" ht="13">
      <c r="A1466" s="270"/>
      <c r="B1466" s="245"/>
      <c r="C1466" s="19" t="s">
        <v>50</v>
      </c>
      <c r="D1466" s="17">
        <v>58.1</v>
      </c>
      <c r="E1466" s="17">
        <v>15</v>
      </c>
      <c r="F1466" s="17">
        <f t="shared" si="287"/>
        <v>871.5</v>
      </c>
      <c r="G1466" s="236"/>
      <c r="H1466" s="236"/>
      <c r="I1466" s="236"/>
      <c r="J1466" s="242"/>
      <c r="L1466" s="270"/>
      <c r="M1466" s="245"/>
      <c r="N1466" s="19" t="s">
        <v>50</v>
      </c>
      <c r="O1466" s="17">
        <v>58.1</v>
      </c>
      <c r="P1466" s="17">
        <v>15</v>
      </c>
      <c r="Q1466" s="17">
        <f t="shared" si="288"/>
        <v>871.5</v>
      </c>
      <c r="R1466" s="236"/>
      <c r="S1466" s="236"/>
      <c r="T1466" s="236"/>
      <c r="U1466" s="242"/>
    </row>
    <row r="1467" spans="1:21" ht="13">
      <c r="A1467" s="270"/>
      <c r="B1467" s="245"/>
      <c r="C1467" s="19" t="s">
        <v>561</v>
      </c>
      <c r="D1467" s="17">
        <v>55.42</v>
      </c>
      <c r="E1467" s="17">
        <v>15</v>
      </c>
      <c r="F1467" s="17">
        <f t="shared" si="287"/>
        <v>831.30000000000007</v>
      </c>
      <c r="G1467" s="236"/>
      <c r="H1467" s="236"/>
      <c r="I1467" s="236"/>
      <c r="J1467" s="242"/>
      <c r="L1467" s="270"/>
      <c r="M1467" s="245"/>
      <c r="N1467" s="19" t="s">
        <v>561</v>
      </c>
      <c r="O1467" s="17">
        <v>55.42</v>
      </c>
      <c r="P1467" s="17">
        <v>15</v>
      </c>
      <c r="Q1467" s="17">
        <f t="shared" si="288"/>
        <v>831.30000000000007</v>
      </c>
      <c r="R1467" s="236"/>
      <c r="S1467" s="236"/>
      <c r="T1467" s="236"/>
      <c r="U1467" s="242"/>
    </row>
    <row r="1468" spans="1:21" ht="13">
      <c r="A1468" s="270"/>
      <c r="B1468" s="245"/>
      <c r="C1468" s="19" t="s">
        <v>65</v>
      </c>
      <c r="D1468" s="17">
        <v>11.5</v>
      </c>
      <c r="E1468" s="17">
        <v>15</v>
      </c>
      <c r="F1468" s="17">
        <f t="shared" si="287"/>
        <v>172.5</v>
      </c>
      <c r="G1468" s="236"/>
      <c r="H1468" s="236"/>
      <c r="I1468" s="236"/>
      <c r="J1468" s="242"/>
      <c r="L1468" s="270"/>
      <c r="M1468" s="245"/>
      <c r="N1468" s="19" t="s">
        <v>65</v>
      </c>
      <c r="O1468" s="17">
        <v>11.5</v>
      </c>
      <c r="P1468" s="17">
        <v>15</v>
      </c>
      <c r="Q1468" s="17">
        <f t="shared" si="288"/>
        <v>172.5</v>
      </c>
      <c r="R1468" s="236"/>
      <c r="S1468" s="236"/>
      <c r="T1468" s="236"/>
      <c r="U1468" s="242"/>
    </row>
    <row r="1469" spans="1:21" ht="13">
      <c r="A1469" s="270"/>
      <c r="B1469" s="245"/>
      <c r="C1469" s="19" t="s">
        <v>562</v>
      </c>
      <c r="D1469" s="17">
        <v>40.79</v>
      </c>
      <c r="E1469" s="17">
        <v>15</v>
      </c>
      <c r="F1469" s="17">
        <f t="shared" si="287"/>
        <v>611.85</v>
      </c>
      <c r="G1469" s="236"/>
      <c r="H1469" s="236"/>
      <c r="I1469" s="236"/>
      <c r="J1469" s="242"/>
      <c r="L1469" s="270"/>
      <c r="M1469" s="245"/>
      <c r="N1469" s="19" t="s">
        <v>562</v>
      </c>
      <c r="O1469" s="17">
        <v>40.79</v>
      </c>
      <c r="P1469" s="17">
        <v>15</v>
      </c>
      <c r="Q1469" s="17">
        <f t="shared" si="288"/>
        <v>611.85</v>
      </c>
      <c r="R1469" s="236"/>
      <c r="S1469" s="236"/>
      <c r="T1469" s="236"/>
      <c r="U1469" s="242"/>
    </row>
    <row r="1470" spans="1:21" ht="13">
      <c r="A1470" s="270"/>
      <c r="B1470" s="245"/>
      <c r="C1470" s="19" t="s">
        <v>563</v>
      </c>
      <c r="D1470" s="17">
        <v>37.4</v>
      </c>
      <c r="E1470" s="17">
        <v>15</v>
      </c>
      <c r="F1470" s="17">
        <f t="shared" si="287"/>
        <v>561</v>
      </c>
      <c r="G1470" s="236"/>
      <c r="H1470" s="236"/>
      <c r="I1470" s="236"/>
      <c r="J1470" s="242"/>
      <c r="L1470" s="270"/>
      <c r="M1470" s="245"/>
      <c r="N1470" s="19" t="s">
        <v>563</v>
      </c>
      <c r="O1470" s="17">
        <v>37.4</v>
      </c>
      <c r="P1470" s="17">
        <v>15</v>
      </c>
      <c r="Q1470" s="17">
        <f t="shared" si="288"/>
        <v>561</v>
      </c>
      <c r="R1470" s="236"/>
      <c r="S1470" s="236"/>
      <c r="T1470" s="236"/>
      <c r="U1470" s="242"/>
    </row>
    <row r="1471" spans="1:21" ht="13">
      <c r="A1471" s="270"/>
      <c r="B1471" s="245"/>
      <c r="C1471" s="19" t="s">
        <v>564</v>
      </c>
      <c r="D1471" s="17">
        <v>43.13</v>
      </c>
      <c r="E1471" s="17">
        <v>15</v>
      </c>
      <c r="F1471" s="17">
        <f t="shared" si="287"/>
        <v>646.95000000000005</v>
      </c>
      <c r="G1471" s="236"/>
      <c r="H1471" s="236"/>
      <c r="I1471" s="236"/>
      <c r="J1471" s="242"/>
      <c r="L1471" s="270"/>
      <c r="M1471" s="245"/>
      <c r="N1471" s="19" t="s">
        <v>564</v>
      </c>
      <c r="O1471" s="17">
        <v>43.13</v>
      </c>
      <c r="P1471" s="17">
        <v>15</v>
      </c>
      <c r="Q1471" s="17">
        <f t="shared" si="288"/>
        <v>646.95000000000005</v>
      </c>
      <c r="R1471" s="236"/>
      <c r="S1471" s="236"/>
      <c r="T1471" s="236"/>
      <c r="U1471" s="242"/>
    </row>
    <row r="1472" spans="1:21" ht="13">
      <c r="A1472" s="270"/>
      <c r="B1472" s="246"/>
      <c r="C1472" s="20"/>
      <c r="D1472" s="21"/>
      <c r="E1472" s="21"/>
      <c r="F1472" s="21"/>
      <c r="G1472" s="238"/>
      <c r="H1472" s="238"/>
      <c r="I1472" s="238"/>
      <c r="J1472" s="243"/>
      <c r="L1472" s="270"/>
      <c r="M1472" s="246"/>
      <c r="N1472" s="20"/>
      <c r="O1472" s="21"/>
      <c r="P1472" s="21"/>
      <c r="Q1472" s="21"/>
      <c r="R1472" s="238"/>
      <c r="S1472" s="238"/>
      <c r="T1472" s="238"/>
      <c r="U1472" s="243"/>
    </row>
    <row r="1473" spans="1:21" ht="13">
      <c r="A1473" s="270"/>
      <c r="B1473" s="244" t="s">
        <v>565</v>
      </c>
      <c r="C1473" s="15" t="s">
        <v>29</v>
      </c>
      <c r="D1473" s="16">
        <v>17.190000000000001</v>
      </c>
      <c r="E1473" s="16">
        <v>13</v>
      </c>
      <c r="F1473" s="16">
        <f t="shared" ref="F1473:F1479" si="289">D1473*E1473</f>
        <v>223.47000000000003</v>
      </c>
      <c r="G1473" s="240">
        <f>SUM(F1473:F1479)</f>
        <v>1127.8800000000001</v>
      </c>
      <c r="H1473" s="237">
        <v>4420.28</v>
      </c>
      <c r="I1473" s="237">
        <f>H1473-G1473</f>
        <v>3292.3999999999996</v>
      </c>
      <c r="J1473" s="241">
        <f>I1473/H1473</f>
        <v>0.74483969341308687</v>
      </c>
      <c r="L1473" s="270"/>
      <c r="M1473" s="244" t="s">
        <v>565</v>
      </c>
      <c r="N1473" s="15" t="s">
        <v>29</v>
      </c>
      <c r="O1473" s="16">
        <v>17.190000000000001</v>
      </c>
      <c r="P1473" s="16">
        <v>13</v>
      </c>
      <c r="Q1473" s="16">
        <f t="shared" ref="Q1473:Q1479" si="290">O1473*P1473</f>
        <v>223.47000000000003</v>
      </c>
      <c r="R1473" s="240">
        <f>SUM(Q1473:Q1479)</f>
        <v>1127.8800000000001</v>
      </c>
      <c r="S1473" s="237">
        <v>4420.28</v>
      </c>
      <c r="T1473" s="237">
        <f>S1473-R1473</f>
        <v>3292.3999999999996</v>
      </c>
      <c r="U1473" s="241">
        <f>T1473/S1473</f>
        <v>0.74483969341308687</v>
      </c>
    </row>
    <row r="1474" spans="1:21" ht="13">
      <c r="A1474" s="270"/>
      <c r="B1474" s="245"/>
      <c r="C1474" s="19" t="s">
        <v>30</v>
      </c>
      <c r="D1474" s="17">
        <v>17.34</v>
      </c>
      <c r="E1474" s="17">
        <v>13</v>
      </c>
      <c r="F1474" s="17">
        <f t="shared" si="289"/>
        <v>225.42</v>
      </c>
      <c r="G1474" s="236"/>
      <c r="H1474" s="236"/>
      <c r="I1474" s="236"/>
      <c r="J1474" s="242"/>
      <c r="L1474" s="270"/>
      <c r="M1474" s="245"/>
      <c r="N1474" s="19" t="s">
        <v>30</v>
      </c>
      <c r="O1474" s="17">
        <v>17.34</v>
      </c>
      <c r="P1474" s="17">
        <v>13</v>
      </c>
      <c r="Q1474" s="17">
        <f t="shared" si="290"/>
        <v>225.42</v>
      </c>
      <c r="R1474" s="236"/>
      <c r="S1474" s="236"/>
      <c r="T1474" s="236"/>
      <c r="U1474" s="242"/>
    </row>
    <row r="1475" spans="1:21" ht="13">
      <c r="A1475" s="270"/>
      <c r="B1475" s="245"/>
      <c r="C1475" s="19" t="s">
        <v>32</v>
      </c>
      <c r="D1475" s="17">
        <v>13.12</v>
      </c>
      <c r="E1475" s="17">
        <v>13</v>
      </c>
      <c r="F1475" s="17">
        <f t="shared" si="289"/>
        <v>170.56</v>
      </c>
      <c r="G1475" s="236"/>
      <c r="H1475" s="236"/>
      <c r="I1475" s="236"/>
      <c r="J1475" s="242"/>
      <c r="L1475" s="270"/>
      <c r="M1475" s="245"/>
      <c r="N1475" s="19" t="s">
        <v>32</v>
      </c>
      <c r="O1475" s="17">
        <v>13.12</v>
      </c>
      <c r="P1475" s="17">
        <v>13</v>
      </c>
      <c r="Q1475" s="17">
        <f t="shared" si="290"/>
        <v>170.56</v>
      </c>
      <c r="R1475" s="236"/>
      <c r="S1475" s="236"/>
      <c r="T1475" s="236"/>
      <c r="U1475" s="242"/>
    </row>
    <row r="1476" spans="1:21" ht="13">
      <c r="A1476" s="270"/>
      <c r="B1476" s="245"/>
      <c r="C1476" s="19" t="s">
        <v>31</v>
      </c>
      <c r="D1476" s="17">
        <v>13.73</v>
      </c>
      <c r="E1476" s="17">
        <v>13</v>
      </c>
      <c r="F1476" s="17">
        <f t="shared" si="289"/>
        <v>178.49</v>
      </c>
      <c r="G1476" s="236"/>
      <c r="H1476" s="236"/>
      <c r="I1476" s="236"/>
      <c r="J1476" s="242"/>
      <c r="L1476" s="270"/>
      <c r="M1476" s="245"/>
      <c r="N1476" s="19" t="s">
        <v>31</v>
      </c>
      <c r="O1476" s="17">
        <v>13.73</v>
      </c>
      <c r="P1476" s="17">
        <v>13</v>
      </c>
      <c r="Q1476" s="17">
        <f t="shared" si="290"/>
        <v>178.49</v>
      </c>
      <c r="R1476" s="236"/>
      <c r="S1476" s="236"/>
      <c r="T1476" s="236"/>
      <c r="U1476" s="242"/>
    </row>
    <row r="1477" spans="1:21" ht="13">
      <c r="A1477" s="270"/>
      <c r="B1477" s="245"/>
      <c r="C1477" s="19" t="s">
        <v>72</v>
      </c>
      <c r="D1477" s="17">
        <v>13.15</v>
      </c>
      <c r="E1477" s="17">
        <v>13</v>
      </c>
      <c r="F1477" s="17">
        <f t="shared" si="289"/>
        <v>170.95000000000002</v>
      </c>
      <c r="G1477" s="236"/>
      <c r="H1477" s="236"/>
      <c r="I1477" s="236"/>
      <c r="J1477" s="242"/>
      <c r="L1477" s="270"/>
      <c r="M1477" s="245"/>
      <c r="N1477" s="19" t="s">
        <v>72</v>
      </c>
      <c r="O1477" s="17">
        <v>13.15</v>
      </c>
      <c r="P1477" s="17">
        <v>13</v>
      </c>
      <c r="Q1477" s="17">
        <f t="shared" si="290"/>
        <v>170.95000000000002</v>
      </c>
      <c r="R1477" s="236"/>
      <c r="S1477" s="236"/>
      <c r="T1477" s="236"/>
      <c r="U1477" s="242"/>
    </row>
    <row r="1478" spans="1:21" ht="13">
      <c r="A1478" s="270"/>
      <c r="B1478" s="245"/>
      <c r="C1478" s="19" t="s">
        <v>38</v>
      </c>
      <c r="D1478" s="17">
        <v>8.23</v>
      </c>
      <c r="E1478" s="17">
        <v>13</v>
      </c>
      <c r="F1478" s="17">
        <f t="shared" si="289"/>
        <v>106.99000000000001</v>
      </c>
      <c r="G1478" s="236"/>
      <c r="H1478" s="236"/>
      <c r="I1478" s="236"/>
      <c r="J1478" s="242"/>
      <c r="L1478" s="270"/>
      <c r="M1478" s="245"/>
      <c r="N1478" s="19" t="s">
        <v>38</v>
      </c>
      <c r="O1478" s="17">
        <v>8.23</v>
      </c>
      <c r="P1478" s="17">
        <v>13</v>
      </c>
      <c r="Q1478" s="17">
        <f t="shared" si="290"/>
        <v>106.99000000000001</v>
      </c>
      <c r="R1478" s="236"/>
      <c r="S1478" s="236"/>
      <c r="T1478" s="236"/>
      <c r="U1478" s="242"/>
    </row>
    <row r="1479" spans="1:21" ht="13">
      <c r="A1479" s="270"/>
      <c r="B1479" s="246"/>
      <c r="C1479" s="20" t="s">
        <v>566</v>
      </c>
      <c r="D1479" s="21">
        <v>4</v>
      </c>
      <c r="E1479" s="21">
        <v>13</v>
      </c>
      <c r="F1479" s="17">
        <f t="shared" si="289"/>
        <v>52</v>
      </c>
      <c r="G1479" s="238"/>
      <c r="H1479" s="238"/>
      <c r="I1479" s="238"/>
      <c r="J1479" s="243"/>
      <c r="L1479" s="270"/>
      <c r="M1479" s="246"/>
      <c r="N1479" s="20" t="s">
        <v>566</v>
      </c>
      <c r="O1479" s="21">
        <v>4</v>
      </c>
      <c r="P1479" s="21">
        <v>13</v>
      </c>
      <c r="Q1479" s="17">
        <f t="shared" si="290"/>
        <v>52</v>
      </c>
      <c r="R1479" s="238"/>
      <c r="S1479" s="238"/>
      <c r="T1479" s="238"/>
      <c r="U1479" s="243"/>
    </row>
    <row r="1480" spans="1:21" ht="13">
      <c r="A1480" s="270"/>
      <c r="B1480" s="244" t="s">
        <v>567</v>
      </c>
      <c r="C1480" s="15" t="s">
        <v>70</v>
      </c>
      <c r="D1480" s="16"/>
      <c r="E1480" s="16"/>
      <c r="F1480" s="16">
        <v>698</v>
      </c>
      <c r="G1480" s="240">
        <f>SUM(F1480:F1486)</f>
        <v>2255.6799999999998</v>
      </c>
      <c r="H1480" s="237">
        <v>8331.49</v>
      </c>
      <c r="I1480" s="237">
        <f>H1480-G1480</f>
        <v>6075.8099999999995</v>
      </c>
      <c r="J1480" s="241">
        <f>I1480/H1480</f>
        <v>0.72925851198285052</v>
      </c>
      <c r="L1480" s="270"/>
      <c r="M1480" s="244" t="s">
        <v>567</v>
      </c>
      <c r="N1480" s="15" t="s">
        <v>70</v>
      </c>
      <c r="O1480" s="16"/>
      <c r="P1480" s="16"/>
      <c r="Q1480" s="16">
        <v>698</v>
      </c>
      <c r="R1480" s="240">
        <f>SUM(Q1480:Q1486)</f>
        <v>1751.68</v>
      </c>
      <c r="S1480" s="237">
        <v>8331.49</v>
      </c>
      <c r="T1480" s="237">
        <f>S1480-R1480</f>
        <v>6579.8099999999995</v>
      </c>
      <c r="U1480" s="241">
        <f>T1480/S1480</f>
        <v>0.78975189311875782</v>
      </c>
    </row>
    <row r="1481" spans="1:21" ht="13">
      <c r="A1481" s="270"/>
      <c r="B1481" s="245"/>
      <c r="C1481" s="19" t="s">
        <v>23</v>
      </c>
      <c r="D1481" s="17">
        <v>28</v>
      </c>
      <c r="E1481" s="17">
        <v>18</v>
      </c>
      <c r="F1481" s="17">
        <f>D1481*E1481</f>
        <v>504</v>
      </c>
      <c r="G1481" s="236"/>
      <c r="H1481" s="236"/>
      <c r="I1481" s="236"/>
      <c r="J1481" s="242"/>
      <c r="L1481" s="270"/>
      <c r="M1481" s="245"/>
      <c r="N1481" s="19" t="s">
        <v>23</v>
      </c>
      <c r="O1481" s="18"/>
      <c r="P1481" s="18"/>
      <c r="Q1481" s="18"/>
      <c r="R1481" s="236"/>
      <c r="S1481" s="236"/>
      <c r="T1481" s="236"/>
      <c r="U1481" s="242"/>
    </row>
    <row r="1482" spans="1:21" ht="13">
      <c r="A1482" s="270"/>
      <c r="B1482" s="245"/>
      <c r="C1482" s="19" t="s">
        <v>44</v>
      </c>
      <c r="D1482" s="17"/>
      <c r="E1482" s="17"/>
      <c r="F1482" s="17">
        <v>78.2</v>
      </c>
      <c r="G1482" s="236"/>
      <c r="H1482" s="236"/>
      <c r="I1482" s="236"/>
      <c r="J1482" s="242"/>
      <c r="L1482" s="270"/>
      <c r="M1482" s="245"/>
      <c r="N1482" s="19" t="s">
        <v>44</v>
      </c>
      <c r="O1482" s="17"/>
      <c r="P1482" s="17"/>
      <c r="Q1482" s="17">
        <v>78.2</v>
      </c>
      <c r="R1482" s="236"/>
      <c r="S1482" s="236"/>
      <c r="T1482" s="236"/>
      <c r="U1482" s="242"/>
    </row>
    <row r="1483" spans="1:21" ht="13">
      <c r="A1483" s="270"/>
      <c r="B1483" s="245"/>
      <c r="C1483" s="19" t="s">
        <v>47</v>
      </c>
      <c r="D1483" s="17"/>
      <c r="E1483" s="17"/>
      <c r="F1483" s="17">
        <v>353.71</v>
      </c>
      <c r="G1483" s="236"/>
      <c r="H1483" s="236"/>
      <c r="I1483" s="236"/>
      <c r="J1483" s="242"/>
      <c r="L1483" s="270"/>
      <c r="M1483" s="245"/>
      <c r="N1483" s="19" t="s">
        <v>47</v>
      </c>
      <c r="O1483" s="17"/>
      <c r="P1483" s="17"/>
      <c r="Q1483" s="17">
        <v>353.71</v>
      </c>
      <c r="R1483" s="236"/>
      <c r="S1483" s="236"/>
      <c r="T1483" s="236"/>
      <c r="U1483" s="242"/>
    </row>
    <row r="1484" spans="1:21" ht="13">
      <c r="A1484" s="270"/>
      <c r="B1484" s="245"/>
      <c r="C1484" s="19" t="s">
        <v>45</v>
      </c>
      <c r="D1484" s="17"/>
      <c r="E1484" s="17"/>
      <c r="F1484" s="17">
        <v>176.5</v>
      </c>
      <c r="G1484" s="236"/>
      <c r="H1484" s="236"/>
      <c r="I1484" s="236"/>
      <c r="J1484" s="242"/>
      <c r="L1484" s="270"/>
      <c r="M1484" s="245"/>
      <c r="N1484" s="19" t="s">
        <v>45</v>
      </c>
      <c r="O1484" s="17"/>
      <c r="P1484" s="17"/>
      <c r="Q1484" s="17">
        <v>176.5</v>
      </c>
      <c r="R1484" s="236"/>
      <c r="S1484" s="236"/>
      <c r="T1484" s="236"/>
      <c r="U1484" s="242"/>
    </row>
    <row r="1485" spans="1:21" ht="13">
      <c r="A1485" s="270"/>
      <c r="B1485" s="245"/>
      <c r="C1485" s="19" t="s">
        <v>568</v>
      </c>
      <c r="D1485" s="17"/>
      <c r="E1485" s="17"/>
      <c r="F1485" s="17">
        <v>92.86</v>
      </c>
      <c r="G1485" s="236"/>
      <c r="H1485" s="236"/>
      <c r="I1485" s="236"/>
      <c r="J1485" s="242"/>
      <c r="L1485" s="270"/>
      <c r="M1485" s="245"/>
      <c r="N1485" s="19" t="s">
        <v>568</v>
      </c>
      <c r="O1485" s="17"/>
      <c r="P1485" s="17"/>
      <c r="Q1485" s="17">
        <v>92.86</v>
      </c>
      <c r="R1485" s="236"/>
      <c r="S1485" s="236"/>
      <c r="T1485" s="236"/>
      <c r="U1485" s="242"/>
    </row>
    <row r="1486" spans="1:21" ht="13">
      <c r="A1486" s="270"/>
      <c r="B1486" s="246"/>
      <c r="C1486" s="20" t="s">
        <v>33</v>
      </c>
      <c r="D1486" s="21"/>
      <c r="E1486" s="21"/>
      <c r="F1486" s="21">
        <v>352.41</v>
      </c>
      <c r="G1486" s="238"/>
      <c r="H1486" s="238"/>
      <c r="I1486" s="238"/>
      <c r="J1486" s="243"/>
      <c r="L1486" s="270"/>
      <c r="M1486" s="246"/>
      <c r="N1486" s="20" t="s">
        <v>33</v>
      </c>
      <c r="O1486" s="21"/>
      <c r="P1486" s="21"/>
      <c r="Q1486" s="21">
        <v>352.41</v>
      </c>
      <c r="R1486" s="238"/>
      <c r="S1486" s="238"/>
      <c r="T1486" s="238"/>
      <c r="U1486" s="243"/>
    </row>
    <row r="1487" spans="1:21" ht="30">
      <c r="A1487" s="278" t="s">
        <v>569</v>
      </c>
      <c r="B1487" s="252"/>
      <c r="C1487" s="253"/>
      <c r="D1487" s="56">
        <f t="shared" ref="D1487:I1487" si="291">AVERAGE(D1427:D1486)</f>
        <v>24.185945945945946</v>
      </c>
      <c r="E1487" s="56">
        <f t="shared" si="291"/>
        <v>15</v>
      </c>
      <c r="F1487" s="56">
        <f t="shared" si="291"/>
        <v>307.46949152542368</v>
      </c>
      <c r="G1487" s="56">
        <f t="shared" si="291"/>
        <v>2015.6333333333334</v>
      </c>
      <c r="H1487" s="56">
        <f t="shared" si="291"/>
        <v>6187.7322222222219</v>
      </c>
      <c r="I1487" s="56">
        <f t="shared" si="291"/>
        <v>4172.0988888888887</v>
      </c>
      <c r="J1487" s="57">
        <f>AVERAGE($J$12:$J$76)</f>
        <v>0.79942354689485917</v>
      </c>
      <c r="L1487" s="278" t="s">
        <v>569</v>
      </c>
      <c r="M1487" s="252"/>
      <c r="N1487" s="253"/>
      <c r="O1487" s="56">
        <f t="shared" ref="O1487:T1487" si="292">AVERAGE(O1427:O1486)</f>
        <v>23.968</v>
      </c>
      <c r="P1487" s="56">
        <f t="shared" si="292"/>
        <v>14.885714285714286</v>
      </c>
      <c r="Q1487" s="56">
        <f t="shared" si="292"/>
        <v>301.55614035087723</v>
      </c>
      <c r="R1487" s="56">
        <f t="shared" si="292"/>
        <v>1909.8555555555556</v>
      </c>
      <c r="S1487" s="56">
        <f t="shared" si="292"/>
        <v>6187.7322222222219</v>
      </c>
      <c r="T1487" s="56">
        <f t="shared" si="292"/>
        <v>4277.876666666667</v>
      </c>
      <c r="U1487" s="57">
        <f>AVERAGE($J$12:$J$76)</f>
        <v>0.79942354689485917</v>
      </c>
    </row>
    <row r="1488" spans="1:21" ht="30">
      <c r="A1488" s="279" t="s">
        <v>570</v>
      </c>
      <c r="B1488" s="255"/>
      <c r="C1488" s="256"/>
      <c r="D1488" s="72">
        <f t="shared" ref="D1488:I1488" si="293">SUM(D1427:D1486)</f>
        <v>894.88</v>
      </c>
      <c r="E1488" s="72">
        <f t="shared" si="293"/>
        <v>555</v>
      </c>
      <c r="F1488" s="72">
        <f t="shared" si="293"/>
        <v>18140.699999999997</v>
      </c>
      <c r="G1488" s="72">
        <f t="shared" si="293"/>
        <v>18140.7</v>
      </c>
      <c r="H1488" s="72">
        <f t="shared" si="293"/>
        <v>55689.59</v>
      </c>
      <c r="I1488" s="72">
        <f t="shared" si="293"/>
        <v>37548.89</v>
      </c>
      <c r="J1488" s="76">
        <f>I1488/H1488</f>
        <v>0.67425330299612551</v>
      </c>
      <c r="L1488" s="279" t="s">
        <v>570</v>
      </c>
      <c r="M1488" s="255"/>
      <c r="N1488" s="256"/>
      <c r="O1488" s="72">
        <f t="shared" ref="O1488:T1488" si="294">SUM(O1427:O1486)</f>
        <v>838.88</v>
      </c>
      <c r="P1488" s="72">
        <f t="shared" si="294"/>
        <v>521</v>
      </c>
      <c r="Q1488" s="72">
        <f t="shared" si="294"/>
        <v>17188.7</v>
      </c>
      <c r="R1488" s="72">
        <f t="shared" si="294"/>
        <v>17188.7</v>
      </c>
      <c r="S1488" s="72">
        <f t="shared" si="294"/>
        <v>55689.59</v>
      </c>
      <c r="T1488" s="72">
        <f t="shared" si="294"/>
        <v>38500.89</v>
      </c>
      <c r="U1488" s="76">
        <f>T1488/S1488</f>
        <v>0.6913480598438595</v>
      </c>
    </row>
    <row r="1490" spans="1:21" ht="30">
      <c r="A1490" s="257" t="s">
        <v>571</v>
      </c>
      <c r="B1490" s="252"/>
      <c r="C1490" s="253"/>
      <c r="D1490" s="34">
        <f t="shared" ref="D1490:I1490" si="295">SUM(D1279,D1426,D1488)</f>
        <v>3097.3999999999996</v>
      </c>
      <c r="E1490" s="34">
        <f t="shared" si="295"/>
        <v>2408.5</v>
      </c>
      <c r="F1490" s="34">
        <f t="shared" si="295"/>
        <v>89526.900000000009</v>
      </c>
      <c r="G1490" s="34">
        <f t="shared" si="295"/>
        <v>89526.89999999998</v>
      </c>
      <c r="H1490" s="34">
        <f t="shared" si="295"/>
        <v>229501.56999999998</v>
      </c>
      <c r="I1490" s="34">
        <f t="shared" si="295"/>
        <v>139974.66999999998</v>
      </c>
      <c r="J1490" s="35">
        <f>I1490/H1490</f>
        <v>0.60990724377179639</v>
      </c>
      <c r="L1490" s="257" t="s">
        <v>571</v>
      </c>
      <c r="M1490" s="252"/>
      <c r="N1490" s="253"/>
      <c r="O1490" s="34">
        <f t="shared" ref="O1490:T1490" si="296">SUM(O1279,O1426,O1488)</f>
        <v>2735.9</v>
      </c>
      <c r="P1490" s="34">
        <f t="shared" si="296"/>
        <v>2067.5</v>
      </c>
      <c r="Q1490" s="34">
        <f t="shared" si="296"/>
        <v>78342.400000000023</v>
      </c>
      <c r="R1490" s="34">
        <f t="shared" si="296"/>
        <v>78342.399999999994</v>
      </c>
      <c r="S1490" s="34">
        <f t="shared" si="296"/>
        <v>229501.56999999998</v>
      </c>
      <c r="T1490" s="34">
        <f t="shared" si="296"/>
        <v>151159.16999999998</v>
      </c>
      <c r="U1490" s="35">
        <f>T1490/S1490</f>
        <v>0.65864111517842772</v>
      </c>
    </row>
    <row r="1491" spans="1:21" ht="16">
      <c r="A1491" s="33"/>
      <c r="B1491" s="30"/>
      <c r="C1491" s="22"/>
      <c r="D1491" s="23"/>
      <c r="E1491" s="23"/>
      <c r="F1491" s="23"/>
      <c r="G1491" s="31"/>
      <c r="H1491" s="32"/>
      <c r="I1491" s="31"/>
      <c r="J1491" s="85"/>
      <c r="L1491" s="86"/>
    </row>
    <row r="1492" spans="1:21" ht="16">
      <c r="A1492" s="33"/>
      <c r="B1492" s="30"/>
      <c r="C1492" s="22"/>
      <c r="D1492" s="23"/>
      <c r="E1492" s="23"/>
      <c r="F1492" s="23"/>
      <c r="G1492" s="31"/>
      <c r="H1492" s="32"/>
      <c r="I1492" s="31"/>
      <c r="J1492" s="85"/>
      <c r="L1492" s="86"/>
    </row>
    <row r="1493" spans="1:21" ht="16">
      <c r="A1493" s="33"/>
      <c r="B1493" s="30"/>
      <c r="C1493" s="22"/>
      <c r="D1493" s="23"/>
      <c r="E1493" s="23"/>
      <c r="F1493" s="23"/>
      <c r="G1493" s="31"/>
      <c r="H1493" s="32"/>
      <c r="I1493" s="31"/>
      <c r="J1493" s="85"/>
      <c r="L1493" s="86"/>
    </row>
    <row r="1494" spans="1:21" ht="16">
      <c r="A1494" s="33"/>
      <c r="B1494" s="30"/>
      <c r="C1494" s="22"/>
      <c r="D1494" s="23"/>
      <c r="E1494" s="23"/>
      <c r="F1494" s="23"/>
      <c r="G1494" s="31"/>
      <c r="H1494" s="32"/>
      <c r="I1494" s="31"/>
      <c r="J1494" s="85"/>
      <c r="L1494" s="86"/>
    </row>
    <row r="1495" spans="1:21" ht="16">
      <c r="A1495" s="33"/>
      <c r="B1495" s="30"/>
      <c r="C1495" s="22"/>
      <c r="D1495" s="23"/>
      <c r="E1495" s="23"/>
      <c r="F1495" s="23"/>
      <c r="G1495" s="31"/>
      <c r="H1495" s="32"/>
      <c r="I1495" s="31"/>
      <c r="J1495" s="85"/>
      <c r="L1495" s="86"/>
    </row>
    <row r="1496" spans="1:21" ht="16">
      <c r="A1496" s="33"/>
      <c r="B1496" s="30"/>
      <c r="C1496" s="22"/>
      <c r="D1496" s="23"/>
      <c r="E1496" s="23"/>
      <c r="F1496" s="23"/>
      <c r="G1496" s="31"/>
      <c r="H1496" s="32"/>
      <c r="I1496" s="31"/>
      <c r="J1496" s="85"/>
      <c r="L1496" s="86"/>
    </row>
    <row r="1497" spans="1:21" ht="16">
      <c r="A1497" s="33"/>
      <c r="B1497" s="30"/>
      <c r="C1497" s="22"/>
      <c r="D1497" s="23"/>
      <c r="E1497" s="23"/>
      <c r="F1497" s="23"/>
      <c r="G1497" s="31"/>
      <c r="H1497" s="32"/>
      <c r="I1497" s="31"/>
      <c r="J1497" s="85"/>
      <c r="L1497" s="86"/>
    </row>
    <row r="1498" spans="1:21" ht="16">
      <c r="A1498" s="33"/>
      <c r="B1498" s="30"/>
      <c r="C1498" s="22"/>
      <c r="D1498" s="23"/>
      <c r="E1498" s="23"/>
      <c r="F1498" s="23"/>
      <c r="G1498" s="31"/>
      <c r="H1498" s="32"/>
      <c r="I1498" s="31"/>
      <c r="J1498" s="85"/>
      <c r="L1498" s="86"/>
    </row>
    <row r="1499" spans="1:21" ht="16">
      <c r="A1499" s="33"/>
      <c r="B1499" s="30"/>
      <c r="C1499" s="22"/>
      <c r="D1499" s="23"/>
      <c r="E1499" s="23"/>
      <c r="F1499" s="23"/>
      <c r="G1499" s="31"/>
      <c r="H1499" s="32"/>
      <c r="I1499" s="31"/>
      <c r="J1499" s="85"/>
      <c r="L1499" s="86"/>
    </row>
    <row r="1500" spans="1:21" ht="16">
      <c r="A1500" s="33"/>
      <c r="B1500" s="30"/>
      <c r="C1500" s="22"/>
      <c r="D1500" s="23"/>
      <c r="E1500" s="23"/>
      <c r="F1500" s="23"/>
      <c r="G1500" s="31"/>
      <c r="H1500" s="32"/>
      <c r="I1500" s="31"/>
      <c r="J1500" s="85"/>
      <c r="L1500" s="86"/>
    </row>
    <row r="1501" spans="1:21" ht="16">
      <c r="A1501" s="33"/>
      <c r="B1501" s="30"/>
      <c r="C1501" s="22"/>
      <c r="D1501" s="23"/>
      <c r="E1501" s="23"/>
      <c r="F1501" s="23"/>
      <c r="G1501" s="31"/>
      <c r="H1501" s="32"/>
      <c r="I1501" s="31"/>
      <c r="J1501" s="85"/>
      <c r="L1501" s="86"/>
    </row>
    <row r="1502" spans="1:21" ht="16">
      <c r="A1502" s="33"/>
      <c r="B1502" s="30"/>
      <c r="C1502" s="22"/>
      <c r="D1502" s="23"/>
      <c r="E1502" s="23"/>
      <c r="F1502" s="23"/>
      <c r="G1502" s="31"/>
      <c r="H1502" s="32"/>
      <c r="I1502" s="31"/>
      <c r="J1502" s="85"/>
      <c r="L1502" s="86"/>
    </row>
    <row r="1503" spans="1:21" ht="16">
      <c r="A1503" s="33"/>
      <c r="B1503" s="30"/>
      <c r="C1503" s="22"/>
      <c r="D1503" s="23"/>
      <c r="E1503" s="23"/>
      <c r="F1503" s="23"/>
      <c r="G1503" s="31"/>
      <c r="H1503" s="32"/>
      <c r="I1503" s="31"/>
      <c r="J1503" s="85"/>
      <c r="L1503" s="86"/>
    </row>
    <row r="1504" spans="1:21" ht="16">
      <c r="A1504" s="33"/>
      <c r="B1504" s="30"/>
      <c r="C1504" s="22"/>
      <c r="D1504" s="23"/>
      <c r="E1504" s="23"/>
      <c r="F1504" s="23"/>
      <c r="G1504" s="31"/>
      <c r="H1504" s="32"/>
      <c r="I1504" s="31"/>
      <c r="J1504" s="85"/>
      <c r="L1504" s="86"/>
    </row>
    <row r="1505" spans="1:12" ht="16">
      <c r="A1505" s="33"/>
      <c r="B1505" s="30"/>
      <c r="C1505" s="22"/>
      <c r="D1505" s="23"/>
      <c r="E1505" s="23"/>
      <c r="F1505" s="23"/>
      <c r="G1505" s="31"/>
      <c r="H1505" s="32"/>
      <c r="I1505" s="31"/>
      <c r="J1505" s="85"/>
      <c r="L1505" s="86"/>
    </row>
    <row r="1506" spans="1:12" ht="16">
      <c r="A1506" s="33"/>
      <c r="B1506" s="30"/>
      <c r="C1506" s="22"/>
      <c r="D1506" s="23"/>
      <c r="E1506" s="23"/>
      <c r="F1506" s="23"/>
      <c r="G1506" s="31"/>
      <c r="H1506" s="32"/>
      <c r="I1506" s="31"/>
      <c r="J1506" s="85"/>
      <c r="L1506" s="86"/>
    </row>
    <row r="1507" spans="1:12" ht="16">
      <c r="A1507" s="33"/>
      <c r="B1507" s="30"/>
      <c r="C1507" s="22"/>
      <c r="D1507" s="23"/>
      <c r="E1507" s="23"/>
      <c r="F1507" s="23"/>
      <c r="G1507" s="31"/>
      <c r="H1507" s="32"/>
      <c r="I1507" s="31"/>
      <c r="J1507" s="85"/>
      <c r="L1507" s="86"/>
    </row>
    <row r="1508" spans="1:12" ht="16">
      <c r="A1508" s="33"/>
      <c r="B1508" s="30"/>
      <c r="C1508" s="22"/>
      <c r="D1508" s="23"/>
      <c r="E1508" s="23"/>
      <c r="F1508" s="23"/>
      <c r="G1508" s="31"/>
      <c r="H1508" s="32"/>
      <c r="I1508" s="31"/>
      <c r="J1508" s="85"/>
      <c r="L1508" s="86"/>
    </row>
    <row r="1509" spans="1:12" ht="16">
      <c r="A1509" s="33"/>
      <c r="B1509" s="30"/>
      <c r="C1509" s="22"/>
      <c r="D1509" s="23"/>
      <c r="E1509" s="23"/>
      <c r="F1509" s="23"/>
      <c r="G1509" s="31"/>
      <c r="H1509" s="32"/>
      <c r="I1509" s="31"/>
      <c r="J1509" s="85"/>
      <c r="L1509" s="86"/>
    </row>
    <row r="1510" spans="1:12" ht="16">
      <c r="A1510" s="33"/>
      <c r="B1510" s="30"/>
      <c r="C1510" s="22"/>
      <c r="D1510" s="23"/>
      <c r="E1510" s="23"/>
      <c r="F1510" s="23"/>
      <c r="G1510" s="31"/>
      <c r="H1510" s="32"/>
      <c r="I1510" s="31"/>
      <c r="J1510" s="85"/>
      <c r="L1510" s="86"/>
    </row>
    <row r="1511" spans="1:12" ht="16">
      <c r="A1511" s="33"/>
      <c r="B1511" s="30"/>
      <c r="C1511" s="22"/>
      <c r="D1511" s="23"/>
      <c r="E1511" s="23"/>
      <c r="F1511" s="23"/>
      <c r="G1511" s="31"/>
      <c r="H1511" s="32"/>
      <c r="I1511" s="31"/>
      <c r="J1511" s="85"/>
      <c r="L1511" s="86"/>
    </row>
    <row r="1512" spans="1:12" ht="16">
      <c r="A1512" s="33"/>
      <c r="B1512" s="30"/>
      <c r="C1512" s="22"/>
      <c r="D1512" s="23"/>
      <c r="E1512" s="23"/>
      <c r="F1512" s="23"/>
      <c r="G1512" s="31"/>
      <c r="H1512" s="32"/>
      <c r="I1512" s="31"/>
      <c r="J1512" s="85"/>
      <c r="L1512" s="86"/>
    </row>
    <row r="1513" spans="1:12" ht="16">
      <c r="A1513" s="33"/>
      <c r="B1513" s="30"/>
      <c r="C1513" s="22"/>
      <c r="D1513" s="23"/>
      <c r="E1513" s="23"/>
      <c r="F1513" s="23"/>
      <c r="G1513" s="31"/>
      <c r="H1513" s="32"/>
      <c r="I1513" s="31"/>
      <c r="J1513" s="85"/>
      <c r="L1513" s="86"/>
    </row>
    <row r="1514" spans="1:12" ht="16">
      <c r="A1514" s="33"/>
      <c r="B1514" s="30"/>
      <c r="C1514" s="22"/>
      <c r="D1514" s="23"/>
      <c r="E1514" s="23"/>
      <c r="F1514" s="23"/>
      <c r="G1514" s="31"/>
      <c r="H1514" s="32"/>
      <c r="I1514" s="31"/>
      <c r="J1514" s="85"/>
      <c r="L1514" s="86"/>
    </row>
    <row r="1515" spans="1:12" ht="16">
      <c r="A1515" s="33"/>
      <c r="B1515" s="30"/>
      <c r="C1515" s="22"/>
      <c r="D1515" s="23"/>
      <c r="E1515" s="23"/>
      <c r="F1515" s="23"/>
      <c r="G1515" s="31"/>
      <c r="H1515" s="32"/>
      <c r="I1515" s="31"/>
      <c r="J1515" s="85"/>
      <c r="L1515" s="86"/>
    </row>
    <row r="1516" spans="1:12" ht="16">
      <c r="A1516" s="33"/>
      <c r="B1516" s="30"/>
      <c r="C1516" s="22"/>
      <c r="D1516" s="23"/>
      <c r="E1516" s="23"/>
      <c r="F1516" s="23"/>
      <c r="G1516" s="31"/>
      <c r="H1516" s="32"/>
      <c r="I1516" s="31"/>
      <c r="J1516" s="85"/>
      <c r="L1516" s="86"/>
    </row>
    <row r="1517" spans="1:12" ht="16">
      <c r="A1517" s="33"/>
      <c r="B1517" s="30"/>
      <c r="C1517" s="22"/>
      <c r="D1517" s="23"/>
      <c r="E1517" s="23"/>
      <c r="F1517" s="23"/>
      <c r="G1517" s="31"/>
      <c r="H1517" s="32"/>
      <c r="I1517" s="31"/>
      <c r="J1517" s="85"/>
      <c r="L1517" s="86"/>
    </row>
    <row r="1518" spans="1:12" ht="16">
      <c r="A1518" s="33"/>
      <c r="B1518" s="30"/>
      <c r="C1518" s="22"/>
      <c r="D1518" s="23"/>
      <c r="E1518" s="23"/>
      <c r="F1518" s="23"/>
      <c r="G1518" s="31"/>
      <c r="H1518" s="32"/>
      <c r="I1518" s="31"/>
      <c r="J1518" s="85"/>
      <c r="L1518" s="86"/>
    </row>
    <row r="1519" spans="1:12" ht="16">
      <c r="A1519" s="33"/>
      <c r="B1519" s="30"/>
      <c r="C1519" s="22"/>
      <c r="D1519" s="23"/>
      <c r="E1519" s="23"/>
      <c r="F1519" s="23"/>
      <c r="G1519" s="31"/>
      <c r="H1519" s="32"/>
      <c r="I1519" s="31"/>
      <c r="J1519" s="85"/>
      <c r="L1519" s="86"/>
    </row>
    <row r="1520" spans="1:12" ht="16">
      <c r="A1520" s="33"/>
      <c r="B1520" s="30"/>
      <c r="C1520" s="22"/>
      <c r="D1520" s="23"/>
      <c r="E1520" s="23"/>
      <c r="F1520" s="23"/>
      <c r="G1520" s="31"/>
      <c r="H1520" s="32"/>
      <c r="I1520" s="31"/>
      <c r="J1520" s="85"/>
      <c r="L1520" s="86"/>
    </row>
    <row r="1521" spans="1:12" ht="16">
      <c r="A1521" s="33"/>
      <c r="B1521" s="30"/>
      <c r="C1521" s="22"/>
      <c r="D1521" s="23"/>
      <c r="E1521" s="23"/>
      <c r="F1521" s="23"/>
      <c r="G1521" s="31"/>
      <c r="H1521" s="32"/>
      <c r="I1521" s="31"/>
      <c r="J1521" s="85"/>
      <c r="L1521" s="86"/>
    </row>
    <row r="1522" spans="1:12" ht="16">
      <c r="A1522" s="33"/>
      <c r="B1522" s="30"/>
      <c r="C1522" s="22"/>
      <c r="D1522" s="23"/>
      <c r="E1522" s="23"/>
      <c r="F1522" s="23"/>
      <c r="G1522" s="31"/>
      <c r="H1522" s="32"/>
      <c r="I1522" s="31"/>
      <c r="J1522" s="85"/>
      <c r="L1522" s="86"/>
    </row>
    <row r="1523" spans="1:12" ht="16">
      <c r="A1523" s="33"/>
      <c r="B1523" s="30"/>
      <c r="C1523" s="22"/>
      <c r="D1523" s="23"/>
      <c r="E1523" s="23"/>
      <c r="F1523" s="23"/>
      <c r="G1523" s="31"/>
      <c r="H1523" s="32"/>
      <c r="I1523" s="31"/>
      <c r="J1523" s="85"/>
      <c r="L1523" s="86"/>
    </row>
    <row r="1524" spans="1:12" ht="16">
      <c r="A1524" s="33"/>
      <c r="B1524" s="30"/>
      <c r="C1524" s="22"/>
      <c r="D1524" s="23"/>
      <c r="E1524" s="23"/>
      <c r="F1524" s="23"/>
      <c r="G1524" s="31"/>
      <c r="H1524" s="32"/>
      <c r="I1524" s="31"/>
      <c r="J1524" s="85"/>
      <c r="L1524" s="86"/>
    </row>
    <row r="1525" spans="1:12" ht="16">
      <c r="A1525" s="33"/>
      <c r="B1525" s="30"/>
      <c r="C1525" s="22"/>
      <c r="D1525" s="23"/>
      <c r="E1525" s="23"/>
      <c r="F1525" s="23"/>
      <c r="G1525" s="31"/>
      <c r="H1525" s="32"/>
      <c r="I1525" s="31"/>
      <c r="J1525" s="85"/>
      <c r="L1525" s="86"/>
    </row>
    <row r="1526" spans="1:12" ht="16">
      <c r="A1526" s="33"/>
      <c r="B1526" s="30"/>
      <c r="C1526" s="22"/>
      <c r="D1526" s="23"/>
      <c r="E1526" s="23"/>
      <c r="F1526" s="23"/>
      <c r="G1526" s="31"/>
      <c r="H1526" s="32"/>
      <c r="I1526" s="31"/>
      <c r="J1526" s="85"/>
      <c r="L1526" s="86"/>
    </row>
    <row r="1527" spans="1:12" ht="16">
      <c r="A1527" s="33"/>
      <c r="B1527" s="30"/>
      <c r="C1527" s="22"/>
      <c r="D1527" s="23"/>
      <c r="E1527" s="23"/>
      <c r="F1527" s="23"/>
      <c r="G1527" s="31"/>
      <c r="H1527" s="32"/>
      <c r="I1527" s="31"/>
      <c r="J1527" s="85"/>
      <c r="L1527" s="86"/>
    </row>
    <row r="1528" spans="1:12" ht="16">
      <c r="A1528" s="33"/>
      <c r="B1528" s="30"/>
      <c r="C1528" s="22"/>
      <c r="D1528" s="23"/>
      <c r="E1528" s="23"/>
      <c r="F1528" s="23"/>
      <c r="G1528" s="31"/>
      <c r="H1528" s="32"/>
      <c r="I1528" s="31"/>
      <c r="J1528" s="85"/>
      <c r="L1528" s="86"/>
    </row>
    <row r="1529" spans="1:12" ht="16">
      <c r="A1529" s="33"/>
      <c r="B1529" s="30"/>
      <c r="C1529" s="22"/>
      <c r="D1529" s="23"/>
      <c r="E1529" s="23"/>
      <c r="F1529" s="23"/>
      <c r="G1529" s="31"/>
      <c r="H1529" s="32"/>
      <c r="I1529" s="31"/>
      <c r="J1529" s="85"/>
      <c r="L1529" s="86"/>
    </row>
    <row r="1530" spans="1:12" ht="16">
      <c r="A1530" s="33"/>
      <c r="B1530" s="30"/>
      <c r="C1530" s="22"/>
      <c r="D1530" s="23"/>
      <c r="E1530" s="23"/>
      <c r="F1530" s="23"/>
      <c r="G1530" s="31"/>
      <c r="H1530" s="32"/>
      <c r="I1530" s="31"/>
      <c r="J1530" s="85"/>
      <c r="L1530" s="86"/>
    </row>
    <row r="1531" spans="1:12" ht="16">
      <c r="A1531" s="33"/>
      <c r="B1531" s="30"/>
      <c r="C1531" s="22"/>
      <c r="D1531" s="23"/>
      <c r="E1531" s="23"/>
      <c r="F1531" s="23"/>
      <c r="G1531" s="31"/>
      <c r="H1531" s="32"/>
      <c r="I1531" s="31"/>
      <c r="J1531" s="85"/>
      <c r="L1531" s="86"/>
    </row>
    <row r="1532" spans="1:12" ht="16">
      <c r="A1532" s="33"/>
      <c r="B1532" s="30"/>
      <c r="C1532" s="22"/>
      <c r="D1532" s="23"/>
      <c r="E1532" s="23"/>
      <c r="F1532" s="23"/>
      <c r="G1532" s="31"/>
      <c r="H1532" s="32"/>
      <c r="I1532" s="31"/>
      <c r="J1532" s="85"/>
      <c r="L1532" s="86"/>
    </row>
    <row r="1533" spans="1:12" ht="16">
      <c r="A1533" s="33"/>
      <c r="B1533" s="30"/>
      <c r="C1533" s="22"/>
      <c r="D1533" s="23"/>
      <c r="E1533" s="23"/>
      <c r="F1533" s="23"/>
      <c r="G1533" s="31"/>
      <c r="H1533" s="32"/>
      <c r="I1533" s="31"/>
      <c r="J1533" s="85"/>
      <c r="L1533" s="86"/>
    </row>
    <row r="1534" spans="1:12" ht="16">
      <c r="A1534" s="33"/>
      <c r="B1534" s="30"/>
      <c r="C1534" s="22"/>
      <c r="D1534" s="23"/>
      <c r="E1534" s="23"/>
      <c r="F1534" s="23"/>
      <c r="G1534" s="31"/>
      <c r="H1534" s="32"/>
      <c r="I1534" s="31"/>
      <c r="J1534" s="85"/>
      <c r="L1534" s="86"/>
    </row>
    <row r="1535" spans="1:12" ht="16">
      <c r="A1535" s="33"/>
      <c r="B1535" s="30"/>
      <c r="C1535" s="22"/>
      <c r="D1535" s="23"/>
      <c r="E1535" s="23"/>
      <c r="F1535" s="23"/>
      <c r="G1535" s="31"/>
      <c r="H1535" s="32"/>
      <c r="I1535" s="31"/>
      <c r="J1535" s="85"/>
      <c r="L1535" s="86"/>
    </row>
    <row r="1536" spans="1:12" ht="16">
      <c r="A1536" s="33"/>
      <c r="B1536" s="30"/>
      <c r="C1536" s="22"/>
      <c r="D1536" s="23"/>
      <c r="E1536" s="23"/>
      <c r="F1536" s="23"/>
      <c r="G1536" s="31"/>
      <c r="H1536" s="32"/>
      <c r="I1536" s="31"/>
      <c r="J1536" s="85"/>
      <c r="L1536" s="86"/>
    </row>
    <row r="1537" spans="1:12" ht="16">
      <c r="A1537" s="33"/>
      <c r="B1537" s="30"/>
      <c r="C1537" s="22"/>
      <c r="D1537" s="23"/>
      <c r="E1537" s="23"/>
      <c r="F1537" s="23"/>
      <c r="G1537" s="31"/>
      <c r="H1537" s="32"/>
      <c r="I1537" s="31"/>
      <c r="J1537" s="85"/>
      <c r="L1537" s="86"/>
    </row>
    <row r="1538" spans="1:12" ht="16">
      <c r="A1538" s="33"/>
      <c r="B1538" s="30"/>
      <c r="C1538" s="22"/>
      <c r="D1538" s="23"/>
      <c r="E1538" s="23"/>
      <c r="F1538" s="23"/>
      <c r="G1538" s="31"/>
      <c r="H1538" s="32"/>
      <c r="I1538" s="31"/>
      <c r="J1538" s="85"/>
      <c r="L1538" s="86"/>
    </row>
    <row r="1539" spans="1:12" ht="16">
      <c r="A1539" s="33"/>
      <c r="B1539" s="30"/>
      <c r="C1539" s="22"/>
      <c r="D1539" s="23"/>
      <c r="E1539" s="23"/>
      <c r="F1539" s="23"/>
      <c r="G1539" s="31"/>
      <c r="H1539" s="32"/>
      <c r="I1539" s="31"/>
      <c r="J1539" s="85"/>
      <c r="L1539" s="86"/>
    </row>
    <row r="1540" spans="1:12" ht="16">
      <c r="A1540" s="33"/>
      <c r="B1540" s="30"/>
      <c r="C1540" s="22"/>
      <c r="D1540" s="23"/>
      <c r="E1540" s="23"/>
      <c r="F1540" s="23"/>
      <c r="G1540" s="31"/>
      <c r="H1540" s="32"/>
      <c r="I1540" s="31"/>
      <c r="J1540" s="85"/>
      <c r="L1540" s="86"/>
    </row>
    <row r="1541" spans="1:12" ht="16">
      <c r="A1541" s="33"/>
      <c r="B1541" s="30"/>
      <c r="C1541" s="22"/>
      <c r="D1541" s="23"/>
      <c r="E1541" s="23"/>
      <c r="F1541" s="23"/>
      <c r="G1541" s="31"/>
      <c r="H1541" s="32"/>
      <c r="I1541" s="31"/>
      <c r="J1541" s="85"/>
      <c r="L1541" s="86"/>
    </row>
    <row r="1542" spans="1:12" ht="16">
      <c r="A1542" s="33"/>
      <c r="B1542" s="30"/>
      <c r="C1542" s="22"/>
      <c r="D1542" s="23"/>
      <c r="E1542" s="23"/>
      <c r="F1542" s="23"/>
      <c r="G1542" s="31"/>
      <c r="H1542" s="32"/>
      <c r="I1542" s="31"/>
      <c r="J1542" s="85"/>
      <c r="L1542" s="86"/>
    </row>
    <row r="1543" spans="1:12" ht="16">
      <c r="A1543" s="33"/>
      <c r="B1543" s="30"/>
      <c r="C1543" s="22"/>
      <c r="D1543" s="23"/>
      <c r="E1543" s="23"/>
      <c r="F1543" s="23"/>
      <c r="G1543" s="31"/>
      <c r="H1543" s="32"/>
      <c r="I1543" s="31"/>
      <c r="J1543" s="85"/>
      <c r="L1543" s="86"/>
    </row>
    <row r="1544" spans="1:12" ht="16">
      <c r="A1544" s="33"/>
      <c r="B1544" s="30"/>
      <c r="C1544" s="22"/>
      <c r="D1544" s="23"/>
      <c r="E1544" s="23"/>
      <c r="F1544" s="23"/>
      <c r="G1544" s="31"/>
      <c r="H1544" s="32"/>
      <c r="I1544" s="31"/>
      <c r="J1544" s="85"/>
      <c r="L1544" s="86"/>
    </row>
    <row r="1545" spans="1:12" ht="16">
      <c r="A1545" s="33"/>
      <c r="B1545" s="30"/>
      <c r="C1545" s="22"/>
      <c r="D1545" s="23"/>
      <c r="E1545" s="23"/>
      <c r="F1545" s="23"/>
      <c r="G1545" s="31"/>
      <c r="H1545" s="32"/>
      <c r="I1545" s="31"/>
      <c r="J1545" s="85"/>
      <c r="L1545" s="86"/>
    </row>
    <row r="1546" spans="1:12" ht="16">
      <c r="A1546" s="33"/>
      <c r="B1546" s="30"/>
      <c r="C1546" s="22"/>
      <c r="D1546" s="23"/>
      <c r="E1546" s="23"/>
      <c r="F1546" s="23"/>
      <c r="G1546" s="31"/>
      <c r="H1546" s="32"/>
      <c r="I1546" s="31"/>
      <c r="J1546" s="85"/>
      <c r="L1546" s="86"/>
    </row>
    <row r="1547" spans="1:12" ht="16">
      <c r="A1547" s="33"/>
      <c r="B1547" s="30"/>
      <c r="C1547" s="22"/>
      <c r="D1547" s="23"/>
      <c r="E1547" s="23"/>
      <c r="F1547" s="23"/>
      <c r="G1547" s="31"/>
      <c r="H1547" s="32"/>
      <c r="I1547" s="31"/>
      <c r="J1547" s="85"/>
      <c r="L1547" s="86"/>
    </row>
    <row r="1548" spans="1:12" ht="16">
      <c r="A1548" s="33"/>
      <c r="B1548" s="30"/>
      <c r="C1548" s="22"/>
      <c r="D1548" s="23"/>
      <c r="E1548" s="23"/>
      <c r="F1548" s="23"/>
      <c r="G1548" s="31"/>
      <c r="H1548" s="32"/>
      <c r="I1548" s="31"/>
      <c r="J1548" s="85"/>
      <c r="L1548" s="86"/>
    </row>
    <row r="1549" spans="1:12" ht="16">
      <c r="A1549" s="33"/>
      <c r="B1549" s="30"/>
      <c r="C1549" s="22"/>
      <c r="D1549" s="23"/>
      <c r="E1549" s="23"/>
      <c r="F1549" s="23"/>
      <c r="G1549" s="31"/>
      <c r="H1549" s="32"/>
      <c r="I1549" s="31"/>
      <c r="J1549" s="85"/>
      <c r="L1549" s="86"/>
    </row>
    <row r="1550" spans="1:12" ht="16">
      <c r="A1550" s="33"/>
      <c r="B1550" s="30"/>
      <c r="C1550" s="22"/>
      <c r="D1550" s="23"/>
      <c r="E1550" s="23"/>
      <c r="F1550" s="23"/>
      <c r="G1550" s="31"/>
      <c r="H1550" s="32"/>
      <c r="I1550" s="31"/>
      <c r="J1550" s="85"/>
      <c r="L1550" s="86"/>
    </row>
    <row r="1551" spans="1:12" ht="16">
      <c r="A1551" s="33"/>
      <c r="B1551" s="30"/>
      <c r="C1551" s="22"/>
      <c r="D1551" s="23"/>
      <c r="E1551" s="23"/>
      <c r="F1551" s="23"/>
      <c r="G1551" s="31"/>
      <c r="H1551" s="32"/>
      <c r="I1551" s="31"/>
      <c r="J1551" s="85"/>
      <c r="L1551" s="86"/>
    </row>
    <row r="1552" spans="1:12" ht="16">
      <c r="A1552" s="33"/>
      <c r="B1552" s="30"/>
      <c r="C1552" s="22"/>
      <c r="D1552" s="23"/>
      <c r="E1552" s="23"/>
      <c r="F1552" s="23"/>
      <c r="G1552" s="31"/>
      <c r="H1552" s="32"/>
      <c r="I1552" s="31"/>
      <c r="J1552" s="85"/>
      <c r="L1552" s="86"/>
    </row>
    <row r="1553" spans="1:12" ht="16">
      <c r="A1553" s="33"/>
      <c r="B1553" s="30"/>
      <c r="C1553" s="22"/>
      <c r="D1553" s="23"/>
      <c r="E1553" s="23"/>
      <c r="F1553" s="23"/>
      <c r="G1553" s="31"/>
      <c r="H1553" s="32"/>
      <c r="I1553" s="31"/>
      <c r="J1553" s="85"/>
      <c r="L1553" s="86"/>
    </row>
    <row r="1554" spans="1:12" ht="16">
      <c r="A1554" s="33"/>
      <c r="B1554" s="30"/>
      <c r="C1554" s="22"/>
      <c r="D1554" s="23"/>
      <c r="E1554" s="23"/>
      <c r="F1554" s="23"/>
      <c r="G1554" s="31"/>
      <c r="H1554" s="32"/>
      <c r="I1554" s="31"/>
      <c r="J1554" s="85"/>
      <c r="L1554" s="86"/>
    </row>
    <row r="1555" spans="1:12" ht="16">
      <c r="A1555" s="33"/>
      <c r="B1555" s="30"/>
      <c r="C1555" s="22"/>
      <c r="D1555" s="23"/>
      <c r="E1555" s="23"/>
      <c r="F1555" s="23"/>
      <c r="G1555" s="31"/>
      <c r="H1555" s="32"/>
      <c r="I1555" s="31"/>
      <c r="J1555" s="85"/>
      <c r="L1555" s="86"/>
    </row>
    <row r="1556" spans="1:12" ht="16">
      <c r="A1556" s="33"/>
      <c r="B1556" s="30"/>
      <c r="C1556" s="22"/>
      <c r="D1556" s="23"/>
      <c r="E1556" s="23"/>
      <c r="F1556" s="23"/>
      <c r="G1556" s="31"/>
      <c r="H1556" s="32"/>
      <c r="I1556" s="31"/>
      <c r="J1556" s="85"/>
      <c r="L1556" s="86"/>
    </row>
    <row r="1557" spans="1:12" ht="16">
      <c r="A1557" s="33"/>
      <c r="B1557" s="30"/>
      <c r="C1557" s="22"/>
      <c r="D1557" s="23"/>
      <c r="E1557" s="23"/>
      <c r="F1557" s="23"/>
      <c r="G1557" s="31"/>
      <c r="H1557" s="32"/>
      <c r="I1557" s="31"/>
      <c r="J1557" s="85"/>
      <c r="L1557" s="86"/>
    </row>
    <row r="1558" spans="1:12" ht="16">
      <c r="A1558" s="33"/>
      <c r="B1558" s="30"/>
      <c r="C1558" s="22"/>
      <c r="D1558" s="23"/>
      <c r="E1558" s="23"/>
      <c r="F1558" s="23"/>
      <c r="G1558" s="31"/>
      <c r="H1558" s="32"/>
      <c r="I1558" s="31"/>
      <c r="J1558" s="85"/>
      <c r="L1558" s="86"/>
    </row>
    <row r="1559" spans="1:12" ht="16">
      <c r="A1559" s="33"/>
      <c r="B1559" s="30"/>
      <c r="C1559" s="22"/>
      <c r="D1559" s="23"/>
      <c r="E1559" s="23"/>
      <c r="F1559" s="23"/>
      <c r="G1559" s="31"/>
      <c r="H1559" s="32"/>
      <c r="I1559" s="31"/>
      <c r="J1559" s="85"/>
      <c r="L1559" s="86"/>
    </row>
    <row r="1560" spans="1:12" ht="16">
      <c r="A1560" s="33"/>
      <c r="B1560" s="30"/>
      <c r="C1560" s="22"/>
      <c r="D1560" s="23"/>
      <c r="E1560" s="23"/>
      <c r="F1560" s="23"/>
      <c r="G1560" s="31"/>
      <c r="H1560" s="32"/>
      <c r="I1560" s="31"/>
      <c r="J1560" s="85"/>
      <c r="L1560" s="86"/>
    </row>
    <row r="1561" spans="1:12" ht="16">
      <c r="A1561" s="33"/>
      <c r="B1561" s="30"/>
      <c r="C1561" s="22"/>
      <c r="D1561" s="23"/>
      <c r="E1561" s="23"/>
      <c r="F1561" s="23"/>
      <c r="G1561" s="31"/>
      <c r="H1561" s="32"/>
      <c r="I1561" s="31"/>
      <c r="J1561" s="85"/>
      <c r="L1561" s="86"/>
    </row>
    <row r="1562" spans="1:12" ht="16">
      <c r="A1562" s="33"/>
      <c r="B1562" s="30"/>
      <c r="C1562" s="22"/>
      <c r="D1562" s="23"/>
      <c r="E1562" s="23"/>
      <c r="F1562" s="23"/>
      <c r="G1562" s="31"/>
      <c r="H1562" s="32"/>
      <c r="I1562" s="31"/>
      <c r="J1562" s="85"/>
      <c r="L1562" s="86"/>
    </row>
    <row r="1563" spans="1:12" ht="16">
      <c r="A1563" s="33"/>
      <c r="B1563" s="30"/>
      <c r="C1563" s="22"/>
      <c r="D1563" s="23"/>
      <c r="E1563" s="23"/>
      <c r="F1563" s="23"/>
      <c r="G1563" s="31"/>
      <c r="H1563" s="32"/>
      <c r="I1563" s="31"/>
      <c r="J1563" s="85"/>
      <c r="L1563" s="86"/>
    </row>
    <row r="1564" spans="1:12" ht="16">
      <c r="A1564" s="33"/>
      <c r="B1564" s="30"/>
      <c r="C1564" s="22"/>
      <c r="D1564" s="23"/>
      <c r="E1564" s="23"/>
      <c r="F1564" s="23"/>
      <c r="G1564" s="31"/>
      <c r="H1564" s="32"/>
      <c r="I1564" s="31"/>
      <c r="J1564" s="85"/>
      <c r="L1564" s="86"/>
    </row>
    <row r="1565" spans="1:12" ht="16">
      <c r="A1565" s="33"/>
      <c r="B1565" s="30"/>
      <c r="C1565" s="22"/>
      <c r="D1565" s="23"/>
      <c r="E1565" s="23"/>
      <c r="F1565" s="23"/>
      <c r="G1565" s="31"/>
      <c r="H1565" s="32"/>
      <c r="I1565" s="31"/>
      <c r="J1565" s="85"/>
      <c r="L1565" s="86"/>
    </row>
    <row r="1566" spans="1:12" ht="16">
      <c r="A1566" s="33"/>
      <c r="B1566" s="30"/>
      <c r="C1566" s="22"/>
      <c r="D1566" s="23"/>
      <c r="E1566" s="23"/>
      <c r="F1566" s="23"/>
      <c r="G1566" s="31"/>
      <c r="H1566" s="32"/>
      <c r="I1566" s="31"/>
      <c r="J1566" s="85"/>
      <c r="L1566" s="86"/>
    </row>
    <row r="1567" spans="1:12" ht="16">
      <c r="A1567" s="33"/>
      <c r="B1567" s="30"/>
      <c r="C1567" s="22"/>
      <c r="D1567" s="23"/>
      <c r="E1567" s="23"/>
      <c r="F1567" s="23"/>
      <c r="G1567" s="31"/>
      <c r="H1567" s="32"/>
      <c r="I1567" s="31"/>
      <c r="J1567" s="85"/>
      <c r="L1567" s="86"/>
    </row>
    <row r="1568" spans="1:12" ht="16">
      <c r="A1568" s="33"/>
      <c r="B1568" s="30"/>
      <c r="C1568" s="22"/>
      <c r="D1568" s="23"/>
      <c r="E1568" s="23"/>
      <c r="F1568" s="23"/>
      <c r="G1568" s="31"/>
      <c r="H1568" s="32"/>
      <c r="I1568" s="31"/>
      <c r="J1568" s="85"/>
      <c r="L1568" s="86"/>
    </row>
    <row r="1569" spans="1:12" ht="16">
      <c r="A1569" s="33"/>
      <c r="B1569" s="30"/>
      <c r="C1569" s="22"/>
      <c r="D1569" s="23"/>
      <c r="E1569" s="23"/>
      <c r="F1569" s="23"/>
      <c r="G1569" s="31"/>
      <c r="H1569" s="32"/>
      <c r="I1569" s="31"/>
      <c r="J1569" s="85"/>
      <c r="L1569" s="86"/>
    </row>
    <row r="1570" spans="1:12" ht="16">
      <c r="A1570" s="33"/>
      <c r="B1570" s="30"/>
      <c r="C1570" s="22"/>
      <c r="D1570" s="23"/>
      <c r="E1570" s="23"/>
      <c r="F1570" s="23"/>
      <c r="G1570" s="31"/>
      <c r="H1570" s="32"/>
      <c r="I1570" s="31"/>
      <c r="J1570" s="85"/>
      <c r="L1570" s="86"/>
    </row>
    <row r="1571" spans="1:12" ht="16">
      <c r="A1571" s="33"/>
      <c r="B1571" s="30"/>
      <c r="C1571" s="22"/>
      <c r="D1571" s="23"/>
      <c r="E1571" s="23"/>
      <c r="F1571" s="23"/>
      <c r="G1571" s="31"/>
      <c r="H1571" s="32"/>
      <c r="I1571" s="31"/>
      <c r="J1571" s="85"/>
      <c r="L1571" s="86"/>
    </row>
    <row r="1572" spans="1:12" ht="16">
      <c r="A1572" s="33"/>
      <c r="B1572" s="30"/>
      <c r="C1572" s="22"/>
      <c r="D1572" s="23"/>
      <c r="E1572" s="23"/>
      <c r="F1572" s="23"/>
      <c r="G1572" s="31"/>
      <c r="H1572" s="32"/>
      <c r="I1572" s="31"/>
      <c r="J1572" s="85"/>
      <c r="L1572" s="86"/>
    </row>
    <row r="1573" spans="1:12" ht="16">
      <c r="A1573" s="33"/>
      <c r="B1573" s="30"/>
      <c r="C1573" s="22"/>
      <c r="D1573" s="23"/>
      <c r="E1573" s="23"/>
      <c r="F1573" s="23"/>
      <c r="G1573" s="31"/>
      <c r="H1573" s="32"/>
      <c r="I1573" s="31"/>
      <c r="J1573" s="85"/>
      <c r="L1573" s="86"/>
    </row>
    <row r="1574" spans="1:12" ht="16">
      <c r="A1574" s="33"/>
      <c r="B1574" s="30"/>
      <c r="C1574" s="22"/>
      <c r="D1574" s="23"/>
      <c r="E1574" s="23"/>
      <c r="F1574" s="23"/>
      <c r="G1574" s="31"/>
      <c r="H1574" s="32"/>
      <c r="I1574" s="31"/>
      <c r="J1574" s="85"/>
      <c r="L1574" s="86"/>
    </row>
    <row r="1575" spans="1:12" ht="16">
      <c r="A1575" s="33"/>
      <c r="B1575" s="30"/>
      <c r="C1575" s="22"/>
      <c r="D1575" s="23"/>
      <c r="E1575" s="23"/>
      <c r="F1575" s="23"/>
      <c r="G1575" s="31"/>
      <c r="H1575" s="32"/>
      <c r="I1575" s="31"/>
      <c r="J1575" s="85"/>
      <c r="L1575" s="86"/>
    </row>
    <row r="1576" spans="1:12" ht="16">
      <c r="A1576" s="33"/>
      <c r="B1576" s="30"/>
      <c r="C1576" s="22"/>
      <c r="D1576" s="23"/>
      <c r="E1576" s="23"/>
      <c r="F1576" s="23"/>
      <c r="G1576" s="31"/>
      <c r="H1576" s="32"/>
      <c r="I1576" s="31"/>
      <c r="J1576" s="85"/>
      <c r="L1576" s="86"/>
    </row>
    <row r="1577" spans="1:12" ht="16">
      <c r="A1577" s="33"/>
      <c r="B1577" s="30"/>
      <c r="C1577" s="22"/>
      <c r="D1577" s="23"/>
      <c r="E1577" s="23"/>
      <c r="F1577" s="23"/>
      <c r="G1577" s="31"/>
      <c r="H1577" s="32"/>
      <c r="I1577" s="31"/>
      <c r="J1577" s="85"/>
      <c r="L1577" s="86"/>
    </row>
    <row r="1578" spans="1:12" ht="16">
      <c r="A1578" s="33"/>
      <c r="B1578" s="30"/>
      <c r="C1578" s="22"/>
      <c r="D1578" s="23"/>
      <c r="E1578" s="23"/>
      <c r="F1578" s="23"/>
      <c r="G1578" s="31"/>
      <c r="H1578" s="32"/>
      <c r="I1578" s="31"/>
      <c r="J1578" s="85"/>
      <c r="L1578" s="86"/>
    </row>
    <row r="1579" spans="1:12" ht="16">
      <c r="A1579" s="33"/>
      <c r="B1579" s="30"/>
      <c r="C1579" s="22"/>
      <c r="D1579" s="23"/>
      <c r="E1579" s="23"/>
      <c r="F1579" s="23"/>
      <c r="G1579" s="31"/>
      <c r="H1579" s="32"/>
      <c r="I1579" s="31"/>
      <c r="J1579" s="85"/>
      <c r="L1579" s="86"/>
    </row>
    <row r="1580" spans="1:12" ht="16">
      <c r="A1580" s="33"/>
      <c r="B1580" s="30"/>
      <c r="C1580" s="22"/>
      <c r="D1580" s="23"/>
      <c r="E1580" s="23"/>
      <c r="F1580" s="23"/>
      <c r="G1580" s="31"/>
      <c r="H1580" s="32"/>
      <c r="I1580" s="31"/>
      <c r="J1580" s="85"/>
      <c r="L1580" s="86"/>
    </row>
    <row r="1581" spans="1:12" ht="16">
      <c r="A1581" s="33"/>
      <c r="B1581" s="30"/>
      <c r="C1581" s="22"/>
      <c r="D1581" s="23"/>
      <c r="E1581" s="23"/>
      <c r="F1581" s="23"/>
      <c r="G1581" s="31"/>
      <c r="H1581" s="32"/>
      <c r="I1581" s="31"/>
      <c r="J1581" s="85"/>
      <c r="L1581" s="86"/>
    </row>
    <row r="1582" spans="1:12" ht="16">
      <c r="A1582" s="33"/>
      <c r="B1582" s="30"/>
      <c r="C1582" s="22"/>
      <c r="D1582" s="23"/>
      <c r="E1582" s="23"/>
      <c r="F1582" s="23"/>
      <c r="G1582" s="31"/>
      <c r="H1582" s="32"/>
      <c r="I1582" s="31"/>
      <c r="J1582" s="85"/>
      <c r="L1582" s="86"/>
    </row>
    <row r="1583" spans="1:12" ht="16">
      <c r="A1583" s="33"/>
      <c r="B1583" s="30"/>
      <c r="C1583" s="22"/>
      <c r="D1583" s="23"/>
      <c r="E1583" s="23"/>
      <c r="F1583" s="23"/>
      <c r="G1583" s="31"/>
      <c r="H1583" s="32"/>
      <c r="I1583" s="31"/>
      <c r="J1583" s="85"/>
      <c r="L1583" s="86"/>
    </row>
    <row r="1584" spans="1:12" ht="16">
      <c r="A1584" s="33"/>
      <c r="B1584" s="30"/>
      <c r="C1584" s="22"/>
      <c r="D1584" s="23"/>
      <c r="E1584" s="23"/>
      <c r="F1584" s="23"/>
      <c r="G1584" s="31"/>
      <c r="H1584" s="32"/>
      <c r="I1584" s="31"/>
      <c r="J1584" s="85"/>
      <c r="L1584" s="86"/>
    </row>
    <row r="1585" spans="1:12" ht="16">
      <c r="A1585" s="33"/>
      <c r="B1585" s="30"/>
      <c r="C1585" s="22"/>
      <c r="D1585" s="23"/>
      <c r="E1585" s="23"/>
      <c r="F1585" s="23"/>
      <c r="G1585" s="31"/>
      <c r="H1585" s="32"/>
      <c r="I1585" s="31"/>
      <c r="J1585" s="85"/>
      <c r="L1585" s="86"/>
    </row>
    <row r="1586" spans="1:12" ht="16">
      <c r="A1586" s="33"/>
      <c r="B1586" s="30"/>
      <c r="C1586" s="22"/>
      <c r="D1586" s="23"/>
      <c r="E1586" s="23"/>
      <c r="F1586" s="23"/>
      <c r="G1586" s="31"/>
      <c r="H1586" s="32"/>
      <c r="I1586" s="31"/>
      <c r="J1586" s="85"/>
      <c r="L1586" s="86"/>
    </row>
    <row r="1587" spans="1:12" ht="16">
      <c r="A1587" s="33"/>
      <c r="B1587" s="30"/>
      <c r="C1587" s="22"/>
      <c r="D1587" s="23"/>
      <c r="E1587" s="23"/>
      <c r="F1587" s="23"/>
      <c r="G1587" s="31"/>
      <c r="H1587" s="32"/>
      <c r="I1587" s="31"/>
      <c r="J1587" s="85"/>
      <c r="L1587" s="86"/>
    </row>
    <row r="1588" spans="1:12" ht="16">
      <c r="A1588" s="33"/>
      <c r="B1588" s="30"/>
      <c r="C1588" s="22"/>
      <c r="D1588" s="23"/>
      <c r="E1588" s="23"/>
      <c r="F1588" s="23"/>
      <c r="G1588" s="31"/>
      <c r="H1588" s="32"/>
      <c r="I1588" s="31"/>
      <c r="J1588" s="85"/>
      <c r="L1588" s="86"/>
    </row>
    <row r="1589" spans="1:12" ht="16">
      <c r="A1589" s="33"/>
      <c r="B1589" s="30"/>
      <c r="C1589" s="22"/>
      <c r="D1589" s="23"/>
      <c r="E1589" s="23"/>
      <c r="F1589" s="23"/>
      <c r="G1589" s="31"/>
      <c r="H1589" s="32"/>
      <c r="I1589" s="31"/>
      <c r="J1589" s="85"/>
      <c r="L1589" s="86"/>
    </row>
    <row r="1590" spans="1:12" ht="16">
      <c r="A1590" s="33"/>
      <c r="B1590" s="30"/>
      <c r="C1590" s="22"/>
      <c r="D1590" s="23"/>
      <c r="E1590" s="23"/>
      <c r="F1590" s="23"/>
      <c r="G1590" s="31"/>
      <c r="H1590" s="32"/>
      <c r="I1590" s="31"/>
      <c r="J1590" s="85"/>
      <c r="L1590" s="86"/>
    </row>
    <row r="1591" spans="1:12" ht="16">
      <c r="A1591" s="33"/>
      <c r="B1591" s="30"/>
      <c r="C1591" s="22"/>
      <c r="D1591" s="23"/>
      <c r="E1591" s="23"/>
      <c r="F1591" s="23"/>
      <c r="G1591" s="31"/>
      <c r="H1591" s="32"/>
      <c r="I1591" s="31"/>
      <c r="J1591" s="85"/>
      <c r="L1591" s="86"/>
    </row>
    <row r="1592" spans="1:12" ht="16">
      <c r="A1592" s="33"/>
      <c r="B1592" s="30"/>
      <c r="C1592" s="22"/>
      <c r="D1592" s="23"/>
      <c r="E1592" s="23"/>
      <c r="F1592" s="23"/>
      <c r="G1592" s="31"/>
      <c r="H1592" s="32"/>
      <c r="I1592" s="31"/>
      <c r="J1592" s="85"/>
      <c r="L1592" s="86"/>
    </row>
    <row r="1593" spans="1:12" ht="16">
      <c r="A1593" s="33"/>
      <c r="B1593" s="30"/>
      <c r="C1593" s="22"/>
      <c r="D1593" s="23"/>
      <c r="E1593" s="23"/>
      <c r="F1593" s="23"/>
      <c r="G1593" s="31"/>
      <c r="H1593" s="32"/>
      <c r="I1593" s="31"/>
      <c r="J1593" s="85"/>
      <c r="L1593" s="86"/>
    </row>
    <row r="1594" spans="1:12" ht="16">
      <c r="A1594" s="33"/>
      <c r="B1594" s="30"/>
      <c r="C1594" s="22"/>
      <c r="D1594" s="23"/>
      <c r="E1594" s="23"/>
      <c r="F1594" s="23"/>
      <c r="G1594" s="31"/>
      <c r="H1594" s="32"/>
      <c r="I1594" s="31"/>
      <c r="J1594" s="85"/>
      <c r="L1594" s="86"/>
    </row>
    <row r="1595" spans="1:12" ht="16">
      <c r="A1595" s="33"/>
      <c r="B1595" s="30"/>
      <c r="C1595" s="22"/>
      <c r="D1595" s="23"/>
      <c r="E1595" s="23"/>
      <c r="F1595" s="23"/>
      <c r="G1595" s="31"/>
      <c r="H1595" s="32"/>
      <c r="I1595" s="31"/>
      <c r="J1595" s="85"/>
      <c r="L1595" s="86"/>
    </row>
    <row r="1596" spans="1:12" ht="16">
      <c r="A1596" s="33"/>
      <c r="B1596" s="30"/>
      <c r="C1596" s="22"/>
      <c r="D1596" s="23"/>
      <c r="E1596" s="23"/>
      <c r="F1596" s="23"/>
      <c r="G1596" s="31"/>
      <c r="H1596" s="32"/>
      <c r="I1596" s="31"/>
      <c r="J1596" s="85"/>
      <c r="L1596" s="86"/>
    </row>
    <row r="1597" spans="1:12" ht="16">
      <c r="A1597" s="33"/>
      <c r="B1597" s="30"/>
      <c r="C1597" s="22"/>
      <c r="D1597" s="23"/>
      <c r="E1597" s="23"/>
      <c r="F1597" s="23"/>
      <c r="G1597" s="31"/>
      <c r="H1597" s="32"/>
      <c r="I1597" s="31"/>
      <c r="J1597" s="85"/>
      <c r="L1597" s="86"/>
    </row>
    <row r="1598" spans="1:12" ht="16">
      <c r="A1598" s="33"/>
      <c r="B1598" s="30"/>
      <c r="C1598" s="22"/>
      <c r="D1598" s="23"/>
      <c r="E1598" s="23"/>
      <c r="F1598" s="23"/>
      <c r="G1598" s="31"/>
      <c r="H1598" s="32"/>
      <c r="I1598" s="31"/>
      <c r="J1598" s="85"/>
      <c r="L1598" s="86"/>
    </row>
    <row r="1599" spans="1:12" ht="16">
      <c r="A1599" s="33"/>
      <c r="B1599" s="30"/>
      <c r="C1599" s="22"/>
      <c r="D1599" s="23"/>
      <c r="E1599" s="23"/>
      <c r="F1599" s="23"/>
      <c r="G1599" s="31"/>
      <c r="H1599" s="32"/>
      <c r="I1599" s="31"/>
      <c r="J1599" s="85"/>
      <c r="L1599" s="86"/>
    </row>
    <row r="1600" spans="1:12" ht="16">
      <c r="A1600" s="33"/>
      <c r="B1600" s="30"/>
      <c r="C1600" s="22"/>
      <c r="D1600" s="23"/>
      <c r="E1600" s="23"/>
      <c r="F1600" s="23"/>
      <c r="G1600" s="31"/>
      <c r="H1600" s="32"/>
      <c r="I1600" s="31"/>
      <c r="J1600" s="85"/>
      <c r="L1600" s="86"/>
    </row>
    <row r="1601" spans="1:12" ht="16">
      <c r="A1601" s="33"/>
      <c r="B1601" s="30"/>
      <c r="C1601" s="22"/>
      <c r="D1601" s="23"/>
      <c r="E1601" s="23"/>
      <c r="F1601" s="23"/>
      <c r="G1601" s="31"/>
      <c r="H1601" s="32"/>
      <c r="I1601" s="31"/>
      <c r="J1601" s="85"/>
      <c r="L1601" s="86"/>
    </row>
    <row r="1602" spans="1:12" ht="16">
      <c r="A1602" s="33"/>
      <c r="B1602" s="30"/>
      <c r="C1602" s="22"/>
      <c r="D1602" s="23"/>
      <c r="E1602" s="23"/>
      <c r="F1602" s="23"/>
      <c r="G1602" s="31"/>
      <c r="H1602" s="32"/>
      <c r="I1602" s="31"/>
      <c r="J1602" s="85"/>
      <c r="L1602" s="86"/>
    </row>
    <row r="1603" spans="1:12" ht="16">
      <c r="A1603" s="33"/>
      <c r="B1603" s="30"/>
      <c r="C1603" s="22"/>
      <c r="D1603" s="23"/>
      <c r="E1603" s="23"/>
      <c r="F1603" s="23"/>
      <c r="G1603" s="31"/>
      <c r="H1603" s="32"/>
      <c r="I1603" s="31"/>
      <c r="J1603" s="85"/>
      <c r="L1603" s="86"/>
    </row>
    <row r="1604" spans="1:12" ht="16">
      <c r="A1604" s="33"/>
      <c r="B1604" s="30"/>
      <c r="C1604" s="22"/>
      <c r="D1604" s="23"/>
      <c r="E1604" s="23"/>
      <c r="F1604" s="23"/>
      <c r="G1604" s="31"/>
      <c r="H1604" s="32"/>
      <c r="I1604" s="31"/>
      <c r="J1604" s="85"/>
      <c r="L1604" s="86"/>
    </row>
    <row r="1605" spans="1:12" ht="16">
      <c r="A1605" s="33"/>
      <c r="B1605" s="30"/>
      <c r="C1605" s="22"/>
      <c r="D1605" s="23"/>
      <c r="E1605" s="23"/>
      <c r="F1605" s="23"/>
      <c r="G1605" s="31"/>
      <c r="H1605" s="32"/>
      <c r="I1605" s="31"/>
      <c r="J1605" s="85"/>
      <c r="L1605" s="86"/>
    </row>
    <row r="1606" spans="1:12" ht="16">
      <c r="A1606" s="33"/>
      <c r="B1606" s="30"/>
      <c r="C1606" s="22"/>
      <c r="D1606" s="23"/>
      <c r="E1606" s="23"/>
      <c r="F1606" s="23"/>
      <c r="G1606" s="31"/>
      <c r="H1606" s="32"/>
      <c r="I1606" s="31"/>
      <c r="J1606" s="85"/>
      <c r="L1606" s="86"/>
    </row>
    <row r="1607" spans="1:12" ht="16">
      <c r="A1607" s="33"/>
      <c r="B1607" s="30"/>
      <c r="C1607" s="22"/>
      <c r="D1607" s="23"/>
      <c r="E1607" s="23"/>
      <c r="F1607" s="23"/>
      <c r="G1607" s="31"/>
      <c r="H1607" s="32"/>
      <c r="I1607" s="31"/>
      <c r="J1607" s="85"/>
      <c r="L1607" s="86"/>
    </row>
    <row r="1608" spans="1:12" ht="16">
      <c r="A1608" s="33"/>
      <c r="B1608" s="30"/>
      <c r="C1608" s="22"/>
      <c r="D1608" s="23"/>
      <c r="E1608" s="23"/>
      <c r="F1608" s="23"/>
      <c r="G1608" s="31"/>
      <c r="H1608" s="32"/>
      <c r="I1608" s="31"/>
      <c r="J1608" s="85"/>
      <c r="L1608" s="86"/>
    </row>
    <row r="1609" spans="1:12" ht="16">
      <c r="A1609" s="33"/>
      <c r="B1609" s="30"/>
      <c r="C1609" s="22"/>
      <c r="D1609" s="23"/>
      <c r="E1609" s="23"/>
      <c r="F1609" s="23"/>
      <c r="G1609" s="31"/>
      <c r="H1609" s="32"/>
      <c r="I1609" s="31"/>
      <c r="J1609" s="85"/>
      <c r="L1609" s="86"/>
    </row>
    <row r="1610" spans="1:12" ht="16">
      <c r="A1610" s="33"/>
      <c r="B1610" s="30"/>
      <c r="C1610" s="22"/>
      <c r="D1610" s="23"/>
      <c r="E1610" s="23"/>
      <c r="F1610" s="23"/>
      <c r="G1610" s="31"/>
      <c r="H1610" s="32"/>
      <c r="I1610" s="31"/>
      <c r="J1610" s="85"/>
      <c r="L1610" s="86"/>
    </row>
    <row r="1611" spans="1:12" ht="16">
      <c r="A1611" s="33"/>
      <c r="B1611" s="30"/>
      <c r="C1611" s="22"/>
      <c r="D1611" s="23"/>
      <c r="E1611" s="23"/>
      <c r="F1611" s="23"/>
      <c r="G1611" s="31"/>
      <c r="H1611" s="32"/>
      <c r="I1611" s="31"/>
      <c r="J1611" s="85"/>
      <c r="L1611" s="86"/>
    </row>
    <row r="1612" spans="1:12" ht="16">
      <c r="A1612" s="33"/>
      <c r="B1612" s="30"/>
      <c r="C1612" s="22"/>
      <c r="D1612" s="23"/>
      <c r="E1612" s="23"/>
      <c r="F1612" s="23"/>
      <c r="G1612" s="31"/>
      <c r="H1612" s="32"/>
      <c r="I1612" s="31"/>
      <c r="J1612" s="85"/>
      <c r="L1612" s="86"/>
    </row>
    <row r="1613" spans="1:12" ht="16">
      <c r="A1613" s="33"/>
      <c r="B1613" s="30"/>
      <c r="C1613" s="22"/>
      <c r="D1613" s="23"/>
      <c r="E1613" s="23"/>
      <c r="F1613" s="23"/>
      <c r="G1613" s="31"/>
      <c r="H1613" s="32"/>
      <c r="I1613" s="31"/>
      <c r="J1613" s="85"/>
      <c r="L1613" s="86"/>
    </row>
    <row r="1614" spans="1:12" ht="16">
      <c r="A1614" s="33"/>
      <c r="B1614" s="30"/>
      <c r="C1614" s="22"/>
      <c r="D1614" s="23"/>
      <c r="E1614" s="23"/>
      <c r="F1614" s="23"/>
      <c r="G1614" s="31"/>
      <c r="H1614" s="32"/>
      <c r="I1614" s="31"/>
      <c r="J1614" s="85"/>
      <c r="L1614" s="86"/>
    </row>
    <row r="1615" spans="1:12" ht="16">
      <c r="A1615" s="33"/>
      <c r="B1615" s="30"/>
      <c r="C1615" s="22"/>
      <c r="D1615" s="23"/>
      <c r="E1615" s="23"/>
      <c r="F1615" s="23"/>
      <c r="G1615" s="31"/>
      <c r="H1615" s="32"/>
      <c r="I1615" s="31"/>
      <c r="J1615" s="85"/>
      <c r="L1615" s="86"/>
    </row>
    <row r="1616" spans="1:12" ht="16">
      <c r="A1616" s="33"/>
      <c r="B1616" s="30"/>
      <c r="C1616" s="22"/>
      <c r="D1616" s="23"/>
      <c r="E1616" s="23"/>
      <c r="F1616" s="23"/>
      <c r="G1616" s="31"/>
      <c r="H1616" s="32"/>
      <c r="I1616" s="31"/>
      <c r="J1616" s="85"/>
      <c r="L1616" s="86"/>
    </row>
    <row r="1617" spans="1:12" ht="16">
      <c r="A1617" s="33"/>
      <c r="B1617" s="30"/>
      <c r="C1617" s="22"/>
      <c r="D1617" s="23"/>
      <c r="E1617" s="23"/>
      <c r="F1617" s="23"/>
      <c r="G1617" s="31"/>
      <c r="H1617" s="32"/>
      <c r="I1617" s="31"/>
      <c r="J1617" s="85"/>
      <c r="L1617" s="86"/>
    </row>
    <row r="1618" spans="1:12" ht="16">
      <c r="A1618" s="33"/>
      <c r="B1618" s="30"/>
      <c r="C1618" s="22"/>
      <c r="D1618" s="23"/>
      <c r="E1618" s="23"/>
      <c r="F1618" s="23"/>
      <c r="G1618" s="31"/>
      <c r="H1618" s="32"/>
      <c r="I1618" s="31"/>
      <c r="J1618" s="85"/>
      <c r="L1618" s="86"/>
    </row>
    <row r="1619" spans="1:12" ht="16">
      <c r="A1619" s="33"/>
      <c r="B1619" s="30"/>
      <c r="C1619" s="22"/>
      <c r="D1619" s="23"/>
      <c r="E1619" s="23"/>
      <c r="F1619" s="23"/>
      <c r="G1619" s="31"/>
      <c r="H1619" s="32"/>
      <c r="I1619" s="31"/>
      <c r="J1619" s="85"/>
      <c r="L1619" s="86"/>
    </row>
    <row r="1620" spans="1:12" ht="16">
      <c r="A1620" s="33"/>
      <c r="B1620" s="30"/>
      <c r="C1620" s="22"/>
      <c r="D1620" s="23"/>
      <c r="E1620" s="23"/>
      <c r="F1620" s="23"/>
      <c r="G1620" s="31"/>
      <c r="H1620" s="32"/>
      <c r="I1620" s="31"/>
      <c r="J1620" s="85"/>
      <c r="L1620" s="86"/>
    </row>
    <row r="1621" spans="1:12" ht="16">
      <c r="A1621" s="33"/>
      <c r="B1621" s="30"/>
      <c r="C1621" s="22"/>
      <c r="D1621" s="23"/>
      <c r="E1621" s="23"/>
      <c r="F1621" s="23"/>
      <c r="G1621" s="31"/>
      <c r="H1621" s="32"/>
      <c r="I1621" s="31"/>
      <c r="J1621" s="85"/>
      <c r="L1621" s="86"/>
    </row>
    <row r="1622" spans="1:12" ht="16">
      <c r="A1622" s="33"/>
      <c r="B1622" s="30"/>
      <c r="C1622" s="22"/>
      <c r="D1622" s="23"/>
      <c r="E1622" s="23"/>
      <c r="F1622" s="23"/>
      <c r="G1622" s="31"/>
      <c r="H1622" s="32"/>
      <c r="I1622" s="31"/>
      <c r="J1622" s="85"/>
      <c r="L1622" s="86"/>
    </row>
    <row r="1623" spans="1:12" ht="16">
      <c r="A1623" s="33"/>
      <c r="B1623" s="30"/>
      <c r="C1623" s="22"/>
      <c r="D1623" s="23"/>
      <c r="E1623" s="23"/>
      <c r="F1623" s="23"/>
      <c r="G1623" s="31"/>
      <c r="H1623" s="32"/>
      <c r="I1623" s="31"/>
      <c r="J1623" s="85"/>
      <c r="L1623" s="86"/>
    </row>
    <row r="1624" spans="1:12" ht="16">
      <c r="A1624" s="33"/>
      <c r="B1624" s="30"/>
      <c r="C1624" s="22"/>
      <c r="D1624" s="23"/>
      <c r="E1624" s="23"/>
      <c r="F1624" s="23"/>
      <c r="G1624" s="31"/>
      <c r="H1624" s="32"/>
      <c r="I1624" s="31"/>
      <c r="J1624" s="85"/>
      <c r="L1624" s="86"/>
    </row>
    <row r="1625" spans="1:12" ht="16">
      <c r="A1625" s="33"/>
      <c r="B1625" s="30"/>
      <c r="C1625" s="22"/>
      <c r="D1625" s="23"/>
      <c r="E1625" s="23"/>
      <c r="F1625" s="23"/>
      <c r="G1625" s="31"/>
      <c r="H1625" s="32"/>
      <c r="I1625" s="31"/>
      <c r="J1625" s="85"/>
      <c r="L1625" s="86"/>
    </row>
    <row r="1626" spans="1:12" ht="16">
      <c r="A1626" s="33"/>
      <c r="B1626" s="30"/>
      <c r="C1626" s="22"/>
      <c r="D1626" s="23"/>
      <c r="E1626" s="23"/>
      <c r="F1626" s="23"/>
      <c r="G1626" s="31"/>
      <c r="H1626" s="32"/>
      <c r="I1626" s="31"/>
      <c r="J1626" s="85"/>
      <c r="L1626" s="86"/>
    </row>
    <row r="1627" spans="1:12" ht="16">
      <c r="A1627" s="33"/>
      <c r="B1627" s="30"/>
      <c r="C1627" s="22"/>
      <c r="D1627" s="23"/>
      <c r="E1627" s="23"/>
      <c r="F1627" s="23"/>
      <c r="G1627" s="31"/>
      <c r="H1627" s="32"/>
      <c r="I1627" s="31"/>
      <c r="J1627" s="85"/>
      <c r="L1627" s="86"/>
    </row>
    <row r="1628" spans="1:12" ht="16">
      <c r="A1628" s="33"/>
      <c r="B1628" s="30"/>
      <c r="C1628" s="22"/>
      <c r="D1628" s="23"/>
      <c r="E1628" s="23"/>
      <c r="F1628" s="23"/>
      <c r="G1628" s="31"/>
      <c r="H1628" s="32"/>
      <c r="I1628" s="31"/>
      <c r="J1628" s="85"/>
      <c r="L1628" s="86"/>
    </row>
    <row r="1629" spans="1:12" ht="16">
      <c r="A1629" s="33"/>
      <c r="B1629" s="30"/>
      <c r="C1629" s="22"/>
      <c r="D1629" s="23"/>
      <c r="E1629" s="23"/>
      <c r="F1629" s="23"/>
      <c r="G1629" s="31"/>
      <c r="H1629" s="32"/>
      <c r="I1629" s="31"/>
      <c r="J1629" s="85"/>
      <c r="L1629" s="86"/>
    </row>
    <row r="1630" spans="1:12" ht="16">
      <c r="A1630" s="33"/>
      <c r="B1630" s="30"/>
      <c r="C1630" s="22"/>
      <c r="D1630" s="23"/>
      <c r="E1630" s="23"/>
      <c r="F1630" s="23"/>
      <c r="G1630" s="31"/>
      <c r="H1630" s="32"/>
      <c r="I1630" s="31"/>
      <c r="J1630" s="85"/>
      <c r="L1630" s="86"/>
    </row>
    <row r="1631" spans="1:12" ht="16">
      <c r="A1631" s="33"/>
      <c r="B1631" s="30"/>
      <c r="C1631" s="22"/>
      <c r="D1631" s="23"/>
      <c r="E1631" s="23"/>
      <c r="F1631" s="23"/>
      <c r="G1631" s="31"/>
      <c r="H1631" s="32"/>
      <c r="I1631" s="31"/>
      <c r="J1631" s="85"/>
      <c r="L1631" s="86"/>
    </row>
    <row r="1632" spans="1:12" ht="16">
      <c r="A1632" s="33"/>
      <c r="B1632" s="30"/>
      <c r="C1632" s="22"/>
      <c r="D1632" s="23"/>
      <c r="E1632" s="23"/>
      <c r="F1632" s="23"/>
      <c r="G1632" s="31"/>
      <c r="H1632" s="32"/>
      <c r="I1632" s="31"/>
      <c r="J1632" s="85"/>
      <c r="L1632" s="86"/>
    </row>
    <row r="1633" spans="1:12" ht="16">
      <c r="A1633" s="33"/>
      <c r="B1633" s="30"/>
      <c r="C1633" s="22"/>
      <c r="D1633" s="23"/>
      <c r="E1633" s="23"/>
      <c r="F1633" s="23"/>
      <c r="G1633" s="31"/>
      <c r="H1633" s="32"/>
      <c r="I1633" s="31"/>
      <c r="J1633" s="85"/>
      <c r="L1633" s="86"/>
    </row>
    <row r="1634" spans="1:12" ht="16">
      <c r="A1634" s="33"/>
      <c r="B1634" s="30"/>
      <c r="C1634" s="22"/>
      <c r="D1634" s="23"/>
      <c r="E1634" s="23"/>
      <c r="F1634" s="23"/>
      <c r="G1634" s="31"/>
      <c r="H1634" s="32"/>
      <c r="I1634" s="31"/>
      <c r="J1634" s="85"/>
      <c r="L1634" s="86"/>
    </row>
    <row r="1635" spans="1:12" ht="16">
      <c r="A1635" s="33"/>
      <c r="B1635" s="30"/>
      <c r="C1635" s="22"/>
      <c r="D1635" s="23"/>
      <c r="E1635" s="23"/>
      <c r="F1635" s="23"/>
      <c r="G1635" s="31"/>
      <c r="H1635" s="32"/>
      <c r="I1635" s="31"/>
      <c r="J1635" s="85"/>
      <c r="L1635" s="86"/>
    </row>
    <row r="1636" spans="1:12" ht="16">
      <c r="A1636" s="33"/>
      <c r="B1636" s="30"/>
      <c r="C1636" s="22"/>
      <c r="D1636" s="23"/>
      <c r="E1636" s="23"/>
      <c r="F1636" s="23"/>
      <c r="G1636" s="31"/>
      <c r="H1636" s="32"/>
      <c r="I1636" s="31"/>
      <c r="J1636" s="85"/>
      <c r="L1636" s="86"/>
    </row>
    <row r="1637" spans="1:12" ht="16">
      <c r="A1637" s="33"/>
      <c r="B1637" s="30"/>
      <c r="C1637" s="22"/>
      <c r="D1637" s="23"/>
      <c r="E1637" s="23"/>
      <c r="F1637" s="23"/>
      <c r="G1637" s="31"/>
      <c r="H1637" s="32"/>
      <c r="I1637" s="31"/>
      <c r="J1637" s="85"/>
      <c r="L1637" s="86"/>
    </row>
    <row r="1638" spans="1:12" ht="16">
      <c r="A1638" s="33"/>
      <c r="B1638" s="30"/>
      <c r="C1638" s="22"/>
      <c r="D1638" s="23"/>
      <c r="E1638" s="23"/>
      <c r="F1638" s="23"/>
      <c r="G1638" s="31"/>
      <c r="H1638" s="32"/>
      <c r="I1638" s="31"/>
      <c r="J1638" s="85"/>
      <c r="L1638" s="86"/>
    </row>
    <row r="1639" spans="1:12" ht="16">
      <c r="A1639" s="33"/>
      <c r="B1639" s="30"/>
      <c r="C1639" s="22"/>
      <c r="D1639" s="23"/>
      <c r="E1639" s="23"/>
      <c r="F1639" s="23"/>
      <c r="G1639" s="31"/>
      <c r="H1639" s="32"/>
      <c r="I1639" s="31"/>
      <c r="J1639" s="85"/>
      <c r="L1639" s="86"/>
    </row>
    <row r="1640" spans="1:12" ht="16">
      <c r="A1640" s="33"/>
      <c r="B1640" s="30"/>
      <c r="C1640" s="22"/>
      <c r="D1640" s="23"/>
      <c r="E1640" s="23"/>
      <c r="F1640" s="23"/>
      <c r="G1640" s="31"/>
      <c r="H1640" s="32"/>
      <c r="I1640" s="31"/>
      <c r="J1640" s="85"/>
      <c r="L1640" s="86"/>
    </row>
    <row r="1641" spans="1:12" ht="16">
      <c r="A1641" s="33"/>
      <c r="B1641" s="30"/>
      <c r="C1641" s="22"/>
      <c r="D1641" s="23"/>
      <c r="E1641" s="23"/>
      <c r="F1641" s="23"/>
      <c r="G1641" s="31"/>
      <c r="H1641" s="32"/>
      <c r="I1641" s="31"/>
      <c r="J1641" s="85"/>
      <c r="L1641" s="86"/>
    </row>
    <row r="1642" spans="1:12" ht="16">
      <c r="A1642" s="33"/>
      <c r="B1642" s="30"/>
      <c r="C1642" s="22"/>
      <c r="D1642" s="23"/>
      <c r="E1642" s="23"/>
      <c r="F1642" s="23"/>
      <c r="G1642" s="31"/>
      <c r="H1642" s="32"/>
      <c r="I1642" s="31"/>
      <c r="J1642" s="85"/>
      <c r="L1642" s="86"/>
    </row>
    <row r="1643" spans="1:12" ht="16">
      <c r="A1643" s="33"/>
      <c r="B1643" s="30"/>
      <c r="C1643" s="22"/>
      <c r="D1643" s="23"/>
      <c r="E1643" s="23"/>
      <c r="F1643" s="23"/>
      <c r="G1643" s="31"/>
      <c r="H1643" s="32"/>
      <c r="I1643" s="31"/>
      <c r="J1643" s="85"/>
      <c r="L1643" s="86"/>
    </row>
    <row r="1644" spans="1:12" ht="16">
      <c r="A1644" s="33"/>
      <c r="B1644" s="30"/>
      <c r="C1644" s="22"/>
      <c r="D1644" s="23"/>
      <c r="E1644" s="23"/>
      <c r="F1644" s="23"/>
      <c r="G1644" s="31"/>
      <c r="H1644" s="32"/>
      <c r="I1644" s="31"/>
      <c r="J1644" s="85"/>
      <c r="L1644" s="86"/>
    </row>
    <row r="1645" spans="1:12" ht="16">
      <c r="A1645" s="33"/>
      <c r="B1645" s="30"/>
      <c r="C1645" s="22"/>
      <c r="D1645" s="23"/>
      <c r="E1645" s="23"/>
      <c r="F1645" s="23"/>
      <c r="G1645" s="31"/>
      <c r="H1645" s="32"/>
      <c r="I1645" s="31"/>
      <c r="J1645" s="85"/>
      <c r="L1645" s="86"/>
    </row>
    <row r="1646" spans="1:12" ht="16">
      <c r="A1646" s="33"/>
      <c r="B1646" s="30"/>
      <c r="C1646" s="22"/>
      <c r="D1646" s="23"/>
      <c r="E1646" s="23"/>
      <c r="F1646" s="23"/>
      <c r="G1646" s="31"/>
      <c r="H1646" s="32"/>
      <c r="I1646" s="31"/>
      <c r="J1646" s="85"/>
      <c r="L1646" s="86"/>
    </row>
    <row r="1647" spans="1:12" ht="16">
      <c r="A1647" s="33"/>
      <c r="B1647" s="30"/>
      <c r="C1647" s="22"/>
      <c r="D1647" s="23"/>
      <c r="E1647" s="23"/>
      <c r="F1647" s="23"/>
      <c r="G1647" s="31"/>
      <c r="H1647" s="32"/>
      <c r="I1647" s="31"/>
      <c r="J1647" s="85"/>
      <c r="L1647" s="86"/>
    </row>
    <row r="1648" spans="1:12" ht="16">
      <c r="A1648" s="33"/>
      <c r="B1648" s="30"/>
      <c r="C1648" s="22"/>
      <c r="D1648" s="23"/>
      <c r="E1648" s="23"/>
      <c r="F1648" s="23"/>
      <c r="G1648" s="31"/>
      <c r="H1648" s="32"/>
      <c r="I1648" s="31"/>
      <c r="J1648" s="85"/>
      <c r="L1648" s="86"/>
    </row>
    <row r="1649" spans="1:12" ht="16">
      <c r="A1649" s="33"/>
      <c r="B1649" s="30"/>
      <c r="C1649" s="22"/>
      <c r="D1649" s="23"/>
      <c r="E1649" s="23"/>
      <c r="F1649" s="23"/>
      <c r="G1649" s="31"/>
      <c r="H1649" s="32"/>
      <c r="I1649" s="31"/>
      <c r="J1649" s="85"/>
      <c r="L1649" s="86"/>
    </row>
    <row r="1650" spans="1:12" ht="16">
      <c r="A1650" s="33"/>
      <c r="B1650" s="30"/>
      <c r="C1650" s="22"/>
      <c r="D1650" s="23"/>
      <c r="E1650" s="23"/>
      <c r="F1650" s="23"/>
      <c r="G1650" s="31"/>
      <c r="H1650" s="32"/>
      <c r="I1650" s="31"/>
      <c r="J1650" s="85"/>
      <c r="L1650" s="86"/>
    </row>
    <row r="1651" spans="1:12" ht="16">
      <c r="A1651" s="33"/>
      <c r="B1651" s="30"/>
      <c r="C1651" s="22"/>
      <c r="D1651" s="23"/>
      <c r="E1651" s="23"/>
      <c r="F1651" s="23"/>
      <c r="G1651" s="31"/>
      <c r="H1651" s="32"/>
      <c r="I1651" s="31"/>
      <c r="J1651" s="85"/>
      <c r="L1651" s="86"/>
    </row>
    <row r="1652" spans="1:12" ht="16">
      <c r="A1652" s="33"/>
      <c r="B1652" s="30"/>
      <c r="C1652" s="22"/>
      <c r="D1652" s="23"/>
      <c r="E1652" s="23"/>
      <c r="F1652" s="23"/>
      <c r="G1652" s="31"/>
      <c r="H1652" s="32"/>
      <c r="I1652" s="31"/>
      <c r="J1652" s="85"/>
      <c r="L1652" s="86"/>
    </row>
    <row r="1653" spans="1:12" ht="16">
      <c r="A1653" s="33"/>
      <c r="B1653" s="30"/>
      <c r="C1653" s="22"/>
      <c r="D1653" s="23"/>
      <c r="E1653" s="23"/>
      <c r="F1653" s="23"/>
      <c r="G1653" s="31"/>
      <c r="H1653" s="32"/>
      <c r="I1653" s="31"/>
      <c r="J1653" s="85"/>
      <c r="L1653" s="86"/>
    </row>
    <row r="1654" spans="1:12" ht="16">
      <c r="A1654" s="33"/>
      <c r="B1654" s="30"/>
      <c r="C1654" s="22"/>
      <c r="D1654" s="23"/>
      <c r="E1654" s="23"/>
      <c r="F1654" s="23"/>
      <c r="G1654" s="31"/>
      <c r="H1654" s="32"/>
      <c r="I1654" s="31"/>
      <c r="J1654" s="85"/>
      <c r="L1654" s="86"/>
    </row>
    <row r="1655" spans="1:12" ht="16">
      <c r="A1655" s="33"/>
      <c r="B1655" s="30"/>
      <c r="C1655" s="22"/>
      <c r="D1655" s="23"/>
      <c r="E1655" s="23"/>
      <c r="F1655" s="23"/>
      <c r="G1655" s="31"/>
      <c r="H1655" s="32"/>
      <c r="I1655" s="31"/>
      <c r="J1655" s="85"/>
      <c r="L1655" s="86"/>
    </row>
    <row r="1656" spans="1:12" ht="16">
      <c r="A1656" s="33"/>
      <c r="B1656" s="30"/>
      <c r="C1656" s="22"/>
      <c r="D1656" s="23"/>
      <c r="E1656" s="23"/>
      <c r="F1656" s="23"/>
      <c r="G1656" s="31"/>
      <c r="H1656" s="32"/>
      <c r="I1656" s="31"/>
      <c r="J1656" s="85"/>
      <c r="L1656" s="86"/>
    </row>
    <row r="1657" spans="1:12" ht="16">
      <c r="A1657" s="33"/>
      <c r="B1657" s="30"/>
      <c r="C1657" s="22"/>
      <c r="D1657" s="23"/>
      <c r="E1657" s="23"/>
      <c r="F1657" s="23"/>
      <c r="G1657" s="31"/>
      <c r="H1657" s="32"/>
      <c r="I1657" s="31"/>
      <c r="J1657" s="85"/>
      <c r="L1657" s="86"/>
    </row>
    <row r="1658" spans="1:12" ht="16">
      <c r="A1658" s="33"/>
      <c r="B1658" s="30"/>
      <c r="C1658" s="22"/>
      <c r="D1658" s="23"/>
      <c r="E1658" s="23"/>
      <c r="F1658" s="23"/>
      <c r="G1658" s="31"/>
      <c r="H1658" s="32"/>
      <c r="I1658" s="31"/>
      <c r="J1658" s="85"/>
      <c r="L1658" s="86"/>
    </row>
    <row r="1659" spans="1:12" ht="16">
      <c r="A1659" s="33"/>
      <c r="B1659" s="30"/>
      <c r="C1659" s="22"/>
      <c r="D1659" s="23"/>
      <c r="E1659" s="23"/>
      <c r="F1659" s="23"/>
      <c r="G1659" s="31"/>
      <c r="H1659" s="32"/>
      <c r="I1659" s="31"/>
      <c r="J1659" s="85"/>
      <c r="L1659" s="86"/>
    </row>
    <row r="1660" spans="1:12" ht="16">
      <c r="A1660" s="33"/>
      <c r="B1660" s="30"/>
      <c r="C1660" s="22"/>
      <c r="D1660" s="23"/>
      <c r="E1660" s="23"/>
      <c r="F1660" s="23"/>
      <c r="G1660" s="31"/>
      <c r="H1660" s="32"/>
      <c r="I1660" s="31"/>
      <c r="J1660" s="85"/>
      <c r="L1660" s="86"/>
    </row>
    <row r="1661" spans="1:12" ht="16">
      <c r="A1661" s="33"/>
      <c r="B1661" s="30"/>
      <c r="C1661" s="22"/>
      <c r="D1661" s="23"/>
      <c r="E1661" s="23"/>
      <c r="F1661" s="23"/>
      <c r="G1661" s="31"/>
      <c r="H1661" s="32"/>
      <c r="I1661" s="31"/>
      <c r="J1661" s="85"/>
      <c r="L1661" s="86"/>
    </row>
    <row r="1662" spans="1:12" ht="16">
      <c r="A1662" s="33"/>
      <c r="B1662" s="30"/>
      <c r="C1662" s="22"/>
      <c r="D1662" s="23"/>
      <c r="E1662" s="23"/>
      <c r="F1662" s="23"/>
      <c r="G1662" s="31"/>
      <c r="H1662" s="32"/>
      <c r="I1662" s="31"/>
      <c r="J1662" s="85"/>
      <c r="L1662" s="86"/>
    </row>
    <row r="1663" spans="1:12" ht="16">
      <c r="A1663" s="33"/>
      <c r="B1663" s="30"/>
      <c r="C1663" s="22"/>
      <c r="D1663" s="23"/>
      <c r="E1663" s="23"/>
      <c r="F1663" s="23"/>
      <c r="G1663" s="31"/>
      <c r="H1663" s="32"/>
      <c r="I1663" s="31"/>
      <c r="J1663" s="85"/>
      <c r="L1663" s="86"/>
    </row>
    <row r="1664" spans="1:12" ht="16">
      <c r="A1664" s="33"/>
      <c r="B1664" s="30"/>
      <c r="C1664" s="22"/>
      <c r="D1664" s="23"/>
      <c r="E1664" s="23"/>
      <c r="F1664" s="23"/>
      <c r="G1664" s="31"/>
      <c r="H1664" s="32"/>
      <c r="I1664" s="31"/>
      <c r="J1664" s="85"/>
      <c r="L1664" s="86"/>
    </row>
    <row r="1665" spans="1:12" ht="16">
      <c r="A1665" s="33"/>
      <c r="B1665" s="30"/>
      <c r="C1665" s="22"/>
      <c r="D1665" s="23"/>
      <c r="E1665" s="23"/>
      <c r="F1665" s="23"/>
      <c r="G1665" s="31"/>
      <c r="H1665" s="32"/>
      <c r="I1665" s="31"/>
      <c r="J1665" s="85"/>
      <c r="L1665" s="86"/>
    </row>
    <row r="1666" spans="1:12" ht="16">
      <c r="A1666" s="33"/>
      <c r="B1666" s="30"/>
      <c r="C1666" s="22"/>
      <c r="D1666" s="23"/>
      <c r="E1666" s="23"/>
      <c r="F1666" s="23"/>
      <c r="G1666" s="31"/>
      <c r="H1666" s="32"/>
      <c r="I1666" s="31"/>
      <c r="J1666" s="85"/>
      <c r="L1666" s="86"/>
    </row>
    <row r="1667" spans="1:12" ht="16">
      <c r="A1667" s="33"/>
      <c r="B1667" s="30"/>
      <c r="C1667" s="22"/>
      <c r="D1667" s="23"/>
      <c r="E1667" s="23"/>
      <c r="F1667" s="23"/>
      <c r="G1667" s="31"/>
      <c r="H1667" s="32"/>
      <c r="I1667" s="31"/>
      <c r="J1667" s="85"/>
      <c r="L1667" s="86"/>
    </row>
    <row r="1668" spans="1:12" ht="16">
      <c r="A1668" s="33"/>
      <c r="B1668" s="30"/>
      <c r="C1668" s="22"/>
      <c r="D1668" s="23"/>
      <c r="E1668" s="23"/>
      <c r="F1668" s="23"/>
      <c r="G1668" s="31"/>
      <c r="H1668" s="32"/>
      <c r="I1668" s="31"/>
      <c r="J1668" s="85"/>
      <c r="L1668" s="86"/>
    </row>
    <row r="1669" spans="1:12" ht="16">
      <c r="A1669" s="33"/>
      <c r="B1669" s="30"/>
      <c r="C1669" s="22"/>
      <c r="D1669" s="23"/>
      <c r="E1669" s="23"/>
      <c r="F1669" s="23"/>
      <c r="G1669" s="31"/>
      <c r="H1669" s="32"/>
      <c r="I1669" s="31"/>
      <c r="J1669" s="85"/>
      <c r="L1669" s="86"/>
    </row>
    <row r="1670" spans="1:12" ht="16">
      <c r="A1670" s="33"/>
      <c r="B1670" s="30"/>
      <c r="C1670" s="22"/>
      <c r="D1670" s="23"/>
      <c r="E1670" s="23"/>
      <c r="F1670" s="23"/>
      <c r="G1670" s="31"/>
      <c r="H1670" s="32"/>
      <c r="I1670" s="31"/>
      <c r="J1670" s="85"/>
      <c r="L1670" s="86"/>
    </row>
    <row r="1671" spans="1:12" ht="16">
      <c r="A1671" s="33"/>
      <c r="B1671" s="30"/>
      <c r="C1671" s="22"/>
      <c r="D1671" s="23"/>
      <c r="E1671" s="23"/>
      <c r="F1671" s="23"/>
      <c r="G1671" s="31"/>
      <c r="H1671" s="32"/>
      <c r="I1671" s="31"/>
      <c r="J1671" s="85"/>
      <c r="L1671" s="86"/>
    </row>
    <row r="1672" spans="1:12" ht="16">
      <c r="A1672" s="33"/>
      <c r="B1672" s="30"/>
      <c r="C1672" s="22"/>
      <c r="D1672" s="23"/>
      <c r="E1672" s="23"/>
      <c r="F1672" s="23"/>
      <c r="G1672" s="31"/>
      <c r="H1672" s="32"/>
      <c r="I1672" s="31"/>
      <c r="J1672" s="85"/>
      <c r="L1672" s="86"/>
    </row>
    <row r="1673" spans="1:12" ht="16">
      <c r="A1673" s="33"/>
      <c r="B1673" s="30"/>
      <c r="C1673" s="22"/>
      <c r="D1673" s="23"/>
      <c r="E1673" s="23"/>
      <c r="F1673" s="23"/>
      <c r="G1673" s="31"/>
      <c r="H1673" s="32"/>
      <c r="I1673" s="31"/>
      <c r="J1673" s="85"/>
      <c r="L1673" s="86"/>
    </row>
    <row r="1674" spans="1:12" ht="16">
      <c r="A1674" s="33"/>
      <c r="B1674" s="30"/>
      <c r="C1674" s="22"/>
      <c r="D1674" s="23"/>
      <c r="E1674" s="23"/>
      <c r="F1674" s="23"/>
      <c r="G1674" s="31"/>
      <c r="H1674" s="32"/>
      <c r="I1674" s="31"/>
      <c r="J1674" s="85"/>
      <c r="L1674" s="86"/>
    </row>
    <row r="1675" spans="1:12" ht="16">
      <c r="A1675" s="33"/>
      <c r="B1675" s="30"/>
      <c r="C1675" s="22"/>
      <c r="D1675" s="23"/>
      <c r="E1675" s="23"/>
      <c r="F1675" s="23"/>
      <c r="G1675" s="31"/>
      <c r="H1675" s="32"/>
      <c r="I1675" s="31"/>
      <c r="J1675" s="85"/>
      <c r="L1675" s="86"/>
    </row>
    <row r="1676" spans="1:12" ht="16">
      <c r="A1676" s="33"/>
      <c r="B1676" s="30"/>
      <c r="C1676" s="22"/>
      <c r="D1676" s="23"/>
      <c r="E1676" s="23"/>
      <c r="F1676" s="23"/>
      <c r="G1676" s="31"/>
      <c r="H1676" s="32"/>
      <c r="I1676" s="31"/>
      <c r="J1676" s="85"/>
      <c r="L1676" s="86"/>
    </row>
    <row r="1677" spans="1:12" ht="16">
      <c r="A1677" s="33"/>
      <c r="B1677" s="30"/>
      <c r="C1677" s="22"/>
      <c r="D1677" s="23"/>
      <c r="E1677" s="23"/>
      <c r="F1677" s="23"/>
      <c r="G1677" s="31"/>
      <c r="H1677" s="32"/>
      <c r="I1677" s="31"/>
      <c r="J1677" s="85"/>
      <c r="L1677" s="86"/>
    </row>
    <row r="1678" spans="1:12" ht="16">
      <c r="A1678" s="33"/>
      <c r="B1678" s="30"/>
      <c r="C1678" s="22"/>
      <c r="D1678" s="23"/>
      <c r="E1678" s="23"/>
      <c r="F1678" s="23"/>
      <c r="G1678" s="31"/>
      <c r="H1678" s="32"/>
      <c r="I1678" s="31"/>
      <c r="J1678" s="85"/>
      <c r="L1678" s="86"/>
    </row>
    <row r="1679" spans="1:12" ht="16">
      <c r="A1679" s="33"/>
      <c r="B1679" s="30"/>
      <c r="C1679" s="22"/>
      <c r="D1679" s="23"/>
      <c r="E1679" s="23"/>
      <c r="F1679" s="23"/>
      <c r="G1679" s="31"/>
      <c r="H1679" s="32"/>
      <c r="I1679" s="31"/>
      <c r="J1679" s="85"/>
      <c r="L1679" s="86"/>
    </row>
    <row r="1680" spans="1:12" ht="16">
      <c r="A1680" s="33"/>
      <c r="B1680" s="30"/>
      <c r="C1680" s="22"/>
      <c r="D1680" s="23"/>
      <c r="E1680" s="23"/>
      <c r="F1680" s="23"/>
      <c r="G1680" s="31"/>
      <c r="H1680" s="32"/>
      <c r="I1680" s="31"/>
      <c r="J1680" s="85"/>
      <c r="L1680" s="86"/>
    </row>
    <row r="1681" spans="1:12" ht="16">
      <c r="A1681" s="33"/>
      <c r="B1681" s="30"/>
      <c r="C1681" s="22"/>
      <c r="D1681" s="23"/>
      <c r="E1681" s="23"/>
      <c r="F1681" s="23"/>
      <c r="G1681" s="31"/>
      <c r="H1681" s="32"/>
      <c r="I1681" s="31"/>
      <c r="J1681" s="85"/>
      <c r="L1681" s="86"/>
    </row>
    <row r="1682" spans="1:12" ht="16">
      <c r="A1682" s="33"/>
      <c r="B1682" s="30"/>
      <c r="C1682" s="22"/>
      <c r="D1682" s="23"/>
      <c r="E1682" s="23"/>
      <c r="F1682" s="23"/>
      <c r="G1682" s="31"/>
      <c r="H1682" s="32"/>
      <c r="I1682" s="31"/>
      <c r="J1682" s="85"/>
      <c r="L1682" s="86"/>
    </row>
    <row r="1683" spans="1:12" ht="16">
      <c r="A1683" s="33"/>
      <c r="B1683" s="30"/>
      <c r="C1683" s="22"/>
      <c r="D1683" s="23"/>
      <c r="E1683" s="23"/>
      <c r="F1683" s="23"/>
      <c r="G1683" s="31"/>
      <c r="H1683" s="32"/>
      <c r="I1683" s="31"/>
      <c r="J1683" s="85"/>
      <c r="L1683" s="86"/>
    </row>
    <row r="1684" spans="1:12" ht="16">
      <c r="A1684" s="33"/>
      <c r="B1684" s="30"/>
      <c r="C1684" s="22"/>
      <c r="D1684" s="23"/>
      <c r="E1684" s="23"/>
      <c r="F1684" s="23"/>
      <c r="G1684" s="31"/>
      <c r="H1684" s="32"/>
      <c r="I1684" s="31"/>
      <c r="J1684" s="85"/>
      <c r="L1684" s="86"/>
    </row>
    <row r="1685" spans="1:12" ht="16">
      <c r="A1685" s="33"/>
      <c r="B1685" s="30"/>
      <c r="C1685" s="22"/>
      <c r="D1685" s="23"/>
      <c r="E1685" s="23"/>
      <c r="F1685" s="23"/>
      <c r="G1685" s="31"/>
      <c r="H1685" s="32"/>
      <c r="I1685" s="31"/>
      <c r="J1685" s="85"/>
      <c r="L1685" s="86"/>
    </row>
    <row r="1686" spans="1:12" ht="16">
      <c r="A1686" s="33"/>
      <c r="B1686" s="30"/>
      <c r="C1686" s="22"/>
      <c r="D1686" s="23"/>
      <c r="E1686" s="23"/>
      <c r="F1686" s="23"/>
      <c r="G1686" s="31"/>
      <c r="H1686" s="32"/>
      <c r="I1686" s="31"/>
      <c r="J1686" s="85"/>
      <c r="L1686" s="86"/>
    </row>
    <row r="1687" spans="1:12" ht="16">
      <c r="A1687" s="33"/>
      <c r="B1687" s="30"/>
      <c r="C1687" s="22"/>
      <c r="D1687" s="23"/>
      <c r="E1687" s="23"/>
      <c r="F1687" s="23"/>
      <c r="G1687" s="31"/>
      <c r="H1687" s="32"/>
      <c r="I1687" s="31"/>
      <c r="J1687" s="85"/>
      <c r="L1687" s="86"/>
    </row>
    <row r="1688" spans="1:12" ht="16">
      <c r="A1688" s="33"/>
      <c r="B1688" s="30"/>
      <c r="C1688" s="22"/>
      <c r="D1688" s="23"/>
      <c r="E1688" s="23"/>
      <c r="F1688" s="23"/>
      <c r="G1688" s="31"/>
      <c r="H1688" s="32"/>
      <c r="I1688" s="31"/>
      <c r="J1688" s="85"/>
      <c r="L1688" s="86"/>
    </row>
    <row r="1689" spans="1:12" ht="16">
      <c r="A1689" s="33"/>
      <c r="B1689" s="30"/>
      <c r="C1689" s="22"/>
      <c r="D1689" s="23"/>
      <c r="E1689" s="23"/>
      <c r="F1689" s="23"/>
      <c r="G1689" s="31"/>
      <c r="H1689" s="32"/>
      <c r="I1689" s="31"/>
      <c r="J1689" s="85"/>
      <c r="L1689" s="86"/>
    </row>
    <row r="1690" spans="1:12" ht="16">
      <c r="A1690" s="33"/>
      <c r="B1690" s="30"/>
      <c r="C1690" s="22"/>
      <c r="D1690" s="23"/>
      <c r="E1690" s="23"/>
      <c r="F1690" s="23"/>
      <c r="G1690" s="31"/>
      <c r="H1690" s="32"/>
      <c r="I1690" s="31"/>
      <c r="J1690" s="85"/>
      <c r="L1690" s="86"/>
    </row>
    <row r="1691" spans="1:12" ht="16">
      <c r="A1691" s="33"/>
      <c r="B1691" s="30"/>
      <c r="C1691" s="22"/>
      <c r="D1691" s="23"/>
      <c r="E1691" s="23"/>
      <c r="F1691" s="23"/>
      <c r="G1691" s="31"/>
      <c r="H1691" s="32"/>
      <c r="I1691" s="31"/>
      <c r="J1691" s="85"/>
      <c r="L1691" s="86"/>
    </row>
    <row r="1692" spans="1:12" ht="16">
      <c r="A1692" s="33"/>
      <c r="B1692" s="30"/>
      <c r="C1692" s="22"/>
      <c r="D1692" s="23"/>
      <c r="E1692" s="23"/>
      <c r="F1692" s="23"/>
      <c r="G1692" s="31"/>
      <c r="H1692" s="32"/>
      <c r="I1692" s="31"/>
      <c r="J1692" s="85"/>
      <c r="L1692" s="86"/>
    </row>
    <row r="1693" spans="1:12" ht="16">
      <c r="A1693" s="33"/>
      <c r="B1693" s="30"/>
      <c r="C1693" s="22"/>
      <c r="D1693" s="23"/>
      <c r="E1693" s="23"/>
      <c r="F1693" s="23"/>
      <c r="G1693" s="31"/>
      <c r="H1693" s="32"/>
      <c r="I1693" s="31"/>
      <c r="J1693" s="85"/>
      <c r="L1693" s="86"/>
    </row>
    <row r="1694" spans="1:12" ht="16">
      <c r="A1694" s="33"/>
      <c r="B1694" s="30"/>
      <c r="C1694" s="22"/>
      <c r="D1694" s="23"/>
      <c r="E1694" s="23"/>
      <c r="F1694" s="23"/>
      <c r="G1694" s="31"/>
      <c r="H1694" s="32"/>
      <c r="I1694" s="31"/>
      <c r="J1694" s="85"/>
      <c r="L1694" s="86"/>
    </row>
    <row r="1695" spans="1:12" ht="16">
      <c r="A1695" s="33"/>
      <c r="B1695" s="30"/>
      <c r="C1695" s="22"/>
      <c r="D1695" s="23"/>
      <c r="E1695" s="23"/>
      <c r="F1695" s="23"/>
      <c r="G1695" s="31"/>
      <c r="H1695" s="32"/>
      <c r="I1695" s="31"/>
      <c r="J1695" s="85"/>
      <c r="L1695" s="86"/>
    </row>
    <row r="1696" spans="1:12" ht="16">
      <c r="A1696" s="33"/>
      <c r="B1696" s="30"/>
      <c r="C1696" s="22"/>
      <c r="D1696" s="23"/>
      <c r="E1696" s="23"/>
      <c r="F1696" s="23"/>
      <c r="G1696" s="31"/>
      <c r="H1696" s="32"/>
      <c r="I1696" s="31"/>
      <c r="J1696" s="85"/>
      <c r="L1696" s="86"/>
    </row>
    <row r="1697" spans="1:12" ht="16">
      <c r="A1697" s="33"/>
      <c r="B1697" s="30"/>
      <c r="C1697" s="22"/>
      <c r="D1697" s="23"/>
      <c r="E1697" s="23"/>
      <c r="F1697" s="23"/>
      <c r="G1697" s="31"/>
      <c r="H1697" s="32"/>
      <c r="I1697" s="31"/>
      <c r="J1697" s="85"/>
      <c r="L1697" s="86"/>
    </row>
    <row r="1698" spans="1:12" ht="16">
      <c r="A1698" s="33"/>
      <c r="B1698" s="30"/>
      <c r="C1698" s="22"/>
      <c r="D1698" s="23"/>
      <c r="E1698" s="23"/>
      <c r="F1698" s="23"/>
      <c r="G1698" s="31"/>
      <c r="H1698" s="32"/>
      <c r="I1698" s="31"/>
      <c r="J1698" s="85"/>
      <c r="L1698" s="86"/>
    </row>
    <row r="1699" spans="1:12" ht="16">
      <c r="A1699" s="33"/>
      <c r="B1699" s="30"/>
      <c r="C1699" s="22"/>
      <c r="D1699" s="23"/>
      <c r="E1699" s="23"/>
      <c r="F1699" s="23"/>
      <c r="G1699" s="31"/>
      <c r="H1699" s="32"/>
      <c r="I1699" s="31"/>
      <c r="J1699" s="85"/>
      <c r="L1699" s="86"/>
    </row>
    <row r="1700" spans="1:12" ht="16">
      <c r="A1700" s="33"/>
      <c r="B1700" s="30"/>
      <c r="C1700" s="22"/>
      <c r="D1700" s="23"/>
      <c r="E1700" s="23"/>
      <c r="F1700" s="23"/>
      <c r="G1700" s="31"/>
      <c r="H1700" s="32"/>
      <c r="I1700" s="31"/>
      <c r="J1700" s="85"/>
      <c r="L1700" s="86"/>
    </row>
    <row r="1701" spans="1:12" ht="16">
      <c r="A1701" s="33"/>
      <c r="B1701" s="30"/>
      <c r="C1701" s="22"/>
      <c r="D1701" s="23"/>
      <c r="E1701" s="23"/>
      <c r="F1701" s="23"/>
      <c r="G1701" s="31"/>
      <c r="H1701" s="32"/>
      <c r="I1701" s="31"/>
      <c r="J1701" s="85"/>
      <c r="L1701" s="86"/>
    </row>
    <row r="1702" spans="1:12" ht="16">
      <c r="A1702" s="33"/>
      <c r="B1702" s="30"/>
      <c r="C1702" s="22"/>
      <c r="D1702" s="23"/>
      <c r="E1702" s="23"/>
      <c r="F1702" s="23"/>
      <c r="G1702" s="31"/>
      <c r="H1702" s="32"/>
      <c r="I1702" s="31"/>
      <c r="J1702" s="85"/>
      <c r="L1702" s="86"/>
    </row>
    <row r="1703" spans="1:12" ht="16">
      <c r="A1703" s="33"/>
      <c r="B1703" s="30"/>
      <c r="C1703" s="22"/>
      <c r="D1703" s="23"/>
      <c r="E1703" s="23"/>
      <c r="F1703" s="23"/>
      <c r="G1703" s="31"/>
      <c r="H1703" s="32"/>
      <c r="I1703" s="31"/>
      <c r="J1703" s="85"/>
      <c r="L1703" s="86"/>
    </row>
    <row r="1704" spans="1:12" ht="16">
      <c r="A1704" s="33"/>
      <c r="B1704" s="30"/>
      <c r="C1704" s="22"/>
      <c r="D1704" s="23"/>
      <c r="E1704" s="23"/>
      <c r="F1704" s="23"/>
      <c r="G1704" s="31"/>
      <c r="H1704" s="32"/>
      <c r="I1704" s="31"/>
      <c r="J1704" s="85"/>
      <c r="L1704" s="86"/>
    </row>
    <row r="1705" spans="1:12" ht="16">
      <c r="A1705" s="33"/>
      <c r="B1705" s="30"/>
      <c r="C1705" s="22"/>
      <c r="D1705" s="23"/>
      <c r="E1705" s="23"/>
      <c r="F1705" s="23"/>
      <c r="G1705" s="31"/>
      <c r="H1705" s="32"/>
      <c r="I1705" s="31"/>
      <c r="J1705" s="85"/>
      <c r="L1705" s="86"/>
    </row>
    <row r="1706" spans="1:12" ht="16">
      <c r="A1706" s="33"/>
      <c r="B1706" s="30"/>
      <c r="C1706" s="22"/>
      <c r="D1706" s="23"/>
      <c r="E1706" s="23"/>
      <c r="F1706" s="23"/>
      <c r="G1706" s="31"/>
      <c r="H1706" s="32"/>
      <c r="I1706" s="31"/>
      <c r="J1706" s="85"/>
      <c r="L1706" s="86"/>
    </row>
    <row r="1707" spans="1:12" ht="16">
      <c r="A1707" s="33"/>
      <c r="B1707" s="30"/>
      <c r="C1707" s="22"/>
      <c r="D1707" s="23"/>
      <c r="E1707" s="23"/>
      <c r="F1707" s="23"/>
      <c r="G1707" s="31"/>
      <c r="H1707" s="32"/>
      <c r="I1707" s="31"/>
      <c r="J1707" s="85"/>
      <c r="L1707" s="86"/>
    </row>
    <row r="1708" spans="1:12" ht="16">
      <c r="A1708" s="33"/>
      <c r="B1708" s="30"/>
      <c r="C1708" s="22"/>
      <c r="D1708" s="23"/>
      <c r="E1708" s="23"/>
      <c r="F1708" s="23"/>
      <c r="G1708" s="31"/>
      <c r="H1708" s="32"/>
      <c r="I1708" s="31"/>
      <c r="J1708" s="85"/>
      <c r="L1708" s="86"/>
    </row>
    <row r="1709" spans="1:12" ht="16">
      <c r="A1709" s="33"/>
      <c r="B1709" s="30"/>
      <c r="C1709" s="22"/>
      <c r="D1709" s="23"/>
      <c r="E1709" s="23"/>
      <c r="F1709" s="23"/>
      <c r="G1709" s="31"/>
      <c r="H1709" s="32"/>
      <c r="I1709" s="31"/>
      <c r="J1709" s="85"/>
      <c r="L1709" s="86"/>
    </row>
    <row r="1710" spans="1:12" ht="16">
      <c r="A1710" s="33"/>
      <c r="B1710" s="30"/>
      <c r="C1710" s="22"/>
      <c r="D1710" s="23"/>
      <c r="E1710" s="23"/>
      <c r="F1710" s="23"/>
      <c r="G1710" s="31"/>
      <c r="H1710" s="32"/>
      <c r="I1710" s="31"/>
      <c r="J1710" s="85"/>
      <c r="L1710" s="86"/>
    </row>
    <row r="1711" spans="1:12" ht="16">
      <c r="A1711" s="33"/>
      <c r="B1711" s="30"/>
      <c r="C1711" s="22"/>
      <c r="D1711" s="23"/>
      <c r="E1711" s="23"/>
      <c r="F1711" s="23"/>
      <c r="G1711" s="31"/>
      <c r="H1711" s="32"/>
      <c r="I1711" s="31"/>
      <c r="J1711" s="85"/>
      <c r="L1711" s="86"/>
    </row>
    <row r="1712" spans="1:12" ht="16">
      <c r="A1712" s="33"/>
      <c r="B1712" s="30"/>
      <c r="C1712" s="22"/>
      <c r="D1712" s="23"/>
      <c r="E1712" s="23"/>
      <c r="F1712" s="23"/>
      <c r="G1712" s="31"/>
      <c r="H1712" s="32"/>
      <c r="I1712" s="31"/>
      <c r="J1712" s="85"/>
      <c r="L1712" s="86"/>
    </row>
    <row r="1713" spans="1:12" ht="16">
      <c r="A1713" s="33"/>
      <c r="B1713" s="30"/>
      <c r="C1713" s="22"/>
      <c r="D1713" s="23"/>
      <c r="E1713" s="23"/>
      <c r="F1713" s="23"/>
      <c r="G1713" s="31"/>
      <c r="H1713" s="32"/>
      <c r="I1713" s="31"/>
      <c r="J1713" s="85"/>
      <c r="L1713" s="86"/>
    </row>
    <row r="1714" spans="1:12" ht="16">
      <c r="A1714" s="33"/>
      <c r="B1714" s="30"/>
      <c r="C1714" s="22"/>
      <c r="D1714" s="23"/>
      <c r="E1714" s="23"/>
      <c r="F1714" s="23"/>
      <c r="G1714" s="31"/>
      <c r="H1714" s="32"/>
      <c r="I1714" s="31"/>
      <c r="J1714" s="85"/>
      <c r="L1714" s="86"/>
    </row>
    <row r="1715" spans="1:12" ht="16">
      <c r="A1715" s="33"/>
      <c r="B1715" s="30"/>
      <c r="C1715" s="22"/>
      <c r="D1715" s="23"/>
      <c r="E1715" s="23"/>
      <c r="F1715" s="23"/>
      <c r="G1715" s="31"/>
      <c r="H1715" s="32"/>
      <c r="I1715" s="31"/>
      <c r="J1715" s="85"/>
      <c r="L1715" s="86"/>
    </row>
    <row r="1716" spans="1:12" ht="16">
      <c r="A1716" s="33"/>
      <c r="B1716" s="30"/>
      <c r="C1716" s="22"/>
      <c r="D1716" s="23"/>
      <c r="E1716" s="23"/>
      <c r="F1716" s="23"/>
      <c r="G1716" s="31"/>
      <c r="H1716" s="32"/>
      <c r="I1716" s="31"/>
      <c r="J1716" s="85"/>
      <c r="L1716" s="86"/>
    </row>
    <row r="1717" spans="1:12" ht="16">
      <c r="A1717" s="33"/>
      <c r="B1717" s="30"/>
      <c r="C1717" s="22"/>
      <c r="D1717" s="23"/>
      <c r="E1717" s="23"/>
      <c r="F1717" s="23"/>
      <c r="G1717" s="31"/>
      <c r="H1717" s="32"/>
      <c r="I1717" s="31"/>
      <c r="J1717" s="85"/>
      <c r="L1717" s="86"/>
    </row>
    <row r="1718" spans="1:12" ht="16">
      <c r="A1718" s="33"/>
      <c r="B1718" s="30"/>
      <c r="C1718" s="22"/>
      <c r="D1718" s="23"/>
      <c r="E1718" s="23"/>
      <c r="F1718" s="23"/>
      <c r="G1718" s="31"/>
      <c r="H1718" s="32"/>
      <c r="I1718" s="31"/>
      <c r="J1718" s="85"/>
      <c r="L1718" s="86"/>
    </row>
    <row r="1719" spans="1:12" ht="16">
      <c r="A1719" s="33"/>
      <c r="B1719" s="30"/>
      <c r="C1719" s="22"/>
      <c r="D1719" s="23"/>
      <c r="E1719" s="23"/>
      <c r="F1719" s="23"/>
      <c r="G1719" s="31"/>
      <c r="H1719" s="32"/>
      <c r="I1719" s="31"/>
      <c r="J1719" s="85"/>
      <c r="L1719" s="86"/>
    </row>
    <row r="1720" spans="1:12" ht="16">
      <c r="A1720" s="33"/>
      <c r="B1720" s="30"/>
      <c r="C1720" s="22"/>
      <c r="D1720" s="23"/>
      <c r="E1720" s="23"/>
      <c r="F1720" s="23"/>
      <c r="G1720" s="31"/>
      <c r="H1720" s="32"/>
      <c r="I1720" s="31"/>
      <c r="J1720" s="85"/>
      <c r="L1720" s="86"/>
    </row>
    <row r="1721" spans="1:12" ht="16">
      <c r="A1721" s="33"/>
      <c r="B1721" s="30"/>
      <c r="C1721" s="22"/>
      <c r="D1721" s="23"/>
      <c r="E1721" s="23"/>
      <c r="F1721" s="23"/>
      <c r="G1721" s="31"/>
      <c r="H1721" s="32"/>
      <c r="I1721" s="31"/>
      <c r="J1721" s="85"/>
      <c r="L1721" s="86"/>
    </row>
    <row r="1722" spans="1:12" ht="16">
      <c r="A1722" s="33"/>
      <c r="B1722" s="30"/>
      <c r="C1722" s="22"/>
      <c r="D1722" s="23"/>
      <c r="E1722" s="23"/>
      <c r="F1722" s="23"/>
      <c r="G1722" s="31"/>
      <c r="H1722" s="32"/>
      <c r="I1722" s="31"/>
      <c r="J1722" s="85"/>
      <c r="L1722" s="86"/>
    </row>
    <row r="1723" spans="1:12" ht="16">
      <c r="A1723" s="33"/>
      <c r="B1723" s="30"/>
      <c r="C1723" s="22"/>
      <c r="D1723" s="23"/>
      <c r="E1723" s="23"/>
      <c r="F1723" s="23"/>
      <c r="G1723" s="31"/>
      <c r="H1723" s="32"/>
      <c r="I1723" s="31"/>
      <c r="J1723" s="85"/>
      <c r="L1723" s="86"/>
    </row>
    <row r="1724" spans="1:12" ht="16">
      <c r="A1724" s="33"/>
      <c r="B1724" s="30"/>
      <c r="C1724" s="22"/>
      <c r="D1724" s="23"/>
      <c r="E1724" s="23"/>
      <c r="F1724" s="23"/>
      <c r="G1724" s="31"/>
      <c r="H1724" s="32"/>
      <c r="I1724" s="31"/>
      <c r="J1724" s="85"/>
      <c r="L1724" s="86"/>
    </row>
    <row r="1725" spans="1:12" ht="16">
      <c r="A1725" s="33"/>
      <c r="B1725" s="30"/>
      <c r="C1725" s="22"/>
      <c r="D1725" s="23"/>
      <c r="E1725" s="23"/>
      <c r="F1725" s="23"/>
      <c r="G1725" s="31"/>
      <c r="H1725" s="32"/>
      <c r="I1725" s="31"/>
      <c r="J1725" s="85"/>
      <c r="L1725" s="86"/>
    </row>
    <row r="1726" spans="1:12" ht="16">
      <c r="A1726" s="33"/>
      <c r="B1726" s="30"/>
      <c r="C1726" s="22"/>
      <c r="D1726" s="23"/>
      <c r="E1726" s="23"/>
      <c r="F1726" s="23"/>
      <c r="G1726" s="31"/>
      <c r="H1726" s="32"/>
      <c r="I1726" s="31"/>
      <c r="J1726" s="85"/>
      <c r="L1726" s="86"/>
    </row>
    <row r="1727" spans="1:12" ht="16">
      <c r="A1727" s="33"/>
      <c r="B1727" s="30"/>
      <c r="C1727" s="22"/>
      <c r="D1727" s="23"/>
      <c r="E1727" s="23"/>
      <c r="F1727" s="23"/>
      <c r="G1727" s="31"/>
      <c r="H1727" s="32"/>
      <c r="I1727" s="31"/>
      <c r="J1727" s="85"/>
      <c r="L1727" s="86"/>
    </row>
    <row r="1728" spans="1:12" ht="16">
      <c r="A1728" s="33"/>
      <c r="B1728" s="30"/>
      <c r="C1728" s="22"/>
      <c r="D1728" s="23"/>
      <c r="E1728" s="23"/>
      <c r="F1728" s="23"/>
      <c r="G1728" s="31"/>
      <c r="H1728" s="32"/>
      <c r="I1728" s="31"/>
      <c r="J1728" s="85"/>
      <c r="L1728" s="86"/>
    </row>
    <row r="1729" spans="1:12" ht="16">
      <c r="A1729" s="33"/>
      <c r="B1729" s="30"/>
      <c r="C1729" s="22"/>
      <c r="D1729" s="23"/>
      <c r="E1729" s="23"/>
      <c r="F1729" s="23"/>
      <c r="G1729" s="31"/>
      <c r="H1729" s="32"/>
      <c r="I1729" s="31"/>
      <c r="J1729" s="85"/>
      <c r="L1729" s="86"/>
    </row>
    <row r="1730" spans="1:12" ht="16">
      <c r="A1730" s="33"/>
      <c r="B1730" s="30"/>
      <c r="C1730" s="22"/>
      <c r="D1730" s="23"/>
      <c r="E1730" s="23"/>
      <c r="F1730" s="23"/>
      <c r="G1730" s="31"/>
      <c r="H1730" s="32"/>
      <c r="I1730" s="31"/>
      <c r="J1730" s="85"/>
      <c r="L1730" s="86"/>
    </row>
    <row r="1731" spans="1:12" ht="16">
      <c r="A1731" s="33"/>
      <c r="B1731" s="30"/>
      <c r="C1731" s="22"/>
      <c r="D1731" s="23"/>
      <c r="E1731" s="23"/>
      <c r="F1731" s="23"/>
      <c r="G1731" s="31"/>
      <c r="H1731" s="32"/>
      <c r="I1731" s="31"/>
      <c r="J1731" s="85"/>
      <c r="L1731" s="86"/>
    </row>
    <row r="1732" spans="1:12" ht="16">
      <c r="A1732" s="33"/>
      <c r="B1732" s="30"/>
      <c r="C1732" s="22"/>
      <c r="D1732" s="23"/>
      <c r="E1732" s="23"/>
      <c r="F1732" s="23"/>
      <c r="G1732" s="31"/>
      <c r="H1732" s="32"/>
      <c r="I1732" s="31"/>
      <c r="J1732" s="85"/>
      <c r="L1732" s="86"/>
    </row>
    <row r="1733" spans="1:12" ht="16">
      <c r="A1733" s="33"/>
      <c r="B1733" s="30"/>
      <c r="C1733" s="22"/>
      <c r="D1733" s="23"/>
      <c r="E1733" s="23"/>
      <c r="F1733" s="23"/>
      <c r="G1733" s="31"/>
      <c r="H1733" s="32"/>
      <c r="I1733" s="31"/>
      <c r="J1733" s="85"/>
      <c r="L1733" s="86"/>
    </row>
    <row r="1734" spans="1:12" ht="16">
      <c r="A1734" s="33"/>
      <c r="B1734" s="30"/>
      <c r="C1734" s="22"/>
      <c r="D1734" s="23"/>
      <c r="E1734" s="23"/>
      <c r="F1734" s="23"/>
      <c r="G1734" s="31"/>
      <c r="H1734" s="32"/>
      <c r="I1734" s="31"/>
      <c r="J1734" s="85"/>
      <c r="L1734" s="86"/>
    </row>
    <row r="1735" spans="1:12" ht="16">
      <c r="A1735" s="33"/>
      <c r="B1735" s="30"/>
      <c r="C1735" s="22"/>
      <c r="D1735" s="23"/>
      <c r="E1735" s="23"/>
      <c r="F1735" s="23"/>
      <c r="G1735" s="31"/>
      <c r="H1735" s="32"/>
      <c r="I1735" s="31"/>
      <c r="J1735" s="85"/>
      <c r="L1735" s="86"/>
    </row>
    <row r="1736" spans="1:12" ht="16">
      <c r="A1736" s="33"/>
      <c r="B1736" s="30"/>
      <c r="C1736" s="22"/>
      <c r="D1736" s="23"/>
      <c r="E1736" s="23"/>
      <c r="F1736" s="23"/>
      <c r="G1736" s="31"/>
      <c r="H1736" s="32"/>
      <c r="I1736" s="31"/>
      <c r="J1736" s="85"/>
      <c r="L1736" s="86"/>
    </row>
    <row r="1737" spans="1:12" ht="16">
      <c r="A1737" s="33"/>
      <c r="B1737" s="30"/>
      <c r="C1737" s="22"/>
      <c r="D1737" s="23"/>
      <c r="E1737" s="23"/>
      <c r="F1737" s="23"/>
      <c r="G1737" s="31"/>
      <c r="H1737" s="32"/>
      <c r="I1737" s="31"/>
      <c r="J1737" s="85"/>
      <c r="L1737" s="86"/>
    </row>
    <row r="1738" spans="1:12" ht="16">
      <c r="A1738" s="33"/>
      <c r="B1738" s="30"/>
      <c r="C1738" s="22"/>
      <c r="D1738" s="23"/>
      <c r="E1738" s="23"/>
      <c r="F1738" s="23"/>
      <c r="G1738" s="31"/>
      <c r="H1738" s="32"/>
      <c r="I1738" s="31"/>
      <c r="J1738" s="85"/>
      <c r="L1738" s="86"/>
    </row>
    <row r="1739" spans="1:12" ht="16">
      <c r="A1739" s="33"/>
      <c r="B1739" s="30"/>
      <c r="C1739" s="22"/>
      <c r="D1739" s="23"/>
      <c r="E1739" s="23"/>
      <c r="F1739" s="23"/>
      <c r="G1739" s="31"/>
      <c r="H1739" s="32"/>
      <c r="I1739" s="31"/>
      <c r="J1739" s="85"/>
      <c r="L1739" s="86"/>
    </row>
    <row r="1740" spans="1:12" ht="16">
      <c r="A1740" s="33"/>
      <c r="B1740" s="30"/>
      <c r="C1740" s="22"/>
      <c r="D1740" s="23"/>
      <c r="E1740" s="23"/>
      <c r="F1740" s="23"/>
      <c r="G1740" s="31"/>
      <c r="H1740" s="32"/>
      <c r="I1740" s="31"/>
      <c r="J1740" s="85"/>
      <c r="L1740" s="86"/>
    </row>
    <row r="1741" spans="1:12" ht="16">
      <c r="A1741" s="33"/>
      <c r="B1741" s="30"/>
      <c r="C1741" s="22"/>
      <c r="D1741" s="23"/>
      <c r="E1741" s="23"/>
      <c r="F1741" s="23"/>
      <c r="G1741" s="31"/>
      <c r="H1741" s="32"/>
      <c r="I1741" s="31"/>
      <c r="J1741" s="85"/>
      <c r="L1741" s="86"/>
    </row>
    <row r="1742" spans="1:12" ht="16">
      <c r="A1742" s="33"/>
      <c r="B1742" s="30"/>
      <c r="C1742" s="22"/>
      <c r="D1742" s="23"/>
      <c r="E1742" s="23"/>
      <c r="F1742" s="23"/>
      <c r="G1742" s="31"/>
      <c r="H1742" s="32"/>
      <c r="I1742" s="31"/>
      <c r="J1742" s="85"/>
      <c r="L1742" s="86"/>
    </row>
    <row r="1743" spans="1:12" ht="16">
      <c r="A1743" s="33"/>
      <c r="B1743" s="30"/>
      <c r="C1743" s="22"/>
      <c r="D1743" s="23"/>
      <c r="E1743" s="23"/>
      <c r="F1743" s="23"/>
      <c r="G1743" s="31"/>
      <c r="H1743" s="32"/>
      <c r="I1743" s="31"/>
      <c r="J1743" s="85"/>
      <c r="L1743" s="86"/>
    </row>
    <row r="1744" spans="1:12" ht="16">
      <c r="A1744" s="33"/>
      <c r="B1744" s="30"/>
      <c r="C1744" s="22"/>
      <c r="D1744" s="23"/>
      <c r="E1744" s="23"/>
      <c r="F1744" s="23"/>
      <c r="G1744" s="31"/>
      <c r="H1744" s="32"/>
      <c r="I1744" s="31"/>
      <c r="J1744" s="85"/>
      <c r="L1744" s="86"/>
    </row>
    <row r="1745" spans="1:12" ht="16">
      <c r="A1745" s="33"/>
      <c r="B1745" s="30"/>
      <c r="C1745" s="22"/>
      <c r="D1745" s="23"/>
      <c r="E1745" s="23"/>
      <c r="F1745" s="23"/>
      <c r="G1745" s="31"/>
      <c r="H1745" s="32"/>
      <c r="I1745" s="31"/>
      <c r="J1745" s="85"/>
      <c r="L1745" s="86"/>
    </row>
    <row r="1746" spans="1:12" ht="16">
      <c r="A1746" s="33"/>
      <c r="B1746" s="30"/>
      <c r="C1746" s="22"/>
      <c r="D1746" s="23"/>
      <c r="E1746" s="23"/>
      <c r="F1746" s="23"/>
      <c r="G1746" s="31"/>
      <c r="H1746" s="32"/>
      <c r="I1746" s="31"/>
      <c r="J1746" s="85"/>
      <c r="L1746" s="86"/>
    </row>
    <row r="1747" spans="1:12" ht="16">
      <c r="A1747" s="33"/>
      <c r="B1747" s="30"/>
      <c r="C1747" s="22"/>
      <c r="D1747" s="23"/>
      <c r="E1747" s="23"/>
      <c r="F1747" s="23"/>
      <c r="G1747" s="31"/>
      <c r="H1747" s="32"/>
      <c r="I1747" s="31"/>
      <c r="J1747" s="85"/>
      <c r="L1747" s="86"/>
    </row>
    <row r="1748" spans="1:12" ht="16">
      <c r="A1748" s="33"/>
      <c r="B1748" s="30"/>
      <c r="C1748" s="22"/>
      <c r="D1748" s="23"/>
      <c r="E1748" s="23"/>
      <c r="F1748" s="23"/>
      <c r="G1748" s="31"/>
      <c r="H1748" s="32"/>
      <c r="I1748" s="31"/>
      <c r="J1748" s="85"/>
      <c r="L1748" s="86"/>
    </row>
    <row r="1749" spans="1:12" ht="16">
      <c r="A1749" s="33"/>
      <c r="B1749" s="30"/>
      <c r="C1749" s="22"/>
      <c r="D1749" s="23"/>
      <c r="E1749" s="23"/>
      <c r="F1749" s="23"/>
      <c r="G1749" s="31"/>
      <c r="H1749" s="32"/>
      <c r="I1749" s="31"/>
      <c r="J1749" s="85"/>
      <c r="L1749" s="86"/>
    </row>
    <row r="1750" spans="1:12" ht="16">
      <c r="A1750" s="33"/>
      <c r="B1750" s="30"/>
      <c r="C1750" s="22"/>
      <c r="D1750" s="23"/>
      <c r="E1750" s="23"/>
      <c r="F1750" s="23"/>
      <c r="G1750" s="31"/>
      <c r="H1750" s="32"/>
      <c r="I1750" s="31"/>
      <c r="J1750" s="85"/>
      <c r="L1750" s="86"/>
    </row>
    <row r="1751" spans="1:12" ht="16">
      <c r="A1751" s="33"/>
      <c r="B1751" s="30"/>
      <c r="C1751" s="22"/>
      <c r="D1751" s="23"/>
      <c r="E1751" s="23"/>
      <c r="F1751" s="23"/>
      <c r="G1751" s="31"/>
      <c r="H1751" s="32"/>
      <c r="I1751" s="31"/>
      <c r="J1751" s="85"/>
      <c r="L1751" s="86"/>
    </row>
    <row r="1752" spans="1:12" ht="16">
      <c r="A1752" s="33"/>
      <c r="B1752" s="30"/>
      <c r="C1752" s="22"/>
      <c r="D1752" s="23"/>
      <c r="E1752" s="23"/>
      <c r="F1752" s="23"/>
      <c r="G1752" s="31"/>
      <c r="H1752" s="32"/>
      <c r="I1752" s="31"/>
      <c r="J1752" s="85"/>
      <c r="L1752" s="86"/>
    </row>
    <row r="1753" spans="1:12" ht="16">
      <c r="A1753" s="33"/>
      <c r="B1753" s="30"/>
      <c r="C1753" s="22"/>
      <c r="D1753" s="23"/>
      <c r="E1753" s="23"/>
      <c r="F1753" s="23"/>
      <c r="G1753" s="31"/>
      <c r="H1753" s="32"/>
      <c r="I1753" s="31"/>
      <c r="J1753" s="85"/>
      <c r="L1753" s="86"/>
    </row>
    <row r="1754" spans="1:12" ht="16">
      <c r="A1754" s="33"/>
      <c r="B1754" s="30"/>
      <c r="C1754" s="22"/>
      <c r="D1754" s="23"/>
      <c r="E1754" s="23"/>
      <c r="F1754" s="23"/>
      <c r="G1754" s="31"/>
      <c r="H1754" s="32"/>
      <c r="I1754" s="31"/>
      <c r="J1754" s="85"/>
      <c r="L1754" s="86"/>
    </row>
    <row r="1755" spans="1:12" ht="16">
      <c r="A1755" s="33"/>
      <c r="B1755" s="30"/>
      <c r="C1755" s="22"/>
      <c r="D1755" s="23"/>
      <c r="E1755" s="23"/>
      <c r="F1755" s="23"/>
      <c r="G1755" s="31"/>
      <c r="H1755" s="32"/>
      <c r="I1755" s="31"/>
      <c r="J1755" s="85"/>
      <c r="L1755" s="86"/>
    </row>
    <row r="1756" spans="1:12" ht="16">
      <c r="A1756" s="33"/>
      <c r="B1756" s="30"/>
      <c r="C1756" s="22"/>
      <c r="D1756" s="23"/>
      <c r="E1756" s="23"/>
      <c r="F1756" s="23"/>
      <c r="G1756" s="31"/>
      <c r="H1756" s="32"/>
      <c r="I1756" s="31"/>
      <c r="J1756" s="85"/>
      <c r="L1756" s="86"/>
    </row>
    <row r="1757" spans="1:12" ht="16">
      <c r="A1757" s="33"/>
      <c r="B1757" s="30"/>
      <c r="C1757" s="22"/>
      <c r="D1757" s="23"/>
      <c r="E1757" s="23"/>
      <c r="F1757" s="23"/>
      <c r="G1757" s="31"/>
      <c r="H1757" s="32"/>
      <c r="I1757" s="31"/>
      <c r="J1757" s="85"/>
      <c r="L1757" s="86"/>
    </row>
    <row r="1758" spans="1:12" ht="16">
      <c r="A1758" s="33"/>
      <c r="B1758" s="30"/>
      <c r="C1758" s="22"/>
      <c r="D1758" s="23"/>
      <c r="E1758" s="23"/>
      <c r="F1758" s="23"/>
      <c r="G1758" s="31"/>
      <c r="H1758" s="32"/>
      <c r="I1758" s="31"/>
      <c r="J1758" s="85"/>
      <c r="L1758" s="86"/>
    </row>
    <row r="1759" spans="1:12" ht="16">
      <c r="A1759" s="33"/>
      <c r="B1759" s="30"/>
      <c r="C1759" s="22"/>
      <c r="D1759" s="23"/>
      <c r="E1759" s="23"/>
      <c r="F1759" s="23"/>
      <c r="G1759" s="31"/>
      <c r="H1759" s="32"/>
      <c r="I1759" s="31"/>
      <c r="J1759" s="85"/>
      <c r="L1759" s="86"/>
    </row>
    <row r="1760" spans="1:12" ht="16">
      <c r="A1760" s="33"/>
      <c r="B1760" s="30"/>
      <c r="C1760" s="22"/>
      <c r="D1760" s="23"/>
      <c r="E1760" s="23"/>
      <c r="F1760" s="23"/>
      <c r="G1760" s="31"/>
      <c r="H1760" s="32"/>
      <c r="I1760" s="31"/>
      <c r="J1760" s="85"/>
      <c r="L1760" s="86"/>
    </row>
    <row r="1761" spans="1:12" ht="16">
      <c r="A1761" s="33"/>
      <c r="B1761" s="30"/>
      <c r="C1761" s="22"/>
      <c r="D1761" s="23"/>
      <c r="E1761" s="23"/>
      <c r="F1761" s="23"/>
      <c r="G1761" s="31"/>
      <c r="H1761" s="32"/>
      <c r="I1761" s="31"/>
      <c r="J1761" s="85"/>
      <c r="L1761" s="86"/>
    </row>
    <row r="1762" spans="1:12" ht="16">
      <c r="A1762" s="33"/>
      <c r="B1762" s="30"/>
      <c r="C1762" s="22"/>
      <c r="D1762" s="23"/>
      <c r="E1762" s="23"/>
      <c r="F1762" s="23"/>
      <c r="G1762" s="31"/>
      <c r="H1762" s="32"/>
      <c r="I1762" s="31"/>
      <c r="J1762" s="85"/>
      <c r="L1762" s="86"/>
    </row>
    <row r="1763" spans="1:12" ht="16">
      <c r="A1763" s="33"/>
      <c r="B1763" s="30"/>
      <c r="C1763" s="22"/>
      <c r="D1763" s="23"/>
      <c r="E1763" s="23"/>
      <c r="F1763" s="23"/>
      <c r="G1763" s="31"/>
      <c r="H1763" s="32"/>
      <c r="I1763" s="31"/>
      <c r="J1763" s="85"/>
      <c r="L1763" s="86"/>
    </row>
    <row r="1764" spans="1:12" ht="16">
      <c r="A1764" s="33"/>
      <c r="B1764" s="30"/>
      <c r="C1764" s="22"/>
      <c r="D1764" s="23"/>
      <c r="E1764" s="23"/>
      <c r="F1764" s="23"/>
      <c r="G1764" s="31"/>
      <c r="H1764" s="32"/>
      <c r="I1764" s="31"/>
      <c r="J1764" s="85"/>
      <c r="L1764" s="86"/>
    </row>
    <row r="1765" spans="1:12" ht="16">
      <c r="A1765" s="33"/>
      <c r="B1765" s="30"/>
      <c r="C1765" s="22"/>
      <c r="D1765" s="23"/>
      <c r="E1765" s="23"/>
      <c r="F1765" s="23"/>
      <c r="G1765" s="31"/>
      <c r="H1765" s="32"/>
      <c r="I1765" s="31"/>
      <c r="J1765" s="85"/>
      <c r="L1765" s="86"/>
    </row>
    <row r="1766" spans="1:12" ht="16">
      <c r="A1766" s="33"/>
      <c r="B1766" s="30"/>
      <c r="C1766" s="22"/>
      <c r="D1766" s="23"/>
      <c r="E1766" s="23"/>
      <c r="F1766" s="23"/>
      <c r="G1766" s="31"/>
      <c r="H1766" s="32"/>
      <c r="I1766" s="31"/>
      <c r="J1766" s="85"/>
      <c r="L1766" s="86"/>
    </row>
    <row r="1767" spans="1:12" ht="16">
      <c r="A1767" s="33"/>
      <c r="B1767" s="30"/>
      <c r="C1767" s="22"/>
      <c r="D1767" s="23"/>
      <c r="E1767" s="23"/>
      <c r="F1767" s="23"/>
      <c r="G1767" s="31"/>
      <c r="H1767" s="32"/>
      <c r="I1767" s="31"/>
      <c r="J1767" s="85"/>
      <c r="L1767" s="86"/>
    </row>
    <row r="1768" spans="1:12" ht="16">
      <c r="A1768" s="33"/>
      <c r="B1768" s="30"/>
      <c r="C1768" s="22"/>
      <c r="D1768" s="23"/>
      <c r="E1768" s="23"/>
      <c r="F1768" s="23"/>
      <c r="G1768" s="31"/>
      <c r="H1768" s="32"/>
      <c r="I1768" s="31"/>
      <c r="J1768" s="85"/>
      <c r="L1768" s="86"/>
    </row>
    <row r="1769" spans="1:12" ht="16">
      <c r="A1769" s="33"/>
      <c r="B1769" s="30"/>
      <c r="C1769" s="22"/>
      <c r="D1769" s="23"/>
      <c r="E1769" s="23"/>
      <c r="F1769" s="23"/>
      <c r="G1769" s="31"/>
      <c r="H1769" s="32"/>
      <c r="I1769" s="31"/>
      <c r="J1769" s="85"/>
      <c r="L1769" s="86"/>
    </row>
    <row r="1770" spans="1:12" ht="16">
      <c r="A1770" s="33"/>
      <c r="B1770" s="30"/>
      <c r="C1770" s="22"/>
      <c r="D1770" s="23"/>
      <c r="E1770" s="23"/>
      <c r="F1770" s="23"/>
      <c r="G1770" s="31"/>
      <c r="H1770" s="32"/>
      <c r="I1770" s="31"/>
      <c r="J1770" s="85"/>
      <c r="L1770" s="86"/>
    </row>
    <row r="1771" spans="1:12" ht="16">
      <c r="A1771" s="33"/>
      <c r="B1771" s="30"/>
      <c r="C1771" s="22"/>
      <c r="D1771" s="23"/>
      <c r="E1771" s="23"/>
      <c r="F1771" s="23"/>
      <c r="G1771" s="31"/>
      <c r="H1771" s="32"/>
      <c r="I1771" s="31"/>
      <c r="J1771" s="85"/>
      <c r="L1771" s="86"/>
    </row>
    <row r="1772" spans="1:12" ht="16">
      <c r="A1772" s="33"/>
      <c r="B1772" s="30"/>
      <c r="C1772" s="22"/>
      <c r="D1772" s="23"/>
      <c r="E1772" s="23"/>
      <c r="F1772" s="23"/>
      <c r="G1772" s="31"/>
      <c r="H1772" s="32"/>
      <c r="I1772" s="31"/>
      <c r="J1772" s="85"/>
      <c r="L1772" s="86"/>
    </row>
    <row r="1773" spans="1:12" ht="16">
      <c r="A1773" s="33"/>
      <c r="B1773" s="30"/>
      <c r="C1773" s="22"/>
      <c r="D1773" s="23"/>
      <c r="E1773" s="23"/>
      <c r="F1773" s="23"/>
      <c r="G1773" s="31"/>
      <c r="H1773" s="32"/>
      <c r="I1773" s="31"/>
      <c r="J1773" s="85"/>
      <c r="L1773" s="86"/>
    </row>
    <row r="1774" spans="1:12" ht="16">
      <c r="A1774" s="33"/>
      <c r="B1774" s="30"/>
      <c r="C1774" s="22"/>
      <c r="D1774" s="23"/>
      <c r="E1774" s="23"/>
      <c r="F1774" s="23"/>
      <c r="G1774" s="31"/>
      <c r="H1774" s="32"/>
      <c r="I1774" s="31"/>
      <c r="J1774" s="85"/>
      <c r="L1774" s="86"/>
    </row>
    <row r="1775" spans="1:12" ht="16">
      <c r="A1775" s="33"/>
      <c r="B1775" s="30"/>
      <c r="C1775" s="22"/>
      <c r="D1775" s="23"/>
      <c r="E1775" s="23"/>
      <c r="F1775" s="23"/>
      <c r="G1775" s="31"/>
      <c r="H1775" s="32"/>
      <c r="I1775" s="31"/>
      <c r="J1775" s="85"/>
      <c r="L1775" s="86"/>
    </row>
    <row r="1776" spans="1:12" ht="16">
      <c r="A1776" s="33"/>
      <c r="B1776" s="30"/>
      <c r="C1776" s="22"/>
      <c r="D1776" s="23"/>
      <c r="E1776" s="23"/>
      <c r="F1776" s="23"/>
      <c r="G1776" s="31"/>
      <c r="H1776" s="32"/>
      <c r="I1776" s="31"/>
      <c r="J1776" s="85"/>
      <c r="L1776" s="86"/>
    </row>
    <row r="1777" spans="1:12" ht="16">
      <c r="A1777" s="33"/>
      <c r="B1777" s="30"/>
      <c r="C1777" s="22"/>
      <c r="D1777" s="23"/>
      <c r="E1777" s="23"/>
      <c r="F1777" s="23"/>
      <c r="G1777" s="31"/>
      <c r="H1777" s="32"/>
      <c r="I1777" s="31"/>
      <c r="J1777" s="85"/>
      <c r="L1777" s="86"/>
    </row>
    <row r="1778" spans="1:12" ht="16">
      <c r="A1778" s="33"/>
      <c r="B1778" s="30"/>
      <c r="C1778" s="22"/>
      <c r="D1778" s="23"/>
      <c r="E1778" s="23"/>
      <c r="F1778" s="23"/>
      <c r="G1778" s="31"/>
      <c r="H1778" s="32"/>
      <c r="I1778" s="31"/>
      <c r="J1778" s="85"/>
      <c r="L1778" s="86"/>
    </row>
    <row r="1779" spans="1:12" ht="16">
      <c r="A1779" s="33"/>
      <c r="B1779" s="30"/>
      <c r="C1779" s="22"/>
      <c r="D1779" s="23"/>
      <c r="E1779" s="23"/>
      <c r="F1779" s="23"/>
      <c r="G1779" s="31"/>
      <c r="H1779" s="32"/>
      <c r="I1779" s="31"/>
      <c r="J1779" s="85"/>
      <c r="L1779" s="86"/>
    </row>
    <row r="1780" spans="1:12" ht="16">
      <c r="A1780" s="33"/>
      <c r="B1780" s="30"/>
      <c r="C1780" s="22"/>
      <c r="D1780" s="23"/>
      <c r="E1780" s="23"/>
      <c r="F1780" s="23"/>
      <c r="G1780" s="31"/>
      <c r="H1780" s="32"/>
      <c r="I1780" s="31"/>
      <c r="J1780" s="85"/>
      <c r="L1780" s="86"/>
    </row>
    <row r="1781" spans="1:12" ht="16">
      <c r="A1781" s="33"/>
      <c r="B1781" s="30"/>
      <c r="C1781" s="22"/>
      <c r="D1781" s="23"/>
      <c r="E1781" s="23"/>
      <c r="F1781" s="23"/>
      <c r="G1781" s="31"/>
      <c r="H1781" s="32"/>
      <c r="I1781" s="31"/>
      <c r="J1781" s="85"/>
      <c r="L1781" s="86"/>
    </row>
    <row r="1782" spans="1:12" ht="16">
      <c r="A1782" s="33"/>
      <c r="B1782" s="30"/>
      <c r="C1782" s="22"/>
      <c r="D1782" s="23"/>
      <c r="E1782" s="23"/>
      <c r="F1782" s="23"/>
      <c r="G1782" s="31"/>
      <c r="H1782" s="32"/>
      <c r="I1782" s="31"/>
      <c r="J1782" s="85"/>
      <c r="L1782" s="86"/>
    </row>
    <row r="1783" spans="1:12" ht="16">
      <c r="A1783" s="33"/>
      <c r="B1783" s="30"/>
      <c r="C1783" s="22"/>
      <c r="D1783" s="23"/>
      <c r="E1783" s="23"/>
      <c r="F1783" s="23"/>
      <c r="G1783" s="31"/>
      <c r="H1783" s="32"/>
      <c r="I1783" s="31"/>
      <c r="J1783" s="85"/>
      <c r="L1783" s="86"/>
    </row>
    <row r="1784" spans="1:12" ht="16">
      <c r="A1784" s="33"/>
      <c r="B1784" s="30"/>
      <c r="C1784" s="22"/>
      <c r="D1784" s="23"/>
      <c r="E1784" s="23"/>
      <c r="F1784" s="23"/>
      <c r="G1784" s="31"/>
      <c r="H1784" s="32"/>
      <c r="I1784" s="31"/>
      <c r="J1784" s="85"/>
      <c r="L1784" s="86"/>
    </row>
    <row r="1785" spans="1:12" ht="16">
      <c r="A1785" s="33"/>
      <c r="B1785" s="30"/>
      <c r="C1785" s="22"/>
      <c r="D1785" s="23"/>
      <c r="E1785" s="23"/>
      <c r="F1785" s="23"/>
      <c r="G1785" s="31"/>
      <c r="H1785" s="32"/>
      <c r="I1785" s="31"/>
      <c r="J1785" s="85"/>
      <c r="L1785" s="86"/>
    </row>
    <row r="1786" spans="1:12" ht="16">
      <c r="A1786" s="33"/>
      <c r="B1786" s="30"/>
      <c r="C1786" s="22"/>
      <c r="D1786" s="23"/>
      <c r="E1786" s="23"/>
      <c r="F1786" s="23"/>
      <c r="G1786" s="31"/>
      <c r="H1786" s="32"/>
      <c r="I1786" s="31"/>
      <c r="J1786" s="85"/>
      <c r="L1786" s="86"/>
    </row>
    <row r="1787" spans="1:12" ht="16">
      <c r="A1787" s="33"/>
      <c r="B1787" s="30"/>
      <c r="C1787" s="22"/>
      <c r="D1787" s="23"/>
      <c r="E1787" s="23"/>
      <c r="F1787" s="23"/>
      <c r="G1787" s="31"/>
      <c r="H1787" s="32"/>
      <c r="I1787" s="31"/>
      <c r="J1787" s="85"/>
      <c r="L1787" s="86"/>
    </row>
    <row r="1788" spans="1:12" ht="16">
      <c r="A1788" s="33"/>
      <c r="B1788" s="30"/>
      <c r="C1788" s="22"/>
      <c r="D1788" s="23"/>
      <c r="E1788" s="23"/>
      <c r="F1788" s="23"/>
      <c r="G1788" s="31"/>
      <c r="H1788" s="32"/>
      <c r="I1788" s="31"/>
      <c r="J1788" s="85"/>
      <c r="L1788" s="86"/>
    </row>
    <row r="1789" spans="1:12" ht="16">
      <c r="A1789" s="33"/>
      <c r="B1789" s="30"/>
      <c r="C1789" s="22"/>
      <c r="D1789" s="23"/>
      <c r="E1789" s="23"/>
      <c r="F1789" s="23"/>
      <c r="G1789" s="31"/>
      <c r="H1789" s="32"/>
      <c r="I1789" s="31"/>
      <c r="J1789" s="85"/>
      <c r="L1789" s="86"/>
    </row>
    <row r="1790" spans="1:12" ht="16">
      <c r="A1790" s="33"/>
      <c r="B1790" s="30"/>
      <c r="C1790" s="22"/>
      <c r="D1790" s="23"/>
      <c r="E1790" s="23"/>
      <c r="F1790" s="23"/>
      <c r="G1790" s="31"/>
      <c r="H1790" s="32"/>
      <c r="I1790" s="31"/>
      <c r="J1790" s="85"/>
      <c r="L1790" s="86"/>
    </row>
    <row r="1791" spans="1:12" ht="16">
      <c r="A1791" s="33"/>
      <c r="B1791" s="30"/>
      <c r="C1791" s="22"/>
      <c r="D1791" s="23"/>
      <c r="E1791" s="23"/>
      <c r="F1791" s="23"/>
      <c r="G1791" s="31"/>
      <c r="H1791" s="32"/>
      <c r="I1791" s="31"/>
      <c r="J1791" s="85"/>
      <c r="L1791" s="86"/>
    </row>
    <row r="1792" spans="1:12" ht="16">
      <c r="A1792" s="33"/>
      <c r="B1792" s="30"/>
      <c r="C1792" s="22"/>
      <c r="D1792" s="23"/>
      <c r="E1792" s="23"/>
      <c r="F1792" s="23"/>
      <c r="G1792" s="31"/>
      <c r="H1792" s="32"/>
      <c r="I1792" s="31"/>
      <c r="J1792" s="85"/>
      <c r="L1792" s="86"/>
    </row>
    <row r="1793" spans="1:12" ht="16">
      <c r="A1793" s="33"/>
      <c r="B1793" s="30"/>
      <c r="C1793" s="22"/>
      <c r="D1793" s="23"/>
      <c r="E1793" s="23"/>
      <c r="F1793" s="23"/>
      <c r="G1793" s="31"/>
      <c r="H1793" s="32"/>
      <c r="I1793" s="31"/>
      <c r="J1793" s="85"/>
      <c r="L1793" s="86"/>
    </row>
    <row r="1794" spans="1:12" ht="16">
      <c r="A1794" s="33"/>
      <c r="B1794" s="30"/>
      <c r="C1794" s="22"/>
      <c r="D1794" s="23"/>
      <c r="E1794" s="23"/>
      <c r="F1794" s="23"/>
      <c r="G1794" s="31"/>
      <c r="H1794" s="32"/>
      <c r="I1794" s="31"/>
      <c r="J1794" s="85"/>
      <c r="L1794" s="86"/>
    </row>
    <row r="1795" spans="1:12" ht="16">
      <c r="A1795" s="33"/>
      <c r="B1795" s="30"/>
      <c r="C1795" s="22"/>
      <c r="D1795" s="23"/>
      <c r="E1795" s="23"/>
      <c r="F1795" s="23"/>
      <c r="G1795" s="31"/>
      <c r="H1795" s="32"/>
      <c r="I1795" s="31"/>
      <c r="J1795" s="85"/>
      <c r="L1795" s="86"/>
    </row>
    <row r="1796" spans="1:12" ht="16">
      <c r="A1796" s="33"/>
      <c r="B1796" s="30"/>
      <c r="C1796" s="22"/>
      <c r="D1796" s="23"/>
      <c r="E1796" s="23"/>
      <c r="F1796" s="23"/>
      <c r="G1796" s="31"/>
      <c r="H1796" s="32"/>
      <c r="I1796" s="31"/>
      <c r="J1796" s="85"/>
      <c r="L1796" s="86"/>
    </row>
    <row r="1797" spans="1:12" ht="16">
      <c r="A1797" s="33"/>
      <c r="B1797" s="30"/>
      <c r="C1797" s="22"/>
      <c r="D1797" s="23"/>
      <c r="E1797" s="23"/>
      <c r="F1797" s="23"/>
      <c r="G1797" s="31"/>
      <c r="H1797" s="32"/>
      <c r="I1797" s="31"/>
      <c r="J1797" s="85"/>
      <c r="L1797" s="86"/>
    </row>
    <row r="1798" spans="1:12" ht="16">
      <c r="A1798" s="33"/>
      <c r="B1798" s="30"/>
      <c r="C1798" s="22"/>
      <c r="D1798" s="23"/>
      <c r="E1798" s="23"/>
      <c r="F1798" s="23"/>
      <c r="G1798" s="31"/>
      <c r="H1798" s="32"/>
      <c r="I1798" s="31"/>
      <c r="J1798" s="85"/>
      <c r="L1798" s="86"/>
    </row>
    <row r="1799" spans="1:12" ht="16">
      <c r="A1799" s="33"/>
      <c r="B1799" s="30"/>
      <c r="C1799" s="22"/>
      <c r="D1799" s="23"/>
      <c r="E1799" s="23"/>
      <c r="F1799" s="23"/>
      <c r="G1799" s="31"/>
      <c r="H1799" s="32"/>
      <c r="I1799" s="31"/>
      <c r="J1799" s="85"/>
      <c r="L1799" s="86"/>
    </row>
    <row r="1800" spans="1:12" ht="16">
      <c r="A1800" s="33"/>
      <c r="B1800" s="30"/>
      <c r="C1800" s="22"/>
      <c r="D1800" s="23"/>
      <c r="E1800" s="23"/>
      <c r="F1800" s="23"/>
      <c r="G1800" s="31"/>
      <c r="H1800" s="32"/>
      <c r="I1800" s="31"/>
      <c r="J1800" s="85"/>
      <c r="L1800" s="86"/>
    </row>
    <row r="1801" spans="1:12" ht="16">
      <c r="A1801" s="33"/>
      <c r="B1801" s="30"/>
      <c r="C1801" s="22"/>
      <c r="D1801" s="23"/>
      <c r="E1801" s="23"/>
      <c r="F1801" s="23"/>
      <c r="G1801" s="31"/>
      <c r="H1801" s="32"/>
      <c r="I1801" s="31"/>
      <c r="J1801" s="85"/>
      <c r="L1801" s="86"/>
    </row>
    <row r="1802" spans="1:12" ht="16">
      <c r="A1802" s="33"/>
      <c r="B1802" s="30"/>
      <c r="C1802" s="22"/>
      <c r="D1802" s="23"/>
      <c r="E1802" s="23"/>
      <c r="F1802" s="23"/>
      <c r="G1802" s="31"/>
      <c r="H1802" s="32"/>
      <c r="I1802" s="31"/>
      <c r="J1802" s="85"/>
      <c r="L1802" s="86"/>
    </row>
    <row r="1803" spans="1:12" ht="16">
      <c r="A1803" s="33"/>
      <c r="B1803" s="30"/>
      <c r="C1803" s="22"/>
      <c r="D1803" s="23"/>
      <c r="E1803" s="23"/>
      <c r="F1803" s="23"/>
      <c r="G1803" s="31"/>
      <c r="H1803" s="32"/>
      <c r="I1803" s="31"/>
      <c r="J1803" s="85"/>
      <c r="L1803" s="86"/>
    </row>
    <row r="1804" spans="1:12" ht="16">
      <c r="A1804" s="33"/>
      <c r="B1804" s="30"/>
      <c r="C1804" s="22"/>
      <c r="D1804" s="23"/>
      <c r="E1804" s="23"/>
      <c r="F1804" s="23"/>
      <c r="G1804" s="31"/>
      <c r="H1804" s="32"/>
      <c r="I1804" s="31"/>
      <c r="J1804" s="85"/>
      <c r="L1804" s="86"/>
    </row>
    <row r="1805" spans="1:12" ht="16">
      <c r="A1805" s="33"/>
      <c r="B1805" s="30"/>
      <c r="C1805" s="22"/>
      <c r="D1805" s="23"/>
      <c r="E1805" s="23"/>
      <c r="F1805" s="23"/>
      <c r="G1805" s="31"/>
      <c r="H1805" s="32"/>
      <c r="I1805" s="31"/>
      <c r="J1805" s="85"/>
      <c r="L1805" s="86"/>
    </row>
    <row r="1806" spans="1:12" ht="16">
      <c r="A1806" s="33"/>
      <c r="B1806" s="30"/>
      <c r="C1806" s="22"/>
      <c r="D1806" s="23"/>
      <c r="E1806" s="23"/>
      <c r="F1806" s="23"/>
      <c r="G1806" s="31"/>
      <c r="H1806" s="32"/>
      <c r="I1806" s="31"/>
      <c r="J1806" s="85"/>
      <c r="L1806" s="86"/>
    </row>
    <row r="1807" spans="1:12" ht="16">
      <c r="A1807" s="33"/>
      <c r="B1807" s="30"/>
      <c r="C1807" s="22"/>
      <c r="D1807" s="23"/>
      <c r="E1807" s="23"/>
      <c r="F1807" s="23"/>
      <c r="G1807" s="31"/>
      <c r="H1807" s="32"/>
      <c r="I1807" s="31"/>
      <c r="J1807" s="85"/>
      <c r="L1807" s="86"/>
    </row>
    <row r="1808" spans="1:12" ht="16">
      <c r="A1808" s="33"/>
      <c r="B1808" s="30"/>
      <c r="C1808" s="22"/>
      <c r="D1808" s="23"/>
      <c r="E1808" s="23"/>
      <c r="F1808" s="23"/>
      <c r="G1808" s="31"/>
      <c r="H1808" s="32"/>
      <c r="I1808" s="31"/>
      <c r="J1808" s="85"/>
      <c r="L1808" s="86"/>
    </row>
    <row r="1809" spans="1:12" ht="16">
      <c r="A1809" s="33"/>
      <c r="B1809" s="30"/>
      <c r="C1809" s="22"/>
      <c r="D1809" s="23"/>
      <c r="E1809" s="23"/>
      <c r="F1809" s="23"/>
      <c r="G1809" s="31"/>
      <c r="H1809" s="32"/>
      <c r="I1809" s="31"/>
      <c r="J1809" s="85"/>
      <c r="L1809" s="86"/>
    </row>
    <row r="1810" spans="1:12" ht="16">
      <c r="A1810" s="33"/>
      <c r="B1810" s="30"/>
      <c r="C1810" s="22"/>
      <c r="D1810" s="23"/>
      <c r="E1810" s="23"/>
      <c r="F1810" s="23"/>
      <c r="G1810" s="31"/>
      <c r="H1810" s="32"/>
      <c r="I1810" s="31"/>
      <c r="J1810" s="85"/>
      <c r="L1810" s="86"/>
    </row>
    <row r="1811" spans="1:12" ht="16">
      <c r="A1811" s="33"/>
      <c r="B1811" s="30"/>
      <c r="C1811" s="22"/>
      <c r="D1811" s="23"/>
      <c r="E1811" s="23"/>
      <c r="F1811" s="23"/>
      <c r="G1811" s="31"/>
      <c r="H1811" s="32"/>
      <c r="I1811" s="31"/>
      <c r="J1811" s="85"/>
      <c r="L1811" s="86"/>
    </row>
    <row r="1812" spans="1:12" ht="16">
      <c r="A1812" s="33"/>
      <c r="B1812" s="30"/>
      <c r="C1812" s="22"/>
      <c r="D1812" s="23"/>
      <c r="E1812" s="23"/>
      <c r="F1812" s="23"/>
      <c r="G1812" s="31"/>
      <c r="H1812" s="32"/>
      <c r="I1812" s="31"/>
      <c r="J1812" s="85"/>
      <c r="L1812" s="86"/>
    </row>
    <row r="1813" spans="1:12" ht="16">
      <c r="A1813" s="33"/>
      <c r="B1813" s="30"/>
      <c r="C1813" s="22"/>
      <c r="D1813" s="23"/>
      <c r="E1813" s="23"/>
      <c r="F1813" s="23"/>
      <c r="G1813" s="31"/>
      <c r="H1813" s="32"/>
      <c r="I1813" s="31"/>
      <c r="J1813" s="85"/>
      <c r="L1813" s="86"/>
    </row>
    <row r="1814" spans="1:12" ht="16">
      <c r="A1814" s="33"/>
      <c r="B1814" s="30"/>
      <c r="C1814" s="22"/>
      <c r="D1814" s="23"/>
      <c r="E1814" s="23"/>
      <c r="F1814" s="23"/>
      <c r="G1814" s="31"/>
      <c r="H1814" s="32"/>
      <c r="I1814" s="31"/>
      <c r="J1814" s="85"/>
      <c r="L1814" s="86"/>
    </row>
    <row r="1815" spans="1:12" ht="16">
      <c r="A1815" s="33"/>
      <c r="B1815" s="30"/>
      <c r="C1815" s="22"/>
      <c r="D1815" s="23"/>
      <c r="E1815" s="23"/>
      <c r="F1815" s="23"/>
      <c r="G1815" s="31"/>
      <c r="H1815" s="32"/>
      <c r="I1815" s="31"/>
      <c r="J1815" s="85"/>
      <c r="L1815" s="86"/>
    </row>
    <row r="1816" spans="1:12" ht="16">
      <c r="A1816" s="33"/>
      <c r="B1816" s="30"/>
      <c r="C1816" s="22"/>
      <c r="D1816" s="23"/>
      <c r="E1816" s="23"/>
      <c r="F1816" s="23"/>
      <c r="G1816" s="31"/>
      <c r="H1816" s="32"/>
      <c r="I1816" s="31"/>
      <c r="J1816" s="85"/>
      <c r="L1816" s="86"/>
    </row>
    <row r="1817" spans="1:12" ht="16">
      <c r="A1817" s="33"/>
      <c r="B1817" s="30"/>
      <c r="C1817" s="22"/>
      <c r="D1817" s="23"/>
      <c r="E1817" s="23"/>
      <c r="F1817" s="23"/>
      <c r="G1817" s="31"/>
      <c r="H1817" s="32"/>
      <c r="I1817" s="31"/>
      <c r="J1817" s="85"/>
      <c r="L1817" s="86"/>
    </row>
    <row r="1818" spans="1:12" ht="16">
      <c r="A1818" s="33"/>
      <c r="B1818" s="30"/>
      <c r="C1818" s="22"/>
      <c r="D1818" s="23"/>
      <c r="E1818" s="23"/>
      <c r="F1818" s="23"/>
      <c r="G1818" s="31"/>
      <c r="H1818" s="32"/>
      <c r="I1818" s="31"/>
      <c r="J1818" s="85"/>
      <c r="L1818" s="86"/>
    </row>
    <row r="1819" spans="1:12" ht="16">
      <c r="A1819" s="33"/>
      <c r="B1819" s="30"/>
      <c r="C1819" s="22"/>
      <c r="D1819" s="23"/>
      <c r="E1819" s="23"/>
      <c r="F1819" s="23"/>
      <c r="G1819" s="31"/>
      <c r="H1819" s="32"/>
      <c r="I1819" s="31"/>
      <c r="J1819" s="85"/>
      <c r="L1819" s="86"/>
    </row>
    <row r="1820" spans="1:12" ht="16">
      <c r="A1820" s="33"/>
      <c r="B1820" s="30"/>
      <c r="C1820" s="22"/>
      <c r="D1820" s="23"/>
      <c r="E1820" s="23"/>
      <c r="F1820" s="23"/>
      <c r="G1820" s="31"/>
      <c r="H1820" s="32"/>
      <c r="I1820" s="31"/>
      <c r="J1820" s="85"/>
      <c r="L1820" s="86"/>
    </row>
    <row r="1821" spans="1:12" ht="16">
      <c r="A1821" s="33"/>
      <c r="B1821" s="30"/>
      <c r="C1821" s="22"/>
      <c r="D1821" s="23"/>
      <c r="E1821" s="23"/>
      <c r="F1821" s="23"/>
      <c r="G1821" s="31"/>
      <c r="H1821" s="32"/>
      <c r="I1821" s="31"/>
      <c r="J1821" s="85"/>
      <c r="L1821" s="86"/>
    </row>
    <row r="1822" spans="1:12" ht="16">
      <c r="A1822" s="33"/>
      <c r="B1822" s="30"/>
      <c r="C1822" s="22"/>
      <c r="D1822" s="23"/>
      <c r="E1822" s="23"/>
      <c r="F1822" s="23"/>
      <c r="G1822" s="31"/>
      <c r="H1822" s="32"/>
      <c r="I1822" s="31"/>
      <c r="J1822" s="85"/>
      <c r="L1822" s="86"/>
    </row>
    <row r="1823" spans="1:12" ht="16">
      <c r="A1823" s="33"/>
      <c r="B1823" s="30"/>
      <c r="C1823" s="22"/>
      <c r="D1823" s="23"/>
      <c r="E1823" s="23"/>
      <c r="F1823" s="23"/>
      <c r="G1823" s="31"/>
      <c r="H1823" s="32"/>
      <c r="I1823" s="31"/>
      <c r="J1823" s="85"/>
      <c r="L1823" s="86"/>
    </row>
    <row r="1824" spans="1:12" ht="16">
      <c r="A1824" s="33"/>
      <c r="B1824" s="30"/>
      <c r="C1824" s="22"/>
      <c r="D1824" s="23"/>
      <c r="E1824" s="23"/>
      <c r="F1824" s="23"/>
      <c r="G1824" s="31"/>
      <c r="H1824" s="32"/>
      <c r="I1824" s="31"/>
      <c r="J1824" s="85"/>
      <c r="L1824" s="86"/>
    </row>
    <row r="1825" spans="1:12" ht="16">
      <c r="A1825" s="33"/>
      <c r="B1825" s="30"/>
      <c r="C1825" s="22"/>
      <c r="D1825" s="23"/>
      <c r="E1825" s="23"/>
      <c r="F1825" s="23"/>
      <c r="G1825" s="31"/>
      <c r="H1825" s="32"/>
      <c r="I1825" s="31"/>
      <c r="J1825" s="85"/>
      <c r="L1825" s="86"/>
    </row>
    <row r="1826" spans="1:12" ht="16">
      <c r="A1826" s="33"/>
      <c r="B1826" s="30"/>
      <c r="C1826" s="22"/>
      <c r="D1826" s="23"/>
      <c r="E1826" s="23"/>
      <c r="F1826" s="23"/>
      <c r="G1826" s="31"/>
      <c r="H1826" s="32"/>
      <c r="I1826" s="31"/>
      <c r="J1826" s="85"/>
      <c r="L1826" s="86"/>
    </row>
    <row r="1827" spans="1:12" ht="16">
      <c r="A1827" s="33"/>
      <c r="B1827" s="30"/>
      <c r="C1827" s="22"/>
      <c r="D1827" s="23"/>
      <c r="E1827" s="23"/>
      <c r="F1827" s="23"/>
      <c r="G1827" s="31"/>
      <c r="H1827" s="32"/>
      <c r="I1827" s="31"/>
      <c r="J1827" s="85"/>
      <c r="L1827" s="86"/>
    </row>
    <row r="1828" spans="1:12" ht="16">
      <c r="A1828" s="33"/>
      <c r="B1828" s="30"/>
      <c r="C1828" s="22"/>
      <c r="D1828" s="23"/>
      <c r="E1828" s="23"/>
      <c r="F1828" s="23"/>
      <c r="G1828" s="31"/>
      <c r="H1828" s="32"/>
      <c r="I1828" s="31"/>
      <c r="J1828" s="85"/>
      <c r="L1828" s="86"/>
    </row>
    <row r="1829" spans="1:12" ht="16">
      <c r="A1829" s="33"/>
      <c r="B1829" s="30"/>
      <c r="C1829" s="22"/>
      <c r="D1829" s="23"/>
      <c r="E1829" s="23"/>
      <c r="F1829" s="23"/>
      <c r="G1829" s="31"/>
      <c r="H1829" s="32"/>
      <c r="I1829" s="31"/>
      <c r="J1829" s="85"/>
      <c r="L1829" s="86"/>
    </row>
    <row r="1830" spans="1:12" ht="16">
      <c r="A1830" s="33"/>
      <c r="B1830" s="30"/>
      <c r="C1830" s="22"/>
      <c r="D1830" s="23"/>
      <c r="E1830" s="23"/>
      <c r="F1830" s="23"/>
      <c r="G1830" s="31"/>
      <c r="H1830" s="32"/>
      <c r="I1830" s="31"/>
      <c r="J1830" s="85"/>
      <c r="L1830" s="86"/>
    </row>
    <row r="1831" spans="1:12" ht="16">
      <c r="A1831" s="33"/>
      <c r="B1831" s="30"/>
      <c r="C1831" s="22"/>
      <c r="D1831" s="23"/>
      <c r="E1831" s="23"/>
      <c r="F1831" s="23"/>
      <c r="G1831" s="31"/>
      <c r="H1831" s="32"/>
      <c r="I1831" s="31"/>
      <c r="J1831" s="85"/>
      <c r="L1831" s="86"/>
    </row>
  </sheetData>
  <mergeCells count="2342">
    <mergeCell ref="A1053:C1053"/>
    <mergeCell ref="A1054:C1054"/>
    <mergeCell ref="B1055:B1058"/>
    <mergeCell ref="B1059:B1066"/>
    <mergeCell ref="B1067:B1073"/>
    <mergeCell ref="B1267:B1275"/>
    <mergeCell ref="B1276:B1277"/>
    <mergeCell ref="A1278:C1278"/>
    <mergeCell ref="A1279:C1279"/>
    <mergeCell ref="B1074:B1080"/>
    <mergeCell ref="B1081:B1087"/>
    <mergeCell ref="B1088:B1092"/>
    <mergeCell ref="B1093:B1099"/>
    <mergeCell ref="B1100:B1110"/>
    <mergeCell ref="B1111:B1113"/>
    <mergeCell ref="B1114:B1120"/>
    <mergeCell ref="B907:B909"/>
    <mergeCell ref="B912:B925"/>
    <mergeCell ref="B926:B927"/>
    <mergeCell ref="B928:B938"/>
    <mergeCell ref="B939:B946"/>
    <mergeCell ref="B947:B958"/>
    <mergeCell ref="B959:B960"/>
    <mergeCell ref="B961:B969"/>
    <mergeCell ref="B970:B978"/>
    <mergeCell ref="B979:B989"/>
    <mergeCell ref="B990:B998"/>
    <mergeCell ref="B999:B1007"/>
    <mergeCell ref="B1008:B1014"/>
    <mergeCell ref="B1015:B1020"/>
    <mergeCell ref="B1021:B1034"/>
    <mergeCell ref="B1035:B1043"/>
    <mergeCell ref="B1044:B1052"/>
    <mergeCell ref="B900:B901"/>
    <mergeCell ref="B902:B903"/>
    <mergeCell ref="B904:B906"/>
    <mergeCell ref="A910:C910"/>
    <mergeCell ref="A911:C911"/>
    <mergeCell ref="B1162:B1166"/>
    <mergeCell ref="B1167:B1169"/>
    <mergeCell ref="B1121:B1123"/>
    <mergeCell ref="B1124:B1127"/>
    <mergeCell ref="B1128:B1129"/>
    <mergeCell ref="B1130:B1132"/>
    <mergeCell ref="B1133:B1153"/>
    <mergeCell ref="B1154:B1157"/>
    <mergeCell ref="B1158:B1161"/>
    <mergeCell ref="B1202:B1209"/>
    <mergeCell ref="B1210:B1216"/>
    <mergeCell ref="B1170:B1176"/>
    <mergeCell ref="B1177:B1184"/>
    <mergeCell ref="B1185:B1187"/>
    <mergeCell ref="B1188:B1196"/>
    <mergeCell ref="A1197:C1197"/>
    <mergeCell ref="A1198:C1198"/>
    <mergeCell ref="A1200:C1200"/>
    <mergeCell ref="A822:A909"/>
    <mergeCell ref="A912:A1052"/>
    <mergeCell ref="A1055:A1196"/>
    <mergeCell ref="A1202:A1277"/>
    <mergeCell ref="B822:B827"/>
    <mergeCell ref="B828:B836"/>
    <mergeCell ref="B837:B851"/>
    <mergeCell ref="B852:B858"/>
    <mergeCell ref="B859:B863"/>
    <mergeCell ref="B773:B779"/>
    <mergeCell ref="B780:B784"/>
    <mergeCell ref="B785:B796"/>
    <mergeCell ref="B797:B804"/>
    <mergeCell ref="B805:B812"/>
    <mergeCell ref="B813:B816"/>
    <mergeCell ref="A817:C817"/>
    <mergeCell ref="A818:C818"/>
    <mergeCell ref="A820:C820"/>
    <mergeCell ref="B527:B529"/>
    <mergeCell ref="B530:B535"/>
    <mergeCell ref="A618:A816"/>
    <mergeCell ref="B618:B626"/>
    <mergeCell ref="B627:B641"/>
    <mergeCell ref="B642:B645"/>
    <mergeCell ref="B646:B650"/>
    <mergeCell ref="B898:B899"/>
    <mergeCell ref="B866:B868"/>
    <mergeCell ref="B869:B897"/>
    <mergeCell ref="B864:B865"/>
    <mergeCell ref="B664:B666"/>
    <mergeCell ref="B667:B669"/>
    <mergeCell ref="B651:B655"/>
    <mergeCell ref="B656:B663"/>
    <mergeCell ref="B670:B672"/>
    <mergeCell ref="B673:B682"/>
    <mergeCell ref="B683:B691"/>
    <mergeCell ref="B692:B694"/>
    <mergeCell ref="B695:B697"/>
    <mergeCell ref="B698:B701"/>
    <mergeCell ref="B702:B707"/>
    <mergeCell ref="B708:B717"/>
    <mergeCell ref="B718:B720"/>
    <mergeCell ref="B721:B724"/>
    <mergeCell ref="B750:B765"/>
    <mergeCell ref="B766:B772"/>
    <mergeCell ref="B725:B727"/>
    <mergeCell ref="B728:B749"/>
    <mergeCell ref="A347:C347"/>
    <mergeCell ref="A348:C348"/>
    <mergeCell ref="A350:C350"/>
    <mergeCell ref="A352:A493"/>
    <mergeCell ref="B352:B353"/>
    <mergeCell ref="B354:B361"/>
    <mergeCell ref="B362:B363"/>
    <mergeCell ref="B388:B393"/>
    <mergeCell ref="B394:B408"/>
    <mergeCell ref="B409:B414"/>
    <mergeCell ref="B415:B416"/>
    <mergeCell ref="B417:B418"/>
    <mergeCell ref="B419:B422"/>
    <mergeCell ref="B444:B445"/>
    <mergeCell ref="B446:B451"/>
    <mergeCell ref="B452:B456"/>
    <mergeCell ref="B457:B463"/>
    <mergeCell ref="B464:B466"/>
    <mergeCell ref="B467:B469"/>
    <mergeCell ref="B1462:B1472"/>
    <mergeCell ref="B1473:B1479"/>
    <mergeCell ref="A1487:C1487"/>
    <mergeCell ref="A1488:C1488"/>
    <mergeCell ref="A1490:C1490"/>
    <mergeCell ref="A1427:A1486"/>
    <mergeCell ref="B1427:B1429"/>
    <mergeCell ref="B1430:B1431"/>
    <mergeCell ref="B1432:B1435"/>
    <mergeCell ref="B1436:B1449"/>
    <mergeCell ref="B1450:B1457"/>
    <mergeCell ref="B1458:B1461"/>
    <mergeCell ref="B1480:B1486"/>
    <mergeCell ref="B1217:B1231"/>
    <mergeCell ref="B1232:B1238"/>
    <mergeCell ref="B1239:B1244"/>
    <mergeCell ref="B1245:B1246"/>
    <mergeCell ref="B1247:B1248"/>
    <mergeCell ref="B1249:B1250"/>
    <mergeCell ref="B1251:B1257"/>
    <mergeCell ref="B1327:B1329"/>
    <mergeCell ref="B1330:B1336"/>
    <mergeCell ref="B1354:B1357"/>
    <mergeCell ref="B1358:B1359"/>
    <mergeCell ref="B1360:B1361"/>
    <mergeCell ref="B1362:B1363"/>
    <mergeCell ref="B1364:B1368"/>
    <mergeCell ref="B1369:B1375"/>
    <mergeCell ref="B1376:B1383"/>
    <mergeCell ref="B1384:B1386"/>
    <mergeCell ref="B1387:B1388"/>
    <mergeCell ref="B1389:B1393"/>
    <mergeCell ref="B1337:B1345"/>
    <mergeCell ref="B1346:B1353"/>
    <mergeCell ref="B1394:B1398"/>
    <mergeCell ref="B1399:B1404"/>
    <mergeCell ref="B1405:B1406"/>
    <mergeCell ref="B1407:B1414"/>
    <mergeCell ref="B1415:B1416"/>
    <mergeCell ref="B1417:B1424"/>
    <mergeCell ref="A1425:C1425"/>
    <mergeCell ref="A1426:C1426"/>
    <mergeCell ref="B1258:B1262"/>
    <mergeCell ref="B1263:B1266"/>
    <mergeCell ref="A1280:A1424"/>
    <mergeCell ref="B1280:B1286"/>
    <mergeCell ref="B1287:B1303"/>
    <mergeCell ref="B1304:B1319"/>
    <mergeCell ref="B1320:B1326"/>
    <mergeCell ref="G1162:G1166"/>
    <mergeCell ref="H1162:H1166"/>
    <mergeCell ref="I1162:I1166"/>
    <mergeCell ref="J1162:J1166"/>
    <mergeCell ref="G1167:G1169"/>
    <mergeCell ref="H1167:H1169"/>
    <mergeCell ref="I1167:I1169"/>
    <mergeCell ref="J1167:J1169"/>
    <mergeCell ref="G1170:G1176"/>
    <mergeCell ref="H1170:H1176"/>
    <mergeCell ref="I1100:I1110"/>
    <mergeCell ref="J1100:J1110"/>
    <mergeCell ref="I1128:I1129"/>
    <mergeCell ref="J1128:J1129"/>
    <mergeCell ref="G1130:G1132"/>
    <mergeCell ref="H1130:H1132"/>
    <mergeCell ref="I1130:I1132"/>
    <mergeCell ref="J1130:J1132"/>
    <mergeCell ref="G1133:G1153"/>
    <mergeCell ref="H1133:H1153"/>
    <mergeCell ref="G1154:G1157"/>
    <mergeCell ref="H1154:H1157"/>
    <mergeCell ref="I1154:I1157"/>
    <mergeCell ref="J1154:J1157"/>
    <mergeCell ref="G1114:G1120"/>
    <mergeCell ref="H1114:H1120"/>
    <mergeCell ref="I1114:I1120"/>
    <mergeCell ref="J1114:J1120"/>
    <mergeCell ref="G1121:G1123"/>
    <mergeCell ref="H1121:H1123"/>
    <mergeCell ref="I1121:I1123"/>
    <mergeCell ref="J1121:J1123"/>
    <mergeCell ref="G1124:G1127"/>
    <mergeCell ref="H1124:H1127"/>
    <mergeCell ref="I1124:I1127"/>
    <mergeCell ref="J1124:J1127"/>
    <mergeCell ref="G1128:G1129"/>
    <mergeCell ref="H1128:H1129"/>
    <mergeCell ref="G1158:G1161"/>
    <mergeCell ref="H1158:H1161"/>
    <mergeCell ref="I1158:I1161"/>
    <mergeCell ref="J1158:J1161"/>
    <mergeCell ref="G1081:G1087"/>
    <mergeCell ref="H1081:H1087"/>
    <mergeCell ref="I1081:I1087"/>
    <mergeCell ref="J1081:J1087"/>
    <mergeCell ref="G1088:G1092"/>
    <mergeCell ref="H1088:H1092"/>
    <mergeCell ref="I1059:I1066"/>
    <mergeCell ref="J1059:J1066"/>
    <mergeCell ref="I1088:I1092"/>
    <mergeCell ref="J1088:J1092"/>
    <mergeCell ref="G1093:G1099"/>
    <mergeCell ref="H1093:H1099"/>
    <mergeCell ref="I1093:I1099"/>
    <mergeCell ref="J1093:J1099"/>
    <mergeCell ref="G1100:G1110"/>
    <mergeCell ref="H1100:H1110"/>
    <mergeCell ref="G1111:G1113"/>
    <mergeCell ref="H1111:H1113"/>
    <mergeCell ref="I1111:I1113"/>
    <mergeCell ref="J1111:J1113"/>
    <mergeCell ref="G902:G903"/>
    <mergeCell ref="H902:H903"/>
    <mergeCell ref="I902:I903"/>
    <mergeCell ref="J902:J903"/>
    <mergeCell ref="G904:G906"/>
    <mergeCell ref="H904:H906"/>
    <mergeCell ref="H926:H927"/>
    <mergeCell ref="I926:I927"/>
    <mergeCell ref="J926:J927"/>
    <mergeCell ref="G1059:G1066"/>
    <mergeCell ref="H1059:H1066"/>
    <mergeCell ref="G1067:G1073"/>
    <mergeCell ref="H1067:H1073"/>
    <mergeCell ref="I1067:I1073"/>
    <mergeCell ref="J1067:J1073"/>
    <mergeCell ref="G1074:G1080"/>
    <mergeCell ref="H1074:H1080"/>
    <mergeCell ref="I1074:I1080"/>
    <mergeCell ref="J1074:J1080"/>
    <mergeCell ref="I907:I909"/>
    <mergeCell ref="J907:J909"/>
    <mergeCell ref="H912:H925"/>
    <mergeCell ref="I912:I925"/>
    <mergeCell ref="J912:J925"/>
    <mergeCell ref="G912:G925"/>
    <mergeCell ref="G926:G927"/>
    <mergeCell ref="G928:G938"/>
    <mergeCell ref="H928:H938"/>
    <mergeCell ref="I928:I938"/>
    <mergeCell ref="J928:J938"/>
    <mergeCell ref="G939:G946"/>
    <mergeCell ref="J939:J946"/>
    <mergeCell ref="I869:I897"/>
    <mergeCell ref="J869:J897"/>
    <mergeCell ref="G864:G865"/>
    <mergeCell ref="G866:G868"/>
    <mergeCell ref="H866:H868"/>
    <mergeCell ref="I866:I868"/>
    <mergeCell ref="J866:J868"/>
    <mergeCell ref="G869:G897"/>
    <mergeCell ref="H869:H897"/>
    <mergeCell ref="G898:G899"/>
    <mergeCell ref="H898:H899"/>
    <mergeCell ref="I898:I899"/>
    <mergeCell ref="J898:J899"/>
    <mergeCell ref="H900:H901"/>
    <mergeCell ref="I900:I901"/>
    <mergeCell ref="J900:J901"/>
    <mergeCell ref="I904:I906"/>
    <mergeCell ref="J904:J906"/>
    <mergeCell ref="G900:G901"/>
    <mergeCell ref="G1430:G1431"/>
    <mergeCell ref="H1430:H1431"/>
    <mergeCell ref="I1430:I1431"/>
    <mergeCell ref="J1430:J1431"/>
    <mergeCell ref="H1432:H1435"/>
    <mergeCell ref="I1432:I1435"/>
    <mergeCell ref="J1432:J1435"/>
    <mergeCell ref="G1458:G1461"/>
    <mergeCell ref="H1458:H1461"/>
    <mergeCell ref="I1458:I1461"/>
    <mergeCell ref="J1458:J1461"/>
    <mergeCell ref="R1458:R1461"/>
    <mergeCell ref="S1458:S1461"/>
    <mergeCell ref="T1458:T1461"/>
    <mergeCell ref="U1458:U1461"/>
    <mergeCell ref="G1462:G1472"/>
    <mergeCell ref="H1462:H1472"/>
    <mergeCell ref="I1462:I1472"/>
    <mergeCell ref="J1462:J1472"/>
    <mergeCell ref="R1462:R1472"/>
    <mergeCell ref="S1462:S1472"/>
    <mergeCell ref="T1462:T1472"/>
    <mergeCell ref="U1462:U1472"/>
    <mergeCell ref="R1399:R1404"/>
    <mergeCell ref="S1399:S1404"/>
    <mergeCell ref="T1399:T1404"/>
    <mergeCell ref="U1399:U1404"/>
    <mergeCell ref="R1405:R1406"/>
    <mergeCell ref="U1405:U1406"/>
    <mergeCell ref="S1405:S1406"/>
    <mergeCell ref="T1405:T1406"/>
    <mergeCell ref="R1407:R1414"/>
    <mergeCell ref="S1407:S1414"/>
    <mergeCell ref="T1407:T1414"/>
    <mergeCell ref="U1407:U1414"/>
    <mergeCell ref="U1415:U1416"/>
    <mergeCell ref="R1415:R1416"/>
    <mergeCell ref="G1427:G1429"/>
    <mergeCell ref="H1427:H1429"/>
    <mergeCell ref="I1427:I1429"/>
    <mergeCell ref="J1427:J1429"/>
    <mergeCell ref="R1427:R1429"/>
    <mergeCell ref="S1427:S1429"/>
    <mergeCell ref="T1427:T1429"/>
    <mergeCell ref="U1427:U1429"/>
    <mergeCell ref="I1450:I1457"/>
    <mergeCell ref="J1450:J1457"/>
    <mergeCell ref="G1473:G1479"/>
    <mergeCell ref="H1473:H1479"/>
    <mergeCell ref="I1473:I1479"/>
    <mergeCell ref="J1473:J1479"/>
    <mergeCell ref="G1480:G1486"/>
    <mergeCell ref="H1480:H1486"/>
    <mergeCell ref="I1480:I1486"/>
    <mergeCell ref="J1480:J1486"/>
    <mergeCell ref="G1432:G1435"/>
    <mergeCell ref="G1436:G1449"/>
    <mergeCell ref="H1436:H1449"/>
    <mergeCell ref="I1436:I1449"/>
    <mergeCell ref="J1436:J1449"/>
    <mergeCell ref="G1450:G1457"/>
    <mergeCell ref="H1450:H1457"/>
    <mergeCell ref="S1415:S1416"/>
    <mergeCell ref="T1415:T1416"/>
    <mergeCell ref="R1417:R1424"/>
    <mergeCell ref="S1417:S1424"/>
    <mergeCell ref="T1417:T1424"/>
    <mergeCell ref="U1417:U1424"/>
    <mergeCell ref="S1432:S1435"/>
    <mergeCell ref="T1432:T1435"/>
    <mergeCell ref="R1436:R1449"/>
    <mergeCell ref="S1436:S1449"/>
    <mergeCell ref="T1436:T1449"/>
    <mergeCell ref="U1436:U1449"/>
    <mergeCell ref="R1450:R1457"/>
    <mergeCell ref="U1450:U1457"/>
    <mergeCell ref="S1480:S1486"/>
    <mergeCell ref="T1480:T1486"/>
    <mergeCell ref="S1450:S1457"/>
    <mergeCell ref="T1450:T1457"/>
    <mergeCell ref="R1473:R1479"/>
    <mergeCell ref="S1473:S1479"/>
    <mergeCell ref="T1473:T1479"/>
    <mergeCell ref="U1473:U1479"/>
    <mergeCell ref="R1480:R1486"/>
    <mergeCell ref="U1480:U1486"/>
    <mergeCell ref="R1430:R1431"/>
    <mergeCell ref="S1430:S1431"/>
    <mergeCell ref="T1430:T1431"/>
    <mergeCell ref="U1430:U1431"/>
    <mergeCell ref="R1432:R1435"/>
    <mergeCell ref="U1432:U1435"/>
    <mergeCell ref="S1387:S1388"/>
    <mergeCell ref="T1387:T1388"/>
    <mergeCell ref="U1387:U1388"/>
    <mergeCell ref="S1369:S1375"/>
    <mergeCell ref="T1369:T1375"/>
    <mergeCell ref="R1376:R1383"/>
    <mergeCell ref="S1376:S1383"/>
    <mergeCell ref="T1376:T1383"/>
    <mergeCell ref="U1376:U1383"/>
    <mergeCell ref="U1384:U1386"/>
    <mergeCell ref="R1384:R1386"/>
    <mergeCell ref="R1387:R1388"/>
    <mergeCell ref="R1389:R1393"/>
    <mergeCell ref="S1389:S1393"/>
    <mergeCell ref="T1389:T1393"/>
    <mergeCell ref="U1389:U1393"/>
    <mergeCell ref="R1394:R1398"/>
    <mergeCell ref="U1394:U1398"/>
    <mergeCell ref="S1394:S1398"/>
    <mergeCell ref="T1394:T1398"/>
    <mergeCell ref="U1358:U1359"/>
    <mergeCell ref="R1360:R1361"/>
    <mergeCell ref="S1360:S1361"/>
    <mergeCell ref="T1360:T1361"/>
    <mergeCell ref="U1360:U1361"/>
    <mergeCell ref="R1362:R1363"/>
    <mergeCell ref="U1362:U1363"/>
    <mergeCell ref="S1362:S1363"/>
    <mergeCell ref="T1362:T1363"/>
    <mergeCell ref="R1364:R1368"/>
    <mergeCell ref="S1364:S1368"/>
    <mergeCell ref="T1364:T1368"/>
    <mergeCell ref="U1364:U1368"/>
    <mergeCell ref="R1369:R1375"/>
    <mergeCell ref="U1369:U1375"/>
    <mergeCell ref="S1384:S1386"/>
    <mergeCell ref="T1384:T1386"/>
    <mergeCell ref="R1330:R1336"/>
    <mergeCell ref="R1337:R1345"/>
    <mergeCell ref="R1346:R1353"/>
    <mergeCell ref="R1354:R1357"/>
    <mergeCell ref="R1358:R1359"/>
    <mergeCell ref="U1304:U1319"/>
    <mergeCell ref="U1320:U1326"/>
    <mergeCell ref="U1327:U1329"/>
    <mergeCell ref="U1330:U1336"/>
    <mergeCell ref="U1337:U1345"/>
    <mergeCell ref="R1267:R1275"/>
    <mergeCell ref="R1276:R1277"/>
    <mergeCell ref="R1280:R1286"/>
    <mergeCell ref="S1280:S1286"/>
    <mergeCell ref="R1287:R1303"/>
    <mergeCell ref="S1287:S1303"/>
    <mergeCell ref="S1304:S1319"/>
    <mergeCell ref="S1320:S1326"/>
    <mergeCell ref="S1327:S1329"/>
    <mergeCell ref="T1327:T1329"/>
    <mergeCell ref="S1330:S1336"/>
    <mergeCell ref="T1330:T1336"/>
    <mergeCell ref="S1337:S1345"/>
    <mergeCell ref="T1337:T1345"/>
    <mergeCell ref="S1346:S1353"/>
    <mergeCell ref="T1346:T1353"/>
    <mergeCell ref="U1346:U1353"/>
    <mergeCell ref="S1354:S1357"/>
    <mergeCell ref="T1354:T1357"/>
    <mergeCell ref="U1354:U1357"/>
    <mergeCell ref="S1358:S1359"/>
    <mergeCell ref="T1358:T1359"/>
    <mergeCell ref="G1202:G1209"/>
    <mergeCell ref="H1202:H1209"/>
    <mergeCell ref="I1202:I1209"/>
    <mergeCell ref="J1202:J1209"/>
    <mergeCell ref="M1202:M1209"/>
    <mergeCell ref="M1210:M1216"/>
    <mergeCell ref="M1217:M1231"/>
    <mergeCell ref="M1232:M1238"/>
    <mergeCell ref="M1239:M1244"/>
    <mergeCell ref="M1245:M1246"/>
    <mergeCell ref="M1247:M1248"/>
    <mergeCell ref="M1249:M1250"/>
    <mergeCell ref="M1251:M1257"/>
    <mergeCell ref="M1258:M1262"/>
    <mergeCell ref="M1263:M1266"/>
    <mergeCell ref="M1267:M1275"/>
    <mergeCell ref="S1267:S1275"/>
    <mergeCell ref="M1415:M1416"/>
    <mergeCell ref="L1425:N1425"/>
    <mergeCell ref="L1426:N1426"/>
    <mergeCell ref="M1458:M1461"/>
    <mergeCell ref="M1462:M1472"/>
    <mergeCell ref="M1473:M1479"/>
    <mergeCell ref="M1480:M1486"/>
    <mergeCell ref="L1487:N1487"/>
    <mergeCell ref="L1488:N1488"/>
    <mergeCell ref="L1490:N1490"/>
    <mergeCell ref="M1417:M1424"/>
    <mergeCell ref="L1427:L1486"/>
    <mergeCell ref="M1427:M1429"/>
    <mergeCell ref="M1430:M1431"/>
    <mergeCell ref="M1432:M1435"/>
    <mergeCell ref="M1436:M1449"/>
    <mergeCell ref="M1450:M1457"/>
    <mergeCell ref="M1330:M1336"/>
    <mergeCell ref="M1337:M1345"/>
    <mergeCell ref="M1346:M1353"/>
    <mergeCell ref="M1354:M1357"/>
    <mergeCell ref="M1358:M1359"/>
    <mergeCell ref="M1360:M1361"/>
    <mergeCell ref="M1362:M1363"/>
    <mergeCell ref="M1364:M1368"/>
    <mergeCell ref="M1369:M1375"/>
    <mergeCell ref="M1376:M1383"/>
    <mergeCell ref="M1384:M1386"/>
    <mergeCell ref="M1387:M1388"/>
    <mergeCell ref="M1389:M1393"/>
    <mergeCell ref="M1394:M1398"/>
    <mergeCell ref="M1399:M1404"/>
    <mergeCell ref="M1405:M1406"/>
    <mergeCell ref="M1407:M1414"/>
    <mergeCell ref="T1304:T1319"/>
    <mergeCell ref="T1320:T1326"/>
    <mergeCell ref="T1267:T1275"/>
    <mergeCell ref="U1267:U1275"/>
    <mergeCell ref="T1276:T1277"/>
    <mergeCell ref="U1276:U1277"/>
    <mergeCell ref="T1280:T1286"/>
    <mergeCell ref="U1280:U1286"/>
    <mergeCell ref="U1287:U1303"/>
    <mergeCell ref="M1276:M1277"/>
    <mergeCell ref="L1278:N1278"/>
    <mergeCell ref="L1279:N1279"/>
    <mergeCell ref="M1280:M1286"/>
    <mergeCell ref="M1287:M1303"/>
    <mergeCell ref="M1304:M1319"/>
    <mergeCell ref="M1320:M1326"/>
    <mergeCell ref="M1327:M1329"/>
    <mergeCell ref="S1276:S1277"/>
    <mergeCell ref="R1304:R1319"/>
    <mergeCell ref="R1320:R1326"/>
    <mergeCell ref="R1327:R1329"/>
    <mergeCell ref="U368:U374"/>
    <mergeCell ref="T382:T383"/>
    <mergeCell ref="U382:U383"/>
    <mergeCell ref="R368:R374"/>
    <mergeCell ref="R375:R381"/>
    <mergeCell ref="S375:S381"/>
    <mergeCell ref="T375:T381"/>
    <mergeCell ref="U375:U381"/>
    <mergeCell ref="R382:R383"/>
    <mergeCell ref="S382:S383"/>
    <mergeCell ref="R386:R387"/>
    <mergeCell ref="R388:R393"/>
    <mergeCell ref="S388:S393"/>
    <mergeCell ref="T388:T393"/>
    <mergeCell ref="U388:U393"/>
    <mergeCell ref="R384:R385"/>
    <mergeCell ref="S384:S385"/>
    <mergeCell ref="T384:T385"/>
    <mergeCell ref="U384:U385"/>
    <mergeCell ref="S386:S387"/>
    <mergeCell ref="T386:T387"/>
    <mergeCell ref="U386:U387"/>
    <mergeCell ref="U334:U344"/>
    <mergeCell ref="J352:J353"/>
    <mergeCell ref="M352:M353"/>
    <mergeCell ref="R352:R353"/>
    <mergeCell ref="S352:S353"/>
    <mergeCell ref="T352:T353"/>
    <mergeCell ref="U352:U353"/>
    <mergeCell ref="R324:R327"/>
    <mergeCell ref="R328:R333"/>
    <mergeCell ref="S328:S333"/>
    <mergeCell ref="T328:T333"/>
    <mergeCell ref="U328:U333"/>
    <mergeCell ref="R334:R344"/>
    <mergeCell ref="S334:S344"/>
    <mergeCell ref="R364:R367"/>
    <mergeCell ref="S364:S367"/>
    <mergeCell ref="T364:T367"/>
    <mergeCell ref="U364:U367"/>
    <mergeCell ref="I137:I153"/>
    <mergeCell ref="G121:G127"/>
    <mergeCell ref="H121:H127"/>
    <mergeCell ref="I121:I127"/>
    <mergeCell ref="G128:G136"/>
    <mergeCell ref="H128:H136"/>
    <mergeCell ref="I128:I136"/>
    <mergeCell ref="G137:G153"/>
    <mergeCell ref="B154:B155"/>
    <mergeCell ref="B156:B164"/>
    <mergeCell ref="A222:C222"/>
    <mergeCell ref="A223:C223"/>
    <mergeCell ref="A12:A108"/>
    <mergeCell ref="B97:B108"/>
    <mergeCell ref="A109:C109"/>
    <mergeCell ref="A110:C110"/>
    <mergeCell ref="A111:A221"/>
    <mergeCell ref="B111:B113"/>
    <mergeCell ref="B114:B116"/>
    <mergeCell ref="A2:J2"/>
    <mergeCell ref="L2:U2"/>
    <mergeCell ref="A5:A10"/>
    <mergeCell ref="G5:G10"/>
    <mergeCell ref="H5:H10"/>
    <mergeCell ref="I5:I10"/>
    <mergeCell ref="J5:J10"/>
    <mergeCell ref="U5:U10"/>
    <mergeCell ref="G12:G13"/>
    <mergeCell ref="G14:G15"/>
    <mergeCell ref="H14:H15"/>
    <mergeCell ref="I14:I15"/>
    <mergeCell ref="H40:H42"/>
    <mergeCell ref="I40:I42"/>
    <mergeCell ref="J40:J42"/>
    <mergeCell ref="J55:J57"/>
    <mergeCell ref="I73:I76"/>
    <mergeCell ref="J73:J76"/>
    <mergeCell ref="M52:M54"/>
    <mergeCell ref="M55:M57"/>
    <mergeCell ref="B58:B60"/>
    <mergeCell ref="G58:G60"/>
    <mergeCell ref="H58:H60"/>
    <mergeCell ref="I58:I60"/>
    <mergeCell ref="J58:J60"/>
    <mergeCell ref="T64:T65"/>
    <mergeCell ref="U64:U65"/>
    <mergeCell ref="S66:S72"/>
    <mergeCell ref="T66:T72"/>
    <mergeCell ref="U66:U72"/>
    <mergeCell ref="M73:M76"/>
    <mergeCell ref="R73:R76"/>
    <mergeCell ref="M364:M367"/>
    <mergeCell ref="M368:M374"/>
    <mergeCell ref="M375:M381"/>
    <mergeCell ref="M382:M383"/>
    <mergeCell ref="M384:M385"/>
    <mergeCell ref="M386:M387"/>
    <mergeCell ref="M388:M393"/>
    <mergeCell ref="M328:M333"/>
    <mergeCell ref="M334:M344"/>
    <mergeCell ref="M345:M346"/>
    <mergeCell ref="L347:N347"/>
    <mergeCell ref="L348:N348"/>
    <mergeCell ref="L350:N350"/>
    <mergeCell ref="M354:M361"/>
    <mergeCell ref="S5:S10"/>
    <mergeCell ref="T5:T10"/>
    <mergeCell ref="S12:S13"/>
    <mergeCell ref="T12:T13"/>
    <mergeCell ref="S14:S15"/>
    <mergeCell ref="T14:T15"/>
    <mergeCell ref="R111:R113"/>
    <mergeCell ref="S111:S113"/>
    <mergeCell ref="T111:T113"/>
    <mergeCell ref="R114:R116"/>
    <mergeCell ref="S114:S116"/>
    <mergeCell ref="T114:T116"/>
    <mergeCell ref="T334:T344"/>
    <mergeCell ref="S368:S374"/>
    <mergeCell ref="T368:T374"/>
    <mergeCell ref="M224:M231"/>
    <mergeCell ref="M232:M242"/>
    <mergeCell ref="M243:M246"/>
    <mergeCell ref="M247:M260"/>
    <mergeCell ref="M261:M266"/>
    <mergeCell ref="M267:M270"/>
    <mergeCell ref="M271:M273"/>
    <mergeCell ref="M274:M276"/>
    <mergeCell ref="M277:M287"/>
    <mergeCell ref="M288:M290"/>
    <mergeCell ref="M291:M297"/>
    <mergeCell ref="M298:M304"/>
    <mergeCell ref="M305:M315"/>
    <mergeCell ref="M316:M319"/>
    <mergeCell ref="M320:M323"/>
    <mergeCell ref="M324:M327"/>
    <mergeCell ref="M362:M363"/>
    <mergeCell ref="L5:L10"/>
    <mergeCell ref="L12:L108"/>
    <mergeCell ref="M80:M96"/>
    <mergeCell ref="M97:M108"/>
    <mergeCell ref="L109:N109"/>
    <mergeCell ref="L110:N110"/>
    <mergeCell ref="M111:M113"/>
    <mergeCell ref="M114:M116"/>
    <mergeCell ref="M117:M120"/>
    <mergeCell ref="M121:M127"/>
    <mergeCell ref="M128:M136"/>
    <mergeCell ref="M137:M153"/>
    <mergeCell ref="M154:M155"/>
    <mergeCell ref="M156:M164"/>
    <mergeCell ref="M165:M168"/>
    <mergeCell ref="M169:M178"/>
    <mergeCell ref="M179:M181"/>
    <mergeCell ref="B271:B273"/>
    <mergeCell ref="G271:G273"/>
    <mergeCell ref="H271:H273"/>
    <mergeCell ref="I271:I273"/>
    <mergeCell ref="B274:B276"/>
    <mergeCell ref="G274:G276"/>
    <mergeCell ref="H274:H276"/>
    <mergeCell ref="I274:I276"/>
    <mergeCell ref="B277:B287"/>
    <mergeCell ref="G277:G287"/>
    <mergeCell ref="H277:H287"/>
    <mergeCell ref="I277:I287"/>
    <mergeCell ref="S73:S76"/>
    <mergeCell ref="R77:R79"/>
    <mergeCell ref="S77:S79"/>
    <mergeCell ref="T73:T76"/>
    <mergeCell ref="B77:B79"/>
    <mergeCell ref="G77:G79"/>
    <mergeCell ref="H77:H79"/>
    <mergeCell ref="I77:I79"/>
    <mergeCell ref="J77:J79"/>
    <mergeCell ref="M77:M79"/>
    <mergeCell ref="T77:T79"/>
    <mergeCell ref="M182:M185"/>
    <mergeCell ref="M186:M191"/>
    <mergeCell ref="M192:M194"/>
    <mergeCell ref="M195:M197"/>
    <mergeCell ref="M198:M202"/>
    <mergeCell ref="M203:M211"/>
    <mergeCell ref="M212:M221"/>
    <mergeCell ref="L222:N222"/>
    <mergeCell ref="L223:N223"/>
    <mergeCell ref="G224:G231"/>
    <mergeCell ref="G232:G242"/>
    <mergeCell ref="H232:H242"/>
    <mergeCell ref="I232:I242"/>
    <mergeCell ref="B243:B246"/>
    <mergeCell ref="G243:G246"/>
    <mergeCell ref="H243:H246"/>
    <mergeCell ref="I243:I246"/>
    <mergeCell ref="B247:B260"/>
    <mergeCell ref="B261:B266"/>
    <mergeCell ref="G261:G266"/>
    <mergeCell ref="H261:H266"/>
    <mergeCell ref="B232:B242"/>
    <mergeCell ref="B267:B270"/>
    <mergeCell ref="G267:G270"/>
    <mergeCell ref="H267:H270"/>
    <mergeCell ref="B224:B231"/>
    <mergeCell ref="B186:B191"/>
    <mergeCell ref="B192:B194"/>
    <mergeCell ref="B212:B221"/>
    <mergeCell ref="H212:H221"/>
    <mergeCell ref="I212:I221"/>
    <mergeCell ref="B195:B197"/>
    <mergeCell ref="B198:B202"/>
    <mergeCell ref="B203:B211"/>
    <mergeCell ref="G203:G211"/>
    <mergeCell ref="H203:H211"/>
    <mergeCell ref="I203:I211"/>
    <mergeCell ref="G212:G221"/>
    <mergeCell ref="G192:G194"/>
    <mergeCell ref="H192:H194"/>
    <mergeCell ref="I192:I194"/>
    <mergeCell ref="G195:G197"/>
    <mergeCell ref="H195:H197"/>
    <mergeCell ref="I195:I197"/>
    <mergeCell ref="G198:G202"/>
    <mergeCell ref="B80:B96"/>
    <mergeCell ref="G80:G96"/>
    <mergeCell ref="I12:I13"/>
    <mergeCell ref="J12:J13"/>
    <mergeCell ref="J14:J15"/>
    <mergeCell ref="J26:J36"/>
    <mergeCell ref="J43:J51"/>
    <mergeCell ref="J66:J72"/>
    <mergeCell ref="J80:J96"/>
    <mergeCell ref="J156:J164"/>
    <mergeCell ref="J165:J168"/>
    <mergeCell ref="J169:J178"/>
    <mergeCell ref="J179:J181"/>
    <mergeCell ref="B117:B120"/>
    <mergeCell ref="B121:B127"/>
    <mergeCell ref="B169:B178"/>
    <mergeCell ref="B179:B181"/>
    <mergeCell ref="H80:H96"/>
    <mergeCell ref="I80:I96"/>
    <mergeCell ref="G97:G108"/>
    <mergeCell ref="H97:H108"/>
    <mergeCell ref="I97:I108"/>
    <mergeCell ref="H111:H113"/>
    <mergeCell ref="I111:I113"/>
    <mergeCell ref="G111:G113"/>
    <mergeCell ref="G114:G116"/>
    <mergeCell ref="H114:H116"/>
    <mergeCell ref="I114:I116"/>
    <mergeCell ref="G117:G120"/>
    <mergeCell ref="H117:H120"/>
    <mergeCell ref="I117:I120"/>
    <mergeCell ref="H137:H153"/>
    <mergeCell ref="L224:L346"/>
    <mergeCell ref="J97:J108"/>
    <mergeCell ref="J111:J113"/>
    <mergeCell ref="J114:J116"/>
    <mergeCell ref="J117:J120"/>
    <mergeCell ref="J121:J127"/>
    <mergeCell ref="J128:J136"/>
    <mergeCell ref="J212:J221"/>
    <mergeCell ref="J198:J202"/>
    <mergeCell ref="J203:J211"/>
    <mergeCell ref="J224:J231"/>
    <mergeCell ref="J232:J242"/>
    <mergeCell ref="J243:J246"/>
    <mergeCell ref="J247:J260"/>
    <mergeCell ref="J261:J266"/>
    <mergeCell ref="J305:J315"/>
    <mergeCell ref="J316:J319"/>
    <mergeCell ref="J320:J323"/>
    <mergeCell ref="J324:J327"/>
    <mergeCell ref="J328:J333"/>
    <mergeCell ref="J334:J344"/>
    <mergeCell ref="J345:J346"/>
    <mergeCell ref="J267:J270"/>
    <mergeCell ref="J271:J273"/>
    <mergeCell ref="J274:J276"/>
    <mergeCell ref="J277:J287"/>
    <mergeCell ref="J288:J290"/>
    <mergeCell ref="J291:J297"/>
    <mergeCell ref="J298:J304"/>
    <mergeCell ref="B137:B153"/>
    <mergeCell ref="B165:B168"/>
    <mergeCell ref="B128:B136"/>
    <mergeCell ref="G154:G155"/>
    <mergeCell ref="H154:H155"/>
    <mergeCell ref="I154:I155"/>
    <mergeCell ref="G156:G164"/>
    <mergeCell ref="H156:H164"/>
    <mergeCell ref="I156:I164"/>
    <mergeCell ref="I165:I168"/>
    <mergeCell ref="J137:J153"/>
    <mergeCell ref="J154:J155"/>
    <mergeCell ref="J182:J185"/>
    <mergeCell ref="J186:J191"/>
    <mergeCell ref="J192:J194"/>
    <mergeCell ref="J195:J197"/>
    <mergeCell ref="L111:L221"/>
    <mergeCell ref="G165:G168"/>
    <mergeCell ref="H165:H168"/>
    <mergeCell ref="G169:G178"/>
    <mergeCell ref="H169:H178"/>
    <mergeCell ref="I169:I178"/>
    <mergeCell ref="H179:H181"/>
    <mergeCell ref="I179:I181"/>
    <mergeCell ref="G179:G181"/>
    <mergeCell ref="G182:G185"/>
    <mergeCell ref="H182:H185"/>
    <mergeCell ref="I182:I185"/>
    <mergeCell ref="G186:G191"/>
    <mergeCell ref="H186:H191"/>
    <mergeCell ref="I186:I191"/>
    <mergeCell ref="B182:B185"/>
    <mergeCell ref="B61:B63"/>
    <mergeCell ref="G61:G63"/>
    <mergeCell ref="H61:H63"/>
    <mergeCell ref="I61:I63"/>
    <mergeCell ref="J61:J63"/>
    <mergeCell ref="B64:B65"/>
    <mergeCell ref="G64:G65"/>
    <mergeCell ref="H64:H65"/>
    <mergeCell ref="I64:I65"/>
    <mergeCell ref="J64:J65"/>
    <mergeCell ref="B66:B72"/>
    <mergeCell ref="G66:G72"/>
    <mergeCell ref="H66:H72"/>
    <mergeCell ref="I66:I72"/>
    <mergeCell ref="B12:B13"/>
    <mergeCell ref="B73:B76"/>
    <mergeCell ref="G73:G76"/>
    <mergeCell ref="H73:H76"/>
    <mergeCell ref="B26:B36"/>
    <mergeCell ref="G26:G36"/>
    <mergeCell ref="R137:R153"/>
    <mergeCell ref="R154:R155"/>
    <mergeCell ref="R156:R164"/>
    <mergeCell ref="R165:R168"/>
    <mergeCell ref="R169:R178"/>
    <mergeCell ref="R179:R181"/>
    <mergeCell ref="R182:R185"/>
    <mergeCell ref="R186:R191"/>
    <mergeCell ref="R128:R136"/>
    <mergeCell ref="S128:S136"/>
    <mergeCell ref="T128:T136"/>
    <mergeCell ref="U128:U136"/>
    <mergeCell ref="S137:S153"/>
    <mergeCell ref="T137:T153"/>
    <mergeCell ref="U137:U153"/>
    <mergeCell ref="S186:S191"/>
    <mergeCell ref="T186:T191"/>
    <mergeCell ref="U186:U191"/>
    <mergeCell ref="S97:S108"/>
    <mergeCell ref="T97:T108"/>
    <mergeCell ref="U73:U76"/>
    <mergeCell ref="U77:U79"/>
    <mergeCell ref="R80:R96"/>
    <mergeCell ref="S80:S96"/>
    <mergeCell ref="T80:T96"/>
    <mergeCell ref="U80:U96"/>
    <mergeCell ref="U97:U108"/>
    <mergeCell ref="T121:T127"/>
    <mergeCell ref="U121:U127"/>
    <mergeCell ref="R97:R108"/>
    <mergeCell ref="R117:R120"/>
    <mergeCell ref="S117:S120"/>
    <mergeCell ref="T117:T120"/>
    <mergeCell ref="U117:U120"/>
    <mergeCell ref="R121:R127"/>
    <mergeCell ref="S121:S127"/>
    <mergeCell ref="U111:U113"/>
    <mergeCell ref="U114:U116"/>
    <mergeCell ref="M61:M63"/>
    <mergeCell ref="M64:M65"/>
    <mergeCell ref="M12:M13"/>
    <mergeCell ref="M14:M15"/>
    <mergeCell ref="M16:M25"/>
    <mergeCell ref="M26:M36"/>
    <mergeCell ref="M37:M39"/>
    <mergeCell ref="M40:M42"/>
    <mergeCell ref="M43:M51"/>
    <mergeCell ref="R64:R65"/>
    <mergeCell ref="R66:R72"/>
    <mergeCell ref="M58:M60"/>
    <mergeCell ref="R61:R63"/>
    <mergeCell ref="S61:S63"/>
    <mergeCell ref="T61:T63"/>
    <mergeCell ref="U61:U63"/>
    <mergeCell ref="S64:S65"/>
    <mergeCell ref="M66:M72"/>
    <mergeCell ref="U12:U13"/>
    <mergeCell ref="U14:U15"/>
    <mergeCell ref="I52:I54"/>
    <mergeCell ref="J52:J54"/>
    <mergeCell ref="B55:B57"/>
    <mergeCell ref="G55:G57"/>
    <mergeCell ref="H55:H57"/>
    <mergeCell ref="I55:I57"/>
    <mergeCell ref="R55:R57"/>
    <mergeCell ref="R58:R60"/>
    <mergeCell ref="S58:S60"/>
    <mergeCell ref="T58:T60"/>
    <mergeCell ref="U58:U60"/>
    <mergeCell ref="R52:R54"/>
    <mergeCell ref="S52:S54"/>
    <mergeCell ref="T52:T54"/>
    <mergeCell ref="U52:U54"/>
    <mergeCell ref="S55:S57"/>
    <mergeCell ref="T55:T57"/>
    <mergeCell ref="U55:U57"/>
    <mergeCell ref="R5:R10"/>
    <mergeCell ref="R12:R13"/>
    <mergeCell ref="R14:R15"/>
    <mergeCell ref="R16:R25"/>
    <mergeCell ref="S16:S25"/>
    <mergeCell ref="T16:T25"/>
    <mergeCell ref="U16:U25"/>
    <mergeCell ref="R26:R36"/>
    <mergeCell ref="S26:S36"/>
    <mergeCell ref="T26:T36"/>
    <mergeCell ref="U26:U36"/>
    <mergeCell ref="S37:S39"/>
    <mergeCell ref="T37:T39"/>
    <mergeCell ref="U37:U39"/>
    <mergeCell ref="T43:T51"/>
    <mergeCell ref="U43:U51"/>
    <mergeCell ref="R37:R39"/>
    <mergeCell ref="R40:R42"/>
    <mergeCell ref="S40:S42"/>
    <mergeCell ref="T40:T42"/>
    <mergeCell ref="U40:U42"/>
    <mergeCell ref="R43:R51"/>
    <mergeCell ref="S43:S51"/>
    <mergeCell ref="G1376:G1383"/>
    <mergeCell ref="H1376:H1383"/>
    <mergeCell ref="G1346:G1353"/>
    <mergeCell ref="H1346:H1353"/>
    <mergeCell ref="G1354:G1357"/>
    <mergeCell ref="G1358:G1359"/>
    <mergeCell ref="G1360:G1361"/>
    <mergeCell ref="G1362:G1363"/>
    <mergeCell ref="G1364:G1368"/>
    <mergeCell ref="H12:H13"/>
    <mergeCell ref="G16:G25"/>
    <mergeCell ref="H16:H25"/>
    <mergeCell ref="I16:I25"/>
    <mergeCell ref="J16:J25"/>
    <mergeCell ref="H26:H36"/>
    <mergeCell ref="I26:I36"/>
    <mergeCell ref="B16:B25"/>
    <mergeCell ref="B37:B39"/>
    <mergeCell ref="G37:G39"/>
    <mergeCell ref="H37:H39"/>
    <mergeCell ref="I37:I39"/>
    <mergeCell ref="J37:J39"/>
    <mergeCell ref="B40:B42"/>
    <mergeCell ref="G40:G42"/>
    <mergeCell ref="B43:B51"/>
    <mergeCell ref="G43:G51"/>
    <mergeCell ref="H43:H51"/>
    <mergeCell ref="I43:I51"/>
    <mergeCell ref="B14:B15"/>
    <mergeCell ref="B52:B54"/>
    <mergeCell ref="G52:G54"/>
    <mergeCell ref="H52:H54"/>
    <mergeCell ref="G1327:G1329"/>
    <mergeCell ref="G1330:G1336"/>
    <mergeCell ref="G1337:G1345"/>
    <mergeCell ref="J1337:J1345"/>
    <mergeCell ref="I1346:I1353"/>
    <mergeCell ref="J1346:J1353"/>
    <mergeCell ref="H1354:H1357"/>
    <mergeCell ref="I1354:I1357"/>
    <mergeCell ref="J1354:J1357"/>
    <mergeCell ref="H1358:H1359"/>
    <mergeCell ref="I1358:I1359"/>
    <mergeCell ref="J1358:J1359"/>
    <mergeCell ref="H1360:H1361"/>
    <mergeCell ref="I1360:I1361"/>
    <mergeCell ref="J1360:J1361"/>
    <mergeCell ref="H1362:H1363"/>
    <mergeCell ref="I1362:I1363"/>
    <mergeCell ref="J1362:J1363"/>
    <mergeCell ref="G1249:G1250"/>
    <mergeCell ref="G1251:G1257"/>
    <mergeCell ref="G1258:G1262"/>
    <mergeCell ref="G1263:G1266"/>
    <mergeCell ref="G1267:G1275"/>
    <mergeCell ref="I1276:I1277"/>
    <mergeCell ref="J1276:J1277"/>
    <mergeCell ref="J1210:J1216"/>
    <mergeCell ref="H1217:H1231"/>
    <mergeCell ref="I1217:I1231"/>
    <mergeCell ref="J1217:J1231"/>
    <mergeCell ref="I1287:I1303"/>
    <mergeCell ref="J1287:J1303"/>
    <mergeCell ref="H1304:H1319"/>
    <mergeCell ref="I1304:I1319"/>
    <mergeCell ref="J1304:J1319"/>
    <mergeCell ref="H1320:H1326"/>
    <mergeCell ref="I1320:I1326"/>
    <mergeCell ref="J1320:J1326"/>
    <mergeCell ref="G1276:G1277"/>
    <mergeCell ref="G1280:G1286"/>
    <mergeCell ref="H1280:H1286"/>
    <mergeCell ref="I1280:I1286"/>
    <mergeCell ref="J1280:J1286"/>
    <mergeCell ref="G1287:G1303"/>
    <mergeCell ref="G1304:G1319"/>
    <mergeCell ref="G1320:G1326"/>
    <mergeCell ref="G1055:G1058"/>
    <mergeCell ref="G1210:G1216"/>
    <mergeCell ref="G1217:G1231"/>
    <mergeCell ref="G1232:G1238"/>
    <mergeCell ref="G1239:G1244"/>
    <mergeCell ref="G1245:G1246"/>
    <mergeCell ref="G1247:G1248"/>
    <mergeCell ref="G1369:G1375"/>
    <mergeCell ref="I1369:I1375"/>
    <mergeCell ref="J1369:J1375"/>
    <mergeCell ref="G1384:G1386"/>
    <mergeCell ref="G1387:G1388"/>
    <mergeCell ref="G1389:G1393"/>
    <mergeCell ref="G1394:G1398"/>
    <mergeCell ref="I1170:I1176"/>
    <mergeCell ref="J1170:J1176"/>
    <mergeCell ref="G1177:G1184"/>
    <mergeCell ref="H1177:H1184"/>
    <mergeCell ref="I1177:I1184"/>
    <mergeCell ref="J1177:J1184"/>
    <mergeCell ref="G1185:G1187"/>
    <mergeCell ref="H1185:H1187"/>
    <mergeCell ref="I1185:I1187"/>
    <mergeCell ref="J1185:J1187"/>
    <mergeCell ref="G1188:G1196"/>
    <mergeCell ref="H1188:H1196"/>
    <mergeCell ref="I1188:I1196"/>
    <mergeCell ref="J1188:J1196"/>
    <mergeCell ref="I1247:I1248"/>
    <mergeCell ref="J1247:J1248"/>
    <mergeCell ref="H1249:H1250"/>
    <mergeCell ref="I1249:I1250"/>
    <mergeCell ref="G1407:G1414"/>
    <mergeCell ref="G1415:G1416"/>
    <mergeCell ref="G1417:G1424"/>
    <mergeCell ref="G1399:G1404"/>
    <mergeCell ref="G1405:G1406"/>
    <mergeCell ref="I1405:I1406"/>
    <mergeCell ref="J1405:J1406"/>
    <mergeCell ref="H1407:H1414"/>
    <mergeCell ref="I1407:I1414"/>
    <mergeCell ref="J1407:J1414"/>
    <mergeCell ref="I1133:I1153"/>
    <mergeCell ref="J1133:J1153"/>
    <mergeCell ref="H1210:H1216"/>
    <mergeCell ref="I1210:I1216"/>
    <mergeCell ref="H1232:H1238"/>
    <mergeCell ref="I1232:I1238"/>
    <mergeCell ref="J1232:J1238"/>
    <mergeCell ref="H1239:H1244"/>
    <mergeCell ref="I1239:I1244"/>
    <mergeCell ref="J1239:J1244"/>
    <mergeCell ref="H1245:H1246"/>
    <mergeCell ref="I1245:I1246"/>
    <mergeCell ref="J1249:J1250"/>
    <mergeCell ref="H1251:H1257"/>
    <mergeCell ref="I1251:I1257"/>
    <mergeCell ref="J1251:J1257"/>
    <mergeCell ref="H1258:H1262"/>
    <mergeCell ref="I1258:I1262"/>
    <mergeCell ref="J1258:J1262"/>
    <mergeCell ref="H1263:H1266"/>
    <mergeCell ref="I1263:I1266"/>
    <mergeCell ref="J1263:J1266"/>
    <mergeCell ref="H1417:H1424"/>
    <mergeCell ref="I1417:I1424"/>
    <mergeCell ref="J1417:J1424"/>
    <mergeCell ref="H939:H946"/>
    <mergeCell ref="I939:I946"/>
    <mergeCell ref="I1055:I1058"/>
    <mergeCell ref="J1055:J1058"/>
    <mergeCell ref="L1055:L1196"/>
    <mergeCell ref="L1202:L1277"/>
    <mergeCell ref="L1280:L1424"/>
    <mergeCell ref="I1376:I1383"/>
    <mergeCell ref="J1376:J1383"/>
    <mergeCell ref="H1384:H1386"/>
    <mergeCell ref="I1384:I1386"/>
    <mergeCell ref="J1384:J1386"/>
    <mergeCell ref="H1387:H1388"/>
    <mergeCell ref="I1387:I1388"/>
    <mergeCell ref="J1387:J1388"/>
    <mergeCell ref="H1389:H1393"/>
    <mergeCell ref="I1389:I1393"/>
    <mergeCell ref="J1389:J1393"/>
    <mergeCell ref="H1394:H1398"/>
    <mergeCell ref="I1394:I1398"/>
    <mergeCell ref="J1394:J1398"/>
    <mergeCell ref="H1399:H1404"/>
    <mergeCell ref="I1399:I1404"/>
    <mergeCell ref="J1399:J1404"/>
    <mergeCell ref="H1405:H1406"/>
    <mergeCell ref="H1267:H1275"/>
    <mergeCell ref="I1267:I1275"/>
    <mergeCell ref="J1267:J1275"/>
    <mergeCell ref="H1276:H1277"/>
    <mergeCell ref="S1008:S1014"/>
    <mergeCell ref="T1008:T1014"/>
    <mergeCell ref="U1008:U1014"/>
    <mergeCell ref="T1263:T1266"/>
    <mergeCell ref="U1263:U1266"/>
    <mergeCell ref="S1251:S1257"/>
    <mergeCell ref="T1251:T1257"/>
    <mergeCell ref="U1251:U1257"/>
    <mergeCell ref="S1258:S1262"/>
    <mergeCell ref="T1258:T1262"/>
    <mergeCell ref="U1258:U1262"/>
    <mergeCell ref="S1263:S1266"/>
    <mergeCell ref="H1055:H1058"/>
    <mergeCell ref="H1287:H1303"/>
    <mergeCell ref="H1415:H1416"/>
    <mergeCell ref="I1415:I1416"/>
    <mergeCell ref="J1415:J1416"/>
    <mergeCell ref="J1245:J1246"/>
    <mergeCell ref="H1247:H1248"/>
    <mergeCell ref="H1327:H1329"/>
    <mergeCell ref="I1327:I1329"/>
    <mergeCell ref="J1327:J1329"/>
    <mergeCell ref="H1330:H1336"/>
    <mergeCell ref="I1330:I1336"/>
    <mergeCell ref="J1330:J1336"/>
    <mergeCell ref="H1337:H1345"/>
    <mergeCell ref="I1337:I1345"/>
    <mergeCell ref="H1364:H1368"/>
    <mergeCell ref="I1364:I1368"/>
    <mergeCell ref="J1364:J1368"/>
    <mergeCell ref="H1369:H1375"/>
    <mergeCell ref="T1287:T1303"/>
    <mergeCell ref="T961:T969"/>
    <mergeCell ref="T970:T978"/>
    <mergeCell ref="T939:T946"/>
    <mergeCell ref="U939:U946"/>
    <mergeCell ref="T947:T958"/>
    <mergeCell ref="U947:U958"/>
    <mergeCell ref="T959:T960"/>
    <mergeCell ref="U959:U960"/>
    <mergeCell ref="U961:U969"/>
    <mergeCell ref="U970:U978"/>
    <mergeCell ref="T979:T989"/>
    <mergeCell ref="U979:U989"/>
    <mergeCell ref="T990:T998"/>
    <mergeCell ref="U990:U998"/>
    <mergeCell ref="S990:S998"/>
    <mergeCell ref="S999:S1007"/>
    <mergeCell ref="T999:T1007"/>
    <mergeCell ref="U999:U1007"/>
    <mergeCell ref="U698:U701"/>
    <mergeCell ref="S702:S707"/>
    <mergeCell ref="T702:T707"/>
    <mergeCell ref="U702:U707"/>
    <mergeCell ref="S708:S717"/>
    <mergeCell ref="T728:T749"/>
    <mergeCell ref="U728:U749"/>
    <mergeCell ref="S721:S724"/>
    <mergeCell ref="T721:T724"/>
    <mergeCell ref="U721:U724"/>
    <mergeCell ref="S725:S727"/>
    <mergeCell ref="T725:T727"/>
    <mergeCell ref="U725:U727"/>
    <mergeCell ref="S728:S749"/>
    <mergeCell ref="T773:T779"/>
    <mergeCell ref="U773:U779"/>
    <mergeCell ref="S750:S765"/>
    <mergeCell ref="T750:T765"/>
    <mergeCell ref="U750:U765"/>
    <mergeCell ref="S766:S772"/>
    <mergeCell ref="T766:T772"/>
    <mergeCell ref="U766:U772"/>
    <mergeCell ref="S773:S779"/>
    <mergeCell ref="S852:S858"/>
    <mergeCell ref="T852:T858"/>
    <mergeCell ref="S828:S836"/>
    <mergeCell ref="T828:T836"/>
    <mergeCell ref="R837:R851"/>
    <mergeCell ref="S837:S851"/>
    <mergeCell ref="T837:T851"/>
    <mergeCell ref="U837:U851"/>
    <mergeCell ref="U852:U858"/>
    <mergeCell ref="T864:T865"/>
    <mergeCell ref="U864:U865"/>
    <mergeCell ref="R852:R858"/>
    <mergeCell ref="R859:R863"/>
    <mergeCell ref="S859:S863"/>
    <mergeCell ref="T859:T863"/>
    <mergeCell ref="U859:U863"/>
    <mergeCell ref="R864:R865"/>
    <mergeCell ref="S864:S865"/>
    <mergeCell ref="U1210:U1216"/>
    <mergeCell ref="S1185:S1187"/>
    <mergeCell ref="T1185:T1187"/>
    <mergeCell ref="R1188:R1196"/>
    <mergeCell ref="S1188:S1196"/>
    <mergeCell ref="T1188:T1196"/>
    <mergeCell ref="U1188:U1196"/>
    <mergeCell ref="U1202:U1209"/>
    <mergeCell ref="R1232:R1238"/>
    <mergeCell ref="R1239:R1244"/>
    <mergeCell ref="R1245:R1246"/>
    <mergeCell ref="R1247:R1248"/>
    <mergeCell ref="R1249:R1250"/>
    <mergeCell ref="R1251:R1257"/>
    <mergeCell ref="R1258:R1262"/>
    <mergeCell ref="R1263:R1266"/>
    <mergeCell ref="S1245:S1246"/>
    <mergeCell ref="S1247:S1248"/>
    <mergeCell ref="T1247:T1248"/>
    <mergeCell ref="U1247:U1248"/>
    <mergeCell ref="S1249:S1250"/>
    <mergeCell ref="T1249:T1250"/>
    <mergeCell ref="U1249:U1250"/>
    <mergeCell ref="U1217:U1231"/>
    <mergeCell ref="U1232:U1238"/>
    <mergeCell ref="S1232:S1238"/>
    <mergeCell ref="T1232:T1238"/>
    <mergeCell ref="S1239:S1244"/>
    <mergeCell ref="T1239:T1244"/>
    <mergeCell ref="U1239:U1244"/>
    <mergeCell ref="T1245:T1246"/>
    <mergeCell ref="U1245:U1246"/>
    <mergeCell ref="S1015:S1020"/>
    <mergeCell ref="T1015:T1020"/>
    <mergeCell ref="U1015:U1020"/>
    <mergeCell ref="S1021:S1034"/>
    <mergeCell ref="T1021:T1034"/>
    <mergeCell ref="U1021:U1034"/>
    <mergeCell ref="S1035:S1043"/>
    <mergeCell ref="T1035:T1043"/>
    <mergeCell ref="U1035:U1043"/>
    <mergeCell ref="S1167:S1169"/>
    <mergeCell ref="T1167:T1169"/>
    <mergeCell ref="U1167:U1169"/>
    <mergeCell ref="U1170:U1176"/>
    <mergeCell ref="S1170:S1176"/>
    <mergeCell ref="T1170:T1176"/>
    <mergeCell ref="S1177:S1184"/>
    <mergeCell ref="T1177:T1184"/>
    <mergeCell ref="U1177:U1184"/>
    <mergeCell ref="U1185:U1187"/>
    <mergeCell ref="S1202:S1209"/>
    <mergeCell ref="T1202:T1209"/>
    <mergeCell ref="S1210:S1216"/>
    <mergeCell ref="T1210:T1216"/>
    <mergeCell ref="M1162:M1166"/>
    <mergeCell ref="M1100:M1110"/>
    <mergeCell ref="M1111:M1113"/>
    <mergeCell ref="M1114:M1120"/>
    <mergeCell ref="M1121:M1123"/>
    <mergeCell ref="M1124:M1127"/>
    <mergeCell ref="M1128:M1129"/>
    <mergeCell ref="M1130:M1132"/>
    <mergeCell ref="R1133:R1153"/>
    <mergeCell ref="R1154:R1157"/>
    <mergeCell ref="R1158:R1161"/>
    <mergeCell ref="R1162:R1166"/>
    <mergeCell ref="R1202:R1209"/>
    <mergeCell ref="R1210:R1216"/>
    <mergeCell ref="R1217:R1231"/>
    <mergeCell ref="S1217:S1231"/>
    <mergeCell ref="T1217:T1231"/>
    <mergeCell ref="R1167:R1169"/>
    <mergeCell ref="R1170:R1176"/>
    <mergeCell ref="R1177:R1184"/>
    <mergeCell ref="R1185:R1187"/>
    <mergeCell ref="L1197:N1197"/>
    <mergeCell ref="L1198:N1198"/>
    <mergeCell ref="L1200:N1200"/>
    <mergeCell ref="M1167:M1169"/>
    <mergeCell ref="M1170:M1176"/>
    <mergeCell ref="M1177:M1184"/>
    <mergeCell ref="M1185:M1187"/>
    <mergeCell ref="M1188:M1196"/>
    <mergeCell ref="L1053:N1053"/>
    <mergeCell ref="L1054:N1054"/>
    <mergeCell ref="M1055:M1058"/>
    <mergeCell ref="M1059:M1066"/>
    <mergeCell ref="M1067:M1073"/>
    <mergeCell ref="M1074:M1080"/>
    <mergeCell ref="M1081:M1087"/>
    <mergeCell ref="R1081:R1087"/>
    <mergeCell ref="M1088:M1092"/>
    <mergeCell ref="R1088:R1092"/>
    <mergeCell ref="M1093:M1099"/>
    <mergeCell ref="R1093:R1099"/>
    <mergeCell ref="R1100:R1110"/>
    <mergeCell ref="R1111:R1113"/>
    <mergeCell ref="M1133:M1153"/>
    <mergeCell ref="M1154:M1157"/>
    <mergeCell ref="M1158:M1161"/>
    <mergeCell ref="R1059:R1066"/>
    <mergeCell ref="R1067:R1073"/>
    <mergeCell ref="R1055:R1058"/>
    <mergeCell ref="R1074:R1080"/>
    <mergeCell ref="R1114:R1120"/>
    <mergeCell ref="R1121:R1123"/>
    <mergeCell ref="R1124:R1127"/>
    <mergeCell ref="R1128:R1129"/>
    <mergeCell ref="R1130:R1132"/>
    <mergeCell ref="R926:R927"/>
    <mergeCell ref="R928:R938"/>
    <mergeCell ref="R939:R946"/>
    <mergeCell ref="R947:R958"/>
    <mergeCell ref="R959:R960"/>
    <mergeCell ref="R961:R969"/>
    <mergeCell ref="R970:R978"/>
    <mergeCell ref="R979:R989"/>
    <mergeCell ref="R990:R998"/>
    <mergeCell ref="R999:R1007"/>
    <mergeCell ref="R1008:R1014"/>
    <mergeCell ref="R1015:R1020"/>
    <mergeCell ref="R1021:R1034"/>
    <mergeCell ref="R1035:R1043"/>
    <mergeCell ref="R1044:R1052"/>
    <mergeCell ref="U1093:U1099"/>
    <mergeCell ref="S1100:S1110"/>
    <mergeCell ref="T1121:T1123"/>
    <mergeCell ref="U1121:U1123"/>
    <mergeCell ref="S1111:S1113"/>
    <mergeCell ref="T1111:T1113"/>
    <mergeCell ref="U1111:U1113"/>
    <mergeCell ref="S1114:S1120"/>
    <mergeCell ref="T1114:T1120"/>
    <mergeCell ref="U1114:U1120"/>
    <mergeCell ref="S1121:S1123"/>
    <mergeCell ref="T1130:T1132"/>
    <mergeCell ref="U1130:U1132"/>
    <mergeCell ref="S1124:S1127"/>
    <mergeCell ref="T1124:T1127"/>
    <mergeCell ref="U1124:U1127"/>
    <mergeCell ref="S1128:S1129"/>
    <mergeCell ref="T1128:T1129"/>
    <mergeCell ref="U1128:U1129"/>
    <mergeCell ref="S1130:S1132"/>
    <mergeCell ref="S959:S960"/>
    <mergeCell ref="S961:S969"/>
    <mergeCell ref="S970:S978"/>
    <mergeCell ref="S979:S989"/>
    <mergeCell ref="S1162:S1166"/>
    <mergeCell ref="T1162:T1166"/>
    <mergeCell ref="U1162:U1166"/>
    <mergeCell ref="T1059:T1066"/>
    <mergeCell ref="U1059:U1066"/>
    <mergeCell ref="S1044:S1052"/>
    <mergeCell ref="T1044:T1052"/>
    <mergeCell ref="U1044:U1052"/>
    <mergeCell ref="S1055:S1058"/>
    <mergeCell ref="T1055:T1058"/>
    <mergeCell ref="U1055:U1058"/>
    <mergeCell ref="S1059:S1066"/>
    <mergeCell ref="T1081:T1087"/>
    <mergeCell ref="U1081:U1087"/>
    <mergeCell ref="S1067:S1073"/>
    <mergeCell ref="T1067:T1073"/>
    <mergeCell ref="U1067:U1073"/>
    <mergeCell ref="S1074:S1080"/>
    <mergeCell ref="T1074:T1080"/>
    <mergeCell ref="U1074:U1080"/>
    <mergeCell ref="S1081:S1087"/>
    <mergeCell ref="T1100:T1110"/>
    <mergeCell ref="U1100:U1110"/>
    <mergeCell ref="S1088:S1092"/>
    <mergeCell ref="T1088:T1092"/>
    <mergeCell ref="U1088:U1092"/>
    <mergeCell ref="S1093:S1099"/>
    <mergeCell ref="T1093:T1099"/>
    <mergeCell ref="S869:S897"/>
    <mergeCell ref="S900:S901"/>
    <mergeCell ref="S902:S903"/>
    <mergeCell ref="S904:S906"/>
    <mergeCell ref="S907:S909"/>
    <mergeCell ref="S912:S925"/>
    <mergeCell ref="S926:S927"/>
    <mergeCell ref="T907:T909"/>
    <mergeCell ref="T912:T925"/>
    <mergeCell ref="U912:U925"/>
    <mergeCell ref="T926:T927"/>
    <mergeCell ref="U926:U927"/>
    <mergeCell ref="T928:T938"/>
    <mergeCell ref="U928:U938"/>
    <mergeCell ref="S928:S938"/>
    <mergeCell ref="S939:S946"/>
    <mergeCell ref="S947:S958"/>
    <mergeCell ref="S898:S899"/>
    <mergeCell ref="T898:T899"/>
    <mergeCell ref="I1044:I1052"/>
    <mergeCell ref="J1044:J1052"/>
    <mergeCell ref="T1158:T1161"/>
    <mergeCell ref="U1158:U1161"/>
    <mergeCell ref="S1133:S1153"/>
    <mergeCell ref="T1133:T1153"/>
    <mergeCell ref="U1133:U1153"/>
    <mergeCell ref="S1154:S1157"/>
    <mergeCell ref="T1154:T1157"/>
    <mergeCell ref="U1154:U1157"/>
    <mergeCell ref="S1158:S1161"/>
    <mergeCell ref="R866:R868"/>
    <mergeCell ref="S866:S868"/>
    <mergeCell ref="T866:T868"/>
    <mergeCell ref="U866:U868"/>
    <mergeCell ref="T869:T897"/>
    <mergeCell ref="U869:U897"/>
    <mergeCell ref="U898:U899"/>
    <mergeCell ref="T900:T901"/>
    <mergeCell ref="U900:U901"/>
    <mergeCell ref="T902:T903"/>
    <mergeCell ref="U902:U903"/>
    <mergeCell ref="T904:T906"/>
    <mergeCell ref="U904:U906"/>
    <mergeCell ref="U907:U909"/>
    <mergeCell ref="R869:R897"/>
    <mergeCell ref="R898:R899"/>
    <mergeCell ref="R900:R901"/>
    <mergeCell ref="R902:R903"/>
    <mergeCell ref="R904:R906"/>
    <mergeCell ref="R907:R909"/>
    <mergeCell ref="R912:R925"/>
    <mergeCell ref="H1021:H1034"/>
    <mergeCell ref="I1021:I1034"/>
    <mergeCell ref="J1021:J1034"/>
    <mergeCell ref="G1021:G1034"/>
    <mergeCell ref="G1035:G1043"/>
    <mergeCell ref="H1035:H1043"/>
    <mergeCell ref="I1035:I1043"/>
    <mergeCell ref="J1035:J1043"/>
    <mergeCell ref="G1044:G1052"/>
    <mergeCell ref="H1044:H1052"/>
    <mergeCell ref="G947:G958"/>
    <mergeCell ref="H947:H958"/>
    <mergeCell ref="I947:I958"/>
    <mergeCell ref="J947:J958"/>
    <mergeCell ref="H959:H960"/>
    <mergeCell ref="I959:I960"/>
    <mergeCell ref="J959:J960"/>
    <mergeCell ref="I970:I978"/>
    <mergeCell ref="J970:J978"/>
    <mergeCell ref="G959:G960"/>
    <mergeCell ref="G961:G969"/>
    <mergeCell ref="H961:H969"/>
    <mergeCell ref="I961:I969"/>
    <mergeCell ref="J961:J969"/>
    <mergeCell ref="G970:G978"/>
    <mergeCell ref="H970:H978"/>
    <mergeCell ref="G979:G989"/>
    <mergeCell ref="H979:H989"/>
    <mergeCell ref="I979:I989"/>
    <mergeCell ref="J979:J989"/>
    <mergeCell ref="H990:H998"/>
    <mergeCell ref="I990:I998"/>
    <mergeCell ref="G859:G863"/>
    <mergeCell ref="H859:H863"/>
    <mergeCell ref="I859:I863"/>
    <mergeCell ref="J859:J863"/>
    <mergeCell ref="H864:H865"/>
    <mergeCell ref="I864:I865"/>
    <mergeCell ref="J864:J865"/>
    <mergeCell ref="M961:M969"/>
    <mergeCell ref="M970:M978"/>
    <mergeCell ref="M907:M909"/>
    <mergeCell ref="M912:M925"/>
    <mergeCell ref="M926:M927"/>
    <mergeCell ref="M928:M938"/>
    <mergeCell ref="M939:M946"/>
    <mergeCell ref="M947:M958"/>
    <mergeCell ref="M959:M960"/>
    <mergeCell ref="G1015:G1020"/>
    <mergeCell ref="H1015:H1020"/>
    <mergeCell ref="I1015:I1020"/>
    <mergeCell ref="J1015:J1020"/>
    <mergeCell ref="J990:J998"/>
    <mergeCell ref="I1008:I1014"/>
    <mergeCell ref="J1008:J1014"/>
    <mergeCell ref="G990:G998"/>
    <mergeCell ref="G999:G1007"/>
    <mergeCell ref="H999:H1007"/>
    <mergeCell ref="I999:I1007"/>
    <mergeCell ref="J999:J1007"/>
    <mergeCell ref="G1008:G1014"/>
    <mergeCell ref="H1008:H1014"/>
    <mergeCell ref="G907:G909"/>
    <mergeCell ref="H907:H909"/>
    <mergeCell ref="I773:I779"/>
    <mergeCell ref="J773:J779"/>
    <mergeCell ref="G750:G765"/>
    <mergeCell ref="G766:G772"/>
    <mergeCell ref="H766:H772"/>
    <mergeCell ref="I766:I772"/>
    <mergeCell ref="J766:J772"/>
    <mergeCell ref="G773:G779"/>
    <mergeCell ref="H773:H779"/>
    <mergeCell ref="G785:G796"/>
    <mergeCell ref="H785:H796"/>
    <mergeCell ref="I785:I796"/>
    <mergeCell ref="J785:J796"/>
    <mergeCell ref="H797:H804"/>
    <mergeCell ref="I797:I804"/>
    <mergeCell ref="J797:J804"/>
    <mergeCell ref="I813:I816"/>
    <mergeCell ref="J813:J816"/>
    <mergeCell ref="G797:G804"/>
    <mergeCell ref="G805:G812"/>
    <mergeCell ref="H805:H812"/>
    <mergeCell ref="I805:I812"/>
    <mergeCell ref="J805:J812"/>
    <mergeCell ref="G813:G816"/>
    <mergeCell ref="H813:H816"/>
    <mergeCell ref="G780:G784"/>
    <mergeCell ref="H780:H784"/>
    <mergeCell ref="I780:I784"/>
    <mergeCell ref="J780:J784"/>
    <mergeCell ref="G822:G827"/>
    <mergeCell ref="H822:H827"/>
    <mergeCell ref="I822:I827"/>
    <mergeCell ref="J822:J827"/>
    <mergeCell ref="H828:H836"/>
    <mergeCell ref="I828:I836"/>
    <mergeCell ref="J828:J836"/>
    <mergeCell ref="G828:G836"/>
    <mergeCell ref="G837:G851"/>
    <mergeCell ref="H837:H851"/>
    <mergeCell ref="I837:I851"/>
    <mergeCell ref="J837:J851"/>
    <mergeCell ref="G852:G858"/>
    <mergeCell ref="H852:H858"/>
    <mergeCell ref="I852:I858"/>
    <mergeCell ref="J852:J858"/>
    <mergeCell ref="J702:J707"/>
    <mergeCell ref="G695:G697"/>
    <mergeCell ref="G698:G701"/>
    <mergeCell ref="H698:H701"/>
    <mergeCell ref="I698:I701"/>
    <mergeCell ref="J698:J701"/>
    <mergeCell ref="G702:G707"/>
    <mergeCell ref="H702:H707"/>
    <mergeCell ref="G708:G717"/>
    <mergeCell ref="H708:H717"/>
    <mergeCell ref="I708:I717"/>
    <mergeCell ref="J708:J717"/>
    <mergeCell ref="H718:H720"/>
    <mergeCell ref="I718:I720"/>
    <mergeCell ref="J718:J720"/>
    <mergeCell ref="I725:I727"/>
    <mergeCell ref="J725:J727"/>
    <mergeCell ref="H695:H697"/>
    <mergeCell ref="I695:I697"/>
    <mergeCell ref="G718:G720"/>
    <mergeCell ref="G721:G724"/>
    <mergeCell ref="H721:H724"/>
    <mergeCell ref="I721:I724"/>
    <mergeCell ref="J721:J724"/>
    <mergeCell ref="G725:G727"/>
    <mergeCell ref="H725:H727"/>
    <mergeCell ref="G728:G749"/>
    <mergeCell ref="H728:H749"/>
    <mergeCell ref="I728:I749"/>
    <mergeCell ref="J728:J749"/>
    <mergeCell ref="H750:H765"/>
    <mergeCell ref="I750:I765"/>
    <mergeCell ref="J750:J765"/>
    <mergeCell ref="M667:M669"/>
    <mergeCell ref="M670:M672"/>
    <mergeCell ref="G673:G682"/>
    <mergeCell ref="H673:H682"/>
    <mergeCell ref="I673:I682"/>
    <mergeCell ref="J673:J682"/>
    <mergeCell ref="G683:G691"/>
    <mergeCell ref="J683:J691"/>
    <mergeCell ref="H683:H691"/>
    <mergeCell ref="I683:I691"/>
    <mergeCell ref="G692:G694"/>
    <mergeCell ref="H692:H694"/>
    <mergeCell ref="I692:I694"/>
    <mergeCell ref="J692:J694"/>
    <mergeCell ref="J695:J697"/>
    <mergeCell ref="I702:I707"/>
    <mergeCell ref="M828:M836"/>
    <mergeCell ref="M837:M851"/>
    <mergeCell ref="M852:M858"/>
    <mergeCell ref="M859:M863"/>
    <mergeCell ref="M864:M865"/>
    <mergeCell ref="M866:M868"/>
    <mergeCell ref="M470:M476"/>
    <mergeCell ref="M477:M485"/>
    <mergeCell ref="M486:M490"/>
    <mergeCell ref="M491:M493"/>
    <mergeCell ref="L494:N494"/>
    <mergeCell ref="L495:N495"/>
    <mergeCell ref="M496:M501"/>
    <mergeCell ref="M502:M514"/>
    <mergeCell ref="M515:M524"/>
    <mergeCell ref="M525:M526"/>
    <mergeCell ref="M527:M529"/>
    <mergeCell ref="M530:M535"/>
    <mergeCell ref="M536:M541"/>
    <mergeCell ref="M542:M546"/>
    <mergeCell ref="M601:M604"/>
    <mergeCell ref="M605:M609"/>
    <mergeCell ref="M610:M615"/>
    <mergeCell ref="L616:N616"/>
    <mergeCell ref="L617:N617"/>
    <mergeCell ref="M627:M641"/>
    <mergeCell ref="M642:M645"/>
    <mergeCell ref="M646:M650"/>
    <mergeCell ref="M651:M655"/>
    <mergeCell ref="M656:M663"/>
    <mergeCell ref="M664:M666"/>
    <mergeCell ref="M785:M796"/>
    <mergeCell ref="M797:M804"/>
    <mergeCell ref="M805:M812"/>
    <mergeCell ref="L817:N817"/>
    <mergeCell ref="L818:N818"/>
    <mergeCell ref="L820:N820"/>
    <mergeCell ref="L618:L816"/>
    <mergeCell ref="L822:L909"/>
    <mergeCell ref="L912:L1052"/>
    <mergeCell ref="M547:M548"/>
    <mergeCell ref="M549:M565"/>
    <mergeCell ref="M566:M578"/>
    <mergeCell ref="M579:M581"/>
    <mergeCell ref="M582:M587"/>
    <mergeCell ref="M588:M593"/>
    <mergeCell ref="M813:M816"/>
    <mergeCell ref="M869:M897"/>
    <mergeCell ref="M898:M899"/>
    <mergeCell ref="M900:M901"/>
    <mergeCell ref="M902:M903"/>
    <mergeCell ref="M904:M906"/>
    <mergeCell ref="L910:N910"/>
    <mergeCell ref="L911:N911"/>
    <mergeCell ref="M979:M989"/>
    <mergeCell ref="M990:M998"/>
    <mergeCell ref="M999:M1007"/>
    <mergeCell ref="M1008:M1014"/>
    <mergeCell ref="M1015:M1020"/>
    <mergeCell ref="M1021:M1034"/>
    <mergeCell ref="M1035:M1043"/>
    <mergeCell ref="M1044:M1052"/>
    <mergeCell ref="M822:M827"/>
    <mergeCell ref="M594:M600"/>
    <mergeCell ref="M618:M626"/>
    <mergeCell ref="M673:M682"/>
    <mergeCell ref="M683:M691"/>
    <mergeCell ref="M692:M694"/>
    <mergeCell ref="M695:M697"/>
    <mergeCell ref="M698:M701"/>
    <mergeCell ref="M702:M707"/>
    <mergeCell ref="M708:M717"/>
    <mergeCell ref="M718:M720"/>
    <mergeCell ref="M721:M724"/>
    <mergeCell ref="M725:M727"/>
    <mergeCell ref="M766:M772"/>
    <mergeCell ref="M773:M779"/>
    <mergeCell ref="M728:M749"/>
    <mergeCell ref="M750:M765"/>
    <mergeCell ref="M780:M784"/>
    <mergeCell ref="T695:T697"/>
    <mergeCell ref="U695:U697"/>
    <mergeCell ref="S683:S691"/>
    <mergeCell ref="T683:T691"/>
    <mergeCell ref="U683:U691"/>
    <mergeCell ref="S692:S694"/>
    <mergeCell ref="T692:T694"/>
    <mergeCell ref="U692:U694"/>
    <mergeCell ref="S695:S697"/>
    <mergeCell ref="T822:T827"/>
    <mergeCell ref="U822:U827"/>
    <mergeCell ref="U828:U836"/>
    <mergeCell ref="S805:S812"/>
    <mergeCell ref="T805:T812"/>
    <mergeCell ref="U805:U812"/>
    <mergeCell ref="S813:S816"/>
    <mergeCell ref="T813:T816"/>
    <mergeCell ref="U813:U816"/>
    <mergeCell ref="S822:S827"/>
    <mergeCell ref="T797:T804"/>
    <mergeCell ref="U797:U804"/>
    <mergeCell ref="S780:S784"/>
    <mergeCell ref="T780:T784"/>
    <mergeCell ref="U780:U784"/>
    <mergeCell ref="S785:S796"/>
    <mergeCell ref="T785:T796"/>
    <mergeCell ref="U785:U796"/>
    <mergeCell ref="S797:S804"/>
    <mergeCell ref="T708:T717"/>
    <mergeCell ref="U708:U717"/>
    <mergeCell ref="S698:S701"/>
    <mergeCell ref="T698:T701"/>
    <mergeCell ref="R692:R694"/>
    <mergeCell ref="R695:R697"/>
    <mergeCell ref="R698:R701"/>
    <mergeCell ref="R702:R707"/>
    <mergeCell ref="R773:R779"/>
    <mergeCell ref="R780:R784"/>
    <mergeCell ref="R785:R796"/>
    <mergeCell ref="R797:R804"/>
    <mergeCell ref="R805:R812"/>
    <mergeCell ref="R813:R816"/>
    <mergeCell ref="R822:R827"/>
    <mergeCell ref="R828:R836"/>
    <mergeCell ref="R708:R717"/>
    <mergeCell ref="R718:R720"/>
    <mergeCell ref="R721:R724"/>
    <mergeCell ref="R725:R727"/>
    <mergeCell ref="R728:R749"/>
    <mergeCell ref="R750:R765"/>
    <mergeCell ref="R766:R772"/>
    <mergeCell ref="S651:S655"/>
    <mergeCell ref="T651:T655"/>
    <mergeCell ref="U651:U655"/>
    <mergeCell ref="S656:S663"/>
    <mergeCell ref="T656:T663"/>
    <mergeCell ref="U656:U663"/>
    <mergeCell ref="S664:S666"/>
    <mergeCell ref="R627:R641"/>
    <mergeCell ref="R642:R645"/>
    <mergeCell ref="R646:R650"/>
    <mergeCell ref="R651:R655"/>
    <mergeCell ref="R656:R663"/>
    <mergeCell ref="R664:R666"/>
    <mergeCell ref="R667:R669"/>
    <mergeCell ref="R670:R672"/>
    <mergeCell ref="R673:R682"/>
    <mergeCell ref="R683:R691"/>
    <mergeCell ref="T673:T682"/>
    <mergeCell ref="U673:U682"/>
    <mergeCell ref="S667:S669"/>
    <mergeCell ref="T667:T669"/>
    <mergeCell ref="U667:U669"/>
    <mergeCell ref="S670:S672"/>
    <mergeCell ref="T670:T672"/>
    <mergeCell ref="U670:U672"/>
    <mergeCell ref="S673:S682"/>
    <mergeCell ref="R198:R202"/>
    <mergeCell ref="S198:S202"/>
    <mergeCell ref="T198:T202"/>
    <mergeCell ref="U198:U202"/>
    <mergeCell ref="R203:R211"/>
    <mergeCell ref="U203:U211"/>
    <mergeCell ref="S203:S211"/>
    <mergeCell ref="T203:T211"/>
    <mergeCell ref="R212:R221"/>
    <mergeCell ref="S212:S221"/>
    <mergeCell ref="T212:T221"/>
    <mergeCell ref="U212:U221"/>
    <mergeCell ref="R224:R231"/>
    <mergeCell ref="U224:U231"/>
    <mergeCell ref="S224:S231"/>
    <mergeCell ref="T224:T231"/>
    <mergeCell ref="R232:R242"/>
    <mergeCell ref="S232:S242"/>
    <mergeCell ref="T232:T242"/>
    <mergeCell ref="U232:U242"/>
    <mergeCell ref="S154:S155"/>
    <mergeCell ref="T154:T155"/>
    <mergeCell ref="U154:U155"/>
    <mergeCell ref="S156:S164"/>
    <mergeCell ref="T156:T164"/>
    <mergeCell ref="U156:U164"/>
    <mergeCell ref="S165:S168"/>
    <mergeCell ref="T165:T168"/>
    <mergeCell ref="U165:U168"/>
    <mergeCell ref="R192:R194"/>
    <mergeCell ref="S192:S194"/>
    <mergeCell ref="T192:T194"/>
    <mergeCell ref="U192:U194"/>
    <mergeCell ref="R195:R197"/>
    <mergeCell ref="U195:U197"/>
    <mergeCell ref="S195:S197"/>
    <mergeCell ref="T195:T197"/>
    <mergeCell ref="T182:T185"/>
    <mergeCell ref="U182:U185"/>
    <mergeCell ref="S169:S178"/>
    <mergeCell ref="T169:T178"/>
    <mergeCell ref="U169:U178"/>
    <mergeCell ref="S179:S181"/>
    <mergeCell ref="T179:T181"/>
    <mergeCell ref="U179:U181"/>
    <mergeCell ref="S182:S185"/>
    <mergeCell ref="S718:S720"/>
    <mergeCell ref="T718:T720"/>
    <mergeCell ref="U718:U720"/>
    <mergeCell ref="S243:S246"/>
    <mergeCell ref="T243:T246"/>
    <mergeCell ref="R247:R260"/>
    <mergeCell ref="S247:S260"/>
    <mergeCell ref="T247:T260"/>
    <mergeCell ref="U247:U260"/>
    <mergeCell ref="U261:U266"/>
    <mergeCell ref="S261:S266"/>
    <mergeCell ref="T261:T266"/>
    <mergeCell ref="S267:S270"/>
    <mergeCell ref="T267:T270"/>
    <mergeCell ref="U267:U270"/>
    <mergeCell ref="T271:T273"/>
    <mergeCell ref="U271:U273"/>
    <mergeCell ref="R243:R246"/>
    <mergeCell ref="U243:U246"/>
    <mergeCell ref="S288:S290"/>
    <mergeCell ref="T288:T290"/>
    <mergeCell ref="U288:U290"/>
    <mergeCell ref="R277:R287"/>
    <mergeCell ref="R288:R290"/>
    <mergeCell ref="R542:R546"/>
    <mergeCell ref="S542:S546"/>
    <mergeCell ref="T542:T546"/>
    <mergeCell ref="U542:U546"/>
    <mergeCell ref="R547:R548"/>
    <mergeCell ref="U547:U548"/>
    <mergeCell ref="T664:T666"/>
    <mergeCell ref="U664:U666"/>
    <mergeCell ref="U588:U593"/>
    <mergeCell ref="S594:S600"/>
    <mergeCell ref="T594:T600"/>
    <mergeCell ref="U594:U600"/>
    <mergeCell ref="S601:S604"/>
    <mergeCell ref="R566:R578"/>
    <mergeCell ref="R579:R581"/>
    <mergeCell ref="R582:R587"/>
    <mergeCell ref="R588:R593"/>
    <mergeCell ref="R594:R600"/>
    <mergeCell ref="R601:R604"/>
    <mergeCell ref="R605:R609"/>
    <mergeCell ref="S627:S641"/>
    <mergeCell ref="S642:S645"/>
    <mergeCell ref="T642:T645"/>
    <mergeCell ref="U642:U645"/>
    <mergeCell ref="S646:S650"/>
    <mergeCell ref="T646:T650"/>
    <mergeCell ref="U646:U650"/>
    <mergeCell ref="S605:S609"/>
    <mergeCell ref="T605:T609"/>
    <mergeCell ref="U605:U609"/>
    <mergeCell ref="S610:S615"/>
    <mergeCell ref="T610:T615"/>
    <mergeCell ref="U610:U615"/>
    <mergeCell ref="R610:R615"/>
    <mergeCell ref="R618:R626"/>
    <mergeCell ref="S618:S626"/>
    <mergeCell ref="T618:T626"/>
    <mergeCell ref="U618:U626"/>
    <mergeCell ref="T627:T641"/>
    <mergeCell ref="U627:U641"/>
    <mergeCell ref="S547:S548"/>
    <mergeCell ref="T547:T548"/>
    <mergeCell ref="R549:R565"/>
    <mergeCell ref="S549:S565"/>
    <mergeCell ref="T549:T565"/>
    <mergeCell ref="U549:U565"/>
    <mergeCell ref="U566:U578"/>
    <mergeCell ref="U579:U581"/>
    <mergeCell ref="S566:S578"/>
    <mergeCell ref="T566:T578"/>
    <mergeCell ref="S579:S581"/>
    <mergeCell ref="T579:T581"/>
    <mergeCell ref="S582:S587"/>
    <mergeCell ref="T582:T587"/>
    <mergeCell ref="U582:U587"/>
    <mergeCell ref="T601:T604"/>
    <mergeCell ref="U601:U604"/>
    <mergeCell ref="S588:S593"/>
    <mergeCell ref="T588:T593"/>
    <mergeCell ref="H536:H541"/>
    <mergeCell ref="I536:I541"/>
    <mergeCell ref="J536:J541"/>
    <mergeCell ref="G536:G541"/>
    <mergeCell ref="G542:G546"/>
    <mergeCell ref="H542:H546"/>
    <mergeCell ref="I542:I546"/>
    <mergeCell ref="J542:J546"/>
    <mergeCell ref="G547:G548"/>
    <mergeCell ref="H547:H548"/>
    <mergeCell ref="G467:G469"/>
    <mergeCell ref="G470:G476"/>
    <mergeCell ref="G477:G485"/>
    <mergeCell ref="G486:G490"/>
    <mergeCell ref="G491:G493"/>
    <mergeCell ref="G502:G514"/>
    <mergeCell ref="G515:G524"/>
    <mergeCell ref="G670:G672"/>
    <mergeCell ref="H670:H672"/>
    <mergeCell ref="I670:I672"/>
    <mergeCell ref="J670:J672"/>
    <mergeCell ref="G664:G666"/>
    <mergeCell ref="H664:H666"/>
    <mergeCell ref="I664:I666"/>
    <mergeCell ref="J664:J666"/>
    <mergeCell ref="H667:H669"/>
    <mergeCell ref="I667:I669"/>
    <mergeCell ref="J667:J669"/>
    <mergeCell ref="I446:I451"/>
    <mergeCell ref="G457:G463"/>
    <mergeCell ref="G464:G466"/>
    <mergeCell ref="J464:J466"/>
    <mergeCell ref="H467:H469"/>
    <mergeCell ref="I467:I469"/>
    <mergeCell ref="J467:J469"/>
    <mergeCell ref="J496:J501"/>
    <mergeCell ref="J515:J524"/>
    <mergeCell ref="G525:G526"/>
    <mergeCell ref="H525:H526"/>
    <mergeCell ref="I525:I526"/>
    <mergeCell ref="J525:J526"/>
    <mergeCell ref="H527:H529"/>
    <mergeCell ref="I527:I529"/>
    <mergeCell ref="J527:J529"/>
    <mergeCell ref="G527:G529"/>
    <mergeCell ref="G530:G535"/>
    <mergeCell ref="H530:H535"/>
    <mergeCell ref="I530:I535"/>
    <mergeCell ref="J530:J535"/>
    <mergeCell ref="G642:G645"/>
    <mergeCell ref="H642:H645"/>
    <mergeCell ref="I642:I645"/>
    <mergeCell ref="J642:J645"/>
    <mergeCell ref="H646:H650"/>
    <mergeCell ref="I646:I650"/>
    <mergeCell ref="J646:J650"/>
    <mergeCell ref="I656:I663"/>
    <mergeCell ref="J656:J663"/>
    <mergeCell ref="G646:G650"/>
    <mergeCell ref="G651:G655"/>
    <mergeCell ref="H651:H655"/>
    <mergeCell ref="I651:I655"/>
    <mergeCell ref="J651:J655"/>
    <mergeCell ref="G656:G663"/>
    <mergeCell ref="H656:H663"/>
    <mergeCell ref="G667:G669"/>
    <mergeCell ref="H549:H565"/>
    <mergeCell ref="I549:I565"/>
    <mergeCell ref="J549:J565"/>
    <mergeCell ref="G549:G565"/>
    <mergeCell ref="G566:G578"/>
    <mergeCell ref="H566:H578"/>
    <mergeCell ref="I566:I578"/>
    <mergeCell ref="J566:J578"/>
    <mergeCell ref="G579:G581"/>
    <mergeCell ref="H579:H581"/>
    <mergeCell ref="I627:I641"/>
    <mergeCell ref="J627:J641"/>
    <mergeCell ref="G610:G615"/>
    <mergeCell ref="G618:G626"/>
    <mergeCell ref="H618:H626"/>
    <mergeCell ref="I618:I626"/>
    <mergeCell ref="J618:J626"/>
    <mergeCell ref="G627:G641"/>
    <mergeCell ref="H627:H641"/>
    <mergeCell ref="I579:I581"/>
    <mergeCell ref="J579:J581"/>
    <mergeCell ref="G582:G587"/>
    <mergeCell ref="G588:G593"/>
    <mergeCell ref="G594:G600"/>
    <mergeCell ref="G601:G604"/>
    <mergeCell ref="G605:G609"/>
    <mergeCell ref="M423:M437"/>
    <mergeCell ref="I423:I437"/>
    <mergeCell ref="J423:J437"/>
    <mergeCell ref="I438:I443"/>
    <mergeCell ref="J438:J443"/>
    <mergeCell ref="I444:I445"/>
    <mergeCell ref="J444:J445"/>
    <mergeCell ref="J446:J451"/>
    <mergeCell ref="M438:M443"/>
    <mergeCell ref="M444:M445"/>
    <mergeCell ref="M446:M451"/>
    <mergeCell ref="M452:M456"/>
    <mergeCell ref="M457:M463"/>
    <mergeCell ref="M464:M466"/>
    <mergeCell ref="M467:M469"/>
    <mergeCell ref="I547:I548"/>
    <mergeCell ref="J547:J548"/>
    <mergeCell ref="M394:M408"/>
    <mergeCell ref="G409:G414"/>
    <mergeCell ref="H409:H414"/>
    <mergeCell ref="I409:I414"/>
    <mergeCell ref="J409:J414"/>
    <mergeCell ref="M409:M414"/>
    <mergeCell ref="G415:G416"/>
    <mergeCell ref="H415:H416"/>
    <mergeCell ref="M415:M416"/>
    <mergeCell ref="I415:I416"/>
    <mergeCell ref="J415:J416"/>
    <mergeCell ref="G417:G418"/>
    <mergeCell ref="H417:H418"/>
    <mergeCell ref="I417:I418"/>
    <mergeCell ref="J417:J418"/>
    <mergeCell ref="M417:M418"/>
    <mergeCell ref="G419:G422"/>
    <mergeCell ref="H419:H422"/>
    <mergeCell ref="I419:I422"/>
    <mergeCell ref="J419:J422"/>
    <mergeCell ref="M419:M422"/>
    <mergeCell ref="H334:H344"/>
    <mergeCell ref="I334:I344"/>
    <mergeCell ref="L352:L493"/>
    <mergeCell ref="J354:J361"/>
    <mergeCell ref="J364:J367"/>
    <mergeCell ref="J388:J393"/>
    <mergeCell ref="L496:L615"/>
    <mergeCell ref="I354:I361"/>
    <mergeCell ref="I452:I456"/>
    <mergeCell ref="H470:H476"/>
    <mergeCell ref="I470:I476"/>
    <mergeCell ref="J470:J476"/>
    <mergeCell ref="H477:H485"/>
    <mergeCell ref="I477:I485"/>
    <mergeCell ref="J477:J485"/>
    <mergeCell ref="H486:H490"/>
    <mergeCell ref="I486:I490"/>
    <mergeCell ref="J486:J490"/>
    <mergeCell ref="H491:H493"/>
    <mergeCell ref="I491:I493"/>
    <mergeCell ref="J491:J493"/>
    <mergeCell ref="I502:I514"/>
    <mergeCell ref="J502:J514"/>
    <mergeCell ref="H515:H524"/>
    <mergeCell ref="I515:I524"/>
    <mergeCell ref="I362:I363"/>
    <mergeCell ref="J362:J363"/>
    <mergeCell ref="H368:H374"/>
    <mergeCell ref="I368:I374"/>
    <mergeCell ref="J368:J374"/>
    <mergeCell ref="J375:J381"/>
    <mergeCell ref="H375:H381"/>
    <mergeCell ref="H582:H587"/>
    <mergeCell ref="I582:I587"/>
    <mergeCell ref="J582:J587"/>
    <mergeCell ref="H588:H593"/>
    <mergeCell ref="I588:I593"/>
    <mergeCell ref="J588:J593"/>
    <mergeCell ref="H594:H600"/>
    <mergeCell ref="I594:I600"/>
    <mergeCell ref="J594:J600"/>
    <mergeCell ref="H601:H604"/>
    <mergeCell ref="I601:I604"/>
    <mergeCell ref="J601:J604"/>
    <mergeCell ref="H605:H609"/>
    <mergeCell ref="I605:I609"/>
    <mergeCell ref="J605:J609"/>
    <mergeCell ref="H610:H615"/>
    <mergeCell ref="I610:I615"/>
    <mergeCell ref="J610:J615"/>
    <mergeCell ref="J382:J383"/>
    <mergeCell ref="H384:H385"/>
    <mergeCell ref="I384:I385"/>
    <mergeCell ref="J384:J385"/>
    <mergeCell ref="H386:H387"/>
    <mergeCell ref="I386:I387"/>
    <mergeCell ref="J386:J387"/>
    <mergeCell ref="H388:H393"/>
    <mergeCell ref="I388:I393"/>
    <mergeCell ref="J452:J456"/>
    <mergeCell ref="H457:H463"/>
    <mergeCell ref="I457:I463"/>
    <mergeCell ref="J457:J463"/>
    <mergeCell ref="H464:H466"/>
    <mergeCell ref="I464:I466"/>
    <mergeCell ref="H354:H361"/>
    <mergeCell ref="H502:H514"/>
    <mergeCell ref="I375:I381"/>
    <mergeCell ref="H394:H408"/>
    <mergeCell ref="I394:I408"/>
    <mergeCell ref="J394:J408"/>
    <mergeCell ref="H423:H437"/>
    <mergeCell ref="B536:B541"/>
    <mergeCell ref="B542:B546"/>
    <mergeCell ref="B547:B548"/>
    <mergeCell ref="B549:B565"/>
    <mergeCell ref="B566:B578"/>
    <mergeCell ref="B579:B581"/>
    <mergeCell ref="B582:B587"/>
    <mergeCell ref="B588:B593"/>
    <mergeCell ref="B594:B600"/>
    <mergeCell ref="B601:B604"/>
    <mergeCell ref="B605:B609"/>
    <mergeCell ref="B610:B615"/>
    <mergeCell ref="A616:C616"/>
    <mergeCell ref="A617:C617"/>
    <mergeCell ref="B470:B476"/>
    <mergeCell ref="B477:B485"/>
    <mergeCell ref="A496:A615"/>
    <mergeCell ref="B496:B501"/>
    <mergeCell ref="B502:B514"/>
    <mergeCell ref="B515:B524"/>
    <mergeCell ref="B525:B526"/>
    <mergeCell ref="B486:B490"/>
    <mergeCell ref="B491:B493"/>
    <mergeCell ref="A494:C494"/>
    <mergeCell ref="A495:C495"/>
    <mergeCell ref="B345:B346"/>
    <mergeCell ref="G345:G346"/>
    <mergeCell ref="B364:B367"/>
    <mergeCell ref="B368:B374"/>
    <mergeCell ref="B375:B381"/>
    <mergeCell ref="B382:B383"/>
    <mergeCell ref="G382:G383"/>
    <mergeCell ref="G384:G385"/>
    <mergeCell ref="G386:G387"/>
    <mergeCell ref="G388:G393"/>
    <mergeCell ref="B384:B385"/>
    <mergeCell ref="B386:B387"/>
    <mergeCell ref="G452:G456"/>
    <mergeCell ref="H452:H456"/>
    <mergeCell ref="G496:G501"/>
    <mergeCell ref="H496:H501"/>
    <mergeCell ref="I496:I501"/>
    <mergeCell ref="G423:G437"/>
    <mergeCell ref="G438:G443"/>
    <mergeCell ref="H438:H443"/>
    <mergeCell ref="G444:G445"/>
    <mergeCell ref="H444:H445"/>
    <mergeCell ref="G446:G451"/>
    <mergeCell ref="H446:H451"/>
    <mergeCell ref="H362:H363"/>
    <mergeCell ref="H382:H383"/>
    <mergeCell ref="I382:I383"/>
    <mergeCell ref="G368:G374"/>
    <mergeCell ref="G375:G381"/>
    <mergeCell ref="G394:G408"/>
    <mergeCell ref="B423:B437"/>
    <mergeCell ref="B438:B443"/>
    <mergeCell ref="H320:H323"/>
    <mergeCell ref="I320:I323"/>
    <mergeCell ref="B324:B327"/>
    <mergeCell ref="G324:G327"/>
    <mergeCell ref="H324:H327"/>
    <mergeCell ref="I324:I327"/>
    <mergeCell ref="H224:H231"/>
    <mergeCell ref="G247:G260"/>
    <mergeCell ref="H247:H260"/>
    <mergeCell ref="H198:H202"/>
    <mergeCell ref="I198:I202"/>
    <mergeCell ref="A224:A346"/>
    <mergeCell ref="I224:I231"/>
    <mergeCell ref="I247:I260"/>
    <mergeCell ref="I261:I266"/>
    <mergeCell ref="I267:I270"/>
    <mergeCell ref="G364:G367"/>
    <mergeCell ref="H364:H367"/>
    <mergeCell ref="I364:I367"/>
    <mergeCell ref="H345:H346"/>
    <mergeCell ref="I345:I346"/>
    <mergeCell ref="G352:G353"/>
    <mergeCell ref="H352:H353"/>
    <mergeCell ref="I352:I353"/>
    <mergeCell ref="G354:G361"/>
    <mergeCell ref="G362:G363"/>
    <mergeCell ref="B328:B333"/>
    <mergeCell ref="G328:G333"/>
    <mergeCell ref="H328:H333"/>
    <mergeCell ref="I328:I333"/>
    <mergeCell ref="B334:B344"/>
    <mergeCell ref="G334:G344"/>
    <mergeCell ref="S536:S541"/>
    <mergeCell ref="T536:T541"/>
    <mergeCell ref="S527:S529"/>
    <mergeCell ref="T527:T529"/>
    <mergeCell ref="R530:R535"/>
    <mergeCell ref="S530:S535"/>
    <mergeCell ref="T530:T535"/>
    <mergeCell ref="U530:U535"/>
    <mergeCell ref="R536:R541"/>
    <mergeCell ref="U536:U541"/>
    <mergeCell ref="B288:B290"/>
    <mergeCell ref="G288:G290"/>
    <mergeCell ref="H288:H290"/>
    <mergeCell ref="I288:I290"/>
    <mergeCell ref="B291:B297"/>
    <mergeCell ref="G291:G297"/>
    <mergeCell ref="H291:H297"/>
    <mergeCell ref="I291:I297"/>
    <mergeCell ref="B298:B304"/>
    <mergeCell ref="G298:G304"/>
    <mergeCell ref="H298:H304"/>
    <mergeCell ref="I298:I304"/>
    <mergeCell ref="B305:B315"/>
    <mergeCell ref="G305:G315"/>
    <mergeCell ref="H305:H315"/>
    <mergeCell ref="I305:I315"/>
    <mergeCell ref="B316:B319"/>
    <mergeCell ref="G316:G319"/>
    <mergeCell ref="H316:H319"/>
    <mergeCell ref="I316:I319"/>
    <mergeCell ref="B320:B323"/>
    <mergeCell ref="G320:G323"/>
    <mergeCell ref="R486:R490"/>
    <mergeCell ref="U486:U490"/>
    <mergeCell ref="S486:S490"/>
    <mergeCell ref="T486:T490"/>
    <mergeCell ref="R491:R493"/>
    <mergeCell ref="S491:S493"/>
    <mergeCell ref="T491:T493"/>
    <mergeCell ref="U491:U493"/>
    <mergeCell ref="R496:R501"/>
    <mergeCell ref="U496:U501"/>
    <mergeCell ref="S496:S501"/>
    <mergeCell ref="T496:T501"/>
    <mergeCell ref="R502:R514"/>
    <mergeCell ref="S502:S514"/>
    <mergeCell ref="T502:T514"/>
    <mergeCell ref="U502:U514"/>
    <mergeCell ref="R515:R524"/>
    <mergeCell ref="U515:U524"/>
    <mergeCell ref="T457:T463"/>
    <mergeCell ref="U457:U463"/>
    <mergeCell ref="R464:R466"/>
    <mergeCell ref="U464:U466"/>
    <mergeCell ref="S464:S466"/>
    <mergeCell ref="T464:T466"/>
    <mergeCell ref="R467:R469"/>
    <mergeCell ref="S467:S469"/>
    <mergeCell ref="T467:T469"/>
    <mergeCell ref="U467:U469"/>
    <mergeCell ref="R470:R476"/>
    <mergeCell ref="U470:U476"/>
    <mergeCell ref="S470:S476"/>
    <mergeCell ref="T470:T476"/>
    <mergeCell ref="R477:R485"/>
    <mergeCell ref="S477:S485"/>
    <mergeCell ref="T477:T485"/>
    <mergeCell ref="U477:U485"/>
    <mergeCell ref="R527:R529"/>
    <mergeCell ref="U527:U529"/>
    <mergeCell ref="R354:R361"/>
    <mergeCell ref="R362:R363"/>
    <mergeCell ref="R345:R346"/>
    <mergeCell ref="S345:S346"/>
    <mergeCell ref="T345:T346"/>
    <mergeCell ref="U345:U346"/>
    <mergeCell ref="S354:S361"/>
    <mergeCell ref="T354:T361"/>
    <mergeCell ref="U354:U361"/>
    <mergeCell ref="U362:U363"/>
    <mergeCell ref="T417:T418"/>
    <mergeCell ref="U417:U418"/>
    <mergeCell ref="R409:R414"/>
    <mergeCell ref="R415:R416"/>
    <mergeCell ref="S415:S416"/>
    <mergeCell ref="T415:T416"/>
    <mergeCell ref="U415:U416"/>
    <mergeCell ref="R417:R418"/>
    <mergeCell ref="S417:S418"/>
    <mergeCell ref="R419:R422"/>
    <mergeCell ref="S419:S422"/>
    <mergeCell ref="T419:T422"/>
    <mergeCell ref="U419:U422"/>
    <mergeCell ref="S423:S437"/>
    <mergeCell ref="T423:T437"/>
    <mergeCell ref="U423:U437"/>
    <mergeCell ref="R423:R437"/>
    <mergeCell ref="R438:R443"/>
    <mergeCell ref="S438:S443"/>
    <mergeCell ref="T438:T443"/>
    <mergeCell ref="T305:T315"/>
    <mergeCell ref="U305:U315"/>
    <mergeCell ref="R316:R319"/>
    <mergeCell ref="S316:S319"/>
    <mergeCell ref="R320:R323"/>
    <mergeCell ref="S320:S323"/>
    <mergeCell ref="T320:T323"/>
    <mergeCell ref="U320:U323"/>
    <mergeCell ref="S324:S327"/>
    <mergeCell ref="T324:T327"/>
    <mergeCell ref="U324:U327"/>
    <mergeCell ref="S515:S524"/>
    <mergeCell ref="T515:T524"/>
    <mergeCell ref="R525:R526"/>
    <mergeCell ref="S525:S526"/>
    <mergeCell ref="T525:T526"/>
    <mergeCell ref="U525:U526"/>
    <mergeCell ref="U438:U443"/>
    <mergeCell ref="R444:R445"/>
    <mergeCell ref="S444:S445"/>
    <mergeCell ref="T444:T445"/>
    <mergeCell ref="U444:U445"/>
    <mergeCell ref="R446:R451"/>
    <mergeCell ref="S446:S451"/>
    <mergeCell ref="T446:T451"/>
    <mergeCell ref="U446:U451"/>
    <mergeCell ref="R452:R456"/>
    <mergeCell ref="U452:U456"/>
    <mergeCell ref="S452:S456"/>
    <mergeCell ref="T452:T456"/>
    <mergeCell ref="R457:R463"/>
    <mergeCell ref="S457:S463"/>
    <mergeCell ref="S409:S414"/>
    <mergeCell ref="T409:T414"/>
    <mergeCell ref="S362:S363"/>
    <mergeCell ref="T362:T363"/>
    <mergeCell ref="R394:R408"/>
    <mergeCell ref="S394:S408"/>
    <mergeCell ref="T394:T408"/>
    <mergeCell ref="U394:U408"/>
    <mergeCell ref="U409:U414"/>
    <mergeCell ref="S271:S273"/>
    <mergeCell ref="S274:S276"/>
    <mergeCell ref="T274:T276"/>
    <mergeCell ref="U274:U276"/>
    <mergeCell ref="R261:R266"/>
    <mergeCell ref="R267:R270"/>
    <mergeCell ref="R271:R273"/>
    <mergeCell ref="R274:R276"/>
    <mergeCell ref="S277:S287"/>
    <mergeCell ref="T277:T287"/>
    <mergeCell ref="U277:U287"/>
    <mergeCell ref="R291:R297"/>
    <mergeCell ref="S291:S297"/>
    <mergeCell ref="T291:T297"/>
    <mergeCell ref="U291:U297"/>
    <mergeCell ref="S298:S304"/>
    <mergeCell ref="T298:T304"/>
    <mergeCell ref="U298:U304"/>
    <mergeCell ref="T316:T319"/>
    <mergeCell ref="U316:U319"/>
    <mergeCell ref="R298:R304"/>
    <mergeCell ref="R305:R315"/>
    <mergeCell ref="S305:S315"/>
  </mergeCells>
  <conditionalFormatting sqref="J1 U1 J3:J10 U3:U10">
    <cfRule type="cellIs" dxfId="9" priority="1" operator="between">
      <formula>"50%"</formula>
      <formula>"75%"</formula>
    </cfRule>
    <cfRule type="cellIs" dxfId="8" priority="2" operator="greaterThan">
      <formula>"75%"</formula>
    </cfRule>
    <cfRule type="cellIs" dxfId="7" priority="3" operator="lessThanOrEqual">
      <formula>"50%"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317"/>
  <sheetViews>
    <sheetView workbookViewId="0"/>
  </sheetViews>
  <sheetFormatPr baseColWidth="10" defaultColWidth="12.6640625" defaultRowHeight="15.75" customHeight="1"/>
  <cols>
    <col min="2" max="2" width="24.1640625" customWidth="1"/>
    <col min="3" max="3" width="47.5" customWidth="1"/>
    <col min="4" max="4" width="21" customWidth="1"/>
    <col min="5" max="5" width="15.1640625" customWidth="1"/>
    <col min="6" max="6" width="15.6640625" customWidth="1"/>
    <col min="7" max="7" width="25" customWidth="1"/>
    <col min="8" max="8" width="14.33203125" customWidth="1"/>
    <col min="9" max="9" width="15.1640625" customWidth="1"/>
    <col min="10" max="10" width="23" customWidth="1"/>
    <col min="13" max="13" width="12.83203125" customWidth="1"/>
    <col min="14" max="14" width="65.33203125" customWidth="1"/>
    <col min="15" max="15" width="21" customWidth="1"/>
    <col min="16" max="16" width="15.1640625" customWidth="1"/>
    <col min="17" max="17" width="13.6640625" customWidth="1"/>
    <col min="18" max="18" width="22.5" customWidth="1"/>
    <col min="19" max="20" width="13.83203125" customWidth="1"/>
    <col min="21" max="21" width="14.6640625" customWidth="1"/>
  </cols>
  <sheetData>
    <row r="1" spans="1:21" ht="18">
      <c r="B1" s="36"/>
      <c r="C1" s="272" t="s">
        <v>648</v>
      </c>
      <c r="D1" s="236"/>
      <c r="E1" s="236"/>
      <c r="F1" s="236"/>
      <c r="G1" s="236"/>
      <c r="H1" s="236"/>
      <c r="I1" s="36"/>
      <c r="J1" s="36"/>
      <c r="M1" s="36"/>
      <c r="N1" s="272" t="s">
        <v>649</v>
      </c>
      <c r="O1" s="236"/>
      <c r="P1" s="236"/>
      <c r="Q1" s="236"/>
      <c r="R1" s="236"/>
      <c r="S1" s="236"/>
      <c r="T1" s="36"/>
      <c r="U1" s="36"/>
    </row>
    <row r="2" spans="1:21" ht="18">
      <c r="B2" s="37" t="s">
        <v>12</v>
      </c>
      <c r="C2" s="38" t="s">
        <v>13</v>
      </c>
      <c r="D2" s="38" t="s">
        <v>14</v>
      </c>
      <c r="E2" s="38" t="s">
        <v>15</v>
      </c>
      <c r="F2" s="38" t="s">
        <v>16</v>
      </c>
      <c r="G2" s="39" t="s">
        <v>17</v>
      </c>
      <c r="H2" s="39" t="s">
        <v>18</v>
      </c>
      <c r="I2" s="39" t="s">
        <v>19</v>
      </c>
      <c r="J2" s="40" t="s">
        <v>20</v>
      </c>
      <c r="M2" s="37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9" t="s">
        <v>17</v>
      </c>
      <c r="S2" s="39" t="s">
        <v>18</v>
      </c>
      <c r="T2" s="39" t="s">
        <v>19</v>
      </c>
      <c r="U2" s="40" t="s">
        <v>20</v>
      </c>
    </row>
    <row r="3" spans="1:21" ht="13">
      <c r="A3" s="269" t="s">
        <v>650</v>
      </c>
      <c r="B3" s="244" t="s">
        <v>651</v>
      </c>
      <c r="C3" s="15" t="s">
        <v>23</v>
      </c>
      <c r="D3" s="16">
        <v>35</v>
      </c>
      <c r="E3" s="16">
        <v>16</v>
      </c>
      <c r="F3" s="17">
        <f t="shared" ref="F3:F12" si="0">D3*E3</f>
        <v>560</v>
      </c>
      <c r="G3" s="240">
        <f>SUM(F3:F19)</f>
        <v>6549.9600000000009</v>
      </c>
      <c r="H3" s="240">
        <v>7000</v>
      </c>
      <c r="I3" s="240">
        <f>H3-G3</f>
        <v>450.03999999999905</v>
      </c>
      <c r="J3" s="241">
        <f>I3/H3</f>
        <v>6.429142857142843E-2</v>
      </c>
      <c r="L3" s="269" t="s">
        <v>650</v>
      </c>
      <c r="M3" s="244" t="s">
        <v>651</v>
      </c>
      <c r="N3" s="15" t="s">
        <v>23</v>
      </c>
      <c r="O3" s="43"/>
      <c r="P3" s="43"/>
      <c r="Q3" s="43"/>
      <c r="R3" s="240">
        <f>SUM(Q3:Q19)</f>
        <v>5695.9600000000009</v>
      </c>
      <c r="S3" s="240">
        <v>7000</v>
      </c>
      <c r="T3" s="240">
        <f>S3-R3</f>
        <v>1304.0399999999991</v>
      </c>
      <c r="U3" s="241">
        <f>T3/S3</f>
        <v>0.18629142857142844</v>
      </c>
    </row>
    <row r="4" spans="1:21" ht="13">
      <c r="A4" s="270"/>
      <c r="B4" s="245"/>
      <c r="C4" s="19" t="s">
        <v>87</v>
      </c>
      <c r="D4" s="17">
        <v>14</v>
      </c>
      <c r="E4" s="17">
        <v>21</v>
      </c>
      <c r="F4" s="17">
        <f t="shared" si="0"/>
        <v>294</v>
      </c>
      <c r="G4" s="236"/>
      <c r="H4" s="236"/>
      <c r="I4" s="236"/>
      <c r="J4" s="242"/>
      <c r="L4" s="270"/>
      <c r="M4" s="245"/>
      <c r="N4" s="19" t="s">
        <v>87</v>
      </c>
      <c r="O4" s="18"/>
      <c r="P4" s="18"/>
      <c r="Q4" s="18"/>
      <c r="R4" s="236"/>
      <c r="S4" s="236"/>
      <c r="T4" s="236"/>
      <c r="U4" s="242"/>
    </row>
    <row r="5" spans="1:21" ht="13">
      <c r="A5" s="270"/>
      <c r="B5" s="245"/>
      <c r="C5" s="19" t="s">
        <v>586</v>
      </c>
      <c r="D5" s="17">
        <v>36.4</v>
      </c>
      <c r="E5" s="17">
        <v>17</v>
      </c>
      <c r="F5" s="17">
        <f t="shared" si="0"/>
        <v>618.79999999999995</v>
      </c>
      <c r="G5" s="236"/>
      <c r="H5" s="236"/>
      <c r="I5" s="236"/>
      <c r="J5" s="242"/>
      <c r="L5" s="270"/>
      <c r="M5" s="245"/>
      <c r="N5" s="19" t="s">
        <v>586</v>
      </c>
      <c r="O5" s="17">
        <v>36.4</v>
      </c>
      <c r="P5" s="17">
        <v>17</v>
      </c>
      <c r="Q5" s="17">
        <f t="shared" ref="Q5:Q12" si="1">O5*P5</f>
        <v>618.79999999999995</v>
      </c>
      <c r="R5" s="236"/>
      <c r="S5" s="236"/>
      <c r="T5" s="236"/>
      <c r="U5" s="242"/>
    </row>
    <row r="6" spans="1:21" ht="13">
      <c r="A6" s="270"/>
      <c r="B6" s="245"/>
      <c r="C6" s="19" t="s">
        <v>80</v>
      </c>
      <c r="D6" s="17">
        <v>24.5</v>
      </c>
      <c r="E6" s="17">
        <v>17</v>
      </c>
      <c r="F6" s="17">
        <f t="shared" si="0"/>
        <v>416.5</v>
      </c>
      <c r="G6" s="236"/>
      <c r="H6" s="236"/>
      <c r="I6" s="236"/>
      <c r="J6" s="242"/>
      <c r="L6" s="270"/>
      <c r="M6" s="245"/>
      <c r="N6" s="19" t="s">
        <v>80</v>
      </c>
      <c r="O6" s="17">
        <v>24.5</v>
      </c>
      <c r="P6" s="17">
        <v>17</v>
      </c>
      <c r="Q6" s="17">
        <f t="shared" si="1"/>
        <v>416.5</v>
      </c>
      <c r="R6" s="236"/>
      <c r="S6" s="236"/>
      <c r="T6" s="236"/>
      <c r="U6" s="242"/>
    </row>
    <row r="7" spans="1:21" ht="13">
      <c r="A7" s="270"/>
      <c r="B7" s="245"/>
      <c r="C7" s="19" t="s">
        <v>70</v>
      </c>
      <c r="D7" s="17">
        <v>30</v>
      </c>
      <c r="E7" s="17">
        <v>17</v>
      </c>
      <c r="F7" s="17">
        <f t="shared" si="0"/>
        <v>510</v>
      </c>
      <c r="G7" s="236"/>
      <c r="H7" s="236"/>
      <c r="I7" s="236"/>
      <c r="J7" s="242"/>
      <c r="L7" s="270"/>
      <c r="M7" s="245"/>
      <c r="N7" s="19" t="s">
        <v>70</v>
      </c>
      <c r="O7" s="17">
        <v>30</v>
      </c>
      <c r="P7" s="17">
        <v>17</v>
      </c>
      <c r="Q7" s="17">
        <f t="shared" si="1"/>
        <v>510</v>
      </c>
      <c r="R7" s="236"/>
      <c r="S7" s="236"/>
      <c r="T7" s="236"/>
      <c r="U7" s="242"/>
    </row>
    <row r="8" spans="1:21" ht="13">
      <c r="A8" s="270"/>
      <c r="B8" s="245"/>
      <c r="C8" s="19" t="s">
        <v>32</v>
      </c>
      <c r="D8" s="17">
        <v>35.69</v>
      </c>
      <c r="E8" s="17">
        <v>17</v>
      </c>
      <c r="F8" s="17">
        <f t="shared" si="0"/>
        <v>606.73</v>
      </c>
      <c r="G8" s="236"/>
      <c r="H8" s="236"/>
      <c r="I8" s="236"/>
      <c r="J8" s="242"/>
      <c r="L8" s="270"/>
      <c r="M8" s="245"/>
      <c r="N8" s="19" t="s">
        <v>32</v>
      </c>
      <c r="O8" s="17">
        <v>35.69</v>
      </c>
      <c r="P8" s="17">
        <v>17</v>
      </c>
      <c r="Q8" s="17">
        <f t="shared" si="1"/>
        <v>606.73</v>
      </c>
      <c r="R8" s="236"/>
      <c r="S8" s="236"/>
      <c r="T8" s="236"/>
      <c r="U8" s="242"/>
    </row>
    <row r="9" spans="1:21" ht="13">
      <c r="A9" s="270"/>
      <c r="B9" s="245"/>
      <c r="C9" s="19" t="s">
        <v>652</v>
      </c>
      <c r="D9" s="17">
        <v>16.61</v>
      </c>
      <c r="E9" s="17">
        <v>15</v>
      </c>
      <c r="F9" s="17">
        <f t="shared" si="0"/>
        <v>249.14999999999998</v>
      </c>
      <c r="G9" s="236"/>
      <c r="H9" s="236"/>
      <c r="I9" s="236"/>
      <c r="J9" s="242"/>
      <c r="L9" s="270"/>
      <c r="M9" s="245"/>
      <c r="N9" s="19" t="s">
        <v>652</v>
      </c>
      <c r="O9" s="17">
        <v>16.61</v>
      </c>
      <c r="P9" s="17">
        <v>15</v>
      </c>
      <c r="Q9" s="17">
        <f t="shared" si="1"/>
        <v>249.14999999999998</v>
      </c>
      <c r="R9" s="236"/>
      <c r="S9" s="236"/>
      <c r="T9" s="236"/>
      <c r="U9" s="242"/>
    </row>
    <row r="10" spans="1:21" ht="13">
      <c r="A10" s="270"/>
      <c r="B10" s="245"/>
      <c r="C10" s="19" t="s">
        <v>583</v>
      </c>
      <c r="D10" s="17">
        <v>27.33</v>
      </c>
      <c r="E10" s="17">
        <v>17</v>
      </c>
      <c r="F10" s="17">
        <f t="shared" si="0"/>
        <v>464.60999999999996</v>
      </c>
      <c r="G10" s="236"/>
      <c r="H10" s="236"/>
      <c r="I10" s="236"/>
      <c r="J10" s="242"/>
      <c r="L10" s="270"/>
      <c r="M10" s="245"/>
      <c r="N10" s="19" t="s">
        <v>583</v>
      </c>
      <c r="O10" s="17">
        <v>27.33</v>
      </c>
      <c r="P10" s="17">
        <v>17</v>
      </c>
      <c r="Q10" s="17">
        <f t="shared" si="1"/>
        <v>464.60999999999996</v>
      </c>
      <c r="R10" s="236"/>
      <c r="S10" s="236"/>
      <c r="T10" s="236"/>
      <c r="U10" s="242"/>
    </row>
    <row r="11" spans="1:21" ht="13">
      <c r="A11" s="270"/>
      <c r="B11" s="245"/>
      <c r="C11" s="19" t="s">
        <v>653</v>
      </c>
      <c r="D11" s="17">
        <v>10.68</v>
      </c>
      <c r="E11" s="17">
        <v>15</v>
      </c>
      <c r="F11" s="17">
        <f t="shared" si="0"/>
        <v>160.19999999999999</v>
      </c>
      <c r="G11" s="236"/>
      <c r="H11" s="236"/>
      <c r="I11" s="236"/>
      <c r="J11" s="242"/>
      <c r="L11" s="270"/>
      <c r="M11" s="245"/>
      <c r="N11" s="19" t="s">
        <v>653</v>
      </c>
      <c r="O11" s="17">
        <v>10.68</v>
      </c>
      <c r="P11" s="17">
        <v>15</v>
      </c>
      <c r="Q11" s="17">
        <f t="shared" si="1"/>
        <v>160.19999999999999</v>
      </c>
      <c r="R11" s="236"/>
      <c r="S11" s="236"/>
      <c r="T11" s="236"/>
      <c r="U11" s="242"/>
    </row>
    <row r="12" spans="1:21" ht="13">
      <c r="A12" s="270"/>
      <c r="B12" s="245"/>
      <c r="C12" s="19" t="s">
        <v>654</v>
      </c>
      <c r="D12" s="17">
        <v>16.32</v>
      </c>
      <c r="E12" s="17">
        <v>17</v>
      </c>
      <c r="F12" s="17">
        <f t="shared" si="0"/>
        <v>277.44</v>
      </c>
      <c r="G12" s="236"/>
      <c r="H12" s="236"/>
      <c r="I12" s="236"/>
      <c r="J12" s="242"/>
      <c r="L12" s="270"/>
      <c r="M12" s="245"/>
      <c r="N12" s="19" t="s">
        <v>654</v>
      </c>
      <c r="O12" s="17">
        <v>16.32</v>
      </c>
      <c r="P12" s="17">
        <v>17</v>
      </c>
      <c r="Q12" s="17">
        <f t="shared" si="1"/>
        <v>277.44</v>
      </c>
      <c r="R12" s="236"/>
      <c r="S12" s="236"/>
      <c r="T12" s="236"/>
      <c r="U12" s="242"/>
    </row>
    <row r="13" spans="1:21" ht="13">
      <c r="A13" s="270"/>
      <c r="B13" s="245"/>
      <c r="C13" s="19" t="s">
        <v>655</v>
      </c>
      <c r="D13" s="17"/>
      <c r="E13" s="17"/>
      <c r="F13" s="17">
        <v>50</v>
      </c>
      <c r="G13" s="236"/>
      <c r="H13" s="236"/>
      <c r="I13" s="236"/>
      <c r="J13" s="242"/>
      <c r="L13" s="270"/>
      <c r="M13" s="245"/>
      <c r="N13" s="19" t="s">
        <v>655</v>
      </c>
      <c r="O13" s="17"/>
      <c r="P13" s="17"/>
      <c r="Q13" s="17">
        <v>50</v>
      </c>
      <c r="R13" s="236"/>
      <c r="S13" s="236"/>
      <c r="T13" s="236"/>
      <c r="U13" s="242"/>
    </row>
    <row r="14" spans="1:21" ht="13">
      <c r="A14" s="270"/>
      <c r="B14" s="245"/>
      <c r="C14" s="19" t="s">
        <v>48</v>
      </c>
      <c r="D14" s="17"/>
      <c r="E14" s="17"/>
      <c r="F14" s="17">
        <v>283.45999999999998</v>
      </c>
      <c r="G14" s="236"/>
      <c r="H14" s="236"/>
      <c r="I14" s="236"/>
      <c r="J14" s="242"/>
      <c r="L14" s="270"/>
      <c r="M14" s="245"/>
      <c r="N14" s="19" t="s">
        <v>48</v>
      </c>
      <c r="O14" s="17"/>
      <c r="P14" s="17"/>
      <c r="Q14" s="17">
        <v>283.45999999999998</v>
      </c>
      <c r="R14" s="236"/>
      <c r="S14" s="236"/>
      <c r="T14" s="236"/>
      <c r="U14" s="242"/>
    </row>
    <row r="15" spans="1:21" ht="13">
      <c r="A15" s="270"/>
      <c r="B15" s="245"/>
      <c r="C15" s="19" t="s">
        <v>193</v>
      </c>
      <c r="D15" s="17"/>
      <c r="E15" s="17"/>
      <c r="F15" s="17">
        <v>240.8</v>
      </c>
      <c r="G15" s="236"/>
      <c r="H15" s="236"/>
      <c r="I15" s="236"/>
      <c r="J15" s="242"/>
      <c r="L15" s="270"/>
      <c r="M15" s="245"/>
      <c r="N15" s="19" t="s">
        <v>193</v>
      </c>
      <c r="O15" s="17"/>
      <c r="P15" s="17"/>
      <c r="Q15" s="17">
        <v>240.8</v>
      </c>
      <c r="R15" s="236"/>
      <c r="S15" s="236"/>
      <c r="T15" s="236"/>
      <c r="U15" s="242"/>
    </row>
    <row r="16" spans="1:21" ht="13">
      <c r="A16" s="270"/>
      <c r="B16" s="245"/>
      <c r="C16" s="19" t="s">
        <v>45</v>
      </c>
      <c r="D16" s="17"/>
      <c r="E16" s="17"/>
      <c r="F16" s="17">
        <v>456</v>
      </c>
      <c r="G16" s="236"/>
      <c r="H16" s="236"/>
      <c r="I16" s="236"/>
      <c r="J16" s="242"/>
      <c r="L16" s="270"/>
      <c r="M16" s="245"/>
      <c r="N16" s="19" t="s">
        <v>45</v>
      </c>
      <c r="O16" s="17"/>
      <c r="P16" s="17"/>
      <c r="Q16" s="17">
        <v>456</v>
      </c>
      <c r="R16" s="236"/>
      <c r="S16" s="236"/>
      <c r="T16" s="236"/>
      <c r="U16" s="242"/>
    </row>
    <row r="17" spans="1:21" ht="13">
      <c r="A17" s="270"/>
      <c r="B17" s="245"/>
      <c r="C17" s="19" t="s">
        <v>47</v>
      </c>
      <c r="D17" s="17"/>
      <c r="E17" s="17"/>
      <c r="F17" s="17">
        <v>683.75</v>
      </c>
      <c r="G17" s="236"/>
      <c r="H17" s="236"/>
      <c r="I17" s="236"/>
      <c r="J17" s="242"/>
      <c r="L17" s="270"/>
      <c r="M17" s="245"/>
      <c r="N17" s="19" t="s">
        <v>47</v>
      </c>
      <c r="O17" s="17"/>
      <c r="P17" s="17"/>
      <c r="Q17" s="17">
        <v>683.75</v>
      </c>
      <c r="R17" s="236"/>
      <c r="S17" s="236"/>
      <c r="T17" s="236"/>
      <c r="U17" s="242"/>
    </row>
    <row r="18" spans="1:21" ht="13">
      <c r="A18" s="270"/>
      <c r="B18" s="245"/>
      <c r="C18" s="19" t="s">
        <v>242</v>
      </c>
      <c r="D18" s="17"/>
      <c r="E18" s="17"/>
      <c r="F18" s="17">
        <v>363.52</v>
      </c>
      <c r="G18" s="236"/>
      <c r="H18" s="236"/>
      <c r="I18" s="236"/>
      <c r="J18" s="242"/>
      <c r="L18" s="270"/>
      <c r="M18" s="245"/>
      <c r="N18" s="19" t="s">
        <v>242</v>
      </c>
      <c r="O18" s="17"/>
      <c r="P18" s="17"/>
      <c r="Q18" s="17">
        <v>363.52</v>
      </c>
      <c r="R18" s="236"/>
      <c r="S18" s="236"/>
      <c r="T18" s="236"/>
      <c r="U18" s="242"/>
    </row>
    <row r="19" spans="1:21" ht="60" customHeight="1">
      <c r="A19" s="271"/>
      <c r="B19" s="246"/>
      <c r="C19" s="44" t="s">
        <v>656</v>
      </c>
      <c r="D19" s="21"/>
      <c r="E19" s="21"/>
      <c r="F19" s="21">
        <v>315</v>
      </c>
      <c r="G19" s="238"/>
      <c r="H19" s="238"/>
      <c r="I19" s="238"/>
      <c r="J19" s="243"/>
      <c r="L19" s="271"/>
      <c r="M19" s="246"/>
      <c r="N19" s="44" t="s">
        <v>656</v>
      </c>
      <c r="O19" s="21"/>
      <c r="P19" s="21"/>
      <c r="Q19" s="21">
        <v>315</v>
      </c>
      <c r="R19" s="238"/>
      <c r="S19" s="238"/>
      <c r="T19" s="238"/>
      <c r="U19" s="243"/>
    </row>
    <row r="20" spans="1:21" ht="30">
      <c r="A20" s="254" t="s">
        <v>657</v>
      </c>
      <c r="B20" s="255"/>
      <c r="C20" s="256"/>
      <c r="D20" s="27">
        <f t="shared" ref="D20:I20" si="2">AVERAGE(D2:D19)</f>
        <v>24.652999999999999</v>
      </c>
      <c r="E20" s="27">
        <f t="shared" si="2"/>
        <v>16.899999999999999</v>
      </c>
      <c r="F20" s="27">
        <f t="shared" si="2"/>
        <v>385.29176470588243</v>
      </c>
      <c r="G20" s="27">
        <f t="shared" si="2"/>
        <v>6549.9600000000009</v>
      </c>
      <c r="H20" s="27">
        <f t="shared" si="2"/>
        <v>7000</v>
      </c>
      <c r="I20" s="27">
        <f t="shared" si="2"/>
        <v>450.03999999999905</v>
      </c>
      <c r="J20" s="28" t="e">
        <f>AVERAGE($K$12:$K$81)</f>
        <v>#DIV/0!</v>
      </c>
      <c r="L20" s="254" t="s">
        <v>657</v>
      </c>
      <c r="M20" s="255"/>
      <c r="N20" s="256"/>
      <c r="O20" s="27">
        <f t="shared" ref="O20:T20" si="3">AVERAGE(O2:O19)</f>
        <v>24.691249999999997</v>
      </c>
      <c r="P20" s="27">
        <f t="shared" si="3"/>
        <v>16.5</v>
      </c>
      <c r="Q20" s="27">
        <f t="shared" si="3"/>
        <v>379.73066666666671</v>
      </c>
      <c r="R20" s="27">
        <f t="shared" si="3"/>
        <v>5695.9600000000009</v>
      </c>
      <c r="S20" s="27">
        <f t="shared" si="3"/>
        <v>7000</v>
      </c>
      <c r="T20" s="27">
        <f t="shared" si="3"/>
        <v>1304.0399999999991</v>
      </c>
      <c r="U20" s="28" t="e">
        <f>AVERAGE($K$12:$K$81)</f>
        <v>#DIV/0!</v>
      </c>
    </row>
    <row r="21" spans="1:21" ht="30">
      <c r="A21" s="251" t="s">
        <v>658</v>
      </c>
      <c r="B21" s="252"/>
      <c r="C21" s="253"/>
      <c r="D21" s="42">
        <f t="shared" ref="D21:I21" si="4">SUM(D2:D19)</f>
        <v>246.52999999999997</v>
      </c>
      <c r="E21" s="42">
        <f t="shared" si="4"/>
        <v>169</v>
      </c>
      <c r="F21" s="42">
        <f t="shared" si="4"/>
        <v>6549.9600000000009</v>
      </c>
      <c r="G21" s="42">
        <f t="shared" si="4"/>
        <v>6549.9600000000009</v>
      </c>
      <c r="H21" s="42">
        <f t="shared" si="4"/>
        <v>7000</v>
      </c>
      <c r="I21" s="42">
        <f t="shared" si="4"/>
        <v>450.03999999999905</v>
      </c>
      <c r="J21" s="29">
        <f t="shared" ref="J21:J22" si="5">I21/H21</f>
        <v>6.429142857142843E-2</v>
      </c>
      <c r="L21" s="254" t="s">
        <v>658</v>
      </c>
      <c r="M21" s="255"/>
      <c r="N21" s="256"/>
      <c r="O21" s="42">
        <f t="shared" ref="O21:T21" si="6">SUM(O2:O19)</f>
        <v>197.52999999999997</v>
      </c>
      <c r="P21" s="42">
        <f t="shared" si="6"/>
        <v>132</v>
      </c>
      <c r="Q21" s="42">
        <f t="shared" si="6"/>
        <v>5695.9600000000009</v>
      </c>
      <c r="R21" s="42">
        <f t="shared" si="6"/>
        <v>5695.9600000000009</v>
      </c>
      <c r="S21" s="42">
        <f t="shared" si="6"/>
        <v>7000</v>
      </c>
      <c r="T21" s="42">
        <f t="shared" si="6"/>
        <v>1304.0399999999991</v>
      </c>
      <c r="U21" s="29">
        <f t="shared" ref="U21:U22" si="7">T21/S21</f>
        <v>0.18629142857142844</v>
      </c>
    </row>
    <row r="22" spans="1:21" ht="13">
      <c r="A22" s="269" t="s">
        <v>659</v>
      </c>
      <c r="B22" s="291" t="s">
        <v>660</v>
      </c>
      <c r="C22" s="19" t="s">
        <v>23</v>
      </c>
      <c r="D22" s="16">
        <v>21</v>
      </c>
      <c r="E22" s="16">
        <v>16</v>
      </c>
      <c r="F22" s="17">
        <f t="shared" ref="F22:F33" si="8">D22*E22</f>
        <v>336</v>
      </c>
      <c r="G22" s="240">
        <f>SUM(F22:F39)</f>
        <v>5274.89</v>
      </c>
      <c r="H22" s="240">
        <v>7000</v>
      </c>
      <c r="I22" s="240">
        <f>H22-G22</f>
        <v>1725.1099999999997</v>
      </c>
      <c r="J22" s="241">
        <f t="shared" si="5"/>
        <v>0.24644428571428567</v>
      </c>
      <c r="L22" s="269" t="s">
        <v>659</v>
      </c>
      <c r="M22" s="291" t="s">
        <v>660</v>
      </c>
      <c r="N22" s="19" t="s">
        <v>23</v>
      </c>
      <c r="O22" s="43"/>
      <c r="P22" s="43"/>
      <c r="Q22" s="43"/>
      <c r="R22" s="240">
        <f>SUM(Q22:Q39)</f>
        <v>4938.8899999999985</v>
      </c>
      <c r="S22" s="240">
        <v>7000</v>
      </c>
      <c r="T22" s="240">
        <f>S22-R22</f>
        <v>2061.1100000000015</v>
      </c>
      <c r="U22" s="241">
        <f t="shared" si="7"/>
        <v>0.29444428571428594</v>
      </c>
    </row>
    <row r="23" spans="1:21" ht="13">
      <c r="A23" s="270"/>
      <c r="B23" s="245"/>
      <c r="C23" s="19" t="s">
        <v>70</v>
      </c>
      <c r="D23" s="17">
        <v>25</v>
      </c>
      <c r="E23" s="17">
        <v>17</v>
      </c>
      <c r="F23" s="17">
        <f t="shared" si="8"/>
        <v>425</v>
      </c>
      <c r="G23" s="236"/>
      <c r="H23" s="236"/>
      <c r="I23" s="236"/>
      <c r="J23" s="242"/>
      <c r="L23" s="270"/>
      <c r="M23" s="245"/>
      <c r="N23" s="19" t="s">
        <v>70</v>
      </c>
      <c r="O23" s="17">
        <v>25</v>
      </c>
      <c r="P23" s="17">
        <v>17</v>
      </c>
      <c r="Q23" s="17">
        <f t="shared" ref="Q23:Q33" si="9">O23*P23</f>
        <v>425</v>
      </c>
      <c r="R23" s="236"/>
      <c r="S23" s="236"/>
      <c r="T23" s="236"/>
      <c r="U23" s="242"/>
    </row>
    <row r="24" spans="1:21" ht="13">
      <c r="A24" s="270"/>
      <c r="B24" s="245"/>
      <c r="C24" s="19" t="s">
        <v>586</v>
      </c>
      <c r="D24" s="17">
        <v>25.32</v>
      </c>
      <c r="E24" s="17">
        <v>17</v>
      </c>
      <c r="F24" s="17">
        <f t="shared" si="8"/>
        <v>430.44</v>
      </c>
      <c r="G24" s="236"/>
      <c r="H24" s="236"/>
      <c r="I24" s="236"/>
      <c r="J24" s="242"/>
      <c r="L24" s="270"/>
      <c r="M24" s="245"/>
      <c r="N24" s="19" t="s">
        <v>586</v>
      </c>
      <c r="O24" s="17">
        <v>25.32</v>
      </c>
      <c r="P24" s="17">
        <v>17</v>
      </c>
      <c r="Q24" s="17">
        <f t="shared" si="9"/>
        <v>430.44</v>
      </c>
      <c r="R24" s="236"/>
      <c r="S24" s="236"/>
      <c r="T24" s="236"/>
      <c r="U24" s="242"/>
    </row>
    <row r="25" spans="1:21" ht="13">
      <c r="A25" s="270"/>
      <c r="B25" s="245"/>
      <c r="C25" s="19" t="s">
        <v>32</v>
      </c>
      <c r="D25" s="17">
        <v>25.06</v>
      </c>
      <c r="E25" s="17">
        <v>17</v>
      </c>
      <c r="F25" s="17">
        <f t="shared" si="8"/>
        <v>426.02</v>
      </c>
      <c r="G25" s="236"/>
      <c r="H25" s="236"/>
      <c r="I25" s="236"/>
      <c r="J25" s="242"/>
      <c r="L25" s="270"/>
      <c r="M25" s="245"/>
      <c r="N25" s="19" t="s">
        <v>32</v>
      </c>
      <c r="O25" s="17">
        <v>25.06</v>
      </c>
      <c r="P25" s="17">
        <v>17</v>
      </c>
      <c r="Q25" s="17">
        <f t="shared" si="9"/>
        <v>426.02</v>
      </c>
      <c r="R25" s="236"/>
      <c r="S25" s="236"/>
      <c r="T25" s="236"/>
      <c r="U25" s="242"/>
    </row>
    <row r="26" spans="1:21" ht="13">
      <c r="A26" s="270"/>
      <c r="B26" s="245"/>
      <c r="C26" s="24" t="s">
        <v>63</v>
      </c>
      <c r="D26" s="17">
        <v>25.83</v>
      </c>
      <c r="E26" s="17">
        <v>17</v>
      </c>
      <c r="F26" s="17">
        <f t="shared" si="8"/>
        <v>439.10999999999996</v>
      </c>
      <c r="G26" s="236"/>
      <c r="H26" s="236"/>
      <c r="I26" s="236"/>
      <c r="J26" s="242"/>
      <c r="L26" s="270"/>
      <c r="M26" s="245"/>
      <c r="N26" s="24" t="s">
        <v>63</v>
      </c>
      <c r="O26" s="17">
        <v>25.83</v>
      </c>
      <c r="P26" s="17">
        <v>17</v>
      </c>
      <c r="Q26" s="17">
        <f t="shared" si="9"/>
        <v>439.10999999999996</v>
      </c>
      <c r="R26" s="236"/>
      <c r="S26" s="236"/>
      <c r="T26" s="236"/>
      <c r="U26" s="242"/>
    </row>
    <row r="27" spans="1:21" ht="13">
      <c r="A27" s="270"/>
      <c r="B27" s="245"/>
      <c r="C27" s="24" t="s">
        <v>661</v>
      </c>
      <c r="D27" s="17">
        <v>14</v>
      </c>
      <c r="E27" s="17">
        <v>18.5</v>
      </c>
      <c r="F27" s="17">
        <f t="shared" si="8"/>
        <v>259</v>
      </c>
      <c r="G27" s="236"/>
      <c r="H27" s="236"/>
      <c r="I27" s="236"/>
      <c r="J27" s="242"/>
      <c r="L27" s="270"/>
      <c r="M27" s="245"/>
      <c r="N27" s="24" t="s">
        <v>661</v>
      </c>
      <c r="O27" s="17">
        <v>14</v>
      </c>
      <c r="P27" s="17">
        <v>18.5</v>
      </c>
      <c r="Q27" s="17">
        <f t="shared" si="9"/>
        <v>259</v>
      </c>
      <c r="R27" s="236"/>
      <c r="S27" s="236"/>
      <c r="T27" s="236"/>
      <c r="U27" s="242"/>
    </row>
    <row r="28" spans="1:21" ht="13">
      <c r="A28" s="270"/>
      <c r="B28" s="245"/>
      <c r="C28" s="24" t="s">
        <v>576</v>
      </c>
      <c r="D28" s="17">
        <v>19</v>
      </c>
      <c r="E28" s="17">
        <v>18.5</v>
      </c>
      <c r="F28" s="17">
        <f t="shared" si="8"/>
        <v>351.5</v>
      </c>
      <c r="G28" s="236"/>
      <c r="H28" s="236"/>
      <c r="I28" s="236"/>
      <c r="J28" s="242"/>
      <c r="L28" s="270"/>
      <c r="M28" s="245"/>
      <c r="N28" s="24" t="s">
        <v>576</v>
      </c>
      <c r="O28" s="17">
        <v>19</v>
      </c>
      <c r="P28" s="17">
        <v>18.5</v>
      </c>
      <c r="Q28" s="17">
        <f t="shared" si="9"/>
        <v>351.5</v>
      </c>
      <c r="R28" s="236"/>
      <c r="S28" s="236"/>
      <c r="T28" s="236"/>
      <c r="U28" s="242"/>
    </row>
    <row r="29" spans="1:21" ht="13">
      <c r="A29" s="270"/>
      <c r="B29" s="245"/>
      <c r="C29" s="19" t="s">
        <v>662</v>
      </c>
      <c r="D29" s="17">
        <v>6</v>
      </c>
      <c r="E29" s="17">
        <v>17</v>
      </c>
      <c r="F29" s="17">
        <f t="shared" si="8"/>
        <v>102</v>
      </c>
      <c r="G29" s="236"/>
      <c r="H29" s="236"/>
      <c r="I29" s="236"/>
      <c r="J29" s="242"/>
      <c r="L29" s="270"/>
      <c r="M29" s="245"/>
      <c r="N29" s="19" t="s">
        <v>662</v>
      </c>
      <c r="O29" s="17">
        <v>6</v>
      </c>
      <c r="P29" s="17">
        <v>17</v>
      </c>
      <c r="Q29" s="17">
        <f t="shared" si="9"/>
        <v>102</v>
      </c>
      <c r="R29" s="236"/>
      <c r="S29" s="236"/>
      <c r="T29" s="236"/>
      <c r="U29" s="242"/>
    </row>
    <row r="30" spans="1:21" ht="13">
      <c r="A30" s="270"/>
      <c r="B30" s="245"/>
      <c r="C30" s="19" t="s">
        <v>578</v>
      </c>
      <c r="D30" s="17">
        <v>17.670000000000002</v>
      </c>
      <c r="E30" s="17">
        <v>15</v>
      </c>
      <c r="F30" s="17">
        <f t="shared" si="8"/>
        <v>265.05</v>
      </c>
      <c r="G30" s="236"/>
      <c r="H30" s="236"/>
      <c r="I30" s="236"/>
      <c r="J30" s="242"/>
      <c r="L30" s="270"/>
      <c r="M30" s="245"/>
      <c r="N30" s="19" t="s">
        <v>578</v>
      </c>
      <c r="O30" s="17">
        <v>17.670000000000002</v>
      </c>
      <c r="P30" s="17">
        <v>15</v>
      </c>
      <c r="Q30" s="17">
        <f t="shared" si="9"/>
        <v>265.05</v>
      </c>
      <c r="R30" s="236"/>
      <c r="S30" s="236"/>
      <c r="T30" s="236"/>
      <c r="U30" s="242"/>
    </row>
    <row r="31" spans="1:21" ht="13">
      <c r="A31" s="270"/>
      <c r="B31" s="245"/>
      <c r="C31" s="19" t="s">
        <v>663</v>
      </c>
      <c r="D31" s="17">
        <v>21.13</v>
      </c>
      <c r="E31" s="17">
        <v>15</v>
      </c>
      <c r="F31" s="17">
        <f t="shared" si="8"/>
        <v>316.95</v>
      </c>
      <c r="G31" s="236"/>
      <c r="H31" s="236"/>
      <c r="I31" s="236"/>
      <c r="J31" s="242"/>
      <c r="L31" s="270"/>
      <c r="M31" s="245"/>
      <c r="N31" s="19" t="s">
        <v>663</v>
      </c>
      <c r="O31" s="17">
        <v>21.13</v>
      </c>
      <c r="P31" s="17">
        <v>15</v>
      </c>
      <c r="Q31" s="17">
        <f t="shared" si="9"/>
        <v>316.95</v>
      </c>
      <c r="R31" s="236"/>
      <c r="S31" s="236"/>
      <c r="T31" s="236"/>
      <c r="U31" s="242"/>
    </row>
    <row r="32" spans="1:21" ht="13">
      <c r="A32" s="270"/>
      <c r="B32" s="245"/>
      <c r="C32" s="19" t="s">
        <v>580</v>
      </c>
      <c r="D32" s="17">
        <v>19.02</v>
      </c>
      <c r="E32" s="17">
        <v>15</v>
      </c>
      <c r="F32" s="17">
        <f t="shared" si="8"/>
        <v>285.3</v>
      </c>
      <c r="G32" s="236"/>
      <c r="H32" s="236"/>
      <c r="I32" s="236"/>
      <c r="J32" s="242"/>
      <c r="L32" s="270"/>
      <c r="M32" s="245"/>
      <c r="N32" s="19" t="s">
        <v>580</v>
      </c>
      <c r="O32" s="17">
        <v>19.02</v>
      </c>
      <c r="P32" s="17">
        <v>15</v>
      </c>
      <c r="Q32" s="17">
        <f t="shared" si="9"/>
        <v>285.3</v>
      </c>
      <c r="R32" s="236"/>
      <c r="S32" s="236"/>
      <c r="T32" s="236"/>
      <c r="U32" s="242"/>
    </row>
    <row r="33" spans="1:21" ht="13">
      <c r="A33" s="270"/>
      <c r="B33" s="245"/>
      <c r="C33" s="19" t="s">
        <v>581</v>
      </c>
      <c r="D33" s="17">
        <v>26.2</v>
      </c>
      <c r="E33" s="17">
        <v>17</v>
      </c>
      <c r="F33" s="17">
        <f t="shared" si="8"/>
        <v>445.4</v>
      </c>
      <c r="G33" s="236"/>
      <c r="H33" s="236"/>
      <c r="I33" s="236"/>
      <c r="J33" s="242"/>
      <c r="L33" s="270"/>
      <c r="M33" s="245"/>
      <c r="N33" s="19" t="s">
        <v>581</v>
      </c>
      <c r="O33" s="17">
        <v>26.2</v>
      </c>
      <c r="P33" s="17">
        <v>17</v>
      </c>
      <c r="Q33" s="17">
        <f t="shared" si="9"/>
        <v>445.4</v>
      </c>
      <c r="R33" s="236"/>
      <c r="S33" s="236"/>
      <c r="T33" s="236"/>
      <c r="U33" s="242"/>
    </row>
    <row r="34" spans="1:21" ht="13">
      <c r="A34" s="270"/>
      <c r="B34" s="245"/>
      <c r="C34" s="19" t="s">
        <v>48</v>
      </c>
      <c r="D34" s="17"/>
      <c r="E34" s="17"/>
      <c r="F34" s="17">
        <v>224.06</v>
      </c>
      <c r="G34" s="236"/>
      <c r="H34" s="236"/>
      <c r="I34" s="236"/>
      <c r="J34" s="242"/>
      <c r="L34" s="270"/>
      <c r="M34" s="245"/>
      <c r="N34" s="19" t="s">
        <v>48</v>
      </c>
      <c r="O34" s="17"/>
      <c r="P34" s="17"/>
      <c r="Q34" s="17">
        <v>224.06</v>
      </c>
      <c r="R34" s="236"/>
      <c r="S34" s="236"/>
      <c r="T34" s="236"/>
      <c r="U34" s="242"/>
    </row>
    <row r="35" spans="1:21" ht="13">
      <c r="A35" s="270"/>
      <c r="B35" s="245"/>
      <c r="C35" s="19" t="s">
        <v>193</v>
      </c>
      <c r="D35" s="17"/>
      <c r="E35" s="17"/>
      <c r="F35" s="17">
        <v>60.2</v>
      </c>
      <c r="G35" s="236"/>
      <c r="H35" s="236"/>
      <c r="I35" s="236"/>
      <c r="J35" s="242"/>
      <c r="L35" s="270"/>
      <c r="M35" s="245"/>
      <c r="N35" s="19" t="s">
        <v>193</v>
      </c>
      <c r="O35" s="17"/>
      <c r="P35" s="17"/>
      <c r="Q35" s="17">
        <v>60.2</v>
      </c>
      <c r="R35" s="236"/>
      <c r="S35" s="236"/>
      <c r="T35" s="236"/>
      <c r="U35" s="242"/>
    </row>
    <row r="36" spans="1:21" ht="13">
      <c r="A36" s="270"/>
      <c r="B36" s="245"/>
      <c r="C36" s="19" t="s">
        <v>45</v>
      </c>
      <c r="D36" s="17"/>
      <c r="E36" s="17"/>
      <c r="F36" s="17">
        <v>264.77</v>
      </c>
      <c r="G36" s="236"/>
      <c r="H36" s="236"/>
      <c r="I36" s="236"/>
      <c r="J36" s="242"/>
      <c r="L36" s="270"/>
      <c r="M36" s="245"/>
      <c r="N36" s="19" t="s">
        <v>45</v>
      </c>
      <c r="O36" s="17"/>
      <c r="P36" s="17"/>
      <c r="Q36" s="17">
        <v>264.77</v>
      </c>
      <c r="R36" s="236"/>
      <c r="S36" s="236"/>
      <c r="T36" s="236"/>
      <c r="U36" s="242"/>
    </row>
    <row r="37" spans="1:21" ht="13">
      <c r="A37" s="270"/>
      <c r="B37" s="245"/>
      <c r="C37" s="19" t="s">
        <v>47</v>
      </c>
      <c r="D37" s="17"/>
      <c r="E37" s="17"/>
      <c r="F37" s="17">
        <v>264.39999999999998</v>
      </c>
      <c r="G37" s="236"/>
      <c r="H37" s="236"/>
      <c r="I37" s="236"/>
      <c r="J37" s="242"/>
      <c r="L37" s="270"/>
      <c r="M37" s="245"/>
      <c r="N37" s="19" t="s">
        <v>47</v>
      </c>
      <c r="O37" s="17"/>
      <c r="P37" s="17"/>
      <c r="Q37" s="17">
        <v>264.39999999999998</v>
      </c>
      <c r="R37" s="236"/>
      <c r="S37" s="236"/>
      <c r="T37" s="236"/>
      <c r="U37" s="242"/>
    </row>
    <row r="38" spans="1:21" ht="13">
      <c r="A38" s="270"/>
      <c r="B38" s="245"/>
      <c r="C38" s="19" t="s">
        <v>242</v>
      </c>
      <c r="D38" s="17"/>
      <c r="E38" s="17"/>
      <c r="F38" s="17">
        <v>379.69</v>
      </c>
      <c r="G38" s="236"/>
      <c r="H38" s="236"/>
      <c r="I38" s="236"/>
      <c r="J38" s="242"/>
      <c r="L38" s="270"/>
      <c r="M38" s="245"/>
      <c r="N38" s="19" t="s">
        <v>242</v>
      </c>
      <c r="O38" s="17"/>
      <c r="P38" s="17"/>
      <c r="Q38" s="17">
        <v>379.69</v>
      </c>
      <c r="R38" s="236"/>
      <c r="S38" s="236"/>
      <c r="T38" s="236"/>
      <c r="U38" s="242"/>
    </row>
    <row r="39" spans="1:21" ht="13">
      <c r="A39" s="270"/>
      <c r="B39" s="246"/>
      <c r="C39" s="44"/>
      <c r="D39" s="21"/>
      <c r="E39" s="21"/>
      <c r="F39" s="21"/>
      <c r="G39" s="238"/>
      <c r="H39" s="238"/>
      <c r="I39" s="238"/>
      <c r="J39" s="243"/>
      <c r="L39" s="270"/>
      <c r="M39" s="246"/>
      <c r="N39" s="44"/>
      <c r="O39" s="21"/>
      <c r="P39" s="21"/>
      <c r="Q39" s="21"/>
      <c r="R39" s="238"/>
      <c r="S39" s="238"/>
      <c r="T39" s="238"/>
      <c r="U39" s="243"/>
    </row>
    <row r="40" spans="1:21" ht="13">
      <c r="A40" s="270"/>
      <c r="B40" s="291" t="s">
        <v>664</v>
      </c>
      <c r="C40" s="19" t="s">
        <v>23</v>
      </c>
      <c r="D40" s="16">
        <v>21</v>
      </c>
      <c r="E40" s="16">
        <v>16</v>
      </c>
      <c r="F40" s="17">
        <f t="shared" ref="F40:F52" si="10">D40*E40</f>
        <v>336</v>
      </c>
      <c r="G40" s="240">
        <f>SUM(F40:F58)</f>
        <v>5187.1399999999994</v>
      </c>
      <c r="H40" s="240">
        <v>7000</v>
      </c>
      <c r="I40" s="240">
        <f>H40-G40</f>
        <v>1812.8600000000006</v>
      </c>
      <c r="J40" s="241">
        <f>I40/H40</f>
        <v>0.2589800000000001</v>
      </c>
      <c r="L40" s="270"/>
      <c r="M40" s="291" t="s">
        <v>664</v>
      </c>
      <c r="N40" s="19" t="s">
        <v>23</v>
      </c>
      <c r="O40" s="43"/>
      <c r="P40" s="43"/>
      <c r="Q40" s="43"/>
      <c r="R40" s="240">
        <f>SUM(Q40:Q58)</f>
        <v>4851.1399999999994</v>
      </c>
      <c r="S40" s="240">
        <v>7000</v>
      </c>
      <c r="T40" s="240">
        <f>S40-R40</f>
        <v>2148.8600000000006</v>
      </c>
      <c r="U40" s="241">
        <f>T40/S40</f>
        <v>0.30698000000000009</v>
      </c>
    </row>
    <row r="41" spans="1:21" ht="13">
      <c r="A41" s="270"/>
      <c r="B41" s="245"/>
      <c r="C41" s="19" t="s">
        <v>575</v>
      </c>
      <c r="D41" s="17">
        <v>10</v>
      </c>
      <c r="E41" s="17">
        <v>17</v>
      </c>
      <c r="F41" s="17">
        <f t="shared" si="10"/>
        <v>170</v>
      </c>
      <c r="G41" s="236"/>
      <c r="H41" s="236"/>
      <c r="I41" s="236"/>
      <c r="J41" s="242"/>
      <c r="L41" s="270"/>
      <c r="M41" s="245"/>
      <c r="N41" s="19" t="s">
        <v>575</v>
      </c>
      <c r="O41" s="17">
        <v>10</v>
      </c>
      <c r="P41" s="17">
        <v>17</v>
      </c>
      <c r="Q41" s="17">
        <f t="shared" ref="Q41:Q52" si="11">O41*P41</f>
        <v>170</v>
      </c>
      <c r="R41" s="236"/>
      <c r="S41" s="236"/>
      <c r="T41" s="236"/>
      <c r="U41" s="242"/>
    </row>
    <row r="42" spans="1:21" ht="13">
      <c r="A42" s="270"/>
      <c r="B42" s="245"/>
      <c r="C42" s="19" t="s">
        <v>70</v>
      </c>
      <c r="D42" s="17">
        <v>28</v>
      </c>
      <c r="E42" s="17">
        <v>17</v>
      </c>
      <c r="F42" s="17">
        <f t="shared" si="10"/>
        <v>476</v>
      </c>
      <c r="G42" s="236"/>
      <c r="H42" s="236"/>
      <c r="I42" s="236"/>
      <c r="J42" s="242"/>
      <c r="L42" s="270"/>
      <c r="M42" s="245"/>
      <c r="N42" s="19" t="s">
        <v>70</v>
      </c>
      <c r="O42" s="17">
        <v>28</v>
      </c>
      <c r="P42" s="17">
        <v>17</v>
      </c>
      <c r="Q42" s="17">
        <f t="shared" si="11"/>
        <v>476</v>
      </c>
      <c r="R42" s="236"/>
      <c r="S42" s="236"/>
      <c r="T42" s="236"/>
      <c r="U42" s="242"/>
    </row>
    <row r="43" spans="1:21" ht="13">
      <c r="A43" s="270"/>
      <c r="B43" s="245"/>
      <c r="C43" s="19" t="s">
        <v>586</v>
      </c>
      <c r="D43" s="17">
        <v>27.37</v>
      </c>
      <c r="E43" s="17">
        <v>17</v>
      </c>
      <c r="F43" s="17">
        <f t="shared" si="10"/>
        <v>465.29</v>
      </c>
      <c r="G43" s="236"/>
      <c r="H43" s="236"/>
      <c r="I43" s="236"/>
      <c r="J43" s="242"/>
      <c r="L43" s="270"/>
      <c r="M43" s="245"/>
      <c r="N43" s="19" t="s">
        <v>586</v>
      </c>
      <c r="O43" s="17">
        <v>27.37</v>
      </c>
      <c r="P43" s="17">
        <v>17</v>
      </c>
      <c r="Q43" s="17">
        <f t="shared" si="11"/>
        <v>465.29</v>
      </c>
      <c r="R43" s="236"/>
      <c r="S43" s="236"/>
      <c r="T43" s="236"/>
      <c r="U43" s="242"/>
    </row>
    <row r="44" spans="1:21" ht="13">
      <c r="A44" s="270"/>
      <c r="B44" s="245"/>
      <c r="C44" s="19" t="s">
        <v>32</v>
      </c>
      <c r="D44" s="17">
        <v>28.15</v>
      </c>
      <c r="E44" s="17">
        <v>17</v>
      </c>
      <c r="F44" s="17">
        <f t="shared" si="10"/>
        <v>478.54999999999995</v>
      </c>
      <c r="G44" s="236"/>
      <c r="H44" s="236"/>
      <c r="I44" s="236"/>
      <c r="J44" s="242"/>
      <c r="L44" s="270"/>
      <c r="M44" s="245"/>
      <c r="N44" s="19" t="s">
        <v>32</v>
      </c>
      <c r="O44" s="17">
        <v>28.15</v>
      </c>
      <c r="P44" s="17">
        <v>17</v>
      </c>
      <c r="Q44" s="17">
        <f t="shared" si="11"/>
        <v>478.54999999999995</v>
      </c>
      <c r="R44" s="236"/>
      <c r="S44" s="236"/>
      <c r="T44" s="236"/>
      <c r="U44" s="242"/>
    </row>
    <row r="45" spans="1:21" ht="13">
      <c r="A45" s="270"/>
      <c r="B45" s="245"/>
      <c r="C45" s="24" t="s">
        <v>63</v>
      </c>
      <c r="D45" s="17">
        <v>27.5</v>
      </c>
      <c r="E45" s="17">
        <v>17</v>
      </c>
      <c r="F45" s="17">
        <f t="shared" si="10"/>
        <v>467.5</v>
      </c>
      <c r="G45" s="236"/>
      <c r="H45" s="236"/>
      <c r="I45" s="236"/>
      <c r="J45" s="242"/>
      <c r="L45" s="270"/>
      <c r="M45" s="245"/>
      <c r="N45" s="24" t="s">
        <v>63</v>
      </c>
      <c r="O45" s="17">
        <v>27.5</v>
      </c>
      <c r="P45" s="17">
        <v>17</v>
      </c>
      <c r="Q45" s="17">
        <f t="shared" si="11"/>
        <v>467.5</v>
      </c>
      <c r="R45" s="236"/>
      <c r="S45" s="236"/>
      <c r="T45" s="236"/>
      <c r="U45" s="242"/>
    </row>
    <row r="46" spans="1:21" ht="13">
      <c r="A46" s="270"/>
      <c r="B46" s="245"/>
      <c r="C46" s="24" t="s">
        <v>576</v>
      </c>
      <c r="D46" s="17">
        <v>20</v>
      </c>
      <c r="E46" s="17">
        <v>18.5</v>
      </c>
      <c r="F46" s="17">
        <f t="shared" si="10"/>
        <v>370</v>
      </c>
      <c r="G46" s="236"/>
      <c r="H46" s="236"/>
      <c r="I46" s="236"/>
      <c r="J46" s="242"/>
      <c r="L46" s="270"/>
      <c r="M46" s="245"/>
      <c r="N46" s="24" t="s">
        <v>576</v>
      </c>
      <c r="O46" s="17">
        <v>20</v>
      </c>
      <c r="P46" s="17">
        <v>18.5</v>
      </c>
      <c r="Q46" s="17">
        <f t="shared" si="11"/>
        <v>370</v>
      </c>
      <c r="R46" s="236"/>
      <c r="S46" s="236"/>
      <c r="T46" s="236"/>
      <c r="U46" s="242"/>
    </row>
    <row r="47" spans="1:21" ht="13">
      <c r="A47" s="270"/>
      <c r="B47" s="245"/>
      <c r="C47" s="19" t="s">
        <v>662</v>
      </c>
      <c r="D47" s="17">
        <v>1.25</v>
      </c>
      <c r="E47" s="17">
        <v>17</v>
      </c>
      <c r="F47" s="17">
        <f t="shared" si="10"/>
        <v>21.25</v>
      </c>
      <c r="G47" s="236"/>
      <c r="H47" s="236"/>
      <c r="I47" s="236"/>
      <c r="J47" s="242"/>
      <c r="L47" s="270"/>
      <c r="M47" s="245"/>
      <c r="N47" s="19" t="s">
        <v>662</v>
      </c>
      <c r="O47" s="17">
        <v>1.25</v>
      </c>
      <c r="P47" s="17">
        <v>17</v>
      </c>
      <c r="Q47" s="17">
        <f t="shared" si="11"/>
        <v>21.25</v>
      </c>
      <c r="R47" s="236"/>
      <c r="S47" s="236"/>
      <c r="T47" s="236"/>
      <c r="U47" s="242"/>
    </row>
    <row r="48" spans="1:21" ht="13">
      <c r="A48" s="270"/>
      <c r="B48" s="245"/>
      <c r="C48" s="19" t="s">
        <v>665</v>
      </c>
      <c r="D48" s="17">
        <v>17.100000000000001</v>
      </c>
      <c r="E48" s="17">
        <v>15</v>
      </c>
      <c r="F48" s="17">
        <f t="shared" si="10"/>
        <v>256.5</v>
      </c>
      <c r="G48" s="236"/>
      <c r="H48" s="236"/>
      <c r="I48" s="236"/>
      <c r="J48" s="242"/>
      <c r="L48" s="270"/>
      <c r="M48" s="245"/>
      <c r="N48" s="19" t="s">
        <v>665</v>
      </c>
      <c r="O48" s="17">
        <v>17.100000000000001</v>
      </c>
      <c r="P48" s="17">
        <v>15</v>
      </c>
      <c r="Q48" s="17">
        <f t="shared" si="11"/>
        <v>256.5</v>
      </c>
      <c r="R48" s="236"/>
      <c r="S48" s="236"/>
      <c r="T48" s="236"/>
      <c r="U48" s="242"/>
    </row>
    <row r="49" spans="1:21" ht="13">
      <c r="A49" s="270"/>
      <c r="B49" s="245"/>
      <c r="C49" s="19" t="s">
        <v>578</v>
      </c>
      <c r="D49" s="17">
        <v>15.58</v>
      </c>
      <c r="E49" s="17">
        <v>15</v>
      </c>
      <c r="F49" s="17">
        <f t="shared" si="10"/>
        <v>233.7</v>
      </c>
      <c r="G49" s="236"/>
      <c r="H49" s="236"/>
      <c r="I49" s="236"/>
      <c r="J49" s="242"/>
      <c r="L49" s="270"/>
      <c r="M49" s="245"/>
      <c r="N49" s="19" t="s">
        <v>578</v>
      </c>
      <c r="O49" s="17">
        <v>15.58</v>
      </c>
      <c r="P49" s="17">
        <v>15</v>
      </c>
      <c r="Q49" s="17">
        <f t="shared" si="11"/>
        <v>233.7</v>
      </c>
      <c r="R49" s="236"/>
      <c r="S49" s="236"/>
      <c r="T49" s="236"/>
      <c r="U49" s="242"/>
    </row>
    <row r="50" spans="1:21" ht="13">
      <c r="A50" s="270"/>
      <c r="B50" s="245"/>
      <c r="C50" s="19" t="s">
        <v>663</v>
      </c>
      <c r="D50" s="17">
        <v>16.03</v>
      </c>
      <c r="E50" s="17">
        <v>15</v>
      </c>
      <c r="F50" s="17">
        <f t="shared" si="10"/>
        <v>240.45000000000002</v>
      </c>
      <c r="G50" s="236"/>
      <c r="H50" s="236"/>
      <c r="I50" s="236"/>
      <c r="J50" s="242"/>
      <c r="L50" s="270"/>
      <c r="M50" s="245"/>
      <c r="N50" s="19" t="s">
        <v>663</v>
      </c>
      <c r="O50" s="17">
        <v>16.03</v>
      </c>
      <c r="P50" s="17">
        <v>15</v>
      </c>
      <c r="Q50" s="17">
        <f t="shared" si="11"/>
        <v>240.45000000000002</v>
      </c>
      <c r="R50" s="236"/>
      <c r="S50" s="236"/>
      <c r="T50" s="236"/>
      <c r="U50" s="242"/>
    </row>
    <row r="51" spans="1:21" ht="13">
      <c r="A51" s="270"/>
      <c r="B51" s="245"/>
      <c r="C51" s="19" t="s">
        <v>580</v>
      </c>
      <c r="D51" s="17">
        <v>17.25</v>
      </c>
      <c r="E51" s="17">
        <v>15</v>
      </c>
      <c r="F51" s="17">
        <f t="shared" si="10"/>
        <v>258.75</v>
      </c>
      <c r="G51" s="236"/>
      <c r="H51" s="236"/>
      <c r="I51" s="236"/>
      <c r="J51" s="242"/>
      <c r="L51" s="270"/>
      <c r="M51" s="245"/>
      <c r="N51" s="19" t="s">
        <v>580</v>
      </c>
      <c r="O51" s="17">
        <v>17.25</v>
      </c>
      <c r="P51" s="17">
        <v>15</v>
      </c>
      <c r="Q51" s="17">
        <f t="shared" si="11"/>
        <v>258.75</v>
      </c>
      <c r="R51" s="236"/>
      <c r="S51" s="236"/>
      <c r="T51" s="236"/>
      <c r="U51" s="242"/>
    </row>
    <row r="52" spans="1:21" ht="13">
      <c r="A52" s="270"/>
      <c r="B52" s="245"/>
      <c r="C52" s="19" t="s">
        <v>581</v>
      </c>
      <c r="D52" s="17">
        <v>13.65</v>
      </c>
      <c r="E52" s="17">
        <v>17</v>
      </c>
      <c r="F52" s="17">
        <f t="shared" si="10"/>
        <v>232.05</v>
      </c>
      <c r="G52" s="236"/>
      <c r="H52" s="236"/>
      <c r="I52" s="236"/>
      <c r="J52" s="242"/>
      <c r="L52" s="270"/>
      <c r="M52" s="245"/>
      <c r="N52" s="19" t="s">
        <v>581</v>
      </c>
      <c r="O52" s="17">
        <v>13.65</v>
      </c>
      <c r="P52" s="17">
        <v>17</v>
      </c>
      <c r="Q52" s="17">
        <f t="shared" si="11"/>
        <v>232.05</v>
      </c>
      <c r="R52" s="236"/>
      <c r="S52" s="236"/>
      <c r="T52" s="236"/>
      <c r="U52" s="242"/>
    </row>
    <row r="53" spans="1:21" ht="13">
      <c r="A53" s="270"/>
      <c r="B53" s="245"/>
      <c r="C53" s="19" t="s">
        <v>48</v>
      </c>
      <c r="D53" s="17"/>
      <c r="E53" s="17"/>
      <c r="F53" s="17">
        <v>124.34</v>
      </c>
      <c r="G53" s="236"/>
      <c r="H53" s="236"/>
      <c r="I53" s="236"/>
      <c r="J53" s="242"/>
      <c r="L53" s="270"/>
      <c r="M53" s="245"/>
      <c r="N53" s="19" t="s">
        <v>48</v>
      </c>
      <c r="O53" s="17"/>
      <c r="P53" s="17"/>
      <c r="Q53" s="17">
        <v>124.34</v>
      </c>
      <c r="R53" s="236"/>
      <c r="S53" s="236"/>
      <c r="T53" s="236"/>
      <c r="U53" s="242"/>
    </row>
    <row r="54" spans="1:21" ht="13">
      <c r="A54" s="270"/>
      <c r="B54" s="245"/>
      <c r="C54" s="19" t="s">
        <v>193</v>
      </c>
      <c r="D54" s="17"/>
      <c r="E54" s="17"/>
      <c r="F54" s="17">
        <v>60.2</v>
      </c>
      <c r="G54" s="236"/>
      <c r="H54" s="236"/>
      <c r="I54" s="236"/>
      <c r="J54" s="242"/>
      <c r="L54" s="270"/>
      <c r="M54" s="245"/>
      <c r="N54" s="19" t="s">
        <v>193</v>
      </c>
      <c r="O54" s="17"/>
      <c r="P54" s="17"/>
      <c r="Q54" s="17">
        <v>60.2</v>
      </c>
      <c r="R54" s="236"/>
      <c r="S54" s="236"/>
      <c r="T54" s="236"/>
      <c r="U54" s="242"/>
    </row>
    <row r="55" spans="1:21" ht="13">
      <c r="A55" s="270"/>
      <c r="B55" s="245"/>
      <c r="C55" s="19" t="s">
        <v>45</v>
      </c>
      <c r="D55" s="17"/>
      <c r="E55" s="17"/>
      <c r="F55" s="17">
        <v>234.91</v>
      </c>
      <c r="G55" s="236"/>
      <c r="H55" s="236"/>
      <c r="I55" s="236"/>
      <c r="J55" s="242"/>
      <c r="L55" s="270"/>
      <c r="M55" s="245"/>
      <c r="N55" s="19" t="s">
        <v>45</v>
      </c>
      <c r="O55" s="17"/>
      <c r="P55" s="17"/>
      <c r="Q55" s="17">
        <v>234.91</v>
      </c>
      <c r="R55" s="236"/>
      <c r="S55" s="236"/>
      <c r="T55" s="236"/>
      <c r="U55" s="242"/>
    </row>
    <row r="56" spans="1:21" ht="13">
      <c r="A56" s="270"/>
      <c r="B56" s="245"/>
      <c r="C56" s="19" t="s">
        <v>47</v>
      </c>
      <c r="D56" s="17"/>
      <c r="E56" s="17"/>
      <c r="F56" s="17">
        <v>264.39999999999998</v>
      </c>
      <c r="G56" s="236"/>
      <c r="H56" s="236"/>
      <c r="I56" s="236"/>
      <c r="J56" s="242"/>
      <c r="L56" s="270"/>
      <c r="M56" s="245"/>
      <c r="N56" s="19" t="s">
        <v>47</v>
      </c>
      <c r="O56" s="17"/>
      <c r="P56" s="17"/>
      <c r="Q56" s="17">
        <v>264.39999999999998</v>
      </c>
      <c r="R56" s="236"/>
      <c r="S56" s="236"/>
      <c r="T56" s="236"/>
      <c r="U56" s="242"/>
    </row>
    <row r="57" spans="1:21" ht="13">
      <c r="A57" s="270"/>
      <c r="B57" s="245"/>
      <c r="C57" s="19" t="s">
        <v>242</v>
      </c>
      <c r="D57" s="17"/>
      <c r="E57" s="17"/>
      <c r="F57" s="17">
        <v>497.25</v>
      </c>
      <c r="G57" s="236"/>
      <c r="H57" s="236"/>
      <c r="I57" s="236"/>
      <c r="J57" s="242"/>
      <c r="L57" s="270"/>
      <c r="M57" s="245"/>
      <c r="N57" s="19" t="s">
        <v>242</v>
      </c>
      <c r="O57" s="17"/>
      <c r="P57" s="17"/>
      <c r="Q57" s="17">
        <v>497.25</v>
      </c>
      <c r="R57" s="236"/>
      <c r="S57" s="236"/>
      <c r="T57" s="236"/>
      <c r="U57" s="242"/>
    </row>
    <row r="58" spans="1:21" ht="13">
      <c r="A58" s="271"/>
      <c r="B58" s="246"/>
      <c r="C58" s="44"/>
      <c r="D58" s="21"/>
      <c r="E58" s="21"/>
      <c r="F58" s="21"/>
      <c r="G58" s="238"/>
      <c r="H58" s="238"/>
      <c r="I58" s="238"/>
      <c r="J58" s="243"/>
      <c r="L58" s="271"/>
      <c r="M58" s="246"/>
      <c r="N58" s="44"/>
      <c r="O58" s="21"/>
      <c r="P58" s="21"/>
      <c r="Q58" s="21"/>
      <c r="R58" s="238"/>
      <c r="S58" s="238"/>
      <c r="T58" s="238"/>
      <c r="U58" s="243"/>
    </row>
    <row r="59" spans="1:21" ht="30">
      <c r="A59" s="254" t="s">
        <v>666</v>
      </c>
      <c r="B59" s="255"/>
      <c r="C59" s="256"/>
      <c r="D59" s="27">
        <f t="shared" ref="D59:I59" si="12">AVERAGE(D22:D58)</f>
        <v>19.5244</v>
      </c>
      <c r="E59" s="27">
        <f t="shared" si="12"/>
        <v>16.54</v>
      </c>
      <c r="F59" s="27">
        <f t="shared" si="12"/>
        <v>298.91514285714288</v>
      </c>
      <c r="G59" s="27">
        <f t="shared" si="12"/>
        <v>5231.0149999999994</v>
      </c>
      <c r="H59" s="27">
        <f t="shared" si="12"/>
        <v>7000</v>
      </c>
      <c r="I59" s="27">
        <f t="shared" si="12"/>
        <v>1768.9850000000001</v>
      </c>
      <c r="J59" s="28" t="e">
        <f>AVERAGE($K$12:$K$81)</f>
        <v>#DIV/0!</v>
      </c>
      <c r="L59" s="254" t="s">
        <v>666</v>
      </c>
      <c r="M59" s="255"/>
      <c r="N59" s="256"/>
      <c r="O59" s="27">
        <f t="shared" ref="O59:T59" si="13">AVERAGE(O22:O58)</f>
        <v>19.396086956521739</v>
      </c>
      <c r="P59" s="27">
        <f t="shared" si="13"/>
        <v>16.586956521739129</v>
      </c>
      <c r="Q59" s="27">
        <f t="shared" si="13"/>
        <v>296.66757575757566</v>
      </c>
      <c r="R59" s="27">
        <f t="shared" si="13"/>
        <v>4895.0149999999994</v>
      </c>
      <c r="S59" s="27">
        <f t="shared" si="13"/>
        <v>7000</v>
      </c>
      <c r="T59" s="27">
        <f t="shared" si="13"/>
        <v>2104.985000000001</v>
      </c>
      <c r="U59" s="28" t="e">
        <f>AVERAGE($K$12:$K$81)</f>
        <v>#DIV/0!</v>
      </c>
    </row>
    <row r="60" spans="1:21" ht="30">
      <c r="A60" s="251" t="s">
        <v>667</v>
      </c>
      <c r="B60" s="252"/>
      <c r="C60" s="253"/>
      <c r="D60" s="42">
        <f t="shared" ref="D60:I60" si="14">SUM(D22:D58)</f>
        <v>488.11</v>
      </c>
      <c r="E60" s="42">
        <f t="shared" si="14"/>
        <v>413.5</v>
      </c>
      <c r="F60" s="42">
        <f t="shared" si="14"/>
        <v>10462.030000000001</v>
      </c>
      <c r="G60" s="42">
        <f t="shared" si="14"/>
        <v>10462.029999999999</v>
      </c>
      <c r="H60" s="42">
        <f t="shared" si="14"/>
        <v>14000</v>
      </c>
      <c r="I60" s="42">
        <f t="shared" si="14"/>
        <v>3537.9700000000003</v>
      </c>
      <c r="J60" s="29">
        <f>I60/H60</f>
        <v>0.25271214285714289</v>
      </c>
      <c r="L60" s="251" t="s">
        <v>667</v>
      </c>
      <c r="M60" s="252"/>
      <c r="N60" s="253"/>
      <c r="O60" s="42">
        <f t="shared" ref="O60:T60" si="15">SUM(O22:O58)</f>
        <v>446.11</v>
      </c>
      <c r="P60" s="42">
        <f t="shared" si="15"/>
        <v>381.5</v>
      </c>
      <c r="Q60" s="42">
        <f t="shared" si="15"/>
        <v>9790.029999999997</v>
      </c>
      <c r="R60" s="42">
        <f t="shared" si="15"/>
        <v>9790.0299999999988</v>
      </c>
      <c r="S60" s="42">
        <f t="shared" si="15"/>
        <v>14000</v>
      </c>
      <c r="T60" s="42">
        <f t="shared" si="15"/>
        <v>4209.9700000000021</v>
      </c>
      <c r="U60" s="29">
        <f>T60/S60</f>
        <v>0.30071214285714298</v>
      </c>
    </row>
    <row r="62" spans="1:21" ht="30">
      <c r="A62" s="257" t="s">
        <v>668</v>
      </c>
      <c r="B62" s="252"/>
      <c r="C62" s="253"/>
      <c r="D62" s="34">
        <f t="shared" ref="D62:I62" si="16">SUM(D21,D60)</f>
        <v>734.64</v>
      </c>
      <c r="E62" s="34">
        <f t="shared" si="16"/>
        <v>582.5</v>
      </c>
      <c r="F62" s="34">
        <f t="shared" si="16"/>
        <v>17011.990000000002</v>
      </c>
      <c r="G62" s="34">
        <f t="shared" si="16"/>
        <v>17011.989999999998</v>
      </c>
      <c r="H62" s="34">
        <f t="shared" si="16"/>
        <v>21000</v>
      </c>
      <c r="I62" s="34">
        <f t="shared" si="16"/>
        <v>3988.0099999999993</v>
      </c>
      <c r="J62" s="35">
        <f>I62/H62</f>
        <v>0.18990523809523807</v>
      </c>
      <c r="L62" s="257" t="s">
        <v>668</v>
      </c>
      <c r="M62" s="252"/>
      <c r="N62" s="253"/>
      <c r="O62" s="34">
        <f t="shared" ref="O62:T62" si="17">SUM(O21,O60)</f>
        <v>643.64</v>
      </c>
      <c r="P62" s="34">
        <f t="shared" si="17"/>
        <v>513.5</v>
      </c>
      <c r="Q62" s="34">
        <f t="shared" si="17"/>
        <v>15485.989999999998</v>
      </c>
      <c r="R62" s="34">
        <f t="shared" si="17"/>
        <v>15485.99</v>
      </c>
      <c r="S62" s="34">
        <f t="shared" si="17"/>
        <v>21000</v>
      </c>
      <c r="T62" s="34">
        <f t="shared" si="17"/>
        <v>5514.0100000000011</v>
      </c>
      <c r="U62" s="35">
        <f>T62/S62</f>
        <v>0.26257190476190484</v>
      </c>
    </row>
    <row r="64" spans="1:21" ht="13">
      <c r="A64" s="269" t="s">
        <v>108</v>
      </c>
      <c r="B64" s="244" t="s">
        <v>574</v>
      </c>
      <c r="C64" s="19" t="s">
        <v>23</v>
      </c>
      <c r="D64" s="16">
        <v>14</v>
      </c>
      <c r="E64" s="16">
        <v>16</v>
      </c>
      <c r="F64" s="17">
        <f t="shared" ref="F64:F72" si="18">D64*E64</f>
        <v>224</v>
      </c>
      <c r="G64" s="240">
        <f>SUM(F64:F80)</f>
        <v>5378.03</v>
      </c>
      <c r="H64" s="240">
        <v>7000</v>
      </c>
      <c r="I64" s="240">
        <f>H64-G64</f>
        <v>1621.9700000000003</v>
      </c>
      <c r="J64" s="241">
        <f>I64/H64</f>
        <v>0.23171000000000003</v>
      </c>
      <c r="L64" s="269" t="s">
        <v>108</v>
      </c>
      <c r="M64" s="244" t="s">
        <v>574</v>
      </c>
      <c r="N64" s="19" t="s">
        <v>23</v>
      </c>
      <c r="O64" s="43"/>
      <c r="P64" s="43"/>
      <c r="Q64" s="43"/>
      <c r="R64" s="240">
        <f>SUM(Q64:Q80)</f>
        <v>5154.03</v>
      </c>
      <c r="S64" s="240">
        <v>7000</v>
      </c>
      <c r="T64" s="240">
        <f>S64-R64</f>
        <v>1845.9700000000003</v>
      </c>
      <c r="U64" s="241">
        <f>T64/S64</f>
        <v>0.26371000000000006</v>
      </c>
    </row>
    <row r="65" spans="1:21" ht="13">
      <c r="A65" s="270"/>
      <c r="B65" s="245"/>
      <c r="C65" s="19" t="s">
        <v>575</v>
      </c>
      <c r="D65" s="17">
        <v>10</v>
      </c>
      <c r="E65" s="17">
        <v>17</v>
      </c>
      <c r="F65" s="17">
        <f t="shared" si="18"/>
        <v>170</v>
      </c>
      <c r="G65" s="236"/>
      <c r="H65" s="236"/>
      <c r="I65" s="236"/>
      <c r="J65" s="242"/>
      <c r="L65" s="270"/>
      <c r="M65" s="245"/>
      <c r="N65" s="19" t="s">
        <v>575</v>
      </c>
      <c r="O65" s="17">
        <v>10</v>
      </c>
      <c r="P65" s="17">
        <v>17</v>
      </c>
      <c r="Q65" s="17">
        <f t="shared" ref="Q65:Q72" si="19">O65*P65</f>
        <v>170</v>
      </c>
      <c r="R65" s="236"/>
      <c r="S65" s="236"/>
      <c r="T65" s="236"/>
      <c r="U65" s="242"/>
    </row>
    <row r="66" spans="1:21" ht="13">
      <c r="A66" s="270"/>
      <c r="B66" s="245"/>
      <c r="C66" s="19" t="s">
        <v>62</v>
      </c>
      <c r="D66" s="17">
        <v>29.86</v>
      </c>
      <c r="E66" s="17">
        <v>17</v>
      </c>
      <c r="F66" s="17">
        <f t="shared" si="18"/>
        <v>507.62</v>
      </c>
      <c r="G66" s="236"/>
      <c r="H66" s="236"/>
      <c r="I66" s="236"/>
      <c r="J66" s="242"/>
      <c r="L66" s="270"/>
      <c r="M66" s="245"/>
      <c r="N66" s="19" t="s">
        <v>62</v>
      </c>
      <c r="O66" s="17">
        <v>29.86</v>
      </c>
      <c r="P66" s="17">
        <v>17</v>
      </c>
      <c r="Q66" s="17">
        <f t="shared" si="19"/>
        <v>507.62</v>
      </c>
      <c r="R66" s="236"/>
      <c r="S66" s="236"/>
      <c r="T66" s="236"/>
      <c r="U66" s="242"/>
    </row>
    <row r="67" spans="1:21" ht="13">
      <c r="A67" s="270"/>
      <c r="B67" s="245"/>
      <c r="C67" s="19" t="s">
        <v>55</v>
      </c>
      <c r="D67" s="17">
        <v>27.75</v>
      </c>
      <c r="E67" s="17">
        <v>17</v>
      </c>
      <c r="F67" s="17">
        <f t="shared" si="18"/>
        <v>471.75</v>
      </c>
      <c r="G67" s="236"/>
      <c r="H67" s="236"/>
      <c r="I67" s="236"/>
      <c r="J67" s="242"/>
      <c r="L67" s="270"/>
      <c r="M67" s="245"/>
      <c r="N67" s="19" t="s">
        <v>55</v>
      </c>
      <c r="O67" s="17">
        <v>27.75</v>
      </c>
      <c r="P67" s="17">
        <v>17</v>
      </c>
      <c r="Q67" s="17">
        <f t="shared" si="19"/>
        <v>471.75</v>
      </c>
      <c r="R67" s="236"/>
      <c r="S67" s="236"/>
      <c r="T67" s="236"/>
      <c r="U67" s="242"/>
    </row>
    <row r="68" spans="1:21" ht="13">
      <c r="A68" s="270"/>
      <c r="B68" s="245"/>
      <c r="C68" s="19" t="s">
        <v>32</v>
      </c>
      <c r="D68" s="17">
        <v>27.93</v>
      </c>
      <c r="E68" s="17">
        <v>17</v>
      </c>
      <c r="F68" s="17">
        <f t="shared" si="18"/>
        <v>474.81</v>
      </c>
      <c r="G68" s="236"/>
      <c r="H68" s="236"/>
      <c r="I68" s="236"/>
      <c r="J68" s="242"/>
      <c r="L68" s="270"/>
      <c r="M68" s="245"/>
      <c r="N68" s="19" t="s">
        <v>32</v>
      </c>
      <c r="O68" s="17">
        <v>27.93</v>
      </c>
      <c r="P68" s="17">
        <v>17</v>
      </c>
      <c r="Q68" s="17">
        <f t="shared" si="19"/>
        <v>474.81</v>
      </c>
      <c r="R68" s="236"/>
      <c r="S68" s="236"/>
      <c r="T68" s="236"/>
      <c r="U68" s="242"/>
    </row>
    <row r="69" spans="1:21" ht="13">
      <c r="A69" s="270"/>
      <c r="B69" s="245"/>
      <c r="C69" s="24" t="s">
        <v>63</v>
      </c>
      <c r="D69" s="17">
        <v>30</v>
      </c>
      <c r="E69" s="17">
        <v>17</v>
      </c>
      <c r="F69" s="17">
        <f t="shared" si="18"/>
        <v>510</v>
      </c>
      <c r="G69" s="236"/>
      <c r="H69" s="236"/>
      <c r="I69" s="236"/>
      <c r="J69" s="242"/>
      <c r="L69" s="270"/>
      <c r="M69" s="245"/>
      <c r="N69" s="24" t="s">
        <v>63</v>
      </c>
      <c r="O69" s="17">
        <v>30</v>
      </c>
      <c r="P69" s="17">
        <v>17</v>
      </c>
      <c r="Q69" s="17">
        <f t="shared" si="19"/>
        <v>510</v>
      </c>
      <c r="R69" s="236"/>
      <c r="S69" s="236"/>
      <c r="T69" s="236"/>
      <c r="U69" s="242"/>
    </row>
    <row r="70" spans="1:21" ht="13">
      <c r="A70" s="270"/>
      <c r="B70" s="245"/>
      <c r="C70" s="24" t="s">
        <v>576</v>
      </c>
      <c r="D70" s="17">
        <v>22.17</v>
      </c>
      <c r="E70" s="17">
        <v>17</v>
      </c>
      <c r="F70" s="17">
        <f t="shared" si="18"/>
        <v>376.89000000000004</v>
      </c>
      <c r="G70" s="236"/>
      <c r="H70" s="236"/>
      <c r="I70" s="236"/>
      <c r="J70" s="242"/>
      <c r="L70" s="270"/>
      <c r="M70" s="245"/>
      <c r="N70" s="24" t="s">
        <v>576</v>
      </c>
      <c r="O70" s="17">
        <v>22.17</v>
      </c>
      <c r="P70" s="17">
        <v>17</v>
      </c>
      <c r="Q70" s="17">
        <f t="shared" si="19"/>
        <v>376.89000000000004</v>
      </c>
      <c r="R70" s="236"/>
      <c r="S70" s="236"/>
      <c r="T70" s="236"/>
      <c r="U70" s="242"/>
    </row>
    <row r="71" spans="1:21" ht="13">
      <c r="A71" s="270"/>
      <c r="B71" s="245"/>
      <c r="C71" s="19" t="s">
        <v>577</v>
      </c>
      <c r="D71" s="17">
        <v>15.12</v>
      </c>
      <c r="E71" s="17">
        <v>15</v>
      </c>
      <c r="F71" s="17">
        <f t="shared" si="18"/>
        <v>226.79999999999998</v>
      </c>
      <c r="G71" s="236"/>
      <c r="H71" s="236"/>
      <c r="I71" s="236"/>
      <c r="J71" s="242"/>
      <c r="L71" s="270"/>
      <c r="M71" s="245"/>
      <c r="N71" s="19" t="s">
        <v>577</v>
      </c>
      <c r="O71" s="17">
        <v>15.12</v>
      </c>
      <c r="P71" s="17">
        <v>15</v>
      </c>
      <c r="Q71" s="17">
        <f t="shared" si="19"/>
        <v>226.79999999999998</v>
      </c>
      <c r="R71" s="236"/>
      <c r="S71" s="236"/>
      <c r="T71" s="236"/>
      <c r="U71" s="242"/>
    </row>
    <row r="72" spans="1:21" ht="13">
      <c r="A72" s="270"/>
      <c r="B72" s="245"/>
      <c r="C72" s="19" t="s">
        <v>578</v>
      </c>
      <c r="D72" s="17">
        <v>25.5</v>
      </c>
      <c r="E72" s="17">
        <v>15</v>
      </c>
      <c r="F72" s="17">
        <f t="shared" si="18"/>
        <v>382.5</v>
      </c>
      <c r="G72" s="236"/>
      <c r="H72" s="236"/>
      <c r="I72" s="236"/>
      <c r="J72" s="242"/>
      <c r="L72" s="270"/>
      <c r="M72" s="245"/>
      <c r="N72" s="19" t="s">
        <v>578</v>
      </c>
      <c r="O72" s="17">
        <v>25.5</v>
      </c>
      <c r="P72" s="17">
        <v>15</v>
      </c>
      <c r="Q72" s="17">
        <f t="shared" si="19"/>
        <v>382.5</v>
      </c>
      <c r="R72" s="236"/>
      <c r="S72" s="236"/>
      <c r="T72" s="236"/>
      <c r="U72" s="242"/>
    </row>
    <row r="73" spans="1:21" ht="13">
      <c r="A73" s="270"/>
      <c r="B73" s="245"/>
      <c r="C73" s="19" t="s">
        <v>579</v>
      </c>
      <c r="D73" s="17"/>
      <c r="E73" s="17"/>
      <c r="F73" s="17">
        <v>61.5</v>
      </c>
      <c r="G73" s="236"/>
      <c r="H73" s="236"/>
      <c r="I73" s="236"/>
      <c r="J73" s="242"/>
      <c r="L73" s="270"/>
      <c r="M73" s="245"/>
      <c r="N73" s="19" t="s">
        <v>579</v>
      </c>
      <c r="O73" s="17"/>
      <c r="P73" s="17"/>
      <c r="Q73" s="17">
        <v>61.5</v>
      </c>
      <c r="R73" s="236"/>
      <c r="S73" s="236"/>
      <c r="T73" s="236"/>
      <c r="U73" s="242"/>
    </row>
    <row r="74" spans="1:21" ht="13">
      <c r="A74" s="270"/>
      <c r="B74" s="245"/>
      <c r="C74" s="19" t="s">
        <v>580</v>
      </c>
      <c r="D74" s="17">
        <v>13.92</v>
      </c>
      <c r="E74" s="17">
        <v>15</v>
      </c>
      <c r="F74" s="17">
        <f t="shared" ref="F74:F75" si="20">D74*E74</f>
        <v>208.8</v>
      </c>
      <c r="G74" s="236"/>
      <c r="H74" s="236"/>
      <c r="I74" s="236"/>
      <c r="J74" s="242"/>
      <c r="L74" s="270"/>
      <c r="M74" s="245"/>
      <c r="N74" s="19" t="s">
        <v>580</v>
      </c>
      <c r="O74" s="17">
        <v>13.92</v>
      </c>
      <c r="P74" s="17">
        <v>15</v>
      </c>
      <c r="Q74" s="17">
        <f t="shared" ref="Q74:Q75" si="21">O74*P74</f>
        <v>208.8</v>
      </c>
      <c r="R74" s="236"/>
      <c r="S74" s="236"/>
      <c r="T74" s="236"/>
      <c r="U74" s="242"/>
    </row>
    <row r="75" spans="1:21" ht="13">
      <c r="A75" s="270"/>
      <c r="B75" s="245"/>
      <c r="C75" s="19" t="s">
        <v>581</v>
      </c>
      <c r="D75" s="17">
        <v>15.7</v>
      </c>
      <c r="E75" s="17">
        <v>17</v>
      </c>
      <c r="F75" s="17">
        <f t="shared" si="20"/>
        <v>266.89999999999998</v>
      </c>
      <c r="G75" s="236"/>
      <c r="H75" s="236"/>
      <c r="I75" s="236"/>
      <c r="J75" s="242"/>
      <c r="L75" s="270"/>
      <c r="M75" s="245"/>
      <c r="N75" s="19" t="s">
        <v>581</v>
      </c>
      <c r="O75" s="17">
        <v>15.7</v>
      </c>
      <c r="P75" s="17">
        <v>17</v>
      </c>
      <c r="Q75" s="17">
        <f t="shared" si="21"/>
        <v>266.89999999999998</v>
      </c>
      <c r="R75" s="236"/>
      <c r="S75" s="236"/>
      <c r="T75" s="236"/>
      <c r="U75" s="242"/>
    </row>
    <row r="76" spans="1:21" ht="13">
      <c r="A76" s="270"/>
      <c r="B76" s="245"/>
      <c r="C76" s="19" t="s">
        <v>48</v>
      </c>
      <c r="D76" s="17"/>
      <c r="E76" s="17"/>
      <c r="F76" s="17">
        <v>266.3</v>
      </c>
      <c r="G76" s="236"/>
      <c r="H76" s="236"/>
      <c r="I76" s="236"/>
      <c r="J76" s="242"/>
      <c r="L76" s="270"/>
      <c r="M76" s="245"/>
      <c r="N76" s="19" t="s">
        <v>48</v>
      </c>
      <c r="O76" s="17"/>
      <c r="P76" s="17"/>
      <c r="Q76" s="17">
        <v>266.3</v>
      </c>
      <c r="R76" s="236"/>
      <c r="S76" s="236"/>
      <c r="T76" s="236"/>
      <c r="U76" s="242"/>
    </row>
    <row r="77" spans="1:21" ht="13">
      <c r="A77" s="270"/>
      <c r="B77" s="245"/>
      <c r="C77" s="19" t="s">
        <v>193</v>
      </c>
      <c r="D77" s="17"/>
      <c r="E77" s="17"/>
      <c r="F77" s="17">
        <v>240.8</v>
      </c>
      <c r="G77" s="236"/>
      <c r="H77" s="236"/>
      <c r="I77" s="236"/>
      <c r="J77" s="242"/>
      <c r="L77" s="270"/>
      <c r="M77" s="245"/>
      <c r="N77" s="19" t="s">
        <v>193</v>
      </c>
      <c r="O77" s="17"/>
      <c r="P77" s="17"/>
      <c r="Q77" s="17">
        <v>240.8</v>
      </c>
      <c r="R77" s="236"/>
      <c r="S77" s="236"/>
      <c r="T77" s="236"/>
      <c r="U77" s="242"/>
    </row>
    <row r="78" spans="1:21" ht="13">
      <c r="A78" s="270"/>
      <c r="B78" s="245"/>
      <c r="C78" s="19" t="s">
        <v>45</v>
      </c>
      <c r="D78" s="17"/>
      <c r="E78" s="17"/>
      <c r="F78" s="17">
        <v>587.36</v>
      </c>
      <c r="G78" s="236"/>
      <c r="H78" s="236"/>
      <c r="I78" s="236"/>
      <c r="J78" s="242"/>
      <c r="L78" s="270"/>
      <c r="M78" s="245"/>
      <c r="N78" s="19" t="s">
        <v>45</v>
      </c>
      <c r="O78" s="17"/>
      <c r="P78" s="17"/>
      <c r="Q78" s="17">
        <v>587.36</v>
      </c>
      <c r="R78" s="236"/>
      <c r="S78" s="236"/>
      <c r="T78" s="236"/>
      <c r="U78" s="242"/>
    </row>
    <row r="79" spans="1:21" ht="13">
      <c r="A79" s="270"/>
      <c r="B79" s="245"/>
      <c r="C79" s="19" t="s">
        <v>47</v>
      </c>
      <c r="D79" s="17"/>
      <c r="E79" s="17"/>
      <c r="F79" s="17">
        <v>402</v>
      </c>
      <c r="G79" s="236"/>
      <c r="H79" s="236"/>
      <c r="I79" s="236"/>
      <c r="J79" s="242"/>
      <c r="L79" s="270"/>
      <c r="M79" s="245"/>
      <c r="N79" s="19" t="s">
        <v>47</v>
      </c>
      <c r="O79" s="17"/>
      <c r="P79" s="17"/>
      <c r="Q79" s="17">
        <v>402</v>
      </c>
      <c r="R79" s="236"/>
      <c r="S79" s="236"/>
      <c r="T79" s="236"/>
      <c r="U79" s="242"/>
    </row>
    <row r="80" spans="1:21" ht="13">
      <c r="A80" s="271"/>
      <c r="B80" s="246"/>
      <c r="C80" s="44"/>
      <c r="D80" s="21"/>
      <c r="E80" s="21"/>
      <c r="F80" s="21"/>
      <c r="G80" s="238"/>
      <c r="H80" s="238"/>
      <c r="I80" s="238"/>
      <c r="J80" s="243"/>
      <c r="L80" s="271"/>
      <c r="M80" s="246"/>
      <c r="N80" s="44"/>
      <c r="O80" s="21"/>
      <c r="P80" s="21"/>
      <c r="Q80" s="21"/>
      <c r="R80" s="238"/>
      <c r="S80" s="238"/>
      <c r="T80" s="238"/>
      <c r="U80" s="243"/>
    </row>
    <row r="81" spans="1:21" ht="30">
      <c r="A81" s="254" t="s">
        <v>669</v>
      </c>
      <c r="B81" s="255"/>
      <c r="C81" s="256"/>
      <c r="D81" s="27">
        <f t="shared" ref="D81:I81" si="22">AVERAGE(D64:D80)</f>
        <v>21.086363636363632</v>
      </c>
      <c r="E81" s="27">
        <f t="shared" si="22"/>
        <v>16.363636363636363</v>
      </c>
      <c r="F81" s="27">
        <f t="shared" si="22"/>
        <v>336.12687499999998</v>
      </c>
      <c r="G81" s="27">
        <f t="shared" si="22"/>
        <v>5378.03</v>
      </c>
      <c r="H81" s="27">
        <f t="shared" si="22"/>
        <v>7000</v>
      </c>
      <c r="I81" s="27">
        <f t="shared" si="22"/>
        <v>1621.9700000000003</v>
      </c>
      <c r="J81" s="28" t="e">
        <f>AVERAGE($K$12:$K$81)</f>
        <v>#DIV/0!</v>
      </c>
      <c r="L81" s="254" t="s">
        <v>669</v>
      </c>
      <c r="M81" s="255"/>
      <c r="N81" s="256"/>
      <c r="O81" s="27">
        <f t="shared" ref="O81:T81" si="23">AVERAGE(O64:O80)</f>
        <v>21.794999999999995</v>
      </c>
      <c r="P81" s="27">
        <f t="shared" si="23"/>
        <v>16.399999999999999</v>
      </c>
      <c r="Q81" s="27">
        <f t="shared" si="23"/>
        <v>343.60199999999998</v>
      </c>
      <c r="R81" s="27">
        <f t="shared" si="23"/>
        <v>5154.03</v>
      </c>
      <c r="S81" s="27">
        <f t="shared" si="23"/>
        <v>7000</v>
      </c>
      <c r="T81" s="27">
        <f t="shared" si="23"/>
        <v>1845.9700000000003</v>
      </c>
      <c r="U81" s="28" t="e">
        <f>AVERAGE($K$12:$K$81)</f>
        <v>#DIV/0!</v>
      </c>
    </row>
    <row r="82" spans="1:21" ht="30">
      <c r="A82" s="251" t="s">
        <v>670</v>
      </c>
      <c r="B82" s="252"/>
      <c r="C82" s="253"/>
      <c r="D82" s="42">
        <f t="shared" ref="D82:I82" si="24">SUM(D64:D80)</f>
        <v>231.94999999999996</v>
      </c>
      <c r="E82" s="42">
        <f t="shared" si="24"/>
        <v>180</v>
      </c>
      <c r="F82" s="42">
        <f t="shared" si="24"/>
        <v>5378.03</v>
      </c>
      <c r="G82" s="42">
        <f t="shared" si="24"/>
        <v>5378.03</v>
      </c>
      <c r="H82" s="42">
        <f t="shared" si="24"/>
        <v>7000</v>
      </c>
      <c r="I82" s="42">
        <f t="shared" si="24"/>
        <v>1621.9700000000003</v>
      </c>
      <c r="J82" s="29">
        <f t="shared" ref="J82:J83" si="25">I82/H82</f>
        <v>0.23171000000000003</v>
      </c>
      <c r="L82" s="251" t="s">
        <v>670</v>
      </c>
      <c r="M82" s="252"/>
      <c r="N82" s="253"/>
      <c r="O82" s="42">
        <f t="shared" ref="O82:T82" si="26">SUM(O64:O80)</f>
        <v>217.94999999999996</v>
      </c>
      <c r="P82" s="42">
        <f t="shared" si="26"/>
        <v>164</v>
      </c>
      <c r="Q82" s="42">
        <f t="shared" si="26"/>
        <v>5154.03</v>
      </c>
      <c r="R82" s="42">
        <f t="shared" si="26"/>
        <v>5154.03</v>
      </c>
      <c r="S82" s="42">
        <f t="shared" si="26"/>
        <v>7000</v>
      </c>
      <c r="T82" s="42">
        <f t="shared" si="26"/>
        <v>1845.9700000000003</v>
      </c>
      <c r="U82" s="29">
        <f t="shared" ref="U82:U83" si="27">T82/S82</f>
        <v>0.26371000000000006</v>
      </c>
    </row>
    <row r="83" spans="1:21" ht="13">
      <c r="A83" s="269" t="s">
        <v>671</v>
      </c>
      <c r="B83" s="244" t="s">
        <v>585</v>
      </c>
      <c r="C83" s="64" t="s">
        <v>23</v>
      </c>
      <c r="D83" s="50">
        <v>14</v>
      </c>
      <c r="E83" s="50">
        <v>16</v>
      </c>
      <c r="F83" s="65">
        <f t="shared" ref="F83:F93" si="28">D83*E83</f>
        <v>224</v>
      </c>
      <c r="G83" s="240">
        <f>SUM(F83:F99)</f>
        <v>5077.46</v>
      </c>
      <c r="H83" s="240">
        <v>7000</v>
      </c>
      <c r="I83" s="240">
        <f>H83-G83</f>
        <v>1922.54</v>
      </c>
      <c r="J83" s="241">
        <f t="shared" si="25"/>
        <v>0.27464857142857141</v>
      </c>
      <c r="L83" s="269" t="s">
        <v>671</v>
      </c>
      <c r="M83" s="244" t="s">
        <v>585</v>
      </c>
      <c r="N83" s="87" t="s">
        <v>23</v>
      </c>
      <c r="O83" s="43"/>
      <c r="P83" s="43"/>
      <c r="Q83" s="43"/>
      <c r="R83" s="240">
        <f>SUM(Q83:Q99)</f>
        <v>4853.46</v>
      </c>
      <c r="S83" s="240">
        <v>7000</v>
      </c>
      <c r="T83" s="240">
        <f>S83-R83</f>
        <v>2146.54</v>
      </c>
      <c r="U83" s="241">
        <f t="shared" si="27"/>
        <v>0.30664857142857144</v>
      </c>
    </row>
    <row r="84" spans="1:21" ht="13">
      <c r="A84" s="270"/>
      <c r="B84" s="245"/>
      <c r="C84" s="22" t="s">
        <v>575</v>
      </c>
      <c r="D84" s="23">
        <v>10</v>
      </c>
      <c r="E84" s="23">
        <v>17</v>
      </c>
      <c r="F84" s="23">
        <f t="shared" si="28"/>
        <v>170</v>
      </c>
      <c r="G84" s="236"/>
      <c r="H84" s="236"/>
      <c r="I84" s="236"/>
      <c r="J84" s="242"/>
      <c r="L84" s="270"/>
      <c r="M84" s="245"/>
      <c r="N84" s="31" t="s">
        <v>575</v>
      </c>
      <c r="O84" s="31">
        <v>10</v>
      </c>
      <c r="P84" s="31">
        <v>17</v>
      </c>
      <c r="Q84" s="31">
        <f t="shared" ref="Q84:Q93" si="29">O84*P84</f>
        <v>170</v>
      </c>
      <c r="R84" s="236"/>
      <c r="S84" s="236"/>
      <c r="T84" s="236"/>
      <c r="U84" s="242"/>
    </row>
    <row r="85" spans="1:21" ht="13">
      <c r="A85" s="270"/>
      <c r="B85" s="245"/>
      <c r="C85" s="22" t="s">
        <v>63</v>
      </c>
      <c r="D85" s="23">
        <v>26</v>
      </c>
      <c r="E85" s="23">
        <v>17</v>
      </c>
      <c r="F85" s="23">
        <f t="shared" si="28"/>
        <v>442</v>
      </c>
      <c r="G85" s="236"/>
      <c r="H85" s="236"/>
      <c r="I85" s="236"/>
      <c r="J85" s="242"/>
      <c r="L85" s="270"/>
      <c r="M85" s="245"/>
      <c r="N85" s="31" t="s">
        <v>63</v>
      </c>
      <c r="O85" s="31">
        <v>26</v>
      </c>
      <c r="P85" s="31">
        <v>17</v>
      </c>
      <c r="Q85" s="31">
        <f t="shared" si="29"/>
        <v>442</v>
      </c>
      <c r="R85" s="236"/>
      <c r="S85" s="236"/>
      <c r="T85" s="236"/>
      <c r="U85" s="242"/>
    </row>
    <row r="86" spans="1:21" ht="13">
      <c r="A86" s="270"/>
      <c r="B86" s="245"/>
      <c r="C86" s="22" t="s">
        <v>586</v>
      </c>
      <c r="D86" s="23">
        <v>24.66</v>
      </c>
      <c r="E86" s="23">
        <v>17</v>
      </c>
      <c r="F86" s="23">
        <f t="shared" si="28"/>
        <v>419.22</v>
      </c>
      <c r="G86" s="236"/>
      <c r="H86" s="236"/>
      <c r="I86" s="236"/>
      <c r="J86" s="242"/>
      <c r="L86" s="270"/>
      <c r="M86" s="245"/>
      <c r="N86" s="31" t="s">
        <v>586</v>
      </c>
      <c r="O86" s="31">
        <v>24.66</v>
      </c>
      <c r="P86" s="31">
        <v>17</v>
      </c>
      <c r="Q86" s="31">
        <f t="shared" si="29"/>
        <v>419.22</v>
      </c>
      <c r="R86" s="236"/>
      <c r="S86" s="236"/>
      <c r="T86" s="236"/>
      <c r="U86" s="242"/>
    </row>
    <row r="87" spans="1:21" ht="13">
      <c r="A87" s="270"/>
      <c r="B87" s="245"/>
      <c r="C87" s="22" t="s">
        <v>32</v>
      </c>
      <c r="D87" s="23">
        <v>23.8</v>
      </c>
      <c r="E87" s="23">
        <v>17</v>
      </c>
      <c r="F87" s="23">
        <f t="shared" si="28"/>
        <v>404.6</v>
      </c>
      <c r="G87" s="236"/>
      <c r="H87" s="236"/>
      <c r="I87" s="236"/>
      <c r="J87" s="242"/>
      <c r="L87" s="270"/>
      <c r="M87" s="245"/>
      <c r="N87" s="31" t="s">
        <v>32</v>
      </c>
      <c r="O87" s="31">
        <v>23.8</v>
      </c>
      <c r="P87" s="31">
        <v>17</v>
      </c>
      <c r="Q87" s="31">
        <f t="shared" si="29"/>
        <v>404.6</v>
      </c>
      <c r="R87" s="236"/>
      <c r="S87" s="236"/>
      <c r="T87" s="236"/>
      <c r="U87" s="242"/>
    </row>
    <row r="88" spans="1:21" ht="13">
      <c r="A88" s="270"/>
      <c r="B88" s="245"/>
      <c r="C88" s="22" t="s">
        <v>62</v>
      </c>
      <c r="D88" s="23">
        <v>25.85</v>
      </c>
      <c r="E88" s="23">
        <v>17</v>
      </c>
      <c r="F88" s="23">
        <f t="shared" si="28"/>
        <v>439.45000000000005</v>
      </c>
      <c r="G88" s="236"/>
      <c r="H88" s="236"/>
      <c r="I88" s="236"/>
      <c r="J88" s="242"/>
      <c r="L88" s="270"/>
      <c r="M88" s="245"/>
      <c r="N88" s="31" t="s">
        <v>62</v>
      </c>
      <c r="O88" s="31">
        <v>25.85</v>
      </c>
      <c r="P88" s="31">
        <v>17</v>
      </c>
      <c r="Q88" s="31">
        <f t="shared" si="29"/>
        <v>439.45000000000005</v>
      </c>
      <c r="R88" s="236"/>
      <c r="S88" s="236"/>
      <c r="T88" s="236"/>
      <c r="U88" s="242"/>
    </row>
    <row r="89" spans="1:21" ht="13">
      <c r="A89" s="270"/>
      <c r="B89" s="245"/>
      <c r="C89" s="22" t="s">
        <v>587</v>
      </c>
      <c r="D89" s="23">
        <v>10.5</v>
      </c>
      <c r="E89" s="23">
        <v>17</v>
      </c>
      <c r="F89" s="23">
        <f t="shared" si="28"/>
        <v>178.5</v>
      </c>
      <c r="G89" s="236"/>
      <c r="H89" s="236"/>
      <c r="I89" s="236"/>
      <c r="J89" s="242"/>
      <c r="L89" s="270"/>
      <c r="M89" s="245"/>
      <c r="N89" s="31" t="s">
        <v>587</v>
      </c>
      <c r="O89" s="31">
        <v>10.5</v>
      </c>
      <c r="P89" s="31">
        <v>17</v>
      </c>
      <c r="Q89" s="31">
        <f t="shared" si="29"/>
        <v>178.5</v>
      </c>
      <c r="R89" s="236"/>
      <c r="S89" s="236"/>
      <c r="T89" s="236"/>
      <c r="U89" s="242"/>
    </row>
    <row r="90" spans="1:21" ht="13">
      <c r="A90" s="270"/>
      <c r="B90" s="245"/>
      <c r="C90" s="22" t="s">
        <v>588</v>
      </c>
      <c r="D90" s="23">
        <v>21.55</v>
      </c>
      <c r="E90" s="23">
        <v>15</v>
      </c>
      <c r="F90" s="23">
        <f t="shared" si="28"/>
        <v>323.25</v>
      </c>
      <c r="G90" s="236"/>
      <c r="H90" s="236"/>
      <c r="I90" s="236"/>
      <c r="J90" s="242"/>
      <c r="L90" s="270"/>
      <c r="M90" s="245"/>
      <c r="N90" s="31" t="s">
        <v>588</v>
      </c>
      <c r="O90" s="31">
        <v>21.55</v>
      </c>
      <c r="P90" s="31">
        <v>15</v>
      </c>
      <c r="Q90" s="31">
        <f t="shared" si="29"/>
        <v>323.25</v>
      </c>
      <c r="R90" s="236"/>
      <c r="S90" s="236"/>
      <c r="T90" s="236"/>
      <c r="U90" s="242"/>
    </row>
    <row r="91" spans="1:21" ht="13">
      <c r="A91" s="270"/>
      <c r="B91" s="245"/>
      <c r="C91" s="22" t="s">
        <v>578</v>
      </c>
      <c r="D91" s="23">
        <v>23.8</v>
      </c>
      <c r="E91" s="23">
        <v>15</v>
      </c>
      <c r="F91" s="23">
        <f t="shared" si="28"/>
        <v>357</v>
      </c>
      <c r="G91" s="236"/>
      <c r="H91" s="236"/>
      <c r="I91" s="236"/>
      <c r="J91" s="242"/>
      <c r="L91" s="270"/>
      <c r="M91" s="245"/>
      <c r="N91" s="31" t="s">
        <v>578</v>
      </c>
      <c r="O91" s="31">
        <v>23.8</v>
      </c>
      <c r="P91" s="31">
        <v>15</v>
      </c>
      <c r="Q91" s="31">
        <f t="shared" si="29"/>
        <v>357</v>
      </c>
      <c r="R91" s="236"/>
      <c r="S91" s="236"/>
      <c r="T91" s="236"/>
      <c r="U91" s="242"/>
    </row>
    <row r="92" spans="1:21" ht="13">
      <c r="A92" s="270"/>
      <c r="B92" s="245"/>
      <c r="C92" s="22" t="s">
        <v>589</v>
      </c>
      <c r="D92" s="23">
        <v>16.88</v>
      </c>
      <c r="E92" s="23">
        <v>15</v>
      </c>
      <c r="F92" s="23">
        <f t="shared" si="28"/>
        <v>253.2</v>
      </c>
      <c r="G92" s="236"/>
      <c r="H92" s="236"/>
      <c r="I92" s="236"/>
      <c r="J92" s="242"/>
      <c r="L92" s="270"/>
      <c r="M92" s="245"/>
      <c r="N92" s="31" t="s">
        <v>589</v>
      </c>
      <c r="O92" s="31">
        <v>16.88</v>
      </c>
      <c r="P92" s="31">
        <v>15</v>
      </c>
      <c r="Q92" s="31">
        <f t="shared" si="29"/>
        <v>253.2</v>
      </c>
      <c r="R92" s="236"/>
      <c r="S92" s="236"/>
      <c r="T92" s="236"/>
      <c r="U92" s="242"/>
    </row>
    <row r="93" spans="1:21" ht="13">
      <c r="A93" s="270"/>
      <c r="B93" s="245"/>
      <c r="C93" s="22" t="s">
        <v>580</v>
      </c>
      <c r="D93" s="23">
        <v>13.13</v>
      </c>
      <c r="E93" s="23">
        <v>15</v>
      </c>
      <c r="F93" s="23">
        <f t="shared" si="28"/>
        <v>196.95000000000002</v>
      </c>
      <c r="G93" s="236"/>
      <c r="H93" s="236"/>
      <c r="I93" s="236"/>
      <c r="J93" s="242"/>
      <c r="L93" s="270"/>
      <c r="M93" s="245"/>
      <c r="N93" s="31" t="s">
        <v>580</v>
      </c>
      <c r="O93" s="31">
        <v>13.13</v>
      </c>
      <c r="P93" s="31">
        <v>15</v>
      </c>
      <c r="Q93" s="31">
        <f t="shared" si="29"/>
        <v>196.95000000000002</v>
      </c>
      <c r="R93" s="236"/>
      <c r="S93" s="236"/>
      <c r="T93" s="236"/>
      <c r="U93" s="242"/>
    </row>
    <row r="94" spans="1:21" ht="13">
      <c r="A94" s="270"/>
      <c r="B94" s="245"/>
      <c r="C94" s="22" t="s">
        <v>48</v>
      </c>
      <c r="D94" s="23"/>
      <c r="E94" s="23"/>
      <c r="F94" s="23">
        <v>177.93</v>
      </c>
      <c r="G94" s="236"/>
      <c r="H94" s="236"/>
      <c r="I94" s="236"/>
      <c r="J94" s="242"/>
      <c r="L94" s="270"/>
      <c r="M94" s="245"/>
      <c r="N94" s="31" t="s">
        <v>48</v>
      </c>
      <c r="O94" s="51"/>
      <c r="P94" s="51"/>
      <c r="Q94" s="31">
        <v>177.93</v>
      </c>
      <c r="R94" s="236"/>
      <c r="S94" s="236"/>
      <c r="T94" s="236"/>
      <c r="U94" s="242"/>
    </row>
    <row r="95" spans="1:21" ht="13">
      <c r="A95" s="270"/>
      <c r="B95" s="245"/>
      <c r="C95" s="22" t="s">
        <v>193</v>
      </c>
      <c r="D95" s="23"/>
      <c r="E95" s="23"/>
      <c r="F95" s="23">
        <v>120.4</v>
      </c>
      <c r="G95" s="236"/>
      <c r="H95" s="236"/>
      <c r="I95" s="236"/>
      <c r="J95" s="242"/>
      <c r="L95" s="270"/>
      <c r="M95" s="245"/>
      <c r="N95" s="31" t="s">
        <v>193</v>
      </c>
      <c r="O95" s="51"/>
      <c r="P95" s="51"/>
      <c r="Q95" s="31">
        <v>120.4</v>
      </c>
      <c r="R95" s="236"/>
      <c r="S95" s="236"/>
      <c r="T95" s="236"/>
      <c r="U95" s="242"/>
    </row>
    <row r="96" spans="1:21" ht="13">
      <c r="A96" s="270"/>
      <c r="B96" s="245"/>
      <c r="C96" s="22" t="s">
        <v>45</v>
      </c>
      <c r="D96" s="23"/>
      <c r="E96" s="23"/>
      <c r="F96" s="23">
        <v>316.27</v>
      </c>
      <c r="G96" s="236"/>
      <c r="H96" s="236"/>
      <c r="I96" s="236"/>
      <c r="J96" s="242"/>
      <c r="L96" s="270"/>
      <c r="M96" s="245"/>
      <c r="N96" s="31" t="s">
        <v>45</v>
      </c>
      <c r="O96" s="51"/>
      <c r="P96" s="51"/>
      <c r="Q96" s="31">
        <v>316.27</v>
      </c>
      <c r="R96" s="236"/>
      <c r="S96" s="236"/>
      <c r="T96" s="236"/>
      <c r="U96" s="242"/>
    </row>
    <row r="97" spans="1:21" ht="13">
      <c r="A97" s="270"/>
      <c r="B97" s="245"/>
      <c r="C97" s="22" t="s">
        <v>47</v>
      </c>
      <c r="D97" s="23"/>
      <c r="E97" s="23"/>
      <c r="F97" s="23">
        <v>327.17</v>
      </c>
      <c r="G97" s="236"/>
      <c r="H97" s="236"/>
      <c r="I97" s="236"/>
      <c r="J97" s="242"/>
      <c r="L97" s="270"/>
      <c r="M97" s="245"/>
      <c r="N97" s="31" t="s">
        <v>47</v>
      </c>
      <c r="O97" s="51"/>
      <c r="P97" s="51"/>
      <c r="Q97" s="31">
        <v>327.17</v>
      </c>
      <c r="R97" s="236"/>
      <c r="S97" s="236"/>
      <c r="T97" s="236"/>
      <c r="U97" s="242"/>
    </row>
    <row r="98" spans="1:21" ht="13">
      <c r="A98" s="270"/>
      <c r="B98" s="245"/>
      <c r="C98" s="22" t="s">
        <v>356</v>
      </c>
      <c r="D98" s="23"/>
      <c r="E98" s="23"/>
      <c r="F98" s="23">
        <v>162.52000000000001</v>
      </c>
      <c r="G98" s="236"/>
      <c r="H98" s="236"/>
      <c r="I98" s="236"/>
      <c r="J98" s="242"/>
      <c r="L98" s="270"/>
      <c r="M98" s="245"/>
      <c r="N98" s="31" t="s">
        <v>356</v>
      </c>
      <c r="O98" s="51"/>
      <c r="P98" s="51"/>
      <c r="Q98" s="31">
        <v>162.52000000000001</v>
      </c>
      <c r="R98" s="236"/>
      <c r="S98" s="236"/>
      <c r="T98" s="236"/>
      <c r="U98" s="242"/>
    </row>
    <row r="99" spans="1:21" ht="13">
      <c r="A99" s="271"/>
      <c r="B99" s="246"/>
      <c r="C99" s="25" t="s">
        <v>155</v>
      </c>
      <c r="D99" s="26"/>
      <c r="E99" s="26"/>
      <c r="F99" s="26">
        <v>565</v>
      </c>
      <c r="G99" s="238"/>
      <c r="H99" s="238"/>
      <c r="I99" s="238"/>
      <c r="J99" s="243"/>
      <c r="L99" s="271"/>
      <c r="M99" s="246"/>
      <c r="N99" s="78" t="s">
        <v>155</v>
      </c>
      <c r="O99" s="52"/>
      <c r="P99" s="52"/>
      <c r="Q99" s="78">
        <v>565</v>
      </c>
      <c r="R99" s="238"/>
      <c r="S99" s="238"/>
      <c r="T99" s="238"/>
      <c r="U99" s="243"/>
    </row>
    <row r="100" spans="1:21" ht="30">
      <c r="A100" s="254" t="s">
        <v>672</v>
      </c>
      <c r="B100" s="255"/>
      <c r="C100" s="256"/>
      <c r="D100" s="27">
        <f t="shared" ref="D100:I100" si="30">AVERAGE(D83:D99)</f>
        <v>19.106363636363639</v>
      </c>
      <c r="E100" s="27">
        <f t="shared" si="30"/>
        <v>16.181818181818183</v>
      </c>
      <c r="F100" s="27">
        <f t="shared" si="30"/>
        <v>298.67411764705884</v>
      </c>
      <c r="G100" s="27">
        <f t="shared" si="30"/>
        <v>5077.46</v>
      </c>
      <c r="H100" s="27">
        <f t="shared" si="30"/>
        <v>7000</v>
      </c>
      <c r="I100" s="27">
        <f t="shared" si="30"/>
        <v>1922.54</v>
      </c>
      <c r="J100" s="28" t="e">
        <f>AVERAGE($K$12:$K$81)</f>
        <v>#DIV/0!</v>
      </c>
      <c r="L100" s="254" t="s">
        <v>672</v>
      </c>
      <c r="M100" s="255"/>
      <c r="N100" s="256"/>
      <c r="O100" s="27">
        <f t="shared" ref="O100:T100" si="31">AVERAGE(O83:O99)</f>
        <v>19.617000000000001</v>
      </c>
      <c r="P100" s="27">
        <f t="shared" si="31"/>
        <v>16.2</v>
      </c>
      <c r="Q100" s="27">
        <f t="shared" si="31"/>
        <v>303.34125</v>
      </c>
      <c r="R100" s="27">
        <f t="shared" si="31"/>
        <v>4853.46</v>
      </c>
      <c r="S100" s="27">
        <f t="shared" si="31"/>
        <v>7000</v>
      </c>
      <c r="T100" s="27">
        <f t="shared" si="31"/>
        <v>2146.54</v>
      </c>
      <c r="U100" s="28" t="e">
        <f>AVERAGE($K$12:$K$81)</f>
        <v>#DIV/0!</v>
      </c>
    </row>
    <row r="101" spans="1:21" ht="30">
      <c r="A101" s="251" t="s">
        <v>673</v>
      </c>
      <c r="B101" s="252"/>
      <c r="C101" s="253"/>
      <c r="D101" s="42">
        <f t="shared" ref="D101:I101" si="32">SUM(D83:D99)</f>
        <v>210.17000000000002</v>
      </c>
      <c r="E101" s="42">
        <f t="shared" si="32"/>
        <v>178</v>
      </c>
      <c r="F101" s="42">
        <f t="shared" si="32"/>
        <v>5077.46</v>
      </c>
      <c r="G101" s="88">
        <f t="shared" si="32"/>
        <v>5077.46</v>
      </c>
      <c r="H101" s="88">
        <f t="shared" si="32"/>
        <v>7000</v>
      </c>
      <c r="I101" s="88">
        <f t="shared" si="32"/>
        <v>1922.54</v>
      </c>
      <c r="J101" s="89">
        <f t="shared" ref="J101:J102" si="33">I101/H101</f>
        <v>0.27464857142857141</v>
      </c>
      <c r="L101" s="251" t="s">
        <v>673</v>
      </c>
      <c r="M101" s="252"/>
      <c r="N101" s="253"/>
      <c r="O101" s="42">
        <f t="shared" ref="O101:T101" si="34">SUM(O83:O99)</f>
        <v>196.17000000000002</v>
      </c>
      <c r="P101" s="42">
        <f t="shared" si="34"/>
        <v>162</v>
      </c>
      <c r="Q101" s="42">
        <f t="shared" si="34"/>
        <v>4853.46</v>
      </c>
      <c r="R101" s="42">
        <f t="shared" si="34"/>
        <v>4853.46</v>
      </c>
      <c r="S101" s="42">
        <f t="shared" si="34"/>
        <v>7000</v>
      </c>
      <c r="T101" s="42">
        <f t="shared" si="34"/>
        <v>2146.54</v>
      </c>
      <c r="U101" s="29">
        <f t="shared" ref="U101:U102" si="35">T101/S101</f>
        <v>0.30664857142857144</v>
      </c>
    </row>
    <row r="102" spans="1:21" ht="13">
      <c r="A102" s="269" t="s">
        <v>592</v>
      </c>
      <c r="B102" s="244" t="s">
        <v>594</v>
      </c>
      <c r="C102" s="64" t="s">
        <v>23</v>
      </c>
      <c r="D102" s="50">
        <v>14</v>
      </c>
      <c r="E102" s="50">
        <v>16</v>
      </c>
      <c r="F102" s="65">
        <f>D102*E102</f>
        <v>224</v>
      </c>
      <c r="G102" s="240">
        <f>SUM(F102:F115)</f>
        <v>4820.58</v>
      </c>
      <c r="H102" s="240">
        <v>7000</v>
      </c>
      <c r="I102" s="240">
        <f>H102-G102</f>
        <v>2179.42</v>
      </c>
      <c r="J102" s="241">
        <f t="shared" si="33"/>
        <v>0.31134571428571428</v>
      </c>
      <c r="L102" s="269" t="s">
        <v>592</v>
      </c>
      <c r="M102" s="244" t="s">
        <v>594</v>
      </c>
      <c r="N102" s="64" t="s">
        <v>23</v>
      </c>
      <c r="O102" s="43"/>
      <c r="P102" s="43"/>
      <c r="Q102" s="43"/>
      <c r="R102" s="240">
        <f>SUM(Q102:Q115)</f>
        <v>4596.58</v>
      </c>
      <c r="S102" s="240">
        <v>7000</v>
      </c>
      <c r="T102" s="240">
        <f>S102-R102</f>
        <v>2403.42</v>
      </c>
      <c r="U102" s="241">
        <f t="shared" si="35"/>
        <v>0.34334571428571431</v>
      </c>
    </row>
    <row r="103" spans="1:21" ht="13">
      <c r="A103" s="270"/>
      <c r="B103" s="245"/>
      <c r="C103" s="22" t="s">
        <v>575</v>
      </c>
      <c r="D103" s="23"/>
      <c r="E103" s="23"/>
      <c r="F103" s="23">
        <v>340</v>
      </c>
      <c r="G103" s="236"/>
      <c r="H103" s="236"/>
      <c r="I103" s="236"/>
      <c r="J103" s="242"/>
      <c r="L103" s="270"/>
      <c r="M103" s="245"/>
      <c r="N103" s="22" t="s">
        <v>575</v>
      </c>
      <c r="O103" s="23"/>
      <c r="P103" s="23"/>
      <c r="Q103" s="23">
        <v>340</v>
      </c>
      <c r="R103" s="236"/>
      <c r="S103" s="236"/>
      <c r="T103" s="236"/>
      <c r="U103" s="242"/>
    </row>
    <row r="104" spans="1:21" ht="13">
      <c r="A104" s="270"/>
      <c r="B104" s="245"/>
      <c r="C104" s="22" t="s">
        <v>595</v>
      </c>
      <c r="D104" s="23"/>
      <c r="E104" s="23"/>
      <c r="F104" s="23">
        <v>1600</v>
      </c>
      <c r="G104" s="236"/>
      <c r="H104" s="236"/>
      <c r="I104" s="236"/>
      <c r="J104" s="242"/>
      <c r="L104" s="270"/>
      <c r="M104" s="245"/>
      <c r="N104" s="22" t="s">
        <v>595</v>
      </c>
      <c r="O104" s="23"/>
      <c r="P104" s="23"/>
      <c r="Q104" s="23">
        <v>1600</v>
      </c>
      <c r="R104" s="236"/>
      <c r="S104" s="236"/>
      <c r="T104" s="236"/>
      <c r="U104" s="242"/>
    </row>
    <row r="105" spans="1:21" ht="13">
      <c r="A105" s="270"/>
      <c r="B105" s="245"/>
      <c r="C105" s="22" t="s">
        <v>596</v>
      </c>
      <c r="D105" s="23">
        <v>26.28</v>
      </c>
      <c r="E105" s="23">
        <v>15</v>
      </c>
      <c r="F105" s="23">
        <f t="shared" ref="F105:F109" si="36">D105*E105</f>
        <v>394.20000000000005</v>
      </c>
      <c r="G105" s="236"/>
      <c r="H105" s="236"/>
      <c r="I105" s="236"/>
      <c r="J105" s="242"/>
      <c r="L105" s="270"/>
      <c r="M105" s="245"/>
      <c r="N105" s="22" t="s">
        <v>596</v>
      </c>
      <c r="O105" s="23">
        <v>26.28</v>
      </c>
      <c r="P105" s="23">
        <v>15</v>
      </c>
      <c r="Q105" s="23">
        <f t="shared" ref="Q105:Q109" si="37">O105*P105</f>
        <v>394.20000000000005</v>
      </c>
      <c r="R105" s="236"/>
      <c r="S105" s="236"/>
      <c r="T105" s="236"/>
      <c r="U105" s="242"/>
    </row>
    <row r="106" spans="1:21" ht="13">
      <c r="A106" s="270"/>
      <c r="B106" s="245"/>
      <c r="C106" s="22" t="s">
        <v>70</v>
      </c>
      <c r="D106" s="23">
        <v>30.33</v>
      </c>
      <c r="E106" s="23">
        <v>15</v>
      </c>
      <c r="F106" s="23">
        <f t="shared" si="36"/>
        <v>454.95</v>
      </c>
      <c r="G106" s="236"/>
      <c r="H106" s="236"/>
      <c r="I106" s="236"/>
      <c r="J106" s="242"/>
      <c r="L106" s="270"/>
      <c r="M106" s="245"/>
      <c r="N106" s="22" t="s">
        <v>70</v>
      </c>
      <c r="O106" s="23">
        <v>30.33</v>
      </c>
      <c r="P106" s="23">
        <v>15</v>
      </c>
      <c r="Q106" s="23">
        <f t="shared" si="37"/>
        <v>454.95</v>
      </c>
      <c r="R106" s="236"/>
      <c r="S106" s="236"/>
      <c r="T106" s="236"/>
      <c r="U106" s="242"/>
    </row>
    <row r="107" spans="1:21" ht="13">
      <c r="A107" s="270"/>
      <c r="B107" s="245"/>
      <c r="C107" s="22" t="s">
        <v>597</v>
      </c>
      <c r="D107" s="23">
        <v>25.25</v>
      </c>
      <c r="E107" s="23">
        <v>17</v>
      </c>
      <c r="F107" s="23">
        <f t="shared" si="36"/>
        <v>429.25</v>
      </c>
      <c r="G107" s="236"/>
      <c r="H107" s="236"/>
      <c r="I107" s="236"/>
      <c r="J107" s="242"/>
      <c r="L107" s="270"/>
      <c r="M107" s="245"/>
      <c r="N107" s="22" t="s">
        <v>597</v>
      </c>
      <c r="O107" s="23">
        <v>25.25</v>
      </c>
      <c r="P107" s="23">
        <v>17</v>
      </c>
      <c r="Q107" s="23">
        <f t="shared" si="37"/>
        <v>429.25</v>
      </c>
      <c r="R107" s="236"/>
      <c r="S107" s="236"/>
      <c r="T107" s="236"/>
      <c r="U107" s="242"/>
    </row>
    <row r="108" spans="1:21" ht="13">
      <c r="A108" s="270"/>
      <c r="B108" s="245"/>
      <c r="C108" s="22" t="s">
        <v>578</v>
      </c>
      <c r="D108" s="23">
        <v>23.8</v>
      </c>
      <c r="E108" s="23">
        <v>15</v>
      </c>
      <c r="F108" s="23">
        <f t="shared" si="36"/>
        <v>357</v>
      </c>
      <c r="G108" s="236"/>
      <c r="H108" s="236"/>
      <c r="I108" s="236"/>
      <c r="J108" s="242"/>
      <c r="L108" s="270"/>
      <c r="M108" s="245"/>
      <c r="N108" s="22" t="s">
        <v>578</v>
      </c>
      <c r="O108" s="23">
        <v>23.8</v>
      </c>
      <c r="P108" s="23">
        <v>15</v>
      </c>
      <c r="Q108" s="23">
        <f t="shared" si="37"/>
        <v>357</v>
      </c>
      <c r="R108" s="236"/>
      <c r="S108" s="236"/>
      <c r="T108" s="236"/>
      <c r="U108" s="242"/>
    </row>
    <row r="109" spans="1:21" ht="13">
      <c r="A109" s="270"/>
      <c r="B109" s="245"/>
      <c r="C109" s="22" t="s">
        <v>580</v>
      </c>
      <c r="D109" s="23">
        <v>14.17</v>
      </c>
      <c r="E109" s="23">
        <v>15</v>
      </c>
      <c r="F109" s="23">
        <f t="shared" si="36"/>
        <v>212.55</v>
      </c>
      <c r="G109" s="236"/>
      <c r="H109" s="236"/>
      <c r="I109" s="236"/>
      <c r="J109" s="242"/>
      <c r="L109" s="270"/>
      <c r="M109" s="245"/>
      <c r="N109" s="22" t="s">
        <v>580</v>
      </c>
      <c r="O109" s="23">
        <v>14.17</v>
      </c>
      <c r="P109" s="23">
        <v>15</v>
      </c>
      <c r="Q109" s="23">
        <f t="shared" si="37"/>
        <v>212.55</v>
      </c>
      <c r="R109" s="236"/>
      <c r="S109" s="236"/>
      <c r="T109" s="236"/>
      <c r="U109" s="242"/>
    </row>
    <row r="110" spans="1:21" ht="13">
      <c r="A110" s="270"/>
      <c r="B110" s="245"/>
      <c r="C110" s="22" t="s">
        <v>48</v>
      </c>
      <c r="D110" s="23"/>
      <c r="E110" s="23"/>
      <c r="F110" s="23">
        <v>103.8</v>
      </c>
      <c r="G110" s="236"/>
      <c r="H110" s="236"/>
      <c r="I110" s="236"/>
      <c r="J110" s="242"/>
      <c r="L110" s="270"/>
      <c r="M110" s="245"/>
      <c r="N110" s="22" t="s">
        <v>48</v>
      </c>
      <c r="O110" s="23"/>
      <c r="P110" s="23"/>
      <c r="Q110" s="23">
        <v>103.8</v>
      </c>
      <c r="R110" s="236"/>
      <c r="S110" s="236"/>
      <c r="T110" s="236"/>
      <c r="U110" s="242"/>
    </row>
    <row r="111" spans="1:21" ht="13">
      <c r="A111" s="270"/>
      <c r="B111" s="245"/>
      <c r="C111" s="22" t="s">
        <v>598</v>
      </c>
      <c r="D111" s="23"/>
      <c r="E111" s="23"/>
      <c r="F111" s="23">
        <v>254</v>
      </c>
      <c r="G111" s="236"/>
      <c r="H111" s="236"/>
      <c r="I111" s="236"/>
      <c r="J111" s="242"/>
      <c r="L111" s="270"/>
      <c r="M111" s="245"/>
      <c r="N111" s="22" t="s">
        <v>598</v>
      </c>
      <c r="O111" s="23"/>
      <c r="P111" s="23"/>
      <c r="Q111" s="23">
        <v>254</v>
      </c>
      <c r="R111" s="236"/>
      <c r="S111" s="236"/>
      <c r="T111" s="236"/>
      <c r="U111" s="242"/>
    </row>
    <row r="112" spans="1:21" ht="13">
      <c r="A112" s="270"/>
      <c r="B112" s="245"/>
      <c r="C112" s="22" t="s">
        <v>45</v>
      </c>
      <c r="D112" s="23"/>
      <c r="E112" s="23"/>
      <c r="F112" s="23">
        <v>56.87</v>
      </c>
      <c r="G112" s="236"/>
      <c r="H112" s="236"/>
      <c r="I112" s="236"/>
      <c r="J112" s="242"/>
      <c r="L112" s="270"/>
      <c r="M112" s="245"/>
      <c r="N112" s="22" t="s">
        <v>45</v>
      </c>
      <c r="O112" s="23"/>
      <c r="P112" s="23"/>
      <c r="Q112" s="23">
        <v>56.87</v>
      </c>
      <c r="R112" s="236"/>
      <c r="S112" s="236"/>
      <c r="T112" s="236"/>
      <c r="U112" s="242"/>
    </row>
    <row r="113" spans="1:21" ht="13">
      <c r="A113" s="270"/>
      <c r="B113" s="245"/>
      <c r="C113" s="22" t="s">
        <v>47</v>
      </c>
      <c r="D113" s="23"/>
      <c r="E113" s="23"/>
      <c r="F113" s="23">
        <v>146.68</v>
      </c>
      <c r="G113" s="236"/>
      <c r="H113" s="236"/>
      <c r="I113" s="236"/>
      <c r="J113" s="242"/>
      <c r="L113" s="270"/>
      <c r="M113" s="245"/>
      <c r="N113" s="22" t="s">
        <v>47</v>
      </c>
      <c r="O113" s="23"/>
      <c r="P113" s="23"/>
      <c r="Q113" s="23">
        <v>146.68</v>
      </c>
      <c r="R113" s="236"/>
      <c r="S113" s="236"/>
      <c r="T113" s="236"/>
      <c r="U113" s="242"/>
    </row>
    <row r="114" spans="1:21" ht="13">
      <c r="A114" s="270"/>
      <c r="B114" s="245"/>
      <c r="C114" s="22" t="s">
        <v>155</v>
      </c>
      <c r="D114" s="23"/>
      <c r="E114" s="23"/>
      <c r="F114" s="23">
        <v>247.28</v>
      </c>
      <c r="G114" s="236"/>
      <c r="H114" s="236"/>
      <c r="I114" s="236"/>
      <c r="J114" s="242"/>
      <c r="L114" s="270"/>
      <c r="M114" s="245"/>
      <c r="N114" s="22" t="s">
        <v>155</v>
      </c>
      <c r="O114" s="23"/>
      <c r="P114" s="23"/>
      <c r="Q114" s="23">
        <v>247.28</v>
      </c>
      <c r="R114" s="236"/>
      <c r="S114" s="236"/>
      <c r="T114" s="236"/>
      <c r="U114" s="242"/>
    </row>
    <row r="115" spans="1:21" ht="13">
      <c r="A115" s="271"/>
      <c r="B115" s="246"/>
      <c r="C115" s="78"/>
      <c r="D115" s="26"/>
      <c r="E115" s="26"/>
      <c r="F115" s="26"/>
      <c r="G115" s="238"/>
      <c r="H115" s="238"/>
      <c r="I115" s="238"/>
      <c r="J115" s="243"/>
      <c r="L115" s="271"/>
      <c r="M115" s="246"/>
      <c r="N115" s="78"/>
      <c r="O115" s="26"/>
      <c r="P115" s="26"/>
      <c r="Q115" s="26"/>
      <c r="R115" s="238"/>
      <c r="S115" s="238"/>
      <c r="T115" s="238"/>
      <c r="U115" s="243"/>
    </row>
    <row r="116" spans="1:21" ht="30">
      <c r="A116" s="254" t="s">
        <v>674</v>
      </c>
      <c r="B116" s="255"/>
      <c r="C116" s="256"/>
      <c r="D116" s="27">
        <f t="shared" ref="D116:I116" si="38">AVERAGE(D102:D115)</f>
        <v>22.304999999999996</v>
      </c>
      <c r="E116" s="27">
        <f t="shared" si="38"/>
        <v>15.5</v>
      </c>
      <c r="F116" s="27">
        <f t="shared" si="38"/>
        <v>370.81384615384616</v>
      </c>
      <c r="G116" s="27">
        <f t="shared" si="38"/>
        <v>4820.58</v>
      </c>
      <c r="H116" s="27">
        <f t="shared" si="38"/>
        <v>7000</v>
      </c>
      <c r="I116" s="27">
        <f t="shared" si="38"/>
        <v>2179.42</v>
      </c>
      <c r="J116" s="28" t="e">
        <f>AVERAGE($K$12:$K$81)</f>
        <v>#DIV/0!</v>
      </c>
      <c r="L116" s="254" t="s">
        <v>674</v>
      </c>
      <c r="M116" s="255"/>
      <c r="N116" s="256"/>
      <c r="O116" s="27">
        <f t="shared" ref="O116:T116" si="39">AVERAGE(O102:O115)</f>
        <v>23.966000000000001</v>
      </c>
      <c r="P116" s="27">
        <f t="shared" si="39"/>
        <v>15.4</v>
      </c>
      <c r="Q116" s="27">
        <f t="shared" si="39"/>
        <v>383.04833333333335</v>
      </c>
      <c r="R116" s="27">
        <f t="shared" si="39"/>
        <v>4596.58</v>
      </c>
      <c r="S116" s="27">
        <f t="shared" si="39"/>
        <v>7000</v>
      </c>
      <c r="T116" s="27">
        <f t="shared" si="39"/>
        <v>2403.42</v>
      </c>
      <c r="U116" s="28" t="e">
        <f>AVERAGE($K$12:$K$81)</f>
        <v>#DIV/0!</v>
      </c>
    </row>
    <row r="117" spans="1:21" ht="30">
      <c r="A117" s="251" t="s">
        <v>675</v>
      </c>
      <c r="B117" s="252"/>
      <c r="C117" s="253"/>
      <c r="D117" s="88">
        <f t="shared" ref="D117:I117" si="40">SUM(D102:D115)</f>
        <v>133.82999999999998</v>
      </c>
      <c r="E117" s="88">
        <f t="shared" si="40"/>
        <v>93</v>
      </c>
      <c r="F117" s="88">
        <f t="shared" si="40"/>
        <v>4820.58</v>
      </c>
      <c r="G117" s="88">
        <f t="shared" si="40"/>
        <v>4820.58</v>
      </c>
      <c r="H117" s="88">
        <f t="shared" si="40"/>
        <v>7000</v>
      </c>
      <c r="I117" s="88">
        <f t="shared" si="40"/>
        <v>2179.42</v>
      </c>
      <c r="J117" s="89">
        <f>I117/H117</f>
        <v>0.31134571428571428</v>
      </c>
      <c r="L117" s="251" t="s">
        <v>675</v>
      </c>
      <c r="M117" s="252"/>
      <c r="N117" s="253"/>
      <c r="O117" s="88">
        <f t="shared" ref="O117:T117" si="41">SUM(O102:O115)</f>
        <v>119.83</v>
      </c>
      <c r="P117" s="88">
        <f t="shared" si="41"/>
        <v>77</v>
      </c>
      <c r="Q117" s="88">
        <f t="shared" si="41"/>
        <v>4596.58</v>
      </c>
      <c r="R117" s="88">
        <f t="shared" si="41"/>
        <v>4596.58</v>
      </c>
      <c r="S117" s="88">
        <f t="shared" si="41"/>
        <v>7000</v>
      </c>
      <c r="T117" s="88">
        <f t="shared" si="41"/>
        <v>2403.42</v>
      </c>
      <c r="U117" s="89">
        <f>T117/S117</f>
        <v>0.34334571428571431</v>
      </c>
    </row>
    <row r="119" spans="1:21" ht="30">
      <c r="A119" s="257" t="s">
        <v>204</v>
      </c>
      <c r="B119" s="252"/>
      <c r="C119" s="253"/>
      <c r="D119" s="34">
        <f t="shared" ref="D119:I119" si="42">SUM(D82,D101,D117)</f>
        <v>575.95000000000005</v>
      </c>
      <c r="E119" s="34">
        <f t="shared" si="42"/>
        <v>451</v>
      </c>
      <c r="F119" s="34">
        <f t="shared" si="42"/>
        <v>15276.07</v>
      </c>
      <c r="G119" s="34">
        <f t="shared" si="42"/>
        <v>15276.07</v>
      </c>
      <c r="H119" s="34">
        <f t="shared" si="42"/>
        <v>21000</v>
      </c>
      <c r="I119" s="34">
        <f t="shared" si="42"/>
        <v>5723.93</v>
      </c>
      <c r="J119" s="35">
        <f>I119/H119</f>
        <v>0.27256809523809528</v>
      </c>
      <c r="L119" s="257" t="s">
        <v>204</v>
      </c>
      <c r="M119" s="252"/>
      <c r="N119" s="253"/>
      <c r="O119" s="34">
        <f t="shared" ref="O119:T119" si="43">SUM(O82,O101,O117)</f>
        <v>533.95000000000005</v>
      </c>
      <c r="P119" s="34">
        <f t="shared" si="43"/>
        <v>403</v>
      </c>
      <c r="Q119" s="34">
        <f t="shared" si="43"/>
        <v>14604.07</v>
      </c>
      <c r="R119" s="34">
        <f t="shared" si="43"/>
        <v>14604.07</v>
      </c>
      <c r="S119" s="34">
        <f t="shared" si="43"/>
        <v>21000</v>
      </c>
      <c r="T119" s="34">
        <f t="shared" si="43"/>
        <v>6395.93</v>
      </c>
      <c r="U119" s="35">
        <f>T119/S119</f>
        <v>0.30456809523809525</v>
      </c>
    </row>
    <row r="121" spans="1:21" ht="13">
      <c r="A121" s="269" t="s">
        <v>676</v>
      </c>
      <c r="B121" s="244" t="s">
        <v>601</v>
      </c>
      <c r="C121" s="64" t="s">
        <v>23</v>
      </c>
      <c r="D121" s="50">
        <v>21</v>
      </c>
      <c r="E121" s="50">
        <v>16</v>
      </c>
      <c r="F121" s="65">
        <f>D121*E121</f>
        <v>336</v>
      </c>
      <c r="G121" s="240">
        <f>SUM(F121:F135)</f>
        <v>4574.22</v>
      </c>
      <c r="H121" s="240">
        <v>7000</v>
      </c>
      <c r="I121" s="240">
        <f>H121-G121</f>
        <v>2425.7799999999997</v>
      </c>
      <c r="J121" s="241">
        <f>I121/H121</f>
        <v>0.34653999999999996</v>
      </c>
      <c r="L121" s="269" t="s">
        <v>676</v>
      </c>
      <c r="M121" s="244" t="s">
        <v>601</v>
      </c>
      <c r="N121" s="64" t="s">
        <v>23</v>
      </c>
      <c r="O121" s="43"/>
      <c r="P121" s="43"/>
      <c r="Q121" s="43"/>
      <c r="R121" s="240">
        <f>SUM(Q121:Q135)</f>
        <v>4238.22</v>
      </c>
      <c r="S121" s="240">
        <v>7000</v>
      </c>
      <c r="T121" s="240">
        <f>S121-R121</f>
        <v>2761.7799999999997</v>
      </c>
      <c r="U121" s="241">
        <f>T121/S121</f>
        <v>0.39453999999999995</v>
      </c>
    </row>
    <row r="122" spans="1:21" ht="13">
      <c r="A122" s="270"/>
      <c r="B122" s="245"/>
      <c r="C122" s="22" t="s">
        <v>575</v>
      </c>
      <c r="D122" s="23"/>
      <c r="E122" s="23"/>
      <c r="F122" s="23">
        <v>170</v>
      </c>
      <c r="G122" s="236"/>
      <c r="H122" s="236"/>
      <c r="I122" s="236"/>
      <c r="J122" s="242"/>
      <c r="L122" s="270"/>
      <c r="M122" s="245"/>
      <c r="N122" s="22" t="s">
        <v>575</v>
      </c>
      <c r="O122" s="23"/>
      <c r="P122" s="23"/>
      <c r="Q122" s="23">
        <v>170</v>
      </c>
      <c r="R122" s="236"/>
      <c r="S122" s="236"/>
      <c r="T122" s="236"/>
      <c r="U122" s="242"/>
    </row>
    <row r="123" spans="1:21" ht="13">
      <c r="A123" s="270"/>
      <c r="B123" s="245"/>
      <c r="C123" s="22" t="s">
        <v>597</v>
      </c>
      <c r="D123" s="23">
        <v>31.8</v>
      </c>
      <c r="E123" s="23">
        <v>17</v>
      </c>
      <c r="F123" s="23">
        <f t="shared" ref="F123:F131" si="44">D123*E123</f>
        <v>540.6</v>
      </c>
      <c r="G123" s="236"/>
      <c r="H123" s="236"/>
      <c r="I123" s="236"/>
      <c r="J123" s="242"/>
      <c r="L123" s="270"/>
      <c r="M123" s="245"/>
      <c r="N123" s="22" t="s">
        <v>597</v>
      </c>
      <c r="O123" s="23">
        <v>31.8</v>
      </c>
      <c r="P123" s="23">
        <v>17</v>
      </c>
      <c r="Q123" s="23">
        <f t="shared" ref="Q123:Q131" si="45">O123*P123</f>
        <v>540.6</v>
      </c>
      <c r="R123" s="236"/>
      <c r="S123" s="236"/>
      <c r="T123" s="236"/>
      <c r="U123" s="242"/>
    </row>
    <row r="124" spans="1:21" ht="13">
      <c r="A124" s="270"/>
      <c r="B124" s="245"/>
      <c r="C124" s="22" t="s">
        <v>596</v>
      </c>
      <c r="D124" s="23">
        <v>5.34</v>
      </c>
      <c r="E124" s="23">
        <v>15</v>
      </c>
      <c r="F124" s="23">
        <f t="shared" si="44"/>
        <v>80.099999999999994</v>
      </c>
      <c r="G124" s="236"/>
      <c r="H124" s="236"/>
      <c r="I124" s="236"/>
      <c r="J124" s="242"/>
      <c r="L124" s="270"/>
      <c r="M124" s="245"/>
      <c r="N124" s="22" t="s">
        <v>596</v>
      </c>
      <c r="O124" s="23">
        <v>5.34</v>
      </c>
      <c r="P124" s="23">
        <v>15</v>
      </c>
      <c r="Q124" s="23">
        <f t="shared" si="45"/>
        <v>80.099999999999994</v>
      </c>
      <c r="R124" s="236"/>
      <c r="S124" s="236"/>
      <c r="T124" s="236"/>
      <c r="U124" s="242"/>
    </row>
    <row r="125" spans="1:21" ht="13">
      <c r="A125" s="270"/>
      <c r="B125" s="245"/>
      <c r="C125" s="22" t="s">
        <v>191</v>
      </c>
      <c r="D125" s="23">
        <v>5.52</v>
      </c>
      <c r="E125" s="23">
        <v>15</v>
      </c>
      <c r="F125" s="23">
        <f t="shared" si="44"/>
        <v>82.8</v>
      </c>
      <c r="G125" s="236"/>
      <c r="H125" s="236"/>
      <c r="I125" s="236"/>
      <c r="J125" s="242"/>
      <c r="L125" s="270"/>
      <c r="M125" s="245"/>
      <c r="N125" s="22" t="s">
        <v>191</v>
      </c>
      <c r="O125" s="23">
        <v>5.52</v>
      </c>
      <c r="P125" s="23">
        <v>15</v>
      </c>
      <c r="Q125" s="23">
        <f t="shared" si="45"/>
        <v>82.8</v>
      </c>
      <c r="R125" s="236"/>
      <c r="S125" s="236"/>
      <c r="T125" s="236"/>
      <c r="U125" s="242"/>
    </row>
    <row r="126" spans="1:21" ht="13">
      <c r="A126" s="270"/>
      <c r="B126" s="245"/>
      <c r="C126" s="22" t="s">
        <v>190</v>
      </c>
      <c r="D126" s="23">
        <v>29.88</v>
      </c>
      <c r="E126" s="23">
        <v>15</v>
      </c>
      <c r="F126" s="23">
        <f t="shared" si="44"/>
        <v>448.2</v>
      </c>
      <c r="G126" s="236"/>
      <c r="H126" s="236"/>
      <c r="I126" s="236"/>
      <c r="J126" s="242"/>
      <c r="L126" s="270"/>
      <c r="M126" s="245"/>
      <c r="N126" s="22" t="s">
        <v>190</v>
      </c>
      <c r="O126" s="23">
        <v>29.88</v>
      </c>
      <c r="P126" s="23">
        <v>15</v>
      </c>
      <c r="Q126" s="23">
        <f t="shared" si="45"/>
        <v>448.2</v>
      </c>
      <c r="R126" s="236"/>
      <c r="S126" s="236"/>
      <c r="T126" s="236"/>
      <c r="U126" s="242"/>
    </row>
    <row r="127" spans="1:21" ht="13">
      <c r="A127" s="270"/>
      <c r="B127" s="245"/>
      <c r="C127" s="24" t="s">
        <v>602</v>
      </c>
      <c r="D127" s="23">
        <v>8.01</v>
      </c>
      <c r="E127" s="23">
        <v>15</v>
      </c>
      <c r="F127" s="23">
        <f t="shared" si="44"/>
        <v>120.14999999999999</v>
      </c>
      <c r="G127" s="236"/>
      <c r="H127" s="236"/>
      <c r="I127" s="236"/>
      <c r="J127" s="242"/>
      <c r="L127" s="270"/>
      <c r="M127" s="245"/>
      <c r="N127" s="24" t="s">
        <v>602</v>
      </c>
      <c r="O127" s="23">
        <v>8.01</v>
      </c>
      <c r="P127" s="23">
        <v>15</v>
      </c>
      <c r="Q127" s="23">
        <f t="shared" si="45"/>
        <v>120.14999999999999</v>
      </c>
      <c r="R127" s="236"/>
      <c r="S127" s="236"/>
      <c r="T127" s="236"/>
      <c r="U127" s="242"/>
    </row>
    <row r="128" spans="1:21" ht="13">
      <c r="A128" s="270"/>
      <c r="B128" s="245"/>
      <c r="C128" s="22" t="s">
        <v>603</v>
      </c>
      <c r="D128" s="23">
        <v>16</v>
      </c>
      <c r="E128" s="23">
        <v>17</v>
      </c>
      <c r="F128" s="23">
        <f t="shared" si="44"/>
        <v>272</v>
      </c>
      <c r="G128" s="236"/>
      <c r="H128" s="236"/>
      <c r="I128" s="236"/>
      <c r="J128" s="242"/>
      <c r="L128" s="270"/>
      <c r="M128" s="245"/>
      <c r="N128" s="22" t="s">
        <v>603</v>
      </c>
      <c r="O128" s="23">
        <v>16</v>
      </c>
      <c r="P128" s="23">
        <v>17</v>
      </c>
      <c r="Q128" s="23">
        <f t="shared" si="45"/>
        <v>272</v>
      </c>
      <c r="R128" s="236"/>
      <c r="S128" s="236"/>
      <c r="T128" s="236"/>
      <c r="U128" s="242"/>
    </row>
    <row r="129" spans="1:21" ht="13">
      <c r="A129" s="270"/>
      <c r="B129" s="245"/>
      <c r="C129" s="22" t="s">
        <v>98</v>
      </c>
      <c r="D129" s="23">
        <v>33</v>
      </c>
      <c r="E129" s="23">
        <v>17</v>
      </c>
      <c r="F129" s="23">
        <f t="shared" si="44"/>
        <v>561</v>
      </c>
      <c r="G129" s="236"/>
      <c r="H129" s="236"/>
      <c r="I129" s="236"/>
      <c r="J129" s="242"/>
      <c r="L129" s="270"/>
      <c r="M129" s="245"/>
      <c r="N129" s="22" t="s">
        <v>98</v>
      </c>
      <c r="O129" s="23">
        <v>33</v>
      </c>
      <c r="P129" s="23">
        <v>17</v>
      </c>
      <c r="Q129" s="23">
        <f t="shared" si="45"/>
        <v>561</v>
      </c>
      <c r="R129" s="236"/>
      <c r="S129" s="236"/>
      <c r="T129" s="236"/>
      <c r="U129" s="242"/>
    </row>
    <row r="130" spans="1:21" ht="13">
      <c r="A130" s="270"/>
      <c r="B130" s="245"/>
      <c r="C130" s="24" t="s">
        <v>62</v>
      </c>
      <c r="D130" s="23">
        <v>8.33</v>
      </c>
      <c r="E130" s="23">
        <v>17</v>
      </c>
      <c r="F130" s="23">
        <f t="shared" si="44"/>
        <v>141.61000000000001</v>
      </c>
      <c r="G130" s="236"/>
      <c r="H130" s="236"/>
      <c r="I130" s="236"/>
      <c r="J130" s="242"/>
      <c r="L130" s="270"/>
      <c r="M130" s="245"/>
      <c r="N130" s="24" t="s">
        <v>62</v>
      </c>
      <c r="O130" s="23">
        <v>8.33</v>
      </c>
      <c r="P130" s="23">
        <v>17</v>
      </c>
      <c r="Q130" s="23">
        <f t="shared" si="45"/>
        <v>141.61000000000001</v>
      </c>
      <c r="R130" s="236"/>
      <c r="S130" s="236"/>
      <c r="T130" s="236"/>
      <c r="U130" s="242"/>
    </row>
    <row r="131" spans="1:21" ht="13">
      <c r="A131" s="270"/>
      <c r="B131" s="245"/>
      <c r="C131" s="22" t="s">
        <v>236</v>
      </c>
      <c r="D131" s="23">
        <v>26.74</v>
      </c>
      <c r="E131" s="23">
        <v>17</v>
      </c>
      <c r="F131" s="23">
        <f t="shared" si="44"/>
        <v>454.58</v>
      </c>
      <c r="G131" s="236"/>
      <c r="H131" s="236"/>
      <c r="I131" s="236"/>
      <c r="J131" s="242"/>
      <c r="L131" s="270"/>
      <c r="M131" s="245"/>
      <c r="N131" s="22" t="s">
        <v>236</v>
      </c>
      <c r="O131" s="23">
        <v>26.74</v>
      </c>
      <c r="P131" s="23">
        <v>17</v>
      </c>
      <c r="Q131" s="23">
        <f t="shared" si="45"/>
        <v>454.58</v>
      </c>
      <c r="R131" s="236"/>
      <c r="S131" s="236"/>
      <c r="T131" s="236"/>
      <c r="U131" s="242"/>
    </row>
    <row r="132" spans="1:21" ht="13">
      <c r="A132" s="270"/>
      <c r="B132" s="245"/>
      <c r="C132" s="22" t="s">
        <v>45</v>
      </c>
      <c r="D132" s="23"/>
      <c r="E132" s="23"/>
      <c r="F132" s="23">
        <v>473.55</v>
      </c>
      <c r="G132" s="236"/>
      <c r="H132" s="236"/>
      <c r="I132" s="236"/>
      <c r="J132" s="242"/>
      <c r="L132" s="270"/>
      <c r="M132" s="245"/>
      <c r="N132" s="22" t="s">
        <v>45</v>
      </c>
      <c r="O132" s="23"/>
      <c r="P132" s="23"/>
      <c r="Q132" s="23">
        <v>473.55</v>
      </c>
      <c r="R132" s="236"/>
      <c r="S132" s="236"/>
      <c r="T132" s="236"/>
      <c r="U132" s="242"/>
    </row>
    <row r="133" spans="1:21" ht="13">
      <c r="A133" s="270"/>
      <c r="B133" s="245"/>
      <c r="C133" s="22" t="s">
        <v>47</v>
      </c>
      <c r="D133" s="23"/>
      <c r="E133" s="23"/>
      <c r="F133" s="23">
        <v>393.66</v>
      </c>
      <c r="G133" s="236"/>
      <c r="H133" s="236"/>
      <c r="I133" s="236"/>
      <c r="J133" s="242"/>
      <c r="L133" s="270"/>
      <c r="M133" s="245"/>
      <c r="N133" s="22" t="s">
        <v>47</v>
      </c>
      <c r="O133" s="23"/>
      <c r="P133" s="23"/>
      <c r="Q133" s="23">
        <v>393.66</v>
      </c>
      <c r="R133" s="236"/>
      <c r="S133" s="236"/>
      <c r="T133" s="236"/>
      <c r="U133" s="242"/>
    </row>
    <row r="134" spans="1:21" ht="13">
      <c r="A134" s="270"/>
      <c r="B134" s="245"/>
      <c r="C134" s="22" t="s">
        <v>44</v>
      </c>
      <c r="D134" s="23"/>
      <c r="E134" s="23"/>
      <c r="F134" s="23">
        <v>161.5</v>
      </c>
      <c r="G134" s="236"/>
      <c r="H134" s="236"/>
      <c r="I134" s="236"/>
      <c r="J134" s="242"/>
      <c r="L134" s="270"/>
      <c r="M134" s="245"/>
      <c r="N134" s="22" t="s">
        <v>44</v>
      </c>
      <c r="O134" s="23"/>
      <c r="P134" s="23"/>
      <c r="Q134" s="23">
        <v>161.5</v>
      </c>
      <c r="R134" s="236"/>
      <c r="S134" s="236"/>
      <c r="T134" s="236"/>
      <c r="U134" s="242"/>
    </row>
    <row r="135" spans="1:21" ht="13">
      <c r="A135" s="271"/>
      <c r="B135" s="246"/>
      <c r="C135" s="25" t="s">
        <v>48</v>
      </c>
      <c r="D135" s="26"/>
      <c r="E135" s="26"/>
      <c r="F135" s="26">
        <v>338.47</v>
      </c>
      <c r="G135" s="238"/>
      <c r="H135" s="238"/>
      <c r="I135" s="238"/>
      <c r="J135" s="243"/>
      <c r="L135" s="271"/>
      <c r="M135" s="246"/>
      <c r="N135" s="25" t="s">
        <v>48</v>
      </c>
      <c r="O135" s="26"/>
      <c r="P135" s="26"/>
      <c r="Q135" s="26">
        <v>338.47</v>
      </c>
      <c r="R135" s="238"/>
      <c r="S135" s="238"/>
      <c r="T135" s="238"/>
      <c r="U135" s="243"/>
    </row>
    <row r="136" spans="1:21" ht="30">
      <c r="A136" s="254" t="s">
        <v>251</v>
      </c>
      <c r="B136" s="255"/>
      <c r="C136" s="256"/>
      <c r="D136" s="27">
        <f t="shared" ref="D136:I136" si="46">AVERAGE(D121:D135)</f>
        <v>18.562000000000005</v>
      </c>
      <c r="E136" s="27">
        <f t="shared" si="46"/>
        <v>16.100000000000001</v>
      </c>
      <c r="F136" s="27">
        <f t="shared" si="46"/>
        <v>304.94800000000004</v>
      </c>
      <c r="G136" s="27">
        <f t="shared" si="46"/>
        <v>4574.22</v>
      </c>
      <c r="H136" s="27">
        <f t="shared" si="46"/>
        <v>7000</v>
      </c>
      <c r="I136" s="27">
        <f t="shared" si="46"/>
        <v>2425.7799999999997</v>
      </c>
      <c r="J136" s="28" t="e">
        <f>AVERAGE($K$12:$K$81)</f>
        <v>#DIV/0!</v>
      </c>
      <c r="L136" s="254" t="s">
        <v>251</v>
      </c>
      <c r="M136" s="255"/>
      <c r="N136" s="256"/>
      <c r="O136" s="27">
        <f t="shared" ref="O136:T136" si="47">AVERAGE(O121:O135)</f>
        <v>18.291111111111114</v>
      </c>
      <c r="P136" s="27">
        <f t="shared" si="47"/>
        <v>16.111111111111111</v>
      </c>
      <c r="Q136" s="27">
        <f t="shared" si="47"/>
        <v>302.73</v>
      </c>
      <c r="R136" s="27">
        <f t="shared" si="47"/>
        <v>4238.22</v>
      </c>
      <c r="S136" s="27">
        <f t="shared" si="47"/>
        <v>7000</v>
      </c>
      <c r="T136" s="27">
        <f t="shared" si="47"/>
        <v>2761.7799999999997</v>
      </c>
      <c r="U136" s="28" t="e">
        <f>AVERAGE($K$12:$K$81)</f>
        <v>#DIV/0!</v>
      </c>
    </row>
    <row r="137" spans="1:21" ht="30">
      <c r="A137" s="251" t="s">
        <v>252</v>
      </c>
      <c r="B137" s="252"/>
      <c r="C137" s="253"/>
      <c r="D137" s="88">
        <f t="shared" ref="D137:I137" si="48">SUM(D121:D135)</f>
        <v>185.62000000000003</v>
      </c>
      <c r="E137" s="88">
        <f t="shared" si="48"/>
        <v>161</v>
      </c>
      <c r="F137" s="88">
        <f t="shared" si="48"/>
        <v>4574.22</v>
      </c>
      <c r="G137" s="88">
        <f t="shared" si="48"/>
        <v>4574.22</v>
      </c>
      <c r="H137" s="88">
        <f t="shared" si="48"/>
        <v>7000</v>
      </c>
      <c r="I137" s="88">
        <f t="shared" si="48"/>
        <v>2425.7799999999997</v>
      </c>
      <c r="J137" s="89">
        <f t="shared" ref="J137:J138" si="49">I137/H137</f>
        <v>0.34653999999999996</v>
      </c>
      <c r="L137" s="251" t="s">
        <v>252</v>
      </c>
      <c r="M137" s="252"/>
      <c r="N137" s="253"/>
      <c r="O137" s="88">
        <f t="shared" ref="O137:T137" si="50">SUM(O121:O135)</f>
        <v>164.62000000000003</v>
      </c>
      <c r="P137" s="88">
        <f t="shared" si="50"/>
        <v>145</v>
      </c>
      <c r="Q137" s="88">
        <f t="shared" si="50"/>
        <v>4238.22</v>
      </c>
      <c r="R137" s="88">
        <f t="shared" si="50"/>
        <v>4238.22</v>
      </c>
      <c r="S137" s="88">
        <f t="shared" si="50"/>
        <v>7000</v>
      </c>
      <c r="T137" s="88">
        <f t="shared" si="50"/>
        <v>2761.7799999999997</v>
      </c>
      <c r="U137" s="89">
        <f t="shared" ref="U137:U138" si="51">T137/S137</f>
        <v>0.39453999999999995</v>
      </c>
    </row>
    <row r="138" spans="1:21" ht="13">
      <c r="A138" s="269" t="s">
        <v>4</v>
      </c>
      <c r="B138" s="244" t="s">
        <v>604</v>
      </c>
      <c r="C138" s="64" t="s">
        <v>23</v>
      </c>
      <c r="D138" s="50">
        <v>21</v>
      </c>
      <c r="E138" s="50">
        <v>16</v>
      </c>
      <c r="F138" s="65">
        <f t="shared" ref="F138:F145" si="52">D138*E138</f>
        <v>336</v>
      </c>
      <c r="G138" s="240">
        <f>SUM(F138:F150)</f>
        <v>4791.09</v>
      </c>
      <c r="H138" s="240">
        <v>7000</v>
      </c>
      <c r="I138" s="240">
        <f>H138-G138</f>
        <v>2208.91</v>
      </c>
      <c r="J138" s="241">
        <f t="shared" si="49"/>
        <v>0.31555857142857141</v>
      </c>
      <c r="L138" s="269" t="s">
        <v>4</v>
      </c>
      <c r="M138" s="244" t="s">
        <v>604</v>
      </c>
      <c r="N138" s="64" t="s">
        <v>23</v>
      </c>
      <c r="O138" s="43"/>
      <c r="P138" s="43"/>
      <c r="Q138" s="43"/>
      <c r="R138" s="240">
        <f>SUM(Q138:Q150)</f>
        <v>4119.09</v>
      </c>
      <c r="S138" s="240">
        <v>7000</v>
      </c>
      <c r="T138" s="240">
        <f>S138-R138</f>
        <v>2880.91</v>
      </c>
      <c r="U138" s="241">
        <f t="shared" si="51"/>
        <v>0.41155857142857138</v>
      </c>
    </row>
    <row r="139" spans="1:21" ht="13">
      <c r="A139" s="270"/>
      <c r="B139" s="245"/>
      <c r="C139" s="22" t="s">
        <v>209</v>
      </c>
      <c r="D139" s="23">
        <v>21</v>
      </c>
      <c r="E139" s="23">
        <v>16</v>
      </c>
      <c r="F139" s="23">
        <f t="shared" si="52"/>
        <v>336</v>
      </c>
      <c r="G139" s="236"/>
      <c r="H139" s="236"/>
      <c r="I139" s="236"/>
      <c r="J139" s="242"/>
      <c r="L139" s="270"/>
      <c r="M139" s="245"/>
      <c r="N139" s="22" t="s">
        <v>209</v>
      </c>
      <c r="O139" s="18"/>
      <c r="P139" s="18"/>
      <c r="Q139" s="18"/>
      <c r="R139" s="236"/>
      <c r="S139" s="236"/>
      <c r="T139" s="236"/>
      <c r="U139" s="242"/>
    </row>
    <row r="140" spans="1:21" ht="13">
      <c r="A140" s="270"/>
      <c r="B140" s="245"/>
      <c r="C140" s="22" t="s">
        <v>597</v>
      </c>
      <c r="D140" s="23">
        <v>14.2</v>
      </c>
      <c r="E140" s="23">
        <v>17</v>
      </c>
      <c r="F140" s="23">
        <f t="shared" si="52"/>
        <v>241.39999999999998</v>
      </c>
      <c r="G140" s="236"/>
      <c r="H140" s="236"/>
      <c r="I140" s="236"/>
      <c r="J140" s="242"/>
      <c r="L140" s="270"/>
      <c r="M140" s="245"/>
      <c r="N140" s="22" t="s">
        <v>597</v>
      </c>
      <c r="O140" s="23">
        <v>14.2</v>
      </c>
      <c r="P140" s="23">
        <v>17</v>
      </c>
      <c r="Q140" s="23">
        <f t="shared" ref="Q140:Q145" si="53">O140*P140</f>
        <v>241.39999999999998</v>
      </c>
      <c r="R140" s="236"/>
      <c r="S140" s="236"/>
      <c r="T140" s="236"/>
      <c r="U140" s="242"/>
    </row>
    <row r="141" spans="1:21" ht="13">
      <c r="A141" s="270"/>
      <c r="B141" s="245"/>
      <c r="C141" s="22" t="s">
        <v>70</v>
      </c>
      <c r="D141" s="23">
        <v>29.5</v>
      </c>
      <c r="E141" s="23">
        <v>15</v>
      </c>
      <c r="F141" s="23">
        <f t="shared" si="52"/>
        <v>442.5</v>
      </c>
      <c r="G141" s="236"/>
      <c r="H141" s="236"/>
      <c r="I141" s="236"/>
      <c r="J141" s="242"/>
      <c r="L141" s="270"/>
      <c r="M141" s="245"/>
      <c r="N141" s="22" t="s">
        <v>70</v>
      </c>
      <c r="O141" s="23">
        <v>29.5</v>
      </c>
      <c r="P141" s="23">
        <v>15</v>
      </c>
      <c r="Q141" s="23">
        <f t="shared" si="53"/>
        <v>442.5</v>
      </c>
      <c r="R141" s="236"/>
      <c r="S141" s="236"/>
      <c r="T141" s="236"/>
      <c r="U141" s="242"/>
    </row>
    <row r="142" spans="1:21" ht="13">
      <c r="A142" s="270"/>
      <c r="B142" s="245"/>
      <c r="C142" s="22" t="s">
        <v>330</v>
      </c>
      <c r="D142" s="23">
        <v>31.38</v>
      </c>
      <c r="E142" s="23">
        <v>15</v>
      </c>
      <c r="F142" s="23">
        <f t="shared" si="52"/>
        <v>470.7</v>
      </c>
      <c r="G142" s="236"/>
      <c r="H142" s="236"/>
      <c r="I142" s="236"/>
      <c r="J142" s="242"/>
      <c r="L142" s="270"/>
      <c r="M142" s="245"/>
      <c r="N142" s="22" t="s">
        <v>330</v>
      </c>
      <c r="O142" s="23">
        <v>31.38</v>
      </c>
      <c r="P142" s="23">
        <v>15</v>
      </c>
      <c r="Q142" s="23">
        <f t="shared" si="53"/>
        <v>470.7</v>
      </c>
      <c r="R142" s="236"/>
      <c r="S142" s="236"/>
      <c r="T142" s="236"/>
      <c r="U142" s="242"/>
    </row>
    <row r="143" spans="1:21" ht="13">
      <c r="A143" s="270"/>
      <c r="B143" s="245"/>
      <c r="C143" s="22" t="s">
        <v>190</v>
      </c>
      <c r="D143" s="23">
        <v>21.28</v>
      </c>
      <c r="E143" s="23">
        <v>15</v>
      </c>
      <c r="F143" s="23">
        <f t="shared" si="52"/>
        <v>319.20000000000005</v>
      </c>
      <c r="G143" s="236"/>
      <c r="H143" s="236"/>
      <c r="I143" s="236"/>
      <c r="J143" s="242"/>
      <c r="L143" s="270"/>
      <c r="M143" s="245"/>
      <c r="N143" s="22" t="s">
        <v>190</v>
      </c>
      <c r="O143" s="23">
        <v>21.28</v>
      </c>
      <c r="P143" s="23">
        <v>15</v>
      </c>
      <c r="Q143" s="23">
        <f t="shared" si="53"/>
        <v>319.20000000000005</v>
      </c>
      <c r="R143" s="236"/>
      <c r="S143" s="236"/>
      <c r="T143" s="236"/>
      <c r="U143" s="242"/>
    </row>
    <row r="144" spans="1:21" ht="13">
      <c r="A144" s="270"/>
      <c r="B144" s="245"/>
      <c r="C144" s="24" t="s">
        <v>236</v>
      </c>
      <c r="D144" s="23">
        <v>21.32</v>
      </c>
      <c r="E144" s="23">
        <v>17</v>
      </c>
      <c r="F144" s="23">
        <f t="shared" si="52"/>
        <v>362.44</v>
      </c>
      <c r="G144" s="236"/>
      <c r="H144" s="236"/>
      <c r="I144" s="236"/>
      <c r="J144" s="242"/>
      <c r="L144" s="270"/>
      <c r="M144" s="245"/>
      <c r="N144" s="24" t="s">
        <v>236</v>
      </c>
      <c r="O144" s="23">
        <v>21.32</v>
      </c>
      <c r="P144" s="23">
        <v>17</v>
      </c>
      <c r="Q144" s="23">
        <f t="shared" si="53"/>
        <v>362.44</v>
      </c>
      <c r="R144" s="236"/>
      <c r="S144" s="236"/>
      <c r="T144" s="236"/>
      <c r="U144" s="242"/>
    </row>
    <row r="145" spans="1:21" ht="13">
      <c r="A145" s="270"/>
      <c r="B145" s="245"/>
      <c r="C145" s="22" t="s">
        <v>63</v>
      </c>
      <c r="D145" s="23">
        <v>28.68</v>
      </c>
      <c r="E145" s="23">
        <v>17</v>
      </c>
      <c r="F145" s="23">
        <f t="shared" si="52"/>
        <v>487.56</v>
      </c>
      <c r="G145" s="236"/>
      <c r="H145" s="236"/>
      <c r="I145" s="236"/>
      <c r="J145" s="242"/>
      <c r="L145" s="270"/>
      <c r="M145" s="245"/>
      <c r="N145" s="22" t="s">
        <v>63</v>
      </c>
      <c r="O145" s="23">
        <v>28.68</v>
      </c>
      <c r="P145" s="23">
        <v>17</v>
      </c>
      <c r="Q145" s="23">
        <f t="shared" si="53"/>
        <v>487.56</v>
      </c>
      <c r="R145" s="236"/>
      <c r="S145" s="236"/>
      <c r="T145" s="236"/>
      <c r="U145" s="242"/>
    </row>
    <row r="146" spans="1:21" ht="13">
      <c r="A146" s="270"/>
      <c r="B146" s="245"/>
      <c r="C146" s="22" t="s">
        <v>210</v>
      </c>
      <c r="D146" s="23"/>
      <c r="E146" s="23"/>
      <c r="F146" s="23">
        <v>435</v>
      </c>
      <c r="G146" s="236"/>
      <c r="H146" s="236"/>
      <c r="I146" s="236"/>
      <c r="J146" s="242"/>
      <c r="L146" s="270"/>
      <c r="M146" s="245"/>
      <c r="N146" s="22" t="s">
        <v>210</v>
      </c>
      <c r="O146" s="23"/>
      <c r="P146" s="23"/>
      <c r="Q146" s="23">
        <v>435</v>
      </c>
      <c r="R146" s="236"/>
      <c r="S146" s="236"/>
      <c r="T146" s="236"/>
      <c r="U146" s="242"/>
    </row>
    <row r="147" spans="1:21" ht="13">
      <c r="A147" s="270"/>
      <c r="B147" s="245"/>
      <c r="C147" s="22" t="s">
        <v>45</v>
      </c>
      <c r="D147" s="23"/>
      <c r="E147" s="23"/>
      <c r="F147" s="23">
        <v>365.74</v>
      </c>
      <c r="G147" s="236"/>
      <c r="H147" s="236"/>
      <c r="I147" s="236"/>
      <c r="J147" s="242"/>
      <c r="L147" s="270"/>
      <c r="M147" s="245"/>
      <c r="N147" s="22" t="s">
        <v>45</v>
      </c>
      <c r="O147" s="23"/>
      <c r="P147" s="23"/>
      <c r="Q147" s="23">
        <v>365.74</v>
      </c>
      <c r="R147" s="236"/>
      <c r="S147" s="236"/>
      <c r="T147" s="236"/>
      <c r="U147" s="242"/>
    </row>
    <row r="148" spans="1:21" ht="13">
      <c r="A148" s="270"/>
      <c r="B148" s="245"/>
      <c r="C148" s="22" t="s">
        <v>47</v>
      </c>
      <c r="D148" s="23"/>
      <c r="E148" s="23"/>
      <c r="F148" s="23">
        <v>477.06</v>
      </c>
      <c r="G148" s="236"/>
      <c r="H148" s="236"/>
      <c r="I148" s="236"/>
      <c r="J148" s="242"/>
      <c r="L148" s="270"/>
      <c r="M148" s="245"/>
      <c r="N148" s="22" t="s">
        <v>47</v>
      </c>
      <c r="O148" s="23"/>
      <c r="P148" s="23"/>
      <c r="Q148" s="23">
        <v>477.06</v>
      </c>
      <c r="R148" s="236"/>
      <c r="S148" s="236"/>
      <c r="T148" s="236"/>
      <c r="U148" s="242"/>
    </row>
    <row r="149" spans="1:21" ht="13">
      <c r="A149" s="270"/>
      <c r="B149" s="245"/>
      <c r="C149" s="22" t="s">
        <v>44</v>
      </c>
      <c r="D149" s="23"/>
      <c r="E149" s="23"/>
      <c r="F149" s="23">
        <v>240.8</v>
      </c>
      <c r="G149" s="236"/>
      <c r="H149" s="236"/>
      <c r="I149" s="236"/>
      <c r="J149" s="242"/>
      <c r="L149" s="270"/>
      <c r="M149" s="245"/>
      <c r="N149" s="22" t="s">
        <v>44</v>
      </c>
      <c r="O149" s="23"/>
      <c r="P149" s="23"/>
      <c r="Q149" s="23">
        <v>240.8</v>
      </c>
      <c r="R149" s="236"/>
      <c r="S149" s="236"/>
      <c r="T149" s="236"/>
      <c r="U149" s="242"/>
    </row>
    <row r="150" spans="1:21" ht="13">
      <c r="A150" s="271"/>
      <c r="B150" s="246"/>
      <c r="C150" s="25" t="s">
        <v>48</v>
      </c>
      <c r="D150" s="26"/>
      <c r="E150" s="26"/>
      <c r="F150" s="26">
        <v>276.69</v>
      </c>
      <c r="G150" s="238"/>
      <c r="H150" s="238"/>
      <c r="I150" s="238"/>
      <c r="J150" s="243"/>
      <c r="L150" s="271"/>
      <c r="M150" s="246"/>
      <c r="N150" s="25" t="s">
        <v>48</v>
      </c>
      <c r="O150" s="26"/>
      <c r="P150" s="26"/>
      <c r="Q150" s="26">
        <v>276.69</v>
      </c>
      <c r="R150" s="238"/>
      <c r="S150" s="238"/>
      <c r="T150" s="238"/>
      <c r="U150" s="243"/>
    </row>
    <row r="151" spans="1:21" ht="30">
      <c r="A151" s="254" t="s">
        <v>281</v>
      </c>
      <c r="B151" s="255"/>
      <c r="C151" s="256"/>
      <c r="D151" s="27">
        <f t="shared" ref="D151:I151" si="54">AVERAGE(D138:D150)</f>
        <v>23.545000000000002</v>
      </c>
      <c r="E151" s="27">
        <f t="shared" si="54"/>
        <v>16</v>
      </c>
      <c r="F151" s="27">
        <f t="shared" si="54"/>
        <v>368.54538461538465</v>
      </c>
      <c r="G151" s="27">
        <f t="shared" si="54"/>
        <v>4791.09</v>
      </c>
      <c r="H151" s="27">
        <f t="shared" si="54"/>
        <v>7000</v>
      </c>
      <c r="I151" s="27">
        <f t="shared" si="54"/>
        <v>2208.91</v>
      </c>
      <c r="J151" s="28" t="e">
        <f>AVERAGE($K$12:$K$81)</f>
        <v>#DIV/0!</v>
      </c>
      <c r="L151" s="254" t="s">
        <v>281</v>
      </c>
      <c r="M151" s="255"/>
      <c r="N151" s="256"/>
      <c r="O151" s="27">
        <f t="shared" ref="O151:T151" si="55">AVERAGE(O138:O150)</f>
        <v>24.393333333333334</v>
      </c>
      <c r="P151" s="27">
        <f t="shared" si="55"/>
        <v>16</v>
      </c>
      <c r="Q151" s="27">
        <f t="shared" si="55"/>
        <v>374.46272727272731</v>
      </c>
      <c r="R151" s="27">
        <f t="shared" si="55"/>
        <v>4119.09</v>
      </c>
      <c r="S151" s="27">
        <f t="shared" si="55"/>
        <v>7000</v>
      </c>
      <c r="T151" s="27">
        <f t="shared" si="55"/>
        <v>2880.91</v>
      </c>
      <c r="U151" s="28" t="e">
        <f>AVERAGE($K$12:$K$81)</f>
        <v>#DIV/0!</v>
      </c>
    </row>
    <row r="152" spans="1:21" ht="30">
      <c r="A152" s="251" t="s">
        <v>282</v>
      </c>
      <c r="B152" s="252"/>
      <c r="C152" s="253"/>
      <c r="D152" s="88">
        <f t="shared" ref="D152:I152" si="56">SUM(D138:D150)</f>
        <v>188.36</v>
      </c>
      <c r="E152" s="88">
        <f t="shared" si="56"/>
        <v>128</v>
      </c>
      <c r="F152" s="88">
        <f t="shared" si="56"/>
        <v>4791.09</v>
      </c>
      <c r="G152" s="88">
        <f t="shared" si="56"/>
        <v>4791.09</v>
      </c>
      <c r="H152" s="88">
        <f t="shared" si="56"/>
        <v>7000</v>
      </c>
      <c r="I152" s="88">
        <f t="shared" si="56"/>
        <v>2208.91</v>
      </c>
      <c r="J152" s="89">
        <f t="shared" ref="J152:J153" si="57">I152/H152</f>
        <v>0.31555857142857141</v>
      </c>
      <c r="L152" s="254" t="s">
        <v>282</v>
      </c>
      <c r="M152" s="255"/>
      <c r="N152" s="256"/>
      <c r="O152" s="88">
        <f t="shared" ref="O152:T152" si="58">SUM(O138:O150)</f>
        <v>146.36000000000001</v>
      </c>
      <c r="P152" s="88">
        <f t="shared" si="58"/>
        <v>96</v>
      </c>
      <c r="Q152" s="88">
        <f t="shared" si="58"/>
        <v>4119.09</v>
      </c>
      <c r="R152" s="88">
        <f t="shared" si="58"/>
        <v>4119.09</v>
      </c>
      <c r="S152" s="88">
        <f t="shared" si="58"/>
        <v>7000</v>
      </c>
      <c r="T152" s="88">
        <f t="shared" si="58"/>
        <v>2880.91</v>
      </c>
      <c r="U152" s="89">
        <f t="shared" ref="U152:U153" si="59">T152/S152</f>
        <v>0.41155857142857138</v>
      </c>
    </row>
    <row r="153" spans="1:21" ht="13">
      <c r="A153" s="269" t="s">
        <v>5</v>
      </c>
      <c r="B153" s="244" t="s">
        <v>610</v>
      </c>
      <c r="C153" s="64" t="s">
        <v>23</v>
      </c>
      <c r="D153" s="50">
        <v>14</v>
      </c>
      <c r="E153" s="50">
        <v>16</v>
      </c>
      <c r="F153" s="65">
        <f t="shared" ref="F153:F162" si="60">D153*E153</f>
        <v>224</v>
      </c>
      <c r="G153" s="240">
        <f>SUM(F153:F167)</f>
        <v>4745.9000000000005</v>
      </c>
      <c r="H153" s="240">
        <v>7000</v>
      </c>
      <c r="I153" s="240">
        <f>H153-G153</f>
        <v>2254.0999999999995</v>
      </c>
      <c r="J153" s="241">
        <f t="shared" si="57"/>
        <v>0.32201428571428564</v>
      </c>
      <c r="L153" s="269" t="s">
        <v>5</v>
      </c>
      <c r="M153" s="244" t="s">
        <v>610</v>
      </c>
      <c r="N153" s="64" t="s">
        <v>23</v>
      </c>
      <c r="O153" s="43"/>
      <c r="P153" s="43"/>
      <c r="Q153" s="43"/>
      <c r="R153" s="240">
        <f>SUM(Q153:Q167)</f>
        <v>4143.9000000000005</v>
      </c>
      <c r="S153" s="240">
        <v>7000</v>
      </c>
      <c r="T153" s="240">
        <f>S153-R153</f>
        <v>2856.0999999999995</v>
      </c>
      <c r="U153" s="241">
        <f t="shared" si="59"/>
        <v>0.40801428571428566</v>
      </c>
    </row>
    <row r="154" spans="1:21" ht="13">
      <c r="A154" s="270"/>
      <c r="B154" s="245"/>
      <c r="C154" s="22" t="s">
        <v>209</v>
      </c>
      <c r="D154" s="23">
        <v>21</v>
      </c>
      <c r="E154" s="23">
        <v>18</v>
      </c>
      <c r="F154" s="23">
        <f t="shared" si="60"/>
        <v>378</v>
      </c>
      <c r="G154" s="236"/>
      <c r="H154" s="236"/>
      <c r="I154" s="236"/>
      <c r="J154" s="242"/>
      <c r="L154" s="270"/>
      <c r="M154" s="245"/>
      <c r="N154" s="22" t="s">
        <v>209</v>
      </c>
      <c r="O154" s="18"/>
      <c r="P154" s="18"/>
      <c r="Q154" s="18"/>
      <c r="R154" s="236"/>
      <c r="S154" s="236"/>
      <c r="T154" s="236"/>
      <c r="U154" s="242"/>
    </row>
    <row r="155" spans="1:21" ht="13">
      <c r="A155" s="270"/>
      <c r="B155" s="245"/>
      <c r="C155" s="22" t="s">
        <v>597</v>
      </c>
      <c r="D155" s="23">
        <v>10.7</v>
      </c>
      <c r="E155" s="23">
        <v>17</v>
      </c>
      <c r="F155" s="23">
        <f t="shared" si="60"/>
        <v>181.89999999999998</v>
      </c>
      <c r="G155" s="236"/>
      <c r="H155" s="236"/>
      <c r="I155" s="236"/>
      <c r="J155" s="242"/>
      <c r="L155" s="270"/>
      <c r="M155" s="245"/>
      <c r="N155" s="22" t="s">
        <v>597</v>
      </c>
      <c r="O155" s="23">
        <v>10.7</v>
      </c>
      <c r="P155" s="23">
        <v>17</v>
      </c>
      <c r="Q155" s="23">
        <f t="shared" ref="Q155:Q162" si="61">O155*P155</f>
        <v>181.89999999999998</v>
      </c>
      <c r="R155" s="236"/>
      <c r="S155" s="236"/>
      <c r="T155" s="236"/>
      <c r="U155" s="242"/>
    </row>
    <row r="156" spans="1:21" ht="13">
      <c r="A156" s="270"/>
      <c r="B156" s="245"/>
      <c r="C156" s="22" t="s">
        <v>55</v>
      </c>
      <c r="D156" s="23">
        <v>24.25</v>
      </c>
      <c r="E156" s="23">
        <v>15</v>
      </c>
      <c r="F156" s="23">
        <f t="shared" si="60"/>
        <v>363.75</v>
      </c>
      <c r="G156" s="236"/>
      <c r="H156" s="236"/>
      <c r="I156" s="236"/>
      <c r="J156" s="242"/>
      <c r="L156" s="270"/>
      <c r="M156" s="245"/>
      <c r="N156" s="22" t="s">
        <v>55</v>
      </c>
      <c r="O156" s="23">
        <v>24.25</v>
      </c>
      <c r="P156" s="23">
        <v>15</v>
      </c>
      <c r="Q156" s="23">
        <f t="shared" si="61"/>
        <v>363.75</v>
      </c>
      <c r="R156" s="236"/>
      <c r="S156" s="236"/>
      <c r="T156" s="236"/>
      <c r="U156" s="242"/>
    </row>
    <row r="157" spans="1:21" ht="13">
      <c r="A157" s="270"/>
      <c r="B157" s="245"/>
      <c r="C157" s="22" t="s">
        <v>330</v>
      </c>
      <c r="D157" s="23">
        <v>28.65</v>
      </c>
      <c r="E157" s="23">
        <v>15</v>
      </c>
      <c r="F157" s="23">
        <f t="shared" si="60"/>
        <v>429.75</v>
      </c>
      <c r="G157" s="236"/>
      <c r="H157" s="236"/>
      <c r="I157" s="236"/>
      <c r="J157" s="242"/>
      <c r="L157" s="270"/>
      <c r="M157" s="245"/>
      <c r="N157" s="22" t="s">
        <v>330</v>
      </c>
      <c r="O157" s="23">
        <v>28.65</v>
      </c>
      <c r="P157" s="23">
        <v>15</v>
      </c>
      <c r="Q157" s="23">
        <f t="shared" si="61"/>
        <v>429.75</v>
      </c>
      <c r="R157" s="236"/>
      <c r="S157" s="236"/>
      <c r="T157" s="236"/>
      <c r="U157" s="242"/>
    </row>
    <row r="158" spans="1:21" ht="13">
      <c r="A158" s="270"/>
      <c r="B158" s="245"/>
      <c r="C158" s="22" t="s">
        <v>190</v>
      </c>
      <c r="D158" s="23">
        <v>17.7</v>
      </c>
      <c r="E158" s="23">
        <v>15</v>
      </c>
      <c r="F158" s="23">
        <f t="shared" si="60"/>
        <v>265.5</v>
      </c>
      <c r="G158" s="236"/>
      <c r="H158" s="236"/>
      <c r="I158" s="236"/>
      <c r="J158" s="242"/>
      <c r="L158" s="270"/>
      <c r="M158" s="245"/>
      <c r="N158" s="22" t="s">
        <v>190</v>
      </c>
      <c r="O158" s="23">
        <v>17.7</v>
      </c>
      <c r="P158" s="23">
        <v>15</v>
      </c>
      <c r="Q158" s="23">
        <f t="shared" si="61"/>
        <v>265.5</v>
      </c>
      <c r="R158" s="236"/>
      <c r="S158" s="236"/>
      <c r="T158" s="236"/>
      <c r="U158" s="242"/>
    </row>
    <row r="159" spans="1:21" ht="13">
      <c r="A159" s="270"/>
      <c r="B159" s="245"/>
      <c r="C159" s="24" t="s">
        <v>236</v>
      </c>
      <c r="D159" s="23">
        <v>20.7</v>
      </c>
      <c r="E159" s="23">
        <v>17</v>
      </c>
      <c r="F159" s="23">
        <f t="shared" si="60"/>
        <v>351.9</v>
      </c>
      <c r="G159" s="236"/>
      <c r="H159" s="236"/>
      <c r="I159" s="236"/>
      <c r="J159" s="242"/>
      <c r="L159" s="270"/>
      <c r="M159" s="245"/>
      <c r="N159" s="24" t="s">
        <v>236</v>
      </c>
      <c r="O159" s="23">
        <v>20.7</v>
      </c>
      <c r="P159" s="23">
        <v>17</v>
      </c>
      <c r="Q159" s="23">
        <f t="shared" si="61"/>
        <v>351.9</v>
      </c>
      <c r="R159" s="236"/>
      <c r="S159" s="236"/>
      <c r="T159" s="236"/>
      <c r="U159" s="242"/>
    </row>
    <row r="160" spans="1:21" ht="13">
      <c r="A160" s="270"/>
      <c r="B160" s="245"/>
      <c r="C160" s="22" t="s">
        <v>53</v>
      </c>
      <c r="D160" s="23">
        <v>23.05</v>
      </c>
      <c r="E160" s="23">
        <v>15</v>
      </c>
      <c r="F160" s="23">
        <f t="shared" si="60"/>
        <v>345.75</v>
      </c>
      <c r="G160" s="236"/>
      <c r="H160" s="236"/>
      <c r="I160" s="236"/>
      <c r="J160" s="242"/>
      <c r="L160" s="270"/>
      <c r="M160" s="245"/>
      <c r="N160" s="22" t="s">
        <v>53</v>
      </c>
      <c r="O160" s="23">
        <v>23.05</v>
      </c>
      <c r="P160" s="23">
        <v>15</v>
      </c>
      <c r="Q160" s="23">
        <f t="shared" si="61"/>
        <v>345.75</v>
      </c>
      <c r="R160" s="236"/>
      <c r="S160" s="236"/>
      <c r="T160" s="236"/>
      <c r="U160" s="242"/>
    </row>
    <row r="161" spans="1:21" ht="13">
      <c r="A161" s="270"/>
      <c r="B161" s="245"/>
      <c r="C161" s="22" t="s">
        <v>32</v>
      </c>
      <c r="D161" s="23">
        <v>25.4</v>
      </c>
      <c r="E161" s="23">
        <v>15</v>
      </c>
      <c r="F161" s="23">
        <f t="shared" si="60"/>
        <v>381</v>
      </c>
      <c r="G161" s="236"/>
      <c r="H161" s="236"/>
      <c r="I161" s="236"/>
      <c r="J161" s="242"/>
      <c r="L161" s="270"/>
      <c r="M161" s="245"/>
      <c r="N161" s="22" t="s">
        <v>32</v>
      </c>
      <c r="O161" s="23">
        <v>25.4</v>
      </c>
      <c r="P161" s="23">
        <v>15</v>
      </c>
      <c r="Q161" s="23">
        <f t="shared" si="61"/>
        <v>381</v>
      </c>
      <c r="R161" s="236"/>
      <c r="S161" s="236"/>
      <c r="T161" s="236"/>
      <c r="U161" s="242"/>
    </row>
    <row r="162" spans="1:21" ht="13">
      <c r="A162" s="270"/>
      <c r="B162" s="245"/>
      <c r="C162" s="22" t="s">
        <v>298</v>
      </c>
      <c r="D162" s="23">
        <v>23.85</v>
      </c>
      <c r="E162" s="23">
        <v>15</v>
      </c>
      <c r="F162" s="23">
        <f t="shared" si="60"/>
        <v>357.75</v>
      </c>
      <c r="G162" s="236"/>
      <c r="H162" s="236"/>
      <c r="I162" s="236"/>
      <c r="J162" s="242"/>
      <c r="L162" s="270"/>
      <c r="M162" s="245"/>
      <c r="N162" s="22" t="s">
        <v>298</v>
      </c>
      <c r="O162" s="23">
        <v>23.85</v>
      </c>
      <c r="P162" s="23">
        <v>15</v>
      </c>
      <c r="Q162" s="23">
        <f t="shared" si="61"/>
        <v>357.75</v>
      </c>
      <c r="R162" s="236"/>
      <c r="S162" s="236"/>
      <c r="T162" s="236"/>
      <c r="U162" s="242"/>
    </row>
    <row r="163" spans="1:21" ht="13">
      <c r="A163" s="270"/>
      <c r="B163" s="245"/>
      <c r="C163" s="22" t="s">
        <v>210</v>
      </c>
      <c r="D163" s="23"/>
      <c r="E163" s="23"/>
      <c r="F163" s="23">
        <v>653</v>
      </c>
      <c r="G163" s="236"/>
      <c r="H163" s="236"/>
      <c r="I163" s="236"/>
      <c r="J163" s="242"/>
      <c r="L163" s="270"/>
      <c r="M163" s="245"/>
      <c r="N163" s="22" t="s">
        <v>210</v>
      </c>
      <c r="O163" s="23"/>
      <c r="P163" s="23"/>
      <c r="Q163" s="23">
        <v>653</v>
      </c>
      <c r="R163" s="236"/>
      <c r="S163" s="236"/>
      <c r="T163" s="236"/>
      <c r="U163" s="242"/>
    </row>
    <row r="164" spans="1:21" ht="13">
      <c r="A164" s="270"/>
      <c r="B164" s="245"/>
      <c r="C164" s="22" t="s">
        <v>611</v>
      </c>
      <c r="D164" s="23"/>
      <c r="E164" s="23"/>
      <c r="F164" s="23">
        <v>81</v>
      </c>
      <c r="G164" s="236"/>
      <c r="H164" s="236"/>
      <c r="I164" s="236"/>
      <c r="J164" s="242"/>
      <c r="L164" s="270"/>
      <c r="M164" s="245"/>
      <c r="N164" s="22" t="s">
        <v>611</v>
      </c>
      <c r="O164" s="23"/>
      <c r="P164" s="23"/>
      <c r="Q164" s="23">
        <v>81</v>
      </c>
      <c r="R164" s="236"/>
      <c r="S164" s="236"/>
      <c r="T164" s="236"/>
      <c r="U164" s="242"/>
    </row>
    <row r="165" spans="1:21" ht="13">
      <c r="A165" s="270"/>
      <c r="B165" s="245"/>
      <c r="C165" s="22" t="s">
        <v>45</v>
      </c>
      <c r="D165" s="23"/>
      <c r="E165" s="23"/>
      <c r="F165" s="23">
        <v>255</v>
      </c>
      <c r="G165" s="236"/>
      <c r="H165" s="236"/>
      <c r="I165" s="236"/>
      <c r="J165" s="242"/>
      <c r="L165" s="270"/>
      <c r="M165" s="245"/>
      <c r="N165" s="22" t="s">
        <v>45</v>
      </c>
      <c r="O165" s="23"/>
      <c r="P165" s="23"/>
      <c r="Q165" s="23">
        <v>255</v>
      </c>
      <c r="R165" s="236"/>
      <c r="S165" s="236"/>
      <c r="T165" s="236"/>
      <c r="U165" s="242"/>
    </row>
    <row r="166" spans="1:21" ht="13">
      <c r="A166" s="270"/>
      <c r="B166" s="245"/>
      <c r="C166" s="22" t="s">
        <v>44</v>
      </c>
      <c r="D166" s="23"/>
      <c r="E166" s="23"/>
      <c r="F166" s="23">
        <v>240.8</v>
      </c>
      <c r="G166" s="236"/>
      <c r="H166" s="236"/>
      <c r="I166" s="236"/>
      <c r="J166" s="242"/>
      <c r="L166" s="270"/>
      <c r="M166" s="245"/>
      <c r="N166" s="22" t="s">
        <v>44</v>
      </c>
      <c r="O166" s="23"/>
      <c r="P166" s="23"/>
      <c r="Q166" s="23">
        <v>240.8</v>
      </c>
      <c r="R166" s="236"/>
      <c r="S166" s="236"/>
      <c r="T166" s="236"/>
      <c r="U166" s="242"/>
    </row>
    <row r="167" spans="1:21" ht="13">
      <c r="A167" s="271"/>
      <c r="B167" s="246"/>
      <c r="C167" s="25" t="s">
        <v>48</v>
      </c>
      <c r="D167" s="26"/>
      <c r="E167" s="26"/>
      <c r="F167" s="26">
        <v>236.8</v>
      </c>
      <c r="G167" s="238"/>
      <c r="H167" s="238"/>
      <c r="I167" s="238"/>
      <c r="J167" s="243"/>
      <c r="L167" s="271"/>
      <c r="M167" s="246"/>
      <c r="N167" s="25" t="s">
        <v>48</v>
      </c>
      <c r="O167" s="26"/>
      <c r="P167" s="26"/>
      <c r="Q167" s="26">
        <v>236.8</v>
      </c>
      <c r="R167" s="238"/>
      <c r="S167" s="238"/>
      <c r="T167" s="238"/>
      <c r="U167" s="243"/>
    </row>
    <row r="168" spans="1:21" ht="30">
      <c r="A168" s="254" t="s">
        <v>358</v>
      </c>
      <c r="B168" s="255"/>
      <c r="C168" s="256"/>
      <c r="D168" s="27">
        <f t="shared" ref="D168:I168" si="62">AVERAGE(D153:D167)</f>
        <v>20.93</v>
      </c>
      <c r="E168" s="27">
        <f t="shared" si="62"/>
        <v>15.8</v>
      </c>
      <c r="F168" s="27">
        <f t="shared" si="62"/>
        <v>316.39333333333337</v>
      </c>
      <c r="G168" s="27">
        <f t="shared" si="62"/>
        <v>4745.9000000000005</v>
      </c>
      <c r="H168" s="27">
        <f t="shared" si="62"/>
        <v>7000</v>
      </c>
      <c r="I168" s="27">
        <f t="shared" si="62"/>
        <v>2254.0999999999995</v>
      </c>
      <c r="J168" s="28" t="e">
        <f>AVERAGE($K$12:$K$81)</f>
        <v>#DIV/0!</v>
      </c>
      <c r="L168" s="254" t="s">
        <v>358</v>
      </c>
      <c r="M168" s="255"/>
      <c r="N168" s="256"/>
      <c r="O168" s="27">
        <f t="shared" ref="O168:T168" si="63">AVERAGE(O153:O167)</f>
        <v>21.787499999999998</v>
      </c>
      <c r="P168" s="27">
        <f t="shared" si="63"/>
        <v>15.5</v>
      </c>
      <c r="Q168" s="27">
        <f t="shared" si="63"/>
        <v>318.76153846153852</v>
      </c>
      <c r="R168" s="27">
        <f t="shared" si="63"/>
        <v>4143.9000000000005</v>
      </c>
      <c r="S168" s="27">
        <f t="shared" si="63"/>
        <v>7000</v>
      </c>
      <c r="T168" s="27">
        <f t="shared" si="63"/>
        <v>2856.0999999999995</v>
      </c>
      <c r="U168" s="28" t="e">
        <f>AVERAGE($K$12:$K$81)</f>
        <v>#DIV/0!</v>
      </c>
    </row>
    <row r="169" spans="1:21" ht="30">
      <c r="A169" s="251" t="s">
        <v>359</v>
      </c>
      <c r="B169" s="252"/>
      <c r="C169" s="253"/>
      <c r="D169" s="88">
        <f t="shared" ref="D169:I169" si="64">SUM(D153:D167)</f>
        <v>209.3</v>
      </c>
      <c r="E169" s="88">
        <f t="shared" si="64"/>
        <v>158</v>
      </c>
      <c r="F169" s="88">
        <f t="shared" si="64"/>
        <v>4745.9000000000005</v>
      </c>
      <c r="G169" s="88">
        <f t="shared" si="64"/>
        <v>4745.9000000000005</v>
      </c>
      <c r="H169" s="88">
        <f t="shared" si="64"/>
        <v>7000</v>
      </c>
      <c r="I169" s="88">
        <f t="shared" si="64"/>
        <v>2254.0999999999995</v>
      </c>
      <c r="J169" s="89">
        <f>I169/H169</f>
        <v>0.32201428571428564</v>
      </c>
      <c r="L169" s="251" t="s">
        <v>359</v>
      </c>
      <c r="M169" s="252"/>
      <c r="N169" s="253"/>
      <c r="O169" s="88">
        <f t="shared" ref="O169:T169" si="65">SUM(O153:O167)</f>
        <v>174.29999999999998</v>
      </c>
      <c r="P169" s="88">
        <f t="shared" si="65"/>
        <v>124</v>
      </c>
      <c r="Q169" s="88">
        <f t="shared" si="65"/>
        <v>4143.9000000000005</v>
      </c>
      <c r="R169" s="88">
        <f t="shared" si="65"/>
        <v>4143.9000000000005</v>
      </c>
      <c r="S169" s="88">
        <f t="shared" si="65"/>
        <v>7000</v>
      </c>
      <c r="T169" s="88">
        <f t="shared" si="65"/>
        <v>2856.0999999999995</v>
      </c>
      <c r="U169" s="89">
        <f>T169/S169</f>
        <v>0.40801428571428566</v>
      </c>
    </row>
    <row r="171" spans="1:21" ht="30">
      <c r="A171" s="257" t="s">
        <v>360</v>
      </c>
      <c r="B171" s="252"/>
      <c r="C171" s="253"/>
      <c r="D171" s="34">
        <f t="shared" ref="D171:I171" si="66">SUM(D137,D152,D169)</f>
        <v>583.28</v>
      </c>
      <c r="E171" s="34">
        <f t="shared" si="66"/>
        <v>447</v>
      </c>
      <c r="F171" s="34">
        <f t="shared" si="66"/>
        <v>14111.210000000003</v>
      </c>
      <c r="G171" s="34">
        <f t="shared" si="66"/>
        <v>14111.210000000003</v>
      </c>
      <c r="H171" s="34">
        <f t="shared" si="66"/>
        <v>21000</v>
      </c>
      <c r="I171" s="34">
        <f t="shared" si="66"/>
        <v>6888.7899999999991</v>
      </c>
      <c r="J171" s="35">
        <f>I171/H171</f>
        <v>0.32803761904761902</v>
      </c>
      <c r="L171" s="257" t="s">
        <v>360</v>
      </c>
      <c r="M171" s="252"/>
      <c r="N171" s="253"/>
      <c r="O171" s="34">
        <f t="shared" ref="O171:T171" si="67">SUM(O137,O152,O169)</f>
        <v>485.28</v>
      </c>
      <c r="P171" s="34">
        <f t="shared" si="67"/>
        <v>365</v>
      </c>
      <c r="Q171" s="34">
        <f t="shared" si="67"/>
        <v>12501.210000000003</v>
      </c>
      <c r="R171" s="34">
        <f t="shared" si="67"/>
        <v>12501.210000000003</v>
      </c>
      <c r="S171" s="34">
        <f t="shared" si="67"/>
        <v>21000</v>
      </c>
      <c r="T171" s="34">
        <f t="shared" si="67"/>
        <v>8498.7899999999991</v>
      </c>
      <c r="U171" s="35">
        <f>T171/S171</f>
        <v>0.40470428571428568</v>
      </c>
    </row>
    <row r="173" spans="1:21" ht="13">
      <c r="A173" s="269" t="s">
        <v>6</v>
      </c>
      <c r="B173" s="244" t="s">
        <v>612</v>
      </c>
      <c r="C173" s="64" t="s">
        <v>209</v>
      </c>
      <c r="D173" s="50">
        <v>21</v>
      </c>
      <c r="E173" s="50">
        <v>16</v>
      </c>
      <c r="F173" s="65">
        <f t="shared" ref="F173:F181" si="68">D173*E173</f>
        <v>336</v>
      </c>
      <c r="G173" s="240">
        <f>SUM(F173:F187)</f>
        <v>5552.4099999999989</v>
      </c>
      <c r="H173" s="240">
        <v>7000</v>
      </c>
      <c r="I173" s="240">
        <f>H173-G173</f>
        <v>1447.5900000000011</v>
      </c>
      <c r="J173" s="241">
        <f>I173/H173</f>
        <v>0.20679857142857158</v>
      </c>
      <c r="L173" s="269" t="s">
        <v>6</v>
      </c>
      <c r="M173" s="244" t="s">
        <v>612</v>
      </c>
      <c r="N173" s="64" t="s">
        <v>209</v>
      </c>
      <c r="O173" s="18"/>
      <c r="P173" s="18"/>
      <c r="Q173" s="18"/>
      <c r="R173" s="240">
        <f>SUM(Q173:Q187)</f>
        <v>5216.41</v>
      </c>
      <c r="S173" s="240">
        <v>7000</v>
      </c>
      <c r="T173" s="240">
        <f>S173-R173</f>
        <v>1783.5900000000001</v>
      </c>
      <c r="U173" s="241">
        <f>T173/S173</f>
        <v>0.25479857142857143</v>
      </c>
    </row>
    <row r="174" spans="1:21" ht="13">
      <c r="A174" s="270"/>
      <c r="B174" s="245"/>
      <c r="C174" s="22" t="s">
        <v>613</v>
      </c>
      <c r="D174" s="23">
        <v>28.82</v>
      </c>
      <c r="E174" s="23">
        <v>15</v>
      </c>
      <c r="F174" s="23">
        <f t="shared" si="68"/>
        <v>432.3</v>
      </c>
      <c r="G174" s="236"/>
      <c r="H174" s="236"/>
      <c r="I174" s="236"/>
      <c r="J174" s="242"/>
      <c r="L174" s="270"/>
      <c r="M174" s="245"/>
      <c r="N174" s="22" t="s">
        <v>613</v>
      </c>
      <c r="O174" s="23">
        <v>28.82</v>
      </c>
      <c r="P174" s="23">
        <v>15</v>
      </c>
      <c r="Q174" s="23">
        <f t="shared" ref="Q174:Q181" si="69">O174*P174</f>
        <v>432.3</v>
      </c>
      <c r="R174" s="236"/>
      <c r="S174" s="236"/>
      <c r="T174" s="236"/>
      <c r="U174" s="242"/>
    </row>
    <row r="175" spans="1:21" ht="13">
      <c r="A175" s="270"/>
      <c r="B175" s="245"/>
      <c r="C175" s="22" t="s">
        <v>597</v>
      </c>
      <c r="D175" s="23">
        <v>10.93</v>
      </c>
      <c r="E175" s="23">
        <v>17</v>
      </c>
      <c r="F175" s="23">
        <f t="shared" si="68"/>
        <v>185.81</v>
      </c>
      <c r="G175" s="236"/>
      <c r="H175" s="236"/>
      <c r="I175" s="236"/>
      <c r="J175" s="242"/>
      <c r="L175" s="270"/>
      <c r="M175" s="245"/>
      <c r="N175" s="22" t="s">
        <v>597</v>
      </c>
      <c r="O175" s="23">
        <v>10.93</v>
      </c>
      <c r="P175" s="23">
        <v>17</v>
      </c>
      <c r="Q175" s="23">
        <f t="shared" si="69"/>
        <v>185.81</v>
      </c>
      <c r="R175" s="236"/>
      <c r="S175" s="236"/>
      <c r="T175" s="236"/>
      <c r="U175" s="242"/>
    </row>
    <row r="176" spans="1:21" ht="13">
      <c r="A176" s="270"/>
      <c r="B176" s="245"/>
      <c r="C176" s="22" t="s">
        <v>226</v>
      </c>
      <c r="D176" s="23">
        <v>30</v>
      </c>
      <c r="E176" s="23">
        <v>15</v>
      </c>
      <c r="F176" s="23">
        <f t="shared" si="68"/>
        <v>450</v>
      </c>
      <c r="G176" s="236"/>
      <c r="H176" s="236"/>
      <c r="I176" s="236"/>
      <c r="J176" s="242"/>
      <c r="L176" s="270"/>
      <c r="M176" s="245"/>
      <c r="N176" s="22" t="s">
        <v>226</v>
      </c>
      <c r="O176" s="23">
        <v>30</v>
      </c>
      <c r="P176" s="23">
        <v>15</v>
      </c>
      <c r="Q176" s="23">
        <f t="shared" si="69"/>
        <v>450</v>
      </c>
      <c r="R176" s="236"/>
      <c r="S176" s="236"/>
      <c r="T176" s="236"/>
      <c r="U176" s="242"/>
    </row>
    <row r="177" spans="1:21" ht="13">
      <c r="A177" s="270"/>
      <c r="B177" s="245"/>
      <c r="C177" s="22" t="s">
        <v>264</v>
      </c>
      <c r="D177" s="23">
        <v>26.38</v>
      </c>
      <c r="E177" s="23">
        <v>15</v>
      </c>
      <c r="F177" s="23">
        <f t="shared" si="68"/>
        <v>395.7</v>
      </c>
      <c r="G177" s="236"/>
      <c r="H177" s="236"/>
      <c r="I177" s="236"/>
      <c r="J177" s="242"/>
      <c r="L177" s="270"/>
      <c r="M177" s="245"/>
      <c r="N177" s="22" t="s">
        <v>264</v>
      </c>
      <c r="O177" s="23">
        <v>26.38</v>
      </c>
      <c r="P177" s="23">
        <v>15</v>
      </c>
      <c r="Q177" s="23">
        <f t="shared" si="69"/>
        <v>395.7</v>
      </c>
      <c r="R177" s="236"/>
      <c r="S177" s="236"/>
      <c r="T177" s="236"/>
      <c r="U177" s="242"/>
    </row>
    <row r="178" spans="1:21" ht="13">
      <c r="A178" s="270"/>
      <c r="B178" s="245"/>
      <c r="C178" s="22" t="s">
        <v>231</v>
      </c>
      <c r="D178" s="23">
        <v>31.5</v>
      </c>
      <c r="E178" s="23">
        <v>15</v>
      </c>
      <c r="F178" s="23">
        <f t="shared" si="68"/>
        <v>472.5</v>
      </c>
      <c r="G178" s="236"/>
      <c r="H178" s="236"/>
      <c r="I178" s="236"/>
      <c r="J178" s="242"/>
      <c r="L178" s="270"/>
      <c r="M178" s="245"/>
      <c r="N178" s="22" t="s">
        <v>231</v>
      </c>
      <c r="O178" s="23">
        <v>31.5</v>
      </c>
      <c r="P178" s="23">
        <v>15</v>
      </c>
      <c r="Q178" s="23">
        <f t="shared" si="69"/>
        <v>472.5</v>
      </c>
      <c r="R178" s="236"/>
      <c r="S178" s="236"/>
      <c r="T178" s="236"/>
      <c r="U178" s="242"/>
    </row>
    <row r="179" spans="1:21" ht="13">
      <c r="A179" s="270"/>
      <c r="B179" s="245"/>
      <c r="C179" s="24" t="s">
        <v>614</v>
      </c>
      <c r="D179" s="23">
        <v>19.55</v>
      </c>
      <c r="E179" s="23">
        <v>15</v>
      </c>
      <c r="F179" s="23">
        <f t="shared" si="68"/>
        <v>293.25</v>
      </c>
      <c r="G179" s="236"/>
      <c r="H179" s="236"/>
      <c r="I179" s="236"/>
      <c r="J179" s="242"/>
      <c r="L179" s="270"/>
      <c r="M179" s="245"/>
      <c r="N179" s="24" t="s">
        <v>614</v>
      </c>
      <c r="O179" s="23">
        <v>19.55</v>
      </c>
      <c r="P179" s="23">
        <v>15</v>
      </c>
      <c r="Q179" s="23">
        <f t="shared" si="69"/>
        <v>293.25</v>
      </c>
      <c r="R179" s="236"/>
      <c r="S179" s="236"/>
      <c r="T179" s="236"/>
      <c r="U179" s="242"/>
    </row>
    <row r="180" spans="1:21" ht="13">
      <c r="A180" s="270"/>
      <c r="B180" s="245"/>
      <c r="C180" s="22" t="s">
        <v>417</v>
      </c>
      <c r="D180" s="23">
        <v>42.01</v>
      </c>
      <c r="E180" s="23">
        <v>15</v>
      </c>
      <c r="F180" s="23">
        <f t="shared" si="68"/>
        <v>630.15</v>
      </c>
      <c r="G180" s="236"/>
      <c r="H180" s="236"/>
      <c r="I180" s="236"/>
      <c r="J180" s="242"/>
      <c r="L180" s="270"/>
      <c r="M180" s="245"/>
      <c r="N180" s="22" t="s">
        <v>417</v>
      </c>
      <c r="O180" s="23">
        <v>42.01</v>
      </c>
      <c r="P180" s="23">
        <v>15</v>
      </c>
      <c r="Q180" s="23">
        <f t="shared" si="69"/>
        <v>630.15</v>
      </c>
      <c r="R180" s="236"/>
      <c r="S180" s="236"/>
      <c r="T180" s="236"/>
      <c r="U180" s="242"/>
    </row>
    <row r="181" spans="1:21" ht="13">
      <c r="A181" s="270"/>
      <c r="B181" s="245"/>
      <c r="C181" s="22" t="s">
        <v>229</v>
      </c>
      <c r="D181" s="23">
        <v>26.85</v>
      </c>
      <c r="E181" s="23">
        <v>15</v>
      </c>
      <c r="F181" s="23">
        <f t="shared" si="68"/>
        <v>402.75</v>
      </c>
      <c r="G181" s="236"/>
      <c r="H181" s="236"/>
      <c r="I181" s="236"/>
      <c r="J181" s="242"/>
      <c r="L181" s="270"/>
      <c r="M181" s="245"/>
      <c r="N181" s="22" t="s">
        <v>229</v>
      </c>
      <c r="O181" s="23">
        <v>26.85</v>
      </c>
      <c r="P181" s="23">
        <v>15</v>
      </c>
      <c r="Q181" s="23">
        <f t="shared" si="69"/>
        <v>402.75</v>
      </c>
      <c r="R181" s="236"/>
      <c r="S181" s="236"/>
      <c r="T181" s="236"/>
      <c r="U181" s="242"/>
    </row>
    <row r="182" spans="1:21" ht="13">
      <c r="A182" s="270"/>
      <c r="B182" s="245"/>
      <c r="C182" s="24" t="s">
        <v>155</v>
      </c>
      <c r="D182" s="23"/>
      <c r="E182" s="23"/>
      <c r="F182" s="23">
        <v>715.32</v>
      </c>
      <c r="G182" s="236"/>
      <c r="H182" s="236"/>
      <c r="I182" s="236"/>
      <c r="J182" s="242"/>
      <c r="L182" s="270"/>
      <c r="M182" s="245"/>
      <c r="N182" s="24" t="s">
        <v>155</v>
      </c>
      <c r="O182" s="23"/>
      <c r="P182" s="23"/>
      <c r="Q182" s="23">
        <v>715.32</v>
      </c>
      <c r="R182" s="236"/>
      <c r="S182" s="236"/>
      <c r="T182" s="236"/>
      <c r="U182" s="242"/>
    </row>
    <row r="183" spans="1:21" ht="13">
      <c r="A183" s="270"/>
      <c r="B183" s="245"/>
      <c r="C183" s="22" t="s">
        <v>46</v>
      </c>
      <c r="D183" s="23"/>
      <c r="E183" s="23"/>
      <c r="F183" s="23">
        <v>416.2</v>
      </c>
      <c r="G183" s="236"/>
      <c r="H183" s="236"/>
      <c r="I183" s="236"/>
      <c r="J183" s="242"/>
      <c r="L183" s="270"/>
      <c r="M183" s="245"/>
      <c r="N183" s="22" t="s">
        <v>46</v>
      </c>
      <c r="O183" s="23"/>
      <c r="P183" s="23"/>
      <c r="Q183" s="23">
        <v>416.2</v>
      </c>
      <c r="R183" s="236"/>
      <c r="S183" s="236"/>
      <c r="T183" s="236"/>
      <c r="U183" s="242"/>
    </row>
    <row r="184" spans="1:21" ht="13">
      <c r="A184" s="270"/>
      <c r="B184" s="245"/>
      <c r="C184" s="22" t="s">
        <v>45</v>
      </c>
      <c r="D184" s="23"/>
      <c r="E184" s="23"/>
      <c r="F184" s="23">
        <v>168.87</v>
      </c>
      <c r="G184" s="236"/>
      <c r="H184" s="236"/>
      <c r="I184" s="236"/>
      <c r="J184" s="242"/>
      <c r="L184" s="270"/>
      <c r="M184" s="245"/>
      <c r="N184" s="22" t="s">
        <v>45</v>
      </c>
      <c r="O184" s="23"/>
      <c r="P184" s="23"/>
      <c r="Q184" s="23">
        <v>168.87</v>
      </c>
      <c r="R184" s="236"/>
      <c r="S184" s="236"/>
      <c r="T184" s="236"/>
      <c r="U184" s="242"/>
    </row>
    <row r="185" spans="1:21" ht="13">
      <c r="A185" s="270"/>
      <c r="B185" s="245"/>
      <c r="C185" s="22" t="s">
        <v>47</v>
      </c>
      <c r="D185" s="23"/>
      <c r="E185" s="23"/>
      <c r="F185" s="23">
        <v>436.74</v>
      </c>
      <c r="G185" s="236"/>
      <c r="H185" s="236"/>
      <c r="I185" s="236"/>
      <c r="J185" s="242"/>
      <c r="L185" s="270"/>
      <c r="M185" s="245"/>
      <c r="N185" s="22" t="s">
        <v>47</v>
      </c>
      <c r="O185" s="23"/>
      <c r="P185" s="23"/>
      <c r="Q185" s="23">
        <v>436.74</v>
      </c>
      <c r="R185" s="236"/>
      <c r="S185" s="236"/>
      <c r="T185" s="236"/>
      <c r="U185" s="242"/>
    </row>
    <row r="186" spans="1:21" ht="13">
      <c r="A186" s="270"/>
      <c r="B186" s="245"/>
      <c r="C186" s="22" t="s">
        <v>44</v>
      </c>
      <c r="D186" s="23"/>
      <c r="E186" s="23"/>
      <c r="F186" s="23">
        <v>60.5</v>
      </c>
      <c r="G186" s="236"/>
      <c r="H186" s="236"/>
      <c r="I186" s="236"/>
      <c r="J186" s="242"/>
      <c r="L186" s="270"/>
      <c r="M186" s="245"/>
      <c r="N186" s="22" t="s">
        <v>44</v>
      </c>
      <c r="O186" s="23"/>
      <c r="P186" s="23"/>
      <c r="Q186" s="23">
        <v>60.5</v>
      </c>
      <c r="R186" s="236"/>
      <c r="S186" s="236"/>
      <c r="T186" s="236"/>
      <c r="U186" s="242"/>
    </row>
    <row r="187" spans="1:21" ht="13">
      <c r="A187" s="271"/>
      <c r="B187" s="246"/>
      <c r="C187" s="25" t="s">
        <v>48</v>
      </c>
      <c r="D187" s="26"/>
      <c r="E187" s="26"/>
      <c r="F187" s="26">
        <v>156.32</v>
      </c>
      <c r="G187" s="238"/>
      <c r="H187" s="238"/>
      <c r="I187" s="238"/>
      <c r="J187" s="243"/>
      <c r="L187" s="271"/>
      <c r="M187" s="246"/>
      <c r="N187" s="25" t="s">
        <v>48</v>
      </c>
      <c r="O187" s="26"/>
      <c r="P187" s="26"/>
      <c r="Q187" s="26">
        <v>156.32</v>
      </c>
      <c r="R187" s="238"/>
      <c r="S187" s="238"/>
      <c r="T187" s="238"/>
      <c r="U187" s="243"/>
    </row>
    <row r="188" spans="1:21" ht="30">
      <c r="A188" s="254" t="s">
        <v>358</v>
      </c>
      <c r="B188" s="255"/>
      <c r="C188" s="256"/>
      <c r="D188" s="27">
        <f t="shared" ref="D188:I188" si="70">AVERAGE(D173:D187)</f>
        <v>26.337777777777777</v>
      </c>
      <c r="E188" s="27">
        <f t="shared" si="70"/>
        <v>15.333333333333334</v>
      </c>
      <c r="F188" s="27">
        <f t="shared" si="70"/>
        <v>370.1606666666666</v>
      </c>
      <c r="G188" s="27">
        <f t="shared" si="70"/>
        <v>5552.4099999999989</v>
      </c>
      <c r="H188" s="27">
        <f t="shared" si="70"/>
        <v>7000</v>
      </c>
      <c r="I188" s="27">
        <f t="shared" si="70"/>
        <v>1447.5900000000011</v>
      </c>
      <c r="J188" s="28" t="e">
        <f>AVERAGE($K$12:$K$81)</f>
        <v>#DIV/0!</v>
      </c>
      <c r="L188" s="254" t="s">
        <v>358</v>
      </c>
      <c r="M188" s="255"/>
      <c r="N188" s="256"/>
      <c r="O188" s="27">
        <f t="shared" ref="O188:T188" si="71">AVERAGE(O173:O187)</f>
        <v>27.004999999999999</v>
      </c>
      <c r="P188" s="27">
        <f t="shared" si="71"/>
        <v>15.25</v>
      </c>
      <c r="Q188" s="27">
        <f t="shared" si="71"/>
        <v>372.60071428571428</v>
      </c>
      <c r="R188" s="27">
        <f t="shared" si="71"/>
        <v>5216.41</v>
      </c>
      <c r="S188" s="27">
        <f t="shared" si="71"/>
        <v>7000</v>
      </c>
      <c r="T188" s="27">
        <f t="shared" si="71"/>
        <v>1783.5900000000001</v>
      </c>
      <c r="U188" s="28" t="e">
        <f>AVERAGE($K$12:$K$81)</f>
        <v>#DIV/0!</v>
      </c>
    </row>
    <row r="189" spans="1:21" ht="30">
      <c r="A189" s="251" t="s">
        <v>359</v>
      </c>
      <c r="B189" s="252"/>
      <c r="C189" s="253"/>
      <c r="D189" s="88">
        <f t="shared" ref="D189:I189" si="72">SUM(D173:D187)</f>
        <v>237.04</v>
      </c>
      <c r="E189" s="88">
        <f t="shared" si="72"/>
        <v>138</v>
      </c>
      <c r="F189" s="88">
        <f t="shared" si="72"/>
        <v>5552.4099999999989</v>
      </c>
      <c r="G189" s="88">
        <f t="shared" si="72"/>
        <v>5552.4099999999989</v>
      </c>
      <c r="H189" s="88">
        <f t="shared" si="72"/>
        <v>7000</v>
      </c>
      <c r="I189" s="88">
        <f t="shared" si="72"/>
        <v>1447.5900000000011</v>
      </c>
      <c r="J189" s="89">
        <f t="shared" ref="J189:J190" si="73">I189/H189</f>
        <v>0.20679857142857158</v>
      </c>
      <c r="L189" s="251" t="s">
        <v>359</v>
      </c>
      <c r="M189" s="252"/>
      <c r="N189" s="253"/>
      <c r="O189" s="88">
        <f t="shared" ref="O189:T189" si="74">SUM(O173:O187)</f>
        <v>216.04</v>
      </c>
      <c r="P189" s="88">
        <f t="shared" si="74"/>
        <v>122</v>
      </c>
      <c r="Q189" s="88">
        <f t="shared" si="74"/>
        <v>5216.41</v>
      </c>
      <c r="R189" s="88">
        <f t="shared" si="74"/>
        <v>5216.41</v>
      </c>
      <c r="S189" s="88">
        <f t="shared" si="74"/>
        <v>7000</v>
      </c>
      <c r="T189" s="88">
        <f t="shared" si="74"/>
        <v>1783.5900000000001</v>
      </c>
      <c r="U189" s="89">
        <f t="shared" ref="U189:U190" si="75">T189/S189</f>
        <v>0.25479857142857143</v>
      </c>
    </row>
    <row r="190" spans="1:21" ht="13">
      <c r="A190" s="269" t="s">
        <v>8</v>
      </c>
      <c r="B190" s="244" t="s">
        <v>617</v>
      </c>
      <c r="C190" s="64" t="s">
        <v>23</v>
      </c>
      <c r="D190" s="50">
        <v>21</v>
      </c>
      <c r="E190" s="50">
        <v>16</v>
      </c>
      <c r="F190" s="65">
        <f>D190*E190</f>
        <v>336</v>
      </c>
      <c r="G190" s="240">
        <f>SUM(F190:F203)</f>
        <v>4508.7199999999993</v>
      </c>
      <c r="H190" s="240">
        <v>7000</v>
      </c>
      <c r="I190" s="240">
        <f>H190-G190</f>
        <v>2491.2800000000007</v>
      </c>
      <c r="J190" s="241">
        <f t="shared" si="73"/>
        <v>0.35589714285714297</v>
      </c>
      <c r="L190" s="269" t="s">
        <v>8</v>
      </c>
      <c r="M190" s="244" t="s">
        <v>617</v>
      </c>
      <c r="N190" s="64" t="s">
        <v>23</v>
      </c>
      <c r="O190" s="18"/>
      <c r="P190" s="18"/>
      <c r="Q190" s="18"/>
      <c r="R190" s="240">
        <f>SUM(Q190:Q203)</f>
        <v>4172.7199999999993</v>
      </c>
      <c r="S190" s="240">
        <v>7000</v>
      </c>
      <c r="T190" s="240">
        <f>S190-R190</f>
        <v>2827.2800000000007</v>
      </c>
      <c r="U190" s="241">
        <f t="shared" si="75"/>
        <v>0.40389714285714295</v>
      </c>
    </row>
    <row r="191" spans="1:21" ht="13">
      <c r="A191" s="270"/>
      <c r="B191" s="245"/>
      <c r="C191" s="22" t="s">
        <v>35</v>
      </c>
      <c r="D191" s="23"/>
      <c r="E191" s="23"/>
      <c r="F191" s="23">
        <v>150</v>
      </c>
      <c r="G191" s="236"/>
      <c r="H191" s="236"/>
      <c r="I191" s="236"/>
      <c r="J191" s="242"/>
      <c r="L191" s="270"/>
      <c r="M191" s="245"/>
      <c r="N191" s="22" t="s">
        <v>35</v>
      </c>
      <c r="O191" s="23"/>
      <c r="P191" s="23"/>
      <c r="Q191" s="23">
        <v>150</v>
      </c>
      <c r="R191" s="236"/>
      <c r="S191" s="236"/>
      <c r="T191" s="236"/>
      <c r="U191" s="242"/>
    </row>
    <row r="192" spans="1:21" ht="13">
      <c r="A192" s="270"/>
      <c r="B192" s="245"/>
      <c r="C192" s="22" t="s">
        <v>618</v>
      </c>
      <c r="D192" s="23">
        <v>11.82</v>
      </c>
      <c r="E192" s="23">
        <v>17</v>
      </c>
      <c r="F192" s="23">
        <f t="shared" ref="F192:F199" si="76">D192*E192</f>
        <v>200.94</v>
      </c>
      <c r="G192" s="236"/>
      <c r="H192" s="236"/>
      <c r="I192" s="236"/>
      <c r="J192" s="242"/>
      <c r="L192" s="270"/>
      <c r="M192" s="245"/>
      <c r="N192" s="22" t="s">
        <v>618</v>
      </c>
      <c r="O192" s="23">
        <v>11.82</v>
      </c>
      <c r="P192" s="23">
        <v>17</v>
      </c>
      <c r="Q192" s="23">
        <f t="shared" ref="Q192:Q199" si="77">O192*P192</f>
        <v>200.94</v>
      </c>
      <c r="R192" s="236"/>
      <c r="S192" s="236"/>
      <c r="T192" s="236"/>
      <c r="U192" s="242"/>
    </row>
    <row r="193" spans="1:21" ht="13">
      <c r="A193" s="270"/>
      <c r="B193" s="245"/>
      <c r="C193" s="22" t="s">
        <v>59</v>
      </c>
      <c r="D193" s="23">
        <v>22.05</v>
      </c>
      <c r="E193" s="23">
        <v>15</v>
      </c>
      <c r="F193" s="23">
        <f t="shared" si="76"/>
        <v>330.75</v>
      </c>
      <c r="G193" s="236"/>
      <c r="H193" s="236"/>
      <c r="I193" s="236"/>
      <c r="J193" s="242"/>
      <c r="L193" s="270"/>
      <c r="M193" s="245"/>
      <c r="N193" s="22" t="s">
        <v>59</v>
      </c>
      <c r="O193" s="23">
        <v>22.05</v>
      </c>
      <c r="P193" s="23">
        <v>15</v>
      </c>
      <c r="Q193" s="23">
        <f t="shared" si="77"/>
        <v>330.75</v>
      </c>
      <c r="R193" s="236"/>
      <c r="S193" s="236"/>
      <c r="T193" s="236"/>
      <c r="U193" s="242"/>
    </row>
    <row r="194" spans="1:21" ht="13">
      <c r="A194" s="270"/>
      <c r="B194" s="245"/>
      <c r="C194" s="22" t="s">
        <v>417</v>
      </c>
      <c r="D194" s="23">
        <v>34.85</v>
      </c>
      <c r="E194" s="23">
        <v>15</v>
      </c>
      <c r="F194" s="23">
        <f t="shared" si="76"/>
        <v>522.75</v>
      </c>
      <c r="G194" s="236"/>
      <c r="H194" s="236"/>
      <c r="I194" s="236"/>
      <c r="J194" s="242"/>
      <c r="L194" s="270"/>
      <c r="M194" s="245"/>
      <c r="N194" s="22" t="s">
        <v>417</v>
      </c>
      <c r="O194" s="23">
        <v>34.85</v>
      </c>
      <c r="P194" s="23">
        <v>15</v>
      </c>
      <c r="Q194" s="23">
        <f t="shared" si="77"/>
        <v>522.75</v>
      </c>
      <c r="R194" s="236"/>
      <c r="S194" s="236"/>
      <c r="T194" s="236"/>
      <c r="U194" s="242"/>
    </row>
    <row r="195" spans="1:21" ht="13">
      <c r="A195" s="270"/>
      <c r="B195" s="245"/>
      <c r="C195" s="24" t="s">
        <v>444</v>
      </c>
      <c r="D195" s="23">
        <v>27.39</v>
      </c>
      <c r="E195" s="23">
        <v>15</v>
      </c>
      <c r="F195" s="23">
        <f t="shared" si="76"/>
        <v>410.85</v>
      </c>
      <c r="G195" s="236"/>
      <c r="H195" s="236"/>
      <c r="I195" s="236"/>
      <c r="J195" s="242"/>
      <c r="L195" s="270"/>
      <c r="M195" s="245"/>
      <c r="N195" s="24" t="s">
        <v>444</v>
      </c>
      <c r="O195" s="23">
        <v>27.39</v>
      </c>
      <c r="P195" s="23">
        <v>15</v>
      </c>
      <c r="Q195" s="23">
        <f t="shared" si="77"/>
        <v>410.85</v>
      </c>
      <c r="R195" s="236"/>
      <c r="S195" s="236"/>
      <c r="T195" s="236"/>
      <c r="U195" s="242"/>
    </row>
    <row r="196" spans="1:21" ht="13">
      <c r="A196" s="270"/>
      <c r="B196" s="245"/>
      <c r="C196" s="22" t="s">
        <v>231</v>
      </c>
      <c r="D196" s="23">
        <v>35.880000000000003</v>
      </c>
      <c r="E196" s="23">
        <v>15</v>
      </c>
      <c r="F196" s="23">
        <f t="shared" si="76"/>
        <v>538.20000000000005</v>
      </c>
      <c r="G196" s="236"/>
      <c r="H196" s="236"/>
      <c r="I196" s="236"/>
      <c r="J196" s="242"/>
      <c r="L196" s="270"/>
      <c r="M196" s="245"/>
      <c r="N196" s="22" t="s">
        <v>231</v>
      </c>
      <c r="O196" s="23">
        <v>35.880000000000003</v>
      </c>
      <c r="P196" s="23">
        <v>15</v>
      </c>
      <c r="Q196" s="23">
        <f t="shared" si="77"/>
        <v>538.20000000000005</v>
      </c>
      <c r="R196" s="236"/>
      <c r="S196" s="236"/>
      <c r="T196" s="236"/>
      <c r="U196" s="242"/>
    </row>
    <row r="197" spans="1:21" ht="13">
      <c r="A197" s="270"/>
      <c r="B197" s="245"/>
      <c r="C197" s="22" t="s">
        <v>264</v>
      </c>
      <c r="D197" s="23">
        <v>33.42</v>
      </c>
      <c r="E197" s="23">
        <v>15</v>
      </c>
      <c r="F197" s="23">
        <f t="shared" si="76"/>
        <v>501.3</v>
      </c>
      <c r="G197" s="236"/>
      <c r="H197" s="236"/>
      <c r="I197" s="236"/>
      <c r="J197" s="242"/>
      <c r="L197" s="270"/>
      <c r="M197" s="245"/>
      <c r="N197" s="22" t="s">
        <v>264</v>
      </c>
      <c r="O197" s="23">
        <v>33.42</v>
      </c>
      <c r="P197" s="23">
        <v>15</v>
      </c>
      <c r="Q197" s="23">
        <f t="shared" si="77"/>
        <v>501.3</v>
      </c>
      <c r="R197" s="236"/>
      <c r="S197" s="236"/>
      <c r="T197" s="236"/>
      <c r="U197" s="242"/>
    </row>
    <row r="198" spans="1:21" ht="13">
      <c r="A198" s="270"/>
      <c r="B198" s="245"/>
      <c r="C198" s="22" t="s">
        <v>32</v>
      </c>
      <c r="D198" s="23">
        <v>35.22</v>
      </c>
      <c r="E198" s="23">
        <v>15</v>
      </c>
      <c r="F198" s="23">
        <f t="shared" si="76"/>
        <v>528.29999999999995</v>
      </c>
      <c r="G198" s="236"/>
      <c r="H198" s="236"/>
      <c r="I198" s="236"/>
      <c r="J198" s="242"/>
      <c r="L198" s="270"/>
      <c r="M198" s="245"/>
      <c r="N198" s="22" t="s">
        <v>32</v>
      </c>
      <c r="O198" s="23">
        <v>35.22</v>
      </c>
      <c r="P198" s="23">
        <v>15</v>
      </c>
      <c r="Q198" s="23">
        <f t="shared" si="77"/>
        <v>528.29999999999995</v>
      </c>
      <c r="R198" s="236"/>
      <c r="S198" s="236"/>
      <c r="T198" s="236"/>
      <c r="U198" s="242"/>
    </row>
    <row r="199" spans="1:21" ht="13">
      <c r="A199" s="270"/>
      <c r="B199" s="245"/>
      <c r="C199" s="22" t="s">
        <v>619</v>
      </c>
      <c r="D199" s="23">
        <v>11.48</v>
      </c>
      <c r="E199" s="23">
        <v>15</v>
      </c>
      <c r="F199" s="23">
        <f t="shared" si="76"/>
        <v>172.20000000000002</v>
      </c>
      <c r="G199" s="236"/>
      <c r="H199" s="236"/>
      <c r="I199" s="236"/>
      <c r="J199" s="242"/>
      <c r="L199" s="270"/>
      <c r="M199" s="245"/>
      <c r="N199" s="22" t="s">
        <v>619</v>
      </c>
      <c r="O199" s="23">
        <v>11.48</v>
      </c>
      <c r="P199" s="23">
        <v>15</v>
      </c>
      <c r="Q199" s="23">
        <f t="shared" si="77"/>
        <v>172.20000000000002</v>
      </c>
      <c r="R199" s="236"/>
      <c r="S199" s="236"/>
      <c r="T199" s="236"/>
      <c r="U199" s="242"/>
    </row>
    <row r="200" spans="1:21" ht="13">
      <c r="A200" s="270"/>
      <c r="B200" s="245"/>
      <c r="C200" s="22" t="s">
        <v>45</v>
      </c>
      <c r="D200" s="23"/>
      <c r="E200" s="23"/>
      <c r="F200" s="23">
        <v>120</v>
      </c>
      <c r="G200" s="236"/>
      <c r="H200" s="236"/>
      <c r="I200" s="236"/>
      <c r="J200" s="242"/>
      <c r="L200" s="270"/>
      <c r="M200" s="245"/>
      <c r="N200" s="22" t="s">
        <v>45</v>
      </c>
      <c r="O200" s="23"/>
      <c r="P200" s="23"/>
      <c r="Q200" s="23">
        <v>120</v>
      </c>
      <c r="R200" s="236"/>
      <c r="S200" s="236"/>
      <c r="T200" s="236"/>
      <c r="U200" s="242"/>
    </row>
    <row r="201" spans="1:21" ht="13">
      <c r="A201" s="270"/>
      <c r="B201" s="245"/>
      <c r="C201" s="22" t="s">
        <v>47</v>
      </c>
      <c r="D201" s="23"/>
      <c r="E201" s="23"/>
      <c r="F201" s="23">
        <v>484.95</v>
      </c>
      <c r="G201" s="236"/>
      <c r="H201" s="236"/>
      <c r="I201" s="236"/>
      <c r="J201" s="242"/>
      <c r="L201" s="270"/>
      <c r="M201" s="245"/>
      <c r="N201" s="22" t="s">
        <v>47</v>
      </c>
      <c r="O201" s="23"/>
      <c r="P201" s="23"/>
      <c r="Q201" s="23">
        <v>484.95</v>
      </c>
      <c r="R201" s="236"/>
      <c r="S201" s="236"/>
      <c r="T201" s="236"/>
      <c r="U201" s="242"/>
    </row>
    <row r="202" spans="1:21" ht="13">
      <c r="A202" s="270"/>
      <c r="B202" s="245"/>
      <c r="C202" s="22" t="s">
        <v>44</v>
      </c>
      <c r="D202" s="23"/>
      <c r="E202" s="23"/>
      <c r="F202" s="23">
        <v>60.5</v>
      </c>
      <c r="G202" s="236"/>
      <c r="H202" s="236"/>
      <c r="I202" s="236"/>
      <c r="J202" s="242"/>
      <c r="L202" s="270"/>
      <c r="M202" s="245"/>
      <c r="N202" s="22" t="s">
        <v>44</v>
      </c>
      <c r="O202" s="23"/>
      <c r="P202" s="23"/>
      <c r="Q202" s="23">
        <v>60.5</v>
      </c>
      <c r="R202" s="236"/>
      <c r="S202" s="236"/>
      <c r="T202" s="236"/>
      <c r="U202" s="242"/>
    </row>
    <row r="203" spans="1:21" ht="13">
      <c r="A203" s="271"/>
      <c r="B203" s="246"/>
      <c r="C203" s="25" t="s">
        <v>48</v>
      </c>
      <c r="D203" s="26"/>
      <c r="E203" s="26"/>
      <c r="F203" s="26">
        <v>151.97999999999999</v>
      </c>
      <c r="G203" s="238"/>
      <c r="H203" s="238"/>
      <c r="I203" s="238"/>
      <c r="J203" s="243"/>
      <c r="L203" s="271"/>
      <c r="M203" s="246"/>
      <c r="N203" s="25" t="s">
        <v>48</v>
      </c>
      <c r="O203" s="26"/>
      <c r="P203" s="26"/>
      <c r="Q203" s="26">
        <v>151.97999999999999</v>
      </c>
      <c r="R203" s="238"/>
      <c r="S203" s="238"/>
      <c r="T203" s="238"/>
      <c r="U203" s="243"/>
    </row>
    <row r="204" spans="1:21" ht="30">
      <c r="A204" s="254" t="s">
        <v>677</v>
      </c>
      <c r="B204" s="255"/>
      <c r="C204" s="256"/>
      <c r="D204" s="27">
        <f t="shared" ref="D204:I204" si="78">AVERAGE(D190:D203)</f>
        <v>25.901111111111113</v>
      </c>
      <c r="E204" s="27">
        <f t="shared" si="78"/>
        <v>15.333333333333334</v>
      </c>
      <c r="F204" s="27">
        <f t="shared" si="78"/>
        <v>322.05142857142852</v>
      </c>
      <c r="G204" s="27">
        <f t="shared" si="78"/>
        <v>4508.7199999999993</v>
      </c>
      <c r="H204" s="27">
        <f t="shared" si="78"/>
        <v>7000</v>
      </c>
      <c r="I204" s="27">
        <f t="shared" si="78"/>
        <v>2491.2800000000007</v>
      </c>
      <c r="J204" s="28" t="e">
        <f>AVERAGE($K$12:$K$81)</f>
        <v>#DIV/0!</v>
      </c>
      <c r="L204" s="254" t="s">
        <v>677</v>
      </c>
      <c r="M204" s="255"/>
      <c r="N204" s="256"/>
      <c r="O204" s="27">
        <f t="shared" ref="O204:T204" si="79">AVERAGE(O190:O203)</f>
        <v>26.513750000000002</v>
      </c>
      <c r="P204" s="27">
        <f t="shared" si="79"/>
        <v>15.25</v>
      </c>
      <c r="Q204" s="27">
        <f t="shared" si="79"/>
        <v>320.97846153846149</v>
      </c>
      <c r="R204" s="27">
        <f t="shared" si="79"/>
        <v>4172.7199999999993</v>
      </c>
      <c r="S204" s="27">
        <f t="shared" si="79"/>
        <v>7000</v>
      </c>
      <c r="T204" s="27">
        <f t="shared" si="79"/>
        <v>2827.2800000000007</v>
      </c>
      <c r="U204" s="28" t="e">
        <f>AVERAGE($K$12:$K$81)</f>
        <v>#DIV/0!</v>
      </c>
    </row>
    <row r="205" spans="1:21" ht="30">
      <c r="A205" s="251" t="s">
        <v>678</v>
      </c>
      <c r="B205" s="252"/>
      <c r="C205" s="253"/>
      <c r="D205" s="88">
        <f t="shared" ref="D205:I205" si="80">SUM(D190:D203)</f>
        <v>233.11</v>
      </c>
      <c r="E205" s="88">
        <f t="shared" si="80"/>
        <v>138</v>
      </c>
      <c r="F205" s="88">
        <f t="shared" si="80"/>
        <v>4508.7199999999993</v>
      </c>
      <c r="G205" s="88">
        <f t="shared" si="80"/>
        <v>4508.7199999999993</v>
      </c>
      <c r="H205" s="88">
        <f t="shared" si="80"/>
        <v>7000</v>
      </c>
      <c r="I205" s="88">
        <f t="shared" si="80"/>
        <v>2491.2800000000007</v>
      </c>
      <c r="J205" s="89">
        <f>I205/H205</f>
        <v>0.35589714285714297</v>
      </c>
      <c r="L205" s="251" t="s">
        <v>678</v>
      </c>
      <c r="M205" s="252"/>
      <c r="N205" s="253"/>
      <c r="O205" s="88">
        <f t="shared" ref="O205:T205" si="81">SUM(O190:O203)</f>
        <v>212.11</v>
      </c>
      <c r="P205" s="88">
        <f t="shared" si="81"/>
        <v>122</v>
      </c>
      <c r="Q205" s="88">
        <f t="shared" si="81"/>
        <v>4172.7199999999993</v>
      </c>
      <c r="R205" s="88">
        <f t="shared" si="81"/>
        <v>4172.7199999999993</v>
      </c>
      <c r="S205" s="88">
        <f t="shared" si="81"/>
        <v>7000</v>
      </c>
      <c r="T205" s="88">
        <f t="shared" si="81"/>
        <v>2827.2800000000007</v>
      </c>
      <c r="U205" s="89">
        <f>T205/S205</f>
        <v>0.40389714285714295</v>
      </c>
    </row>
    <row r="207" spans="1:21" ht="30">
      <c r="A207" s="257" t="s">
        <v>490</v>
      </c>
      <c r="B207" s="252"/>
      <c r="C207" s="253"/>
      <c r="D207" s="34">
        <f t="shared" ref="D207:I207" si="82">SUM(D189,D205)</f>
        <v>470.15</v>
      </c>
      <c r="E207" s="34">
        <f t="shared" si="82"/>
        <v>276</v>
      </c>
      <c r="F207" s="34">
        <f t="shared" si="82"/>
        <v>10061.129999999997</v>
      </c>
      <c r="G207" s="34">
        <f t="shared" si="82"/>
        <v>10061.129999999997</v>
      </c>
      <c r="H207" s="34">
        <f t="shared" si="82"/>
        <v>14000</v>
      </c>
      <c r="I207" s="34">
        <f t="shared" si="82"/>
        <v>3938.8700000000017</v>
      </c>
      <c r="J207" s="35">
        <f>I207/H207</f>
        <v>0.28134785714285726</v>
      </c>
      <c r="L207" s="257" t="s">
        <v>490</v>
      </c>
      <c r="M207" s="252"/>
      <c r="N207" s="253"/>
      <c r="O207" s="34">
        <f t="shared" ref="O207:T207" si="83">SUM(O189,O205)</f>
        <v>428.15</v>
      </c>
      <c r="P207" s="34">
        <f t="shared" si="83"/>
        <v>244</v>
      </c>
      <c r="Q207" s="34">
        <f t="shared" si="83"/>
        <v>9389.1299999999992</v>
      </c>
      <c r="R207" s="34">
        <f t="shared" si="83"/>
        <v>9389.1299999999992</v>
      </c>
      <c r="S207" s="34">
        <f t="shared" si="83"/>
        <v>14000</v>
      </c>
      <c r="T207" s="34">
        <f t="shared" si="83"/>
        <v>4610.8700000000008</v>
      </c>
      <c r="U207" s="35">
        <f>T207/S207</f>
        <v>0.32934785714285719</v>
      </c>
    </row>
    <row r="209" spans="1:21" ht="13">
      <c r="A209" s="269" t="s">
        <v>9</v>
      </c>
      <c r="B209" s="244" t="s">
        <v>625</v>
      </c>
      <c r="C209" s="64" t="s">
        <v>23</v>
      </c>
      <c r="D209" s="50">
        <v>14</v>
      </c>
      <c r="E209" s="50">
        <v>16</v>
      </c>
      <c r="F209" s="65">
        <f>D209*E209</f>
        <v>224</v>
      </c>
      <c r="G209" s="240">
        <f>SUM(F209:F223)</f>
        <v>4469.1499999999996</v>
      </c>
      <c r="H209" s="240">
        <v>7000</v>
      </c>
      <c r="I209" s="240">
        <f>H209-G209</f>
        <v>2530.8500000000004</v>
      </c>
      <c r="J209" s="241">
        <f>I209/H209</f>
        <v>0.36155000000000004</v>
      </c>
      <c r="L209" s="269" t="s">
        <v>9</v>
      </c>
      <c r="M209" s="244" t="s">
        <v>625</v>
      </c>
      <c r="N209" s="64" t="s">
        <v>23</v>
      </c>
      <c r="O209" s="18"/>
      <c r="P209" s="18"/>
      <c r="Q209" s="18"/>
      <c r="R209" s="240">
        <f>SUM(Q209:Q223)</f>
        <v>4245.1499999999996</v>
      </c>
      <c r="S209" s="240">
        <v>7000</v>
      </c>
      <c r="T209" s="240">
        <f>S209-R209</f>
        <v>2754.8500000000004</v>
      </c>
      <c r="U209" s="241">
        <f>T209/S209</f>
        <v>0.39355000000000007</v>
      </c>
    </row>
    <row r="210" spans="1:21" ht="13">
      <c r="A210" s="270"/>
      <c r="B210" s="245"/>
      <c r="C210" s="22" t="s">
        <v>35</v>
      </c>
      <c r="D210" s="23"/>
      <c r="E210" s="23"/>
      <c r="F210" s="23">
        <v>300</v>
      </c>
      <c r="G210" s="236"/>
      <c r="H210" s="236"/>
      <c r="I210" s="236"/>
      <c r="J210" s="242"/>
      <c r="L210" s="270"/>
      <c r="M210" s="245"/>
      <c r="N210" s="22" t="s">
        <v>35</v>
      </c>
      <c r="O210" s="23"/>
      <c r="P210" s="23"/>
      <c r="Q210" s="23">
        <v>300</v>
      </c>
      <c r="R210" s="236"/>
      <c r="S210" s="236"/>
      <c r="T210" s="236"/>
      <c r="U210" s="242"/>
    </row>
    <row r="211" spans="1:21" ht="13">
      <c r="A211" s="270"/>
      <c r="B211" s="245"/>
      <c r="C211" s="22" t="s">
        <v>626</v>
      </c>
      <c r="D211" s="23">
        <v>1.5</v>
      </c>
      <c r="E211" s="23">
        <v>17</v>
      </c>
      <c r="F211" s="23">
        <f t="shared" ref="F211:F219" si="84">D211*E211</f>
        <v>25.5</v>
      </c>
      <c r="G211" s="236"/>
      <c r="H211" s="236"/>
      <c r="I211" s="236"/>
      <c r="J211" s="242"/>
      <c r="L211" s="270"/>
      <c r="M211" s="245"/>
      <c r="N211" s="22" t="s">
        <v>626</v>
      </c>
      <c r="O211" s="23">
        <v>1.5</v>
      </c>
      <c r="P211" s="23">
        <v>17</v>
      </c>
      <c r="Q211" s="23">
        <f t="shared" ref="Q211:Q219" si="85">O211*P211</f>
        <v>25.5</v>
      </c>
      <c r="R211" s="236"/>
      <c r="S211" s="236"/>
      <c r="T211" s="236"/>
      <c r="U211" s="242"/>
    </row>
    <row r="212" spans="1:21" ht="13">
      <c r="A212" s="270"/>
      <c r="B212" s="245"/>
      <c r="C212" s="22" t="s">
        <v>586</v>
      </c>
      <c r="D212" s="23">
        <v>35.25</v>
      </c>
      <c r="E212" s="23">
        <v>15</v>
      </c>
      <c r="F212" s="23">
        <f t="shared" si="84"/>
        <v>528.75</v>
      </c>
      <c r="G212" s="236"/>
      <c r="H212" s="236"/>
      <c r="I212" s="236"/>
      <c r="J212" s="242"/>
      <c r="L212" s="270"/>
      <c r="M212" s="245"/>
      <c r="N212" s="22" t="s">
        <v>586</v>
      </c>
      <c r="O212" s="23">
        <v>35.25</v>
      </c>
      <c r="P212" s="23">
        <v>15</v>
      </c>
      <c r="Q212" s="23">
        <f t="shared" si="85"/>
        <v>528.75</v>
      </c>
      <c r="R212" s="236"/>
      <c r="S212" s="236"/>
      <c r="T212" s="236"/>
      <c r="U212" s="242"/>
    </row>
    <row r="213" spans="1:21" ht="13">
      <c r="A213" s="270"/>
      <c r="B213" s="245"/>
      <c r="C213" s="22" t="s">
        <v>627</v>
      </c>
      <c r="D213" s="23">
        <v>24.38</v>
      </c>
      <c r="E213" s="23">
        <v>15</v>
      </c>
      <c r="F213" s="23">
        <f t="shared" si="84"/>
        <v>365.7</v>
      </c>
      <c r="G213" s="236"/>
      <c r="H213" s="236"/>
      <c r="I213" s="236"/>
      <c r="J213" s="242"/>
      <c r="L213" s="270"/>
      <c r="M213" s="245"/>
      <c r="N213" s="22" t="s">
        <v>627</v>
      </c>
      <c r="O213" s="23">
        <v>24.38</v>
      </c>
      <c r="P213" s="23">
        <v>15</v>
      </c>
      <c r="Q213" s="23">
        <f t="shared" si="85"/>
        <v>365.7</v>
      </c>
      <c r="R213" s="236"/>
      <c r="S213" s="236"/>
      <c r="T213" s="236"/>
      <c r="U213" s="242"/>
    </row>
    <row r="214" spans="1:21" ht="13">
      <c r="A214" s="270"/>
      <c r="B214" s="245"/>
      <c r="C214" s="24" t="s">
        <v>628</v>
      </c>
      <c r="D214" s="23">
        <v>23.6</v>
      </c>
      <c r="E214" s="23">
        <v>15</v>
      </c>
      <c r="F214" s="23">
        <f t="shared" si="84"/>
        <v>354</v>
      </c>
      <c r="G214" s="236"/>
      <c r="H214" s="236"/>
      <c r="I214" s="236"/>
      <c r="J214" s="242"/>
      <c r="L214" s="270"/>
      <c r="M214" s="245"/>
      <c r="N214" s="24" t="s">
        <v>628</v>
      </c>
      <c r="O214" s="23">
        <v>23.6</v>
      </c>
      <c r="P214" s="23">
        <v>15</v>
      </c>
      <c r="Q214" s="23">
        <f t="shared" si="85"/>
        <v>354</v>
      </c>
      <c r="R214" s="236"/>
      <c r="S214" s="236"/>
      <c r="T214" s="236"/>
      <c r="U214" s="242"/>
    </row>
    <row r="215" spans="1:21" ht="13">
      <c r="A215" s="270"/>
      <c r="B215" s="245"/>
      <c r="C215" s="22" t="s">
        <v>70</v>
      </c>
      <c r="D215" s="23">
        <v>33.33</v>
      </c>
      <c r="E215" s="23">
        <v>15</v>
      </c>
      <c r="F215" s="23">
        <f t="shared" si="84"/>
        <v>499.95</v>
      </c>
      <c r="G215" s="236"/>
      <c r="H215" s="236"/>
      <c r="I215" s="236"/>
      <c r="J215" s="242"/>
      <c r="L215" s="270"/>
      <c r="M215" s="245"/>
      <c r="N215" s="22" t="s">
        <v>70</v>
      </c>
      <c r="O215" s="23">
        <v>33.33</v>
      </c>
      <c r="P215" s="23">
        <v>15</v>
      </c>
      <c r="Q215" s="23">
        <f t="shared" si="85"/>
        <v>499.95</v>
      </c>
      <c r="R215" s="236"/>
      <c r="S215" s="236"/>
      <c r="T215" s="236"/>
      <c r="U215" s="242"/>
    </row>
    <row r="216" spans="1:21" ht="13">
      <c r="A216" s="270"/>
      <c r="B216" s="245"/>
      <c r="C216" s="22" t="s">
        <v>629</v>
      </c>
      <c r="D216" s="23">
        <v>20</v>
      </c>
      <c r="E216" s="23">
        <v>15</v>
      </c>
      <c r="F216" s="23">
        <f t="shared" si="84"/>
        <v>300</v>
      </c>
      <c r="G216" s="236"/>
      <c r="H216" s="236"/>
      <c r="I216" s="236"/>
      <c r="J216" s="242"/>
      <c r="L216" s="270"/>
      <c r="M216" s="245"/>
      <c r="N216" s="22" t="s">
        <v>629</v>
      </c>
      <c r="O216" s="23">
        <v>20</v>
      </c>
      <c r="P216" s="23">
        <v>15</v>
      </c>
      <c r="Q216" s="23">
        <f t="shared" si="85"/>
        <v>300</v>
      </c>
      <c r="R216" s="236"/>
      <c r="S216" s="236"/>
      <c r="T216" s="236"/>
      <c r="U216" s="242"/>
    </row>
    <row r="217" spans="1:21" ht="13">
      <c r="A217" s="270"/>
      <c r="B217" s="245"/>
      <c r="C217" s="22" t="s">
        <v>630</v>
      </c>
      <c r="D217" s="23">
        <v>33.65</v>
      </c>
      <c r="E217" s="23">
        <v>15</v>
      </c>
      <c r="F217" s="23">
        <f t="shared" si="84"/>
        <v>504.75</v>
      </c>
      <c r="G217" s="236"/>
      <c r="H217" s="236"/>
      <c r="I217" s="236"/>
      <c r="J217" s="242"/>
      <c r="L217" s="270"/>
      <c r="M217" s="245"/>
      <c r="N217" s="22" t="s">
        <v>630</v>
      </c>
      <c r="O217" s="23">
        <v>33.65</v>
      </c>
      <c r="P217" s="23">
        <v>15</v>
      </c>
      <c r="Q217" s="23">
        <f t="shared" si="85"/>
        <v>504.75</v>
      </c>
      <c r="R217" s="236"/>
      <c r="S217" s="236"/>
      <c r="T217" s="236"/>
      <c r="U217" s="242"/>
    </row>
    <row r="218" spans="1:21" ht="13">
      <c r="A218" s="270"/>
      <c r="B218" s="245"/>
      <c r="C218" s="22" t="s">
        <v>619</v>
      </c>
      <c r="D218" s="23">
        <v>4</v>
      </c>
      <c r="E218" s="23">
        <v>15</v>
      </c>
      <c r="F218" s="23">
        <f t="shared" si="84"/>
        <v>60</v>
      </c>
      <c r="G218" s="236"/>
      <c r="H218" s="236"/>
      <c r="I218" s="236"/>
      <c r="J218" s="242"/>
      <c r="L218" s="270"/>
      <c r="M218" s="245"/>
      <c r="N218" s="22" t="s">
        <v>619</v>
      </c>
      <c r="O218" s="23">
        <v>4</v>
      </c>
      <c r="P218" s="23">
        <v>15</v>
      </c>
      <c r="Q218" s="23">
        <f t="shared" si="85"/>
        <v>60</v>
      </c>
      <c r="R218" s="236"/>
      <c r="S218" s="236"/>
      <c r="T218" s="236"/>
      <c r="U218" s="242"/>
    </row>
    <row r="219" spans="1:21" ht="13">
      <c r="A219" s="270"/>
      <c r="B219" s="245"/>
      <c r="C219" s="22" t="s">
        <v>631</v>
      </c>
      <c r="D219" s="23">
        <v>18.38</v>
      </c>
      <c r="E219" s="23">
        <v>15</v>
      </c>
      <c r="F219" s="23">
        <f t="shared" si="84"/>
        <v>275.7</v>
      </c>
      <c r="G219" s="236"/>
      <c r="H219" s="236"/>
      <c r="I219" s="236"/>
      <c r="J219" s="242"/>
      <c r="L219" s="270"/>
      <c r="M219" s="245"/>
      <c r="N219" s="22" t="s">
        <v>631</v>
      </c>
      <c r="O219" s="23">
        <v>18.38</v>
      </c>
      <c r="P219" s="23">
        <v>15</v>
      </c>
      <c r="Q219" s="23">
        <f t="shared" si="85"/>
        <v>275.7</v>
      </c>
      <c r="R219" s="236"/>
      <c r="S219" s="236"/>
      <c r="T219" s="236"/>
      <c r="U219" s="242"/>
    </row>
    <row r="220" spans="1:21" ht="13">
      <c r="A220" s="270"/>
      <c r="B220" s="245"/>
      <c r="C220" s="22" t="s">
        <v>45</v>
      </c>
      <c r="D220" s="23"/>
      <c r="E220" s="23"/>
      <c r="F220" s="23">
        <v>150</v>
      </c>
      <c r="G220" s="236"/>
      <c r="H220" s="236"/>
      <c r="I220" s="236"/>
      <c r="J220" s="242"/>
      <c r="L220" s="270"/>
      <c r="M220" s="245"/>
      <c r="N220" s="22" t="s">
        <v>45</v>
      </c>
      <c r="O220" s="23"/>
      <c r="P220" s="23"/>
      <c r="Q220" s="23">
        <v>150</v>
      </c>
      <c r="R220" s="236"/>
      <c r="S220" s="236"/>
      <c r="T220" s="236"/>
      <c r="U220" s="242"/>
    </row>
    <row r="221" spans="1:21" ht="13">
      <c r="A221" s="270"/>
      <c r="B221" s="245"/>
      <c r="C221" s="22" t="s">
        <v>47</v>
      </c>
      <c r="D221" s="23"/>
      <c r="E221" s="23"/>
      <c r="F221" s="23">
        <v>596.65</v>
      </c>
      <c r="G221" s="236"/>
      <c r="H221" s="236"/>
      <c r="I221" s="236"/>
      <c r="J221" s="242"/>
      <c r="L221" s="270"/>
      <c r="M221" s="245"/>
      <c r="N221" s="22" t="s">
        <v>47</v>
      </c>
      <c r="O221" s="23"/>
      <c r="P221" s="23"/>
      <c r="Q221" s="23">
        <v>596.65</v>
      </c>
      <c r="R221" s="236"/>
      <c r="S221" s="236"/>
      <c r="T221" s="236"/>
      <c r="U221" s="242"/>
    </row>
    <row r="222" spans="1:21" ht="13">
      <c r="A222" s="270"/>
      <c r="B222" s="245"/>
      <c r="C222" s="22" t="s">
        <v>44</v>
      </c>
      <c r="D222" s="23"/>
      <c r="E222" s="23"/>
      <c r="F222" s="23">
        <v>60.5</v>
      </c>
      <c r="G222" s="236"/>
      <c r="H222" s="236"/>
      <c r="I222" s="236"/>
      <c r="J222" s="242"/>
      <c r="L222" s="270"/>
      <c r="M222" s="245"/>
      <c r="N222" s="22" t="s">
        <v>44</v>
      </c>
      <c r="O222" s="23"/>
      <c r="P222" s="23"/>
      <c r="Q222" s="23">
        <v>60.5</v>
      </c>
      <c r="R222" s="236"/>
      <c r="S222" s="236"/>
      <c r="T222" s="236"/>
      <c r="U222" s="242"/>
    </row>
    <row r="223" spans="1:21" ht="13">
      <c r="A223" s="271"/>
      <c r="B223" s="246"/>
      <c r="C223" s="25" t="s">
        <v>48</v>
      </c>
      <c r="D223" s="26"/>
      <c r="E223" s="26"/>
      <c r="F223" s="26">
        <v>223.65</v>
      </c>
      <c r="G223" s="238"/>
      <c r="H223" s="238"/>
      <c r="I223" s="238"/>
      <c r="J223" s="243"/>
      <c r="L223" s="271"/>
      <c r="M223" s="246"/>
      <c r="N223" s="25" t="s">
        <v>48</v>
      </c>
      <c r="O223" s="26"/>
      <c r="P223" s="26"/>
      <c r="Q223" s="26">
        <v>223.65</v>
      </c>
      <c r="R223" s="238"/>
      <c r="S223" s="238"/>
      <c r="T223" s="238"/>
      <c r="U223" s="243"/>
    </row>
    <row r="224" spans="1:21" ht="30">
      <c r="A224" s="278" t="s">
        <v>504</v>
      </c>
      <c r="B224" s="252"/>
      <c r="C224" s="253"/>
      <c r="D224" s="56">
        <f t="shared" ref="D224:I224" si="86">AVERAGE(D209:D223)</f>
        <v>20.809000000000001</v>
      </c>
      <c r="E224" s="56">
        <f t="shared" si="86"/>
        <v>15.3</v>
      </c>
      <c r="F224" s="56">
        <f t="shared" si="86"/>
        <v>297.94333333333333</v>
      </c>
      <c r="G224" s="56">
        <f t="shared" si="86"/>
        <v>4469.1499999999996</v>
      </c>
      <c r="H224" s="56">
        <f t="shared" si="86"/>
        <v>7000</v>
      </c>
      <c r="I224" s="56">
        <f t="shared" si="86"/>
        <v>2530.8500000000004</v>
      </c>
      <c r="J224" s="57" t="e">
        <f>AVERAGE($J$12:$J$76)</f>
        <v>#DIV/0!</v>
      </c>
      <c r="L224" s="278" t="s">
        <v>504</v>
      </c>
      <c r="M224" s="252"/>
      <c r="N224" s="253"/>
      <c r="O224" s="56">
        <f t="shared" ref="O224:T224" si="87">AVERAGE(O209:O223)</f>
        <v>21.565555555555555</v>
      </c>
      <c r="P224" s="56">
        <f t="shared" si="87"/>
        <v>15.222222222222221</v>
      </c>
      <c r="Q224" s="56">
        <f t="shared" si="87"/>
        <v>303.22499999999997</v>
      </c>
      <c r="R224" s="56">
        <f t="shared" si="87"/>
        <v>4245.1499999999996</v>
      </c>
      <c r="S224" s="56">
        <f t="shared" si="87"/>
        <v>7000</v>
      </c>
      <c r="T224" s="56">
        <f t="shared" si="87"/>
        <v>2754.8500000000004</v>
      </c>
      <c r="U224" s="57" t="e">
        <f>AVERAGE($J$12:$J$76)</f>
        <v>#DIV/0!</v>
      </c>
    </row>
    <row r="225" spans="1:21" ht="30">
      <c r="A225" s="279" t="s">
        <v>505</v>
      </c>
      <c r="B225" s="255"/>
      <c r="C225" s="256"/>
      <c r="D225" s="72">
        <f t="shared" ref="D225:I225" si="88">SUM(D209:D223)</f>
        <v>208.09</v>
      </c>
      <c r="E225" s="72">
        <f t="shared" si="88"/>
        <v>153</v>
      </c>
      <c r="F225" s="72">
        <f t="shared" si="88"/>
        <v>4469.1499999999996</v>
      </c>
      <c r="G225" s="72">
        <f t="shared" si="88"/>
        <v>4469.1499999999996</v>
      </c>
      <c r="H225" s="72">
        <f t="shared" si="88"/>
        <v>7000</v>
      </c>
      <c r="I225" s="72">
        <f t="shared" si="88"/>
        <v>2530.8500000000004</v>
      </c>
      <c r="J225" s="76">
        <f t="shared" ref="J225:J226" si="89">I225/H225</f>
        <v>0.36155000000000004</v>
      </c>
      <c r="L225" s="279" t="s">
        <v>505</v>
      </c>
      <c r="M225" s="255"/>
      <c r="N225" s="256"/>
      <c r="O225" s="72">
        <f t="shared" ref="O225:T225" si="90">SUM(O209:O223)</f>
        <v>194.09</v>
      </c>
      <c r="P225" s="72">
        <f t="shared" si="90"/>
        <v>137</v>
      </c>
      <c r="Q225" s="72">
        <f t="shared" si="90"/>
        <v>4245.1499999999996</v>
      </c>
      <c r="R225" s="72">
        <f t="shared" si="90"/>
        <v>4245.1499999999996</v>
      </c>
      <c r="S225" s="72">
        <f t="shared" si="90"/>
        <v>7000</v>
      </c>
      <c r="T225" s="72">
        <f t="shared" si="90"/>
        <v>2754.8500000000004</v>
      </c>
      <c r="U225" s="76">
        <f t="shared" ref="U225:U226" si="91">T225/S225</f>
        <v>0.39355000000000007</v>
      </c>
    </row>
    <row r="226" spans="1:21" ht="13">
      <c r="A226" s="269" t="s">
        <v>679</v>
      </c>
      <c r="B226" s="244" t="s">
        <v>632</v>
      </c>
      <c r="C226" s="64" t="s">
        <v>23</v>
      </c>
      <c r="D226" s="50">
        <v>21</v>
      </c>
      <c r="E226" s="50">
        <v>16</v>
      </c>
      <c r="F226" s="65">
        <f>D226*E226</f>
        <v>336</v>
      </c>
      <c r="G226" s="240">
        <f>SUM(F226:F242)</f>
        <v>4828.38</v>
      </c>
      <c r="H226" s="240">
        <v>7000</v>
      </c>
      <c r="I226" s="240">
        <f>H226-G226</f>
        <v>2171.62</v>
      </c>
      <c r="J226" s="241">
        <f t="shared" si="89"/>
        <v>0.31023142857142855</v>
      </c>
      <c r="L226" s="269" t="s">
        <v>679</v>
      </c>
      <c r="M226" s="244" t="s">
        <v>632</v>
      </c>
      <c r="N226" s="64" t="s">
        <v>23</v>
      </c>
      <c r="O226" s="18"/>
      <c r="P226" s="18"/>
      <c r="Q226" s="18"/>
      <c r="R226" s="240">
        <f>SUM(Q226:Q242)</f>
        <v>4492.38</v>
      </c>
      <c r="S226" s="240">
        <v>7000</v>
      </c>
      <c r="T226" s="240">
        <f>S226-R226</f>
        <v>2507.62</v>
      </c>
      <c r="U226" s="241">
        <f t="shared" si="91"/>
        <v>0.35823142857142853</v>
      </c>
    </row>
    <row r="227" spans="1:21" ht="13">
      <c r="A227" s="270"/>
      <c r="B227" s="245"/>
      <c r="C227" s="22" t="s">
        <v>35</v>
      </c>
      <c r="D227" s="23"/>
      <c r="E227" s="23"/>
      <c r="F227" s="23">
        <v>150</v>
      </c>
      <c r="G227" s="236"/>
      <c r="H227" s="236"/>
      <c r="I227" s="236"/>
      <c r="J227" s="242"/>
      <c r="L227" s="270"/>
      <c r="M227" s="245"/>
      <c r="N227" s="22" t="s">
        <v>35</v>
      </c>
      <c r="O227" s="23"/>
      <c r="P227" s="23"/>
      <c r="Q227" s="23">
        <v>150</v>
      </c>
      <c r="R227" s="236"/>
      <c r="S227" s="236"/>
      <c r="T227" s="236"/>
      <c r="U227" s="242"/>
    </row>
    <row r="228" spans="1:21" ht="13">
      <c r="A228" s="270"/>
      <c r="B228" s="245"/>
      <c r="C228" s="22" t="s">
        <v>58</v>
      </c>
      <c r="D228" s="23">
        <v>34.9</v>
      </c>
      <c r="E228" s="23">
        <v>15</v>
      </c>
      <c r="F228" s="23">
        <f t="shared" ref="F228:F237" si="92">D228*E228</f>
        <v>523.5</v>
      </c>
      <c r="G228" s="236"/>
      <c r="H228" s="236"/>
      <c r="I228" s="236"/>
      <c r="J228" s="242"/>
      <c r="L228" s="270"/>
      <c r="M228" s="245"/>
      <c r="N228" s="22" t="s">
        <v>58</v>
      </c>
      <c r="O228" s="23">
        <v>34.9</v>
      </c>
      <c r="P228" s="23">
        <v>15</v>
      </c>
      <c r="Q228" s="23">
        <f t="shared" ref="Q228:Q237" si="93">O228*P228</f>
        <v>523.5</v>
      </c>
      <c r="R228" s="236"/>
      <c r="S228" s="236"/>
      <c r="T228" s="236"/>
      <c r="U228" s="242"/>
    </row>
    <row r="229" spans="1:21" ht="13">
      <c r="A229" s="270"/>
      <c r="B229" s="245"/>
      <c r="C229" s="22" t="s">
        <v>633</v>
      </c>
      <c r="D229" s="23">
        <v>5.38</v>
      </c>
      <c r="E229" s="23">
        <v>15</v>
      </c>
      <c r="F229" s="23">
        <f t="shared" si="92"/>
        <v>80.7</v>
      </c>
      <c r="G229" s="236"/>
      <c r="H229" s="236"/>
      <c r="I229" s="236"/>
      <c r="J229" s="242"/>
      <c r="L229" s="270"/>
      <c r="M229" s="245"/>
      <c r="N229" s="22" t="s">
        <v>633</v>
      </c>
      <c r="O229" s="23">
        <v>5.38</v>
      </c>
      <c r="P229" s="23">
        <v>15</v>
      </c>
      <c r="Q229" s="23">
        <f t="shared" si="93"/>
        <v>80.7</v>
      </c>
      <c r="R229" s="236"/>
      <c r="S229" s="236"/>
      <c r="T229" s="236"/>
      <c r="U229" s="242"/>
    </row>
    <row r="230" spans="1:21" ht="13">
      <c r="A230" s="270"/>
      <c r="B230" s="245"/>
      <c r="C230" s="22" t="s">
        <v>634</v>
      </c>
      <c r="D230" s="23">
        <v>5</v>
      </c>
      <c r="E230" s="23">
        <v>15</v>
      </c>
      <c r="F230" s="23">
        <f t="shared" si="92"/>
        <v>75</v>
      </c>
      <c r="G230" s="236"/>
      <c r="H230" s="236"/>
      <c r="I230" s="236"/>
      <c r="J230" s="242"/>
      <c r="L230" s="270"/>
      <c r="M230" s="245"/>
      <c r="N230" s="22" t="s">
        <v>634</v>
      </c>
      <c r="O230" s="23">
        <v>5</v>
      </c>
      <c r="P230" s="23">
        <v>15</v>
      </c>
      <c r="Q230" s="23">
        <f t="shared" si="93"/>
        <v>75</v>
      </c>
      <c r="R230" s="236"/>
      <c r="S230" s="236"/>
      <c r="T230" s="236"/>
      <c r="U230" s="242"/>
    </row>
    <row r="231" spans="1:21" ht="13">
      <c r="A231" s="270"/>
      <c r="B231" s="245"/>
      <c r="C231" s="24" t="s">
        <v>635</v>
      </c>
      <c r="D231" s="23">
        <v>24.18</v>
      </c>
      <c r="E231" s="23">
        <v>15</v>
      </c>
      <c r="F231" s="23">
        <f t="shared" si="92"/>
        <v>362.7</v>
      </c>
      <c r="G231" s="236"/>
      <c r="H231" s="236"/>
      <c r="I231" s="236"/>
      <c r="J231" s="242"/>
      <c r="L231" s="270"/>
      <c r="M231" s="245"/>
      <c r="N231" s="24" t="s">
        <v>635</v>
      </c>
      <c r="O231" s="23">
        <v>24.18</v>
      </c>
      <c r="P231" s="23">
        <v>15</v>
      </c>
      <c r="Q231" s="23">
        <f t="shared" si="93"/>
        <v>362.7</v>
      </c>
      <c r="R231" s="236"/>
      <c r="S231" s="236"/>
      <c r="T231" s="236"/>
      <c r="U231" s="242"/>
    </row>
    <row r="232" spans="1:21" ht="13">
      <c r="A232" s="270"/>
      <c r="B232" s="245"/>
      <c r="C232" s="22" t="s">
        <v>636</v>
      </c>
      <c r="D232" s="23">
        <v>17.100000000000001</v>
      </c>
      <c r="E232" s="23">
        <v>15</v>
      </c>
      <c r="F232" s="23">
        <f t="shared" si="92"/>
        <v>256.5</v>
      </c>
      <c r="G232" s="236"/>
      <c r="H232" s="236"/>
      <c r="I232" s="236"/>
      <c r="J232" s="242"/>
      <c r="L232" s="270"/>
      <c r="M232" s="245"/>
      <c r="N232" s="22" t="s">
        <v>636</v>
      </c>
      <c r="O232" s="23">
        <v>17.100000000000001</v>
      </c>
      <c r="P232" s="23">
        <v>15</v>
      </c>
      <c r="Q232" s="23">
        <f t="shared" si="93"/>
        <v>256.5</v>
      </c>
      <c r="R232" s="236"/>
      <c r="S232" s="236"/>
      <c r="T232" s="236"/>
      <c r="U232" s="242"/>
    </row>
    <row r="233" spans="1:21" ht="13">
      <c r="A233" s="270"/>
      <c r="B233" s="245"/>
      <c r="C233" s="22" t="s">
        <v>637</v>
      </c>
      <c r="D233" s="23">
        <v>19.27</v>
      </c>
      <c r="E233" s="23">
        <v>15</v>
      </c>
      <c r="F233" s="23">
        <f t="shared" si="92"/>
        <v>289.05</v>
      </c>
      <c r="G233" s="236"/>
      <c r="H233" s="236"/>
      <c r="I233" s="236"/>
      <c r="J233" s="242"/>
      <c r="L233" s="270"/>
      <c r="M233" s="245"/>
      <c r="N233" s="22" t="s">
        <v>637</v>
      </c>
      <c r="O233" s="23">
        <v>19.27</v>
      </c>
      <c r="P233" s="23">
        <v>15</v>
      </c>
      <c r="Q233" s="23">
        <f t="shared" si="93"/>
        <v>289.05</v>
      </c>
      <c r="R233" s="236"/>
      <c r="S233" s="236"/>
      <c r="T233" s="236"/>
      <c r="U233" s="242"/>
    </row>
    <row r="234" spans="1:21" ht="13">
      <c r="A234" s="270"/>
      <c r="B234" s="245"/>
      <c r="C234" s="22" t="s">
        <v>638</v>
      </c>
      <c r="D234" s="23">
        <v>29.25</v>
      </c>
      <c r="E234" s="23">
        <v>15</v>
      </c>
      <c r="F234" s="23">
        <f t="shared" si="92"/>
        <v>438.75</v>
      </c>
      <c r="G234" s="236"/>
      <c r="H234" s="236"/>
      <c r="I234" s="236"/>
      <c r="J234" s="242"/>
      <c r="L234" s="270"/>
      <c r="M234" s="245"/>
      <c r="N234" s="22" t="s">
        <v>638</v>
      </c>
      <c r="O234" s="23">
        <v>29.25</v>
      </c>
      <c r="P234" s="23">
        <v>15</v>
      </c>
      <c r="Q234" s="23">
        <f t="shared" si="93"/>
        <v>438.75</v>
      </c>
      <c r="R234" s="236"/>
      <c r="S234" s="236"/>
      <c r="T234" s="236"/>
      <c r="U234" s="242"/>
    </row>
    <row r="235" spans="1:21" ht="13">
      <c r="A235" s="270"/>
      <c r="B235" s="245"/>
      <c r="C235" s="22" t="s">
        <v>90</v>
      </c>
      <c r="D235" s="23">
        <v>14.45</v>
      </c>
      <c r="E235" s="23">
        <v>15</v>
      </c>
      <c r="F235" s="23">
        <f t="shared" si="92"/>
        <v>216.75</v>
      </c>
      <c r="G235" s="236"/>
      <c r="H235" s="236"/>
      <c r="I235" s="236"/>
      <c r="J235" s="242"/>
      <c r="L235" s="270"/>
      <c r="M235" s="245"/>
      <c r="N235" s="22" t="s">
        <v>90</v>
      </c>
      <c r="O235" s="23">
        <v>14.45</v>
      </c>
      <c r="P235" s="23">
        <v>15</v>
      </c>
      <c r="Q235" s="23">
        <f t="shared" si="93"/>
        <v>216.75</v>
      </c>
      <c r="R235" s="236"/>
      <c r="S235" s="236"/>
      <c r="T235" s="236"/>
      <c r="U235" s="242"/>
    </row>
    <row r="236" spans="1:21" ht="13">
      <c r="A236" s="270"/>
      <c r="B236" s="245"/>
      <c r="C236" s="22" t="s">
        <v>639</v>
      </c>
      <c r="D236" s="23">
        <v>31.85</v>
      </c>
      <c r="E236" s="23">
        <v>15</v>
      </c>
      <c r="F236" s="23">
        <f t="shared" si="92"/>
        <v>477.75</v>
      </c>
      <c r="G236" s="236"/>
      <c r="H236" s="236"/>
      <c r="I236" s="236"/>
      <c r="J236" s="242"/>
      <c r="L236" s="270"/>
      <c r="M236" s="245"/>
      <c r="N236" s="22" t="s">
        <v>639</v>
      </c>
      <c r="O236" s="23">
        <v>31.85</v>
      </c>
      <c r="P236" s="23">
        <v>15</v>
      </c>
      <c r="Q236" s="23">
        <f t="shared" si="93"/>
        <v>477.75</v>
      </c>
      <c r="R236" s="236"/>
      <c r="S236" s="236"/>
      <c r="T236" s="236"/>
      <c r="U236" s="242"/>
    </row>
    <row r="237" spans="1:21" ht="13">
      <c r="A237" s="270"/>
      <c r="B237" s="245"/>
      <c r="C237" s="22" t="s">
        <v>330</v>
      </c>
      <c r="D237" s="23">
        <v>29.25</v>
      </c>
      <c r="E237" s="23">
        <v>15</v>
      </c>
      <c r="F237" s="23">
        <f t="shared" si="92"/>
        <v>438.75</v>
      </c>
      <c r="G237" s="236"/>
      <c r="H237" s="236"/>
      <c r="I237" s="236"/>
      <c r="J237" s="242"/>
      <c r="L237" s="270"/>
      <c r="M237" s="245"/>
      <c r="N237" s="22" t="s">
        <v>330</v>
      </c>
      <c r="O237" s="23">
        <v>29.25</v>
      </c>
      <c r="P237" s="23">
        <v>15</v>
      </c>
      <c r="Q237" s="23">
        <f t="shared" si="93"/>
        <v>438.75</v>
      </c>
      <c r="R237" s="236"/>
      <c r="S237" s="236"/>
      <c r="T237" s="236"/>
      <c r="U237" s="242"/>
    </row>
    <row r="238" spans="1:21" ht="13">
      <c r="A238" s="270"/>
      <c r="B238" s="245"/>
      <c r="C238" s="22" t="s">
        <v>45</v>
      </c>
      <c r="D238" s="23"/>
      <c r="E238" s="23"/>
      <c r="F238" s="23">
        <v>173.6</v>
      </c>
      <c r="G238" s="236"/>
      <c r="H238" s="236"/>
      <c r="I238" s="236"/>
      <c r="J238" s="242"/>
      <c r="L238" s="270"/>
      <c r="M238" s="245"/>
      <c r="N238" s="22" t="s">
        <v>45</v>
      </c>
      <c r="O238" s="23"/>
      <c r="P238" s="23"/>
      <c r="Q238" s="23">
        <v>173.6</v>
      </c>
      <c r="R238" s="236"/>
      <c r="S238" s="236"/>
      <c r="T238" s="236"/>
      <c r="U238" s="242"/>
    </row>
    <row r="239" spans="1:21" ht="13">
      <c r="A239" s="270"/>
      <c r="B239" s="245"/>
      <c r="C239" s="22" t="s">
        <v>47</v>
      </c>
      <c r="D239" s="23"/>
      <c r="E239" s="23"/>
      <c r="F239" s="23">
        <v>536.53</v>
      </c>
      <c r="G239" s="236"/>
      <c r="H239" s="236"/>
      <c r="I239" s="236"/>
      <c r="J239" s="242"/>
      <c r="L239" s="270"/>
      <c r="M239" s="245"/>
      <c r="N239" s="22" t="s">
        <v>47</v>
      </c>
      <c r="O239" s="23"/>
      <c r="P239" s="23"/>
      <c r="Q239" s="23">
        <v>536.53</v>
      </c>
      <c r="R239" s="236"/>
      <c r="S239" s="236"/>
      <c r="T239" s="236"/>
      <c r="U239" s="242"/>
    </row>
    <row r="240" spans="1:21" ht="13">
      <c r="A240" s="270"/>
      <c r="B240" s="245"/>
      <c r="C240" s="22" t="s">
        <v>44</v>
      </c>
      <c r="D240" s="23"/>
      <c r="E240" s="23"/>
      <c r="F240" s="23">
        <v>121</v>
      </c>
      <c r="G240" s="236"/>
      <c r="H240" s="236"/>
      <c r="I240" s="236"/>
      <c r="J240" s="242"/>
      <c r="L240" s="270"/>
      <c r="M240" s="245"/>
      <c r="N240" s="22" t="s">
        <v>44</v>
      </c>
      <c r="O240" s="23"/>
      <c r="P240" s="23"/>
      <c r="Q240" s="23">
        <v>121</v>
      </c>
      <c r="R240" s="236"/>
      <c r="S240" s="236"/>
      <c r="T240" s="236"/>
      <c r="U240" s="242"/>
    </row>
    <row r="241" spans="1:21" ht="13">
      <c r="A241" s="270"/>
      <c r="B241" s="245"/>
      <c r="C241" s="22" t="s">
        <v>46</v>
      </c>
      <c r="D241" s="23"/>
      <c r="E241" s="23"/>
      <c r="F241" s="23">
        <v>124</v>
      </c>
      <c r="G241" s="236"/>
      <c r="H241" s="236"/>
      <c r="I241" s="236"/>
      <c r="J241" s="242"/>
      <c r="L241" s="270"/>
      <c r="M241" s="245"/>
      <c r="N241" s="22" t="s">
        <v>46</v>
      </c>
      <c r="O241" s="23"/>
      <c r="P241" s="23"/>
      <c r="Q241" s="23">
        <v>124</v>
      </c>
      <c r="R241" s="236"/>
      <c r="S241" s="236"/>
      <c r="T241" s="236"/>
      <c r="U241" s="242"/>
    </row>
    <row r="242" spans="1:21" ht="13">
      <c r="A242" s="271"/>
      <c r="B242" s="246"/>
      <c r="C242" s="25" t="s">
        <v>48</v>
      </c>
      <c r="D242" s="26"/>
      <c r="E242" s="26"/>
      <c r="F242" s="26">
        <v>227.8</v>
      </c>
      <c r="G242" s="238"/>
      <c r="H242" s="238"/>
      <c r="I242" s="238"/>
      <c r="J242" s="243"/>
      <c r="L242" s="271"/>
      <c r="M242" s="246"/>
      <c r="N242" s="25" t="s">
        <v>48</v>
      </c>
      <c r="O242" s="26"/>
      <c r="P242" s="26"/>
      <c r="Q242" s="26">
        <v>227.8</v>
      </c>
      <c r="R242" s="238"/>
      <c r="S242" s="238"/>
      <c r="T242" s="238"/>
      <c r="U242" s="243"/>
    </row>
    <row r="243" spans="1:21" ht="30">
      <c r="A243" s="278" t="s">
        <v>549</v>
      </c>
      <c r="B243" s="252"/>
      <c r="C243" s="253"/>
      <c r="D243" s="56">
        <f t="shared" ref="D243:I243" si="94">AVERAGE(D226:D242)</f>
        <v>21.057272727272725</v>
      </c>
      <c r="E243" s="56">
        <f t="shared" si="94"/>
        <v>15.090909090909092</v>
      </c>
      <c r="F243" s="56">
        <f t="shared" si="94"/>
        <v>284.02235294117645</v>
      </c>
      <c r="G243" s="56">
        <f t="shared" si="94"/>
        <v>4828.38</v>
      </c>
      <c r="H243" s="56">
        <f t="shared" si="94"/>
        <v>7000</v>
      </c>
      <c r="I243" s="56">
        <f t="shared" si="94"/>
        <v>2171.62</v>
      </c>
      <c r="J243" s="57" t="e">
        <f>AVERAGE($J$12:$J$76)</f>
        <v>#DIV/0!</v>
      </c>
      <c r="L243" s="278" t="s">
        <v>549</v>
      </c>
      <c r="M243" s="252"/>
      <c r="N243" s="253"/>
      <c r="O243" s="56">
        <f t="shared" ref="O243:T243" si="95">AVERAGE(O226:O242)</f>
        <v>21.062999999999995</v>
      </c>
      <c r="P243" s="56">
        <f t="shared" si="95"/>
        <v>15</v>
      </c>
      <c r="Q243" s="56">
        <f t="shared" si="95"/>
        <v>280.77375000000001</v>
      </c>
      <c r="R243" s="56">
        <f t="shared" si="95"/>
        <v>4492.38</v>
      </c>
      <c r="S243" s="56">
        <f t="shared" si="95"/>
        <v>7000</v>
      </c>
      <c r="T243" s="56">
        <f t="shared" si="95"/>
        <v>2507.62</v>
      </c>
      <c r="U243" s="57" t="e">
        <f>AVERAGE($J$12:$J$76)</f>
        <v>#DIV/0!</v>
      </c>
    </row>
    <row r="244" spans="1:21" ht="30">
      <c r="A244" s="279" t="s">
        <v>550</v>
      </c>
      <c r="B244" s="255"/>
      <c r="C244" s="256"/>
      <c r="D244" s="72">
        <f t="shared" ref="D244:I244" si="96">SUM(D226:D242)</f>
        <v>231.62999999999997</v>
      </c>
      <c r="E244" s="72">
        <f t="shared" si="96"/>
        <v>166</v>
      </c>
      <c r="F244" s="72">
        <f t="shared" si="96"/>
        <v>4828.38</v>
      </c>
      <c r="G244" s="72">
        <f t="shared" si="96"/>
        <v>4828.38</v>
      </c>
      <c r="H244" s="72">
        <f t="shared" si="96"/>
        <v>7000</v>
      </c>
      <c r="I244" s="72">
        <f t="shared" si="96"/>
        <v>2171.62</v>
      </c>
      <c r="J244" s="76">
        <f t="shared" ref="J244:J245" si="97">I244/H244</f>
        <v>0.31023142857142855</v>
      </c>
      <c r="L244" s="279" t="s">
        <v>550</v>
      </c>
      <c r="M244" s="255"/>
      <c r="N244" s="256"/>
      <c r="O244" s="72">
        <f t="shared" ref="O244:T244" si="98">SUM(O226:O242)</f>
        <v>210.62999999999997</v>
      </c>
      <c r="P244" s="72">
        <f t="shared" si="98"/>
        <v>150</v>
      </c>
      <c r="Q244" s="72">
        <f t="shared" si="98"/>
        <v>4492.38</v>
      </c>
      <c r="R244" s="72">
        <f t="shared" si="98"/>
        <v>4492.38</v>
      </c>
      <c r="S244" s="72">
        <f t="shared" si="98"/>
        <v>7000</v>
      </c>
      <c r="T244" s="72">
        <f t="shared" si="98"/>
        <v>2507.62</v>
      </c>
      <c r="U244" s="76">
        <f t="shared" ref="U244:U245" si="99">T244/S244</f>
        <v>0.35823142857142853</v>
      </c>
    </row>
    <row r="245" spans="1:21" ht="13">
      <c r="A245" s="269" t="s">
        <v>11</v>
      </c>
      <c r="B245" s="244" t="s">
        <v>643</v>
      </c>
      <c r="C245" s="22" t="s">
        <v>35</v>
      </c>
      <c r="D245" s="23"/>
      <c r="E245" s="23"/>
      <c r="F245" s="23">
        <v>150</v>
      </c>
      <c r="G245" s="240">
        <f>SUM(F245:F258)</f>
        <v>4198.79</v>
      </c>
      <c r="H245" s="240">
        <v>7000</v>
      </c>
      <c r="I245" s="240">
        <f>H245-G245</f>
        <v>2801.21</v>
      </c>
      <c r="J245" s="241">
        <f t="shared" si="97"/>
        <v>0.40017285714285716</v>
      </c>
      <c r="L245" s="269" t="s">
        <v>11</v>
      </c>
      <c r="M245" s="244" t="s">
        <v>643</v>
      </c>
      <c r="N245" s="22" t="s">
        <v>35</v>
      </c>
      <c r="O245" s="23"/>
      <c r="P245" s="23"/>
      <c r="Q245" s="23">
        <v>150</v>
      </c>
      <c r="R245" s="240">
        <f>SUM(Q245:Q258)</f>
        <v>4198.79</v>
      </c>
      <c r="S245" s="240">
        <v>7000</v>
      </c>
      <c r="T245" s="240">
        <f>S245-R245</f>
        <v>2801.21</v>
      </c>
      <c r="U245" s="241">
        <f t="shared" si="99"/>
        <v>0.40017285714285716</v>
      </c>
    </row>
    <row r="246" spans="1:21" ht="13">
      <c r="A246" s="270"/>
      <c r="B246" s="245"/>
      <c r="C246" s="22" t="s">
        <v>644</v>
      </c>
      <c r="D246" s="23">
        <v>37.83</v>
      </c>
      <c r="E246" s="23">
        <v>17</v>
      </c>
      <c r="F246" s="23">
        <f t="shared" ref="F246:F255" si="100">D246*E246</f>
        <v>643.11</v>
      </c>
      <c r="G246" s="236"/>
      <c r="H246" s="236"/>
      <c r="I246" s="236"/>
      <c r="J246" s="242"/>
      <c r="L246" s="270"/>
      <c r="M246" s="245"/>
      <c r="N246" s="22" t="s">
        <v>644</v>
      </c>
      <c r="O246" s="23">
        <v>37.83</v>
      </c>
      <c r="P246" s="23">
        <v>17</v>
      </c>
      <c r="Q246" s="23">
        <f t="shared" ref="Q246:Q255" si="101">O246*P246</f>
        <v>643.11</v>
      </c>
      <c r="R246" s="236"/>
      <c r="S246" s="236"/>
      <c r="T246" s="236"/>
      <c r="U246" s="242"/>
    </row>
    <row r="247" spans="1:21" ht="13">
      <c r="A247" s="270"/>
      <c r="B247" s="245"/>
      <c r="C247" s="22" t="s">
        <v>70</v>
      </c>
      <c r="D247" s="23">
        <v>3</v>
      </c>
      <c r="E247" s="23">
        <v>15</v>
      </c>
      <c r="F247" s="23">
        <f t="shared" si="100"/>
        <v>45</v>
      </c>
      <c r="G247" s="236"/>
      <c r="H247" s="236"/>
      <c r="I247" s="236"/>
      <c r="J247" s="242"/>
      <c r="L247" s="270"/>
      <c r="M247" s="245"/>
      <c r="N247" s="22" t="s">
        <v>70</v>
      </c>
      <c r="O247" s="23">
        <v>3</v>
      </c>
      <c r="P247" s="23">
        <v>15</v>
      </c>
      <c r="Q247" s="23">
        <f t="shared" si="101"/>
        <v>45</v>
      </c>
      <c r="R247" s="236"/>
      <c r="S247" s="236"/>
      <c r="T247" s="236"/>
      <c r="U247" s="242"/>
    </row>
    <row r="248" spans="1:21" ht="13">
      <c r="A248" s="270"/>
      <c r="B248" s="245"/>
      <c r="C248" s="22" t="s">
        <v>636</v>
      </c>
      <c r="D248" s="23">
        <v>18.329999999999998</v>
      </c>
      <c r="E248" s="23">
        <v>15</v>
      </c>
      <c r="F248" s="23">
        <f t="shared" si="100"/>
        <v>274.95</v>
      </c>
      <c r="G248" s="236"/>
      <c r="H248" s="236"/>
      <c r="I248" s="236"/>
      <c r="J248" s="242"/>
      <c r="L248" s="270"/>
      <c r="M248" s="245"/>
      <c r="N248" s="22" t="s">
        <v>636</v>
      </c>
      <c r="O248" s="23">
        <v>18.329999999999998</v>
      </c>
      <c r="P248" s="23">
        <v>15</v>
      </c>
      <c r="Q248" s="23">
        <f t="shared" si="101"/>
        <v>274.95</v>
      </c>
      <c r="R248" s="236"/>
      <c r="S248" s="236"/>
      <c r="T248" s="236"/>
      <c r="U248" s="242"/>
    </row>
    <row r="249" spans="1:21" ht="13">
      <c r="A249" s="270"/>
      <c r="B249" s="245"/>
      <c r="C249" s="24" t="s">
        <v>635</v>
      </c>
      <c r="D249" s="23">
        <v>24.1</v>
      </c>
      <c r="E249" s="23">
        <v>15</v>
      </c>
      <c r="F249" s="23">
        <f t="shared" si="100"/>
        <v>361.5</v>
      </c>
      <c r="G249" s="236"/>
      <c r="H249" s="236"/>
      <c r="I249" s="236"/>
      <c r="J249" s="242"/>
      <c r="L249" s="270"/>
      <c r="M249" s="245"/>
      <c r="N249" s="24" t="s">
        <v>635</v>
      </c>
      <c r="O249" s="23">
        <v>24.1</v>
      </c>
      <c r="P249" s="23">
        <v>15</v>
      </c>
      <c r="Q249" s="23">
        <f t="shared" si="101"/>
        <v>361.5</v>
      </c>
      <c r="R249" s="236"/>
      <c r="S249" s="236"/>
      <c r="T249" s="236"/>
      <c r="U249" s="242"/>
    </row>
    <row r="250" spans="1:21" ht="13">
      <c r="A250" s="270"/>
      <c r="B250" s="245"/>
      <c r="C250" s="22" t="s">
        <v>638</v>
      </c>
      <c r="D250" s="23">
        <v>29.18</v>
      </c>
      <c r="E250" s="23">
        <v>15</v>
      </c>
      <c r="F250" s="23">
        <f t="shared" si="100"/>
        <v>437.7</v>
      </c>
      <c r="G250" s="236"/>
      <c r="H250" s="236"/>
      <c r="I250" s="236"/>
      <c r="J250" s="242"/>
      <c r="L250" s="270"/>
      <c r="M250" s="245"/>
      <c r="N250" s="22" t="s">
        <v>638</v>
      </c>
      <c r="O250" s="23">
        <v>29.18</v>
      </c>
      <c r="P250" s="23">
        <v>15</v>
      </c>
      <c r="Q250" s="23">
        <f t="shared" si="101"/>
        <v>437.7</v>
      </c>
      <c r="R250" s="236"/>
      <c r="S250" s="236"/>
      <c r="T250" s="236"/>
      <c r="U250" s="242"/>
    </row>
    <row r="251" spans="1:21" ht="13">
      <c r="A251" s="270"/>
      <c r="B251" s="245"/>
      <c r="C251" s="22" t="s">
        <v>90</v>
      </c>
      <c r="D251" s="23">
        <v>20.87</v>
      </c>
      <c r="E251" s="23">
        <v>15</v>
      </c>
      <c r="F251" s="23">
        <f t="shared" si="100"/>
        <v>313.05</v>
      </c>
      <c r="G251" s="236"/>
      <c r="H251" s="236"/>
      <c r="I251" s="236"/>
      <c r="J251" s="242"/>
      <c r="L251" s="270"/>
      <c r="M251" s="245"/>
      <c r="N251" s="22" t="s">
        <v>90</v>
      </c>
      <c r="O251" s="23">
        <v>20.87</v>
      </c>
      <c r="P251" s="23">
        <v>15</v>
      </c>
      <c r="Q251" s="23">
        <f t="shared" si="101"/>
        <v>313.05</v>
      </c>
      <c r="R251" s="236"/>
      <c r="S251" s="236"/>
      <c r="T251" s="236"/>
      <c r="U251" s="242"/>
    </row>
    <row r="252" spans="1:21" ht="13">
      <c r="A252" s="270"/>
      <c r="B252" s="245"/>
      <c r="C252" s="22" t="s">
        <v>645</v>
      </c>
      <c r="D252" s="23">
        <v>25.85</v>
      </c>
      <c r="E252" s="23">
        <v>15</v>
      </c>
      <c r="F252" s="23">
        <f t="shared" si="100"/>
        <v>387.75</v>
      </c>
      <c r="G252" s="236"/>
      <c r="H252" s="236"/>
      <c r="I252" s="236"/>
      <c r="J252" s="242"/>
      <c r="L252" s="270"/>
      <c r="M252" s="245"/>
      <c r="N252" s="22" t="s">
        <v>645</v>
      </c>
      <c r="O252" s="23">
        <v>25.85</v>
      </c>
      <c r="P252" s="23">
        <v>15</v>
      </c>
      <c r="Q252" s="23">
        <f t="shared" si="101"/>
        <v>387.75</v>
      </c>
      <c r="R252" s="236"/>
      <c r="S252" s="236"/>
      <c r="T252" s="236"/>
      <c r="U252" s="242"/>
    </row>
    <row r="253" spans="1:21" ht="13">
      <c r="A253" s="270"/>
      <c r="B253" s="245"/>
      <c r="C253" s="22" t="s">
        <v>646</v>
      </c>
      <c r="D253" s="23">
        <v>22.4</v>
      </c>
      <c r="E253" s="23">
        <v>15</v>
      </c>
      <c r="F253" s="23">
        <f t="shared" si="100"/>
        <v>336</v>
      </c>
      <c r="G253" s="236"/>
      <c r="H253" s="236"/>
      <c r="I253" s="236"/>
      <c r="J253" s="242"/>
      <c r="L253" s="270"/>
      <c r="M253" s="245"/>
      <c r="N253" s="22" t="s">
        <v>646</v>
      </c>
      <c r="O253" s="23">
        <v>22.4</v>
      </c>
      <c r="P253" s="23">
        <v>15</v>
      </c>
      <c r="Q253" s="23">
        <f t="shared" si="101"/>
        <v>336</v>
      </c>
      <c r="R253" s="236"/>
      <c r="S253" s="236"/>
      <c r="T253" s="236"/>
      <c r="U253" s="242"/>
    </row>
    <row r="254" spans="1:21" ht="13">
      <c r="A254" s="270"/>
      <c r="B254" s="245"/>
      <c r="C254" s="22" t="s">
        <v>647</v>
      </c>
      <c r="D254" s="23">
        <v>26.75</v>
      </c>
      <c r="E254" s="23">
        <v>15</v>
      </c>
      <c r="F254" s="23">
        <f t="shared" si="100"/>
        <v>401.25</v>
      </c>
      <c r="G254" s="236"/>
      <c r="H254" s="236"/>
      <c r="I254" s="236"/>
      <c r="J254" s="242"/>
      <c r="L254" s="270"/>
      <c r="M254" s="245"/>
      <c r="N254" s="22" t="s">
        <v>647</v>
      </c>
      <c r="O254" s="23">
        <v>26.75</v>
      </c>
      <c r="P254" s="23">
        <v>15</v>
      </c>
      <c r="Q254" s="23">
        <f t="shared" si="101"/>
        <v>401.25</v>
      </c>
      <c r="R254" s="236"/>
      <c r="S254" s="236"/>
      <c r="T254" s="236"/>
      <c r="U254" s="242"/>
    </row>
    <row r="255" spans="1:21" ht="13">
      <c r="A255" s="270"/>
      <c r="B255" s="245"/>
      <c r="C255" s="22" t="s">
        <v>36</v>
      </c>
      <c r="D255" s="23">
        <v>22.4</v>
      </c>
      <c r="E255" s="23">
        <v>15</v>
      </c>
      <c r="F255" s="23">
        <f t="shared" si="100"/>
        <v>336</v>
      </c>
      <c r="G255" s="236"/>
      <c r="H255" s="236"/>
      <c r="I255" s="236"/>
      <c r="J255" s="242"/>
      <c r="L255" s="270"/>
      <c r="M255" s="245"/>
      <c r="N255" s="22" t="s">
        <v>36</v>
      </c>
      <c r="O255" s="23">
        <v>22.4</v>
      </c>
      <c r="P255" s="23">
        <v>15</v>
      </c>
      <c r="Q255" s="23">
        <f t="shared" si="101"/>
        <v>336</v>
      </c>
      <c r="R255" s="236"/>
      <c r="S255" s="236"/>
      <c r="T255" s="236"/>
      <c r="U255" s="242"/>
    </row>
    <row r="256" spans="1:21" ht="13">
      <c r="A256" s="270"/>
      <c r="B256" s="245"/>
      <c r="C256" s="22" t="s">
        <v>44</v>
      </c>
      <c r="D256" s="23"/>
      <c r="E256" s="23"/>
      <c r="F256" s="23">
        <v>121</v>
      </c>
      <c r="G256" s="236"/>
      <c r="H256" s="236"/>
      <c r="I256" s="236"/>
      <c r="J256" s="242"/>
      <c r="L256" s="270"/>
      <c r="M256" s="245"/>
      <c r="N256" s="22" t="s">
        <v>44</v>
      </c>
      <c r="O256" s="23"/>
      <c r="P256" s="23"/>
      <c r="Q256" s="23">
        <v>121</v>
      </c>
      <c r="R256" s="236"/>
      <c r="S256" s="236"/>
      <c r="T256" s="236"/>
      <c r="U256" s="242"/>
    </row>
    <row r="257" spans="1:21" ht="13">
      <c r="A257" s="270"/>
      <c r="B257" s="245"/>
      <c r="C257" s="22" t="s">
        <v>45</v>
      </c>
      <c r="D257" s="23"/>
      <c r="E257" s="23"/>
      <c r="F257" s="23">
        <v>198</v>
      </c>
      <c r="G257" s="236"/>
      <c r="H257" s="236"/>
      <c r="I257" s="236"/>
      <c r="J257" s="242"/>
      <c r="L257" s="270"/>
      <c r="M257" s="245"/>
      <c r="N257" s="22" t="s">
        <v>45</v>
      </c>
      <c r="O257" s="23"/>
      <c r="P257" s="23"/>
      <c r="Q257" s="23">
        <v>198</v>
      </c>
      <c r="R257" s="236"/>
      <c r="S257" s="236"/>
      <c r="T257" s="236"/>
      <c r="U257" s="242"/>
    </row>
    <row r="258" spans="1:21" ht="13">
      <c r="A258" s="271"/>
      <c r="B258" s="246"/>
      <c r="C258" s="25" t="s">
        <v>48</v>
      </c>
      <c r="D258" s="26"/>
      <c r="E258" s="26"/>
      <c r="F258" s="26">
        <v>193.48</v>
      </c>
      <c r="G258" s="238"/>
      <c r="H258" s="238"/>
      <c r="I258" s="238"/>
      <c r="J258" s="243"/>
      <c r="L258" s="271"/>
      <c r="M258" s="246"/>
      <c r="N258" s="25" t="s">
        <v>48</v>
      </c>
      <c r="O258" s="26"/>
      <c r="P258" s="26"/>
      <c r="Q258" s="26">
        <v>193.48</v>
      </c>
      <c r="R258" s="238"/>
      <c r="S258" s="238"/>
      <c r="T258" s="238"/>
      <c r="U258" s="243"/>
    </row>
    <row r="259" spans="1:21" ht="30">
      <c r="A259" s="278" t="s">
        <v>569</v>
      </c>
      <c r="B259" s="252"/>
      <c r="C259" s="253"/>
      <c r="D259" s="56">
        <f t="shared" ref="D259:I259" si="102">AVERAGE(D245:D258)</f>
        <v>23.071000000000002</v>
      </c>
      <c r="E259" s="56">
        <f t="shared" si="102"/>
        <v>15.2</v>
      </c>
      <c r="F259" s="56">
        <f t="shared" si="102"/>
        <v>299.9135714285714</v>
      </c>
      <c r="G259" s="56">
        <f t="shared" si="102"/>
        <v>4198.79</v>
      </c>
      <c r="H259" s="56">
        <f t="shared" si="102"/>
        <v>7000</v>
      </c>
      <c r="I259" s="56">
        <f t="shared" si="102"/>
        <v>2801.21</v>
      </c>
      <c r="J259" s="57" t="e">
        <f>AVERAGE($J$12:$J$76)</f>
        <v>#DIV/0!</v>
      </c>
      <c r="L259" s="278" t="s">
        <v>569</v>
      </c>
      <c r="M259" s="252"/>
      <c r="N259" s="253"/>
      <c r="O259" s="56">
        <f t="shared" ref="O259:T259" si="103">AVERAGE(O245:O258)</f>
        <v>23.071000000000002</v>
      </c>
      <c r="P259" s="56">
        <f t="shared" si="103"/>
        <v>15.2</v>
      </c>
      <c r="Q259" s="56">
        <f t="shared" si="103"/>
        <v>299.9135714285714</v>
      </c>
      <c r="R259" s="90">
        <f t="shared" si="103"/>
        <v>4198.79</v>
      </c>
      <c r="S259" s="90">
        <f t="shared" si="103"/>
        <v>7000</v>
      </c>
      <c r="T259" s="90">
        <f t="shared" si="103"/>
        <v>2801.21</v>
      </c>
      <c r="U259" s="91" t="e">
        <f>AVERAGE($J$12:$J$76)</f>
        <v>#DIV/0!</v>
      </c>
    </row>
    <row r="260" spans="1:21" ht="30">
      <c r="A260" s="279" t="s">
        <v>570</v>
      </c>
      <c r="B260" s="255"/>
      <c r="C260" s="256"/>
      <c r="D260" s="72">
        <f t="shared" ref="D260:I260" si="104">SUM(D245:D258)</f>
        <v>230.71</v>
      </c>
      <c r="E260" s="72">
        <f t="shared" si="104"/>
        <v>152</v>
      </c>
      <c r="F260" s="72">
        <f t="shared" si="104"/>
        <v>4198.79</v>
      </c>
      <c r="G260" s="72">
        <f t="shared" si="104"/>
        <v>4198.79</v>
      </c>
      <c r="H260" s="72">
        <f t="shared" si="104"/>
        <v>7000</v>
      </c>
      <c r="I260" s="72">
        <f t="shared" si="104"/>
        <v>2801.21</v>
      </c>
      <c r="J260" s="76">
        <f>I260/H260</f>
        <v>0.40017285714285716</v>
      </c>
      <c r="L260" s="279" t="s">
        <v>570</v>
      </c>
      <c r="M260" s="255"/>
      <c r="N260" s="256"/>
      <c r="O260" s="72">
        <f t="shared" ref="O260:T260" si="105">SUM(O245:O258)</f>
        <v>230.71</v>
      </c>
      <c r="P260" s="72">
        <f t="shared" si="105"/>
        <v>152</v>
      </c>
      <c r="Q260" s="72">
        <f t="shared" si="105"/>
        <v>4198.79</v>
      </c>
      <c r="R260" s="72">
        <f t="shared" si="105"/>
        <v>4198.79</v>
      </c>
      <c r="S260" s="72">
        <f t="shared" si="105"/>
        <v>7000</v>
      </c>
      <c r="T260" s="72">
        <f t="shared" si="105"/>
        <v>2801.21</v>
      </c>
      <c r="U260" s="76">
        <f>T260/S260</f>
        <v>0.40017285714285716</v>
      </c>
    </row>
    <row r="262" spans="1:21" ht="30">
      <c r="A262" s="257" t="s">
        <v>571</v>
      </c>
      <c r="B262" s="252"/>
      <c r="C262" s="253"/>
      <c r="D262" s="34">
        <f t="shared" ref="D262:I262" si="106">SUM(D225,D244,D260)</f>
        <v>670.43</v>
      </c>
      <c r="E262" s="34">
        <f t="shared" si="106"/>
        <v>471</v>
      </c>
      <c r="F262" s="34">
        <f t="shared" si="106"/>
        <v>13496.32</v>
      </c>
      <c r="G262" s="34">
        <f t="shared" si="106"/>
        <v>13496.32</v>
      </c>
      <c r="H262" s="34">
        <f t="shared" si="106"/>
        <v>21000</v>
      </c>
      <c r="I262" s="34">
        <f t="shared" si="106"/>
        <v>7503.68</v>
      </c>
      <c r="J262" s="35">
        <f>I262/H262</f>
        <v>0.35731809523809527</v>
      </c>
      <c r="L262" s="257" t="s">
        <v>571</v>
      </c>
      <c r="M262" s="252"/>
      <c r="N262" s="253"/>
      <c r="O262" s="34">
        <f t="shared" ref="O262:T262" si="107">SUM(O225,O244,O260)</f>
        <v>635.42999999999995</v>
      </c>
      <c r="P262" s="34">
        <f t="shared" si="107"/>
        <v>439</v>
      </c>
      <c r="Q262" s="34">
        <f t="shared" si="107"/>
        <v>12936.32</v>
      </c>
      <c r="R262" s="34">
        <f t="shared" si="107"/>
        <v>12936.32</v>
      </c>
      <c r="S262" s="34">
        <f t="shared" si="107"/>
        <v>21000</v>
      </c>
      <c r="T262" s="34">
        <f t="shared" si="107"/>
        <v>8063.68</v>
      </c>
      <c r="U262" s="35">
        <f>T262/S262</f>
        <v>0.38398476190476194</v>
      </c>
    </row>
    <row r="264" spans="1:21" ht="13">
      <c r="A264" s="269" t="s">
        <v>0</v>
      </c>
      <c r="B264" s="244" t="s">
        <v>34</v>
      </c>
      <c r="C264" s="22" t="s">
        <v>35</v>
      </c>
      <c r="D264" s="23"/>
      <c r="E264" s="23"/>
      <c r="F264" s="23">
        <v>360</v>
      </c>
      <c r="G264" s="240">
        <f>SUM(F264:F278)</f>
        <v>4847.2099999999991</v>
      </c>
      <c r="H264" s="240">
        <v>7000</v>
      </c>
      <c r="I264" s="240">
        <f>H264-G264</f>
        <v>2152.7900000000009</v>
      </c>
      <c r="J264" s="241">
        <f>I264/H264</f>
        <v>0.30754142857142869</v>
      </c>
      <c r="L264" s="269" t="s">
        <v>0</v>
      </c>
      <c r="M264" s="244" t="s">
        <v>34</v>
      </c>
      <c r="N264" s="22" t="s">
        <v>35</v>
      </c>
      <c r="O264" s="23"/>
      <c r="P264" s="23"/>
      <c r="Q264" s="23">
        <v>360</v>
      </c>
      <c r="R264" s="240">
        <f>SUM(Q264:Q278)</f>
        <v>4847.2099999999991</v>
      </c>
      <c r="S264" s="240">
        <v>7000</v>
      </c>
      <c r="T264" s="240">
        <f>S264-R264</f>
        <v>2152.7900000000009</v>
      </c>
      <c r="U264" s="241">
        <f>T264/S264</f>
        <v>0.30754142857142869</v>
      </c>
    </row>
    <row r="265" spans="1:21" ht="13">
      <c r="A265" s="270"/>
      <c r="B265" s="245"/>
      <c r="C265" s="22" t="s">
        <v>36</v>
      </c>
      <c r="D265" s="23">
        <v>31.75</v>
      </c>
      <c r="E265" s="23">
        <v>17</v>
      </c>
      <c r="F265" s="23">
        <f t="shared" ref="F265:F273" si="108">D265*E265</f>
        <v>539.75</v>
      </c>
      <c r="G265" s="236"/>
      <c r="H265" s="236"/>
      <c r="I265" s="236"/>
      <c r="J265" s="242"/>
      <c r="L265" s="270"/>
      <c r="M265" s="245"/>
      <c r="N265" s="22" t="s">
        <v>36</v>
      </c>
      <c r="O265" s="23">
        <v>31.75</v>
      </c>
      <c r="P265" s="23">
        <v>17</v>
      </c>
      <c r="Q265" s="23">
        <f t="shared" ref="Q265:Q273" si="109">O265*P265</f>
        <v>539.75</v>
      </c>
      <c r="R265" s="236"/>
      <c r="S265" s="236"/>
      <c r="T265" s="236"/>
      <c r="U265" s="242"/>
    </row>
    <row r="266" spans="1:21" ht="13">
      <c r="A266" s="270"/>
      <c r="B266" s="245"/>
      <c r="C266" s="22" t="s">
        <v>37</v>
      </c>
      <c r="D266" s="23">
        <v>11.4</v>
      </c>
      <c r="E266" s="23">
        <v>15</v>
      </c>
      <c r="F266" s="23">
        <f t="shared" si="108"/>
        <v>171</v>
      </c>
      <c r="G266" s="236"/>
      <c r="H266" s="236"/>
      <c r="I266" s="236"/>
      <c r="J266" s="242"/>
      <c r="L266" s="270"/>
      <c r="M266" s="245"/>
      <c r="N266" s="22" t="s">
        <v>37</v>
      </c>
      <c r="O266" s="23">
        <v>11.4</v>
      </c>
      <c r="P266" s="23">
        <v>15</v>
      </c>
      <c r="Q266" s="23">
        <f t="shared" si="109"/>
        <v>171</v>
      </c>
      <c r="R266" s="236"/>
      <c r="S266" s="236"/>
      <c r="T266" s="236"/>
      <c r="U266" s="242"/>
    </row>
    <row r="267" spans="1:21" ht="13">
      <c r="A267" s="270"/>
      <c r="B267" s="245"/>
      <c r="C267" s="22" t="s">
        <v>38</v>
      </c>
      <c r="D267" s="23">
        <v>33.6</v>
      </c>
      <c r="E267" s="23">
        <v>15</v>
      </c>
      <c r="F267" s="23">
        <f t="shared" si="108"/>
        <v>504</v>
      </c>
      <c r="G267" s="236"/>
      <c r="H267" s="236"/>
      <c r="I267" s="236"/>
      <c r="J267" s="242"/>
      <c r="L267" s="270"/>
      <c r="M267" s="245"/>
      <c r="N267" s="22" t="s">
        <v>38</v>
      </c>
      <c r="O267" s="23">
        <v>33.6</v>
      </c>
      <c r="P267" s="23">
        <v>15</v>
      </c>
      <c r="Q267" s="23">
        <f t="shared" si="109"/>
        <v>504</v>
      </c>
      <c r="R267" s="236"/>
      <c r="S267" s="236"/>
      <c r="T267" s="236"/>
      <c r="U267" s="242"/>
    </row>
    <row r="268" spans="1:21" ht="13">
      <c r="A268" s="270"/>
      <c r="B268" s="245"/>
      <c r="C268" s="24" t="s">
        <v>39</v>
      </c>
      <c r="D268" s="23">
        <v>30.23</v>
      </c>
      <c r="E268" s="23">
        <v>15</v>
      </c>
      <c r="F268" s="23">
        <f t="shared" si="108"/>
        <v>453.45</v>
      </c>
      <c r="G268" s="236"/>
      <c r="H268" s="236"/>
      <c r="I268" s="236"/>
      <c r="J268" s="242"/>
      <c r="L268" s="270"/>
      <c r="M268" s="245"/>
      <c r="N268" s="24" t="s">
        <v>39</v>
      </c>
      <c r="O268" s="23">
        <v>30.23</v>
      </c>
      <c r="P268" s="23">
        <v>15</v>
      </c>
      <c r="Q268" s="23">
        <f t="shared" si="109"/>
        <v>453.45</v>
      </c>
      <c r="R268" s="236"/>
      <c r="S268" s="236"/>
      <c r="T268" s="236"/>
      <c r="U268" s="242"/>
    </row>
    <row r="269" spans="1:21" ht="13">
      <c r="A269" s="270"/>
      <c r="B269" s="245"/>
      <c r="C269" s="22" t="s">
        <v>40</v>
      </c>
      <c r="D269" s="23">
        <v>24.55</v>
      </c>
      <c r="E269" s="23">
        <v>15</v>
      </c>
      <c r="F269" s="23">
        <f t="shared" si="108"/>
        <v>368.25</v>
      </c>
      <c r="G269" s="236"/>
      <c r="H269" s="236"/>
      <c r="I269" s="236"/>
      <c r="J269" s="242"/>
      <c r="L269" s="270"/>
      <c r="M269" s="245"/>
      <c r="N269" s="22" t="s">
        <v>40</v>
      </c>
      <c r="O269" s="23">
        <v>24.55</v>
      </c>
      <c r="P269" s="23">
        <v>15</v>
      </c>
      <c r="Q269" s="23">
        <f t="shared" si="109"/>
        <v>368.25</v>
      </c>
      <c r="R269" s="236"/>
      <c r="S269" s="236"/>
      <c r="T269" s="236"/>
      <c r="U269" s="242"/>
    </row>
    <row r="270" spans="1:21" ht="13">
      <c r="A270" s="270"/>
      <c r="B270" s="245"/>
      <c r="C270" s="22" t="s">
        <v>27</v>
      </c>
      <c r="D270" s="23">
        <v>36.5</v>
      </c>
      <c r="E270" s="23">
        <v>15</v>
      </c>
      <c r="F270" s="23">
        <f t="shared" si="108"/>
        <v>547.5</v>
      </c>
      <c r="G270" s="236"/>
      <c r="H270" s="236"/>
      <c r="I270" s="236"/>
      <c r="J270" s="242"/>
      <c r="L270" s="270"/>
      <c r="M270" s="245"/>
      <c r="N270" s="22" t="s">
        <v>27</v>
      </c>
      <c r="O270" s="23">
        <v>36.5</v>
      </c>
      <c r="P270" s="23">
        <v>15</v>
      </c>
      <c r="Q270" s="23">
        <f t="shared" si="109"/>
        <v>547.5</v>
      </c>
      <c r="R270" s="236"/>
      <c r="S270" s="236"/>
      <c r="T270" s="236"/>
      <c r="U270" s="242"/>
    </row>
    <row r="271" spans="1:21" ht="13">
      <c r="A271" s="270"/>
      <c r="B271" s="245"/>
      <c r="C271" s="22" t="s">
        <v>41</v>
      </c>
      <c r="D271" s="23">
        <v>24.09</v>
      </c>
      <c r="E271" s="23">
        <v>15</v>
      </c>
      <c r="F271" s="23">
        <f t="shared" si="108"/>
        <v>361.35</v>
      </c>
      <c r="G271" s="236"/>
      <c r="H271" s="236"/>
      <c r="I271" s="236"/>
      <c r="J271" s="242"/>
      <c r="L271" s="270"/>
      <c r="M271" s="245"/>
      <c r="N271" s="22" t="s">
        <v>41</v>
      </c>
      <c r="O271" s="23">
        <v>24.09</v>
      </c>
      <c r="P271" s="23">
        <v>15</v>
      </c>
      <c r="Q271" s="23">
        <f t="shared" si="109"/>
        <v>361.35</v>
      </c>
      <c r="R271" s="236"/>
      <c r="S271" s="236"/>
      <c r="T271" s="236"/>
      <c r="U271" s="242"/>
    </row>
    <row r="272" spans="1:21" ht="13">
      <c r="A272" s="270"/>
      <c r="B272" s="245"/>
      <c r="C272" s="22" t="s">
        <v>42</v>
      </c>
      <c r="D272" s="23">
        <v>29.05</v>
      </c>
      <c r="E272" s="23">
        <v>15</v>
      </c>
      <c r="F272" s="23">
        <f t="shared" si="108"/>
        <v>435.75</v>
      </c>
      <c r="G272" s="236"/>
      <c r="H272" s="236"/>
      <c r="I272" s="236"/>
      <c r="J272" s="242"/>
      <c r="L272" s="270"/>
      <c r="M272" s="245"/>
      <c r="N272" s="22" t="s">
        <v>42</v>
      </c>
      <c r="O272" s="23">
        <v>29.05</v>
      </c>
      <c r="P272" s="23">
        <v>15</v>
      </c>
      <c r="Q272" s="23">
        <f t="shared" si="109"/>
        <v>435.75</v>
      </c>
      <c r="R272" s="236"/>
      <c r="S272" s="236"/>
      <c r="T272" s="236"/>
      <c r="U272" s="242"/>
    </row>
    <row r="273" spans="1:21" ht="13">
      <c r="A273" s="270"/>
      <c r="B273" s="245"/>
      <c r="C273" s="22" t="s">
        <v>43</v>
      </c>
      <c r="D273" s="23">
        <v>9</v>
      </c>
      <c r="E273" s="23">
        <v>15</v>
      </c>
      <c r="F273" s="23">
        <f t="shared" si="108"/>
        <v>135</v>
      </c>
      <c r="G273" s="236"/>
      <c r="H273" s="236"/>
      <c r="I273" s="236"/>
      <c r="J273" s="242"/>
      <c r="L273" s="270"/>
      <c r="M273" s="245"/>
      <c r="N273" s="22" t="s">
        <v>43</v>
      </c>
      <c r="O273" s="23">
        <v>9</v>
      </c>
      <c r="P273" s="23">
        <v>15</v>
      </c>
      <c r="Q273" s="23">
        <f t="shared" si="109"/>
        <v>135</v>
      </c>
      <c r="R273" s="236"/>
      <c r="S273" s="236"/>
      <c r="T273" s="236"/>
      <c r="U273" s="242"/>
    </row>
    <row r="274" spans="1:21" ht="13">
      <c r="A274" s="270"/>
      <c r="B274" s="245"/>
      <c r="C274" s="22" t="s">
        <v>44</v>
      </c>
      <c r="D274" s="23"/>
      <c r="E274" s="23"/>
      <c r="F274" s="23">
        <v>121</v>
      </c>
      <c r="G274" s="236"/>
      <c r="H274" s="236"/>
      <c r="I274" s="236"/>
      <c r="J274" s="242"/>
      <c r="L274" s="270"/>
      <c r="M274" s="245"/>
      <c r="N274" s="22" t="s">
        <v>44</v>
      </c>
      <c r="O274" s="23"/>
      <c r="P274" s="23"/>
      <c r="Q274" s="23">
        <v>121</v>
      </c>
      <c r="R274" s="236"/>
      <c r="S274" s="236"/>
      <c r="T274" s="236"/>
      <c r="U274" s="242"/>
    </row>
    <row r="275" spans="1:21" ht="13">
      <c r="A275" s="270"/>
      <c r="B275" s="245"/>
      <c r="C275" s="22" t="s">
        <v>45</v>
      </c>
      <c r="D275" s="23"/>
      <c r="E275" s="23"/>
      <c r="F275" s="23">
        <v>170</v>
      </c>
      <c r="G275" s="236"/>
      <c r="H275" s="236"/>
      <c r="I275" s="236"/>
      <c r="J275" s="242"/>
      <c r="L275" s="270"/>
      <c r="M275" s="245"/>
      <c r="N275" s="22" t="s">
        <v>45</v>
      </c>
      <c r="O275" s="23"/>
      <c r="P275" s="23"/>
      <c r="Q275" s="23">
        <v>170</v>
      </c>
      <c r="R275" s="236"/>
      <c r="S275" s="236"/>
      <c r="T275" s="236"/>
      <c r="U275" s="242"/>
    </row>
    <row r="276" spans="1:21" ht="13">
      <c r="A276" s="270"/>
      <c r="B276" s="245"/>
      <c r="C276" s="22" t="s">
        <v>46</v>
      </c>
      <c r="D276" s="23"/>
      <c r="E276" s="23"/>
      <c r="F276" s="23">
        <v>24</v>
      </c>
      <c r="G276" s="236"/>
      <c r="H276" s="236"/>
      <c r="I276" s="236"/>
      <c r="J276" s="242"/>
      <c r="L276" s="270"/>
      <c r="M276" s="245"/>
      <c r="N276" s="22" t="s">
        <v>46</v>
      </c>
      <c r="O276" s="23"/>
      <c r="P276" s="23"/>
      <c r="Q276" s="23">
        <v>24</v>
      </c>
      <c r="R276" s="236"/>
      <c r="S276" s="236"/>
      <c r="T276" s="236"/>
      <c r="U276" s="242"/>
    </row>
    <row r="277" spans="1:21" ht="13">
      <c r="A277" s="270"/>
      <c r="B277" s="245"/>
      <c r="C277" s="22" t="s">
        <v>47</v>
      </c>
      <c r="D277" s="23"/>
      <c r="E277" s="23"/>
      <c r="F277" s="23">
        <v>512.46</v>
      </c>
      <c r="G277" s="236"/>
      <c r="H277" s="236"/>
      <c r="I277" s="236"/>
      <c r="J277" s="242"/>
      <c r="L277" s="270"/>
      <c r="M277" s="245"/>
      <c r="N277" s="22" t="s">
        <v>47</v>
      </c>
      <c r="O277" s="23"/>
      <c r="P277" s="23"/>
      <c r="Q277" s="23">
        <v>512.46</v>
      </c>
      <c r="R277" s="236"/>
      <c r="S277" s="236"/>
      <c r="T277" s="236"/>
      <c r="U277" s="242"/>
    </row>
    <row r="278" spans="1:21" ht="13">
      <c r="A278" s="271"/>
      <c r="B278" s="246"/>
      <c r="C278" s="25" t="s">
        <v>48</v>
      </c>
      <c r="D278" s="26"/>
      <c r="E278" s="26"/>
      <c r="F278" s="26">
        <v>143.69999999999999</v>
      </c>
      <c r="G278" s="238"/>
      <c r="H278" s="238"/>
      <c r="I278" s="238"/>
      <c r="J278" s="243"/>
      <c r="L278" s="271"/>
      <c r="M278" s="246"/>
      <c r="N278" s="25" t="s">
        <v>48</v>
      </c>
      <c r="O278" s="26"/>
      <c r="P278" s="26"/>
      <c r="Q278" s="26">
        <v>143.69999999999999</v>
      </c>
      <c r="R278" s="238"/>
      <c r="S278" s="238"/>
      <c r="T278" s="238"/>
      <c r="U278" s="243"/>
    </row>
    <row r="279" spans="1:21" ht="30">
      <c r="A279" s="254" t="s">
        <v>109</v>
      </c>
      <c r="B279" s="255"/>
      <c r="C279" s="256"/>
      <c r="D279" s="27">
        <f t="shared" ref="D279:I279" si="110">AVERAGE(D264:D278)</f>
        <v>25.574444444444445</v>
      </c>
      <c r="E279" s="27">
        <f t="shared" si="110"/>
        <v>15.222222222222221</v>
      </c>
      <c r="F279" s="27">
        <f t="shared" si="110"/>
        <v>323.14733333333328</v>
      </c>
      <c r="G279" s="27">
        <f t="shared" si="110"/>
        <v>4847.2099999999991</v>
      </c>
      <c r="H279" s="27">
        <f t="shared" si="110"/>
        <v>7000</v>
      </c>
      <c r="I279" s="27">
        <f t="shared" si="110"/>
        <v>2152.7900000000009</v>
      </c>
      <c r="J279" s="28" t="e">
        <f>AVERAGE(#REF!)</f>
        <v>#REF!</v>
      </c>
      <c r="L279" s="254" t="s">
        <v>109</v>
      </c>
      <c r="M279" s="255"/>
      <c r="N279" s="256"/>
      <c r="O279" s="27">
        <f t="shared" ref="O279:T279" si="111">AVERAGE(O264:O278)</f>
        <v>25.574444444444445</v>
      </c>
      <c r="P279" s="27">
        <f t="shared" si="111"/>
        <v>15.222222222222221</v>
      </c>
      <c r="Q279" s="27">
        <f t="shared" si="111"/>
        <v>323.14733333333328</v>
      </c>
      <c r="R279" s="27">
        <f t="shared" si="111"/>
        <v>4847.2099999999991</v>
      </c>
      <c r="S279" s="27">
        <f t="shared" si="111"/>
        <v>7000</v>
      </c>
      <c r="T279" s="27">
        <f t="shared" si="111"/>
        <v>2152.7900000000009</v>
      </c>
      <c r="U279" s="28" t="e">
        <f>AVERAGE(#REF!)</f>
        <v>#REF!</v>
      </c>
    </row>
    <row r="280" spans="1:21" ht="30">
      <c r="A280" s="251" t="s">
        <v>110</v>
      </c>
      <c r="B280" s="252"/>
      <c r="C280" s="253"/>
      <c r="D280" s="42">
        <f t="shared" ref="D280:I280" si="112">SUM(D264:D278)</f>
        <v>230.17000000000002</v>
      </c>
      <c r="E280" s="42">
        <f t="shared" si="112"/>
        <v>137</v>
      </c>
      <c r="F280" s="42">
        <f t="shared" si="112"/>
        <v>4847.2099999999991</v>
      </c>
      <c r="G280" s="42">
        <f t="shared" si="112"/>
        <v>4847.2099999999991</v>
      </c>
      <c r="H280" s="42">
        <f t="shared" si="112"/>
        <v>7000</v>
      </c>
      <c r="I280" s="42">
        <f t="shared" si="112"/>
        <v>2152.7900000000009</v>
      </c>
      <c r="J280" s="29">
        <f t="shared" ref="J280:J281" si="113">I280/H280</f>
        <v>0.30754142857142869</v>
      </c>
      <c r="L280" s="251" t="s">
        <v>110</v>
      </c>
      <c r="M280" s="252"/>
      <c r="N280" s="253"/>
      <c r="O280" s="42">
        <f t="shared" ref="O280:T280" si="114">SUM(O264:O278)</f>
        <v>230.17000000000002</v>
      </c>
      <c r="P280" s="42">
        <f t="shared" si="114"/>
        <v>137</v>
      </c>
      <c r="Q280" s="42">
        <f t="shared" si="114"/>
        <v>4847.2099999999991</v>
      </c>
      <c r="R280" s="42">
        <f t="shared" si="114"/>
        <v>4847.2099999999991</v>
      </c>
      <c r="S280" s="42">
        <f t="shared" si="114"/>
        <v>7000</v>
      </c>
      <c r="T280" s="42">
        <f t="shared" si="114"/>
        <v>2152.7900000000009</v>
      </c>
      <c r="U280" s="29">
        <f t="shared" ref="U280:U281" si="115">T280/S280</f>
        <v>0.30754142857142869</v>
      </c>
    </row>
    <row r="281" spans="1:21" ht="13">
      <c r="A281" s="269" t="s">
        <v>1</v>
      </c>
      <c r="B281" s="244" t="s">
        <v>66</v>
      </c>
      <c r="C281" s="22" t="s">
        <v>23</v>
      </c>
      <c r="D281" s="23">
        <v>14</v>
      </c>
      <c r="E281" s="23">
        <v>16</v>
      </c>
      <c r="F281" s="23">
        <f t="shared" ref="F281:F292" si="116">D281*E281</f>
        <v>224</v>
      </c>
      <c r="G281" s="240">
        <f>SUM(F281:F295)</f>
        <v>4676.1899999999996</v>
      </c>
      <c r="H281" s="240">
        <v>7000</v>
      </c>
      <c r="I281" s="240">
        <f>H281-G281</f>
        <v>2323.8100000000004</v>
      </c>
      <c r="J281" s="241">
        <f t="shared" si="113"/>
        <v>0.33197285714285718</v>
      </c>
      <c r="L281" s="269" t="s">
        <v>1</v>
      </c>
      <c r="M281" s="244" t="s">
        <v>66</v>
      </c>
      <c r="N281" s="22" t="s">
        <v>23</v>
      </c>
      <c r="O281" s="18"/>
      <c r="P281" s="18"/>
      <c r="Q281" s="18"/>
      <c r="R281" s="240">
        <f>SUM(Q281:Q295)</f>
        <v>4452.1899999999996</v>
      </c>
      <c r="S281" s="240">
        <v>7000</v>
      </c>
      <c r="T281" s="240">
        <f>S281-R281</f>
        <v>2547.8100000000004</v>
      </c>
      <c r="U281" s="241">
        <f t="shared" si="115"/>
        <v>0.36397285714285721</v>
      </c>
    </row>
    <row r="282" spans="1:21" ht="13">
      <c r="A282" s="270"/>
      <c r="B282" s="245"/>
      <c r="C282" s="22" t="s">
        <v>67</v>
      </c>
      <c r="D282" s="23">
        <v>29.2</v>
      </c>
      <c r="E282" s="23">
        <v>15</v>
      </c>
      <c r="F282" s="23">
        <f t="shared" si="116"/>
        <v>438</v>
      </c>
      <c r="G282" s="236"/>
      <c r="H282" s="236"/>
      <c r="I282" s="236"/>
      <c r="J282" s="242"/>
      <c r="L282" s="270"/>
      <c r="M282" s="245"/>
      <c r="N282" s="22" t="s">
        <v>67</v>
      </c>
      <c r="O282" s="23">
        <v>29.2</v>
      </c>
      <c r="P282" s="23">
        <v>15</v>
      </c>
      <c r="Q282" s="23">
        <f t="shared" ref="Q282:Q292" si="117">O282*P282</f>
        <v>438</v>
      </c>
      <c r="R282" s="236"/>
      <c r="S282" s="236"/>
      <c r="T282" s="236"/>
      <c r="U282" s="242"/>
    </row>
    <row r="283" spans="1:21" ht="13">
      <c r="A283" s="270"/>
      <c r="B283" s="245"/>
      <c r="C283" s="22" t="s">
        <v>68</v>
      </c>
      <c r="D283" s="23">
        <v>21.84</v>
      </c>
      <c r="E283" s="23">
        <v>15</v>
      </c>
      <c r="F283" s="23">
        <f t="shared" si="116"/>
        <v>327.60000000000002</v>
      </c>
      <c r="G283" s="236"/>
      <c r="H283" s="236"/>
      <c r="I283" s="236"/>
      <c r="J283" s="242"/>
      <c r="L283" s="270"/>
      <c r="M283" s="245"/>
      <c r="N283" s="22" t="s">
        <v>68</v>
      </c>
      <c r="O283" s="23">
        <v>21.84</v>
      </c>
      <c r="P283" s="23">
        <v>15</v>
      </c>
      <c r="Q283" s="23">
        <f t="shared" si="117"/>
        <v>327.60000000000002</v>
      </c>
      <c r="R283" s="236"/>
      <c r="S283" s="236"/>
      <c r="T283" s="236"/>
      <c r="U283" s="242"/>
    </row>
    <row r="284" spans="1:21" ht="13">
      <c r="A284" s="270"/>
      <c r="B284" s="245"/>
      <c r="C284" s="22" t="s">
        <v>59</v>
      </c>
      <c r="D284" s="23">
        <v>10.5</v>
      </c>
      <c r="E284" s="23">
        <v>15</v>
      </c>
      <c r="F284" s="23">
        <f t="shared" si="116"/>
        <v>157.5</v>
      </c>
      <c r="G284" s="236"/>
      <c r="H284" s="236"/>
      <c r="I284" s="236"/>
      <c r="J284" s="242"/>
      <c r="L284" s="270"/>
      <c r="M284" s="245"/>
      <c r="N284" s="22" t="s">
        <v>59</v>
      </c>
      <c r="O284" s="23">
        <v>10.5</v>
      </c>
      <c r="P284" s="23">
        <v>15</v>
      </c>
      <c r="Q284" s="23">
        <f t="shared" si="117"/>
        <v>157.5</v>
      </c>
      <c r="R284" s="236"/>
      <c r="S284" s="236"/>
      <c r="T284" s="236"/>
      <c r="U284" s="242"/>
    </row>
    <row r="285" spans="1:21" ht="13">
      <c r="A285" s="270"/>
      <c r="B285" s="245"/>
      <c r="C285" s="24" t="s">
        <v>32</v>
      </c>
      <c r="D285" s="23">
        <v>28.87</v>
      </c>
      <c r="E285" s="23">
        <v>15</v>
      </c>
      <c r="F285" s="23">
        <f t="shared" si="116"/>
        <v>433.05</v>
      </c>
      <c r="G285" s="236"/>
      <c r="H285" s="236"/>
      <c r="I285" s="236"/>
      <c r="J285" s="242"/>
      <c r="L285" s="270"/>
      <c r="M285" s="245"/>
      <c r="N285" s="24" t="s">
        <v>32</v>
      </c>
      <c r="O285" s="23">
        <v>28.87</v>
      </c>
      <c r="P285" s="23">
        <v>15</v>
      </c>
      <c r="Q285" s="23">
        <f t="shared" si="117"/>
        <v>433.05</v>
      </c>
      <c r="R285" s="236"/>
      <c r="S285" s="236"/>
      <c r="T285" s="236"/>
      <c r="U285" s="242"/>
    </row>
    <row r="286" spans="1:21" ht="13">
      <c r="A286" s="270"/>
      <c r="B286" s="245"/>
      <c r="C286" s="22" t="s">
        <v>69</v>
      </c>
      <c r="D286" s="23">
        <v>31.8</v>
      </c>
      <c r="E286" s="23">
        <v>15</v>
      </c>
      <c r="F286" s="23">
        <f t="shared" si="116"/>
        <v>477</v>
      </c>
      <c r="G286" s="236"/>
      <c r="H286" s="236"/>
      <c r="I286" s="236"/>
      <c r="J286" s="242"/>
      <c r="L286" s="270"/>
      <c r="M286" s="245"/>
      <c r="N286" s="22" t="s">
        <v>69</v>
      </c>
      <c r="O286" s="23">
        <v>31.8</v>
      </c>
      <c r="P286" s="23">
        <v>15</v>
      </c>
      <c r="Q286" s="23">
        <f t="shared" si="117"/>
        <v>477</v>
      </c>
      <c r="R286" s="236"/>
      <c r="S286" s="236"/>
      <c r="T286" s="236"/>
      <c r="U286" s="242"/>
    </row>
    <row r="287" spans="1:21" ht="13">
      <c r="A287" s="270"/>
      <c r="B287" s="245"/>
      <c r="C287" s="22" t="s">
        <v>70</v>
      </c>
      <c r="D287" s="23">
        <v>30.01</v>
      </c>
      <c r="E287" s="23">
        <v>15</v>
      </c>
      <c r="F287" s="23">
        <f t="shared" si="116"/>
        <v>450.15000000000003</v>
      </c>
      <c r="G287" s="236"/>
      <c r="H287" s="236"/>
      <c r="I287" s="236"/>
      <c r="J287" s="242"/>
      <c r="L287" s="270"/>
      <c r="M287" s="245"/>
      <c r="N287" s="22" t="s">
        <v>70</v>
      </c>
      <c r="O287" s="23">
        <v>30.01</v>
      </c>
      <c r="P287" s="23">
        <v>15</v>
      </c>
      <c r="Q287" s="23">
        <f t="shared" si="117"/>
        <v>450.15000000000003</v>
      </c>
      <c r="R287" s="236"/>
      <c r="S287" s="236"/>
      <c r="T287" s="236"/>
      <c r="U287" s="242"/>
    </row>
    <row r="288" spans="1:21" ht="13">
      <c r="A288" s="270"/>
      <c r="B288" s="245"/>
      <c r="C288" s="22" t="s">
        <v>41</v>
      </c>
      <c r="D288" s="23">
        <v>18.57</v>
      </c>
      <c r="E288" s="23">
        <v>17</v>
      </c>
      <c r="F288" s="23">
        <f t="shared" si="116"/>
        <v>315.69</v>
      </c>
      <c r="G288" s="236"/>
      <c r="H288" s="236"/>
      <c r="I288" s="236"/>
      <c r="J288" s="242"/>
      <c r="L288" s="270"/>
      <c r="M288" s="245"/>
      <c r="N288" s="22" t="s">
        <v>41</v>
      </c>
      <c r="O288" s="23">
        <v>18.57</v>
      </c>
      <c r="P288" s="23">
        <v>17</v>
      </c>
      <c r="Q288" s="23">
        <f t="shared" si="117"/>
        <v>315.69</v>
      </c>
      <c r="R288" s="236"/>
      <c r="S288" s="236"/>
      <c r="T288" s="236"/>
      <c r="U288" s="242"/>
    </row>
    <row r="289" spans="1:21" ht="13">
      <c r="A289" s="270"/>
      <c r="B289" s="245"/>
      <c r="C289" s="22" t="s">
        <v>71</v>
      </c>
      <c r="D289" s="23">
        <v>32.799999999999997</v>
      </c>
      <c r="E289" s="23">
        <v>15</v>
      </c>
      <c r="F289" s="23">
        <f t="shared" si="116"/>
        <v>491.99999999999994</v>
      </c>
      <c r="G289" s="236"/>
      <c r="H289" s="236"/>
      <c r="I289" s="236"/>
      <c r="J289" s="242"/>
      <c r="L289" s="270"/>
      <c r="M289" s="245"/>
      <c r="N289" s="22" t="s">
        <v>71</v>
      </c>
      <c r="O289" s="23">
        <v>32.799999999999997</v>
      </c>
      <c r="P289" s="23">
        <v>15</v>
      </c>
      <c r="Q289" s="23">
        <f t="shared" si="117"/>
        <v>491.99999999999994</v>
      </c>
      <c r="R289" s="236"/>
      <c r="S289" s="236"/>
      <c r="T289" s="236"/>
      <c r="U289" s="242"/>
    </row>
    <row r="290" spans="1:21" ht="13">
      <c r="A290" s="270"/>
      <c r="B290" s="245"/>
      <c r="C290" s="22" t="s">
        <v>61</v>
      </c>
      <c r="D290" s="23">
        <v>25.39</v>
      </c>
      <c r="E290" s="23">
        <v>15</v>
      </c>
      <c r="F290" s="23">
        <f t="shared" si="116"/>
        <v>380.85</v>
      </c>
      <c r="G290" s="236"/>
      <c r="H290" s="236"/>
      <c r="I290" s="236"/>
      <c r="J290" s="242"/>
      <c r="L290" s="270"/>
      <c r="M290" s="245"/>
      <c r="N290" s="22" t="s">
        <v>61</v>
      </c>
      <c r="O290" s="23">
        <v>25.39</v>
      </c>
      <c r="P290" s="23">
        <v>15</v>
      </c>
      <c r="Q290" s="23">
        <f t="shared" si="117"/>
        <v>380.85</v>
      </c>
      <c r="R290" s="236"/>
      <c r="S290" s="236"/>
      <c r="T290" s="236"/>
      <c r="U290" s="242"/>
    </row>
    <row r="291" spans="1:21" ht="13">
      <c r="A291" s="270"/>
      <c r="B291" s="245"/>
      <c r="C291" s="22" t="s">
        <v>72</v>
      </c>
      <c r="D291" s="23">
        <v>20</v>
      </c>
      <c r="E291" s="23">
        <v>15</v>
      </c>
      <c r="F291" s="23">
        <f t="shared" si="116"/>
        <v>300</v>
      </c>
      <c r="G291" s="236"/>
      <c r="H291" s="236"/>
      <c r="I291" s="236"/>
      <c r="J291" s="242"/>
      <c r="L291" s="270"/>
      <c r="M291" s="245"/>
      <c r="N291" s="22" t="s">
        <v>72</v>
      </c>
      <c r="O291" s="23">
        <v>20</v>
      </c>
      <c r="P291" s="23">
        <v>15</v>
      </c>
      <c r="Q291" s="23">
        <f t="shared" si="117"/>
        <v>300</v>
      </c>
      <c r="R291" s="236"/>
      <c r="S291" s="236"/>
      <c r="T291" s="236"/>
      <c r="U291" s="242"/>
    </row>
    <row r="292" spans="1:21" ht="13">
      <c r="A292" s="270"/>
      <c r="B292" s="245"/>
      <c r="C292" s="22" t="s">
        <v>60</v>
      </c>
      <c r="D292" s="23">
        <v>28.3</v>
      </c>
      <c r="E292" s="23">
        <v>15</v>
      </c>
      <c r="F292" s="23">
        <f t="shared" si="116"/>
        <v>424.5</v>
      </c>
      <c r="G292" s="236"/>
      <c r="H292" s="236"/>
      <c r="I292" s="236"/>
      <c r="J292" s="242"/>
      <c r="L292" s="270"/>
      <c r="M292" s="245"/>
      <c r="N292" s="22" t="s">
        <v>60</v>
      </c>
      <c r="O292" s="23">
        <v>28.3</v>
      </c>
      <c r="P292" s="23">
        <v>15</v>
      </c>
      <c r="Q292" s="23">
        <f t="shared" si="117"/>
        <v>424.5</v>
      </c>
      <c r="R292" s="236"/>
      <c r="S292" s="236"/>
      <c r="T292" s="236"/>
      <c r="U292" s="242"/>
    </row>
    <row r="293" spans="1:21" ht="13">
      <c r="A293" s="270"/>
      <c r="B293" s="245"/>
      <c r="C293" s="22" t="s">
        <v>44</v>
      </c>
      <c r="D293" s="23"/>
      <c r="E293" s="23"/>
      <c r="F293" s="23">
        <v>81</v>
      </c>
      <c r="G293" s="236"/>
      <c r="H293" s="236"/>
      <c r="I293" s="236"/>
      <c r="J293" s="242"/>
      <c r="L293" s="270"/>
      <c r="M293" s="245"/>
      <c r="N293" s="22" t="s">
        <v>44</v>
      </c>
      <c r="O293" s="23"/>
      <c r="P293" s="23"/>
      <c r="Q293" s="23">
        <v>81</v>
      </c>
      <c r="R293" s="236"/>
      <c r="S293" s="236"/>
      <c r="T293" s="236"/>
      <c r="U293" s="242"/>
    </row>
    <row r="294" spans="1:21" ht="13">
      <c r="A294" s="270"/>
      <c r="B294" s="245"/>
      <c r="C294" s="22" t="s">
        <v>45</v>
      </c>
      <c r="D294" s="23"/>
      <c r="E294" s="23"/>
      <c r="F294" s="23">
        <v>81.69</v>
      </c>
      <c r="G294" s="236"/>
      <c r="H294" s="236"/>
      <c r="I294" s="236"/>
      <c r="J294" s="242"/>
      <c r="L294" s="270"/>
      <c r="M294" s="245"/>
      <c r="N294" s="22" t="s">
        <v>45</v>
      </c>
      <c r="O294" s="23"/>
      <c r="P294" s="23"/>
      <c r="Q294" s="23">
        <v>81.69</v>
      </c>
      <c r="R294" s="236"/>
      <c r="S294" s="236"/>
      <c r="T294" s="236"/>
      <c r="U294" s="242"/>
    </row>
    <row r="295" spans="1:21" ht="13">
      <c r="A295" s="271"/>
      <c r="B295" s="246"/>
      <c r="C295" s="25" t="s">
        <v>48</v>
      </c>
      <c r="D295" s="26"/>
      <c r="E295" s="26"/>
      <c r="F295" s="26">
        <v>93.16</v>
      </c>
      <c r="G295" s="238"/>
      <c r="H295" s="238"/>
      <c r="I295" s="238"/>
      <c r="J295" s="243"/>
      <c r="L295" s="271"/>
      <c r="M295" s="246"/>
      <c r="N295" s="25" t="s">
        <v>48</v>
      </c>
      <c r="O295" s="26"/>
      <c r="P295" s="26"/>
      <c r="Q295" s="26">
        <v>93.16</v>
      </c>
      <c r="R295" s="238"/>
      <c r="S295" s="238"/>
      <c r="T295" s="238"/>
      <c r="U295" s="243"/>
    </row>
    <row r="296" spans="1:21" ht="30">
      <c r="A296" s="254" t="s">
        <v>84</v>
      </c>
      <c r="B296" s="255"/>
      <c r="C296" s="256"/>
      <c r="D296" s="27">
        <f t="shared" ref="D296:I296" si="118">AVERAGE(D281:D295)</f>
        <v>24.27333333333333</v>
      </c>
      <c r="E296" s="27">
        <f t="shared" si="118"/>
        <v>15.25</v>
      </c>
      <c r="F296" s="27">
        <f t="shared" si="118"/>
        <v>311.74599999999998</v>
      </c>
      <c r="G296" s="27">
        <f t="shared" si="118"/>
        <v>4676.1899999999996</v>
      </c>
      <c r="H296" s="27">
        <f t="shared" si="118"/>
        <v>7000</v>
      </c>
      <c r="I296" s="27">
        <f t="shared" si="118"/>
        <v>2323.8100000000004</v>
      </c>
      <c r="J296" s="28" t="e">
        <f>AVERAGE(#REF!)</f>
        <v>#REF!</v>
      </c>
      <c r="L296" s="254" t="s">
        <v>84</v>
      </c>
      <c r="M296" s="255"/>
      <c r="N296" s="256"/>
      <c r="O296" s="27">
        <f t="shared" ref="O296:T296" si="119">AVERAGE(O281:O295)</f>
        <v>25.207272727272724</v>
      </c>
      <c r="P296" s="27">
        <f t="shared" si="119"/>
        <v>15.181818181818182</v>
      </c>
      <c r="Q296" s="27">
        <f t="shared" si="119"/>
        <v>318.01357142857142</v>
      </c>
      <c r="R296" s="27">
        <f t="shared" si="119"/>
        <v>4452.1899999999996</v>
      </c>
      <c r="S296" s="27">
        <f t="shared" si="119"/>
        <v>7000</v>
      </c>
      <c r="T296" s="27">
        <f t="shared" si="119"/>
        <v>2547.8100000000004</v>
      </c>
      <c r="U296" s="28" t="e">
        <f>AVERAGE(#REF!)</f>
        <v>#REF!</v>
      </c>
    </row>
    <row r="297" spans="1:21" ht="30">
      <c r="A297" s="251" t="s">
        <v>85</v>
      </c>
      <c r="B297" s="252"/>
      <c r="C297" s="253"/>
      <c r="D297" s="42">
        <f t="shared" ref="D297:I297" si="120">SUM(D281:D295)</f>
        <v>291.27999999999997</v>
      </c>
      <c r="E297" s="42">
        <f t="shared" si="120"/>
        <v>183</v>
      </c>
      <c r="F297" s="42">
        <f t="shared" si="120"/>
        <v>4676.1899999999996</v>
      </c>
      <c r="G297" s="42">
        <f t="shared" si="120"/>
        <v>4676.1899999999996</v>
      </c>
      <c r="H297" s="42">
        <f t="shared" si="120"/>
        <v>7000</v>
      </c>
      <c r="I297" s="42">
        <f t="shared" si="120"/>
        <v>2323.8100000000004</v>
      </c>
      <c r="J297" s="29">
        <f t="shared" ref="J297:J298" si="121">I297/H297</f>
        <v>0.33197285714285718</v>
      </c>
      <c r="L297" s="251" t="s">
        <v>85</v>
      </c>
      <c r="M297" s="252"/>
      <c r="N297" s="253"/>
      <c r="O297" s="42">
        <f t="shared" ref="O297:T297" si="122">SUM(O281:O295)</f>
        <v>277.27999999999997</v>
      </c>
      <c r="P297" s="42">
        <f t="shared" si="122"/>
        <v>167</v>
      </c>
      <c r="Q297" s="42">
        <f t="shared" si="122"/>
        <v>4452.1899999999996</v>
      </c>
      <c r="R297" s="42">
        <f t="shared" si="122"/>
        <v>4452.1899999999996</v>
      </c>
      <c r="S297" s="42">
        <f t="shared" si="122"/>
        <v>7000</v>
      </c>
      <c r="T297" s="42">
        <f t="shared" si="122"/>
        <v>2547.8100000000004</v>
      </c>
      <c r="U297" s="29">
        <f t="shared" ref="U297:U298" si="123">T297/S297</f>
        <v>0.36397285714285721</v>
      </c>
    </row>
    <row r="298" spans="1:21" ht="13">
      <c r="A298" s="269" t="s">
        <v>2</v>
      </c>
      <c r="B298" s="244" t="s">
        <v>89</v>
      </c>
      <c r="C298" s="22" t="s">
        <v>23</v>
      </c>
      <c r="D298" s="23">
        <v>21</v>
      </c>
      <c r="E298" s="23">
        <v>16</v>
      </c>
      <c r="F298" s="23">
        <f t="shared" ref="F298:F308" si="124">D298*E298</f>
        <v>336</v>
      </c>
      <c r="G298" s="240">
        <f>SUM(F298:F312)</f>
        <v>4825.8999999999996</v>
      </c>
      <c r="H298" s="240">
        <v>7000</v>
      </c>
      <c r="I298" s="240">
        <f>H298-G298</f>
        <v>2174.1000000000004</v>
      </c>
      <c r="J298" s="241">
        <f t="shared" si="121"/>
        <v>0.31058571428571435</v>
      </c>
      <c r="L298" s="269" t="s">
        <v>2</v>
      </c>
      <c r="M298" s="244" t="s">
        <v>89</v>
      </c>
      <c r="N298" s="22" t="s">
        <v>23</v>
      </c>
      <c r="O298" s="18"/>
      <c r="P298" s="18"/>
      <c r="Q298" s="18"/>
      <c r="R298" s="240">
        <f>SUM(Q298:Q312)</f>
        <v>4489.8999999999996</v>
      </c>
      <c r="S298" s="240">
        <v>7000</v>
      </c>
      <c r="T298" s="240">
        <f>S298-R298</f>
        <v>2510.1000000000004</v>
      </c>
      <c r="U298" s="241">
        <f t="shared" si="123"/>
        <v>0.35858571428571434</v>
      </c>
    </row>
    <row r="299" spans="1:21" ht="13">
      <c r="A299" s="270"/>
      <c r="B299" s="245"/>
      <c r="C299" s="22" t="s">
        <v>70</v>
      </c>
      <c r="D299" s="23">
        <v>47</v>
      </c>
      <c r="E299" s="23">
        <v>15</v>
      </c>
      <c r="F299" s="23">
        <f t="shared" si="124"/>
        <v>705</v>
      </c>
      <c r="G299" s="236"/>
      <c r="H299" s="236"/>
      <c r="I299" s="236"/>
      <c r="J299" s="242"/>
      <c r="L299" s="270"/>
      <c r="M299" s="245"/>
      <c r="N299" s="22" t="s">
        <v>70</v>
      </c>
      <c r="O299" s="23">
        <v>47</v>
      </c>
      <c r="P299" s="23">
        <v>15</v>
      </c>
      <c r="Q299" s="23">
        <f t="shared" ref="Q299:Q308" si="125">O299*P299</f>
        <v>705</v>
      </c>
      <c r="R299" s="236"/>
      <c r="S299" s="236"/>
      <c r="T299" s="236"/>
      <c r="U299" s="242"/>
    </row>
    <row r="300" spans="1:21" ht="13">
      <c r="A300" s="270"/>
      <c r="B300" s="245"/>
      <c r="C300" s="22" t="s">
        <v>39</v>
      </c>
      <c r="D300" s="23">
        <v>27.55</v>
      </c>
      <c r="E300" s="23">
        <v>15</v>
      </c>
      <c r="F300" s="23">
        <f t="shared" si="124"/>
        <v>413.25</v>
      </c>
      <c r="G300" s="236"/>
      <c r="H300" s="236"/>
      <c r="I300" s="236"/>
      <c r="J300" s="242"/>
      <c r="L300" s="270"/>
      <c r="M300" s="245"/>
      <c r="N300" s="22" t="s">
        <v>39</v>
      </c>
      <c r="O300" s="23">
        <v>27.55</v>
      </c>
      <c r="P300" s="23">
        <v>15</v>
      </c>
      <c r="Q300" s="23">
        <f t="shared" si="125"/>
        <v>413.25</v>
      </c>
      <c r="R300" s="236"/>
      <c r="S300" s="236"/>
      <c r="T300" s="236"/>
      <c r="U300" s="242"/>
    </row>
    <row r="301" spans="1:21" ht="13">
      <c r="A301" s="270"/>
      <c r="B301" s="245"/>
      <c r="C301" s="24" t="s">
        <v>68</v>
      </c>
      <c r="D301" s="23">
        <v>20.059999999999999</v>
      </c>
      <c r="E301" s="23">
        <v>15</v>
      </c>
      <c r="F301" s="23">
        <f t="shared" si="124"/>
        <v>300.89999999999998</v>
      </c>
      <c r="G301" s="236"/>
      <c r="H301" s="236"/>
      <c r="I301" s="236"/>
      <c r="J301" s="242"/>
      <c r="L301" s="270"/>
      <c r="M301" s="245"/>
      <c r="N301" s="24" t="s">
        <v>68</v>
      </c>
      <c r="O301" s="23">
        <v>20.059999999999999</v>
      </c>
      <c r="P301" s="23">
        <v>15</v>
      </c>
      <c r="Q301" s="23">
        <f t="shared" si="125"/>
        <v>300.89999999999998</v>
      </c>
      <c r="R301" s="236"/>
      <c r="S301" s="236"/>
      <c r="T301" s="236"/>
      <c r="U301" s="242"/>
    </row>
    <row r="302" spans="1:21" ht="13">
      <c r="A302" s="270"/>
      <c r="B302" s="245"/>
      <c r="C302" s="22" t="s">
        <v>90</v>
      </c>
      <c r="D302" s="23">
        <v>18.13</v>
      </c>
      <c r="E302" s="23">
        <v>15</v>
      </c>
      <c r="F302" s="23">
        <f t="shared" si="124"/>
        <v>271.95</v>
      </c>
      <c r="G302" s="236"/>
      <c r="H302" s="236"/>
      <c r="I302" s="236"/>
      <c r="J302" s="242"/>
      <c r="L302" s="270"/>
      <c r="M302" s="245"/>
      <c r="N302" s="22" t="s">
        <v>90</v>
      </c>
      <c r="O302" s="23">
        <v>18.13</v>
      </c>
      <c r="P302" s="23">
        <v>15</v>
      </c>
      <c r="Q302" s="23">
        <f t="shared" si="125"/>
        <v>271.95</v>
      </c>
      <c r="R302" s="236"/>
      <c r="S302" s="236"/>
      <c r="T302" s="236"/>
      <c r="U302" s="242"/>
    </row>
    <row r="303" spans="1:21" ht="13">
      <c r="A303" s="270"/>
      <c r="B303" s="245"/>
      <c r="C303" s="22" t="s">
        <v>60</v>
      </c>
      <c r="D303" s="23">
        <v>23.57</v>
      </c>
      <c r="E303" s="23">
        <v>15</v>
      </c>
      <c r="F303" s="23">
        <f t="shared" si="124"/>
        <v>353.55</v>
      </c>
      <c r="G303" s="236"/>
      <c r="H303" s="236"/>
      <c r="I303" s="236"/>
      <c r="J303" s="242"/>
      <c r="L303" s="270"/>
      <c r="M303" s="245"/>
      <c r="N303" s="22" t="s">
        <v>60</v>
      </c>
      <c r="O303" s="23">
        <v>23.57</v>
      </c>
      <c r="P303" s="23">
        <v>15</v>
      </c>
      <c r="Q303" s="23">
        <f t="shared" si="125"/>
        <v>353.55</v>
      </c>
      <c r="R303" s="236"/>
      <c r="S303" s="236"/>
      <c r="T303" s="236"/>
      <c r="U303" s="242"/>
    </row>
    <row r="304" spans="1:21" ht="13">
      <c r="A304" s="270"/>
      <c r="B304" s="245"/>
      <c r="C304" s="22" t="s">
        <v>91</v>
      </c>
      <c r="D304" s="23">
        <v>18.77</v>
      </c>
      <c r="E304" s="23">
        <v>15</v>
      </c>
      <c r="F304" s="23">
        <f t="shared" si="124"/>
        <v>281.55</v>
      </c>
      <c r="G304" s="236"/>
      <c r="H304" s="236"/>
      <c r="I304" s="236"/>
      <c r="J304" s="242"/>
      <c r="L304" s="270"/>
      <c r="M304" s="245"/>
      <c r="N304" s="22" t="s">
        <v>91</v>
      </c>
      <c r="O304" s="23">
        <v>18.77</v>
      </c>
      <c r="P304" s="23">
        <v>15</v>
      </c>
      <c r="Q304" s="23">
        <f t="shared" si="125"/>
        <v>281.55</v>
      </c>
      <c r="R304" s="236"/>
      <c r="S304" s="236"/>
      <c r="T304" s="236"/>
      <c r="U304" s="242"/>
    </row>
    <row r="305" spans="1:21" ht="13">
      <c r="A305" s="270"/>
      <c r="B305" s="245"/>
      <c r="C305" s="22" t="s">
        <v>41</v>
      </c>
      <c r="D305" s="23">
        <v>25.55</v>
      </c>
      <c r="E305" s="23">
        <v>17</v>
      </c>
      <c r="F305" s="23">
        <f t="shared" si="124"/>
        <v>434.35</v>
      </c>
      <c r="G305" s="236"/>
      <c r="H305" s="236"/>
      <c r="I305" s="236"/>
      <c r="J305" s="242"/>
      <c r="L305" s="270"/>
      <c r="M305" s="245"/>
      <c r="N305" s="22" t="s">
        <v>41</v>
      </c>
      <c r="O305" s="23">
        <v>25.55</v>
      </c>
      <c r="P305" s="23">
        <v>17</v>
      </c>
      <c r="Q305" s="23">
        <f t="shared" si="125"/>
        <v>434.35</v>
      </c>
      <c r="R305" s="236"/>
      <c r="S305" s="236"/>
      <c r="T305" s="236"/>
      <c r="U305" s="242"/>
    </row>
    <row r="306" spans="1:21" ht="13">
      <c r="A306" s="270"/>
      <c r="B306" s="245"/>
      <c r="C306" s="22" t="s">
        <v>92</v>
      </c>
      <c r="D306" s="23">
        <v>26.8</v>
      </c>
      <c r="E306" s="23">
        <v>15</v>
      </c>
      <c r="F306" s="23">
        <f t="shared" si="124"/>
        <v>402</v>
      </c>
      <c r="G306" s="236"/>
      <c r="H306" s="236"/>
      <c r="I306" s="236"/>
      <c r="J306" s="242"/>
      <c r="L306" s="270"/>
      <c r="M306" s="245"/>
      <c r="N306" s="22" t="s">
        <v>92</v>
      </c>
      <c r="O306" s="23">
        <v>26.8</v>
      </c>
      <c r="P306" s="23">
        <v>15</v>
      </c>
      <c r="Q306" s="23">
        <f t="shared" si="125"/>
        <v>402</v>
      </c>
      <c r="R306" s="236"/>
      <c r="S306" s="236"/>
      <c r="T306" s="236"/>
      <c r="U306" s="242"/>
    </row>
    <row r="307" spans="1:21" ht="13">
      <c r="A307" s="270"/>
      <c r="B307" s="245"/>
      <c r="C307" s="22" t="s">
        <v>67</v>
      </c>
      <c r="D307" s="23">
        <v>25.45</v>
      </c>
      <c r="E307" s="23">
        <v>15</v>
      </c>
      <c r="F307" s="23">
        <f t="shared" si="124"/>
        <v>381.75</v>
      </c>
      <c r="G307" s="236"/>
      <c r="H307" s="236"/>
      <c r="I307" s="236"/>
      <c r="J307" s="242"/>
      <c r="L307" s="270"/>
      <c r="M307" s="245"/>
      <c r="N307" s="22" t="s">
        <v>67</v>
      </c>
      <c r="O307" s="23">
        <v>25.45</v>
      </c>
      <c r="P307" s="23">
        <v>15</v>
      </c>
      <c r="Q307" s="23">
        <f t="shared" si="125"/>
        <v>381.75</v>
      </c>
      <c r="R307" s="236"/>
      <c r="S307" s="236"/>
      <c r="T307" s="236"/>
      <c r="U307" s="242"/>
    </row>
    <row r="308" spans="1:21" ht="13">
      <c r="A308" s="270"/>
      <c r="B308" s="245"/>
      <c r="C308" s="22" t="s">
        <v>59</v>
      </c>
      <c r="D308" s="23">
        <v>5.55</v>
      </c>
      <c r="E308" s="23">
        <v>15</v>
      </c>
      <c r="F308" s="23">
        <f t="shared" si="124"/>
        <v>83.25</v>
      </c>
      <c r="G308" s="236"/>
      <c r="H308" s="236"/>
      <c r="I308" s="236"/>
      <c r="J308" s="242"/>
      <c r="L308" s="270"/>
      <c r="M308" s="245"/>
      <c r="N308" s="22" t="s">
        <v>59</v>
      </c>
      <c r="O308" s="23">
        <v>5.55</v>
      </c>
      <c r="P308" s="23">
        <v>15</v>
      </c>
      <c r="Q308" s="23">
        <f t="shared" si="125"/>
        <v>83.25</v>
      </c>
      <c r="R308" s="236"/>
      <c r="S308" s="236"/>
      <c r="T308" s="236"/>
      <c r="U308" s="242"/>
    </row>
    <row r="309" spans="1:21" ht="13">
      <c r="A309" s="270"/>
      <c r="B309" s="245"/>
      <c r="C309" s="22" t="s">
        <v>44</v>
      </c>
      <c r="D309" s="23"/>
      <c r="E309" s="23"/>
      <c r="F309" s="23">
        <v>93</v>
      </c>
      <c r="G309" s="236"/>
      <c r="H309" s="236"/>
      <c r="I309" s="236"/>
      <c r="J309" s="242"/>
      <c r="L309" s="270"/>
      <c r="M309" s="245"/>
      <c r="N309" s="22" t="s">
        <v>44</v>
      </c>
      <c r="O309" s="23"/>
      <c r="P309" s="23"/>
      <c r="Q309" s="23">
        <v>93</v>
      </c>
      <c r="R309" s="236"/>
      <c r="S309" s="236"/>
      <c r="T309" s="236"/>
      <c r="U309" s="242"/>
    </row>
    <row r="310" spans="1:21" ht="13">
      <c r="A310" s="270"/>
      <c r="B310" s="245"/>
      <c r="C310" s="22" t="s">
        <v>83</v>
      </c>
      <c r="D310" s="23"/>
      <c r="E310" s="23"/>
      <c r="F310" s="23">
        <v>226.28</v>
      </c>
      <c r="G310" s="236"/>
      <c r="H310" s="236"/>
      <c r="I310" s="236"/>
      <c r="J310" s="242"/>
      <c r="L310" s="270"/>
      <c r="M310" s="245"/>
      <c r="N310" s="22" t="s">
        <v>83</v>
      </c>
      <c r="O310" s="23"/>
      <c r="P310" s="23"/>
      <c r="Q310" s="23">
        <v>226.28</v>
      </c>
      <c r="R310" s="236"/>
      <c r="S310" s="236"/>
      <c r="T310" s="236"/>
      <c r="U310" s="242"/>
    </row>
    <row r="311" spans="1:21" ht="13">
      <c r="A311" s="270"/>
      <c r="B311" s="245"/>
      <c r="C311" s="22" t="s">
        <v>47</v>
      </c>
      <c r="D311" s="23"/>
      <c r="E311" s="23"/>
      <c r="F311" s="23">
        <v>372</v>
      </c>
      <c r="G311" s="236"/>
      <c r="H311" s="236"/>
      <c r="I311" s="236"/>
      <c r="J311" s="242"/>
      <c r="L311" s="270"/>
      <c r="M311" s="245"/>
      <c r="N311" s="22" t="s">
        <v>47</v>
      </c>
      <c r="O311" s="23"/>
      <c r="P311" s="23"/>
      <c r="Q311" s="23">
        <v>372</v>
      </c>
      <c r="R311" s="236"/>
      <c r="S311" s="236"/>
      <c r="T311" s="236"/>
      <c r="U311" s="242"/>
    </row>
    <row r="312" spans="1:21" ht="13">
      <c r="A312" s="270"/>
      <c r="B312" s="245"/>
      <c r="C312" s="22" t="s">
        <v>93</v>
      </c>
      <c r="D312" s="23"/>
      <c r="E312" s="23"/>
      <c r="F312" s="23">
        <v>171.07</v>
      </c>
      <c r="G312" s="236"/>
      <c r="H312" s="236"/>
      <c r="I312" s="236"/>
      <c r="J312" s="242"/>
      <c r="L312" s="270"/>
      <c r="M312" s="245"/>
      <c r="N312" s="22" t="s">
        <v>93</v>
      </c>
      <c r="O312" s="23"/>
      <c r="P312" s="23"/>
      <c r="Q312" s="23">
        <v>171.07</v>
      </c>
      <c r="R312" s="236"/>
      <c r="S312" s="236"/>
      <c r="T312" s="236"/>
      <c r="U312" s="242"/>
    </row>
    <row r="313" spans="1:21" ht="13">
      <c r="A313" s="271"/>
      <c r="B313" s="246"/>
      <c r="C313" s="25"/>
      <c r="D313" s="26"/>
      <c r="E313" s="26"/>
      <c r="F313" s="26"/>
      <c r="G313" s="238"/>
      <c r="H313" s="238"/>
      <c r="I313" s="238"/>
      <c r="J313" s="243"/>
      <c r="L313" s="271"/>
      <c r="M313" s="246"/>
      <c r="N313" s="25"/>
      <c r="O313" s="26"/>
      <c r="P313" s="26"/>
      <c r="Q313" s="26"/>
      <c r="R313" s="238"/>
      <c r="S313" s="238"/>
      <c r="T313" s="238"/>
      <c r="U313" s="243"/>
    </row>
    <row r="314" spans="1:21" ht="30">
      <c r="A314" s="254" t="s">
        <v>103</v>
      </c>
      <c r="B314" s="255"/>
      <c r="C314" s="256"/>
      <c r="D314" s="27">
        <f t="shared" ref="D314:F314" si="126">AVERAGE(D298:D313)</f>
        <v>23.584545454545456</v>
      </c>
      <c r="E314" s="27">
        <f t="shared" si="126"/>
        <v>15.272727272727273</v>
      </c>
      <c r="F314" s="27">
        <f t="shared" si="126"/>
        <v>321.72666666666663</v>
      </c>
      <c r="G314" s="27" t="e">
        <f t="shared" ref="G314:I314" si="127">AVERAGE(G299:G313)</f>
        <v>#DIV/0!</v>
      </c>
      <c r="H314" s="27" t="e">
        <f t="shared" si="127"/>
        <v>#DIV/0!</v>
      </c>
      <c r="I314" s="27" t="e">
        <f t="shared" si="127"/>
        <v>#DIV/0!</v>
      </c>
      <c r="J314" s="28" t="e">
        <f>AVERAGE(#REF!)</f>
        <v>#REF!</v>
      </c>
      <c r="L314" s="254" t="s">
        <v>84</v>
      </c>
      <c r="M314" s="255"/>
      <c r="N314" s="256"/>
      <c r="O314" s="27">
        <f t="shared" ref="O314:T314" si="128">AVERAGE(O299:O313)</f>
        <v>23.843000000000004</v>
      </c>
      <c r="P314" s="27">
        <f t="shared" si="128"/>
        <v>15.2</v>
      </c>
      <c r="Q314" s="27">
        <f t="shared" si="128"/>
        <v>320.70714285714286</v>
      </c>
      <c r="R314" s="27" t="e">
        <f t="shared" si="128"/>
        <v>#DIV/0!</v>
      </c>
      <c r="S314" s="27" t="e">
        <f t="shared" si="128"/>
        <v>#DIV/0!</v>
      </c>
      <c r="T314" s="27" t="e">
        <f t="shared" si="128"/>
        <v>#DIV/0!</v>
      </c>
      <c r="U314" s="28" t="e">
        <f>AVERAGE(#REF!)</f>
        <v>#REF!</v>
      </c>
    </row>
    <row r="315" spans="1:21" ht="30">
      <c r="A315" s="251" t="s">
        <v>104</v>
      </c>
      <c r="B315" s="252"/>
      <c r="C315" s="253"/>
      <c r="D315" s="42">
        <f t="shared" ref="D315:I315" si="129">SUM(D299:D313)</f>
        <v>238.43000000000004</v>
      </c>
      <c r="E315" s="42">
        <f t="shared" si="129"/>
        <v>152</v>
      </c>
      <c r="F315" s="42">
        <f t="shared" si="129"/>
        <v>4489.8999999999996</v>
      </c>
      <c r="G315" s="42">
        <f t="shared" si="129"/>
        <v>0</v>
      </c>
      <c r="H315" s="42">
        <f t="shared" si="129"/>
        <v>0</v>
      </c>
      <c r="I315" s="42">
        <f t="shared" si="129"/>
        <v>0</v>
      </c>
      <c r="J315" s="29" t="e">
        <f>I315/H315</f>
        <v>#DIV/0!</v>
      </c>
      <c r="L315" s="251" t="s">
        <v>85</v>
      </c>
      <c r="M315" s="252"/>
      <c r="N315" s="253"/>
      <c r="O315" s="42">
        <f t="shared" ref="O315:T315" si="130">SUM(O299:O313)</f>
        <v>238.43000000000004</v>
      </c>
      <c r="P315" s="42">
        <f t="shared" si="130"/>
        <v>152</v>
      </c>
      <c r="Q315" s="42">
        <f t="shared" si="130"/>
        <v>4489.8999999999996</v>
      </c>
      <c r="R315" s="42">
        <f t="shared" si="130"/>
        <v>0</v>
      </c>
      <c r="S315" s="42">
        <f t="shared" si="130"/>
        <v>0</v>
      </c>
      <c r="T315" s="42">
        <f t="shared" si="130"/>
        <v>0</v>
      </c>
      <c r="U315" s="29" t="e">
        <f>T315/S315</f>
        <v>#DIV/0!</v>
      </c>
    </row>
    <row r="317" spans="1:21" ht="30">
      <c r="A317" s="257" t="s">
        <v>105</v>
      </c>
      <c r="B317" s="252"/>
      <c r="C317" s="253"/>
      <c r="D317" s="34">
        <f>SUM(D280,D297)</f>
        <v>521.45000000000005</v>
      </c>
      <c r="E317" s="34">
        <f t="shared" ref="E317:I317" si="131">SUM(E278,E297,E313)</f>
        <v>183</v>
      </c>
      <c r="F317" s="34">
        <f t="shared" si="131"/>
        <v>4819.8899999999994</v>
      </c>
      <c r="G317" s="34">
        <f t="shared" si="131"/>
        <v>4676.1899999999996</v>
      </c>
      <c r="H317" s="34">
        <f t="shared" si="131"/>
        <v>7000</v>
      </c>
      <c r="I317" s="34">
        <f t="shared" si="131"/>
        <v>2323.8100000000004</v>
      </c>
      <c r="J317" s="35">
        <f>I317/H317</f>
        <v>0.33197285714285718</v>
      </c>
      <c r="L317" s="257" t="s">
        <v>571</v>
      </c>
      <c r="M317" s="252"/>
      <c r="N317" s="253"/>
      <c r="O317" s="34">
        <f t="shared" ref="O317:T317" si="132">SUM(O278,O297,O313)</f>
        <v>277.27999999999997</v>
      </c>
      <c r="P317" s="34">
        <f t="shared" si="132"/>
        <v>167</v>
      </c>
      <c r="Q317" s="34">
        <f t="shared" si="132"/>
        <v>4595.8899999999994</v>
      </c>
      <c r="R317" s="34">
        <f t="shared" si="132"/>
        <v>4452.1899999999996</v>
      </c>
      <c r="S317" s="34">
        <f t="shared" si="132"/>
        <v>7000</v>
      </c>
      <c r="T317" s="34">
        <f t="shared" si="132"/>
        <v>2547.8100000000004</v>
      </c>
      <c r="U317" s="35">
        <f>T317/S317</f>
        <v>0.36397285714285721</v>
      </c>
    </row>
  </sheetData>
  <autoFilter ref="A2:I171" xr:uid="{00000000-0009-0000-0000-000007000000}"/>
  <mergeCells count="280">
    <mergeCell ref="L204:N204"/>
    <mergeCell ref="L205:N205"/>
    <mergeCell ref="L207:N207"/>
    <mergeCell ref="A224:C224"/>
    <mergeCell ref="A225:C225"/>
    <mergeCell ref="L225:N225"/>
    <mergeCell ref="A204:C204"/>
    <mergeCell ref="A205:C205"/>
    <mergeCell ref="A207:C207"/>
    <mergeCell ref="A209:A223"/>
    <mergeCell ref="B209:B223"/>
    <mergeCell ref="G209:G223"/>
    <mergeCell ref="H209:H223"/>
    <mergeCell ref="S173:S187"/>
    <mergeCell ref="T173:T187"/>
    <mergeCell ref="U173:U187"/>
    <mergeCell ref="G173:G187"/>
    <mergeCell ref="H173:H187"/>
    <mergeCell ref="I173:I187"/>
    <mergeCell ref="J173:J187"/>
    <mergeCell ref="L173:L187"/>
    <mergeCell ref="M173:M187"/>
    <mergeCell ref="R173:R187"/>
    <mergeCell ref="A314:C314"/>
    <mergeCell ref="A315:C315"/>
    <mergeCell ref="A317:C317"/>
    <mergeCell ref="A260:C260"/>
    <mergeCell ref="A262:C262"/>
    <mergeCell ref="A264:A278"/>
    <mergeCell ref="B264:B278"/>
    <mergeCell ref="A279:C279"/>
    <mergeCell ref="A280:C280"/>
    <mergeCell ref="A281:A295"/>
    <mergeCell ref="G298:G313"/>
    <mergeCell ref="H298:H313"/>
    <mergeCell ref="I298:I313"/>
    <mergeCell ref="J298:J313"/>
    <mergeCell ref="L298:L313"/>
    <mergeCell ref="A153:A167"/>
    <mergeCell ref="A173:A187"/>
    <mergeCell ref="B173:B187"/>
    <mergeCell ref="A188:C188"/>
    <mergeCell ref="A189:C189"/>
    <mergeCell ref="A190:A203"/>
    <mergeCell ref="B190:B203"/>
    <mergeCell ref="A226:A242"/>
    <mergeCell ref="B226:B242"/>
    <mergeCell ref="A243:C243"/>
    <mergeCell ref="A244:C244"/>
    <mergeCell ref="A245:A258"/>
    <mergeCell ref="B245:B258"/>
    <mergeCell ref="A259:C259"/>
    <mergeCell ref="B281:B295"/>
    <mergeCell ref="A296:C296"/>
    <mergeCell ref="A297:C297"/>
    <mergeCell ref="A298:A313"/>
    <mergeCell ref="B298:B313"/>
    <mergeCell ref="M298:M313"/>
    <mergeCell ref="R298:R313"/>
    <mergeCell ref="S298:S313"/>
    <mergeCell ref="T298:T313"/>
    <mergeCell ref="U298:U313"/>
    <mergeCell ref="L314:N314"/>
    <mergeCell ref="L315:N315"/>
    <mergeCell ref="L317:N317"/>
    <mergeCell ref="L296:N296"/>
    <mergeCell ref="L297:N297"/>
    <mergeCell ref="M190:M203"/>
    <mergeCell ref="R190:R203"/>
    <mergeCell ref="S190:S203"/>
    <mergeCell ref="T190:T203"/>
    <mergeCell ref="U190:U203"/>
    <mergeCell ref="L188:N188"/>
    <mergeCell ref="L189:N189"/>
    <mergeCell ref="G190:G203"/>
    <mergeCell ref="H190:H203"/>
    <mergeCell ref="I190:I203"/>
    <mergeCell ref="J190:J203"/>
    <mergeCell ref="L190:L203"/>
    <mergeCell ref="A169:C169"/>
    <mergeCell ref="L168:N168"/>
    <mergeCell ref="L169:N169"/>
    <mergeCell ref="L171:N171"/>
    <mergeCell ref="J153:J167"/>
    <mergeCell ref="L153:L167"/>
    <mergeCell ref="M153:M167"/>
    <mergeCell ref="R153:R167"/>
    <mergeCell ref="S153:S167"/>
    <mergeCell ref="B153:B167"/>
    <mergeCell ref="G153:G167"/>
    <mergeCell ref="H153:H167"/>
    <mergeCell ref="I153:I167"/>
    <mergeCell ref="A171:C171"/>
    <mergeCell ref="L152:N152"/>
    <mergeCell ref="J138:J150"/>
    <mergeCell ref="L138:L150"/>
    <mergeCell ref="M138:M150"/>
    <mergeCell ref="R138:R150"/>
    <mergeCell ref="S138:S150"/>
    <mergeCell ref="T138:T150"/>
    <mergeCell ref="U138:U150"/>
    <mergeCell ref="A168:C168"/>
    <mergeCell ref="T153:T167"/>
    <mergeCell ref="U153:U167"/>
    <mergeCell ref="A138:A150"/>
    <mergeCell ref="B138:B150"/>
    <mergeCell ref="G138:G150"/>
    <mergeCell ref="H138:H150"/>
    <mergeCell ref="I138:I150"/>
    <mergeCell ref="A151:C151"/>
    <mergeCell ref="A152:C152"/>
    <mergeCell ref="U121:U135"/>
    <mergeCell ref="A116:C116"/>
    <mergeCell ref="A117:C117"/>
    <mergeCell ref="A119:C119"/>
    <mergeCell ref="A121:A135"/>
    <mergeCell ref="B121:B135"/>
    <mergeCell ref="G121:G135"/>
    <mergeCell ref="H121:H135"/>
    <mergeCell ref="L151:N151"/>
    <mergeCell ref="A136:C136"/>
    <mergeCell ref="A137:C137"/>
    <mergeCell ref="M121:M135"/>
    <mergeCell ref="L136:N136"/>
    <mergeCell ref="L137:N137"/>
    <mergeCell ref="I121:I135"/>
    <mergeCell ref="J121:J135"/>
    <mergeCell ref="L121:L135"/>
    <mergeCell ref="R121:R135"/>
    <mergeCell ref="S121:S135"/>
    <mergeCell ref="T121:T135"/>
    <mergeCell ref="L116:N116"/>
    <mergeCell ref="L117:N117"/>
    <mergeCell ref="L119:N119"/>
    <mergeCell ref="J102:J115"/>
    <mergeCell ref="L102:L115"/>
    <mergeCell ref="M102:M115"/>
    <mergeCell ref="R102:R115"/>
    <mergeCell ref="S102:S115"/>
    <mergeCell ref="T102:T115"/>
    <mergeCell ref="R83:R99"/>
    <mergeCell ref="S83:S99"/>
    <mergeCell ref="T83:T99"/>
    <mergeCell ref="U83:U99"/>
    <mergeCell ref="A100:C100"/>
    <mergeCell ref="A101:C101"/>
    <mergeCell ref="A102:A115"/>
    <mergeCell ref="B102:B115"/>
    <mergeCell ref="G102:G115"/>
    <mergeCell ref="H102:H115"/>
    <mergeCell ref="I102:I115"/>
    <mergeCell ref="U102:U115"/>
    <mergeCell ref="A83:A99"/>
    <mergeCell ref="B83:B99"/>
    <mergeCell ref="G83:G99"/>
    <mergeCell ref="H83:H99"/>
    <mergeCell ref="I83:I99"/>
    <mergeCell ref="L100:N100"/>
    <mergeCell ref="L101:N101"/>
    <mergeCell ref="J83:J99"/>
    <mergeCell ref="L83:L99"/>
    <mergeCell ref="M83:M99"/>
    <mergeCell ref="R64:R80"/>
    <mergeCell ref="S64:S80"/>
    <mergeCell ref="T64:T80"/>
    <mergeCell ref="U64:U80"/>
    <mergeCell ref="A81:C81"/>
    <mergeCell ref="L81:N81"/>
    <mergeCell ref="A82:C82"/>
    <mergeCell ref="L82:N82"/>
    <mergeCell ref="A59:C59"/>
    <mergeCell ref="L59:N59"/>
    <mergeCell ref="A60:C60"/>
    <mergeCell ref="L60:N60"/>
    <mergeCell ref="A62:C62"/>
    <mergeCell ref="L62:N62"/>
    <mergeCell ref="A64:A80"/>
    <mergeCell ref="B64:B80"/>
    <mergeCell ref="G64:G80"/>
    <mergeCell ref="A20:C20"/>
    <mergeCell ref="L20:N20"/>
    <mergeCell ref="A21:C21"/>
    <mergeCell ref="L21:N21"/>
    <mergeCell ref="A22:A58"/>
    <mergeCell ref="G22:G39"/>
    <mergeCell ref="I40:I58"/>
    <mergeCell ref="H64:H80"/>
    <mergeCell ref="I64:I80"/>
    <mergeCell ref="J64:J80"/>
    <mergeCell ref="L64:L80"/>
    <mergeCell ref="M64:M80"/>
    <mergeCell ref="U40:U58"/>
    <mergeCell ref="S3:S19"/>
    <mergeCell ref="T3:T19"/>
    <mergeCell ref="U3:U19"/>
    <mergeCell ref="R22:R39"/>
    <mergeCell ref="S22:S39"/>
    <mergeCell ref="T22:T39"/>
    <mergeCell ref="U22:U39"/>
    <mergeCell ref="J22:J39"/>
    <mergeCell ref="L22:L58"/>
    <mergeCell ref="J40:J58"/>
    <mergeCell ref="M22:M39"/>
    <mergeCell ref="M40:M58"/>
    <mergeCell ref="H22:H39"/>
    <mergeCell ref="I22:I39"/>
    <mergeCell ref="B22:B39"/>
    <mergeCell ref="B40:B58"/>
    <mergeCell ref="G40:G58"/>
    <mergeCell ref="H40:H58"/>
    <mergeCell ref="R40:R58"/>
    <mergeCell ref="S40:S58"/>
    <mergeCell ref="T40:T58"/>
    <mergeCell ref="J3:J19"/>
    <mergeCell ref="L3:L19"/>
    <mergeCell ref="M3:M19"/>
    <mergeCell ref="R3:R19"/>
    <mergeCell ref="C1:H1"/>
    <mergeCell ref="N1:S1"/>
    <mergeCell ref="A3:A19"/>
    <mergeCell ref="B3:B19"/>
    <mergeCell ref="G3:G19"/>
    <mergeCell ref="H3:H19"/>
    <mergeCell ref="I3:I19"/>
    <mergeCell ref="U245:U258"/>
    <mergeCell ref="L243:N243"/>
    <mergeCell ref="L244:N244"/>
    <mergeCell ref="G245:G258"/>
    <mergeCell ref="H245:H258"/>
    <mergeCell ref="I245:I258"/>
    <mergeCell ref="J245:J258"/>
    <mergeCell ref="L245:L258"/>
    <mergeCell ref="L264:L278"/>
    <mergeCell ref="M264:M278"/>
    <mergeCell ref="R264:R278"/>
    <mergeCell ref="S264:S278"/>
    <mergeCell ref="T264:T278"/>
    <mergeCell ref="U264:U278"/>
    <mergeCell ref="L259:N259"/>
    <mergeCell ref="L260:N260"/>
    <mergeCell ref="L262:N262"/>
    <mergeCell ref="G264:G278"/>
    <mergeCell ref="H264:H278"/>
    <mergeCell ref="I264:I278"/>
    <mergeCell ref="J264:J278"/>
    <mergeCell ref="G226:G242"/>
    <mergeCell ref="H226:H242"/>
    <mergeCell ref="I226:I242"/>
    <mergeCell ref="J226:J242"/>
    <mergeCell ref="L226:L242"/>
    <mergeCell ref="M245:M258"/>
    <mergeCell ref="R245:R258"/>
    <mergeCell ref="S245:S258"/>
    <mergeCell ref="T245:T258"/>
    <mergeCell ref="I209:I223"/>
    <mergeCell ref="J209:J223"/>
    <mergeCell ref="L209:L223"/>
    <mergeCell ref="R209:R223"/>
    <mergeCell ref="S209:S223"/>
    <mergeCell ref="T209:T223"/>
    <mergeCell ref="U209:U223"/>
    <mergeCell ref="M226:M242"/>
    <mergeCell ref="R226:R242"/>
    <mergeCell ref="S226:S242"/>
    <mergeCell ref="T226:T242"/>
    <mergeCell ref="U226:U242"/>
    <mergeCell ref="M209:M223"/>
    <mergeCell ref="L224:N224"/>
    <mergeCell ref="M281:M295"/>
    <mergeCell ref="R281:R295"/>
    <mergeCell ref="S281:S295"/>
    <mergeCell ref="T281:T295"/>
    <mergeCell ref="U281:U295"/>
    <mergeCell ref="L279:N279"/>
    <mergeCell ref="L280:N280"/>
    <mergeCell ref="G281:G295"/>
    <mergeCell ref="H281:H295"/>
    <mergeCell ref="I281:I295"/>
    <mergeCell ref="J281:J295"/>
    <mergeCell ref="L281:L2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37"/>
  <sheetViews>
    <sheetView workbookViewId="0"/>
  </sheetViews>
  <sheetFormatPr baseColWidth="10" defaultColWidth="12.6640625" defaultRowHeight="15.75" customHeight="1"/>
  <cols>
    <col min="2" max="2" width="24.1640625" customWidth="1"/>
    <col min="3" max="3" width="47.5" customWidth="1"/>
    <col min="4" max="4" width="21" customWidth="1"/>
    <col min="5" max="5" width="15.1640625" customWidth="1"/>
    <col min="7" max="7" width="22.5" customWidth="1"/>
    <col min="8" max="8" width="14.33203125" customWidth="1"/>
    <col min="9" max="9" width="15.1640625" customWidth="1"/>
    <col min="10" max="10" width="23" customWidth="1"/>
    <col min="13" max="13" width="12.83203125" customWidth="1"/>
    <col min="14" max="14" width="65.33203125" customWidth="1"/>
    <col min="15" max="15" width="21" customWidth="1"/>
    <col min="16" max="16" width="15.1640625" customWidth="1"/>
    <col min="17" max="17" width="13.6640625" customWidth="1"/>
    <col min="18" max="18" width="22.5" customWidth="1"/>
    <col min="19" max="20" width="13.83203125" customWidth="1"/>
    <col min="21" max="21" width="14.6640625" customWidth="1"/>
  </cols>
  <sheetData>
    <row r="1" spans="1:21" ht="18">
      <c r="B1" s="36"/>
      <c r="C1" s="272" t="s">
        <v>680</v>
      </c>
      <c r="D1" s="236"/>
      <c r="E1" s="236"/>
      <c r="F1" s="236"/>
      <c r="G1" s="236"/>
      <c r="H1" s="236"/>
      <c r="I1" s="36"/>
      <c r="J1" s="36"/>
      <c r="M1" s="36"/>
      <c r="N1" s="272" t="s">
        <v>681</v>
      </c>
      <c r="O1" s="236"/>
      <c r="P1" s="236"/>
      <c r="Q1" s="236"/>
      <c r="R1" s="236"/>
      <c r="S1" s="236"/>
      <c r="T1" s="36"/>
      <c r="U1" s="36"/>
    </row>
    <row r="2" spans="1:21" ht="18">
      <c r="B2" s="37" t="s">
        <v>12</v>
      </c>
      <c r="C2" s="38" t="s">
        <v>13</v>
      </c>
      <c r="D2" s="38" t="s">
        <v>14</v>
      </c>
      <c r="E2" s="38" t="s">
        <v>15</v>
      </c>
      <c r="F2" s="38" t="s">
        <v>16</v>
      </c>
      <c r="G2" s="39" t="s">
        <v>17</v>
      </c>
      <c r="H2" s="39" t="s">
        <v>18</v>
      </c>
      <c r="I2" s="39" t="s">
        <v>19</v>
      </c>
      <c r="J2" s="40" t="s">
        <v>20</v>
      </c>
      <c r="M2" s="41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9" t="s">
        <v>17</v>
      </c>
      <c r="S2" s="39" t="s">
        <v>18</v>
      </c>
      <c r="T2" s="39" t="s">
        <v>19</v>
      </c>
      <c r="U2" s="40" t="s">
        <v>20</v>
      </c>
    </row>
    <row r="3" spans="1:21" ht="13">
      <c r="A3" s="269" t="s">
        <v>108</v>
      </c>
      <c r="B3" s="244" t="s">
        <v>582</v>
      </c>
      <c r="C3" s="15" t="s">
        <v>23</v>
      </c>
      <c r="D3" s="16">
        <v>7</v>
      </c>
      <c r="E3" s="16">
        <v>16</v>
      </c>
      <c r="F3" s="17">
        <f t="shared" ref="F3:F12" si="0">D3*E3</f>
        <v>112</v>
      </c>
      <c r="G3" s="240">
        <f>SUM(F3:F14)</f>
        <v>1625.88</v>
      </c>
      <c r="H3" s="240">
        <v>2856</v>
      </c>
      <c r="I3" s="240">
        <f>H3-G3</f>
        <v>1230.1199999999999</v>
      </c>
      <c r="J3" s="241">
        <f>I3/H3</f>
        <v>0.43071428571428566</v>
      </c>
      <c r="L3" s="269" t="s">
        <v>108</v>
      </c>
      <c r="M3" s="244" t="s">
        <v>582</v>
      </c>
      <c r="N3" s="15" t="s">
        <v>23</v>
      </c>
      <c r="O3" s="43"/>
      <c r="P3" s="43"/>
      <c r="Q3" s="43"/>
      <c r="R3" s="240">
        <f>SUM(Q3:Q14)</f>
        <v>1513.88</v>
      </c>
      <c r="S3" s="240">
        <v>2856</v>
      </c>
      <c r="T3" s="240">
        <f>S3-R3</f>
        <v>1342.12</v>
      </c>
      <c r="U3" s="241">
        <f>T3/S3</f>
        <v>0.46992997198879549</v>
      </c>
    </row>
    <row r="4" spans="1:21" ht="13">
      <c r="A4" s="270"/>
      <c r="B4" s="245"/>
      <c r="C4" s="19" t="s">
        <v>35</v>
      </c>
      <c r="D4" s="17">
        <v>10</v>
      </c>
      <c r="E4" s="17">
        <v>15</v>
      </c>
      <c r="F4" s="17">
        <f t="shared" si="0"/>
        <v>150</v>
      </c>
      <c r="G4" s="236"/>
      <c r="H4" s="236"/>
      <c r="I4" s="236"/>
      <c r="J4" s="242"/>
      <c r="L4" s="270"/>
      <c r="M4" s="245"/>
      <c r="N4" s="19" t="s">
        <v>35</v>
      </c>
      <c r="O4" s="17">
        <v>10</v>
      </c>
      <c r="P4" s="17">
        <v>15</v>
      </c>
      <c r="Q4" s="17">
        <f t="shared" ref="Q4:Q12" si="1">O4*P4</f>
        <v>150</v>
      </c>
      <c r="R4" s="236"/>
      <c r="S4" s="236"/>
      <c r="T4" s="236"/>
      <c r="U4" s="242"/>
    </row>
    <row r="5" spans="1:21" ht="13">
      <c r="A5" s="270"/>
      <c r="B5" s="245"/>
      <c r="C5" s="19" t="s">
        <v>80</v>
      </c>
      <c r="D5" s="17">
        <v>7.75</v>
      </c>
      <c r="E5" s="17">
        <v>13</v>
      </c>
      <c r="F5" s="17">
        <f t="shared" si="0"/>
        <v>100.75</v>
      </c>
      <c r="G5" s="236"/>
      <c r="H5" s="236"/>
      <c r="I5" s="236"/>
      <c r="J5" s="242"/>
      <c r="L5" s="270"/>
      <c r="M5" s="245"/>
      <c r="N5" s="19" t="s">
        <v>80</v>
      </c>
      <c r="O5" s="17">
        <v>7.75</v>
      </c>
      <c r="P5" s="17">
        <v>13</v>
      </c>
      <c r="Q5" s="17">
        <f t="shared" si="1"/>
        <v>100.75</v>
      </c>
      <c r="R5" s="236"/>
      <c r="S5" s="236"/>
      <c r="T5" s="236"/>
      <c r="U5" s="242"/>
    </row>
    <row r="6" spans="1:21" ht="13">
      <c r="A6" s="270"/>
      <c r="B6" s="245"/>
      <c r="C6" s="19" t="s">
        <v>70</v>
      </c>
      <c r="D6" s="17">
        <v>13.45</v>
      </c>
      <c r="E6" s="17">
        <v>13</v>
      </c>
      <c r="F6" s="17">
        <f t="shared" si="0"/>
        <v>174.85</v>
      </c>
      <c r="G6" s="236"/>
      <c r="H6" s="236"/>
      <c r="I6" s="236"/>
      <c r="J6" s="242"/>
      <c r="L6" s="270"/>
      <c r="M6" s="245"/>
      <c r="N6" s="19" t="s">
        <v>70</v>
      </c>
      <c r="O6" s="17">
        <v>13.45</v>
      </c>
      <c r="P6" s="17">
        <v>13</v>
      </c>
      <c r="Q6" s="17">
        <f t="shared" si="1"/>
        <v>174.85</v>
      </c>
      <c r="R6" s="236"/>
      <c r="S6" s="236"/>
      <c r="T6" s="236"/>
      <c r="U6" s="242"/>
    </row>
    <row r="7" spans="1:21" ht="13">
      <c r="A7" s="270"/>
      <c r="B7" s="245"/>
      <c r="C7" s="19" t="s">
        <v>32</v>
      </c>
      <c r="D7" s="17">
        <v>14.9</v>
      </c>
      <c r="E7" s="17">
        <v>13</v>
      </c>
      <c r="F7" s="17">
        <f t="shared" si="0"/>
        <v>193.70000000000002</v>
      </c>
      <c r="G7" s="236"/>
      <c r="H7" s="236"/>
      <c r="I7" s="236"/>
      <c r="J7" s="242"/>
      <c r="L7" s="270"/>
      <c r="M7" s="245"/>
      <c r="N7" s="19" t="s">
        <v>32</v>
      </c>
      <c r="O7" s="17">
        <v>14.9</v>
      </c>
      <c r="P7" s="17">
        <v>13</v>
      </c>
      <c r="Q7" s="17">
        <f t="shared" si="1"/>
        <v>193.70000000000002</v>
      </c>
      <c r="R7" s="236"/>
      <c r="S7" s="236"/>
      <c r="T7" s="236"/>
      <c r="U7" s="242"/>
    </row>
    <row r="8" spans="1:21" ht="13">
      <c r="A8" s="270"/>
      <c r="B8" s="245"/>
      <c r="C8" s="19" t="s">
        <v>583</v>
      </c>
      <c r="D8" s="17">
        <v>12.2</v>
      </c>
      <c r="E8" s="17">
        <v>13</v>
      </c>
      <c r="F8" s="17">
        <f t="shared" si="0"/>
        <v>158.6</v>
      </c>
      <c r="G8" s="236"/>
      <c r="H8" s="236"/>
      <c r="I8" s="236"/>
      <c r="J8" s="242"/>
      <c r="L8" s="270"/>
      <c r="M8" s="245"/>
      <c r="N8" s="19" t="s">
        <v>583</v>
      </c>
      <c r="O8" s="17">
        <v>12.2</v>
      </c>
      <c r="P8" s="17">
        <v>13</v>
      </c>
      <c r="Q8" s="17">
        <f t="shared" si="1"/>
        <v>158.6</v>
      </c>
      <c r="R8" s="236"/>
      <c r="S8" s="236"/>
      <c r="T8" s="236"/>
      <c r="U8" s="242"/>
    </row>
    <row r="9" spans="1:21" ht="13">
      <c r="A9" s="270"/>
      <c r="B9" s="245"/>
      <c r="C9" s="19" t="s">
        <v>62</v>
      </c>
      <c r="D9" s="17">
        <v>19.05</v>
      </c>
      <c r="E9" s="17">
        <v>13</v>
      </c>
      <c r="F9" s="17">
        <f t="shared" si="0"/>
        <v>247.65</v>
      </c>
      <c r="G9" s="236"/>
      <c r="H9" s="236"/>
      <c r="I9" s="236"/>
      <c r="J9" s="242"/>
      <c r="L9" s="270"/>
      <c r="M9" s="245"/>
      <c r="N9" s="19" t="s">
        <v>62</v>
      </c>
      <c r="O9" s="17">
        <v>19.05</v>
      </c>
      <c r="P9" s="17">
        <v>13</v>
      </c>
      <c r="Q9" s="17">
        <f t="shared" si="1"/>
        <v>247.65</v>
      </c>
      <c r="R9" s="236"/>
      <c r="S9" s="236"/>
      <c r="T9" s="236"/>
      <c r="U9" s="242"/>
    </row>
    <row r="10" spans="1:21" ht="13">
      <c r="A10" s="270"/>
      <c r="B10" s="245"/>
      <c r="C10" s="19" t="s">
        <v>584</v>
      </c>
      <c r="D10" s="17">
        <v>7</v>
      </c>
      <c r="E10" s="17">
        <v>12</v>
      </c>
      <c r="F10" s="17">
        <f t="shared" si="0"/>
        <v>84</v>
      </c>
      <c r="G10" s="236"/>
      <c r="H10" s="236"/>
      <c r="I10" s="236"/>
      <c r="J10" s="242"/>
      <c r="L10" s="270"/>
      <c r="M10" s="245"/>
      <c r="N10" s="19" t="s">
        <v>584</v>
      </c>
      <c r="O10" s="17">
        <v>7</v>
      </c>
      <c r="P10" s="17">
        <v>12</v>
      </c>
      <c r="Q10" s="17">
        <f t="shared" si="1"/>
        <v>84</v>
      </c>
      <c r="R10" s="236"/>
      <c r="S10" s="236"/>
      <c r="T10" s="236"/>
      <c r="U10" s="242"/>
    </row>
    <row r="11" spans="1:21" ht="13">
      <c r="A11" s="270"/>
      <c r="B11" s="245"/>
      <c r="C11" s="19" t="s">
        <v>285</v>
      </c>
      <c r="D11" s="17">
        <v>7</v>
      </c>
      <c r="E11" s="17">
        <v>12</v>
      </c>
      <c r="F11" s="17">
        <f t="shared" si="0"/>
        <v>84</v>
      </c>
      <c r="G11" s="236"/>
      <c r="H11" s="236"/>
      <c r="I11" s="236"/>
      <c r="J11" s="242"/>
      <c r="L11" s="270"/>
      <c r="M11" s="245"/>
      <c r="N11" s="19" t="s">
        <v>285</v>
      </c>
      <c r="O11" s="17">
        <v>7</v>
      </c>
      <c r="P11" s="17">
        <v>12</v>
      </c>
      <c r="Q11" s="17">
        <f t="shared" si="1"/>
        <v>84</v>
      </c>
      <c r="R11" s="236"/>
      <c r="S11" s="236"/>
      <c r="T11" s="236"/>
      <c r="U11" s="242"/>
    </row>
    <row r="12" spans="1:21" ht="13">
      <c r="A12" s="270"/>
      <c r="B12" s="245"/>
      <c r="C12" s="19" t="s">
        <v>64</v>
      </c>
      <c r="D12" s="17">
        <v>15.41</v>
      </c>
      <c r="E12" s="17">
        <v>13</v>
      </c>
      <c r="F12" s="17">
        <f t="shared" si="0"/>
        <v>200.33</v>
      </c>
      <c r="G12" s="236"/>
      <c r="H12" s="236"/>
      <c r="I12" s="236"/>
      <c r="J12" s="242"/>
      <c r="L12" s="270"/>
      <c r="M12" s="245"/>
      <c r="N12" s="19" t="s">
        <v>64</v>
      </c>
      <c r="O12" s="17">
        <v>15.41</v>
      </c>
      <c r="P12" s="17">
        <v>13</v>
      </c>
      <c r="Q12" s="17">
        <f t="shared" si="1"/>
        <v>200.33</v>
      </c>
      <c r="R12" s="236"/>
      <c r="S12" s="236"/>
      <c r="T12" s="236"/>
      <c r="U12" s="242"/>
    </row>
    <row r="13" spans="1:21" ht="13">
      <c r="A13" s="270"/>
      <c r="B13" s="245"/>
      <c r="C13" s="19" t="s">
        <v>438</v>
      </c>
      <c r="D13" s="17"/>
      <c r="E13" s="17"/>
      <c r="F13" s="17">
        <v>50</v>
      </c>
      <c r="G13" s="236"/>
      <c r="H13" s="236"/>
      <c r="I13" s="236"/>
      <c r="J13" s="242"/>
      <c r="L13" s="270"/>
      <c r="M13" s="245"/>
      <c r="N13" s="19" t="s">
        <v>438</v>
      </c>
      <c r="O13" s="17"/>
      <c r="P13" s="17"/>
      <c r="Q13" s="17">
        <v>50</v>
      </c>
      <c r="R13" s="236"/>
      <c r="S13" s="236"/>
      <c r="T13" s="236"/>
      <c r="U13" s="242"/>
    </row>
    <row r="14" spans="1:21" ht="13">
      <c r="A14" s="271"/>
      <c r="B14" s="246"/>
      <c r="C14" s="19" t="s">
        <v>45</v>
      </c>
      <c r="D14" s="17"/>
      <c r="E14" s="17"/>
      <c r="F14" s="17">
        <v>70</v>
      </c>
      <c r="G14" s="238"/>
      <c r="H14" s="238"/>
      <c r="I14" s="238"/>
      <c r="J14" s="243"/>
      <c r="L14" s="271"/>
      <c r="M14" s="246"/>
      <c r="N14" s="19" t="s">
        <v>45</v>
      </c>
      <c r="O14" s="17"/>
      <c r="P14" s="17"/>
      <c r="Q14" s="17">
        <v>70</v>
      </c>
      <c r="R14" s="238"/>
      <c r="S14" s="238"/>
      <c r="T14" s="238"/>
      <c r="U14" s="243"/>
    </row>
    <row r="15" spans="1:21" ht="30">
      <c r="A15" s="254" t="s">
        <v>669</v>
      </c>
      <c r="B15" s="255"/>
      <c r="C15" s="256"/>
      <c r="D15" s="27">
        <f t="shared" ref="D15:I15" si="2">AVERAGE(D2:D14)</f>
        <v>11.375999999999999</v>
      </c>
      <c r="E15" s="27">
        <f t="shared" si="2"/>
        <v>13.3</v>
      </c>
      <c r="F15" s="27">
        <f t="shared" si="2"/>
        <v>135.49</v>
      </c>
      <c r="G15" s="27">
        <f t="shared" si="2"/>
        <v>1625.88</v>
      </c>
      <c r="H15" s="27">
        <f t="shared" si="2"/>
        <v>2856</v>
      </c>
      <c r="I15" s="27">
        <f t="shared" si="2"/>
        <v>1230.1199999999999</v>
      </c>
      <c r="J15" s="28" t="e">
        <f>AVERAGE($K$10:$K$33)</f>
        <v>#DIV/0!</v>
      </c>
      <c r="L15" s="254" t="s">
        <v>669</v>
      </c>
      <c r="M15" s="255"/>
      <c r="N15" s="256"/>
      <c r="O15" s="27">
        <f t="shared" ref="O15:T15" si="3">AVERAGE(O2:O14)</f>
        <v>11.862222222222222</v>
      </c>
      <c r="P15" s="27">
        <f t="shared" si="3"/>
        <v>13</v>
      </c>
      <c r="Q15" s="27">
        <f t="shared" si="3"/>
        <v>137.62545454545455</v>
      </c>
      <c r="R15" s="92">
        <f t="shared" si="3"/>
        <v>1513.88</v>
      </c>
      <c r="S15" s="92">
        <f t="shared" si="3"/>
        <v>2856</v>
      </c>
      <c r="T15" s="92">
        <f t="shared" si="3"/>
        <v>1342.12</v>
      </c>
      <c r="U15" s="93" t="e">
        <f>AVERAGE($K$10:$K$33)</f>
        <v>#DIV/0!</v>
      </c>
    </row>
    <row r="16" spans="1:21" ht="30">
      <c r="A16" s="251" t="s">
        <v>670</v>
      </c>
      <c r="B16" s="252"/>
      <c r="C16" s="253"/>
      <c r="D16" s="42">
        <f t="shared" ref="D16:I16" si="4">SUM(D2:D14)</f>
        <v>113.75999999999999</v>
      </c>
      <c r="E16" s="42">
        <f t="shared" si="4"/>
        <v>133</v>
      </c>
      <c r="F16" s="42">
        <f t="shared" si="4"/>
        <v>1625.88</v>
      </c>
      <c r="G16" s="42">
        <f t="shared" si="4"/>
        <v>1625.88</v>
      </c>
      <c r="H16" s="42">
        <f t="shared" si="4"/>
        <v>2856</v>
      </c>
      <c r="I16" s="42">
        <f t="shared" si="4"/>
        <v>1230.1199999999999</v>
      </c>
      <c r="J16" s="29">
        <f t="shared" ref="J16:J17" si="5">I16/H16</f>
        <v>0.43071428571428566</v>
      </c>
      <c r="L16" s="254" t="s">
        <v>670</v>
      </c>
      <c r="M16" s="255"/>
      <c r="N16" s="256"/>
      <c r="O16" s="42">
        <f t="shared" ref="O16:T16" si="6">SUM(O2:O14)</f>
        <v>106.75999999999999</v>
      </c>
      <c r="P16" s="42">
        <f t="shared" si="6"/>
        <v>117</v>
      </c>
      <c r="Q16" s="42">
        <f t="shared" si="6"/>
        <v>1513.88</v>
      </c>
      <c r="R16" s="42">
        <f t="shared" si="6"/>
        <v>1513.88</v>
      </c>
      <c r="S16" s="42">
        <f t="shared" si="6"/>
        <v>2856</v>
      </c>
      <c r="T16" s="42">
        <f t="shared" si="6"/>
        <v>1342.12</v>
      </c>
      <c r="U16" s="29">
        <f t="shared" ref="U16:U17" si="7">T16/S16</f>
        <v>0.46992997198879549</v>
      </c>
    </row>
    <row r="17" spans="1:21" ht="13">
      <c r="A17" s="269" t="s">
        <v>671</v>
      </c>
      <c r="B17" s="289" t="s">
        <v>682</v>
      </c>
      <c r="C17" s="77" t="s">
        <v>23</v>
      </c>
      <c r="D17" s="71">
        <v>21</v>
      </c>
      <c r="E17" s="71">
        <v>16</v>
      </c>
      <c r="F17" s="71">
        <f>D17*E17</f>
        <v>336</v>
      </c>
      <c r="G17" s="240">
        <f>SUM(F17:F18)</f>
        <v>336</v>
      </c>
      <c r="H17" s="240">
        <v>735</v>
      </c>
      <c r="I17" s="240">
        <f>H17-G17</f>
        <v>399</v>
      </c>
      <c r="J17" s="241">
        <f t="shared" si="5"/>
        <v>0.54285714285714282</v>
      </c>
      <c r="L17" s="269" t="s">
        <v>671</v>
      </c>
      <c r="M17" s="289" t="s">
        <v>682</v>
      </c>
      <c r="N17" s="77" t="s">
        <v>23</v>
      </c>
      <c r="O17" s="43"/>
      <c r="P17" s="43"/>
      <c r="Q17" s="43"/>
      <c r="R17" s="240">
        <f>SUM(Q17:Q18)</f>
        <v>0</v>
      </c>
      <c r="S17" s="240">
        <v>735</v>
      </c>
      <c r="T17" s="240">
        <f>S17-R17</f>
        <v>735</v>
      </c>
      <c r="U17" s="241">
        <f t="shared" si="7"/>
        <v>1</v>
      </c>
    </row>
    <row r="18" spans="1:21" ht="13">
      <c r="A18" s="270"/>
      <c r="B18" s="246"/>
      <c r="C18" s="20"/>
      <c r="D18" s="20"/>
      <c r="E18" s="20"/>
      <c r="F18" s="21"/>
      <c r="G18" s="238"/>
      <c r="H18" s="238"/>
      <c r="I18" s="238"/>
      <c r="J18" s="243"/>
      <c r="L18" s="270"/>
      <c r="M18" s="246"/>
      <c r="N18" s="20"/>
      <c r="O18" s="20"/>
      <c r="P18" s="20"/>
      <c r="Q18" s="21"/>
      <c r="R18" s="238"/>
      <c r="S18" s="238"/>
      <c r="T18" s="238"/>
      <c r="U18" s="243"/>
    </row>
    <row r="19" spans="1:21" ht="13">
      <c r="A19" s="270"/>
      <c r="B19" s="244" t="s">
        <v>590</v>
      </c>
      <c r="C19" s="15" t="s">
        <v>114</v>
      </c>
      <c r="D19" s="16">
        <v>21</v>
      </c>
      <c r="E19" s="16">
        <v>18</v>
      </c>
      <c r="F19" s="17">
        <f t="shared" ref="F19:F25" si="8">D19*E19</f>
        <v>378</v>
      </c>
      <c r="G19" s="240">
        <f>SUM(F19:F27)</f>
        <v>1648.5499999999997</v>
      </c>
      <c r="H19" s="237">
        <v>1428</v>
      </c>
      <c r="I19" s="237">
        <f>H19-G19</f>
        <v>-220.54999999999973</v>
      </c>
      <c r="J19" s="241">
        <f>I19/H19</f>
        <v>-0.15444677871148441</v>
      </c>
      <c r="L19" s="270"/>
      <c r="M19" s="244" t="s">
        <v>590</v>
      </c>
      <c r="N19" s="15" t="s">
        <v>114</v>
      </c>
      <c r="O19" s="43"/>
      <c r="P19" s="43"/>
      <c r="Q19" s="43"/>
      <c r="R19" s="240">
        <f>SUM(Q19:Q27)</f>
        <v>1270.5499999999997</v>
      </c>
      <c r="S19" s="237">
        <v>1428</v>
      </c>
      <c r="T19" s="237">
        <f>S19-R19</f>
        <v>157.45000000000027</v>
      </c>
      <c r="U19" s="241">
        <f>T19/S19</f>
        <v>0.11025910364145677</v>
      </c>
    </row>
    <row r="20" spans="1:21" ht="13">
      <c r="A20" s="270"/>
      <c r="B20" s="245"/>
      <c r="C20" s="19" t="s">
        <v>178</v>
      </c>
      <c r="D20" s="17">
        <v>21.75</v>
      </c>
      <c r="E20" s="17">
        <v>13</v>
      </c>
      <c r="F20" s="17">
        <f t="shared" si="8"/>
        <v>282.75</v>
      </c>
      <c r="G20" s="236"/>
      <c r="H20" s="236"/>
      <c r="I20" s="236"/>
      <c r="J20" s="242"/>
      <c r="L20" s="270"/>
      <c r="M20" s="245"/>
      <c r="N20" s="19" t="s">
        <v>178</v>
      </c>
      <c r="O20" s="17">
        <v>21.75</v>
      </c>
      <c r="P20" s="17">
        <v>13</v>
      </c>
      <c r="Q20" s="17">
        <f t="shared" ref="Q20:Q25" si="9">O20*P20</f>
        <v>282.75</v>
      </c>
      <c r="R20" s="236"/>
      <c r="S20" s="236"/>
      <c r="T20" s="236"/>
      <c r="U20" s="242"/>
    </row>
    <row r="21" spans="1:21" ht="13">
      <c r="A21" s="270"/>
      <c r="B21" s="245"/>
      <c r="C21" s="19" t="s">
        <v>70</v>
      </c>
      <c r="D21" s="17">
        <v>13.33</v>
      </c>
      <c r="E21" s="17">
        <v>13</v>
      </c>
      <c r="F21" s="17">
        <f t="shared" si="8"/>
        <v>173.29</v>
      </c>
      <c r="G21" s="236"/>
      <c r="H21" s="236"/>
      <c r="I21" s="236"/>
      <c r="J21" s="242"/>
      <c r="L21" s="270"/>
      <c r="M21" s="245"/>
      <c r="N21" s="19" t="s">
        <v>70</v>
      </c>
      <c r="O21" s="17">
        <v>13.33</v>
      </c>
      <c r="P21" s="17">
        <v>13</v>
      </c>
      <c r="Q21" s="17">
        <f t="shared" si="9"/>
        <v>173.29</v>
      </c>
      <c r="R21" s="236"/>
      <c r="S21" s="236"/>
      <c r="T21" s="236"/>
      <c r="U21" s="242"/>
    </row>
    <row r="22" spans="1:21" ht="13">
      <c r="A22" s="270"/>
      <c r="B22" s="245"/>
      <c r="C22" s="19" t="s">
        <v>53</v>
      </c>
      <c r="D22" s="17">
        <v>10.6</v>
      </c>
      <c r="E22" s="17">
        <v>13</v>
      </c>
      <c r="F22" s="17">
        <f t="shared" si="8"/>
        <v>137.79999999999998</v>
      </c>
      <c r="G22" s="236"/>
      <c r="H22" s="236"/>
      <c r="I22" s="236"/>
      <c r="J22" s="242"/>
      <c r="L22" s="270"/>
      <c r="M22" s="245"/>
      <c r="N22" s="19" t="s">
        <v>53</v>
      </c>
      <c r="O22" s="17">
        <v>10.6</v>
      </c>
      <c r="P22" s="17">
        <v>13</v>
      </c>
      <c r="Q22" s="17">
        <f t="shared" si="9"/>
        <v>137.79999999999998</v>
      </c>
      <c r="R22" s="236"/>
      <c r="S22" s="236"/>
      <c r="T22" s="236"/>
      <c r="U22" s="242"/>
    </row>
    <row r="23" spans="1:21" ht="13">
      <c r="A23" s="270"/>
      <c r="B23" s="245"/>
      <c r="C23" s="19" t="s">
        <v>583</v>
      </c>
      <c r="D23" s="17">
        <v>12.12</v>
      </c>
      <c r="E23" s="17">
        <v>13</v>
      </c>
      <c r="F23" s="17">
        <f t="shared" si="8"/>
        <v>157.56</v>
      </c>
      <c r="G23" s="236"/>
      <c r="H23" s="236"/>
      <c r="I23" s="236"/>
      <c r="J23" s="242"/>
      <c r="L23" s="270"/>
      <c r="M23" s="245"/>
      <c r="N23" s="19" t="s">
        <v>583</v>
      </c>
      <c r="O23" s="17">
        <v>12.12</v>
      </c>
      <c r="P23" s="17">
        <v>13</v>
      </c>
      <c r="Q23" s="17">
        <f t="shared" si="9"/>
        <v>157.56</v>
      </c>
      <c r="R23" s="236"/>
      <c r="S23" s="236"/>
      <c r="T23" s="236"/>
      <c r="U23" s="242"/>
    </row>
    <row r="24" spans="1:21" ht="13">
      <c r="A24" s="270"/>
      <c r="B24" s="245"/>
      <c r="C24" s="19" t="s">
        <v>64</v>
      </c>
      <c r="D24" s="17">
        <v>20.350000000000001</v>
      </c>
      <c r="E24" s="17">
        <v>13</v>
      </c>
      <c r="F24" s="17">
        <f t="shared" si="8"/>
        <v>264.55</v>
      </c>
      <c r="G24" s="236"/>
      <c r="H24" s="236"/>
      <c r="I24" s="236"/>
      <c r="J24" s="242"/>
      <c r="L24" s="270"/>
      <c r="M24" s="245"/>
      <c r="N24" s="19" t="s">
        <v>64</v>
      </c>
      <c r="O24" s="17">
        <v>20.350000000000001</v>
      </c>
      <c r="P24" s="17">
        <v>13</v>
      </c>
      <c r="Q24" s="17">
        <f t="shared" si="9"/>
        <v>264.55</v>
      </c>
      <c r="R24" s="236"/>
      <c r="S24" s="236"/>
      <c r="T24" s="236"/>
      <c r="U24" s="242"/>
    </row>
    <row r="25" spans="1:21" ht="13">
      <c r="A25" s="270"/>
      <c r="B25" s="245"/>
      <c r="C25" s="19" t="s">
        <v>591</v>
      </c>
      <c r="D25" s="17">
        <v>14.2</v>
      </c>
      <c r="E25" s="17">
        <v>13</v>
      </c>
      <c r="F25" s="17">
        <f t="shared" si="8"/>
        <v>184.6</v>
      </c>
      <c r="G25" s="236"/>
      <c r="H25" s="236"/>
      <c r="I25" s="236"/>
      <c r="J25" s="242"/>
      <c r="L25" s="270"/>
      <c r="M25" s="245"/>
      <c r="N25" s="19" t="s">
        <v>591</v>
      </c>
      <c r="O25" s="17">
        <v>14.2</v>
      </c>
      <c r="P25" s="17">
        <v>13</v>
      </c>
      <c r="Q25" s="17">
        <f t="shared" si="9"/>
        <v>184.6</v>
      </c>
      <c r="R25" s="236"/>
      <c r="S25" s="236"/>
      <c r="T25" s="236"/>
      <c r="U25" s="242"/>
    </row>
    <row r="26" spans="1:21" ht="13">
      <c r="A26" s="270"/>
      <c r="B26" s="245"/>
      <c r="C26" s="19" t="s">
        <v>438</v>
      </c>
      <c r="D26" s="17"/>
      <c r="E26" s="17"/>
      <c r="F26" s="17">
        <v>70</v>
      </c>
      <c r="G26" s="236"/>
      <c r="H26" s="236"/>
      <c r="I26" s="236"/>
      <c r="J26" s="242"/>
      <c r="L26" s="270"/>
      <c r="M26" s="245"/>
      <c r="N26" s="19" t="s">
        <v>438</v>
      </c>
      <c r="O26" s="17"/>
      <c r="P26" s="17"/>
      <c r="Q26" s="17">
        <v>70</v>
      </c>
      <c r="R26" s="236"/>
      <c r="S26" s="236"/>
      <c r="T26" s="236"/>
      <c r="U26" s="242"/>
    </row>
    <row r="27" spans="1:21" ht="13">
      <c r="A27" s="271"/>
      <c r="B27" s="246"/>
      <c r="C27" s="20"/>
      <c r="D27" s="21"/>
      <c r="E27" s="21"/>
      <c r="F27" s="21"/>
      <c r="G27" s="238"/>
      <c r="H27" s="238"/>
      <c r="I27" s="238"/>
      <c r="J27" s="243"/>
      <c r="L27" s="271"/>
      <c r="M27" s="246"/>
      <c r="N27" s="20"/>
      <c r="O27" s="21"/>
      <c r="P27" s="21"/>
      <c r="Q27" s="21"/>
      <c r="R27" s="238"/>
      <c r="S27" s="238"/>
      <c r="T27" s="238"/>
      <c r="U27" s="243"/>
    </row>
    <row r="28" spans="1:21" ht="30">
      <c r="A28" s="254" t="s">
        <v>672</v>
      </c>
      <c r="B28" s="255"/>
      <c r="C28" s="256"/>
      <c r="D28" s="27">
        <f t="shared" ref="D28:I28" si="10">AVERAGE(D17:D27)</f>
        <v>16.793749999999999</v>
      </c>
      <c r="E28" s="27">
        <f t="shared" si="10"/>
        <v>14</v>
      </c>
      <c r="F28" s="27">
        <f t="shared" si="10"/>
        <v>220.50555555555553</v>
      </c>
      <c r="G28" s="27">
        <f t="shared" si="10"/>
        <v>992.27499999999986</v>
      </c>
      <c r="H28" s="27">
        <f t="shared" si="10"/>
        <v>1081.5</v>
      </c>
      <c r="I28" s="27">
        <f t="shared" si="10"/>
        <v>89.225000000000136</v>
      </c>
      <c r="J28" s="28" t="e">
        <f>AVERAGE($K$10:$K$33)</f>
        <v>#DIV/0!</v>
      </c>
      <c r="L28" s="254" t="s">
        <v>672</v>
      </c>
      <c r="M28" s="255"/>
      <c r="N28" s="256"/>
      <c r="O28" s="27">
        <f t="shared" ref="O28:T28" si="11">AVERAGE(O17:O27)</f>
        <v>15.391666666666667</v>
      </c>
      <c r="P28" s="27">
        <f t="shared" si="11"/>
        <v>13</v>
      </c>
      <c r="Q28" s="27">
        <f t="shared" si="11"/>
        <v>181.50714285714281</v>
      </c>
      <c r="R28" s="27">
        <f t="shared" si="11"/>
        <v>635.27499999999986</v>
      </c>
      <c r="S28" s="27">
        <f t="shared" si="11"/>
        <v>1081.5</v>
      </c>
      <c r="T28" s="27">
        <f t="shared" si="11"/>
        <v>446.22500000000014</v>
      </c>
      <c r="U28" s="28" t="e">
        <f>AVERAGE($K$10:$K$33)</f>
        <v>#DIV/0!</v>
      </c>
    </row>
    <row r="29" spans="1:21" ht="30">
      <c r="A29" s="251" t="s">
        <v>673</v>
      </c>
      <c r="B29" s="252"/>
      <c r="C29" s="253"/>
      <c r="D29" s="42">
        <f t="shared" ref="D29:I29" si="12">SUM(D17:D27)</f>
        <v>134.35</v>
      </c>
      <c r="E29" s="42">
        <f t="shared" si="12"/>
        <v>112</v>
      </c>
      <c r="F29" s="42">
        <f t="shared" si="12"/>
        <v>1984.5499999999997</v>
      </c>
      <c r="G29" s="42">
        <f t="shared" si="12"/>
        <v>1984.5499999999997</v>
      </c>
      <c r="H29" s="42">
        <f t="shared" si="12"/>
        <v>2163</v>
      </c>
      <c r="I29" s="42">
        <f t="shared" si="12"/>
        <v>178.45000000000027</v>
      </c>
      <c r="J29" s="29">
        <f t="shared" ref="J29:J30" si="13">I29/H29</f>
        <v>8.2501155802126802E-2</v>
      </c>
      <c r="L29" s="251" t="s">
        <v>673</v>
      </c>
      <c r="M29" s="252"/>
      <c r="N29" s="253"/>
      <c r="O29" s="42">
        <f t="shared" ref="O29:T29" si="14">SUM(O17:O27)</f>
        <v>92.350000000000009</v>
      </c>
      <c r="P29" s="42">
        <f t="shared" si="14"/>
        <v>78</v>
      </c>
      <c r="Q29" s="42">
        <f t="shared" si="14"/>
        <v>1270.5499999999997</v>
      </c>
      <c r="R29" s="42">
        <f t="shared" si="14"/>
        <v>1270.5499999999997</v>
      </c>
      <c r="S29" s="42">
        <f t="shared" si="14"/>
        <v>2163</v>
      </c>
      <c r="T29" s="42">
        <f t="shared" si="14"/>
        <v>892.45000000000027</v>
      </c>
      <c r="U29" s="29">
        <f t="shared" ref="U29:U30" si="15">T29/S29</f>
        <v>0.4125982431807676</v>
      </c>
    </row>
    <row r="30" spans="1:21" ht="13">
      <c r="A30" s="269" t="s">
        <v>592</v>
      </c>
      <c r="B30" s="244" t="s">
        <v>593</v>
      </c>
      <c r="C30" s="15" t="s">
        <v>114</v>
      </c>
      <c r="D30" s="16">
        <v>14</v>
      </c>
      <c r="E30" s="16">
        <v>18</v>
      </c>
      <c r="F30" s="17">
        <f t="shared" ref="F30:F36" si="16">D30*E30</f>
        <v>252</v>
      </c>
      <c r="G30" s="240">
        <f>SUM(F30:F37)</f>
        <v>1413.7449999999999</v>
      </c>
      <c r="H30" s="237">
        <v>1428</v>
      </c>
      <c r="I30" s="237">
        <f>H30-G30</f>
        <v>14.255000000000109</v>
      </c>
      <c r="J30" s="241">
        <f t="shared" si="13"/>
        <v>9.9824929971989562E-3</v>
      </c>
      <c r="L30" s="269" t="s">
        <v>592</v>
      </c>
      <c r="M30" s="244" t="s">
        <v>593</v>
      </c>
      <c r="N30" s="15" t="s">
        <v>114</v>
      </c>
      <c r="O30" s="43"/>
      <c r="P30" s="43"/>
      <c r="Q30" s="43"/>
      <c r="R30" s="240">
        <f>SUM(Q30:Q37)</f>
        <v>1161.7449999999999</v>
      </c>
      <c r="S30" s="237">
        <v>1428</v>
      </c>
      <c r="T30" s="237">
        <f>S30-R30</f>
        <v>266.25500000000011</v>
      </c>
      <c r="U30" s="241">
        <f t="shared" si="15"/>
        <v>0.18645308123249307</v>
      </c>
    </row>
    <row r="31" spans="1:21" ht="13">
      <c r="A31" s="270"/>
      <c r="B31" s="245"/>
      <c r="C31" s="19" t="s">
        <v>32</v>
      </c>
      <c r="D31" s="17">
        <v>14.005000000000001</v>
      </c>
      <c r="E31" s="17">
        <v>13</v>
      </c>
      <c r="F31" s="17">
        <f t="shared" si="16"/>
        <v>182.065</v>
      </c>
      <c r="G31" s="236"/>
      <c r="H31" s="236"/>
      <c r="I31" s="236"/>
      <c r="J31" s="242"/>
      <c r="L31" s="270"/>
      <c r="M31" s="245"/>
      <c r="N31" s="19" t="s">
        <v>32</v>
      </c>
      <c r="O31" s="17">
        <v>14.005000000000001</v>
      </c>
      <c r="P31" s="17">
        <v>13</v>
      </c>
      <c r="Q31" s="17">
        <f t="shared" ref="Q31:Q36" si="17">O31*P31</f>
        <v>182.065</v>
      </c>
      <c r="R31" s="236"/>
      <c r="S31" s="236"/>
      <c r="T31" s="236"/>
      <c r="U31" s="242"/>
    </row>
    <row r="32" spans="1:21" ht="13">
      <c r="A32" s="270"/>
      <c r="B32" s="245"/>
      <c r="C32" s="19" t="s">
        <v>126</v>
      </c>
      <c r="D32" s="17">
        <v>15.75</v>
      </c>
      <c r="E32" s="17">
        <v>13</v>
      </c>
      <c r="F32" s="17">
        <f t="shared" si="16"/>
        <v>204.75</v>
      </c>
      <c r="G32" s="236"/>
      <c r="H32" s="236"/>
      <c r="I32" s="236"/>
      <c r="J32" s="242"/>
      <c r="L32" s="270"/>
      <c r="M32" s="245"/>
      <c r="N32" s="19" t="s">
        <v>126</v>
      </c>
      <c r="O32" s="17">
        <v>15.75</v>
      </c>
      <c r="P32" s="17">
        <v>13</v>
      </c>
      <c r="Q32" s="17">
        <f t="shared" si="17"/>
        <v>204.75</v>
      </c>
      <c r="R32" s="236"/>
      <c r="S32" s="236"/>
      <c r="T32" s="236"/>
      <c r="U32" s="242"/>
    </row>
    <row r="33" spans="1:21" ht="13">
      <c r="A33" s="270"/>
      <c r="B33" s="245"/>
      <c r="C33" s="19" t="s">
        <v>53</v>
      </c>
      <c r="D33" s="17">
        <v>13.67</v>
      </c>
      <c r="E33" s="17">
        <v>13</v>
      </c>
      <c r="F33" s="17">
        <f t="shared" si="16"/>
        <v>177.71</v>
      </c>
      <c r="G33" s="236"/>
      <c r="H33" s="236"/>
      <c r="I33" s="236"/>
      <c r="J33" s="242"/>
      <c r="L33" s="270"/>
      <c r="M33" s="245"/>
      <c r="N33" s="19" t="s">
        <v>53</v>
      </c>
      <c r="O33" s="17">
        <v>13.67</v>
      </c>
      <c r="P33" s="17">
        <v>13</v>
      </c>
      <c r="Q33" s="17">
        <f t="shared" si="17"/>
        <v>177.71</v>
      </c>
      <c r="R33" s="236"/>
      <c r="S33" s="236"/>
      <c r="T33" s="236"/>
      <c r="U33" s="242"/>
    </row>
    <row r="34" spans="1:21" ht="13">
      <c r="A34" s="270"/>
      <c r="B34" s="245"/>
      <c r="C34" s="19" t="s">
        <v>64</v>
      </c>
      <c r="D34" s="17">
        <v>17.25</v>
      </c>
      <c r="E34" s="17">
        <v>13</v>
      </c>
      <c r="F34" s="17">
        <f t="shared" si="16"/>
        <v>224.25</v>
      </c>
      <c r="G34" s="236"/>
      <c r="H34" s="236"/>
      <c r="I34" s="236"/>
      <c r="J34" s="242"/>
      <c r="L34" s="270"/>
      <c r="M34" s="245"/>
      <c r="N34" s="19" t="s">
        <v>64</v>
      </c>
      <c r="O34" s="17">
        <v>17.25</v>
      </c>
      <c r="P34" s="17">
        <v>13</v>
      </c>
      <c r="Q34" s="17">
        <f t="shared" si="17"/>
        <v>224.25</v>
      </c>
      <c r="R34" s="236"/>
      <c r="S34" s="236"/>
      <c r="T34" s="236"/>
      <c r="U34" s="242"/>
    </row>
    <row r="35" spans="1:21" ht="13">
      <c r="A35" s="270"/>
      <c r="B35" s="245"/>
      <c r="C35" s="19" t="s">
        <v>583</v>
      </c>
      <c r="D35" s="17">
        <v>16.72</v>
      </c>
      <c r="E35" s="17">
        <v>13</v>
      </c>
      <c r="F35" s="17">
        <f t="shared" si="16"/>
        <v>217.35999999999999</v>
      </c>
      <c r="G35" s="236"/>
      <c r="H35" s="236"/>
      <c r="I35" s="236"/>
      <c r="J35" s="242"/>
      <c r="L35" s="270"/>
      <c r="M35" s="245"/>
      <c r="N35" s="19" t="s">
        <v>583</v>
      </c>
      <c r="O35" s="17">
        <v>16.72</v>
      </c>
      <c r="P35" s="17">
        <v>13</v>
      </c>
      <c r="Q35" s="17">
        <f t="shared" si="17"/>
        <v>217.35999999999999</v>
      </c>
      <c r="R35" s="236"/>
      <c r="S35" s="236"/>
      <c r="T35" s="236"/>
      <c r="U35" s="242"/>
    </row>
    <row r="36" spans="1:21" ht="13">
      <c r="A36" s="270"/>
      <c r="B36" s="245"/>
      <c r="C36" s="19" t="s">
        <v>591</v>
      </c>
      <c r="D36" s="17">
        <v>11.97</v>
      </c>
      <c r="E36" s="17">
        <v>13</v>
      </c>
      <c r="F36" s="17">
        <f t="shared" si="16"/>
        <v>155.61000000000001</v>
      </c>
      <c r="G36" s="236"/>
      <c r="H36" s="236"/>
      <c r="I36" s="236"/>
      <c r="J36" s="242"/>
      <c r="L36" s="270"/>
      <c r="M36" s="245"/>
      <c r="N36" s="19" t="s">
        <v>591</v>
      </c>
      <c r="O36" s="17">
        <v>11.97</v>
      </c>
      <c r="P36" s="17">
        <v>13</v>
      </c>
      <c r="Q36" s="17">
        <f t="shared" si="17"/>
        <v>155.61000000000001</v>
      </c>
      <c r="R36" s="236"/>
      <c r="S36" s="236"/>
      <c r="T36" s="236"/>
      <c r="U36" s="242"/>
    </row>
    <row r="37" spans="1:21" ht="13">
      <c r="A37" s="271"/>
      <c r="B37" s="246"/>
      <c r="C37" s="20"/>
      <c r="D37" s="21"/>
      <c r="E37" s="21"/>
      <c r="F37" s="21"/>
      <c r="G37" s="238"/>
      <c r="H37" s="238"/>
      <c r="I37" s="238"/>
      <c r="J37" s="243"/>
      <c r="L37" s="271"/>
      <c r="M37" s="246"/>
      <c r="N37" s="20"/>
      <c r="O37" s="21"/>
      <c r="P37" s="21"/>
      <c r="Q37" s="21"/>
      <c r="R37" s="238"/>
      <c r="S37" s="238"/>
      <c r="T37" s="238"/>
      <c r="U37" s="243"/>
    </row>
    <row r="38" spans="1:21" ht="30">
      <c r="A38" s="254" t="s">
        <v>674</v>
      </c>
      <c r="B38" s="255"/>
      <c r="C38" s="256"/>
      <c r="D38" s="27">
        <f t="shared" ref="D38:I38" si="18">AVERAGE(D30:D37)</f>
        <v>14.766428571428573</v>
      </c>
      <c r="E38" s="27">
        <f t="shared" si="18"/>
        <v>13.714285714285714</v>
      </c>
      <c r="F38" s="27">
        <f t="shared" si="18"/>
        <v>201.96357142857141</v>
      </c>
      <c r="G38" s="27">
        <f t="shared" si="18"/>
        <v>1413.7449999999999</v>
      </c>
      <c r="H38" s="27">
        <f t="shared" si="18"/>
        <v>1428</v>
      </c>
      <c r="I38" s="27">
        <f t="shared" si="18"/>
        <v>14.255000000000109</v>
      </c>
      <c r="J38" s="28" t="e">
        <f>AVERAGE($K$10:$K$33)</f>
        <v>#DIV/0!</v>
      </c>
      <c r="L38" s="254" t="s">
        <v>674</v>
      </c>
      <c r="M38" s="255"/>
      <c r="N38" s="256"/>
      <c r="O38" s="27">
        <f t="shared" ref="O38:T38" si="19">AVERAGE(O30:O37)</f>
        <v>14.894166666666669</v>
      </c>
      <c r="P38" s="27">
        <f t="shared" si="19"/>
        <v>13</v>
      </c>
      <c r="Q38" s="27">
        <f t="shared" si="19"/>
        <v>193.62416666666664</v>
      </c>
      <c r="R38" s="27">
        <f t="shared" si="19"/>
        <v>1161.7449999999999</v>
      </c>
      <c r="S38" s="27">
        <f t="shared" si="19"/>
        <v>1428</v>
      </c>
      <c r="T38" s="27">
        <f t="shared" si="19"/>
        <v>266.25500000000011</v>
      </c>
      <c r="U38" s="28" t="e">
        <f>AVERAGE($K$10:$K$33)</f>
        <v>#DIV/0!</v>
      </c>
    </row>
    <row r="39" spans="1:21" ht="30">
      <c r="A39" s="251" t="s">
        <v>675</v>
      </c>
      <c r="B39" s="252"/>
      <c r="C39" s="253"/>
      <c r="D39" s="42">
        <f t="shared" ref="D39:I39" si="20">SUM(D30:D37)</f>
        <v>103.36500000000001</v>
      </c>
      <c r="E39" s="42">
        <f t="shared" si="20"/>
        <v>96</v>
      </c>
      <c r="F39" s="42">
        <f t="shared" si="20"/>
        <v>1413.7449999999999</v>
      </c>
      <c r="G39" s="88">
        <f t="shared" si="20"/>
        <v>1413.7449999999999</v>
      </c>
      <c r="H39" s="88">
        <f t="shared" si="20"/>
        <v>1428</v>
      </c>
      <c r="I39" s="88">
        <f t="shared" si="20"/>
        <v>14.255000000000109</v>
      </c>
      <c r="J39" s="89">
        <f>I39/H39</f>
        <v>9.9824929971989562E-3</v>
      </c>
      <c r="L39" s="251" t="s">
        <v>675</v>
      </c>
      <c r="M39" s="252"/>
      <c r="N39" s="253"/>
      <c r="O39" s="42">
        <f t="shared" ref="O39:T39" si="21">SUM(O30:O37)</f>
        <v>89.365000000000009</v>
      </c>
      <c r="P39" s="42">
        <f t="shared" si="21"/>
        <v>78</v>
      </c>
      <c r="Q39" s="42">
        <f t="shared" si="21"/>
        <v>1161.7449999999999</v>
      </c>
      <c r="R39" s="42">
        <f t="shared" si="21"/>
        <v>1161.7449999999999</v>
      </c>
      <c r="S39" s="42">
        <f t="shared" si="21"/>
        <v>1428</v>
      </c>
      <c r="T39" s="42">
        <f t="shared" si="21"/>
        <v>266.25500000000011</v>
      </c>
      <c r="U39" s="29">
        <f>T39/S39</f>
        <v>0.18645308123249307</v>
      </c>
    </row>
    <row r="41" spans="1:21" ht="30">
      <c r="A41" s="257" t="s">
        <v>204</v>
      </c>
      <c r="B41" s="252"/>
      <c r="C41" s="253"/>
      <c r="D41" s="34">
        <f t="shared" ref="D41:I41" si="22">SUM(D16,D29,D39)</f>
        <v>351.47500000000002</v>
      </c>
      <c r="E41" s="34">
        <f t="shared" si="22"/>
        <v>341</v>
      </c>
      <c r="F41" s="34">
        <f t="shared" si="22"/>
        <v>5024.1749999999993</v>
      </c>
      <c r="G41" s="34">
        <f t="shared" si="22"/>
        <v>5024.1749999999993</v>
      </c>
      <c r="H41" s="34">
        <f t="shared" si="22"/>
        <v>6447</v>
      </c>
      <c r="I41" s="34">
        <f t="shared" si="22"/>
        <v>1422.8250000000003</v>
      </c>
      <c r="J41" s="35">
        <f>I41/H41</f>
        <v>0.22069567240577018</v>
      </c>
      <c r="L41" s="257" t="s">
        <v>204</v>
      </c>
      <c r="M41" s="252"/>
      <c r="N41" s="253"/>
      <c r="O41" s="34">
        <f t="shared" ref="O41:T41" si="23">SUM(O16,O29,O39)</f>
        <v>288.47500000000002</v>
      </c>
      <c r="P41" s="34">
        <f t="shared" si="23"/>
        <v>273</v>
      </c>
      <c r="Q41" s="34">
        <f t="shared" si="23"/>
        <v>3946.1749999999997</v>
      </c>
      <c r="R41" s="34">
        <f t="shared" si="23"/>
        <v>3946.1749999999997</v>
      </c>
      <c r="S41" s="34">
        <f t="shared" si="23"/>
        <v>6447</v>
      </c>
      <c r="T41" s="34">
        <f t="shared" si="23"/>
        <v>2500.8250000000003</v>
      </c>
      <c r="U41" s="35">
        <f>T41/S41</f>
        <v>0.38790522723747484</v>
      </c>
    </row>
    <row r="43" spans="1:21" ht="13">
      <c r="A43" s="269" t="s">
        <v>3</v>
      </c>
      <c r="B43" s="244" t="s">
        <v>599</v>
      </c>
      <c r="C43" s="15" t="s">
        <v>114</v>
      </c>
      <c r="D43" s="16">
        <v>14</v>
      </c>
      <c r="E43" s="16">
        <v>18</v>
      </c>
      <c r="F43" s="17">
        <f t="shared" ref="F43:F49" si="24">D43*E43</f>
        <v>252</v>
      </c>
      <c r="G43" s="240">
        <f>SUM(F43:F50)</f>
        <v>1623.85</v>
      </c>
      <c r="H43" s="237">
        <v>1428</v>
      </c>
      <c r="I43" s="237">
        <f>H43-G43</f>
        <v>-195.84999999999991</v>
      </c>
      <c r="J43" s="241">
        <f>I43/H43</f>
        <v>-0.13714985994397752</v>
      </c>
      <c r="L43" s="269" t="s">
        <v>3</v>
      </c>
      <c r="M43" s="244" t="s">
        <v>599</v>
      </c>
      <c r="N43" s="15" t="s">
        <v>114</v>
      </c>
      <c r="O43" s="43"/>
      <c r="P43" s="43"/>
      <c r="Q43" s="43"/>
      <c r="R43" s="240">
        <f>SUM(Q43:Q50)</f>
        <v>1371.85</v>
      </c>
      <c r="S43" s="237">
        <v>1428</v>
      </c>
      <c r="T43" s="237">
        <f>S43-R43</f>
        <v>56.150000000000091</v>
      </c>
      <c r="U43" s="241">
        <f>T43/S43</f>
        <v>3.9320728291316588E-2</v>
      </c>
    </row>
    <row r="44" spans="1:21" ht="13">
      <c r="A44" s="270"/>
      <c r="B44" s="245"/>
      <c r="C44" s="19" t="s">
        <v>70</v>
      </c>
      <c r="D44" s="17">
        <v>13.51</v>
      </c>
      <c r="E44" s="17">
        <v>13</v>
      </c>
      <c r="F44" s="17">
        <f t="shared" si="24"/>
        <v>175.63</v>
      </c>
      <c r="G44" s="236"/>
      <c r="H44" s="236"/>
      <c r="I44" s="236"/>
      <c r="J44" s="242"/>
      <c r="L44" s="270"/>
      <c r="M44" s="245"/>
      <c r="N44" s="19" t="s">
        <v>70</v>
      </c>
      <c r="O44" s="17">
        <v>13.51</v>
      </c>
      <c r="P44" s="17">
        <v>13</v>
      </c>
      <c r="Q44" s="17">
        <f t="shared" ref="Q44:Q49" si="25">O44*P44</f>
        <v>175.63</v>
      </c>
      <c r="R44" s="236"/>
      <c r="S44" s="236"/>
      <c r="T44" s="236"/>
      <c r="U44" s="242"/>
    </row>
    <row r="45" spans="1:21" ht="13">
      <c r="A45" s="270"/>
      <c r="B45" s="245"/>
      <c r="C45" s="19" t="s">
        <v>62</v>
      </c>
      <c r="D45" s="17">
        <v>13.9</v>
      </c>
      <c r="E45" s="17">
        <v>13</v>
      </c>
      <c r="F45" s="17">
        <f t="shared" si="24"/>
        <v>180.70000000000002</v>
      </c>
      <c r="G45" s="236"/>
      <c r="H45" s="236"/>
      <c r="I45" s="236"/>
      <c r="J45" s="242"/>
      <c r="L45" s="270"/>
      <c r="M45" s="245"/>
      <c r="N45" s="19" t="s">
        <v>62</v>
      </c>
      <c r="O45" s="17">
        <v>13.9</v>
      </c>
      <c r="P45" s="17">
        <v>13</v>
      </c>
      <c r="Q45" s="17">
        <f t="shared" si="25"/>
        <v>180.70000000000002</v>
      </c>
      <c r="R45" s="236"/>
      <c r="S45" s="236"/>
      <c r="T45" s="236"/>
      <c r="U45" s="242"/>
    </row>
    <row r="46" spans="1:21" ht="13">
      <c r="A46" s="270"/>
      <c r="B46" s="245"/>
      <c r="C46" s="19" t="s">
        <v>53</v>
      </c>
      <c r="D46" s="17">
        <v>14.55</v>
      </c>
      <c r="E46" s="17">
        <v>13</v>
      </c>
      <c r="F46" s="17">
        <f t="shared" si="24"/>
        <v>189.15</v>
      </c>
      <c r="G46" s="236"/>
      <c r="H46" s="236"/>
      <c r="I46" s="236"/>
      <c r="J46" s="242"/>
      <c r="L46" s="270"/>
      <c r="M46" s="245"/>
      <c r="N46" s="19" t="s">
        <v>53</v>
      </c>
      <c r="O46" s="17">
        <v>14.55</v>
      </c>
      <c r="P46" s="17">
        <v>13</v>
      </c>
      <c r="Q46" s="17">
        <f t="shared" si="25"/>
        <v>189.15</v>
      </c>
      <c r="R46" s="236"/>
      <c r="S46" s="236"/>
      <c r="T46" s="236"/>
      <c r="U46" s="242"/>
    </row>
    <row r="47" spans="1:21" ht="13">
      <c r="A47" s="270"/>
      <c r="B47" s="245"/>
      <c r="C47" s="19" t="s">
        <v>64</v>
      </c>
      <c r="D47" s="17">
        <v>26.51</v>
      </c>
      <c r="E47" s="17">
        <v>15</v>
      </c>
      <c r="F47" s="17">
        <f t="shared" si="24"/>
        <v>397.65000000000003</v>
      </c>
      <c r="G47" s="236"/>
      <c r="H47" s="236"/>
      <c r="I47" s="236"/>
      <c r="J47" s="242"/>
      <c r="L47" s="270"/>
      <c r="M47" s="245"/>
      <c r="N47" s="19" t="s">
        <v>64</v>
      </c>
      <c r="O47" s="17">
        <v>26.51</v>
      </c>
      <c r="P47" s="17">
        <v>15</v>
      </c>
      <c r="Q47" s="17">
        <f t="shared" si="25"/>
        <v>397.65000000000003</v>
      </c>
      <c r="R47" s="236"/>
      <c r="S47" s="236"/>
      <c r="T47" s="236"/>
      <c r="U47" s="242"/>
    </row>
    <row r="48" spans="1:21" ht="13">
      <c r="A48" s="270"/>
      <c r="B48" s="245"/>
      <c r="C48" s="19" t="s">
        <v>583</v>
      </c>
      <c r="D48" s="17">
        <v>18.739999999999998</v>
      </c>
      <c r="E48" s="17">
        <v>13</v>
      </c>
      <c r="F48" s="17">
        <f t="shared" si="24"/>
        <v>243.61999999999998</v>
      </c>
      <c r="G48" s="236"/>
      <c r="H48" s="236"/>
      <c r="I48" s="236"/>
      <c r="J48" s="242"/>
      <c r="L48" s="270"/>
      <c r="M48" s="245"/>
      <c r="N48" s="19" t="s">
        <v>583</v>
      </c>
      <c r="O48" s="17">
        <v>18.739999999999998</v>
      </c>
      <c r="P48" s="17">
        <v>13</v>
      </c>
      <c r="Q48" s="17">
        <f t="shared" si="25"/>
        <v>243.61999999999998</v>
      </c>
      <c r="R48" s="236"/>
      <c r="S48" s="236"/>
      <c r="T48" s="236"/>
      <c r="U48" s="242"/>
    </row>
    <row r="49" spans="1:21" ht="13">
      <c r="A49" s="270"/>
      <c r="B49" s="245"/>
      <c r="C49" s="19" t="s">
        <v>591</v>
      </c>
      <c r="D49" s="17">
        <v>12.7</v>
      </c>
      <c r="E49" s="17">
        <v>13</v>
      </c>
      <c r="F49" s="17">
        <f t="shared" si="24"/>
        <v>165.1</v>
      </c>
      <c r="G49" s="236"/>
      <c r="H49" s="236"/>
      <c r="I49" s="236"/>
      <c r="J49" s="242"/>
      <c r="L49" s="270"/>
      <c r="M49" s="245"/>
      <c r="N49" s="19" t="s">
        <v>591</v>
      </c>
      <c r="O49" s="17">
        <v>12.7</v>
      </c>
      <c r="P49" s="17">
        <v>13</v>
      </c>
      <c r="Q49" s="17">
        <f t="shared" si="25"/>
        <v>165.1</v>
      </c>
      <c r="R49" s="236"/>
      <c r="S49" s="236"/>
      <c r="T49" s="236"/>
      <c r="U49" s="242"/>
    </row>
    <row r="50" spans="1:21" ht="13">
      <c r="A50" s="270"/>
      <c r="B50" s="246"/>
      <c r="C50" s="20" t="s">
        <v>45</v>
      </c>
      <c r="D50" s="21"/>
      <c r="E50" s="21"/>
      <c r="F50" s="21">
        <v>20</v>
      </c>
      <c r="G50" s="238"/>
      <c r="H50" s="238"/>
      <c r="I50" s="238"/>
      <c r="J50" s="243"/>
      <c r="L50" s="270"/>
      <c r="M50" s="246"/>
      <c r="N50" s="20" t="s">
        <v>45</v>
      </c>
      <c r="O50" s="21"/>
      <c r="P50" s="21"/>
      <c r="Q50" s="21">
        <v>20</v>
      </c>
      <c r="R50" s="238"/>
      <c r="S50" s="238"/>
      <c r="T50" s="238"/>
      <c r="U50" s="243"/>
    </row>
    <row r="51" spans="1:21" ht="13">
      <c r="A51" s="270"/>
      <c r="B51" s="244" t="s">
        <v>600</v>
      </c>
      <c r="C51" s="53" t="s">
        <v>114</v>
      </c>
      <c r="D51" s="16">
        <v>7</v>
      </c>
      <c r="E51" s="17">
        <v>18</v>
      </c>
      <c r="F51" s="17">
        <f>D51*E51</f>
        <v>126</v>
      </c>
      <c r="G51" s="240">
        <f>SUM(F51:F52)</f>
        <v>126</v>
      </c>
      <c r="H51" s="273">
        <v>227.5</v>
      </c>
      <c r="I51" s="273">
        <f>H51-G51</f>
        <v>101.5</v>
      </c>
      <c r="J51" s="241">
        <f>I51/H51</f>
        <v>0.44615384615384618</v>
      </c>
      <c r="L51" s="270"/>
      <c r="M51" s="244" t="s">
        <v>600</v>
      </c>
      <c r="N51" s="53" t="s">
        <v>114</v>
      </c>
      <c r="O51" s="43"/>
      <c r="P51" s="43"/>
      <c r="Q51" s="43"/>
      <c r="R51" s="240">
        <f>SUM(Q51:Q52)</f>
        <v>0</v>
      </c>
      <c r="S51" s="273">
        <v>227.5</v>
      </c>
      <c r="T51" s="273">
        <f>S51-R51</f>
        <v>227.5</v>
      </c>
      <c r="U51" s="241">
        <f>T51/S51</f>
        <v>1</v>
      </c>
    </row>
    <row r="52" spans="1:21" ht="13">
      <c r="A52" s="271"/>
      <c r="B52" s="246"/>
      <c r="C52" s="55"/>
      <c r="D52" s="20"/>
      <c r="E52" s="20"/>
      <c r="F52" s="21"/>
      <c r="G52" s="238"/>
      <c r="H52" s="238"/>
      <c r="I52" s="238"/>
      <c r="J52" s="243"/>
      <c r="L52" s="271"/>
      <c r="M52" s="246"/>
      <c r="N52" s="55"/>
      <c r="O52" s="20"/>
      <c r="P52" s="20"/>
      <c r="Q52" s="21"/>
      <c r="R52" s="238"/>
      <c r="S52" s="238"/>
      <c r="T52" s="238"/>
      <c r="U52" s="243"/>
    </row>
    <row r="53" spans="1:21" ht="30">
      <c r="A53" s="254" t="s">
        <v>251</v>
      </c>
      <c r="B53" s="255"/>
      <c r="C53" s="256"/>
      <c r="D53" s="27">
        <f t="shared" ref="D53:I53" si="26">AVERAGE(D43:D52)</f>
        <v>15.11375</v>
      </c>
      <c r="E53" s="27">
        <f t="shared" si="26"/>
        <v>14.5</v>
      </c>
      <c r="F53" s="27">
        <f t="shared" si="26"/>
        <v>194.42777777777778</v>
      </c>
      <c r="G53" s="27">
        <f t="shared" si="26"/>
        <v>874.92499999999995</v>
      </c>
      <c r="H53" s="27">
        <f t="shared" si="26"/>
        <v>827.75</v>
      </c>
      <c r="I53" s="27">
        <f t="shared" si="26"/>
        <v>-47.174999999999955</v>
      </c>
      <c r="J53" s="28" t="e">
        <f>AVERAGE($K$10:$K$33)</f>
        <v>#DIV/0!</v>
      </c>
      <c r="L53" s="254" t="s">
        <v>251</v>
      </c>
      <c r="M53" s="255"/>
      <c r="N53" s="256"/>
      <c r="O53" s="27">
        <f t="shared" ref="O53:T53" si="27">AVERAGE(O43:O52)</f>
        <v>16.651666666666667</v>
      </c>
      <c r="P53" s="27">
        <f t="shared" si="27"/>
        <v>13.333333333333334</v>
      </c>
      <c r="Q53" s="27">
        <f t="shared" si="27"/>
        <v>195.97857142857143</v>
      </c>
      <c r="R53" s="27">
        <f t="shared" si="27"/>
        <v>685.92499999999995</v>
      </c>
      <c r="S53" s="27">
        <f t="shared" si="27"/>
        <v>827.75</v>
      </c>
      <c r="T53" s="27">
        <f t="shared" si="27"/>
        <v>141.82500000000005</v>
      </c>
      <c r="U53" s="28" t="e">
        <f>AVERAGE($K$10:$K$33)</f>
        <v>#DIV/0!</v>
      </c>
    </row>
    <row r="54" spans="1:21" ht="30">
      <c r="A54" s="251" t="s">
        <v>252</v>
      </c>
      <c r="B54" s="252"/>
      <c r="C54" s="253"/>
      <c r="D54" s="88">
        <f t="shared" ref="D54:I54" si="28">SUM(D43:D52)</f>
        <v>120.91</v>
      </c>
      <c r="E54" s="88">
        <f t="shared" si="28"/>
        <v>116</v>
      </c>
      <c r="F54" s="88">
        <f t="shared" si="28"/>
        <v>1749.85</v>
      </c>
      <c r="G54" s="88">
        <f t="shared" si="28"/>
        <v>1749.85</v>
      </c>
      <c r="H54" s="88">
        <f t="shared" si="28"/>
        <v>1655.5</v>
      </c>
      <c r="I54" s="88">
        <f t="shared" si="28"/>
        <v>-94.349999999999909</v>
      </c>
      <c r="J54" s="89">
        <f t="shared" ref="J54:J55" si="29">I54/H54</f>
        <v>-5.699184536393833E-2</v>
      </c>
      <c r="L54" s="251" t="s">
        <v>252</v>
      </c>
      <c r="M54" s="252"/>
      <c r="N54" s="253"/>
      <c r="O54" s="88">
        <f t="shared" ref="O54:T54" si="30">SUM(O43:O52)</f>
        <v>99.91</v>
      </c>
      <c r="P54" s="88">
        <f t="shared" si="30"/>
        <v>80</v>
      </c>
      <c r="Q54" s="88">
        <f t="shared" si="30"/>
        <v>1371.85</v>
      </c>
      <c r="R54" s="88">
        <f t="shared" si="30"/>
        <v>1371.85</v>
      </c>
      <c r="S54" s="88">
        <f t="shared" si="30"/>
        <v>1655.5</v>
      </c>
      <c r="T54" s="88">
        <f t="shared" si="30"/>
        <v>283.65000000000009</v>
      </c>
      <c r="U54" s="89">
        <f t="shared" ref="U54:U55" si="31">T54/S54</f>
        <v>0.17133796436122023</v>
      </c>
    </row>
    <row r="55" spans="1:21" ht="13">
      <c r="A55" s="269" t="s">
        <v>4</v>
      </c>
      <c r="B55" s="244" t="s">
        <v>605</v>
      </c>
      <c r="C55" s="15" t="s">
        <v>51</v>
      </c>
      <c r="D55" s="16"/>
      <c r="E55" s="16"/>
      <c r="F55" s="16">
        <v>300</v>
      </c>
      <c r="G55" s="240">
        <f>SUM(F55:F64)</f>
        <v>1566.49</v>
      </c>
      <c r="H55" s="237">
        <v>1428</v>
      </c>
      <c r="I55" s="237">
        <f>H55-G55</f>
        <v>-138.49</v>
      </c>
      <c r="J55" s="241">
        <f t="shared" si="29"/>
        <v>-9.6981792717086845E-2</v>
      </c>
      <c r="L55" s="269" t="s">
        <v>4</v>
      </c>
      <c r="M55" s="244" t="s">
        <v>605</v>
      </c>
      <c r="N55" s="15" t="s">
        <v>51</v>
      </c>
      <c r="O55" s="16"/>
      <c r="P55" s="16"/>
      <c r="Q55" s="16">
        <v>300</v>
      </c>
      <c r="R55" s="240">
        <f>SUM(Q55:Q64)</f>
        <v>1454.49</v>
      </c>
      <c r="S55" s="237">
        <v>1428</v>
      </c>
      <c r="T55" s="237">
        <f>S55-R55</f>
        <v>-26.490000000000009</v>
      </c>
      <c r="U55" s="241">
        <f t="shared" si="31"/>
        <v>-1.8550420168067232E-2</v>
      </c>
    </row>
    <row r="56" spans="1:21" ht="13">
      <c r="A56" s="270"/>
      <c r="B56" s="245"/>
      <c r="C56" s="19" t="s">
        <v>209</v>
      </c>
      <c r="D56" s="17">
        <v>7</v>
      </c>
      <c r="E56" s="17">
        <v>16</v>
      </c>
      <c r="F56" s="17">
        <f t="shared" ref="F56:F57" si="32">D56*E56</f>
        <v>112</v>
      </c>
      <c r="G56" s="236"/>
      <c r="H56" s="236"/>
      <c r="I56" s="236"/>
      <c r="J56" s="242"/>
      <c r="L56" s="270"/>
      <c r="M56" s="245"/>
      <c r="N56" s="19" t="s">
        <v>209</v>
      </c>
      <c r="O56" s="18"/>
      <c r="P56" s="18"/>
      <c r="Q56" s="18"/>
      <c r="R56" s="236"/>
      <c r="S56" s="236"/>
      <c r="T56" s="236"/>
      <c r="U56" s="242"/>
    </row>
    <row r="57" spans="1:21" ht="13">
      <c r="A57" s="270"/>
      <c r="B57" s="245"/>
      <c r="C57" s="19" t="s">
        <v>62</v>
      </c>
      <c r="D57" s="17">
        <v>14.1</v>
      </c>
      <c r="E57" s="17">
        <v>13</v>
      </c>
      <c r="F57" s="17">
        <f t="shared" si="32"/>
        <v>183.29999999999998</v>
      </c>
      <c r="G57" s="236"/>
      <c r="H57" s="236"/>
      <c r="I57" s="236"/>
      <c r="J57" s="242"/>
      <c r="L57" s="270"/>
      <c r="M57" s="245"/>
      <c r="N57" s="19" t="s">
        <v>62</v>
      </c>
      <c r="O57" s="17">
        <v>14.1</v>
      </c>
      <c r="P57" s="17">
        <v>13</v>
      </c>
      <c r="Q57" s="17">
        <f>O57*P57</f>
        <v>183.29999999999998</v>
      </c>
      <c r="R57" s="236"/>
      <c r="S57" s="236"/>
      <c r="T57" s="236"/>
      <c r="U57" s="242"/>
    </row>
    <row r="58" spans="1:21" ht="13">
      <c r="A58" s="270"/>
      <c r="B58" s="245"/>
      <c r="C58" s="19" t="s">
        <v>606</v>
      </c>
      <c r="D58" s="17"/>
      <c r="E58" s="17"/>
      <c r="F58" s="17">
        <v>50</v>
      </c>
      <c r="G58" s="236"/>
      <c r="H58" s="236"/>
      <c r="I58" s="236"/>
      <c r="J58" s="242"/>
      <c r="L58" s="270"/>
      <c r="M58" s="245"/>
      <c r="N58" s="19" t="s">
        <v>606</v>
      </c>
      <c r="O58" s="17"/>
      <c r="P58" s="17"/>
      <c r="Q58" s="17">
        <v>50</v>
      </c>
      <c r="R58" s="236"/>
      <c r="S58" s="236"/>
      <c r="T58" s="236"/>
      <c r="U58" s="242"/>
    </row>
    <row r="59" spans="1:21" ht="13">
      <c r="A59" s="270"/>
      <c r="B59" s="245"/>
      <c r="C59" s="19" t="s">
        <v>63</v>
      </c>
      <c r="D59" s="17">
        <v>5.8</v>
      </c>
      <c r="E59" s="17">
        <v>13</v>
      </c>
      <c r="F59" s="17">
        <f t="shared" ref="F59:F64" si="33">D59*E59</f>
        <v>75.399999999999991</v>
      </c>
      <c r="G59" s="236"/>
      <c r="H59" s="236"/>
      <c r="I59" s="236"/>
      <c r="J59" s="242"/>
      <c r="L59" s="270"/>
      <c r="M59" s="245"/>
      <c r="N59" s="19" t="s">
        <v>63</v>
      </c>
      <c r="O59" s="17">
        <v>5.8</v>
      </c>
      <c r="P59" s="17">
        <v>13</v>
      </c>
      <c r="Q59" s="17">
        <f t="shared" ref="Q59:Q64" si="34">O59*P59</f>
        <v>75.399999999999991</v>
      </c>
      <c r="R59" s="236"/>
      <c r="S59" s="236"/>
      <c r="T59" s="236"/>
      <c r="U59" s="242"/>
    </row>
    <row r="60" spans="1:21" ht="13">
      <c r="A60" s="270"/>
      <c r="B60" s="245"/>
      <c r="C60" s="19" t="s">
        <v>64</v>
      </c>
      <c r="D60" s="17">
        <v>15.15</v>
      </c>
      <c r="E60" s="17">
        <v>15</v>
      </c>
      <c r="F60" s="17">
        <f t="shared" si="33"/>
        <v>227.25</v>
      </c>
      <c r="G60" s="236"/>
      <c r="H60" s="236"/>
      <c r="I60" s="236"/>
      <c r="J60" s="242"/>
      <c r="L60" s="270"/>
      <c r="M60" s="245"/>
      <c r="N60" s="19" t="s">
        <v>64</v>
      </c>
      <c r="O60" s="17">
        <v>15.15</v>
      </c>
      <c r="P60" s="17">
        <v>15</v>
      </c>
      <c r="Q60" s="17">
        <f t="shared" si="34"/>
        <v>227.25</v>
      </c>
      <c r="R60" s="236"/>
      <c r="S60" s="236"/>
      <c r="T60" s="236"/>
      <c r="U60" s="242"/>
    </row>
    <row r="61" spans="1:21" ht="13">
      <c r="A61" s="270"/>
      <c r="B61" s="245"/>
      <c r="C61" s="19" t="s">
        <v>583</v>
      </c>
      <c r="D61" s="17">
        <v>11.28</v>
      </c>
      <c r="E61" s="17">
        <v>13</v>
      </c>
      <c r="F61" s="17">
        <f t="shared" si="33"/>
        <v>146.63999999999999</v>
      </c>
      <c r="G61" s="236"/>
      <c r="H61" s="236"/>
      <c r="I61" s="236"/>
      <c r="J61" s="242"/>
      <c r="L61" s="270"/>
      <c r="M61" s="245"/>
      <c r="N61" s="19" t="s">
        <v>583</v>
      </c>
      <c r="O61" s="17">
        <v>11.28</v>
      </c>
      <c r="P61" s="17">
        <v>13</v>
      </c>
      <c r="Q61" s="17">
        <f t="shared" si="34"/>
        <v>146.63999999999999</v>
      </c>
      <c r="R61" s="236"/>
      <c r="S61" s="236"/>
      <c r="T61" s="236"/>
      <c r="U61" s="242"/>
    </row>
    <row r="62" spans="1:21" ht="13">
      <c r="A62" s="270"/>
      <c r="B62" s="245"/>
      <c r="C62" s="19" t="s">
        <v>57</v>
      </c>
      <c r="D62" s="17">
        <v>11.65</v>
      </c>
      <c r="E62" s="17">
        <v>13</v>
      </c>
      <c r="F62" s="17">
        <f t="shared" si="33"/>
        <v>151.45000000000002</v>
      </c>
      <c r="G62" s="236"/>
      <c r="H62" s="236"/>
      <c r="I62" s="236"/>
      <c r="J62" s="242"/>
      <c r="L62" s="270"/>
      <c r="M62" s="245"/>
      <c r="N62" s="19" t="s">
        <v>57</v>
      </c>
      <c r="O62" s="17">
        <v>11.65</v>
      </c>
      <c r="P62" s="17">
        <v>13</v>
      </c>
      <c r="Q62" s="17">
        <f t="shared" si="34"/>
        <v>151.45000000000002</v>
      </c>
      <c r="R62" s="236"/>
      <c r="S62" s="236"/>
      <c r="T62" s="236"/>
      <c r="U62" s="242"/>
    </row>
    <row r="63" spans="1:21" ht="13">
      <c r="A63" s="270"/>
      <c r="B63" s="245"/>
      <c r="C63" s="19" t="s">
        <v>591</v>
      </c>
      <c r="D63" s="17">
        <v>12.65</v>
      </c>
      <c r="E63" s="17">
        <v>13</v>
      </c>
      <c r="F63" s="17">
        <f t="shared" si="33"/>
        <v>164.45000000000002</v>
      </c>
      <c r="G63" s="236"/>
      <c r="H63" s="236"/>
      <c r="I63" s="236"/>
      <c r="J63" s="242"/>
      <c r="L63" s="270"/>
      <c r="M63" s="245"/>
      <c r="N63" s="19" t="s">
        <v>591</v>
      </c>
      <c r="O63" s="17">
        <v>12.65</v>
      </c>
      <c r="P63" s="17">
        <v>13</v>
      </c>
      <c r="Q63" s="17">
        <f t="shared" si="34"/>
        <v>164.45000000000002</v>
      </c>
      <c r="R63" s="236"/>
      <c r="S63" s="236"/>
      <c r="T63" s="236"/>
      <c r="U63" s="242"/>
    </row>
    <row r="64" spans="1:21" ht="13">
      <c r="A64" s="271"/>
      <c r="B64" s="246"/>
      <c r="C64" s="20" t="s">
        <v>607</v>
      </c>
      <c r="D64" s="21">
        <v>12</v>
      </c>
      <c r="E64" s="21">
        <v>13</v>
      </c>
      <c r="F64" s="21">
        <f t="shared" si="33"/>
        <v>156</v>
      </c>
      <c r="G64" s="238"/>
      <c r="H64" s="238"/>
      <c r="I64" s="238"/>
      <c r="J64" s="243"/>
      <c r="L64" s="271"/>
      <c r="M64" s="246"/>
      <c r="N64" s="20" t="s">
        <v>607</v>
      </c>
      <c r="O64" s="21">
        <v>12</v>
      </c>
      <c r="P64" s="21">
        <v>13</v>
      </c>
      <c r="Q64" s="21">
        <f t="shared" si="34"/>
        <v>156</v>
      </c>
      <c r="R64" s="238"/>
      <c r="S64" s="238"/>
      <c r="T64" s="238"/>
      <c r="U64" s="243"/>
    </row>
    <row r="65" spans="1:21" ht="30">
      <c r="A65" s="254" t="s">
        <v>281</v>
      </c>
      <c r="B65" s="255"/>
      <c r="C65" s="256"/>
      <c r="D65" s="27">
        <f t="shared" ref="D65:I65" si="35">AVERAGE(D55:D64)</f>
        <v>11.203750000000001</v>
      </c>
      <c r="E65" s="27">
        <f t="shared" si="35"/>
        <v>13.625</v>
      </c>
      <c r="F65" s="27">
        <f t="shared" si="35"/>
        <v>156.649</v>
      </c>
      <c r="G65" s="27">
        <f t="shared" si="35"/>
        <v>1566.49</v>
      </c>
      <c r="H65" s="27">
        <f t="shared" si="35"/>
        <v>1428</v>
      </c>
      <c r="I65" s="27">
        <f t="shared" si="35"/>
        <v>-138.49</v>
      </c>
      <c r="J65" s="28" t="e">
        <f>AVERAGE($K$10:$K$33)</f>
        <v>#DIV/0!</v>
      </c>
      <c r="L65" s="254" t="s">
        <v>281</v>
      </c>
      <c r="M65" s="255"/>
      <c r="N65" s="256"/>
      <c r="O65" s="27">
        <f t="shared" ref="O65:T65" si="36">AVERAGE(O55:O64)</f>
        <v>11.804285714285713</v>
      </c>
      <c r="P65" s="27">
        <f t="shared" si="36"/>
        <v>13.285714285714286</v>
      </c>
      <c r="Q65" s="27">
        <f t="shared" si="36"/>
        <v>161.61000000000001</v>
      </c>
      <c r="R65" s="27">
        <f t="shared" si="36"/>
        <v>1454.49</v>
      </c>
      <c r="S65" s="27">
        <f t="shared" si="36"/>
        <v>1428</v>
      </c>
      <c r="T65" s="27">
        <f t="shared" si="36"/>
        <v>-26.490000000000009</v>
      </c>
      <c r="U65" s="28" t="e">
        <f>AVERAGE($K$10:$K$33)</f>
        <v>#DIV/0!</v>
      </c>
    </row>
    <row r="66" spans="1:21" ht="30">
      <c r="A66" s="251" t="s">
        <v>282</v>
      </c>
      <c r="B66" s="252"/>
      <c r="C66" s="253"/>
      <c r="D66" s="88">
        <f t="shared" ref="D66:I66" si="37">SUM(D55:D64)</f>
        <v>89.63000000000001</v>
      </c>
      <c r="E66" s="88">
        <f t="shared" si="37"/>
        <v>109</v>
      </c>
      <c r="F66" s="88">
        <f t="shared" si="37"/>
        <v>1566.49</v>
      </c>
      <c r="G66" s="88">
        <f t="shared" si="37"/>
        <v>1566.49</v>
      </c>
      <c r="H66" s="88">
        <f t="shared" si="37"/>
        <v>1428</v>
      </c>
      <c r="I66" s="88">
        <f t="shared" si="37"/>
        <v>-138.49</v>
      </c>
      <c r="J66" s="89">
        <f t="shared" ref="J66:J67" si="38">I66/H66</f>
        <v>-9.6981792717086845E-2</v>
      </c>
      <c r="L66" s="251" t="s">
        <v>282</v>
      </c>
      <c r="M66" s="252"/>
      <c r="N66" s="253"/>
      <c r="O66" s="88">
        <f t="shared" ref="O66:T66" si="39">SUM(O55:O64)</f>
        <v>82.63</v>
      </c>
      <c r="P66" s="88">
        <f t="shared" si="39"/>
        <v>93</v>
      </c>
      <c r="Q66" s="88">
        <f t="shared" si="39"/>
        <v>1454.49</v>
      </c>
      <c r="R66" s="88">
        <f t="shared" si="39"/>
        <v>1454.49</v>
      </c>
      <c r="S66" s="88">
        <f t="shared" si="39"/>
        <v>1428</v>
      </c>
      <c r="T66" s="88">
        <f t="shared" si="39"/>
        <v>-26.490000000000009</v>
      </c>
      <c r="U66" s="89">
        <f t="shared" ref="U66:U67" si="40">T66/S66</f>
        <v>-1.8550420168067232E-2</v>
      </c>
    </row>
    <row r="67" spans="1:21" ht="13">
      <c r="A67" s="269" t="s">
        <v>5</v>
      </c>
      <c r="B67" s="244" t="s">
        <v>608</v>
      </c>
      <c r="C67" s="15" t="s">
        <v>609</v>
      </c>
      <c r="D67" s="16">
        <v>6.87</v>
      </c>
      <c r="E67" s="16">
        <v>13</v>
      </c>
      <c r="F67" s="17">
        <f t="shared" ref="F67:F69" si="41">D67*E67</f>
        <v>89.31</v>
      </c>
      <c r="G67" s="240">
        <f>SUM(F67:F75)</f>
        <v>1818.9999999999998</v>
      </c>
      <c r="H67" s="237">
        <v>2784.6</v>
      </c>
      <c r="I67" s="237">
        <f>H67-G67</f>
        <v>965.60000000000014</v>
      </c>
      <c r="J67" s="241">
        <f t="shared" si="38"/>
        <v>0.34676434676434681</v>
      </c>
      <c r="L67" s="269" t="s">
        <v>5</v>
      </c>
      <c r="M67" s="244" t="s">
        <v>608</v>
      </c>
      <c r="N67" s="15" t="s">
        <v>609</v>
      </c>
      <c r="O67" s="16">
        <v>6.87</v>
      </c>
      <c r="P67" s="16">
        <v>13</v>
      </c>
      <c r="Q67" s="17">
        <f>O67*P67</f>
        <v>89.31</v>
      </c>
      <c r="R67" s="240">
        <f>SUM(Q67:Q75)</f>
        <v>1566.9999999999998</v>
      </c>
      <c r="S67" s="237">
        <v>2784.6</v>
      </c>
      <c r="T67" s="237">
        <f>S67-R67</f>
        <v>1217.6000000000001</v>
      </c>
      <c r="U67" s="241">
        <f t="shared" si="40"/>
        <v>0.43726208432090791</v>
      </c>
    </row>
    <row r="68" spans="1:21" ht="13">
      <c r="A68" s="270"/>
      <c r="B68" s="245"/>
      <c r="C68" s="19" t="s">
        <v>209</v>
      </c>
      <c r="D68" s="17">
        <v>14</v>
      </c>
      <c r="E68" s="17">
        <v>18</v>
      </c>
      <c r="F68" s="17">
        <f t="shared" si="41"/>
        <v>252</v>
      </c>
      <c r="G68" s="236"/>
      <c r="H68" s="236"/>
      <c r="I68" s="236"/>
      <c r="J68" s="242"/>
      <c r="L68" s="270"/>
      <c r="M68" s="245"/>
      <c r="N68" s="19" t="s">
        <v>209</v>
      </c>
      <c r="O68" s="18"/>
      <c r="P68" s="18"/>
      <c r="Q68" s="18"/>
      <c r="R68" s="236"/>
      <c r="S68" s="236"/>
      <c r="T68" s="236"/>
      <c r="U68" s="242"/>
    </row>
    <row r="69" spans="1:21" ht="13">
      <c r="A69" s="270"/>
      <c r="B69" s="245"/>
      <c r="C69" s="19" t="s">
        <v>62</v>
      </c>
      <c r="D69" s="17">
        <v>20.75</v>
      </c>
      <c r="E69" s="17">
        <v>13</v>
      </c>
      <c r="F69" s="17">
        <f t="shared" si="41"/>
        <v>269.75</v>
      </c>
      <c r="G69" s="236"/>
      <c r="H69" s="236"/>
      <c r="I69" s="236"/>
      <c r="J69" s="242"/>
      <c r="L69" s="270"/>
      <c r="M69" s="245"/>
      <c r="N69" s="19" t="s">
        <v>62</v>
      </c>
      <c r="O69" s="17">
        <v>20.75</v>
      </c>
      <c r="P69" s="17">
        <v>13</v>
      </c>
      <c r="Q69" s="17">
        <f>O69*P69</f>
        <v>269.75</v>
      </c>
      <c r="R69" s="236"/>
      <c r="S69" s="236"/>
      <c r="T69" s="236"/>
      <c r="U69" s="242"/>
    </row>
    <row r="70" spans="1:21" ht="13">
      <c r="A70" s="270"/>
      <c r="B70" s="245"/>
      <c r="C70" s="19" t="s">
        <v>35</v>
      </c>
      <c r="D70" s="17"/>
      <c r="E70" s="17"/>
      <c r="F70" s="17">
        <v>150</v>
      </c>
      <c r="G70" s="236"/>
      <c r="H70" s="236"/>
      <c r="I70" s="236"/>
      <c r="J70" s="242"/>
      <c r="L70" s="270"/>
      <c r="M70" s="245"/>
      <c r="N70" s="19" t="s">
        <v>35</v>
      </c>
      <c r="O70" s="17"/>
      <c r="P70" s="17"/>
      <c r="Q70" s="17">
        <v>150</v>
      </c>
      <c r="R70" s="236"/>
      <c r="S70" s="236"/>
      <c r="T70" s="236"/>
      <c r="U70" s="242"/>
    </row>
    <row r="71" spans="1:21" ht="13">
      <c r="A71" s="270"/>
      <c r="B71" s="245"/>
      <c r="C71" s="19" t="s">
        <v>106</v>
      </c>
      <c r="D71" s="17">
        <v>18.45</v>
      </c>
      <c r="E71" s="17">
        <v>13</v>
      </c>
      <c r="F71" s="17">
        <f t="shared" ref="F71:F75" si="42">D71*E71</f>
        <v>239.85</v>
      </c>
      <c r="G71" s="236"/>
      <c r="H71" s="236"/>
      <c r="I71" s="236"/>
      <c r="J71" s="242"/>
      <c r="L71" s="270"/>
      <c r="M71" s="245"/>
      <c r="N71" s="19" t="s">
        <v>106</v>
      </c>
      <c r="O71" s="17">
        <v>18.45</v>
      </c>
      <c r="P71" s="17">
        <v>13</v>
      </c>
      <c r="Q71" s="17">
        <f t="shared" ref="Q71:Q75" si="43">O71*P71</f>
        <v>239.85</v>
      </c>
      <c r="R71" s="236"/>
      <c r="S71" s="236"/>
      <c r="T71" s="236"/>
      <c r="U71" s="242"/>
    </row>
    <row r="72" spans="1:21" ht="13">
      <c r="A72" s="270"/>
      <c r="B72" s="245"/>
      <c r="C72" s="19" t="s">
        <v>58</v>
      </c>
      <c r="D72" s="17">
        <v>19.38</v>
      </c>
      <c r="E72" s="17">
        <v>13</v>
      </c>
      <c r="F72" s="17">
        <f t="shared" si="42"/>
        <v>251.94</v>
      </c>
      <c r="G72" s="236"/>
      <c r="H72" s="236"/>
      <c r="I72" s="236"/>
      <c r="J72" s="242"/>
      <c r="L72" s="270"/>
      <c r="M72" s="245"/>
      <c r="N72" s="19" t="s">
        <v>58</v>
      </c>
      <c r="O72" s="17">
        <v>19.38</v>
      </c>
      <c r="P72" s="17">
        <v>13</v>
      </c>
      <c r="Q72" s="17">
        <f t="shared" si="43"/>
        <v>251.94</v>
      </c>
      <c r="R72" s="236"/>
      <c r="S72" s="236"/>
      <c r="T72" s="236"/>
      <c r="U72" s="242"/>
    </row>
    <row r="73" spans="1:21" ht="13">
      <c r="A73" s="270"/>
      <c r="B73" s="245"/>
      <c r="C73" s="19" t="s">
        <v>583</v>
      </c>
      <c r="D73" s="17">
        <v>20.100000000000001</v>
      </c>
      <c r="E73" s="17">
        <v>13</v>
      </c>
      <c r="F73" s="17">
        <f t="shared" si="42"/>
        <v>261.3</v>
      </c>
      <c r="G73" s="236"/>
      <c r="H73" s="236"/>
      <c r="I73" s="236"/>
      <c r="J73" s="242"/>
      <c r="L73" s="270"/>
      <c r="M73" s="245"/>
      <c r="N73" s="19" t="s">
        <v>583</v>
      </c>
      <c r="O73" s="17">
        <v>20.100000000000001</v>
      </c>
      <c r="P73" s="17">
        <v>13</v>
      </c>
      <c r="Q73" s="17">
        <f t="shared" si="43"/>
        <v>261.3</v>
      </c>
      <c r="R73" s="236"/>
      <c r="S73" s="236"/>
      <c r="T73" s="236"/>
      <c r="U73" s="242"/>
    </row>
    <row r="74" spans="1:21" ht="13">
      <c r="A74" s="270"/>
      <c r="B74" s="245"/>
      <c r="C74" s="19" t="s">
        <v>216</v>
      </c>
      <c r="D74" s="17">
        <v>2</v>
      </c>
      <c r="E74" s="17">
        <v>13</v>
      </c>
      <c r="F74" s="17">
        <f t="shared" si="42"/>
        <v>26</v>
      </c>
      <c r="G74" s="236"/>
      <c r="H74" s="236"/>
      <c r="I74" s="236"/>
      <c r="J74" s="242"/>
      <c r="L74" s="270"/>
      <c r="M74" s="245"/>
      <c r="N74" s="19" t="s">
        <v>216</v>
      </c>
      <c r="O74" s="17">
        <v>2</v>
      </c>
      <c r="P74" s="17">
        <v>13</v>
      </c>
      <c r="Q74" s="17">
        <f t="shared" si="43"/>
        <v>26</v>
      </c>
      <c r="R74" s="236"/>
      <c r="S74" s="236"/>
      <c r="T74" s="236"/>
      <c r="U74" s="242"/>
    </row>
    <row r="75" spans="1:21" ht="13">
      <c r="A75" s="271"/>
      <c r="B75" s="246"/>
      <c r="C75" s="20" t="s">
        <v>607</v>
      </c>
      <c r="D75" s="21">
        <v>21.45</v>
      </c>
      <c r="E75" s="21">
        <v>13</v>
      </c>
      <c r="F75" s="21">
        <f t="shared" si="42"/>
        <v>278.84999999999997</v>
      </c>
      <c r="G75" s="238"/>
      <c r="H75" s="238"/>
      <c r="I75" s="238"/>
      <c r="J75" s="243"/>
      <c r="L75" s="271"/>
      <c r="M75" s="246"/>
      <c r="N75" s="20" t="s">
        <v>607</v>
      </c>
      <c r="O75" s="21">
        <v>21.45</v>
      </c>
      <c r="P75" s="21">
        <v>13</v>
      </c>
      <c r="Q75" s="21">
        <f t="shared" si="43"/>
        <v>278.84999999999997</v>
      </c>
      <c r="R75" s="238"/>
      <c r="S75" s="238"/>
      <c r="T75" s="238"/>
      <c r="U75" s="243"/>
    </row>
    <row r="76" spans="1:21" ht="30">
      <c r="A76" s="254" t="s">
        <v>358</v>
      </c>
      <c r="B76" s="255"/>
      <c r="C76" s="256"/>
      <c r="D76" s="27">
        <f t="shared" ref="D76:I76" si="44">AVERAGE(D67:D75)</f>
        <v>15.375000000000002</v>
      </c>
      <c r="E76" s="27">
        <f t="shared" si="44"/>
        <v>13.625</v>
      </c>
      <c r="F76" s="27">
        <f t="shared" si="44"/>
        <v>202.11111111111109</v>
      </c>
      <c r="G76" s="27">
        <f t="shared" si="44"/>
        <v>1818.9999999999998</v>
      </c>
      <c r="H76" s="27">
        <f t="shared" si="44"/>
        <v>2784.6</v>
      </c>
      <c r="I76" s="27">
        <f t="shared" si="44"/>
        <v>965.60000000000014</v>
      </c>
      <c r="J76" s="28" t="e">
        <f>AVERAGE($K$10:$K$33)</f>
        <v>#DIV/0!</v>
      </c>
      <c r="L76" s="254" t="s">
        <v>358</v>
      </c>
      <c r="M76" s="255"/>
      <c r="N76" s="256"/>
      <c r="O76" s="27">
        <f t="shared" ref="O76:T76" si="45">AVERAGE(O67:O75)</f>
        <v>15.571428571428573</v>
      </c>
      <c r="P76" s="27">
        <f t="shared" si="45"/>
        <v>13</v>
      </c>
      <c r="Q76" s="27">
        <f t="shared" si="45"/>
        <v>195.87499999999997</v>
      </c>
      <c r="R76" s="27">
        <f t="shared" si="45"/>
        <v>1566.9999999999998</v>
      </c>
      <c r="S76" s="27">
        <f t="shared" si="45"/>
        <v>2784.6</v>
      </c>
      <c r="T76" s="27">
        <f t="shared" si="45"/>
        <v>1217.6000000000001</v>
      </c>
      <c r="U76" s="28" t="e">
        <f>AVERAGE($K$10:$K$33)</f>
        <v>#DIV/0!</v>
      </c>
    </row>
    <row r="77" spans="1:21" ht="30">
      <c r="A77" s="251" t="s">
        <v>359</v>
      </c>
      <c r="B77" s="252"/>
      <c r="C77" s="253"/>
      <c r="D77" s="88">
        <f t="shared" ref="D77:I77" si="46">SUM(D67:D75)</f>
        <v>123.00000000000001</v>
      </c>
      <c r="E77" s="88">
        <f t="shared" si="46"/>
        <v>109</v>
      </c>
      <c r="F77" s="88">
        <f t="shared" si="46"/>
        <v>1818.9999999999998</v>
      </c>
      <c r="G77" s="88">
        <f t="shared" si="46"/>
        <v>1818.9999999999998</v>
      </c>
      <c r="H77" s="88">
        <f t="shared" si="46"/>
        <v>2784.6</v>
      </c>
      <c r="I77" s="88">
        <f t="shared" si="46"/>
        <v>965.60000000000014</v>
      </c>
      <c r="J77" s="89">
        <f>I77/H77</f>
        <v>0.34676434676434681</v>
      </c>
      <c r="L77" s="251" t="s">
        <v>359</v>
      </c>
      <c r="M77" s="252"/>
      <c r="N77" s="253"/>
      <c r="O77" s="88">
        <f t="shared" ref="O77:T77" si="47">SUM(O67:O75)</f>
        <v>109.00000000000001</v>
      </c>
      <c r="P77" s="88">
        <f t="shared" si="47"/>
        <v>91</v>
      </c>
      <c r="Q77" s="88">
        <f t="shared" si="47"/>
        <v>1566.9999999999998</v>
      </c>
      <c r="R77" s="88">
        <f t="shared" si="47"/>
        <v>1566.9999999999998</v>
      </c>
      <c r="S77" s="88">
        <f t="shared" si="47"/>
        <v>2784.6</v>
      </c>
      <c r="T77" s="88">
        <f t="shared" si="47"/>
        <v>1217.6000000000001</v>
      </c>
      <c r="U77" s="89">
        <f>T77/S77</f>
        <v>0.43726208432090791</v>
      </c>
    </row>
    <row r="79" spans="1:21" ht="30">
      <c r="A79" s="257" t="s">
        <v>360</v>
      </c>
      <c r="B79" s="252"/>
      <c r="C79" s="253"/>
      <c r="D79" s="34">
        <f t="shared" ref="D79:I79" si="48">SUM(D54,D66,D77)</f>
        <v>333.54</v>
      </c>
      <c r="E79" s="34">
        <f t="shared" si="48"/>
        <v>334</v>
      </c>
      <c r="F79" s="34">
        <f t="shared" si="48"/>
        <v>5135.34</v>
      </c>
      <c r="G79" s="34">
        <f t="shared" si="48"/>
        <v>5135.34</v>
      </c>
      <c r="H79" s="34">
        <f t="shared" si="48"/>
        <v>5868.1</v>
      </c>
      <c r="I79" s="34">
        <f t="shared" si="48"/>
        <v>732.76000000000022</v>
      </c>
      <c r="J79" s="35">
        <f>I79/H79</f>
        <v>0.12487176428486225</v>
      </c>
      <c r="L79" s="257" t="s">
        <v>360</v>
      </c>
      <c r="M79" s="252"/>
      <c r="N79" s="253"/>
      <c r="O79" s="34">
        <f t="shared" ref="O79:T79" si="49">SUM(O54,O66,O77)</f>
        <v>291.54000000000002</v>
      </c>
      <c r="P79" s="34">
        <f t="shared" si="49"/>
        <v>264</v>
      </c>
      <c r="Q79" s="34">
        <f t="shared" si="49"/>
        <v>4393.34</v>
      </c>
      <c r="R79" s="34">
        <f t="shared" si="49"/>
        <v>4393.34</v>
      </c>
      <c r="S79" s="34">
        <f t="shared" si="49"/>
        <v>5868.1</v>
      </c>
      <c r="T79" s="34">
        <f t="shared" si="49"/>
        <v>1474.7600000000002</v>
      </c>
      <c r="U79" s="35">
        <f>T79/S79</f>
        <v>0.25131814386257906</v>
      </c>
    </row>
    <row r="81" spans="1:21" ht="13">
      <c r="A81" s="269" t="s">
        <v>683</v>
      </c>
      <c r="B81" s="244" t="s">
        <v>616</v>
      </c>
      <c r="C81" s="15" t="s">
        <v>609</v>
      </c>
      <c r="D81" s="16">
        <v>5.5</v>
      </c>
      <c r="E81" s="16">
        <v>13</v>
      </c>
      <c r="F81" s="16">
        <f t="shared" ref="F81:F84" si="50">D81*E81</f>
        <v>71.5</v>
      </c>
      <c r="G81" s="240">
        <f>SUM(F81:F89)</f>
        <v>2106.59</v>
      </c>
      <c r="H81" s="237">
        <v>4126.92</v>
      </c>
      <c r="I81" s="237">
        <f>H81-G81</f>
        <v>2020.33</v>
      </c>
      <c r="J81" s="241">
        <f>I81/H81</f>
        <v>0.48954910683996777</v>
      </c>
      <c r="L81" s="269" t="s">
        <v>683</v>
      </c>
      <c r="M81" s="244" t="s">
        <v>616</v>
      </c>
      <c r="N81" s="15" t="s">
        <v>609</v>
      </c>
      <c r="O81" s="16">
        <v>5.5</v>
      </c>
      <c r="P81" s="16">
        <v>13</v>
      </c>
      <c r="Q81" s="16">
        <f t="shared" ref="Q81:Q83" si="51">O81*P81</f>
        <v>71.5</v>
      </c>
      <c r="R81" s="240">
        <f>SUM(Q81:Q89)</f>
        <v>1854.5900000000001</v>
      </c>
      <c r="S81" s="237">
        <v>4126.92</v>
      </c>
      <c r="T81" s="237">
        <f>S81-R81</f>
        <v>2272.33</v>
      </c>
      <c r="U81" s="241">
        <f>T81/S81</f>
        <v>0.55061159411861627</v>
      </c>
    </row>
    <row r="82" spans="1:21" ht="13">
      <c r="A82" s="270"/>
      <c r="B82" s="245"/>
      <c r="C82" s="19" t="s">
        <v>57</v>
      </c>
      <c r="D82" s="17">
        <v>17.43</v>
      </c>
      <c r="E82" s="17">
        <v>15</v>
      </c>
      <c r="F82" s="17">
        <f t="shared" si="50"/>
        <v>261.45</v>
      </c>
      <c r="G82" s="236"/>
      <c r="H82" s="236"/>
      <c r="I82" s="236"/>
      <c r="J82" s="242"/>
      <c r="L82" s="270"/>
      <c r="M82" s="245"/>
      <c r="N82" s="19" t="s">
        <v>57</v>
      </c>
      <c r="O82" s="17">
        <v>17.43</v>
      </c>
      <c r="P82" s="17">
        <v>15</v>
      </c>
      <c r="Q82" s="17">
        <f t="shared" si="51"/>
        <v>261.45</v>
      </c>
      <c r="R82" s="236"/>
      <c r="S82" s="236"/>
      <c r="T82" s="236"/>
      <c r="U82" s="242"/>
    </row>
    <row r="83" spans="1:21" ht="13">
      <c r="A83" s="270"/>
      <c r="B83" s="245"/>
      <c r="C83" s="19" t="s">
        <v>62</v>
      </c>
      <c r="D83" s="17">
        <v>22.58</v>
      </c>
      <c r="E83" s="17">
        <v>13</v>
      </c>
      <c r="F83" s="17">
        <f t="shared" si="50"/>
        <v>293.53999999999996</v>
      </c>
      <c r="G83" s="236"/>
      <c r="H83" s="236"/>
      <c r="I83" s="236"/>
      <c r="J83" s="242"/>
      <c r="L83" s="270"/>
      <c r="M83" s="245"/>
      <c r="N83" s="19" t="s">
        <v>62</v>
      </c>
      <c r="O83" s="17">
        <v>22.58</v>
      </c>
      <c r="P83" s="17">
        <v>13</v>
      </c>
      <c r="Q83" s="17">
        <f t="shared" si="51"/>
        <v>293.53999999999996</v>
      </c>
      <c r="R83" s="236"/>
      <c r="S83" s="236"/>
      <c r="T83" s="236"/>
      <c r="U83" s="242"/>
    </row>
    <row r="84" spans="1:21" ht="13">
      <c r="A84" s="270"/>
      <c r="B84" s="245"/>
      <c r="C84" s="19" t="s">
        <v>23</v>
      </c>
      <c r="D84" s="17">
        <v>14</v>
      </c>
      <c r="E84" s="17">
        <v>18</v>
      </c>
      <c r="F84" s="17">
        <f t="shared" si="50"/>
        <v>252</v>
      </c>
      <c r="G84" s="236"/>
      <c r="H84" s="236"/>
      <c r="I84" s="236"/>
      <c r="J84" s="242"/>
      <c r="L84" s="270"/>
      <c r="M84" s="245"/>
      <c r="N84" s="19" t="s">
        <v>23</v>
      </c>
      <c r="O84" s="18"/>
      <c r="P84" s="18"/>
      <c r="Q84" s="18"/>
      <c r="R84" s="236"/>
      <c r="S84" s="236"/>
      <c r="T84" s="236"/>
      <c r="U84" s="242"/>
    </row>
    <row r="85" spans="1:21" ht="13">
      <c r="A85" s="270"/>
      <c r="B85" s="245"/>
      <c r="C85" s="19" t="s">
        <v>35</v>
      </c>
      <c r="D85" s="17"/>
      <c r="E85" s="17"/>
      <c r="F85" s="17">
        <v>400</v>
      </c>
      <c r="G85" s="236"/>
      <c r="H85" s="236"/>
      <c r="I85" s="236"/>
      <c r="J85" s="242"/>
      <c r="L85" s="270"/>
      <c r="M85" s="245"/>
      <c r="N85" s="19" t="s">
        <v>35</v>
      </c>
      <c r="O85" s="17"/>
      <c r="P85" s="17"/>
      <c r="Q85" s="17">
        <v>400</v>
      </c>
      <c r="R85" s="236"/>
      <c r="S85" s="236"/>
      <c r="T85" s="236"/>
      <c r="U85" s="242"/>
    </row>
    <row r="86" spans="1:21" ht="13">
      <c r="A86" s="270"/>
      <c r="B86" s="245"/>
      <c r="C86" s="19" t="s">
        <v>106</v>
      </c>
      <c r="D86" s="17">
        <v>13.32</v>
      </c>
      <c r="E86" s="17">
        <v>13</v>
      </c>
      <c r="F86" s="17">
        <f t="shared" ref="F86:F89" si="52">D86*E86</f>
        <v>173.16</v>
      </c>
      <c r="G86" s="236"/>
      <c r="H86" s="236"/>
      <c r="I86" s="236"/>
      <c r="J86" s="242"/>
      <c r="L86" s="270"/>
      <c r="M86" s="245"/>
      <c r="N86" s="19" t="s">
        <v>106</v>
      </c>
      <c r="O86" s="17">
        <v>13.32</v>
      </c>
      <c r="P86" s="17">
        <v>13</v>
      </c>
      <c r="Q86" s="17">
        <f t="shared" ref="Q86:Q89" si="53">O86*P86</f>
        <v>173.16</v>
      </c>
      <c r="R86" s="236"/>
      <c r="S86" s="236"/>
      <c r="T86" s="236"/>
      <c r="U86" s="242"/>
    </row>
    <row r="87" spans="1:21" ht="13">
      <c r="A87" s="270"/>
      <c r="B87" s="245"/>
      <c r="C87" s="19" t="s">
        <v>58</v>
      </c>
      <c r="D87" s="17">
        <v>19.23</v>
      </c>
      <c r="E87" s="17">
        <v>13</v>
      </c>
      <c r="F87" s="17">
        <f t="shared" si="52"/>
        <v>249.99</v>
      </c>
      <c r="G87" s="236"/>
      <c r="H87" s="236"/>
      <c r="I87" s="236"/>
      <c r="J87" s="242"/>
      <c r="L87" s="270"/>
      <c r="M87" s="245"/>
      <c r="N87" s="19" t="s">
        <v>58</v>
      </c>
      <c r="O87" s="17">
        <v>19.23</v>
      </c>
      <c r="P87" s="17">
        <v>13</v>
      </c>
      <c r="Q87" s="17">
        <f t="shared" si="53"/>
        <v>249.99</v>
      </c>
      <c r="R87" s="236"/>
      <c r="S87" s="236"/>
      <c r="T87" s="236"/>
      <c r="U87" s="242"/>
    </row>
    <row r="88" spans="1:21" ht="13">
      <c r="A88" s="270"/>
      <c r="B88" s="245"/>
      <c r="C88" s="19" t="s">
        <v>607</v>
      </c>
      <c r="D88" s="17">
        <v>23.5</v>
      </c>
      <c r="E88" s="17">
        <v>13</v>
      </c>
      <c r="F88" s="17">
        <f t="shared" si="52"/>
        <v>305.5</v>
      </c>
      <c r="G88" s="236"/>
      <c r="H88" s="236"/>
      <c r="I88" s="236"/>
      <c r="J88" s="242"/>
      <c r="L88" s="270"/>
      <c r="M88" s="245"/>
      <c r="N88" s="19" t="s">
        <v>607</v>
      </c>
      <c r="O88" s="17">
        <v>23.5</v>
      </c>
      <c r="P88" s="17">
        <v>13</v>
      </c>
      <c r="Q88" s="17">
        <f t="shared" si="53"/>
        <v>305.5</v>
      </c>
      <c r="R88" s="236"/>
      <c r="S88" s="236"/>
      <c r="T88" s="236"/>
      <c r="U88" s="242"/>
    </row>
    <row r="89" spans="1:21" ht="57" customHeight="1">
      <c r="A89" s="271"/>
      <c r="B89" s="246"/>
      <c r="C89" s="20" t="s">
        <v>26</v>
      </c>
      <c r="D89" s="21">
        <v>7.65</v>
      </c>
      <c r="E89" s="21">
        <v>13</v>
      </c>
      <c r="F89" s="21">
        <f t="shared" si="52"/>
        <v>99.45</v>
      </c>
      <c r="G89" s="238"/>
      <c r="H89" s="238"/>
      <c r="I89" s="238"/>
      <c r="J89" s="243"/>
      <c r="L89" s="271"/>
      <c r="M89" s="246"/>
      <c r="N89" s="20" t="s">
        <v>26</v>
      </c>
      <c r="O89" s="21">
        <v>7.65</v>
      </c>
      <c r="P89" s="21">
        <v>13</v>
      </c>
      <c r="Q89" s="21">
        <f t="shared" si="53"/>
        <v>99.45</v>
      </c>
      <c r="R89" s="238"/>
      <c r="S89" s="238"/>
      <c r="T89" s="238"/>
      <c r="U89" s="243"/>
    </row>
    <row r="90" spans="1:21" ht="30">
      <c r="A90" s="254" t="s">
        <v>358</v>
      </c>
      <c r="B90" s="255"/>
      <c r="C90" s="256"/>
      <c r="D90" s="27">
        <f t="shared" ref="D90:I90" si="54">AVERAGE(D81:D89)</f>
        <v>15.401250000000001</v>
      </c>
      <c r="E90" s="27">
        <f t="shared" si="54"/>
        <v>13.875</v>
      </c>
      <c r="F90" s="27">
        <f t="shared" si="54"/>
        <v>234.06555555555556</v>
      </c>
      <c r="G90" s="27">
        <f t="shared" si="54"/>
        <v>2106.59</v>
      </c>
      <c r="H90" s="27">
        <f t="shared" si="54"/>
        <v>4126.92</v>
      </c>
      <c r="I90" s="27">
        <f t="shared" si="54"/>
        <v>2020.33</v>
      </c>
      <c r="J90" s="28" t="e">
        <f>AVERAGE($K$10:$K$33)</f>
        <v>#DIV/0!</v>
      </c>
      <c r="L90" s="254" t="s">
        <v>358</v>
      </c>
      <c r="M90" s="255"/>
      <c r="N90" s="256"/>
      <c r="O90" s="27">
        <f t="shared" ref="O90:T90" si="55">AVERAGE(O81:O89)</f>
        <v>15.601428571428572</v>
      </c>
      <c r="P90" s="27">
        <f t="shared" si="55"/>
        <v>13.285714285714286</v>
      </c>
      <c r="Q90" s="27">
        <f t="shared" si="55"/>
        <v>231.82375000000002</v>
      </c>
      <c r="R90" s="27">
        <f t="shared" si="55"/>
        <v>1854.5900000000001</v>
      </c>
      <c r="S90" s="27">
        <f t="shared" si="55"/>
        <v>4126.92</v>
      </c>
      <c r="T90" s="27">
        <f t="shared" si="55"/>
        <v>2272.33</v>
      </c>
      <c r="U90" s="28" t="e">
        <f>AVERAGE($K$10:$K$33)</f>
        <v>#DIV/0!</v>
      </c>
    </row>
    <row r="91" spans="1:21" ht="30">
      <c r="A91" s="251" t="s">
        <v>359</v>
      </c>
      <c r="B91" s="252"/>
      <c r="C91" s="253"/>
      <c r="D91" s="88">
        <f t="shared" ref="D91:I91" si="56">SUM(D81:D89)</f>
        <v>123.21000000000001</v>
      </c>
      <c r="E91" s="88">
        <f t="shared" si="56"/>
        <v>111</v>
      </c>
      <c r="F91" s="88">
        <f t="shared" si="56"/>
        <v>2106.59</v>
      </c>
      <c r="G91" s="88">
        <f t="shared" si="56"/>
        <v>2106.59</v>
      </c>
      <c r="H91" s="88">
        <f t="shared" si="56"/>
        <v>4126.92</v>
      </c>
      <c r="I91" s="88">
        <f t="shared" si="56"/>
        <v>2020.33</v>
      </c>
      <c r="J91" s="89">
        <f t="shared" ref="J91:J92" si="57">I91/H91</f>
        <v>0.48954910683996777</v>
      </c>
      <c r="L91" s="251" t="s">
        <v>359</v>
      </c>
      <c r="M91" s="252"/>
      <c r="N91" s="253"/>
      <c r="O91" s="88">
        <f t="shared" ref="O91:T91" si="58">SUM(O81:O89)</f>
        <v>109.21000000000001</v>
      </c>
      <c r="P91" s="88">
        <f t="shared" si="58"/>
        <v>93</v>
      </c>
      <c r="Q91" s="88">
        <f t="shared" si="58"/>
        <v>1854.5900000000001</v>
      </c>
      <c r="R91" s="88">
        <f t="shared" si="58"/>
        <v>1854.5900000000001</v>
      </c>
      <c r="S91" s="88">
        <f t="shared" si="58"/>
        <v>4126.92</v>
      </c>
      <c r="T91" s="88">
        <f t="shared" si="58"/>
        <v>2272.33</v>
      </c>
      <c r="U91" s="89">
        <f t="shared" ref="U91:U92" si="59">T91/S91</f>
        <v>0.55061159411861627</v>
      </c>
    </row>
    <row r="92" spans="1:21" ht="13">
      <c r="A92" s="269" t="s">
        <v>8</v>
      </c>
      <c r="B92" s="244" t="s">
        <v>620</v>
      </c>
      <c r="C92" s="15" t="s">
        <v>436</v>
      </c>
      <c r="D92" s="16">
        <v>14</v>
      </c>
      <c r="E92" s="16">
        <v>18</v>
      </c>
      <c r="F92" s="16">
        <f t="shared" ref="F92:F99" si="60">D92*E92</f>
        <v>252</v>
      </c>
      <c r="G92" s="240">
        <f>SUM(F92:F100)</f>
        <v>1779.68</v>
      </c>
      <c r="H92" s="237">
        <v>2678</v>
      </c>
      <c r="I92" s="237">
        <f>H92-G92</f>
        <v>898.31999999999994</v>
      </c>
      <c r="J92" s="241">
        <f t="shared" si="57"/>
        <v>0.33544436146377893</v>
      </c>
      <c r="L92" s="269" t="s">
        <v>8</v>
      </c>
      <c r="M92" s="244" t="s">
        <v>620</v>
      </c>
      <c r="N92" s="15" t="s">
        <v>436</v>
      </c>
      <c r="O92" s="18"/>
      <c r="P92" s="18"/>
      <c r="Q92" s="18"/>
      <c r="R92" s="240">
        <f>SUM(Q92:Q100)</f>
        <v>1527.68</v>
      </c>
      <c r="S92" s="237">
        <v>2678</v>
      </c>
      <c r="T92" s="237">
        <f>S92-R92</f>
        <v>1150.32</v>
      </c>
      <c r="U92" s="241">
        <f t="shared" si="59"/>
        <v>0.42954443614637788</v>
      </c>
    </row>
    <row r="93" spans="1:21" ht="13">
      <c r="A93" s="270"/>
      <c r="B93" s="245"/>
      <c r="C93" s="19" t="s">
        <v>57</v>
      </c>
      <c r="D93" s="17">
        <v>14</v>
      </c>
      <c r="E93" s="17">
        <v>15</v>
      </c>
      <c r="F93" s="17">
        <f t="shared" si="60"/>
        <v>210</v>
      </c>
      <c r="G93" s="236"/>
      <c r="H93" s="236"/>
      <c r="I93" s="236"/>
      <c r="J93" s="242"/>
      <c r="L93" s="270"/>
      <c r="M93" s="245"/>
      <c r="N93" s="19" t="s">
        <v>57</v>
      </c>
      <c r="O93" s="17">
        <v>14</v>
      </c>
      <c r="P93" s="17">
        <v>15</v>
      </c>
      <c r="Q93" s="17">
        <f t="shared" ref="Q93:Q99" si="61">O93*P93</f>
        <v>210</v>
      </c>
      <c r="R93" s="236"/>
      <c r="S93" s="236"/>
      <c r="T93" s="236"/>
      <c r="U93" s="242"/>
    </row>
    <row r="94" spans="1:21" ht="13">
      <c r="A94" s="270"/>
      <c r="B94" s="245"/>
      <c r="C94" s="19" t="s">
        <v>266</v>
      </c>
      <c r="D94" s="17">
        <v>23.64</v>
      </c>
      <c r="E94" s="17">
        <v>13</v>
      </c>
      <c r="F94" s="17">
        <f t="shared" si="60"/>
        <v>307.32</v>
      </c>
      <c r="G94" s="236"/>
      <c r="H94" s="236"/>
      <c r="I94" s="236"/>
      <c r="J94" s="242"/>
      <c r="L94" s="270"/>
      <c r="M94" s="245"/>
      <c r="N94" s="19" t="s">
        <v>266</v>
      </c>
      <c r="O94" s="17">
        <v>23.64</v>
      </c>
      <c r="P94" s="17">
        <v>13</v>
      </c>
      <c r="Q94" s="17">
        <f t="shared" si="61"/>
        <v>307.32</v>
      </c>
      <c r="R94" s="236"/>
      <c r="S94" s="236"/>
      <c r="T94" s="236"/>
      <c r="U94" s="242"/>
    </row>
    <row r="95" spans="1:21" ht="13">
      <c r="A95" s="270"/>
      <c r="B95" s="245"/>
      <c r="C95" s="19" t="s">
        <v>500</v>
      </c>
      <c r="D95" s="17">
        <v>10.67</v>
      </c>
      <c r="E95" s="17">
        <v>13</v>
      </c>
      <c r="F95" s="17">
        <f t="shared" si="60"/>
        <v>138.71</v>
      </c>
      <c r="G95" s="236"/>
      <c r="H95" s="236"/>
      <c r="I95" s="236"/>
      <c r="J95" s="242"/>
      <c r="L95" s="270"/>
      <c r="M95" s="245"/>
      <c r="N95" s="19" t="s">
        <v>500</v>
      </c>
      <c r="O95" s="17">
        <v>10.67</v>
      </c>
      <c r="P95" s="17">
        <v>13</v>
      </c>
      <c r="Q95" s="17">
        <f t="shared" si="61"/>
        <v>138.71</v>
      </c>
      <c r="R95" s="236"/>
      <c r="S95" s="236"/>
      <c r="T95" s="236"/>
      <c r="U95" s="242"/>
    </row>
    <row r="96" spans="1:21" ht="13">
      <c r="A96" s="270"/>
      <c r="B96" s="245"/>
      <c r="C96" s="19" t="s">
        <v>27</v>
      </c>
      <c r="D96" s="17">
        <v>11.78</v>
      </c>
      <c r="E96" s="17">
        <v>13</v>
      </c>
      <c r="F96" s="17">
        <f t="shared" si="60"/>
        <v>153.13999999999999</v>
      </c>
      <c r="G96" s="236"/>
      <c r="H96" s="236"/>
      <c r="I96" s="236"/>
      <c r="J96" s="242"/>
      <c r="L96" s="270"/>
      <c r="M96" s="245"/>
      <c r="N96" s="19" t="s">
        <v>27</v>
      </c>
      <c r="O96" s="17">
        <v>11.78</v>
      </c>
      <c r="P96" s="17">
        <v>13</v>
      </c>
      <c r="Q96" s="17">
        <f t="shared" si="61"/>
        <v>153.13999999999999</v>
      </c>
      <c r="R96" s="236"/>
      <c r="S96" s="236"/>
      <c r="T96" s="236"/>
      <c r="U96" s="242"/>
    </row>
    <row r="97" spans="1:26" ht="13">
      <c r="A97" s="270"/>
      <c r="B97" s="245"/>
      <c r="C97" s="19" t="s">
        <v>106</v>
      </c>
      <c r="D97" s="17">
        <v>17.670000000000002</v>
      </c>
      <c r="E97" s="17">
        <v>13</v>
      </c>
      <c r="F97" s="17">
        <f t="shared" si="60"/>
        <v>229.71000000000004</v>
      </c>
      <c r="G97" s="236"/>
      <c r="H97" s="236"/>
      <c r="I97" s="236"/>
      <c r="J97" s="242"/>
      <c r="L97" s="270"/>
      <c r="M97" s="245"/>
      <c r="N97" s="19" t="s">
        <v>106</v>
      </c>
      <c r="O97" s="17">
        <v>17.670000000000002</v>
      </c>
      <c r="P97" s="17">
        <v>13</v>
      </c>
      <c r="Q97" s="17">
        <f t="shared" si="61"/>
        <v>229.71000000000004</v>
      </c>
      <c r="R97" s="236"/>
      <c r="S97" s="236"/>
      <c r="T97" s="236"/>
      <c r="U97" s="242"/>
    </row>
    <row r="98" spans="1:26" ht="13">
      <c r="A98" s="270"/>
      <c r="B98" s="245"/>
      <c r="C98" s="19" t="s">
        <v>621</v>
      </c>
      <c r="D98" s="17">
        <v>15.77</v>
      </c>
      <c r="E98" s="17">
        <v>13</v>
      </c>
      <c r="F98" s="17">
        <f t="shared" si="60"/>
        <v>205.01</v>
      </c>
      <c r="G98" s="236"/>
      <c r="H98" s="236"/>
      <c r="I98" s="236"/>
      <c r="J98" s="242"/>
      <c r="L98" s="270"/>
      <c r="M98" s="245"/>
      <c r="N98" s="19" t="s">
        <v>621</v>
      </c>
      <c r="O98" s="17">
        <v>15.77</v>
      </c>
      <c r="P98" s="17">
        <v>13</v>
      </c>
      <c r="Q98" s="17">
        <f t="shared" si="61"/>
        <v>205.01</v>
      </c>
      <c r="R98" s="236"/>
      <c r="S98" s="236"/>
      <c r="T98" s="236"/>
      <c r="U98" s="242"/>
    </row>
    <row r="99" spans="1:26" ht="13">
      <c r="A99" s="270"/>
      <c r="B99" s="245"/>
      <c r="C99" s="19" t="s">
        <v>622</v>
      </c>
      <c r="D99" s="17">
        <v>21.83</v>
      </c>
      <c r="E99" s="17">
        <v>13</v>
      </c>
      <c r="F99" s="17">
        <f t="shared" si="60"/>
        <v>283.78999999999996</v>
      </c>
      <c r="G99" s="236"/>
      <c r="H99" s="236"/>
      <c r="I99" s="236"/>
      <c r="J99" s="242"/>
      <c r="L99" s="270"/>
      <c r="M99" s="245"/>
      <c r="N99" s="19" t="s">
        <v>622</v>
      </c>
      <c r="O99" s="17">
        <v>21.83</v>
      </c>
      <c r="P99" s="17">
        <v>13</v>
      </c>
      <c r="Q99" s="17">
        <f t="shared" si="61"/>
        <v>283.78999999999996</v>
      </c>
      <c r="R99" s="236"/>
      <c r="S99" s="236"/>
      <c r="T99" s="236"/>
      <c r="U99" s="242"/>
    </row>
    <row r="100" spans="1:26" ht="43.5" customHeight="1">
      <c r="A100" s="271"/>
      <c r="B100" s="246"/>
      <c r="C100" s="20"/>
      <c r="D100" s="21"/>
      <c r="E100" s="21"/>
      <c r="F100" s="21"/>
      <c r="G100" s="238"/>
      <c r="H100" s="238"/>
      <c r="I100" s="238"/>
      <c r="J100" s="243"/>
      <c r="L100" s="271"/>
      <c r="M100" s="246"/>
      <c r="N100" s="20"/>
      <c r="O100" s="21"/>
      <c r="P100" s="21"/>
      <c r="Q100" s="21"/>
      <c r="R100" s="238"/>
      <c r="S100" s="238"/>
      <c r="T100" s="238"/>
      <c r="U100" s="243"/>
    </row>
    <row r="101" spans="1:26" ht="30">
      <c r="A101" s="254" t="s">
        <v>677</v>
      </c>
      <c r="B101" s="255"/>
      <c r="C101" s="256"/>
      <c r="D101" s="27">
        <f t="shared" ref="D101:I101" si="62">AVERAGE(D92:D100)</f>
        <v>16.170000000000002</v>
      </c>
      <c r="E101" s="27">
        <f t="shared" si="62"/>
        <v>13.875</v>
      </c>
      <c r="F101" s="27">
        <f t="shared" si="62"/>
        <v>222.46</v>
      </c>
      <c r="G101" s="27">
        <f t="shared" si="62"/>
        <v>1779.68</v>
      </c>
      <c r="H101" s="27">
        <f t="shared" si="62"/>
        <v>2678</v>
      </c>
      <c r="I101" s="27">
        <f t="shared" si="62"/>
        <v>898.31999999999994</v>
      </c>
      <c r="J101" s="28" t="e">
        <f>AVERAGE($K$10:$K$33)</f>
        <v>#DIV/0!</v>
      </c>
      <c r="L101" s="254" t="s">
        <v>677</v>
      </c>
      <c r="M101" s="255"/>
      <c r="N101" s="256"/>
      <c r="O101" s="27">
        <f t="shared" ref="O101:T101" si="63">AVERAGE(O92:O100)</f>
        <v>16.48</v>
      </c>
      <c r="P101" s="27">
        <f t="shared" si="63"/>
        <v>13.285714285714286</v>
      </c>
      <c r="Q101" s="27">
        <f t="shared" si="63"/>
        <v>218.24</v>
      </c>
      <c r="R101" s="27">
        <f t="shared" si="63"/>
        <v>1527.68</v>
      </c>
      <c r="S101" s="27">
        <f t="shared" si="63"/>
        <v>2678</v>
      </c>
      <c r="T101" s="27">
        <f t="shared" si="63"/>
        <v>1150.32</v>
      </c>
      <c r="U101" s="28" t="e">
        <f>AVERAGE($K$10:$K$33)</f>
        <v>#DIV/0!</v>
      </c>
    </row>
    <row r="102" spans="1:26" ht="30">
      <c r="A102" s="251" t="s">
        <v>678</v>
      </c>
      <c r="B102" s="252"/>
      <c r="C102" s="253"/>
      <c r="D102" s="88">
        <f t="shared" ref="D102:I102" si="64">SUM(D92:D100)</f>
        <v>129.36000000000001</v>
      </c>
      <c r="E102" s="88">
        <f t="shared" si="64"/>
        <v>111</v>
      </c>
      <c r="F102" s="88">
        <f t="shared" si="64"/>
        <v>1779.68</v>
      </c>
      <c r="G102" s="88">
        <f t="shared" si="64"/>
        <v>1779.68</v>
      </c>
      <c r="H102" s="88">
        <f t="shared" si="64"/>
        <v>2678</v>
      </c>
      <c r="I102" s="88">
        <f t="shared" si="64"/>
        <v>898.31999999999994</v>
      </c>
      <c r="J102" s="89">
        <f>I102/H102</f>
        <v>0.33544436146377893</v>
      </c>
      <c r="L102" s="254" t="s">
        <v>678</v>
      </c>
      <c r="M102" s="255"/>
      <c r="N102" s="256"/>
      <c r="O102" s="88">
        <f t="shared" ref="O102:T102" si="65">SUM(O92:O100)</f>
        <v>115.36</v>
      </c>
      <c r="P102" s="88">
        <f t="shared" si="65"/>
        <v>93</v>
      </c>
      <c r="Q102" s="88">
        <f t="shared" si="65"/>
        <v>1527.68</v>
      </c>
      <c r="R102" s="88">
        <f t="shared" si="65"/>
        <v>1527.68</v>
      </c>
      <c r="S102" s="88">
        <f t="shared" si="65"/>
        <v>2678</v>
      </c>
      <c r="T102" s="88">
        <f t="shared" si="65"/>
        <v>1150.32</v>
      </c>
      <c r="U102" s="89">
        <f>T102/S102</f>
        <v>0.42954443614637788</v>
      </c>
    </row>
    <row r="103" spans="1:26" ht="30">
      <c r="A103" s="94"/>
      <c r="B103" s="95"/>
      <c r="C103" s="96"/>
      <c r="D103" s="97"/>
      <c r="E103" s="97"/>
      <c r="F103" s="97"/>
      <c r="G103" s="98"/>
      <c r="H103" s="98"/>
      <c r="I103" s="98"/>
      <c r="J103" s="99"/>
      <c r="K103" s="100"/>
      <c r="L103" s="94"/>
      <c r="M103" s="96"/>
      <c r="N103" s="96"/>
      <c r="O103" s="97"/>
      <c r="P103" s="97"/>
      <c r="Q103" s="97"/>
      <c r="R103" s="98"/>
      <c r="S103" s="98"/>
      <c r="T103" s="98"/>
      <c r="U103" s="99"/>
      <c r="V103" s="100"/>
      <c r="W103" s="100"/>
      <c r="X103" s="100"/>
      <c r="Y103" s="100"/>
      <c r="Z103" s="100"/>
    </row>
    <row r="104" spans="1:26" ht="30">
      <c r="A104" s="257" t="s">
        <v>490</v>
      </c>
      <c r="B104" s="252"/>
      <c r="C104" s="253"/>
      <c r="D104" s="34">
        <f t="shared" ref="D104:I104" si="66">SUM(D91,D102)</f>
        <v>252.57000000000002</v>
      </c>
      <c r="E104" s="34">
        <f t="shared" si="66"/>
        <v>222</v>
      </c>
      <c r="F104" s="34">
        <f t="shared" si="66"/>
        <v>3886.2700000000004</v>
      </c>
      <c r="G104" s="34">
        <f t="shared" si="66"/>
        <v>3886.2700000000004</v>
      </c>
      <c r="H104" s="34">
        <f t="shared" si="66"/>
        <v>6804.92</v>
      </c>
      <c r="I104" s="34">
        <f t="shared" si="66"/>
        <v>2918.6499999999996</v>
      </c>
      <c r="J104" s="35">
        <f>I104/H104</f>
        <v>0.42890291142291159</v>
      </c>
      <c r="L104" s="257" t="s">
        <v>490</v>
      </c>
      <c r="M104" s="252"/>
      <c r="N104" s="253"/>
      <c r="O104" s="34">
        <f t="shared" ref="O104:T104" si="67">SUM(O91,O102)</f>
        <v>224.57</v>
      </c>
      <c r="P104" s="34">
        <f t="shared" si="67"/>
        <v>186</v>
      </c>
      <c r="Q104" s="34">
        <f t="shared" si="67"/>
        <v>3382.2700000000004</v>
      </c>
      <c r="R104" s="34">
        <f t="shared" si="67"/>
        <v>3382.2700000000004</v>
      </c>
      <c r="S104" s="34">
        <f t="shared" si="67"/>
        <v>6804.92</v>
      </c>
      <c r="T104" s="34">
        <f t="shared" si="67"/>
        <v>3422.6499999999996</v>
      </c>
      <c r="U104" s="35">
        <f>T104/S104</f>
        <v>0.50296697095630805</v>
      </c>
    </row>
    <row r="105" spans="1:26" ht="30">
      <c r="A105" s="94"/>
      <c r="B105" s="95"/>
      <c r="C105" s="96"/>
      <c r="D105" s="97"/>
      <c r="E105" s="97"/>
      <c r="F105" s="97"/>
      <c r="G105" s="98"/>
      <c r="H105" s="98"/>
      <c r="I105" s="98"/>
      <c r="J105" s="99"/>
      <c r="K105" s="100"/>
      <c r="L105" s="94"/>
      <c r="M105" s="96"/>
      <c r="N105" s="96"/>
      <c r="O105" s="97"/>
      <c r="P105" s="97"/>
      <c r="Q105" s="97"/>
      <c r="R105" s="98"/>
      <c r="S105" s="98"/>
      <c r="T105" s="98"/>
      <c r="U105" s="99"/>
      <c r="V105" s="100"/>
      <c r="W105" s="100"/>
      <c r="X105" s="100"/>
      <c r="Y105" s="100"/>
      <c r="Z105" s="100"/>
    </row>
    <row r="106" spans="1:26" ht="13">
      <c r="A106" s="269" t="s">
        <v>9</v>
      </c>
      <c r="B106" s="244" t="s">
        <v>623</v>
      </c>
      <c r="C106" s="15" t="s">
        <v>63</v>
      </c>
      <c r="D106" s="16">
        <v>25.6</v>
      </c>
      <c r="E106" s="16">
        <v>15</v>
      </c>
      <c r="F106" s="16">
        <f t="shared" ref="F106:F111" si="68">D106*E106</f>
        <v>384</v>
      </c>
      <c r="G106" s="240">
        <f>SUM(F106:F113)</f>
        <v>1661.1599999999999</v>
      </c>
      <c r="H106" s="237">
        <v>1428</v>
      </c>
      <c r="I106" s="237">
        <f>H106-G106</f>
        <v>-233.15999999999985</v>
      </c>
      <c r="J106" s="241">
        <f>I106/H106</f>
        <v>-0.16327731092436965</v>
      </c>
      <c r="L106" s="269" t="s">
        <v>9</v>
      </c>
      <c r="M106" s="244" t="s">
        <v>623</v>
      </c>
      <c r="N106" s="15" t="s">
        <v>63</v>
      </c>
      <c r="O106" s="16">
        <v>25.6</v>
      </c>
      <c r="P106" s="16">
        <v>15</v>
      </c>
      <c r="Q106" s="16">
        <f t="shared" ref="Q106:Q111" si="69">O106*P106</f>
        <v>384</v>
      </c>
      <c r="R106" s="240">
        <f>SUM(Q106:Q113)</f>
        <v>1661.1599999999999</v>
      </c>
      <c r="S106" s="237">
        <v>1428</v>
      </c>
      <c r="T106" s="237">
        <f>S106-R106</f>
        <v>-233.15999999999985</v>
      </c>
      <c r="U106" s="241">
        <f>T106/S106</f>
        <v>-0.16327731092436965</v>
      </c>
    </row>
    <row r="107" spans="1:26" ht="13">
      <c r="A107" s="270"/>
      <c r="B107" s="245"/>
      <c r="C107" s="19" t="s">
        <v>77</v>
      </c>
      <c r="D107" s="17">
        <v>13.6</v>
      </c>
      <c r="E107" s="17">
        <v>13</v>
      </c>
      <c r="F107" s="17">
        <f t="shared" si="68"/>
        <v>176.79999999999998</v>
      </c>
      <c r="G107" s="236"/>
      <c r="H107" s="236"/>
      <c r="I107" s="236"/>
      <c r="J107" s="242"/>
      <c r="L107" s="270"/>
      <c r="M107" s="245"/>
      <c r="N107" s="19" t="s">
        <v>77</v>
      </c>
      <c r="O107" s="17">
        <v>13.6</v>
      </c>
      <c r="P107" s="17">
        <v>13</v>
      </c>
      <c r="Q107" s="17">
        <f t="shared" si="69"/>
        <v>176.79999999999998</v>
      </c>
      <c r="R107" s="236"/>
      <c r="S107" s="236"/>
      <c r="T107" s="236"/>
      <c r="U107" s="242"/>
    </row>
    <row r="108" spans="1:26" ht="13">
      <c r="A108" s="270"/>
      <c r="B108" s="245"/>
      <c r="C108" s="19" t="s">
        <v>266</v>
      </c>
      <c r="D108" s="17">
        <v>13.7</v>
      </c>
      <c r="E108" s="17">
        <v>13</v>
      </c>
      <c r="F108" s="17">
        <f t="shared" si="68"/>
        <v>178.1</v>
      </c>
      <c r="G108" s="236"/>
      <c r="H108" s="236"/>
      <c r="I108" s="236"/>
      <c r="J108" s="242"/>
      <c r="L108" s="270"/>
      <c r="M108" s="245"/>
      <c r="N108" s="19" t="s">
        <v>266</v>
      </c>
      <c r="O108" s="17">
        <v>13.7</v>
      </c>
      <c r="P108" s="17">
        <v>13</v>
      </c>
      <c r="Q108" s="17">
        <f t="shared" si="69"/>
        <v>178.1</v>
      </c>
      <c r="R108" s="236"/>
      <c r="S108" s="236"/>
      <c r="T108" s="236"/>
      <c r="U108" s="242"/>
    </row>
    <row r="109" spans="1:26" ht="13">
      <c r="A109" s="270"/>
      <c r="B109" s="245"/>
      <c r="C109" s="19" t="s">
        <v>500</v>
      </c>
      <c r="D109" s="17">
        <v>19</v>
      </c>
      <c r="E109" s="17">
        <v>13</v>
      </c>
      <c r="F109" s="17">
        <f t="shared" si="68"/>
        <v>247</v>
      </c>
      <c r="G109" s="236"/>
      <c r="H109" s="236"/>
      <c r="I109" s="236"/>
      <c r="J109" s="242"/>
      <c r="L109" s="270"/>
      <c r="M109" s="245"/>
      <c r="N109" s="19" t="s">
        <v>500</v>
      </c>
      <c r="O109" s="17">
        <v>19</v>
      </c>
      <c r="P109" s="17">
        <v>13</v>
      </c>
      <c r="Q109" s="17">
        <f t="shared" si="69"/>
        <v>247</v>
      </c>
      <c r="R109" s="236"/>
      <c r="S109" s="236"/>
      <c r="T109" s="236"/>
      <c r="U109" s="242"/>
    </row>
    <row r="110" spans="1:26" ht="13">
      <c r="A110" s="270"/>
      <c r="B110" s="245"/>
      <c r="C110" s="19" t="s">
        <v>32</v>
      </c>
      <c r="D110" s="17">
        <v>25.55</v>
      </c>
      <c r="E110" s="17">
        <v>13</v>
      </c>
      <c r="F110" s="17">
        <f t="shared" si="68"/>
        <v>332.15000000000003</v>
      </c>
      <c r="G110" s="236"/>
      <c r="H110" s="236"/>
      <c r="I110" s="236"/>
      <c r="J110" s="242"/>
      <c r="L110" s="270"/>
      <c r="M110" s="245"/>
      <c r="N110" s="19" t="s">
        <v>32</v>
      </c>
      <c r="O110" s="17">
        <v>25.55</v>
      </c>
      <c r="P110" s="17">
        <v>13</v>
      </c>
      <c r="Q110" s="17">
        <f t="shared" si="69"/>
        <v>332.15000000000003</v>
      </c>
      <c r="R110" s="236"/>
      <c r="S110" s="236"/>
      <c r="T110" s="236"/>
      <c r="U110" s="242"/>
    </row>
    <row r="111" spans="1:26" ht="13">
      <c r="A111" s="270"/>
      <c r="B111" s="245"/>
      <c r="C111" s="19" t="s">
        <v>621</v>
      </c>
      <c r="D111" s="17">
        <v>19.47</v>
      </c>
      <c r="E111" s="17">
        <v>13</v>
      </c>
      <c r="F111" s="17">
        <f t="shared" si="68"/>
        <v>253.10999999999999</v>
      </c>
      <c r="G111" s="236"/>
      <c r="H111" s="236"/>
      <c r="I111" s="236"/>
      <c r="J111" s="242"/>
      <c r="L111" s="270"/>
      <c r="M111" s="245"/>
      <c r="N111" s="19" t="s">
        <v>621</v>
      </c>
      <c r="O111" s="17">
        <v>19.47</v>
      </c>
      <c r="P111" s="17">
        <v>13</v>
      </c>
      <c r="Q111" s="17">
        <f t="shared" si="69"/>
        <v>253.10999999999999</v>
      </c>
      <c r="R111" s="236"/>
      <c r="S111" s="236"/>
      <c r="T111" s="236"/>
      <c r="U111" s="242"/>
    </row>
    <row r="112" spans="1:26" ht="13">
      <c r="A112" s="270"/>
      <c r="B112" s="245"/>
      <c r="C112" s="19" t="s">
        <v>624</v>
      </c>
      <c r="D112" s="17"/>
      <c r="E112" s="17"/>
      <c r="F112" s="17">
        <v>90</v>
      </c>
      <c r="G112" s="236"/>
      <c r="H112" s="236"/>
      <c r="I112" s="236"/>
      <c r="J112" s="242"/>
      <c r="L112" s="270"/>
      <c r="M112" s="245"/>
      <c r="N112" s="19" t="s">
        <v>624</v>
      </c>
      <c r="O112" s="17"/>
      <c r="P112" s="17"/>
      <c r="Q112" s="17">
        <v>90</v>
      </c>
      <c r="R112" s="236"/>
      <c r="S112" s="236"/>
      <c r="T112" s="236"/>
      <c r="U112" s="242"/>
    </row>
    <row r="113" spans="1:21" ht="19.5" customHeight="1">
      <c r="A113" s="271"/>
      <c r="B113" s="246"/>
      <c r="C113" s="20"/>
      <c r="D113" s="21"/>
      <c r="E113" s="21"/>
      <c r="F113" s="21"/>
      <c r="G113" s="238"/>
      <c r="H113" s="238"/>
      <c r="I113" s="238"/>
      <c r="J113" s="243"/>
      <c r="L113" s="270"/>
      <c r="M113" s="246"/>
      <c r="N113" s="20"/>
      <c r="O113" s="21"/>
      <c r="P113" s="21"/>
      <c r="Q113" s="21"/>
      <c r="R113" s="238"/>
      <c r="S113" s="238"/>
      <c r="T113" s="238"/>
      <c r="U113" s="243"/>
    </row>
    <row r="114" spans="1:21" ht="30">
      <c r="A114" s="254" t="s">
        <v>504</v>
      </c>
      <c r="B114" s="255"/>
      <c r="C114" s="256"/>
      <c r="D114" s="27">
        <f t="shared" ref="D114:I114" si="70">AVERAGE(D106:D113)</f>
        <v>19.486666666666668</v>
      </c>
      <c r="E114" s="27">
        <f t="shared" si="70"/>
        <v>13.333333333333334</v>
      </c>
      <c r="F114" s="27">
        <f t="shared" si="70"/>
        <v>237.30857142857141</v>
      </c>
      <c r="G114" s="27">
        <f t="shared" si="70"/>
        <v>1661.1599999999999</v>
      </c>
      <c r="H114" s="27">
        <f t="shared" si="70"/>
        <v>1428</v>
      </c>
      <c r="I114" s="27">
        <f t="shared" si="70"/>
        <v>-233.15999999999985</v>
      </c>
      <c r="J114" s="28" t="e">
        <f>AVERAGE($K$10:$K$33)</f>
        <v>#DIV/0!</v>
      </c>
      <c r="L114" s="254" t="s">
        <v>504</v>
      </c>
      <c r="M114" s="255"/>
      <c r="N114" s="256"/>
      <c r="O114" s="27">
        <f t="shared" ref="O114:T114" si="71">AVERAGE(O106:O113)</f>
        <v>19.486666666666668</v>
      </c>
      <c r="P114" s="27">
        <f t="shared" si="71"/>
        <v>13.333333333333334</v>
      </c>
      <c r="Q114" s="27">
        <f t="shared" si="71"/>
        <v>237.30857142857141</v>
      </c>
      <c r="R114" s="27">
        <f t="shared" si="71"/>
        <v>1661.1599999999999</v>
      </c>
      <c r="S114" s="27">
        <f t="shared" si="71"/>
        <v>1428</v>
      </c>
      <c r="T114" s="27">
        <f t="shared" si="71"/>
        <v>-233.15999999999985</v>
      </c>
      <c r="U114" s="28" t="e">
        <f>AVERAGE($K$10:$K$33)</f>
        <v>#DIV/0!</v>
      </c>
    </row>
    <row r="115" spans="1:21" ht="30">
      <c r="A115" s="251" t="s">
        <v>505</v>
      </c>
      <c r="B115" s="252"/>
      <c r="C115" s="253"/>
      <c r="D115" s="88">
        <f t="shared" ref="D115:I115" si="72">SUM(D106:D113)</f>
        <v>116.92</v>
      </c>
      <c r="E115" s="88">
        <f t="shared" si="72"/>
        <v>80</v>
      </c>
      <c r="F115" s="88">
        <f t="shared" si="72"/>
        <v>1661.1599999999999</v>
      </c>
      <c r="G115" s="88">
        <f t="shared" si="72"/>
        <v>1661.1599999999999</v>
      </c>
      <c r="H115" s="88">
        <f t="shared" si="72"/>
        <v>1428</v>
      </c>
      <c r="I115" s="88">
        <f t="shared" si="72"/>
        <v>-233.15999999999985</v>
      </c>
      <c r="J115" s="89">
        <f t="shared" ref="J115:J116" si="73">I115/H115</f>
        <v>-0.16327731092436965</v>
      </c>
      <c r="L115" s="251" t="s">
        <v>505</v>
      </c>
      <c r="M115" s="252"/>
      <c r="N115" s="253"/>
      <c r="O115" s="88">
        <f t="shared" ref="O115:T115" si="74">SUM(O106:O113)</f>
        <v>116.92</v>
      </c>
      <c r="P115" s="88">
        <f t="shared" si="74"/>
        <v>80</v>
      </c>
      <c r="Q115" s="88">
        <f t="shared" si="74"/>
        <v>1661.1599999999999</v>
      </c>
      <c r="R115" s="88">
        <f t="shared" si="74"/>
        <v>1661.1599999999999</v>
      </c>
      <c r="S115" s="88">
        <f t="shared" si="74"/>
        <v>1428</v>
      </c>
      <c r="T115" s="88">
        <f t="shared" si="74"/>
        <v>-233.15999999999985</v>
      </c>
      <c r="U115" s="89">
        <f t="shared" ref="U115:U116" si="75">T115/S115</f>
        <v>-0.16327731092436965</v>
      </c>
    </row>
    <row r="116" spans="1:21" ht="13">
      <c r="A116" s="269" t="s">
        <v>10</v>
      </c>
      <c r="B116" s="244" t="s">
        <v>640</v>
      </c>
      <c r="C116" s="15" t="s">
        <v>436</v>
      </c>
      <c r="D116" s="16">
        <v>21</v>
      </c>
      <c r="E116" s="16">
        <v>15</v>
      </c>
      <c r="F116" s="16">
        <f t="shared" ref="F116:F123" si="76">D116*E116</f>
        <v>315</v>
      </c>
      <c r="G116" s="240">
        <f>SUM(F116:F123)</f>
        <v>1917.96</v>
      </c>
      <c r="H116" s="237">
        <v>1428</v>
      </c>
      <c r="I116" s="237">
        <f>H116-G116</f>
        <v>-489.96000000000004</v>
      </c>
      <c r="J116" s="241">
        <f t="shared" si="73"/>
        <v>-0.34310924369747903</v>
      </c>
      <c r="L116" s="269" t="s">
        <v>10</v>
      </c>
      <c r="M116" s="244" t="s">
        <v>640</v>
      </c>
      <c r="N116" s="15" t="s">
        <v>436</v>
      </c>
      <c r="O116" s="18"/>
      <c r="P116" s="18"/>
      <c r="Q116" s="18"/>
      <c r="R116" s="240">
        <f>SUM(Q116:Q123)</f>
        <v>1602.96</v>
      </c>
      <c r="S116" s="237">
        <v>1428</v>
      </c>
      <c r="T116" s="237">
        <f>S116-R116</f>
        <v>-174.96000000000004</v>
      </c>
      <c r="U116" s="241">
        <f t="shared" si="75"/>
        <v>-0.12252100840336137</v>
      </c>
    </row>
    <row r="117" spans="1:21" ht="13">
      <c r="A117" s="270"/>
      <c r="B117" s="245"/>
      <c r="C117" s="19" t="s">
        <v>50</v>
      </c>
      <c r="D117" s="17">
        <v>35.17</v>
      </c>
      <c r="E117" s="17">
        <v>15</v>
      </c>
      <c r="F117" s="17">
        <f t="shared" si="76"/>
        <v>527.55000000000007</v>
      </c>
      <c r="G117" s="236"/>
      <c r="H117" s="236"/>
      <c r="I117" s="236"/>
      <c r="J117" s="242"/>
      <c r="L117" s="270"/>
      <c r="M117" s="245"/>
      <c r="N117" s="19" t="s">
        <v>50</v>
      </c>
      <c r="O117" s="17">
        <v>35.17</v>
      </c>
      <c r="P117" s="17">
        <v>15</v>
      </c>
      <c r="Q117" s="17">
        <f t="shared" ref="Q117:Q123" si="77">O117*P117</f>
        <v>527.55000000000007</v>
      </c>
      <c r="R117" s="236"/>
      <c r="S117" s="236"/>
      <c r="T117" s="236"/>
      <c r="U117" s="242"/>
    </row>
    <row r="118" spans="1:21" ht="13">
      <c r="A118" s="270"/>
      <c r="B118" s="245"/>
      <c r="C118" s="19" t="s">
        <v>54</v>
      </c>
      <c r="D118" s="17">
        <v>15.37</v>
      </c>
      <c r="E118" s="17">
        <v>13</v>
      </c>
      <c r="F118" s="17">
        <f t="shared" si="76"/>
        <v>199.81</v>
      </c>
      <c r="G118" s="236"/>
      <c r="H118" s="236"/>
      <c r="I118" s="236"/>
      <c r="J118" s="242"/>
      <c r="L118" s="270"/>
      <c r="M118" s="245"/>
      <c r="N118" s="19" t="s">
        <v>54</v>
      </c>
      <c r="O118" s="17">
        <v>15.37</v>
      </c>
      <c r="P118" s="17">
        <v>13</v>
      </c>
      <c r="Q118" s="17">
        <f t="shared" si="77"/>
        <v>199.81</v>
      </c>
      <c r="R118" s="236"/>
      <c r="S118" s="236"/>
      <c r="T118" s="236"/>
      <c r="U118" s="242"/>
    </row>
    <row r="119" spans="1:21" ht="13">
      <c r="A119" s="270"/>
      <c r="B119" s="245"/>
      <c r="C119" s="19" t="s">
        <v>80</v>
      </c>
      <c r="D119" s="17">
        <v>13.1</v>
      </c>
      <c r="E119" s="17">
        <v>13</v>
      </c>
      <c r="F119" s="17">
        <f t="shared" si="76"/>
        <v>170.29999999999998</v>
      </c>
      <c r="G119" s="236"/>
      <c r="H119" s="236"/>
      <c r="I119" s="236"/>
      <c r="J119" s="242"/>
      <c r="L119" s="270"/>
      <c r="M119" s="245"/>
      <c r="N119" s="19" t="s">
        <v>80</v>
      </c>
      <c r="O119" s="17">
        <v>13.1</v>
      </c>
      <c r="P119" s="17">
        <v>13</v>
      </c>
      <c r="Q119" s="17">
        <f t="shared" si="77"/>
        <v>170.29999999999998</v>
      </c>
      <c r="R119" s="236"/>
      <c r="S119" s="236"/>
      <c r="T119" s="236"/>
      <c r="U119" s="242"/>
    </row>
    <row r="120" spans="1:21" ht="13">
      <c r="A120" s="270"/>
      <c r="B120" s="245"/>
      <c r="C120" s="19" t="s">
        <v>72</v>
      </c>
      <c r="D120" s="17">
        <v>18.2</v>
      </c>
      <c r="E120" s="17">
        <v>13</v>
      </c>
      <c r="F120" s="17">
        <f t="shared" si="76"/>
        <v>236.6</v>
      </c>
      <c r="G120" s="236"/>
      <c r="H120" s="236"/>
      <c r="I120" s="236"/>
      <c r="J120" s="242"/>
      <c r="L120" s="270"/>
      <c r="M120" s="245"/>
      <c r="N120" s="19" t="s">
        <v>72</v>
      </c>
      <c r="O120" s="17">
        <v>18.2</v>
      </c>
      <c r="P120" s="17">
        <v>13</v>
      </c>
      <c r="Q120" s="17">
        <f t="shared" si="77"/>
        <v>236.6</v>
      </c>
      <c r="R120" s="236"/>
      <c r="S120" s="236"/>
      <c r="T120" s="236"/>
      <c r="U120" s="242"/>
    </row>
    <row r="121" spans="1:21" ht="13">
      <c r="A121" s="270"/>
      <c r="B121" s="245"/>
      <c r="C121" s="19" t="s">
        <v>62</v>
      </c>
      <c r="D121" s="17">
        <v>20.55</v>
      </c>
      <c r="E121" s="17">
        <v>13</v>
      </c>
      <c r="F121" s="17">
        <f t="shared" si="76"/>
        <v>267.15000000000003</v>
      </c>
      <c r="G121" s="236"/>
      <c r="H121" s="236"/>
      <c r="I121" s="236"/>
      <c r="J121" s="242"/>
      <c r="L121" s="270"/>
      <c r="M121" s="245"/>
      <c r="N121" s="19" t="s">
        <v>62</v>
      </c>
      <c r="O121" s="17">
        <v>20.55</v>
      </c>
      <c r="P121" s="17">
        <v>13</v>
      </c>
      <c r="Q121" s="17">
        <f t="shared" si="77"/>
        <v>267.15000000000003</v>
      </c>
      <c r="R121" s="236"/>
      <c r="S121" s="236"/>
      <c r="T121" s="236"/>
      <c r="U121" s="242"/>
    </row>
    <row r="122" spans="1:21" ht="13">
      <c r="A122" s="270"/>
      <c r="B122" s="245"/>
      <c r="C122" s="19" t="s">
        <v>70</v>
      </c>
      <c r="D122" s="17">
        <v>13</v>
      </c>
      <c r="E122" s="17">
        <v>13</v>
      </c>
      <c r="F122" s="17">
        <f t="shared" si="76"/>
        <v>169</v>
      </c>
      <c r="G122" s="236"/>
      <c r="H122" s="236"/>
      <c r="I122" s="236"/>
      <c r="J122" s="242"/>
      <c r="L122" s="270"/>
      <c r="M122" s="245"/>
      <c r="N122" s="19" t="s">
        <v>70</v>
      </c>
      <c r="O122" s="17">
        <v>13</v>
      </c>
      <c r="P122" s="17">
        <v>13</v>
      </c>
      <c r="Q122" s="17">
        <f t="shared" si="77"/>
        <v>169</v>
      </c>
      <c r="R122" s="236"/>
      <c r="S122" s="236"/>
      <c r="T122" s="236"/>
      <c r="U122" s="242"/>
    </row>
    <row r="123" spans="1:21" ht="63.75" customHeight="1">
      <c r="A123" s="271"/>
      <c r="B123" s="246"/>
      <c r="C123" s="20" t="s">
        <v>641</v>
      </c>
      <c r="D123" s="21">
        <v>2.17</v>
      </c>
      <c r="E123" s="21">
        <v>15</v>
      </c>
      <c r="F123" s="17">
        <f t="shared" si="76"/>
        <v>32.549999999999997</v>
      </c>
      <c r="G123" s="238"/>
      <c r="H123" s="238"/>
      <c r="I123" s="238"/>
      <c r="J123" s="243"/>
      <c r="L123" s="271"/>
      <c r="M123" s="246"/>
      <c r="N123" s="20" t="s">
        <v>641</v>
      </c>
      <c r="O123" s="21">
        <v>2.17</v>
      </c>
      <c r="P123" s="21">
        <v>15</v>
      </c>
      <c r="Q123" s="17">
        <f t="shared" si="77"/>
        <v>32.549999999999997</v>
      </c>
      <c r="R123" s="238"/>
      <c r="S123" s="238"/>
      <c r="T123" s="238"/>
      <c r="U123" s="243"/>
    </row>
    <row r="124" spans="1:21" ht="30">
      <c r="A124" s="254" t="s">
        <v>549</v>
      </c>
      <c r="B124" s="255"/>
      <c r="C124" s="256"/>
      <c r="D124" s="27">
        <f t="shared" ref="D124:I124" si="78">AVERAGE(D116:D123)</f>
        <v>17.319999999999997</v>
      </c>
      <c r="E124" s="27">
        <f t="shared" si="78"/>
        <v>13.75</v>
      </c>
      <c r="F124" s="27">
        <f t="shared" si="78"/>
        <v>239.745</v>
      </c>
      <c r="G124" s="27">
        <f t="shared" si="78"/>
        <v>1917.96</v>
      </c>
      <c r="H124" s="27">
        <f t="shared" si="78"/>
        <v>1428</v>
      </c>
      <c r="I124" s="27">
        <f t="shared" si="78"/>
        <v>-489.96000000000004</v>
      </c>
      <c r="J124" s="28" t="e">
        <f>AVERAGE($K$10:$K$33)</f>
        <v>#DIV/0!</v>
      </c>
      <c r="L124" s="254" t="s">
        <v>549</v>
      </c>
      <c r="M124" s="255"/>
      <c r="N124" s="256"/>
      <c r="O124" s="27">
        <f t="shared" ref="O124:T124" si="79">AVERAGE(O116:O123)</f>
        <v>16.794285714285714</v>
      </c>
      <c r="P124" s="27">
        <f t="shared" si="79"/>
        <v>13.571428571428571</v>
      </c>
      <c r="Q124" s="27">
        <f t="shared" si="79"/>
        <v>228.99428571428572</v>
      </c>
      <c r="R124" s="27">
        <f t="shared" si="79"/>
        <v>1602.96</v>
      </c>
      <c r="S124" s="27">
        <f t="shared" si="79"/>
        <v>1428</v>
      </c>
      <c r="T124" s="27">
        <f t="shared" si="79"/>
        <v>-174.96000000000004</v>
      </c>
      <c r="U124" s="28" t="e">
        <f>AVERAGE($K$10:$K$33)</f>
        <v>#DIV/0!</v>
      </c>
    </row>
    <row r="125" spans="1:21" ht="30">
      <c r="A125" s="251" t="s">
        <v>550</v>
      </c>
      <c r="B125" s="252"/>
      <c r="C125" s="253"/>
      <c r="D125" s="88">
        <f t="shared" ref="D125:I125" si="80">SUM(D116:D123)</f>
        <v>138.55999999999997</v>
      </c>
      <c r="E125" s="88">
        <f t="shared" si="80"/>
        <v>110</v>
      </c>
      <c r="F125" s="88">
        <f t="shared" si="80"/>
        <v>1917.96</v>
      </c>
      <c r="G125" s="88">
        <f t="shared" si="80"/>
        <v>1917.96</v>
      </c>
      <c r="H125" s="88">
        <f t="shared" si="80"/>
        <v>1428</v>
      </c>
      <c r="I125" s="88">
        <f t="shared" si="80"/>
        <v>-489.96000000000004</v>
      </c>
      <c r="J125" s="89">
        <f t="shared" ref="J125:J126" si="81">I125/H125</f>
        <v>-0.34310924369747903</v>
      </c>
      <c r="L125" s="251" t="s">
        <v>550</v>
      </c>
      <c r="M125" s="252"/>
      <c r="N125" s="253"/>
      <c r="O125" s="88">
        <f t="shared" ref="O125:T125" si="82">SUM(O116:O123)</f>
        <v>117.56</v>
      </c>
      <c r="P125" s="88">
        <f t="shared" si="82"/>
        <v>95</v>
      </c>
      <c r="Q125" s="88">
        <f t="shared" si="82"/>
        <v>1602.96</v>
      </c>
      <c r="R125" s="88">
        <f t="shared" si="82"/>
        <v>1602.96</v>
      </c>
      <c r="S125" s="88">
        <f t="shared" si="82"/>
        <v>1428</v>
      </c>
      <c r="T125" s="88">
        <f t="shared" si="82"/>
        <v>-174.96000000000004</v>
      </c>
      <c r="U125" s="89">
        <f t="shared" ref="U125:U126" si="83">T125/S125</f>
        <v>-0.12252100840336137</v>
      </c>
    </row>
    <row r="126" spans="1:21" ht="13">
      <c r="A126" s="269" t="s">
        <v>11</v>
      </c>
      <c r="B126" s="244" t="s">
        <v>642</v>
      </c>
      <c r="C126" s="15" t="s">
        <v>50</v>
      </c>
      <c r="D126" s="16">
        <v>20.6</v>
      </c>
      <c r="E126" s="16">
        <v>15</v>
      </c>
      <c r="F126" s="16">
        <f t="shared" ref="F126:F133" si="84">D126*E126</f>
        <v>309</v>
      </c>
      <c r="G126" s="240">
        <f>SUM(F126:F133)</f>
        <v>1333.53</v>
      </c>
      <c r="H126" s="237">
        <v>1428</v>
      </c>
      <c r="I126" s="237">
        <f>H126-G126</f>
        <v>94.470000000000027</v>
      </c>
      <c r="J126" s="241">
        <f t="shared" si="81"/>
        <v>6.6155462184873975E-2</v>
      </c>
      <c r="L126" s="269" t="s">
        <v>11</v>
      </c>
      <c r="M126" s="244" t="s">
        <v>642</v>
      </c>
      <c r="N126" s="15" t="s">
        <v>50</v>
      </c>
      <c r="O126" s="16">
        <v>20.6</v>
      </c>
      <c r="P126" s="16">
        <v>15</v>
      </c>
      <c r="Q126" s="16">
        <f t="shared" ref="Q126:Q133" si="85">O126*P126</f>
        <v>309</v>
      </c>
      <c r="R126" s="240">
        <f>SUM(Q126:Q133)</f>
        <v>1333.53</v>
      </c>
      <c r="S126" s="237">
        <v>1428</v>
      </c>
      <c r="T126" s="237">
        <f>S126-R126</f>
        <v>94.470000000000027</v>
      </c>
      <c r="U126" s="241">
        <f t="shared" si="83"/>
        <v>6.6155462184873975E-2</v>
      </c>
    </row>
    <row r="127" spans="1:21" ht="13">
      <c r="A127" s="270"/>
      <c r="B127" s="245"/>
      <c r="C127" s="19" t="s">
        <v>54</v>
      </c>
      <c r="D127" s="17">
        <v>11.78</v>
      </c>
      <c r="E127" s="17">
        <v>13</v>
      </c>
      <c r="F127" s="17">
        <f t="shared" si="84"/>
        <v>153.13999999999999</v>
      </c>
      <c r="G127" s="236"/>
      <c r="H127" s="236"/>
      <c r="I127" s="236"/>
      <c r="J127" s="242"/>
      <c r="L127" s="270"/>
      <c r="M127" s="245"/>
      <c r="N127" s="19" t="s">
        <v>54</v>
      </c>
      <c r="O127" s="17">
        <v>11.78</v>
      </c>
      <c r="P127" s="17">
        <v>13</v>
      </c>
      <c r="Q127" s="17">
        <f t="shared" si="85"/>
        <v>153.13999999999999</v>
      </c>
      <c r="R127" s="236"/>
      <c r="S127" s="236"/>
      <c r="T127" s="236"/>
      <c r="U127" s="242"/>
    </row>
    <row r="128" spans="1:21" ht="13">
      <c r="A128" s="270"/>
      <c r="B128" s="245"/>
      <c r="C128" s="19" t="s">
        <v>80</v>
      </c>
      <c r="D128" s="17">
        <v>12.74</v>
      </c>
      <c r="E128" s="17">
        <v>13</v>
      </c>
      <c r="F128" s="17">
        <f t="shared" si="84"/>
        <v>165.62</v>
      </c>
      <c r="G128" s="236"/>
      <c r="H128" s="236"/>
      <c r="I128" s="236"/>
      <c r="J128" s="242"/>
      <c r="L128" s="270"/>
      <c r="M128" s="245"/>
      <c r="N128" s="19" t="s">
        <v>80</v>
      </c>
      <c r="O128" s="17">
        <v>12.74</v>
      </c>
      <c r="P128" s="17">
        <v>13</v>
      </c>
      <c r="Q128" s="17">
        <f t="shared" si="85"/>
        <v>165.62</v>
      </c>
      <c r="R128" s="236"/>
      <c r="S128" s="236"/>
      <c r="T128" s="236"/>
      <c r="U128" s="242"/>
    </row>
    <row r="129" spans="1:21" ht="13">
      <c r="A129" s="270"/>
      <c r="B129" s="245"/>
      <c r="C129" s="19" t="s">
        <v>418</v>
      </c>
      <c r="D129" s="17">
        <v>10.050000000000001</v>
      </c>
      <c r="E129" s="17">
        <v>13</v>
      </c>
      <c r="F129" s="17">
        <f t="shared" si="84"/>
        <v>130.65</v>
      </c>
      <c r="G129" s="236"/>
      <c r="H129" s="236"/>
      <c r="I129" s="236"/>
      <c r="J129" s="242"/>
      <c r="L129" s="270"/>
      <c r="M129" s="245"/>
      <c r="N129" s="19" t="s">
        <v>418</v>
      </c>
      <c r="O129" s="17">
        <v>10.050000000000001</v>
      </c>
      <c r="P129" s="17">
        <v>13</v>
      </c>
      <c r="Q129" s="17">
        <f t="shared" si="85"/>
        <v>130.65</v>
      </c>
      <c r="R129" s="236"/>
      <c r="S129" s="236"/>
      <c r="T129" s="236"/>
      <c r="U129" s="242"/>
    </row>
    <row r="130" spans="1:21" ht="13">
      <c r="A130" s="270"/>
      <c r="B130" s="245"/>
      <c r="C130" s="19" t="s">
        <v>72</v>
      </c>
      <c r="D130" s="17">
        <v>9.5500000000000007</v>
      </c>
      <c r="E130" s="17">
        <v>13</v>
      </c>
      <c r="F130" s="17">
        <f t="shared" si="84"/>
        <v>124.15</v>
      </c>
      <c r="G130" s="236"/>
      <c r="H130" s="236"/>
      <c r="I130" s="236"/>
      <c r="J130" s="242"/>
      <c r="L130" s="270"/>
      <c r="M130" s="245"/>
      <c r="N130" s="19" t="s">
        <v>72</v>
      </c>
      <c r="O130" s="17">
        <v>9.5500000000000007</v>
      </c>
      <c r="P130" s="17">
        <v>13</v>
      </c>
      <c r="Q130" s="17">
        <f t="shared" si="85"/>
        <v>124.15</v>
      </c>
      <c r="R130" s="236"/>
      <c r="S130" s="236"/>
      <c r="T130" s="236"/>
      <c r="U130" s="242"/>
    </row>
    <row r="131" spans="1:21" ht="13">
      <c r="A131" s="270"/>
      <c r="B131" s="245"/>
      <c r="C131" s="19" t="s">
        <v>53</v>
      </c>
      <c r="D131" s="17">
        <v>9.67</v>
      </c>
      <c r="E131" s="17">
        <v>13</v>
      </c>
      <c r="F131" s="17">
        <f t="shared" si="84"/>
        <v>125.71</v>
      </c>
      <c r="G131" s="236"/>
      <c r="H131" s="236"/>
      <c r="I131" s="236"/>
      <c r="J131" s="242"/>
      <c r="L131" s="270"/>
      <c r="M131" s="245"/>
      <c r="N131" s="19" t="s">
        <v>53</v>
      </c>
      <c r="O131" s="17">
        <v>9.67</v>
      </c>
      <c r="P131" s="17">
        <v>13</v>
      </c>
      <c r="Q131" s="17">
        <f t="shared" si="85"/>
        <v>125.71</v>
      </c>
      <c r="R131" s="236"/>
      <c r="S131" s="236"/>
      <c r="T131" s="236"/>
      <c r="U131" s="242"/>
    </row>
    <row r="132" spans="1:21" ht="13">
      <c r="A132" s="270"/>
      <c r="B132" s="245"/>
      <c r="C132" s="19" t="s">
        <v>70</v>
      </c>
      <c r="D132" s="17">
        <v>11.1</v>
      </c>
      <c r="E132" s="17">
        <v>13</v>
      </c>
      <c r="F132" s="17">
        <f t="shared" si="84"/>
        <v>144.29999999999998</v>
      </c>
      <c r="G132" s="236"/>
      <c r="H132" s="236"/>
      <c r="I132" s="236"/>
      <c r="J132" s="242"/>
      <c r="L132" s="270"/>
      <c r="M132" s="245"/>
      <c r="N132" s="19" t="s">
        <v>70</v>
      </c>
      <c r="O132" s="17">
        <v>11.1</v>
      </c>
      <c r="P132" s="17">
        <v>13</v>
      </c>
      <c r="Q132" s="17">
        <f t="shared" si="85"/>
        <v>144.29999999999998</v>
      </c>
      <c r="R132" s="236"/>
      <c r="S132" s="236"/>
      <c r="T132" s="236"/>
      <c r="U132" s="242"/>
    </row>
    <row r="133" spans="1:21" ht="49.5" customHeight="1">
      <c r="A133" s="271"/>
      <c r="B133" s="246"/>
      <c r="C133" s="20" t="s">
        <v>49</v>
      </c>
      <c r="D133" s="21">
        <v>13.92</v>
      </c>
      <c r="E133" s="21">
        <v>13</v>
      </c>
      <c r="F133" s="21">
        <f t="shared" si="84"/>
        <v>180.96</v>
      </c>
      <c r="G133" s="238"/>
      <c r="H133" s="238"/>
      <c r="I133" s="238"/>
      <c r="J133" s="243"/>
      <c r="L133" s="271"/>
      <c r="M133" s="246"/>
      <c r="N133" s="20" t="s">
        <v>49</v>
      </c>
      <c r="O133" s="21">
        <v>13.92</v>
      </c>
      <c r="P133" s="21">
        <v>13</v>
      </c>
      <c r="Q133" s="21">
        <f t="shared" si="85"/>
        <v>180.96</v>
      </c>
      <c r="R133" s="238"/>
      <c r="S133" s="238"/>
      <c r="T133" s="238"/>
      <c r="U133" s="243"/>
    </row>
    <row r="134" spans="1:21" ht="30">
      <c r="A134" s="254" t="s">
        <v>569</v>
      </c>
      <c r="B134" s="255"/>
      <c r="C134" s="256"/>
      <c r="D134" s="27">
        <f t="shared" ref="D134:I134" si="86">AVERAGE(D126:D133)</f>
        <v>12.42625</v>
      </c>
      <c r="E134" s="27">
        <f t="shared" si="86"/>
        <v>13.25</v>
      </c>
      <c r="F134" s="27">
        <f t="shared" si="86"/>
        <v>166.69125</v>
      </c>
      <c r="G134" s="27">
        <f t="shared" si="86"/>
        <v>1333.53</v>
      </c>
      <c r="H134" s="27">
        <f t="shared" si="86"/>
        <v>1428</v>
      </c>
      <c r="I134" s="27">
        <f t="shared" si="86"/>
        <v>94.470000000000027</v>
      </c>
      <c r="J134" s="28" t="e">
        <f>AVERAGE($K$10:$K$33)</f>
        <v>#DIV/0!</v>
      </c>
      <c r="L134" s="254" t="s">
        <v>569</v>
      </c>
      <c r="M134" s="255"/>
      <c r="N134" s="256"/>
      <c r="O134" s="27">
        <f t="shared" ref="O134:T134" si="87">AVERAGE(O126:O133)</f>
        <v>12.42625</v>
      </c>
      <c r="P134" s="27">
        <f t="shared" si="87"/>
        <v>13.25</v>
      </c>
      <c r="Q134" s="27">
        <f t="shared" si="87"/>
        <v>166.69125</v>
      </c>
      <c r="R134" s="27">
        <f t="shared" si="87"/>
        <v>1333.53</v>
      </c>
      <c r="S134" s="27">
        <f t="shared" si="87"/>
        <v>1428</v>
      </c>
      <c r="T134" s="27">
        <f t="shared" si="87"/>
        <v>94.470000000000027</v>
      </c>
      <c r="U134" s="28" t="e">
        <f>AVERAGE($K$10:$K$33)</f>
        <v>#DIV/0!</v>
      </c>
    </row>
    <row r="135" spans="1:21" ht="30">
      <c r="A135" s="251" t="s">
        <v>570</v>
      </c>
      <c r="B135" s="252"/>
      <c r="C135" s="253"/>
      <c r="D135" s="88">
        <f t="shared" ref="D135:I135" si="88">SUM(D126:D133)</f>
        <v>99.41</v>
      </c>
      <c r="E135" s="88">
        <f t="shared" si="88"/>
        <v>106</v>
      </c>
      <c r="F135" s="88">
        <f t="shared" si="88"/>
        <v>1333.53</v>
      </c>
      <c r="G135" s="88">
        <f t="shared" si="88"/>
        <v>1333.53</v>
      </c>
      <c r="H135" s="88">
        <f t="shared" si="88"/>
        <v>1428</v>
      </c>
      <c r="I135" s="88">
        <f t="shared" si="88"/>
        <v>94.470000000000027</v>
      </c>
      <c r="J135" s="89">
        <f>I135/H135</f>
        <v>6.6155462184873975E-2</v>
      </c>
      <c r="L135" s="251" t="s">
        <v>570</v>
      </c>
      <c r="M135" s="252"/>
      <c r="N135" s="253"/>
      <c r="O135" s="88">
        <f t="shared" ref="O135:T135" si="89">SUM(O126:O133)</f>
        <v>99.41</v>
      </c>
      <c r="P135" s="88">
        <f t="shared" si="89"/>
        <v>106</v>
      </c>
      <c r="Q135" s="88">
        <f t="shared" si="89"/>
        <v>1333.53</v>
      </c>
      <c r="R135" s="88">
        <f t="shared" si="89"/>
        <v>1333.53</v>
      </c>
      <c r="S135" s="88">
        <f t="shared" si="89"/>
        <v>1428</v>
      </c>
      <c r="T135" s="88">
        <f t="shared" si="89"/>
        <v>94.470000000000027</v>
      </c>
      <c r="U135" s="89">
        <f>T135/S135</f>
        <v>6.6155462184873975E-2</v>
      </c>
    </row>
    <row r="137" spans="1:21" ht="30">
      <c r="A137" s="257" t="s">
        <v>571</v>
      </c>
      <c r="B137" s="252"/>
      <c r="C137" s="253"/>
      <c r="D137" s="34">
        <f t="shared" ref="D137:I137" si="90">SUM(D115,D125,D135)</f>
        <v>354.89</v>
      </c>
      <c r="E137" s="34">
        <f t="shared" si="90"/>
        <v>296</v>
      </c>
      <c r="F137" s="34">
        <f t="shared" si="90"/>
        <v>4912.6499999999996</v>
      </c>
      <c r="G137" s="34">
        <f t="shared" si="90"/>
        <v>4912.6499999999996</v>
      </c>
      <c r="H137" s="34">
        <f t="shared" si="90"/>
        <v>4284</v>
      </c>
      <c r="I137" s="34">
        <f t="shared" si="90"/>
        <v>-628.64999999999986</v>
      </c>
      <c r="J137" s="35">
        <f>I137/H137</f>
        <v>-0.14674369747899157</v>
      </c>
      <c r="L137" s="257" t="s">
        <v>571</v>
      </c>
      <c r="M137" s="252"/>
      <c r="N137" s="253"/>
      <c r="O137" s="34">
        <f t="shared" ref="O137:T137" si="91">SUM(O115,O125,O135)</f>
        <v>333.89</v>
      </c>
      <c r="P137" s="34">
        <f t="shared" si="91"/>
        <v>281</v>
      </c>
      <c r="Q137" s="34">
        <f t="shared" si="91"/>
        <v>4597.6499999999996</v>
      </c>
      <c r="R137" s="34">
        <f t="shared" si="91"/>
        <v>4597.6499999999996</v>
      </c>
      <c r="S137" s="34">
        <f t="shared" si="91"/>
        <v>4284</v>
      </c>
      <c r="T137" s="34">
        <f t="shared" si="91"/>
        <v>-313.64999999999986</v>
      </c>
      <c r="U137" s="35">
        <f>T137/S137</f>
        <v>-7.3214285714285676E-2</v>
      </c>
    </row>
  </sheetData>
  <mergeCells count="206">
    <mergeCell ref="J116:J123"/>
    <mergeCell ref="L116:L123"/>
    <mergeCell ref="J126:J133"/>
    <mergeCell ref="L126:L133"/>
    <mergeCell ref="A134:C134"/>
    <mergeCell ref="L134:N134"/>
    <mergeCell ref="A135:C135"/>
    <mergeCell ref="L135:N135"/>
    <mergeCell ref="A137:C137"/>
    <mergeCell ref="L137:N137"/>
    <mergeCell ref="A124:C124"/>
    <mergeCell ref="L124:N124"/>
    <mergeCell ref="A125:C125"/>
    <mergeCell ref="L125:N125"/>
    <mergeCell ref="A126:A133"/>
    <mergeCell ref="B126:B133"/>
    <mergeCell ref="G126:G133"/>
    <mergeCell ref="R67:R75"/>
    <mergeCell ref="S67:S75"/>
    <mergeCell ref="T67:T75"/>
    <mergeCell ref="U67:U75"/>
    <mergeCell ref="M106:M113"/>
    <mergeCell ref="L114:N114"/>
    <mergeCell ref="I106:I113"/>
    <mergeCell ref="J106:J113"/>
    <mergeCell ref="L106:L113"/>
    <mergeCell ref="R106:R113"/>
    <mergeCell ref="S106:S113"/>
    <mergeCell ref="T106:T113"/>
    <mergeCell ref="U106:U113"/>
    <mergeCell ref="A65:C65"/>
    <mergeCell ref="A66:C66"/>
    <mergeCell ref="A67:A75"/>
    <mergeCell ref="B67:B75"/>
    <mergeCell ref="G67:G75"/>
    <mergeCell ref="H67:H75"/>
    <mergeCell ref="I67:I75"/>
    <mergeCell ref="L76:N76"/>
    <mergeCell ref="L77:N77"/>
    <mergeCell ref="J67:J75"/>
    <mergeCell ref="L67:L75"/>
    <mergeCell ref="M67:M75"/>
    <mergeCell ref="L65:N65"/>
    <mergeCell ref="L66:N66"/>
    <mergeCell ref="H55:H64"/>
    <mergeCell ref="I55:I64"/>
    <mergeCell ref="J55:J64"/>
    <mergeCell ref="L55:L64"/>
    <mergeCell ref="M55:M64"/>
    <mergeCell ref="R55:R64"/>
    <mergeCell ref="S55:S64"/>
    <mergeCell ref="T55:T64"/>
    <mergeCell ref="U55:U64"/>
    <mergeCell ref="B51:B52"/>
    <mergeCell ref="G51:G52"/>
    <mergeCell ref="A53:C53"/>
    <mergeCell ref="A54:C54"/>
    <mergeCell ref="A55:A64"/>
    <mergeCell ref="B55:B64"/>
    <mergeCell ref="G55:G64"/>
    <mergeCell ref="L53:N53"/>
    <mergeCell ref="L54:N54"/>
    <mergeCell ref="A38:C38"/>
    <mergeCell ref="L38:N38"/>
    <mergeCell ref="A39:C39"/>
    <mergeCell ref="L39:N39"/>
    <mergeCell ref="A41:C41"/>
    <mergeCell ref="L41:N41"/>
    <mergeCell ref="A43:A52"/>
    <mergeCell ref="R43:R50"/>
    <mergeCell ref="S43:S50"/>
    <mergeCell ref="T43:T50"/>
    <mergeCell ref="U43:U50"/>
    <mergeCell ref="H51:H52"/>
    <mergeCell ref="I51:I52"/>
    <mergeCell ref="R51:R52"/>
    <mergeCell ref="S51:S52"/>
    <mergeCell ref="T51:T52"/>
    <mergeCell ref="U51:U52"/>
    <mergeCell ref="M51:M52"/>
    <mergeCell ref="A28:C28"/>
    <mergeCell ref="L28:N28"/>
    <mergeCell ref="A29:C29"/>
    <mergeCell ref="L29:N29"/>
    <mergeCell ref="A30:A37"/>
    <mergeCell ref="B30:B37"/>
    <mergeCell ref="G30:G37"/>
    <mergeCell ref="B43:B50"/>
    <mergeCell ref="G43:G50"/>
    <mergeCell ref="H43:H50"/>
    <mergeCell ref="I43:I50"/>
    <mergeCell ref="J43:J50"/>
    <mergeCell ref="L43:L52"/>
    <mergeCell ref="J51:J52"/>
    <mergeCell ref="M43:M50"/>
    <mergeCell ref="H30:H37"/>
    <mergeCell ref="I30:I37"/>
    <mergeCell ref="J30:J37"/>
    <mergeCell ref="L30:L37"/>
    <mergeCell ref="M30:M37"/>
    <mergeCell ref="R30:R37"/>
    <mergeCell ref="S30:S37"/>
    <mergeCell ref="T30:T37"/>
    <mergeCell ref="U30:U37"/>
    <mergeCell ref="B19:B27"/>
    <mergeCell ref="G19:G27"/>
    <mergeCell ref="H19:H27"/>
    <mergeCell ref="J17:J18"/>
    <mergeCell ref="L17:L27"/>
    <mergeCell ref="J19:J27"/>
    <mergeCell ref="M17:M18"/>
    <mergeCell ref="M19:M27"/>
    <mergeCell ref="A15:C15"/>
    <mergeCell ref="L15:N15"/>
    <mergeCell ref="A16:C16"/>
    <mergeCell ref="L16:N16"/>
    <mergeCell ref="A17:A27"/>
    <mergeCell ref="G17:G18"/>
    <mergeCell ref="I19:I27"/>
    <mergeCell ref="C1:H1"/>
    <mergeCell ref="N1:S1"/>
    <mergeCell ref="A3:A14"/>
    <mergeCell ref="B3:B14"/>
    <mergeCell ref="G3:G14"/>
    <mergeCell ref="H3:H14"/>
    <mergeCell ref="I3:I14"/>
    <mergeCell ref="H17:H18"/>
    <mergeCell ref="I17:I18"/>
    <mergeCell ref="R17:R18"/>
    <mergeCell ref="S17:S18"/>
    <mergeCell ref="B17:B18"/>
    <mergeCell ref="J3:J14"/>
    <mergeCell ref="L3:L14"/>
    <mergeCell ref="M3:M14"/>
    <mergeCell ref="R3:R14"/>
    <mergeCell ref="S3:S14"/>
    <mergeCell ref="T3:T14"/>
    <mergeCell ref="U3:U14"/>
    <mergeCell ref="R19:R27"/>
    <mergeCell ref="S19:S27"/>
    <mergeCell ref="T19:T27"/>
    <mergeCell ref="U19:U27"/>
    <mergeCell ref="T17:T18"/>
    <mergeCell ref="U17:U18"/>
    <mergeCell ref="R92:R100"/>
    <mergeCell ref="S92:S100"/>
    <mergeCell ref="T92:T100"/>
    <mergeCell ref="U92:U100"/>
    <mergeCell ref="A114:C114"/>
    <mergeCell ref="A115:C115"/>
    <mergeCell ref="L115:N115"/>
    <mergeCell ref="H126:H133"/>
    <mergeCell ref="I126:I133"/>
    <mergeCell ref="M126:M133"/>
    <mergeCell ref="R126:R133"/>
    <mergeCell ref="S126:S133"/>
    <mergeCell ref="T126:T133"/>
    <mergeCell ref="U126:U133"/>
    <mergeCell ref="M116:M123"/>
    <mergeCell ref="R116:R123"/>
    <mergeCell ref="S116:S123"/>
    <mergeCell ref="T116:T123"/>
    <mergeCell ref="U116:U123"/>
    <mergeCell ref="A116:A123"/>
    <mergeCell ref="B116:B123"/>
    <mergeCell ref="G116:G123"/>
    <mergeCell ref="H116:H123"/>
    <mergeCell ref="I116:I123"/>
    <mergeCell ref="R81:R89"/>
    <mergeCell ref="S81:S89"/>
    <mergeCell ref="T81:T89"/>
    <mergeCell ref="U81:U89"/>
    <mergeCell ref="A76:C76"/>
    <mergeCell ref="A77:C77"/>
    <mergeCell ref="A79:C79"/>
    <mergeCell ref="A81:A89"/>
    <mergeCell ref="B81:B89"/>
    <mergeCell ref="G81:G89"/>
    <mergeCell ref="H81:H89"/>
    <mergeCell ref="L79:N79"/>
    <mergeCell ref="A104:C104"/>
    <mergeCell ref="A106:A113"/>
    <mergeCell ref="B106:B113"/>
    <mergeCell ref="G106:G113"/>
    <mergeCell ref="H106:H113"/>
    <mergeCell ref="M81:M89"/>
    <mergeCell ref="L90:N90"/>
    <mergeCell ref="L91:N91"/>
    <mergeCell ref="I81:I89"/>
    <mergeCell ref="J81:J89"/>
    <mergeCell ref="L81:L89"/>
    <mergeCell ref="L101:N101"/>
    <mergeCell ref="L102:N102"/>
    <mergeCell ref="L104:N104"/>
    <mergeCell ref="J92:J100"/>
    <mergeCell ref="L92:L100"/>
    <mergeCell ref="M92:M100"/>
    <mergeCell ref="A90:C90"/>
    <mergeCell ref="A91:C91"/>
    <mergeCell ref="A92:A100"/>
    <mergeCell ref="B92:B100"/>
    <mergeCell ref="G92:G100"/>
    <mergeCell ref="H92:H100"/>
    <mergeCell ref="I92:I100"/>
    <mergeCell ref="A101:C101"/>
    <mergeCell ref="A102:C1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V2059"/>
  <sheetViews>
    <sheetView workbookViewId="0"/>
  </sheetViews>
  <sheetFormatPr baseColWidth="10" defaultColWidth="12.6640625" defaultRowHeight="15.75" customHeight="1"/>
  <cols>
    <col min="3" max="3" width="16" customWidth="1"/>
    <col min="4" max="4" width="35.1640625" customWidth="1"/>
    <col min="5" max="5" width="21" customWidth="1"/>
    <col min="6" max="6" width="15.1640625" customWidth="1"/>
    <col min="7" max="7" width="15.6640625" customWidth="1"/>
    <col min="8" max="8" width="22.5" customWidth="1"/>
    <col min="9" max="10" width="17.6640625" customWidth="1"/>
    <col min="11" max="11" width="14.6640625" customWidth="1"/>
    <col min="14" max="14" width="16.1640625" customWidth="1"/>
    <col min="15" max="15" width="31" customWidth="1"/>
    <col min="16" max="16" width="21" customWidth="1"/>
    <col min="17" max="17" width="15.1640625" customWidth="1"/>
    <col min="18" max="18" width="15.83203125" customWidth="1"/>
    <col min="19" max="19" width="22.5" customWidth="1"/>
    <col min="20" max="21" width="17.6640625" customWidth="1"/>
    <col min="22" max="22" width="14.6640625" customWidth="1"/>
  </cols>
  <sheetData>
    <row r="1" spans="2:22" ht="16">
      <c r="C1" s="1"/>
      <c r="K1" s="2"/>
      <c r="N1" s="1"/>
      <c r="V1" s="2"/>
    </row>
    <row r="2" spans="2:22" ht="45">
      <c r="B2" s="260" t="s">
        <v>684</v>
      </c>
      <c r="C2" s="261"/>
      <c r="D2" s="261"/>
      <c r="E2" s="261"/>
      <c r="F2" s="261"/>
      <c r="G2" s="261"/>
      <c r="H2" s="261"/>
      <c r="I2" s="261"/>
      <c r="J2" s="261"/>
      <c r="K2" s="262"/>
      <c r="M2" s="260" t="s">
        <v>685</v>
      </c>
      <c r="N2" s="261"/>
      <c r="O2" s="261"/>
      <c r="P2" s="261"/>
      <c r="Q2" s="261"/>
      <c r="R2" s="261"/>
      <c r="S2" s="261"/>
      <c r="T2" s="261"/>
      <c r="U2" s="261"/>
      <c r="V2" s="262"/>
    </row>
    <row r="3" spans="2:22" ht="16">
      <c r="C3" s="1"/>
      <c r="K3" s="2"/>
      <c r="N3" s="1"/>
      <c r="V3" s="2"/>
    </row>
    <row r="4" spans="2:22" ht="18">
      <c r="C4" s="3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5" t="s">
        <v>20</v>
      </c>
      <c r="N4" s="3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5" t="s">
        <v>20</v>
      </c>
    </row>
    <row r="5" spans="2:22" ht="13">
      <c r="B5" s="263" t="s">
        <v>21</v>
      </c>
      <c r="C5" s="6" t="s">
        <v>22</v>
      </c>
      <c r="D5" s="7"/>
      <c r="E5" s="8"/>
      <c r="F5" s="8"/>
      <c r="G5" s="7"/>
      <c r="H5" s="239">
        <f>SUM(G5:G10)</f>
        <v>0</v>
      </c>
      <c r="I5" s="239">
        <v>0</v>
      </c>
      <c r="J5" s="239">
        <f>I5-H5</f>
        <v>0</v>
      </c>
      <c r="K5" s="259" t="e">
        <f>J5/I5</f>
        <v>#DIV/0!</v>
      </c>
      <c r="M5" s="263" t="s">
        <v>21</v>
      </c>
      <c r="N5" s="6" t="s">
        <v>22</v>
      </c>
      <c r="O5" s="7"/>
      <c r="P5" s="8"/>
      <c r="Q5" s="8"/>
      <c r="R5" s="7"/>
      <c r="S5" s="239">
        <f>SUM(R5:R10)</f>
        <v>0</v>
      </c>
      <c r="T5" s="239">
        <v>0</v>
      </c>
      <c r="U5" s="239">
        <f>T5-S5</f>
        <v>0</v>
      </c>
      <c r="V5" s="259" t="e">
        <f>U5/T5</f>
        <v>#DIV/0!</v>
      </c>
    </row>
    <row r="6" spans="2:22" ht="13">
      <c r="B6" s="264"/>
      <c r="C6" s="1"/>
      <c r="E6" s="8"/>
      <c r="F6" s="8"/>
      <c r="H6" s="236"/>
      <c r="I6" s="236"/>
      <c r="J6" s="236"/>
      <c r="K6" s="242"/>
      <c r="M6" s="264"/>
      <c r="N6" s="1"/>
      <c r="P6" s="8"/>
      <c r="Q6" s="8"/>
      <c r="R6" s="7"/>
      <c r="S6" s="236"/>
      <c r="T6" s="236"/>
      <c r="U6" s="236"/>
      <c r="V6" s="242"/>
    </row>
    <row r="7" spans="2:22" ht="13">
      <c r="B7" s="264"/>
      <c r="C7" s="1"/>
      <c r="E7" s="11"/>
      <c r="F7" s="11"/>
      <c r="H7" s="236"/>
      <c r="I7" s="236"/>
      <c r="J7" s="236"/>
      <c r="K7" s="242"/>
      <c r="M7" s="264"/>
      <c r="N7" s="1"/>
      <c r="P7" s="11"/>
      <c r="Q7" s="11"/>
      <c r="S7" s="236"/>
      <c r="T7" s="236"/>
      <c r="U7" s="236"/>
      <c r="V7" s="242"/>
    </row>
    <row r="8" spans="2:22" ht="13">
      <c r="B8" s="264"/>
      <c r="C8" s="1"/>
      <c r="E8" s="11"/>
      <c r="F8" s="11"/>
      <c r="H8" s="236"/>
      <c r="I8" s="236"/>
      <c r="J8" s="236"/>
      <c r="K8" s="242"/>
      <c r="M8" s="264"/>
      <c r="N8" s="1"/>
      <c r="P8" s="11"/>
      <c r="Q8" s="11"/>
      <c r="S8" s="236"/>
      <c r="T8" s="236"/>
      <c r="U8" s="236"/>
      <c r="V8" s="242"/>
    </row>
    <row r="9" spans="2:22" ht="13">
      <c r="B9" s="264"/>
      <c r="C9" s="1"/>
      <c r="E9" s="11"/>
      <c r="F9" s="11"/>
      <c r="H9" s="236"/>
      <c r="I9" s="236"/>
      <c r="J9" s="236"/>
      <c r="K9" s="242"/>
      <c r="M9" s="264"/>
      <c r="N9" s="1"/>
      <c r="P9" s="11"/>
      <c r="Q9" s="11"/>
      <c r="S9" s="236"/>
      <c r="T9" s="236"/>
      <c r="U9" s="236"/>
      <c r="V9" s="242"/>
    </row>
    <row r="10" spans="2:22" ht="13">
      <c r="B10" s="265"/>
      <c r="C10" s="12"/>
      <c r="D10" s="13"/>
      <c r="E10" s="14"/>
      <c r="F10" s="14"/>
      <c r="G10" s="14"/>
      <c r="H10" s="238"/>
      <c r="I10" s="238"/>
      <c r="J10" s="238"/>
      <c r="K10" s="243"/>
      <c r="M10" s="265"/>
      <c r="N10" s="12"/>
      <c r="O10" s="13"/>
      <c r="P10" s="14"/>
      <c r="Q10" s="14"/>
      <c r="R10" s="14"/>
      <c r="S10" s="238"/>
      <c r="T10" s="238"/>
      <c r="U10" s="238"/>
      <c r="V10" s="243"/>
    </row>
    <row r="12" spans="2:22" ht="13">
      <c r="B12" s="290" t="s">
        <v>0</v>
      </c>
      <c r="C12" s="308" t="s">
        <v>686</v>
      </c>
      <c r="D12" s="7" t="s">
        <v>687</v>
      </c>
      <c r="E12" s="8">
        <v>3</v>
      </c>
      <c r="F12" s="8">
        <v>13</v>
      </c>
      <c r="G12" s="7">
        <f>E12*F12</f>
        <v>39</v>
      </c>
      <c r="H12" s="239">
        <f>SUM(G12:G14)</f>
        <v>240.24</v>
      </c>
      <c r="I12" s="239">
        <v>1694</v>
      </c>
      <c r="J12" s="239">
        <f>I12-H12</f>
        <v>1453.76</v>
      </c>
      <c r="K12" s="259">
        <f>J12/I12</f>
        <v>0.85818181818181816</v>
      </c>
      <c r="M12" s="290" t="s">
        <v>0</v>
      </c>
      <c r="N12" s="308" t="s">
        <v>686</v>
      </c>
      <c r="O12" s="7" t="s">
        <v>687</v>
      </c>
      <c r="P12" s="8">
        <v>3</v>
      </c>
      <c r="Q12" s="8">
        <v>13</v>
      </c>
      <c r="R12" s="7">
        <f>P12*Q12</f>
        <v>39</v>
      </c>
      <c r="S12" s="239">
        <f>SUM(R12:R14)</f>
        <v>240.24</v>
      </c>
      <c r="T12" s="239">
        <v>1694</v>
      </c>
      <c r="U12" s="239">
        <f>T12-S12</f>
        <v>1453.76</v>
      </c>
      <c r="V12" s="259">
        <f>U12/T12</f>
        <v>0.85818181818181816</v>
      </c>
    </row>
    <row r="13" spans="2:22" ht="13">
      <c r="B13" s="270"/>
      <c r="C13" s="236"/>
      <c r="D13" s="24" t="s">
        <v>688</v>
      </c>
      <c r="E13" s="11"/>
      <c r="F13" s="11"/>
      <c r="G13" s="24">
        <v>22.7</v>
      </c>
      <c r="H13" s="236"/>
      <c r="I13" s="236"/>
      <c r="J13" s="236"/>
      <c r="K13" s="242"/>
      <c r="M13" s="270"/>
      <c r="N13" s="236"/>
      <c r="O13" s="24" t="s">
        <v>688</v>
      </c>
      <c r="P13" s="11"/>
      <c r="Q13" s="11"/>
      <c r="R13" s="24">
        <v>22.7</v>
      </c>
      <c r="S13" s="236"/>
      <c r="T13" s="236"/>
      <c r="U13" s="236"/>
      <c r="V13" s="242"/>
    </row>
    <row r="14" spans="2:22" ht="13">
      <c r="B14" s="270"/>
      <c r="C14" s="248"/>
      <c r="D14" s="44" t="s">
        <v>33</v>
      </c>
      <c r="E14" s="103"/>
      <c r="F14" s="103"/>
      <c r="G14" s="44">
        <v>178.54</v>
      </c>
      <c r="H14" s="238"/>
      <c r="I14" s="238"/>
      <c r="J14" s="238"/>
      <c r="K14" s="243"/>
      <c r="M14" s="270"/>
      <c r="N14" s="248"/>
      <c r="O14" s="44" t="s">
        <v>33</v>
      </c>
      <c r="P14" s="103"/>
      <c r="Q14" s="103"/>
      <c r="R14" s="44">
        <v>178.54</v>
      </c>
      <c r="S14" s="238"/>
      <c r="T14" s="238"/>
      <c r="U14" s="238"/>
      <c r="V14" s="243"/>
    </row>
    <row r="15" spans="2:22" ht="13">
      <c r="B15" s="270"/>
      <c r="C15" s="289" t="s">
        <v>689</v>
      </c>
      <c r="D15" s="77" t="s">
        <v>114</v>
      </c>
      <c r="E15" s="71">
        <v>7</v>
      </c>
      <c r="F15" s="71">
        <v>18</v>
      </c>
      <c r="G15" s="71">
        <f>E15*F15</f>
        <v>126</v>
      </c>
      <c r="H15" s="240">
        <f>SUM(G15:G18)</f>
        <v>351.82</v>
      </c>
      <c r="I15" s="240">
        <v>1536.55</v>
      </c>
      <c r="J15" s="240">
        <f>I15-H15</f>
        <v>1184.73</v>
      </c>
      <c r="K15" s="241">
        <f>J15/I15</f>
        <v>0.77103250789105471</v>
      </c>
      <c r="M15" s="270"/>
      <c r="N15" s="289" t="s">
        <v>689</v>
      </c>
      <c r="O15" s="77" t="s">
        <v>114</v>
      </c>
      <c r="P15" s="104"/>
      <c r="Q15" s="104"/>
      <c r="R15" s="104"/>
      <c r="S15" s="240">
        <f>SUM(R15:R18)</f>
        <v>225.82</v>
      </c>
      <c r="T15" s="240">
        <v>1536.55</v>
      </c>
      <c r="U15" s="240">
        <f>T15-S15</f>
        <v>1310.73</v>
      </c>
      <c r="V15" s="241">
        <f>U15/T15</f>
        <v>0.85303439523608082</v>
      </c>
    </row>
    <row r="16" spans="2:22" ht="13">
      <c r="B16" s="270"/>
      <c r="C16" s="245"/>
      <c r="D16" s="19" t="s">
        <v>690</v>
      </c>
      <c r="E16" s="19"/>
      <c r="F16" s="19"/>
      <c r="G16" s="17">
        <v>62.26</v>
      </c>
      <c r="H16" s="236"/>
      <c r="I16" s="236"/>
      <c r="J16" s="236"/>
      <c r="K16" s="242"/>
      <c r="M16" s="270"/>
      <c r="N16" s="245"/>
      <c r="O16" s="19" t="s">
        <v>690</v>
      </c>
      <c r="P16" s="19"/>
      <c r="Q16" s="19"/>
      <c r="R16" s="17">
        <v>62.26</v>
      </c>
      <c r="S16" s="236"/>
      <c r="T16" s="236"/>
      <c r="U16" s="236"/>
      <c r="V16" s="242"/>
    </row>
    <row r="17" spans="2:22" ht="13">
      <c r="B17" s="270"/>
      <c r="C17" s="245"/>
      <c r="D17" s="19" t="s">
        <v>33</v>
      </c>
      <c r="E17" s="19"/>
      <c r="F17" s="19"/>
      <c r="G17" s="17">
        <v>63.56</v>
      </c>
      <c r="H17" s="236"/>
      <c r="I17" s="236"/>
      <c r="J17" s="236"/>
      <c r="K17" s="242"/>
      <c r="M17" s="270"/>
      <c r="N17" s="245"/>
      <c r="O17" s="19" t="s">
        <v>33</v>
      </c>
      <c r="P17" s="19"/>
      <c r="Q17" s="19"/>
      <c r="R17" s="17">
        <v>63.56</v>
      </c>
      <c r="S17" s="236"/>
      <c r="T17" s="236"/>
      <c r="U17" s="236"/>
      <c r="V17" s="242"/>
    </row>
    <row r="18" spans="2:22" ht="13">
      <c r="B18" s="270"/>
      <c r="C18" s="246"/>
      <c r="D18" s="20" t="s">
        <v>691</v>
      </c>
      <c r="E18" s="20"/>
      <c r="F18" s="20"/>
      <c r="G18" s="21">
        <v>100</v>
      </c>
      <c r="H18" s="238"/>
      <c r="I18" s="238"/>
      <c r="J18" s="238"/>
      <c r="K18" s="243"/>
      <c r="M18" s="270"/>
      <c r="N18" s="246"/>
      <c r="O18" s="20" t="s">
        <v>691</v>
      </c>
      <c r="P18" s="20"/>
      <c r="Q18" s="20"/>
      <c r="R18" s="21">
        <v>100</v>
      </c>
      <c r="S18" s="238"/>
      <c r="T18" s="238"/>
      <c r="U18" s="238"/>
      <c r="V18" s="243"/>
    </row>
    <row r="19" spans="2:22" ht="13">
      <c r="B19" s="270"/>
      <c r="C19" s="289" t="s">
        <v>692</v>
      </c>
      <c r="D19" s="77" t="s">
        <v>114</v>
      </c>
      <c r="E19" s="71">
        <v>7</v>
      </c>
      <c r="F19" s="71">
        <v>18</v>
      </c>
      <c r="G19" s="71">
        <f>E19*F19</f>
        <v>126</v>
      </c>
      <c r="H19" s="240">
        <f>SUM(G19:G21)</f>
        <v>333.29</v>
      </c>
      <c r="I19" s="240">
        <v>1636</v>
      </c>
      <c r="J19" s="240">
        <f>I19-H19</f>
        <v>1302.71</v>
      </c>
      <c r="K19" s="241">
        <f>J19/I19</f>
        <v>0.7962775061124695</v>
      </c>
      <c r="M19" s="270"/>
      <c r="N19" s="289" t="s">
        <v>692</v>
      </c>
      <c r="O19" s="77" t="s">
        <v>114</v>
      </c>
      <c r="P19" s="104"/>
      <c r="Q19" s="104"/>
      <c r="R19" s="104"/>
      <c r="S19" s="240">
        <f>SUM(R19:R21)</f>
        <v>207.29000000000002</v>
      </c>
      <c r="T19" s="240">
        <v>1636</v>
      </c>
      <c r="U19" s="240">
        <f>T19-S19</f>
        <v>1428.71</v>
      </c>
      <c r="V19" s="241">
        <f>U19/T19</f>
        <v>0.87329462102689492</v>
      </c>
    </row>
    <row r="20" spans="2:22" ht="13">
      <c r="B20" s="270"/>
      <c r="C20" s="245"/>
      <c r="D20" s="19" t="s">
        <v>33</v>
      </c>
      <c r="E20" s="19"/>
      <c r="F20" s="19"/>
      <c r="G20" s="17">
        <v>73.55</v>
      </c>
      <c r="H20" s="236"/>
      <c r="I20" s="236"/>
      <c r="J20" s="236"/>
      <c r="K20" s="242"/>
      <c r="M20" s="270"/>
      <c r="N20" s="245"/>
      <c r="O20" s="19" t="s">
        <v>33</v>
      </c>
      <c r="P20" s="19"/>
      <c r="Q20" s="19"/>
      <c r="R20" s="17">
        <v>73.55</v>
      </c>
      <c r="S20" s="236"/>
      <c r="T20" s="236"/>
      <c r="U20" s="236"/>
      <c r="V20" s="242"/>
    </row>
    <row r="21" spans="2:22" ht="13">
      <c r="B21" s="270"/>
      <c r="C21" s="246"/>
      <c r="D21" s="20" t="s">
        <v>693</v>
      </c>
      <c r="E21" s="20"/>
      <c r="F21" s="20"/>
      <c r="G21" s="21">
        <v>133.74</v>
      </c>
      <c r="H21" s="238"/>
      <c r="I21" s="238"/>
      <c r="J21" s="238"/>
      <c r="K21" s="243"/>
      <c r="M21" s="270"/>
      <c r="N21" s="246"/>
      <c r="O21" s="20" t="s">
        <v>693</v>
      </c>
      <c r="P21" s="20"/>
      <c r="Q21" s="20"/>
      <c r="R21" s="21">
        <v>133.74</v>
      </c>
      <c r="S21" s="238"/>
      <c r="T21" s="238"/>
      <c r="U21" s="238"/>
      <c r="V21" s="243"/>
    </row>
    <row r="22" spans="2:22" ht="13">
      <c r="B22" s="270"/>
      <c r="C22" s="289" t="s">
        <v>694</v>
      </c>
      <c r="D22" s="77" t="s">
        <v>114</v>
      </c>
      <c r="E22" s="71">
        <v>7</v>
      </c>
      <c r="F22" s="71">
        <v>18</v>
      </c>
      <c r="G22" s="71">
        <f>E22*F22</f>
        <v>126</v>
      </c>
      <c r="H22" s="240">
        <f>SUM(G22:G25)</f>
        <v>288.87</v>
      </c>
      <c r="I22" s="240">
        <v>1383.6</v>
      </c>
      <c r="J22" s="240">
        <f>I22-H22</f>
        <v>1094.73</v>
      </c>
      <c r="K22" s="241">
        <f>J22/I22</f>
        <v>0.7912185602775369</v>
      </c>
      <c r="M22" s="270"/>
      <c r="N22" s="289" t="s">
        <v>694</v>
      </c>
      <c r="O22" s="77" t="s">
        <v>114</v>
      </c>
      <c r="P22" s="104"/>
      <c r="Q22" s="104"/>
      <c r="R22" s="104"/>
      <c r="S22" s="240">
        <f>SUM(R22:R25)</f>
        <v>162.87</v>
      </c>
      <c r="T22" s="240">
        <v>1383.6</v>
      </c>
      <c r="U22" s="240">
        <f>T22-S22</f>
        <v>1220.73</v>
      </c>
      <c r="V22" s="241">
        <f>U22/T22</f>
        <v>0.88228534258456204</v>
      </c>
    </row>
    <row r="23" spans="2:22" ht="13">
      <c r="B23" s="270"/>
      <c r="C23" s="245"/>
      <c r="D23" s="19" t="s">
        <v>33</v>
      </c>
      <c r="E23" s="19"/>
      <c r="F23" s="19"/>
      <c r="G23" s="17">
        <v>73.58</v>
      </c>
      <c r="H23" s="236"/>
      <c r="I23" s="236"/>
      <c r="J23" s="236"/>
      <c r="K23" s="242"/>
      <c r="M23" s="270"/>
      <c r="N23" s="245"/>
      <c r="O23" s="19" t="s">
        <v>33</v>
      </c>
      <c r="P23" s="19"/>
      <c r="Q23" s="19"/>
      <c r="R23" s="17">
        <v>73.58</v>
      </c>
      <c r="S23" s="236"/>
      <c r="T23" s="236"/>
      <c r="U23" s="236"/>
      <c r="V23" s="242"/>
    </row>
    <row r="24" spans="2:22" ht="13">
      <c r="B24" s="270"/>
      <c r="C24" s="245"/>
      <c r="D24" s="19" t="s">
        <v>695</v>
      </c>
      <c r="E24" s="19"/>
      <c r="F24" s="19"/>
      <c r="G24" s="17">
        <v>35.29</v>
      </c>
      <c r="H24" s="236"/>
      <c r="I24" s="236"/>
      <c r="J24" s="236"/>
      <c r="K24" s="242"/>
      <c r="M24" s="270"/>
      <c r="N24" s="245"/>
      <c r="O24" s="19" t="s">
        <v>695</v>
      </c>
      <c r="P24" s="19"/>
      <c r="Q24" s="19"/>
      <c r="R24" s="17">
        <v>35.29</v>
      </c>
      <c r="S24" s="236"/>
      <c r="T24" s="236"/>
      <c r="U24" s="236"/>
      <c r="V24" s="242"/>
    </row>
    <row r="25" spans="2:22" ht="13">
      <c r="B25" s="270"/>
      <c r="C25" s="246"/>
      <c r="D25" s="20" t="s">
        <v>696</v>
      </c>
      <c r="E25" s="20"/>
      <c r="F25" s="20"/>
      <c r="G25" s="21">
        <v>54</v>
      </c>
      <c r="H25" s="238"/>
      <c r="I25" s="238"/>
      <c r="J25" s="238"/>
      <c r="K25" s="243"/>
      <c r="M25" s="270"/>
      <c r="N25" s="246"/>
      <c r="O25" s="20" t="s">
        <v>696</v>
      </c>
      <c r="P25" s="20"/>
      <c r="Q25" s="20"/>
      <c r="R25" s="21">
        <v>54</v>
      </c>
      <c r="S25" s="238"/>
      <c r="T25" s="238"/>
      <c r="U25" s="238"/>
      <c r="V25" s="243"/>
    </row>
    <row r="26" spans="2:22" ht="13">
      <c r="B26" s="270"/>
      <c r="C26" s="308" t="s">
        <v>697</v>
      </c>
      <c r="D26" s="7" t="s">
        <v>698</v>
      </c>
      <c r="E26" s="8"/>
      <c r="F26" s="8"/>
      <c r="G26" s="7">
        <v>200</v>
      </c>
      <c r="H26" s="239">
        <f>SUM(G26:G27)</f>
        <v>345.39</v>
      </c>
      <c r="I26" s="239">
        <v>2217.6</v>
      </c>
      <c r="J26" s="239">
        <f>I26-H26</f>
        <v>1872.21</v>
      </c>
      <c r="K26" s="259">
        <f>J26/I26</f>
        <v>0.84425054112554121</v>
      </c>
      <c r="M26" s="270"/>
      <c r="N26" s="308" t="s">
        <v>697</v>
      </c>
      <c r="O26" s="7" t="s">
        <v>698</v>
      </c>
      <c r="P26" s="8"/>
      <c r="Q26" s="8"/>
      <c r="R26" s="7">
        <v>200</v>
      </c>
      <c r="S26" s="239">
        <f>SUM(R26:R27)</f>
        <v>345.39</v>
      </c>
      <c r="T26" s="239">
        <v>2217.6</v>
      </c>
      <c r="U26" s="239">
        <f>T26-S26</f>
        <v>1872.21</v>
      </c>
      <c r="V26" s="259">
        <f>U26/T26</f>
        <v>0.84425054112554121</v>
      </c>
    </row>
    <row r="27" spans="2:22" ht="13">
      <c r="B27" s="270"/>
      <c r="C27" s="248"/>
      <c r="D27" s="44" t="s">
        <v>699</v>
      </c>
      <c r="E27" s="103"/>
      <c r="F27" s="103"/>
      <c r="G27" s="44">
        <v>145.38999999999999</v>
      </c>
      <c r="H27" s="238"/>
      <c r="I27" s="238"/>
      <c r="J27" s="238"/>
      <c r="K27" s="243"/>
      <c r="M27" s="270"/>
      <c r="N27" s="248"/>
      <c r="O27" s="44" t="s">
        <v>699</v>
      </c>
      <c r="P27" s="103"/>
      <c r="Q27" s="103"/>
      <c r="R27" s="44">
        <v>145.38999999999999</v>
      </c>
      <c r="S27" s="238"/>
      <c r="T27" s="238"/>
      <c r="U27" s="238"/>
      <c r="V27" s="243"/>
    </row>
    <row r="28" spans="2:22" ht="13">
      <c r="B28" s="270"/>
      <c r="C28" s="289" t="s">
        <v>700</v>
      </c>
      <c r="D28" s="77" t="s">
        <v>114</v>
      </c>
      <c r="E28" s="71">
        <v>17.5</v>
      </c>
      <c r="F28" s="71">
        <v>18</v>
      </c>
      <c r="G28" s="71">
        <f t="shared" ref="G28:G29" si="0">E28*F28</f>
        <v>315</v>
      </c>
      <c r="H28" s="240">
        <f>SUM(G28:G32)</f>
        <v>743.75</v>
      </c>
      <c r="I28" s="240">
        <v>2100</v>
      </c>
      <c r="J28" s="240">
        <f>I28-H28</f>
        <v>1356.25</v>
      </c>
      <c r="K28" s="241">
        <f>J28/I28</f>
        <v>0.64583333333333337</v>
      </c>
      <c r="M28" s="270"/>
      <c r="N28" s="289" t="s">
        <v>700</v>
      </c>
      <c r="O28" s="77" t="s">
        <v>114</v>
      </c>
      <c r="P28" s="104"/>
      <c r="Q28" s="104"/>
      <c r="R28" s="104"/>
      <c r="S28" s="240">
        <f>SUM(R28:R32)</f>
        <v>365.75</v>
      </c>
      <c r="T28" s="240">
        <v>2100</v>
      </c>
      <c r="U28" s="240">
        <f>T28-S28</f>
        <v>1734.25</v>
      </c>
      <c r="V28" s="241">
        <f>U28/T28</f>
        <v>0.82583333333333331</v>
      </c>
    </row>
    <row r="29" spans="2:22" ht="13">
      <c r="B29" s="270"/>
      <c r="C29" s="245"/>
      <c r="D29" s="19" t="s">
        <v>701</v>
      </c>
      <c r="E29" s="19">
        <v>3.5</v>
      </c>
      <c r="F29" s="19">
        <v>18</v>
      </c>
      <c r="G29" s="17">
        <f t="shared" si="0"/>
        <v>63</v>
      </c>
      <c r="H29" s="236"/>
      <c r="I29" s="236"/>
      <c r="J29" s="236"/>
      <c r="K29" s="242"/>
      <c r="M29" s="270"/>
      <c r="N29" s="245"/>
      <c r="O29" s="19" t="s">
        <v>701</v>
      </c>
      <c r="P29" s="105"/>
      <c r="Q29" s="105"/>
      <c r="R29" s="18"/>
      <c r="S29" s="236"/>
      <c r="T29" s="236"/>
      <c r="U29" s="236"/>
      <c r="V29" s="242"/>
    </row>
    <row r="30" spans="2:22" ht="13">
      <c r="B30" s="270"/>
      <c r="C30" s="245"/>
      <c r="D30" s="19" t="s">
        <v>702</v>
      </c>
      <c r="E30" s="19"/>
      <c r="F30" s="19"/>
      <c r="G30" s="17">
        <v>122</v>
      </c>
      <c r="H30" s="236"/>
      <c r="I30" s="236"/>
      <c r="J30" s="236"/>
      <c r="K30" s="242"/>
      <c r="M30" s="270"/>
      <c r="N30" s="245"/>
      <c r="O30" s="19" t="s">
        <v>702</v>
      </c>
      <c r="P30" s="19"/>
      <c r="Q30" s="19"/>
      <c r="R30" s="17">
        <v>122</v>
      </c>
      <c r="S30" s="236"/>
      <c r="T30" s="236"/>
      <c r="U30" s="236"/>
      <c r="V30" s="242"/>
    </row>
    <row r="31" spans="2:22" ht="13">
      <c r="B31" s="270"/>
      <c r="C31" s="245"/>
      <c r="D31" s="19" t="s">
        <v>70</v>
      </c>
      <c r="E31" s="19">
        <v>6</v>
      </c>
      <c r="F31" s="19">
        <v>15</v>
      </c>
      <c r="G31" s="17">
        <f t="shared" ref="G31:G33" si="1">E31*F31</f>
        <v>90</v>
      </c>
      <c r="H31" s="236"/>
      <c r="I31" s="236"/>
      <c r="J31" s="236"/>
      <c r="K31" s="242"/>
      <c r="M31" s="270"/>
      <c r="N31" s="245"/>
      <c r="O31" s="19" t="s">
        <v>70</v>
      </c>
      <c r="P31" s="19">
        <v>6</v>
      </c>
      <c r="Q31" s="19">
        <v>15</v>
      </c>
      <c r="R31" s="17">
        <f t="shared" ref="R31:R32" si="2">P31*Q31</f>
        <v>90</v>
      </c>
      <c r="S31" s="236"/>
      <c r="T31" s="236"/>
      <c r="U31" s="236"/>
      <c r="V31" s="242"/>
    </row>
    <row r="32" spans="2:22" ht="13">
      <c r="B32" s="270"/>
      <c r="C32" s="246"/>
      <c r="D32" s="20" t="s">
        <v>703</v>
      </c>
      <c r="E32" s="20">
        <v>10.25</v>
      </c>
      <c r="F32" s="20">
        <v>15</v>
      </c>
      <c r="G32" s="21">
        <f t="shared" si="1"/>
        <v>153.75</v>
      </c>
      <c r="H32" s="238"/>
      <c r="I32" s="238"/>
      <c r="J32" s="238"/>
      <c r="K32" s="243"/>
      <c r="M32" s="270"/>
      <c r="N32" s="246"/>
      <c r="O32" s="20" t="s">
        <v>703</v>
      </c>
      <c r="P32" s="20">
        <v>10.25</v>
      </c>
      <c r="Q32" s="20">
        <v>15</v>
      </c>
      <c r="R32" s="21">
        <f t="shared" si="2"/>
        <v>153.75</v>
      </c>
      <c r="S32" s="238"/>
      <c r="T32" s="238"/>
      <c r="U32" s="238"/>
      <c r="V32" s="243"/>
    </row>
    <row r="33" spans="2:22" ht="13">
      <c r="B33" s="270"/>
      <c r="C33" s="289" t="s">
        <v>704</v>
      </c>
      <c r="D33" s="77" t="s">
        <v>114</v>
      </c>
      <c r="E33" s="71">
        <v>7</v>
      </c>
      <c r="F33" s="71">
        <v>18</v>
      </c>
      <c r="G33" s="71">
        <f t="shared" si="1"/>
        <v>126</v>
      </c>
      <c r="H33" s="240">
        <f>SUM(G33:G38)</f>
        <v>492.07</v>
      </c>
      <c r="I33" s="240">
        <v>4515</v>
      </c>
      <c r="J33" s="240">
        <f>I33-H33</f>
        <v>4022.93</v>
      </c>
      <c r="K33" s="241">
        <f>J33/I33</f>
        <v>0.89101439645625691</v>
      </c>
      <c r="M33" s="270"/>
      <c r="N33" s="289" t="s">
        <v>704</v>
      </c>
      <c r="O33" s="77" t="s">
        <v>114</v>
      </c>
      <c r="P33" s="104"/>
      <c r="Q33" s="104"/>
      <c r="R33" s="104"/>
      <c r="S33" s="240">
        <f>SUM(R33:R38)</f>
        <v>366.07</v>
      </c>
      <c r="T33" s="240">
        <v>4515</v>
      </c>
      <c r="U33" s="240">
        <f>T33-S33</f>
        <v>4148.93</v>
      </c>
      <c r="V33" s="241">
        <f>U33/T33</f>
        <v>0.91892137320044298</v>
      </c>
    </row>
    <row r="34" spans="2:22" ht="13">
      <c r="B34" s="270"/>
      <c r="C34" s="245"/>
      <c r="D34" s="19" t="s">
        <v>691</v>
      </c>
      <c r="E34" s="19"/>
      <c r="F34" s="19"/>
      <c r="G34" s="17">
        <v>81</v>
      </c>
      <c r="H34" s="236"/>
      <c r="I34" s="236"/>
      <c r="J34" s="236"/>
      <c r="K34" s="242"/>
      <c r="M34" s="270"/>
      <c r="N34" s="245"/>
      <c r="O34" s="19" t="s">
        <v>691</v>
      </c>
      <c r="P34" s="19"/>
      <c r="Q34" s="19"/>
      <c r="R34" s="17">
        <v>81</v>
      </c>
      <c r="S34" s="236"/>
      <c r="T34" s="236"/>
      <c r="U34" s="236"/>
      <c r="V34" s="242"/>
    </row>
    <row r="35" spans="2:22" ht="13">
      <c r="B35" s="270"/>
      <c r="C35" s="245"/>
      <c r="D35" s="19" t="s">
        <v>693</v>
      </c>
      <c r="E35" s="19"/>
      <c r="F35" s="19"/>
      <c r="G35" s="17">
        <v>81.760000000000005</v>
      </c>
      <c r="H35" s="236"/>
      <c r="I35" s="236"/>
      <c r="J35" s="236"/>
      <c r="K35" s="242"/>
      <c r="M35" s="270"/>
      <c r="N35" s="245"/>
      <c r="O35" s="19" t="s">
        <v>693</v>
      </c>
      <c r="P35" s="19"/>
      <c r="Q35" s="19"/>
      <c r="R35" s="17">
        <v>81.760000000000005</v>
      </c>
      <c r="S35" s="236"/>
      <c r="T35" s="236"/>
      <c r="U35" s="236"/>
      <c r="V35" s="242"/>
    </row>
    <row r="36" spans="2:22" ht="13">
      <c r="B36" s="270"/>
      <c r="C36" s="245"/>
      <c r="D36" s="19" t="s">
        <v>696</v>
      </c>
      <c r="E36" s="19"/>
      <c r="F36" s="19"/>
      <c r="G36" s="17">
        <v>65</v>
      </c>
      <c r="H36" s="236"/>
      <c r="I36" s="236"/>
      <c r="J36" s="236"/>
      <c r="K36" s="242"/>
      <c r="M36" s="270"/>
      <c r="N36" s="245"/>
      <c r="O36" s="19" t="s">
        <v>696</v>
      </c>
      <c r="P36" s="19"/>
      <c r="Q36" s="19"/>
      <c r="R36" s="17">
        <v>65</v>
      </c>
      <c r="S36" s="236"/>
      <c r="T36" s="236"/>
      <c r="U36" s="236"/>
      <c r="V36" s="242"/>
    </row>
    <row r="37" spans="2:22" ht="13">
      <c r="B37" s="270"/>
      <c r="C37" s="245"/>
      <c r="D37" s="19" t="s">
        <v>695</v>
      </c>
      <c r="E37" s="19"/>
      <c r="F37" s="19"/>
      <c r="G37" s="17">
        <v>43</v>
      </c>
      <c r="H37" s="236"/>
      <c r="I37" s="236"/>
      <c r="J37" s="236"/>
      <c r="K37" s="242"/>
      <c r="M37" s="270"/>
      <c r="N37" s="245"/>
      <c r="O37" s="19" t="s">
        <v>695</v>
      </c>
      <c r="P37" s="19"/>
      <c r="Q37" s="19"/>
      <c r="R37" s="17">
        <v>43</v>
      </c>
      <c r="S37" s="236"/>
      <c r="T37" s="236"/>
      <c r="U37" s="236"/>
      <c r="V37" s="242"/>
    </row>
    <row r="38" spans="2:22" ht="13">
      <c r="B38" s="270"/>
      <c r="C38" s="246"/>
      <c r="D38" s="20" t="s">
        <v>33</v>
      </c>
      <c r="E38" s="20"/>
      <c r="F38" s="20"/>
      <c r="G38" s="21">
        <v>95.31</v>
      </c>
      <c r="H38" s="238"/>
      <c r="I38" s="238"/>
      <c r="J38" s="238"/>
      <c r="K38" s="243"/>
      <c r="M38" s="270"/>
      <c r="N38" s="246"/>
      <c r="O38" s="20" t="s">
        <v>33</v>
      </c>
      <c r="P38" s="20"/>
      <c r="Q38" s="20"/>
      <c r="R38" s="21">
        <v>95.31</v>
      </c>
      <c r="S38" s="238"/>
      <c r="T38" s="238"/>
      <c r="U38" s="238"/>
      <c r="V38" s="243"/>
    </row>
    <row r="39" spans="2:22" ht="13">
      <c r="B39" s="270"/>
      <c r="C39" s="289" t="s">
        <v>705</v>
      </c>
      <c r="D39" s="77" t="s">
        <v>701</v>
      </c>
      <c r="E39" s="71">
        <v>42</v>
      </c>
      <c r="F39" s="71">
        <v>18</v>
      </c>
      <c r="G39" s="71">
        <f>E39*F39</f>
        <v>756</v>
      </c>
      <c r="H39" s="240">
        <f>SUM(G39:G46)</f>
        <v>2214.5</v>
      </c>
      <c r="I39" s="240">
        <v>6283.2</v>
      </c>
      <c r="J39" s="240">
        <f>I39-H39</f>
        <v>4068.7</v>
      </c>
      <c r="K39" s="241">
        <f>J39/I39</f>
        <v>0.6475522026992615</v>
      </c>
      <c r="M39" s="270"/>
      <c r="N39" s="289" t="s">
        <v>705</v>
      </c>
      <c r="O39" s="77" t="s">
        <v>701</v>
      </c>
      <c r="P39" s="104"/>
      <c r="Q39" s="104"/>
      <c r="R39" s="104"/>
      <c r="S39" s="240">
        <f>SUM(R39:R46)</f>
        <v>1458.5</v>
      </c>
      <c r="T39" s="240">
        <v>6283.2</v>
      </c>
      <c r="U39" s="240">
        <f>T39-S39</f>
        <v>4824.7</v>
      </c>
      <c r="V39" s="241">
        <f>U39/T39</f>
        <v>0.7678730583142348</v>
      </c>
    </row>
    <row r="40" spans="2:22" ht="13">
      <c r="B40" s="270"/>
      <c r="C40" s="245"/>
      <c r="D40" s="19" t="s">
        <v>70</v>
      </c>
      <c r="E40" s="19"/>
      <c r="F40" s="19"/>
      <c r="G40" s="17">
        <v>250</v>
      </c>
      <c r="H40" s="236"/>
      <c r="I40" s="236"/>
      <c r="J40" s="236"/>
      <c r="K40" s="242"/>
      <c r="M40" s="270"/>
      <c r="N40" s="245"/>
      <c r="O40" s="19" t="s">
        <v>70</v>
      </c>
      <c r="P40" s="19"/>
      <c r="Q40" s="19"/>
      <c r="R40" s="17">
        <v>250</v>
      </c>
      <c r="S40" s="236"/>
      <c r="T40" s="236"/>
      <c r="U40" s="236"/>
      <c r="V40" s="242"/>
    </row>
    <row r="41" spans="2:22" ht="13">
      <c r="B41" s="270"/>
      <c r="C41" s="245"/>
      <c r="D41" s="19" t="s">
        <v>703</v>
      </c>
      <c r="E41" s="19">
        <v>9.4600000000000009</v>
      </c>
      <c r="F41" s="19">
        <v>20</v>
      </c>
      <c r="G41" s="17">
        <f>E41*F41</f>
        <v>189.20000000000002</v>
      </c>
      <c r="H41" s="236"/>
      <c r="I41" s="236"/>
      <c r="J41" s="236"/>
      <c r="K41" s="242"/>
      <c r="M41" s="270"/>
      <c r="N41" s="245"/>
      <c r="O41" s="19" t="s">
        <v>703</v>
      </c>
      <c r="P41" s="19">
        <v>9.4600000000000009</v>
      </c>
      <c r="Q41" s="19">
        <v>20</v>
      </c>
      <c r="R41" s="17">
        <f>P41*Q41</f>
        <v>189.20000000000002</v>
      </c>
      <c r="S41" s="236"/>
      <c r="T41" s="236"/>
      <c r="U41" s="236"/>
      <c r="V41" s="242"/>
    </row>
    <row r="42" spans="2:22" ht="13">
      <c r="B42" s="270"/>
      <c r="C42" s="245"/>
      <c r="D42" s="106" t="s">
        <v>706</v>
      </c>
      <c r="E42" s="19"/>
      <c r="F42" s="19"/>
      <c r="G42" s="17">
        <v>248.3</v>
      </c>
      <c r="H42" s="236"/>
      <c r="I42" s="236"/>
      <c r="J42" s="236"/>
      <c r="K42" s="242"/>
      <c r="M42" s="270"/>
      <c r="N42" s="245"/>
      <c r="O42" s="106" t="s">
        <v>706</v>
      </c>
      <c r="P42" s="19"/>
      <c r="Q42" s="19"/>
      <c r="R42" s="17">
        <v>248.3</v>
      </c>
      <c r="S42" s="236"/>
      <c r="T42" s="236"/>
      <c r="U42" s="236"/>
      <c r="V42" s="242"/>
    </row>
    <row r="43" spans="2:22" ht="13">
      <c r="B43" s="270"/>
      <c r="C43" s="245"/>
      <c r="D43" s="19" t="s">
        <v>707</v>
      </c>
      <c r="E43" s="19"/>
      <c r="F43" s="19"/>
      <c r="G43" s="17">
        <v>188.5</v>
      </c>
      <c r="H43" s="236"/>
      <c r="I43" s="236"/>
      <c r="J43" s="236"/>
      <c r="K43" s="242"/>
      <c r="M43" s="270"/>
      <c r="N43" s="245"/>
      <c r="O43" s="19" t="s">
        <v>707</v>
      </c>
      <c r="P43" s="19"/>
      <c r="Q43" s="19"/>
      <c r="R43" s="17">
        <v>188.5</v>
      </c>
      <c r="S43" s="236"/>
      <c r="T43" s="236"/>
      <c r="U43" s="236"/>
      <c r="V43" s="242"/>
    </row>
    <row r="44" spans="2:22" ht="13">
      <c r="B44" s="270"/>
      <c r="C44" s="245"/>
      <c r="D44" s="19" t="s">
        <v>708</v>
      </c>
      <c r="E44" s="19"/>
      <c r="F44" s="19"/>
      <c r="G44" s="17">
        <v>172.3</v>
      </c>
      <c r="H44" s="236"/>
      <c r="I44" s="236"/>
      <c r="J44" s="236"/>
      <c r="K44" s="242"/>
      <c r="M44" s="270"/>
      <c r="N44" s="245"/>
      <c r="O44" s="19" t="s">
        <v>708</v>
      </c>
      <c r="P44" s="19"/>
      <c r="Q44" s="19"/>
      <c r="R44" s="17">
        <v>172.3</v>
      </c>
      <c r="S44" s="236"/>
      <c r="T44" s="236"/>
      <c r="U44" s="236"/>
      <c r="V44" s="242"/>
    </row>
    <row r="45" spans="2:22" ht="13">
      <c r="B45" s="270"/>
      <c r="C45" s="245"/>
      <c r="D45" s="19" t="s">
        <v>709</v>
      </c>
      <c r="E45" s="19"/>
      <c r="F45" s="19"/>
      <c r="G45" s="17">
        <v>310.22000000000003</v>
      </c>
      <c r="H45" s="236"/>
      <c r="I45" s="236"/>
      <c r="J45" s="236"/>
      <c r="K45" s="242"/>
      <c r="M45" s="270"/>
      <c r="N45" s="245"/>
      <c r="O45" s="19" t="s">
        <v>709</v>
      </c>
      <c r="P45" s="19"/>
      <c r="Q45" s="19"/>
      <c r="R45" s="17">
        <v>310.22000000000003</v>
      </c>
      <c r="S45" s="236"/>
      <c r="T45" s="236"/>
      <c r="U45" s="236"/>
      <c r="V45" s="242"/>
    </row>
    <row r="46" spans="2:22" ht="13">
      <c r="B46" s="270"/>
      <c r="C46" s="246"/>
      <c r="D46" s="20" t="s">
        <v>33</v>
      </c>
      <c r="E46" s="20"/>
      <c r="F46" s="20"/>
      <c r="G46" s="21">
        <v>99.98</v>
      </c>
      <c r="H46" s="238"/>
      <c r="I46" s="238"/>
      <c r="J46" s="238"/>
      <c r="K46" s="243"/>
      <c r="M46" s="270"/>
      <c r="N46" s="246"/>
      <c r="O46" s="20" t="s">
        <v>33</v>
      </c>
      <c r="P46" s="20"/>
      <c r="Q46" s="20"/>
      <c r="R46" s="21">
        <v>99.98</v>
      </c>
      <c r="S46" s="238"/>
      <c r="T46" s="238"/>
      <c r="U46" s="238"/>
      <c r="V46" s="243"/>
    </row>
    <row r="47" spans="2:22" ht="13">
      <c r="B47" s="270"/>
      <c r="C47" s="289" t="s">
        <v>710</v>
      </c>
      <c r="D47" s="77" t="s">
        <v>114</v>
      </c>
      <c r="E47" s="71">
        <v>7</v>
      </c>
      <c r="F47" s="71">
        <v>18</v>
      </c>
      <c r="G47" s="71">
        <f>E47*F47</f>
        <v>126</v>
      </c>
      <c r="H47" s="240">
        <f>SUM(G47:G52)</f>
        <v>345.05</v>
      </c>
      <c r="I47" s="240">
        <v>1713.6</v>
      </c>
      <c r="J47" s="240">
        <f>I47-H47</f>
        <v>1368.55</v>
      </c>
      <c r="K47" s="241">
        <f>J47/I47</f>
        <v>0.79864028944911303</v>
      </c>
      <c r="M47" s="270"/>
      <c r="N47" s="289" t="s">
        <v>710</v>
      </c>
      <c r="O47" s="77" t="s">
        <v>114</v>
      </c>
      <c r="P47" s="104"/>
      <c r="Q47" s="104"/>
      <c r="R47" s="104"/>
      <c r="S47" s="240">
        <f>SUM(R47:R52)</f>
        <v>219.05</v>
      </c>
      <c r="T47" s="240">
        <v>1713.6</v>
      </c>
      <c r="U47" s="240">
        <f>T47-S47</f>
        <v>1494.55</v>
      </c>
      <c r="V47" s="241">
        <f>U47/T47</f>
        <v>0.87216970121381887</v>
      </c>
    </row>
    <row r="48" spans="2:22" ht="13">
      <c r="B48" s="270"/>
      <c r="C48" s="245"/>
      <c r="D48" s="19" t="s">
        <v>691</v>
      </c>
      <c r="E48" s="19"/>
      <c r="F48" s="19"/>
      <c r="G48" s="17">
        <v>20.5</v>
      </c>
      <c r="H48" s="236"/>
      <c r="I48" s="236"/>
      <c r="J48" s="236"/>
      <c r="K48" s="242"/>
      <c r="M48" s="270"/>
      <c r="N48" s="245"/>
      <c r="O48" s="19" t="s">
        <v>691</v>
      </c>
      <c r="P48" s="19"/>
      <c r="Q48" s="19"/>
      <c r="R48" s="17">
        <v>20.5</v>
      </c>
      <c r="S48" s="236"/>
      <c r="T48" s="236"/>
      <c r="U48" s="236"/>
      <c r="V48" s="242"/>
    </row>
    <row r="49" spans="2:22" ht="13">
      <c r="B49" s="270"/>
      <c r="C49" s="245"/>
      <c r="D49" s="19" t="s">
        <v>693</v>
      </c>
      <c r="E49" s="19"/>
      <c r="F49" s="19"/>
      <c r="G49" s="17">
        <v>48.98</v>
      </c>
      <c r="H49" s="236"/>
      <c r="I49" s="236"/>
      <c r="J49" s="236"/>
      <c r="K49" s="242"/>
      <c r="M49" s="270"/>
      <c r="N49" s="245"/>
      <c r="O49" s="19" t="s">
        <v>693</v>
      </c>
      <c r="P49" s="19"/>
      <c r="Q49" s="19"/>
      <c r="R49" s="17">
        <v>48.98</v>
      </c>
      <c r="S49" s="236"/>
      <c r="T49" s="236"/>
      <c r="U49" s="236"/>
      <c r="V49" s="242"/>
    </row>
    <row r="50" spans="2:22" ht="13">
      <c r="B50" s="270"/>
      <c r="C50" s="245"/>
      <c r="D50" s="106" t="s">
        <v>706</v>
      </c>
      <c r="E50" s="19"/>
      <c r="F50" s="19"/>
      <c r="G50" s="17">
        <v>80.02</v>
      </c>
      <c r="H50" s="236"/>
      <c r="I50" s="236"/>
      <c r="J50" s="236"/>
      <c r="K50" s="242"/>
      <c r="M50" s="270"/>
      <c r="N50" s="245"/>
      <c r="O50" s="106" t="s">
        <v>706</v>
      </c>
      <c r="P50" s="19"/>
      <c r="Q50" s="19"/>
      <c r="R50" s="17">
        <v>80.02</v>
      </c>
      <c r="S50" s="236"/>
      <c r="T50" s="236"/>
      <c r="U50" s="236"/>
      <c r="V50" s="242"/>
    </row>
    <row r="51" spans="2:22" ht="13">
      <c r="B51" s="270"/>
      <c r="C51" s="245"/>
      <c r="D51" s="19" t="s">
        <v>711</v>
      </c>
      <c r="E51" s="19"/>
      <c r="F51" s="19"/>
      <c r="G51" s="17">
        <v>32.119999999999997</v>
      </c>
      <c r="H51" s="236"/>
      <c r="I51" s="236"/>
      <c r="J51" s="236"/>
      <c r="K51" s="242"/>
      <c r="M51" s="270"/>
      <c r="N51" s="245"/>
      <c r="O51" s="19" t="s">
        <v>711</v>
      </c>
      <c r="P51" s="19"/>
      <c r="Q51" s="19"/>
      <c r="R51" s="17">
        <v>32.119999999999997</v>
      </c>
      <c r="S51" s="236"/>
      <c r="T51" s="236"/>
      <c r="U51" s="236"/>
      <c r="V51" s="242"/>
    </row>
    <row r="52" spans="2:22" ht="13">
      <c r="B52" s="270"/>
      <c r="C52" s="246"/>
      <c r="D52" s="20" t="s">
        <v>33</v>
      </c>
      <c r="E52" s="20"/>
      <c r="F52" s="20"/>
      <c r="G52" s="21">
        <v>37.43</v>
      </c>
      <c r="H52" s="238"/>
      <c r="I52" s="238"/>
      <c r="J52" s="238"/>
      <c r="K52" s="243"/>
      <c r="M52" s="270"/>
      <c r="N52" s="246"/>
      <c r="O52" s="20" t="s">
        <v>33</v>
      </c>
      <c r="P52" s="20"/>
      <c r="Q52" s="20"/>
      <c r="R52" s="21">
        <v>37.43</v>
      </c>
      <c r="S52" s="238"/>
      <c r="T52" s="238"/>
      <c r="U52" s="238"/>
      <c r="V52" s="243"/>
    </row>
    <row r="53" spans="2:22" ht="13">
      <c r="B53" s="270"/>
      <c r="C53" s="289" t="s">
        <v>712</v>
      </c>
      <c r="D53" s="77" t="s">
        <v>114</v>
      </c>
      <c r="E53" s="71">
        <v>7</v>
      </c>
      <c r="F53" s="71">
        <v>18</v>
      </c>
      <c r="G53" s="71">
        <f>E53*F53</f>
        <v>126</v>
      </c>
      <c r="H53" s="240">
        <f>SUM(G53:G57)</f>
        <v>398.12</v>
      </c>
      <c r="I53" s="240">
        <v>2004.8</v>
      </c>
      <c r="J53" s="240">
        <f>I53-H53</f>
        <v>1606.6799999999998</v>
      </c>
      <c r="K53" s="241">
        <f>J53/I53</f>
        <v>0.80141660015961691</v>
      </c>
      <c r="M53" s="270"/>
      <c r="N53" s="289" t="s">
        <v>712</v>
      </c>
      <c r="O53" s="77" t="s">
        <v>114</v>
      </c>
      <c r="P53" s="104"/>
      <c r="Q53" s="104"/>
      <c r="R53" s="104"/>
      <c r="S53" s="240">
        <f>SUM(R53:R57)</f>
        <v>272.12</v>
      </c>
      <c r="T53" s="240">
        <v>2004.8</v>
      </c>
      <c r="U53" s="240">
        <f>T53-S53</f>
        <v>1732.6799999999998</v>
      </c>
      <c r="V53" s="241">
        <f>U53/T53</f>
        <v>0.86426576217078999</v>
      </c>
    </row>
    <row r="54" spans="2:22" ht="13">
      <c r="B54" s="270"/>
      <c r="C54" s="245"/>
      <c r="D54" s="19" t="s">
        <v>691</v>
      </c>
      <c r="E54" s="19"/>
      <c r="F54" s="19"/>
      <c r="G54" s="17">
        <v>126.9</v>
      </c>
      <c r="H54" s="236"/>
      <c r="I54" s="236"/>
      <c r="J54" s="236"/>
      <c r="K54" s="242"/>
      <c r="M54" s="270"/>
      <c r="N54" s="245"/>
      <c r="O54" s="19" t="s">
        <v>691</v>
      </c>
      <c r="P54" s="19"/>
      <c r="Q54" s="19"/>
      <c r="R54" s="17">
        <v>126.9</v>
      </c>
      <c r="S54" s="236"/>
      <c r="T54" s="236"/>
      <c r="U54" s="236"/>
      <c r="V54" s="242"/>
    </row>
    <row r="55" spans="2:22" ht="13">
      <c r="B55" s="270"/>
      <c r="C55" s="245"/>
      <c r="D55" s="19" t="s">
        <v>693</v>
      </c>
      <c r="E55" s="19"/>
      <c r="F55" s="19"/>
      <c r="G55" s="17">
        <v>66.12</v>
      </c>
      <c r="H55" s="236"/>
      <c r="I55" s="236"/>
      <c r="J55" s="236"/>
      <c r="K55" s="242"/>
      <c r="M55" s="270"/>
      <c r="N55" s="245"/>
      <c r="O55" s="19" t="s">
        <v>693</v>
      </c>
      <c r="P55" s="19"/>
      <c r="Q55" s="19"/>
      <c r="R55" s="17">
        <v>66.12</v>
      </c>
      <c r="S55" s="236"/>
      <c r="T55" s="236"/>
      <c r="U55" s="236"/>
      <c r="V55" s="242"/>
    </row>
    <row r="56" spans="2:22" ht="13">
      <c r="B56" s="270"/>
      <c r="C56" s="245"/>
      <c r="D56" s="106" t="s">
        <v>706</v>
      </c>
      <c r="E56" s="19"/>
      <c r="F56" s="19"/>
      <c r="G56" s="17">
        <v>18.739999999999998</v>
      </c>
      <c r="H56" s="236"/>
      <c r="I56" s="236"/>
      <c r="J56" s="236"/>
      <c r="K56" s="242"/>
      <c r="M56" s="270"/>
      <c r="N56" s="245"/>
      <c r="O56" s="106" t="s">
        <v>706</v>
      </c>
      <c r="P56" s="19"/>
      <c r="Q56" s="19"/>
      <c r="R56" s="17">
        <v>18.739999999999998</v>
      </c>
      <c r="S56" s="236"/>
      <c r="T56" s="236"/>
      <c r="U56" s="236"/>
      <c r="V56" s="242"/>
    </row>
    <row r="57" spans="2:22" ht="13">
      <c r="B57" s="270"/>
      <c r="C57" s="246"/>
      <c r="D57" s="20" t="s">
        <v>711</v>
      </c>
      <c r="E57" s="20"/>
      <c r="F57" s="20"/>
      <c r="G57" s="21">
        <v>60.36</v>
      </c>
      <c r="H57" s="238"/>
      <c r="I57" s="238"/>
      <c r="J57" s="238"/>
      <c r="K57" s="243"/>
      <c r="M57" s="270"/>
      <c r="N57" s="246"/>
      <c r="O57" s="20" t="s">
        <v>711</v>
      </c>
      <c r="P57" s="20"/>
      <c r="Q57" s="20"/>
      <c r="R57" s="21">
        <v>60.36</v>
      </c>
      <c r="S57" s="238"/>
      <c r="T57" s="238"/>
      <c r="U57" s="238"/>
      <c r="V57" s="243"/>
    </row>
    <row r="58" spans="2:22" ht="13">
      <c r="B58" s="270"/>
      <c r="C58" s="289" t="s">
        <v>713</v>
      </c>
      <c r="D58" s="77" t="s">
        <v>114</v>
      </c>
      <c r="E58" s="71">
        <v>7</v>
      </c>
      <c r="F58" s="71">
        <v>18</v>
      </c>
      <c r="G58" s="71">
        <f>E58*F58</f>
        <v>126</v>
      </c>
      <c r="H58" s="240">
        <f>SUM(G58:G62)</f>
        <v>374.65999999999997</v>
      </c>
      <c r="I58" s="237">
        <v>2771.5</v>
      </c>
      <c r="J58" s="237">
        <f>I58-H58</f>
        <v>2396.84</v>
      </c>
      <c r="K58" s="241">
        <f>J58/I58</f>
        <v>0.86481688616272778</v>
      </c>
      <c r="M58" s="270"/>
      <c r="N58" s="289" t="s">
        <v>713</v>
      </c>
      <c r="O58" s="77" t="s">
        <v>114</v>
      </c>
      <c r="P58" s="104"/>
      <c r="Q58" s="104"/>
      <c r="R58" s="104"/>
      <c r="S58" s="240">
        <f>SUM(R58:R62)</f>
        <v>248.66</v>
      </c>
      <c r="T58" s="237">
        <v>2771.5</v>
      </c>
      <c r="U58" s="237">
        <f>T58-S58</f>
        <v>2522.84</v>
      </c>
      <c r="V58" s="241">
        <f>U58/T58</f>
        <v>0.91027963196824835</v>
      </c>
    </row>
    <row r="59" spans="2:22" ht="13">
      <c r="B59" s="270"/>
      <c r="C59" s="245"/>
      <c r="D59" s="19" t="s">
        <v>691</v>
      </c>
      <c r="E59" s="19"/>
      <c r="F59" s="19"/>
      <c r="G59" s="17">
        <v>50</v>
      </c>
      <c r="H59" s="236"/>
      <c r="I59" s="236"/>
      <c r="J59" s="236"/>
      <c r="K59" s="242"/>
      <c r="M59" s="270"/>
      <c r="N59" s="245"/>
      <c r="O59" s="19" t="s">
        <v>691</v>
      </c>
      <c r="P59" s="19"/>
      <c r="Q59" s="19"/>
      <c r="R59" s="17">
        <v>50</v>
      </c>
      <c r="S59" s="236"/>
      <c r="T59" s="236"/>
      <c r="U59" s="236"/>
      <c r="V59" s="242"/>
    </row>
    <row r="60" spans="2:22" ht="13">
      <c r="B60" s="270"/>
      <c r="C60" s="245"/>
      <c r="D60" s="19" t="s">
        <v>693</v>
      </c>
      <c r="E60" s="19"/>
      <c r="F60" s="19"/>
      <c r="G60" s="17">
        <v>54.27</v>
      </c>
      <c r="H60" s="236"/>
      <c r="I60" s="236"/>
      <c r="J60" s="236"/>
      <c r="K60" s="242"/>
      <c r="M60" s="270"/>
      <c r="N60" s="245"/>
      <c r="O60" s="19" t="s">
        <v>693</v>
      </c>
      <c r="P60" s="19"/>
      <c r="Q60" s="19"/>
      <c r="R60" s="17">
        <v>54.27</v>
      </c>
      <c r="S60" s="236"/>
      <c r="T60" s="236"/>
      <c r="U60" s="236"/>
      <c r="V60" s="242"/>
    </row>
    <row r="61" spans="2:22" ht="13">
      <c r="B61" s="270"/>
      <c r="C61" s="245"/>
      <c r="D61" s="106" t="s">
        <v>706</v>
      </c>
      <c r="E61" s="19"/>
      <c r="F61" s="19"/>
      <c r="G61" s="17">
        <v>38.11</v>
      </c>
      <c r="H61" s="236"/>
      <c r="I61" s="236"/>
      <c r="J61" s="236"/>
      <c r="K61" s="242"/>
      <c r="M61" s="270"/>
      <c r="N61" s="245"/>
      <c r="O61" s="106" t="s">
        <v>706</v>
      </c>
      <c r="P61" s="19"/>
      <c r="Q61" s="19"/>
      <c r="R61" s="17">
        <v>38.11</v>
      </c>
      <c r="S61" s="236"/>
      <c r="T61" s="236"/>
      <c r="U61" s="236"/>
      <c r="V61" s="242"/>
    </row>
    <row r="62" spans="2:22" ht="13">
      <c r="B62" s="270"/>
      <c r="C62" s="246"/>
      <c r="D62" s="20" t="s">
        <v>711</v>
      </c>
      <c r="E62" s="20"/>
      <c r="F62" s="20"/>
      <c r="G62" s="21">
        <v>106.28</v>
      </c>
      <c r="H62" s="238"/>
      <c r="I62" s="238"/>
      <c r="J62" s="238"/>
      <c r="K62" s="243"/>
      <c r="M62" s="270"/>
      <c r="N62" s="246"/>
      <c r="O62" s="20" t="s">
        <v>711</v>
      </c>
      <c r="P62" s="20"/>
      <c r="Q62" s="20"/>
      <c r="R62" s="21">
        <v>106.28</v>
      </c>
      <c r="S62" s="238"/>
      <c r="T62" s="238"/>
      <c r="U62" s="238"/>
      <c r="V62" s="243"/>
    </row>
    <row r="63" spans="2:22" ht="13">
      <c r="B63" s="270"/>
      <c r="C63" s="244" t="s">
        <v>714</v>
      </c>
      <c r="D63" s="15" t="s">
        <v>715</v>
      </c>
      <c r="E63" s="16"/>
      <c r="F63" s="16"/>
      <c r="G63" s="16">
        <v>300</v>
      </c>
      <c r="H63" s="240">
        <f>SUM(G63:G66)</f>
        <v>530.16000000000008</v>
      </c>
      <c r="I63" s="237">
        <v>2658.5</v>
      </c>
      <c r="J63" s="237">
        <f>I63-H63</f>
        <v>2128.34</v>
      </c>
      <c r="K63" s="241">
        <f>J63/I63</f>
        <v>0.80057927402670681</v>
      </c>
      <c r="M63" s="270"/>
      <c r="N63" s="244" t="s">
        <v>714</v>
      </c>
      <c r="O63" s="15" t="s">
        <v>715</v>
      </c>
      <c r="P63" s="16"/>
      <c r="Q63" s="16"/>
      <c r="R63" s="16">
        <v>300</v>
      </c>
      <c r="S63" s="240">
        <f>SUM(R63:R66)</f>
        <v>530.16000000000008</v>
      </c>
      <c r="T63" s="237">
        <v>2658.5</v>
      </c>
      <c r="U63" s="237">
        <f>T63-S63</f>
        <v>2128.34</v>
      </c>
      <c r="V63" s="241">
        <f>U63/T63</f>
        <v>0.80057927402670681</v>
      </c>
    </row>
    <row r="64" spans="2:22" ht="13">
      <c r="B64" s="270"/>
      <c r="C64" s="245"/>
      <c r="D64" s="19" t="s">
        <v>716</v>
      </c>
      <c r="E64" s="19"/>
      <c r="F64" s="19"/>
      <c r="G64" s="17">
        <v>105</v>
      </c>
      <c r="H64" s="236"/>
      <c r="I64" s="236"/>
      <c r="J64" s="236"/>
      <c r="K64" s="242"/>
      <c r="M64" s="270"/>
      <c r="N64" s="245"/>
      <c r="O64" s="19" t="s">
        <v>716</v>
      </c>
      <c r="P64" s="19"/>
      <c r="Q64" s="19"/>
      <c r="R64" s="17">
        <v>105</v>
      </c>
      <c r="S64" s="236"/>
      <c r="T64" s="236"/>
      <c r="U64" s="236"/>
      <c r="V64" s="242"/>
    </row>
    <row r="65" spans="2:22" ht="13">
      <c r="B65" s="270"/>
      <c r="C65" s="245"/>
      <c r="D65" s="19" t="s">
        <v>717</v>
      </c>
      <c r="E65" s="19"/>
      <c r="F65" s="19"/>
      <c r="G65" s="17">
        <v>86.35</v>
      </c>
      <c r="H65" s="236"/>
      <c r="I65" s="236"/>
      <c r="J65" s="236"/>
      <c r="K65" s="242"/>
      <c r="M65" s="270"/>
      <c r="N65" s="245"/>
      <c r="O65" s="19" t="s">
        <v>717</v>
      </c>
      <c r="P65" s="19"/>
      <c r="Q65" s="19"/>
      <c r="R65" s="17">
        <v>86.35</v>
      </c>
      <c r="S65" s="236"/>
      <c r="T65" s="236"/>
      <c r="U65" s="236"/>
      <c r="V65" s="242"/>
    </row>
    <row r="66" spans="2:22" ht="13">
      <c r="B66" s="270"/>
      <c r="C66" s="246"/>
      <c r="D66" s="20" t="s">
        <v>33</v>
      </c>
      <c r="E66" s="20"/>
      <c r="F66" s="20"/>
      <c r="G66" s="21">
        <v>38.81</v>
      </c>
      <c r="H66" s="238"/>
      <c r="I66" s="238"/>
      <c r="J66" s="238"/>
      <c r="K66" s="243"/>
      <c r="M66" s="270"/>
      <c r="N66" s="246"/>
      <c r="O66" s="20" t="s">
        <v>33</v>
      </c>
      <c r="P66" s="20"/>
      <c r="Q66" s="20"/>
      <c r="R66" s="21">
        <v>38.81</v>
      </c>
      <c r="S66" s="238"/>
      <c r="T66" s="238"/>
      <c r="U66" s="238"/>
      <c r="V66" s="243"/>
    </row>
    <row r="67" spans="2:22" ht="13">
      <c r="B67" s="270"/>
      <c r="C67" s="289" t="s">
        <v>718</v>
      </c>
      <c r="D67" s="77" t="s">
        <v>701</v>
      </c>
      <c r="E67" s="71">
        <v>14</v>
      </c>
      <c r="F67" s="71">
        <v>18</v>
      </c>
      <c r="G67" s="71">
        <f>E67*F67</f>
        <v>252</v>
      </c>
      <c r="H67" s="240">
        <f>SUM(G67:G72)</f>
        <v>563.11</v>
      </c>
      <c r="I67" s="240">
        <v>2222.9499999999998</v>
      </c>
      <c r="J67" s="240">
        <f>I67-H67</f>
        <v>1659.8399999999997</v>
      </c>
      <c r="K67" s="241">
        <f>J67/I67</f>
        <v>0.74668346116646789</v>
      </c>
      <c r="M67" s="270"/>
      <c r="N67" s="289" t="s">
        <v>718</v>
      </c>
      <c r="O67" s="77" t="s">
        <v>701</v>
      </c>
      <c r="P67" s="104"/>
      <c r="Q67" s="104"/>
      <c r="R67" s="104"/>
      <c r="S67" s="240">
        <f>SUM(R67:R72)</f>
        <v>311.11</v>
      </c>
      <c r="T67" s="240">
        <v>2222.9499999999998</v>
      </c>
      <c r="U67" s="240">
        <f>T67-S67</f>
        <v>1911.8399999999997</v>
      </c>
      <c r="V67" s="241">
        <f>U67/T67</f>
        <v>0.86004633482534465</v>
      </c>
    </row>
    <row r="68" spans="2:22" ht="13">
      <c r="B68" s="270"/>
      <c r="C68" s="245"/>
      <c r="D68" s="19" t="s">
        <v>719</v>
      </c>
      <c r="E68" s="19"/>
      <c r="F68" s="19"/>
      <c r="G68" s="17">
        <v>45</v>
      </c>
      <c r="H68" s="236"/>
      <c r="I68" s="236"/>
      <c r="J68" s="236"/>
      <c r="K68" s="242"/>
      <c r="M68" s="270"/>
      <c r="N68" s="245"/>
      <c r="O68" s="19" t="s">
        <v>719</v>
      </c>
      <c r="P68" s="19"/>
      <c r="Q68" s="19"/>
      <c r="R68" s="17">
        <v>45</v>
      </c>
      <c r="S68" s="236"/>
      <c r="T68" s="236"/>
      <c r="U68" s="236"/>
      <c r="V68" s="242"/>
    </row>
    <row r="69" spans="2:22" ht="13">
      <c r="B69" s="270"/>
      <c r="C69" s="245"/>
      <c r="D69" s="19" t="s">
        <v>720</v>
      </c>
      <c r="E69" s="19"/>
      <c r="F69" s="19"/>
      <c r="G69" s="17">
        <v>59.5</v>
      </c>
      <c r="H69" s="236"/>
      <c r="I69" s="236"/>
      <c r="J69" s="236"/>
      <c r="K69" s="242"/>
      <c r="M69" s="270"/>
      <c r="N69" s="245"/>
      <c r="O69" s="19" t="s">
        <v>720</v>
      </c>
      <c r="P69" s="19"/>
      <c r="Q69" s="19"/>
      <c r="R69" s="17">
        <v>59.5</v>
      </c>
      <c r="S69" s="236"/>
      <c r="T69" s="236"/>
      <c r="U69" s="236"/>
      <c r="V69" s="242"/>
    </row>
    <row r="70" spans="2:22" ht="13">
      <c r="B70" s="270"/>
      <c r="C70" s="245"/>
      <c r="D70" s="106" t="s">
        <v>706</v>
      </c>
      <c r="E70" s="19"/>
      <c r="F70" s="19"/>
      <c r="G70" s="17">
        <v>37.99</v>
      </c>
      <c r="H70" s="236"/>
      <c r="I70" s="236"/>
      <c r="J70" s="236"/>
      <c r="K70" s="242"/>
      <c r="M70" s="270"/>
      <c r="N70" s="245"/>
      <c r="O70" s="106" t="s">
        <v>706</v>
      </c>
      <c r="P70" s="19"/>
      <c r="Q70" s="19"/>
      <c r="R70" s="17">
        <v>37.99</v>
      </c>
      <c r="S70" s="236"/>
      <c r="T70" s="236"/>
      <c r="U70" s="236"/>
      <c r="V70" s="242"/>
    </row>
    <row r="71" spans="2:22" ht="13">
      <c r="B71" s="270"/>
      <c r="C71" s="245"/>
      <c r="D71" s="19" t="s">
        <v>721</v>
      </c>
      <c r="E71" s="19"/>
      <c r="F71" s="19"/>
      <c r="G71" s="17">
        <v>91</v>
      </c>
      <c r="H71" s="236"/>
      <c r="I71" s="236"/>
      <c r="J71" s="236"/>
      <c r="K71" s="242"/>
      <c r="M71" s="270"/>
      <c r="N71" s="245"/>
      <c r="O71" s="19" t="s">
        <v>721</v>
      </c>
      <c r="P71" s="19"/>
      <c r="Q71" s="19"/>
      <c r="R71" s="17">
        <v>91</v>
      </c>
      <c r="S71" s="236"/>
      <c r="T71" s="236"/>
      <c r="U71" s="236"/>
      <c r="V71" s="242"/>
    </row>
    <row r="72" spans="2:22" ht="13">
      <c r="B72" s="270"/>
      <c r="C72" s="246"/>
      <c r="D72" s="20" t="s">
        <v>33</v>
      </c>
      <c r="E72" s="20"/>
      <c r="F72" s="20"/>
      <c r="G72" s="21">
        <v>77.62</v>
      </c>
      <c r="H72" s="238"/>
      <c r="I72" s="238"/>
      <c r="J72" s="238"/>
      <c r="K72" s="243"/>
      <c r="M72" s="270"/>
      <c r="N72" s="246"/>
      <c r="O72" s="20" t="s">
        <v>33</v>
      </c>
      <c r="P72" s="20"/>
      <c r="Q72" s="20"/>
      <c r="R72" s="21">
        <v>77.62</v>
      </c>
      <c r="S72" s="238"/>
      <c r="T72" s="238"/>
      <c r="U72" s="238"/>
      <c r="V72" s="243"/>
    </row>
    <row r="73" spans="2:22" ht="13">
      <c r="B73" s="270"/>
      <c r="C73" s="289" t="s">
        <v>722</v>
      </c>
      <c r="D73" s="77" t="s">
        <v>701</v>
      </c>
      <c r="E73" s="71">
        <v>3.5</v>
      </c>
      <c r="F73" s="71">
        <v>18</v>
      </c>
      <c r="G73" s="71">
        <f>E73*F73</f>
        <v>63</v>
      </c>
      <c r="H73" s="240">
        <f>SUM(G73:G75)</f>
        <v>225.45</v>
      </c>
      <c r="I73" s="240">
        <v>1740.2</v>
      </c>
      <c r="J73" s="240">
        <f>I73-H73</f>
        <v>1514.75</v>
      </c>
      <c r="K73" s="241">
        <f>J73/I73</f>
        <v>0.87044592575566027</v>
      </c>
      <c r="M73" s="270"/>
      <c r="N73" s="289" t="s">
        <v>722</v>
      </c>
      <c r="O73" s="77" t="s">
        <v>701</v>
      </c>
      <c r="P73" s="104"/>
      <c r="Q73" s="104"/>
      <c r="R73" s="104"/>
      <c r="S73" s="240">
        <f>SUM(R73:R75)</f>
        <v>162.44999999999999</v>
      </c>
      <c r="T73" s="240">
        <v>1740.2</v>
      </c>
      <c r="U73" s="240">
        <f>T73-S73</f>
        <v>1577.75</v>
      </c>
      <c r="V73" s="241">
        <f>U73/T73</f>
        <v>0.90664866107343978</v>
      </c>
    </row>
    <row r="74" spans="2:22" ht="13">
      <c r="B74" s="270"/>
      <c r="C74" s="245"/>
      <c r="D74" s="19" t="s">
        <v>719</v>
      </c>
      <c r="E74" s="19"/>
      <c r="F74" s="19"/>
      <c r="G74" s="17">
        <v>32.6</v>
      </c>
      <c r="H74" s="236"/>
      <c r="I74" s="236"/>
      <c r="J74" s="236"/>
      <c r="K74" s="242"/>
      <c r="M74" s="270"/>
      <c r="N74" s="245"/>
      <c r="O74" s="19" t="s">
        <v>719</v>
      </c>
      <c r="P74" s="19"/>
      <c r="Q74" s="19"/>
      <c r="R74" s="17">
        <v>32.6</v>
      </c>
      <c r="S74" s="236"/>
      <c r="T74" s="236"/>
      <c r="U74" s="236"/>
      <c r="V74" s="242"/>
    </row>
    <row r="75" spans="2:22" ht="13">
      <c r="B75" s="270"/>
      <c r="C75" s="246"/>
      <c r="D75" s="20" t="s">
        <v>720</v>
      </c>
      <c r="E75" s="20"/>
      <c r="F75" s="20"/>
      <c r="G75" s="21">
        <v>129.85</v>
      </c>
      <c r="H75" s="238"/>
      <c r="I75" s="238"/>
      <c r="J75" s="238"/>
      <c r="K75" s="243"/>
      <c r="M75" s="270"/>
      <c r="N75" s="246"/>
      <c r="O75" s="20" t="s">
        <v>720</v>
      </c>
      <c r="P75" s="20"/>
      <c r="Q75" s="20"/>
      <c r="R75" s="21">
        <v>129.85</v>
      </c>
      <c r="S75" s="238"/>
      <c r="T75" s="238"/>
      <c r="U75" s="238"/>
      <c r="V75" s="243"/>
    </row>
    <row r="76" spans="2:22" ht="30">
      <c r="B76" s="251" t="s">
        <v>723</v>
      </c>
      <c r="C76" s="252"/>
      <c r="D76" s="253"/>
      <c r="E76" s="27">
        <f t="shared" ref="E76:J76" si="3">AVERAGE(E12:E75)</f>
        <v>9.8881250000000005</v>
      </c>
      <c r="F76" s="27">
        <f t="shared" si="3"/>
        <v>17.4375</v>
      </c>
      <c r="G76" s="27">
        <f t="shared" si="3"/>
        <v>116.35124999999999</v>
      </c>
      <c r="H76" s="27">
        <f t="shared" si="3"/>
        <v>531.89142857142849</v>
      </c>
      <c r="I76" s="27">
        <f t="shared" si="3"/>
        <v>2462.6785714285716</v>
      </c>
      <c r="J76" s="27">
        <f t="shared" si="3"/>
        <v>1930.787142857143</v>
      </c>
      <c r="K76" s="28" t="str">
        <f ca="1">AVERAGE($K$12:$K$76)</f>
        <v>#REF!</v>
      </c>
      <c r="M76" s="251" t="s">
        <v>723</v>
      </c>
      <c r="N76" s="252"/>
      <c r="O76" s="253"/>
      <c r="P76" s="27">
        <f t="shared" ref="P76:U76" si="4">AVERAGE(P12:P75)</f>
        <v>7.1775000000000002</v>
      </c>
      <c r="Q76" s="27">
        <f t="shared" si="4"/>
        <v>15.75</v>
      </c>
      <c r="R76" s="27">
        <f t="shared" si="4"/>
        <v>98.37461538461541</v>
      </c>
      <c r="S76" s="27">
        <f t="shared" si="4"/>
        <v>365.39142857142855</v>
      </c>
      <c r="T76" s="27">
        <f t="shared" si="4"/>
        <v>2462.6785714285716</v>
      </c>
      <c r="U76" s="27">
        <f t="shared" si="4"/>
        <v>2097.287142857143</v>
      </c>
      <c r="V76" s="28" t="str">
        <f ca="1">AVERAGE($K$12:$K$76)</f>
        <v>#REF!</v>
      </c>
    </row>
    <row r="77" spans="2:22" ht="30">
      <c r="B77" s="254" t="s">
        <v>724</v>
      </c>
      <c r="C77" s="255"/>
      <c r="D77" s="256"/>
      <c r="E77" s="27">
        <f t="shared" ref="E77:J77" si="5">SUM(E12:E75)</f>
        <v>158.21</v>
      </c>
      <c r="F77" s="27">
        <f t="shared" si="5"/>
        <v>279</v>
      </c>
      <c r="G77" s="27">
        <f t="shared" si="5"/>
        <v>7446.48</v>
      </c>
      <c r="H77" s="27">
        <f t="shared" si="5"/>
        <v>7446.48</v>
      </c>
      <c r="I77" s="27">
        <f t="shared" si="5"/>
        <v>34477.5</v>
      </c>
      <c r="J77" s="27">
        <f t="shared" si="5"/>
        <v>27031.02</v>
      </c>
      <c r="K77" s="29">
        <f t="shared" ref="K77:K78" si="6">J77/I77</f>
        <v>0.7840191429192952</v>
      </c>
      <c r="M77" s="296" t="s">
        <v>724</v>
      </c>
      <c r="N77" s="297"/>
      <c r="O77" s="298"/>
      <c r="P77" s="27">
        <f t="shared" ref="P77:U77" si="7">SUM(P12:P75)</f>
        <v>28.71</v>
      </c>
      <c r="Q77" s="107">
        <f t="shared" si="7"/>
        <v>63</v>
      </c>
      <c r="R77" s="27">
        <f t="shared" si="7"/>
        <v>5115.4800000000014</v>
      </c>
      <c r="S77" s="27">
        <f t="shared" si="7"/>
        <v>5115.4799999999996</v>
      </c>
      <c r="T77" s="27">
        <f t="shared" si="7"/>
        <v>34477.5</v>
      </c>
      <c r="U77" s="27">
        <f t="shared" si="7"/>
        <v>29362.02</v>
      </c>
      <c r="V77" s="29">
        <f t="shared" ref="V77:V78" si="8">U77/T77</f>
        <v>0.85162845333913428</v>
      </c>
    </row>
    <row r="78" spans="2:22" ht="13">
      <c r="B78" s="290" t="s">
        <v>671</v>
      </c>
      <c r="C78" s="289" t="s">
        <v>725</v>
      </c>
      <c r="D78" s="77" t="s">
        <v>701</v>
      </c>
      <c r="E78" s="71">
        <v>10.5</v>
      </c>
      <c r="F78" s="71">
        <v>18</v>
      </c>
      <c r="G78" s="71">
        <f>E78*F78</f>
        <v>189</v>
      </c>
      <c r="H78" s="240">
        <f>SUM(G78:G81)</f>
        <v>360.85</v>
      </c>
      <c r="I78" s="240">
        <v>2206.1999999999998</v>
      </c>
      <c r="J78" s="240">
        <f>I78-H78</f>
        <v>1845.35</v>
      </c>
      <c r="K78" s="241">
        <f t="shared" si="6"/>
        <v>0.83643821956304965</v>
      </c>
      <c r="M78" s="290" t="s">
        <v>671</v>
      </c>
      <c r="N78" s="289" t="s">
        <v>725</v>
      </c>
      <c r="O78" s="77" t="s">
        <v>701</v>
      </c>
      <c r="P78" s="104"/>
      <c r="Q78" s="104"/>
      <c r="R78" s="104"/>
      <c r="S78" s="240">
        <f>SUM(R78:R81)</f>
        <v>171.85</v>
      </c>
      <c r="T78" s="240">
        <v>2206.1999999999998</v>
      </c>
      <c r="U78" s="240">
        <f>T78-S78</f>
        <v>2034.35</v>
      </c>
      <c r="V78" s="241">
        <f t="shared" si="8"/>
        <v>0.92210588341945432</v>
      </c>
    </row>
    <row r="79" spans="2:22" ht="13">
      <c r="B79" s="270"/>
      <c r="C79" s="245"/>
      <c r="D79" s="106" t="s">
        <v>726</v>
      </c>
      <c r="E79" s="19"/>
      <c r="F79" s="19"/>
      <c r="G79" s="17">
        <v>64.849999999999994</v>
      </c>
      <c r="H79" s="236"/>
      <c r="I79" s="236"/>
      <c r="J79" s="236"/>
      <c r="K79" s="242"/>
      <c r="M79" s="270"/>
      <c r="N79" s="245"/>
      <c r="O79" s="106" t="s">
        <v>726</v>
      </c>
      <c r="P79" s="19"/>
      <c r="Q79" s="19"/>
      <c r="R79" s="17">
        <v>64.849999999999994</v>
      </c>
      <c r="S79" s="236"/>
      <c r="T79" s="236"/>
      <c r="U79" s="236"/>
      <c r="V79" s="242"/>
    </row>
    <row r="80" spans="2:22" ht="13">
      <c r="B80" s="270"/>
      <c r="C80" s="245"/>
      <c r="D80" s="19" t="s">
        <v>721</v>
      </c>
      <c r="E80" s="19"/>
      <c r="F80" s="19"/>
      <c r="G80" s="17">
        <v>69</v>
      </c>
      <c r="H80" s="236"/>
      <c r="I80" s="236"/>
      <c r="J80" s="236"/>
      <c r="K80" s="242"/>
      <c r="M80" s="270"/>
      <c r="N80" s="245"/>
      <c r="O80" s="19" t="s">
        <v>721</v>
      </c>
      <c r="P80" s="19"/>
      <c r="Q80" s="19"/>
      <c r="R80" s="17">
        <v>69</v>
      </c>
      <c r="S80" s="236"/>
      <c r="T80" s="236"/>
      <c r="U80" s="236"/>
      <c r="V80" s="242"/>
    </row>
    <row r="81" spans="2:22" ht="13">
      <c r="B81" s="270"/>
      <c r="C81" s="246"/>
      <c r="D81" s="20" t="s">
        <v>719</v>
      </c>
      <c r="E81" s="20"/>
      <c r="F81" s="20"/>
      <c r="G81" s="21">
        <v>38</v>
      </c>
      <c r="H81" s="238"/>
      <c r="I81" s="238"/>
      <c r="J81" s="238"/>
      <c r="K81" s="243"/>
      <c r="M81" s="270"/>
      <c r="N81" s="246"/>
      <c r="O81" s="20" t="s">
        <v>719</v>
      </c>
      <c r="P81" s="20"/>
      <c r="Q81" s="20"/>
      <c r="R81" s="21">
        <v>38</v>
      </c>
      <c r="S81" s="238"/>
      <c r="T81" s="238"/>
      <c r="U81" s="238"/>
      <c r="V81" s="243"/>
    </row>
    <row r="82" spans="2:22" ht="13">
      <c r="B82" s="270"/>
      <c r="C82" s="289" t="s">
        <v>727</v>
      </c>
      <c r="D82" s="77" t="s">
        <v>114</v>
      </c>
      <c r="E82" s="71">
        <v>7</v>
      </c>
      <c r="F82" s="71">
        <v>18</v>
      </c>
      <c r="G82" s="71">
        <f>E82*F82</f>
        <v>126</v>
      </c>
      <c r="H82" s="240">
        <f>SUM(G82:G84)</f>
        <v>299.62</v>
      </c>
      <c r="I82" s="240">
        <v>2265.5</v>
      </c>
      <c r="J82" s="240">
        <f>I82-H82</f>
        <v>1965.88</v>
      </c>
      <c r="K82" s="241">
        <f>J82/I82</f>
        <v>0.86774663429706467</v>
      </c>
      <c r="M82" s="270"/>
      <c r="N82" s="289" t="s">
        <v>727</v>
      </c>
      <c r="O82" s="77" t="s">
        <v>114</v>
      </c>
      <c r="P82" s="104"/>
      <c r="Q82" s="104"/>
      <c r="R82" s="104"/>
      <c r="S82" s="240">
        <f>SUM(R82:R84)</f>
        <v>173.62</v>
      </c>
      <c r="T82" s="240">
        <v>2265.5</v>
      </c>
      <c r="U82" s="240">
        <f>T82-S82</f>
        <v>2091.88</v>
      </c>
      <c r="V82" s="241">
        <f>U82/T82</f>
        <v>0.92336349591701616</v>
      </c>
    </row>
    <row r="83" spans="2:22" ht="13">
      <c r="B83" s="270"/>
      <c r="C83" s="245"/>
      <c r="D83" s="19" t="s">
        <v>695</v>
      </c>
      <c r="E83" s="19"/>
      <c r="F83" s="19"/>
      <c r="G83" s="17">
        <v>96</v>
      </c>
      <c r="H83" s="236"/>
      <c r="I83" s="236"/>
      <c r="J83" s="236"/>
      <c r="K83" s="242"/>
      <c r="M83" s="270"/>
      <c r="N83" s="245"/>
      <c r="O83" s="19" t="s">
        <v>695</v>
      </c>
      <c r="P83" s="19"/>
      <c r="Q83" s="19"/>
      <c r="R83" s="17">
        <v>96</v>
      </c>
      <c r="S83" s="236"/>
      <c r="T83" s="236"/>
      <c r="U83" s="236"/>
      <c r="V83" s="242"/>
    </row>
    <row r="84" spans="2:22" ht="13">
      <c r="B84" s="270"/>
      <c r="C84" s="246"/>
      <c r="D84" s="20" t="s">
        <v>33</v>
      </c>
      <c r="E84" s="20"/>
      <c r="F84" s="20"/>
      <c r="G84" s="21">
        <v>77.62</v>
      </c>
      <c r="H84" s="238"/>
      <c r="I84" s="238"/>
      <c r="J84" s="238"/>
      <c r="K84" s="243"/>
      <c r="M84" s="270"/>
      <c r="N84" s="246"/>
      <c r="O84" s="20" t="s">
        <v>33</v>
      </c>
      <c r="P84" s="20"/>
      <c r="Q84" s="20"/>
      <c r="R84" s="21">
        <v>77.62</v>
      </c>
      <c r="S84" s="238"/>
      <c r="T84" s="238"/>
      <c r="U84" s="238"/>
      <c r="V84" s="243"/>
    </row>
    <row r="85" spans="2:22" ht="13">
      <c r="B85" s="270"/>
      <c r="C85" s="289" t="s">
        <v>728</v>
      </c>
      <c r="D85" s="77" t="s">
        <v>729</v>
      </c>
      <c r="E85" s="71"/>
      <c r="F85" s="71"/>
      <c r="G85" s="71">
        <v>400</v>
      </c>
      <c r="H85" s="240">
        <f>SUM(G85:G93)</f>
        <v>2084.1099999999997</v>
      </c>
      <c r="I85" s="240">
        <v>4648</v>
      </c>
      <c r="J85" s="240">
        <f>I85-H85</f>
        <v>2563.8900000000003</v>
      </c>
      <c r="K85" s="241">
        <f>J85/I85</f>
        <v>0.55161144578313259</v>
      </c>
      <c r="M85" s="270"/>
      <c r="N85" s="289" t="s">
        <v>728</v>
      </c>
      <c r="O85" s="77" t="s">
        <v>729</v>
      </c>
      <c r="P85" s="71"/>
      <c r="Q85" s="71"/>
      <c r="R85" s="71">
        <v>400</v>
      </c>
      <c r="S85" s="240">
        <f>SUM(R85:R93)</f>
        <v>2084.1099999999997</v>
      </c>
      <c r="T85" s="240">
        <v>4648</v>
      </c>
      <c r="U85" s="240">
        <f>T85-S85</f>
        <v>2563.8900000000003</v>
      </c>
      <c r="V85" s="241">
        <f>U85/T85</f>
        <v>0.55161144578313259</v>
      </c>
    </row>
    <row r="86" spans="2:22" ht="13">
      <c r="B86" s="270"/>
      <c r="C86" s="245"/>
      <c r="D86" s="106" t="s">
        <v>730</v>
      </c>
      <c r="E86" s="19">
        <v>8</v>
      </c>
      <c r="F86" s="19">
        <v>20</v>
      </c>
      <c r="G86" s="17">
        <f>E86*F86</f>
        <v>160</v>
      </c>
      <c r="H86" s="236"/>
      <c r="I86" s="236"/>
      <c r="J86" s="236"/>
      <c r="K86" s="242"/>
      <c r="M86" s="270"/>
      <c r="N86" s="245"/>
      <c r="O86" s="106" t="s">
        <v>730</v>
      </c>
      <c r="P86" s="19">
        <v>8</v>
      </c>
      <c r="Q86" s="19">
        <v>20</v>
      </c>
      <c r="R86" s="17">
        <f>P86*Q86</f>
        <v>160</v>
      </c>
      <c r="S86" s="236"/>
      <c r="T86" s="236"/>
      <c r="U86" s="236"/>
      <c r="V86" s="242"/>
    </row>
    <row r="87" spans="2:22" ht="13">
      <c r="B87" s="270"/>
      <c r="C87" s="245"/>
      <c r="D87" s="19" t="s">
        <v>731</v>
      </c>
      <c r="E87" s="19"/>
      <c r="F87" s="19"/>
      <c r="G87" s="17">
        <v>173.6</v>
      </c>
      <c r="H87" s="236"/>
      <c r="I87" s="236"/>
      <c r="J87" s="236"/>
      <c r="K87" s="242"/>
      <c r="M87" s="270"/>
      <c r="N87" s="245"/>
      <c r="O87" s="19" t="s">
        <v>731</v>
      </c>
      <c r="P87" s="19"/>
      <c r="Q87" s="19"/>
      <c r="R87" s="17">
        <v>173.6</v>
      </c>
      <c r="S87" s="236"/>
      <c r="T87" s="236"/>
      <c r="U87" s="236"/>
      <c r="V87" s="242"/>
    </row>
    <row r="88" spans="2:22" ht="13">
      <c r="B88" s="270"/>
      <c r="C88" s="245"/>
      <c r="D88" s="19" t="s">
        <v>732</v>
      </c>
      <c r="E88" s="19"/>
      <c r="F88" s="19"/>
      <c r="G88" s="17">
        <v>147</v>
      </c>
      <c r="H88" s="236"/>
      <c r="I88" s="236"/>
      <c r="J88" s="236"/>
      <c r="K88" s="242"/>
      <c r="M88" s="270"/>
      <c r="N88" s="245"/>
      <c r="O88" s="19" t="s">
        <v>732</v>
      </c>
      <c r="P88" s="19"/>
      <c r="Q88" s="19"/>
      <c r="R88" s="17">
        <v>147</v>
      </c>
      <c r="S88" s="236"/>
      <c r="T88" s="236"/>
      <c r="U88" s="236"/>
      <c r="V88" s="242"/>
    </row>
    <row r="89" spans="2:22" ht="13">
      <c r="B89" s="270"/>
      <c r="C89" s="245"/>
      <c r="D89" s="19" t="s">
        <v>24</v>
      </c>
      <c r="E89" s="19">
        <v>8</v>
      </c>
      <c r="F89" s="19">
        <v>15</v>
      </c>
      <c r="G89" s="17">
        <f t="shared" ref="G89:G91" si="9">E89*F89</f>
        <v>120</v>
      </c>
      <c r="H89" s="236"/>
      <c r="I89" s="236"/>
      <c r="J89" s="236"/>
      <c r="K89" s="242"/>
      <c r="M89" s="270"/>
      <c r="N89" s="245"/>
      <c r="O89" s="19" t="s">
        <v>24</v>
      </c>
      <c r="P89" s="19">
        <v>8</v>
      </c>
      <c r="Q89" s="19">
        <v>15</v>
      </c>
      <c r="R89" s="17">
        <f t="shared" ref="R89:R91" si="10">P89*Q89</f>
        <v>120</v>
      </c>
      <c r="S89" s="236"/>
      <c r="T89" s="236"/>
      <c r="U89" s="236"/>
      <c r="V89" s="242"/>
    </row>
    <row r="90" spans="2:22" ht="13">
      <c r="B90" s="270"/>
      <c r="C90" s="245"/>
      <c r="D90" s="19" t="s">
        <v>139</v>
      </c>
      <c r="E90" s="19">
        <v>8</v>
      </c>
      <c r="F90" s="19">
        <v>15</v>
      </c>
      <c r="G90" s="17">
        <f t="shared" si="9"/>
        <v>120</v>
      </c>
      <c r="H90" s="236"/>
      <c r="I90" s="236"/>
      <c r="J90" s="236"/>
      <c r="K90" s="242"/>
      <c r="M90" s="270"/>
      <c r="N90" s="245"/>
      <c r="O90" s="19" t="s">
        <v>139</v>
      </c>
      <c r="P90" s="19">
        <v>8</v>
      </c>
      <c r="Q90" s="19">
        <v>15</v>
      </c>
      <c r="R90" s="17">
        <f t="shared" si="10"/>
        <v>120</v>
      </c>
      <c r="S90" s="236"/>
      <c r="T90" s="236"/>
      <c r="U90" s="236"/>
      <c r="V90" s="242"/>
    </row>
    <row r="91" spans="2:22" ht="13">
      <c r="B91" s="270"/>
      <c r="C91" s="245"/>
      <c r="D91" s="19" t="s">
        <v>733</v>
      </c>
      <c r="E91" s="19">
        <v>8</v>
      </c>
      <c r="F91" s="19">
        <v>15</v>
      </c>
      <c r="G91" s="17">
        <f t="shared" si="9"/>
        <v>120</v>
      </c>
      <c r="H91" s="236"/>
      <c r="I91" s="236"/>
      <c r="J91" s="236"/>
      <c r="K91" s="242"/>
      <c r="M91" s="270"/>
      <c r="N91" s="245"/>
      <c r="O91" s="19" t="s">
        <v>733</v>
      </c>
      <c r="P91" s="19">
        <v>8</v>
      </c>
      <c r="Q91" s="19">
        <v>15</v>
      </c>
      <c r="R91" s="17">
        <f t="shared" si="10"/>
        <v>120</v>
      </c>
      <c r="S91" s="236"/>
      <c r="T91" s="236"/>
      <c r="U91" s="236"/>
      <c r="V91" s="242"/>
    </row>
    <row r="92" spans="2:22" ht="13">
      <c r="B92" s="270"/>
      <c r="C92" s="245"/>
      <c r="D92" s="19" t="s">
        <v>734</v>
      </c>
      <c r="E92" s="19"/>
      <c r="F92" s="19"/>
      <c r="G92" s="17">
        <v>28.51</v>
      </c>
      <c r="H92" s="236"/>
      <c r="I92" s="236"/>
      <c r="J92" s="236"/>
      <c r="K92" s="242"/>
      <c r="M92" s="270"/>
      <c r="N92" s="245"/>
      <c r="O92" s="19" t="s">
        <v>734</v>
      </c>
      <c r="P92" s="19"/>
      <c r="Q92" s="19"/>
      <c r="R92" s="17">
        <v>28.51</v>
      </c>
      <c r="S92" s="236"/>
      <c r="T92" s="236"/>
      <c r="U92" s="236"/>
      <c r="V92" s="242"/>
    </row>
    <row r="93" spans="2:22" ht="13">
      <c r="B93" s="270"/>
      <c r="C93" s="246"/>
      <c r="D93" s="20" t="s">
        <v>735</v>
      </c>
      <c r="E93" s="20"/>
      <c r="F93" s="20"/>
      <c r="G93" s="17">
        <v>815</v>
      </c>
      <c r="H93" s="238"/>
      <c r="I93" s="238"/>
      <c r="J93" s="238"/>
      <c r="K93" s="243"/>
      <c r="M93" s="270"/>
      <c r="N93" s="246"/>
      <c r="O93" s="20" t="s">
        <v>735</v>
      </c>
      <c r="P93" s="20"/>
      <c r="Q93" s="20"/>
      <c r="R93" s="17">
        <v>815</v>
      </c>
      <c r="S93" s="238"/>
      <c r="T93" s="238"/>
      <c r="U93" s="238"/>
      <c r="V93" s="243"/>
    </row>
    <row r="94" spans="2:22" ht="13">
      <c r="B94" s="270"/>
      <c r="C94" s="289" t="s">
        <v>736</v>
      </c>
      <c r="D94" s="77" t="s">
        <v>78</v>
      </c>
      <c r="E94" s="71"/>
      <c r="F94" s="71"/>
      <c r="G94" s="16">
        <v>65</v>
      </c>
      <c r="H94" s="240">
        <f>SUM(G94:G118)</f>
        <v>2940.5600000000004</v>
      </c>
      <c r="I94" s="240">
        <v>7620</v>
      </c>
      <c r="J94" s="240">
        <f>I94-H94</f>
        <v>4679.4399999999996</v>
      </c>
      <c r="K94" s="241">
        <f>J94/I94</f>
        <v>0.61409973753280833</v>
      </c>
      <c r="M94" s="270"/>
      <c r="N94" s="289" t="s">
        <v>736</v>
      </c>
      <c r="O94" s="77" t="s">
        <v>78</v>
      </c>
      <c r="P94" s="71"/>
      <c r="Q94" s="71"/>
      <c r="R94" s="16">
        <v>65</v>
      </c>
      <c r="S94" s="240">
        <f>SUM(R94:R118)</f>
        <v>2604.5600000000004</v>
      </c>
      <c r="T94" s="240">
        <v>7620</v>
      </c>
      <c r="U94" s="240">
        <f>T94-S94</f>
        <v>5015.4399999999996</v>
      </c>
      <c r="V94" s="241">
        <f>U94/T94</f>
        <v>0.65819422572178476</v>
      </c>
    </row>
    <row r="95" spans="2:22" ht="13">
      <c r="B95" s="270"/>
      <c r="C95" s="245"/>
      <c r="D95" s="106" t="s">
        <v>53</v>
      </c>
      <c r="E95" s="19"/>
      <c r="F95" s="19"/>
      <c r="G95" s="17">
        <v>65</v>
      </c>
      <c r="H95" s="236"/>
      <c r="I95" s="236"/>
      <c r="J95" s="236"/>
      <c r="K95" s="242"/>
      <c r="M95" s="270"/>
      <c r="N95" s="245"/>
      <c r="O95" s="106" t="s">
        <v>53</v>
      </c>
      <c r="P95" s="19"/>
      <c r="Q95" s="19"/>
      <c r="R95" s="17">
        <v>65</v>
      </c>
      <c r="S95" s="236"/>
      <c r="T95" s="236"/>
      <c r="U95" s="236"/>
      <c r="V95" s="242"/>
    </row>
    <row r="96" spans="2:22" ht="13">
      <c r="B96" s="270"/>
      <c r="C96" s="245"/>
      <c r="D96" s="19" t="s">
        <v>737</v>
      </c>
      <c r="E96" s="19"/>
      <c r="F96" s="19"/>
      <c r="G96" s="17">
        <v>65</v>
      </c>
      <c r="H96" s="236"/>
      <c r="I96" s="236"/>
      <c r="J96" s="236"/>
      <c r="K96" s="242"/>
      <c r="M96" s="270"/>
      <c r="N96" s="245"/>
      <c r="O96" s="19" t="s">
        <v>737</v>
      </c>
      <c r="P96" s="19"/>
      <c r="Q96" s="19"/>
      <c r="R96" s="17">
        <v>65</v>
      </c>
      <c r="S96" s="236"/>
      <c r="T96" s="236"/>
      <c r="U96" s="236"/>
      <c r="V96" s="242"/>
    </row>
    <row r="97" spans="2:22" ht="13">
      <c r="B97" s="270"/>
      <c r="C97" s="245"/>
      <c r="D97" s="19" t="s">
        <v>147</v>
      </c>
      <c r="E97" s="19"/>
      <c r="F97" s="19"/>
      <c r="G97" s="17">
        <v>65</v>
      </c>
      <c r="H97" s="236"/>
      <c r="I97" s="236"/>
      <c r="J97" s="236"/>
      <c r="K97" s="242"/>
      <c r="M97" s="270"/>
      <c r="N97" s="245"/>
      <c r="O97" s="19" t="s">
        <v>147</v>
      </c>
      <c r="P97" s="19"/>
      <c r="Q97" s="19"/>
      <c r="R97" s="17">
        <v>65</v>
      </c>
      <c r="S97" s="236"/>
      <c r="T97" s="236"/>
      <c r="U97" s="236"/>
      <c r="V97" s="242"/>
    </row>
    <row r="98" spans="2:22" ht="13">
      <c r="B98" s="270"/>
      <c r="C98" s="245"/>
      <c r="D98" s="19" t="s">
        <v>178</v>
      </c>
      <c r="E98" s="19"/>
      <c r="F98" s="19"/>
      <c r="G98" s="17">
        <v>65</v>
      </c>
      <c r="H98" s="236"/>
      <c r="I98" s="236"/>
      <c r="J98" s="236"/>
      <c r="K98" s="242"/>
      <c r="M98" s="270"/>
      <c r="N98" s="245"/>
      <c r="O98" s="19" t="s">
        <v>178</v>
      </c>
      <c r="P98" s="19"/>
      <c r="Q98" s="19"/>
      <c r="R98" s="17">
        <v>65</v>
      </c>
      <c r="S98" s="236"/>
      <c r="T98" s="236"/>
      <c r="U98" s="236"/>
      <c r="V98" s="242"/>
    </row>
    <row r="99" spans="2:22" ht="13">
      <c r="B99" s="270"/>
      <c r="C99" s="245"/>
      <c r="D99" s="19" t="s">
        <v>738</v>
      </c>
      <c r="E99" s="19"/>
      <c r="F99" s="19"/>
      <c r="G99" s="17">
        <v>65</v>
      </c>
      <c r="H99" s="236"/>
      <c r="I99" s="236"/>
      <c r="J99" s="236"/>
      <c r="K99" s="242"/>
      <c r="M99" s="270"/>
      <c r="N99" s="245"/>
      <c r="O99" s="19" t="s">
        <v>738</v>
      </c>
      <c r="P99" s="19"/>
      <c r="Q99" s="19"/>
      <c r="R99" s="17">
        <v>65</v>
      </c>
      <c r="S99" s="236"/>
      <c r="T99" s="236"/>
      <c r="U99" s="236"/>
      <c r="V99" s="242"/>
    </row>
    <row r="100" spans="2:22" ht="13">
      <c r="B100" s="270"/>
      <c r="C100" s="245"/>
      <c r="D100" s="19" t="s">
        <v>739</v>
      </c>
      <c r="E100" s="19">
        <v>3.5</v>
      </c>
      <c r="F100" s="108">
        <v>14</v>
      </c>
      <c r="G100" s="17">
        <f t="shared" ref="G100:G103" si="11">E100*F100</f>
        <v>49</v>
      </c>
      <c r="H100" s="236"/>
      <c r="I100" s="236"/>
      <c r="J100" s="236"/>
      <c r="K100" s="242"/>
      <c r="M100" s="270"/>
      <c r="N100" s="245"/>
      <c r="O100" s="19" t="s">
        <v>739</v>
      </c>
      <c r="P100" s="105"/>
      <c r="Q100" s="109"/>
      <c r="R100" s="18"/>
      <c r="S100" s="236"/>
      <c r="T100" s="236"/>
      <c r="U100" s="236"/>
      <c r="V100" s="242"/>
    </row>
    <row r="101" spans="2:22" ht="13">
      <c r="B101" s="270"/>
      <c r="C101" s="245"/>
      <c r="D101" s="19" t="s">
        <v>740</v>
      </c>
      <c r="E101" s="19">
        <v>3.5</v>
      </c>
      <c r="F101" s="108">
        <v>20</v>
      </c>
      <c r="G101" s="17">
        <f t="shared" si="11"/>
        <v>70</v>
      </c>
      <c r="H101" s="236"/>
      <c r="I101" s="236"/>
      <c r="J101" s="236"/>
      <c r="K101" s="242"/>
      <c r="M101" s="270"/>
      <c r="N101" s="245"/>
      <c r="O101" s="19" t="s">
        <v>740</v>
      </c>
      <c r="P101" s="105"/>
      <c r="Q101" s="109"/>
      <c r="R101" s="18"/>
      <c r="S101" s="236"/>
      <c r="T101" s="236"/>
      <c r="U101" s="236"/>
      <c r="V101" s="242"/>
    </row>
    <row r="102" spans="2:22" ht="13">
      <c r="B102" s="270"/>
      <c r="C102" s="245"/>
      <c r="D102" s="19" t="s">
        <v>102</v>
      </c>
      <c r="E102" s="19">
        <v>3.5</v>
      </c>
      <c r="F102" s="19">
        <v>10</v>
      </c>
      <c r="G102" s="17">
        <f t="shared" si="11"/>
        <v>35</v>
      </c>
      <c r="H102" s="236"/>
      <c r="I102" s="236"/>
      <c r="J102" s="236"/>
      <c r="K102" s="242"/>
      <c r="M102" s="270"/>
      <c r="N102" s="245"/>
      <c r="O102" s="19" t="s">
        <v>102</v>
      </c>
      <c r="P102" s="105"/>
      <c r="Q102" s="105"/>
      <c r="R102" s="18"/>
      <c r="S102" s="236"/>
      <c r="T102" s="236"/>
      <c r="U102" s="236"/>
      <c r="V102" s="242"/>
    </row>
    <row r="103" spans="2:22" ht="13">
      <c r="B103" s="270"/>
      <c r="C103" s="245"/>
      <c r="D103" s="19" t="s">
        <v>741</v>
      </c>
      <c r="E103" s="19">
        <v>3.5</v>
      </c>
      <c r="F103" s="19">
        <v>14</v>
      </c>
      <c r="G103" s="17">
        <f t="shared" si="11"/>
        <v>49</v>
      </c>
      <c r="H103" s="236"/>
      <c r="I103" s="236"/>
      <c r="J103" s="236"/>
      <c r="K103" s="242"/>
      <c r="M103" s="270"/>
      <c r="N103" s="245"/>
      <c r="O103" s="19" t="s">
        <v>741</v>
      </c>
      <c r="P103" s="105"/>
      <c r="Q103" s="105"/>
      <c r="R103" s="18"/>
      <c r="S103" s="236"/>
      <c r="T103" s="236"/>
      <c r="U103" s="236"/>
      <c r="V103" s="242"/>
    </row>
    <row r="104" spans="2:22" ht="13">
      <c r="B104" s="270"/>
      <c r="C104" s="245"/>
      <c r="D104" s="19" t="s">
        <v>742</v>
      </c>
      <c r="E104" s="19"/>
      <c r="F104" s="19"/>
      <c r="G104" s="17">
        <v>65</v>
      </c>
      <c r="H104" s="236"/>
      <c r="I104" s="236"/>
      <c r="J104" s="236"/>
      <c r="K104" s="242"/>
      <c r="M104" s="270"/>
      <c r="N104" s="245"/>
      <c r="O104" s="19" t="s">
        <v>742</v>
      </c>
      <c r="P104" s="19"/>
      <c r="Q104" s="19"/>
      <c r="R104" s="17">
        <v>65</v>
      </c>
      <c r="S104" s="236"/>
      <c r="T104" s="236"/>
      <c r="U104" s="236"/>
      <c r="V104" s="242"/>
    </row>
    <row r="105" spans="2:22" ht="13">
      <c r="B105" s="270"/>
      <c r="C105" s="245"/>
      <c r="D105" s="19" t="s">
        <v>70</v>
      </c>
      <c r="E105" s="19"/>
      <c r="F105" s="19"/>
      <c r="G105" s="17">
        <v>65</v>
      </c>
      <c r="H105" s="236"/>
      <c r="I105" s="236"/>
      <c r="J105" s="236"/>
      <c r="K105" s="242"/>
      <c r="M105" s="270"/>
      <c r="N105" s="245"/>
      <c r="O105" s="19" t="s">
        <v>70</v>
      </c>
      <c r="P105" s="19"/>
      <c r="Q105" s="19"/>
      <c r="R105" s="17">
        <v>65</v>
      </c>
      <c r="S105" s="236"/>
      <c r="T105" s="236"/>
      <c r="U105" s="236"/>
      <c r="V105" s="242"/>
    </row>
    <row r="106" spans="2:22" ht="13">
      <c r="B106" s="270"/>
      <c r="C106" s="245"/>
      <c r="D106" s="19" t="s">
        <v>743</v>
      </c>
      <c r="E106" s="19"/>
      <c r="F106" s="19"/>
      <c r="G106" s="17">
        <v>65</v>
      </c>
      <c r="H106" s="236"/>
      <c r="I106" s="236"/>
      <c r="J106" s="236"/>
      <c r="K106" s="242"/>
      <c r="M106" s="270"/>
      <c r="N106" s="245"/>
      <c r="O106" s="19" t="s">
        <v>743</v>
      </c>
      <c r="P106" s="19"/>
      <c r="Q106" s="19"/>
      <c r="R106" s="17">
        <v>65</v>
      </c>
      <c r="S106" s="236"/>
      <c r="T106" s="236"/>
      <c r="U106" s="236"/>
      <c r="V106" s="242"/>
    </row>
    <row r="107" spans="2:22" ht="13">
      <c r="B107" s="270"/>
      <c r="C107" s="245"/>
      <c r="D107" s="19" t="s">
        <v>744</v>
      </c>
      <c r="E107" s="19"/>
      <c r="F107" s="19"/>
      <c r="G107" s="17">
        <v>65</v>
      </c>
      <c r="H107" s="236"/>
      <c r="I107" s="236"/>
      <c r="J107" s="236"/>
      <c r="K107" s="242"/>
      <c r="M107" s="270"/>
      <c r="N107" s="245"/>
      <c r="O107" s="19" t="s">
        <v>744</v>
      </c>
      <c r="P107" s="19"/>
      <c r="Q107" s="19"/>
      <c r="R107" s="17">
        <v>65</v>
      </c>
      <c r="S107" s="236"/>
      <c r="T107" s="236"/>
      <c r="U107" s="236"/>
      <c r="V107" s="242"/>
    </row>
    <row r="108" spans="2:22" ht="13">
      <c r="B108" s="270"/>
      <c r="C108" s="245"/>
      <c r="D108" s="19" t="s">
        <v>139</v>
      </c>
      <c r="E108" s="19"/>
      <c r="F108" s="19"/>
      <c r="G108" s="17">
        <v>65</v>
      </c>
      <c r="H108" s="236"/>
      <c r="I108" s="236"/>
      <c r="J108" s="236"/>
      <c r="K108" s="242"/>
      <c r="M108" s="270"/>
      <c r="N108" s="245"/>
      <c r="O108" s="19" t="s">
        <v>139</v>
      </c>
      <c r="P108" s="19"/>
      <c r="Q108" s="19"/>
      <c r="R108" s="17">
        <v>65</v>
      </c>
      <c r="S108" s="236"/>
      <c r="T108" s="236"/>
      <c r="U108" s="236"/>
      <c r="V108" s="242"/>
    </row>
    <row r="109" spans="2:22" ht="13">
      <c r="B109" s="270"/>
      <c r="C109" s="245"/>
      <c r="D109" s="19" t="s">
        <v>114</v>
      </c>
      <c r="E109" s="19">
        <v>3.5</v>
      </c>
      <c r="F109" s="19">
        <v>18</v>
      </c>
      <c r="G109" s="17">
        <f t="shared" ref="G109:G110" si="12">E109*F109</f>
        <v>63</v>
      </c>
      <c r="H109" s="236"/>
      <c r="I109" s="236"/>
      <c r="J109" s="236"/>
      <c r="K109" s="242"/>
      <c r="M109" s="270"/>
      <c r="N109" s="245"/>
      <c r="O109" s="19" t="s">
        <v>114</v>
      </c>
      <c r="P109" s="105"/>
      <c r="Q109" s="105"/>
      <c r="R109" s="18"/>
      <c r="S109" s="236"/>
      <c r="T109" s="236"/>
      <c r="U109" s="236"/>
      <c r="V109" s="242"/>
    </row>
    <row r="110" spans="2:22" ht="13">
      <c r="B110" s="270"/>
      <c r="C110" s="245"/>
      <c r="D110" s="19" t="s">
        <v>87</v>
      </c>
      <c r="E110" s="19">
        <v>3.5</v>
      </c>
      <c r="F110" s="19">
        <v>20</v>
      </c>
      <c r="G110" s="17">
        <f t="shared" si="12"/>
        <v>70</v>
      </c>
      <c r="H110" s="236"/>
      <c r="I110" s="236"/>
      <c r="J110" s="236"/>
      <c r="K110" s="242"/>
      <c r="M110" s="270"/>
      <c r="N110" s="245"/>
      <c r="O110" s="19" t="s">
        <v>87</v>
      </c>
      <c r="P110" s="105"/>
      <c r="Q110" s="105"/>
      <c r="R110" s="18"/>
      <c r="S110" s="236"/>
      <c r="T110" s="236"/>
      <c r="U110" s="236"/>
      <c r="V110" s="242"/>
    </row>
    <row r="111" spans="2:22" ht="13">
      <c r="B111" s="270"/>
      <c r="C111" s="245"/>
      <c r="D111" s="19" t="s">
        <v>745</v>
      </c>
      <c r="E111" s="19"/>
      <c r="F111" s="19"/>
      <c r="G111" s="17">
        <v>59</v>
      </c>
      <c r="H111" s="236"/>
      <c r="I111" s="236"/>
      <c r="J111" s="236"/>
      <c r="K111" s="242"/>
      <c r="M111" s="270"/>
      <c r="N111" s="245"/>
      <c r="O111" s="19" t="s">
        <v>745</v>
      </c>
      <c r="P111" s="19"/>
      <c r="Q111" s="19"/>
      <c r="R111" s="17">
        <v>59</v>
      </c>
      <c r="S111" s="236"/>
      <c r="T111" s="236"/>
      <c r="U111" s="236"/>
      <c r="V111" s="242"/>
    </row>
    <row r="112" spans="2:22" ht="13">
      <c r="B112" s="270"/>
      <c r="C112" s="245"/>
      <c r="D112" s="19" t="s">
        <v>746</v>
      </c>
      <c r="E112" s="19"/>
      <c r="F112" s="19"/>
      <c r="G112" s="17">
        <v>763.76</v>
      </c>
      <c r="H112" s="236"/>
      <c r="I112" s="236"/>
      <c r="J112" s="236"/>
      <c r="K112" s="242"/>
      <c r="M112" s="270"/>
      <c r="N112" s="245"/>
      <c r="O112" s="19" t="s">
        <v>746</v>
      </c>
      <c r="P112" s="19"/>
      <c r="Q112" s="19"/>
      <c r="R112" s="17">
        <v>763.76</v>
      </c>
      <c r="S112" s="236"/>
      <c r="T112" s="236"/>
      <c r="U112" s="236"/>
      <c r="V112" s="242"/>
    </row>
    <row r="113" spans="2:22" ht="13">
      <c r="B113" s="270"/>
      <c r="C113" s="245"/>
      <c r="D113" s="19" t="s">
        <v>747</v>
      </c>
      <c r="E113" s="19"/>
      <c r="F113" s="19"/>
      <c r="G113" s="17">
        <v>78</v>
      </c>
      <c r="H113" s="236"/>
      <c r="I113" s="236"/>
      <c r="J113" s="236"/>
      <c r="K113" s="242"/>
      <c r="M113" s="270"/>
      <c r="N113" s="245"/>
      <c r="O113" s="19" t="s">
        <v>747</v>
      </c>
      <c r="P113" s="19"/>
      <c r="Q113" s="19"/>
      <c r="R113" s="17">
        <v>78</v>
      </c>
      <c r="S113" s="236"/>
      <c r="T113" s="236"/>
      <c r="U113" s="236"/>
      <c r="V113" s="242"/>
    </row>
    <row r="114" spans="2:22" ht="13">
      <c r="B114" s="270"/>
      <c r="C114" s="245"/>
      <c r="D114" s="19" t="s">
        <v>748</v>
      </c>
      <c r="E114" s="19"/>
      <c r="F114" s="19"/>
      <c r="G114" s="17">
        <v>360</v>
      </c>
      <c r="H114" s="236"/>
      <c r="I114" s="236"/>
      <c r="J114" s="236"/>
      <c r="K114" s="242"/>
      <c r="M114" s="270"/>
      <c r="N114" s="245"/>
      <c r="O114" s="19" t="s">
        <v>748</v>
      </c>
      <c r="P114" s="19"/>
      <c r="Q114" s="19"/>
      <c r="R114" s="17">
        <v>360</v>
      </c>
      <c r="S114" s="236"/>
      <c r="T114" s="236"/>
      <c r="U114" s="236"/>
      <c r="V114" s="242"/>
    </row>
    <row r="115" spans="2:22" ht="13">
      <c r="B115" s="270"/>
      <c r="C115" s="245"/>
      <c r="D115" s="19" t="s">
        <v>749</v>
      </c>
      <c r="E115" s="19"/>
      <c r="F115" s="19"/>
      <c r="G115" s="17">
        <v>136.53</v>
      </c>
      <c r="H115" s="236"/>
      <c r="I115" s="236"/>
      <c r="J115" s="236"/>
      <c r="K115" s="242"/>
      <c r="M115" s="270"/>
      <c r="N115" s="245"/>
      <c r="O115" s="19" t="s">
        <v>749</v>
      </c>
      <c r="P115" s="19"/>
      <c r="Q115" s="19"/>
      <c r="R115" s="17">
        <v>136.53</v>
      </c>
      <c r="S115" s="236"/>
      <c r="T115" s="236"/>
      <c r="U115" s="236"/>
      <c r="V115" s="242"/>
    </row>
    <row r="116" spans="2:22" ht="13">
      <c r="B116" s="270"/>
      <c r="C116" s="245"/>
      <c r="D116" s="19" t="s">
        <v>750</v>
      </c>
      <c r="E116" s="19"/>
      <c r="F116" s="19"/>
      <c r="G116" s="17">
        <v>197.78</v>
      </c>
      <c r="H116" s="236"/>
      <c r="I116" s="236"/>
      <c r="J116" s="236"/>
      <c r="K116" s="242"/>
      <c r="M116" s="270"/>
      <c r="N116" s="245"/>
      <c r="O116" s="19" t="s">
        <v>750</v>
      </c>
      <c r="P116" s="19"/>
      <c r="Q116" s="19"/>
      <c r="R116" s="17">
        <v>197.78</v>
      </c>
      <c r="S116" s="236"/>
      <c r="T116" s="236"/>
      <c r="U116" s="236"/>
      <c r="V116" s="242"/>
    </row>
    <row r="117" spans="2:22" ht="13">
      <c r="B117" s="270"/>
      <c r="C117" s="245"/>
      <c r="D117" s="19" t="s">
        <v>751</v>
      </c>
      <c r="E117" s="19"/>
      <c r="F117" s="19"/>
      <c r="G117" s="17">
        <v>261.49</v>
      </c>
      <c r="H117" s="236"/>
      <c r="I117" s="236"/>
      <c r="J117" s="236"/>
      <c r="K117" s="242"/>
      <c r="M117" s="270"/>
      <c r="N117" s="245"/>
      <c r="O117" s="19" t="s">
        <v>751</v>
      </c>
      <c r="P117" s="19"/>
      <c r="Q117" s="19"/>
      <c r="R117" s="17">
        <v>261.49</v>
      </c>
      <c r="S117" s="236"/>
      <c r="T117" s="236"/>
      <c r="U117" s="236"/>
      <c r="V117" s="242"/>
    </row>
    <row r="118" spans="2:22" ht="13">
      <c r="B118" s="270"/>
      <c r="C118" s="246"/>
      <c r="D118" s="20" t="s">
        <v>752</v>
      </c>
      <c r="E118" s="20"/>
      <c r="F118" s="20"/>
      <c r="G118" s="21">
        <v>33</v>
      </c>
      <c r="H118" s="238"/>
      <c r="I118" s="238"/>
      <c r="J118" s="238"/>
      <c r="K118" s="243"/>
      <c r="M118" s="270"/>
      <c r="N118" s="246"/>
      <c r="O118" s="20" t="s">
        <v>752</v>
      </c>
      <c r="P118" s="20"/>
      <c r="Q118" s="20"/>
      <c r="R118" s="21">
        <v>33</v>
      </c>
      <c r="S118" s="238"/>
      <c r="T118" s="238"/>
      <c r="U118" s="238"/>
      <c r="V118" s="243"/>
    </row>
    <row r="119" spans="2:22" ht="13">
      <c r="B119" s="270"/>
      <c r="C119" s="289" t="s">
        <v>753</v>
      </c>
      <c r="D119" s="77" t="s">
        <v>114</v>
      </c>
      <c r="E119" s="71">
        <v>10.5</v>
      </c>
      <c r="F119" s="71">
        <v>18</v>
      </c>
      <c r="G119" s="71">
        <f t="shared" ref="G119:G122" si="13">E119*F119</f>
        <v>189</v>
      </c>
      <c r="H119" s="240">
        <f>SUM(G119:G121)</f>
        <v>772.5</v>
      </c>
      <c r="I119" s="240">
        <v>2150</v>
      </c>
      <c r="J119" s="240">
        <f>I119-H119</f>
        <v>1377.5</v>
      </c>
      <c r="K119" s="241">
        <f>J119/I119</f>
        <v>0.6406976744186047</v>
      </c>
      <c r="M119" s="270"/>
      <c r="N119" s="289" t="s">
        <v>753</v>
      </c>
      <c r="O119" s="77" t="s">
        <v>114</v>
      </c>
      <c r="P119" s="104"/>
      <c r="Q119" s="104"/>
      <c r="R119" s="104"/>
      <c r="S119" s="240">
        <f>SUM(R119:R121)</f>
        <v>142.5</v>
      </c>
      <c r="T119" s="240">
        <v>2150</v>
      </c>
      <c r="U119" s="240">
        <f>T119-S119</f>
        <v>2007.5</v>
      </c>
      <c r="V119" s="241">
        <f>U119/T119</f>
        <v>0.93372093023255809</v>
      </c>
    </row>
    <row r="120" spans="2:22" ht="13">
      <c r="B120" s="270"/>
      <c r="C120" s="245"/>
      <c r="D120" s="19" t="s">
        <v>701</v>
      </c>
      <c r="E120" s="19">
        <v>24.5</v>
      </c>
      <c r="F120" s="19">
        <v>18</v>
      </c>
      <c r="G120" s="17">
        <f t="shared" si="13"/>
        <v>441</v>
      </c>
      <c r="H120" s="236"/>
      <c r="I120" s="236"/>
      <c r="J120" s="236"/>
      <c r="K120" s="242"/>
      <c r="M120" s="270"/>
      <c r="N120" s="245"/>
      <c r="O120" s="19" t="s">
        <v>701</v>
      </c>
      <c r="P120" s="105"/>
      <c r="Q120" s="105"/>
      <c r="R120" s="18"/>
      <c r="S120" s="236"/>
      <c r="T120" s="236"/>
      <c r="U120" s="236"/>
      <c r="V120" s="242"/>
    </row>
    <row r="121" spans="2:22" ht="13">
      <c r="B121" s="270"/>
      <c r="C121" s="246"/>
      <c r="D121" s="20" t="s">
        <v>754</v>
      </c>
      <c r="E121" s="20">
        <v>9.5</v>
      </c>
      <c r="F121" s="20">
        <v>15</v>
      </c>
      <c r="G121" s="21">
        <f t="shared" si="13"/>
        <v>142.5</v>
      </c>
      <c r="H121" s="238"/>
      <c r="I121" s="238"/>
      <c r="J121" s="238"/>
      <c r="K121" s="243"/>
      <c r="M121" s="270"/>
      <c r="N121" s="246"/>
      <c r="O121" s="20" t="s">
        <v>754</v>
      </c>
      <c r="P121" s="20">
        <v>9.5</v>
      </c>
      <c r="Q121" s="20">
        <v>15</v>
      </c>
      <c r="R121" s="21">
        <f t="shared" ref="R121:R122" si="14">P121*Q121</f>
        <v>142.5</v>
      </c>
      <c r="S121" s="238"/>
      <c r="T121" s="238"/>
      <c r="U121" s="238"/>
      <c r="V121" s="243"/>
    </row>
    <row r="122" spans="2:22" ht="13">
      <c r="B122" s="270"/>
      <c r="C122" s="289" t="s">
        <v>755</v>
      </c>
      <c r="D122" s="77" t="s">
        <v>53</v>
      </c>
      <c r="E122" s="71">
        <v>2</v>
      </c>
      <c r="F122" s="71">
        <v>13</v>
      </c>
      <c r="G122" s="71">
        <f t="shared" si="13"/>
        <v>26</v>
      </c>
      <c r="H122" s="240">
        <f>SUM(G122:G124)</f>
        <v>167.25</v>
      </c>
      <c r="I122" s="240">
        <v>1587.6</v>
      </c>
      <c r="J122" s="240">
        <f>I122-H122</f>
        <v>1420.35</v>
      </c>
      <c r="K122" s="241">
        <f>J122/I122</f>
        <v>0.89465230536659113</v>
      </c>
      <c r="M122" s="270"/>
      <c r="N122" s="289" t="s">
        <v>755</v>
      </c>
      <c r="O122" s="77" t="s">
        <v>53</v>
      </c>
      <c r="P122" s="71">
        <v>2</v>
      </c>
      <c r="Q122" s="71">
        <v>13</v>
      </c>
      <c r="R122" s="71">
        <f t="shared" si="14"/>
        <v>26</v>
      </c>
      <c r="S122" s="240">
        <f>SUM(R122:R124)</f>
        <v>167.25</v>
      </c>
      <c r="T122" s="240">
        <v>1587.6</v>
      </c>
      <c r="U122" s="240">
        <f>T122-S122</f>
        <v>1420.35</v>
      </c>
      <c r="V122" s="241">
        <f>U122/T122</f>
        <v>0.89465230536659113</v>
      </c>
    </row>
    <row r="123" spans="2:22" ht="13">
      <c r="B123" s="270"/>
      <c r="C123" s="245"/>
      <c r="D123" s="19" t="s">
        <v>756</v>
      </c>
      <c r="E123" s="19"/>
      <c r="F123" s="19"/>
      <c r="G123" s="17">
        <v>15.6</v>
      </c>
      <c r="H123" s="236"/>
      <c r="I123" s="236"/>
      <c r="J123" s="236"/>
      <c r="K123" s="242"/>
      <c r="M123" s="270"/>
      <c r="N123" s="245"/>
      <c r="O123" s="19" t="s">
        <v>756</v>
      </c>
      <c r="P123" s="19"/>
      <c r="Q123" s="19"/>
      <c r="R123" s="17">
        <v>15.6</v>
      </c>
      <c r="S123" s="236"/>
      <c r="T123" s="236"/>
      <c r="U123" s="236"/>
      <c r="V123" s="242"/>
    </row>
    <row r="124" spans="2:22" ht="13">
      <c r="B124" s="270"/>
      <c r="C124" s="246"/>
      <c r="D124" s="20" t="s">
        <v>33</v>
      </c>
      <c r="E124" s="20"/>
      <c r="F124" s="20"/>
      <c r="G124" s="21">
        <v>125.65</v>
      </c>
      <c r="H124" s="238"/>
      <c r="I124" s="238"/>
      <c r="J124" s="238"/>
      <c r="K124" s="243"/>
      <c r="M124" s="270"/>
      <c r="N124" s="246"/>
      <c r="O124" s="20" t="s">
        <v>33</v>
      </c>
      <c r="P124" s="20"/>
      <c r="Q124" s="20"/>
      <c r="R124" s="21">
        <v>125.65</v>
      </c>
      <c r="S124" s="238"/>
      <c r="T124" s="238"/>
      <c r="U124" s="238"/>
      <c r="V124" s="243"/>
    </row>
    <row r="125" spans="2:22" ht="13">
      <c r="B125" s="270"/>
      <c r="C125" s="289" t="s">
        <v>757</v>
      </c>
      <c r="D125" s="77" t="s">
        <v>740</v>
      </c>
      <c r="E125" s="71"/>
      <c r="F125" s="71"/>
      <c r="G125" s="71">
        <v>300</v>
      </c>
      <c r="H125" s="240">
        <f>SUM(G125:G127)</f>
        <v>474.90999999999997</v>
      </c>
      <c r="I125" s="237">
        <v>3694.2</v>
      </c>
      <c r="J125" s="237">
        <f>I125-H125</f>
        <v>3219.29</v>
      </c>
      <c r="K125" s="241">
        <f>J125/I125</f>
        <v>0.87144442639813768</v>
      </c>
      <c r="M125" s="270"/>
      <c r="N125" s="289" t="s">
        <v>757</v>
      </c>
      <c r="O125" s="77" t="s">
        <v>740</v>
      </c>
      <c r="P125" s="71"/>
      <c r="Q125" s="71"/>
      <c r="R125" s="71">
        <v>300</v>
      </c>
      <c r="S125" s="240">
        <f>SUM(R125:R127)</f>
        <v>474.90999999999997</v>
      </c>
      <c r="T125" s="237">
        <v>3694.2</v>
      </c>
      <c r="U125" s="237">
        <f>T125-S125</f>
        <v>3219.29</v>
      </c>
      <c r="V125" s="241">
        <f>U125/T125</f>
        <v>0.87144442639813768</v>
      </c>
    </row>
    <row r="126" spans="2:22" ht="13">
      <c r="B126" s="270"/>
      <c r="C126" s="245"/>
      <c r="D126" s="19" t="s">
        <v>758</v>
      </c>
      <c r="E126" s="19"/>
      <c r="F126" s="19"/>
      <c r="G126" s="17">
        <v>71.91</v>
      </c>
      <c r="H126" s="236"/>
      <c r="I126" s="236"/>
      <c r="J126" s="236"/>
      <c r="K126" s="242"/>
      <c r="M126" s="270"/>
      <c r="N126" s="245"/>
      <c r="O126" s="19" t="s">
        <v>758</v>
      </c>
      <c r="P126" s="19"/>
      <c r="Q126" s="19"/>
      <c r="R126" s="17">
        <v>71.91</v>
      </c>
      <c r="S126" s="236"/>
      <c r="T126" s="236"/>
      <c r="U126" s="236"/>
      <c r="V126" s="242"/>
    </row>
    <row r="127" spans="2:22" ht="13">
      <c r="B127" s="270"/>
      <c r="C127" s="246"/>
      <c r="D127" s="20" t="s">
        <v>759</v>
      </c>
      <c r="E127" s="20"/>
      <c r="F127" s="20"/>
      <c r="G127" s="21">
        <v>103</v>
      </c>
      <c r="H127" s="238"/>
      <c r="I127" s="238"/>
      <c r="J127" s="238"/>
      <c r="K127" s="243"/>
      <c r="M127" s="270"/>
      <c r="N127" s="246"/>
      <c r="O127" s="20" t="s">
        <v>759</v>
      </c>
      <c r="P127" s="20"/>
      <c r="Q127" s="20"/>
      <c r="R127" s="21">
        <v>103</v>
      </c>
      <c r="S127" s="238"/>
      <c r="T127" s="238"/>
      <c r="U127" s="238"/>
      <c r="V127" s="243"/>
    </row>
    <row r="128" spans="2:22" ht="13">
      <c r="B128" s="270"/>
      <c r="C128" s="289" t="s">
        <v>760</v>
      </c>
      <c r="D128" s="77" t="s">
        <v>114</v>
      </c>
      <c r="E128" s="71">
        <v>21</v>
      </c>
      <c r="F128" s="71">
        <v>18</v>
      </c>
      <c r="G128" s="71">
        <f>E128*F128</f>
        <v>378</v>
      </c>
      <c r="H128" s="240">
        <f>SUM(G128:G129)</f>
        <v>378</v>
      </c>
      <c r="I128" s="240">
        <v>2000</v>
      </c>
      <c r="J128" s="240">
        <f>I128-H128</f>
        <v>1622</v>
      </c>
      <c r="K128" s="241">
        <f>J128/I128</f>
        <v>0.81100000000000005</v>
      </c>
      <c r="M128" s="270"/>
      <c r="N128" s="289" t="s">
        <v>760</v>
      </c>
      <c r="O128" s="77" t="s">
        <v>114</v>
      </c>
      <c r="P128" s="104"/>
      <c r="Q128" s="104"/>
      <c r="R128" s="104"/>
      <c r="S128" s="240">
        <f>SUM(R128:R129)</f>
        <v>0</v>
      </c>
      <c r="T128" s="240">
        <v>2000</v>
      </c>
      <c r="U128" s="240">
        <f>T128-S128</f>
        <v>2000</v>
      </c>
      <c r="V128" s="241">
        <f>U128/T128</f>
        <v>1</v>
      </c>
    </row>
    <row r="129" spans="2:22" ht="13">
      <c r="B129" s="270"/>
      <c r="C129" s="246"/>
      <c r="D129" s="20"/>
      <c r="E129" s="20"/>
      <c r="F129" s="20"/>
      <c r="G129" s="21"/>
      <c r="H129" s="238"/>
      <c r="I129" s="238"/>
      <c r="J129" s="238"/>
      <c r="K129" s="243"/>
      <c r="M129" s="270"/>
      <c r="N129" s="246"/>
      <c r="O129" s="20"/>
      <c r="P129" s="20"/>
      <c r="Q129" s="20"/>
      <c r="R129" s="21"/>
      <c r="S129" s="238"/>
      <c r="T129" s="238"/>
      <c r="U129" s="238"/>
      <c r="V129" s="243"/>
    </row>
    <row r="130" spans="2:22" ht="13">
      <c r="B130" s="270"/>
      <c r="C130" s="289" t="s">
        <v>761</v>
      </c>
      <c r="D130" s="77" t="s">
        <v>701</v>
      </c>
      <c r="E130" s="71">
        <v>10.5</v>
      </c>
      <c r="F130" s="71">
        <v>18</v>
      </c>
      <c r="G130" s="71">
        <f>E130*F130</f>
        <v>189</v>
      </c>
      <c r="H130" s="240">
        <f>SUM(G130:G135)</f>
        <v>609.29999999999995</v>
      </c>
      <c r="I130" s="240">
        <v>4009.6</v>
      </c>
      <c r="J130" s="240">
        <f>I130-H130</f>
        <v>3400.3</v>
      </c>
      <c r="K130" s="241">
        <f>J130/I130</f>
        <v>0.84803970470869916</v>
      </c>
      <c r="M130" s="270"/>
      <c r="N130" s="289" t="s">
        <v>761</v>
      </c>
      <c r="O130" s="77" t="s">
        <v>701</v>
      </c>
      <c r="P130" s="104"/>
      <c r="Q130" s="104"/>
      <c r="R130" s="104"/>
      <c r="S130" s="240">
        <f>SUM(R130:R135)</f>
        <v>420.29999999999995</v>
      </c>
      <c r="T130" s="240">
        <v>4009.6</v>
      </c>
      <c r="U130" s="240">
        <f>T130-S130</f>
        <v>3589.3</v>
      </c>
      <c r="V130" s="241">
        <f>U130/T130</f>
        <v>0.89517657621707902</v>
      </c>
    </row>
    <row r="131" spans="2:22" ht="13">
      <c r="B131" s="270"/>
      <c r="C131" s="245"/>
      <c r="D131" s="106" t="s">
        <v>695</v>
      </c>
      <c r="E131" s="19"/>
      <c r="F131" s="19"/>
      <c r="G131" s="17">
        <v>64.44</v>
      </c>
      <c r="H131" s="236"/>
      <c r="I131" s="236"/>
      <c r="J131" s="236"/>
      <c r="K131" s="242"/>
      <c r="M131" s="270"/>
      <c r="N131" s="245"/>
      <c r="O131" s="106" t="s">
        <v>695</v>
      </c>
      <c r="P131" s="19"/>
      <c r="Q131" s="19"/>
      <c r="R131" s="17">
        <v>64.44</v>
      </c>
      <c r="S131" s="236"/>
      <c r="T131" s="236"/>
      <c r="U131" s="236"/>
      <c r="V131" s="242"/>
    </row>
    <row r="132" spans="2:22" ht="13">
      <c r="B132" s="270"/>
      <c r="C132" s="245"/>
      <c r="D132" s="19" t="s">
        <v>721</v>
      </c>
      <c r="E132" s="19"/>
      <c r="F132" s="19"/>
      <c r="G132" s="17">
        <v>113</v>
      </c>
      <c r="H132" s="236"/>
      <c r="I132" s="236"/>
      <c r="J132" s="236"/>
      <c r="K132" s="242"/>
      <c r="M132" s="270"/>
      <c r="N132" s="245"/>
      <c r="O132" s="19" t="s">
        <v>721</v>
      </c>
      <c r="P132" s="19"/>
      <c r="Q132" s="19"/>
      <c r="R132" s="17">
        <v>113</v>
      </c>
      <c r="S132" s="236"/>
      <c r="T132" s="236"/>
      <c r="U132" s="236"/>
      <c r="V132" s="242"/>
    </row>
    <row r="133" spans="2:22" ht="13">
      <c r="B133" s="270"/>
      <c r="C133" s="245"/>
      <c r="D133" s="19" t="s">
        <v>47</v>
      </c>
      <c r="E133" s="19"/>
      <c r="F133" s="19"/>
      <c r="G133" s="17">
        <v>104.34</v>
      </c>
      <c r="H133" s="236"/>
      <c r="I133" s="236"/>
      <c r="J133" s="236"/>
      <c r="K133" s="242"/>
      <c r="M133" s="270"/>
      <c r="N133" s="245"/>
      <c r="O133" s="19" t="s">
        <v>47</v>
      </c>
      <c r="P133" s="19"/>
      <c r="Q133" s="19"/>
      <c r="R133" s="17">
        <v>104.34</v>
      </c>
      <c r="S133" s="236"/>
      <c r="T133" s="236"/>
      <c r="U133" s="236"/>
      <c r="V133" s="242"/>
    </row>
    <row r="134" spans="2:22" ht="13">
      <c r="B134" s="270"/>
      <c r="C134" s="245"/>
      <c r="D134" s="19" t="s">
        <v>731</v>
      </c>
      <c r="E134" s="19"/>
      <c r="F134" s="19"/>
      <c r="G134" s="17">
        <v>101.27</v>
      </c>
      <c r="H134" s="236"/>
      <c r="I134" s="236"/>
      <c r="J134" s="236"/>
      <c r="K134" s="242"/>
      <c r="M134" s="270"/>
      <c r="N134" s="245"/>
      <c r="O134" s="19" t="s">
        <v>731</v>
      </c>
      <c r="P134" s="19"/>
      <c r="Q134" s="19"/>
      <c r="R134" s="17">
        <v>101.27</v>
      </c>
      <c r="S134" s="236"/>
      <c r="T134" s="236"/>
      <c r="U134" s="236"/>
      <c r="V134" s="242"/>
    </row>
    <row r="135" spans="2:22" ht="13">
      <c r="B135" s="270"/>
      <c r="C135" s="246"/>
      <c r="D135" s="20" t="s">
        <v>719</v>
      </c>
      <c r="E135" s="20"/>
      <c r="F135" s="20"/>
      <c r="G135" s="21">
        <v>37.25</v>
      </c>
      <c r="H135" s="238"/>
      <c r="I135" s="238"/>
      <c r="J135" s="238"/>
      <c r="K135" s="243"/>
      <c r="M135" s="270"/>
      <c r="N135" s="246"/>
      <c r="O135" s="20" t="s">
        <v>719</v>
      </c>
      <c r="P135" s="20"/>
      <c r="Q135" s="20"/>
      <c r="R135" s="21">
        <v>37.25</v>
      </c>
      <c r="S135" s="238"/>
      <c r="T135" s="238"/>
      <c r="U135" s="238"/>
      <c r="V135" s="243"/>
    </row>
    <row r="136" spans="2:22" ht="13">
      <c r="B136" s="270"/>
      <c r="C136" s="289" t="s">
        <v>762</v>
      </c>
      <c r="D136" s="77" t="s">
        <v>701</v>
      </c>
      <c r="E136" s="71">
        <v>10.5</v>
      </c>
      <c r="F136" s="71">
        <v>18</v>
      </c>
      <c r="G136" s="71">
        <f>E136*F136</f>
        <v>189</v>
      </c>
      <c r="H136" s="240">
        <f>SUM(G136:G139)</f>
        <v>451.24</v>
      </c>
      <c r="I136" s="240">
        <v>3920.8</v>
      </c>
      <c r="J136" s="240">
        <f>I136-H136</f>
        <v>3469.5600000000004</v>
      </c>
      <c r="K136" s="241">
        <f>J136/I136</f>
        <v>0.88491124260355036</v>
      </c>
      <c r="M136" s="270"/>
      <c r="N136" s="289" t="s">
        <v>762</v>
      </c>
      <c r="O136" s="77" t="s">
        <v>701</v>
      </c>
      <c r="P136" s="104"/>
      <c r="Q136" s="104"/>
      <c r="R136" s="104"/>
      <c r="S136" s="240">
        <f>SUM(R136:R139)</f>
        <v>262.24</v>
      </c>
      <c r="T136" s="240">
        <v>3920.8</v>
      </c>
      <c r="U136" s="240">
        <f>T136-S136</f>
        <v>3658.5600000000004</v>
      </c>
      <c r="V136" s="241">
        <f>U136/T136</f>
        <v>0.93311569067537248</v>
      </c>
    </row>
    <row r="137" spans="2:22" ht="13">
      <c r="B137" s="270"/>
      <c r="C137" s="245"/>
      <c r="D137" s="19" t="s">
        <v>721</v>
      </c>
      <c r="E137" s="19"/>
      <c r="F137" s="19"/>
      <c r="G137" s="17">
        <v>77.64</v>
      </c>
      <c r="H137" s="236"/>
      <c r="I137" s="236"/>
      <c r="J137" s="236"/>
      <c r="K137" s="242"/>
      <c r="M137" s="270"/>
      <c r="N137" s="245"/>
      <c r="O137" s="19" t="s">
        <v>721</v>
      </c>
      <c r="P137" s="19"/>
      <c r="Q137" s="19"/>
      <c r="R137" s="17">
        <v>77.64</v>
      </c>
      <c r="S137" s="236"/>
      <c r="T137" s="236"/>
      <c r="U137" s="236"/>
      <c r="V137" s="242"/>
    </row>
    <row r="138" spans="2:22" ht="13">
      <c r="B138" s="270"/>
      <c r="C138" s="245"/>
      <c r="D138" s="19" t="s">
        <v>47</v>
      </c>
      <c r="E138" s="19"/>
      <c r="F138" s="19"/>
      <c r="G138" s="17">
        <v>147.35</v>
      </c>
      <c r="H138" s="236"/>
      <c r="I138" s="236"/>
      <c r="J138" s="236"/>
      <c r="K138" s="242"/>
      <c r="M138" s="270"/>
      <c r="N138" s="245"/>
      <c r="O138" s="19" t="s">
        <v>47</v>
      </c>
      <c r="P138" s="19"/>
      <c r="Q138" s="19"/>
      <c r="R138" s="17">
        <v>147.35</v>
      </c>
      <c r="S138" s="236"/>
      <c r="T138" s="236"/>
      <c r="U138" s="236"/>
      <c r="V138" s="242"/>
    </row>
    <row r="139" spans="2:22" ht="13">
      <c r="B139" s="270"/>
      <c r="C139" s="246"/>
      <c r="D139" s="20" t="s">
        <v>719</v>
      </c>
      <c r="E139" s="20"/>
      <c r="F139" s="20"/>
      <c r="G139" s="21">
        <v>37.25</v>
      </c>
      <c r="H139" s="238"/>
      <c r="I139" s="238"/>
      <c r="J139" s="238"/>
      <c r="K139" s="243"/>
      <c r="M139" s="270"/>
      <c r="N139" s="246"/>
      <c r="O139" s="20" t="s">
        <v>719</v>
      </c>
      <c r="P139" s="20"/>
      <c r="Q139" s="20"/>
      <c r="R139" s="21">
        <v>37.25</v>
      </c>
      <c r="S139" s="238"/>
      <c r="T139" s="238"/>
      <c r="U139" s="238"/>
      <c r="V139" s="243"/>
    </row>
    <row r="140" spans="2:22" ht="13">
      <c r="B140" s="270"/>
      <c r="C140" s="289" t="s">
        <v>763</v>
      </c>
      <c r="D140" s="77" t="s">
        <v>114</v>
      </c>
      <c r="E140" s="71">
        <v>10.5</v>
      </c>
      <c r="F140" s="71">
        <v>18</v>
      </c>
      <c r="G140" s="71">
        <f>E140*F140</f>
        <v>189</v>
      </c>
      <c r="H140" s="240">
        <f>SUM(G140:G144)</f>
        <v>625.73</v>
      </c>
      <c r="I140" s="240">
        <v>3842.14</v>
      </c>
      <c r="J140" s="240">
        <f>I140-H140</f>
        <v>3216.41</v>
      </c>
      <c r="K140" s="241">
        <f>J140/I140</f>
        <v>0.83714023955399852</v>
      </c>
      <c r="M140" s="270"/>
      <c r="N140" s="289" t="s">
        <v>763</v>
      </c>
      <c r="O140" s="77" t="s">
        <v>114</v>
      </c>
      <c r="P140" s="104"/>
      <c r="Q140" s="104"/>
      <c r="R140" s="104"/>
      <c r="S140" s="240">
        <f>SUM(R140:R144)</f>
        <v>436.73</v>
      </c>
      <c r="T140" s="240">
        <v>3842.14</v>
      </c>
      <c r="U140" s="240">
        <f>T140-S140</f>
        <v>3405.41</v>
      </c>
      <c r="V140" s="241">
        <f>U140/T140</f>
        <v>0.88633157563232989</v>
      </c>
    </row>
    <row r="141" spans="2:22" ht="13">
      <c r="B141" s="270"/>
      <c r="C141" s="245"/>
      <c r="D141" s="19" t="s">
        <v>764</v>
      </c>
      <c r="E141" s="19"/>
      <c r="F141" s="19"/>
      <c r="G141" s="17">
        <v>49.73</v>
      </c>
      <c r="H141" s="236"/>
      <c r="I141" s="236"/>
      <c r="J141" s="236"/>
      <c r="K141" s="242"/>
      <c r="M141" s="270"/>
      <c r="N141" s="245"/>
      <c r="O141" s="19" t="s">
        <v>764</v>
      </c>
      <c r="P141" s="19"/>
      <c r="Q141" s="19"/>
      <c r="R141" s="17">
        <v>49.73</v>
      </c>
      <c r="S141" s="236"/>
      <c r="T141" s="236"/>
      <c r="U141" s="236"/>
      <c r="V141" s="242"/>
    </row>
    <row r="142" spans="2:22" ht="13">
      <c r="B142" s="270"/>
      <c r="C142" s="245"/>
      <c r="D142" s="19" t="s">
        <v>765</v>
      </c>
      <c r="E142" s="19"/>
      <c r="F142" s="19"/>
      <c r="G142" s="17">
        <v>75</v>
      </c>
      <c r="H142" s="236"/>
      <c r="I142" s="236"/>
      <c r="J142" s="236"/>
      <c r="K142" s="242"/>
      <c r="M142" s="270"/>
      <c r="N142" s="245"/>
      <c r="O142" s="19" t="s">
        <v>765</v>
      </c>
      <c r="P142" s="19"/>
      <c r="Q142" s="19"/>
      <c r="R142" s="17">
        <v>75</v>
      </c>
      <c r="S142" s="236"/>
      <c r="T142" s="236"/>
      <c r="U142" s="236"/>
      <c r="V142" s="242"/>
    </row>
    <row r="143" spans="2:22" ht="13">
      <c r="B143" s="270"/>
      <c r="C143" s="245"/>
      <c r="D143" s="19" t="s">
        <v>47</v>
      </c>
      <c r="E143" s="19"/>
      <c r="F143" s="19"/>
      <c r="G143" s="17">
        <v>170</v>
      </c>
      <c r="H143" s="236"/>
      <c r="I143" s="236"/>
      <c r="J143" s="236"/>
      <c r="K143" s="242"/>
      <c r="M143" s="270"/>
      <c r="N143" s="245"/>
      <c r="O143" s="19" t="s">
        <v>47</v>
      </c>
      <c r="P143" s="19"/>
      <c r="Q143" s="19"/>
      <c r="R143" s="17">
        <v>170</v>
      </c>
      <c r="S143" s="236"/>
      <c r="T143" s="236"/>
      <c r="U143" s="236"/>
      <c r="V143" s="242"/>
    </row>
    <row r="144" spans="2:22" ht="13">
      <c r="B144" s="270"/>
      <c r="C144" s="246"/>
      <c r="D144" s="20" t="s">
        <v>691</v>
      </c>
      <c r="E144" s="20"/>
      <c r="F144" s="20"/>
      <c r="G144" s="21">
        <v>142</v>
      </c>
      <c r="H144" s="238"/>
      <c r="I144" s="238"/>
      <c r="J144" s="238"/>
      <c r="K144" s="243"/>
      <c r="M144" s="270"/>
      <c r="N144" s="246"/>
      <c r="O144" s="20" t="s">
        <v>691</v>
      </c>
      <c r="P144" s="20"/>
      <c r="Q144" s="20"/>
      <c r="R144" s="21">
        <v>142</v>
      </c>
      <c r="S144" s="238"/>
      <c r="T144" s="238"/>
      <c r="U144" s="238"/>
      <c r="V144" s="243"/>
    </row>
    <row r="145" spans="2:22" ht="13">
      <c r="B145" s="270"/>
      <c r="C145" s="289" t="s">
        <v>766</v>
      </c>
      <c r="D145" s="77" t="s">
        <v>114</v>
      </c>
      <c r="E145" s="71">
        <v>7</v>
      </c>
      <c r="F145" s="71">
        <v>18</v>
      </c>
      <c r="G145" s="71">
        <f t="shared" ref="G145:G148" si="15">E145*F145</f>
        <v>126</v>
      </c>
      <c r="H145" s="240">
        <f>SUM(G145:G148)</f>
        <v>472.5</v>
      </c>
      <c r="I145" s="240">
        <v>2000</v>
      </c>
      <c r="J145" s="240">
        <f>I145-H145</f>
        <v>1527.5</v>
      </c>
      <c r="K145" s="241">
        <f>J145/I145</f>
        <v>0.76375000000000004</v>
      </c>
      <c r="M145" s="270"/>
      <c r="N145" s="289" t="s">
        <v>766</v>
      </c>
      <c r="O145" s="77" t="s">
        <v>114</v>
      </c>
      <c r="P145" s="104"/>
      <c r="Q145" s="104"/>
      <c r="R145" s="104"/>
      <c r="S145" s="240">
        <f>SUM(R145:R148)</f>
        <v>283.5</v>
      </c>
      <c r="T145" s="240">
        <v>2000</v>
      </c>
      <c r="U145" s="240">
        <f>T145-S145</f>
        <v>1716.5</v>
      </c>
      <c r="V145" s="241">
        <f>U145/T145</f>
        <v>0.85824999999999996</v>
      </c>
    </row>
    <row r="146" spans="2:22" ht="13">
      <c r="B146" s="270"/>
      <c r="C146" s="245"/>
      <c r="D146" s="19" t="s">
        <v>701</v>
      </c>
      <c r="E146" s="19">
        <v>3.5</v>
      </c>
      <c r="F146" s="19">
        <v>18</v>
      </c>
      <c r="G146" s="17">
        <f t="shared" si="15"/>
        <v>63</v>
      </c>
      <c r="H146" s="236"/>
      <c r="I146" s="236"/>
      <c r="J146" s="236"/>
      <c r="K146" s="242"/>
      <c r="M146" s="270"/>
      <c r="N146" s="245"/>
      <c r="O146" s="19" t="s">
        <v>701</v>
      </c>
      <c r="P146" s="105"/>
      <c r="Q146" s="105"/>
      <c r="R146" s="18"/>
      <c r="S146" s="236"/>
      <c r="T146" s="236"/>
      <c r="U146" s="236"/>
      <c r="V146" s="242"/>
    </row>
    <row r="147" spans="2:22" ht="13">
      <c r="B147" s="270"/>
      <c r="C147" s="245"/>
      <c r="D147" s="19" t="s">
        <v>52</v>
      </c>
      <c r="E147" s="19">
        <v>4</v>
      </c>
      <c r="F147" s="19">
        <v>15</v>
      </c>
      <c r="G147" s="17">
        <f t="shared" si="15"/>
        <v>60</v>
      </c>
      <c r="H147" s="236"/>
      <c r="I147" s="236"/>
      <c r="J147" s="236"/>
      <c r="K147" s="242"/>
      <c r="M147" s="270"/>
      <c r="N147" s="245"/>
      <c r="O147" s="19" t="s">
        <v>52</v>
      </c>
      <c r="P147" s="19">
        <v>4</v>
      </c>
      <c r="Q147" s="19">
        <v>15</v>
      </c>
      <c r="R147" s="17">
        <f t="shared" ref="R147:R148" si="16">P147*Q147</f>
        <v>60</v>
      </c>
      <c r="S147" s="236"/>
      <c r="T147" s="236"/>
      <c r="U147" s="236"/>
      <c r="V147" s="242"/>
    </row>
    <row r="148" spans="2:22" ht="13">
      <c r="B148" s="270"/>
      <c r="C148" s="246"/>
      <c r="D148" s="20" t="s">
        <v>75</v>
      </c>
      <c r="E148" s="20">
        <v>14.9</v>
      </c>
      <c r="F148" s="20">
        <v>15</v>
      </c>
      <c r="G148" s="21">
        <f t="shared" si="15"/>
        <v>223.5</v>
      </c>
      <c r="H148" s="238"/>
      <c r="I148" s="238"/>
      <c r="J148" s="238"/>
      <c r="K148" s="243"/>
      <c r="M148" s="270"/>
      <c r="N148" s="246"/>
      <c r="O148" s="20" t="s">
        <v>75</v>
      </c>
      <c r="P148" s="20">
        <v>14.9</v>
      </c>
      <c r="Q148" s="20">
        <v>15</v>
      </c>
      <c r="R148" s="21">
        <f t="shared" si="16"/>
        <v>223.5</v>
      </c>
      <c r="S148" s="238"/>
      <c r="T148" s="238"/>
      <c r="U148" s="238"/>
      <c r="V148" s="243"/>
    </row>
    <row r="149" spans="2:22" ht="13">
      <c r="B149" s="270"/>
      <c r="C149" s="289" t="s">
        <v>767</v>
      </c>
      <c r="D149" s="77" t="s">
        <v>715</v>
      </c>
      <c r="E149" s="71"/>
      <c r="F149" s="71"/>
      <c r="G149" s="71">
        <v>250</v>
      </c>
      <c r="H149" s="240">
        <f>SUM(G149:G151)</f>
        <v>461.43</v>
      </c>
      <c r="I149" s="240">
        <v>1752.8</v>
      </c>
      <c r="J149" s="240">
        <f>I149-H149</f>
        <v>1291.3699999999999</v>
      </c>
      <c r="K149" s="241">
        <f>J149/I149</f>
        <v>0.73674691921497026</v>
      </c>
      <c r="M149" s="270"/>
      <c r="N149" s="289" t="s">
        <v>767</v>
      </c>
      <c r="O149" s="77" t="s">
        <v>715</v>
      </c>
      <c r="P149" s="71"/>
      <c r="Q149" s="71"/>
      <c r="R149" s="71">
        <v>250</v>
      </c>
      <c r="S149" s="240">
        <f>SUM(R149:R151)</f>
        <v>461.43</v>
      </c>
      <c r="T149" s="240">
        <v>1752.8</v>
      </c>
      <c r="U149" s="240">
        <f>T149-S149</f>
        <v>1291.3699999999999</v>
      </c>
      <c r="V149" s="241">
        <f>U149/T149</f>
        <v>0.73674691921497026</v>
      </c>
    </row>
    <row r="150" spans="2:22" ht="13">
      <c r="B150" s="270"/>
      <c r="C150" s="245"/>
      <c r="D150" s="19" t="s">
        <v>768</v>
      </c>
      <c r="E150" s="19"/>
      <c r="F150" s="19"/>
      <c r="G150" s="17">
        <v>100.6</v>
      </c>
      <c r="H150" s="236"/>
      <c r="I150" s="236"/>
      <c r="J150" s="236"/>
      <c r="K150" s="242"/>
      <c r="M150" s="270"/>
      <c r="N150" s="245"/>
      <c r="O150" s="19" t="s">
        <v>768</v>
      </c>
      <c r="P150" s="19"/>
      <c r="Q150" s="19"/>
      <c r="R150" s="17">
        <v>100.6</v>
      </c>
      <c r="S150" s="236"/>
      <c r="T150" s="236"/>
      <c r="U150" s="236"/>
      <c r="V150" s="242"/>
    </row>
    <row r="151" spans="2:22" ht="13">
      <c r="B151" s="270"/>
      <c r="C151" s="246"/>
      <c r="D151" s="20" t="s">
        <v>695</v>
      </c>
      <c r="E151" s="20"/>
      <c r="F151" s="20"/>
      <c r="G151" s="21">
        <v>110.83</v>
      </c>
      <c r="H151" s="238"/>
      <c r="I151" s="238"/>
      <c r="J151" s="238"/>
      <c r="K151" s="243"/>
      <c r="M151" s="270"/>
      <c r="N151" s="246"/>
      <c r="O151" s="20" t="s">
        <v>695</v>
      </c>
      <c r="P151" s="20"/>
      <c r="Q151" s="20"/>
      <c r="R151" s="21">
        <v>110.83</v>
      </c>
      <c r="S151" s="238"/>
      <c r="T151" s="238"/>
      <c r="U151" s="238"/>
      <c r="V151" s="243"/>
    </row>
    <row r="152" spans="2:22" ht="13">
      <c r="B152" s="270"/>
      <c r="C152" s="289" t="s">
        <v>769</v>
      </c>
      <c r="D152" s="77" t="s">
        <v>701</v>
      </c>
      <c r="E152" s="71">
        <v>21</v>
      </c>
      <c r="F152" s="71">
        <v>18</v>
      </c>
      <c r="G152" s="16">
        <f t="shared" ref="G152:G158" si="17">E152*F152</f>
        <v>378</v>
      </c>
      <c r="H152" s="240">
        <f>SUM(G152:G160)</f>
        <v>2928.76</v>
      </c>
      <c r="I152" s="240">
        <v>7942.5</v>
      </c>
      <c r="J152" s="240">
        <f>I152-H152</f>
        <v>5013.74</v>
      </c>
      <c r="K152" s="241">
        <f>J152/I152</f>
        <v>0.63125464274472776</v>
      </c>
      <c r="M152" s="270"/>
      <c r="N152" s="289" t="s">
        <v>769</v>
      </c>
      <c r="O152" s="77" t="s">
        <v>701</v>
      </c>
      <c r="P152" s="104"/>
      <c r="Q152" s="104"/>
      <c r="R152" s="43"/>
      <c r="S152" s="240">
        <f>SUM(R152:R160)</f>
        <v>2424.7600000000002</v>
      </c>
      <c r="T152" s="240">
        <v>7942.5</v>
      </c>
      <c r="U152" s="240">
        <f>T152-S152</f>
        <v>5517.74</v>
      </c>
      <c r="V152" s="241">
        <f>U152/T152</f>
        <v>0.69471073339628575</v>
      </c>
    </row>
    <row r="153" spans="2:22" ht="13">
      <c r="B153" s="270"/>
      <c r="C153" s="245"/>
      <c r="D153" s="106" t="s">
        <v>114</v>
      </c>
      <c r="E153" s="19">
        <v>7</v>
      </c>
      <c r="F153" s="19">
        <v>18</v>
      </c>
      <c r="G153" s="17">
        <f t="shared" si="17"/>
        <v>126</v>
      </c>
      <c r="H153" s="236"/>
      <c r="I153" s="236"/>
      <c r="J153" s="236"/>
      <c r="K153" s="242"/>
      <c r="M153" s="270"/>
      <c r="N153" s="245"/>
      <c r="O153" s="106" t="s">
        <v>114</v>
      </c>
      <c r="P153" s="105"/>
      <c r="Q153" s="105"/>
      <c r="R153" s="18"/>
      <c r="S153" s="236"/>
      <c r="T153" s="236"/>
      <c r="U153" s="236"/>
      <c r="V153" s="242"/>
    </row>
    <row r="154" spans="2:22" ht="13">
      <c r="B154" s="270"/>
      <c r="C154" s="245"/>
      <c r="D154" s="19" t="s">
        <v>770</v>
      </c>
      <c r="E154" s="19">
        <v>21.33</v>
      </c>
      <c r="F154" s="19">
        <v>13</v>
      </c>
      <c r="G154" s="17">
        <f t="shared" si="17"/>
        <v>277.28999999999996</v>
      </c>
      <c r="H154" s="236"/>
      <c r="I154" s="236"/>
      <c r="J154" s="236"/>
      <c r="K154" s="242"/>
      <c r="M154" s="270"/>
      <c r="N154" s="245"/>
      <c r="O154" s="19" t="s">
        <v>770</v>
      </c>
      <c r="P154" s="19">
        <v>21.33</v>
      </c>
      <c r="Q154" s="19">
        <v>13</v>
      </c>
      <c r="R154" s="17">
        <f t="shared" ref="R154:R158" si="18">P154*Q154</f>
        <v>277.28999999999996</v>
      </c>
      <c r="S154" s="236"/>
      <c r="T154" s="236"/>
      <c r="U154" s="236"/>
      <c r="V154" s="242"/>
    </row>
    <row r="155" spans="2:22" ht="13">
      <c r="B155" s="270"/>
      <c r="C155" s="245"/>
      <c r="D155" s="19" t="s">
        <v>771</v>
      </c>
      <c r="E155" s="19">
        <v>11.75</v>
      </c>
      <c r="F155" s="19">
        <v>13</v>
      </c>
      <c r="G155" s="17">
        <f t="shared" si="17"/>
        <v>152.75</v>
      </c>
      <c r="H155" s="236"/>
      <c r="I155" s="236"/>
      <c r="J155" s="236"/>
      <c r="K155" s="242"/>
      <c r="M155" s="270"/>
      <c r="N155" s="245"/>
      <c r="O155" s="19" t="s">
        <v>771</v>
      </c>
      <c r="P155" s="19">
        <v>11.75</v>
      </c>
      <c r="Q155" s="19">
        <v>13</v>
      </c>
      <c r="R155" s="17">
        <f t="shared" si="18"/>
        <v>152.75</v>
      </c>
      <c r="S155" s="236"/>
      <c r="T155" s="236"/>
      <c r="U155" s="236"/>
      <c r="V155" s="242"/>
    </row>
    <row r="156" spans="2:22" ht="13">
      <c r="B156" s="270"/>
      <c r="C156" s="245"/>
      <c r="D156" s="19" t="s">
        <v>75</v>
      </c>
      <c r="E156" s="19">
        <v>29.25</v>
      </c>
      <c r="F156" s="19">
        <v>13</v>
      </c>
      <c r="G156" s="17">
        <f t="shared" si="17"/>
        <v>380.25</v>
      </c>
      <c r="H156" s="236"/>
      <c r="I156" s="236"/>
      <c r="J156" s="236"/>
      <c r="K156" s="242"/>
      <c r="M156" s="270"/>
      <c r="N156" s="245"/>
      <c r="O156" s="19" t="s">
        <v>75</v>
      </c>
      <c r="P156" s="19">
        <v>29.25</v>
      </c>
      <c r="Q156" s="19">
        <v>13</v>
      </c>
      <c r="R156" s="17">
        <f t="shared" si="18"/>
        <v>380.25</v>
      </c>
      <c r="S156" s="236"/>
      <c r="T156" s="236"/>
      <c r="U156" s="236"/>
      <c r="V156" s="242"/>
    </row>
    <row r="157" spans="2:22" ht="13">
      <c r="B157" s="270"/>
      <c r="C157" s="245"/>
      <c r="D157" s="19" t="s">
        <v>772</v>
      </c>
      <c r="E157" s="19">
        <v>8.4</v>
      </c>
      <c r="F157" s="19">
        <v>13</v>
      </c>
      <c r="G157" s="17">
        <f t="shared" si="17"/>
        <v>109.2</v>
      </c>
      <c r="H157" s="236"/>
      <c r="I157" s="236"/>
      <c r="J157" s="236"/>
      <c r="K157" s="242"/>
      <c r="M157" s="270"/>
      <c r="N157" s="245"/>
      <c r="O157" s="19" t="s">
        <v>772</v>
      </c>
      <c r="P157" s="19">
        <v>8.4</v>
      </c>
      <c r="Q157" s="19">
        <v>13</v>
      </c>
      <c r="R157" s="17">
        <f t="shared" si="18"/>
        <v>109.2</v>
      </c>
      <c r="S157" s="236"/>
      <c r="T157" s="236"/>
      <c r="U157" s="236"/>
      <c r="V157" s="242"/>
    </row>
    <row r="158" spans="2:22" ht="13">
      <c r="B158" s="270"/>
      <c r="C158" s="245"/>
      <c r="D158" s="19" t="s">
        <v>754</v>
      </c>
      <c r="E158" s="19">
        <v>11.2</v>
      </c>
      <c r="F158" s="19">
        <v>13</v>
      </c>
      <c r="G158" s="17">
        <f t="shared" si="17"/>
        <v>145.6</v>
      </c>
      <c r="H158" s="236"/>
      <c r="I158" s="236"/>
      <c r="J158" s="236"/>
      <c r="K158" s="242"/>
      <c r="M158" s="270"/>
      <c r="N158" s="245"/>
      <c r="O158" s="19" t="s">
        <v>754</v>
      </c>
      <c r="P158" s="19">
        <v>11.2</v>
      </c>
      <c r="Q158" s="19">
        <v>13</v>
      </c>
      <c r="R158" s="17">
        <f t="shared" si="18"/>
        <v>145.6</v>
      </c>
      <c r="S158" s="236"/>
      <c r="T158" s="236"/>
      <c r="U158" s="236"/>
      <c r="V158" s="242"/>
    </row>
    <row r="159" spans="2:22" ht="13">
      <c r="B159" s="270"/>
      <c r="C159" s="245"/>
      <c r="D159" s="19" t="s">
        <v>773</v>
      </c>
      <c r="E159" s="19"/>
      <c r="F159" s="19"/>
      <c r="G159" s="17">
        <v>192</v>
      </c>
      <c r="H159" s="236"/>
      <c r="I159" s="236"/>
      <c r="J159" s="236"/>
      <c r="K159" s="242"/>
      <c r="M159" s="270"/>
      <c r="N159" s="245"/>
      <c r="O159" s="19" t="s">
        <v>773</v>
      </c>
      <c r="P159" s="19"/>
      <c r="Q159" s="19"/>
      <c r="R159" s="17">
        <v>192</v>
      </c>
      <c r="S159" s="236"/>
      <c r="T159" s="236"/>
      <c r="U159" s="236"/>
      <c r="V159" s="242"/>
    </row>
    <row r="160" spans="2:22" ht="13">
      <c r="B160" s="270"/>
      <c r="C160" s="246"/>
      <c r="D160" s="20" t="s">
        <v>33</v>
      </c>
      <c r="E160" s="20"/>
      <c r="F160" s="20"/>
      <c r="G160" s="21">
        <v>1167.67</v>
      </c>
      <c r="H160" s="238"/>
      <c r="I160" s="238"/>
      <c r="J160" s="238"/>
      <c r="K160" s="243"/>
      <c r="M160" s="270"/>
      <c r="N160" s="246"/>
      <c r="O160" s="20" t="s">
        <v>33</v>
      </c>
      <c r="P160" s="20"/>
      <c r="Q160" s="20"/>
      <c r="R160" s="21">
        <v>1167.67</v>
      </c>
      <c r="S160" s="238"/>
      <c r="T160" s="238"/>
      <c r="U160" s="238"/>
      <c r="V160" s="243"/>
    </row>
    <row r="161" spans="2:22" ht="13">
      <c r="B161" s="270"/>
      <c r="C161" s="289" t="s">
        <v>774</v>
      </c>
      <c r="D161" s="77" t="s">
        <v>114</v>
      </c>
      <c r="E161" s="71">
        <v>10.5</v>
      </c>
      <c r="F161" s="71">
        <v>18</v>
      </c>
      <c r="G161" s="71">
        <f>E161*F161</f>
        <v>189</v>
      </c>
      <c r="H161" s="240">
        <f>SUM(G161:G164)</f>
        <v>324.69</v>
      </c>
      <c r="I161" s="240">
        <v>3064.78</v>
      </c>
      <c r="J161" s="240">
        <f>I161-H161</f>
        <v>2740.09</v>
      </c>
      <c r="K161" s="241">
        <f>J161/I161</f>
        <v>0.89405764850984404</v>
      </c>
      <c r="M161" s="270"/>
      <c r="N161" s="289" t="s">
        <v>774</v>
      </c>
      <c r="O161" s="77" t="s">
        <v>114</v>
      </c>
      <c r="P161" s="104"/>
      <c r="Q161" s="104"/>
      <c r="R161" s="104"/>
      <c r="S161" s="240">
        <f>SUM(R161:R164)</f>
        <v>135.69</v>
      </c>
      <c r="T161" s="240">
        <v>3064.78</v>
      </c>
      <c r="U161" s="240">
        <f>T161-S161</f>
        <v>2929.09</v>
      </c>
      <c r="V161" s="241">
        <f>U161/T161</f>
        <v>0.95572602274877805</v>
      </c>
    </row>
    <row r="162" spans="2:22" ht="13">
      <c r="B162" s="270"/>
      <c r="C162" s="245"/>
      <c r="D162" s="19" t="s">
        <v>775</v>
      </c>
      <c r="E162" s="19"/>
      <c r="F162" s="19"/>
      <c r="G162" s="17">
        <v>49.76</v>
      </c>
      <c r="H162" s="236"/>
      <c r="I162" s="236"/>
      <c r="J162" s="236"/>
      <c r="K162" s="242"/>
      <c r="M162" s="270"/>
      <c r="N162" s="245"/>
      <c r="O162" s="19" t="s">
        <v>775</v>
      </c>
      <c r="P162" s="19"/>
      <c r="Q162" s="19"/>
      <c r="R162" s="17">
        <v>49.76</v>
      </c>
      <c r="S162" s="236"/>
      <c r="T162" s="236"/>
      <c r="U162" s="236"/>
      <c r="V162" s="242"/>
    </row>
    <row r="163" spans="2:22" ht="13">
      <c r="B163" s="270"/>
      <c r="C163" s="245"/>
      <c r="D163" s="19" t="s">
        <v>47</v>
      </c>
      <c r="E163" s="19"/>
      <c r="F163" s="19"/>
      <c r="G163" s="17">
        <v>70.930000000000007</v>
      </c>
      <c r="H163" s="236"/>
      <c r="I163" s="236"/>
      <c r="J163" s="236"/>
      <c r="K163" s="242"/>
      <c r="M163" s="270"/>
      <c r="N163" s="245"/>
      <c r="O163" s="19" t="s">
        <v>47</v>
      </c>
      <c r="P163" s="19"/>
      <c r="Q163" s="19"/>
      <c r="R163" s="17">
        <v>70.930000000000007</v>
      </c>
      <c r="S163" s="236"/>
      <c r="T163" s="236"/>
      <c r="U163" s="236"/>
      <c r="V163" s="242"/>
    </row>
    <row r="164" spans="2:22" ht="13">
      <c r="B164" s="270"/>
      <c r="C164" s="246"/>
      <c r="D164" s="20" t="s">
        <v>776</v>
      </c>
      <c r="E164" s="20"/>
      <c r="F164" s="20"/>
      <c r="G164" s="21">
        <v>15</v>
      </c>
      <c r="H164" s="238"/>
      <c r="I164" s="238"/>
      <c r="J164" s="238"/>
      <c r="K164" s="243"/>
      <c r="M164" s="270"/>
      <c r="N164" s="246"/>
      <c r="O164" s="20" t="s">
        <v>776</v>
      </c>
      <c r="P164" s="20"/>
      <c r="Q164" s="20"/>
      <c r="R164" s="21">
        <v>15</v>
      </c>
      <c r="S164" s="238"/>
      <c r="T164" s="238"/>
      <c r="U164" s="238"/>
      <c r="V164" s="243"/>
    </row>
    <row r="165" spans="2:22" ht="13">
      <c r="B165" s="270"/>
      <c r="C165" s="289" t="s">
        <v>777</v>
      </c>
      <c r="D165" s="77" t="s">
        <v>701</v>
      </c>
      <c r="E165" s="71">
        <v>3.5</v>
      </c>
      <c r="F165" s="71">
        <v>18</v>
      </c>
      <c r="G165" s="71">
        <f>E165*F165</f>
        <v>63</v>
      </c>
      <c r="H165" s="240">
        <f>SUM(G165:G166)</f>
        <v>63</v>
      </c>
      <c r="I165" s="240">
        <v>2096.64</v>
      </c>
      <c r="J165" s="240">
        <f>I165-H165</f>
        <v>2033.6399999999999</v>
      </c>
      <c r="K165" s="241">
        <f>J165/I165</f>
        <v>0.96995192307692313</v>
      </c>
      <c r="M165" s="270"/>
      <c r="N165" s="289" t="s">
        <v>777</v>
      </c>
      <c r="O165" s="77" t="s">
        <v>701</v>
      </c>
      <c r="P165" s="104"/>
      <c r="Q165" s="104"/>
      <c r="R165" s="104"/>
      <c r="S165" s="240">
        <f>SUM(R165:R166)</f>
        <v>0</v>
      </c>
      <c r="T165" s="240">
        <v>2096.64</v>
      </c>
      <c r="U165" s="240">
        <f>T165-S165</f>
        <v>2096.64</v>
      </c>
      <c r="V165" s="241">
        <f>U165/T165</f>
        <v>1</v>
      </c>
    </row>
    <row r="166" spans="2:22" ht="13">
      <c r="B166" s="270"/>
      <c r="C166" s="246"/>
      <c r="D166" s="20"/>
      <c r="E166" s="20"/>
      <c r="F166" s="20"/>
      <c r="G166" s="21"/>
      <c r="H166" s="238"/>
      <c r="I166" s="238"/>
      <c r="J166" s="238"/>
      <c r="K166" s="243"/>
      <c r="M166" s="270"/>
      <c r="N166" s="246"/>
      <c r="O166" s="20"/>
      <c r="P166" s="20"/>
      <c r="Q166" s="20"/>
      <c r="R166" s="21"/>
      <c r="S166" s="238"/>
      <c r="T166" s="238"/>
      <c r="U166" s="238"/>
      <c r="V166" s="243"/>
    </row>
    <row r="167" spans="2:22" ht="13">
      <c r="B167" s="270"/>
      <c r="C167" s="289" t="s">
        <v>778</v>
      </c>
      <c r="D167" s="24" t="s">
        <v>744</v>
      </c>
      <c r="E167" s="71">
        <v>71.88</v>
      </c>
      <c r="F167" s="17">
        <v>15</v>
      </c>
      <c r="G167" s="16">
        <f t="shared" ref="G167:G179" si="19">E167*F167</f>
        <v>1078.1999999999998</v>
      </c>
      <c r="H167" s="240">
        <f>SUM(G167:G180)</f>
        <v>8094.9</v>
      </c>
      <c r="I167" s="240">
        <v>17250</v>
      </c>
      <c r="J167" s="240">
        <f>I167-H167</f>
        <v>9155.1</v>
      </c>
      <c r="K167" s="241">
        <f>J167/I167</f>
        <v>0.53073043478260873</v>
      </c>
      <c r="M167" s="270"/>
      <c r="N167" s="289" t="s">
        <v>778</v>
      </c>
      <c r="O167" s="24" t="s">
        <v>744</v>
      </c>
      <c r="P167" s="71">
        <v>71.88</v>
      </c>
      <c r="Q167" s="17">
        <v>15</v>
      </c>
      <c r="R167" s="16">
        <f t="shared" ref="R167:R168" si="20">P167*Q167</f>
        <v>1078.1999999999998</v>
      </c>
      <c r="S167" s="240">
        <f>SUM(R167:R180)</f>
        <v>7842.9</v>
      </c>
      <c r="T167" s="240">
        <v>17250</v>
      </c>
      <c r="U167" s="240">
        <f>T167-S167</f>
        <v>9407.1</v>
      </c>
      <c r="V167" s="241">
        <f>U167/T167</f>
        <v>0.54533913043478266</v>
      </c>
    </row>
    <row r="168" spans="2:22" ht="13">
      <c r="B168" s="270"/>
      <c r="C168" s="245"/>
      <c r="D168" s="106" t="s">
        <v>779</v>
      </c>
      <c r="E168" s="19">
        <v>26.63</v>
      </c>
      <c r="F168" s="17">
        <v>15</v>
      </c>
      <c r="G168" s="17">
        <f t="shared" si="19"/>
        <v>399.45</v>
      </c>
      <c r="H168" s="236"/>
      <c r="I168" s="236"/>
      <c r="J168" s="236"/>
      <c r="K168" s="242"/>
      <c r="M168" s="270"/>
      <c r="N168" s="245"/>
      <c r="O168" s="106" t="s">
        <v>779</v>
      </c>
      <c r="P168" s="19">
        <v>26.63</v>
      </c>
      <c r="Q168" s="17">
        <v>15</v>
      </c>
      <c r="R168" s="17">
        <f t="shared" si="20"/>
        <v>399.45</v>
      </c>
      <c r="S168" s="236"/>
      <c r="T168" s="236"/>
      <c r="U168" s="236"/>
      <c r="V168" s="242"/>
    </row>
    <row r="169" spans="2:22" ht="13">
      <c r="B169" s="270"/>
      <c r="C169" s="245"/>
      <c r="D169" s="19" t="s">
        <v>701</v>
      </c>
      <c r="E169" s="19">
        <v>7</v>
      </c>
      <c r="F169" s="17">
        <v>18</v>
      </c>
      <c r="G169" s="17">
        <f t="shared" si="19"/>
        <v>126</v>
      </c>
      <c r="H169" s="236"/>
      <c r="I169" s="236"/>
      <c r="J169" s="236"/>
      <c r="K169" s="242"/>
      <c r="M169" s="270"/>
      <c r="N169" s="245"/>
      <c r="O169" s="19" t="s">
        <v>701</v>
      </c>
      <c r="P169" s="105"/>
      <c r="Q169" s="18"/>
      <c r="R169" s="18"/>
      <c r="S169" s="236"/>
      <c r="T169" s="236"/>
      <c r="U169" s="236"/>
      <c r="V169" s="242"/>
    </row>
    <row r="170" spans="2:22" ht="13">
      <c r="B170" s="270"/>
      <c r="C170" s="245"/>
      <c r="D170" s="19" t="s">
        <v>780</v>
      </c>
      <c r="E170" s="19">
        <v>34.630000000000003</v>
      </c>
      <c r="F170" s="17">
        <v>15</v>
      </c>
      <c r="G170" s="17">
        <f t="shared" si="19"/>
        <v>519.45000000000005</v>
      </c>
      <c r="H170" s="236"/>
      <c r="I170" s="236"/>
      <c r="J170" s="236"/>
      <c r="K170" s="242"/>
      <c r="M170" s="270"/>
      <c r="N170" s="245"/>
      <c r="O170" s="19" t="s">
        <v>780</v>
      </c>
      <c r="P170" s="19">
        <v>34.630000000000003</v>
      </c>
      <c r="Q170" s="17">
        <v>15</v>
      </c>
      <c r="R170" s="17">
        <f t="shared" ref="R170:R174" si="21">P170*Q170</f>
        <v>519.45000000000005</v>
      </c>
      <c r="S170" s="236"/>
      <c r="T170" s="236"/>
      <c r="U170" s="236"/>
      <c r="V170" s="242"/>
    </row>
    <row r="171" spans="2:22" ht="13">
      <c r="B171" s="270"/>
      <c r="C171" s="245"/>
      <c r="D171" s="19" t="s">
        <v>739</v>
      </c>
      <c r="E171" s="19">
        <v>19</v>
      </c>
      <c r="F171" s="17">
        <v>15</v>
      </c>
      <c r="G171" s="17">
        <f t="shared" si="19"/>
        <v>285</v>
      </c>
      <c r="H171" s="236"/>
      <c r="I171" s="236"/>
      <c r="J171" s="236"/>
      <c r="K171" s="242"/>
      <c r="M171" s="270"/>
      <c r="N171" s="245"/>
      <c r="O171" s="19" t="s">
        <v>739</v>
      </c>
      <c r="P171" s="19">
        <v>19</v>
      </c>
      <c r="Q171" s="17">
        <v>15</v>
      </c>
      <c r="R171" s="17">
        <f t="shared" si="21"/>
        <v>285</v>
      </c>
      <c r="S171" s="236"/>
      <c r="T171" s="236"/>
      <c r="U171" s="236"/>
      <c r="V171" s="242"/>
    </row>
    <row r="172" spans="2:22" ht="13">
      <c r="B172" s="270"/>
      <c r="C172" s="245"/>
      <c r="D172" s="19" t="s">
        <v>781</v>
      </c>
      <c r="E172" s="19">
        <v>105.26</v>
      </c>
      <c r="F172" s="17">
        <v>15</v>
      </c>
      <c r="G172" s="17">
        <f t="shared" si="19"/>
        <v>1578.9</v>
      </c>
      <c r="H172" s="236"/>
      <c r="I172" s="236"/>
      <c r="J172" s="236"/>
      <c r="K172" s="242"/>
      <c r="M172" s="270"/>
      <c r="N172" s="245"/>
      <c r="O172" s="19" t="s">
        <v>781</v>
      </c>
      <c r="P172" s="19">
        <v>105.26</v>
      </c>
      <c r="Q172" s="17">
        <v>15</v>
      </c>
      <c r="R172" s="17">
        <f t="shared" si="21"/>
        <v>1578.9</v>
      </c>
      <c r="S172" s="236"/>
      <c r="T172" s="236"/>
      <c r="U172" s="236"/>
      <c r="V172" s="242"/>
    </row>
    <row r="173" spans="2:22" ht="13">
      <c r="B173" s="270"/>
      <c r="C173" s="245"/>
      <c r="D173" s="19" t="s">
        <v>782</v>
      </c>
      <c r="E173" s="19">
        <v>12.86</v>
      </c>
      <c r="F173" s="17">
        <v>15</v>
      </c>
      <c r="G173" s="17">
        <f t="shared" si="19"/>
        <v>192.89999999999998</v>
      </c>
      <c r="H173" s="236"/>
      <c r="I173" s="236"/>
      <c r="J173" s="236"/>
      <c r="K173" s="242"/>
      <c r="M173" s="270"/>
      <c r="N173" s="245"/>
      <c r="O173" s="19" t="s">
        <v>782</v>
      </c>
      <c r="P173" s="19">
        <v>12.86</v>
      </c>
      <c r="Q173" s="17">
        <v>15</v>
      </c>
      <c r="R173" s="17">
        <f t="shared" si="21"/>
        <v>192.89999999999998</v>
      </c>
      <c r="S173" s="236"/>
      <c r="T173" s="236"/>
      <c r="U173" s="236"/>
      <c r="V173" s="242"/>
    </row>
    <row r="174" spans="2:22" ht="13">
      <c r="B174" s="270"/>
      <c r="C174" s="245"/>
      <c r="D174" s="19" t="s">
        <v>310</v>
      </c>
      <c r="E174" s="19">
        <v>46.45</v>
      </c>
      <c r="F174" s="17">
        <v>15</v>
      </c>
      <c r="G174" s="17">
        <f t="shared" si="19"/>
        <v>696.75</v>
      </c>
      <c r="H174" s="236"/>
      <c r="I174" s="236"/>
      <c r="J174" s="236"/>
      <c r="K174" s="242"/>
      <c r="M174" s="270"/>
      <c r="N174" s="245"/>
      <c r="O174" s="19" t="s">
        <v>310</v>
      </c>
      <c r="P174" s="19">
        <v>46.45</v>
      </c>
      <c r="Q174" s="17">
        <v>15</v>
      </c>
      <c r="R174" s="17">
        <f t="shared" si="21"/>
        <v>696.75</v>
      </c>
      <c r="S174" s="236"/>
      <c r="T174" s="236"/>
      <c r="U174" s="236"/>
      <c r="V174" s="242"/>
    </row>
    <row r="175" spans="2:22" ht="13">
      <c r="B175" s="270"/>
      <c r="C175" s="245"/>
      <c r="D175" s="19" t="s">
        <v>114</v>
      </c>
      <c r="E175" s="19">
        <v>7</v>
      </c>
      <c r="F175" s="17">
        <v>18</v>
      </c>
      <c r="G175" s="17">
        <f t="shared" si="19"/>
        <v>126</v>
      </c>
      <c r="H175" s="236"/>
      <c r="I175" s="236"/>
      <c r="J175" s="236"/>
      <c r="K175" s="242"/>
      <c r="M175" s="270"/>
      <c r="N175" s="245"/>
      <c r="O175" s="19" t="s">
        <v>114</v>
      </c>
      <c r="P175" s="105"/>
      <c r="Q175" s="18"/>
      <c r="R175" s="18"/>
      <c r="S175" s="236"/>
      <c r="T175" s="236"/>
      <c r="U175" s="236"/>
      <c r="V175" s="242"/>
    </row>
    <row r="176" spans="2:22" ht="13">
      <c r="B176" s="270"/>
      <c r="C176" s="245"/>
      <c r="D176" s="19" t="s">
        <v>419</v>
      </c>
      <c r="E176" s="19">
        <v>27.07</v>
      </c>
      <c r="F176" s="17">
        <v>15</v>
      </c>
      <c r="G176" s="17">
        <f t="shared" si="19"/>
        <v>406.05</v>
      </c>
      <c r="H176" s="236"/>
      <c r="I176" s="236"/>
      <c r="J176" s="236"/>
      <c r="K176" s="242"/>
      <c r="M176" s="270"/>
      <c r="N176" s="245"/>
      <c r="O176" s="19" t="s">
        <v>419</v>
      </c>
      <c r="P176" s="19">
        <v>27.07</v>
      </c>
      <c r="Q176" s="17">
        <v>15</v>
      </c>
      <c r="R176" s="17">
        <f t="shared" ref="R176:R179" si="22">P176*Q176</f>
        <v>406.05</v>
      </c>
      <c r="S176" s="236"/>
      <c r="T176" s="236"/>
      <c r="U176" s="236"/>
      <c r="V176" s="242"/>
    </row>
    <row r="177" spans="2:22" ht="13">
      <c r="B177" s="270"/>
      <c r="C177" s="245"/>
      <c r="D177" s="19" t="s">
        <v>754</v>
      </c>
      <c r="E177" s="19">
        <v>26.05</v>
      </c>
      <c r="F177" s="17">
        <v>15</v>
      </c>
      <c r="G177" s="17">
        <f t="shared" si="19"/>
        <v>390.75</v>
      </c>
      <c r="H177" s="236"/>
      <c r="I177" s="236"/>
      <c r="J177" s="236"/>
      <c r="K177" s="242"/>
      <c r="M177" s="270"/>
      <c r="N177" s="245"/>
      <c r="O177" s="19" t="s">
        <v>754</v>
      </c>
      <c r="P177" s="19">
        <v>26.05</v>
      </c>
      <c r="Q177" s="17">
        <v>15</v>
      </c>
      <c r="R177" s="17">
        <f t="shared" si="22"/>
        <v>390.75</v>
      </c>
      <c r="S177" s="236"/>
      <c r="T177" s="236"/>
      <c r="U177" s="236"/>
      <c r="V177" s="242"/>
    </row>
    <row r="178" spans="2:22" ht="13">
      <c r="B178" s="270"/>
      <c r="C178" s="245"/>
      <c r="D178" s="19" t="s">
        <v>639</v>
      </c>
      <c r="E178" s="19">
        <v>92.33</v>
      </c>
      <c r="F178" s="17">
        <v>15</v>
      </c>
      <c r="G178" s="17">
        <f t="shared" si="19"/>
        <v>1384.95</v>
      </c>
      <c r="H178" s="236"/>
      <c r="I178" s="236"/>
      <c r="J178" s="236"/>
      <c r="K178" s="242"/>
      <c r="M178" s="270"/>
      <c r="N178" s="245"/>
      <c r="O178" s="19" t="s">
        <v>639</v>
      </c>
      <c r="P178" s="19">
        <v>92.33</v>
      </c>
      <c r="Q178" s="17">
        <v>15</v>
      </c>
      <c r="R178" s="17">
        <f t="shared" si="22"/>
        <v>1384.95</v>
      </c>
      <c r="S178" s="236"/>
      <c r="T178" s="236"/>
      <c r="U178" s="236"/>
      <c r="V178" s="242"/>
    </row>
    <row r="179" spans="2:22" ht="13">
      <c r="B179" s="270"/>
      <c r="C179" s="245"/>
      <c r="D179" s="19" t="s">
        <v>70</v>
      </c>
      <c r="E179" s="19">
        <v>58.5</v>
      </c>
      <c r="F179" s="17">
        <v>15</v>
      </c>
      <c r="G179" s="17">
        <f t="shared" si="19"/>
        <v>877.5</v>
      </c>
      <c r="H179" s="236"/>
      <c r="I179" s="236"/>
      <c r="J179" s="236"/>
      <c r="K179" s="242"/>
      <c r="M179" s="270"/>
      <c r="N179" s="245"/>
      <c r="O179" s="19" t="s">
        <v>70</v>
      </c>
      <c r="P179" s="19">
        <v>58.5</v>
      </c>
      <c r="Q179" s="17">
        <v>15</v>
      </c>
      <c r="R179" s="17">
        <f t="shared" si="22"/>
        <v>877.5</v>
      </c>
      <c r="S179" s="236"/>
      <c r="T179" s="236"/>
      <c r="U179" s="236"/>
      <c r="V179" s="242"/>
    </row>
    <row r="180" spans="2:22" ht="13">
      <c r="B180" s="270"/>
      <c r="C180" s="246"/>
      <c r="D180" s="20" t="s">
        <v>773</v>
      </c>
      <c r="E180" s="20"/>
      <c r="F180" s="20"/>
      <c r="G180" s="21">
        <v>33</v>
      </c>
      <c r="H180" s="238"/>
      <c r="I180" s="238"/>
      <c r="J180" s="238"/>
      <c r="K180" s="243"/>
      <c r="M180" s="270"/>
      <c r="N180" s="246"/>
      <c r="O180" s="20" t="s">
        <v>773</v>
      </c>
      <c r="P180" s="20"/>
      <c r="Q180" s="20"/>
      <c r="R180" s="21">
        <v>33</v>
      </c>
      <c r="S180" s="238"/>
      <c r="T180" s="238"/>
      <c r="U180" s="238"/>
      <c r="V180" s="243"/>
    </row>
    <row r="181" spans="2:22" ht="13">
      <c r="B181" s="270"/>
      <c r="C181" s="289" t="s">
        <v>783</v>
      </c>
      <c r="D181" s="77" t="s">
        <v>114</v>
      </c>
      <c r="E181" s="71">
        <v>10.5</v>
      </c>
      <c r="F181" s="71">
        <v>18</v>
      </c>
      <c r="G181" s="71">
        <f>E181*F181</f>
        <v>189</v>
      </c>
      <c r="H181" s="240">
        <f>SUM(G181:G184)</f>
        <v>378.3</v>
      </c>
      <c r="I181" s="240">
        <v>3011</v>
      </c>
      <c r="J181" s="240">
        <f>I181-H181</f>
        <v>2632.7</v>
      </c>
      <c r="K181" s="241">
        <f>J181/I181</f>
        <v>0.8743606775157754</v>
      </c>
      <c r="M181" s="270"/>
      <c r="N181" s="289" t="s">
        <v>783</v>
      </c>
      <c r="O181" s="77" t="s">
        <v>114</v>
      </c>
      <c r="P181" s="104"/>
      <c r="Q181" s="104"/>
      <c r="R181" s="104"/>
      <c r="S181" s="240">
        <f>SUM(R181:R184)</f>
        <v>189.3</v>
      </c>
      <c r="T181" s="240">
        <v>3011</v>
      </c>
      <c r="U181" s="240">
        <f>T181-S181</f>
        <v>2821.7</v>
      </c>
      <c r="V181" s="241">
        <f>U181/T181</f>
        <v>0.93713052142145459</v>
      </c>
    </row>
    <row r="182" spans="2:22" ht="13">
      <c r="B182" s="270"/>
      <c r="C182" s="245"/>
      <c r="D182" s="19" t="s">
        <v>706</v>
      </c>
      <c r="E182" s="19"/>
      <c r="F182" s="19"/>
      <c r="G182" s="17">
        <v>58.57</v>
      </c>
      <c r="H182" s="236"/>
      <c r="I182" s="236"/>
      <c r="J182" s="236"/>
      <c r="K182" s="242"/>
      <c r="M182" s="270"/>
      <c r="N182" s="245"/>
      <c r="O182" s="19" t="s">
        <v>706</v>
      </c>
      <c r="P182" s="19"/>
      <c r="Q182" s="19"/>
      <c r="R182" s="17">
        <v>58.57</v>
      </c>
      <c r="S182" s="236"/>
      <c r="T182" s="236"/>
      <c r="U182" s="236"/>
      <c r="V182" s="242"/>
    </row>
    <row r="183" spans="2:22" ht="13">
      <c r="B183" s="270"/>
      <c r="C183" s="245"/>
      <c r="D183" s="19" t="s">
        <v>47</v>
      </c>
      <c r="E183" s="19"/>
      <c r="F183" s="19"/>
      <c r="G183" s="17">
        <v>66.73</v>
      </c>
      <c r="H183" s="236"/>
      <c r="I183" s="236"/>
      <c r="J183" s="236"/>
      <c r="K183" s="242"/>
      <c r="M183" s="270"/>
      <c r="N183" s="245"/>
      <c r="O183" s="19" t="s">
        <v>47</v>
      </c>
      <c r="P183" s="19"/>
      <c r="Q183" s="19"/>
      <c r="R183" s="17">
        <v>66.73</v>
      </c>
      <c r="S183" s="236"/>
      <c r="T183" s="236"/>
      <c r="U183" s="236"/>
      <c r="V183" s="242"/>
    </row>
    <row r="184" spans="2:22" ht="13">
      <c r="B184" s="270"/>
      <c r="C184" s="246"/>
      <c r="D184" s="20" t="s">
        <v>776</v>
      </c>
      <c r="E184" s="20"/>
      <c r="F184" s="20"/>
      <c r="G184" s="21">
        <v>64</v>
      </c>
      <c r="H184" s="238"/>
      <c r="I184" s="238"/>
      <c r="J184" s="238"/>
      <c r="K184" s="243"/>
      <c r="M184" s="270"/>
      <c r="N184" s="246"/>
      <c r="O184" s="20" t="s">
        <v>776</v>
      </c>
      <c r="P184" s="20"/>
      <c r="Q184" s="20"/>
      <c r="R184" s="21">
        <v>64</v>
      </c>
      <c r="S184" s="238"/>
      <c r="T184" s="238"/>
      <c r="U184" s="238"/>
      <c r="V184" s="243"/>
    </row>
    <row r="185" spans="2:22" ht="13">
      <c r="B185" s="270"/>
      <c r="C185" s="289" t="s">
        <v>784</v>
      </c>
      <c r="D185" s="77" t="s">
        <v>87</v>
      </c>
      <c r="E185" s="71">
        <v>7</v>
      </c>
      <c r="F185" s="71">
        <v>25</v>
      </c>
      <c r="G185" s="71">
        <f>E185*F185</f>
        <v>175</v>
      </c>
      <c r="H185" s="240">
        <f>SUM(G185:G190)</f>
        <v>731.12</v>
      </c>
      <c r="I185" s="240">
        <v>1148.8499999999999</v>
      </c>
      <c r="J185" s="240">
        <f>I185-H185</f>
        <v>417.7299999999999</v>
      </c>
      <c r="K185" s="241">
        <f>J185/I185</f>
        <v>0.36360708534621572</v>
      </c>
      <c r="M185" s="270"/>
      <c r="N185" s="289" t="s">
        <v>784</v>
      </c>
      <c r="O185" s="77" t="s">
        <v>87</v>
      </c>
      <c r="P185" s="104"/>
      <c r="Q185" s="104"/>
      <c r="R185" s="104"/>
      <c r="S185" s="240">
        <f>SUM(R185:R190)</f>
        <v>556.12</v>
      </c>
      <c r="T185" s="240">
        <v>1148.8499999999999</v>
      </c>
      <c r="U185" s="240">
        <f>T185-S185</f>
        <v>592.7299999999999</v>
      </c>
      <c r="V185" s="241">
        <f>U185/T185</f>
        <v>0.51593332462897679</v>
      </c>
    </row>
    <row r="186" spans="2:22" ht="13">
      <c r="B186" s="270"/>
      <c r="C186" s="245"/>
      <c r="D186" s="19" t="s">
        <v>706</v>
      </c>
      <c r="E186" s="19"/>
      <c r="F186" s="19"/>
      <c r="G186" s="17">
        <f>27+8+0.7</f>
        <v>35.700000000000003</v>
      </c>
      <c r="H186" s="236"/>
      <c r="I186" s="236"/>
      <c r="J186" s="236"/>
      <c r="K186" s="242"/>
      <c r="M186" s="270"/>
      <c r="N186" s="245"/>
      <c r="O186" s="19" t="s">
        <v>706</v>
      </c>
      <c r="P186" s="19"/>
      <c r="Q186" s="19"/>
      <c r="R186" s="17">
        <f>27+8+0.7</f>
        <v>35.700000000000003</v>
      </c>
      <c r="S186" s="236"/>
      <c r="T186" s="236"/>
      <c r="U186" s="236"/>
      <c r="V186" s="242"/>
    </row>
    <row r="187" spans="2:22" ht="13">
      <c r="B187" s="270"/>
      <c r="C187" s="245"/>
      <c r="D187" s="19" t="s">
        <v>768</v>
      </c>
      <c r="E187" s="19"/>
      <c r="F187" s="19"/>
      <c r="G187" s="17">
        <v>104</v>
      </c>
      <c r="H187" s="236"/>
      <c r="I187" s="236"/>
      <c r="J187" s="236"/>
      <c r="K187" s="242"/>
      <c r="M187" s="270"/>
      <c r="N187" s="245"/>
      <c r="O187" s="19" t="s">
        <v>768</v>
      </c>
      <c r="P187" s="19"/>
      <c r="Q187" s="19"/>
      <c r="R187" s="17">
        <v>104</v>
      </c>
      <c r="S187" s="236"/>
      <c r="T187" s="236"/>
      <c r="U187" s="236"/>
      <c r="V187" s="242"/>
    </row>
    <row r="188" spans="2:22" ht="13">
      <c r="B188" s="270"/>
      <c r="C188" s="245"/>
      <c r="D188" s="19" t="s">
        <v>785</v>
      </c>
      <c r="E188" s="19"/>
      <c r="F188" s="19"/>
      <c r="G188" s="17">
        <v>113</v>
      </c>
      <c r="H188" s="236"/>
      <c r="I188" s="236"/>
      <c r="J188" s="236"/>
      <c r="K188" s="242"/>
      <c r="M188" s="270"/>
      <c r="N188" s="245"/>
      <c r="O188" s="19" t="s">
        <v>785</v>
      </c>
      <c r="P188" s="19"/>
      <c r="Q188" s="19"/>
      <c r="R188" s="17">
        <v>113</v>
      </c>
      <c r="S188" s="236"/>
      <c r="T188" s="236"/>
      <c r="U188" s="236"/>
      <c r="V188" s="242"/>
    </row>
    <row r="189" spans="2:22" ht="13">
      <c r="B189" s="270"/>
      <c r="C189" s="245"/>
      <c r="D189" s="19" t="s">
        <v>786</v>
      </c>
      <c r="E189" s="19"/>
      <c r="F189" s="19"/>
      <c r="G189" s="17">
        <f>175+61</f>
        <v>236</v>
      </c>
      <c r="H189" s="236"/>
      <c r="I189" s="236"/>
      <c r="J189" s="236"/>
      <c r="K189" s="242"/>
      <c r="M189" s="270"/>
      <c r="N189" s="245"/>
      <c r="O189" s="19" t="s">
        <v>786</v>
      </c>
      <c r="P189" s="19"/>
      <c r="Q189" s="19"/>
      <c r="R189" s="17">
        <f>175+61</f>
        <v>236</v>
      </c>
      <c r="S189" s="236"/>
      <c r="T189" s="236"/>
      <c r="U189" s="236"/>
      <c r="V189" s="242"/>
    </row>
    <row r="190" spans="2:22" ht="13">
      <c r="B190" s="270"/>
      <c r="C190" s="246"/>
      <c r="D190" s="20" t="s">
        <v>33</v>
      </c>
      <c r="E190" s="20"/>
      <c r="F190" s="20"/>
      <c r="G190" s="21">
        <v>67.42</v>
      </c>
      <c r="H190" s="238"/>
      <c r="I190" s="238"/>
      <c r="J190" s="238"/>
      <c r="K190" s="243"/>
      <c r="M190" s="270"/>
      <c r="N190" s="246"/>
      <c r="O190" s="20" t="s">
        <v>33</v>
      </c>
      <c r="P190" s="20"/>
      <c r="Q190" s="20"/>
      <c r="R190" s="21">
        <v>67.42</v>
      </c>
      <c r="S190" s="238"/>
      <c r="T190" s="238"/>
      <c r="U190" s="238"/>
      <c r="V190" s="243"/>
    </row>
    <row r="191" spans="2:22" ht="13">
      <c r="B191" s="270"/>
      <c r="C191" s="289" t="s">
        <v>787</v>
      </c>
      <c r="D191" s="77" t="s">
        <v>701</v>
      </c>
      <c r="E191" s="71">
        <v>7</v>
      </c>
      <c r="F191" s="71">
        <v>18</v>
      </c>
      <c r="G191" s="16">
        <f t="shared" ref="G191:G199" si="23">E191*F191</f>
        <v>126</v>
      </c>
      <c r="H191" s="240">
        <f>SUM(G191:G200)</f>
        <v>1344.7</v>
      </c>
      <c r="I191" s="240">
        <v>4455</v>
      </c>
      <c r="J191" s="240">
        <f>I191-H191</f>
        <v>3110.3</v>
      </c>
      <c r="K191" s="241">
        <f>J191/I191</f>
        <v>0.69815937149270491</v>
      </c>
      <c r="M191" s="270"/>
      <c r="N191" s="289" t="s">
        <v>787</v>
      </c>
      <c r="O191" s="77" t="s">
        <v>701</v>
      </c>
      <c r="P191" s="104"/>
      <c r="Q191" s="104"/>
      <c r="R191" s="43"/>
      <c r="S191" s="240">
        <f>SUM(R191:R200)</f>
        <v>1218.7</v>
      </c>
      <c r="T191" s="240">
        <v>4455</v>
      </c>
      <c r="U191" s="240">
        <f>T191-S191</f>
        <v>3236.3</v>
      </c>
      <c r="V191" s="241">
        <f>U191/T191</f>
        <v>0.72644219977553315</v>
      </c>
    </row>
    <row r="192" spans="2:22" ht="13">
      <c r="B192" s="270"/>
      <c r="C192" s="245"/>
      <c r="D192" s="106" t="s">
        <v>738</v>
      </c>
      <c r="E192" s="19">
        <v>3</v>
      </c>
      <c r="F192" s="19">
        <v>13</v>
      </c>
      <c r="G192" s="17">
        <f t="shared" si="23"/>
        <v>39</v>
      </c>
      <c r="H192" s="236"/>
      <c r="I192" s="236"/>
      <c r="J192" s="236"/>
      <c r="K192" s="242"/>
      <c r="M192" s="270"/>
      <c r="N192" s="245"/>
      <c r="O192" s="106" t="s">
        <v>738</v>
      </c>
      <c r="P192" s="19">
        <v>3</v>
      </c>
      <c r="Q192" s="19">
        <v>13</v>
      </c>
      <c r="R192" s="17">
        <f t="shared" ref="R192:R199" si="24">P192*Q192</f>
        <v>39</v>
      </c>
      <c r="S192" s="236"/>
      <c r="T192" s="236"/>
      <c r="U192" s="236"/>
      <c r="V192" s="242"/>
    </row>
    <row r="193" spans="2:22" ht="13">
      <c r="B193" s="270"/>
      <c r="C193" s="245"/>
      <c r="D193" s="19" t="s">
        <v>770</v>
      </c>
      <c r="E193" s="19">
        <v>4.68</v>
      </c>
      <c r="F193" s="19">
        <v>13</v>
      </c>
      <c r="G193" s="17">
        <f t="shared" si="23"/>
        <v>60.839999999999996</v>
      </c>
      <c r="H193" s="236"/>
      <c r="I193" s="236"/>
      <c r="J193" s="236"/>
      <c r="K193" s="242"/>
      <c r="M193" s="270"/>
      <c r="N193" s="245"/>
      <c r="O193" s="19" t="s">
        <v>770</v>
      </c>
      <c r="P193" s="19">
        <v>4.68</v>
      </c>
      <c r="Q193" s="19">
        <v>13</v>
      </c>
      <c r="R193" s="17">
        <f t="shared" si="24"/>
        <v>60.839999999999996</v>
      </c>
      <c r="S193" s="236"/>
      <c r="T193" s="236"/>
      <c r="U193" s="236"/>
      <c r="V193" s="242"/>
    </row>
    <row r="194" spans="2:22" ht="13">
      <c r="B194" s="270"/>
      <c r="C194" s="245"/>
      <c r="D194" s="19" t="s">
        <v>771</v>
      </c>
      <c r="E194" s="19">
        <v>6</v>
      </c>
      <c r="F194" s="19">
        <v>13</v>
      </c>
      <c r="G194" s="17">
        <f t="shared" si="23"/>
        <v>78</v>
      </c>
      <c r="H194" s="236"/>
      <c r="I194" s="236"/>
      <c r="J194" s="236"/>
      <c r="K194" s="242"/>
      <c r="M194" s="270"/>
      <c r="N194" s="245"/>
      <c r="O194" s="19" t="s">
        <v>771</v>
      </c>
      <c r="P194" s="19">
        <v>6</v>
      </c>
      <c r="Q194" s="19">
        <v>13</v>
      </c>
      <c r="R194" s="17">
        <f t="shared" si="24"/>
        <v>78</v>
      </c>
      <c r="S194" s="236"/>
      <c r="T194" s="236"/>
      <c r="U194" s="236"/>
      <c r="V194" s="242"/>
    </row>
    <row r="195" spans="2:22" ht="13">
      <c r="B195" s="270"/>
      <c r="C195" s="245"/>
      <c r="D195" s="19" t="s">
        <v>744</v>
      </c>
      <c r="E195" s="19">
        <v>5.5</v>
      </c>
      <c r="F195" s="19">
        <v>13</v>
      </c>
      <c r="G195" s="17">
        <f t="shared" si="23"/>
        <v>71.5</v>
      </c>
      <c r="H195" s="236"/>
      <c r="I195" s="236"/>
      <c r="J195" s="236"/>
      <c r="K195" s="242"/>
      <c r="M195" s="270"/>
      <c r="N195" s="245"/>
      <c r="O195" s="19" t="s">
        <v>744</v>
      </c>
      <c r="P195" s="19">
        <v>5.5</v>
      </c>
      <c r="Q195" s="19">
        <v>13</v>
      </c>
      <c r="R195" s="17">
        <f t="shared" si="24"/>
        <v>71.5</v>
      </c>
      <c r="S195" s="236"/>
      <c r="T195" s="236"/>
      <c r="U195" s="236"/>
      <c r="V195" s="242"/>
    </row>
    <row r="196" spans="2:22" ht="13">
      <c r="B196" s="270"/>
      <c r="C196" s="245"/>
      <c r="D196" s="19" t="s">
        <v>788</v>
      </c>
      <c r="E196" s="19">
        <v>4.93</v>
      </c>
      <c r="F196" s="19">
        <v>13</v>
      </c>
      <c r="G196" s="17">
        <f t="shared" si="23"/>
        <v>64.09</v>
      </c>
      <c r="H196" s="236"/>
      <c r="I196" s="236"/>
      <c r="J196" s="236"/>
      <c r="K196" s="242"/>
      <c r="M196" s="270"/>
      <c r="N196" s="245"/>
      <c r="O196" s="19" t="s">
        <v>788</v>
      </c>
      <c r="P196" s="19">
        <v>4.93</v>
      </c>
      <c r="Q196" s="19">
        <v>13</v>
      </c>
      <c r="R196" s="17">
        <f t="shared" si="24"/>
        <v>64.09</v>
      </c>
      <c r="S196" s="236"/>
      <c r="T196" s="236"/>
      <c r="U196" s="236"/>
      <c r="V196" s="242"/>
    </row>
    <row r="197" spans="2:22" ht="13">
      <c r="B197" s="270"/>
      <c r="C197" s="245"/>
      <c r="D197" s="19" t="s">
        <v>70</v>
      </c>
      <c r="E197" s="19">
        <v>8</v>
      </c>
      <c r="F197" s="19">
        <v>13</v>
      </c>
      <c r="G197" s="17">
        <f t="shared" si="23"/>
        <v>104</v>
      </c>
      <c r="H197" s="236"/>
      <c r="I197" s="236"/>
      <c r="J197" s="236"/>
      <c r="K197" s="242"/>
      <c r="M197" s="270"/>
      <c r="N197" s="245"/>
      <c r="O197" s="19" t="s">
        <v>70</v>
      </c>
      <c r="P197" s="19">
        <v>8</v>
      </c>
      <c r="Q197" s="19">
        <v>13</v>
      </c>
      <c r="R197" s="17">
        <f t="shared" si="24"/>
        <v>104</v>
      </c>
      <c r="S197" s="236"/>
      <c r="T197" s="236"/>
      <c r="U197" s="236"/>
      <c r="V197" s="242"/>
    </row>
    <row r="198" spans="2:22" ht="13">
      <c r="B198" s="270"/>
      <c r="C198" s="245"/>
      <c r="D198" s="19" t="s">
        <v>639</v>
      </c>
      <c r="E198" s="19">
        <v>9.23</v>
      </c>
      <c r="F198" s="19">
        <v>13</v>
      </c>
      <c r="G198" s="17">
        <f t="shared" si="23"/>
        <v>119.99000000000001</v>
      </c>
      <c r="H198" s="236"/>
      <c r="I198" s="236"/>
      <c r="J198" s="236"/>
      <c r="K198" s="242"/>
      <c r="M198" s="270"/>
      <c r="N198" s="245"/>
      <c r="O198" s="19" t="s">
        <v>639</v>
      </c>
      <c r="P198" s="19">
        <v>9.23</v>
      </c>
      <c r="Q198" s="19">
        <v>13</v>
      </c>
      <c r="R198" s="17">
        <f t="shared" si="24"/>
        <v>119.99000000000001</v>
      </c>
      <c r="S198" s="236"/>
      <c r="T198" s="236"/>
      <c r="U198" s="236"/>
      <c r="V198" s="242"/>
    </row>
    <row r="199" spans="2:22" ht="13">
      <c r="B199" s="270"/>
      <c r="C199" s="245"/>
      <c r="D199" s="19" t="s">
        <v>754</v>
      </c>
      <c r="E199" s="19">
        <v>4.83</v>
      </c>
      <c r="F199" s="19">
        <v>13</v>
      </c>
      <c r="G199" s="17">
        <f t="shared" si="23"/>
        <v>62.79</v>
      </c>
      <c r="H199" s="236"/>
      <c r="I199" s="236"/>
      <c r="J199" s="236"/>
      <c r="K199" s="242"/>
      <c r="M199" s="270"/>
      <c r="N199" s="245"/>
      <c r="O199" s="19" t="s">
        <v>754</v>
      </c>
      <c r="P199" s="19">
        <v>4.83</v>
      </c>
      <c r="Q199" s="19">
        <v>13</v>
      </c>
      <c r="R199" s="17">
        <f t="shared" si="24"/>
        <v>62.79</v>
      </c>
      <c r="S199" s="236"/>
      <c r="T199" s="236"/>
      <c r="U199" s="236"/>
      <c r="V199" s="242"/>
    </row>
    <row r="200" spans="2:22" ht="13">
      <c r="B200" s="270"/>
      <c r="C200" s="246"/>
      <c r="D200" s="20" t="s">
        <v>33</v>
      </c>
      <c r="E200" s="20"/>
      <c r="F200" s="20"/>
      <c r="G200" s="21">
        <v>618.49</v>
      </c>
      <c r="H200" s="238"/>
      <c r="I200" s="238"/>
      <c r="J200" s="238"/>
      <c r="K200" s="243"/>
      <c r="M200" s="270"/>
      <c r="N200" s="246"/>
      <c r="O200" s="20" t="s">
        <v>33</v>
      </c>
      <c r="P200" s="20"/>
      <c r="Q200" s="20"/>
      <c r="R200" s="21">
        <v>618.49</v>
      </c>
      <c r="S200" s="238"/>
      <c r="T200" s="238"/>
      <c r="U200" s="238"/>
      <c r="V200" s="243"/>
    </row>
    <row r="201" spans="2:22" ht="13">
      <c r="B201" s="270"/>
      <c r="C201" s="289" t="s">
        <v>789</v>
      </c>
      <c r="D201" s="77" t="s">
        <v>114</v>
      </c>
      <c r="E201" s="71">
        <v>7</v>
      </c>
      <c r="F201" s="71">
        <v>18</v>
      </c>
      <c r="G201" s="16">
        <f t="shared" ref="G201:G213" si="25">E201*F201</f>
        <v>126</v>
      </c>
      <c r="H201" s="240">
        <f>SUM(G201:G214)</f>
        <v>1528.63</v>
      </c>
      <c r="I201" s="240">
        <v>4837.5</v>
      </c>
      <c r="J201" s="240">
        <f>I201-H201</f>
        <v>3308.87</v>
      </c>
      <c r="K201" s="241">
        <f>J201/I201</f>
        <v>0.68400413436692509</v>
      </c>
      <c r="M201" s="270"/>
      <c r="N201" s="289" t="s">
        <v>789</v>
      </c>
      <c r="O201" s="77" t="s">
        <v>114</v>
      </c>
      <c r="P201" s="104"/>
      <c r="Q201" s="104"/>
      <c r="R201" s="43"/>
      <c r="S201" s="240">
        <f>SUM(R201:R214)</f>
        <v>1377.9299999999998</v>
      </c>
      <c r="T201" s="240">
        <v>4837.5</v>
      </c>
      <c r="U201" s="240">
        <f>T201-S201</f>
        <v>3459.57</v>
      </c>
      <c r="V201" s="241">
        <f>U201/T201</f>
        <v>0.71515658914728686</v>
      </c>
    </row>
    <row r="202" spans="2:22" ht="13">
      <c r="B202" s="270"/>
      <c r="C202" s="245"/>
      <c r="D202" s="106" t="s">
        <v>81</v>
      </c>
      <c r="E202" s="19">
        <v>4.75</v>
      </c>
      <c r="F202" s="19">
        <v>13</v>
      </c>
      <c r="G202" s="17">
        <f t="shared" si="25"/>
        <v>61.75</v>
      </c>
      <c r="H202" s="236"/>
      <c r="I202" s="236"/>
      <c r="J202" s="236"/>
      <c r="K202" s="242"/>
      <c r="M202" s="270"/>
      <c r="N202" s="245"/>
      <c r="O202" s="106" t="s">
        <v>81</v>
      </c>
      <c r="P202" s="19">
        <v>4.75</v>
      </c>
      <c r="Q202" s="19">
        <v>13</v>
      </c>
      <c r="R202" s="17">
        <f t="shared" ref="R202:R213" si="26">P202*Q202</f>
        <v>61.75</v>
      </c>
      <c r="S202" s="236"/>
      <c r="T202" s="236"/>
      <c r="U202" s="236"/>
      <c r="V202" s="242"/>
    </row>
    <row r="203" spans="2:22" ht="13">
      <c r="B203" s="270"/>
      <c r="C203" s="245"/>
      <c r="D203" s="19" t="s">
        <v>771</v>
      </c>
      <c r="E203" s="19">
        <v>3.5</v>
      </c>
      <c r="F203" s="19">
        <v>13</v>
      </c>
      <c r="G203" s="17">
        <f t="shared" si="25"/>
        <v>45.5</v>
      </c>
      <c r="H203" s="236"/>
      <c r="I203" s="236"/>
      <c r="J203" s="236"/>
      <c r="K203" s="242"/>
      <c r="M203" s="270"/>
      <c r="N203" s="245"/>
      <c r="O203" s="19" t="s">
        <v>771</v>
      </c>
      <c r="P203" s="19">
        <v>3.5</v>
      </c>
      <c r="Q203" s="19">
        <v>13</v>
      </c>
      <c r="R203" s="17">
        <f t="shared" si="26"/>
        <v>45.5</v>
      </c>
      <c r="S203" s="236"/>
      <c r="T203" s="236"/>
      <c r="U203" s="236"/>
      <c r="V203" s="242"/>
    </row>
    <row r="204" spans="2:22" ht="13">
      <c r="B204" s="270"/>
      <c r="C204" s="245"/>
      <c r="D204" s="19" t="s">
        <v>770</v>
      </c>
      <c r="E204" s="19">
        <v>4</v>
      </c>
      <c r="F204" s="19">
        <v>13</v>
      </c>
      <c r="G204" s="17">
        <f t="shared" si="25"/>
        <v>52</v>
      </c>
      <c r="H204" s="236"/>
      <c r="I204" s="236"/>
      <c r="J204" s="236"/>
      <c r="K204" s="242"/>
      <c r="M204" s="270"/>
      <c r="N204" s="245"/>
      <c r="O204" s="19" t="s">
        <v>770</v>
      </c>
      <c r="P204" s="19">
        <v>4</v>
      </c>
      <c r="Q204" s="19">
        <v>13</v>
      </c>
      <c r="R204" s="17">
        <f t="shared" si="26"/>
        <v>52</v>
      </c>
      <c r="S204" s="236"/>
      <c r="T204" s="236"/>
      <c r="U204" s="236"/>
      <c r="V204" s="242"/>
    </row>
    <row r="205" spans="2:22" ht="13">
      <c r="B205" s="270"/>
      <c r="C205" s="245"/>
      <c r="D205" s="19" t="s">
        <v>782</v>
      </c>
      <c r="E205" s="19">
        <v>6.77</v>
      </c>
      <c r="F205" s="19">
        <v>13</v>
      </c>
      <c r="G205" s="17">
        <f t="shared" si="25"/>
        <v>88.009999999999991</v>
      </c>
      <c r="H205" s="236"/>
      <c r="I205" s="236"/>
      <c r="J205" s="236"/>
      <c r="K205" s="242"/>
      <c r="M205" s="270"/>
      <c r="N205" s="245"/>
      <c r="O205" s="19" t="s">
        <v>782</v>
      </c>
      <c r="P205" s="19">
        <v>6.77</v>
      </c>
      <c r="Q205" s="19">
        <v>13</v>
      </c>
      <c r="R205" s="17">
        <f t="shared" si="26"/>
        <v>88.009999999999991</v>
      </c>
      <c r="S205" s="236"/>
      <c r="T205" s="236"/>
      <c r="U205" s="236"/>
      <c r="V205" s="242"/>
    </row>
    <row r="206" spans="2:22" ht="13">
      <c r="B206" s="270"/>
      <c r="C206" s="245"/>
      <c r="D206" s="19" t="s">
        <v>788</v>
      </c>
      <c r="E206" s="19">
        <v>8.17</v>
      </c>
      <c r="F206" s="19">
        <v>13</v>
      </c>
      <c r="G206" s="17">
        <f t="shared" si="25"/>
        <v>106.21</v>
      </c>
      <c r="H206" s="236"/>
      <c r="I206" s="236"/>
      <c r="J206" s="236"/>
      <c r="K206" s="242"/>
      <c r="M206" s="270"/>
      <c r="N206" s="245"/>
      <c r="O206" s="19" t="s">
        <v>788</v>
      </c>
      <c r="P206" s="19">
        <v>8.17</v>
      </c>
      <c r="Q206" s="19">
        <v>13</v>
      </c>
      <c r="R206" s="17">
        <f t="shared" si="26"/>
        <v>106.21</v>
      </c>
      <c r="S206" s="236"/>
      <c r="T206" s="236"/>
      <c r="U206" s="236"/>
      <c r="V206" s="242"/>
    </row>
    <row r="207" spans="2:22" ht="13">
      <c r="B207" s="270"/>
      <c r="C207" s="245"/>
      <c r="D207" s="19" t="s">
        <v>790</v>
      </c>
      <c r="E207" s="19">
        <v>4.57</v>
      </c>
      <c r="F207" s="19">
        <v>13</v>
      </c>
      <c r="G207" s="17">
        <f t="shared" si="25"/>
        <v>59.410000000000004</v>
      </c>
      <c r="H207" s="236"/>
      <c r="I207" s="236"/>
      <c r="J207" s="236"/>
      <c r="K207" s="242"/>
      <c r="M207" s="270"/>
      <c r="N207" s="245"/>
      <c r="O207" s="19" t="s">
        <v>790</v>
      </c>
      <c r="P207" s="19">
        <v>4.57</v>
      </c>
      <c r="Q207" s="19">
        <v>13</v>
      </c>
      <c r="R207" s="17">
        <f t="shared" si="26"/>
        <v>59.410000000000004</v>
      </c>
      <c r="S207" s="236"/>
      <c r="T207" s="236"/>
      <c r="U207" s="236"/>
      <c r="V207" s="242"/>
    </row>
    <row r="208" spans="2:22" ht="13">
      <c r="B208" s="270"/>
      <c r="C208" s="245"/>
      <c r="D208" s="19" t="s">
        <v>754</v>
      </c>
      <c r="E208" s="19">
        <v>3.77</v>
      </c>
      <c r="F208" s="19">
        <v>13</v>
      </c>
      <c r="G208" s="17">
        <f t="shared" si="25"/>
        <v>49.01</v>
      </c>
      <c r="H208" s="236"/>
      <c r="I208" s="236"/>
      <c r="J208" s="236"/>
      <c r="K208" s="242"/>
      <c r="M208" s="270"/>
      <c r="N208" s="245"/>
      <c r="O208" s="19" t="s">
        <v>754</v>
      </c>
      <c r="P208" s="19">
        <v>3.77</v>
      </c>
      <c r="Q208" s="19">
        <v>13</v>
      </c>
      <c r="R208" s="17">
        <f t="shared" si="26"/>
        <v>49.01</v>
      </c>
      <c r="S208" s="236"/>
      <c r="T208" s="236"/>
      <c r="U208" s="236"/>
      <c r="V208" s="242"/>
    </row>
    <row r="209" spans="2:22" ht="13">
      <c r="B209" s="270"/>
      <c r="C209" s="245"/>
      <c r="D209" s="19" t="s">
        <v>791</v>
      </c>
      <c r="E209" s="19">
        <v>7.4</v>
      </c>
      <c r="F209" s="19">
        <v>13</v>
      </c>
      <c r="G209" s="17">
        <f t="shared" si="25"/>
        <v>96.2</v>
      </c>
      <c r="H209" s="236"/>
      <c r="I209" s="236"/>
      <c r="J209" s="236"/>
      <c r="K209" s="242"/>
      <c r="M209" s="270"/>
      <c r="N209" s="245"/>
      <c r="O209" s="19" t="s">
        <v>791</v>
      </c>
      <c r="P209" s="19">
        <v>6.5</v>
      </c>
      <c r="Q209" s="19">
        <v>13</v>
      </c>
      <c r="R209" s="17">
        <f t="shared" si="26"/>
        <v>84.5</v>
      </c>
      <c r="S209" s="236"/>
      <c r="T209" s="236"/>
      <c r="U209" s="236"/>
      <c r="V209" s="242"/>
    </row>
    <row r="210" spans="2:22" ht="13">
      <c r="B210" s="270"/>
      <c r="C210" s="245"/>
      <c r="D210" s="19" t="s">
        <v>792</v>
      </c>
      <c r="E210" s="19">
        <v>4.67</v>
      </c>
      <c r="F210" s="19">
        <v>13</v>
      </c>
      <c r="G210" s="17">
        <f t="shared" si="25"/>
        <v>60.71</v>
      </c>
      <c r="H210" s="236"/>
      <c r="I210" s="236"/>
      <c r="J210" s="236"/>
      <c r="K210" s="242"/>
      <c r="M210" s="270"/>
      <c r="N210" s="245"/>
      <c r="O210" s="19" t="s">
        <v>792</v>
      </c>
      <c r="P210" s="19">
        <v>4.67</v>
      </c>
      <c r="Q210" s="19">
        <v>13</v>
      </c>
      <c r="R210" s="17">
        <f t="shared" si="26"/>
        <v>60.71</v>
      </c>
      <c r="S210" s="236"/>
      <c r="T210" s="236"/>
      <c r="U210" s="236"/>
      <c r="V210" s="242"/>
    </row>
    <row r="211" spans="2:22" ht="13">
      <c r="B211" s="270"/>
      <c r="C211" s="245"/>
      <c r="D211" s="19" t="s">
        <v>793</v>
      </c>
      <c r="E211" s="19">
        <v>8.35</v>
      </c>
      <c r="F211" s="19">
        <v>13</v>
      </c>
      <c r="G211" s="17">
        <f t="shared" si="25"/>
        <v>108.55</v>
      </c>
      <c r="H211" s="236"/>
      <c r="I211" s="236"/>
      <c r="J211" s="236"/>
      <c r="K211" s="242"/>
      <c r="M211" s="270"/>
      <c r="N211" s="245"/>
      <c r="O211" s="19" t="s">
        <v>793</v>
      </c>
      <c r="P211" s="19">
        <v>7.35</v>
      </c>
      <c r="Q211" s="19">
        <v>13</v>
      </c>
      <c r="R211" s="17">
        <f t="shared" si="26"/>
        <v>95.55</v>
      </c>
      <c r="S211" s="236"/>
      <c r="T211" s="236"/>
      <c r="U211" s="236"/>
      <c r="V211" s="242"/>
    </row>
    <row r="212" spans="2:22" ht="13">
      <c r="B212" s="270"/>
      <c r="C212" s="245"/>
      <c r="D212" s="19" t="s">
        <v>70</v>
      </c>
      <c r="E212" s="19">
        <v>5.8</v>
      </c>
      <c r="F212" s="19">
        <v>13</v>
      </c>
      <c r="G212" s="17">
        <f t="shared" si="25"/>
        <v>75.399999999999991</v>
      </c>
      <c r="H212" s="236"/>
      <c r="I212" s="236"/>
      <c r="J212" s="236"/>
      <c r="K212" s="242"/>
      <c r="M212" s="270"/>
      <c r="N212" s="245"/>
      <c r="O212" s="19" t="s">
        <v>70</v>
      </c>
      <c r="P212" s="19">
        <v>5.8</v>
      </c>
      <c r="Q212" s="19">
        <v>13</v>
      </c>
      <c r="R212" s="17">
        <f t="shared" si="26"/>
        <v>75.399999999999991</v>
      </c>
      <c r="S212" s="236"/>
      <c r="T212" s="236"/>
      <c r="U212" s="236"/>
      <c r="V212" s="242"/>
    </row>
    <row r="213" spans="2:22" ht="13">
      <c r="B213" s="270"/>
      <c r="C213" s="245"/>
      <c r="D213" s="19" t="s">
        <v>794</v>
      </c>
      <c r="E213" s="19">
        <v>3.9</v>
      </c>
      <c r="F213" s="19">
        <v>13</v>
      </c>
      <c r="G213" s="17">
        <f t="shared" si="25"/>
        <v>50.699999999999996</v>
      </c>
      <c r="H213" s="236"/>
      <c r="I213" s="236"/>
      <c r="J213" s="236"/>
      <c r="K213" s="242"/>
      <c r="M213" s="270"/>
      <c r="N213" s="245"/>
      <c r="O213" s="19" t="s">
        <v>794</v>
      </c>
      <c r="P213" s="19">
        <v>3.9</v>
      </c>
      <c r="Q213" s="19">
        <v>13</v>
      </c>
      <c r="R213" s="17">
        <f t="shared" si="26"/>
        <v>50.699999999999996</v>
      </c>
      <c r="S213" s="236"/>
      <c r="T213" s="236"/>
      <c r="U213" s="236"/>
      <c r="V213" s="242"/>
    </row>
    <row r="214" spans="2:22" ht="13">
      <c r="B214" s="270"/>
      <c r="C214" s="246"/>
      <c r="D214" s="20" t="s">
        <v>33</v>
      </c>
      <c r="E214" s="20"/>
      <c r="F214" s="20"/>
      <c r="G214" s="21">
        <v>549.17999999999995</v>
      </c>
      <c r="H214" s="238"/>
      <c r="I214" s="238"/>
      <c r="J214" s="238"/>
      <c r="K214" s="243"/>
      <c r="M214" s="270"/>
      <c r="N214" s="246"/>
      <c r="O214" s="20" t="s">
        <v>33</v>
      </c>
      <c r="P214" s="20"/>
      <c r="Q214" s="20"/>
      <c r="R214" s="21">
        <v>549.17999999999995</v>
      </c>
      <c r="S214" s="238"/>
      <c r="T214" s="238"/>
      <c r="U214" s="238"/>
      <c r="V214" s="243"/>
    </row>
    <row r="215" spans="2:22" ht="13">
      <c r="B215" s="270"/>
      <c r="C215" s="289" t="s">
        <v>795</v>
      </c>
      <c r="D215" s="77" t="s">
        <v>701</v>
      </c>
      <c r="E215" s="71">
        <v>14</v>
      </c>
      <c r="F215" s="71">
        <v>18</v>
      </c>
      <c r="G215" s="16">
        <f t="shared" ref="G215:G224" si="27">E215*F215</f>
        <v>252</v>
      </c>
      <c r="H215" s="240">
        <f>SUM(G215:G225)</f>
        <v>1729.4</v>
      </c>
      <c r="I215" s="240">
        <v>6255</v>
      </c>
      <c r="J215" s="240">
        <f>I215-H215</f>
        <v>4525.6000000000004</v>
      </c>
      <c r="K215" s="241">
        <f>J215/I215</f>
        <v>0.72351718625099926</v>
      </c>
      <c r="M215" s="270"/>
      <c r="N215" s="289" t="s">
        <v>795</v>
      </c>
      <c r="O215" s="77" t="s">
        <v>701</v>
      </c>
      <c r="P215" s="104"/>
      <c r="Q215" s="104"/>
      <c r="R215" s="43"/>
      <c r="S215" s="240">
        <f>SUM(R215:R225)</f>
        <v>1477.0100000000002</v>
      </c>
      <c r="T215" s="240">
        <v>6255</v>
      </c>
      <c r="U215" s="240">
        <f>T215-S215</f>
        <v>4777.99</v>
      </c>
      <c r="V215" s="241">
        <f>U215/T215</f>
        <v>0.76386730615507592</v>
      </c>
    </row>
    <row r="216" spans="2:22" ht="13">
      <c r="B216" s="270"/>
      <c r="C216" s="245"/>
      <c r="D216" s="106" t="s">
        <v>788</v>
      </c>
      <c r="E216" s="19">
        <v>10.18</v>
      </c>
      <c r="F216" s="19">
        <v>13</v>
      </c>
      <c r="G216" s="17">
        <f t="shared" si="27"/>
        <v>132.34</v>
      </c>
      <c r="H216" s="236"/>
      <c r="I216" s="236"/>
      <c r="J216" s="236"/>
      <c r="K216" s="242"/>
      <c r="M216" s="270"/>
      <c r="N216" s="245"/>
      <c r="O216" s="106" t="s">
        <v>788</v>
      </c>
      <c r="P216" s="19">
        <v>10.18</v>
      </c>
      <c r="Q216" s="19">
        <v>13</v>
      </c>
      <c r="R216" s="17">
        <f t="shared" ref="R216:R224" si="28">P216*Q216</f>
        <v>132.34</v>
      </c>
      <c r="S216" s="236"/>
      <c r="T216" s="236"/>
      <c r="U216" s="236"/>
      <c r="V216" s="242"/>
    </row>
    <row r="217" spans="2:22" ht="13">
      <c r="B217" s="270"/>
      <c r="C217" s="245"/>
      <c r="D217" s="19" t="s">
        <v>754</v>
      </c>
      <c r="E217" s="19">
        <v>3.37</v>
      </c>
      <c r="F217" s="19">
        <v>13</v>
      </c>
      <c r="G217" s="17">
        <f t="shared" si="27"/>
        <v>43.81</v>
      </c>
      <c r="H217" s="236"/>
      <c r="I217" s="236"/>
      <c r="J217" s="236"/>
      <c r="K217" s="242"/>
      <c r="M217" s="270"/>
      <c r="N217" s="245"/>
      <c r="O217" s="19" t="s">
        <v>754</v>
      </c>
      <c r="P217" s="19">
        <v>3.37</v>
      </c>
      <c r="Q217" s="19">
        <v>13</v>
      </c>
      <c r="R217" s="17">
        <f t="shared" si="28"/>
        <v>43.81</v>
      </c>
      <c r="S217" s="236"/>
      <c r="T217" s="236"/>
      <c r="U217" s="236"/>
      <c r="V217" s="242"/>
    </row>
    <row r="218" spans="2:22" ht="13">
      <c r="B218" s="270"/>
      <c r="C218" s="245"/>
      <c r="D218" s="19" t="s">
        <v>780</v>
      </c>
      <c r="E218" s="19">
        <v>7.43</v>
      </c>
      <c r="F218" s="19">
        <v>13</v>
      </c>
      <c r="G218" s="17">
        <f t="shared" si="27"/>
        <v>96.59</v>
      </c>
      <c r="H218" s="236"/>
      <c r="I218" s="236"/>
      <c r="J218" s="236"/>
      <c r="K218" s="242"/>
      <c r="M218" s="270"/>
      <c r="N218" s="245"/>
      <c r="O218" s="19" t="s">
        <v>780</v>
      </c>
      <c r="P218" s="19">
        <v>7.43</v>
      </c>
      <c r="Q218" s="19">
        <v>13</v>
      </c>
      <c r="R218" s="17">
        <f t="shared" si="28"/>
        <v>96.59</v>
      </c>
      <c r="S218" s="236"/>
      <c r="T218" s="236"/>
      <c r="U218" s="236"/>
      <c r="V218" s="242"/>
    </row>
    <row r="219" spans="2:22" ht="13">
      <c r="B219" s="270"/>
      <c r="C219" s="245"/>
      <c r="D219" s="19" t="s">
        <v>771</v>
      </c>
      <c r="E219" s="19">
        <v>8</v>
      </c>
      <c r="F219" s="19">
        <v>13</v>
      </c>
      <c r="G219" s="17">
        <f t="shared" si="27"/>
        <v>104</v>
      </c>
      <c r="H219" s="236"/>
      <c r="I219" s="236"/>
      <c r="J219" s="236"/>
      <c r="K219" s="242"/>
      <c r="M219" s="270"/>
      <c r="N219" s="245"/>
      <c r="O219" s="19" t="s">
        <v>771</v>
      </c>
      <c r="P219" s="19">
        <v>8</v>
      </c>
      <c r="Q219" s="19">
        <v>13</v>
      </c>
      <c r="R219" s="17">
        <f t="shared" si="28"/>
        <v>104</v>
      </c>
      <c r="S219" s="236"/>
      <c r="T219" s="236"/>
      <c r="U219" s="236"/>
      <c r="V219" s="242"/>
    </row>
    <row r="220" spans="2:22" ht="13">
      <c r="B220" s="270"/>
      <c r="C220" s="245"/>
      <c r="D220" s="19" t="s">
        <v>793</v>
      </c>
      <c r="E220" s="19">
        <v>9.5299999999999994</v>
      </c>
      <c r="F220" s="19">
        <v>13</v>
      </c>
      <c r="G220" s="17">
        <f t="shared" si="27"/>
        <v>123.88999999999999</v>
      </c>
      <c r="H220" s="236"/>
      <c r="I220" s="236"/>
      <c r="J220" s="236"/>
      <c r="K220" s="242"/>
      <c r="M220" s="270"/>
      <c r="N220" s="245"/>
      <c r="O220" s="19" t="s">
        <v>793</v>
      </c>
      <c r="P220" s="19">
        <v>9.5</v>
      </c>
      <c r="Q220" s="19">
        <v>13</v>
      </c>
      <c r="R220" s="17">
        <f t="shared" si="28"/>
        <v>123.5</v>
      </c>
      <c r="S220" s="236"/>
      <c r="T220" s="236"/>
      <c r="U220" s="236"/>
      <c r="V220" s="242"/>
    </row>
    <row r="221" spans="2:22" ht="13">
      <c r="B221" s="270"/>
      <c r="C221" s="245"/>
      <c r="D221" s="19" t="s">
        <v>70</v>
      </c>
      <c r="E221" s="19">
        <v>7.68</v>
      </c>
      <c r="F221" s="19">
        <v>13</v>
      </c>
      <c r="G221" s="17">
        <f t="shared" si="27"/>
        <v>99.84</v>
      </c>
      <c r="H221" s="236"/>
      <c r="I221" s="236"/>
      <c r="J221" s="236"/>
      <c r="K221" s="242"/>
      <c r="M221" s="270"/>
      <c r="N221" s="245"/>
      <c r="O221" s="19" t="s">
        <v>70</v>
      </c>
      <c r="P221" s="19">
        <v>7.68</v>
      </c>
      <c r="Q221" s="19">
        <v>13</v>
      </c>
      <c r="R221" s="17">
        <f t="shared" si="28"/>
        <v>99.84</v>
      </c>
      <c r="S221" s="236"/>
      <c r="T221" s="236"/>
      <c r="U221" s="236"/>
      <c r="V221" s="242"/>
    </row>
    <row r="222" spans="2:22" ht="13">
      <c r="B222" s="270"/>
      <c r="C222" s="245"/>
      <c r="D222" s="19" t="s">
        <v>744</v>
      </c>
      <c r="E222" s="19">
        <v>8.66</v>
      </c>
      <c r="F222" s="19">
        <v>13</v>
      </c>
      <c r="G222" s="17">
        <f t="shared" si="27"/>
        <v>112.58</v>
      </c>
      <c r="H222" s="236"/>
      <c r="I222" s="236"/>
      <c r="J222" s="236"/>
      <c r="K222" s="242"/>
      <c r="M222" s="270"/>
      <c r="N222" s="245"/>
      <c r="O222" s="19" t="s">
        <v>744</v>
      </c>
      <c r="P222" s="19">
        <v>8.66</v>
      </c>
      <c r="Q222" s="19">
        <v>13</v>
      </c>
      <c r="R222" s="17">
        <f t="shared" si="28"/>
        <v>112.58</v>
      </c>
      <c r="S222" s="236"/>
      <c r="T222" s="236"/>
      <c r="U222" s="236"/>
      <c r="V222" s="242"/>
    </row>
    <row r="223" spans="2:22" ht="13">
      <c r="B223" s="270"/>
      <c r="C223" s="245"/>
      <c r="D223" s="19" t="s">
        <v>782</v>
      </c>
      <c r="E223" s="19">
        <v>6.42</v>
      </c>
      <c r="F223" s="19">
        <v>13</v>
      </c>
      <c r="G223" s="17">
        <f t="shared" si="27"/>
        <v>83.46</v>
      </c>
      <c r="H223" s="236"/>
      <c r="I223" s="236"/>
      <c r="J223" s="236"/>
      <c r="K223" s="242"/>
      <c r="M223" s="270"/>
      <c r="N223" s="245"/>
      <c r="O223" s="19" t="s">
        <v>782</v>
      </c>
      <c r="P223" s="19">
        <v>6.42</v>
      </c>
      <c r="Q223" s="19">
        <v>13</v>
      </c>
      <c r="R223" s="17">
        <f t="shared" si="28"/>
        <v>83.46</v>
      </c>
      <c r="S223" s="236"/>
      <c r="T223" s="236"/>
      <c r="U223" s="236"/>
      <c r="V223" s="242"/>
    </row>
    <row r="224" spans="2:22" ht="13">
      <c r="B224" s="270"/>
      <c r="C224" s="245"/>
      <c r="D224" s="19" t="s">
        <v>794</v>
      </c>
      <c r="E224" s="19">
        <v>4.8</v>
      </c>
      <c r="F224" s="19">
        <v>13</v>
      </c>
      <c r="G224" s="17">
        <f t="shared" si="27"/>
        <v>62.4</v>
      </c>
      <c r="H224" s="236"/>
      <c r="I224" s="236"/>
      <c r="J224" s="236"/>
      <c r="K224" s="242"/>
      <c r="M224" s="270"/>
      <c r="N224" s="245"/>
      <c r="O224" s="19" t="s">
        <v>794</v>
      </c>
      <c r="P224" s="19">
        <v>4.8</v>
      </c>
      <c r="Q224" s="19">
        <v>13</v>
      </c>
      <c r="R224" s="17">
        <f t="shared" si="28"/>
        <v>62.4</v>
      </c>
      <c r="S224" s="236"/>
      <c r="T224" s="236"/>
      <c r="U224" s="236"/>
      <c r="V224" s="242"/>
    </row>
    <row r="225" spans="2:22" ht="13">
      <c r="B225" s="270"/>
      <c r="C225" s="246"/>
      <c r="D225" s="20" t="s">
        <v>33</v>
      </c>
      <c r="E225" s="20"/>
      <c r="F225" s="20"/>
      <c r="G225" s="21">
        <v>618.49</v>
      </c>
      <c r="H225" s="238"/>
      <c r="I225" s="238"/>
      <c r="J225" s="238"/>
      <c r="K225" s="243"/>
      <c r="M225" s="270"/>
      <c r="N225" s="246"/>
      <c r="O225" s="20" t="s">
        <v>33</v>
      </c>
      <c r="P225" s="20"/>
      <c r="Q225" s="20"/>
      <c r="R225" s="21">
        <v>618.49</v>
      </c>
      <c r="S225" s="238"/>
      <c r="T225" s="238"/>
      <c r="U225" s="238"/>
      <c r="V225" s="243"/>
    </row>
    <row r="226" spans="2:22" ht="13">
      <c r="B226" s="270"/>
      <c r="C226" s="289" t="s">
        <v>796</v>
      </c>
      <c r="D226" s="77" t="s">
        <v>114</v>
      </c>
      <c r="E226" s="71">
        <v>7</v>
      </c>
      <c r="F226" s="71">
        <v>18</v>
      </c>
      <c r="G226" s="71">
        <f>E226*F226</f>
        <v>126</v>
      </c>
      <c r="H226" s="240">
        <f>SUM(G226:G229)</f>
        <v>328.94000000000005</v>
      </c>
      <c r="I226" s="240">
        <v>2536.9299999999998</v>
      </c>
      <c r="J226" s="240">
        <f>I226-H226</f>
        <v>2207.9899999999998</v>
      </c>
      <c r="K226" s="241">
        <f>J226/I226</f>
        <v>0.87033934716369787</v>
      </c>
      <c r="M226" s="270"/>
      <c r="N226" s="289" t="s">
        <v>796</v>
      </c>
      <c r="O226" s="77" t="s">
        <v>114</v>
      </c>
      <c r="P226" s="104"/>
      <c r="Q226" s="104"/>
      <c r="R226" s="104"/>
      <c r="S226" s="240">
        <f>SUM(R226:R229)</f>
        <v>202.94</v>
      </c>
      <c r="T226" s="240">
        <v>2536.9299999999998</v>
      </c>
      <c r="U226" s="240">
        <f>T226-S226</f>
        <v>2333.9899999999998</v>
      </c>
      <c r="V226" s="241">
        <f>U226/T226</f>
        <v>0.92000567615188433</v>
      </c>
    </row>
    <row r="227" spans="2:22" ht="13">
      <c r="B227" s="270"/>
      <c r="C227" s="245"/>
      <c r="D227" s="19" t="s">
        <v>706</v>
      </c>
      <c r="E227" s="19"/>
      <c r="F227" s="19"/>
      <c r="G227" s="17">
        <v>32.840000000000003</v>
      </c>
      <c r="H227" s="236"/>
      <c r="I227" s="236"/>
      <c r="J227" s="236"/>
      <c r="K227" s="242"/>
      <c r="M227" s="270"/>
      <c r="N227" s="245"/>
      <c r="O227" s="19" t="s">
        <v>706</v>
      </c>
      <c r="P227" s="19"/>
      <c r="Q227" s="19"/>
      <c r="R227" s="17">
        <v>32.840000000000003</v>
      </c>
      <c r="S227" s="236"/>
      <c r="T227" s="236"/>
      <c r="U227" s="236"/>
      <c r="V227" s="242"/>
    </row>
    <row r="228" spans="2:22" ht="13">
      <c r="B228" s="270"/>
      <c r="C228" s="245"/>
      <c r="D228" s="19" t="s">
        <v>797</v>
      </c>
      <c r="E228" s="19"/>
      <c r="F228" s="19"/>
      <c r="G228" s="17">
        <v>111</v>
      </c>
      <c r="H228" s="236"/>
      <c r="I228" s="236"/>
      <c r="J228" s="236"/>
      <c r="K228" s="242"/>
      <c r="M228" s="270"/>
      <c r="N228" s="245"/>
      <c r="O228" s="19" t="s">
        <v>797</v>
      </c>
      <c r="P228" s="19"/>
      <c r="Q228" s="19"/>
      <c r="R228" s="17">
        <v>111</v>
      </c>
      <c r="S228" s="236"/>
      <c r="T228" s="236"/>
      <c r="U228" s="236"/>
      <c r="V228" s="242"/>
    </row>
    <row r="229" spans="2:22" ht="13">
      <c r="B229" s="270"/>
      <c r="C229" s="246"/>
      <c r="D229" s="20" t="s">
        <v>776</v>
      </c>
      <c r="E229" s="20"/>
      <c r="F229" s="20"/>
      <c r="G229" s="21">
        <v>59.1</v>
      </c>
      <c r="H229" s="238"/>
      <c r="I229" s="238"/>
      <c r="J229" s="238"/>
      <c r="K229" s="243"/>
      <c r="M229" s="270"/>
      <c r="N229" s="246"/>
      <c r="O229" s="20" t="s">
        <v>776</v>
      </c>
      <c r="P229" s="20"/>
      <c r="Q229" s="20"/>
      <c r="R229" s="21">
        <v>59.1</v>
      </c>
      <c r="S229" s="238"/>
      <c r="T229" s="238"/>
      <c r="U229" s="238"/>
      <c r="V229" s="243"/>
    </row>
    <row r="230" spans="2:22" ht="13">
      <c r="B230" s="270"/>
      <c r="C230" s="289" t="s">
        <v>798</v>
      </c>
      <c r="D230" s="77" t="s">
        <v>114</v>
      </c>
      <c r="E230" s="71">
        <v>3.5</v>
      </c>
      <c r="F230" s="71">
        <v>18</v>
      </c>
      <c r="G230" s="71">
        <f>E230*F230</f>
        <v>63</v>
      </c>
      <c r="H230" s="240">
        <f>SUM(G230:G231)</f>
        <v>116.97</v>
      </c>
      <c r="I230" s="240">
        <v>616.5</v>
      </c>
      <c r="J230" s="240">
        <f>I230-H230</f>
        <v>499.53</v>
      </c>
      <c r="K230" s="241">
        <f>J230/I230</f>
        <v>0.81026763990267636</v>
      </c>
      <c r="M230" s="270"/>
      <c r="N230" s="289" t="s">
        <v>798</v>
      </c>
      <c r="O230" s="77" t="s">
        <v>114</v>
      </c>
      <c r="P230" s="104"/>
      <c r="Q230" s="104"/>
      <c r="R230" s="104"/>
      <c r="S230" s="240">
        <f>SUM(R230:R231)</f>
        <v>53.97</v>
      </c>
      <c r="T230" s="240">
        <v>616.5</v>
      </c>
      <c r="U230" s="240">
        <f>T230-S230</f>
        <v>562.53</v>
      </c>
      <c r="V230" s="241">
        <f>U230/T230</f>
        <v>0.91245742092457416</v>
      </c>
    </row>
    <row r="231" spans="2:22" ht="13">
      <c r="B231" s="270"/>
      <c r="C231" s="246"/>
      <c r="D231" s="20" t="s">
        <v>47</v>
      </c>
      <c r="E231" s="20"/>
      <c r="F231" s="20"/>
      <c r="G231" s="21">
        <v>53.97</v>
      </c>
      <c r="H231" s="238"/>
      <c r="I231" s="238"/>
      <c r="J231" s="238"/>
      <c r="K231" s="243"/>
      <c r="M231" s="270"/>
      <c r="N231" s="246"/>
      <c r="O231" s="20" t="s">
        <v>47</v>
      </c>
      <c r="P231" s="20"/>
      <c r="Q231" s="20"/>
      <c r="R231" s="21">
        <v>53.97</v>
      </c>
      <c r="S231" s="238"/>
      <c r="T231" s="238"/>
      <c r="U231" s="238"/>
      <c r="V231" s="243"/>
    </row>
    <row r="232" spans="2:22" ht="13">
      <c r="B232" s="270"/>
      <c r="C232" s="289" t="s">
        <v>799</v>
      </c>
      <c r="D232" s="77" t="s">
        <v>114</v>
      </c>
      <c r="E232" s="71">
        <v>7</v>
      </c>
      <c r="F232" s="71">
        <v>18</v>
      </c>
      <c r="G232" s="71">
        <f>E232*F232</f>
        <v>126</v>
      </c>
      <c r="H232" s="240">
        <f>SUM(G232:G234)</f>
        <v>261.02</v>
      </c>
      <c r="I232" s="240">
        <v>2737.28</v>
      </c>
      <c r="J232" s="240">
        <f>I232-H232</f>
        <v>2476.2600000000002</v>
      </c>
      <c r="K232" s="241">
        <f>J232/I232</f>
        <v>0.90464256488192663</v>
      </c>
      <c r="M232" s="270"/>
      <c r="N232" s="289" t="s">
        <v>799</v>
      </c>
      <c r="O232" s="77" t="s">
        <v>114</v>
      </c>
      <c r="P232" s="104"/>
      <c r="Q232" s="104"/>
      <c r="R232" s="104"/>
      <c r="S232" s="240">
        <f>SUM(R232:R234)</f>
        <v>135.02000000000001</v>
      </c>
      <c r="T232" s="240">
        <v>2737.28</v>
      </c>
      <c r="U232" s="240">
        <f>T232-S232</f>
        <v>2602.2600000000002</v>
      </c>
      <c r="V232" s="241">
        <f>U232/T232</f>
        <v>0.95067366144493803</v>
      </c>
    </row>
    <row r="233" spans="2:22" ht="13">
      <c r="B233" s="270"/>
      <c r="C233" s="245"/>
      <c r="D233" s="19" t="s">
        <v>800</v>
      </c>
      <c r="E233" s="19"/>
      <c r="F233" s="19"/>
      <c r="G233" s="17">
        <v>54.52</v>
      </c>
      <c r="H233" s="236"/>
      <c r="I233" s="236"/>
      <c r="J233" s="236"/>
      <c r="K233" s="242"/>
      <c r="M233" s="270"/>
      <c r="N233" s="245"/>
      <c r="O233" s="19" t="s">
        <v>800</v>
      </c>
      <c r="P233" s="19"/>
      <c r="Q233" s="19"/>
      <c r="R233" s="17">
        <v>54.52</v>
      </c>
      <c r="S233" s="236"/>
      <c r="T233" s="236"/>
      <c r="U233" s="236"/>
      <c r="V233" s="242"/>
    </row>
    <row r="234" spans="2:22" ht="13">
      <c r="B234" s="270"/>
      <c r="C234" s="246"/>
      <c r="D234" s="20" t="s">
        <v>776</v>
      </c>
      <c r="E234" s="20"/>
      <c r="F234" s="20"/>
      <c r="G234" s="21">
        <v>80.5</v>
      </c>
      <c r="H234" s="238"/>
      <c r="I234" s="238"/>
      <c r="J234" s="238"/>
      <c r="K234" s="243"/>
      <c r="M234" s="270"/>
      <c r="N234" s="246"/>
      <c r="O234" s="20" t="s">
        <v>776</v>
      </c>
      <c r="P234" s="20"/>
      <c r="Q234" s="20"/>
      <c r="R234" s="21">
        <v>80.5</v>
      </c>
      <c r="S234" s="238"/>
      <c r="T234" s="238"/>
      <c r="U234" s="238"/>
      <c r="V234" s="243"/>
    </row>
    <row r="235" spans="2:22" ht="30">
      <c r="B235" s="251" t="s">
        <v>801</v>
      </c>
      <c r="C235" s="252"/>
      <c r="D235" s="253"/>
      <c r="E235" s="27">
        <f t="shared" ref="E235:J235" si="29">AVERAGE(E78:E234)</f>
        <v>13.233493975903615</v>
      </c>
      <c r="F235" s="27">
        <f t="shared" si="29"/>
        <v>15.240963855421686</v>
      </c>
      <c r="G235" s="27">
        <f t="shared" si="29"/>
        <v>180.18341935483875</v>
      </c>
      <c r="H235" s="27">
        <f t="shared" si="29"/>
        <v>1117.1372000000001</v>
      </c>
      <c r="I235" s="27">
        <f t="shared" si="29"/>
        <v>3905.9528000000005</v>
      </c>
      <c r="J235" s="27">
        <f t="shared" si="29"/>
        <v>2788.8155999999999</v>
      </c>
      <c r="K235" s="28" t="str">
        <f ca="1">AVERAGE($K$12:$K$76)</f>
        <v>#REF!</v>
      </c>
      <c r="M235" s="251" t="s">
        <v>801</v>
      </c>
      <c r="N235" s="252"/>
      <c r="O235" s="253"/>
      <c r="P235" s="27">
        <f t="shared" ref="P235:U235" si="30">AVERAGE(P78:P234)</f>
        <v>15.866981132075464</v>
      </c>
      <c r="Q235" s="27">
        <f t="shared" si="30"/>
        <v>13.773584905660377</v>
      </c>
      <c r="R235" s="27">
        <f t="shared" si="30"/>
        <v>186.37872000000007</v>
      </c>
      <c r="S235" s="27">
        <f t="shared" si="30"/>
        <v>931.89359999999988</v>
      </c>
      <c r="T235" s="27">
        <f t="shared" si="30"/>
        <v>3905.9528000000005</v>
      </c>
      <c r="U235" s="27">
        <f t="shared" si="30"/>
        <v>2974.0591999999997</v>
      </c>
      <c r="V235" s="28" t="str">
        <f ca="1">AVERAGE($K$12:$K$76)</f>
        <v>#REF!</v>
      </c>
    </row>
    <row r="236" spans="2:22" ht="30">
      <c r="B236" s="254" t="s">
        <v>802</v>
      </c>
      <c r="C236" s="255"/>
      <c r="D236" s="256"/>
      <c r="E236" s="27">
        <f t="shared" ref="E236:J236" si="31">SUM(E78:E234)</f>
        <v>1098.3800000000001</v>
      </c>
      <c r="F236" s="27">
        <f t="shared" si="31"/>
        <v>1265</v>
      </c>
      <c r="G236" s="27">
        <f t="shared" si="31"/>
        <v>27928.430000000008</v>
      </c>
      <c r="H236" s="27">
        <f t="shared" si="31"/>
        <v>27928.43</v>
      </c>
      <c r="I236" s="27">
        <f t="shared" si="31"/>
        <v>97648.82</v>
      </c>
      <c r="J236" s="27">
        <f t="shared" si="31"/>
        <v>69720.39</v>
      </c>
      <c r="K236" s="29">
        <f t="shared" ref="K236:K237" si="32">J236/I236</f>
        <v>0.71399111632890178</v>
      </c>
      <c r="M236" s="254" t="s">
        <v>802</v>
      </c>
      <c r="N236" s="255"/>
      <c r="O236" s="256"/>
      <c r="P236" s="27">
        <f t="shared" ref="P236:U236" si="33">SUM(P78:P234)</f>
        <v>840.94999999999959</v>
      </c>
      <c r="Q236" s="27">
        <f t="shared" si="33"/>
        <v>730</v>
      </c>
      <c r="R236" s="27">
        <f t="shared" si="33"/>
        <v>23297.340000000007</v>
      </c>
      <c r="S236" s="27">
        <f t="shared" si="33"/>
        <v>23297.339999999997</v>
      </c>
      <c r="T236" s="27">
        <f t="shared" si="33"/>
        <v>97648.82</v>
      </c>
      <c r="U236" s="27">
        <f t="shared" si="33"/>
        <v>74351.48</v>
      </c>
      <c r="V236" s="29">
        <f t="shared" ref="V236:V237" si="34">U236/T236</f>
        <v>0.76141708624845639</v>
      </c>
    </row>
    <row r="237" spans="2:22" ht="13">
      <c r="B237" s="290" t="s">
        <v>592</v>
      </c>
      <c r="C237" s="289" t="s">
        <v>803</v>
      </c>
      <c r="D237" s="77" t="s">
        <v>114</v>
      </c>
      <c r="E237" s="71">
        <v>3.5</v>
      </c>
      <c r="F237" s="71">
        <v>18</v>
      </c>
      <c r="G237" s="71">
        <f>E237*F237</f>
        <v>63</v>
      </c>
      <c r="H237" s="240">
        <f>SUM(G237:G239)</f>
        <v>175.81</v>
      </c>
      <c r="I237" s="240">
        <v>2246.4</v>
      </c>
      <c r="J237" s="240">
        <f>I237-H237</f>
        <v>2070.59</v>
      </c>
      <c r="K237" s="241">
        <f t="shared" si="32"/>
        <v>0.92173700142450143</v>
      </c>
      <c r="M237" s="290" t="s">
        <v>592</v>
      </c>
      <c r="N237" s="289" t="s">
        <v>803</v>
      </c>
      <c r="O237" s="77" t="s">
        <v>114</v>
      </c>
      <c r="P237" s="104"/>
      <c r="Q237" s="104"/>
      <c r="R237" s="104"/>
      <c r="S237" s="240">
        <f>SUM(R237:R239)</f>
        <v>112.81</v>
      </c>
      <c r="T237" s="240">
        <v>2246.4</v>
      </c>
      <c r="U237" s="240">
        <f>T237-S237</f>
        <v>2133.59</v>
      </c>
      <c r="V237" s="241">
        <f t="shared" si="34"/>
        <v>0.94978187321937324</v>
      </c>
    </row>
    <row r="238" spans="2:22" ht="13">
      <c r="B238" s="270"/>
      <c r="C238" s="245"/>
      <c r="D238" s="19" t="s">
        <v>155</v>
      </c>
      <c r="E238" s="19"/>
      <c r="F238" s="19"/>
      <c r="G238" s="17">
        <v>94.74</v>
      </c>
      <c r="H238" s="236"/>
      <c r="I238" s="236"/>
      <c r="J238" s="236"/>
      <c r="K238" s="242"/>
      <c r="M238" s="270"/>
      <c r="N238" s="245"/>
      <c r="O238" s="19" t="s">
        <v>155</v>
      </c>
      <c r="P238" s="19"/>
      <c r="Q238" s="19"/>
      <c r="R238" s="17">
        <v>94.74</v>
      </c>
      <c r="S238" s="236"/>
      <c r="T238" s="236"/>
      <c r="U238" s="236"/>
      <c r="V238" s="242"/>
    </row>
    <row r="239" spans="2:22" ht="13">
      <c r="B239" s="270"/>
      <c r="C239" s="246"/>
      <c r="D239" s="20" t="s">
        <v>706</v>
      </c>
      <c r="E239" s="20"/>
      <c r="F239" s="20"/>
      <c r="G239" s="21">
        <v>18.07</v>
      </c>
      <c r="H239" s="238"/>
      <c r="I239" s="238"/>
      <c r="J239" s="238"/>
      <c r="K239" s="243"/>
      <c r="M239" s="270"/>
      <c r="N239" s="246"/>
      <c r="O239" s="20" t="s">
        <v>706</v>
      </c>
      <c r="P239" s="20"/>
      <c r="Q239" s="20"/>
      <c r="R239" s="21">
        <v>18.07</v>
      </c>
      <c r="S239" s="238"/>
      <c r="T239" s="238"/>
      <c r="U239" s="238"/>
      <c r="V239" s="243"/>
    </row>
    <row r="240" spans="2:22" ht="13">
      <c r="B240" s="270"/>
      <c r="C240" s="289" t="s">
        <v>804</v>
      </c>
      <c r="D240" s="77" t="s">
        <v>744</v>
      </c>
      <c r="E240" s="71">
        <v>3</v>
      </c>
      <c r="F240" s="71">
        <v>15</v>
      </c>
      <c r="G240" s="16">
        <f t="shared" ref="G240:G246" si="35">E240*F240</f>
        <v>45</v>
      </c>
      <c r="H240" s="240">
        <f>SUM(G240:G247)</f>
        <v>861.98</v>
      </c>
      <c r="I240" s="240">
        <v>2676.8</v>
      </c>
      <c r="J240" s="240">
        <f>I240-H240</f>
        <v>1814.8200000000002</v>
      </c>
      <c r="K240" s="241">
        <f>J240/I240</f>
        <v>0.67798117154811721</v>
      </c>
      <c r="M240" s="270"/>
      <c r="N240" s="289" t="s">
        <v>804</v>
      </c>
      <c r="O240" s="77" t="s">
        <v>744</v>
      </c>
      <c r="P240" s="71">
        <v>3</v>
      </c>
      <c r="Q240" s="71">
        <v>15</v>
      </c>
      <c r="R240" s="16">
        <f t="shared" ref="R240:R246" si="36">P240*Q240</f>
        <v>45</v>
      </c>
      <c r="S240" s="240">
        <f>SUM(R240:R247)</f>
        <v>861.98</v>
      </c>
      <c r="T240" s="240">
        <v>2676.8</v>
      </c>
      <c r="U240" s="240">
        <f>T240-S240</f>
        <v>1814.8200000000002</v>
      </c>
      <c r="V240" s="241">
        <f>U240/T240</f>
        <v>0.67798117154811721</v>
      </c>
    </row>
    <row r="241" spans="2:22" ht="13">
      <c r="B241" s="270"/>
      <c r="C241" s="245"/>
      <c r="D241" s="106" t="s">
        <v>742</v>
      </c>
      <c r="E241" s="19">
        <v>3</v>
      </c>
      <c r="F241" s="19">
        <v>15</v>
      </c>
      <c r="G241" s="17">
        <f t="shared" si="35"/>
        <v>45</v>
      </c>
      <c r="H241" s="236"/>
      <c r="I241" s="236"/>
      <c r="J241" s="236"/>
      <c r="K241" s="242"/>
      <c r="M241" s="270"/>
      <c r="N241" s="245"/>
      <c r="O241" s="106" t="s">
        <v>742</v>
      </c>
      <c r="P241" s="19">
        <v>3</v>
      </c>
      <c r="Q241" s="19">
        <v>15</v>
      </c>
      <c r="R241" s="17">
        <f t="shared" si="36"/>
        <v>45</v>
      </c>
      <c r="S241" s="236"/>
      <c r="T241" s="236"/>
      <c r="U241" s="236"/>
      <c r="V241" s="242"/>
    </row>
    <row r="242" spans="2:22" ht="13">
      <c r="B242" s="270"/>
      <c r="C242" s="245"/>
      <c r="D242" s="19" t="s">
        <v>805</v>
      </c>
      <c r="E242" s="19">
        <v>3</v>
      </c>
      <c r="F242" s="19">
        <v>15</v>
      </c>
      <c r="G242" s="17">
        <f t="shared" si="35"/>
        <v>45</v>
      </c>
      <c r="H242" s="236"/>
      <c r="I242" s="236"/>
      <c r="J242" s="236"/>
      <c r="K242" s="242"/>
      <c r="M242" s="270"/>
      <c r="N242" s="245"/>
      <c r="O242" s="19" t="s">
        <v>805</v>
      </c>
      <c r="P242" s="19">
        <v>3</v>
      </c>
      <c r="Q242" s="19">
        <v>15</v>
      </c>
      <c r="R242" s="17">
        <f t="shared" si="36"/>
        <v>45</v>
      </c>
      <c r="S242" s="236"/>
      <c r="T242" s="236"/>
      <c r="U242" s="236"/>
      <c r="V242" s="242"/>
    </row>
    <row r="243" spans="2:22" ht="13">
      <c r="B243" s="270"/>
      <c r="C243" s="245"/>
      <c r="D243" s="19" t="s">
        <v>737</v>
      </c>
      <c r="E243" s="19">
        <v>9</v>
      </c>
      <c r="F243" s="19">
        <v>15</v>
      </c>
      <c r="G243" s="17">
        <f t="shared" si="35"/>
        <v>135</v>
      </c>
      <c r="H243" s="236"/>
      <c r="I243" s="236"/>
      <c r="J243" s="236"/>
      <c r="K243" s="242"/>
      <c r="M243" s="270"/>
      <c r="N243" s="245"/>
      <c r="O243" s="19" t="s">
        <v>737</v>
      </c>
      <c r="P243" s="19">
        <v>9</v>
      </c>
      <c r="Q243" s="19">
        <v>15</v>
      </c>
      <c r="R243" s="17">
        <f t="shared" si="36"/>
        <v>135</v>
      </c>
      <c r="S243" s="236"/>
      <c r="T243" s="236"/>
      <c r="U243" s="236"/>
      <c r="V243" s="242"/>
    </row>
    <row r="244" spans="2:22" ht="13">
      <c r="B244" s="270"/>
      <c r="C244" s="245"/>
      <c r="D244" s="19" t="s">
        <v>137</v>
      </c>
      <c r="E244" s="19">
        <v>18</v>
      </c>
      <c r="F244" s="19">
        <v>15</v>
      </c>
      <c r="G244" s="17">
        <f t="shared" si="35"/>
        <v>270</v>
      </c>
      <c r="H244" s="236"/>
      <c r="I244" s="236"/>
      <c r="J244" s="236"/>
      <c r="K244" s="242"/>
      <c r="M244" s="270"/>
      <c r="N244" s="245"/>
      <c r="O244" s="19" t="s">
        <v>137</v>
      </c>
      <c r="P244" s="19">
        <v>18</v>
      </c>
      <c r="Q244" s="19">
        <v>15</v>
      </c>
      <c r="R244" s="17">
        <f t="shared" si="36"/>
        <v>270</v>
      </c>
      <c r="S244" s="236"/>
      <c r="T244" s="236"/>
      <c r="U244" s="236"/>
      <c r="V244" s="242"/>
    </row>
    <row r="245" spans="2:22" ht="13">
      <c r="B245" s="270"/>
      <c r="C245" s="245"/>
      <c r="D245" s="19" t="s">
        <v>806</v>
      </c>
      <c r="E245" s="19">
        <v>9</v>
      </c>
      <c r="F245" s="19">
        <v>15</v>
      </c>
      <c r="G245" s="17">
        <f t="shared" si="35"/>
        <v>135</v>
      </c>
      <c r="H245" s="236"/>
      <c r="I245" s="236"/>
      <c r="J245" s="236"/>
      <c r="K245" s="242"/>
      <c r="M245" s="270"/>
      <c r="N245" s="245"/>
      <c r="O245" s="19" t="s">
        <v>806</v>
      </c>
      <c r="P245" s="19">
        <v>9</v>
      </c>
      <c r="Q245" s="19">
        <v>15</v>
      </c>
      <c r="R245" s="17">
        <f t="shared" si="36"/>
        <v>135</v>
      </c>
      <c r="S245" s="236"/>
      <c r="T245" s="236"/>
      <c r="U245" s="236"/>
      <c r="V245" s="242"/>
    </row>
    <row r="246" spans="2:22" ht="13">
      <c r="B246" s="270"/>
      <c r="C246" s="245"/>
      <c r="D246" s="19" t="s">
        <v>807</v>
      </c>
      <c r="E246" s="19">
        <v>3</v>
      </c>
      <c r="F246" s="19">
        <v>15</v>
      </c>
      <c r="G246" s="17">
        <f t="shared" si="35"/>
        <v>45</v>
      </c>
      <c r="H246" s="236"/>
      <c r="I246" s="236"/>
      <c r="J246" s="236"/>
      <c r="K246" s="242"/>
      <c r="M246" s="270"/>
      <c r="N246" s="245"/>
      <c r="O246" s="19" t="s">
        <v>807</v>
      </c>
      <c r="P246" s="19">
        <v>3</v>
      </c>
      <c r="Q246" s="19">
        <v>15</v>
      </c>
      <c r="R246" s="17">
        <f t="shared" si="36"/>
        <v>45</v>
      </c>
      <c r="S246" s="236"/>
      <c r="T246" s="236"/>
      <c r="U246" s="236"/>
      <c r="V246" s="242"/>
    </row>
    <row r="247" spans="2:22" ht="13">
      <c r="B247" s="270"/>
      <c r="C247" s="246"/>
      <c r="D247" s="20" t="s">
        <v>33</v>
      </c>
      <c r="E247" s="20"/>
      <c r="F247" s="20"/>
      <c r="G247" s="21">
        <v>141.97999999999999</v>
      </c>
      <c r="H247" s="238"/>
      <c r="I247" s="238"/>
      <c r="J247" s="238"/>
      <c r="K247" s="243"/>
      <c r="M247" s="270"/>
      <c r="N247" s="246"/>
      <c r="O247" s="20" t="s">
        <v>33</v>
      </c>
      <c r="P247" s="20"/>
      <c r="Q247" s="20"/>
      <c r="R247" s="21">
        <v>141.97999999999999</v>
      </c>
      <c r="S247" s="238"/>
      <c r="T247" s="238"/>
      <c r="U247" s="238"/>
      <c r="V247" s="243"/>
    </row>
    <row r="248" spans="2:22" ht="13">
      <c r="B248" s="270"/>
      <c r="C248" s="299" t="s">
        <v>808</v>
      </c>
      <c r="D248" s="15" t="s">
        <v>703</v>
      </c>
      <c r="E248" s="16">
        <v>12</v>
      </c>
      <c r="F248" s="16">
        <v>15</v>
      </c>
      <c r="G248" s="16">
        <f t="shared" ref="G248:G259" si="37">E248*F248</f>
        <v>180</v>
      </c>
      <c r="H248" s="292">
        <f>SUM(G248:G261)</f>
        <v>2354.7399999999998</v>
      </c>
      <c r="I248" s="292">
        <v>8271.6</v>
      </c>
      <c r="J248" s="292">
        <f>I248-H248</f>
        <v>5916.8600000000006</v>
      </c>
      <c r="K248" s="294">
        <f>J248/I248</f>
        <v>0.71532230765510907</v>
      </c>
      <c r="M248" s="270"/>
      <c r="N248" s="299" t="s">
        <v>808</v>
      </c>
      <c r="O248" s="15" t="s">
        <v>703</v>
      </c>
      <c r="P248" s="16">
        <v>12</v>
      </c>
      <c r="Q248" s="16">
        <v>15</v>
      </c>
      <c r="R248" s="16">
        <f>P248*Q248</f>
        <v>180</v>
      </c>
      <c r="S248" s="292">
        <f>SUM(R248:R261)</f>
        <v>2294.7399999999998</v>
      </c>
      <c r="T248" s="292">
        <v>8271.6</v>
      </c>
      <c r="U248" s="292">
        <f>T248-S248</f>
        <v>5976.8600000000006</v>
      </c>
      <c r="V248" s="294">
        <f>U248/T248</f>
        <v>0.72257604332898118</v>
      </c>
    </row>
    <row r="249" spans="2:22" ht="13">
      <c r="B249" s="270"/>
      <c r="C249" s="245"/>
      <c r="D249" s="19" t="s">
        <v>809</v>
      </c>
      <c r="E249" s="17">
        <v>3</v>
      </c>
      <c r="F249" s="17">
        <v>10</v>
      </c>
      <c r="G249" s="17">
        <f t="shared" si="37"/>
        <v>30</v>
      </c>
      <c r="H249" s="236"/>
      <c r="I249" s="236"/>
      <c r="J249" s="236"/>
      <c r="K249" s="258"/>
      <c r="M249" s="270"/>
      <c r="N249" s="245"/>
      <c r="O249" s="19" t="s">
        <v>809</v>
      </c>
      <c r="P249" s="18"/>
      <c r="Q249" s="18"/>
      <c r="R249" s="18"/>
      <c r="S249" s="236"/>
      <c r="T249" s="236"/>
      <c r="U249" s="236"/>
      <c r="V249" s="258"/>
    </row>
    <row r="250" spans="2:22" ht="13">
      <c r="B250" s="270"/>
      <c r="C250" s="245"/>
      <c r="D250" s="19" t="s">
        <v>805</v>
      </c>
      <c r="E250" s="17">
        <v>15</v>
      </c>
      <c r="F250" s="17">
        <v>15</v>
      </c>
      <c r="G250" s="17">
        <f t="shared" si="37"/>
        <v>225</v>
      </c>
      <c r="H250" s="236"/>
      <c r="I250" s="236"/>
      <c r="J250" s="236"/>
      <c r="K250" s="258"/>
      <c r="M250" s="270"/>
      <c r="N250" s="245"/>
      <c r="O250" s="19" t="s">
        <v>805</v>
      </c>
      <c r="P250" s="17">
        <v>15</v>
      </c>
      <c r="Q250" s="17">
        <v>15</v>
      </c>
      <c r="R250" s="17">
        <f t="shared" ref="R250:R254" si="38">P250*Q250</f>
        <v>225</v>
      </c>
      <c r="S250" s="236"/>
      <c r="T250" s="236"/>
      <c r="U250" s="236"/>
      <c r="V250" s="258"/>
    </row>
    <row r="251" spans="2:22" ht="13">
      <c r="B251" s="270"/>
      <c r="C251" s="245"/>
      <c r="D251" s="19" t="s">
        <v>310</v>
      </c>
      <c r="E251" s="17">
        <v>6</v>
      </c>
      <c r="F251" s="17">
        <v>15</v>
      </c>
      <c r="G251" s="17">
        <f t="shared" si="37"/>
        <v>90</v>
      </c>
      <c r="H251" s="236"/>
      <c r="I251" s="236"/>
      <c r="J251" s="236"/>
      <c r="K251" s="258"/>
      <c r="M251" s="270"/>
      <c r="N251" s="245"/>
      <c r="O251" s="19" t="s">
        <v>310</v>
      </c>
      <c r="P251" s="17">
        <v>6</v>
      </c>
      <c r="Q251" s="17">
        <v>15</v>
      </c>
      <c r="R251" s="17">
        <f t="shared" si="38"/>
        <v>90</v>
      </c>
      <c r="S251" s="236"/>
      <c r="T251" s="236"/>
      <c r="U251" s="236"/>
      <c r="V251" s="258"/>
    </row>
    <row r="252" spans="2:22" ht="13">
      <c r="B252" s="270"/>
      <c r="C252" s="245"/>
      <c r="D252" s="19" t="s">
        <v>737</v>
      </c>
      <c r="E252" s="17">
        <v>9</v>
      </c>
      <c r="F252" s="17">
        <v>15</v>
      </c>
      <c r="G252" s="17">
        <f t="shared" si="37"/>
        <v>135</v>
      </c>
      <c r="H252" s="236"/>
      <c r="I252" s="236"/>
      <c r="J252" s="236"/>
      <c r="K252" s="258"/>
      <c r="M252" s="270"/>
      <c r="N252" s="245"/>
      <c r="O252" s="19" t="s">
        <v>737</v>
      </c>
      <c r="P252" s="17">
        <v>9</v>
      </c>
      <c r="Q252" s="17">
        <v>15</v>
      </c>
      <c r="R252" s="17">
        <f t="shared" si="38"/>
        <v>135</v>
      </c>
      <c r="S252" s="236"/>
      <c r="T252" s="236"/>
      <c r="U252" s="236"/>
      <c r="V252" s="258"/>
    </row>
    <row r="253" spans="2:22" ht="13">
      <c r="B253" s="270"/>
      <c r="C253" s="245"/>
      <c r="D253" s="19" t="s">
        <v>754</v>
      </c>
      <c r="E253" s="17">
        <v>6</v>
      </c>
      <c r="F253" s="17">
        <v>15</v>
      </c>
      <c r="G253" s="17">
        <f t="shared" si="37"/>
        <v>90</v>
      </c>
      <c r="H253" s="236"/>
      <c r="I253" s="236"/>
      <c r="J253" s="236"/>
      <c r="K253" s="258"/>
      <c r="M253" s="270"/>
      <c r="N253" s="245"/>
      <c r="O253" s="19" t="s">
        <v>754</v>
      </c>
      <c r="P253" s="17">
        <v>6</v>
      </c>
      <c r="Q253" s="17">
        <v>15</v>
      </c>
      <c r="R253" s="17">
        <f t="shared" si="38"/>
        <v>90</v>
      </c>
      <c r="S253" s="236"/>
      <c r="T253" s="236"/>
      <c r="U253" s="236"/>
      <c r="V253" s="258"/>
    </row>
    <row r="254" spans="2:22" ht="13">
      <c r="B254" s="270"/>
      <c r="C254" s="245"/>
      <c r="D254" s="19" t="s">
        <v>137</v>
      </c>
      <c r="E254" s="17">
        <v>30</v>
      </c>
      <c r="F254" s="17">
        <v>15</v>
      </c>
      <c r="G254" s="17">
        <f t="shared" si="37"/>
        <v>450</v>
      </c>
      <c r="H254" s="236"/>
      <c r="I254" s="236"/>
      <c r="J254" s="236"/>
      <c r="K254" s="258"/>
      <c r="M254" s="270"/>
      <c r="N254" s="245"/>
      <c r="O254" s="19" t="s">
        <v>137</v>
      </c>
      <c r="P254" s="17">
        <v>30</v>
      </c>
      <c r="Q254" s="17">
        <v>15</v>
      </c>
      <c r="R254" s="17">
        <f t="shared" si="38"/>
        <v>450</v>
      </c>
      <c r="S254" s="236"/>
      <c r="T254" s="236"/>
      <c r="U254" s="236"/>
      <c r="V254" s="258"/>
    </row>
    <row r="255" spans="2:22" ht="13">
      <c r="B255" s="270"/>
      <c r="C255" s="245"/>
      <c r="D255" s="110" t="s">
        <v>810</v>
      </c>
      <c r="E255" s="17">
        <v>3</v>
      </c>
      <c r="F255" s="17">
        <v>10</v>
      </c>
      <c r="G255" s="17">
        <f t="shared" si="37"/>
        <v>30</v>
      </c>
      <c r="H255" s="236"/>
      <c r="I255" s="236"/>
      <c r="J255" s="236"/>
      <c r="K255" s="258"/>
      <c r="M255" s="270"/>
      <c r="N255" s="245"/>
      <c r="O255" s="110" t="s">
        <v>810</v>
      </c>
      <c r="P255" s="18"/>
      <c r="Q255" s="18"/>
      <c r="R255" s="18"/>
      <c r="S255" s="236"/>
      <c r="T255" s="236"/>
      <c r="U255" s="236"/>
      <c r="V255" s="258"/>
    </row>
    <row r="256" spans="2:22" ht="13">
      <c r="B256" s="270"/>
      <c r="C256" s="245"/>
      <c r="D256" s="19" t="s">
        <v>806</v>
      </c>
      <c r="E256" s="17">
        <v>6</v>
      </c>
      <c r="F256" s="17">
        <v>15</v>
      </c>
      <c r="G256" s="17">
        <f t="shared" si="37"/>
        <v>90</v>
      </c>
      <c r="H256" s="236"/>
      <c r="I256" s="236"/>
      <c r="J256" s="236"/>
      <c r="K256" s="258"/>
      <c r="M256" s="270"/>
      <c r="N256" s="245"/>
      <c r="O256" s="19" t="s">
        <v>806</v>
      </c>
      <c r="P256" s="17">
        <v>6</v>
      </c>
      <c r="Q256" s="17">
        <v>15</v>
      </c>
      <c r="R256" s="17">
        <f t="shared" ref="R256:R259" si="39">P256*Q256</f>
        <v>90</v>
      </c>
      <c r="S256" s="236"/>
      <c r="T256" s="236"/>
      <c r="U256" s="236"/>
      <c r="V256" s="258"/>
    </row>
    <row r="257" spans="2:22" ht="13">
      <c r="B257" s="270"/>
      <c r="C257" s="245"/>
      <c r="D257" s="19" t="s">
        <v>807</v>
      </c>
      <c r="E257" s="17">
        <v>12</v>
      </c>
      <c r="F257" s="17">
        <v>15</v>
      </c>
      <c r="G257" s="17">
        <f t="shared" si="37"/>
        <v>180</v>
      </c>
      <c r="H257" s="236"/>
      <c r="I257" s="236"/>
      <c r="J257" s="236"/>
      <c r="K257" s="258"/>
      <c r="M257" s="270"/>
      <c r="N257" s="245"/>
      <c r="O257" s="19" t="s">
        <v>807</v>
      </c>
      <c r="P257" s="17">
        <v>12</v>
      </c>
      <c r="Q257" s="17">
        <v>15</v>
      </c>
      <c r="R257" s="17">
        <f t="shared" si="39"/>
        <v>180</v>
      </c>
      <c r="S257" s="236"/>
      <c r="T257" s="236"/>
      <c r="U257" s="236"/>
      <c r="V257" s="258"/>
    </row>
    <row r="258" spans="2:22" ht="13">
      <c r="B258" s="270"/>
      <c r="C258" s="245"/>
      <c r="D258" s="19" t="s">
        <v>811</v>
      </c>
      <c r="E258" s="17">
        <v>6</v>
      </c>
      <c r="F258" s="17">
        <v>15</v>
      </c>
      <c r="G258" s="17">
        <f t="shared" si="37"/>
        <v>90</v>
      </c>
      <c r="H258" s="236"/>
      <c r="I258" s="236"/>
      <c r="J258" s="236"/>
      <c r="K258" s="258"/>
      <c r="M258" s="270"/>
      <c r="N258" s="245"/>
      <c r="O258" s="19" t="s">
        <v>811</v>
      </c>
      <c r="P258" s="17">
        <v>6</v>
      </c>
      <c r="Q258" s="17">
        <v>15</v>
      </c>
      <c r="R258" s="17">
        <f t="shared" si="39"/>
        <v>90</v>
      </c>
      <c r="S258" s="236"/>
      <c r="T258" s="236"/>
      <c r="U258" s="236"/>
      <c r="V258" s="258"/>
    </row>
    <row r="259" spans="2:22" ht="13">
      <c r="B259" s="270"/>
      <c r="C259" s="245"/>
      <c r="D259" s="19" t="s">
        <v>70</v>
      </c>
      <c r="E259" s="17">
        <v>12</v>
      </c>
      <c r="F259" s="17">
        <v>15</v>
      </c>
      <c r="G259" s="17">
        <f t="shared" si="37"/>
        <v>180</v>
      </c>
      <c r="H259" s="236"/>
      <c r="I259" s="236"/>
      <c r="J259" s="236"/>
      <c r="K259" s="258"/>
      <c r="M259" s="270"/>
      <c r="N259" s="245"/>
      <c r="O259" s="19" t="s">
        <v>70</v>
      </c>
      <c r="P259" s="17">
        <v>12</v>
      </c>
      <c r="Q259" s="17">
        <v>15</v>
      </c>
      <c r="R259" s="17">
        <f t="shared" si="39"/>
        <v>180</v>
      </c>
      <c r="S259" s="236"/>
      <c r="T259" s="236"/>
      <c r="U259" s="236"/>
      <c r="V259" s="258"/>
    </row>
    <row r="260" spans="2:22" ht="13">
      <c r="B260" s="270"/>
      <c r="C260" s="245"/>
      <c r="D260" s="19" t="s">
        <v>812</v>
      </c>
      <c r="E260" s="17"/>
      <c r="F260" s="17"/>
      <c r="G260" s="17">
        <v>372.5</v>
      </c>
      <c r="H260" s="236"/>
      <c r="I260" s="236"/>
      <c r="J260" s="236"/>
      <c r="K260" s="258"/>
      <c r="M260" s="270"/>
      <c r="N260" s="245"/>
      <c r="O260" s="19" t="s">
        <v>812</v>
      </c>
      <c r="P260" s="17"/>
      <c r="Q260" s="17"/>
      <c r="R260" s="17">
        <v>372.5</v>
      </c>
      <c r="S260" s="236"/>
      <c r="T260" s="236"/>
      <c r="U260" s="236"/>
      <c r="V260" s="258"/>
    </row>
    <row r="261" spans="2:22" ht="13">
      <c r="B261" s="270"/>
      <c r="C261" s="246"/>
      <c r="D261" s="20" t="s">
        <v>735</v>
      </c>
      <c r="E261" s="21"/>
      <c r="F261" s="21"/>
      <c r="G261" s="21">
        <v>212.24</v>
      </c>
      <c r="H261" s="293"/>
      <c r="I261" s="293"/>
      <c r="J261" s="293"/>
      <c r="K261" s="295"/>
      <c r="M261" s="270"/>
      <c r="N261" s="246"/>
      <c r="O261" s="20" t="s">
        <v>735</v>
      </c>
      <c r="P261" s="21"/>
      <c r="Q261" s="21"/>
      <c r="R261" s="21">
        <v>212.24</v>
      </c>
      <c r="S261" s="293"/>
      <c r="T261" s="293"/>
      <c r="U261" s="293"/>
      <c r="V261" s="295"/>
    </row>
    <row r="262" spans="2:22" ht="13">
      <c r="B262" s="270"/>
      <c r="C262" s="299" t="s">
        <v>813</v>
      </c>
      <c r="D262" s="15" t="s">
        <v>703</v>
      </c>
      <c r="E262" s="16">
        <v>5</v>
      </c>
      <c r="F262" s="16">
        <v>13</v>
      </c>
      <c r="G262" s="16">
        <f t="shared" ref="G262:G270" si="40">E262*F262</f>
        <v>65</v>
      </c>
      <c r="H262" s="292">
        <f>SUM(G262:G271)</f>
        <v>938.46</v>
      </c>
      <c r="I262" s="292">
        <v>2368.8000000000002</v>
      </c>
      <c r="J262" s="292">
        <f>I262-H262</f>
        <v>1430.3400000000001</v>
      </c>
      <c r="K262" s="294">
        <f>J262/I262</f>
        <v>0.60382472137791288</v>
      </c>
      <c r="M262" s="270"/>
      <c r="N262" s="299" t="s">
        <v>813</v>
      </c>
      <c r="O262" s="15" t="s">
        <v>703</v>
      </c>
      <c r="P262" s="16">
        <v>5</v>
      </c>
      <c r="Q262" s="16">
        <v>13</v>
      </c>
      <c r="R262" s="16">
        <f>P262*Q262</f>
        <v>65</v>
      </c>
      <c r="S262" s="292">
        <f>SUM(R262:R271)</f>
        <v>560.46</v>
      </c>
      <c r="T262" s="292">
        <v>2368.8000000000002</v>
      </c>
      <c r="U262" s="292">
        <f>T262-S262</f>
        <v>1808.3400000000001</v>
      </c>
      <c r="V262" s="294">
        <f>U262/T262</f>
        <v>0.76339918946301921</v>
      </c>
    </row>
    <row r="263" spans="2:22" ht="13">
      <c r="B263" s="270"/>
      <c r="C263" s="245"/>
      <c r="D263" s="19" t="s">
        <v>114</v>
      </c>
      <c r="E263" s="17">
        <v>14</v>
      </c>
      <c r="F263" s="17">
        <v>18</v>
      </c>
      <c r="G263" s="17">
        <f t="shared" si="40"/>
        <v>252</v>
      </c>
      <c r="H263" s="236"/>
      <c r="I263" s="236"/>
      <c r="J263" s="236"/>
      <c r="K263" s="258"/>
      <c r="M263" s="270"/>
      <c r="N263" s="245"/>
      <c r="O263" s="19" t="s">
        <v>114</v>
      </c>
      <c r="P263" s="18"/>
      <c r="Q263" s="18"/>
      <c r="R263" s="18"/>
      <c r="S263" s="236"/>
      <c r="T263" s="236"/>
      <c r="U263" s="236"/>
      <c r="V263" s="258"/>
    </row>
    <row r="264" spans="2:22" ht="13">
      <c r="B264" s="270"/>
      <c r="C264" s="245"/>
      <c r="D264" s="19" t="s">
        <v>310</v>
      </c>
      <c r="E264" s="17">
        <v>3.75</v>
      </c>
      <c r="F264" s="17">
        <v>13</v>
      </c>
      <c r="G264" s="17">
        <f t="shared" si="40"/>
        <v>48.75</v>
      </c>
      <c r="H264" s="236"/>
      <c r="I264" s="236"/>
      <c r="J264" s="236"/>
      <c r="K264" s="258"/>
      <c r="M264" s="270"/>
      <c r="N264" s="245"/>
      <c r="O264" s="19" t="s">
        <v>310</v>
      </c>
      <c r="P264" s="17">
        <v>3.75</v>
      </c>
      <c r="Q264" s="17">
        <v>13</v>
      </c>
      <c r="R264" s="17">
        <f t="shared" ref="R264:R269" si="41">P264*Q264</f>
        <v>48.75</v>
      </c>
      <c r="S264" s="236"/>
      <c r="T264" s="236"/>
      <c r="U264" s="236"/>
      <c r="V264" s="258"/>
    </row>
    <row r="265" spans="2:22" ht="13">
      <c r="B265" s="270"/>
      <c r="C265" s="245"/>
      <c r="D265" s="19" t="s">
        <v>265</v>
      </c>
      <c r="E265" s="17">
        <v>2.5</v>
      </c>
      <c r="F265" s="17">
        <v>13</v>
      </c>
      <c r="G265" s="17">
        <f t="shared" si="40"/>
        <v>32.5</v>
      </c>
      <c r="H265" s="236"/>
      <c r="I265" s="236"/>
      <c r="J265" s="236"/>
      <c r="K265" s="258"/>
      <c r="M265" s="270"/>
      <c r="N265" s="245"/>
      <c r="O265" s="19" t="s">
        <v>265</v>
      </c>
      <c r="P265" s="17">
        <v>2.5</v>
      </c>
      <c r="Q265" s="17">
        <v>13</v>
      </c>
      <c r="R265" s="17">
        <f t="shared" si="41"/>
        <v>32.5</v>
      </c>
      <c r="S265" s="236"/>
      <c r="T265" s="236"/>
      <c r="U265" s="236"/>
      <c r="V265" s="258"/>
    </row>
    <row r="266" spans="2:22" ht="13">
      <c r="B266" s="270"/>
      <c r="C266" s="245"/>
      <c r="D266" s="19" t="s">
        <v>70</v>
      </c>
      <c r="E266" s="17">
        <v>5</v>
      </c>
      <c r="F266" s="17">
        <v>13</v>
      </c>
      <c r="G266" s="17">
        <f t="shared" si="40"/>
        <v>65</v>
      </c>
      <c r="H266" s="236"/>
      <c r="I266" s="236"/>
      <c r="J266" s="236"/>
      <c r="K266" s="258"/>
      <c r="M266" s="270"/>
      <c r="N266" s="245"/>
      <c r="O266" s="19" t="s">
        <v>70</v>
      </c>
      <c r="P266" s="17">
        <v>5</v>
      </c>
      <c r="Q266" s="17">
        <v>13</v>
      </c>
      <c r="R266" s="17">
        <f t="shared" si="41"/>
        <v>65</v>
      </c>
      <c r="S266" s="236"/>
      <c r="T266" s="236"/>
      <c r="U266" s="236"/>
      <c r="V266" s="258"/>
    </row>
    <row r="267" spans="2:22" ht="13">
      <c r="B267" s="270"/>
      <c r="C267" s="245"/>
      <c r="D267" s="19" t="s">
        <v>754</v>
      </c>
      <c r="E267" s="17">
        <v>2.65</v>
      </c>
      <c r="F267" s="17">
        <v>13</v>
      </c>
      <c r="G267" s="17">
        <f t="shared" si="40"/>
        <v>34.449999999999996</v>
      </c>
      <c r="H267" s="236"/>
      <c r="I267" s="236"/>
      <c r="J267" s="236"/>
      <c r="K267" s="258"/>
      <c r="M267" s="270"/>
      <c r="N267" s="245"/>
      <c r="O267" s="19" t="s">
        <v>754</v>
      </c>
      <c r="P267" s="17">
        <v>2.65</v>
      </c>
      <c r="Q267" s="17">
        <v>13</v>
      </c>
      <c r="R267" s="17">
        <f t="shared" si="41"/>
        <v>34.449999999999996</v>
      </c>
      <c r="S267" s="236"/>
      <c r="T267" s="236"/>
      <c r="U267" s="236"/>
      <c r="V267" s="258"/>
    </row>
    <row r="268" spans="2:22" ht="13">
      <c r="B268" s="270"/>
      <c r="C268" s="245"/>
      <c r="D268" s="19" t="s">
        <v>814</v>
      </c>
      <c r="E268" s="17">
        <v>5.08</v>
      </c>
      <c r="F268" s="17">
        <v>13</v>
      </c>
      <c r="G268" s="17">
        <f t="shared" si="40"/>
        <v>66.040000000000006</v>
      </c>
      <c r="H268" s="236"/>
      <c r="I268" s="236"/>
      <c r="J268" s="236"/>
      <c r="K268" s="258"/>
      <c r="M268" s="270"/>
      <c r="N268" s="245"/>
      <c r="O268" s="19" t="s">
        <v>814</v>
      </c>
      <c r="P268" s="17">
        <v>5.08</v>
      </c>
      <c r="Q268" s="17">
        <v>13</v>
      </c>
      <c r="R268" s="17">
        <f t="shared" si="41"/>
        <v>66.040000000000006</v>
      </c>
      <c r="S268" s="236"/>
      <c r="T268" s="236"/>
      <c r="U268" s="236"/>
      <c r="V268" s="258"/>
    </row>
    <row r="269" spans="2:22" ht="13">
      <c r="B269" s="270"/>
      <c r="C269" s="245"/>
      <c r="D269" s="110" t="s">
        <v>537</v>
      </c>
      <c r="E269" s="17">
        <v>7.41</v>
      </c>
      <c r="F269" s="17">
        <v>13</v>
      </c>
      <c r="G269" s="17">
        <f t="shared" si="40"/>
        <v>96.33</v>
      </c>
      <c r="H269" s="236"/>
      <c r="I269" s="236"/>
      <c r="J269" s="236"/>
      <c r="K269" s="258"/>
      <c r="M269" s="270"/>
      <c r="N269" s="245"/>
      <c r="O269" s="110" t="s">
        <v>537</v>
      </c>
      <c r="P269" s="17">
        <v>7.41</v>
      </c>
      <c r="Q269" s="17">
        <v>13</v>
      </c>
      <c r="R269" s="17">
        <f t="shared" si="41"/>
        <v>96.33</v>
      </c>
      <c r="S269" s="236"/>
      <c r="T269" s="236"/>
      <c r="U269" s="236"/>
      <c r="V269" s="258"/>
    </row>
    <row r="270" spans="2:22" ht="13">
      <c r="B270" s="270"/>
      <c r="C270" s="245"/>
      <c r="D270" s="19" t="s">
        <v>815</v>
      </c>
      <c r="E270" s="17">
        <v>7</v>
      </c>
      <c r="F270" s="17">
        <v>18</v>
      </c>
      <c r="G270" s="17">
        <f t="shared" si="40"/>
        <v>126</v>
      </c>
      <c r="H270" s="236"/>
      <c r="I270" s="236"/>
      <c r="J270" s="236"/>
      <c r="K270" s="258"/>
      <c r="M270" s="270"/>
      <c r="N270" s="245"/>
      <c r="O270" s="19" t="s">
        <v>815</v>
      </c>
      <c r="P270" s="18"/>
      <c r="Q270" s="18"/>
      <c r="R270" s="18"/>
      <c r="S270" s="236"/>
      <c r="T270" s="236"/>
      <c r="U270" s="236"/>
      <c r="V270" s="258"/>
    </row>
    <row r="271" spans="2:22" ht="15" customHeight="1">
      <c r="B271" s="270"/>
      <c r="C271" s="246"/>
      <c r="D271" s="20" t="s">
        <v>735</v>
      </c>
      <c r="E271" s="21"/>
      <c r="F271" s="21"/>
      <c r="G271" s="21">
        <v>152.38999999999999</v>
      </c>
      <c r="H271" s="293"/>
      <c r="I271" s="293"/>
      <c r="J271" s="293"/>
      <c r="K271" s="295"/>
      <c r="M271" s="270"/>
      <c r="N271" s="246"/>
      <c r="O271" s="20" t="s">
        <v>735</v>
      </c>
      <c r="P271" s="21"/>
      <c r="Q271" s="21"/>
      <c r="R271" s="21">
        <v>152.38999999999999</v>
      </c>
      <c r="S271" s="293"/>
      <c r="T271" s="293"/>
      <c r="U271" s="293"/>
      <c r="V271" s="295"/>
    </row>
    <row r="272" spans="2:22" ht="13">
      <c r="B272" s="270"/>
      <c r="C272" s="289" t="s">
        <v>816</v>
      </c>
      <c r="D272" s="77" t="s">
        <v>740</v>
      </c>
      <c r="E272" s="71"/>
      <c r="F272" s="71"/>
      <c r="G272" s="16">
        <v>500</v>
      </c>
      <c r="H272" s="240">
        <f>SUM(G272:G277)</f>
        <v>1099.7</v>
      </c>
      <c r="I272" s="240">
        <v>4571.88</v>
      </c>
      <c r="J272" s="240">
        <f>I272-H272</f>
        <v>3472.1800000000003</v>
      </c>
      <c r="K272" s="241">
        <f>J272/I272</f>
        <v>0.75946437789268317</v>
      </c>
      <c r="M272" s="270"/>
      <c r="N272" s="289" t="s">
        <v>816</v>
      </c>
      <c r="O272" s="77" t="s">
        <v>740</v>
      </c>
      <c r="P272" s="71"/>
      <c r="Q272" s="71"/>
      <c r="R272" s="16">
        <v>500</v>
      </c>
      <c r="S272" s="240">
        <f>SUM(R272:R277)</f>
        <v>1099.7</v>
      </c>
      <c r="T272" s="240">
        <v>4571.88</v>
      </c>
      <c r="U272" s="240">
        <f>T272-S272</f>
        <v>3472.1800000000003</v>
      </c>
      <c r="V272" s="241">
        <f>U272/T272</f>
        <v>0.75946437789268317</v>
      </c>
    </row>
    <row r="273" spans="2:22" ht="13">
      <c r="B273" s="270"/>
      <c r="C273" s="245"/>
      <c r="D273" s="106" t="s">
        <v>817</v>
      </c>
      <c r="E273" s="19"/>
      <c r="F273" s="19"/>
      <c r="G273" s="17">
        <v>90</v>
      </c>
      <c r="H273" s="236"/>
      <c r="I273" s="236"/>
      <c r="J273" s="236"/>
      <c r="K273" s="242"/>
      <c r="M273" s="270"/>
      <c r="N273" s="245"/>
      <c r="O273" s="106" t="s">
        <v>817</v>
      </c>
      <c r="P273" s="19"/>
      <c r="Q273" s="19"/>
      <c r="R273" s="17">
        <v>90</v>
      </c>
      <c r="S273" s="236"/>
      <c r="T273" s="236"/>
      <c r="U273" s="236"/>
      <c r="V273" s="242"/>
    </row>
    <row r="274" spans="2:22" ht="13">
      <c r="B274" s="270"/>
      <c r="C274" s="245"/>
      <c r="D274" s="19" t="s">
        <v>47</v>
      </c>
      <c r="E274" s="19"/>
      <c r="F274" s="19"/>
      <c r="G274" s="17">
        <v>61.98</v>
      </c>
      <c r="H274" s="236"/>
      <c r="I274" s="236"/>
      <c r="J274" s="236"/>
      <c r="K274" s="242"/>
      <c r="M274" s="270"/>
      <c r="N274" s="245"/>
      <c r="O274" s="19" t="s">
        <v>47</v>
      </c>
      <c r="P274" s="19"/>
      <c r="Q274" s="19"/>
      <c r="R274" s="17">
        <v>61.98</v>
      </c>
      <c r="S274" s="236"/>
      <c r="T274" s="236"/>
      <c r="U274" s="236"/>
      <c r="V274" s="242"/>
    </row>
    <row r="275" spans="2:22" ht="13">
      <c r="B275" s="270"/>
      <c r="C275" s="245"/>
      <c r="D275" s="19" t="s">
        <v>155</v>
      </c>
      <c r="E275" s="19"/>
      <c r="F275" s="19"/>
      <c r="G275" s="17">
        <v>103</v>
      </c>
      <c r="H275" s="236"/>
      <c r="I275" s="236"/>
      <c r="J275" s="236"/>
      <c r="K275" s="242"/>
      <c r="M275" s="270"/>
      <c r="N275" s="245"/>
      <c r="O275" s="19" t="s">
        <v>155</v>
      </c>
      <c r="P275" s="19"/>
      <c r="Q275" s="19"/>
      <c r="R275" s="17">
        <v>103</v>
      </c>
      <c r="S275" s="236"/>
      <c r="T275" s="236"/>
      <c r="U275" s="236"/>
      <c r="V275" s="242"/>
    </row>
    <row r="276" spans="2:22" ht="13">
      <c r="B276" s="270"/>
      <c r="C276" s="245"/>
      <c r="D276" s="19" t="s">
        <v>818</v>
      </c>
      <c r="E276" s="19"/>
      <c r="F276" s="19"/>
      <c r="G276" s="17">
        <v>54.72</v>
      </c>
      <c r="H276" s="236"/>
      <c r="I276" s="236"/>
      <c r="J276" s="236"/>
      <c r="K276" s="242"/>
      <c r="M276" s="270"/>
      <c r="N276" s="245"/>
      <c r="O276" s="19" t="s">
        <v>818</v>
      </c>
      <c r="P276" s="19"/>
      <c r="Q276" s="19"/>
      <c r="R276" s="17">
        <v>54.72</v>
      </c>
      <c r="S276" s="236"/>
      <c r="T276" s="236"/>
      <c r="U276" s="236"/>
      <c r="V276" s="242"/>
    </row>
    <row r="277" spans="2:22" ht="13">
      <c r="B277" s="270"/>
      <c r="C277" s="246"/>
      <c r="D277" s="20" t="s">
        <v>819</v>
      </c>
      <c r="E277" s="20"/>
      <c r="F277" s="20"/>
      <c r="G277" s="21">
        <v>290</v>
      </c>
      <c r="H277" s="238"/>
      <c r="I277" s="238"/>
      <c r="J277" s="238"/>
      <c r="K277" s="243"/>
      <c r="M277" s="270"/>
      <c r="N277" s="246"/>
      <c r="O277" s="20" t="s">
        <v>819</v>
      </c>
      <c r="P277" s="20"/>
      <c r="Q277" s="20"/>
      <c r="R277" s="21">
        <v>290</v>
      </c>
      <c r="S277" s="238"/>
      <c r="T277" s="238"/>
      <c r="U277" s="238"/>
      <c r="V277" s="243"/>
    </row>
    <row r="278" spans="2:22" ht="13">
      <c r="B278" s="270"/>
      <c r="C278" s="289" t="s">
        <v>820</v>
      </c>
      <c r="D278" s="77" t="s">
        <v>114</v>
      </c>
      <c r="E278" s="71">
        <v>21</v>
      </c>
      <c r="F278" s="71">
        <v>18</v>
      </c>
      <c r="G278" s="16">
        <f t="shared" ref="G278:G292" si="42">E278*F278</f>
        <v>378</v>
      </c>
      <c r="H278" s="240">
        <f>SUM(G278:G294)</f>
        <v>3631.1400000000003</v>
      </c>
      <c r="I278" s="240">
        <v>7500</v>
      </c>
      <c r="J278" s="240">
        <f>I278-H278</f>
        <v>3868.8599999999997</v>
      </c>
      <c r="K278" s="241">
        <f>J278/I278</f>
        <v>0.51584799999999997</v>
      </c>
      <c r="M278" s="270"/>
      <c r="N278" s="289" t="s">
        <v>820</v>
      </c>
      <c r="O278" s="77" t="s">
        <v>114</v>
      </c>
      <c r="P278" s="104"/>
      <c r="Q278" s="104"/>
      <c r="R278" s="43"/>
      <c r="S278" s="240">
        <f>SUM(R278:R294)</f>
        <v>2857.2</v>
      </c>
      <c r="T278" s="240">
        <v>7500</v>
      </c>
      <c r="U278" s="240">
        <f>T278-S278</f>
        <v>4642.8</v>
      </c>
      <c r="V278" s="241">
        <f>U278/T278</f>
        <v>0.61904000000000003</v>
      </c>
    </row>
    <row r="279" spans="2:22" ht="13">
      <c r="B279" s="270"/>
      <c r="C279" s="245"/>
      <c r="D279" s="106" t="s">
        <v>821</v>
      </c>
      <c r="E279" s="19">
        <v>17.149999999999999</v>
      </c>
      <c r="F279" s="19">
        <v>13</v>
      </c>
      <c r="G279" s="17">
        <f t="shared" si="42"/>
        <v>222.95</v>
      </c>
      <c r="H279" s="236"/>
      <c r="I279" s="236"/>
      <c r="J279" s="236"/>
      <c r="K279" s="242"/>
      <c r="M279" s="270"/>
      <c r="N279" s="245"/>
      <c r="O279" s="106" t="s">
        <v>821</v>
      </c>
      <c r="P279" s="19">
        <v>17.149999999999999</v>
      </c>
      <c r="Q279" s="19">
        <v>13</v>
      </c>
      <c r="R279" s="17">
        <f t="shared" ref="R279:R280" si="43">P279*Q279</f>
        <v>222.95</v>
      </c>
      <c r="S279" s="236"/>
      <c r="T279" s="236"/>
      <c r="U279" s="236"/>
      <c r="V279" s="242"/>
    </row>
    <row r="280" spans="2:22" ht="13">
      <c r="B280" s="270"/>
      <c r="C280" s="245"/>
      <c r="D280" s="19" t="s">
        <v>771</v>
      </c>
      <c r="E280" s="19">
        <v>17.149999999999999</v>
      </c>
      <c r="F280" s="19">
        <v>13</v>
      </c>
      <c r="G280" s="17">
        <f t="shared" si="42"/>
        <v>222.95</v>
      </c>
      <c r="H280" s="236"/>
      <c r="I280" s="236"/>
      <c r="J280" s="236"/>
      <c r="K280" s="242"/>
      <c r="M280" s="270"/>
      <c r="N280" s="245"/>
      <c r="O280" s="19" t="s">
        <v>771</v>
      </c>
      <c r="P280" s="19">
        <v>17</v>
      </c>
      <c r="Q280" s="19">
        <v>13</v>
      </c>
      <c r="R280" s="17">
        <f t="shared" si="43"/>
        <v>221</v>
      </c>
      <c r="S280" s="236"/>
      <c r="T280" s="236"/>
      <c r="U280" s="236"/>
      <c r="V280" s="242"/>
    </row>
    <row r="281" spans="2:22" ht="13">
      <c r="B281" s="270"/>
      <c r="C281" s="245"/>
      <c r="D281" s="19" t="s">
        <v>815</v>
      </c>
      <c r="E281" s="19">
        <v>14</v>
      </c>
      <c r="F281" s="19">
        <v>18</v>
      </c>
      <c r="G281" s="17">
        <f t="shared" si="42"/>
        <v>252</v>
      </c>
      <c r="H281" s="236"/>
      <c r="I281" s="236"/>
      <c r="J281" s="236"/>
      <c r="K281" s="242"/>
      <c r="M281" s="270"/>
      <c r="N281" s="245"/>
      <c r="O281" s="19" t="s">
        <v>815</v>
      </c>
      <c r="P281" s="105"/>
      <c r="Q281" s="105"/>
      <c r="R281" s="18"/>
      <c r="S281" s="236"/>
      <c r="T281" s="236"/>
      <c r="U281" s="236"/>
      <c r="V281" s="242"/>
    </row>
    <row r="282" spans="2:22" ht="13">
      <c r="B282" s="270"/>
      <c r="C282" s="245"/>
      <c r="D282" s="19" t="s">
        <v>822</v>
      </c>
      <c r="E282" s="19">
        <v>16.57</v>
      </c>
      <c r="F282" s="19">
        <v>13</v>
      </c>
      <c r="G282" s="17">
        <f t="shared" si="42"/>
        <v>215.41</v>
      </c>
      <c r="H282" s="236"/>
      <c r="I282" s="236"/>
      <c r="J282" s="236"/>
      <c r="K282" s="242"/>
      <c r="M282" s="270"/>
      <c r="N282" s="245"/>
      <c r="O282" s="19" t="s">
        <v>822</v>
      </c>
      <c r="P282" s="19">
        <v>16.57</v>
      </c>
      <c r="Q282" s="19">
        <v>13</v>
      </c>
      <c r="R282" s="17">
        <f>P282*Q282</f>
        <v>215.41</v>
      </c>
      <c r="S282" s="236"/>
      <c r="T282" s="236"/>
      <c r="U282" s="236"/>
      <c r="V282" s="242"/>
    </row>
    <row r="283" spans="2:22" ht="13">
      <c r="B283" s="270"/>
      <c r="C283" s="245"/>
      <c r="D283" s="19" t="s">
        <v>809</v>
      </c>
      <c r="E283" s="19">
        <v>7</v>
      </c>
      <c r="F283" s="19">
        <v>18</v>
      </c>
      <c r="G283" s="17">
        <f t="shared" si="42"/>
        <v>126</v>
      </c>
      <c r="H283" s="236"/>
      <c r="I283" s="236"/>
      <c r="J283" s="236"/>
      <c r="K283" s="242"/>
      <c r="M283" s="270"/>
      <c r="N283" s="245"/>
      <c r="O283" s="19" t="s">
        <v>809</v>
      </c>
      <c r="P283" s="105"/>
      <c r="Q283" s="105"/>
      <c r="R283" s="18"/>
      <c r="S283" s="236"/>
      <c r="T283" s="236"/>
      <c r="U283" s="236"/>
      <c r="V283" s="242"/>
    </row>
    <row r="284" spans="2:22" ht="13">
      <c r="B284" s="270"/>
      <c r="C284" s="245"/>
      <c r="D284" s="19" t="s">
        <v>823</v>
      </c>
      <c r="E284" s="19">
        <v>22.4</v>
      </c>
      <c r="F284" s="19">
        <v>13</v>
      </c>
      <c r="G284" s="17">
        <f t="shared" si="42"/>
        <v>291.2</v>
      </c>
      <c r="H284" s="236"/>
      <c r="I284" s="236"/>
      <c r="J284" s="236"/>
      <c r="K284" s="242"/>
      <c r="M284" s="270"/>
      <c r="N284" s="245"/>
      <c r="O284" s="19" t="s">
        <v>823</v>
      </c>
      <c r="P284" s="19">
        <v>22.4</v>
      </c>
      <c r="Q284" s="19">
        <v>13</v>
      </c>
      <c r="R284" s="17">
        <f t="shared" ref="R284:R292" si="44">P284*Q284</f>
        <v>291.2</v>
      </c>
      <c r="S284" s="236"/>
      <c r="T284" s="236"/>
      <c r="U284" s="236"/>
      <c r="V284" s="242"/>
    </row>
    <row r="285" spans="2:22" ht="13">
      <c r="B285" s="270"/>
      <c r="C285" s="245"/>
      <c r="D285" s="19" t="s">
        <v>265</v>
      </c>
      <c r="E285" s="19">
        <v>22.9</v>
      </c>
      <c r="F285" s="19">
        <v>13</v>
      </c>
      <c r="G285" s="17">
        <f t="shared" si="42"/>
        <v>297.7</v>
      </c>
      <c r="H285" s="236"/>
      <c r="I285" s="236"/>
      <c r="J285" s="236"/>
      <c r="K285" s="242"/>
      <c r="M285" s="270"/>
      <c r="N285" s="245"/>
      <c r="O285" s="19" t="s">
        <v>265</v>
      </c>
      <c r="P285" s="19">
        <v>22.23</v>
      </c>
      <c r="Q285" s="19">
        <v>13</v>
      </c>
      <c r="R285" s="17">
        <f t="shared" si="44"/>
        <v>288.99</v>
      </c>
      <c r="S285" s="236"/>
      <c r="T285" s="236"/>
      <c r="U285" s="236"/>
      <c r="V285" s="242"/>
    </row>
    <row r="286" spans="2:22" ht="13">
      <c r="B286" s="270"/>
      <c r="C286" s="245"/>
      <c r="D286" s="19" t="s">
        <v>310</v>
      </c>
      <c r="E286" s="19">
        <v>5.4</v>
      </c>
      <c r="F286" s="19">
        <v>13</v>
      </c>
      <c r="G286" s="17">
        <f t="shared" si="42"/>
        <v>70.2</v>
      </c>
      <c r="H286" s="236"/>
      <c r="I286" s="236"/>
      <c r="J286" s="236"/>
      <c r="K286" s="242"/>
      <c r="M286" s="270"/>
      <c r="N286" s="245"/>
      <c r="O286" s="19" t="s">
        <v>310</v>
      </c>
      <c r="P286" s="19">
        <v>5.4</v>
      </c>
      <c r="Q286" s="19">
        <v>13</v>
      </c>
      <c r="R286" s="17">
        <f t="shared" si="44"/>
        <v>70.2</v>
      </c>
      <c r="S286" s="236"/>
      <c r="T286" s="236"/>
      <c r="U286" s="236"/>
      <c r="V286" s="242"/>
    </row>
    <row r="287" spans="2:22" ht="13">
      <c r="B287" s="270"/>
      <c r="C287" s="245"/>
      <c r="D287" s="19" t="s">
        <v>754</v>
      </c>
      <c r="E287" s="19">
        <v>14.9</v>
      </c>
      <c r="F287" s="19">
        <v>13</v>
      </c>
      <c r="G287" s="17">
        <f t="shared" si="42"/>
        <v>193.70000000000002</v>
      </c>
      <c r="H287" s="236"/>
      <c r="I287" s="236"/>
      <c r="J287" s="236"/>
      <c r="K287" s="242"/>
      <c r="M287" s="270"/>
      <c r="N287" s="245"/>
      <c r="O287" s="19" t="s">
        <v>754</v>
      </c>
      <c r="P287" s="19">
        <v>14.9</v>
      </c>
      <c r="Q287" s="19">
        <v>13</v>
      </c>
      <c r="R287" s="17">
        <f t="shared" si="44"/>
        <v>193.70000000000002</v>
      </c>
      <c r="S287" s="236"/>
      <c r="T287" s="236"/>
      <c r="U287" s="236"/>
      <c r="V287" s="242"/>
    </row>
    <row r="288" spans="2:22" ht="13">
      <c r="B288" s="270"/>
      <c r="C288" s="245"/>
      <c r="D288" s="19" t="s">
        <v>738</v>
      </c>
      <c r="E288" s="19">
        <v>16.12</v>
      </c>
      <c r="F288" s="19">
        <v>13</v>
      </c>
      <c r="G288" s="17">
        <f t="shared" si="42"/>
        <v>209.56</v>
      </c>
      <c r="H288" s="236"/>
      <c r="I288" s="236"/>
      <c r="J288" s="236"/>
      <c r="K288" s="242"/>
      <c r="M288" s="270"/>
      <c r="N288" s="245"/>
      <c r="O288" s="19" t="s">
        <v>738</v>
      </c>
      <c r="P288" s="19">
        <v>16.12</v>
      </c>
      <c r="Q288" s="19">
        <v>13</v>
      </c>
      <c r="R288" s="17">
        <f t="shared" si="44"/>
        <v>209.56</v>
      </c>
      <c r="S288" s="236"/>
      <c r="T288" s="236"/>
      <c r="U288" s="236"/>
      <c r="V288" s="242"/>
    </row>
    <row r="289" spans="2:22" ht="13">
      <c r="B289" s="270"/>
      <c r="C289" s="245"/>
      <c r="D289" s="19" t="s">
        <v>791</v>
      </c>
      <c r="E289" s="19">
        <v>21</v>
      </c>
      <c r="F289" s="19">
        <v>13</v>
      </c>
      <c r="G289" s="17">
        <f t="shared" si="42"/>
        <v>273</v>
      </c>
      <c r="H289" s="236"/>
      <c r="I289" s="236"/>
      <c r="J289" s="236"/>
      <c r="K289" s="242"/>
      <c r="M289" s="270"/>
      <c r="N289" s="245"/>
      <c r="O289" s="19" t="s">
        <v>791</v>
      </c>
      <c r="P289" s="19">
        <v>21</v>
      </c>
      <c r="Q289" s="19">
        <v>13</v>
      </c>
      <c r="R289" s="17">
        <f t="shared" si="44"/>
        <v>273</v>
      </c>
      <c r="S289" s="236"/>
      <c r="T289" s="236"/>
      <c r="U289" s="236"/>
      <c r="V289" s="242"/>
    </row>
    <row r="290" spans="2:22" ht="13">
      <c r="B290" s="270"/>
      <c r="C290" s="245"/>
      <c r="D290" s="19" t="s">
        <v>814</v>
      </c>
      <c r="E290" s="19">
        <v>18.46</v>
      </c>
      <c r="F290" s="19">
        <v>13</v>
      </c>
      <c r="G290" s="17">
        <f t="shared" si="42"/>
        <v>239.98000000000002</v>
      </c>
      <c r="H290" s="236"/>
      <c r="I290" s="236"/>
      <c r="J290" s="236"/>
      <c r="K290" s="242"/>
      <c r="M290" s="270"/>
      <c r="N290" s="245"/>
      <c r="O290" s="19" t="s">
        <v>814</v>
      </c>
      <c r="P290" s="19">
        <v>17.899999999999999</v>
      </c>
      <c r="Q290" s="19">
        <v>13</v>
      </c>
      <c r="R290" s="17">
        <f t="shared" si="44"/>
        <v>232.7</v>
      </c>
      <c r="S290" s="236"/>
      <c r="T290" s="236"/>
      <c r="U290" s="236"/>
      <c r="V290" s="242"/>
    </row>
    <row r="291" spans="2:22" ht="13">
      <c r="B291" s="270"/>
      <c r="C291" s="245"/>
      <c r="D291" s="19" t="s">
        <v>824</v>
      </c>
      <c r="E291" s="19">
        <v>14.73</v>
      </c>
      <c r="F291" s="19">
        <v>13</v>
      </c>
      <c r="G291" s="17">
        <f t="shared" si="42"/>
        <v>191.49</v>
      </c>
      <c r="H291" s="236"/>
      <c r="I291" s="236"/>
      <c r="J291" s="236"/>
      <c r="K291" s="242"/>
      <c r="M291" s="270"/>
      <c r="N291" s="245"/>
      <c r="O291" s="19" t="s">
        <v>824</v>
      </c>
      <c r="P291" s="19">
        <v>14.73</v>
      </c>
      <c r="Q291" s="19">
        <v>13</v>
      </c>
      <c r="R291" s="17">
        <f t="shared" si="44"/>
        <v>191.49</v>
      </c>
      <c r="S291" s="236"/>
      <c r="T291" s="236"/>
      <c r="U291" s="236"/>
      <c r="V291" s="242"/>
    </row>
    <row r="292" spans="2:22" ht="13">
      <c r="B292" s="270"/>
      <c r="C292" s="245"/>
      <c r="D292" s="19" t="s">
        <v>159</v>
      </c>
      <c r="E292" s="19">
        <v>19</v>
      </c>
      <c r="F292" s="19">
        <v>13</v>
      </c>
      <c r="G292" s="17">
        <f t="shared" si="42"/>
        <v>247</v>
      </c>
      <c r="H292" s="236"/>
      <c r="I292" s="236"/>
      <c r="J292" s="236"/>
      <c r="K292" s="242"/>
      <c r="M292" s="270"/>
      <c r="N292" s="245"/>
      <c r="O292" s="19" t="s">
        <v>159</v>
      </c>
      <c r="P292" s="19">
        <v>19</v>
      </c>
      <c r="Q292" s="19">
        <v>13</v>
      </c>
      <c r="R292" s="17">
        <f t="shared" si="44"/>
        <v>247</v>
      </c>
      <c r="S292" s="236"/>
      <c r="T292" s="236"/>
      <c r="U292" s="236"/>
      <c r="V292" s="242"/>
    </row>
    <row r="293" spans="2:22" ht="13">
      <c r="B293" s="270"/>
      <c r="C293" s="245"/>
      <c r="D293" s="24" t="s">
        <v>825</v>
      </c>
      <c r="E293" s="19"/>
      <c r="F293" s="19"/>
      <c r="G293" s="17">
        <v>58</v>
      </c>
      <c r="H293" s="236"/>
      <c r="I293" s="236"/>
      <c r="J293" s="236"/>
      <c r="K293" s="242"/>
      <c r="M293" s="270"/>
      <c r="N293" s="245"/>
      <c r="O293" s="24" t="s">
        <v>825</v>
      </c>
      <c r="P293" s="19"/>
      <c r="Q293" s="19"/>
      <c r="R293" s="17">
        <v>58</v>
      </c>
      <c r="S293" s="236"/>
      <c r="T293" s="236"/>
      <c r="U293" s="236"/>
      <c r="V293" s="242"/>
    </row>
    <row r="294" spans="2:22" ht="13">
      <c r="B294" s="270"/>
      <c r="C294" s="246"/>
      <c r="D294" s="20" t="s">
        <v>826</v>
      </c>
      <c r="E294" s="20"/>
      <c r="F294" s="20"/>
      <c r="G294" s="21">
        <v>142</v>
      </c>
      <c r="H294" s="238"/>
      <c r="I294" s="238"/>
      <c r="J294" s="238"/>
      <c r="K294" s="243"/>
      <c r="M294" s="270"/>
      <c r="N294" s="246"/>
      <c r="O294" s="20" t="s">
        <v>826</v>
      </c>
      <c r="P294" s="20"/>
      <c r="Q294" s="20"/>
      <c r="R294" s="21">
        <v>142</v>
      </c>
      <c r="S294" s="238"/>
      <c r="T294" s="238"/>
      <c r="U294" s="238"/>
      <c r="V294" s="243"/>
    </row>
    <row r="295" spans="2:22" ht="13">
      <c r="B295" s="270"/>
      <c r="C295" s="289" t="s">
        <v>827</v>
      </c>
      <c r="D295" s="77" t="s">
        <v>715</v>
      </c>
      <c r="E295" s="71"/>
      <c r="F295" s="71"/>
      <c r="G295" s="71">
        <v>300</v>
      </c>
      <c r="H295" s="240">
        <f>SUM(G295:G297)</f>
        <v>501.6</v>
      </c>
      <c r="I295" s="240">
        <v>1627.25</v>
      </c>
      <c r="J295" s="240">
        <f>I295-H295</f>
        <v>1125.6500000000001</v>
      </c>
      <c r="K295" s="241">
        <f>J295/I295</f>
        <v>0.69174988477492705</v>
      </c>
      <c r="M295" s="270"/>
      <c r="N295" s="289" t="s">
        <v>827</v>
      </c>
      <c r="O295" s="77" t="s">
        <v>715</v>
      </c>
      <c r="P295" s="71"/>
      <c r="Q295" s="71"/>
      <c r="R295" s="71">
        <v>300</v>
      </c>
      <c r="S295" s="240">
        <f>SUM(R295:R297)</f>
        <v>501.6</v>
      </c>
      <c r="T295" s="240">
        <v>1627.25</v>
      </c>
      <c r="U295" s="240">
        <f>T295-S295</f>
        <v>1125.6500000000001</v>
      </c>
      <c r="V295" s="241">
        <f>U295/T295</f>
        <v>0.69174988477492705</v>
      </c>
    </row>
    <row r="296" spans="2:22" ht="13">
      <c r="B296" s="270"/>
      <c r="C296" s="245"/>
      <c r="D296" s="19" t="s">
        <v>155</v>
      </c>
      <c r="E296" s="19"/>
      <c r="F296" s="19"/>
      <c r="G296" s="17">
        <v>90</v>
      </c>
      <c r="H296" s="236"/>
      <c r="I296" s="236"/>
      <c r="J296" s="236"/>
      <c r="K296" s="242"/>
      <c r="M296" s="270"/>
      <c r="N296" s="245"/>
      <c r="O296" s="19" t="s">
        <v>155</v>
      </c>
      <c r="P296" s="19"/>
      <c r="Q296" s="19"/>
      <c r="R296" s="17">
        <v>90</v>
      </c>
      <c r="S296" s="236"/>
      <c r="T296" s="236"/>
      <c r="U296" s="236"/>
      <c r="V296" s="242"/>
    </row>
    <row r="297" spans="2:22" ht="13">
      <c r="B297" s="270"/>
      <c r="C297" s="246"/>
      <c r="D297" s="20" t="s">
        <v>706</v>
      </c>
      <c r="E297" s="20"/>
      <c r="F297" s="20"/>
      <c r="G297" s="21">
        <v>111.6</v>
      </c>
      <c r="H297" s="238"/>
      <c r="I297" s="238"/>
      <c r="J297" s="238"/>
      <c r="K297" s="243"/>
      <c r="M297" s="270"/>
      <c r="N297" s="246"/>
      <c r="O297" s="20" t="s">
        <v>706</v>
      </c>
      <c r="P297" s="20"/>
      <c r="Q297" s="20"/>
      <c r="R297" s="21">
        <v>111.6</v>
      </c>
      <c r="S297" s="238"/>
      <c r="T297" s="238"/>
      <c r="U297" s="238"/>
      <c r="V297" s="243"/>
    </row>
    <row r="298" spans="2:22" ht="13">
      <c r="B298" s="270"/>
      <c r="C298" s="289" t="s">
        <v>828</v>
      </c>
      <c r="D298" s="77" t="s">
        <v>744</v>
      </c>
      <c r="E298" s="71">
        <v>9.77</v>
      </c>
      <c r="F298" s="71">
        <v>13</v>
      </c>
      <c r="G298" s="16">
        <f t="shared" ref="G298:G366" si="45">E298*F298</f>
        <v>127.00999999999999</v>
      </c>
      <c r="H298" s="240">
        <f>SUM(G298:G310)</f>
        <v>1834.62</v>
      </c>
      <c r="I298" s="240">
        <v>5000</v>
      </c>
      <c r="J298" s="240">
        <f>I298-H298</f>
        <v>3165.38</v>
      </c>
      <c r="K298" s="241">
        <f>J298/I298</f>
        <v>0.63307599999999997</v>
      </c>
      <c r="M298" s="270"/>
      <c r="N298" s="289" t="s">
        <v>828</v>
      </c>
      <c r="O298" s="77" t="s">
        <v>744</v>
      </c>
      <c r="P298" s="71">
        <v>9.77</v>
      </c>
      <c r="Q298" s="71">
        <v>13</v>
      </c>
      <c r="R298" s="16">
        <f t="shared" ref="R298:R299" si="46">P298*Q298</f>
        <v>127.00999999999999</v>
      </c>
      <c r="S298" s="240">
        <f>SUM(R298:R310)</f>
        <v>1581.32</v>
      </c>
      <c r="T298" s="240">
        <v>5000</v>
      </c>
      <c r="U298" s="240">
        <f>T298-S298</f>
        <v>3418.6800000000003</v>
      </c>
      <c r="V298" s="241">
        <f>U298/T298</f>
        <v>0.68373600000000001</v>
      </c>
    </row>
    <row r="299" spans="2:22" ht="13">
      <c r="B299" s="270"/>
      <c r="C299" s="245"/>
      <c r="D299" s="106" t="s">
        <v>771</v>
      </c>
      <c r="E299" s="19">
        <v>9.4</v>
      </c>
      <c r="F299" s="19">
        <v>13</v>
      </c>
      <c r="G299" s="17">
        <f t="shared" si="45"/>
        <v>122.2</v>
      </c>
      <c r="H299" s="236"/>
      <c r="I299" s="236"/>
      <c r="J299" s="236"/>
      <c r="K299" s="242"/>
      <c r="M299" s="270"/>
      <c r="N299" s="245"/>
      <c r="O299" s="106" t="s">
        <v>771</v>
      </c>
      <c r="P299" s="19">
        <v>9.3000000000000007</v>
      </c>
      <c r="Q299" s="19">
        <v>13</v>
      </c>
      <c r="R299" s="17">
        <f t="shared" si="46"/>
        <v>120.9</v>
      </c>
      <c r="S299" s="236"/>
      <c r="T299" s="236"/>
      <c r="U299" s="236"/>
      <c r="V299" s="242"/>
    </row>
    <row r="300" spans="2:22" ht="13">
      <c r="B300" s="270"/>
      <c r="C300" s="245"/>
      <c r="D300" s="19" t="s">
        <v>815</v>
      </c>
      <c r="E300" s="19">
        <v>14</v>
      </c>
      <c r="F300" s="19">
        <v>18</v>
      </c>
      <c r="G300" s="17">
        <f t="shared" si="45"/>
        <v>252</v>
      </c>
      <c r="H300" s="236"/>
      <c r="I300" s="236"/>
      <c r="J300" s="236"/>
      <c r="K300" s="242"/>
      <c r="M300" s="270"/>
      <c r="N300" s="245"/>
      <c r="O300" s="19" t="s">
        <v>815</v>
      </c>
      <c r="P300" s="105"/>
      <c r="Q300" s="105"/>
      <c r="R300" s="18"/>
      <c r="S300" s="236"/>
      <c r="T300" s="236"/>
      <c r="U300" s="236"/>
      <c r="V300" s="242"/>
    </row>
    <row r="301" spans="2:22" ht="13">
      <c r="B301" s="270"/>
      <c r="C301" s="245"/>
      <c r="D301" s="19" t="s">
        <v>822</v>
      </c>
      <c r="E301" s="19">
        <v>9.3699999999999992</v>
      </c>
      <c r="F301" s="19">
        <v>13</v>
      </c>
      <c r="G301" s="17">
        <f t="shared" si="45"/>
        <v>121.80999999999999</v>
      </c>
      <c r="H301" s="236"/>
      <c r="I301" s="236"/>
      <c r="J301" s="236"/>
      <c r="K301" s="242"/>
      <c r="M301" s="270"/>
      <c r="N301" s="245"/>
      <c r="O301" s="19" t="s">
        <v>822</v>
      </c>
      <c r="P301" s="19">
        <v>9.3699999999999992</v>
      </c>
      <c r="Q301" s="19">
        <v>13</v>
      </c>
      <c r="R301" s="17">
        <f t="shared" ref="R301:R310" si="47">P301*Q301</f>
        <v>121.80999999999999</v>
      </c>
      <c r="S301" s="236"/>
      <c r="T301" s="236"/>
      <c r="U301" s="236"/>
      <c r="V301" s="242"/>
    </row>
    <row r="302" spans="2:22" ht="13">
      <c r="B302" s="270"/>
      <c r="C302" s="245"/>
      <c r="D302" s="19" t="s">
        <v>823</v>
      </c>
      <c r="E302" s="19">
        <v>10</v>
      </c>
      <c r="F302" s="19">
        <v>13</v>
      </c>
      <c r="G302" s="17">
        <f t="shared" si="45"/>
        <v>130</v>
      </c>
      <c r="H302" s="236"/>
      <c r="I302" s="236"/>
      <c r="J302" s="236"/>
      <c r="K302" s="242"/>
      <c r="M302" s="270"/>
      <c r="N302" s="245"/>
      <c r="O302" s="19" t="s">
        <v>823</v>
      </c>
      <c r="P302" s="19">
        <v>10</v>
      </c>
      <c r="Q302" s="19">
        <v>13</v>
      </c>
      <c r="R302" s="17">
        <f t="shared" si="47"/>
        <v>130</v>
      </c>
      <c r="S302" s="236"/>
      <c r="T302" s="236"/>
      <c r="U302" s="236"/>
      <c r="V302" s="242"/>
    </row>
    <row r="303" spans="2:22" ht="13">
      <c r="B303" s="270"/>
      <c r="C303" s="245"/>
      <c r="D303" s="19" t="s">
        <v>265</v>
      </c>
      <c r="E303" s="19">
        <v>12.25</v>
      </c>
      <c r="F303" s="19">
        <v>13</v>
      </c>
      <c r="G303" s="17">
        <f t="shared" si="45"/>
        <v>159.25</v>
      </c>
      <c r="H303" s="236"/>
      <c r="I303" s="236"/>
      <c r="J303" s="236"/>
      <c r="K303" s="242"/>
      <c r="M303" s="270"/>
      <c r="N303" s="245"/>
      <c r="O303" s="19" t="s">
        <v>265</v>
      </c>
      <c r="P303" s="19">
        <v>12.25</v>
      </c>
      <c r="Q303" s="19">
        <v>13</v>
      </c>
      <c r="R303" s="17">
        <f t="shared" si="47"/>
        <v>159.25</v>
      </c>
      <c r="S303" s="236"/>
      <c r="T303" s="236"/>
      <c r="U303" s="236"/>
      <c r="V303" s="242"/>
    </row>
    <row r="304" spans="2:22" ht="13">
      <c r="B304" s="270"/>
      <c r="C304" s="245"/>
      <c r="D304" s="19" t="s">
        <v>310</v>
      </c>
      <c r="E304" s="19">
        <v>11.75</v>
      </c>
      <c r="F304" s="19">
        <v>13</v>
      </c>
      <c r="G304" s="17">
        <f t="shared" si="45"/>
        <v>152.75</v>
      </c>
      <c r="H304" s="236"/>
      <c r="I304" s="236"/>
      <c r="J304" s="236"/>
      <c r="K304" s="242"/>
      <c r="M304" s="270"/>
      <c r="N304" s="245"/>
      <c r="O304" s="19" t="s">
        <v>310</v>
      </c>
      <c r="P304" s="19">
        <v>11.75</v>
      </c>
      <c r="Q304" s="19">
        <v>13</v>
      </c>
      <c r="R304" s="17">
        <f t="shared" si="47"/>
        <v>152.75</v>
      </c>
      <c r="S304" s="236"/>
      <c r="T304" s="236"/>
      <c r="U304" s="236"/>
      <c r="V304" s="242"/>
    </row>
    <row r="305" spans="2:22" ht="13">
      <c r="B305" s="270"/>
      <c r="C305" s="245"/>
      <c r="D305" s="19" t="s">
        <v>754</v>
      </c>
      <c r="E305" s="19">
        <v>7.1</v>
      </c>
      <c r="F305" s="19">
        <v>13</v>
      </c>
      <c r="G305" s="17">
        <f t="shared" si="45"/>
        <v>92.3</v>
      </c>
      <c r="H305" s="236"/>
      <c r="I305" s="236"/>
      <c r="J305" s="236"/>
      <c r="K305" s="242"/>
      <c r="M305" s="270"/>
      <c r="N305" s="245"/>
      <c r="O305" s="19" t="s">
        <v>754</v>
      </c>
      <c r="P305" s="19">
        <v>7.1</v>
      </c>
      <c r="Q305" s="19">
        <v>13</v>
      </c>
      <c r="R305" s="17">
        <f t="shared" si="47"/>
        <v>92.3</v>
      </c>
      <c r="S305" s="236"/>
      <c r="T305" s="236"/>
      <c r="U305" s="236"/>
      <c r="V305" s="242"/>
    </row>
    <row r="306" spans="2:22" ht="13">
      <c r="B306" s="270"/>
      <c r="C306" s="245"/>
      <c r="D306" s="19" t="s">
        <v>794</v>
      </c>
      <c r="E306" s="19">
        <v>8.23</v>
      </c>
      <c r="F306" s="19">
        <v>13</v>
      </c>
      <c r="G306" s="17">
        <f t="shared" si="45"/>
        <v>106.99000000000001</v>
      </c>
      <c r="H306" s="236"/>
      <c r="I306" s="236"/>
      <c r="J306" s="236"/>
      <c r="K306" s="242"/>
      <c r="M306" s="270"/>
      <c r="N306" s="245"/>
      <c r="O306" s="19" t="s">
        <v>794</v>
      </c>
      <c r="P306" s="19">
        <v>8.23</v>
      </c>
      <c r="Q306" s="19">
        <v>13</v>
      </c>
      <c r="R306" s="17">
        <f t="shared" si="47"/>
        <v>106.99000000000001</v>
      </c>
      <c r="S306" s="236"/>
      <c r="T306" s="236"/>
      <c r="U306" s="236"/>
      <c r="V306" s="242"/>
    </row>
    <row r="307" spans="2:22" ht="13">
      <c r="B307" s="270"/>
      <c r="C307" s="245"/>
      <c r="D307" s="19" t="s">
        <v>824</v>
      </c>
      <c r="E307" s="19">
        <v>9.75</v>
      </c>
      <c r="F307" s="19">
        <v>13</v>
      </c>
      <c r="G307" s="17">
        <f t="shared" si="45"/>
        <v>126.75</v>
      </c>
      <c r="H307" s="236"/>
      <c r="I307" s="236"/>
      <c r="J307" s="236"/>
      <c r="K307" s="242"/>
      <c r="M307" s="270"/>
      <c r="N307" s="245"/>
      <c r="O307" s="19" t="s">
        <v>824</v>
      </c>
      <c r="P307" s="19">
        <v>9.75</v>
      </c>
      <c r="Q307" s="19">
        <v>13</v>
      </c>
      <c r="R307" s="17">
        <f t="shared" si="47"/>
        <v>126.75</v>
      </c>
      <c r="S307" s="236"/>
      <c r="T307" s="236"/>
      <c r="U307" s="236"/>
      <c r="V307" s="242"/>
    </row>
    <row r="308" spans="2:22" ht="13">
      <c r="B308" s="270"/>
      <c r="C308" s="245"/>
      <c r="D308" s="19" t="s">
        <v>159</v>
      </c>
      <c r="E308" s="19">
        <v>9.8699999999999992</v>
      </c>
      <c r="F308" s="19">
        <v>13</v>
      </c>
      <c r="G308" s="17">
        <f t="shared" si="45"/>
        <v>128.31</v>
      </c>
      <c r="H308" s="236"/>
      <c r="I308" s="236"/>
      <c r="J308" s="236"/>
      <c r="K308" s="242"/>
      <c r="M308" s="270"/>
      <c r="N308" s="245"/>
      <c r="O308" s="19" t="s">
        <v>159</v>
      </c>
      <c r="P308" s="19">
        <v>9.8699999999999992</v>
      </c>
      <c r="Q308" s="19">
        <v>13</v>
      </c>
      <c r="R308" s="17">
        <f t="shared" si="47"/>
        <v>128.31</v>
      </c>
      <c r="S308" s="236"/>
      <c r="T308" s="236"/>
      <c r="U308" s="236"/>
      <c r="V308" s="242"/>
    </row>
    <row r="309" spans="2:22" ht="13">
      <c r="B309" s="270"/>
      <c r="C309" s="245"/>
      <c r="D309" s="19" t="s">
        <v>791</v>
      </c>
      <c r="E309" s="19">
        <v>13.07</v>
      </c>
      <c r="F309" s="19">
        <v>13</v>
      </c>
      <c r="G309" s="17">
        <f t="shared" si="45"/>
        <v>169.91</v>
      </c>
      <c r="H309" s="236"/>
      <c r="I309" s="236"/>
      <c r="J309" s="236"/>
      <c r="K309" s="242"/>
      <c r="M309" s="270"/>
      <c r="N309" s="245"/>
      <c r="O309" s="19" t="s">
        <v>791</v>
      </c>
      <c r="P309" s="19">
        <v>13.07</v>
      </c>
      <c r="Q309" s="19">
        <v>13</v>
      </c>
      <c r="R309" s="17">
        <f t="shared" si="47"/>
        <v>169.91</v>
      </c>
      <c r="S309" s="236"/>
      <c r="T309" s="236"/>
      <c r="U309" s="236"/>
      <c r="V309" s="242"/>
    </row>
    <row r="310" spans="2:22" ht="13">
      <c r="B310" s="270"/>
      <c r="C310" s="246"/>
      <c r="D310" s="20" t="s">
        <v>814</v>
      </c>
      <c r="E310" s="20">
        <v>11.18</v>
      </c>
      <c r="F310" s="20">
        <v>13</v>
      </c>
      <c r="G310" s="21">
        <f t="shared" si="45"/>
        <v>145.34</v>
      </c>
      <c r="H310" s="238"/>
      <c r="I310" s="238"/>
      <c r="J310" s="238"/>
      <c r="K310" s="243"/>
      <c r="M310" s="270"/>
      <c r="N310" s="246"/>
      <c r="O310" s="20" t="s">
        <v>814</v>
      </c>
      <c r="P310" s="20">
        <v>11.18</v>
      </c>
      <c r="Q310" s="20">
        <v>13</v>
      </c>
      <c r="R310" s="21">
        <f t="shared" si="47"/>
        <v>145.34</v>
      </c>
      <c r="S310" s="238"/>
      <c r="T310" s="238"/>
      <c r="U310" s="238"/>
      <c r="V310" s="243"/>
    </row>
    <row r="311" spans="2:22" ht="13">
      <c r="B311" s="270"/>
      <c r="C311" s="289" t="s">
        <v>829</v>
      </c>
      <c r="D311" s="77" t="s">
        <v>114</v>
      </c>
      <c r="E311" s="71">
        <v>14</v>
      </c>
      <c r="F311" s="71">
        <v>18</v>
      </c>
      <c r="G311" s="16">
        <f t="shared" si="45"/>
        <v>252</v>
      </c>
      <c r="H311" s="240">
        <f>SUM(G311:G322)</f>
        <v>1086.99</v>
      </c>
      <c r="I311" s="240">
        <v>4000</v>
      </c>
      <c r="J311" s="240">
        <f>I311-H311</f>
        <v>2913.01</v>
      </c>
      <c r="K311" s="241">
        <f>J311/I311</f>
        <v>0.72825250000000008</v>
      </c>
      <c r="M311" s="270"/>
      <c r="N311" s="289" t="s">
        <v>829</v>
      </c>
      <c r="O311" s="77" t="s">
        <v>114</v>
      </c>
      <c r="P311" s="104"/>
      <c r="Q311" s="104"/>
      <c r="R311" s="43"/>
      <c r="S311" s="240">
        <f>SUM(R311:R322)</f>
        <v>833.3</v>
      </c>
      <c r="T311" s="240">
        <v>4000</v>
      </c>
      <c r="U311" s="240">
        <f>T311-S311</f>
        <v>3166.7</v>
      </c>
      <c r="V311" s="241">
        <f>U311/T311</f>
        <v>0.79167499999999991</v>
      </c>
    </row>
    <row r="312" spans="2:22" ht="13">
      <c r="B312" s="270"/>
      <c r="C312" s="245"/>
      <c r="D312" s="106" t="s">
        <v>744</v>
      </c>
      <c r="E312" s="19">
        <v>6.5</v>
      </c>
      <c r="F312" s="19">
        <v>13</v>
      </c>
      <c r="G312" s="17">
        <f t="shared" si="45"/>
        <v>84.5</v>
      </c>
      <c r="H312" s="236"/>
      <c r="I312" s="236"/>
      <c r="J312" s="236"/>
      <c r="K312" s="242"/>
      <c r="M312" s="270"/>
      <c r="N312" s="245"/>
      <c r="O312" s="106" t="s">
        <v>744</v>
      </c>
      <c r="P312" s="19">
        <v>6.5</v>
      </c>
      <c r="Q312" s="19">
        <v>13</v>
      </c>
      <c r="R312" s="17">
        <f t="shared" ref="R312:R322" si="48">P312*Q312</f>
        <v>84.5</v>
      </c>
      <c r="S312" s="236"/>
      <c r="T312" s="236"/>
      <c r="U312" s="236"/>
      <c r="V312" s="242"/>
    </row>
    <row r="313" spans="2:22" ht="13">
      <c r="B313" s="270"/>
      <c r="C313" s="245"/>
      <c r="D313" s="19" t="s">
        <v>771</v>
      </c>
      <c r="E313" s="19">
        <v>3.9</v>
      </c>
      <c r="F313" s="19">
        <v>13</v>
      </c>
      <c r="G313" s="17">
        <f t="shared" si="45"/>
        <v>50.699999999999996</v>
      </c>
      <c r="H313" s="236"/>
      <c r="I313" s="236"/>
      <c r="J313" s="236"/>
      <c r="K313" s="242"/>
      <c r="M313" s="270"/>
      <c r="N313" s="245"/>
      <c r="O313" s="19" t="s">
        <v>771</v>
      </c>
      <c r="P313" s="19">
        <v>3.9</v>
      </c>
      <c r="Q313" s="19">
        <v>13</v>
      </c>
      <c r="R313" s="17">
        <f t="shared" si="48"/>
        <v>50.699999999999996</v>
      </c>
      <c r="S313" s="236"/>
      <c r="T313" s="236"/>
      <c r="U313" s="236"/>
      <c r="V313" s="242"/>
    </row>
    <row r="314" spans="2:22" ht="13">
      <c r="B314" s="270"/>
      <c r="C314" s="245"/>
      <c r="D314" s="19" t="s">
        <v>822</v>
      </c>
      <c r="E314" s="19">
        <v>5.5</v>
      </c>
      <c r="F314" s="19">
        <v>13</v>
      </c>
      <c r="G314" s="17">
        <f t="shared" si="45"/>
        <v>71.5</v>
      </c>
      <c r="H314" s="236"/>
      <c r="I314" s="236"/>
      <c r="J314" s="236"/>
      <c r="K314" s="242"/>
      <c r="M314" s="270"/>
      <c r="N314" s="245"/>
      <c r="O314" s="19" t="s">
        <v>822</v>
      </c>
      <c r="P314" s="19">
        <v>5.5</v>
      </c>
      <c r="Q314" s="19">
        <v>13</v>
      </c>
      <c r="R314" s="17">
        <f t="shared" si="48"/>
        <v>71.5</v>
      </c>
      <c r="S314" s="236"/>
      <c r="T314" s="236"/>
      <c r="U314" s="236"/>
      <c r="V314" s="242"/>
    </row>
    <row r="315" spans="2:22" ht="13">
      <c r="B315" s="270"/>
      <c r="C315" s="245"/>
      <c r="D315" s="19" t="s">
        <v>265</v>
      </c>
      <c r="E315" s="19">
        <v>5.25</v>
      </c>
      <c r="F315" s="19">
        <v>13</v>
      </c>
      <c r="G315" s="17">
        <f t="shared" si="45"/>
        <v>68.25</v>
      </c>
      <c r="H315" s="236"/>
      <c r="I315" s="236"/>
      <c r="J315" s="236"/>
      <c r="K315" s="242"/>
      <c r="M315" s="270"/>
      <c r="N315" s="245"/>
      <c r="O315" s="19" t="s">
        <v>265</v>
      </c>
      <c r="P315" s="19">
        <v>5.25</v>
      </c>
      <c r="Q315" s="19">
        <v>13</v>
      </c>
      <c r="R315" s="17">
        <f t="shared" si="48"/>
        <v>68.25</v>
      </c>
      <c r="S315" s="236"/>
      <c r="T315" s="236"/>
      <c r="U315" s="236"/>
      <c r="V315" s="242"/>
    </row>
    <row r="316" spans="2:22" ht="13">
      <c r="B316" s="270"/>
      <c r="C316" s="245"/>
      <c r="D316" s="19" t="s">
        <v>75</v>
      </c>
      <c r="E316" s="19">
        <v>5.5</v>
      </c>
      <c r="F316" s="19">
        <v>13</v>
      </c>
      <c r="G316" s="17">
        <f t="shared" si="45"/>
        <v>71.5</v>
      </c>
      <c r="H316" s="236"/>
      <c r="I316" s="236"/>
      <c r="J316" s="236"/>
      <c r="K316" s="242"/>
      <c r="M316" s="270"/>
      <c r="N316" s="245"/>
      <c r="O316" s="19" t="s">
        <v>75</v>
      </c>
      <c r="P316" s="19">
        <v>5.5</v>
      </c>
      <c r="Q316" s="19">
        <v>13</v>
      </c>
      <c r="R316" s="17">
        <f t="shared" si="48"/>
        <v>71.5</v>
      </c>
      <c r="S316" s="236"/>
      <c r="T316" s="236"/>
      <c r="U316" s="236"/>
      <c r="V316" s="242"/>
    </row>
    <row r="317" spans="2:22" ht="13">
      <c r="B317" s="270"/>
      <c r="C317" s="245"/>
      <c r="D317" s="19" t="s">
        <v>754</v>
      </c>
      <c r="E317" s="19">
        <v>3.45</v>
      </c>
      <c r="F317" s="19">
        <v>13</v>
      </c>
      <c r="G317" s="17">
        <f t="shared" si="45"/>
        <v>44.85</v>
      </c>
      <c r="H317" s="236"/>
      <c r="I317" s="236"/>
      <c r="J317" s="236"/>
      <c r="K317" s="242"/>
      <c r="M317" s="270"/>
      <c r="N317" s="245"/>
      <c r="O317" s="19" t="s">
        <v>754</v>
      </c>
      <c r="P317" s="19">
        <v>3.45</v>
      </c>
      <c r="Q317" s="19">
        <v>13</v>
      </c>
      <c r="R317" s="17">
        <f t="shared" si="48"/>
        <v>44.85</v>
      </c>
      <c r="S317" s="236"/>
      <c r="T317" s="236"/>
      <c r="U317" s="236"/>
      <c r="V317" s="242"/>
    </row>
    <row r="318" spans="2:22" ht="13">
      <c r="B318" s="270"/>
      <c r="C318" s="245"/>
      <c r="D318" s="19" t="s">
        <v>830</v>
      </c>
      <c r="E318" s="19">
        <v>9.6</v>
      </c>
      <c r="F318" s="19">
        <v>13</v>
      </c>
      <c r="G318" s="17">
        <f t="shared" si="45"/>
        <v>124.8</v>
      </c>
      <c r="H318" s="236"/>
      <c r="I318" s="236"/>
      <c r="J318" s="236"/>
      <c r="K318" s="242"/>
      <c r="M318" s="270"/>
      <c r="N318" s="245"/>
      <c r="O318" s="19" t="s">
        <v>830</v>
      </c>
      <c r="P318" s="19">
        <v>9.5</v>
      </c>
      <c r="Q318" s="19">
        <v>13</v>
      </c>
      <c r="R318" s="17">
        <f t="shared" si="48"/>
        <v>123.5</v>
      </c>
      <c r="S318" s="236"/>
      <c r="T318" s="236"/>
      <c r="U318" s="236"/>
      <c r="V318" s="242"/>
    </row>
    <row r="319" spans="2:22" ht="13">
      <c r="B319" s="270"/>
      <c r="C319" s="245"/>
      <c r="D319" s="19" t="s">
        <v>78</v>
      </c>
      <c r="E319" s="19">
        <v>6.03</v>
      </c>
      <c r="F319" s="19">
        <v>13</v>
      </c>
      <c r="G319" s="17">
        <f t="shared" si="45"/>
        <v>78.39</v>
      </c>
      <c r="H319" s="236"/>
      <c r="I319" s="236"/>
      <c r="J319" s="236"/>
      <c r="K319" s="242"/>
      <c r="M319" s="270"/>
      <c r="N319" s="245"/>
      <c r="O319" s="19" t="s">
        <v>78</v>
      </c>
      <c r="P319" s="19">
        <v>6</v>
      </c>
      <c r="Q319" s="19">
        <v>13</v>
      </c>
      <c r="R319" s="17">
        <f t="shared" si="48"/>
        <v>78</v>
      </c>
      <c r="S319" s="236"/>
      <c r="T319" s="236"/>
      <c r="U319" s="236"/>
      <c r="V319" s="242"/>
    </row>
    <row r="320" spans="2:22" ht="13">
      <c r="B320" s="270"/>
      <c r="C320" s="245"/>
      <c r="D320" s="19" t="s">
        <v>824</v>
      </c>
      <c r="E320" s="19">
        <v>4.5</v>
      </c>
      <c r="F320" s="19">
        <v>13</v>
      </c>
      <c r="G320" s="17">
        <f t="shared" si="45"/>
        <v>58.5</v>
      </c>
      <c r="H320" s="236"/>
      <c r="I320" s="236"/>
      <c r="J320" s="236"/>
      <c r="K320" s="242"/>
      <c r="M320" s="270"/>
      <c r="N320" s="245"/>
      <c r="O320" s="19" t="s">
        <v>824</v>
      </c>
      <c r="P320" s="19">
        <v>4.5</v>
      </c>
      <c r="Q320" s="19">
        <v>13</v>
      </c>
      <c r="R320" s="17">
        <f t="shared" si="48"/>
        <v>58.5</v>
      </c>
      <c r="S320" s="236"/>
      <c r="T320" s="236"/>
      <c r="U320" s="236"/>
      <c r="V320" s="242"/>
    </row>
    <row r="321" spans="2:22" ht="13">
      <c r="B321" s="270"/>
      <c r="C321" s="245"/>
      <c r="D321" s="19" t="s">
        <v>772</v>
      </c>
      <c r="E321" s="19">
        <v>6.5</v>
      </c>
      <c r="F321" s="19">
        <v>13</v>
      </c>
      <c r="G321" s="17">
        <f t="shared" si="45"/>
        <v>84.5</v>
      </c>
      <c r="H321" s="236"/>
      <c r="I321" s="236"/>
      <c r="J321" s="236"/>
      <c r="K321" s="242"/>
      <c r="M321" s="270"/>
      <c r="N321" s="245"/>
      <c r="O321" s="19" t="s">
        <v>772</v>
      </c>
      <c r="P321" s="19">
        <v>6.5</v>
      </c>
      <c r="Q321" s="19">
        <v>13</v>
      </c>
      <c r="R321" s="17">
        <f t="shared" si="48"/>
        <v>84.5</v>
      </c>
      <c r="S321" s="236"/>
      <c r="T321" s="236"/>
      <c r="U321" s="236"/>
      <c r="V321" s="242"/>
    </row>
    <row r="322" spans="2:22" ht="13">
      <c r="B322" s="270"/>
      <c r="C322" s="246"/>
      <c r="D322" s="20" t="s">
        <v>70</v>
      </c>
      <c r="E322" s="20">
        <v>7.5</v>
      </c>
      <c r="F322" s="20">
        <v>13</v>
      </c>
      <c r="G322" s="21">
        <f t="shared" si="45"/>
        <v>97.5</v>
      </c>
      <c r="H322" s="238"/>
      <c r="I322" s="238"/>
      <c r="J322" s="238"/>
      <c r="K322" s="243"/>
      <c r="M322" s="270"/>
      <c r="N322" s="246"/>
      <c r="O322" s="20" t="s">
        <v>70</v>
      </c>
      <c r="P322" s="20">
        <v>7.5</v>
      </c>
      <c r="Q322" s="20">
        <v>13</v>
      </c>
      <c r="R322" s="21">
        <f t="shared" si="48"/>
        <v>97.5</v>
      </c>
      <c r="S322" s="238"/>
      <c r="T322" s="238"/>
      <c r="U322" s="238"/>
      <c r="V322" s="243"/>
    </row>
    <row r="323" spans="2:22" ht="13">
      <c r="B323" s="270"/>
      <c r="C323" s="289" t="s">
        <v>831</v>
      </c>
      <c r="D323" s="77" t="s">
        <v>815</v>
      </c>
      <c r="E323" s="71">
        <v>7</v>
      </c>
      <c r="F323" s="71">
        <v>18</v>
      </c>
      <c r="G323" s="16">
        <f t="shared" si="45"/>
        <v>126</v>
      </c>
      <c r="H323" s="240">
        <f>SUM(G323:G327)</f>
        <v>579.70000000000005</v>
      </c>
      <c r="I323" s="240">
        <v>1875</v>
      </c>
      <c r="J323" s="240">
        <f>I323-H323</f>
        <v>1295.3</v>
      </c>
      <c r="K323" s="241">
        <f>J323/I323</f>
        <v>0.69082666666666659</v>
      </c>
      <c r="M323" s="270"/>
      <c r="N323" s="289" t="s">
        <v>831</v>
      </c>
      <c r="O323" s="77" t="s">
        <v>815</v>
      </c>
      <c r="P323" s="104"/>
      <c r="Q323" s="104"/>
      <c r="R323" s="43"/>
      <c r="S323" s="240">
        <f>SUM(R323:R327)</f>
        <v>453.7</v>
      </c>
      <c r="T323" s="240">
        <v>1875</v>
      </c>
      <c r="U323" s="240">
        <f>T323-S323</f>
        <v>1421.3</v>
      </c>
      <c r="V323" s="241">
        <f>U323/T323</f>
        <v>0.75802666666666663</v>
      </c>
    </row>
    <row r="324" spans="2:22" ht="13">
      <c r="B324" s="270"/>
      <c r="C324" s="245"/>
      <c r="D324" s="106" t="s">
        <v>537</v>
      </c>
      <c r="E324" s="19">
        <v>8.5</v>
      </c>
      <c r="F324" s="19">
        <v>13</v>
      </c>
      <c r="G324" s="17">
        <f t="shared" si="45"/>
        <v>110.5</v>
      </c>
      <c r="H324" s="236"/>
      <c r="I324" s="236"/>
      <c r="J324" s="236"/>
      <c r="K324" s="242"/>
      <c r="M324" s="270"/>
      <c r="N324" s="245"/>
      <c r="O324" s="106" t="s">
        <v>537</v>
      </c>
      <c r="P324" s="19">
        <v>8.5</v>
      </c>
      <c r="Q324" s="19">
        <v>13</v>
      </c>
      <c r="R324" s="17">
        <f t="shared" ref="R324:R327" si="49">P324*Q324</f>
        <v>110.5</v>
      </c>
      <c r="S324" s="236"/>
      <c r="T324" s="236"/>
      <c r="U324" s="236"/>
      <c r="V324" s="242"/>
    </row>
    <row r="325" spans="2:22" ht="13">
      <c r="B325" s="270"/>
      <c r="C325" s="245"/>
      <c r="D325" s="19" t="s">
        <v>791</v>
      </c>
      <c r="E325" s="19">
        <v>10.199999999999999</v>
      </c>
      <c r="F325" s="19">
        <v>13</v>
      </c>
      <c r="G325" s="17">
        <f t="shared" si="45"/>
        <v>132.6</v>
      </c>
      <c r="H325" s="236"/>
      <c r="I325" s="236"/>
      <c r="J325" s="236"/>
      <c r="K325" s="242"/>
      <c r="M325" s="270"/>
      <c r="N325" s="245"/>
      <c r="O325" s="19" t="s">
        <v>791</v>
      </c>
      <c r="P325" s="19">
        <v>10.199999999999999</v>
      </c>
      <c r="Q325" s="19">
        <v>13</v>
      </c>
      <c r="R325" s="17">
        <f t="shared" si="49"/>
        <v>132.6</v>
      </c>
      <c r="S325" s="236"/>
      <c r="T325" s="236"/>
      <c r="U325" s="236"/>
      <c r="V325" s="242"/>
    </row>
    <row r="326" spans="2:22" ht="13">
      <c r="B326" s="270"/>
      <c r="C326" s="245"/>
      <c r="D326" s="19" t="s">
        <v>823</v>
      </c>
      <c r="E326" s="19">
        <v>8.8000000000000007</v>
      </c>
      <c r="F326" s="19">
        <v>13</v>
      </c>
      <c r="G326" s="17">
        <f t="shared" si="45"/>
        <v>114.4</v>
      </c>
      <c r="H326" s="236"/>
      <c r="I326" s="236"/>
      <c r="J326" s="236"/>
      <c r="K326" s="242"/>
      <c r="M326" s="270"/>
      <c r="N326" s="245"/>
      <c r="O326" s="19" t="s">
        <v>823</v>
      </c>
      <c r="P326" s="19">
        <v>8.8000000000000007</v>
      </c>
      <c r="Q326" s="19">
        <v>13</v>
      </c>
      <c r="R326" s="17">
        <f t="shared" si="49"/>
        <v>114.4</v>
      </c>
      <c r="S326" s="236"/>
      <c r="T326" s="236"/>
      <c r="U326" s="236"/>
      <c r="V326" s="242"/>
    </row>
    <row r="327" spans="2:22" ht="13">
      <c r="B327" s="270"/>
      <c r="C327" s="246"/>
      <c r="D327" s="20" t="s">
        <v>754</v>
      </c>
      <c r="E327" s="20">
        <v>7.4</v>
      </c>
      <c r="F327" s="20">
        <v>13</v>
      </c>
      <c r="G327" s="21">
        <f t="shared" si="45"/>
        <v>96.2</v>
      </c>
      <c r="H327" s="238"/>
      <c r="I327" s="238"/>
      <c r="J327" s="238"/>
      <c r="K327" s="243"/>
      <c r="M327" s="270"/>
      <c r="N327" s="246"/>
      <c r="O327" s="20" t="s">
        <v>754</v>
      </c>
      <c r="P327" s="20">
        <v>7.4</v>
      </c>
      <c r="Q327" s="20">
        <v>13</v>
      </c>
      <c r="R327" s="21">
        <f t="shared" si="49"/>
        <v>96.2</v>
      </c>
      <c r="S327" s="238"/>
      <c r="T327" s="238"/>
      <c r="U327" s="238"/>
      <c r="V327" s="243"/>
    </row>
    <row r="328" spans="2:22" ht="13">
      <c r="B328" s="270"/>
      <c r="C328" s="289" t="s">
        <v>832</v>
      </c>
      <c r="D328" s="77" t="s">
        <v>114</v>
      </c>
      <c r="E328" s="71">
        <v>14</v>
      </c>
      <c r="F328" s="71">
        <v>18</v>
      </c>
      <c r="G328" s="16">
        <f t="shared" si="45"/>
        <v>252</v>
      </c>
      <c r="H328" s="240">
        <f>SUM(G328:G341)</f>
        <v>1411.4700000000003</v>
      </c>
      <c r="I328" s="240">
        <v>4000</v>
      </c>
      <c r="J328" s="240">
        <f>I328-H328</f>
        <v>2588.5299999999997</v>
      </c>
      <c r="K328" s="241">
        <f>J328/I328</f>
        <v>0.64713249999999989</v>
      </c>
      <c r="M328" s="270"/>
      <c r="N328" s="289" t="s">
        <v>832</v>
      </c>
      <c r="O328" s="77" t="s">
        <v>114</v>
      </c>
      <c r="P328" s="104"/>
      <c r="Q328" s="104"/>
      <c r="R328" s="43"/>
      <c r="S328" s="240">
        <f>SUM(R328:R341)</f>
        <v>1156.8700000000001</v>
      </c>
      <c r="T328" s="240">
        <v>4000</v>
      </c>
      <c r="U328" s="240">
        <f>T328-S328</f>
        <v>2843.13</v>
      </c>
      <c r="V328" s="241">
        <f>U328/T328</f>
        <v>0.71078249999999998</v>
      </c>
    </row>
    <row r="329" spans="2:22" ht="13">
      <c r="B329" s="270"/>
      <c r="C329" s="245"/>
      <c r="D329" s="106" t="s">
        <v>744</v>
      </c>
      <c r="E329" s="19">
        <v>5.6</v>
      </c>
      <c r="F329" s="19">
        <v>13</v>
      </c>
      <c r="G329" s="17">
        <f t="shared" si="45"/>
        <v>72.8</v>
      </c>
      <c r="H329" s="236"/>
      <c r="I329" s="236"/>
      <c r="J329" s="236"/>
      <c r="K329" s="242"/>
      <c r="M329" s="270"/>
      <c r="N329" s="245"/>
      <c r="O329" s="106" t="s">
        <v>744</v>
      </c>
      <c r="P329" s="19">
        <v>5.6</v>
      </c>
      <c r="Q329" s="19">
        <v>13</v>
      </c>
      <c r="R329" s="17">
        <f t="shared" ref="R329:R341" si="50">P329*Q329</f>
        <v>72.8</v>
      </c>
      <c r="S329" s="236"/>
      <c r="T329" s="236"/>
      <c r="U329" s="236"/>
      <c r="V329" s="242"/>
    </row>
    <row r="330" spans="2:22" ht="13">
      <c r="B330" s="270"/>
      <c r="C330" s="245"/>
      <c r="D330" s="19" t="s">
        <v>771</v>
      </c>
      <c r="E330" s="19">
        <v>10.8</v>
      </c>
      <c r="F330" s="19">
        <v>13</v>
      </c>
      <c r="G330" s="17">
        <f t="shared" si="45"/>
        <v>140.4</v>
      </c>
      <c r="H330" s="236"/>
      <c r="I330" s="236"/>
      <c r="J330" s="236"/>
      <c r="K330" s="242"/>
      <c r="M330" s="270"/>
      <c r="N330" s="245"/>
      <c r="O330" s="19" t="s">
        <v>771</v>
      </c>
      <c r="P330" s="19">
        <v>10.6</v>
      </c>
      <c r="Q330" s="19">
        <v>13</v>
      </c>
      <c r="R330" s="17">
        <f t="shared" si="50"/>
        <v>137.79999999999998</v>
      </c>
      <c r="S330" s="236"/>
      <c r="T330" s="236"/>
      <c r="U330" s="236"/>
      <c r="V330" s="242"/>
    </row>
    <row r="331" spans="2:22" ht="13">
      <c r="B331" s="270"/>
      <c r="C331" s="245"/>
      <c r="D331" s="19" t="s">
        <v>822</v>
      </c>
      <c r="E331" s="19">
        <v>10.1</v>
      </c>
      <c r="F331" s="19">
        <v>13</v>
      </c>
      <c r="G331" s="17">
        <f t="shared" si="45"/>
        <v>131.29999999999998</v>
      </c>
      <c r="H331" s="236"/>
      <c r="I331" s="236"/>
      <c r="J331" s="236"/>
      <c r="K331" s="242"/>
      <c r="M331" s="270"/>
      <c r="N331" s="245"/>
      <c r="O331" s="19" t="s">
        <v>822</v>
      </c>
      <c r="P331" s="19">
        <v>10.1</v>
      </c>
      <c r="Q331" s="19">
        <v>13</v>
      </c>
      <c r="R331" s="17">
        <f t="shared" si="50"/>
        <v>131.29999999999998</v>
      </c>
      <c r="S331" s="236"/>
      <c r="T331" s="236"/>
      <c r="U331" s="236"/>
      <c r="V331" s="242"/>
    </row>
    <row r="332" spans="2:22" ht="13">
      <c r="B332" s="270"/>
      <c r="C332" s="245"/>
      <c r="D332" s="19" t="s">
        <v>265</v>
      </c>
      <c r="E332" s="19">
        <v>9.5500000000000007</v>
      </c>
      <c r="F332" s="19">
        <v>13</v>
      </c>
      <c r="G332" s="17">
        <f t="shared" si="45"/>
        <v>124.15</v>
      </c>
      <c r="H332" s="236"/>
      <c r="I332" s="236"/>
      <c r="J332" s="236"/>
      <c r="K332" s="242"/>
      <c r="M332" s="270"/>
      <c r="N332" s="245"/>
      <c r="O332" s="19" t="s">
        <v>265</v>
      </c>
      <c r="P332" s="19">
        <v>9.5500000000000007</v>
      </c>
      <c r="Q332" s="19">
        <v>13</v>
      </c>
      <c r="R332" s="17">
        <f t="shared" si="50"/>
        <v>124.15</v>
      </c>
      <c r="S332" s="236"/>
      <c r="T332" s="236"/>
      <c r="U332" s="236"/>
      <c r="V332" s="242"/>
    </row>
    <row r="333" spans="2:22" ht="13">
      <c r="B333" s="270"/>
      <c r="C333" s="245"/>
      <c r="D333" s="19" t="s">
        <v>791</v>
      </c>
      <c r="E333" s="19">
        <v>5.9</v>
      </c>
      <c r="F333" s="19">
        <v>13</v>
      </c>
      <c r="G333" s="17">
        <f t="shared" si="45"/>
        <v>76.7</v>
      </c>
      <c r="H333" s="236"/>
      <c r="I333" s="236"/>
      <c r="J333" s="236"/>
      <c r="K333" s="242"/>
      <c r="M333" s="270"/>
      <c r="N333" s="245"/>
      <c r="O333" s="19" t="s">
        <v>791</v>
      </c>
      <c r="P333" s="19">
        <v>5.9</v>
      </c>
      <c r="Q333" s="19">
        <v>13</v>
      </c>
      <c r="R333" s="17">
        <f t="shared" si="50"/>
        <v>76.7</v>
      </c>
      <c r="S333" s="236"/>
      <c r="T333" s="236"/>
      <c r="U333" s="236"/>
      <c r="V333" s="242"/>
    </row>
    <row r="334" spans="2:22" ht="13">
      <c r="B334" s="270"/>
      <c r="C334" s="245"/>
      <c r="D334" s="19" t="s">
        <v>537</v>
      </c>
      <c r="E334" s="19">
        <v>6</v>
      </c>
      <c r="F334" s="19">
        <v>13</v>
      </c>
      <c r="G334" s="17">
        <f t="shared" si="45"/>
        <v>78</v>
      </c>
      <c r="H334" s="236"/>
      <c r="I334" s="236"/>
      <c r="J334" s="236"/>
      <c r="K334" s="242"/>
      <c r="M334" s="270"/>
      <c r="N334" s="245"/>
      <c r="O334" s="19" t="s">
        <v>537</v>
      </c>
      <c r="P334" s="19">
        <v>6</v>
      </c>
      <c r="Q334" s="19">
        <v>13</v>
      </c>
      <c r="R334" s="17">
        <f t="shared" si="50"/>
        <v>78</v>
      </c>
      <c r="S334" s="236"/>
      <c r="T334" s="236"/>
      <c r="U334" s="236"/>
      <c r="V334" s="242"/>
    </row>
    <row r="335" spans="2:22" ht="13">
      <c r="B335" s="270"/>
      <c r="C335" s="245"/>
      <c r="D335" s="19" t="s">
        <v>754</v>
      </c>
      <c r="E335" s="19">
        <v>3.44</v>
      </c>
      <c r="F335" s="19">
        <v>13</v>
      </c>
      <c r="G335" s="17">
        <f t="shared" si="45"/>
        <v>44.72</v>
      </c>
      <c r="H335" s="236"/>
      <c r="I335" s="236"/>
      <c r="J335" s="236"/>
      <c r="K335" s="242"/>
      <c r="M335" s="270"/>
      <c r="N335" s="245"/>
      <c r="O335" s="19" t="s">
        <v>754</v>
      </c>
      <c r="P335" s="19">
        <v>3.44</v>
      </c>
      <c r="Q335" s="19">
        <v>13</v>
      </c>
      <c r="R335" s="17">
        <f t="shared" si="50"/>
        <v>44.72</v>
      </c>
      <c r="S335" s="236"/>
      <c r="T335" s="236"/>
      <c r="U335" s="236"/>
      <c r="V335" s="242"/>
    </row>
    <row r="336" spans="2:22" ht="13">
      <c r="B336" s="270"/>
      <c r="C336" s="245"/>
      <c r="D336" s="19" t="s">
        <v>824</v>
      </c>
      <c r="E336" s="19">
        <v>5</v>
      </c>
      <c r="F336" s="19">
        <v>13</v>
      </c>
      <c r="G336" s="17">
        <f t="shared" si="45"/>
        <v>65</v>
      </c>
      <c r="H336" s="236"/>
      <c r="I336" s="236"/>
      <c r="J336" s="236"/>
      <c r="K336" s="242"/>
      <c r="M336" s="270"/>
      <c r="N336" s="245"/>
      <c r="O336" s="19" t="s">
        <v>824</v>
      </c>
      <c r="P336" s="19">
        <v>5</v>
      </c>
      <c r="Q336" s="19">
        <v>13</v>
      </c>
      <c r="R336" s="17">
        <f t="shared" si="50"/>
        <v>65</v>
      </c>
      <c r="S336" s="236"/>
      <c r="T336" s="236"/>
      <c r="U336" s="236"/>
      <c r="V336" s="242"/>
    </row>
    <row r="337" spans="2:22" ht="13">
      <c r="B337" s="270"/>
      <c r="C337" s="245"/>
      <c r="D337" s="19" t="s">
        <v>830</v>
      </c>
      <c r="E337" s="19">
        <v>5</v>
      </c>
      <c r="F337" s="19">
        <v>13</v>
      </c>
      <c r="G337" s="17">
        <f t="shared" si="45"/>
        <v>65</v>
      </c>
      <c r="H337" s="236"/>
      <c r="I337" s="236"/>
      <c r="J337" s="236"/>
      <c r="K337" s="242"/>
      <c r="M337" s="270"/>
      <c r="N337" s="245"/>
      <c r="O337" s="19" t="s">
        <v>830</v>
      </c>
      <c r="P337" s="19">
        <v>5</v>
      </c>
      <c r="Q337" s="19">
        <v>13</v>
      </c>
      <c r="R337" s="17">
        <f t="shared" si="50"/>
        <v>65</v>
      </c>
      <c r="S337" s="236"/>
      <c r="T337" s="236"/>
      <c r="U337" s="236"/>
      <c r="V337" s="242"/>
    </row>
    <row r="338" spans="2:22" ht="13">
      <c r="B338" s="270"/>
      <c r="C338" s="245"/>
      <c r="D338" s="19" t="s">
        <v>78</v>
      </c>
      <c r="E338" s="19">
        <v>9.75</v>
      </c>
      <c r="F338" s="19">
        <v>13</v>
      </c>
      <c r="G338" s="17">
        <f t="shared" si="45"/>
        <v>126.75</v>
      </c>
      <c r="H338" s="236"/>
      <c r="I338" s="236"/>
      <c r="J338" s="236"/>
      <c r="K338" s="242"/>
      <c r="M338" s="270"/>
      <c r="N338" s="245"/>
      <c r="O338" s="19" t="s">
        <v>78</v>
      </c>
      <c r="P338" s="19">
        <v>9.75</v>
      </c>
      <c r="Q338" s="19">
        <v>13</v>
      </c>
      <c r="R338" s="17">
        <f t="shared" si="50"/>
        <v>126.75</v>
      </c>
      <c r="S338" s="236"/>
      <c r="T338" s="236"/>
      <c r="U338" s="236"/>
      <c r="V338" s="242"/>
    </row>
    <row r="339" spans="2:22" ht="13">
      <c r="B339" s="270"/>
      <c r="C339" s="245"/>
      <c r="D339" s="19" t="s">
        <v>823</v>
      </c>
      <c r="E339" s="19">
        <v>7</v>
      </c>
      <c r="F339" s="19">
        <v>13</v>
      </c>
      <c r="G339" s="17">
        <f t="shared" si="45"/>
        <v>91</v>
      </c>
      <c r="H339" s="236"/>
      <c r="I339" s="236"/>
      <c r="J339" s="236"/>
      <c r="K339" s="242"/>
      <c r="M339" s="270"/>
      <c r="N339" s="245"/>
      <c r="O339" s="19" t="s">
        <v>823</v>
      </c>
      <c r="P339" s="19">
        <v>7</v>
      </c>
      <c r="Q339" s="19">
        <v>13</v>
      </c>
      <c r="R339" s="17">
        <f t="shared" si="50"/>
        <v>91</v>
      </c>
      <c r="S339" s="236"/>
      <c r="T339" s="236"/>
      <c r="U339" s="236"/>
      <c r="V339" s="242"/>
    </row>
    <row r="340" spans="2:22" ht="13">
      <c r="B340" s="270"/>
      <c r="C340" s="245"/>
      <c r="D340" s="19" t="s">
        <v>772</v>
      </c>
      <c r="E340" s="19">
        <v>5.5</v>
      </c>
      <c r="F340" s="19">
        <v>13</v>
      </c>
      <c r="G340" s="17">
        <f t="shared" si="45"/>
        <v>71.5</v>
      </c>
      <c r="H340" s="236"/>
      <c r="I340" s="236"/>
      <c r="J340" s="236"/>
      <c r="K340" s="242"/>
      <c r="M340" s="270"/>
      <c r="N340" s="245"/>
      <c r="O340" s="19" t="s">
        <v>772</v>
      </c>
      <c r="P340" s="19">
        <v>5.5</v>
      </c>
      <c r="Q340" s="19">
        <v>13</v>
      </c>
      <c r="R340" s="17">
        <f t="shared" si="50"/>
        <v>71.5</v>
      </c>
      <c r="S340" s="236"/>
      <c r="T340" s="236"/>
      <c r="U340" s="236"/>
      <c r="V340" s="242"/>
    </row>
    <row r="341" spans="2:22" ht="13">
      <c r="B341" s="270"/>
      <c r="C341" s="246"/>
      <c r="D341" s="20" t="s">
        <v>70</v>
      </c>
      <c r="E341" s="20">
        <v>5.55</v>
      </c>
      <c r="F341" s="20">
        <v>13</v>
      </c>
      <c r="G341" s="21">
        <f t="shared" si="45"/>
        <v>72.149999999999991</v>
      </c>
      <c r="H341" s="238"/>
      <c r="I341" s="238"/>
      <c r="J341" s="238"/>
      <c r="K341" s="243"/>
      <c r="M341" s="270"/>
      <c r="N341" s="246"/>
      <c r="O341" s="20" t="s">
        <v>70</v>
      </c>
      <c r="P341" s="20">
        <v>5.55</v>
      </c>
      <c r="Q341" s="20">
        <v>13</v>
      </c>
      <c r="R341" s="21">
        <f t="shared" si="50"/>
        <v>72.149999999999991</v>
      </c>
      <c r="S341" s="238"/>
      <c r="T341" s="238"/>
      <c r="U341" s="238"/>
      <c r="V341" s="243"/>
    </row>
    <row r="342" spans="2:22" ht="13">
      <c r="B342" s="270"/>
      <c r="C342" s="289" t="s">
        <v>833</v>
      </c>
      <c r="D342" s="77" t="s">
        <v>114</v>
      </c>
      <c r="E342" s="71">
        <v>7</v>
      </c>
      <c r="F342" s="71">
        <v>18</v>
      </c>
      <c r="G342" s="16">
        <f t="shared" si="45"/>
        <v>126</v>
      </c>
      <c r="H342" s="240">
        <f>SUM(G342:G357)</f>
        <v>1619.5</v>
      </c>
      <c r="I342" s="240">
        <v>4750</v>
      </c>
      <c r="J342" s="240">
        <f>I342-H342</f>
        <v>3130.5</v>
      </c>
      <c r="K342" s="241">
        <f>J342/I342</f>
        <v>0.65905263157894733</v>
      </c>
      <c r="M342" s="270"/>
      <c r="N342" s="289" t="s">
        <v>833</v>
      </c>
      <c r="O342" s="77" t="s">
        <v>114</v>
      </c>
      <c r="P342" s="104"/>
      <c r="Q342" s="104"/>
      <c r="R342" s="43"/>
      <c r="S342" s="240">
        <f>SUM(R342:R357)</f>
        <v>1238.9000000000001</v>
      </c>
      <c r="T342" s="240">
        <v>4750</v>
      </c>
      <c r="U342" s="240">
        <f>T342-S342</f>
        <v>3511.1</v>
      </c>
      <c r="V342" s="241">
        <f>U342/T342</f>
        <v>0.73917894736842105</v>
      </c>
    </row>
    <row r="343" spans="2:22" ht="13">
      <c r="B343" s="270"/>
      <c r="C343" s="245"/>
      <c r="D343" s="106" t="s">
        <v>744</v>
      </c>
      <c r="E343" s="19">
        <v>11.75</v>
      </c>
      <c r="F343" s="19">
        <v>13</v>
      </c>
      <c r="G343" s="17">
        <f t="shared" si="45"/>
        <v>152.75</v>
      </c>
      <c r="H343" s="236"/>
      <c r="I343" s="236"/>
      <c r="J343" s="236"/>
      <c r="K343" s="242"/>
      <c r="M343" s="270"/>
      <c r="N343" s="245"/>
      <c r="O343" s="106" t="s">
        <v>744</v>
      </c>
      <c r="P343" s="19">
        <v>11.75</v>
      </c>
      <c r="Q343" s="19">
        <v>13</v>
      </c>
      <c r="R343" s="17">
        <f t="shared" ref="R343:R344" si="51">P343*Q343</f>
        <v>152.75</v>
      </c>
      <c r="S343" s="236"/>
      <c r="T343" s="236"/>
      <c r="U343" s="236"/>
      <c r="V343" s="242"/>
    </row>
    <row r="344" spans="2:22" ht="13">
      <c r="B344" s="270"/>
      <c r="C344" s="245"/>
      <c r="D344" s="19" t="s">
        <v>771</v>
      </c>
      <c r="E344" s="19">
        <v>4.3</v>
      </c>
      <c r="F344" s="19">
        <v>13</v>
      </c>
      <c r="G344" s="17">
        <f t="shared" si="45"/>
        <v>55.9</v>
      </c>
      <c r="H344" s="236"/>
      <c r="I344" s="236"/>
      <c r="J344" s="236"/>
      <c r="K344" s="242"/>
      <c r="M344" s="270"/>
      <c r="N344" s="245"/>
      <c r="O344" s="19" t="s">
        <v>771</v>
      </c>
      <c r="P344" s="19">
        <v>4.25</v>
      </c>
      <c r="Q344" s="19">
        <v>13</v>
      </c>
      <c r="R344" s="17">
        <f t="shared" si="51"/>
        <v>55.25</v>
      </c>
      <c r="S344" s="236"/>
      <c r="T344" s="236"/>
      <c r="U344" s="236"/>
      <c r="V344" s="242"/>
    </row>
    <row r="345" spans="2:22" ht="13">
      <c r="B345" s="270"/>
      <c r="C345" s="245"/>
      <c r="D345" s="19" t="s">
        <v>815</v>
      </c>
      <c r="E345" s="19">
        <v>14</v>
      </c>
      <c r="F345" s="19">
        <v>18</v>
      </c>
      <c r="G345" s="17">
        <f t="shared" si="45"/>
        <v>252</v>
      </c>
      <c r="H345" s="236"/>
      <c r="I345" s="236"/>
      <c r="J345" s="236"/>
      <c r="K345" s="242"/>
      <c r="M345" s="270"/>
      <c r="N345" s="245"/>
      <c r="O345" s="19" t="s">
        <v>815</v>
      </c>
      <c r="P345" s="105"/>
      <c r="Q345" s="105"/>
      <c r="R345" s="18"/>
      <c r="S345" s="236"/>
      <c r="T345" s="236"/>
      <c r="U345" s="236"/>
      <c r="V345" s="242"/>
    </row>
    <row r="346" spans="2:22" ht="13">
      <c r="B346" s="270"/>
      <c r="C346" s="245"/>
      <c r="D346" s="19" t="s">
        <v>822</v>
      </c>
      <c r="E346" s="19">
        <v>4.5</v>
      </c>
      <c r="F346" s="19">
        <v>13</v>
      </c>
      <c r="G346" s="17">
        <f t="shared" si="45"/>
        <v>58.5</v>
      </c>
      <c r="H346" s="236"/>
      <c r="I346" s="236"/>
      <c r="J346" s="236"/>
      <c r="K346" s="242"/>
      <c r="M346" s="270"/>
      <c r="N346" s="245"/>
      <c r="O346" s="19" t="s">
        <v>822</v>
      </c>
      <c r="P346" s="19">
        <v>4.5</v>
      </c>
      <c r="Q346" s="19">
        <v>13</v>
      </c>
      <c r="R346" s="17">
        <f t="shared" ref="R346:R365" si="52">P346*Q346</f>
        <v>58.5</v>
      </c>
      <c r="S346" s="236"/>
      <c r="T346" s="236"/>
      <c r="U346" s="236"/>
      <c r="V346" s="242"/>
    </row>
    <row r="347" spans="2:22" ht="13">
      <c r="B347" s="270"/>
      <c r="C347" s="245"/>
      <c r="D347" s="19" t="s">
        <v>265</v>
      </c>
      <c r="E347" s="19">
        <v>6</v>
      </c>
      <c r="F347" s="19">
        <v>13</v>
      </c>
      <c r="G347" s="17">
        <f t="shared" si="45"/>
        <v>78</v>
      </c>
      <c r="H347" s="236"/>
      <c r="I347" s="236"/>
      <c r="J347" s="236"/>
      <c r="K347" s="242"/>
      <c r="M347" s="270"/>
      <c r="N347" s="245"/>
      <c r="O347" s="19" t="s">
        <v>265</v>
      </c>
      <c r="P347" s="19">
        <v>6</v>
      </c>
      <c r="Q347" s="19">
        <v>13</v>
      </c>
      <c r="R347" s="17">
        <f t="shared" si="52"/>
        <v>78</v>
      </c>
      <c r="S347" s="236"/>
      <c r="T347" s="236"/>
      <c r="U347" s="236"/>
      <c r="V347" s="242"/>
    </row>
    <row r="348" spans="2:22" ht="13">
      <c r="B348" s="270"/>
      <c r="C348" s="245"/>
      <c r="D348" s="19" t="s">
        <v>791</v>
      </c>
      <c r="E348" s="19">
        <v>6.25</v>
      </c>
      <c r="F348" s="19">
        <v>13</v>
      </c>
      <c r="G348" s="17">
        <f t="shared" si="45"/>
        <v>81.25</v>
      </c>
      <c r="H348" s="236"/>
      <c r="I348" s="236"/>
      <c r="J348" s="236"/>
      <c r="K348" s="242"/>
      <c r="M348" s="270"/>
      <c r="N348" s="245"/>
      <c r="O348" s="19" t="s">
        <v>791</v>
      </c>
      <c r="P348" s="19">
        <v>6.25</v>
      </c>
      <c r="Q348" s="19">
        <v>13</v>
      </c>
      <c r="R348" s="17">
        <f t="shared" si="52"/>
        <v>81.25</v>
      </c>
      <c r="S348" s="236"/>
      <c r="T348" s="236"/>
      <c r="U348" s="236"/>
      <c r="V348" s="242"/>
    </row>
    <row r="349" spans="2:22" ht="13">
      <c r="B349" s="270"/>
      <c r="C349" s="245"/>
      <c r="D349" s="19" t="s">
        <v>537</v>
      </c>
      <c r="E349" s="19">
        <v>5.2</v>
      </c>
      <c r="F349" s="19">
        <v>13</v>
      </c>
      <c r="G349" s="17">
        <f t="shared" si="45"/>
        <v>67.600000000000009</v>
      </c>
      <c r="H349" s="236"/>
      <c r="I349" s="236"/>
      <c r="J349" s="236"/>
      <c r="K349" s="242"/>
      <c r="M349" s="270"/>
      <c r="N349" s="245"/>
      <c r="O349" s="19" t="s">
        <v>537</v>
      </c>
      <c r="P349" s="19">
        <v>5.2</v>
      </c>
      <c r="Q349" s="19">
        <v>13</v>
      </c>
      <c r="R349" s="17">
        <f t="shared" si="52"/>
        <v>67.600000000000009</v>
      </c>
      <c r="S349" s="236"/>
      <c r="T349" s="236"/>
      <c r="U349" s="236"/>
      <c r="V349" s="242"/>
    </row>
    <row r="350" spans="2:22" ht="13">
      <c r="B350" s="270"/>
      <c r="C350" s="245"/>
      <c r="D350" s="19" t="s">
        <v>754</v>
      </c>
      <c r="E350" s="19">
        <v>4</v>
      </c>
      <c r="F350" s="19">
        <v>13</v>
      </c>
      <c r="G350" s="17">
        <f t="shared" si="45"/>
        <v>52</v>
      </c>
      <c r="H350" s="236"/>
      <c r="I350" s="236"/>
      <c r="J350" s="236"/>
      <c r="K350" s="242"/>
      <c r="M350" s="270"/>
      <c r="N350" s="245"/>
      <c r="O350" s="19" t="s">
        <v>754</v>
      </c>
      <c r="P350" s="19">
        <v>4</v>
      </c>
      <c r="Q350" s="19">
        <v>13</v>
      </c>
      <c r="R350" s="17">
        <f t="shared" si="52"/>
        <v>52</v>
      </c>
      <c r="S350" s="236"/>
      <c r="T350" s="236"/>
      <c r="U350" s="236"/>
      <c r="V350" s="242"/>
    </row>
    <row r="351" spans="2:22" ht="13">
      <c r="B351" s="270"/>
      <c r="C351" s="245"/>
      <c r="D351" s="19" t="s">
        <v>824</v>
      </c>
      <c r="E351" s="19">
        <v>9.6</v>
      </c>
      <c r="F351" s="19">
        <v>13</v>
      </c>
      <c r="G351" s="17">
        <f t="shared" si="45"/>
        <v>124.8</v>
      </c>
      <c r="H351" s="236"/>
      <c r="I351" s="236"/>
      <c r="J351" s="236"/>
      <c r="K351" s="242"/>
      <c r="M351" s="270"/>
      <c r="N351" s="245"/>
      <c r="O351" s="19" t="s">
        <v>824</v>
      </c>
      <c r="P351" s="19">
        <v>9.6</v>
      </c>
      <c r="Q351" s="19">
        <v>13</v>
      </c>
      <c r="R351" s="17">
        <f t="shared" si="52"/>
        <v>124.8</v>
      </c>
      <c r="S351" s="236"/>
      <c r="T351" s="236"/>
      <c r="U351" s="236"/>
      <c r="V351" s="242"/>
    </row>
    <row r="352" spans="2:22" ht="13">
      <c r="B352" s="270"/>
      <c r="C352" s="245"/>
      <c r="D352" s="19" t="s">
        <v>830</v>
      </c>
      <c r="E352" s="19">
        <v>8.15</v>
      </c>
      <c r="F352" s="19">
        <v>13</v>
      </c>
      <c r="G352" s="17">
        <f t="shared" si="45"/>
        <v>105.95</v>
      </c>
      <c r="H352" s="236"/>
      <c r="I352" s="236"/>
      <c r="J352" s="236"/>
      <c r="K352" s="242"/>
      <c r="M352" s="270"/>
      <c r="N352" s="245"/>
      <c r="O352" s="19" t="s">
        <v>830</v>
      </c>
      <c r="P352" s="19">
        <v>8</v>
      </c>
      <c r="Q352" s="19">
        <v>13</v>
      </c>
      <c r="R352" s="17">
        <f t="shared" si="52"/>
        <v>104</v>
      </c>
      <c r="S352" s="236"/>
      <c r="T352" s="236"/>
      <c r="U352" s="236"/>
      <c r="V352" s="242"/>
    </row>
    <row r="353" spans="2:22" ht="13">
      <c r="B353" s="270"/>
      <c r="C353" s="245"/>
      <c r="D353" s="19" t="s">
        <v>78</v>
      </c>
      <c r="E353" s="19">
        <v>5.25</v>
      </c>
      <c r="F353" s="19">
        <v>13</v>
      </c>
      <c r="G353" s="17">
        <f t="shared" si="45"/>
        <v>68.25</v>
      </c>
      <c r="H353" s="236"/>
      <c r="I353" s="236"/>
      <c r="J353" s="236"/>
      <c r="K353" s="242"/>
      <c r="M353" s="270"/>
      <c r="N353" s="245"/>
      <c r="O353" s="19" t="s">
        <v>78</v>
      </c>
      <c r="P353" s="19">
        <v>5.25</v>
      </c>
      <c r="Q353" s="19">
        <v>13</v>
      </c>
      <c r="R353" s="17">
        <f t="shared" si="52"/>
        <v>68.25</v>
      </c>
      <c r="S353" s="236"/>
      <c r="T353" s="236"/>
      <c r="U353" s="236"/>
      <c r="V353" s="242"/>
    </row>
    <row r="354" spans="2:22" ht="13">
      <c r="B354" s="270"/>
      <c r="C354" s="245"/>
      <c r="D354" s="19" t="s">
        <v>823</v>
      </c>
      <c r="E354" s="19">
        <v>3.25</v>
      </c>
      <c r="F354" s="19">
        <v>13</v>
      </c>
      <c r="G354" s="17">
        <f t="shared" si="45"/>
        <v>42.25</v>
      </c>
      <c r="H354" s="236"/>
      <c r="I354" s="236"/>
      <c r="J354" s="236"/>
      <c r="K354" s="242"/>
      <c r="M354" s="270"/>
      <c r="N354" s="245"/>
      <c r="O354" s="19" t="s">
        <v>823</v>
      </c>
      <c r="P354" s="19">
        <v>3.25</v>
      </c>
      <c r="Q354" s="19">
        <v>13</v>
      </c>
      <c r="R354" s="17">
        <f t="shared" si="52"/>
        <v>42.25</v>
      </c>
      <c r="S354" s="236"/>
      <c r="T354" s="236"/>
      <c r="U354" s="236"/>
      <c r="V354" s="242"/>
    </row>
    <row r="355" spans="2:22" ht="13">
      <c r="B355" s="270"/>
      <c r="C355" s="245"/>
      <c r="D355" s="19" t="s">
        <v>811</v>
      </c>
      <c r="E355" s="19">
        <v>6.5</v>
      </c>
      <c r="F355" s="19">
        <v>13</v>
      </c>
      <c r="G355" s="17">
        <f t="shared" si="45"/>
        <v>84.5</v>
      </c>
      <c r="H355" s="236"/>
      <c r="I355" s="236"/>
      <c r="J355" s="236"/>
      <c r="K355" s="242"/>
      <c r="M355" s="270"/>
      <c r="N355" s="245"/>
      <c r="O355" s="19" t="s">
        <v>811</v>
      </c>
      <c r="P355" s="19">
        <v>6.5</v>
      </c>
      <c r="Q355" s="19">
        <v>13</v>
      </c>
      <c r="R355" s="17">
        <f t="shared" si="52"/>
        <v>84.5</v>
      </c>
      <c r="S355" s="236"/>
      <c r="T355" s="236"/>
      <c r="U355" s="236"/>
      <c r="V355" s="242"/>
    </row>
    <row r="356" spans="2:22" ht="13">
      <c r="B356" s="270"/>
      <c r="C356" s="245"/>
      <c r="D356" s="19" t="s">
        <v>772</v>
      </c>
      <c r="E356" s="19">
        <v>11.25</v>
      </c>
      <c r="F356" s="19">
        <v>13</v>
      </c>
      <c r="G356" s="17">
        <f t="shared" si="45"/>
        <v>146.25</v>
      </c>
      <c r="H356" s="236"/>
      <c r="I356" s="236"/>
      <c r="J356" s="236"/>
      <c r="K356" s="242"/>
      <c r="M356" s="270"/>
      <c r="N356" s="245"/>
      <c r="O356" s="19" t="s">
        <v>772</v>
      </c>
      <c r="P356" s="19">
        <v>11.25</v>
      </c>
      <c r="Q356" s="19">
        <v>13</v>
      </c>
      <c r="R356" s="17">
        <f t="shared" si="52"/>
        <v>146.25</v>
      </c>
      <c r="S356" s="236"/>
      <c r="T356" s="236"/>
      <c r="U356" s="236"/>
      <c r="V356" s="242"/>
    </row>
    <row r="357" spans="2:22" ht="13">
      <c r="B357" s="270"/>
      <c r="C357" s="246"/>
      <c r="D357" s="20" t="s">
        <v>70</v>
      </c>
      <c r="E357" s="20">
        <v>9.5</v>
      </c>
      <c r="F357" s="20">
        <v>13</v>
      </c>
      <c r="G357" s="21">
        <f t="shared" si="45"/>
        <v>123.5</v>
      </c>
      <c r="H357" s="238"/>
      <c r="I357" s="238"/>
      <c r="J357" s="238"/>
      <c r="K357" s="243"/>
      <c r="M357" s="270"/>
      <c r="N357" s="246"/>
      <c r="O357" s="20" t="s">
        <v>70</v>
      </c>
      <c r="P357" s="20">
        <v>9.5</v>
      </c>
      <c r="Q357" s="20">
        <v>13</v>
      </c>
      <c r="R357" s="21">
        <f t="shared" si="52"/>
        <v>123.5</v>
      </c>
      <c r="S357" s="238"/>
      <c r="T357" s="238"/>
      <c r="U357" s="238"/>
      <c r="V357" s="243"/>
    </row>
    <row r="358" spans="2:22" ht="13">
      <c r="B358" s="270"/>
      <c r="C358" s="244" t="s">
        <v>834</v>
      </c>
      <c r="D358" s="15" t="s">
        <v>824</v>
      </c>
      <c r="E358" s="16">
        <v>4.5999999999999996</v>
      </c>
      <c r="F358" s="16">
        <v>13</v>
      </c>
      <c r="G358" s="16">
        <f t="shared" si="45"/>
        <v>59.8</v>
      </c>
      <c r="H358" s="240">
        <f>SUM(G358:G365)</f>
        <v>567.84</v>
      </c>
      <c r="I358" s="240">
        <v>2240</v>
      </c>
      <c r="J358" s="240">
        <f>I358-H358</f>
        <v>1672.1599999999999</v>
      </c>
      <c r="K358" s="241">
        <f>J358/I358</f>
        <v>0.74649999999999994</v>
      </c>
      <c r="M358" s="270"/>
      <c r="N358" s="244" t="s">
        <v>834</v>
      </c>
      <c r="O358" s="15" t="s">
        <v>824</v>
      </c>
      <c r="P358" s="16">
        <v>4.5999999999999996</v>
      </c>
      <c r="Q358" s="16">
        <v>13</v>
      </c>
      <c r="R358" s="16">
        <f t="shared" si="52"/>
        <v>59.8</v>
      </c>
      <c r="S358" s="240">
        <f>SUM(R358:R365)</f>
        <v>567.84</v>
      </c>
      <c r="T358" s="240">
        <v>2240</v>
      </c>
      <c r="U358" s="240">
        <f>T358-S358</f>
        <v>1672.1599999999999</v>
      </c>
      <c r="V358" s="241">
        <f>U358/T358</f>
        <v>0.74649999999999994</v>
      </c>
    </row>
    <row r="359" spans="2:22" ht="13">
      <c r="B359" s="270"/>
      <c r="C359" s="245"/>
      <c r="D359" s="19" t="s">
        <v>265</v>
      </c>
      <c r="E359" s="17">
        <v>5.15</v>
      </c>
      <c r="F359" s="17">
        <v>13</v>
      </c>
      <c r="G359" s="17">
        <f t="shared" si="45"/>
        <v>66.95</v>
      </c>
      <c r="H359" s="236"/>
      <c r="I359" s="236"/>
      <c r="J359" s="236"/>
      <c r="K359" s="242"/>
      <c r="M359" s="270"/>
      <c r="N359" s="245"/>
      <c r="O359" s="19" t="s">
        <v>265</v>
      </c>
      <c r="P359" s="17">
        <v>5.15</v>
      </c>
      <c r="Q359" s="17">
        <v>13</v>
      </c>
      <c r="R359" s="17">
        <f t="shared" si="52"/>
        <v>66.95</v>
      </c>
      <c r="S359" s="236"/>
      <c r="T359" s="236"/>
      <c r="U359" s="236"/>
      <c r="V359" s="242"/>
    </row>
    <row r="360" spans="2:22" ht="13">
      <c r="B360" s="270"/>
      <c r="C360" s="245"/>
      <c r="D360" s="19" t="s">
        <v>811</v>
      </c>
      <c r="E360" s="17">
        <v>6.43</v>
      </c>
      <c r="F360" s="17">
        <v>13</v>
      </c>
      <c r="G360" s="17">
        <f t="shared" si="45"/>
        <v>83.59</v>
      </c>
      <c r="H360" s="236"/>
      <c r="I360" s="236"/>
      <c r="J360" s="236"/>
      <c r="K360" s="242"/>
      <c r="M360" s="270"/>
      <c r="N360" s="245"/>
      <c r="O360" s="19" t="s">
        <v>811</v>
      </c>
      <c r="P360" s="17">
        <v>6.43</v>
      </c>
      <c r="Q360" s="17">
        <v>13</v>
      </c>
      <c r="R360" s="17">
        <f t="shared" si="52"/>
        <v>83.59</v>
      </c>
      <c r="S360" s="236"/>
      <c r="T360" s="236"/>
      <c r="U360" s="236"/>
      <c r="V360" s="242"/>
    </row>
    <row r="361" spans="2:22" ht="13">
      <c r="B361" s="270"/>
      <c r="C361" s="245"/>
      <c r="D361" s="19" t="s">
        <v>771</v>
      </c>
      <c r="E361" s="17">
        <v>7.15</v>
      </c>
      <c r="F361" s="17">
        <v>13</v>
      </c>
      <c r="G361" s="17">
        <f t="shared" si="45"/>
        <v>92.95</v>
      </c>
      <c r="H361" s="236"/>
      <c r="I361" s="236"/>
      <c r="J361" s="236"/>
      <c r="K361" s="242"/>
      <c r="M361" s="270"/>
      <c r="N361" s="245"/>
      <c r="O361" s="19" t="s">
        <v>771</v>
      </c>
      <c r="P361" s="17">
        <v>7.15</v>
      </c>
      <c r="Q361" s="17">
        <v>13</v>
      </c>
      <c r="R361" s="17">
        <f t="shared" si="52"/>
        <v>92.95</v>
      </c>
      <c r="S361" s="236"/>
      <c r="T361" s="236"/>
      <c r="U361" s="236"/>
      <c r="V361" s="242"/>
    </row>
    <row r="362" spans="2:22" ht="13">
      <c r="B362" s="270"/>
      <c r="C362" s="245"/>
      <c r="D362" s="19" t="s">
        <v>794</v>
      </c>
      <c r="E362" s="17">
        <v>3.75</v>
      </c>
      <c r="F362" s="17">
        <v>13</v>
      </c>
      <c r="G362" s="17">
        <f t="shared" si="45"/>
        <v>48.75</v>
      </c>
      <c r="H362" s="236"/>
      <c r="I362" s="236"/>
      <c r="J362" s="236"/>
      <c r="K362" s="242"/>
      <c r="M362" s="270"/>
      <c r="N362" s="245"/>
      <c r="O362" s="19" t="s">
        <v>794</v>
      </c>
      <c r="P362" s="17">
        <v>3.75</v>
      </c>
      <c r="Q362" s="17">
        <v>13</v>
      </c>
      <c r="R362" s="17">
        <f t="shared" si="52"/>
        <v>48.75</v>
      </c>
      <c r="S362" s="236"/>
      <c r="T362" s="236"/>
      <c r="U362" s="236"/>
      <c r="V362" s="242"/>
    </row>
    <row r="363" spans="2:22" ht="13">
      <c r="B363" s="270"/>
      <c r="C363" s="245"/>
      <c r="D363" s="19" t="s">
        <v>791</v>
      </c>
      <c r="E363" s="17">
        <v>5.15</v>
      </c>
      <c r="F363" s="17">
        <v>13</v>
      </c>
      <c r="G363" s="17">
        <f t="shared" si="45"/>
        <v>66.95</v>
      </c>
      <c r="H363" s="236"/>
      <c r="I363" s="236"/>
      <c r="J363" s="236"/>
      <c r="K363" s="242"/>
      <c r="M363" s="270"/>
      <c r="N363" s="245"/>
      <c r="O363" s="19" t="s">
        <v>791</v>
      </c>
      <c r="P363" s="17">
        <v>5.15</v>
      </c>
      <c r="Q363" s="17">
        <v>13</v>
      </c>
      <c r="R363" s="17">
        <f t="shared" si="52"/>
        <v>66.95</v>
      </c>
      <c r="S363" s="236"/>
      <c r="T363" s="236"/>
      <c r="U363" s="236"/>
      <c r="V363" s="242"/>
    </row>
    <row r="364" spans="2:22" ht="13">
      <c r="B364" s="270"/>
      <c r="C364" s="245"/>
      <c r="D364" s="19" t="s">
        <v>823</v>
      </c>
      <c r="E364" s="17">
        <v>5.4</v>
      </c>
      <c r="F364" s="17">
        <v>13</v>
      </c>
      <c r="G364" s="17">
        <f t="shared" si="45"/>
        <v>70.2</v>
      </c>
      <c r="H364" s="236"/>
      <c r="I364" s="236"/>
      <c r="J364" s="236"/>
      <c r="K364" s="242"/>
      <c r="M364" s="270"/>
      <c r="N364" s="245"/>
      <c r="O364" s="19" t="s">
        <v>823</v>
      </c>
      <c r="P364" s="17">
        <v>5.4</v>
      </c>
      <c r="Q364" s="17">
        <v>13</v>
      </c>
      <c r="R364" s="17">
        <f t="shared" si="52"/>
        <v>70.2</v>
      </c>
      <c r="S364" s="236"/>
      <c r="T364" s="236"/>
      <c r="U364" s="236"/>
      <c r="V364" s="242"/>
    </row>
    <row r="365" spans="2:22" ht="13">
      <c r="B365" s="270"/>
      <c r="C365" s="246"/>
      <c r="D365" s="20" t="s">
        <v>78</v>
      </c>
      <c r="E365" s="21">
        <v>6.05</v>
      </c>
      <c r="F365" s="21">
        <v>13</v>
      </c>
      <c r="G365" s="21">
        <f t="shared" si="45"/>
        <v>78.649999999999991</v>
      </c>
      <c r="H365" s="238"/>
      <c r="I365" s="238"/>
      <c r="J365" s="238"/>
      <c r="K365" s="243"/>
      <c r="M365" s="270"/>
      <c r="N365" s="246"/>
      <c r="O365" s="20" t="s">
        <v>78</v>
      </c>
      <c r="P365" s="21">
        <v>6.05</v>
      </c>
      <c r="Q365" s="21">
        <v>13</v>
      </c>
      <c r="R365" s="21">
        <f t="shared" si="52"/>
        <v>78.649999999999991</v>
      </c>
      <c r="S365" s="238"/>
      <c r="T365" s="238"/>
      <c r="U365" s="238"/>
      <c r="V365" s="243"/>
    </row>
    <row r="366" spans="2:22" ht="13">
      <c r="B366" s="270"/>
      <c r="C366" s="244" t="s">
        <v>835</v>
      </c>
      <c r="D366" s="15" t="s">
        <v>815</v>
      </c>
      <c r="E366" s="16">
        <v>14</v>
      </c>
      <c r="F366" s="16">
        <v>18</v>
      </c>
      <c r="G366" s="16">
        <f t="shared" si="45"/>
        <v>252</v>
      </c>
      <c r="H366" s="240">
        <f>SUM(G366:G374)</f>
        <v>2503.2300000000005</v>
      </c>
      <c r="I366" s="240">
        <v>6550</v>
      </c>
      <c r="J366" s="240">
        <f>I366-H366</f>
        <v>4046.7699999999995</v>
      </c>
      <c r="K366" s="241">
        <f>J366/I366</f>
        <v>0.61782748091603046</v>
      </c>
      <c r="M366" s="270"/>
      <c r="N366" s="244" t="s">
        <v>835</v>
      </c>
      <c r="O366" s="15" t="s">
        <v>815</v>
      </c>
      <c r="P366" s="43"/>
      <c r="Q366" s="43"/>
      <c r="R366" s="43"/>
      <c r="S366" s="240">
        <f>SUM(R366:R374)</f>
        <v>2236.23</v>
      </c>
      <c r="T366" s="240">
        <v>6550</v>
      </c>
      <c r="U366" s="240">
        <f>T366-S366</f>
        <v>4313.7700000000004</v>
      </c>
      <c r="V366" s="241">
        <f>U366/T366</f>
        <v>0.65859083969465659</v>
      </c>
    </row>
    <row r="367" spans="2:22" ht="13">
      <c r="B367" s="270"/>
      <c r="C367" s="245"/>
      <c r="D367" s="19" t="s">
        <v>836</v>
      </c>
      <c r="E367" s="17"/>
      <c r="F367" s="17"/>
      <c r="G367" s="17">
        <v>491.4</v>
      </c>
      <c r="H367" s="236"/>
      <c r="I367" s="236"/>
      <c r="J367" s="236"/>
      <c r="K367" s="242"/>
      <c r="M367" s="270"/>
      <c r="N367" s="245"/>
      <c r="O367" s="19" t="s">
        <v>836</v>
      </c>
      <c r="P367" s="17"/>
      <c r="Q367" s="17"/>
      <c r="R367" s="17">
        <v>491.4</v>
      </c>
      <c r="S367" s="236"/>
      <c r="T367" s="236"/>
      <c r="U367" s="236"/>
      <c r="V367" s="242"/>
    </row>
    <row r="368" spans="2:22" ht="13">
      <c r="B368" s="270"/>
      <c r="C368" s="245"/>
      <c r="D368" s="19" t="s">
        <v>70</v>
      </c>
      <c r="E368" s="17">
        <v>17.5</v>
      </c>
      <c r="F368" s="17">
        <v>15</v>
      </c>
      <c r="G368" s="17">
        <f t="shared" ref="G368:G369" si="53">E368*F368</f>
        <v>262.5</v>
      </c>
      <c r="H368" s="236"/>
      <c r="I368" s="236"/>
      <c r="J368" s="236"/>
      <c r="K368" s="242"/>
      <c r="M368" s="270"/>
      <c r="N368" s="245"/>
      <c r="O368" s="19" t="s">
        <v>70</v>
      </c>
      <c r="P368" s="17">
        <v>16.5</v>
      </c>
      <c r="Q368" s="17">
        <v>15</v>
      </c>
      <c r="R368" s="17">
        <f t="shared" ref="R368:R369" si="54">P368*Q368</f>
        <v>247.5</v>
      </c>
      <c r="S368" s="236"/>
      <c r="T368" s="236"/>
      <c r="U368" s="236"/>
      <c r="V368" s="242"/>
    </row>
    <row r="369" spans="2:22" ht="13">
      <c r="B369" s="270"/>
      <c r="C369" s="245"/>
      <c r="D369" s="19" t="s">
        <v>744</v>
      </c>
      <c r="E369" s="17">
        <v>19</v>
      </c>
      <c r="F369" s="17">
        <v>15</v>
      </c>
      <c r="G369" s="17">
        <f t="shared" si="53"/>
        <v>285</v>
      </c>
      <c r="H369" s="236"/>
      <c r="I369" s="236"/>
      <c r="J369" s="236"/>
      <c r="K369" s="242"/>
      <c r="M369" s="270"/>
      <c r="N369" s="245"/>
      <c r="O369" s="19" t="s">
        <v>744</v>
      </c>
      <c r="P369" s="17">
        <v>19</v>
      </c>
      <c r="Q369" s="17">
        <v>15</v>
      </c>
      <c r="R369" s="17">
        <f t="shared" si="54"/>
        <v>285</v>
      </c>
      <c r="S369" s="236"/>
      <c r="T369" s="236"/>
      <c r="U369" s="236"/>
      <c r="V369" s="242"/>
    </row>
    <row r="370" spans="2:22" ht="13">
      <c r="B370" s="270"/>
      <c r="C370" s="245"/>
      <c r="D370" s="19" t="s">
        <v>449</v>
      </c>
      <c r="E370" s="17"/>
      <c r="F370" s="17"/>
      <c r="G370" s="17">
        <v>775.2</v>
      </c>
      <c r="H370" s="236"/>
      <c r="I370" s="236"/>
      <c r="J370" s="236"/>
      <c r="K370" s="242"/>
      <c r="M370" s="270"/>
      <c r="N370" s="245"/>
      <c r="O370" s="19" t="s">
        <v>449</v>
      </c>
      <c r="P370" s="17"/>
      <c r="Q370" s="17"/>
      <c r="R370" s="17">
        <v>775.2</v>
      </c>
      <c r="S370" s="236"/>
      <c r="T370" s="236"/>
      <c r="U370" s="236"/>
      <c r="V370" s="242"/>
    </row>
    <row r="371" spans="2:22" ht="13">
      <c r="B371" s="270"/>
      <c r="C371" s="245"/>
      <c r="D371" s="19" t="s">
        <v>837</v>
      </c>
      <c r="E371" s="17"/>
      <c r="F371" s="17"/>
      <c r="G371" s="17">
        <v>86.45</v>
      </c>
      <c r="H371" s="236"/>
      <c r="I371" s="236"/>
      <c r="J371" s="236"/>
      <c r="K371" s="242"/>
      <c r="M371" s="270"/>
      <c r="N371" s="245"/>
      <c r="O371" s="19" t="s">
        <v>837</v>
      </c>
      <c r="P371" s="17"/>
      <c r="Q371" s="17"/>
      <c r="R371" s="17">
        <v>86.45</v>
      </c>
      <c r="S371" s="236"/>
      <c r="T371" s="236"/>
      <c r="U371" s="236"/>
      <c r="V371" s="242"/>
    </row>
    <row r="372" spans="2:22" ht="13">
      <c r="B372" s="270"/>
      <c r="C372" s="245"/>
      <c r="D372" s="19" t="s">
        <v>83</v>
      </c>
      <c r="E372" s="17"/>
      <c r="F372" s="17"/>
      <c r="G372" s="17">
        <v>157.91999999999999</v>
      </c>
      <c r="H372" s="236"/>
      <c r="I372" s="236"/>
      <c r="J372" s="236"/>
      <c r="K372" s="242"/>
      <c r="M372" s="270"/>
      <c r="N372" s="245"/>
      <c r="O372" s="19" t="s">
        <v>83</v>
      </c>
      <c r="P372" s="17"/>
      <c r="Q372" s="17"/>
      <c r="R372" s="17">
        <v>157.91999999999999</v>
      </c>
      <c r="S372" s="236"/>
      <c r="T372" s="236"/>
      <c r="U372" s="236"/>
      <c r="V372" s="242"/>
    </row>
    <row r="373" spans="2:22" ht="13">
      <c r="B373" s="270"/>
      <c r="C373" s="245"/>
      <c r="D373" s="19" t="s">
        <v>188</v>
      </c>
      <c r="E373" s="17"/>
      <c r="F373" s="17"/>
      <c r="G373" s="17">
        <v>114.11</v>
      </c>
      <c r="H373" s="236"/>
      <c r="I373" s="236"/>
      <c r="J373" s="236"/>
      <c r="K373" s="242"/>
      <c r="M373" s="270"/>
      <c r="N373" s="245"/>
      <c r="O373" s="19" t="s">
        <v>188</v>
      </c>
      <c r="P373" s="17"/>
      <c r="Q373" s="17"/>
      <c r="R373" s="17">
        <v>114.11</v>
      </c>
      <c r="S373" s="236"/>
      <c r="T373" s="236"/>
      <c r="U373" s="236"/>
      <c r="V373" s="242"/>
    </row>
    <row r="374" spans="2:22" ht="13">
      <c r="B374" s="270"/>
      <c r="C374" s="246"/>
      <c r="D374" s="20" t="s">
        <v>800</v>
      </c>
      <c r="E374" s="21">
        <v>6.05</v>
      </c>
      <c r="F374" s="21">
        <v>13</v>
      </c>
      <c r="G374" s="21">
        <f t="shared" ref="G374:G378" si="55">E374*F374</f>
        <v>78.649999999999991</v>
      </c>
      <c r="H374" s="238"/>
      <c r="I374" s="238"/>
      <c r="J374" s="238"/>
      <c r="K374" s="243"/>
      <c r="M374" s="270"/>
      <c r="N374" s="246"/>
      <c r="O374" s="20" t="s">
        <v>800</v>
      </c>
      <c r="P374" s="21">
        <v>6.05</v>
      </c>
      <c r="Q374" s="21">
        <v>13</v>
      </c>
      <c r="R374" s="21">
        <f t="shared" ref="R374:R378" si="56">P374*Q374</f>
        <v>78.649999999999991</v>
      </c>
      <c r="S374" s="238"/>
      <c r="T374" s="238"/>
      <c r="U374" s="238"/>
      <c r="V374" s="243"/>
    </row>
    <row r="375" spans="2:22" ht="13">
      <c r="B375" s="270"/>
      <c r="C375" s="244" t="s">
        <v>838</v>
      </c>
      <c r="D375" s="15" t="s">
        <v>839</v>
      </c>
      <c r="E375" s="16">
        <v>8.25</v>
      </c>
      <c r="F375" s="16">
        <v>13</v>
      </c>
      <c r="G375" s="16">
        <f t="shared" si="55"/>
        <v>107.25</v>
      </c>
      <c r="H375" s="240">
        <f>SUM(G375:G378)</f>
        <v>533.65</v>
      </c>
      <c r="I375" s="240">
        <v>3240</v>
      </c>
      <c r="J375" s="240">
        <f>I375-H375</f>
        <v>2706.35</v>
      </c>
      <c r="K375" s="241">
        <f>J375/I375</f>
        <v>0.83529320987654321</v>
      </c>
      <c r="M375" s="270"/>
      <c r="N375" s="244" t="s">
        <v>838</v>
      </c>
      <c r="O375" s="15" t="s">
        <v>839</v>
      </c>
      <c r="P375" s="16">
        <v>8.25</v>
      </c>
      <c r="Q375" s="16">
        <v>13</v>
      </c>
      <c r="R375" s="16">
        <f t="shared" si="56"/>
        <v>107.25</v>
      </c>
      <c r="S375" s="240">
        <f>SUM(R375:R378)</f>
        <v>533.65</v>
      </c>
      <c r="T375" s="240">
        <v>3240</v>
      </c>
      <c r="U375" s="240">
        <f>T375-S375</f>
        <v>2706.35</v>
      </c>
      <c r="V375" s="241">
        <f>U375/T375</f>
        <v>0.83529320987654321</v>
      </c>
    </row>
    <row r="376" spans="2:22" ht="13">
      <c r="B376" s="270"/>
      <c r="C376" s="245"/>
      <c r="D376" s="19" t="s">
        <v>23</v>
      </c>
      <c r="E376" s="17">
        <v>18.75</v>
      </c>
      <c r="F376" s="17">
        <v>13</v>
      </c>
      <c r="G376" s="17">
        <f t="shared" si="55"/>
        <v>243.75</v>
      </c>
      <c r="H376" s="236"/>
      <c r="I376" s="236"/>
      <c r="J376" s="236"/>
      <c r="K376" s="242"/>
      <c r="M376" s="270"/>
      <c r="N376" s="245"/>
      <c r="O376" s="19" t="s">
        <v>23</v>
      </c>
      <c r="P376" s="17">
        <v>18.75</v>
      </c>
      <c r="Q376" s="17">
        <v>13</v>
      </c>
      <c r="R376" s="17">
        <f t="shared" si="56"/>
        <v>243.75</v>
      </c>
      <c r="S376" s="236"/>
      <c r="T376" s="236"/>
      <c r="U376" s="236"/>
      <c r="V376" s="242"/>
    </row>
    <row r="377" spans="2:22" ht="13">
      <c r="B377" s="270"/>
      <c r="C377" s="245"/>
      <c r="D377" s="19" t="s">
        <v>754</v>
      </c>
      <c r="E377" s="17">
        <v>8.5</v>
      </c>
      <c r="F377" s="17">
        <v>13</v>
      </c>
      <c r="G377" s="17">
        <f t="shared" si="55"/>
        <v>110.5</v>
      </c>
      <c r="H377" s="236"/>
      <c r="I377" s="236"/>
      <c r="J377" s="236"/>
      <c r="K377" s="242"/>
      <c r="M377" s="270"/>
      <c r="N377" s="245"/>
      <c r="O377" s="19" t="s">
        <v>754</v>
      </c>
      <c r="P377" s="17">
        <v>8.5</v>
      </c>
      <c r="Q377" s="17">
        <v>13</v>
      </c>
      <c r="R377" s="17">
        <f t="shared" si="56"/>
        <v>110.5</v>
      </c>
      <c r="S377" s="236"/>
      <c r="T377" s="236"/>
      <c r="U377" s="236"/>
      <c r="V377" s="242"/>
    </row>
    <row r="378" spans="2:22" ht="13">
      <c r="B378" s="270"/>
      <c r="C378" s="246"/>
      <c r="D378" s="20" t="s">
        <v>744</v>
      </c>
      <c r="E378" s="21">
        <v>5.55</v>
      </c>
      <c r="F378" s="21">
        <v>13</v>
      </c>
      <c r="G378" s="21">
        <f t="shared" si="55"/>
        <v>72.149999999999991</v>
      </c>
      <c r="H378" s="238"/>
      <c r="I378" s="238"/>
      <c r="J378" s="238"/>
      <c r="K378" s="243"/>
      <c r="M378" s="270"/>
      <c r="N378" s="246"/>
      <c r="O378" s="20" t="s">
        <v>744</v>
      </c>
      <c r="P378" s="21">
        <v>5.55</v>
      </c>
      <c r="Q378" s="21">
        <v>13</v>
      </c>
      <c r="R378" s="21">
        <f t="shared" si="56"/>
        <v>72.149999999999991</v>
      </c>
      <c r="S378" s="238"/>
      <c r="T378" s="238"/>
      <c r="U378" s="238"/>
      <c r="V378" s="243"/>
    </row>
    <row r="379" spans="2:22" ht="13">
      <c r="B379" s="270"/>
      <c r="C379" s="244" t="s">
        <v>840</v>
      </c>
      <c r="D379" s="15" t="s">
        <v>739</v>
      </c>
      <c r="E379" s="16"/>
      <c r="F379" s="16"/>
      <c r="G379" s="16">
        <v>120</v>
      </c>
      <c r="H379" s="240">
        <f>SUM(G379:G382)</f>
        <v>485.4</v>
      </c>
      <c r="I379" s="240">
        <v>2745</v>
      </c>
      <c r="J379" s="240">
        <f>I379-H379</f>
        <v>2259.6</v>
      </c>
      <c r="K379" s="241">
        <f>J379/I379</f>
        <v>0.82316939890710383</v>
      </c>
      <c r="M379" s="270"/>
      <c r="N379" s="244" t="s">
        <v>840</v>
      </c>
      <c r="O379" s="15" t="s">
        <v>739</v>
      </c>
      <c r="P379" s="16"/>
      <c r="Q379" s="16"/>
      <c r="R379" s="16">
        <v>120</v>
      </c>
      <c r="S379" s="240">
        <f>SUM(R379:R382)</f>
        <v>485.4</v>
      </c>
      <c r="T379" s="240">
        <v>2745</v>
      </c>
      <c r="U379" s="240">
        <f>T379-S379</f>
        <v>2259.6</v>
      </c>
      <c r="V379" s="241">
        <f>U379/T379</f>
        <v>0.82316939890710383</v>
      </c>
    </row>
    <row r="380" spans="2:22" ht="13">
      <c r="B380" s="270"/>
      <c r="C380" s="245"/>
      <c r="D380" s="19" t="s">
        <v>373</v>
      </c>
      <c r="E380" s="17"/>
      <c r="F380" s="17"/>
      <c r="G380" s="17">
        <v>21.4</v>
      </c>
      <c r="H380" s="236"/>
      <c r="I380" s="236"/>
      <c r="J380" s="236"/>
      <c r="K380" s="242"/>
      <c r="M380" s="270"/>
      <c r="N380" s="245"/>
      <c r="O380" s="19" t="s">
        <v>373</v>
      </c>
      <c r="P380" s="17"/>
      <c r="Q380" s="17"/>
      <c r="R380" s="17">
        <v>21.4</v>
      </c>
      <c r="S380" s="236"/>
      <c r="T380" s="236"/>
      <c r="U380" s="236"/>
      <c r="V380" s="242"/>
    </row>
    <row r="381" spans="2:22" ht="13">
      <c r="B381" s="270"/>
      <c r="C381" s="245"/>
      <c r="D381" s="19" t="s">
        <v>841</v>
      </c>
      <c r="E381" s="17"/>
      <c r="F381" s="17"/>
      <c r="G381" s="17">
        <v>210</v>
      </c>
      <c r="H381" s="236"/>
      <c r="I381" s="236"/>
      <c r="J381" s="236"/>
      <c r="K381" s="242"/>
      <c r="M381" s="270"/>
      <c r="N381" s="245"/>
      <c r="O381" s="19" t="s">
        <v>841</v>
      </c>
      <c r="P381" s="17"/>
      <c r="Q381" s="17"/>
      <c r="R381" s="17">
        <v>210</v>
      </c>
      <c r="S381" s="236"/>
      <c r="T381" s="236"/>
      <c r="U381" s="236"/>
      <c r="V381" s="242"/>
    </row>
    <row r="382" spans="2:22" ht="13">
      <c r="B382" s="270"/>
      <c r="C382" s="246"/>
      <c r="D382" s="20" t="s">
        <v>842</v>
      </c>
      <c r="E382" s="21"/>
      <c r="F382" s="21"/>
      <c r="G382" s="21">
        <v>134</v>
      </c>
      <c r="H382" s="238"/>
      <c r="I382" s="238"/>
      <c r="J382" s="238"/>
      <c r="K382" s="243"/>
      <c r="M382" s="270"/>
      <c r="N382" s="246"/>
      <c r="O382" s="20" t="s">
        <v>842</v>
      </c>
      <c r="P382" s="21"/>
      <c r="Q382" s="21"/>
      <c r="R382" s="21">
        <v>134</v>
      </c>
      <c r="S382" s="238"/>
      <c r="T382" s="238"/>
      <c r="U382" s="238"/>
      <c r="V382" s="243"/>
    </row>
    <row r="383" spans="2:22" ht="13">
      <c r="B383" s="270"/>
      <c r="C383" s="244" t="s">
        <v>843</v>
      </c>
      <c r="D383" s="15" t="s">
        <v>114</v>
      </c>
      <c r="E383" s="16">
        <v>14</v>
      </c>
      <c r="F383" s="16">
        <v>18</v>
      </c>
      <c r="G383" s="17">
        <f t="shared" ref="G383:G414" si="57">E383*F383</f>
        <v>252</v>
      </c>
      <c r="H383" s="240">
        <f>SUM(G383:G394)</f>
        <v>1494.4099999999999</v>
      </c>
      <c r="I383" s="240">
        <v>7200</v>
      </c>
      <c r="J383" s="240">
        <f>I383-H383</f>
        <v>5705.59</v>
      </c>
      <c r="K383" s="241">
        <f>J383/I383</f>
        <v>0.79244305555555561</v>
      </c>
      <c r="M383" s="270"/>
      <c r="N383" s="244" t="s">
        <v>843</v>
      </c>
      <c r="O383" s="15" t="s">
        <v>114</v>
      </c>
      <c r="P383" s="43"/>
      <c r="Q383" s="43"/>
      <c r="R383" s="18"/>
      <c r="S383" s="240">
        <f>SUM(R383:R394)</f>
        <v>1242.4100000000001</v>
      </c>
      <c r="T383" s="240">
        <v>7200</v>
      </c>
      <c r="U383" s="240">
        <f>T383-S383</f>
        <v>5957.59</v>
      </c>
      <c r="V383" s="241">
        <f>U383/T383</f>
        <v>0.82744305555555553</v>
      </c>
    </row>
    <row r="384" spans="2:22" ht="13">
      <c r="B384" s="270"/>
      <c r="C384" s="245"/>
      <c r="D384" s="19" t="s">
        <v>537</v>
      </c>
      <c r="E384" s="17">
        <v>11.18</v>
      </c>
      <c r="F384" s="17">
        <v>13</v>
      </c>
      <c r="G384" s="17">
        <f t="shared" si="57"/>
        <v>145.34</v>
      </c>
      <c r="H384" s="236"/>
      <c r="I384" s="236"/>
      <c r="J384" s="236"/>
      <c r="K384" s="242"/>
      <c r="M384" s="270"/>
      <c r="N384" s="245"/>
      <c r="O384" s="19" t="s">
        <v>537</v>
      </c>
      <c r="P384" s="17">
        <v>11.18</v>
      </c>
      <c r="Q384" s="17">
        <v>13</v>
      </c>
      <c r="R384" s="17">
        <f t="shared" ref="R384:R394" si="58">P384*Q384</f>
        <v>145.34</v>
      </c>
      <c r="S384" s="236"/>
      <c r="T384" s="236"/>
      <c r="U384" s="236"/>
      <c r="V384" s="242"/>
    </row>
    <row r="385" spans="2:22" ht="13">
      <c r="B385" s="270"/>
      <c r="C385" s="245"/>
      <c r="D385" s="19" t="s">
        <v>844</v>
      </c>
      <c r="E385" s="17">
        <v>6.58</v>
      </c>
      <c r="F385" s="17">
        <v>13</v>
      </c>
      <c r="G385" s="17">
        <f t="shared" si="57"/>
        <v>85.54</v>
      </c>
      <c r="H385" s="236"/>
      <c r="I385" s="236"/>
      <c r="J385" s="236"/>
      <c r="K385" s="242"/>
      <c r="M385" s="270"/>
      <c r="N385" s="245"/>
      <c r="O385" s="19" t="s">
        <v>844</v>
      </c>
      <c r="P385" s="17">
        <v>6.58</v>
      </c>
      <c r="Q385" s="17">
        <v>13</v>
      </c>
      <c r="R385" s="17">
        <f t="shared" si="58"/>
        <v>85.54</v>
      </c>
      <c r="S385" s="236"/>
      <c r="T385" s="236"/>
      <c r="U385" s="236"/>
      <c r="V385" s="242"/>
    </row>
    <row r="386" spans="2:22" ht="13">
      <c r="B386" s="270"/>
      <c r="C386" s="245"/>
      <c r="D386" s="19" t="s">
        <v>823</v>
      </c>
      <c r="E386" s="17">
        <v>11.17</v>
      </c>
      <c r="F386" s="17">
        <v>13</v>
      </c>
      <c r="G386" s="17">
        <f t="shared" si="57"/>
        <v>145.21</v>
      </c>
      <c r="H386" s="236"/>
      <c r="I386" s="236"/>
      <c r="J386" s="236"/>
      <c r="K386" s="242"/>
      <c r="M386" s="270"/>
      <c r="N386" s="245"/>
      <c r="O386" s="19" t="s">
        <v>823</v>
      </c>
      <c r="P386" s="17">
        <v>11.17</v>
      </c>
      <c r="Q386" s="17">
        <v>13</v>
      </c>
      <c r="R386" s="17">
        <f t="shared" si="58"/>
        <v>145.21</v>
      </c>
      <c r="S386" s="236"/>
      <c r="T386" s="236"/>
      <c r="U386" s="236"/>
      <c r="V386" s="242"/>
    </row>
    <row r="387" spans="2:22" ht="13">
      <c r="B387" s="270"/>
      <c r="C387" s="245"/>
      <c r="D387" s="19" t="s">
        <v>265</v>
      </c>
      <c r="E387" s="17">
        <v>6.57</v>
      </c>
      <c r="F387" s="17">
        <v>13</v>
      </c>
      <c r="G387" s="17">
        <f t="shared" si="57"/>
        <v>85.41</v>
      </c>
      <c r="H387" s="236"/>
      <c r="I387" s="236"/>
      <c r="J387" s="236"/>
      <c r="K387" s="242"/>
      <c r="M387" s="270"/>
      <c r="N387" s="245"/>
      <c r="O387" s="19" t="s">
        <v>265</v>
      </c>
      <c r="P387" s="17">
        <v>6.57</v>
      </c>
      <c r="Q387" s="17">
        <v>13</v>
      </c>
      <c r="R387" s="17">
        <f t="shared" si="58"/>
        <v>85.41</v>
      </c>
      <c r="S387" s="236"/>
      <c r="T387" s="236"/>
      <c r="U387" s="236"/>
      <c r="V387" s="242"/>
    </row>
    <row r="388" spans="2:22" ht="13">
      <c r="B388" s="270"/>
      <c r="C388" s="245"/>
      <c r="D388" s="19" t="s">
        <v>845</v>
      </c>
      <c r="E388" s="17">
        <v>7.23</v>
      </c>
      <c r="F388" s="17">
        <v>13</v>
      </c>
      <c r="G388" s="17">
        <f t="shared" si="57"/>
        <v>93.990000000000009</v>
      </c>
      <c r="H388" s="236"/>
      <c r="I388" s="236"/>
      <c r="J388" s="236"/>
      <c r="K388" s="242"/>
      <c r="M388" s="270"/>
      <c r="N388" s="245"/>
      <c r="O388" s="19" t="s">
        <v>845</v>
      </c>
      <c r="P388" s="17">
        <v>7.23</v>
      </c>
      <c r="Q388" s="17">
        <v>13</v>
      </c>
      <c r="R388" s="17">
        <f t="shared" si="58"/>
        <v>93.990000000000009</v>
      </c>
      <c r="S388" s="236"/>
      <c r="T388" s="236"/>
      <c r="U388" s="236"/>
      <c r="V388" s="242"/>
    </row>
    <row r="389" spans="2:22" ht="13">
      <c r="B389" s="270"/>
      <c r="C389" s="245"/>
      <c r="D389" s="19" t="s">
        <v>754</v>
      </c>
      <c r="E389" s="17">
        <v>14.37</v>
      </c>
      <c r="F389" s="17">
        <v>13</v>
      </c>
      <c r="G389" s="17">
        <f t="shared" si="57"/>
        <v>186.81</v>
      </c>
      <c r="H389" s="236"/>
      <c r="I389" s="236"/>
      <c r="J389" s="236"/>
      <c r="K389" s="242"/>
      <c r="M389" s="270"/>
      <c r="N389" s="245"/>
      <c r="O389" s="19" t="s">
        <v>754</v>
      </c>
      <c r="P389" s="17">
        <v>14.37</v>
      </c>
      <c r="Q389" s="17">
        <v>13</v>
      </c>
      <c r="R389" s="17">
        <f t="shared" si="58"/>
        <v>186.81</v>
      </c>
      <c r="S389" s="236"/>
      <c r="T389" s="236"/>
      <c r="U389" s="236"/>
      <c r="V389" s="242"/>
    </row>
    <row r="390" spans="2:22" ht="13">
      <c r="B390" s="270"/>
      <c r="C390" s="245"/>
      <c r="D390" s="19" t="s">
        <v>791</v>
      </c>
      <c r="E390" s="17">
        <v>14.62</v>
      </c>
      <c r="F390" s="17">
        <v>13</v>
      </c>
      <c r="G390" s="17">
        <f t="shared" si="57"/>
        <v>190.06</v>
      </c>
      <c r="H390" s="236"/>
      <c r="I390" s="236"/>
      <c r="J390" s="236"/>
      <c r="K390" s="242"/>
      <c r="M390" s="270"/>
      <c r="N390" s="245"/>
      <c r="O390" s="19" t="s">
        <v>791</v>
      </c>
      <c r="P390" s="17">
        <v>14.62</v>
      </c>
      <c r="Q390" s="17">
        <v>13</v>
      </c>
      <c r="R390" s="17">
        <f t="shared" si="58"/>
        <v>190.06</v>
      </c>
      <c r="S390" s="236"/>
      <c r="T390" s="236"/>
      <c r="U390" s="236"/>
      <c r="V390" s="242"/>
    </row>
    <row r="391" spans="2:22" ht="13">
      <c r="B391" s="270"/>
      <c r="C391" s="245"/>
      <c r="D391" s="24" t="s">
        <v>814</v>
      </c>
      <c r="E391" s="17">
        <v>6.18</v>
      </c>
      <c r="F391" s="17">
        <v>13</v>
      </c>
      <c r="G391" s="17">
        <f t="shared" si="57"/>
        <v>80.34</v>
      </c>
      <c r="H391" s="236"/>
      <c r="I391" s="236"/>
      <c r="J391" s="236"/>
      <c r="K391" s="242"/>
      <c r="M391" s="270"/>
      <c r="N391" s="245"/>
      <c r="O391" s="24" t="s">
        <v>814</v>
      </c>
      <c r="P391" s="17">
        <v>6.18</v>
      </c>
      <c r="Q391" s="17">
        <v>13</v>
      </c>
      <c r="R391" s="17">
        <f t="shared" si="58"/>
        <v>80.34</v>
      </c>
      <c r="S391" s="236"/>
      <c r="T391" s="236"/>
      <c r="U391" s="236"/>
      <c r="V391" s="242"/>
    </row>
    <row r="392" spans="2:22" ht="13">
      <c r="B392" s="270"/>
      <c r="C392" s="245"/>
      <c r="D392" s="24" t="s">
        <v>846</v>
      </c>
      <c r="E392" s="17">
        <v>3.7</v>
      </c>
      <c r="F392" s="17">
        <v>13</v>
      </c>
      <c r="G392" s="17">
        <f t="shared" si="57"/>
        <v>48.1</v>
      </c>
      <c r="H392" s="236"/>
      <c r="I392" s="236"/>
      <c r="J392" s="236"/>
      <c r="K392" s="242"/>
      <c r="M392" s="270"/>
      <c r="N392" s="245"/>
      <c r="O392" s="24" t="s">
        <v>846</v>
      </c>
      <c r="P392" s="17">
        <v>3.7</v>
      </c>
      <c r="Q392" s="17">
        <v>13</v>
      </c>
      <c r="R392" s="17">
        <f t="shared" si="58"/>
        <v>48.1</v>
      </c>
      <c r="S392" s="236"/>
      <c r="T392" s="236"/>
      <c r="U392" s="236"/>
      <c r="V392" s="242"/>
    </row>
    <row r="393" spans="2:22" ht="13">
      <c r="B393" s="270"/>
      <c r="C393" s="245"/>
      <c r="D393" s="24" t="s">
        <v>526</v>
      </c>
      <c r="E393" s="17">
        <v>8.92</v>
      </c>
      <c r="F393" s="17">
        <v>13</v>
      </c>
      <c r="G393" s="17">
        <f t="shared" si="57"/>
        <v>115.96</v>
      </c>
      <c r="H393" s="236"/>
      <c r="I393" s="236"/>
      <c r="J393" s="236"/>
      <c r="K393" s="242"/>
      <c r="M393" s="270"/>
      <c r="N393" s="245"/>
      <c r="O393" s="24" t="s">
        <v>526</v>
      </c>
      <c r="P393" s="17">
        <v>8.92</v>
      </c>
      <c r="Q393" s="17">
        <v>13</v>
      </c>
      <c r="R393" s="17">
        <f t="shared" si="58"/>
        <v>115.96</v>
      </c>
      <c r="S393" s="236"/>
      <c r="T393" s="236"/>
      <c r="U393" s="236"/>
      <c r="V393" s="242"/>
    </row>
    <row r="394" spans="2:22" ht="13">
      <c r="B394" s="270"/>
      <c r="C394" s="246"/>
      <c r="D394" s="20" t="s">
        <v>811</v>
      </c>
      <c r="E394" s="21">
        <v>5.05</v>
      </c>
      <c r="F394" s="21">
        <v>13</v>
      </c>
      <c r="G394" s="21">
        <f t="shared" si="57"/>
        <v>65.649999999999991</v>
      </c>
      <c r="H394" s="238"/>
      <c r="I394" s="238"/>
      <c r="J394" s="238"/>
      <c r="K394" s="243"/>
      <c r="M394" s="270"/>
      <c r="N394" s="246"/>
      <c r="O394" s="20" t="s">
        <v>811</v>
      </c>
      <c r="P394" s="21">
        <v>5.05</v>
      </c>
      <c r="Q394" s="21">
        <v>13</v>
      </c>
      <c r="R394" s="21">
        <f t="shared" si="58"/>
        <v>65.649999999999991</v>
      </c>
      <c r="S394" s="238"/>
      <c r="T394" s="238"/>
      <c r="U394" s="238"/>
      <c r="V394" s="243"/>
    </row>
    <row r="395" spans="2:22" ht="13">
      <c r="B395" s="270"/>
      <c r="C395" s="244" t="s">
        <v>847</v>
      </c>
      <c r="D395" s="15" t="s">
        <v>815</v>
      </c>
      <c r="E395" s="16">
        <v>14</v>
      </c>
      <c r="F395" s="16">
        <v>18</v>
      </c>
      <c r="G395" s="17">
        <f t="shared" si="57"/>
        <v>252</v>
      </c>
      <c r="H395" s="240">
        <f>SUM(G395:G404)</f>
        <v>1165.9000000000001</v>
      </c>
      <c r="I395" s="240">
        <v>4800</v>
      </c>
      <c r="J395" s="240">
        <f>I395-H395</f>
        <v>3634.1</v>
      </c>
      <c r="K395" s="241">
        <f>J395/I395</f>
        <v>0.75710416666666669</v>
      </c>
      <c r="M395" s="270"/>
      <c r="N395" s="244" t="s">
        <v>847</v>
      </c>
      <c r="O395" s="15" t="s">
        <v>815</v>
      </c>
      <c r="P395" s="43"/>
      <c r="Q395" s="43"/>
      <c r="R395" s="18"/>
      <c r="S395" s="240">
        <f>SUM(R395:R404)</f>
        <v>913.51</v>
      </c>
      <c r="T395" s="240">
        <v>4800</v>
      </c>
      <c r="U395" s="240">
        <f>T395-S395</f>
        <v>3886.49</v>
      </c>
      <c r="V395" s="241">
        <f>U395/T395</f>
        <v>0.8096854166666666</v>
      </c>
    </row>
    <row r="396" spans="2:22" ht="13">
      <c r="B396" s="270"/>
      <c r="C396" s="245"/>
      <c r="D396" s="19" t="s">
        <v>537</v>
      </c>
      <c r="E396" s="17">
        <v>10.7</v>
      </c>
      <c r="F396" s="17">
        <v>13</v>
      </c>
      <c r="G396" s="17">
        <f t="shared" si="57"/>
        <v>139.1</v>
      </c>
      <c r="H396" s="236"/>
      <c r="I396" s="236"/>
      <c r="J396" s="236"/>
      <c r="K396" s="242"/>
      <c r="M396" s="270"/>
      <c r="N396" s="245"/>
      <c r="O396" s="19" t="s">
        <v>537</v>
      </c>
      <c r="P396" s="17">
        <v>10.7</v>
      </c>
      <c r="Q396" s="17">
        <v>13</v>
      </c>
      <c r="R396" s="17">
        <f t="shared" ref="R396:R404" si="59">P396*Q396</f>
        <v>139.1</v>
      </c>
      <c r="S396" s="236"/>
      <c r="T396" s="236"/>
      <c r="U396" s="236"/>
      <c r="V396" s="242"/>
    </row>
    <row r="397" spans="2:22" ht="13">
      <c r="B397" s="270"/>
      <c r="C397" s="245"/>
      <c r="D397" s="19" t="s">
        <v>771</v>
      </c>
      <c r="E397" s="17">
        <v>7.9</v>
      </c>
      <c r="F397" s="17">
        <v>13</v>
      </c>
      <c r="G397" s="17">
        <f t="shared" si="57"/>
        <v>102.7</v>
      </c>
      <c r="H397" s="236"/>
      <c r="I397" s="236"/>
      <c r="J397" s="236"/>
      <c r="K397" s="242"/>
      <c r="M397" s="270"/>
      <c r="N397" s="245"/>
      <c r="O397" s="19" t="s">
        <v>771</v>
      </c>
      <c r="P397" s="17">
        <v>7.87</v>
      </c>
      <c r="Q397" s="17">
        <v>13</v>
      </c>
      <c r="R397" s="17">
        <f t="shared" si="59"/>
        <v>102.31</v>
      </c>
      <c r="S397" s="236"/>
      <c r="T397" s="236"/>
      <c r="U397" s="236"/>
      <c r="V397" s="242"/>
    </row>
    <row r="398" spans="2:22" ht="13">
      <c r="B398" s="270"/>
      <c r="C398" s="245"/>
      <c r="D398" s="19" t="s">
        <v>844</v>
      </c>
      <c r="E398" s="17">
        <v>10.67</v>
      </c>
      <c r="F398" s="17">
        <v>13</v>
      </c>
      <c r="G398" s="17">
        <f t="shared" si="57"/>
        <v>138.71</v>
      </c>
      <c r="H398" s="236"/>
      <c r="I398" s="236"/>
      <c r="J398" s="236"/>
      <c r="K398" s="242"/>
      <c r="M398" s="270"/>
      <c r="N398" s="245"/>
      <c r="O398" s="19" t="s">
        <v>844</v>
      </c>
      <c r="P398" s="17">
        <v>10.67</v>
      </c>
      <c r="Q398" s="17">
        <v>13</v>
      </c>
      <c r="R398" s="17">
        <f t="shared" si="59"/>
        <v>138.71</v>
      </c>
      <c r="S398" s="236"/>
      <c r="T398" s="236"/>
      <c r="U398" s="236"/>
      <c r="V398" s="242"/>
    </row>
    <row r="399" spans="2:22" ht="13">
      <c r="B399" s="270"/>
      <c r="C399" s="245"/>
      <c r="D399" s="19" t="s">
        <v>823</v>
      </c>
      <c r="E399" s="17">
        <v>4.4000000000000004</v>
      </c>
      <c r="F399" s="17">
        <v>13</v>
      </c>
      <c r="G399" s="17">
        <f t="shared" si="57"/>
        <v>57.2</v>
      </c>
      <c r="H399" s="236"/>
      <c r="I399" s="236"/>
      <c r="J399" s="236"/>
      <c r="K399" s="242"/>
      <c r="M399" s="270"/>
      <c r="N399" s="245"/>
      <c r="O399" s="19" t="s">
        <v>823</v>
      </c>
      <c r="P399" s="17">
        <v>4.4000000000000004</v>
      </c>
      <c r="Q399" s="17">
        <v>13</v>
      </c>
      <c r="R399" s="17">
        <f t="shared" si="59"/>
        <v>57.2</v>
      </c>
      <c r="S399" s="236"/>
      <c r="T399" s="236"/>
      <c r="U399" s="236"/>
      <c r="V399" s="242"/>
    </row>
    <row r="400" spans="2:22" ht="13">
      <c r="B400" s="270"/>
      <c r="C400" s="245"/>
      <c r="D400" s="19" t="s">
        <v>845</v>
      </c>
      <c r="E400" s="17">
        <v>5.25</v>
      </c>
      <c r="F400" s="17">
        <v>13</v>
      </c>
      <c r="G400" s="17">
        <f t="shared" si="57"/>
        <v>68.25</v>
      </c>
      <c r="H400" s="236"/>
      <c r="I400" s="236"/>
      <c r="J400" s="236"/>
      <c r="K400" s="242"/>
      <c r="M400" s="270"/>
      <c r="N400" s="245"/>
      <c r="O400" s="19" t="s">
        <v>845</v>
      </c>
      <c r="P400" s="17">
        <v>5.25</v>
      </c>
      <c r="Q400" s="17">
        <v>13</v>
      </c>
      <c r="R400" s="17">
        <f t="shared" si="59"/>
        <v>68.25</v>
      </c>
      <c r="S400" s="236"/>
      <c r="T400" s="236"/>
      <c r="U400" s="236"/>
      <c r="V400" s="242"/>
    </row>
    <row r="401" spans="2:22" ht="13">
      <c r="B401" s="270"/>
      <c r="C401" s="245"/>
      <c r="D401" s="19" t="s">
        <v>791</v>
      </c>
      <c r="E401" s="17">
        <v>4.42</v>
      </c>
      <c r="F401" s="17">
        <v>13</v>
      </c>
      <c r="G401" s="17">
        <f t="shared" si="57"/>
        <v>57.46</v>
      </c>
      <c r="H401" s="236"/>
      <c r="I401" s="236"/>
      <c r="J401" s="236"/>
      <c r="K401" s="242"/>
      <c r="M401" s="270"/>
      <c r="N401" s="245"/>
      <c r="O401" s="19" t="s">
        <v>791</v>
      </c>
      <c r="P401" s="17">
        <v>4.42</v>
      </c>
      <c r="Q401" s="17">
        <v>13</v>
      </c>
      <c r="R401" s="17">
        <f t="shared" si="59"/>
        <v>57.46</v>
      </c>
      <c r="S401" s="236"/>
      <c r="T401" s="236"/>
      <c r="U401" s="236"/>
      <c r="V401" s="242"/>
    </row>
    <row r="402" spans="2:22" ht="13">
      <c r="B402" s="270"/>
      <c r="C402" s="245"/>
      <c r="D402" s="19" t="s">
        <v>848</v>
      </c>
      <c r="E402" s="17">
        <v>7.68</v>
      </c>
      <c r="F402" s="17">
        <v>13</v>
      </c>
      <c r="G402" s="17">
        <f t="shared" si="57"/>
        <v>99.84</v>
      </c>
      <c r="H402" s="236"/>
      <c r="I402" s="236"/>
      <c r="J402" s="236"/>
      <c r="K402" s="242"/>
      <c r="M402" s="270"/>
      <c r="N402" s="245"/>
      <c r="O402" s="19" t="s">
        <v>848</v>
      </c>
      <c r="P402" s="17">
        <v>7.68</v>
      </c>
      <c r="Q402" s="17">
        <v>13</v>
      </c>
      <c r="R402" s="17">
        <f t="shared" si="59"/>
        <v>99.84</v>
      </c>
      <c r="S402" s="236"/>
      <c r="T402" s="236"/>
      <c r="U402" s="236"/>
      <c r="V402" s="242"/>
    </row>
    <row r="403" spans="2:22" ht="13">
      <c r="B403" s="270"/>
      <c r="C403" s="245"/>
      <c r="D403" s="24" t="s">
        <v>526</v>
      </c>
      <c r="E403" s="17">
        <v>10.63</v>
      </c>
      <c r="F403" s="17">
        <v>13</v>
      </c>
      <c r="G403" s="17">
        <f t="shared" si="57"/>
        <v>138.19</v>
      </c>
      <c r="H403" s="236"/>
      <c r="I403" s="236"/>
      <c r="J403" s="236"/>
      <c r="K403" s="242"/>
      <c r="M403" s="270"/>
      <c r="N403" s="245"/>
      <c r="O403" s="24" t="s">
        <v>526</v>
      </c>
      <c r="P403" s="17">
        <v>10.63</v>
      </c>
      <c r="Q403" s="17">
        <v>13</v>
      </c>
      <c r="R403" s="17">
        <f t="shared" si="59"/>
        <v>138.19</v>
      </c>
      <c r="S403" s="236"/>
      <c r="T403" s="236"/>
      <c r="U403" s="236"/>
      <c r="V403" s="242"/>
    </row>
    <row r="404" spans="2:22" ht="13">
      <c r="B404" s="270"/>
      <c r="C404" s="246"/>
      <c r="D404" s="20" t="s">
        <v>811</v>
      </c>
      <c r="E404" s="21">
        <v>8.65</v>
      </c>
      <c r="F404" s="21">
        <v>13</v>
      </c>
      <c r="G404" s="21">
        <f t="shared" si="57"/>
        <v>112.45</v>
      </c>
      <c r="H404" s="238"/>
      <c r="I404" s="238"/>
      <c r="J404" s="238"/>
      <c r="K404" s="243"/>
      <c r="M404" s="270"/>
      <c r="N404" s="246"/>
      <c r="O404" s="20" t="s">
        <v>811</v>
      </c>
      <c r="P404" s="21">
        <v>8.65</v>
      </c>
      <c r="Q404" s="21">
        <v>13</v>
      </c>
      <c r="R404" s="21">
        <f t="shared" si="59"/>
        <v>112.45</v>
      </c>
      <c r="S404" s="238"/>
      <c r="T404" s="238"/>
      <c r="U404" s="238"/>
      <c r="V404" s="243"/>
    </row>
    <row r="405" spans="2:22" ht="13">
      <c r="B405" s="270"/>
      <c r="C405" s="244" t="s">
        <v>849</v>
      </c>
      <c r="D405" s="15" t="s">
        <v>815</v>
      </c>
      <c r="E405" s="16">
        <v>7</v>
      </c>
      <c r="F405" s="16">
        <v>18</v>
      </c>
      <c r="G405" s="17">
        <f t="shared" si="57"/>
        <v>126</v>
      </c>
      <c r="H405" s="240">
        <f>SUM(G405:G413)</f>
        <v>988.03000000000009</v>
      </c>
      <c r="I405" s="240">
        <v>5670</v>
      </c>
      <c r="J405" s="240">
        <f>I405-H405</f>
        <v>4681.97</v>
      </c>
      <c r="K405" s="241">
        <f>J405/I405</f>
        <v>0.82574426807760148</v>
      </c>
      <c r="M405" s="270"/>
      <c r="N405" s="244" t="s">
        <v>849</v>
      </c>
      <c r="O405" s="15" t="s">
        <v>815</v>
      </c>
      <c r="P405" s="43"/>
      <c r="Q405" s="43"/>
      <c r="R405" s="18"/>
      <c r="S405" s="240">
        <f>SUM(R405:R413)</f>
        <v>862.03000000000009</v>
      </c>
      <c r="T405" s="240">
        <v>5670</v>
      </c>
      <c r="U405" s="240">
        <f>T405-S405</f>
        <v>4807.97</v>
      </c>
      <c r="V405" s="241">
        <f>U405/T405</f>
        <v>0.84796649029982363</v>
      </c>
    </row>
    <row r="406" spans="2:22" ht="13">
      <c r="B406" s="270"/>
      <c r="C406" s="245"/>
      <c r="D406" s="19" t="s">
        <v>771</v>
      </c>
      <c r="E406" s="17">
        <v>6.33</v>
      </c>
      <c r="F406" s="17">
        <v>13</v>
      </c>
      <c r="G406" s="17">
        <f t="shared" si="57"/>
        <v>82.29</v>
      </c>
      <c r="H406" s="236"/>
      <c r="I406" s="236"/>
      <c r="J406" s="236"/>
      <c r="K406" s="242"/>
      <c r="M406" s="270"/>
      <c r="N406" s="245"/>
      <c r="O406" s="19" t="s">
        <v>771</v>
      </c>
      <c r="P406" s="17">
        <v>6.33</v>
      </c>
      <c r="Q406" s="17">
        <v>13</v>
      </c>
      <c r="R406" s="17">
        <f t="shared" ref="R406:R413" si="60">P406*Q406</f>
        <v>82.29</v>
      </c>
      <c r="S406" s="236"/>
      <c r="T406" s="236"/>
      <c r="U406" s="236"/>
      <c r="V406" s="242"/>
    </row>
    <row r="407" spans="2:22" ht="13">
      <c r="B407" s="270"/>
      <c r="C407" s="245"/>
      <c r="D407" s="24" t="s">
        <v>703</v>
      </c>
      <c r="E407" s="17">
        <v>6.38</v>
      </c>
      <c r="F407" s="24">
        <v>13</v>
      </c>
      <c r="G407" s="17">
        <f t="shared" si="57"/>
        <v>82.94</v>
      </c>
      <c r="H407" s="236"/>
      <c r="I407" s="236"/>
      <c r="J407" s="236"/>
      <c r="K407" s="242"/>
      <c r="M407" s="270"/>
      <c r="N407" s="245"/>
      <c r="O407" s="24" t="s">
        <v>703</v>
      </c>
      <c r="P407" s="17">
        <v>6.38</v>
      </c>
      <c r="Q407" s="24">
        <v>13</v>
      </c>
      <c r="R407" s="17">
        <f t="shared" si="60"/>
        <v>82.94</v>
      </c>
      <c r="S407" s="236"/>
      <c r="T407" s="236"/>
      <c r="U407" s="236"/>
      <c r="V407" s="242"/>
    </row>
    <row r="408" spans="2:22" ht="13">
      <c r="B408" s="270"/>
      <c r="C408" s="245"/>
      <c r="D408" s="19" t="s">
        <v>265</v>
      </c>
      <c r="E408" s="17">
        <v>12.92</v>
      </c>
      <c r="F408" s="17">
        <v>13</v>
      </c>
      <c r="G408" s="17">
        <f t="shared" si="57"/>
        <v>167.96</v>
      </c>
      <c r="H408" s="236"/>
      <c r="I408" s="236"/>
      <c r="J408" s="236"/>
      <c r="K408" s="242"/>
      <c r="M408" s="270"/>
      <c r="N408" s="245"/>
      <c r="O408" s="19" t="s">
        <v>265</v>
      </c>
      <c r="P408" s="17">
        <v>12.92</v>
      </c>
      <c r="Q408" s="17">
        <v>13</v>
      </c>
      <c r="R408" s="17">
        <f t="shared" si="60"/>
        <v>167.96</v>
      </c>
      <c r="S408" s="236"/>
      <c r="T408" s="236"/>
      <c r="U408" s="236"/>
      <c r="V408" s="242"/>
    </row>
    <row r="409" spans="2:22" ht="13">
      <c r="B409" s="270"/>
      <c r="C409" s="245"/>
      <c r="D409" s="19" t="s">
        <v>78</v>
      </c>
      <c r="E409" s="17">
        <v>11.12</v>
      </c>
      <c r="F409" s="17">
        <v>13</v>
      </c>
      <c r="G409" s="17">
        <f t="shared" si="57"/>
        <v>144.56</v>
      </c>
      <c r="H409" s="236"/>
      <c r="I409" s="236"/>
      <c r="J409" s="236"/>
      <c r="K409" s="242"/>
      <c r="M409" s="270"/>
      <c r="N409" s="245"/>
      <c r="O409" s="19" t="s">
        <v>78</v>
      </c>
      <c r="P409" s="17">
        <v>11.12</v>
      </c>
      <c r="Q409" s="17">
        <v>13</v>
      </c>
      <c r="R409" s="17">
        <f t="shared" si="60"/>
        <v>144.56</v>
      </c>
      <c r="S409" s="236"/>
      <c r="T409" s="236"/>
      <c r="U409" s="236"/>
      <c r="V409" s="242"/>
    </row>
    <row r="410" spans="2:22" ht="13">
      <c r="B410" s="270"/>
      <c r="C410" s="245"/>
      <c r="D410" s="19" t="s">
        <v>846</v>
      </c>
      <c r="E410" s="17">
        <v>5.65</v>
      </c>
      <c r="F410" s="17">
        <v>13</v>
      </c>
      <c r="G410" s="17">
        <f t="shared" si="57"/>
        <v>73.45</v>
      </c>
      <c r="H410" s="236"/>
      <c r="I410" s="236"/>
      <c r="J410" s="236"/>
      <c r="K410" s="242"/>
      <c r="M410" s="270"/>
      <c r="N410" s="245"/>
      <c r="O410" s="19" t="s">
        <v>846</v>
      </c>
      <c r="P410" s="17">
        <v>5.65</v>
      </c>
      <c r="Q410" s="17">
        <v>13</v>
      </c>
      <c r="R410" s="17">
        <f t="shared" si="60"/>
        <v>73.45</v>
      </c>
      <c r="S410" s="236"/>
      <c r="T410" s="236"/>
      <c r="U410" s="236"/>
      <c r="V410" s="242"/>
    </row>
    <row r="411" spans="2:22" ht="13">
      <c r="B411" s="270"/>
      <c r="C411" s="245"/>
      <c r="D411" s="19" t="s">
        <v>848</v>
      </c>
      <c r="E411" s="17">
        <v>5.08</v>
      </c>
      <c r="F411" s="17">
        <v>13</v>
      </c>
      <c r="G411" s="17">
        <f t="shared" si="57"/>
        <v>66.040000000000006</v>
      </c>
      <c r="H411" s="236"/>
      <c r="I411" s="236"/>
      <c r="J411" s="236"/>
      <c r="K411" s="242"/>
      <c r="M411" s="270"/>
      <c r="N411" s="245"/>
      <c r="O411" s="19" t="s">
        <v>848</v>
      </c>
      <c r="P411" s="17">
        <v>5.08</v>
      </c>
      <c r="Q411" s="17">
        <v>13</v>
      </c>
      <c r="R411" s="17">
        <f t="shared" si="60"/>
        <v>66.040000000000006</v>
      </c>
      <c r="S411" s="236"/>
      <c r="T411" s="236"/>
      <c r="U411" s="236"/>
      <c r="V411" s="242"/>
    </row>
    <row r="412" spans="2:22" ht="13">
      <c r="B412" s="270"/>
      <c r="C412" s="245"/>
      <c r="D412" s="19" t="s">
        <v>526</v>
      </c>
      <c r="E412" s="17">
        <v>6.65</v>
      </c>
      <c r="F412" s="17">
        <v>13</v>
      </c>
      <c r="G412" s="17">
        <f t="shared" si="57"/>
        <v>86.45</v>
      </c>
      <c r="H412" s="236"/>
      <c r="I412" s="236"/>
      <c r="J412" s="236"/>
      <c r="K412" s="242"/>
      <c r="M412" s="270"/>
      <c r="N412" s="245"/>
      <c r="O412" s="19" t="s">
        <v>526</v>
      </c>
      <c r="P412" s="17">
        <v>6.65</v>
      </c>
      <c r="Q412" s="17">
        <v>13</v>
      </c>
      <c r="R412" s="17">
        <f t="shared" si="60"/>
        <v>86.45</v>
      </c>
      <c r="S412" s="236"/>
      <c r="T412" s="236"/>
      <c r="U412" s="236"/>
      <c r="V412" s="242"/>
    </row>
    <row r="413" spans="2:22" ht="13">
      <c r="B413" s="270"/>
      <c r="C413" s="246"/>
      <c r="D413" s="20" t="s">
        <v>159</v>
      </c>
      <c r="E413" s="21">
        <v>12.18</v>
      </c>
      <c r="F413" s="21">
        <v>13</v>
      </c>
      <c r="G413" s="21">
        <f t="shared" si="57"/>
        <v>158.34</v>
      </c>
      <c r="H413" s="238"/>
      <c r="I413" s="238"/>
      <c r="J413" s="238"/>
      <c r="K413" s="243"/>
      <c r="M413" s="270"/>
      <c r="N413" s="246"/>
      <c r="O413" s="20" t="s">
        <v>159</v>
      </c>
      <c r="P413" s="21">
        <v>12.18</v>
      </c>
      <c r="Q413" s="21">
        <v>13</v>
      </c>
      <c r="R413" s="21">
        <f t="shared" si="60"/>
        <v>158.34</v>
      </c>
      <c r="S413" s="238"/>
      <c r="T413" s="238"/>
      <c r="U413" s="238"/>
      <c r="V413" s="243"/>
    </row>
    <row r="414" spans="2:22" ht="13">
      <c r="B414" s="270"/>
      <c r="C414" s="244" t="s">
        <v>850</v>
      </c>
      <c r="D414" s="15" t="s">
        <v>815</v>
      </c>
      <c r="E414" s="16">
        <v>10.5</v>
      </c>
      <c r="F414" s="16">
        <v>18</v>
      </c>
      <c r="G414" s="16">
        <f t="shared" si="57"/>
        <v>189</v>
      </c>
      <c r="H414" s="240">
        <f>SUM(G414:G417)</f>
        <v>549.82999999999993</v>
      </c>
      <c r="I414" s="240">
        <v>2114.4</v>
      </c>
      <c r="J414" s="240">
        <f>I414-H414</f>
        <v>1564.5700000000002</v>
      </c>
      <c r="K414" s="241">
        <f>J414/I414</f>
        <v>0.73995932652289065</v>
      </c>
      <c r="M414" s="270"/>
      <c r="N414" s="244" t="s">
        <v>850</v>
      </c>
      <c r="O414" s="15" t="s">
        <v>815</v>
      </c>
      <c r="P414" s="43"/>
      <c r="Q414" s="43"/>
      <c r="R414" s="43"/>
      <c r="S414" s="240">
        <f>SUM(R414:R417)</f>
        <v>360.83</v>
      </c>
      <c r="T414" s="240">
        <v>2114.4</v>
      </c>
      <c r="U414" s="240">
        <f>T414-S414</f>
        <v>1753.5700000000002</v>
      </c>
      <c r="V414" s="241">
        <f>U414/T414</f>
        <v>0.82934638668180105</v>
      </c>
    </row>
    <row r="415" spans="2:22" ht="13">
      <c r="B415" s="270"/>
      <c r="C415" s="245"/>
      <c r="D415" s="19" t="s">
        <v>851</v>
      </c>
      <c r="E415" s="17"/>
      <c r="F415" s="17"/>
      <c r="G415" s="17">
        <v>98.83</v>
      </c>
      <c r="H415" s="236"/>
      <c r="I415" s="236"/>
      <c r="J415" s="236"/>
      <c r="K415" s="242"/>
      <c r="M415" s="270"/>
      <c r="N415" s="245"/>
      <c r="O415" s="19" t="s">
        <v>851</v>
      </c>
      <c r="P415" s="17"/>
      <c r="Q415" s="17"/>
      <c r="R415" s="17">
        <v>98.83</v>
      </c>
      <c r="S415" s="236"/>
      <c r="T415" s="236"/>
      <c r="U415" s="236"/>
      <c r="V415" s="242"/>
    </row>
    <row r="416" spans="2:22" ht="13">
      <c r="B416" s="270"/>
      <c r="C416" s="245"/>
      <c r="D416" s="19" t="s">
        <v>155</v>
      </c>
      <c r="E416" s="17"/>
      <c r="F416" s="17"/>
      <c r="G416" s="17">
        <v>143</v>
      </c>
      <c r="H416" s="236"/>
      <c r="I416" s="236"/>
      <c r="J416" s="236"/>
      <c r="K416" s="242"/>
      <c r="M416" s="270"/>
      <c r="N416" s="245"/>
      <c r="O416" s="19" t="s">
        <v>155</v>
      </c>
      <c r="P416" s="17"/>
      <c r="Q416" s="17"/>
      <c r="R416" s="17">
        <v>143</v>
      </c>
      <c r="S416" s="236"/>
      <c r="T416" s="236"/>
      <c r="U416" s="236"/>
      <c r="V416" s="242"/>
    </row>
    <row r="417" spans="2:22" ht="13">
      <c r="B417" s="270"/>
      <c r="C417" s="246"/>
      <c r="D417" s="20" t="s">
        <v>852</v>
      </c>
      <c r="E417" s="21"/>
      <c r="F417" s="21"/>
      <c r="G417" s="21">
        <v>119</v>
      </c>
      <c r="H417" s="238"/>
      <c r="I417" s="238"/>
      <c r="J417" s="238"/>
      <c r="K417" s="243"/>
      <c r="M417" s="270"/>
      <c r="N417" s="246"/>
      <c r="O417" s="20" t="s">
        <v>852</v>
      </c>
      <c r="P417" s="21"/>
      <c r="Q417" s="21"/>
      <c r="R417" s="21">
        <v>119</v>
      </c>
      <c r="S417" s="238"/>
      <c r="T417" s="238"/>
      <c r="U417" s="238"/>
      <c r="V417" s="243"/>
    </row>
    <row r="418" spans="2:22" ht="13">
      <c r="B418" s="270"/>
      <c r="C418" s="244" t="s">
        <v>853</v>
      </c>
      <c r="D418" s="15" t="s">
        <v>815</v>
      </c>
      <c r="E418" s="16">
        <v>10.5</v>
      </c>
      <c r="F418" s="16">
        <v>18</v>
      </c>
      <c r="G418" s="16">
        <f>E418*F418</f>
        <v>189</v>
      </c>
      <c r="H418" s="240">
        <f>SUM(G418:G421)</f>
        <v>509.45000000000005</v>
      </c>
      <c r="I418" s="240">
        <v>2537.9</v>
      </c>
      <c r="J418" s="240">
        <f>I418-H418</f>
        <v>2028.45</v>
      </c>
      <c r="K418" s="241">
        <f>J418/I418</f>
        <v>0.7992631703376808</v>
      </c>
      <c r="M418" s="270"/>
      <c r="N418" s="244" t="s">
        <v>853</v>
      </c>
      <c r="O418" s="15" t="s">
        <v>815</v>
      </c>
      <c r="P418" s="43"/>
      <c r="Q418" s="43"/>
      <c r="R418" s="43"/>
      <c r="S418" s="240">
        <f>SUM(R418:R421)</f>
        <v>320.45</v>
      </c>
      <c r="T418" s="240">
        <v>2537.9</v>
      </c>
      <c r="U418" s="240">
        <f>T418-S418</f>
        <v>2217.4500000000003</v>
      </c>
      <c r="V418" s="241">
        <f>U418/T418</f>
        <v>0.87373418968438477</v>
      </c>
    </row>
    <row r="419" spans="2:22" ht="13">
      <c r="B419" s="270"/>
      <c r="C419" s="245"/>
      <c r="D419" s="19" t="s">
        <v>188</v>
      </c>
      <c r="E419" s="17"/>
      <c r="F419" s="17"/>
      <c r="G419" s="17">
        <v>56.8</v>
      </c>
      <c r="H419" s="236"/>
      <c r="I419" s="236"/>
      <c r="J419" s="236"/>
      <c r="K419" s="242"/>
      <c r="M419" s="270"/>
      <c r="N419" s="245"/>
      <c r="O419" s="19" t="s">
        <v>188</v>
      </c>
      <c r="P419" s="17"/>
      <c r="Q419" s="17"/>
      <c r="R419" s="17">
        <v>56.8</v>
      </c>
      <c r="S419" s="236"/>
      <c r="T419" s="236"/>
      <c r="U419" s="236"/>
      <c r="V419" s="242"/>
    </row>
    <row r="420" spans="2:22" ht="13">
      <c r="B420" s="270"/>
      <c r="C420" s="245"/>
      <c r="D420" s="19" t="s">
        <v>854</v>
      </c>
      <c r="E420" s="17"/>
      <c r="F420" s="17"/>
      <c r="G420" s="17">
        <v>75.400000000000006</v>
      </c>
      <c r="H420" s="236"/>
      <c r="I420" s="236"/>
      <c r="J420" s="236"/>
      <c r="K420" s="242"/>
      <c r="M420" s="270"/>
      <c r="N420" s="245"/>
      <c r="O420" s="19" t="s">
        <v>854</v>
      </c>
      <c r="P420" s="17"/>
      <c r="Q420" s="17"/>
      <c r="R420" s="17">
        <v>75.400000000000006</v>
      </c>
      <c r="S420" s="236"/>
      <c r="T420" s="236"/>
      <c r="U420" s="236"/>
      <c r="V420" s="242"/>
    </row>
    <row r="421" spans="2:22" ht="13">
      <c r="B421" s="270"/>
      <c r="C421" s="246"/>
      <c r="D421" s="20" t="s">
        <v>47</v>
      </c>
      <c r="E421" s="21"/>
      <c r="F421" s="21"/>
      <c r="G421" s="21">
        <v>188.25</v>
      </c>
      <c r="H421" s="238"/>
      <c r="I421" s="238"/>
      <c r="J421" s="238"/>
      <c r="K421" s="243"/>
      <c r="M421" s="270"/>
      <c r="N421" s="246"/>
      <c r="O421" s="20" t="s">
        <v>47</v>
      </c>
      <c r="P421" s="21"/>
      <c r="Q421" s="21"/>
      <c r="R421" s="21">
        <v>188.25</v>
      </c>
      <c r="S421" s="238"/>
      <c r="T421" s="238"/>
      <c r="U421" s="238"/>
      <c r="V421" s="243"/>
    </row>
    <row r="422" spans="2:22" ht="13">
      <c r="B422" s="270"/>
      <c r="C422" s="244" t="s">
        <v>855</v>
      </c>
      <c r="D422" s="15" t="s">
        <v>114</v>
      </c>
      <c r="E422" s="16">
        <v>21</v>
      </c>
      <c r="F422" s="16">
        <v>18</v>
      </c>
      <c r="G422" s="16">
        <f>E422*F422</f>
        <v>378</v>
      </c>
      <c r="H422" s="240">
        <f>SUM(G422:G429)</f>
        <v>2367.91</v>
      </c>
      <c r="I422" s="240">
        <v>4950.3999999999996</v>
      </c>
      <c r="J422" s="240">
        <f>I422-H422</f>
        <v>2582.4899999999998</v>
      </c>
      <c r="K422" s="241">
        <f>J422/I422</f>
        <v>0.52167299612152551</v>
      </c>
      <c r="M422" s="270"/>
      <c r="N422" s="244" t="s">
        <v>855</v>
      </c>
      <c r="O422" s="15" t="s">
        <v>114</v>
      </c>
      <c r="P422" s="43"/>
      <c r="Q422" s="43"/>
      <c r="R422" s="43"/>
      <c r="S422" s="240">
        <f>SUM(R422:R429)</f>
        <v>2030.31</v>
      </c>
      <c r="T422" s="240">
        <v>4950.3999999999996</v>
      </c>
      <c r="U422" s="240">
        <f>T422-S422</f>
        <v>2920.0899999999997</v>
      </c>
      <c r="V422" s="241">
        <f>U422/T422</f>
        <v>0.58986950549450545</v>
      </c>
    </row>
    <row r="423" spans="2:22" ht="13">
      <c r="B423" s="270"/>
      <c r="C423" s="245"/>
      <c r="D423" s="24" t="s">
        <v>856</v>
      </c>
      <c r="E423" s="17"/>
      <c r="F423" s="17"/>
      <c r="G423" s="24">
        <v>139</v>
      </c>
      <c r="H423" s="236"/>
      <c r="I423" s="236"/>
      <c r="J423" s="236"/>
      <c r="K423" s="242"/>
      <c r="M423" s="270"/>
      <c r="N423" s="245"/>
      <c r="O423" s="24" t="s">
        <v>856</v>
      </c>
      <c r="P423" s="17"/>
      <c r="Q423" s="17"/>
      <c r="R423" s="24">
        <v>139</v>
      </c>
      <c r="S423" s="236"/>
      <c r="T423" s="236"/>
      <c r="U423" s="236"/>
      <c r="V423" s="242"/>
    </row>
    <row r="424" spans="2:22" ht="13">
      <c r="B424" s="270"/>
      <c r="C424" s="245"/>
      <c r="D424" s="24" t="s">
        <v>155</v>
      </c>
      <c r="E424" s="17"/>
      <c r="F424" s="17"/>
      <c r="G424" s="24">
        <v>103</v>
      </c>
      <c r="H424" s="236"/>
      <c r="I424" s="236"/>
      <c r="J424" s="236"/>
      <c r="K424" s="242"/>
      <c r="M424" s="270"/>
      <c r="N424" s="245"/>
      <c r="O424" s="24" t="s">
        <v>155</v>
      </c>
      <c r="P424" s="17"/>
      <c r="Q424" s="17"/>
      <c r="R424" s="24">
        <v>103</v>
      </c>
      <c r="S424" s="236"/>
      <c r="T424" s="236"/>
      <c r="U424" s="236"/>
      <c r="V424" s="242"/>
    </row>
    <row r="425" spans="2:22" ht="13">
      <c r="B425" s="270"/>
      <c r="C425" s="245"/>
      <c r="D425" s="24" t="s">
        <v>47</v>
      </c>
      <c r="E425" s="17"/>
      <c r="F425" s="17"/>
      <c r="G425" s="24">
        <v>127.73</v>
      </c>
      <c r="H425" s="236"/>
      <c r="I425" s="236"/>
      <c r="J425" s="236"/>
      <c r="K425" s="242"/>
      <c r="M425" s="270"/>
      <c r="N425" s="245"/>
      <c r="O425" s="24" t="s">
        <v>47</v>
      </c>
      <c r="P425" s="17"/>
      <c r="Q425" s="17"/>
      <c r="R425" s="24">
        <v>127.73</v>
      </c>
      <c r="S425" s="236"/>
      <c r="T425" s="236"/>
      <c r="U425" s="236"/>
      <c r="V425" s="242"/>
    </row>
    <row r="426" spans="2:22" ht="13">
      <c r="B426" s="270"/>
      <c r="C426" s="245"/>
      <c r="D426" s="24" t="s">
        <v>45</v>
      </c>
      <c r="E426" s="17"/>
      <c r="F426" s="17"/>
      <c r="G426" s="17">
        <v>45.03</v>
      </c>
      <c r="H426" s="236"/>
      <c r="I426" s="236"/>
      <c r="J426" s="236"/>
      <c r="K426" s="242"/>
      <c r="M426" s="270"/>
      <c r="N426" s="245"/>
      <c r="O426" s="24" t="s">
        <v>45</v>
      </c>
      <c r="P426" s="17"/>
      <c r="Q426" s="17"/>
      <c r="R426" s="17">
        <v>45.03</v>
      </c>
      <c r="S426" s="236"/>
      <c r="T426" s="236"/>
      <c r="U426" s="236"/>
      <c r="V426" s="242"/>
    </row>
    <row r="427" spans="2:22" ht="13">
      <c r="B427" s="270"/>
      <c r="C427" s="245"/>
      <c r="D427" s="24" t="s">
        <v>188</v>
      </c>
      <c r="E427" s="17"/>
      <c r="F427" s="17"/>
      <c r="G427" s="24">
        <v>35.79</v>
      </c>
      <c r="H427" s="236"/>
      <c r="I427" s="236"/>
      <c r="J427" s="236"/>
      <c r="K427" s="242"/>
      <c r="M427" s="270"/>
      <c r="N427" s="245"/>
      <c r="O427" s="24" t="s">
        <v>188</v>
      </c>
      <c r="P427" s="17"/>
      <c r="Q427" s="17"/>
      <c r="R427" s="24">
        <v>35.79</v>
      </c>
      <c r="S427" s="236"/>
      <c r="T427" s="236"/>
      <c r="U427" s="236"/>
      <c r="V427" s="242"/>
    </row>
    <row r="428" spans="2:22" ht="13">
      <c r="B428" s="270"/>
      <c r="C428" s="245"/>
      <c r="D428" s="24" t="s">
        <v>857</v>
      </c>
      <c r="E428" s="17"/>
      <c r="F428" s="17"/>
      <c r="G428" s="24">
        <v>159.6</v>
      </c>
      <c r="H428" s="236"/>
      <c r="I428" s="236"/>
      <c r="J428" s="236"/>
      <c r="K428" s="242"/>
      <c r="M428" s="270"/>
      <c r="N428" s="245"/>
      <c r="O428" s="24" t="s">
        <v>857</v>
      </c>
      <c r="P428" s="17"/>
      <c r="Q428" s="17"/>
      <c r="R428" s="24">
        <v>200</v>
      </c>
      <c r="S428" s="236"/>
      <c r="T428" s="236"/>
      <c r="U428" s="236"/>
      <c r="V428" s="242"/>
    </row>
    <row r="429" spans="2:22" ht="13">
      <c r="B429" s="270"/>
      <c r="C429" s="246"/>
      <c r="D429" s="20" t="s">
        <v>858</v>
      </c>
      <c r="E429" s="21"/>
      <c r="F429" s="21"/>
      <c r="G429" s="21">
        <v>1379.76</v>
      </c>
      <c r="H429" s="238"/>
      <c r="I429" s="238"/>
      <c r="J429" s="238"/>
      <c r="K429" s="243"/>
      <c r="M429" s="270"/>
      <c r="N429" s="246"/>
      <c r="O429" s="20" t="s">
        <v>858</v>
      </c>
      <c r="P429" s="21"/>
      <c r="Q429" s="21"/>
      <c r="R429" s="21">
        <v>1379.76</v>
      </c>
      <c r="S429" s="238"/>
      <c r="T429" s="238"/>
      <c r="U429" s="238"/>
      <c r="V429" s="243"/>
    </row>
    <row r="430" spans="2:22" ht="13">
      <c r="B430" s="270"/>
      <c r="C430" s="300" t="s">
        <v>859</v>
      </c>
      <c r="D430" s="15" t="s">
        <v>114</v>
      </c>
      <c r="E430" s="16">
        <v>7</v>
      </c>
      <c r="F430" s="16">
        <v>18</v>
      </c>
      <c r="G430" s="16">
        <f>E430*F430</f>
        <v>126</v>
      </c>
      <c r="H430" s="292">
        <f>SUM(G430:G431)</f>
        <v>126</v>
      </c>
      <c r="I430" s="292">
        <v>2201.4699999999998</v>
      </c>
      <c r="J430" s="292">
        <f>I430-H430</f>
        <v>2075.4699999999998</v>
      </c>
      <c r="K430" s="302">
        <f>J430/I430</f>
        <v>0.94276551576900891</v>
      </c>
      <c r="M430" s="270"/>
      <c r="N430" s="300" t="s">
        <v>859</v>
      </c>
      <c r="O430" s="15" t="s">
        <v>114</v>
      </c>
      <c r="P430" s="43"/>
      <c r="Q430" s="43"/>
      <c r="R430" s="43"/>
      <c r="S430" s="292">
        <f>SUM(R430:R431)</f>
        <v>0</v>
      </c>
      <c r="T430" s="292">
        <v>2201.4699999999998</v>
      </c>
      <c r="U430" s="292">
        <f>T430-S430</f>
        <v>2201.4699999999998</v>
      </c>
      <c r="V430" s="302">
        <f>U430/T430</f>
        <v>1</v>
      </c>
    </row>
    <row r="431" spans="2:22" ht="13">
      <c r="B431" s="270"/>
      <c r="C431" s="246"/>
      <c r="D431" s="20"/>
      <c r="E431" s="20"/>
      <c r="F431" s="20"/>
      <c r="G431" s="19"/>
      <c r="H431" s="248"/>
      <c r="I431" s="248"/>
      <c r="J431" s="248"/>
      <c r="K431" s="303"/>
      <c r="M431" s="270"/>
      <c r="N431" s="246"/>
      <c r="O431" s="20"/>
      <c r="P431" s="20"/>
      <c r="Q431" s="20"/>
      <c r="R431" s="19"/>
      <c r="S431" s="248"/>
      <c r="T431" s="248"/>
      <c r="U431" s="248"/>
      <c r="V431" s="303"/>
    </row>
    <row r="432" spans="2:22" ht="13">
      <c r="B432" s="270"/>
      <c r="C432" s="244" t="s">
        <v>860</v>
      </c>
      <c r="D432" s="15" t="s">
        <v>744</v>
      </c>
      <c r="E432" s="16">
        <v>4.5</v>
      </c>
      <c r="F432" s="16">
        <v>13</v>
      </c>
      <c r="G432" s="16">
        <f t="shared" ref="G432:G441" si="61">E432*F432</f>
        <v>58.5</v>
      </c>
      <c r="H432" s="240">
        <f>SUM(G432:G438)</f>
        <v>542.39</v>
      </c>
      <c r="I432" s="240">
        <v>2128</v>
      </c>
      <c r="J432" s="240">
        <f>I432-H432</f>
        <v>1585.6100000000001</v>
      </c>
      <c r="K432" s="241">
        <f>J432/I432</f>
        <v>0.74511748120300758</v>
      </c>
      <c r="M432" s="270"/>
      <c r="N432" s="244" t="s">
        <v>860</v>
      </c>
      <c r="O432" s="15" t="s">
        <v>744</v>
      </c>
      <c r="P432" s="16">
        <v>4.5</v>
      </c>
      <c r="Q432" s="16">
        <v>13</v>
      </c>
      <c r="R432" s="16">
        <f t="shared" ref="R432:R438" si="62">P432*Q432</f>
        <v>58.5</v>
      </c>
      <c r="S432" s="240">
        <f>SUM(R432:R438)</f>
        <v>542</v>
      </c>
      <c r="T432" s="240">
        <v>2128</v>
      </c>
      <c r="U432" s="240">
        <f>T432-S432</f>
        <v>1586</v>
      </c>
      <c r="V432" s="241">
        <f>U432/T432</f>
        <v>0.74530075187969924</v>
      </c>
    </row>
    <row r="433" spans="2:22" ht="13">
      <c r="B433" s="270"/>
      <c r="C433" s="245"/>
      <c r="D433" s="24" t="s">
        <v>78</v>
      </c>
      <c r="E433" s="17">
        <v>5.03</v>
      </c>
      <c r="F433" s="17">
        <v>13</v>
      </c>
      <c r="G433" s="17">
        <f t="shared" si="61"/>
        <v>65.39</v>
      </c>
      <c r="H433" s="236"/>
      <c r="I433" s="236"/>
      <c r="J433" s="236"/>
      <c r="K433" s="242"/>
      <c r="M433" s="270"/>
      <c r="N433" s="245"/>
      <c r="O433" s="24" t="s">
        <v>78</v>
      </c>
      <c r="P433" s="17">
        <v>5</v>
      </c>
      <c r="Q433" s="17">
        <v>13</v>
      </c>
      <c r="R433" s="17">
        <f t="shared" si="62"/>
        <v>65</v>
      </c>
      <c r="S433" s="236"/>
      <c r="T433" s="236"/>
      <c r="U433" s="236"/>
      <c r="V433" s="242"/>
    </row>
    <row r="434" spans="2:22" ht="13">
      <c r="B434" s="270"/>
      <c r="C434" s="245"/>
      <c r="D434" s="24" t="s">
        <v>70</v>
      </c>
      <c r="E434" s="17">
        <v>4.5</v>
      </c>
      <c r="F434" s="17">
        <v>13</v>
      </c>
      <c r="G434" s="17">
        <f t="shared" si="61"/>
        <v>58.5</v>
      </c>
      <c r="H434" s="236"/>
      <c r="I434" s="236"/>
      <c r="J434" s="236"/>
      <c r="K434" s="242"/>
      <c r="M434" s="270"/>
      <c r="N434" s="245"/>
      <c r="O434" s="24" t="s">
        <v>70</v>
      </c>
      <c r="P434" s="17">
        <v>4.5</v>
      </c>
      <c r="Q434" s="17">
        <v>13</v>
      </c>
      <c r="R434" s="17">
        <f t="shared" si="62"/>
        <v>58.5</v>
      </c>
      <c r="S434" s="236"/>
      <c r="T434" s="236"/>
      <c r="U434" s="236"/>
      <c r="V434" s="242"/>
    </row>
    <row r="435" spans="2:22" ht="13">
      <c r="B435" s="270"/>
      <c r="C435" s="245"/>
      <c r="D435" s="24" t="s">
        <v>517</v>
      </c>
      <c r="E435" s="17">
        <v>3</v>
      </c>
      <c r="F435" s="17">
        <v>15</v>
      </c>
      <c r="G435" s="17">
        <f t="shared" si="61"/>
        <v>45</v>
      </c>
      <c r="H435" s="236"/>
      <c r="I435" s="236"/>
      <c r="J435" s="236"/>
      <c r="K435" s="242"/>
      <c r="M435" s="270"/>
      <c r="N435" s="245"/>
      <c r="O435" s="24" t="s">
        <v>517</v>
      </c>
      <c r="P435" s="17">
        <v>3</v>
      </c>
      <c r="Q435" s="17">
        <v>15</v>
      </c>
      <c r="R435" s="17">
        <f t="shared" si="62"/>
        <v>45</v>
      </c>
      <c r="S435" s="236"/>
      <c r="T435" s="236"/>
      <c r="U435" s="236"/>
      <c r="V435" s="242"/>
    </row>
    <row r="436" spans="2:22" ht="13">
      <c r="B436" s="270"/>
      <c r="C436" s="245"/>
      <c r="D436" s="24" t="s">
        <v>310</v>
      </c>
      <c r="E436" s="17">
        <v>6</v>
      </c>
      <c r="F436" s="17">
        <v>15</v>
      </c>
      <c r="G436" s="17">
        <f t="shared" si="61"/>
        <v>90</v>
      </c>
      <c r="H436" s="236"/>
      <c r="I436" s="236"/>
      <c r="J436" s="236"/>
      <c r="K436" s="242"/>
      <c r="M436" s="270"/>
      <c r="N436" s="245"/>
      <c r="O436" s="24" t="s">
        <v>310</v>
      </c>
      <c r="P436" s="17">
        <v>6</v>
      </c>
      <c r="Q436" s="17">
        <v>15</v>
      </c>
      <c r="R436" s="17">
        <f t="shared" si="62"/>
        <v>90</v>
      </c>
      <c r="S436" s="236"/>
      <c r="T436" s="236"/>
      <c r="U436" s="236"/>
      <c r="V436" s="242"/>
    </row>
    <row r="437" spans="2:22" ht="13">
      <c r="B437" s="270"/>
      <c r="C437" s="245"/>
      <c r="D437" s="24" t="s">
        <v>147</v>
      </c>
      <c r="E437" s="17">
        <v>6</v>
      </c>
      <c r="F437" s="17">
        <v>15</v>
      </c>
      <c r="G437" s="17">
        <f t="shared" si="61"/>
        <v>90</v>
      </c>
      <c r="H437" s="236"/>
      <c r="I437" s="236"/>
      <c r="J437" s="236"/>
      <c r="K437" s="242"/>
      <c r="M437" s="270"/>
      <c r="N437" s="245"/>
      <c r="O437" s="24" t="s">
        <v>147</v>
      </c>
      <c r="P437" s="17">
        <v>6</v>
      </c>
      <c r="Q437" s="17">
        <v>15</v>
      </c>
      <c r="R437" s="17">
        <f t="shared" si="62"/>
        <v>90</v>
      </c>
      <c r="S437" s="236"/>
      <c r="T437" s="236"/>
      <c r="U437" s="236"/>
      <c r="V437" s="242"/>
    </row>
    <row r="438" spans="2:22" ht="13">
      <c r="B438" s="270"/>
      <c r="C438" s="246"/>
      <c r="D438" s="20" t="s">
        <v>861</v>
      </c>
      <c r="E438" s="21">
        <v>9</v>
      </c>
      <c r="F438" s="21">
        <v>15</v>
      </c>
      <c r="G438" s="21">
        <f t="shared" si="61"/>
        <v>135</v>
      </c>
      <c r="H438" s="238"/>
      <c r="I438" s="238"/>
      <c r="J438" s="238"/>
      <c r="K438" s="243"/>
      <c r="M438" s="270"/>
      <c r="N438" s="246"/>
      <c r="O438" s="20" t="s">
        <v>861</v>
      </c>
      <c r="P438" s="21">
        <v>9</v>
      </c>
      <c r="Q438" s="21">
        <v>15</v>
      </c>
      <c r="R438" s="21">
        <f t="shared" si="62"/>
        <v>135</v>
      </c>
      <c r="S438" s="238"/>
      <c r="T438" s="238"/>
      <c r="U438" s="238"/>
      <c r="V438" s="243"/>
    </row>
    <row r="439" spans="2:22" ht="13">
      <c r="B439" s="270"/>
      <c r="C439" s="244" t="s">
        <v>862</v>
      </c>
      <c r="D439" s="15" t="s">
        <v>701</v>
      </c>
      <c r="E439" s="16">
        <v>14</v>
      </c>
      <c r="F439" s="16">
        <v>18</v>
      </c>
      <c r="G439" s="16">
        <f t="shared" si="61"/>
        <v>252</v>
      </c>
      <c r="H439" s="240">
        <f>SUM(G439:G446)</f>
        <v>1726.13</v>
      </c>
      <c r="I439" s="240">
        <v>4761</v>
      </c>
      <c r="J439" s="240">
        <f>I439-H439</f>
        <v>3034.87</v>
      </c>
      <c r="K439" s="241">
        <f>J439/I439</f>
        <v>0.63744381432472164</v>
      </c>
      <c r="M439" s="270"/>
      <c r="N439" s="244" t="s">
        <v>862</v>
      </c>
      <c r="O439" s="15" t="s">
        <v>701</v>
      </c>
      <c r="P439" s="43"/>
      <c r="Q439" s="43"/>
      <c r="R439" s="43"/>
      <c r="S439" s="240">
        <f>SUM(R439:R446)</f>
        <v>1474.13</v>
      </c>
      <c r="T439" s="240">
        <v>4761</v>
      </c>
      <c r="U439" s="240">
        <f>T439-S439</f>
        <v>3286.87</v>
      </c>
      <c r="V439" s="241">
        <f>U439/T439</f>
        <v>0.69037387103549674</v>
      </c>
    </row>
    <row r="440" spans="2:22" ht="13">
      <c r="B440" s="270"/>
      <c r="C440" s="245"/>
      <c r="D440" s="24" t="s">
        <v>70</v>
      </c>
      <c r="E440" s="17">
        <v>12.55</v>
      </c>
      <c r="F440" s="17">
        <v>15</v>
      </c>
      <c r="G440" s="24">
        <f t="shared" si="61"/>
        <v>188.25</v>
      </c>
      <c r="H440" s="236"/>
      <c r="I440" s="236"/>
      <c r="J440" s="236"/>
      <c r="K440" s="242"/>
      <c r="M440" s="270"/>
      <c r="N440" s="245"/>
      <c r="O440" s="24" t="s">
        <v>70</v>
      </c>
      <c r="P440" s="17">
        <v>12.55</v>
      </c>
      <c r="Q440" s="17">
        <v>15</v>
      </c>
      <c r="R440" s="24">
        <f t="shared" ref="R440:R441" si="63">P440*Q440</f>
        <v>188.25</v>
      </c>
      <c r="S440" s="236"/>
      <c r="T440" s="236"/>
      <c r="U440" s="236"/>
      <c r="V440" s="242"/>
    </row>
    <row r="441" spans="2:22" ht="13">
      <c r="B441" s="270"/>
      <c r="C441" s="245"/>
      <c r="D441" s="24" t="s">
        <v>744</v>
      </c>
      <c r="E441" s="17">
        <v>13.6</v>
      </c>
      <c r="F441" s="17">
        <v>15</v>
      </c>
      <c r="G441" s="24">
        <f t="shared" si="61"/>
        <v>204</v>
      </c>
      <c r="H441" s="236"/>
      <c r="I441" s="236"/>
      <c r="J441" s="236"/>
      <c r="K441" s="242"/>
      <c r="M441" s="270"/>
      <c r="N441" s="245"/>
      <c r="O441" s="24" t="s">
        <v>744</v>
      </c>
      <c r="P441" s="17">
        <v>13.6</v>
      </c>
      <c r="Q441" s="17">
        <v>15</v>
      </c>
      <c r="R441" s="24">
        <f t="shared" si="63"/>
        <v>204</v>
      </c>
      <c r="S441" s="236"/>
      <c r="T441" s="236"/>
      <c r="U441" s="236"/>
      <c r="V441" s="242"/>
    </row>
    <row r="442" spans="2:22" ht="13">
      <c r="B442" s="270"/>
      <c r="C442" s="245"/>
      <c r="D442" s="24" t="s">
        <v>47</v>
      </c>
      <c r="E442" s="17"/>
      <c r="F442" s="17"/>
      <c r="G442" s="24">
        <v>114.84</v>
      </c>
      <c r="H442" s="236"/>
      <c r="I442" s="236"/>
      <c r="J442" s="236"/>
      <c r="K442" s="242"/>
      <c r="M442" s="270"/>
      <c r="N442" s="245"/>
      <c r="O442" s="24" t="s">
        <v>47</v>
      </c>
      <c r="P442" s="17"/>
      <c r="Q442" s="17"/>
      <c r="R442" s="24">
        <v>114.84</v>
      </c>
      <c r="S442" s="236"/>
      <c r="T442" s="236"/>
      <c r="U442" s="236"/>
      <c r="V442" s="242"/>
    </row>
    <row r="443" spans="2:22" ht="13">
      <c r="B443" s="270"/>
      <c r="C443" s="245"/>
      <c r="D443" s="24" t="s">
        <v>706</v>
      </c>
      <c r="E443" s="17"/>
      <c r="F443" s="17"/>
      <c r="G443" s="17">
        <v>123.7</v>
      </c>
      <c r="H443" s="236"/>
      <c r="I443" s="236"/>
      <c r="J443" s="236"/>
      <c r="K443" s="242"/>
      <c r="M443" s="270"/>
      <c r="N443" s="245"/>
      <c r="O443" s="24" t="s">
        <v>706</v>
      </c>
      <c r="P443" s="17"/>
      <c r="Q443" s="17"/>
      <c r="R443" s="17">
        <v>123.7</v>
      </c>
      <c r="S443" s="236"/>
      <c r="T443" s="236"/>
      <c r="U443" s="236"/>
      <c r="V443" s="242"/>
    </row>
    <row r="444" spans="2:22" ht="13">
      <c r="B444" s="270"/>
      <c r="C444" s="245"/>
      <c r="D444" s="24" t="s">
        <v>188</v>
      </c>
      <c r="E444" s="17"/>
      <c r="F444" s="17"/>
      <c r="G444" s="24">
        <v>62.84</v>
      </c>
      <c r="H444" s="236"/>
      <c r="I444" s="236"/>
      <c r="J444" s="236"/>
      <c r="K444" s="242"/>
      <c r="M444" s="270"/>
      <c r="N444" s="245"/>
      <c r="O444" s="24" t="s">
        <v>188</v>
      </c>
      <c r="P444" s="17"/>
      <c r="Q444" s="17"/>
      <c r="R444" s="24">
        <v>62.84</v>
      </c>
      <c r="S444" s="236"/>
      <c r="T444" s="236"/>
      <c r="U444" s="236"/>
      <c r="V444" s="242"/>
    </row>
    <row r="445" spans="2:22" ht="13">
      <c r="B445" s="270"/>
      <c r="C445" s="245"/>
      <c r="D445" s="24" t="s">
        <v>863</v>
      </c>
      <c r="E445" s="17"/>
      <c r="F445" s="17"/>
      <c r="G445" s="24">
        <v>693.5</v>
      </c>
      <c r="H445" s="236"/>
      <c r="I445" s="236"/>
      <c r="J445" s="236"/>
      <c r="K445" s="242"/>
      <c r="M445" s="270"/>
      <c r="N445" s="245"/>
      <c r="O445" s="24" t="s">
        <v>863</v>
      </c>
      <c r="P445" s="17"/>
      <c r="Q445" s="17"/>
      <c r="R445" s="24">
        <v>693.5</v>
      </c>
      <c r="S445" s="236"/>
      <c r="T445" s="236"/>
      <c r="U445" s="236"/>
      <c r="V445" s="242"/>
    </row>
    <row r="446" spans="2:22" ht="13">
      <c r="B446" s="270"/>
      <c r="C446" s="246"/>
      <c r="D446" s="20" t="s">
        <v>155</v>
      </c>
      <c r="E446" s="21"/>
      <c r="F446" s="21"/>
      <c r="G446" s="21">
        <v>87</v>
      </c>
      <c r="H446" s="238"/>
      <c r="I446" s="238"/>
      <c r="J446" s="238"/>
      <c r="K446" s="243"/>
      <c r="M446" s="270"/>
      <c r="N446" s="246"/>
      <c r="O446" s="20" t="s">
        <v>155</v>
      </c>
      <c r="P446" s="21"/>
      <c r="Q446" s="21"/>
      <c r="R446" s="21">
        <v>87</v>
      </c>
      <c r="S446" s="238"/>
      <c r="T446" s="238"/>
      <c r="U446" s="238"/>
      <c r="V446" s="243"/>
    </row>
    <row r="447" spans="2:22" ht="30">
      <c r="B447" s="251" t="s">
        <v>864</v>
      </c>
      <c r="C447" s="252"/>
      <c r="D447" s="253"/>
      <c r="E447" s="27">
        <f t="shared" ref="E447:J447" si="64">AVERAGE(E237:E446)</f>
        <v>8.9870909090909095</v>
      </c>
      <c r="F447" s="27">
        <f t="shared" si="64"/>
        <v>13.903030303030302</v>
      </c>
      <c r="G447" s="27">
        <f t="shared" si="64"/>
        <v>141.89416267942588</v>
      </c>
      <c r="H447" s="27">
        <f t="shared" si="64"/>
        <v>1186.2352000000001</v>
      </c>
      <c r="I447" s="27">
        <f t="shared" si="64"/>
        <v>4001.0359999999996</v>
      </c>
      <c r="J447" s="27">
        <f t="shared" si="64"/>
        <v>2814.8007999999995</v>
      </c>
      <c r="K447" s="28" t="str">
        <f ca="1">AVERAGE($K$12:$K$76)</f>
        <v>#REF!</v>
      </c>
      <c r="M447" s="251" t="s">
        <v>864</v>
      </c>
      <c r="N447" s="252"/>
      <c r="O447" s="253"/>
      <c r="P447" s="27">
        <f t="shared" ref="P447:U447" si="65">AVERAGE(P237:P446)</f>
        <v>8.6288732394366203</v>
      </c>
      <c r="Q447" s="27">
        <f t="shared" si="65"/>
        <v>13.352112676056338</v>
      </c>
      <c r="R447" s="27">
        <f t="shared" si="65"/>
        <v>135.06112903225809</v>
      </c>
      <c r="S447" s="92">
        <f t="shared" si="65"/>
        <v>1004.8548000000001</v>
      </c>
      <c r="T447" s="92">
        <f t="shared" si="65"/>
        <v>4001.0359999999996</v>
      </c>
      <c r="U447" s="92">
        <f t="shared" si="65"/>
        <v>2996.1811999999995</v>
      </c>
      <c r="V447" s="93" t="str">
        <f ca="1">AVERAGE($K$12:$K$76)</f>
        <v>#REF!</v>
      </c>
    </row>
    <row r="448" spans="2:22" ht="30">
      <c r="B448" s="296" t="s">
        <v>865</v>
      </c>
      <c r="C448" s="297"/>
      <c r="D448" s="298"/>
      <c r="E448" s="27">
        <f t="shared" ref="E448:J448" si="66">SUM(E237:E446)</f>
        <v>1482.8700000000001</v>
      </c>
      <c r="F448" s="27">
        <f t="shared" si="66"/>
        <v>2294</v>
      </c>
      <c r="G448" s="27">
        <f t="shared" si="66"/>
        <v>29655.880000000008</v>
      </c>
      <c r="H448" s="27">
        <f t="shared" si="66"/>
        <v>29655.88</v>
      </c>
      <c r="I448" s="27">
        <f t="shared" si="66"/>
        <v>100025.9</v>
      </c>
      <c r="J448" s="27">
        <f t="shared" si="66"/>
        <v>70370.01999999999</v>
      </c>
      <c r="K448" s="29">
        <f>J448/I448</f>
        <v>0.70351798884089012</v>
      </c>
      <c r="M448" s="296" t="s">
        <v>865</v>
      </c>
      <c r="N448" s="297"/>
      <c r="O448" s="298"/>
      <c r="P448" s="27">
        <f t="shared" ref="P448:U448" si="67">SUM(P237:P446)</f>
        <v>1225.3000000000002</v>
      </c>
      <c r="Q448" s="27">
        <f t="shared" si="67"/>
        <v>1896</v>
      </c>
      <c r="R448" s="27">
        <f t="shared" si="67"/>
        <v>25121.370000000006</v>
      </c>
      <c r="S448" s="27">
        <f t="shared" si="67"/>
        <v>25121.370000000003</v>
      </c>
      <c r="T448" s="27">
        <f t="shared" si="67"/>
        <v>100025.9</v>
      </c>
      <c r="U448" s="27">
        <f t="shared" si="67"/>
        <v>74904.529999999984</v>
      </c>
      <c r="V448" s="29">
        <f>U448/T448</f>
        <v>0.74885134750099713</v>
      </c>
    </row>
    <row r="449" spans="2:22" ht="13">
      <c r="B449" s="86"/>
    </row>
    <row r="450" spans="2:22" ht="30">
      <c r="B450" s="304" t="s">
        <v>866</v>
      </c>
      <c r="C450" s="297"/>
      <c r="D450" s="298"/>
      <c r="E450" s="34">
        <f t="shared" ref="E450:J450" si="68">SUM(E77,E236,E448)</f>
        <v>2739.46</v>
      </c>
      <c r="F450" s="34">
        <f t="shared" si="68"/>
        <v>3838</v>
      </c>
      <c r="G450" s="34">
        <f t="shared" si="68"/>
        <v>65030.790000000008</v>
      </c>
      <c r="H450" s="34">
        <f t="shared" si="68"/>
        <v>65030.790000000008</v>
      </c>
      <c r="I450" s="34">
        <f t="shared" si="68"/>
        <v>232152.22</v>
      </c>
      <c r="J450" s="34">
        <f t="shared" si="68"/>
        <v>167121.43</v>
      </c>
      <c r="K450" s="35">
        <f>J450/I450</f>
        <v>0.71987866409375711</v>
      </c>
      <c r="M450" s="304" t="s">
        <v>866</v>
      </c>
      <c r="N450" s="297"/>
      <c r="O450" s="298"/>
      <c r="P450" s="34">
        <f t="shared" ref="P450:U450" si="69">SUM(P77,P236,P448)</f>
        <v>2094.96</v>
      </c>
      <c r="Q450" s="34">
        <f t="shared" si="69"/>
        <v>2689</v>
      </c>
      <c r="R450" s="34">
        <f t="shared" si="69"/>
        <v>53534.190000000017</v>
      </c>
      <c r="S450" s="34">
        <f t="shared" si="69"/>
        <v>53534.19</v>
      </c>
      <c r="T450" s="34">
        <f t="shared" si="69"/>
        <v>232152.22</v>
      </c>
      <c r="U450" s="34">
        <f t="shared" si="69"/>
        <v>178618.02999999997</v>
      </c>
      <c r="V450" s="35">
        <f>U450/T450</f>
        <v>0.76940048214916901</v>
      </c>
    </row>
    <row r="451" spans="2:22" ht="16">
      <c r="B451" s="86"/>
      <c r="C451" s="111"/>
      <c r="D451" s="15"/>
      <c r="E451" s="16"/>
      <c r="F451" s="16"/>
      <c r="G451" s="16"/>
      <c r="H451" s="112"/>
      <c r="I451" s="112"/>
      <c r="J451" s="112"/>
      <c r="K451" s="113"/>
      <c r="M451" s="86"/>
      <c r="N451" s="114"/>
      <c r="O451" s="115"/>
      <c r="P451" s="116"/>
      <c r="Q451" s="116"/>
      <c r="R451" s="116"/>
      <c r="S451" s="117"/>
      <c r="T451" s="117"/>
      <c r="U451" s="117"/>
      <c r="V451" s="113"/>
    </row>
    <row r="452" spans="2:22" ht="13">
      <c r="B452" s="288" t="s">
        <v>676</v>
      </c>
      <c r="C452" s="300" t="s">
        <v>867</v>
      </c>
      <c r="D452" s="15" t="s">
        <v>701</v>
      </c>
      <c r="E452" s="16">
        <v>7</v>
      </c>
      <c r="F452" s="16">
        <v>18</v>
      </c>
      <c r="G452" s="16">
        <f>E452*F452</f>
        <v>126</v>
      </c>
      <c r="H452" s="292">
        <f>SUM(G452:G453)</f>
        <v>256</v>
      </c>
      <c r="I452" s="292">
        <v>1965</v>
      </c>
      <c r="J452" s="292">
        <f>I452-H452</f>
        <v>1709</v>
      </c>
      <c r="K452" s="302">
        <f>J452/I452</f>
        <v>0.86972010178117043</v>
      </c>
      <c r="M452" s="288" t="s">
        <v>676</v>
      </c>
      <c r="N452" s="300" t="s">
        <v>867</v>
      </c>
      <c r="O452" s="15" t="s">
        <v>701</v>
      </c>
      <c r="P452" s="43"/>
      <c r="Q452" s="43"/>
      <c r="R452" s="43"/>
      <c r="S452" s="292">
        <f>SUM(R452:R453)</f>
        <v>130</v>
      </c>
      <c r="T452" s="292">
        <v>1965</v>
      </c>
      <c r="U452" s="292">
        <f>T452-S452</f>
        <v>1835</v>
      </c>
      <c r="V452" s="302">
        <f>U452/T452</f>
        <v>0.9338422391857506</v>
      </c>
    </row>
    <row r="453" spans="2:22" ht="13">
      <c r="B453" s="270"/>
      <c r="C453" s="246"/>
      <c r="D453" s="20" t="s">
        <v>94</v>
      </c>
      <c r="E453" s="20"/>
      <c r="F453" s="20"/>
      <c r="G453" s="20">
        <v>130</v>
      </c>
      <c r="H453" s="248"/>
      <c r="I453" s="248"/>
      <c r="J453" s="248"/>
      <c r="K453" s="303"/>
      <c r="M453" s="270"/>
      <c r="N453" s="246"/>
      <c r="O453" s="20" t="s">
        <v>94</v>
      </c>
      <c r="P453" s="20"/>
      <c r="Q453" s="20"/>
      <c r="R453" s="20">
        <v>130</v>
      </c>
      <c r="S453" s="248"/>
      <c r="T453" s="248"/>
      <c r="U453" s="248"/>
      <c r="V453" s="303"/>
    </row>
    <row r="454" spans="2:22" ht="13">
      <c r="B454" s="270"/>
      <c r="C454" s="244" t="s">
        <v>868</v>
      </c>
      <c r="D454" s="15" t="s">
        <v>733</v>
      </c>
      <c r="E454" s="16">
        <v>6</v>
      </c>
      <c r="F454" s="16">
        <v>15</v>
      </c>
      <c r="G454" s="16">
        <f t="shared" ref="G454:G459" si="70">E454*F454</f>
        <v>90</v>
      </c>
      <c r="H454" s="240">
        <f>SUM(G454:G460)</f>
        <v>899.17</v>
      </c>
      <c r="I454" s="240">
        <v>2828</v>
      </c>
      <c r="J454" s="240">
        <f>I454-H454</f>
        <v>1928.83</v>
      </c>
      <c r="K454" s="241">
        <f>J454/I454</f>
        <v>0.68204738330975956</v>
      </c>
      <c r="M454" s="270"/>
      <c r="N454" s="244" t="s">
        <v>868</v>
      </c>
      <c r="O454" s="15" t="s">
        <v>733</v>
      </c>
      <c r="P454" s="16">
        <v>6</v>
      </c>
      <c r="Q454" s="16">
        <v>15</v>
      </c>
      <c r="R454" s="16">
        <f t="shared" ref="R454:R459" si="71">P454*Q454</f>
        <v>90</v>
      </c>
      <c r="S454" s="240">
        <f>SUM(R454:R460)</f>
        <v>899.17</v>
      </c>
      <c r="T454" s="240">
        <v>2828</v>
      </c>
      <c r="U454" s="240">
        <f>T454-S454</f>
        <v>1928.83</v>
      </c>
      <c r="V454" s="241">
        <f>U454/T454</f>
        <v>0.68204738330975956</v>
      </c>
    </row>
    <row r="455" spans="2:22" ht="13">
      <c r="B455" s="270"/>
      <c r="C455" s="245"/>
      <c r="D455" s="24" t="s">
        <v>150</v>
      </c>
      <c r="E455" s="17">
        <v>15</v>
      </c>
      <c r="F455" s="17">
        <v>15</v>
      </c>
      <c r="G455" s="17">
        <f t="shared" si="70"/>
        <v>225</v>
      </c>
      <c r="H455" s="236"/>
      <c r="I455" s="236"/>
      <c r="J455" s="236"/>
      <c r="K455" s="242"/>
      <c r="M455" s="270"/>
      <c r="N455" s="245"/>
      <c r="O455" s="24" t="s">
        <v>150</v>
      </c>
      <c r="P455" s="17">
        <v>15</v>
      </c>
      <c r="Q455" s="17">
        <v>15</v>
      </c>
      <c r="R455" s="17">
        <f t="shared" si="71"/>
        <v>225</v>
      </c>
      <c r="S455" s="236"/>
      <c r="T455" s="236"/>
      <c r="U455" s="236"/>
      <c r="V455" s="242"/>
    </row>
    <row r="456" spans="2:22" ht="13">
      <c r="B456" s="270"/>
      <c r="C456" s="245"/>
      <c r="D456" s="24" t="s">
        <v>869</v>
      </c>
      <c r="E456" s="17">
        <v>3</v>
      </c>
      <c r="F456" s="17">
        <v>25</v>
      </c>
      <c r="G456" s="17">
        <f t="shared" si="70"/>
        <v>75</v>
      </c>
      <c r="H456" s="236"/>
      <c r="I456" s="236"/>
      <c r="J456" s="236"/>
      <c r="K456" s="242"/>
      <c r="M456" s="270"/>
      <c r="N456" s="245"/>
      <c r="O456" s="24" t="s">
        <v>869</v>
      </c>
      <c r="P456" s="17">
        <v>3</v>
      </c>
      <c r="Q456" s="17">
        <v>25</v>
      </c>
      <c r="R456" s="17">
        <f t="shared" si="71"/>
        <v>75</v>
      </c>
      <c r="S456" s="236"/>
      <c r="T456" s="236"/>
      <c r="U456" s="236"/>
      <c r="V456" s="242"/>
    </row>
    <row r="457" spans="2:22" ht="13">
      <c r="B457" s="270"/>
      <c r="C457" s="245"/>
      <c r="D457" s="24" t="s">
        <v>147</v>
      </c>
      <c r="E457" s="17">
        <v>15</v>
      </c>
      <c r="F457" s="17">
        <v>15</v>
      </c>
      <c r="G457" s="17">
        <f t="shared" si="70"/>
        <v>225</v>
      </c>
      <c r="H457" s="236"/>
      <c r="I457" s="236"/>
      <c r="J457" s="236"/>
      <c r="K457" s="242"/>
      <c r="M457" s="270"/>
      <c r="N457" s="245"/>
      <c r="O457" s="24" t="s">
        <v>147</v>
      </c>
      <c r="P457" s="17">
        <v>15</v>
      </c>
      <c r="Q457" s="17">
        <v>15</v>
      </c>
      <c r="R457" s="17">
        <f t="shared" si="71"/>
        <v>225</v>
      </c>
      <c r="S457" s="236"/>
      <c r="T457" s="236"/>
      <c r="U457" s="236"/>
      <c r="V457" s="242"/>
    </row>
    <row r="458" spans="2:22" ht="13">
      <c r="B458" s="270"/>
      <c r="C458" s="245"/>
      <c r="D458" s="24" t="s">
        <v>78</v>
      </c>
      <c r="E458" s="17">
        <v>3</v>
      </c>
      <c r="F458" s="17">
        <v>15</v>
      </c>
      <c r="G458" s="17">
        <f t="shared" si="70"/>
        <v>45</v>
      </c>
      <c r="H458" s="236"/>
      <c r="I458" s="236"/>
      <c r="J458" s="236"/>
      <c r="K458" s="242"/>
      <c r="M458" s="270"/>
      <c r="N458" s="245"/>
      <c r="O458" s="24" t="s">
        <v>78</v>
      </c>
      <c r="P458" s="17">
        <v>3</v>
      </c>
      <c r="Q458" s="17">
        <v>15</v>
      </c>
      <c r="R458" s="17">
        <f t="shared" si="71"/>
        <v>45</v>
      </c>
      <c r="S458" s="236"/>
      <c r="T458" s="236"/>
      <c r="U458" s="236"/>
      <c r="V458" s="242"/>
    </row>
    <row r="459" spans="2:22" ht="13">
      <c r="B459" s="270"/>
      <c r="C459" s="245"/>
      <c r="D459" s="24" t="s">
        <v>870</v>
      </c>
      <c r="E459" s="17">
        <v>3</v>
      </c>
      <c r="F459" s="17">
        <v>15</v>
      </c>
      <c r="G459" s="17">
        <f t="shared" si="70"/>
        <v>45</v>
      </c>
      <c r="H459" s="236"/>
      <c r="I459" s="236"/>
      <c r="J459" s="236"/>
      <c r="K459" s="242"/>
      <c r="M459" s="270"/>
      <c r="N459" s="245"/>
      <c r="O459" s="24" t="s">
        <v>870</v>
      </c>
      <c r="P459" s="17">
        <v>3</v>
      </c>
      <c r="Q459" s="17">
        <v>15</v>
      </c>
      <c r="R459" s="17">
        <f t="shared" si="71"/>
        <v>45</v>
      </c>
      <c r="S459" s="236"/>
      <c r="T459" s="236"/>
      <c r="U459" s="236"/>
      <c r="V459" s="242"/>
    </row>
    <row r="460" spans="2:22" ht="13">
      <c r="B460" s="270"/>
      <c r="C460" s="246"/>
      <c r="D460" s="20" t="s">
        <v>94</v>
      </c>
      <c r="E460" s="21"/>
      <c r="F460" s="21"/>
      <c r="G460" s="21">
        <v>194.17</v>
      </c>
      <c r="H460" s="238"/>
      <c r="I460" s="238"/>
      <c r="J460" s="238"/>
      <c r="K460" s="243"/>
      <c r="M460" s="270"/>
      <c r="N460" s="246"/>
      <c r="O460" s="20" t="s">
        <v>94</v>
      </c>
      <c r="P460" s="21"/>
      <c r="Q460" s="21"/>
      <c r="R460" s="21">
        <v>194.17</v>
      </c>
      <c r="S460" s="238"/>
      <c r="T460" s="238"/>
      <c r="U460" s="238"/>
      <c r="V460" s="243"/>
    </row>
    <row r="461" spans="2:22" ht="13">
      <c r="B461" s="270"/>
      <c r="C461" s="244" t="s">
        <v>871</v>
      </c>
      <c r="D461" s="15" t="s">
        <v>114</v>
      </c>
      <c r="E461" s="16">
        <v>14</v>
      </c>
      <c r="F461" s="16">
        <v>18</v>
      </c>
      <c r="G461" s="16">
        <f>E461*F461</f>
        <v>252</v>
      </c>
      <c r="H461" s="240">
        <f>SUM(G461:G467)</f>
        <v>602.98</v>
      </c>
      <c r="I461" s="240">
        <v>2712.64</v>
      </c>
      <c r="J461" s="240">
        <f>I461-H461</f>
        <v>2109.66</v>
      </c>
      <c r="K461" s="241">
        <f>J461/I461</f>
        <v>0.77771469859620146</v>
      </c>
      <c r="M461" s="270"/>
      <c r="N461" s="244" t="s">
        <v>871</v>
      </c>
      <c r="O461" s="15" t="s">
        <v>114</v>
      </c>
      <c r="P461" s="43"/>
      <c r="Q461" s="43"/>
      <c r="R461" s="43"/>
      <c r="S461" s="240">
        <f>SUM(R461:R467)</f>
        <v>350.97999999999996</v>
      </c>
      <c r="T461" s="240">
        <v>2712.64</v>
      </c>
      <c r="U461" s="240">
        <f>T461-S461</f>
        <v>2361.66</v>
      </c>
      <c r="V461" s="241">
        <f>U461/T461</f>
        <v>0.87061312964492155</v>
      </c>
    </row>
    <row r="462" spans="2:22" ht="13">
      <c r="B462" s="270"/>
      <c r="C462" s="245"/>
      <c r="D462" s="19" t="s">
        <v>155</v>
      </c>
      <c r="E462" s="17"/>
      <c r="F462" s="17"/>
      <c r="G462" s="17">
        <v>85</v>
      </c>
      <c r="H462" s="236"/>
      <c r="I462" s="236"/>
      <c r="J462" s="236"/>
      <c r="K462" s="242"/>
      <c r="M462" s="270"/>
      <c r="N462" s="245"/>
      <c r="O462" s="19" t="s">
        <v>155</v>
      </c>
      <c r="P462" s="17"/>
      <c r="Q462" s="17"/>
      <c r="R462" s="17">
        <v>85</v>
      </c>
      <c r="S462" s="236"/>
      <c r="T462" s="236"/>
      <c r="U462" s="236"/>
      <c r="V462" s="242"/>
    </row>
    <row r="463" spans="2:22" ht="13">
      <c r="B463" s="270"/>
      <c r="C463" s="245"/>
      <c r="D463" s="106" t="s">
        <v>46</v>
      </c>
      <c r="E463" s="17"/>
      <c r="F463" s="17"/>
      <c r="G463" s="17">
        <v>42</v>
      </c>
      <c r="H463" s="236"/>
      <c r="I463" s="236"/>
      <c r="J463" s="236"/>
      <c r="K463" s="242"/>
      <c r="M463" s="270"/>
      <c r="N463" s="245"/>
      <c r="O463" s="106" t="s">
        <v>46</v>
      </c>
      <c r="P463" s="17"/>
      <c r="Q463" s="17"/>
      <c r="R463" s="17">
        <v>42</v>
      </c>
      <c r="S463" s="236"/>
      <c r="T463" s="236"/>
      <c r="U463" s="236"/>
      <c r="V463" s="242"/>
    </row>
    <row r="464" spans="2:22" ht="13">
      <c r="B464" s="270"/>
      <c r="C464" s="245"/>
      <c r="D464" s="106" t="s">
        <v>188</v>
      </c>
      <c r="E464" s="17"/>
      <c r="F464" s="17"/>
      <c r="G464" s="17">
        <v>36.51</v>
      </c>
      <c r="H464" s="236"/>
      <c r="I464" s="236"/>
      <c r="J464" s="236"/>
      <c r="K464" s="242"/>
      <c r="M464" s="270"/>
      <c r="N464" s="245"/>
      <c r="O464" s="106" t="s">
        <v>188</v>
      </c>
      <c r="P464" s="17"/>
      <c r="Q464" s="17"/>
      <c r="R464" s="17">
        <v>36.51</v>
      </c>
      <c r="S464" s="236"/>
      <c r="T464" s="236"/>
      <c r="U464" s="236"/>
      <c r="V464" s="242"/>
    </row>
    <row r="465" spans="2:22" ht="13">
      <c r="B465" s="270"/>
      <c r="C465" s="245"/>
      <c r="D465" s="19" t="s">
        <v>854</v>
      </c>
      <c r="E465" s="17"/>
      <c r="F465" s="17"/>
      <c r="G465" s="17">
        <v>48.59</v>
      </c>
      <c r="H465" s="236"/>
      <c r="I465" s="236"/>
      <c r="J465" s="236"/>
      <c r="K465" s="242"/>
      <c r="M465" s="270"/>
      <c r="N465" s="245"/>
      <c r="O465" s="19" t="s">
        <v>854</v>
      </c>
      <c r="P465" s="17"/>
      <c r="Q465" s="17"/>
      <c r="R465" s="17">
        <v>48.59</v>
      </c>
      <c r="S465" s="236"/>
      <c r="T465" s="236"/>
      <c r="U465" s="236"/>
      <c r="V465" s="242"/>
    </row>
    <row r="466" spans="2:22" ht="13">
      <c r="B466" s="270"/>
      <c r="C466" s="245"/>
      <c r="D466" s="19" t="s">
        <v>94</v>
      </c>
      <c r="E466" s="17"/>
      <c r="F466" s="17"/>
      <c r="G466" s="17">
        <v>63.56</v>
      </c>
      <c r="H466" s="236"/>
      <c r="I466" s="236"/>
      <c r="J466" s="236"/>
      <c r="K466" s="242"/>
      <c r="M466" s="270"/>
      <c r="N466" s="245"/>
      <c r="O466" s="19" t="s">
        <v>94</v>
      </c>
      <c r="P466" s="17"/>
      <c r="Q466" s="17"/>
      <c r="R466" s="17">
        <v>63.56</v>
      </c>
      <c r="S466" s="236"/>
      <c r="T466" s="236"/>
      <c r="U466" s="236"/>
      <c r="V466" s="242"/>
    </row>
    <row r="467" spans="2:22" ht="13">
      <c r="B467" s="270"/>
      <c r="C467" s="246"/>
      <c r="D467" s="20" t="s">
        <v>47</v>
      </c>
      <c r="E467" s="21"/>
      <c r="F467" s="21"/>
      <c r="G467" s="21">
        <v>75.319999999999993</v>
      </c>
      <c r="H467" s="238"/>
      <c r="I467" s="238"/>
      <c r="J467" s="238"/>
      <c r="K467" s="243"/>
      <c r="M467" s="270"/>
      <c r="N467" s="246"/>
      <c r="O467" s="20" t="s">
        <v>47</v>
      </c>
      <c r="P467" s="21"/>
      <c r="Q467" s="21"/>
      <c r="R467" s="21">
        <v>75.319999999999993</v>
      </c>
      <c r="S467" s="238"/>
      <c r="T467" s="238"/>
      <c r="U467" s="238"/>
      <c r="V467" s="243"/>
    </row>
    <row r="468" spans="2:22" ht="13">
      <c r="B468" s="270"/>
      <c r="C468" s="244" t="s">
        <v>872</v>
      </c>
      <c r="D468" s="15" t="s">
        <v>701</v>
      </c>
      <c r="E468" s="16">
        <v>7</v>
      </c>
      <c r="F468" s="16">
        <v>18</v>
      </c>
      <c r="G468" s="16">
        <f t="shared" ref="G468:G485" si="72">E468*F468</f>
        <v>126</v>
      </c>
      <c r="H468" s="240">
        <f>SUM(G468:G471)</f>
        <v>392.5</v>
      </c>
      <c r="I468" s="240">
        <v>1350</v>
      </c>
      <c r="J468" s="240">
        <f>I468-H468</f>
        <v>957.5</v>
      </c>
      <c r="K468" s="241">
        <f>J468/I468</f>
        <v>0.70925925925925926</v>
      </c>
      <c r="M468" s="270"/>
      <c r="N468" s="244" t="s">
        <v>872</v>
      </c>
      <c r="O468" s="15" t="s">
        <v>701</v>
      </c>
      <c r="P468" s="43"/>
      <c r="Q468" s="43"/>
      <c r="R468" s="43"/>
      <c r="S468" s="240">
        <f>SUM(R468:R471)</f>
        <v>266.5</v>
      </c>
      <c r="T468" s="240">
        <v>1350</v>
      </c>
      <c r="U468" s="240">
        <f>T468-S468</f>
        <v>1083.5</v>
      </c>
      <c r="V468" s="241">
        <f>U468/T468</f>
        <v>0.80259259259259264</v>
      </c>
    </row>
    <row r="469" spans="2:22" ht="13">
      <c r="B469" s="270"/>
      <c r="C469" s="245"/>
      <c r="D469" s="24" t="s">
        <v>754</v>
      </c>
      <c r="E469" s="17">
        <v>5.5</v>
      </c>
      <c r="F469" s="17">
        <v>13</v>
      </c>
      <c r="G469" s="17">
        <f t="shared" si="72"/>
        <v>71.5</v>
      </c>
      <c r="H469" s="236"/>
      <c r="I469" s="236"/>
      <c r="J469" s="236"/>
      <c r="K469" s="242"/>
      <c r="M469" s="270"/>
      <c r="N469" s="245"/>
      <c r="O469" s="24" t="s">
        <v>754</v>
      </c>
      <c r="P469" s="17">
        <v>5.5</v>
      </c>
      <c r="Q469" s="17">
        <v>13</v>
      </c>
      <c r="R469" s="17">
        <f t="shared" ref="R469:R477" si="73">P469*Q469</f>
        <v>71.5</v>
      </c>
      <c r="S469" s="236"/>
      <c r="T469" s="236"/>
      <c r="U469" s="236"/>
      <c r="V469" s="242"/>
    </row>
    <row r="470" spans="2:22" ht="13">
      <c r="B470" s="270"/>
      <c r="C470" s="245"/>
      <c r="D470" s="24" t="s">
        <v>70</v>
      </c>
      <c r="E470" s="17">
        <v>7.3</v>
      </c>
      <c r="F470" s="17">
        <v>13</v>
      </c>
      <c r="G470" s="17">
        <f t="shared" si="72"/>
        <v>94.899999999999991</v>
      </c>
      <c r="H470" s="236"/>
      <c r="I470" s="236"/>
      <c r="J470" s="236"/>
      <c r="K470" s="242"/>
      <c r="M470" s="270"/>
      <c r="N470" s="245"/>
      <c r="O470" s="24" t="s">
        <v>70</v>
      </c>
      <c r="P470" s="17">
        <v>7.3</v>
      </c>
      <c r="Q470" s="17">
        <v>13</v>
      </c>
      <c r="R470" s="17">
        <f t="shared" si="73"/>
        <v>94.899999999999991</v>
      </c>
      <c r="S470" s="236"/>
      <c r="T470" s="236"/>
      <c r="U470" s="236"/>
      <c r="V470" s="242"/>
    </row>
    <row r="471" spans="2:22" ht="13">
      <c r="B471" s="270"/>
      <c r="C471" s="246"/>
      <c r="D471" s="20" t="s">
        <v>744</v>
      </c>
      <c r="E471" s="21">
        <v>7.7</v>
      </c>
      <c r="F471" s="21">
        <v>13</v>
      </c>
      <c r="G471" s="21">
        <f t="shared" si="72"/>
        <v>100.10000000000001</v>
      </c>
      <c r="H471" s="238"/>
      <c r="I471" s="238"/>
      <c r="J471" s="238"/>
      <c r="K471" s="243"/>
      <c r="M471" s="270"/>
      <c r="N471" s="246"/>
      <c r="O471" s="20" t="s">
        <v>744</v>
      </c>
      <c r="P471" s="21">
        <v>7.7</v>
      </c>
      <c r="Q471" s="21">
        <v>13</v>
      </c>
      <c r="R471" s="21">
        <f t="shared" si="73"/>
        <v>100.10000000000001</v>
      </c>
      <c r="S471" s="238"/>
      <c r="T471" s="238"/>
      <c r="U471" s="238"/>
      <c r="V471" s="243"/>
    </row>
    <row r="472" spans="2:22" ht="13">
      <c r="B472" s="270"/>
      <c r="C472" s="244" t="s">
        <v>873</v>
      </c>
      <c r="D472" s="15" t="s">
        <v>874</v>
      </c>
      <c r="E472" s="16">
        <v>4.5</v>
      </c>
      <c r="F472" s="16">
        <v>13</v>
      </c>
      <c r="G472" s="16">
        <f t="shared" si="72"/>
        <v>58.5</v>
      </c>
      <c r="H472" s="240">
        <f>SUM(G472:G477)</f>
        <v>397.15000000000003</v>
      </c>
      <c r="I472" s="240">
        <v>2025</v>
      </c>
      <c r="J472" s="240">
        <f>I472-H472</f>
        <v>1627.85</v>
      </c>
      <c r="K472" s="241">
        <f>J472/I472</f>
        <v>0.80387654320987645</v>
      </c>
      <c r="M472" s="270"/>
      <c r="N472" s="244" t="s">
        <v>873</v>
      </c>
      <c r="O472" s="15" t="s">
        <v>874</v>
      </c>
      <c r="P472" s="16">
        <v>4.5</v>
      </c>
      <c r="Q472" s="16">
        <v>13</v>
      </c>
      <c r="R472" s="16">
        <f t="shared" si="73"/>
        <v>58.5</v>
      </c>
      <c r="S472" s="240">
        <f>SUM(R472:R477)</f>
        <v>397.15000000000003</v>
      </c>
      <c r="T472" s="240">
        <v>2025</v>
      </c>
      <c r="U472" s="240">
        <f>T472-S472</f>
        <v>1627.85</v>
      </c>
      <c r="V472" s="241">
        <f>U472/T472</f>
        <v>0.80387654320987645</v>
      </c>
    </row>
    <row r="473" spans="2:22" ht="13">
      <c r="B473" s="270"/>
      <c r="C473" s="245"/>
      <c r="D473" s="24" t="s">
        <v>754</v>
      </c>
      <c r="E473" s="17">
        <v>3.2</v>
      </c>
      <c r="F473" s="17">
        <v>13</v>
      </c>
      <c r="G473" s="17">
        <f t="shared" si="72"/>
        <v>41.6</v>
      </c>
      <c r="H473" s="236"/>
      <c r="I473" s="236"/>
      <c r="J473" s="236"/>
      <c r="K473" s="242"/>
      <c r="M473" s="270"/>
      <c r="N473" s="245"/>
      <c r="O473" s="24" t="s">
        <v>754</v>
      </c>
      <c r="P473" s="17">
        <v>3.2</v>
      </c>
      <c r="Q473" s="17">
        <v>13</v>
      </c>
      <c r="R473" s="17">
        <f t="shared" si="73"/>
        <v>41.6</v>
      </c>
      <c r="S473" s="236"/>
      <c r="T473" s="236"/>
      <c r="U473" s="236"/>
      <c r="V473" s="242"/>
    </row>
    <row r="474" spans="2:22" ht="13">
      <c r="B474" s="270"/>
      <c r="C474" s="245"/>
      <c r="D474" s="24" t="s">
        <v>78</v>
      </c>
      <c r="E474" s="17">
        <v>5.25</v>
      </c>
      <c r="F474" s="17">
        <v>13</v>
      </c>
      <c r="G474" s="17">
        <f t="shared" si="72"/>
        <v>68.25</v>
      </c>
      <c r="H474" s="236"/>
      <c r="I474" s="236"/>
      <c r="J474" s="236"/>
      <c r="K474" s="242"/>
      <c r="M474" s="270"/>
      <c r="N474" s="245"/>
      <c r="O474" s="24" t="s">
        <v>78</v>
      </c>
      <c r="P474" s="17">
        <v>5.25</v>
      </c>
      <c r="Q474" s="17">
        <v>13</v>
      </c>
      <c r="R474" s="17">
        <f t="shared" si="73"/>
        <v>68.25</v>
      </c>
      <c r="S474" s="236"/>
      <c r="T474" s="236"/>
      <c r="U474" s="236"/>
      <c r="V474" s="242"/>
    </row>
    <row r="475" spans="2:22" ht="13">
      <c r="B475" s="270"/>
      <c r="C475" s="245"/>
      <c r="D475" s="24" t="s">
        <v>526</v>
      </c>
      <c r="E475" s="17">
        <v>5.25</v>
      </c>
      <c r="F475" s="17">
        <v>13</v>
      </c>
      <c r="G475" s="17">
        <f t="shared" si="72"/>
        <v>68.25</v>
      </c>
      <c r="H475" s="236"/>
      <c r="I475" s="236"/>
      <c r="J475" s="236"/>
      <c r="K475" s="242"/>
      <c r="M475" s="270"/>
      <c r="N475" s="245"/>
      <c r="O475" s="24" t="s">
        <v>526</v>
      </c>
      <c r="P475" s="17">
        <v>5.25</v>
      </c>
      <c r="Q475" s="17">
        <v>13</v>
      </c>
      <c r="R475" s="17">
        <f t="shared" si="73"/>
        <v>68.25</v>
      </c>
      <c r="S475" s="236"/>
      <c r="T475" s="236"/>
      <c r="U475" s="236"/>
      <c r="V475" s="242"/>
    </row>
    <row r="476" spans="2:22" ht="13">
      <c r="B476" s="270"/>
      <c r="C476" s="245"/>
      <c r="D476" s="24" t="s">
        <v>875</v>
      </c>
      <c r="E476" s="17">
        <v>6.75</v>
      </c>
      <c r="F476" s="17">
        <v>13</v>
      </c>
      <c r="G476" s="17">
        <f t="shared" si="72"/>
        <v>87.75</v>
      </c>
      <c r="H476" s="236"/>
      <c r="I476" s="236"/>
      <c r="J476" s="236"/>
      <c r="K476" s="242"/>
      <c r="M476" s="270"/>
      <c r="N476" s="245"/>
      <c r="O476" s="24" t="s">
        <v>875</v>
      </c>
      <c r="P476" s="17">
        <v>6.75</v>
      </c>
      <c r="Q476" s="17">
        <v>13</v>
      </c>
      <c r="R476" s="17">
        <f t="shared" si="73"/>
        <v>87.75</v>
      </c>
      <c r="S476" s="236"/>
      <c r="T476" s="236"/>
      <c r="U476" s="236"/>
      <c r="V476" s="242"/>
    </row>
    <row r="477" spans="2:22" ht="13">
      <c r="B477" s="270"/>
      <c r="C477" s="246"/>
      <c r="D477" s="20" t="s">
        <v>771</v>
      </c>
      <c r="E477" s="21">
        <v>5.6</v>
      </c>
      <c r="F477" s="21">
        <v>13</v>
      </c>
      <c r="G477" s="21">
        <f t="shared" si="72"/>
        <v>72.8</v>
      </c>
      <c r="H477" s="238"/>
      <c r="I477" s="238"/>
      <c r="J477" s="238"/>
      <c r="K477" s="243"/>
      <c r="M477" s="270"/>
      <c r="N477" s="246"/>
      <c r="O477" s="20" t="s">
        <v>771</v>
      </c>
      <c r="P477" s="21">
        <v>5.6</v>
      </c>
      <c r="Q477" s="21">
        <v>13</v>
      </c>
      <c r="R477" s="21">
        <f t="shared" si="73"/>
        <v>72.8</v>
      </c>
      <c r="S477" s="238"/>
      <c r="T477" s="238"/>
      <c r="U477" s="238"/>
      <c r="V477" s="243"/>
    </row>
    <row r="478" spans="2:22" ht="13">
      <c r="B478" s="270"/>
      <c r="C478" s="244" t="s">
        <v>876</v>
      </c>
      <c r="D478" s="15" t="s">
        <v>701</v>
      </c>
      <c r="E478" s="16">
        <v>14</v>
      </c>
      <c r="F478" s="17">
        <v>18</v>
      </c>
      <c r="G478" s="17">
        <f t="shared" si="72"/>
        <v>252</v>
      </c>
      <c r="H478" s="240">
        <f>SUM(G478:G486)</f>
        <v>1397.9</v>
      </c>
      <c r="I478" s="240">
        <v>4800</v>
      </c>
      <c r="J478" s="240">
        <f>I478-H478</f>
        <v>3402.1</v>
      </c>
      <c r="K478" s="241">
        <f>J478/I478</f>
        <v>0.70877083333333335</v>
      </c>
      <c r="M478" s="270"/>
      <c r="N478" s="244" t="s">
        <v>876</v>
      </c>
      <c r="O478" s="15" t="s">
        <v>701</v>
      </c>
      <c r="P478" s="43"/>
      <c r="Q478" s="18"/>
      <c r="R478" s="18"/>
      <c r="S478" s="240">
        <f>SUM(R478:R486)</f>
        <v>1145.9000000000001</v>
      </c>
      <c r="T478" s="240">
        <v>4800</v>
      </c>
      <c r="U478" s="240">
        <f>T478-S478</f>
        <v>3654.1</v>
      </c>
      <c r="V478" s="241">
        <f>U478/T478</f>
        <v>0.76127083333333334</v>
      </c>
    </row>
    <row r="479" spans="2:22" ht="13">
      <c r="B479" s="270"/>
      <c r="C479" s="245"/>
      <c r="D479" s="19" t="s">
        <v>877</v>
      </c>
      <c r="E479" s="17">
        <v>7.15</v>
      </c>
      <c r="F479" s="17">
        <v>18</v>
      </c>
      <c r="G479" s="17">
        <f t="shared" si="72"/>
        <v>128.70000000000002</v>
      </c>
      <c r="H479" s="236"/>
      <c r="I479" s="236"/>
      <c r="J479" s="236"/>
      <c r="K479" s="242"/>
      <c r="M479" s="270"/>
      <c r="N479" s="245"/>
      <c r="O479" s="19" t="s">
        <v>877</v>
      </c>
      <c r="P479" s="17">
        <v>7.15</v>
      </c>
      <c r="Q479" s="17">
        <v>18</v>
      </c>
      <c r="R479" s="17">
        <f t="shared" ref="R479:R485" si="74">P479*Q479</f>
        <v>128.70000000000002</v>
      </c>
      <c r="S479" s="236"/>
      <c r="T479" s="236"/>
      <c r="U479" s="236"/>
      <c r="V479" s="242"/>
    </row>
    <row r="480" spans="2:22" ht="13">
      <c r="B480" s="270"/>
      <c r="C480" s="245"/>
      <c r="D480" s="19" t="s">
        <v>516</v>
      </c>
      <c r="E480" s="17">
        <v>16.55</v>
      </c>
      <c r="F480" s="17">
        <v>13</v>
      </c>
      <c r="G480" s="17">
        <f t="shared" si="72"/>
        <v>215.15</v>
      </c>
      <c r="H480" s="236"/>
      <c r="I480" s="236"/>
      <c r="J480" s="236"/>
      <c r="K480" s="242"/>
      <c r="M480" s="270"/>
      <c r="N480" s="245"/>
      <c r="O480" s="19" t="s">
        <v>516</v>
      </c>
      <c r="P480" s="17">
        <v>16.55</v>
      </c>
      <c r="Q480" s="17">
        <v>13</v>
      </c>
      <c r="R480" s="17">
        <f t="shared" si="74"/>
        <v>215.15</v>
      </c>
      <c r="S480" s="236"/>
      <c r="T480" s="236"/>
      <c r="U480" s="236"/>
      <c r="V480" s="242"/>
    </row>
    <row r="481" spans="2:22" ht="13">
      <c r="B481" s="270"/>
      <c r="C481" s="245"/>
      <c r="D481" s="19" t="s">
        <v>878</v>
      </c>
      <c r="E481" s="17">
        <v>6</v>
      </c>
      <c r="F481" s="17">
        <v>13</v>
      </c>
      <c r="G481" s="17">
        <f t="shared" si="72"/>
        <v>78</v>
      </c>
      <c r="H481" s="236"/>
      <c r="I481" s="236"/>
      <c r="J481" s="236"/>
      <c r="K481" s="242"/>
      <c r="M481" s="270"/>
      <c r="N481" s="245"/>
      <c r="O481" s="19" t="s">
        <v>878</v>
      </c>
      <c r="P481" s="17">
        <v>6</v>
      </c>
      <c r="Q481" s="17">
        <v>13</v>
      </c>
      <c r="R481" s="17">
        <f t="shared" si="74"/>
        <v>78</v>
      </c>
      <c r="S481" s="236"/>
      <c r="T481" s="236"/>
      <c r="U481" s="236"/>
      <c r="V481" s="242"/>
    </row>
    <row r="482" spans="2:22" ht="13">
      <c r="B482" s="270"/>
      <c r="C482" s="245"/>
      <c r="D482" s="19" t="s">
        <v>879</v>
      </c>
      <c r="E482" s="17">
        <v>6.66</v>
      </c>
      <c r="F482" s="17">
        <v>13</v>
      </c>
      <c r="G482" s="17">
        <f t="shared" si="72"/>
        <v>86.58</v>
      </c>
      <c r="H482" s="236"/>
      <c r="I482" s="236"/>
      <c r="J482" s="236"/>
      <c r="K482" s="242"/>
      <c r="M482" s="270"/>
      <c r="N482" s="245"/>
      <c r="O482" s="19" t="s">
        <v>879</v>
      </c>
      <c r="P482" s="17">
        <v>6.66</v>
      </c>
      <c r="Q482" s="17">
        <v>13</v>
      </c>
      <c r="R482" s="17">
        <f t="shared" si="74"/>
        <v>86.58</v>
      </c>
      <c r="S482" s="236"/>
      <c r="T482" s="236"/>
      <c r="U482" s="236"/>
      <c r="V482" s="242"/>
    </row>
    <row r="483" spans="2:22" ht="13">
      <c r="B483" s="270"/>
      <c r="C483" s="245"/>
      <c r="D483" s="19" t="s">
        <v>880</v>
      </c>
      <c r="E483" s="17">
        <v>8</v>
      </c>
      <c r="F483" s="17">
        <v>13</v>
      </c>
      <c r="G483" s="17">
        <f t="shared" si="72"/>
        <v>104</v>
      </c>
      <c r="H483" s="236"/>
      <c r="I483" s="236"/>
      <c r="J483" s="236"/>
      <c r="K483" s="242"/>
      <c r="M483" s="270"/>
      <c r="N483" s="245"/>
      <c r="O483" s="19" t="s">
        <v>880</v>
      </c>
      <c r="P483" s="17">
        <v>8</v>
      </c>
      <c r="Q483" s="17">
        <v>13</v>
      </c>
      <c r="R483" s="17">
        <f t="shared" si="74"/>
        <v>104</v>
      </c>
      <c r="S483" s="236"/>
      <c r="T483" s="236"/>
      <c r="U483" s="236"/>
      <c r="V483" s="242"/>
    </row>
    <row r="484" spans="2:22" ht="13">
      <c r="B484" s="270"/>
      <c r="C484" s="245"/>
      <c r="D484" s="19" t="s">
        <v>881</v>
      </c>
      <c r="E484" s="17">
        <v>19.39</v>
      </c>
      <c r="F484" s="17">
        <v>13</v>
      </c>
      <c r="G484" s="17">
        <f t="shared" si="72"/>
        <v>252.07</v>
      </c>
      <c r="H484" s="236"/>
      <c r="I484" s="236"/>
      <c r="J484" s="236"/>
      <c r="K484" s="242"/>
      <c r="M484" s="270"/>
      <c r="N484" s="245"/>
      <c r="O484" s="19" t="s">
        <v>881</v>
      </c>
      <c r="P484" s="17">
        <v>19.39</v>
      </c>
      <c r="Q484" s="17">
        <v>13</v>
      </c>
      <c r="R484" s="17">
        <f t="shared" si="74"/>
        <v>252.07</v>
      </c>
      <c r="S484" s="236"/>
      <c r="T484" s="236"/>
      <c r="U484" s="236"/>
      <c r="V484" s="242"/>
    </row>
    <row r="485" spans="2:22" ht="13">
      <c r="B485" s="270"/>
      <c r="C485" s="245"/>
      <c r="D485" s="19" t="s">
        <v>882</v>
      </c>
      <c r="E485" s="17">
        <v>11.8</v>
      </c>
      <c r="F485" s="17">
        <v>13</v>
      </c>
      <c r="G485" s="17">
        <f t="shared" si="72"/>
        <v>153.4</v>
      </c>
      <c r="H485" s="236"/>
      <c r="I485" s="236"/>
      <c r="J485" s="236"/>
      <c r="K485" s="242"/>
      <c r="M485" s="270"/>
      <c r="N485" s="245"/>
      <c r="O485" s="19" t="s">
        <v>882</v>
      </c>
      <c r="P485" s="17">
        <v>11.8</v>
      </c>
      <c r="Q485" s="17">
        <v>13</v>
      </c>
      <c r="R485" s="17">
        <f t="shared" si="74"/>
        <v>153.4</v>
      </c>
      <c r="S485" s="236"/>
      <c r="T485" s="236"/>
      <c r="U485" s="236"/>
      <c r="V485" s="242"/>
    </row>
    <row r="486" spans="2:22" ht="13">
      <c r="B486" s="270"/>
      <c r="C486" s="246"/>
      <c r="D486" s="44" t="s">
        <v>883</v>
      </c>
      <c r="E486" s="21"/>
      <c r="F486" s="21"/>
      <c r="G486" s="21">
        <v>128</v>
      </c>
      <c r="H486" s="238"/>
      <c r="I486" s="238"/>
      <c r="J486" s="238"/>
      <c r="K486" s="243"/>
      <c r="M486" s="270"/>
      <c r="N486" s="246"/>
      <c r="O486" s="44" t="s">
        <v>883</v>
      </c>
      <c r="P486" s="21"/>
      <c r="Q486" s="21"/>
      <c r="R486" s="21">
        <v>128</v>
      </c>
      <c r="S486" s="238"/>
      <c r="T486" s="238"/>
      <c r="U486" s="238"/>
      <c r="V486" s="243"/>
    </row>
    <row r="487" spans="2:22" ht="13">
      <c r="B487" s="270"/>
      <c r="C487" s="244" t="s">
        <v>884</v>
      </c>
      <c r="D487" s="15" t="s">
        <v>114</v>
      </c>
      <c r="E487" s="16">
        <v>7</v>
      </c>
      <c r="F487" s="16">
        <v>18</v>
      </c>
      <c r="G487" s="16">
        <f t="shared" ref="G487:G494" si="75">E487*F487</f>
        <v>126</v>
      </c>
      <c r="H487" s="240">
        <f>SUM(G487:G489)</f>
        <v>289.8</v>
      </c>
      <c r="I487" s="240">
        <v>1620</v>
      </c>
      <c r="J487" s="240">
        <f>I487-H487</f>
        <v>1330.2</v>
      </c>
      <c r="K487" s="241">
        <f>J487/I487</f>
        <v>0.82111111111111112</v>
      </c>
      <c r="M487" s="270"/>
      <c r="N487" s="244" t="s">
        <v>884</v>
      </c>
      <c r="O487" s="15" t="s">
        <v>114</v>
      </c>
      <c r="P487" s="43"/>
      <c r="Q487" s="43"/>
      <c r="R487" s="43"/>
      <c r="S487" s="240">
        <f>SUM(R487:R489)</f>
        <v>163.80000000000001</v>
      </c>
      <c r="T487" s="240">
        <v>1620</v>
      </c>
      <c r="U487" s="240">
        <f>T487-S487</f>
        <v>1456.2</v>
      </c>
      <c r="V487" s="241">
        <f>U487/T487</f>
        <v>0.89888888888888896</v>
      </c>
    </row>
    <row r="488" spans="2:22" ht="13">
      <c r="B488" s="270"/>
      <c r="C488" s="245"/>
      <c r="D488" s="24" t="s">
        <v>754</v>
      </c>
      <c r="E488" s="17">
        <v>5.5</v>
      </c>
      <c r="F488" s="17">
        <v>13</v>
      </c>
      <c r="G488" s="17">
        <f t="shared" si="75"/>
        <v>71.5</v>
      </c>
      <c r="H488" s="236"/>
      <c r="I488" s="236"/>
      <c r="J488" s="236"/>
      <c r="K488" s="242"/>
      <c r="M488" s="270"/>
      <c r="N488" s="245"/>
      <c r="O488" s="24" t="s">
        <v>754</v>
      </c>
      <c r="P488" s="17">
        <v>5.5</v>
      </c>
      <c r="Q488" s="17">
        <v>13</v>
      </c>
      <c r="R488" s="17">
        <f t="shared" ref="R488:R491" si="76">P488*Q488</f>
        <v>71.5</v>
      </c>
      <c r="S488" s="236"/>
      <c r="T488" s="236"/>
      <c r="U488" s="236"/>
      <c r="V488" s="242"/>
    </row>
    <row r="489" spans="2:22" ht="13">
      <c r="B489" s="270"/>
      <c r="C489" s="246"/>
      <c r="D489" s="20" t="s">
        <v>874</v>
      </c>
      <c r="E489" s="21">
        <v>7.1</v>
      </c>
      <c r="F489" s="21">
        <v>13</v>
      </c>
      <c r="G489" s="21">
        <f t="shared" si="75"/>
        <v>92.3</v>
      </c>
      <c r="H489" s="238"/>
      <c r="I489" s="238"/>
      <c r="J489" s="238"/>
      <c r="K489" s="243"/>
      <c r="M489" s="270"/>
      <c r="N489" s="246"/>
      <c r="O489" s="20" t="s">
        <v>874</v>
      </c>
      <c r="P489" s="21">
        <v>7.1</v>
      </c>
      <c r="Q489" s="21">
        <v>13</v>
      </c>
      <c r="R489" s="21">
        <f t="shared" si="76"/>
        <v>92.3</v>
      </c>
      <c r="S489" s="238"/>
      <c r="T489" s="238"/>
      <c r="U489" s="238"/>
      <c r="V489" s="243"/>
    </row>
    <row r="490" spans="2:22" ht="13">
      <c r="B490" s="270"/>
      <c r="C490" s="244" t="s">
        <v>885</v>
      </c>
      <c r="D490" s="15" t="s">
        <v>771</v>
      </c>
      <c r="E490" s="16">
        <v>12.2</v>
      </c>
      <c r="F490" s="17">
        <v>13</v>
      </c>
      <c r="G490" s="17">
        <f t="shared" si="75"/>
        <v>158.6</v>
      </c>
      <c r="H490" s="240">
        <f>SUM(G490:G495)</f>
        <v>1034.6100000000001</v>
      </c>
      <c r="I490" s="240">
        <v>3442.5</v>
      </c>
      <c r="J490" s="240">
        <f>I490-H490</f>
        <v>2407.89</v>
      </c>
      <c r="K490" s="241">
        <f>J490/I490</f>
        <v>0.69945969498910676</v>
      </c>
      <c r="M490" s="270"/>
      <c r="N490" s="244" t="s">
        <v>885</v>
      </c>
      <c r="O490" s="15" t="s">
        <v>771</v>
      </c>
      <c r="P490" s="16">
        <v>12.13</v>
      </c>
      <c r="Q490" s="17">
        <v>13</v>
      </c>
      <c r="R490" s="17">
        <f t="shared" si="76"/>
        <v>157.69</v>
      </c>
      <c r="S490" s="240">
        <f>SUM(R490:R495)</f>
        <v>655.7</v>
      </c>
      <c r="T490" s="240">
        <v>3442.5</v>
      </c>
      <c r="U490" s="240">
        <f>T490-S490</f>
        <v>2786.8</v>
      </c>
      <c r="V490" s="241">
        <f>U490/T490</f>
        <v>0.80952795933188093</v>
      </c>
    </row>
    <row r="491" spans="2:22" ht="13">
      <c r="B491" s="270"/>
      <c r="C491" s="245"/>
      <c r="D491" s="19" t="s">
        <v>875</v>
      </c>
      <c r="E491" s="17">
        <v>10.35</v>
      </c>
      <c r="F491" s="17">
        <v>13</v>
      </c>
      <c r="G491" s="17">
        <f t="shared" si="75"/>
        <v>134.54999999999998</v>
      </c>
      <c r="H491" s="236"/>
      <c r="I491" s="236"/>
      <c r="J491" s="236"/>
      <c r="K491" s="242"/>
      <c r="M491" s="270"/>
      <c r="N491" s="245"/>
      <c r="O491" s="19" t="s">
        <v>875</v>
      </c>
      <c r="P491" s="17">
        <v>10.35</v>
      </c>
      <c r="Q491" s="17">
        <v>13</v>
      </c>
      <c r="R491" s="17">
        <f t="shared" si="76"/>
        <v>134.54999999999998</v>
      </c>
      <c r="S491" s="236"/>
      <c r="T491" s="236"/>
      <c r="U491" s="236"/>
      <c r="V491" s="242"/>
    </row>
    <row r="492" spans="2:22" ht="13">
      <c r="B492" s="270"/>
      <c r="C492" s="245"/>
      <c r="D492" s="19" t="s">
        <v>701</v>
      </c>
      <c r="E492" s="17">
        <v>21</v>
      </c>
      <c r="F492" s="17">
        <v>18</v>
      </c>
      <c r="G492" s="17">
        <f t="shared" si="75"/>
        <v>378</v>
      </c>
      <c r="H492" s="236"/>
      <c r="I492" s="236"/>
      <c r="J492" s="236"/>
      <c r="K492" s="242"/>
      <c r="M492" s="270"/>
      <c r="N492" s="245"/>
      <c r="O492" s="19" t="s">
        <v>701</v>
      </c>
      <c r="P492" s="18"/>
      <c r="Q492" s="18"/>
      <c r="R492" s="18"/>
      <c r="S492" s="236"/>
      <c r="T492" s="236"/>
      <c r="U492" s="236"/>
      <c r="V492" s="242"/>
    </row>
    <row r="493" spans="2:22" ht="13">
      <c r="B493" s="270"/>
      <c r="C493" s="245"/>
      <c r="D493" s="19" t="s">
        <v>265</v>
      </c>
      <c r="E493" s="17">
        <v>10.27</v>
      </c>
      <c r="F493" s="17">
        <v>13</v>
      </c>
      <c r="G493" s="17">
        <f t="shared" si="75"/>
        <v>133.51</v>
      </c>
      <c r="H493" s="236"/>
      <c r="I493" s="236"/>
      <c r="J493" s="236"/>
      <c r="K493" s="242"/>
      <c r="M493" s="270"/>
      <c r="N493" s="245"/>
      <c r="O493" s="19" t="s">
        <v>265</v>
      </c>
      <c r="P493" s="17">
        <v>10.27</v>
      </c>
      <c r="Q493" s="17">
        <v>13</v>
      </c>
      <c r="R493" s="17">
        <f t="shared" ref="R493:R494" si="77">P493*Q493</f>
        <v>133.51</v>
      </c>
      <c r="S493" s="236"/>
      <c r="T493" s="236"/>
      <c r="U493" s="236"/>
      <c r="V493" s="242"/>
    </row>
    <row r="494" spans="2:22" ht="13">
      <c r="B494" s="270"/>
      <c r="C494" s="245"/>
      <c r="D494" s="19" t="s">
        <v>78</v>
      </c>
      <c r="E494" s="17">
        <v>10.15</v>
      </c>
      <c r="F494" s="17">
        <v>13</v>
      </c>
      <c r="G494" s="17">
        <f t="shared" si="75"/>
        <v>131.95000000000002</v>
      </c>
      <c r="H494" s="236"/>
      <c r="I494" s="236"/>
      <c r="J494" s="236"/>
      <c r="K494" s="242"/>
      <c r="M494" s="270"/>
      <c r="N494" s="245"/>
      <c r="O494" s="19" t="s">
        <v>78</v>
      </c>
      <c r="P494" s="17">
        <v>10.15</v>
      </c>
      <c r="Q494" s="17">
        <v>13</v>
      </c>
      <c r="R494" s="17">
        <f t="shared" si="77"/>
        <v>131.95000000000002</v>
      </c>
      <c r="S494" s="236"/>
      <c r="T494" s="236"/>
      <c r="U494" s="236"/>
      <c r="V494" s="242"/>
    </row>
    <row r="495" spans="2:22" ht="13">
      <c r="B495" s="270"/>
      <c r="C495" s="246"/>
      <c r="D495" s="44" t="s">
        <v>883</v>
      </c>
      <c r="E495" s="21"/>
      <c r="F495" s="21"/>
      <c r="G495" s="21">
        <v>98</v>
      </c>
      <c r="H495" s="238"/>
      <c r="I495" s="238"/>
      <c r="J495" s="238"/>
      <c r="K495" s="243"/>
      <c r="M495" s="270"/>
      <c r="N495" s="246"/>
      <c r="O495" s="44" t="s">
        <v>883</v>
      </c>
      <c r="P495" s="21"/>
      <c r="Q495" s="21"/>
      <c r="R495" s="21">
        <v>98</v>
      </c>
      <c r="S495" s="238"/>
      <c r="T495" s="238"/>
      <c r="U495" s="238"/>
      <c r="V495" s="243"/>
    </row>
    <row r="496" spans="2:22" ht="13">
      <c r="B496" s="270"/>
      <c r="C496" s="244" t="s">
        <v>886</v>
      </c>
      <c r="D496" s="15" t="s">
        <v>887</v>
      </c>
      <c r="E496" s="16">
        <v>3</v>
      </c>
      <c r="F496" s="16">
        <v>25</v>
      </c>
      <c r="G496" s="16">
        <f>E496*F496</f>
        <v>75</v>
      </c>
      <c r="H496" s="240">
        <f>SUM(G496:G497)</f>
        <v>131.93</v>
      </c>
      <c r="I496" s="240">
        <v>1610</v>
      </c>
      <c r="J496" s="240">
        <f>I496-H496</f>
        <v>1478.07</v>
      </c>
      <c r="K496" s="241">
        <f>J496/I496</f>
        <v>0.91805590062111797</v>
      </c>
      <c r="M496" s="270"/>
      <c r="N496" s="244" t="s">
        <v>886</v>
      </c>
      <c r="O496" s="15" t="s">
        <v>887</v>
      </c>
      <c r="P496" s="43"/>
      <c r="Q496" s="43"/>
      <c r="R496" s="43"/>
      <c r="S496" s="240">
        <f>SUM(R496:R497)</f>
        <v>56.93</v>
      </c>
      <c r="T496" s="240">
        <v>1610</v>
      </c>
      <c r="U496" s="240">
        <f>T496-S496</f>
        <v>1553.07</v>
      </c>
      <c r="V496" s="241">
        <f>U496/T496</f>
        <v>0.96463975155279502</v>
      </c>
    </row>
    <row r="497" spans="2:22" ht="13">
      <c r="B497" s="270"/>
      <c r="C497" s="246"/>
      <c r="D497" s="20" t="s">
        <v>94</v>
      </c>
      <c r="E497" s="21"/>
      <c r="F497" s="21"/>
      <c r="G497" s="21">
        <v>56.93</v>
      </c>
      <c r="H497" s="238"/>
      <c r="I497" s="238"/>
      <c r="J497" s="238"/>
      <c r="K497" s="243"/>
      <c r="M497" s="270"/>
      <c r="N497" s="246"/>
      <c r="O497" s="20" t="s">
        <v>94</v>
      </c>
      <c r="P497" s="21"/>
      <c r="Q497" s="21"/>
      <c r="R497" s="21">
        <v>56.93</v>
      </c>
      <c r="S497" s="238"/>
      <c r="T497" s="238"/>
      <c r="U497" s="238"/>
      <c r="V497" s="243"/>
    </row>
    <row r="498" spans="2:22" ht="13">
      <c r="B498" s="270"/>
      <c r="C498" s="244" t="s">
        <v>888</v>
      </c>
      <c r="D498" s="15" t="s">
        <v>526</v>
      </c>
      <c r="E498" s="16">
        <v>11.66</v>
      </c>
      <c r="F498" s="17">
        <v>13</v>
      </c>
      <c r="G498" s="17">
        <f t="shared" ref="G498:G502" si="78">E498*F498</f>
        <v>151.58000000000001</v>
      </c>
      <c r="H498" s="240">
        <f>SUM(G498:G503)</f>
        <v>937.53000000000009</v>
      </c>
      <c r="I498" s="240">
        <v>4200</v>
      </c>
      <c r="J498" s="240">
        <f>I498-H498</f>
        <v>3262.47</v>
      </c>
      <c r="K498" s="241">
        <f>J498/I498</f>
        <v>0.77677857142857143</v>
      </c>
      <c r="M498" s="270"/>
      <c r="N498" s="244" t="s">
        <v>888</v>
      </c>
      <c r="O498" s="15" t="s">
        <v>526</v>
      </c>
      <c r="P498" s="16">
        <v>11.66</v>
      </c>
      <c r="Q498" s="17">
        <v>13</v>
      </c>
      <c r="R498" s="17">
        <f t="shared" ref="R498:R499" si="79">P498*Q498</f>
        <v>151.58000000000001</v>
      </c>
      <c r="S498" s="240">
        <f>SUM(R498:R503)</f>
        <v>685.53</v>
      </c>
      <c r="T498" s="240">
        <v>4200</v>
      </c>
      <c r="U498" s="240">
        <f>T498-S498</f>
        <v>3514.4700000000003</v>
      </c>
      <c r="V498" s="241">
        <f>U498/T498</f>
        <v>0.83677857142857148</v>
      </c>
    </row>
    <row r="499" spans="2:22" ht="13">
      <c r="B499" s="270"/>
      <c r="C499" s="245"/>
      <c r="D499" s="19" t="s">
        <v>880</v>
      </c>
      <c r="E499" s="17">
        <v>8</v>
      </c>
      <c r="F499" s="17">
        <v>13</v>
      </c>
      <c r="G499" s="17">
        <f t="shared" si="78"/>
        <v>104</v>
      </c>
      <c r="H499" s="236"/>
      <c r="I499" s="236"/>
      <c r="J499" s="236"/>
      <c r="K499" s="242"/>
      <c r="M499" s="270"/>
      <c r="N499" s="245"/>
      <c r="O499" s="19" t="s">
        <v>880</v>
      </c>
      <c r="P499" s="17">
        <v>8</v>
      </c>
      <c r="Q499" s="17">
        <v>13</v>
      </c>
      <c r="R499" s="17">
        <f t="shared" si="79"/>
        <v>104</v>
      </c>
      <c r="S499" s="236"/>
      <c r="T499" s="236"/>
      <c r="U499" s="236"/>
      <c r="V499" s="242"/>
    </row>
    <row r="500" spans="2:22" ht="13">
      <c r="B500" s="270"/>
      <c r="C500" s="245"/>
      <c r="D500" s="19" t="s">
        <v>701</v>
      </c>
      <c r="E500" s="17">
        <v>14</v>
      </c>
      <c r="F500" s="17">
        <v>18</v>
      </c>
      <c r="G500" s="17">
        <f t="shared" si="78"/>
        <v>252</v>
      </c>
      <c r="H500" s="236"/>
      <c r="I500" s="236"/>
      <c r="J500" s="236"/>
      <c r="K500" s="242"/>
      <c r="M500" s="270"/>
      <c r="N500" s="245"/>
      <c r="O500" s="19" t="s">
        <v>701</v>
      </c>
      <c r="P500" s="18"/>
      <c r="Q500" s="18"/>
      <c r="R500" s="18"/>
      <c r="S500" s="236"/>
      <c r="T500" s="236"/>
      <c r="U500" s="236"/>
      <c r="V500" s="242"/>
    </row>
    <row r="501" spans="2:22" ht="13">
      <c r="B501" s="270"/>
      <c r="C501" s="245"/>
      <c r="D501" s="19" t="s">
        <v>874</v>
      </c>
      <c r="E501" s="17">
        <v>13.4</v>
      </c>
      <c r="F501" s="17">
        <v>13</v>
      </c>
      <c r="G501" s="17">
        <f t="shared" si="78"/>
        <v>174.20000000000002</v>
      </c>
      <c r="H501" s="236"/>
      <c r="I501" s="236"/>
      <c r="J501" s="236"/>
      <c r="K501" s="242"/>
      <c r="M501" s="270"/>
      <c r="N501" s="245"/>
      <c r="O501" s="19" t="s">
        <v>874</v>
      </c>
      <c r="P501" s="17">
        <v>13.4</v>
      </c>
      <c r="Q501" s="17">
        <v>13</v>
      </c>
      <c r="R501" s="17">
        <f t="shared" ref="R501:R502" si="80">P501*Q501</f>
        <v>174.20000000000002</v>
      </c>
      <c r="S501" s="236"/>
      <c r="T501" s="236"/>
      <c r="U501" s="236"/>
      <c r="V501" s="242"/>
    </row>
    <row r="502" spans="2:22" ht="13">
      <c r="B502" s="270"/>
      <c r="C502" s="245"/>
      <c r="D502" s="19" t="s">
        <v>882</v>
      </c>
      <c r="E502" s="17">
        <v>11.75</v>
      </c>
      <c r="F502" s="17">
        <v>13</v>
      </c>
      <c r="G502" s="17">
        <f t="shared" si="78"/>
        <v>152.75</v>
      </c>
      <c r="H502" s="236"/>
      <c r="I502" s="236"/>
      <c r="J502" s="236"/>
      <c r="K502" s="242"/>
      <c r="M502" s="270"/>
      <c r="N502" s="245"/>
      <c r="O502" s="19" t="s">
        <v>882</v>
      </c>
      <c r="P502" s="17">
        <v>11.75</v>
      </c>
      <c r="Q502" s="17">
        <v>13</v>
      </c>
      <c r="R502" s="17">
        <f t="shared" si="80"/>
        <v>152.75</v>
      </c>
      <c r="S502" s="236"/>
      <c r="T502" s="236"/>
      <c r="U502" s="236"/>
      <c r="V502" s="242"/>
    </row>
    <row r="503" spans="2:22" ht="13">
      <c r="B503" s="270"/>
      <c r="C503" s="246"/>
      <c r="D503" s="44" t="s">
        <v>826</v>
      </c>
      <c r="E503" s="21"/>
      <c r="F503" s="21"/>
      <c r="G503" s="21">
        <v>103</v>
      </c>
      <c r="H503" s="238"/>
      <c r="I503" s="238"/>
      <c r="J503" s="238"/>
      <c r="K503" s="243"/>
      <c r="M503" s="270"/>
      <c r="N503" s="246"/>
      <c r="O503" s="44" t="s">
        <v>826</v>
      </c>
      <c r="P503" s="21"/>
      <c r="Q503" s="21"/>
      <c r="R503" s="21">
        <v>103</v>
      </c>
      <c r="S503" s="238"/>
      <c r="T503" s="238"/>
      <c r="U503" s="238"/>
      <c r="V503" s="243"/>
    </row>
    <row r="504" spans="2:22" ht="13">
      <c r="B504" s="270"/>
      <c r="C504" s="244" t="s">
        <v>889</v>
      </c>
      <c r="D504" s="15" t="s">
        <v>114</v>
      </c>
      <c r="E504" s="16">
        <v>21</v>
      </c>
      <c r="F504" s="17">
        <v>18</v>
      </c>
      <c r="G504" s="17">
        <f t="shared" ref="G504:G513" si="81">E504*F504</f>
        <v>378</v>
      </c>
      <c r="H504" s="240">
        <f>SUM(G504:G512)</f>
        <v>1791.7500000000002</v>
      </c>
      <c r="I504" s="240">
        <v>8100</v>
      </c>
      <c r="J504" s="240">
        <f>I504-H504</f>
        <v>6308.25</v>
      </c>
      <c r="K504" s="241">
        <f>J504/I504</f>
        <v>0.77879629629629632</v>
      </c>
      <c r="M504" s="270"/>
      <c r="N504" s="244" t="s">
        <v>889</v>
      </c>
      <c r="O504" s="15" t="s">
        <v>114</v>
      </c>
      <c r="P504" s="43"/>
      <c r="Q504" s="18"/>
      <c r="R504" s="18"/>
      <c r="S504" s="240">
        <f>SUM(R504:R512)</f>
        <v>1413.7500000000002</v>
      </c>
      <c r="T504" s="240">
        <v>8100</v>
      </c>
      <c r="U504" s="240">
        <f>T504-S504</f>
        <v>6686.25</v>
      </c>
      <c r="V504" s="241">
        <f>U504/T504</f>
        <v>0.82546296296296295</v>
      </c>
    </row>
    <row r="505" spans="2:22" ht="13">
      <c r="B505" s="270"/>
      <c r="C505" s="245"/>
      <c r="D505" s="19" t="s">
        <v>771</v>
      </c>
      <c r="E505" s="17">
        <v>18.899999999999999</v>
      </c>
      <c r="F505" s="17">
        <v>13</v>
      </c>
      <c r="G505" s="17">
        <f t="shared" si="81"/>
        <v>245.7</v>
      </c>
      <c r="H505" s="236"/>
      <c r="I505" s="236"/>
      <c r="J505" s="236"/>
      <c r="K505" s="242"/>
      <c r="M505" s="270"/>
      <c r="N505" s="245"/>
      <c r="O505" s="19" t="s">
        <v>771</v>
      </c>
      <c r="P505" s="17">
        <v>18.899999999999999</v>
      </c>
      <c r="Q505" s="17">
        <v>13</v>
      </c>
      <c r="R505" s="17">
        <f t="shared" ref="R505:R512" si="82">P505*Q505</f>
        <v>245.7</v>
      </c>
      <c r="S505" s="236"/>
      <c r="T505" s="236"/>
      <c r="U505" s="236"/>
      <c r="V505" s="242"/>
    </row>
    <row r="506" spans="2:22" ht="13">
      <c r="B506" s="270"/>
      <c r="C506" s="245"/>
      <c r="D506" s="19" t="s">
        <v>78</v>
      </c>
      <c r="E506" s="17">
        <v>12.47</v>
      </c>
      <c r="F506" s="17">
        <v>13</v>
      </c>
      <c r="G506" s="17">
        <f t="shared" si="81"/>
        <v>162.11000000000001</v>
      </c>
      <c r="H506" s="236"/>
      <c r="I506" s="236"/>
      <c r="J506" s="236"/>
      <c r="K506" s="242"/>
      <c r="M506" s="270"/>
      <c r="N506" s="245"/>
      <c r="O506" s="19" t="s">
        <v>78</v>
      </c>
      <c r="P506" s="17">
        <v>12.47</v>
      </c>
      <c r="Q506" s="17">
        <v>13</v>
      </c>
      <c r="R506" s="17">
        <f t="shared" si="82"/>
        <v>162.11000000000001</v>
      </c>
      <c r="S506" s="236"/>
      <c r="T506" s="236"/>
      <c r="U506" s="236"/>
      <c r="V506" s="242"/>
    </row>
    <row r="507" spans="2:22" ht="13">
      <c r="B507" s="270"/>
      <c r="C507" s="245"/>
      <c r="D507" s="19" t="s">
        <v>516</v>
      </c>
      <c r="E507" s="17">
        <v>18.03</v>
      </c>
      <c r="F507" s="17">
        <v>13</v>
      </c>
      <c r="G507" s="17">
        <f t="shared" si="81"/>
        <v>234.39000000000001</v>
      </c>
      <c r="H507" s="236"/>
      <c r="I507" s="236"/>
      <c r="J507" s="236"/>
      <c r="K507" s="242"/>
      <c r="M507" s="270"/>
      <c r="N507" s="245"/>
      <c r="O507" s="19" t="s">
        <v>516</v>
      </c>
      <c r="P507" s="17">
        <v>18.03</v>
      </c>
      <c r="Q507" s="17">
        <v>13</v>
      </c>
      <c r="R507" s="17">
        <f t="shared" si="82"/>
        <v>234.39000000000001</v>
      </c>
      <c r="S507" s="236"/>
      <c r="T507" s="236"/>
      <c r="U507" s="236"/>
      <c r="V507" s="242"/>
    </row>
    <row r="508" spans="2:22" ht="13">
      <c r="B508" s="270"/>
      <c r="C508" s="245"/>
      <c r="D508" s="19" t="s">
        <v>754</v>
      </c>
      <c r="E508" s="17">
        <v>19.87</v>
      </c>
      <c r="F508" s="17">
        <v>13</v>
      </c>
      <c r="G508" s="17">
        <f t="shared" si="81"/>
        <v>258.31</v>
      </c>
      <c r="H508" s="236"/>
      <c r="I508" s="236"/>
      <c r="J508" s="236"/>
      <c r="K508" s="242"/>
      <c r="M508" s="270"/>
      <c r="N508" s="245"/>
      <c r="O508" s="19" t="s">
        <v>754</v>
      </c>
      <c r="P508" s="17">
        <v>19.87</v>
      </c>
      <c r="Q508" s="17">
        <v>13</v>
      </c>
      <c r="R508" s="17">
        <f t="shared" si="82"/>
        <v>258.31</v>
      </c>
      <c r="S508" s="236"/>
      <c r="T508" s="236"/>
      <c r="U508" s="236"/>
      <c r="V508" s="242"/>
    </row>
    <row r="509" spans="2:22" ht="13">
      <c r="B509" s="270"/>
      <c r="C509" s="245"/>
      <c r="D509" s="19" t="s">
        <v>875</v>
      </c>
      <c r="E509" s="17">
        <v>18.55</v>
      </c>
      <c r="F509" s="17">
        <v>13</v>
      </c>
      <c r="G509" s="17">
        <f t="shared" si="81"/>
        <v>241.15</v>
      </c>
      <c r="H509" s="236"/>
      <c r="I509" s="236"/>
      <c r="J509" s="236"/>
      <c r="K509" s="242"/>
      <c r="M509" s="270"/>
      <c r="N509" s="245"/>
      <c r="O509" s="19" t="s">
        <v>875</v>
      </c>
      <c r="P509" s="17">
        <v>18.55</v>
      </c>
      <c r="Q509" s="17">
        <v>13</v>
      </c>
      <c r="R509" s="17">
        <f t="shared" si="82"/>
        <v>241.15</v>
      </c>
      <c r="S509" s="236"/>
      <c r="T509" s="236"/>
      <c r="U509" s="236"/>
      <c r="V509" s="242"/>
    </row>
    <row r="510" spans="2:22" ht="13">
      <c r="B510" s="270"/>
      <c r="C510" s="245"/>
      <c r="D510" s="19" t="s">
        <v>70</v>
      </c>
      <c r="E510" s="17">
        <v>7.15</v>
      </c>
      <c r="F510" s="17">
        <v>13</v>
      </c>
      <c r="G510" s="17">
        <f t="shared" si="81"/>
        <v>92.95</v>
      </c>
      <c r="H510" s="236"/>
      <c r="I510" s="236"/>
      <c r="J510" s="236"/>
      <c r="K510" s="242"/>
      <c r="M510" s="270"/>
      <c r="N510" s="245"/>
      <c r="O510" s="19" t="s">
        <v>70</v>
      </c>
      <c r="P510" s="17">
        <v>7.15</v>
      </c>
      <c r="Q510" s="17">
        <v>13</v>
      </c>
      <c r="R510" s="17">
        <f t="shared" si="82"/>
        <v>92.95</v>
      </c>
      <c r="S510" s="236"/>
      <c r="T510" s="236"/>
      <c r="U510" s="236"/>
      <c r="V510" s="242"/>
    </row>
    <row r="511" spans="2:22" ht="13">
      <c r="B511" s="270"/>
      <c r="C511" s="245"/>
      <c r="D511" s="19" t="s">
        <v>744</v>
      </c>
      <c r="E511" s="17">
        <v>7.86</v>
      </c>
      <c r="F511" s="17">
        <v>13</v>
      </c>
      <c r="G511" s="17">
        <f t="shared" si="81"/>
        <v>102.18</v>
      </c>
      <c r="H511" s="236"/>
      <c r="I511" s="236"/>
      <c r="J511" s="236"/>
      <c r="K511" s="242"/>
      <c r="M511" s="270"/>
      <c r="N511" s="245"/>
      <c r="O511" s="19" t="s">
        <v>744</v>
      </c>
      <c r="P511" s="17">
        <v>7.86</v>
      </c>
      <c r="Q511" s="17">
        <v>13</v>
      </c>
      <c r="R511" s="17">
        <f t="shared" si="82"/>
        <v>102.18</v>
      </c>
      <c r="S511" s="236"/>
      <c r="T511" s="236"/>
      <c r="U511" s="236"/>
      <c r="V511" s="242"/>
    </row>
    <row r="512" spans="2:22" ht="13">
      <c r="B512" s="270"/>
      <c r="C512" s="246"/>
      <c r="D512" s="44" t="s">
        <v>874</v>
      </c>
      <c r="E512" s="21">
        <v>5.92</v>
      </c>
      <c r="F512" s="21">
        <v>13</v>
      </c>
      <c r="G512" s="21">
        <f t="shared" si="81"/>
        <v>76.959999999999994</v>
      </c>
      <c r="H512" s="238"/>
      <c r="I512" s="238"/>
      <c r="J512" s="238"/>
      <c r="K512" s="243"/>
      <c r="M512" s="270"/>
      <c r="N512" s="246"/>
      <c r="O512" s="44" t="s">
        <v>874</v>
      </c>
      <c r="P512" s="21">
        <v>5.92</v>
      </c>
      <c r="Q512" s="21">
        <v>13</v>
      </c>
      <c r="R512" s="21">
        <f t="shared" si="82"/>
        <v>76.959999999999994</v>
      </c>
      <c r="S512" s="238"/>
      <c r="T512" s="238"/>
      <c r="U512" s="238"/>
      <c r="V512" s="243"/>
    </row>
    <row r="513" spans="2:22" ht="13">
      <c r="B513" s="270"/>
      <c r="C513" s="244" t="s">
        <v>890</v>
      </c>
      <c r="D513" s="15" t="s">
        <v>701</v>
      </c>
      <c r="E513" s="16">
        <v>7</v>
      </c>
      <c r="F513" s="16">
        <v>18</v>
      </c>
      <c r="G513" s="16">
        <f t="shared" si="81"/>
        <v>126</v>
      </c>
      <c r="H513" s="240">
        <f>SUM(G513:G514)</f>
        <v>212.95</v>
      </c>
      <c r="I513" s="240">
        <v>1792.5</v>
      </c>
      <c r="J513" s="240">
        <f>I513-H513</f>
        <v>1579.55</v>
      </c>
      <c r="K513" s="241">
        <f>J513/I513</f>
        <v>0.88119944211994417</v>
      </c>
      <c r="M513" s="270"/>
      <c r="N513" s="244" t="s">
        <v>890</v>
      </c>
      <c r="O513" s="15" t="s">
        <v>701</v>
      </c>
      <c r="P513" s="43"/>
      <c r="Q513" s="43"/>
      <c r="R513" s="43"/>
      <c r="S513" s="240">
        <f>SUM(R513:R514)</f>
        <v>86.95</v>
      </c>
      <c r="T513" s="240">
        <v>1792.5</v>
      </c>
      <c r="U513" s="240">
        <f>T513-S513</f>
        <v>1705.55</v>
      </c>
      <c r="V513" s="241">
        <f>U513/T513</f>
        <v>0.95149232914923287</v>
      </c>
    </row>
    <row r="514" spans="2:22" ht="13">
      <c r="B514" s="270"/>
      <c r="C514" s="246"/>
      <c r="D514" s="20" t="s">
        <v>94</v>
      </c>
      <c r="E514" s="21"/>
      <c r="F514" s="21"/>
      <c r="G514" s="21">
        <v>86.95</v>
      </c>
      <c r="H514" s="238"/>
      <c r="I514" s="238"/>
      <c r="J514" s="238"/>
      <c r="K514" s="243"/>
      <c r="M514" s="270"/>
      <c r="N514" s="246"/>
      <c r="O514" s="20" t="s">
        <v>94</v>
      </c>
      <c r="P514" s="21"/>
      <c r="Q514" s="21"/>
      <c r="R514" s="21">
        <v>86.95</v>
      </c>
      <c r="S514" s="238"/>
      <c r="T514" s="238"/>
      <c r="U514" s="238"/>
      <c r="V514" s="243"/>
    </row>
    <row r="515" spans="2:22" ht="13">
      <c r="B515" s="270"/>
      <c r="C515" s="244" t="s">
        <v>891</v>
      </c>
      <c r="D515" s="15" t="s">
        <v>701</v>
      </c>
      <c r="E515" s="16">
        <v>7</v>
      </c>
      <c r="F515" s="16">
        <v>18</v>
      </c>
      <c r="G515" s="16">
        <f t="shared" ref="G515:G516" si="83">E515*F515</f>
        <v>126</v>
      </c>
      <c r="H515" s="240">
        <f>SUM(G515:G517)</f>
        <v>315</v>
      </c>
      <c r="I515" s="240">
        <v>784</v>
      </c>
      <c r="J515" s="240">
        <f>I515-H515</f>
        <v>469</v>
      </c>
      <c r="K515" s="241">
        <f>J515/I515</f>
        <v>0.5982142857142857</v>
      </c>
      <c r="M515" s="270"/>
      <c r="N515" s="244" t="s">
        <v>891</v>
      </c>
      <c r="O515" s="15" t="s">
        <v>701</v>
      </c>
      <c r="P515" s="43"/>
      <c r="Q515" s="43"/>
      <c r="R515" s="43"/>
      <c r="S515" s="240">
        <f>SUM(R515:R517)</f>
        <v>0</v>
      </c>
      <c r="T515" s="240">
        <v>784</v>
      </c>
      <c r="U515" s="240">
        <f>T515-S515</f>
        <v>784</v>
      </c>
      <c r="V515" s="241">
        <f>U515/T515</f>
        <v>1</v>
      </c>
    </row>
    <row r="516" spans="2:22" ht="13">
      <c r="B516" s="270"/>
      <c r="C516" s="245"/>
      <c r="D516" s="24" t="s">
        <v>114</v>
      </c>
      <c r="E516" s="17">
        <v>10.5</v>
      </c>
      <c r="F516" s="17">
        <v>18</v>
      </c>
      <c r="G516" s="17">
        <f t="shared" si="83"/>
        <v>189</v>
      </c>
      <c r="H516" s="236"/>
      <c r="I516" s="236"/>
      <c r="J516" s="236"/>
      <c r="K516" s="242"/>
      <c r="M516" s="270"/>
      <c r="N516" s="245"/>
      <c r="O516" s="24" t="s">
        <v>114</v>
      </c>
      <c r="P516" s="18"/>
      <c r="Q516" s="18"/>
      <c r="R516" s="18"/>
      <c r="S516" s="236"/>
      <c r="T516" s="236"/>
      <c r="U516" s="236"/>
      <c r="V516" s="242"/>
    </row>
    <row r="517" spans="2:22" ht="13">
      <c r="B517" s="270"/>
      <c r="C517" s="246"/>
      <c r="D517" s="20"/>
      <c r="E517" s="21"/>
      <c r="F517" s="21"/>
      <c r="G517" s="21"/>
      <c r="H517" s="238"/>
      <c r="I517" s="238"/>
      <c r="J517" s="238"/>
      <c r="K517" s="243"/>
      <c r="M517" s="270"/>
      <c r="N517" s="246"/>
      <c r="O517" s="20"/>
      <c r="P517" s="21"/>
      <c r="Q517" s="21"/>
      <c r="R517" s="21"/>
      <c r="S517" s="238"/>
      <c r="T517" s="238"/>
      <c r="U517" s="238"/>
      <c r="V517" s="243"/>
    </row>
    <row r="518" spans="2:22" ht="13">
      <c r="B518" s="270"/>
      <c r="C518" s="244" t="s">
        <v>892</v>
      </c>
      <c r="D518" s="64" t="s">
        <v>114</v>
      </c>
      <c r="E518" s="50">
        <v>1.28</v>
      </c>
      <c r="F518" s="50">
        <v>18</v>
      </c>
      <c r="G518" s="50">
        <f>E518*F518</f>
        <v>23.04</v>
      </c>
      <c r="H518" s="240">
        <f>SUM(G518:G519)</f>
        <v>23.04</v>
      </c>
      <c r="I518" s="240">
        <v>201.6</v>
      </c>
      <c r="J518" s="240">
        <f>I518-H518</f>
        <v>178.56</v>
      </c>
      <c r="K518" s="241">
        <f>J518/I518</f>
        <v>0.88571428571428579</v>
      </c>
      <c r="M518" s="270"/>
      <c r="N518" s="244" t="s">
        <v>892</v>
      </c>
      <c r="O518" s="64" t="s">
        <v>114</v>
      </c>
      <c r="P518" s="118"/>
      <c r="Q518" s="118"/>
      <c r="R518" s="118"/>
      <c r="S518" s="240">
        <f>SUM(R518:R519)</f>
        <v>0</v>
      </c>
      <c r="T518" s="240">
        <v>201.6</v>
      </c>
      <c r="U518" s="240">
        <f>T518-S518</f>
        <v>201.6</v>
      </c>
      <c r="V518" s="241">
        <f>U518/T518</f>
        <v>1</v>
      </c>
    </row>
    <row r="519" spans="2:22" ht="13">
      <c r="B519" s="270"/>
      <c r="C519" s="246"/>
      <c r="D519" s="78"/>
      <c r="E519" s="78"/>
      <c r="F519" s="78"/>
      <c r="G519" s="78"/>
      <c r="H519" s="238"/>
      <c r="I519" s="238"/>
      <c r="J519" s="238"/>
      <c r="K519" s="243"/>
      <c r="M519" s="270"/>
      <c r="N519" s="246"/>
      <c r="O519" s="78"/>
      <c r="P519" s="78"/>
      <c r="Q519" s="78"/>
      <c r="R519" s="78"/>
      <c r="S519" s="238"/>
      <c r="T519" s="238"/>
      <c r="U519" s="238"/>
      <c r="V519" s="243"/>
    </row>
    <row r="520" spans="2:22" ht="13">
      <c r="B520" s="270"/>
      <c r="C520" s="244" t="s">
        <v>893</v>
      </c>
      <c r="D520" s="15" t="s">
        <v>114</v>
      </c>
      <c r="E520" s="16">
        <v>14</v>
      </c>
      <c r="F520" s="17">
        <v>18</v>
      </c>
      <c r="G520" s="17">
        <f t="shared" ref="G520:G532" si="84">E520*F520</f>
        <v>252</v>
      </c>
      <c r="H520" s="240">
        <f>SUM(G520:G528)</f>
        <v>1383.1599999999999</v>
      </c>
      <c r="I520" s="240">
        <v>4560</v>
      </c>
      <c r="J520" s="240">
        <f>I520-H520</f>
        <v>3176.84</v>
      </c>
      <c r="K520" s="241">
        <f>J520/I520</f>
        <v>0.69667543859649128</v>
      </c>
      <c r="M520" s="270"/>
      <c r="N520" s="244" t="s">
        <v>893</v>
      </c>
      <c r="O520" s="15" t="s">
        <v>114</v>
      </c>
      <c r="P520" s="43"/>
      <c r="Q520" s="18"/>
      <c r="R520" s="18"/>
      <c r="S520" s="240">
        <f>SUM(R520:R528)</f>
        <v>1003.2099999999999</v>
      </c>
      <c r="T520" s="240">
        <v>4560</v>
      </c>
      <c r="U520" s="240">
        <f>T520-S520</f>
        <v>3556.79</v>
      </c>
      <c r="V520" s="241">
        <f>U520/T520</f>
        <v>0.77999780701754384</v>
      </c>
    </row>
    <row r="521" spans="2:22" ht="13">
      <c r="B521" s="270"/>
      <c r="C521" s="245"/>
      <c r="D521" s="19" t="s">
        <v>701</v>
      </c>
      <c r="E521" s="17">
        <v>7</v>
      </c>
      <c r="F521" s="17">
        <v>18</v>
      </c>
      <c r="G521" s="17">
        <f t="shared" si="84"/>
        <v>126</v>
      </c>
      <c r="H521" s="236"/>
      <c r="I521" s="236"/>
      <c r="J521" s="236"/>
      <c r="K521" s="242"/>
      <c r="M521" s="270"/>
      <c r="N521" s="245"/>
      <c r="O521" s="19" t="s">
        <v>701</v>
      </c>
      <c r="P521" s="18"/>
      <c r="Q521" s="18"/>
      <c r="R521" s="18"/>
      <c r="S521" s="236"/>
      <c r="T521" s="236"/>
      <c r="U521" s="236"/>
      <c r="V521" s="242"/>
    </row>
    <row r="522" spans="2:22" ht="13">
      <c r="B522" s="270"/>
      <c r="C522" s="245"/>
      <c r="D522" s="19" t="s">
        <v>771</v>
      </c>
      <c r="E522" s="17">
        <v>12.1</v>
      </c>
      <c r="F522" s="17">
        <v>13</v>
      </c>
      <c r="G522" s="17">
        <f t="shared" si="84"/>
        <v>157.29999999999998</v>
      </c>
      <c r="H522" s="236"/>
      <c r="I522" s="236"/>
      <c r="J522" s="236"/>
      <c r="K522" s="242"/>
      <c r="M522" s="270"/>
      <c r="N522" s="245"/>
      <c r="O522" s="19" t="s">
        <v>771</v>
      </c>
      <c r="P522" s="17">
        <v>11.95</v>
      </c>
      <c r="Q522" s="17">
        <v>13</v>
      </c>
      <c r="R522" s="17">
        <f t="shared" ref="R522:R532" si="85">P522*Q522</f>
        <v>155.35</v>
      </c>
      <c r="S522" s="236"/>
      <c r="T522" s="236"/>
      <c r="U522" s="236"/>
      <c r="V522" s="242"/>
    </row>
    <row r="523" spans="2:22" ht="13">
      <c r="B523" s="270"/>
      <c r="C523" s="245"/>
      <c r="D523" s="19" t="s">
        <v>782</v>
      </c>
      <c r="E523" s="17">
        <v>13.12</v>
      </c>
      <c r="F523" s="17">
        <v>13</v>
      </c>
      <c r="G523" s="17">
        <f t="shared" si="84"/>
        <v>170.56</v>
      </c>
      <c r="H523" s="236"/>
      <c r="I523" s="236"/>
      <c r="J523" s="236"/>
      <c r="K523" s="242"/>
      <c r="M523" s="270"/>
      <c r="N523" s="245"/>
      <c r="O523" s="19" t="s">
        <v>782</v>
      </c>
      <c r="P523" s="17">
        <v>13.12</v>
      </c>
      <c r="Q523" s="17">
        <v>13</v>
      </c>
      <c r="R523" s="17">
        <f t="shared" si="85"/>
        <v>170.56</v>
      </c>
      <c r="S523" s="236"/>
      <c r="T523" s="236"/>
      <c r="U523" s="236"/>
      <c r="V523" s="242"/>
    </row>
    <row r="524" spans="2:22" ht="13">
      <c r="B524" s="270"/>
      <c r="C524" s="245"/>
      <c r="D524" s="19" t="s">
        <v>106</v>
      </c>
      <c r="E524" s="17">
        <v>8.5500000000000007</v>
      </c>
      <c r="F524" s="17">
        <v>13</v>
      </c>
      <c r="G524" s="17">
        <f t="shared" si="84"/>
        <v>111.15</v>
      </c>
      <c r="H524" s="236"/>
      <c r="I524" s="236"/>
      <c r="J524" s="236"/>
      <c r="K524" s="242"/>
      <c r="M524" s="270"/>
      <c r="N524" s="245"/>
      <c r="O524" s="19" t="s">
        <v>106</v>
      </c>
      <c r="P524" s="17">
        <v>8.5500000000000007</v>
      </c>
      <c r="Q524" s="17">
        <v>13</v>
      </c>
      <c r="R524" s="17">
        <f t="shared" si="85"/>
        <v>111.15</v>
      </c>
      <c r="S524" s="236"/>
      <c r="T524" s="236"/>
      <c r="U524" s="236"/>
      <c r="V524" s="242"/>
    </row>
    <row r="525" spans="2:22" ht="13">
      <c r="B525" s="270"/>
      <c r="C525" s="245"/>
      <c r="D525" s="24" t="s">
        <v>894</v>
      </c>
      <c r="E525" s="17">
        <v>13</v>
      </c>
      <c r="F525" s="17">
        <v>13</v>
      </c>
      <c r="G525" s="17">
        <f t="shared" si="84"/>
        <v>169</v>
      </c>
      <c r="H525" s="236"/>
      <c r="I525" s="236"/>
      <c r="J525" s="236"/>
      <c r="K525" s="242"/>
      <c r="M525" s="270"/>
      <c r="N525" s="245"/>
      <c r="O525" s="24" t="s">
        <v>894</v>
      </c>
      <c r="P525" s="17">
        <v>13</v>
      </c>
      <c r="Q525" s="17">
        <v>13</v>
      </c>
      <c r="R525" s="17">
        <f t="shared" si="85"/>
        <v>169</v>
      </c>
      <c r="S525" s="236"/>
      <c r="T525" s="236"/>
      <c r="U525" s="236"/>
      <c r="V525" s="242"/>
    </row>
    <row r="526" spans="2:22" ht="13">
      <c r="B526" s="270"/>
      <c r="C526" s="245"/>
      <c r="D526" s="19" t="s">
        <v>178</v>
      </c>
      <c r="E526" s="17">
        <v>10.050000000000001</v>
      </c>
      <c r="F526" s="17">
        <v>13</v>
      </c>
      <c r="G526" s="17">
        <f t="shared" si="84"/>
        <v>130.65</v>
      </c>
      <c r="H526" s="236"/>
      <c r="I526" s="236"/>
      <c r="J526" s="236"/>
      <c r="K526" s="242"/>
      <c r="M526" s="270"/>
      <c r="N526" s="245"/>
      <c r="O526" s="19" t="s">
        <v>178</v>
      </c>
      <c r="P526" s="17">
        <v>10.050000000000001</v>
      </c>
      <c r="Q526" s="17">
        <v>13</v>
      </c>
      <c r="R526" s="17">
        <f t="shared" si="85"/>
        <v>130.65</v>
      </c>
      <c r="S526" s="236"/>
      <c r="T526" s="236"/>
      <c r="U526" s="236"/>
      <c r="V526" s="242"/>
    </row>
    <row r="527" spans="2:22" ht="13">
      <c r="B527" s="270"/>
      <c r="C527" s="245"/>
      <c r="D527" s="19" t="s">
        <v>639</v>
      </c>
      <c r="E527" s="17">
        <v>13</v>
      </c>
      <c r="F527" s="17">
        <v>13</v>
      </c>
      <c r="G527" s="17">
        <f t="shared" si="84"/>
        <v>169</v>
      </c>
      <c r="H527" s="236"/>
      <c r="I527" s="236"/>
      <c r="J527" s="236"/>
      <c r="K527" s="242"/>
      <c r="M527" s="270"/>
      <c r="N527" s="245"/>
      <c r="O527" s="19" t="s">
        <v>639</v>
      </c>
      <c r="P527" s="17">
        <v>13</v>
      </c>
      <c r="Q527" s="17">
        <v>13</v>
      </c>
      <c r="R527" s="17">
        <f t="shared" si="85"/>
        <v>169</v>
      </c>
      <c r="S527" s="236"/>
      <c r="T527" s="236"/>
      <c r="U527" s="236"/>
      <c r="V527" s="242"/>
    </row>
    <row r="528" spans="2:22" ht="13">
      <c r="B528" s="270"/>
      <c r="C528" s="246"/>
      <c r="D528" s="44" t="s">
        <v>895</v>
      </c>
      <c r="E528" s="21">
        <v>7.5</v>
      </c>
      <c r="F528" s="21">
        <v>13</v>
      </c>
      <c r="G528" s="21">
        <f t="shared" si="84"/>
        <v>97.5</v>
      </c>
      <c r="H528" s="238"/>
      <c r="I528" s="238"/>
      <c r="J528" s="238"/>
      <c r="K528" s="243"/>
      <c r="M528" s="270"/>
      <c r="N528" s="246"/>
      <c r="O528" s="44" t="s">
        <v>895</v>
      </c>
      <c r="P528" s="21">
        <v>7.5</v>
      </c>
      <c r="Q528" s="21">
        <v>13</v>
      </c>
      <c r="R528" s="21">
        <f t="shared" si="85"/>
        <v>97.5</v>
      </c>
      <c r="S528" s="238"/>
      <c r="T528" s="238"/>
      <c r="U528" s="238"/>
      <c r="V528" s="243"/>
    </row>
    <row r="529" spans="2:22" ht="13">
      <c r="B529" s="270"/>
      <c r="C529" s="244" t="s">
        <v>896</v>
      </c>
      <c r="D529" s="15" t="s">
        <v>474</v>
      </c>
      <c r="E529" s="16">
        <v>7.51</v>
      </c>
      <c r="F529" s="17">
        <v>13</v>
      </c>
      <c r="G529" s="17">
        <f t="shared" si="84"/>
        <v>97.63</v>
      </c>
      <c r="H529" s="240">
        <f>SUM(G529:G533)</f>
        <v>476.38</v>
      </c>
      <c r="I529" s="240">
        <v>1350</v>
      </c>
      <c r="J529" s="240">
        <f>I529-H529</f>
        <v>873.62</v>
      </c>
      <c r="K529" s="241">
        <f>J529/I529</f>
        <v>0.64712592592592588</v>
      </c>
      <c r="M529" s="270"/>
      <c r="N529" s="244" t="s">
        <v>896</v>
      </c>
      <c r="O529" s="15" t="s">
        <v>474</v>
      </c>
      <c r="P529" s="16">
        <v>7.51</v>
      </c>
      <c r="Q529" s="17">
        <v>13</v>
      </c>
      <c r="R529" s="17">
        <f t="shared" si="85"/>
        <v>97.63</v>
      </c>
      <c r="S529" s="240">
        <f>SUM(R529:R533)</f>
        <v>476.38</v>
      </c>
      <c r="T529" s="240">
        <v>1350</v>
      </c>
      <c r="U529" s="240">
        <f>T529-S529</f>
        <v>873.62</v>
      </c>
      <c r="V529" s="241">
        <f>U529/T529</f>
        <v>0.64712592592592588</v>
      </c>
    </row>
    <row r="530" spans="2:22" ht="13">
      <c r="B530" s="270"/>
      <c r="C530" s="245"/>
      <c r="D530" s="19" t="s">
        <v>70</v>
      </c>
      <c r="E530" s="17">
        <v>4.92</v>
      </c>
      <c r="F530" s="17">
        <v>13</v>
      </c>
      <c r="G530" s="17">
        <f t="shared" si="84"/>
        <v>63.96</v>
      </c>
      <c r="H530" s="236"/>
      <c r="I530" s="236"/>
      <c r="J530" s="236"/>
      <c r="K530" s="242"/>
      <c r="M530" s="270"/>
      <c r="N530" s="245"/>
      <c r="O530" s="19" t="s">
        <v>70</v>
      </c>
      <c r="P530" s="17">
        <v>4.92</v>
      </c>
      <c r="Q530" s="17">
        <v>13</v>
      </c>
      <c r="R530" s="17">
        <f t="shared" si="85"/>
        <v>63.96</v>
      </c>
      <c r="S530" s="236"/>
      <c r="T530" s="236"/>
      <c r="U530" s="236"/>
      <c r="V530" s="242"/>
    </row>
    <row r="531" spans="2:22" ht="13">
      <c r="B531" s="270"/>
      <c r="C531" s="245"/>
      <c r="D531" s="19" t="s">
        <v>870</v>
      </c>
      <c r="E531" s="17">
        <v>6.75</v>
      </c>
      <c r="F531" s="17">
        <v>13</v>
      </c>
      <c r="G531" s="17">
        <f t="shared" si="84"/>
        <v>87.75</v>
      </c>
      <c r="H531" s="236"/>
      <c r="I531" s="236"/>
      <c r="J531" s="236"/>
      <c r="K531" s="242"/>
      <c r="M531" s="270"/>
      <c r="N531" s="245"/>
      <c r="O531" s="19" t="s">
        <v>870</v>
      </c>
      <c r="P531" s="17">
        <v>6.75</v>
      </c>
      <c r="Q531" s="17">
        <v>13</v>
      </c>
      <c r="R531" s="17">
        <f t="shared" si="85"/>
        <v>87.75</v>
      </c>
      <c r="S531" s="236"/>
      <c r="T531" s="236"/>
      <c r="U531" s="236"/>
      <c r="V531" s="242"/>
    </row>
    <row r="532" spans="2:22" ht="13">
      <c r="B532" s="270"/>
      <c r="C532" s="245"/>
      <c r="D532" s="19" t="s">
        <v>62</v>
      </c>
      <c r="E532" s="17">
        <v>8.9499999999999993</v>
      </c>
      <c r="F532" s="17">
        <v>13</v>
      </c>
      <c r="G532" s="17">
        <f t="shared" si="84"/>
        <v>116.35</v>
      </c>
      <c r="H532" s="236"/>
      <c r="I532" s="236"/>
      <c r="J532" s="236"/>
      <c r="K532" s="242"/>
      <c r="M532" s="270"/>
      <c r="N532" s="245"/>
      <c r="O532" s="19" t="s">
        <v>62</v>
      </c>
      <c r="P532" s="17">
        <v>8.9499999999999993</v>
      </c>
      <c r="Q532" s="17">
        <v>13</v>
      </c>
      <c r="R532" s="17">
        <f t="shared" si="85"/>
        <v>116.35</v>
      </c>
      <c r="S532" s="236"/>
      <c r="T532" s="236"/>
      <c r="U532" s="236"/>
      <c r="V532" s="242"/>
    </row>
    <row r="533" spans="2:22" ht="13">
      <c r="B533" s="270"/>
      <c r="C533" s="246"/>
      <c r="D533" s="44" t="s">
        <v>33</v>
      </c>
      <c r="E533" s="21"/>
      <c r="F533" s="21"/>
      <c r="G533" s="21">
        <v>110.69</v>
      </c>
      <c r="H533" s="238"/>
      <c r="I533" s="238"/>
      <c r="J533" s="238"/>
      <c r="K533" s="243"/>
      <c r="M533" s="270"/>
      <c r="N533" s="246"/>
      <c r="O533" s="44" t="s">
        <v>33</v>
      </c>
      <c r="P533" s="21"/>
      <c r="Q533" s="21"/>
      <c r="R533" s="21">
        <v>110.69</v>
      </c>
      <c r="S533" s="238"/>
      <c r="T533" s="238"/>
      <c r="U533" s="238"/>
      <c r="V533" s="243"/>
    </row>
    <row r="534" spans="2:22" ht="13">
      <c r="B534" s="270"/>
      <c r="C534" s="244" t="s">
        <v>897</v>
      </c>
      <c r="D534" s="15" t="s">
        <v>898</v>
      </c>
      <c r="E534" s="16"/>
      <c r="F534" s="17"/>
      <c r="G534" s="17">
        <v>31</v>
      </c>
      <c r="H534" s="240">
        <f>SUM(G534:G544)</f>
        <v>2603.3000000000002</v>
      </c>
      <c r="I534" s="240">
        <v>9000</v>
      </c>
      <c r="J534" s="240">
        <f>I534-H534</f>
        <v>6396.7</v>
      </c>
      <c r="K534" s="241">
        <f>J534/I534</f>
        <v>0.7107444444444444</v>
      </c>
      <c r="M534" s="270"/>
      <c r="N534" s="244" t="s">
        <v>897</v>
      </c>
      <c r="O534" s="15" t="s">
        <v>898</v>
      </c>
      <c r="P534" s="16"/>
      <c r="Q534" s="17"/>
      <c r="R534" s="17">
        <v>31</v>
      </c>
      <c r="S534" s="240">
        <f>SUM(R534:R544)</f>
        <v>2445.8000000000002</v>
      </c>
      <c r="T534" s="240">
        <v>9000</v>
      </c>
      <c r="U534" s="240">
        <f>T534-S534</f>
        <v>6554.2</v>
      </c>
      <c r="V534" s="241">
        <f>U534/T534</f>
        <v>0.72824444444444447</v>
      </c>
    </row>
    <row r="535" spans="2:22" ht="13">
      <c r="B535" s="270"/>
      <c r="C535" s="245"/>
      <c r="D535" s="19" t="s">
        <v>899</v>
      </c>
      <c r="E535" s="17">
        <v>10</v>
      </c>
      <c r="F535" s="17">
        <v>22.5</v>
      </c>
      <c r="G535" s="17">
        <f>E535*F535</f>
        <v>225</v>
      </c>
      <c r="H535" s="236"/>
      <c r="I535" s="236"/>
      <c r="J535" s="236"/>
      <c r="K535" s="242"/>
      <c r="M535" s="270"/>
      <c r="N535" s="245"/>
      <c r="O535" s="19" t="s">
        <v>899</v>
      </c>
      <c r="P535" s="17">
        <v>10</v>
      </c>
      <c r="Q535" s="17">
        <v>22.5</v>
      </c>
      <c r="R535" s="17">
        <f>P535*Q535</f>
        <v>225</v>
      </c>
      <c r="S535" s="236"/>
      <c r="T535" s="236"/>
      <c r="U535" s="236"/>
      <c r="V535" s="242"/>
    </row>
    <row r="536" spans="2:22" ht="13">
      <c r="B536" s="270"/>
      <c r="C536" s="245"/>
      <c r="D536" s="19" t="s">
        <v>900</v>
      </c>
      <c r="E536" s="17"/>
      <c r="F536" s="17"/>
      <c r="G536" s="17">
        <v>81</v>
      </c>
      <c r="H536" s="236"/>
      <c r="I536" s="236"/>
      <c r="J536" s="236"/>
      <c r="K536" s="242"/>
      <c r="M536" s="270"/>
      <c r="N536" s="245"/>
      <c r="O536" s="19" t="s">
        <v>900</v>
      </c>
      <c r="P536" s="17"/>
      <c r="Q536" s="17"/>
      <c r="R536" s="17">
        <v>81</v>
      </c>
      <c r="S536" s="236"/>
      <c r="T536" s="236"/>
      <c r="U536" s="236"/>
      <c r="V536" s="242"/>
    </row>
    <row r="537" spans="2:22" ht="13">
      <c r="B537" s="270"/>
      <c r="C537" s="245"/>
      <c r="D537" s="19" t="s">
        <v>901</v>
      </c>
      <c r="E537" s="17"/>
      <c r="F537" s="17"/>
      <c r="G537" s="17">
        <v>400</v>
      </c>
      <c r="H537" s="236"/>
      <c r="I537" s="236"/>
      <c r="J537" s="236"/>
      <c r="K537" s="242"/>
      <c r="M537" s="270"/>
      <c r="N537" s="245"/>
      <c r="O537" s="19" t="s">
        <v>901</v>
      </c>
      <c r="P537" s="17"/>
      <c r="Q537" s="17"/>
      <c r="R537" s="17">
        <v>400</v>
      </c>
      <c r="S537" s="236"/>
      <c r="T537" s="236"/>
      <c r="U537" s="236"/>
      <c r="V537" s="242"/>
    </row>
    <row r="538" spans="2:22" ht="13">
      <c r="B538" s="270"/>
      <c r="C538" s="245"/>
      <c r="D538" s="19" t="s">
        <v>902</v>
      </c>
      <c r="E538" s="17"/>
      <c r="F538" s="17"/>
      <c r="G538" s="17">
        <v>180</v>
      </c>
      <c r="H538" s="236"/>
      <c r="I538" s="236"/>
      <c r="J538" s="236"/>
      <c r="K538" s="242"/>
      <c r="M538" s="270"/>
      <c r="N538" s="245"/>
      <c r="O538" s="19" t="s">
        <v>902</v>
      </c>
      <c r="P538" s="17"/>
      <c r="Q538" s="17"/>
      <c r="R538" s="17">
        <v>180</v>
      </c>
      <c r="S538" s="236"/>
      <c r="T538" s="236"/>
      <c r="U538" s="236"/>
      <c r="V538" s="242"/>
    </row>
    <row r="539" spans="2:22" ht="13">
      <c r="B539" s="270"/>
      <c r="C539" s="245"/>
      <c r="D539" s="24" t="s">
        <v>87</v>
      </c>
      <c r="E539" s="17">
        <v>7</v>
      </c>
      <c r="F539" s="17">
        <v>22.5</v>
      </c>
      <c r="G539" s="17">
        <f>E539*F539</f>
        <v>157.5</v>
      </c>
      <c r="H539" s="236"/>
      <c r="I539" s="236"/>
      <c r="J539" s="236"/>
      <c r="K539" s="242"/>
      <c r="M539" s="270"/>
      <c r="N539" s="245"/>
      <c r="O539" s="24" t="s">
        <v>87</v>
      </c>
      <c r="P539" s="18"/>
      <c r="Q539" s="18"/>
      <c r="R539" s="18"/>
      <c r="S539" s="236"/>
      <c r="T539" s="236"/>
      <c r="U539" s="236"/>
      <c r="V539" s="242"/>
    </row>
    <row r="540" spans="2:22" ht="13">
      <c r="B540" s="270"/>
      <c r="C540" s="245"/>
      <c r="D540" s="19" t="s">
        <v>903</v>
      </c>
      <c r="E540" s="17"/>
      <c r="F540" s="17"/>
      <c r="G540" s="17">
        <v>13</v>
      </c>
      <c r="H540" s="236"/>
      <c r="I540" s="236"/>
      <c r="J540" s="236"/>
      <c r="K540" s="242"/>
      <c r="M540" s="270"/>
      <c r="N540" s="245"/>
      <c r="O540" s="19" t="s">
        <v>903</v>
      </c>
      <c r="P540" s="17"/>
      <c r="Q540" s="17"/>
      <c r="R540" s="17">
        <v>13</v>
      </c>
      <c r="S540" s="236"/>
      <c r="T540" s="236"/>
      <c r="U540" s="236"/>
      <c r="V540" s="242"/>
    </row>
    <row r="541" spans="2:22" ht="13">
      <c r="B541" s="270"/>
      <c r="C541" s="245"/>
      <c r="D541" s="19" t="s">
        <v>904</v>
      </c>
      <c r="E541" s="17"/>
      <c r="F541" s="17"/>
      <c r="G541" s="17">
        <v>100</v>
      </c>
      <c r="H541" s="236"/>
      <c r="I541" s="236"/>
      <c r="J541" s="236"/>
      <c r="K541" s="242"/>
      <c r="M541" s="270"/>
      <c r="N541" s="245"/>
      <c r="O541" s="19" t="s">
        <v>904</v>
      </c>
      <c r="P541" s="17"/>
      <c r="Q541" s="17"/>
      <c r="R541" s="17">
        <v>100</v>
      </c>
      <c r="S541" s="236"/>
      <c r="T541" s="236"/>
      <c r="U541" s="236"/>
      <c r="V541" s="242"/>
    </row>
    <row r="542" spans="2:22" ht="13">
      <c r="B542" s="270"/>
      <c r="C542" s="245"/>
      <c r="D542" s="24" t="s">
        <v>905</v>
      </c>
      <c r="E542" s="17"/>
      <c r="F542" s="17"/>
      <c r="G542" s="17">
        <v>106</v>
      </c>
      <c r="H542" s="236"/>
      <c r="I542" s="236"/>
      <c r="J542" s="236"/>
      <c r="K542" s="242"/>
      <c r="M542" s="270"/>
      <c r="N542" s="245"/>
      <c r="O542" s="24" t="s">
        <v>905</v>
      </c>
      <c r="P542" s="17"/>
      <c r="Q542" s="17"/>
      <c r="R542" s="17">
        <v>106</v>
      </c>
      <c r="S542" s="236"/>
      <c r="T542" s="236"/>
      <c r="U542" s="236"/>
      <c r="V542" s="242"/>
    </row>
    <row r="543" spans="2:22" ht="13">
      <c r="B543" s="270"/>
      <c r="C543" s="245"/>
      <c r="D543" s="24" t="s">
        <v>906</v>
      </c>
      <c r="E543" s="17"/>
      <c r="F543" s="17"/>
      <c r="G543" s="17">
        <v>30</v>
      </c>
      <c r="H543" s="236"/>
      <c r="I543" s="236"/>
      <c r="J543" s="236"/>
      <c r="K543" s="242"/>
      <c r="M543" s="270"/>
      <c r="N543" s="245"/>
      <c r="O543" s="24" t="s">
        <v>906</v>
      </c>
      <c r="P543" s="17"/>
      <c r="Q543" s="17"/>
      <c r="R543" s="17">
        <v>30</v>
      </c>
      <c r="S543" s="236"/>
      <c r="T543" s="236"/>
      <c r="U543" s="236"/>
      <c r="V543" s="242"/>
    </row>
    <row r="544" spans="2:22" ht="13">
      <c r="B544" s="270"/>
      <c r="C544" s="246"/>
      <c r="D544" s="44" t="s">
        <v>33</v>
      </c>
      <c r="E544" s="21"/>
      <c r="F544" s="21"/>
      <c r="G544" s="21">
        <v>1279.8</v>
      </c>
      <c r="H544" s="238"/>
      <c r="I544" s="238"/>
      <c r="J544" s="238"/>
      <c r="K544" s="243"/>
      <c r="M544" s="270"/>
      <c r="N544" s="246"/>
      <c r="O544" s="44" t="s">
        <v>33</v>
      </c>
      <c r="P544" s="21"/>
      <c r="Q544" s="21"/>
      <c r="R544" s="21">
        <v>1279.8</v>
      </c>
      <c r="S544" s="238"/>
      <c r="T544" s="238"/>
      <c r="U544" s="238"/>
      <c r="V544" s="243"/>
    </row>
    <row r="545" spans="2:22" ht="13">
      <c r="B545" s="270"/>
      <c r="C545" s="244" t="s">
        <v>907</v>
      </c>
      <c r="D545" s="15" t="s">
        <v>114</v>
      </c>
      <c r="E545" s="16">
        <v>21</v>
      </c>
      <c r="F545" s="17">
        <v>18</v>
      </c>
      <c r="G545" s="17">
        <f t="shared" ref="G545:G547" si="86">E545*F545</f>
        <v>378</v>
      </c>
      <c r="H545" s="240">
        <f>SUM(G545:G553)</f>
        <v>2684.87</v>
      </c>
      <c r="I545" s="240">
        <v>7441.4</v>
      </c>
      <c r="J545" s="240">
        <f>I545-H545</f>
        <v>4756.53</v>
      </c>
      <c r="K545" s="241">
        <f>J545/I545</f>
        <v>0.63919826914290323</v>
      </c>
      <c r="M545" s="270"/>
      <c r="N545" s="244" t="s">
        <v>907</v>
      </c>
      <c r="O545" s="15" t="s">
        <v>114</v>
      </c>
      <c r="P545" s="43"/>
      <c r="Q545" s="18"/>
      <c r="R545" s="18"/>
      <c r="S545" s="240">
        <f>SUM(R545:R553)</f>
        <v>2306.87</v>
      </c>
      <c r="T545" s="240">
        <v>7441.4</v>
      </c>
      <c r="U545" s="240">
        <f>T545-S545</f>
        <v>5134.53</v>
      </c>
      <c r="V545" s="241">
        <f>U545/T545</f>
        <v>0.68999516220066115</v>
      </c>
    </row>
    <row r="546" spans="2:22" ht="13">
      <c r="B546" s="270"/>
      <c r="C546" s="245"/>
      <c r="D546" s="19" t="s">
        <v>474</v>
      </c>
      <c r="E546" s="17">
        <v>27.31</v>
      </c>
      <c r="F546" s="17">
        <v>15</v>
      </c>
      <c r="G546" s="17">
        <f t="shared" si="86"/>
        <v>409.65</v>
      </c>
      <c r="H546" s="236"/>
      <c r="I546" s="236"/>
      <c r="J546" s="236"/>
      <c r="K546" s="242"/>
      <c r="M546" s="270"/>
      <c r="N546" s="245"/>
      <c r="O546" s="19" t="s">
        <v>474</v>
      </c>
      <c r="P546" s="17">
        <v>27.31</v>
      </c>
      <c r="Q546" s="17">
        <v>15</v>
      </c>
      <c r="R546" s="17">
        <f t="shared" ref="R546:R547" si="87">P546*Q546</f>
        <v>409.65</v>
      </c>
      <c r="S546" s="236"/>
      <c r="T546" s="236"/>
      <c r="U546" s="236"/>
      <c r="V546" s="242"/>
    </row>
    <row r="547" spans="2:22" ht="13">
      <c r="B547" s="270"/>
      <c r="C547" s="245"/>
      <c r="D547" s="19" t="s">
        <v>782</v>
      </c>
      <c r="E547" s="17">
        <v>25.45</v>
      </c>
      <c r="F547" s="17">
        <v>15</v>
      </c>
      <c r="G547" s="17">
        <f t="shared" si="86"/>
        <v>381.75</v>
      </c>
      <c r="H547" s="236"/>
      <c r="I547" s="236"/>
      <c r="J547" s="236"/>
      <c r="K547" s="242"/>
      <c r="M547" s="270"/>
      <c r="N547" s="245"/>
      <c r="O547" s="19" t="s">
        <v>782</v>
      </c>
      <c r="P547" s="17">
        <v>25.45</v>
      </c>
      <c r="Q547" s="17">
        <v>15</v>
      </c>
      <c r="R547" s="17">
        <f t="shared" si="87"/>
        <v>381.75</v>
      </c>
      <c r="S547" s="236"/>
      <c r="T547" s="236"/>
      <c r="U547" s="236"/>
      <c r="V547" s="242"/>
    </row>
    <row r="548" spans="2:22" ht="13">
      <c r="B548" s="270"/>
      <c r="C548" s="245"/>
      <c r="D548" s="19" t="s">
        <v>449</v>
      </c>
      <c r="E548" s="17"/>
      <c r="F548" s="17"/>
      <c r="G548" s="17">
        <v>712.5</v>
      </c>
      <c r="H548" s="236"/>
      <c r="I548" s="236"/>
      <c r="J548" s="236"/>
      <c r="K548" s="242"/>
      <c r="M548" s="270"/>
      <c r="N548" s="245"/>
      <c r="O548" s="19" t="s">
        <v>449</v>
      </c>
      <c r="P548" s="17"/>
      <c r="Q548" s="17"/>
      <c r="R548" s="17">
        <v>712.5</v>
      </c>
      <c r="S548" s="236"/>
      <c r="T548" s="236"/>
      <c r="U548" s="236"/>
      <c r="V548" s="242"/>
    </row>
    <row r="549" spans="2:22" ht="13">
      <c r="B549" s="270"/>
      <c r="C549" s="245"/>
      <c r="D549" s="19" t="s">
        <v>908</v>
      </c>
      <c r="E549" s="17"/>
      <c r="F549" s="17"/>
      <c r="G549" s="17">
        <v>347.2</v>
      </c>
      <c r="H549" s="236"/>
      <c r="I549" s="236"/>
      <c r="J549" s="236"/>
      <c r="K549" s="242"/>
      <c r="M549" s="270"/>
      <c r="N549" s="245"/>
      <c r="O549" s="19" t="s">
        <v>908</v>
      </c>
      <c r="P549" s="17"/>
      <c r="Q549" s="17"/>
      <c r="R549" s="17">
        <v>347.2</v>
      </c>
      <c r="S549" s="236"/>
      <c r="T549" s="236"/>
      <c r="U549" s="236"/>
      <c r="V549" s="242"/>
    </row>
    <row r="550" spans="2:22" ht="13">
      <c r="B550" s="270"/>
      <c r="C550" s="245"/>
      <c r="D550" s="24" t="s">
        <v>47</v>
      </c>
      <c r="E550" s="17"/>
      <c r="F550" s="17"/>
      <c r="G550" s="17">
        <v>169.31</v>
      </c>
      <c r="H550" s="236"/>
      <c r="I550" s="236"/>
      <c r="J550" s="236"/>
      <c r="K550" s="242"/>
      <c r="M550" s="270"/>
      <c r="N550" s="245"/>
      <c r="O550" s="24" t="s">
        <v>47</v>
      </c>
      <c r="P550" s="17"/>
      <c r="Q550" s="17"/>
      <c r="R550" s="17">
        <v>169.31</v>
      </c>
      <c r="S550" s="236"/>
      <c r="T550" s="236"/>
      <c r="U550" s="236"/>
      <c r="V550" s="242"/>
    </row>
    <row r="551" spans="2:22" ht="13">
      <c r="B551" s="270"/>
      <c r="C551" s="245"/>
      <c r="D551" s="19" t="s">
        <v>699</v>
      </c>
      <c r="E551" s="17"/>
      <c r="F551" s="17"/>
      <c r="G551" s="17">
        <v>150</v>
      </c>
      <c r="H551" s="236"/>
      <c r="I551" s="236"/>
      <c r="J551" s="236"/>
      <c r="K551" s="242"/>
      <c r="M551" s="270"/>
      <c r="N551" s="245"/>
      <c r="O551" s="19" t="s">
        <v>699</v>
      </c>
      <c r="P551" s="17"/>
      <c r="Q551" s="17"/>
      <c r="R551" s="17">
        <v>150</v>
      </c>
      <c r="S551" s="236"/>
      <c r="T551" s="236"/>
      <c r="U551" s="236"/>
      <c r="V551" s="242"/>
    </row>
    <row r="552" spans="2:22" ht="13">
      <c r="B552" s="270"/>
      <c r="C552" s="245"/>
      <c r="D552" s="19" t="s">
        <v>259</v>
      </c>
      <c r="E552" s="17"/>
      <c r="F552" s="17"/>
      <c r="G552" s="17">
        <v>136.46</v>
      </c>
      <c r="H552" s="236"/>
      <c r="I552" s="236"/>
      <c r="J552" s="236"/>
      <c r="K552" s="242"/>
      <c r="M552" s="270"/>
      <c r="N552" s="245"/>
      <c r="O552" s="19" t="s">
        <v>259</v>
      </c>
      <c r="P552" s="17"/>
      <c r="Q552" s="17"/>
      <c r="R552" s="17">
        <v>136.46</v>
      </c>
      <c r="S552" s="236"/>
      <c r="T552" s="236"/>
      <c r="U552" s="236"/>
      <c r="V552" s="242"/>
    </row>
    <row r="553" spans="2:22" ht="13">
      <c r="B553" s="270"/>
      <c r="C553" s="246"/>
      <c r="D553" s="44"/>
      <c r="E553" s="21"/>
      <c r="F553" s="21"/>
      <c r="G553" s="21"/>
      <c r="H553" s="238"/>
      <c r="I553" s="238"/>
      <c r="J553" s="238"/>
      <c r="K553" s="243"/>
      <c r="M553" s="270"/>
      <c r="N553" s="246"/>
      <c r="O553" s="44"/>
      <c r="P553" s="21"/>
      <c r="Q553" s="21"/>
      <c r="R553" s="21"/>
      <c r="S553" s="238"/>
      <c r="T553" s="238"/>
      <c r="U553" s="238"/>
      <c r="V553" s="243"/>
    </row>
    <row r="554" spans="2:22" ht="13">
      <c r="B554" s="270"/>
      <c r="C554" s="244" t="s">
        <v>909</v>
      </c>
      <c r="D554" s="15" t="s">
        <v>701</v>
      </c>
      <c r="E554" s="16">
        <v>7</v>
      </c>
      <c r="F554" s="17">
        <v>18</v>
      </c>
      <c r="G554" s="17">
        <f t="shared" ref="G554:G561" si="88">E554*F554</f>
        <v>126</v>
      </c>
      <c r="H554" s="240">
        <f>SUM(G554:G562)</f>
        <v>748.18000000000006</v>
      </c>
      <c r="I554" s="240">
        <v>2240</v>
      </c>
      <c r="J554" s="240">
        <f>I554-H554</f>
        <v>1491.82</v>
      </c>
      <c r="K554" s="241">
        <f>J554/I554</f>
        <v>0.66599107142857139</v>
      </c>
      <c r="M554" s="270"/>
      <c r="N554" s="244" t="s">
        <v>909</v>
      </c>
      <c r="O554" s="15" t="s">
        <v>701</v>
      </c>
      <c r="P554" s="43"/>
      <c r="Q554" s="18"/>
      <c r="R554" s="18"/>
      <c r="S554" s="240">
        <f>SUM(R554:R562)</f>
        <v>622.18000000000006</v>
      </c>
      <c r="T554" s="240">
        <v>2240</v>
      </c>
      <c r="U554" s="240">
        <f>T554-S554</f>
        <v>1617.82</v>
      </c>
      <c r="V554" s="241">
        <f>U554/T554</f>
        <v>0.72224107142857141</v>
      </c>
    </row>
    <row r="555" spans="2:22" ht="13">
      <c r="B555" s="270"/>
      <c r="C555" s="245"/>
      <c r="D555" s="19" t="s">
        <v>910</v>
      </c>
      <c r="E555" s="17">
        <v>7.6</v>
      </c>
      <c r="F555" s="17">
        <v>13</v>
      </c>
      <c r="G555" s="17">
        <f t="shared" si="88"/>
        <v>98.8</v>
      </c>
      <c r="H555" s="236"/>
      <c r="I555" s="236"/>
      <c r="J555" s="236"/>
      <c r="K555" s="242"/>
      <c r="M555" s="270"/>
      <c r="N555" s="245"/>
      <c r="O555" s="19" t="s">
        <v>910</v>
      </c>
      <c r="P555" s="17">
        <v>7.6</v>
      </c>
      <c r="Q555" s="17">
        <v>13</v>
      </c>
      <c r="R555" s="17">
        <f t="shared" ref="R555:R561" si="89">P555*Q555</f>
        <v>98.8</v>
      </c>
      <c r="S555" s="236"/>
      <c r="T555" s="236"/>
      <c r="U555" s="236"/>
      <c r="V555" s="242"/>
    </row>
    <row r="556" spans="2:22" ht="13">
      <c r="B556" s="270"/>
      <c r="C556" s="245"/>
      <c r="D556" s="19" t="s">
        <v>23</v>
      </c>
      <c r="E556" s="17">
        <v>7.03</v>
      </c>
      <c r="F556" s="17">
        <v>13</v>
      </c>
      <c r="G556" s="17">
        <f t="shared" si="88"/>
        <v>91.39</v>
      </c>
      <c r="H556" s="236"/>
      <c r="I556" s="236"/>
      <c r="J556" s="236"/>
      <c r="K556" s="242"/>
      <c r="M556" s="270"/>
      <c r="N556" s="245"/>
      <c r="O556" s="19" t="s">
        <v>23</v>
      </c>
      <c r="P556" s="17">
        <v>7.03</v>
      </c>
      <c r="Q556" s="17">
        <v>13</v>
      </c>
      <c r="R556" s="17">
        <f t="shared" si="89"/>
        <v>91.39</v>
      </c>
      <c r="S556" s="236"/>
      <c r="T556" s="236"/>
      <c r="U556" s="236"/>
      <c r="V556" s="242"/>
    </row>
    <row r="557" spans="2:22" ht="13">
      <c r="B557" s="270"/>
      <c r="C557" s="245"/>
      <c r="D557" s="19" t="s">
        <v>106</v>
      </c>
      <c r="E557" s="17">
        <v>3.07</v>
      </c>
      <c r="F557" s="17">
        <v>13</v>
      </c>
      <c r="G557" s="17">
        <f t="shared" si="88"/>
        <v>39.909999999999997</v>
      </c>
      <c r="H557" s="236"/>
      <c r="I557" s="236"/>
      <c r="J557" s="236"/>
      <c r="K557" s="242"/>
      <c r="M557" s="270"/>
      <c r="N557" s="245"/>
      <c r="O557" s="19" t="s">
        <v>106</v>
      </c>
      <c r="P557" s="17">
        <v>3.07</v>
      </c>
      <c r="Q557" s="17">
        <v>13</v>
      </c>
      <c r="R557" s="17">
        <f t="shared" si="89"/>
        <v>39.909999999999997</v>
      </c>
      <c r="S557" s="236"/>
      <c r="T557" s="236"/>
      <c r="U557" s="236"/>
      <c r="V557" s="242"/>
    </row>
    <row r="558" spans="2:22" ht="13">
      <c r="B558" s="270"/>
      <c r="C558" s="245"/>
      <c r="D558" s="19" t="s">
        <v>78</v>
      </c>
      <c r="E558" s="17">
        <v>6.7</v>
      </c>
      <c r="F558" s="17">
        <v>13</v>
      </c>
      <c r="G558" s="17">
        <f t="shared" si="88"/>
        <v>87.100000000000009</v>
      </c>
      <c r="H558" s="236"/>
      <c r="I558" s="236"/>
      <c r="J558" s="236"/>
      <c r="K558" s="242"/>
      <c r="M558" s="270"/>
      <c r="N558" s="245"/>
      <c r="O558" s="19" t="s">
        <v>78</v>
      </c>
      <c r="P558" s="17">
        <v>6.7</v>
      </c>
      <c r="Q558" s="17">
        <v>13</v>
      </c>
      <c r="R558" s="17">
        <f t="shared" si="89"/>
        <v>87.100000000000009</v>
      </c>
      <c r="S558" s="236"/>
      <c r="T558" s="236"/>
      <c r="U558" s="236"/>
      <c r="V558" s="242"/>
    </row>
    <row r="559" spans="2:22" ht="13">
      <c r="B559" s="270"/>
      <c r="C559" s="245"/>
      <c r="D559" s="24" t="s">
        <v>779</v>
      </c>
      <c r="E559" s="17">
        <v>5.7</v>
      </c>
      <c r="F559" s="17">
        <v>13</v>
      </c>
      <c r="G559" s="17">
        <f t="shared" si="88"/>
        <v>74.100000000000009</v>
      </c>
      <c r="H559" s="236"/>
      <c r="I559" s="236"/>
      <c r="J559" s="236"/>
      <c r="K559" s="242"/>
      <c r="M559" s="270"/>
      <c r="N559" s="245"/>
      <c r="O559" s="24" t="s">
        <v>779</v>
      </c>
      <c r="P559" s="17">
        <v>5.7</v>
      </c>
      <c r="Q559" s="17">
        <v>13</v>
      </c>
      <c r="R559" s="17">
        <f t="shared" si="89"/>
        <v>74.100000000000009</v>
      </c>
      <c r="S559" s="236"/>
      <c r="T559" s="236"/>
      <c r="U559" s="236"/>
      <c r="V559" s="242"/>
    </row>
    <row r="560" spans="2:22" ht="13">
      <c r="B560" s="270"/>
      <c r="C560" s="245"/>
      <c r="D560" s="19" t="s">
        <v>911</v>
      </c>
      <c r="E560" s="17">
        <v>5.63</v>
      </c>
      <c r="F560" s="17">
        <v>13</v>
      </c>
      <c r="G560" s="17">
        <f t="shared" si="88"/>
        <v>73.19</v>
      </c>
      <c r="H560" s="236"/>
      <c r="I560" s="236"/>
      <c r="J560" s="236"/>
      <c r="K560" s="242"/>
      <c r="M560" s="270"/>
      <c r="N560" s="245"/>
      <c r="O560" s="19" t="s">
        <v>911</v>
      </c>
      <c r="P560" s="17">
        <v>5.63</v>
      </c>
      <c r="Q560" s="17">
        <v>13</v>
      </c>
      <c r="R560" s="17">
        <f t="shared" si="89"/>
        <v>73.19</v>
      </c>
      <c r="S560" s="236"/>
      <c r="T560" s="236"/>
      <c r="U560" s="236"/>
      <c r="V560" s="242"/>
    </row>
    <row r="561" spans="2:22" ht="13">
      <c r="B561" s="270"/>
      <c r="C561" s="245"/>
      <c r="D561" s="19" t="s">
        <v>62</v>
      </c>
      <c r="E561" s="17">
        <v>12.13</v>
      </c>
      <c r="F561" s="17">
        <v>13</v>
      </c>
      <c r="G561" s="17">
        <f t="shared" si="88"/>
        <v>157.69</v>
      </c>
      <c r="H561" s="236"/>
      <c r="I561" s="236"/>
      <c r="J561" s="236"/>
      <c r="K561" s="242"/>
      <c r="M561" s="270"/>
      <c r="N561" s="245"/>
      <c r="O561" s="19" t="s">
        <v>62</v>
      </c>
      <c r="P561" s="17">
        <v>12.13</v>
      </c>
      <c r="Q561" s="17">
        <v>13</v>
      </c>
      <c r="R561" s="17">
        <f t="shared" si="89"/>
        <v>157.69</v>
      </c>
      <c r="S561" s="236"/>
      <c r="T561" s="236"/>
      <c r="U561" s="236"/>
      <c r="V561" s="242"/>
    </row>
    <row r="562" spans="2:22" ht="13">
      <c r="B562" s="270"/>
      <c r="C562" s="246"/>
      <c r="D562" s="44"/>
      <c r="E562" s="21"/>
      <c r="F562" s="21"/>
      <c r="G562" s="21"/>
      <c r="H562" s="238"/>
      <c r="I562" s="238"/>
      <c r="J562" s="238"/>
      <c r="K562" s="243"/>
      <c r="M562" s="270"/>
      <c r="N562" s="246"/>
      <c r="O562" s="44"/>
      <c r="P562" s="21"/>
      <c r="Q562" s="21"/>
      <c r="R562" s="21"/>
      <c r="S562" s="238"/>
      <c r="T562" s="238"/>
      <c r="U562" s="238"/>
      <c r="V562" s="243"/>
    </row>
    <row r="563" spans="2:22" ht="13">
      <c r="B563" s="270"/>
      <c r="C563" s="244" t="s">
        <v>867</v>
      </c>
      <c r="D563" s="19" t="s">
        <v>701</v>
      </c>
      <c r="E563" s="17">
        <v>3.5</v>
      </c>
      <c r="F563" s="17">
        <v>18</v>
      </c>
      <c r="G563" s="17">
        <f>E563*F563</f>
        <v>63</v>
      </c>
      <c r="H563" s="240">
        <f>SUM(G563,G564)</f>
        <v>156.49</v>
      </c>
      <c r="I563" s="284">
        <v>1584.8</v>
      </c>
      <c r="J563" s="284">
        <f>I563-H563</f>
        <v>1428.31</v>
      </c>
      <c r="K563" s="294">
        <f>J563/I563</f>
        <v>0.90125567895002523</v>
      </c>
      <c r="M563" s="270"/>
      <c r="N563" s="244" t="s">
        <v>867</v>
      </c>
      <c r="O563" s="19" t="s">
        <v>701</v>
      </c>
      <c r="P563" s="18"/>
      <c r="Q563" s="18"/>
      <c r="R563" s="18"/>
      <c r="S563" s="240">
        <f>SUM(R563,R564)</f>
        <v>93.49</v>
      </c>
      <c r="T563" s="284">
        <v>1584.8</v>
      </c>
      <c r="U563" s="284">
        <f>T563-S563</f>
        <v>1491.31</v>
      </c>
      <c r="V563" s="294">
        <f>U563/T563</f>
        <v>0.94100832912670362</v>
      </c>
    </row>
    <row r="564" spans="2:22" ht="13">
      <c r="B564" s="270"/>
      <c r="C564" s="246"/>
      <c r="D564" s="20" t="s">
        <v>33</v>
      </c>
      <c r="E564" s="20"/>
      <c r="F564" s="20"/>
      <c r="G564" s="20">
        <v>93.49</v>
      </c>
      <c r="H564" s="238"/>
      <c r="I564" s="248"/>
      <c r="J564" s="248"/>
      <c r="K564" s="301"/>
      <c r="M564" s="270"/>
      <c r="N564" s="246"/>
      <c r="O564" s="20" t="s">
        <v>33</v>
      </c>
      <c r="P564" s="20"/>
      <c r="Q564" s="20"/>
      <c r="R564" s="20">
        <v>93.49</v>
      </c>
      <c r="S564" s="238"/>
      <c r="T564" s="248"/>
      <c r="U564" s="248"/>
      <c r="V564" s="301"/>
    </row>
    <row r="565" spans="2:22" ht="13">
      <c r="B565" s="270"/>
      <c r="C565" s="244" t="s">
        <v>912</v>
      </c>
      <c r="D565" s="15" t="s">
        <v>701</v>
      </c>
      <c r="E565" s="16">
        <v>21</v>
      </c>
      <c r="F565" s="17">
        <v>18</v>
      </c>
      <c r="G565" s="17">
        <f t="shared" ref="G565:G574" si="90">E565*F565</f>
        <v>378</v>
      </c>
      <c r="H565" s="240">
        <f>SUM(G565:G575)</f>
        <v>1838.68</v>
      </c>
      <c r="I565" s="240">
        <v>5600</v>
      </c>
      <c r="J565" s="240">
        <f>I565-H565</f>
        <v>3761.3199999999997</v>
      </c>
      <c r="K565" s="241">
        <f>J565/I565</f>
        <v>0.67166428571428571</v>
      </c>
      <c r="M565" s="270"/>
      <c r="N565" s="244" t="s">
        <v>912</v>
      </c>
      <c r="O565" s="15" t="s">
        <v>701</v>
      </c>
      <c r="P565" s="43"/>
      <c r="Q565" s="18"/>
      <c r="R565" s="18"/>
      <c r="S565" s="240">
        <f>SUM(R565:R575)</f>
        <v>1398.8</v>
      </c>
      <c r="T565" s="240">
        <v>5600</v>
      </c>
      <c r="U565" s="240">
        <f>T565-S565</f>
        <v>4201.2</v>
      </c>
      <c r="V565" s="241">
        <f>U565/T565</f>
        <v>0.75021428571428572</v>
      </c>
    </row>
    <row r="566" spans="2:22" ht="13">
      <c r="B566" s="270"/>
      <c r="C566" s="245"/>
      <c r="D566" s="19" t="s">
        <v>874</v>
      </c>
      <c r="E566" s="17">
        <v>17.48</v>
      </c>
      <c r="F566" s="17">
        <v>13</v>
      </c>
      <c r="G566" s="17">
        <f t="shared" si="90"/>
        <v>227.24</v>
      </c>
      <c r="H566" s="236"/>
      <c r="I566" s="236"/>
      <c r="J566" s="236"/>
      <c r="K566" s="242"/>
      <c r="M566" s="270"/>
      <c r="N566" s="245"/>
      <c r="O566" s="19" t="s">
        <v>874</v>
      </c>
      <c r="P566" s="17">
        <v>17.48</v>
      </c>
      <c r="Q566" s="17">
        <v>13</v>
      </c>
      <c r="R566" s="17">
        <f t="shared" ref="R566:R574" si="91">P566*Q566</f>
        <v>227.24</v>
      </c>
      <c r="S566" s="236"/>
      <c r="T566" s="236"/>
      <c r="U566" s="236"/>
      <c r="V566" s="242"/>
    </row>
    <row r="567" spans="2:22" ht="13">
      <c r="B567" s="270"/>
      <c r="C567" s="245"/>
      <c r="D567" s="19" t="s">
        <v>106</v>
      </c>
      <c r="E567" s="17">
        <v>10.88</v>
      </c>
      <c r="F567" s="17">
        <v>13</v>
      </c>
      <c r="G567" s="17">
        <f t="shared" si="90"/>
        <v>141.44</v>
      </c>
      <c r="H567" s="236"/>
      <c r="I567" s="236"/>
      <c r="J567" s="236"/>
      <c r="K567" s="242"/>
      <c r="M567" s="270"/>
      <c r="N567" s="245"/>
      <c r="O567" s="19" t="s">
        <v>106</v>
      </c>
      <c r="P567" s="17">
        <v>10.88</v>
      </c>
      <c r="Q567" s="17">
        <v>13</v>
      </c>
      <c r="R567" s="17">
        <f t="shared" si="91"/>
        <v>141.44</v>
      </c>
      <c r="S567" s="236"/>
      <c r="T567" s="236"/>
      <c r="U567" s="236"/>
      <c r="V567" s="242"/>
    </row>
    <row r="568" spans="2:22" ht="13">
      <c r="B568" s="270"/>
      <c r="C568" s="245"/>
      <c r="D568" s="19" t="s">
        <v>913</v>
      </c>
      <c r="E568" s="17">
        <v>9.93</v>
      </c>
      <c r="F568" s="17">
        <v>13</v>
      </c>
      <c r="G568" s="17">
        <f t="shared" si="90"/>
        <v>129.09</v>
      </c>
      <c r="H568" s="236"/>
      <c r="I568" s="236"/>
      <c r="J568" s="236"/>
      <c r="K568" s="242"/>
      <c r="M568" s="270"/>
      <c r="N568" s="245"/>
      <c r="O568" s="19" t="s">
        <v>913</v>
      </c>
      <c r="P568" s="17">
        <v>9.93</v>
      </c>
      <c r="Q568" s="17">
        <v>13</v>
      </c>
      <c r="R568" s="17">
        <f t="shared" si="91"/>
        <v>129.09</v>
      </c>
      <c r="S568" s="236"/>
      <c r="T568" s="236"/>
      <c r="U568" s="236"/>
      <c r="V568" s="242"/>
    </row>
    <row r="569" spans="2:22" ht="13">
      <c r="B569" s="270"/>
      <c r="C569" s="245"/>
      <c r="D569" s="19" t="s">
        <v>178</v>
      </c>
      <c r="E569" s="17">
        <v>22.76</v>
      </c>
      <c r="F569" s="17">
        <v>13</v>
      </c>
      <c r="G569" s="17">
        <f t="shared" si="90"/>
        <v>295.88</v>
      </c>
      <c r="H569" s="236"/>
      <c r="I569" s="236"/>
      <c r="J569" s="236"/>
      <c r="K569" s="242"/>
      <c r="M569" s="270"/>
      <c r="N569" s="245"/>
      <c r="O569" s="19" t="s">
        <v>178</v>
      </c>
      <c r="P569" s="17">
        <v>18</v>
      </c>
      <c r="Q569" s="17">
        <v>13</v>
      </c>
      <c r="R569" s="17">
        <f t="shared" si="91"/>
        <v>234</v>
      </c>
      <c r="S569" s="236"/>
      <c r="T569" s="236"/>
      <c r="U569" s="236"/>
      <c r="V569" s="242"/>
    </row>
    <row r="570" spans="2:22" ht="13">
      <c r="B570" s="270"/>
      <c r="C570" s="245"/>
      <c r="D570" s="24" t="s">
        <v>914</v>
      </c>
      <c r="E570" s="17">
        <v>14.73</v>
      </c>
      <c r="F570" s="17">
        <v>13</v>
      </c>
      <c r="G570" s="17">
        <f t="shared" si="90"/>
        <v>191.49</v>
      </c>
      <c r="H570" s="236"/>
      <c r="I570" s="236"/>
      <c r="J570" s="236"/>
      <c r="K570" s="242"/>
      <c r="M570" s="270"/>
      <c r="N570" s="245"/>
      <c r="O570" s="24" t="s">
        <v>914</v>
      </c>
      <c r="P570" s="17">
        <v>14.73</v>
      </c>
      <c r="Q570" s="17">
        <v>13</v>
      </c>
      <c r="R570" s="17">
        <f t="shared" si="91"/>
        <v>191.49</v>
      </c>
      <c r="S570" s="236"/>
      <c r="T570" s="236"/>
      <c r="U570" s="236"/>
      <c r="V570" s="242"/>
    </row>
    <row r="571" spans="2:22" ht="13">
      <c r="B571" s="270"/>
      <c r="C571" s="245"/>
      <c r="D571" s="24" t="s">
        <v>78</v>
      </c>
      <c r="E571" s="17">
        <v>14.83</v>
      </c>
      <c r="F571" s="17">
        <v>13</v>
      </c>
      <c r="G571" s="17">
        <f t="shared" si="90"/>
        <v>192.79</v>
      </c>
      <c r="H571" s="236"/>
      <c r="I571" s="236"/>
      <c r="J571" s="236"/>
      <c r="K571" s="242"/>
      <c r="M571" s="270"/>
      <c r="N571" s="245"/>
      <c r="O571" s="24" t="s">
        <v>78</v>
      </c>
      <c r="P571" s="17">
        <v>14.83</v>
      </c>
      <c r="Q571" s="17">
        <v>13</v>
      </c>
      <c r="R571" s="17">
        <f t="shared" si="91"/>
        <v>192.79</v>
      </c>
      <c r="S571" s="236"/>
      <c r="T571" s="236"/>
      <c r="U571" s="236"/>
      <c r="V571" s="242"/>
    </row>
    <row r="572" spans="2:22" ht="13">
      <c r="B572" s="270"/>
      <c r="C572" s="245"/>
      <c r="D572" s="24" t="s">
        <v>23</v>
      </c>
      <c r="E572" s="17">
        <v>5.32</v>
      </c>
      <c r="F572" s="17">
        <v>13</v>
      </c>
      <c r="G572" s="17">
        <f t="shared" si="90"/>
        <v>69.16</v>
      </c>
      <c r="H572" s="236"/>
      <c r="I572" s="236"/>
      <c r="J572" s="236"/>
      <c r="K572" s="242"/>
      <c r="M572" s="270"/>
      <c r="N572" s="245"/>
      <c r="O572" s="24" t="s">
        <v>23</v>
      </c>
      <c r="P572" s="17">
        <v>5.32</v>
      </c>
      <c r="Q572" s="17">
        <v>13</v>
      </c>
      <c r="R572" s="17">
        <f t="shared" si="91"/>
        <v>69.16</v>
      </c>
      <c r="S572" s="236"/>
      <c r="T572" s="236"/>
      <c r="U572" s="236"/>
      <c r="V572" s="242"/>
    </row>
    <row r="573" spans="2:22" ht="13">
      <c r="B573" s="270"/>
      <c r="C573" s="245"/>
      <c r="D573" s="19" t="s">
        <v>70</v>
      </c>
      <c r="E573" s="17">
        <v>4.5</v>
      </c>
      <c r="F573" s="17">
        <v>13</v>
      </c>
      <c r="G573" s="17">
        <f t="shared" si="90"/>
        <v>58.5</v>
      </c>
      <c r="H573" s="236"/>
      <c r="I573" s="236"/>
      <c r="J573" s="236"/>
      <c r="K573" s="242"/>
      <c r="M573" s="270"/>
      <c r="N573" s="245"/>
      <c r="O573" s="19" t="s">
        <v>70</v>
      </c>
      <c r="P573" s="17">
        <v>4.5</v>
      </c>
      <c r="Q573" s="17">
        <v>13</v>
      </c>
      <c r="R573" s="17">
        <f t="shared" si="91"/>
        <v>58.5</v>
      </c>
      <c r="S573" s="236"/>
      <c r="T573" s="236"/>
      <c r="U573" s="236"/>
      <c r="V573" s="242"/>
    </row>
    <row r="574" spans="2:22" ht="13">
      <c r="B574" s="270"/>
      <c r="C574" s="245"/>
      <c r="D574" s="19" t="s">
        <v>50</v>
      </c>
      <c r="E574" s="17">
        <v>11.93</v>
      </c>
      <c r="F574" s="17">
        <v>13</v>
      </c>
      <c r="G574" s="17">
        <f t="shared" si="90"/>
        <v>155.09</v>
      </c>
      <c r="H574" s="236"/>
      <c r="I574" s="236"/>
      <c r="J574" s="236"/>
      <c r="K574" s="242"/>
      <c r="M574" s="270"/>
      <c r="N574" s="245"/>
      <c r="O574" s="19" t="s">
        <v>50</v>
      </c>
      <c r="P574" s="17">
        <v>11.93</v>
      </c>
      <c r="Q574" s="17">
        <v>13</v>
      </c>
      <c r="R574" s="17">
        <f t="shared" si="91"/>
        <v>155.09</v>
      </c>
      <c r="S574" s="236"/>
      <c r="T574" s="236"/>
      <c r="U574" s="236"/>
      <c r="V574" s="242"/>
    </row>
    <row r="575" spans="2:22" ht="13">
      <c r="B575" s="270"/>
      <c r="C575" s="246"/>
      <c r="D575" s="44"/>
      <c r="E575" s="21"/>
      <c r="F575" s="21"/>
      <c r="G575" s="21"/>
      <c r="H575" s="238"/>
      <c r="I575" s="238"/>
      <c r="J575" s="238"/>
      <c r="K575" s="243"/>
      <c r="M575" s="270"/>
      <c r="N575" s="246"/>
      <c r="O575" s="44"/>
      <c r="P575" s="21"/>
      <c r="Q575" s="21"/>
      <c r="R575" s="21"/>
      <c r="S575" s="238"/>
      <c r="T575" s="238"/>
      <c r="U575" s="238"/>
      <c r="V575" s="243"/>
    </row>
    <row r="576" spans="2:22" ht="13">
      <c r="B576" s="270"/>
      <c r="C576" s="244" t="s">
        <v>915</v>
      </c>
      <c r="D576" s="19" t="s">
        <v>114</v>
      </c>
      <c r="E576" s="17">
        <v>7</v>
      </c>
      <c r="F576" s="17">
        <v>18</v>
      </c>
      <c r="G576" s="17">
        <f>E576*F576</f>
        <v>126</v>
      </c>
      <c r="H576" s="240">
        <f>SUM(G576,G577)</f>
        <v>221.74</v>
      </c>
      <c r="I576" s="284">
        <v>2421.61</v>
      </c>
      <c r="J576" s="284">
        <f>I576-H576</f>
        <v>2199.87</v>
      </c>
      <c r="K576" s="294">
        <f>J576/I576</f>
        <v>0.90843281948786125</v>
      </c>
      <c r="M576" s="270"/>
      <c r="N576" s="244" t="s">
        <v>915</v>
      </c>
      <c r="O576" s="19" t="s">
        <v>114</v>
      </c>
      <c r="P576" s="18"/>
      <c r="Q576" s="18"/>
      <c r="R576" s="18"/>
      <c r="S576" s="240">
        <f>SUM(R576,R577)</f>
        <v>95.74</v>
      </c>
      <c r="T576" s="284">
        <v>2421.61</v>
      </c>
      <c r="U576" s="284">
        <f>T576-S576</f>
        <v>2325.8700000000003</v>
      </c>
      <c r="V576" s="294">
        <f>U576/T576</f>
        <v>0.96046431919260333</v>
      </c>
    </row>
    <row r="577" spans="2:22" ht="13">
      <c r="B577" s="270"/>
      <c r="C577" s="246"/>
      <c r="D577" s="20" t="s">
        <v>699</v>
      </c>
      <c r="E577" s="20"/>
      <c r="F577" s="20"/>
      <c r="G577" s="20">
        <v>95.74</v>
      </c>
      <c r="H577" s="238"/>
      <c r="I577" s="248"/>
      <c r="J577" s="248"/>
      <c r="K577" s="301"/>
      <c r="M577" s="270"/>
      <c r="N577" s="246"/>
      <c r="O577" s="20" t="s">
        <v>699</v>
      </c>
      <c r="P577" s="20"/>
      <c r="Q577" s="20"/>
      <c r="R577" s="20">
        <v>95.74</v>
      </c>
      <c r="S577" s="238"/>
      <c r="T577" s="248"/>
      <c r="U577" s="248"/>
      <c r="V577" s="301"/>
    </row>
    <row r="578" spans="2:22" ht="13">
      <c r="B578" s="270"/>
      <c r="C578" s="244" t="s">
        <v>916</v>
      </c>
      <c r="D578" s="15" t="s">
        <v>701</v>
      </c>
      <c r="E578" s="16">
        <v>7</v>
      </c>
      <c r="F578" s="17">
        <v>18</v>
      </c>
      <c r="G578" s="17">
        <f t="shared" ref="G578:G584" si="92">E578*F578</f>
        <v>126</v>
      </c>
      <c r="H578" s="240">
        <f>SUM(G578:G585)</f>
        <v>430.06999999999994</v>
      </c>
      <c r="I578" s="240">
        <v>1904</v>
      </c>
      <c r="J578" s="240">
        <f>I578-H578</f>
        <v>1473.93</v>
      </c>
      <c r="K578" s="241">
        <f>J578/I578</f>
        <v>0.77412289915966392</v>
      </c>
      <c r="M578" s="270"/>
      <c r="N578" s="244" t="s">
        <v>916</v>
      </c>
      <c r="O578" s="15" t="s">
        <v>701</v>
      </c>
      <c r="P578" s="43"/>
      <c r="Q578" s="18"/>
      <c r="R578" s="18"/>
      <c r="S578" s="240">
        <f>SUM(R578:R585)</f>
        <v>304.07000000000005</v>
      </c>
      <c r="T578" s="240">
        <v>1904</v>
      </c>
      <c r="U578" s="240">
        <f>T578-S578</f>
        <v>1599.9299999999998</v>
      </c>
      <c r="V578" s="241">
        <f>U578/T578</f>
        <v>0.84029936974789909</v>
      </c>
    </row>
    <row r="579" spans="2:22" ht="13">
      <c r="B579" s="270"/>
      <c r="C579" s="245"/>
      <c r="D579" s="19" t="s">
        <v>265</v>
      </c>
      <c r="E579" s="17">
        <v>2.91</v>
      </c>
      <c r="F579" s="17">
        <v>13</v>
      </c>
      <c r="G579" s="17">
        <f t="shared" si="92"/>
        <v>37.83</v>
      </c>
      <c r="H579" s="236"/>
      <c r="I579" s="236"/>
      <c r="J579" s="236"/>
      <c r="K579" s="242"/>
      <c r="M579" s="270"/>
      <c r="N579" s="245"/>
      <c r="O579" s="19" t="s">
        <v>265</v>
      </c>
      <c r="P579" s="17">
        <v>2.91</v>
      </c>
      <c r="Q579" s="17">
        <v>13</v>
      </c>
      <c r="R579" s="17">
        <f t="shared" ref="R579:R584" si="93">P579*Q579</f>
        <v>37.83</v>
      </c>
      <c r="S579" s="236"/>
      <c r="T579" s="236"/>
      <c r="U579" s="236"/>
      <c r="V579" s="242"/>
    </row>
    <row r="580" spans="2:22" ht="13">
      <c r="B580" s="270"/>
      <c r="C580" s="245"/>
      <c r="D580" s="19" t="s">
        <v>78</v>
      </c>
      <c r="E580" s="17">
        <v>4.9400000000000004</v>
      </c>
      <c r="F580" s="17">
        <v>13</v>
      </c>
      <c r="G580" s="17">
        <f t="shared" si="92"/>
        <v>64.22</v>
      </c>
      <c r="H580" s="236"/>
      <c r="I580" s="236"/>
      <c r="J580" s="236"/>
      <c r="K580" s="242"/>
      <c r="M580" s="270"/>
      <c r="N580" s="245"/>
      <c r="O580" s="19" t="s">
        <v>78</v>
      </c>
      <c r="P580" s="17">
        <v>4.9400000000000004</v>
      </c>
      <c r="Q580" s="17">
        <v>13</v>
      </c>
      <c r="R580" s="17">
        <f t="shared" si="93"/>
        <v>64.22</v>
      </c>
      <c r="S580" s="236"/>
      <c r="T580" s="236"/>
      <c r="U580" s="236"/>
      <c r="V580" s="242"/>
    </row>
    <row r="581" spans="2:22" ht="13">
      <c r="B581" s="270"/>
      <c r="C581" s="245"/>
      <c r="D581" s="19" t="s">
        <v>917</v>
      </c>
      <c r="E581" s="17">
        <v>4</v>
      </c>
      <c r="F581" s="17">
        <v>13</v>
      </c>
      <c r="G581" s="17">
        <f t="shared" si="92"/>
        <v>52</v>
      </c>
      <c r="H581" s="236"/>
      <c r="I581" s="236"/>
      <c r="J581" s="236"/>
      <c r="K581" s="242"/>
      <c r="M581" s="270"/>
      <c r="N581" s="245"/>
      <c r="O581" s="19" t="s">
        <v>917</v>
      </c>
      <c r="P581" s="17">
        <v>4</v>
      </c>
      <c r="Q581" s="17">
        <v>13</v>
      </c>
      <c r="R581" s="17">
        <f t="shared" si="93"/>
        <v>52</v>
      </c>
      <c r="S581" s="236"/>
      <c r="T581" s="236"/>
      <c r="U581" s="236"/>
      <c r="V581" s="242"/>
    </row>
    <row r="582" spans="2:22" ht="13">
      <c r="B582" s="270"/>
      <c r="C582" s="245"/>
      <c r="D582" s="19" t="s">
        <v>739</v>
      </c>
      <c r="E582" s="17">
        <v>2.42</v>
      </c>
      <c r="F582" s="17">
        <v>13</v>
      </c>
      <c r="G582" s="17">
        <f t="shared" si="92"/>
        <v>31.46</v>
      </c>
      <c r="H582" s="236"/>
      <c r="I582" s="236"/>
      <c r="J582" s="236"/>
      <c r="K582" s="242"/>
      <c r="M582" s="270"/>
      <c r="N582" s="245"/>
      <c r="O582" s="19" t="s">
        <v>739</v>
      </c>
      <c r="P582" s="17">
        <v>2.42</v>
      </c>
      <c r="Q582" s="17">
        <v>13</v>
      </c>
      <c r="R582" s="17">
        <f t="shared" si="93"/>
        <v>31.46</v>
      </c>
      <c r="S582" s="236"/>
      <c r="T582" s="236"/>
      <c r="U582" s="236"/>
      <c r="V582" s="242"/>
    </row>
    <row r="583" spans="2:22" ht="13">
      <c r="B583" s="270"/>
      <c r="C583" s="245"/>
      <c r="D583" s="24" t="s">
        <v>874</v>
      </c>
      <c r="E583" s="17">
        <v>4.8</v>
      </c>
      <c r="F583" s="17">
        <v>13</v>
      </c>
      <c r="G583" s="17">
        <f t="shared" si="92"/>
        <v>62.4</v>
      </c>
      <c r="H583" s="236"/>
      <c r="I583" s="236"/>
      <c r="J583" s="236"/>
      <c r="K583" s="242"/>
      <c r="M583" s="270"/>
      <c r="N583" s="245"/>
      <c r="O583" s="24" t="s">
        <v>874</v>
      </c>
      <c r="P583" s="17">
        <v>4.8</v>
      </c>
      <c r="Q583" s="17">
        <v>13</v>
      </c>
      <c r="R583" s="17">
        <f t="shared" si="93"/>
        <v>62.4</v>
      </c>
      <c r="S583" s="236"/>
      <c r="T583" s="236"/>
      <c r="U583" s="236"/>
      <c r="V583" s="242"/>
    </row>
    <row r="584" spans="2:22" ht="13">
      <c r="B584" s="270"/>
      <c r="C584" s="245"/>
      <c r="D584" s="19" t="s">
        <v>918</v>
      </c>
      <c r="E584" s="17">
        <v>4.32</v>
      </c>
      <c r="F584" s="17">
        <v>13</v>
      </c>
      <c r="G584" s="17">
        <f t="shared" si="92"/>
        <v>56.160000000000004</v>
      </c>
      <c r="H584" s="236"/>
      <c r="I584" s="236"/>
      <c r="J584" s="236"/>
      <c r="K584" s="242"/>
      <c r="M584" s="270"/>
      <c r="N584" s="245"/>
      <c r="O584" s="19" t="s">
        <v>918</v>
      </c>
      <c r="P584" s="17">
        <v>4.32</v>
      </c>
      <c r="Q584" s="17">
        <v>13</v>
      </c>
      <c r="R584" s="17">
        <f t="shared" si="93"/>
        <v>56.160000000000004</v>
      </c>
      <c r="S584" s="236"/>
      <c r="T584" s="236"/>
      <c r="U584" s="236"/>
      <c r="V584" s="242"/>
    </row>
    <row r="585" spans="2:22" ht="13">
      <c r="B585" s="270"/>
      <c r="C585" s="246"/>
      <c r="D585" s="44"/>
      <c r="E585" s="21"/>
      <c r="F585" s="21"/>
      <c r="G585" s="21"/>
      <c r="H585" s="238"/>
      <c r="I585" s="238"/>
      <c r="J585" s="238"/>
      <c r="K585" s="243"/>
      <c r="M585" s="270"/>
      <c r="N585" s="246"/>
      <c r="O585" s="44"/>
      <c r="P585" s="21"/>
      <c r="Q585" s="21"/>
      <c r="R585" s="21"/>
      <c r="S585" s="238"/>
      <c r="T585" s="238"/>
      <c r="U585" s="238"/>
      <c r="V585" s="243"/>
    </row>
    <row r="586" spans="2:22" ht="13">
      <c r="B586" s="270"/>
      <c r="C586" s="244" t="s">
        <v>919</v>
      </c>
      <c r="D586" s="15" t="s">
        <v>701</v>
      </c>
      <c r="E586" s="16">
        <v>7</v>
      </c>
      <c r="F586" s="16">
        <v>18</v>
      </c>
      <c r="G586" s="16">
        <f t="shared" ref="G586:G590" si="94">E586*F586</f>
        <v>126</v>
      </c>
      <c r="H586" s="292">
        <f>SUM(G586:G590)</f>
        <v>332.30999999999995</v>
      </c>
      <c r="I586" s="292">
        <v>1250</v>
      </c>
      <c r="J586" s="292">
        <f>I586-H586</f>
        <v>917.69</v>
      </c>
      <c r="K586" s="302">
        <f>J586/I586</f>
        <v>0.73415200000000003</v>
      </c>
      <c r="M586" s="270"/>
      <c r="N586" s="244" t="s">
        <v>919</v>
      </c>
      <c r="O586" s="15" t="s">
        <v>701</v>
      </c>
      <c r="P586" s="43"/>
      <c r="Q586" s="43"/>
      <c r="R586" s="43"/>
      <c r="S586" s="292">
        <f>SUM(R586:R590)</f>
        <v>206.31</v>
      </c>
      <c r="T586" s="292">
        <v>1250</v>
      </c>
      <c r="U586" s="292">
        <f>T586-S586</f>
        <v>1043.69</v>
      </c>
      <c r="V586" s="302">
        <f>U586/T586</f>
        <v>0.83495200000000003</v>
      </c>
    </row>
    <row r="587" spans="2:22" ht="13">
      <c r="B587" s="270"/>
      <c r="C587" s="245"/>
      <c r="D587" s="19" t="s">
        <v>265</v>
      </c>
      <c r="E587" s="17">
        <v>3.86</v>
      </c>
      <c r="F587" s="17">
        <v>13</v>
      </c>
      <c r="G587" s="17">
        <f t="shared" si="94"/>
        <v>50.18</v>
      </c>
      <c r="H587" s="236"/>
      <c r="I587" s="236"/>
      <c r="J587" s="236"/>
      <c r="K587" s="242"/>
      <c r="M587" s="270"/>
      <c r="N587" s="245"/>
      <c r="O587" s="19" t="s">
        <v>265</v>
      </c>
      <c r="P587" s="17">
        <v>3.86</v>
      </c>
      <c r="Q587" s="17">
        <v>13</v>
      </c>
      <c r="R587" s="17">
        <f t="shared" ref="R587:R590" si="95">P587*Q587</f>
        <v>50.18</v>
      </c>
      <c r="S587" s="236"/>
      <c r="T587" s="236"/>
      <c r="U587" s="236"/>
      <c r="V587" s="242"/>
    </row>
    <row r="588" spans="2:22" ht="13">
      <c r="B588" s="270"/>
      <c r="C588" s="245"/>
      <c r="D588" s="19" t="s">
        <v>78</v>
      </c>
      <c r="E588" s="17">
        <v>3.53</v>
      </c>
      <c r="F588" s="17">
        <v>13</v>
      </c>
      <c r="G588" s="17">
        <f t="shared" si="94"/>
        <v>45.89</v>
      </c>
      <c r="H588" s="236"/>
      <c r="I588" s="236"/>
      <c r="J588" s="236"/>
      <c r="K588" s="242"/>
      <c r="M588" s="270"/>
      <c r="N588" s="245"/>
      <c r="O588" s="19" t="s">
        <v>78</v>
      </c>
      <c r="P588" s="17">
        <v>3.53</v>
      </c>
      <c r="Q588" s="17">
        <v>13</v>
      </c>
      <c r="R588" s="17">
        <f t="shared" si="95"/>
        <v>45.89</v>
      </c>
      <c r="S588" s="236"/>
      <c r="T588" s="236"/>
      <c r="U588" s="236"/>
      <c r="V588" s="242"/>
    </row>
    <row r="589" spans="2:22" ht="13">
      <c r="B589" s="270"/>
      <c r="C589" s="245"/>
      <c r="D589" s="19" t="s">
        <v>917</v>
      </c>
      <c r="E589" s="17">
        <v>5.18</v>
      </c>
      <c r="F589" s="17">
        <v>13</v>
      </c>
      <c r="G589" s="17">
        <f t="shared" si="94"/>
        <v>67.34</v>
      </c>
      <c r="H589" s="236"/>
      <c r="I589" s="236"/>
      <c r="J589" s="236"/>
      <c r="K589" s="242"/>
      <c r="M589" s="270"/>
      <c r="N589" s="245"/>
      <c r="O589" s="19" t="s">
        <v>917</v>
      </c>
      <c r="P589" s="17">
        <v>5.18</v>
      </c>
      <c r="Q589" s="17">
        <v>13</v>
      </c>
      <c r="R589" s="17">
        <f t="shared" si="95"/>
        <v>67.34</v>
      </c>
      <c r="S589" s="236"/>
      <c r="T589" s="236"/>
      <c r="U589" s="236"/>
      <c r="V589" s="242"/>
    </row>
    <row r="590" spans="2:22" ht="13">
      <c r="B590" s="270"/>
      <c r="C590" s="246"/>
      <c r="D590" s="20" t="s">
        <v>23</v>
      </c>
      <c r="E590" s="21">
        <v>3.3</v>
      </c>
      <c r="F590" s="21">
        <v>13</v>
      </c>
      <c r="G590" s="21">
        <f t="shared" si="94"/>
        <v>42.9</v>
      </c>
      <c r="H590" s="238"/>
      <c r="I590" s="238"/>
      <c r="J590" s="238"/>
      <c r="K590" s="303"/>
      <c r="M590" s="270"/>
      <c r="N590" s="246"/>
      <c r="O590" s="20" t="s">
        <v>23</v>
      </c>
      <c r="P590" s="21">
        <v>3.3</v>
      </c>
      <c r="Q590" s="21">
        <v>13</v>
      </c>
      <c r="R590" s="21">
        <f t="shared" si="95"/>
        <v>42.9</v>
      </c>
      <c r="S590" s="238"/>
      <c r="T590" s="238"/>
      <c r="U590" s="238"/>
      <c r="V590" s="303"/>
    </row>
    <row r="591" spans="2:22" ht="13">
      <c r="B591" s="270"/>
      <c r="C591" s="244" t="s">
        <v>920</v>
      </c>
      <c r="D591" s="19" t="s">
        <v>715</v>
      </c>
      <c r="E591" s="17"/>
      <c r="F591" s="17"/>
      <c r="G591" s="17">
        <v>100</v>
      </c>
      <c r="H591" s="240">
        <f>SUM(G591,G592)</f>
        <v>140.1</v>
      </c>
      <c r="I591" s="284">
        <v>1850.69</v>
      </c>
      <c r="J591" s="284">
        <f>I591-H591</f>
        <v>1710.5900000000001</v>
      </c>
      <c r="K591" s="294">
        <f>J591/I591</f>
        <v>0.92429850488196297</v>
      </c>
      <c r="M591" s="270"/>
      <c r="N591" s="244" t="s">
        <v>920</v>
      </c>
      <c r="O591" s="19" t="s">
        <v>715</v>
      </c>
      <c r="P591" s="17"/>
      <c r="Q591" s="17"/>
      <c r="R591" s="17">
        <v>100</v>
      </c>
      <c r="S591" s="240">
        <f>SUM(R591,R592)</f>
        <v>140.1</v>
      </c>
      <c r="T591" s="284">
        <v>1850.69</v>
      </c>
      <c r="U591" s="284">
        <f>T591-S591</f>
        <v>1710.5900000000001</v>
      </c>
      <c r="V591" s="294">
        <f>U591/T591</f>
        <v>0.92429850488196297</v>
      </c>
    </row>
    <row r="592" spans="2:22" ht="13">
      <c r="B592" s="270"/>
      <c r="C592" s="246"/>
      <c r="D592" s="20" t="s">
        <v>699</v>
      </c>
      <c r="E592" s="20"/>
      <c r="F592" s="20"/>
      <c r="G592" s="20">
        <v>40.1</v>
      </c>
      <c r="H592" s="238"/>
      <c r="I592" s="248"/>
      <c r="J592" s="248"/>
      <c r="K592" s="301"/>
      <c r="M592" s="270"/>
      <c r="N592" s="246"/>
      <c r="O592" s="20" t="s">
        <v>699</v>
      </c>
      <c r="P592" s="20"/>
      <c r="Q592" s="20"/>
      <c r="R592" s="20">
        <v>40.1</v>
      </c>
      <c r="S592" s="238"/>
      <c r="T592" s="248"/>
      <c r="U592" s="248"/>
      <c r="V592" s="301"/>
    </row>
    <row r="593" spans="2:22" ht="30">
      <c r="B593" s="254" t="s">
        <v>921</v>
      </c>
      <c r="C593" s="255"/>
      <c r="D593" s="256"/>
      <c r="E593" s="27">
        <f t="shared" ref="E593:J593" si="96">AVERAGE(E452:E592)</f>
        <v>9.5504854368932026</v>
      </c>
      <c r="F593" s="27">
        <f t="shared" si="96"/>
        <v>14.621359223300971</v>
      </c>
      <c r="G593" s="27">
        <f t="shared" si="96"/>
        <v>145.90807407407411</v>
      </c>
      <c r="H593" s="27">
        <f t="shared" si="96"/>
        <v>787.9036000000001</v>
      </c>
      <c r="I593" s="27">
        <f t="shared" si="96"/>
        <v>3065.3496</v>
      </c>
      <c r="J593" s="27">
        <f t="shared" si="96"/>
        <v>2277.4460000000004</v>
      </c>
      <c r="K593" s="28" t="str">
        <f ca="1">AVERAGE($K$12:$K$76)</f>
        <v>#REF!</v>
      </c>
      <c r="M593" s="254" t="s">
        <v>921</v>
      </c>
      <c r="N593" s="255"/>
      <c r="O593" s="256"/>
      <c r="P593" s="27">
        <f t="shared" ref="P593:U593" si="97">AVERAGE(P452:P592)</f>
        <v>9.2930000000000028</v>
      </c>
      <c r="Q593" s="27">
        <f t="shared" si="97"/>
        <v>13.50625</v>
      </c>
      <c r="R593" s="27">
        <f t="shared" si="97"/>
        <v>137.01169642857141</v>
      </c>
      <c r="S593" s="27">
        <f t="shared" si="97"/>
        <v>613.81239999999991</v>
      </c>
      <c r="T593" s="27">
        <f t="shared" si="97"/>
        <v>3065.3496</v>
      </c>
      <c r="U593" s="27">
        <f t="shared" si="97"/>
        <v>2451.5371999999998</v>
      </c>
      <c r="V593" s="28" t="str">
        <f ca="1">AVERAGE($K$12:$K$76)</f>
        <v>#REF!</v>
      </c>
    </row>
    <row r="594" spans="2:22" ht="30">
      <c r="B594" s="251" t="s">
        <v>922</v>
      </c>
      <c r="C594" s="252"/>
      <c r="D594" s="253"/>
      <c r="E594" s="42">
        <f t="shared" ref="E594:J594" si="98">SUM(E452:E592)</f>
        <v>983.69999999999993</v>
      </c>
      <c r="F594" s="27">
        <f t="shared" si="98"/>
        <v>1506</v>
      </c>
      <c r="G594" s="27">
        <f t="shared" si="98"/>
        <v>19697.590000000004</v>
      </c>
      <c r="H594" s="27">
        <f t="shared" si="98"/>
        <v>19697.590000000004</v>
      </c>
      <c r="I594" s="27">
        <f t="shared" si="98"/>
        <v>76633.740000000005</v>
      </c>
      <c r="J594" s="27">
        <f t="shared" si="98"/>
        <v>56936.150000000009</v>
      </c>
      <c r="K594" s="29">
        <f t="shared" ref="K594:K595" si="99">J594/I594</f>
        <v>0.74296452189335926</v>
      </c>
      <c r="M594" s="251" t="s">
        <v>922</v>
      </c>
      <c r="N594" s="252"/>
      <c r="O594" s="253"/>
      <c r="P594" s="42">
        <f t="shared" ref="P594:U594" si="100">SUM(P452:P592)</f>
        <v>743.44000000000017</v>
      </c>
      <c r="Q594" s="27">
        <f t="shared" si="100"/>
        <v>1080.5</v>
      </c>
      <c r="R594" s="27">
        <f t="shared" si="100"/>
        <v>15345.309999999998</v>
      </c>
      <c r="S594" s="27">
        <f t="shared" si="100"/>
        <v>15345.309999999998</v>
      </c>
      <c r="T594" s="27">
        <f t="shared" si="100"/>
        <v>76633.740000000005</v>
      </c>
      <c r="U594" s="27">
        <f t="shared" si="100"/>
        <v>61288.429999999993</v>
      </c>
      <c r="V594" s="29">
        <f t="shared" ref="V594:V595" si="101">U594/T594</f>
        <v>0.79975778292955546</v>
      </c>
    </row>
    <row r="595" spans="2:22" ht="13">
      <c r="B595" s="288" t="s">
        <v>923</v>
      </c>
      <c r="C595" s="291" t="s">
        <v>924</v>
      </c>
      <c r="D595" s="19" t="s">
        <v>715</v>
      </c>
      <c r="E595" s="17"/>
      <c r="F595" s="17"/>
      <c r="G595" s="17">
        <v>300</v>
      </c>
      <c r="H595" s="240">
        <f>SUM(G595:G600)</f>
        <v>1126.4000000000001</v>
      </c>
      <c r="I595" s="284">
        <v>3305.26</v>
      </c>
      <c r="J595" s="284">
        <f>I595-H595</f>
        <v>2178.86</v>
      </c>
      <c r="K595" s="294">
        <f t="shared" si="99"/>
        <v>0.65920986548713267</v>
      </c>
      <c r="M595" s="288" t="s">
        <v>923</v>
      </c>
      <c r="N595" s="291" t="s">
        <v>924</v>
      </c>
      <c r="O595" s="19" t="s">
        <v>715</v>
      </c>
      <c r="P595" s="17"/>
      <c r="Q595" s="17"/>
      <c r="R595" s="17">
        <v>300</v>
      </c>
      <c r="S595" s="240">
        <f>SUM(R595:R600)</f>
        <v>803.4</v>
      </c>
      <c r="T595" s="284">
        <v>3305.26</v>
      </c>
      <c r="U595" s="284">
        <f>T595-S595</f>
        <v>2501.86</v>
      </c>
      <c r="V595" s="294">
        <f t="shared" si="101"/>
        <v>0.75693288878938414</v>
      </c>
    </row>
    <row r="596" spans="2:22" ht="13">
      <c r="B596" s="270"/>
      <c r="C596" s="245"/>
      <c r="D596" s="19" t="s">
        <v>925</v>
      </c>
      <c r="E596" s="19"/>
      <c r="F596" s="19"/>
      <c r="G596" s="19">
        <v>15.4</v>
      </c>
      <c r="H596" s="236"/>
      <c r="I596" s="236"/>
      <c r="J596" s="236"/>
      <c r="K596" s="258"/>
      <c r="M596" s="270"/>
      <c r="N596" s="245"/>
      <c r="O596" s="19" t="s">
        <v>925</v>
      </c>
      <c r="P596" s="19"/>
      <c r="Q596" s="19"/>
      <c r="R596" s="19">
        <v>15.4</v>
      </c>
      <c r="S596" s="236"/>
      <c r="T596" s="236"/>
      <c r="U596" s="236"/>
      <c r="V596" s="258"/>
    </row>
    <row r="597" spans="2:22" ht="13">
      <c r="B597" s="270"/>
      <c r="C597" s="245"/>
      <c r="D597" s="19" t="s">
        <v>114</v>
      </c>
      <c r="E597" s="19">
        <v>7</v>
      </c>
      <c r="F597" s="19">
        <v>18</v>
      </c>
      <c r="G597" s="19">
        <f>E597*F597</f>
        <v>126</v>
      </c>
      <c r="H597" s="236"/>
      <c r="I597" s="236"/>
      <c r="J597" s="236"/>
      <c r="K597" s="258"/>
      <c r="M597" s="270"/>
      <c r="N597" s="245"/>
      <c r="O597" s="19" t="s">
        <v>114</v>
      </c>
      <c r="P597" s="43"/>
      <c r="Q597" s="43"/>
      <c r="R597" s="43"/>
      <c r="S597" s="236"/>
      <c r="T597" s="236"/>
      <c r="U597" s="236"/>
      <c r="V597" s="258"/>
    </row>
    <row r="598" spans="2:22" ht="13">
      <c r="B598" s="270"/>
      <c r="C598" s="245"/>
      <c r="D598" s="19" t="s">
        <v>926</v>
      </c>
      <c r="E598" s="19"/>
      <c r="F598" s="19"/>
      <c r="G598" s="19">
        <v>197</v>
      </c>
      <c r="H598" s="236"/>
      <c r="I598" s="236"/>
      <c r="J598" s="236"/>
      <c r="K598" s="258"/>
      <c r="M598" s="270"/>
      <c r="N598" s="245"/>
      <c r="O598" s="19" t="s">
        <v>926</v>
      </c>
      <c r="P598" s="19"/>
      <c r="Q598" s="19"/>
      <c r="R598" s="19"/>
      <c r="S598" s="236"/>
      <c r="T598" s="236"/>
      <c r="U598" s="236"/>
      <c r="V598" s="258"/>
    </row>
    <row r="599" spans="2:22" ht="13">
      <c r="B599" s="270"/>
      <c r="C599" s="245"/>
      <c r="D599" s="19" t="s">
        <v>927</v>
      </c>
      <c r="E599" s="19"/>
      <c r="F599" s="19"/>
      <c r="G599" s="19">
        <v>360</v>
      </c>
      <c r="H599" s="236"/>
      <c r="I599" s="236"/>
      <c r="J599" s="236"/>
      <c r="K599" s="258"/>
      <c r="M599" s="270"/>
      <c r="N599" s="245"/>
      <c r="O599" s="19" t="s">
        <v>927</v>
      </c>
      <c r="P599" s="19"/>
      <c r="Q599" s="19"/>
      <c r="R599" s="19">
        <v>360</v>
      </c>
      <c r="S599" s="236"/>
      <c r="T599" s="236"/>
      <c r="U599" s="236"/>
      <c r="V599" s="258"/>
    </row>
    <row r="600" spans="2:22" ht="13">
      <c r="B600" s="270"/>
      <c r="C600" s="246"/>
      <c r="D600" s="20" t="s">
        <v>928</v>
      </c>
      <c r="E600" s="20"/>
      <c r="F600" s="20"/>
      <c r="G600" s="20">
        <v>128</v>
      </c>
      <c r="H600" s="238"/>
      <c r="I600" s="248"/>
      <c r="J600" s="248"/>
      <c r="K600" s="301"/>
      <c r="M600" s="270"/>
      <c r="N600" s="246"/>
      <c r="O600" s="20" t="s">
        <v>928</v>
      </c>
      <c r="P600" s="20"/>
      <c r="Q600" s="20"/>
      <c r="R600" s="20">
        <v>128</v>
      </c>
      <c r="S600" s="238"/>
      <c r="T600" s="248"/>
      <c r="U600" s="248"/>
      <c r="V600" s="301"/>
    </row>
    <row r="601" spans="2:22" ht="13">
      <c r="B601" s="270"/>
      <c r="C601" s="244" t="s">
        <v>929</v>
      </c>
      <c r="D601" s="15" t="s">
        <v>701</v>
      </c>
      <c r="E601" s="16">
        <v>14</v>
      </c>
      <c r="F601" s="17">
        <v>18</v>
      </c>
      <c r="G601" s="17">
        <f>E601*F601</f>
        <v>252</v>
      </c>
      <c r="H601" s="240">
        <f>SUM(G601:G613)</f>
        <v>1755.5300000000002</v>
      </c>
      <c r="I601" s="240">
        <v>11451.28</v>
      </c>
      <c r="J601" s="240">
        <f>I601-H601</f>
        <v>9695.75</v>
      </c>
      <c r="K601" s="241">
        <f>J601/I601</f>
        <v>0.84669574056350028</v>
      </c>
      <c r="M601" s="270"/>
      <c r="N601" s="244" t="s">
        <v>929</v>
      </c>
      <c r="O601" s="15" t="s">
        <v>701</v>
      </c>
      <c r="P601" s="43"/>
      <c r="Q601" s="43"/>
      <c r="R601" s="43"/>
      <c r="S601" s="240">
        <f>SUM(R601:R613)</f>
        <v>1125.53</v>
      </c>
      <c r="T601" s="240">
        <v>11451.28</v>
      </c>
      <c r="U601" s="240">
        <f>T601-S601</f>
        <v>10325.75</v>
      </c>
      <c r="V601" s="241">
        <f>U601/T601</f>
        <v>0.90171142439971774</v>
      </c>
    </row>
    <row r="602" spans="2:22" ht="13">
      <c r="B602" s="270"/>
      <c r="C602" s="245"/>
      <c r="D602" s="19" t="s">
        <v>930</v>
      </c>
      <c r="E602" s="17"/>
      <c r="F602" s="17"/>
      <c r="G602" s="17">
        <v>136</v>
      </c>
      <c r="H602" s="236"/>
      <c r="I602" s="236"/>
      <c r="J602" s="236"/>
      <c r="K602" s="242"/>
      <c r="M602" s="270"/>
      <c r="N602" s="245"/>
      <c r="O602" s="19" t="s">
        <v>930</v>
      </c>
      <c r="P602" s="17"/>
      <c r="Q602" s="17"/>
      <c r="R602" s="17">
        <v>136</v>
      </c>
      <c r="S602" s="236"/>
      <c r="T602" s="236"/>
      <c r="U602" s="236"/>
      <c r="V602" s="242"/>
    </row>
    <row r="603" spans="2:22" ht="13">
      <c r="B603" s="270"/>
      <c r="C603" s="245"/>
      <c r="D603" s="19" t="s">
        <v>707</v>
      </c>
      <c r="E603" s="17"/>
      <c r="F603" s="17"/>
      <c r="G603" s="17">
        <v>90</v>
      </c>
      <c r="H603" s="236"/>
      <c r="I603" s="236"/>
      <c r="J603" s="236"/>
      <c r="K603" s="242"/>
      <c r="M603" s="270"/>
      <c r="N603" s="245"/>
      <c r="O603" s="19" t="s">
        <v>707</v>
      </c>
      <c r="P603" s="17"/>
      <c r="Q603" s="17"/>
      <c r="R603" s="17">
        <v>90</v>
      </c>
      <c r="S603" s="236"/>
      <c r="T603" s="236"/>
      <c r="U603" s="236"/>
      <c r="V603" s="242"/>
    </row>
    <row r="604" spans="2:22" ht="13">
      <c r="B604" s="270"/>
      <c r="C604" s="245"/>
      <c r="D604" s="19" t="s">
        <v>720</v>
      </c>
      <c r="E604" s="17"/>
      <c r="F604" s="17"/>
      <c r="G604" s="17">
        <v>65.67</v>
      </c>
      <c r="H604" s="236"/>
      <c r="I604" s="236"/>
      <c r="J604" s="236"/>
      <c r="K604" s="242"/>
      <c r="M604" s="270"/>
      <c r="N604" s="245"/>
      <c r="O604" s="19" t="s">
        <v>720</v>
      </c>
      <c r="P604" s="17"/>
      <c r="Q604" s="17"/>
      <c r="R604" s="17">
        <v>65.67</v>
      </c>
      <c r="S604" s="236"/>
      <c r="T604" s="236"/>
      <c r="U604" s="236"/>
      <c r="V604" s="242"/>
    </row>
    <row r="605" spans="2:22" ht="13">
      <c r="B605" s="270"/>
      <c r="C605" s="245"/>
      <c r="D605" s="19" t="s">
        <v>931</v>
      </c>
      <c r="E605" s="17"/>
      <c r="F605" s="17"/>
      <c r="G605" s="17">
        <v>60.99</v>
      </c>
      <c r="H605" s="236"/>
      <c r="I605" s="236"/>
      <c r="J605" s="236"/>
      <c r="K605" s="242"/>
      <c r="M605" s="270"/>
      <c r="N605" s="245"/>
      <c r="O605" s="19" t="s">
        <v>931</v>
      </c>
      <c r="P605" s="17"/>
      <c r="Q605" s="17"/>
      <c r="R605" s="17">
        <v>60.99</v>
      </c>
      <c r="S605" s="236"/>
      <c r="T605" s="236"/>
      <c r="U605" s="236"/>
      <c r="V605" s="242"/>
    </row>
    <row r="606" spans="2:22" ht="13">
      <c r="B606" s="270"/>
      <c r="C606" s="245"/>
      <c r="D606" s="24" t="s">
        <v>932</v>
      </c>
      <c r="E606" s="17"/>
      <c r="F606" s="17"/>
      <c r="G606" s="17">
        <v>70.61</v>
      </c>
      <c r="H606" s="236"/>
      <c r="I606" s="236"/>
      <c r="J606" s="236"/>
      <c r="K606" s="242"/>
      <c r="M606" s="270"/>
      <c r="N606" s="245"/>
      <c r="O606" s="24" t="s">
        <v>932</v>
      </c>
      <c r="P606" s="17"/>
      <c r="Q606" s="17"/>
      <c r="R606" s="17">
        <v>70.61</v>
      </c>
      <c r="S606" s="236"/>
      <c r="T606" s="236"/>
      <c r="U606" s="236"/>
      <c r="V606" s="242"/>
    </row>
    <row r="607" spans="2:22" ht="13">
      <c r="B607" s="270"/>
      <c r="C607" s="245"/>
      <c r="D607" s="24" t="s">
        <v>114</v>
      </c>
      <c r="E607" s="17">
        <v>21</v>
      </c>
      <c r="F607" s="17">
        <v>18</v>
      </c>
      <c r="G607" s="17">
        <f>E607*F607</f>
        <v>378</v>
      </c>
      <c r="H607" s="236"/>
      <c r="I607" s="236"/>
      <c r="J607" s="236"/>
      <c r="K607" s="242"/>
      <c r="M607" s="270"/>
      <c r="N607" s="245"/>
      <c r="O607" s="24" t="s">
        <v>114</v>
      </c>
      <c r="P607" s="43"/>
      <c r="Q607" s="43"/>
      <c r="R607" s="43"/>
      <c r="S607" s="236"/>
      <c r="T607" s="236"/>
      <c r="U607" s="236"/>
      <c r="V607" s="242"/>
    </row>
    <row r="608" spans="2:22" ht="13">
      <c r="B608" s="270"/>
      <c r="C608" s="245"/>
      <c r="D608" s="19" t="s">
        <v>933</v>
      </c>
      <c r="E608" s="17"/>
      <c r="F608" s="17"/>
      <c r="G608" s="17">
        <v>60.5</v>
      </c>
      <c r="H608" s="236"/>
      <c r="I608" s="236"/>
      <c r="J608" s="236"/>
      <c r="K608" s="242"/>
      <c r="M608" s="270"/>
      <c r="N608" s="245"/>
      <c r="O608" s="19" t="s">
        <v>933</v>
      </c>
      <c r="P608" s="17"/>
      <c r="Q608" s="17"/>
      <c r="R608" s="17">
        <v>60.5</v>
      </c>
      <c r="S608" s="236"/>
      <c r="T608" s="236"/>
      <c r="U608" s="236"/>
      <c r="V608" s="242"/>
    </row>
    <row r="609" spans="2:22" ht="13">
      <c r="B609" s="270"/>
      <c r="C609" s="245"/>
      <c r="D609" s="19" t="s">
        <v>696</v>
      </c>
      <c r="E609" s="17"/>
      <c r="F609" s="17"/>
      <c r="G609" s="17">
        <v>169</v>
      </c>
      <c r="H609" s="236"/>
      <c r="I609" s="236"/>
      <c r="J609" s="236"/>
      <c r="K609" s="242"/>
      <c r="M609" s="270"/>
      <c r="N609" s="245"/>
      <c r="O609" s="19" t="s">
        <v>696</v>
      </c>
      <c r="P609" s="17"/>
      <c r="Q609" s="17"/>
      <c r="R609" s="17">
        <v>169</v>
      </c>
      <c r="S609" s="236"/>
      <c r="T609" s="236"/>
      <c r="U609" s="236"/>
      <c r="V609" s="242"/>
    </row>
    <row r="610" spans="2:22" ht="13">
      <c r="B610" s="270"/>
      <c r="C610" s="245"/>
      <c r="D610" s="19" t="s">
        <v>693</v>
      </c>
      <c r="E610" s="17"/>
      <c r="F610" s="17"/>
      <c r="G610" s="17">
        <v>141.88</v>
      </c>
      <c r="H610" s="236"/>
      <c r="I610" s="236"/>
      <c r="J610" s="236"/>
      <c r="K610" s="242"/>
      <c r="M610" s="270"/>
      <c r="N610" s="245"/>
      <c r="O610" s="19" t="s">
        <v>693</v>
      </c>
      <c r="P610" s="17"/>
      <c r="Q610" s="17"/>
      <c r="R610" s="17">
        <v>141.88</v>
      </c>
      <c r="S610" s="236"/>
      <c r="T610" s="236"/>
      <c r="U610" s="236"/>
      <c r="V610" s="242"/>
    </row>
    <row r="611" spans="2:22" ht="13">
      <c r="B611" s="270"/>
      <c r="C611" s="245"/>
      <c r="D611" s="19" t="s">
        <v>934</v>
      </c>
      <c r="E611" s="17"/>
      <c r="F611" s="17"/>
      <c r="G611" s="17">
        <v>68.400000000000006</v>
      </c>
      <c r="H611" s="236"/>
      <c r="I611" s="236"/>
      <c r="J611" s="236"/>
      <c r="K611" s="242"/>
      <c r="M611" s="270"/>
      <c r="N611" s="245"/>
      <c r="O611" s="19" t="s">
        <v>934</v>
      </c>
      <c r="P611" s="17"/>
      <c r="Q611" s="17"/>
      <c r="R611" s="17">
        <v>68.400000000000006</v>
      </c>
      <c r="S611" s="236"/>
      <c r="T611" s="236"/>
      <c r="U611" s="236"/>
      <c r="V611" s="242"/>
    </row>
    <row r="612" spans="2:22" ht="13">
      <c r="B612" s="270"/>
      <c r="C612" s="245"/>
      <c r="D612" s="24" t="s">
        <v>935</v>
      </c>
      <c r="E612" s="17"/>
      <c r="F612" s="17"/>
      <c r="G612" s="17">
        <v>42.75</v>
      </c>
      <c r="H612" s="236"/>
      <c r="I612" s="236"/>
      <c r="J612" s="236"/>
      <c r="K612" s="242"/>
      <c r="M612" s="270"/>
      <c r="N612" s="245"/>
      <c r="O612" s="24" t="s">
        <v>935</v>
      </c>
      <c r="P612" s="17"/>
      <c r="Q612" s="17"/>
      <c r="R612" s="17">
        <v>42.75</v>
      </c>
      <c r="S612" s="236"/>
      <c r="T612" s="236"/>
      <c r="U612" s="236"/>
      <c r="V612" s="242"/>
    </row>
    <row r="613" spans="2:22" ht="13">
      <c r="B613" s="270"/>
      <c r="C613" s="246"/>
      <c r="D613" s="44" t="s">
        <v>33</v>
      </c>
      <c r="E613" s="21"/>
      <c r="F613" s="21"/>
      <c r="G613" s="21">
        <v>219.73</v>
      </c>
      <c r="H613" s="238"/>
      <c r="I613" s="238"/>
      <c r="J613" s="238"/>
      <c r="K613" s="243"/>
      <c r="M613" s="270"/>
      <c r="N613" s="246"/>
      <c r="O613" s="44" t="s">
        <v>33</v>
      </c>
      <c r="P613" s="21"/>
      <c r="Q613" s="21"/>
      <c r="R613" s="21">
        <v>219.73</v>
      </c>
      <c r="S613" s="238"/>
      <c r="T613" s="238"/>
      <c r="U613" s="238"/>
      <c r="V613" s="243"/>
    </row>
    <row r="614" spans="2:22" ht="13">
      <c r="B614" s="270"/>
      <c r="C614" s="244" t="s">
        <v>936</v>
      </c>
      <c r="D614" s="15" t="s">
        <v>754</v>
      </c>
      <c r="E614" s="16">
        <v>12</v>
      </c>
      <c r="F614" s="16">
        <v>13</v>
      </c>
      <c r="G614" s="16">
        <f t="shared" ref="G614:G621" si="102">E614*F614</f>
        <v>156</v>
      </c>
      <c r="H614" s="292">
        <f>SUM(G614:G617)</f>
        <v>516.75</v>
      </c>
      <c r="I614" s="292">
        <v>1736</v>
      </c>
      <c r="J614" s="292">
        <f>I614-H614</f>
        <v>1219.25</v>
      </c>
      <c r="K614" s="302">
        <f>J614/I614</f>
        <v>0.70233294930875578</v>
      </c>
      <c r="M614" s="270"/>
      <c r="N614" s="244" t="s">
        <v>936</v>
      </c>
      <c r="O614" s="15" t="s">
        <v>754</v>
      </c>
      <c r="P614" s="16">
        <v>12</v>
      </c>
      <c r="Q614" s="16">
        <v>13</v>
      </c>
      <c r="R614" s="16">
        <f t="shared" ref="R614:R617" si="103">P614*Q614</f>
        <v>156</v>
      </c>
      <c r="S614" s="292">
        <f>SUM(R614:R617)</f>
        <v>516.75</v>
      </c>
      <c r="T614" s="292">
        <v>1736</v>
      </c>
      <c r="U614" s="292">
        <f>T614-S614</f>
        <v>1219.25</v>
      </c>
      <c r="V614" s="302">
        <f>U614/T614</f>
        <v>0.70233294930875578</v>
      </c>
    </row>
    <row r="615" spans="2:22" ht="13">
      <c r="B615" s="270"/>
      <c r="C615" s="245"/>
      <c r="D615" s="19" t="s">
        <v>265</v>
      </c>
      <c r="E615" s="17">
        <v>7.75</v>
      </c>
      <c r="F615" s="17">
        <v>13</v>
      </c>
      <c r="G615" s="17">
        <f t="shared" si="102"/>
        <v>100.75</v>
      </c>
      <c r="H615" s="236"/>
      <c r="I615" s="236"/>
      <c r="J615" s="236"/>
      <c r="K615" s="242"/>
      <c r="M615" s="270"/>
      <c r="N615" s="245"/>
      <c r="O615" s="19" t="s">
        <v>265</v>
      </c>
      <c r="P615" s="17">
        <v>7.75</v>
      </c>
      <c r="Q615" s="17">
        <v>13</v>
      </c>
      <c r="R615" s="17">
        <f t="shared" si="103"/>
        <v>100.75</v>
      </c>
      <c r="S615" s="236"/>
      <c r="T615" s="236"/>
      <c r="U615" s="236"/>
      <c r="V615" s="242"/>
    </row>
    <row r="616" spans="2:22" ht="13">
      <c r="B616" s="270"/>
      <c r="C616" s="245"/>
      <c r="D616" s="19" t="s">
        <v>78</v>
      </c>
      <c r="E616" s="17">
        <v>10.25</v>
      </c>
      <c r="F616" s="17">
        <v>13</v>
      </c>
      <c r="G616" s="17">
        <f t="shared" si="102"/>
        <v>133.25</v>
      </c>
      <c r="H616" s="236"/>
      <c r="I616" s="236"/>
      <c r="J616" s="236"/>
      <c r="K616" s="242"/>
      <c r="M616" s="270"/>
      <c r="N616" s="245"/>
      <c r="O616" s="19" t="s">
        <v>78</v>
      </c>
      <c r="P616" s="17">
        <v>10.25</v>
      </c>
      <c r="Q616" s="17">
        <v>13</v>
      </c>
      <c r="R616" s="17">
        <f t="shared" si="103"/>
        <v>133.25</v>
      </c>
      <c r="S616" s="236"/>
      <c r="T616" s="236"/>
      <c r="U616" s="236"/>
      <c r="V616" s="242"/>
    </row>
    <row r="617" spans="2:22" ht="13">
      <c r="B617" s="270"/>
      <c r="C617" s="246"/>
      <c r="D617" s="20" t="s">
        <v>937</v>
      </c>
      <c r="E617" s="21">
        <v>9.75</v>
      </c>
      <c r="F617" s="21">
        <v>13</v>
      </c>
      <c r="G617" s="21">
        <f t="shared" si="102"/>
        <v>126.75</v>
      </c>
      <c r="H617" s="238"/>
      <c r="I617" s="238"/>
      <c r="J617" s="238"/>
      <c r="K617" s="303"/>
      <c r="M617" s="270"/>
      <c r="N617" s="246"/>
      <c r="O617" s="20" t="s">
        <v>937</v>
      </c>
      <c r="P617" s="21">
        <v>9.75</v>
      </c>
      <c r="Q617" s="21">
        <v>13</v>
      </c>
      <c r="R617" s="21">
        <f t="shared" si="103"/>
        <v>126.75</v>
      </c>
      <c r="S617" s="238"/>
      <c r="T617" s="238"/>
      <c r="U617" s="238"/>
      <c r="V617" s="303"/>
    </row>
    <row r="618" spans="2:22" ht="13">
      <c r="B618" s="270"/>
      <c r="C618" s="244" t="s">
        <v>938</v>
      </c>
      <c r="D618" s="15" t="s">
        <v>114</v>
      </c>
      <c r="E618" s="16">
        <v>7</v>
      </c>
      <c r="F618" s="16">
        <v>18</v>
      </c>
      <c r="G618" s="16">
        <f t="shared" si="102"/>
        <v>126</v>
      </c>
      <c r="H618" s="292">
        <f>SUM(G618:G623)</f>
        <v>534.39</v>
      </c>
      <c r="I618" s="292">
        <v>2718</v>
      </c>
      <c r="J618" s="292">
        <f>I618-H618</f>
        <v>2183.61</v>
      </c>
      <c r="K618" s="302">
        <f>J618/I618</f>
        <v>0.80338852097130242</v>
      </c>
      <c r="M618" s="270"/>
      <c r="N618" s="244" t="s">
        <v>938</v>
      </c>
      <c r="O618" s="15" t="s">
        <v>114</v>
      </c>
      <c r="P618" s="43"/>
      <c r="Q618" s="43"/>
      <c r="R618" s="43"/>
      <c r="S618" s="292">
        <f>SUM(R618:R623)</f>
        <v>408.39</v>
      </c>
      <c r="T618" s="292">
        <v>2718</v>
      </c>
      <c r="U618" s="292">
        <f>T618-S618</f>
        <v>2309.61</v>
      </c>
      <c r="V618" s="302">
        <f>U618/T618</f>
        <v>0.84974613686534217</v>
      </c>
    </row>
    <row r="619" spans="2:22" ht="13">
      <c r="B619" s="270"/>
      <c r="C619" s="245"/>
      <c r="D619" s="19" t="s">
        <v>265</v>
      </c>
      <c r="E619" s="17">
        <v>4.55</v>
      </c>
      <c r="F619" s="17">
        <v>13</v>
      </c>
      <c r="G619" s="17">
        <f t="shared" si="102"/>
        <v>59.15</v>
      </c>
      <c r="H619" s="236"/>
      <c r="I619" s="236"/>
      <c r="J619" s="236"/>
      <c r="K619" s="242"/>
      <c r="M619" s="270"/>
      <c r="N619" s="245"/>
      <c r="O619" s="19" t="s">
        <v>265</v>
      </c>
      <c r="P619" s="17">
        <v>4.55</v>
      </c>
      <c r="Q619" s="17">
        <v>13</v>
      </c>
      <c r="R619" s="17">
        <f t="shared" ref="R619:R621" si="104">P619*Q619</f>
        <v>59.15</v>
      </c>
      <c r="S619" s="236"/>
      <c r="T619" s="236"/>
      <c r="U619" s="236"/>
      <c r="V619" s="242"/>
    </row>
    <row r="620" spans="2:22" ht="13">
      <c r="B620" s="270"/>
      <c r="C620" s="245"/>
      <c r="D620" s="19" t="s">
        <v>78</v>
      </c>
      <c r="E620" s="17">
        <v>4.25</v>
      </c>
      <c r="F620" s="17">
        <v>13</v>
      </c>
      <c r="G620" s="17">
        <f t="shared" si="102"/>
        <v>55.25</v>
      </c>
      <c r="H620" s="236"/>
      <c r="I620" s="236"/>
      <c r="J620" s="236"/>
      <c r="K620" s="242"/>
      <c r="M620" s="270"/>
      <c r="N620" s="245"/>
      <c r="O620" s="19" t="s">
        <v>78</v>
      </c>
      <c r="P620" s="17">
        <v>4.25</v>
      </c>
      <c r="Q620" s="17">
        <v>13</v>
      </c>
      <c r="R620" s="17">
        <f t="shared" si="104"/>
        <v>55.25</v>
      </c>
      <c r="S620" s="236"/>
      <c r="T620" s="236"/>
      <c r="U620" s="236"/>
      <c r="V620" s="242"/>
    </row>
    <row r="621" spans="2:22" ht="13">
      <c r="B621" s="270"/>
      <c r="C621" s="245"/>
      <c r="D621" s="19" t="s">
        <v>913</v>
      </c>
      <c r="E621" s="17">
        <v>4.2</v>
      </c>
      <c r="F621" s="17">
        <v>13</v>
      </c>
      <c r="G621" s="17">
        <f t="shared" si="102"/>
        <v>54.6</v>
      </c>
      <c r="H621" s="236"/>
      <c r="I621" s="236"/>
      <c r="J621" s="236"/>
      <c r="K621" s="242"/>
      <c r="M621" s="270"/>
      <c r="N621" s="245"/>
      <c r="O621" s="19" t="s">
        <v>913</v>
      </c>
      <c r="P621" s="17">
        <v>4.2</v>
      </c>
      <c r="Q621" s="17">
        <v>13</v>
      </c>
      <c r="R621" s="17">
        <f t="shared" si="104"/>
        <v>54.6</v>
      </c>
      <c r="S621" s="236"/>
      <c r="T621" s="236"/>
      <c r="U621" s="236"/>
      <c r="V621" s="242"/>
    </row>
    <row r="622" spans="2:22" ht="13">
      <c r="B622" s="270"/>
      <c r="C622" s="245"/>
      <c r="D622" s="19" t="s">
        <v>826</v>
      </c>
      <c r="E622" s="17"/>
      <c r="F622" s="17"/>
      <c r="G622" s="17">
        <v>87</v>
      </c>
      <c r="H622" s="236"/>
      <c r="I622" s="236"/>
      <c r="J622" s="236"/>
      <c r="K622" s="242"/>
      <c r="M622" s="270"/>
      <c r="N622" s="245"/>
      <c r="O622" s="19" t="s">
        <v>826</v>
      </c>
      <c r="P622" s="17"/>
      <c r="Q622" s="17"/>
      <c r="R622" s="17">
        <v>87</v>
      </c>
      <c r="S622" s="236"/>
      <c r="T622" s="236"/>
      <c r="U622" s="236"/>
      <c r="V622" s="242"/>
    </row>
    <row r="623" spans="2:22" ht="13">
      <c r="B623" s="270"/>
      <c r="C623" s="246"/>
      <c r="D623" s="20" t="s">
        <v>33</v>
      </c>
      <c r="E623" s="21"/>
      <c r="F623" s="21"/>
      <c r="G623" s="21">
        <v>152.38999999999999</v>
      </c>
      <c r="H623" s="238"/>
      <c r="I623" s="238"/>
      <c r="J623" s="238"/>
      <c r="K623" s="303"/>
      <c r="M623" s="270"/>
      <c r="N623" s="246"/>
      <c r="O623" s="20" t="s">
        <v>33</v>
      </c>
      <c r="P623" s="21"/>
      <c r="Q623" s="21"/>
      <c r="R623" s="21">
        <v>152.38999999999999</v>
      </c>
      <c r="S623" s="238"/>
      <c r="T623" s="238"/>
      <c r="U623" s="238"/>
      <c r="V623" s="303"/>
    </row>
    <row r="624" spans="2:22" ht="13">
      <c r="B624" s="270"/>
      <c r="C624" s="244" t="s">
        <v>939</v>
      </c>
      <c r="D624" s="15" t="s">
        <v>114</v>
      </c>
      <c r="E624" s="16">
        <v>7</v>
      </c>
      <c r="F624" s="16">
        <v>18</v>
      </c>
      <c r="G624" s="16">
        <f t="shared" ref="G624:G629" si="105">E624*F624</f>
        <v>126</v>
      </c>
      <c r="H624" s="292">
        <f>SUM(G624:G630)</f>
        <v>701.04</v>
      </c>
      <c r="I624" s="292">
        <v>2718</v>
      </c>
      <c r="J624" s="292">
        <f>I624-H624</f>
        <v>2016.96</v>
      </c>
      <c r="K624" s="302">
        <f>J624/I624</f>
        <v>0.74207505518763794</v>
      </c>
      <c r="M624" s="270"/>
      <c r="N624" s="244" t="s">
        <v>939</v>
      </c>
      <c r="O624" s="15" t="s">
        <v>114</v>
      </c>
      <c r="P624" s="43"/>
      <c r="Q624" s="43"/>
      <c r="R624" s="43"/>
      <c r="S624" s="292">
        <f>SUM(R624:R630)</f>
        <v>575.04</v>
      </c>
      <c r="T624" s="292">
        <v>2718</v>
      </c>
      <c r="U624" s="292">
        <f>T624-S624</f>
        <v>2142.96</v>
      </c>
      <c r="V624" s="302">
        <f>U624/T624</f>
        <v>0.78843267108167769</v>
      </c>
    </row>
    <row r="625" spans="2:22" ht="13">
      <c r="B625" s="270"/>
      <c r="C625" s="245"/>
      <c r="D625" s="19" t="s">
        <v>265</v>
      </c>
      <c r="E625" s="17">
        <v>3.12</v>
      </c>
      <c r="F625" s="17">
        <v>13</v>
      </c>
      <c r="G625" s="17">
        <f t="shared" si="105"/>
        <v>40.56</v>
      </c>
      <c r="H625" s="236"/>
      <c r="I625" s="236"/>
      <c r="J625" s="236"/>
      <c r="K625" s="242"/>
      <c r="M625" s="270"/>
      <c r="N625" s="245"/>
      <c r="O625" s="19" t="s">
        <v>265</v>
      </c>
      <c r="P625" s="17">
        <v>3.12</v>
      </c>
      <c r="Q625" s="17">
        <v>13</v>
      </c>
      <c r="R625" s="17">
        <f t="shared" ref="R625:R629" si="106">P625*Q625</f>
        <v>40.56</v>
      </c>
      <c r="S625" s="236"/>
      <c r="T625" s="236"/>
      <c r="U625" s="236"/>
      <c r="V625" s="242"/>
    </row>
    <row r="626" spans="2:22" ht="13">
      <c r="B626" s="270"/>
      <c r="C626" s="245"/>
      <c r="D626" s="19" t="s">
        <v>78</v>
      </c>
      <c r="E626" s="17">
        <v>4.58</v>
      </c>
      <c r="F626" s="17">
        <v>13</v>
      </c>
      <c r="G626" s="17">
        <f t="shared" si="105"/>
        <v>59.54</v>
      </c>
      <c r="H626" s="236"/>
      <c r="I626" s="236"/>
      <c r="J626" s="236"/>
      <c r="K626" s="242"/>
      <c r="M626" s="270"/>
      <c r="N626" s="245"/>
      <c r="O626" s="19" t="s">
        <v>78</v>
      </c>
      <c r="P626" s="17">
        <v>4.58</v>
      </c>
      <c r="Q626" s="17">
        <v>13</v>
      </c>
      <c r="R626" s="17">
        <f t="shared" si="106"/>
        <v>59.54</v>
      </c>
      <c r="S626" s="236"/>
      <c r="T626" s="236"/>
      <c r="U626" s="236"/>
      <c r="V626" s="242"/>
    </row>
    <row r="627" spans="2:22" ht="13">
      <c r="B627" s="270"/>
      <c r="C627" s="245"/>
      <c r="D627" s="19" t="s">
        <v>913</v>
      </c>
      <c r="E627" s="17">
        <v>5.22</v>
      </c>
      <c r="F627" s="17">
        <v>13</v>
      </c>
      <c r="G627" s="17">
        <f t="shared" si="105"/>
        <v>67.86</v>
      </c>
      <c r="H627" s="236"/>
      <c r="I627" s="236"/>
      <c r="J627" s="236"/>
      <c r="K627" s="242"/>
      <c r="M627" s="270"/>
      <c r="N627" s="245"/>
      <c r="O627" s="19" t="s">
        <v>913</v>
      </c>
      <c r="P627" s="17">
        <v>5.22</v>
      </c>
      <c r="Q627" s="17">
        <v>13</v>
      </c>
      <c r="R627" s="17">
        <f t="shared" si="106"/>
        <v>67.86</v>
      </c>
      <c r="S627" s="236"/>
      <c r="T627" s="236"/>
      <c r="U627" s="236"/>
      <c r="V627" s="242"/>
    </row>
    <row r="628" spans="2:22" ht="13">
      <c r="B628" s="270"/>
      <c r="C628" s="245"/>
      <c r="D628" s="19" t="s">
        <v>70</v>
      </c>
      <c r="E628" s="17">
        <v>4.4000000000000004</v>
      </c>
      <c r="F628" s="17">
        <v>13</v>
      </c>
      <c r="G628" s="17">
        <f t="shared" si="105"/>
        <v>57.2</v>
      </c>
      <c r="H628" s="236"/>
      <c r="I628" s="236"/>
      <c r="J628" s="236"/>
      <c r="K628" s="242"/>
      <c r="M628" s="270"/>
      <c r="N628" s="245"/>
      <c r="O628" s="19" t="s">
        <v>70</v>
      </c>
      <c r="P628" s="17">
        <v>4.4000000000000004</v>
      </c>
      <c r="Q628" s="17">
        <v>13</v>
      </c>
      <c r="R628" s="17">
        <f t="shared" si="106"/>
        <v>57.2</v>
      </c>
      <c r="S628" s="236"/>
      <c r="T628" s="236"/>
      <c r="U628" s="236"/>
      <c r="V628" s="242"/>
    </row>
    <row r="629" spans="2:22" ht="13">
      <c r="B629" s="270"/>
      <c r="C629" s="245"/>
      <c r="D629" s="19" t="s">
        <v>744</v>
      </c>
      <c r="E629" s="17">
        <v>7</v>
      </c>
      <c r="F629" s="17">
        <v>13</v>
      </c>
      <c r="G629" s="17">
        <f t="shared" si="105"/>
        <v>91</v>
      </c>
      <c r="H629" s="236"/>
      <c r="I629" s="236"/>
      <c r="J629" s="236"/>
      <c r="K629" s="242"/>
      <c r="M629" s="270"/>
      <c r="N629" s="245"/>
      <c r="O629" s="19" t="s">
        <v>744</v>
      </c>
      <c r="P629" s="17">
        <v>7</v>
      </c>
      <c r="Q629" s="17">
        <v>13</v>
      </c>
      <c r="R629" s="17">
        <f t="shared" si="106"/>
        <v>91</v>
      </c>
      <c r="S629" s="236"/>
      <c r="T629" s="236"/>
      <c r="U629" s="236"/>
      <c r="V629" s="242"/>
    </row>
    <row r="630" spans="2:22" ht="13">
      <c r="B630" s="270"/>
      <c r="C630" s="246"/>
      <c r="D630" s="20" t="s">
        <v>33</v>
      </c>
      <c r="E630" s="21"/>
      <c r="F630" s="21"/>
      <c r="G630" s="21">
        <v>258.88</v>
      </c>
      <c r="H630" s="238"/>
      <c r="I630" s="238"/>
      <c r="J630" s="238"/>
      <c r="K630" s="303"/>
      <c r="M630" s="270"/>
      <c r="N630" s="246"/>
      <c r="O630" s="20" t="s">
        <v>33</v>
      </c>
      <c r="P630" s="21"/>
      <c r="Q630" s="21"/>
      <c r="R630" s="21">
        <v>258.88</v>
      </c>
      <c r="S630" s="238"/>
      <c r="T630" s="238"/>
      <c r="U630" s="238"/>
      <c r="V630" s="303"/>
    </row>
    <row r="631" spans="2:22" ht="13">
      <c r="B631" s="270"/>
      <c r="C631" s="244" t="s">
        <v>940</v>
      </c>
      <c r="D631" s="15" t="s">
        <v>114</v>
      </c>
      <c r="E631" s="16">
        <v>21</v>
      </c>
      <c r="F631" s="16">
        <v>18</v>
      </c>
      <c r="G631" s="16">
        <f t="shared" ref="G631:G636" si="107">E631*F631</f>
        <v>378</v>
      </c>
      <c r="H631" s="292">
        <f>SUM(G631:G637)</f>
        <v>1416.1999999999998</v>
      </c>
      <c r="I631" s="292">
        <v>4214.3999999999996</v>
      </c>
      <c r="J631" s="292">
        <f>I631-H631</f>
        <v>2798.2</v>
      </c>
      <c r="K631" s="302">
        <f>J631/I631</f>
        <v>0.66396165527714501</v>
      </c>
      <c r="M631" s="270"/>
      <c r="N631" s="244" t="s">
        <v>940</v>
      </c>
      <c r="O631" s="15" t="s">
        <v>114</v>
      </c>
      <c r="P631" s="43"/>
      <c r="Q631" s="43"/>
      <c r="R631" s="43"/>
      <c r="S631" s="292">
        <f>SUM(R631:R637)</f>
        <v>1032.48</v>
      </c>
      <c r="T631" s="292">
        <v>4214.3999999999996</v>
      </c>
      <c r="U631" s="292">
        <f>T631-S631</f>
        <v>3181.9199999999996</v>
      </c>
      <c r="V631" s="302">
        <f>U631/T631</f>
        <v>0.75501138952164004</v>
      </c>
    </row>
    <row r="632" spans="2:22" ht="13">
      <c r="B632" s="270"/>
      <c r="C632" s="245"/>
      <c r="D632" s="19" t="s">
        <v>62</v>
      </c>
      <c r="E632" s="17">
        <v>8.57</v>
      </c>
      <c r="F632" s="17">
        <v>13</v>
      </c>
      <c r="G632" s="17">
        <f t="shared" si="107"/>
        <v>111.41</v>
      </c>
      <c r="H632" s="236"/>
      <c r="I632" s="236"/>
      <c r="J632" s="236"/>
      <c r="K632" s="242"/>
      <c r="M632" s="270"/>
      <c r="N632" s="245"/>
      <c r="O632" s="19" t="s">
        <v>62</v>
      </c>
      <c r="P632" s="17">
        <v>8.57</v>
      </c>
      <c r="Q632" s="17">
        <v>13</v>
      </c>
      <c r="R632" s="17">
        <f t="shared" ref="R632:R636" si="108">P632*Q632</f>
        <v>111.41</v>
      </c>
      <c r="S632" s="236"/>
      <c r="T632" s="236"/>
      <c r="U632" s="236"/>
      <c r="V632" s="242"/>
    </row>
    <row r="633" spans="2:22" ht="13">
      <c r="B633" s="270"/>
      <c r="C633" s="245"/>
      <c r="D633" s="19" t="s">
        <v>78</v>
      </c>
      <c r="E633" s="17">
        <v>6.24</v>
      </c>
      <c r="F633" s="17">
        <v>13</v>
      </c>
      <c r="G633" s="17">
        <f t="shared" si="107"/>
        <v>81.12</v>
      </c>
      <c r="H633" s="236"/>
      <c r="I633" s="236"/>
      <c r="J633" s="236"/>
      <c r="K633" s="242"/>
      <c r="M633" s="270"/>
      <c r="N633" s="245"/>
      <c r="O633" s="19" t="s">
        <v>78</v>
      </c>
      <c r="P633" s="17">
        <v>6.24</v>
      </c>
      <c r="Q633" s="17">
        <v>13</v>
      </c>
      <c r="R633" s="17">
        <f t="shared" si="108"/>
        <v>81.12</v>
      </c>
      <c r="S633" s="236"/>
      <c r="T633" s="236"/>
      <c r="U633" s="236"/>
      <c r="V633" s="242"/>
    </row>
    <row r="634" spans="2:22" ht="13">
      <c r="B634" s="270"/>
      <c r="C634" s="245"/>
      <c r="D634" s="19" t="s">
        <v>178</v>
      </c>
      <c r="E634" s="17">
        <v>7.6</v>
      </c>
      <c r="F634" s="17">
        <v>13</v>
      </c>
      <c r="G634" s="17">
        <f t="shared" si="107"/>
        <v>98.8</v>
      </c>
      <c r="H634" s="236"/>
      <c r="I634" s="236"/>
      <c r="J634" s="236"/>
      <c r="K634" s="242"/>
      <c r="M634" s="270"/>
      <c r="N634" s="245"/>
      <c r="O634" s="19" t="s">
        <v>178</v>
      </c>
      <c r="P634" s="17">
        <v>7.6</v>
      </c>
      <c r="Q634" s="17">
        <v>13</v>
      </c>
      <c r="R634" s="17">
        <f t="shared" si="108"/>
        <v>98.8</v>
      </c>
      <c r="S634" s="236"/>
      <c r="T634" s="236"/>
      <c r="U634" s="236"/>
      <c r="V634" s="242"/>
    </row>
    <row r="635" spans="2:22" ht="13">
      <c r="B635" s="270"/>
      <c r="C635" s="245"/>
      <c r="D635" s="19" t="s">
        <v>70</v>
      </c>
      <c r="E635" s="17">
        <v>21.87</v>
      </c>
      <c r="F635" s="17">
        <v>13</v>
      </c>
      <c r="G635" s="17">
        <f t="shared" si="107"/>
        <v>284.31</v>
      </c>
      <c r="H635" s="236"/>
      <c r="I635" s="236"/>
      <c r="J635" s="236"/>
      <c r="K635" s="242"/>
      <c r="M635" s="270"/>
      <c r="N635" s="245"/>
      <c r="O635" s="19" t="s">
        <v>70</v>
      </c>
      <c r="P635" s="17">
        <v>21.43</v>
      </c>
      <c r="Q635" s="17">
        <v>13</v>
      </c>
      <c r="R635" s="17">
        <f t="shared" si="108"/>
        <v>278.58999999999997</v>
      </c>
      <c r="S635" s="236"/>
      <c r="T635" s="236"/>
      <c r="U635" s="236"/>
      <c r="V635" s="242"/>
    </row>
    <row r="636" spans="2:22" ht="13">
      <c r="B636" s="270"/>
      <c r="C636" s="245"/>
      <c r="D636" s="19" t="s">
        <v>744</v>
      </c>
      <c r="E636" s="17">
        <v>20.440000000000001</v>
      </c>
      <c r="F636" s="17">
        <v>13</v>
      </c>
      <c r="G636" s="17">
        <f t="shared" si="107"/>
        <v>265.72000000000003</v>
      </c>
      <c r="H636" s="236"/>
      <c r="I636" s="236"/>
      <c r="J636" s="236"/>
      <c r="K636" s="242"/>
      <c r="M636" s="270"/>
      <c r="N636" s="245"/>
      <c r="O636" s="19" t="s">
        <v>744</v>
      </c>
      <c r="P636" s="17">
        <v>20.440000000000001</v>
      </c>
      <c r="Q636" s="17">
        <v>13</v>
      </c>
      <c r="R636" s="17">
        <f t="shared" si="108"/>
        <v>265.72000000000003</v>
      </c>
      <c r="S636" s="236"/>
      <c r="T636" s="236"/>
      <c r="U636" s="236"/>
      <c r="V636" s="242"/>
    </row>
    <row r="637" spans="2:22" ht="13">
      <c r="B637" s="270"/>
      <c r="C637" s="246"/>
      <c r="D637" s="20" t="s">
        <v>33</v>
      </c>
      <c r="E637" s="21"/>
      <c r="F637" s="21"/>
      <c r="G637" s="21">
        <v>196.84</v>
      </c>
      <c r="H637" s="238"/>
      <c r="I637" s="238"/>
      <c r="J637" s="238"/>
      <c r="K637" s="303"/>
      <c r="M637" s="270"/>
      <c r="N637" s="246"/>
      <c r="O637" s="20" t="s">
        <v>33</v>
      </c>
      <c r="P637" s="21"/>
      <c r="Q637" s="21"/>
      <c r="R637" s="21">
        <v>196.84</v>
      </c>
      <c r="S637" s="238"/>
      <c r="T637" s="238"/>
      <c r="U637" s="238"/>
      <c r="V637" s="303"/>
    </row>
    <row r="638" spans="2:22" ht="13">
      <c r="B638" s="270"/>
      <c r="C638" s="244" t="s">
        <v>941</v>
      </c>
      <c r="D638" s="19" t="s">
        <v>114</v>
      </c>
      <c r="E638" s="17">
        <v>7</v>
      </c>
      <c r="F638" s="17">
        <v>18</v>
      </c>
      <c r="G638" s="17">
        <f>E638*F638</f>
        <v>126</v>
      </c>
      <c r="H638" s="240">
        <f>SUM(G638,G639)</f>
        <v>216</v>
      </c>
      <c r="I638" s="284">
        <v>2159.13</v>
      </c>
      <c r="J638" s="284">
        <f>I638-H638</f>
        <v>1943.13</v>
      </c>
      <c r="K638" s="294">
        <f>J638/I638</f>
        <v>0.89995970599269148</v>
      </c>
      <c r="M638" s="270"/>
      <c r="N638" s="244" t="s">
        <v>941</v>
      </c>
      <c r="O638" s="19" t="s">
        <v>114</v>
      </c>
      <c r="P638" s="43"/>
      <c r="Q638" s="43"/>
      <c r="R638" s="43"/>
      <c r="S638" s="240">
        <f>SUM(R638,R639)</f>
        <v>0</v>
      </c>
      <c r="T638" s="284">
        <v>2159.13</v>
      </c>
      <c r="U638" s="284">
        <f>T638-S638</f>
        <v>2159.13</v>
      </c>
      <c r="V638" s="294">
        <f>U638/T638</f>
        <v>1</v>
      </c>
    </row>
    <row r="639" spans="2:22" ht="13">
      <c r="B639" s="270"/>
      <c r="C639" s="246"/>
      <c r="D639" s="20" t="s">
        <v>373</v>
      </c>
      <c r="E639" s="20"/>
      <c r="F639" s="20"/>
      <c r="G639" s="20">
        <v>90</v>
      </c>
      <c r="H639" s="238"/>
      <c r="I639" s="248"/>
      <c r="J639" s="248"/>
      <c r="K639" s="301"/>
      <c r="M639" s="270"/>
      <c r="N639" s="246"/>
      <c r="O639" s="20"/>
      <c r="P639" s="20"/>
      <c r="Q639" s="20"/>
      <c r="R639" s="20"/>
      <c r="S639" s="238"/>
      <c r="T639" s="248"/>
      <c r="U639" s="248"/>
      <c r="V639" s="301"/>
    </row>
    <row r="640" spans="2:22" ht="13">
      <c r="B640" s="270"/>
      <c r="C640" s="244" t="s">
        <v>942</v>
      </c>
      <c r="D640" s="15" t="s">
        <v>114</v>
      </c>
      <c r="E640" s="16">
        <v>21</v>
      </c>
      <c r="F640" s="16">
        <v>18</v>
      </c>
      <c r="G640" s="16">
        <f>E640*F640</f>
        <v>378</v>
      </c>
      <c r="H640" s="292">
        <f>SUM(G640:G646)</f>
        <v>1112.17</v>
      </c>
      <c r="I640" s="292">
        <v>4820</v>
      </c>
      <c r="J640" s="292">
        <f>I640-H640</f>
        <v>3707.83</v>
      </c>
      <c r="K640" s="302">
        <f>J640/I640</f>
        <v>0.76925933609958508</v>
      </c>
      <c r="M640" s="270"/>
      <c r="N640" s="244" t="s">
        <v>942</v>
      </c>
      <c r="O640" s="15" t="s">
        <v>114</v>
      </c>
      <c r="P640" s="43"/>
      <c r="Q640" s="43"/>
      <c r="R640" s="43"/>
      <c r="S640" s="292">
        <f>SUM(R640:R646)</f>
        <v>723.47</v>
      </c>
      <c r="T640" s="292">
        <v>4820</v>
      </c>
      <c r="U640" s="292">
        <f>T640-S640</f>
        <v>4096.53</v>
      </c>
      <c r="V640" s="302">
        <f>U640/T640</f>
        <v>0.84990248962655601</v>
      </c>
    </row>
    <row r="641" spans="2:22" ht="13">
      <c r="B641" s="270"/>
      <c r="C641" s="245"/>
      <c r="D641" s="24" t="s">
        <v>188</v>
      </c>
      <c r="E641" s="17"/>
      <c r="F641" s="17"/>
      <c r="G641" s="17">
        <v>97.58</v>
      </c>
      <c r="H641" s="236"/>
      <c r="I641" s="236"/>
      <c r="J641" s="236"/>
      <c r="K641" s="242"/>
      <c r="M641" s="270"/>
      <c r="N641" s="245"/>
      <c r="O641" s="24" t="s">
        <v>188</v>
      </c>
      <c r="P641" s="17"/>
      <c r="Q641" s="17"/>
      <c r="R641" s="17">
        <v>97.58</v>
      </c>
      <c r="S641" s="236"/>
      <c r="T641" s="236"/>
      <c r="U641" s="236"/>
      <c r="V641" s="242"/>
    </row>
    <row r="642" spans="2:22" ht="13">
      <c r="B642" s="270"/>
      <c r="C642" s="245"/>
      <c r="D642" s="24" t="s">
        <v>373</v>
      </c>
      <c r="E642" s="17"/>
      <c r="F642" s="17"/>
      <c r="G642" s="17">
        <v>80.7</v>
      </c>
      <c r="H642" s="236"/>
      <c r="I642" s="236"/>
      <c r="J642" s="236"/>
      <c r="K642" s="242"/>
      <c r="M642" s="270"/>
      <c r="N642" s="245"/>
      <c r="O642" s="24" t="s">
        <v>373</v>
      </c>
      <c r="P642" s="17"/>
      <c r="Q642" s="17"/>
      <c r="R642" s="24">
        <v>70</v>
      </c>
      <c r="S642" s="236"/>
      <c r="T642" s="236"/>
      <c r="U642" s="236"/>
      <c r="V642" s="242"/>
    </row>
    <row r="643" spans="2:22" ht="13">
      <c r="B643" s="270"/>
      <c r="C643" s="245"/>
      <c r="D643" s="24" t="s">
        <v>47</v>
      </c>
      <c r="E643" s="17"/>
      <c r="F643" s="17"/>
      <c r="G643" s="24">
        <v>169.71</v>
      </c>
      <c r="H643" s="236"/>
      <c r="I643" s="236"/>
      <c r="J643" s="236"/>
      <c r="K643" s="242"/>
      <c r="M643" s="270"/>
      <c r="N643" s="245"/>
      <c r="O643" s="24" t="s">
        <v>47</v>
      </c>
      <c r="P643" s="17"/>
      <c r="Q643" s="17"/>
      <c r="R643" s="24">
        <v>169.71</v>
      </c>
      <c r="S643" s="236"/>
      <c r="T643" s="236"/>
      <c r="U643" s="236"/>
      <c r="V643" s="242"/>
    </row>
    <row r="644" spans="2:22" ht="13">
      <c r="B644" s="270"/>
      <c r="C644" s="245"/>
      <c r="D644" s="24" t="s">
        <v>155</v>
      </c>
      <c r="E644" s="17"/>
      <c r="F644" s="17"/>
      <c r="G644" s="17">
        <v>137</v>
      </c>
      <c r="H644" s="236"/>
      <c r="I644" s="236"/>
      <c r="J644" s="236"/>
      <c r="K644" s="242"/>
      <c r="M644" s="270"/>
      <c r="N644" s="245"/>
      <c r="O644" s="24" t="s">
        <v>155</v>
      </c>
      <c r="P644" s="17"/>
      <c r="Q644" s="17"/>
      <c r="R644" s="17">
        <v>137</v>
      </c>
      <c r="S644" s="236"/>
      <c r="T644" s="236"/>
      <c r="U644" s="236"/>
      <c r="V644" s="242"/>
    </row>
    <row r="645" spans="2:22" ht="13">
      <c r="B645" s="270"/>
      <c r="C645" s="245"/>
      <c r="D645" s="19" t="s">
        <v>88</v>
      </c>
      <c r="E645" s="17"/>
      <c r="F645" s="17"/>
      <c r="G645" s="24">
        <v>154</v>
      </c>
      <c r="H645" s="236"/>
      <c r="I645" s="236"/>
      <c r="J645" s="236"/>
      <c r="K645" s="242"/>
      <c r="M645" s="270"/>
      <c r="N645" s="245"/>
      <c r="O645" s="19" t="s">
        <v>88</v>
      </c>
      <c r="P645" s="17"/>
      <c r="Q645" s="17"/>
      <c r="R645" s="24">
        <v>154</v>
      </c>
      <c r="S645" s="236"/>
      <c r="T645" s="236"/>
      <c r="U645" s="236"/>
      <c r="V645" s="242"/>
    </row>
    <row r="646" spans="2:22" ht="13">
      <c r="B646" s="270"/>
      <c r="C646" s="246"/>
      <c r="D646" s="20" t="s">
        <v>33</v>
      </c>
      <c r="E646" s="21"/>
      <c r="F646" s="21"/>
      <c r="G646" s="21">
        <v>95.18</v>
      </c>
      <c r="H646" s="238"/>
      <c r="I646" s="238"/>
      <c r="J646" s="238"/>
      <c r="K646" s="303"/>
      <c r="M646" s="270"/>
      <c r="N646" s="246"/>
      <c r="O646" s="20" t="s">
        <v>33</v>
      </c>
      <c r="P646" s="21"/>
      <c r="Q646" s="21"/>
      <c r="R646" s="21">
        <v>95.18</v>
      </c>
      <c r="S646" s="238"/>
      <c r="T646" s="238"/>
      <c r="U646" s="238"/>
      <c r="V646" s="303"/>
    </row>
    <row r="647" spans="2:22" ht="13">
      <c r="B647" s="270"/>
      <c r="C647" s="244" t="s">
        <v>943</v>
      </c>
      <c r="D647" s="19" t="s">
        <v>114</v>
      </c>
      <c r="E647" s="17">
        <v>7</v>
      </c>
      <c r="F647" s="17">
        <v>18</v>
      </c>
      <c r="G647" s="17">
        <f>E647*F647</f>
        <v>126</v>
      </c>
      <c r="H647" s="240">
        <f>SUM(G647,G648)</f>
        <v>135.6</v>
      </c>
      <c r="I647" s="284">
        <v>2016</v>
      </c>
      <c r="J647" s="284">
        <f>I647-H647</f>
        <v>1880.4</v>
      </c>
      <c r="K647" s="294">
        <f>J647/I647</f>
        <v>0.93273809523809526</v>
      </c>
      <c r="M647" s="270"/>
      <c r="N647" s="244" t="s">
        <v>943</v>
      </c>
      <c r="O647" s="19" t="s">
        <v>114</v>
      </c>
      <c r="P647" s="43"/>
      <c r="Q647" s="43"/>
      <c r="R647" s="43"/>
      <c r="S647" s="240">
        <f>SUM(R647,R648)</f>
        <v>9.6</v>
      </c>
      <c r="T647" s="284">
        <v>2016</v>
      </c>
      <c r="U647" s="284">
        <f>T647-S647</f>
        <v>2006.4</v>
      </c>
      <c r="V647" s="294">
        <f>U647/T647</f>
        <v>0.99523809523809526</v>
      </c>
    </row>
    <row r="648" spans="2:22" ht="13">
      <c r="B648" s="270"/>
      <c r="C648" s="246"/>
      <c r="D648" s="20" t="s">
        <v>193</v>
      </c>
      <c r="E648" s="20"/>
      <c r="F648" s="20"/>
      <c r="G648" s="20">
        <v>9.6</v>
      </c>
      <c r="H648" s="238"/>
      <c r="I648" s="248"/>
      <c r="J648" s="248"/>
      <c r="K648" s="301"/>
      <c r="M648" s="270"/>
      <c r="N648" s="246"/>
      <c r="O648" s="20" t="s">
        <v>193</v>
      </c>
      <c r="P648" s="20"/>
      <c r="Q648" s="20"/>
      <c r="R648" s="20">
        <v>9.6</v>
      </c>
      <c r="S648" s="238"/>
      <c r="T648" s="248"/>
      <c r="U648" s="248"/>
      <c r="V648" s="301"/>
    </row>
    <row r="649" spans="2:22" ht="13">
      <c r="B649" s="270"/>
      <c r="C649" s="244" t="s">
        <v>944</v>
      </c>
      <c r="D649" s="15" t="s">
        <v>537</v>
      </c>
      <c r="E649" s="16">
        <v>6</v>
      </c>
      <c r="F649" s="17">
        <v>15</v>
      </c>
      <c r="G649" s="17">
        <f t="shared" ref="G649:G656" si="109">E649*F649</f>
        <v>90</v>
      </c>
      <c r="H649" s="240">
        <f>SUM(G649:G658)</f>
        <v>1070.7</v>
      </c>
      <c r="I649" s="240">
        <v>2878.4</v>
      </c>
      <c r="J649" s="240">
        <f>I649-H649</f>
        <v>1807.7</v>
      </c>
      <c r="K649" s="241">
        <f>J649/I649</f>
        <v>0.62802251250694829</v>
      </c>
      <c r="M649" s="270"/>
      <c r="N649" s="244" t="s">
        <v>944</v>
      </c>
      <c r="O649" s="15" t="s">
        <v>537</v>
      </c>
      <c r="P649" s="16">
        <v>6</v>
      </c>
      <c r="Q649" s="17">
        <v>15</v>
      </c>
      <c r="R649" s="17">
        <f t="shared" ref="R649:R656" si="110">P649*Q649</f>
        <v>90</v>
      </c>
      <c r="S649" s="240">
        <f>SUM(R649:R658)</f>
        <v>1070.7</v>
      </c>
      <c r="T649" s="240">
        <v>2878.4</v>
      </c>
      <c r="U649" s="240">
        <f>T649-S649</f>
        <v>1807.7</v>
      </c>
      <c r="V649" s="241">
        <f>U649/T649</f>
        <v>0.62802251250694829</v>
      </c>
    </row>
    <row r="650" spans="2:22" ht="13">
      <c r="B650" s="270"/>
      <c r="C650" s="245"/>
      <c r="D650" s="19" t="s">
        <v>147</v>
      </c>
      <c r="E650" s="17">
        <v>15</v>
      </c>
      <c r="F650" s="17">
        <v>15</v>
      </c>
      <c r="G650" s="17">
        <f t="shared" si="109"/>
        <v>225</v>
      </c>
      <c r="H650" s="236"/>
      <c r="I650" s="236"/>
      <c r="J650" s="236"/>
      <c r="K650" s="242"/>
      <c r="M650" s="270"/>
      <c r="N650" s="245"/>
      <c r="O650" s="19" t="s">
        <v>147</v>
      </c>
      <c r="P650" s="17">
        <v>15</v>
      </c>
      <c r="Q650" s="17">
        <v>15</v>
      </c>
      <c r="R650" s="17">
        <f t="shared" si="110"/>
        <v>225</v>
      </c>
      <c r="S650" s="236"/>
      <c r="T650" s="236"/>
      <c r="U650" s="236"/>
      <c r="V650" s="242"/>
    </row>
    <row r="651" spans="2:22" ht="13">
      <c r="B651" s="270"/>
      <c r="C651" s="245"/>
      <c r="D651" s="19" t="s">
        <v>945</v>
      </c>
      <c r="E651" s="17">
        <v>3</v>
      </c>
      <c r="F651" s="17">
        <v>15</v>
      </c>
      <c r="G651" s="17">
        <f t="shared" si="109"/>
        <v>45</v>
      </c>
      <c r="H651" s="236"/>
      <c r="I651" s="236"/>
      <c r="J651" s="236"/>
      <c r="K651" s="242"/>
      <c r="M651" s="270"/>
      <c r="N651" s="245"/>
      <c r="O651" s="19" t="s">
        <v>945</v>
      </c>
      <c r="P651" s="17">
        <v>3</v>
      </c>
      <c r="Q651" s="17">
        <v>15</v>
      </c>
      <c r="R651" s="17">
        <f t="shared" si="110"/>
        <v>45</v>
      </c>
      <c r="S651" s="236"/>
      <c r="T651" s="236"/>
      <c r="U651" s="236"/>
      <c r="V651" s="242"/>
    </row>
    <row r="652" spans="2:22" ht="13">
      <c r="B652" s="270"/>
      <c r="C652" s="245"/>
      <c r="D652" s="19" t="s">
        <v>946</v>
      </c>
      <c r="E652" s="17">
        <v>7.5</v>
      </c>
      <c r="F652" s="17">
        <v>13</v>
      </c>
      <c r="G652" s="17">
        <f t="shared" si="109"/>
        <v>97.5</v>
      </c>
      <c r="H652" s="236"/>
      <c r="I652" s="236"/>
      <c r="J652" s="236"/>
      <c r="K652" s="242"/>
      <c r="M652" s="270"/>
      <c r="N652" s="245"/>
      <c r="O652" s="19" t="s">
        <v>946</v>
      </c>
      <c r="P652" s="17">
        <v>7.5</v>
      </c>
      <c r="Q652" s="17">
        <v>13</v>
      </c>
      <c r="R652" s="17">
        <f t="shared" si="110"/>
        <v>97.5</v>
      </c>
      <c r="S652" s="236"/>
      <c r="T652" s="236"/>
      <c r="U652" s="236"/>
      <c r="V652" s="242"/>
    </row>
    <row r="653" spans="2:22" ht="13">
      <c r="B653" s="270"/>
      <c r="C653" s="245"/>
      <c r="D653" s="19" t="s">
        <v>917</v>
      </c>
      <c r="E653" s="17">
        <v>9</v>
      </c>
      <c r="F653" s="17">
        <v>13</v>
      </c>
      <c r="G653" s="17">
        <f t="shared" si="109"/>
        <v>117</v>
      </c>
      <c r="H653" s="236"/>
      <c r="I653" s="236"/>
      <c r="J653" s="236"/>
      <c r="K653" s="242"/>
      <c r="M653" s="270"/>
      <c r="N653" s="245"/>
      <c r="O653" s="19" t="s">
        <v>917</v>
      </c>
      <c r="P653" s="17">
        <v>9</v>
      </c>
      <c r="Q653" s="17">
        <v>13</v>
      </c>
      <c r="R653" s="17">
        <f t="shared" si="110"/>
        <v>117</v>
      </c>
      <c r="S653" s="236"/>
      <c r="T653" s="236"/>
      <c r="U653" s="236"/>
      <c r="V653" s="242"/>
    </row>
    <row r="654" spans="2:22" ht="13">
      <c r="B654" s="270"/>
      <c r="C654" s="245"/>
      <c r="D654" s="24" t="s">
        <v>947</v>
      </c>
      <c r="E654" s="17">
        <v>4</v>
      </c>
      <c r="F654" s="17">
        <v>13</v>
      </c>
      <c r="G654" s="17">
        <f t="shared" si="109"/>
        <v>52</v>
      </c>
      <c r="H654" s="236"/>
      <c r="I654" s="236"/>
      <c r="J654" s="236"/>
      <c r="K654" s="242"/>
      <c r="M654" s="270"/>
      <c r="N654" s="245"/>
      <c r="O654" s="24" t="s">
        <v>947</v>
      </c>
      <c r="P654" s="17">
        <v>4</v>
      </c>
      <c r="Q654" s="17">
        <v>13</v>
      </c>
      <c r="R654" s="17">
        <f t="shared" si="110"/>
        <v>52</v>
      </c>
      <c r="S654" s="236"/>
      <c r="T654" s="236"/>
      <c r="U654" s="236"/>
      <c r="V654" s="242"/>
    </row>
    <row r="655" spans="2:22" ht="13">
      <c r="B655" s="270"/>
      <c r="C655" s="245"/>
      <c r="D655" s="24" t="s">
        <v>526</v>
      </c>
      <c r="E655" s="17">
        <v>9.5</v>
      </c>
      <c r="F655" s="17">
        <v>13</v>
      </c>
      <c r="G655" s="17">
        <f t="shared" si="109"/>
        <v>123.5</v>
      </c>
      <c r="H655" s="236"/>
      <c r="I655" s="236"/>
      <c r="J655" s="236"/>
      <c r="K655" s="242"/>
      <c r="M655" s="270"/>
      <c r="N655" s="245"/>
      <c r="O655" s="24" t="s">
        <v>526</v>
      </c>
      <c r="P655" s="17">
        <v>9.5</v>
      </c>
      <c r="Q655" s="17">
        <v>13</v>
      </c>
      <c r="R655" s="17">
        <f t="shared" si="110"/>
        <v>123.5</v>
      </c>
      <c r="S655" s="236"/>
      <c r="T655" s="236"/>
      <c r="U655" s="236"/>
      <c r="V655" s="242"/>
    </row>
    <row r="656" spans="2:22" ht="13">
      <c r="B656" s="270"/>
      <c r="C656" s="245"/>
      <c r="D656" s="24" t="s">
        <v>948</v>
      </c>
      <c r="E656" s="17">
        <v>7.5</v>
      </c>
      <c r="F656" s="17">
        <v>13</v>
      </c>
      <c r="G656" s="17">
        <f t="shared" si="109"/>
        <v>97.5</v>
      </c>
      <c r="H656" s="236"/>
      <c r="I656" s="236"/>
      <c r="J656" s="236"/>
      <c r="K656" s="242"/>
      <c r="M656" s="270"/>
      <c r="N656" s="245"/>
      <c r="O656" s="24" t="s">
        <v>948</v>
      </c>
      <c r="P656" s="17">
        <v>7.5</v>
      </c>
      <c r="Q656" s="17">
        <v>13</v>
      </c>
      <c r="R656" s="17">
        <f t="shared" si="110"/>
        <v>97.5</v>
      </c>
      <c r="S656" s="236"/>
      <c r="T656" s="236"/>
      <c r="U656" s="236"/>
      <c r="V656" s="242"/>
    </row>
    <row r="657" spans="2:22" ht="13">
      <c r="B657" s="270"/>
      <c r="C657" s="245"/>
      <c r="D657" s="19" t="s">
        <v>949</v>
      </c>
      <c r="E657" s="17"/>
      <c r="F657" s="17"/>
      <c r="G657" s="17">
        <v>70</v>
      </c>
      <c r="H657" s="236"/>
      <c r="I657" s="236"/>
      <c r="J657" s="236"/>
      <c r="K657" s="242"/>
      <c r="M657" s="270"/>
      <c r="N657" s="245"/>
      <c r="O657" s="19" t="s">
        <v>949</v>
      </c>
      <c r="P657" s="17"/>
      <c r="Q657" s="17"/>
      <c r="R657" s="17">
        <v>70</v>
      </c>
      <c r="S657" s="236"/>
      <c r="T657" s="236"/>
      <c r="U657" s="236"/>
      <c r="V657" s="242"/>
    </row>
    <row r="658" spans="2:22" ht="13">
      <c r="B658" s="270"/>
      <c r="C658" s="246"/>
      <c r="D658" s="44" t="s">
        <v>33</v>
      </c>
      <c r="E658" s="21"/>
      <c r="F658" s="21"/>
      <c r="G658" s="21">
        <v>153.19999999999999</v>
      </c>
      <c r="H658" s="238"/>
      <c r="I658" s="238"/>
      <c r="J658" s="238"/>
      <c r="K658" s="243"/>
      <c r="M658" s="270"/>
      <c r="N658" s="246"/>
      <c r="O658" s="44" t="s">
        <v>33</v>
      </c>
      <c r="P658" s="21"/>
      <c r="Q658" s="21"/>
      <c r="R658" s="21">
        <v>153.19999999999999</v>
      </c>
      <c r="S658" s="238"/>
      <c r="T658" s="238"/>
      <c r="U658" s="238"/>
      <c r="V658" s="243"/>
    </row>
    <row r="659" spans="2:22" ht="13">
      <c r="B659" s="270"/>
      <c r="C659" s="244" t="s">
        <v>950</v>
      </c>
      <c r="D659" s="15" t="s">
        <v>742</v>
      </c>
      <c r="E659" s="16">
        <v>9</v>
      </c>
      <c r="F659" s="17">
        <v>15</v>
      </c>
      <c r="G659" s="17">
        <f t="shared" ref="G659:G661" si="111">E659*F659</f>
        <v>135</v>
      </c>
      <c r="H659" s="240">
        <f>SUM(G659:G665)</f>
        <v>831.1</v>
      </c>
      <c r="I659" s="240">
        <v>3197</v>
      </c>
      <c r="J659" s="240">
        <f>I659-H659</f>
        <v>2365.9</v>
      </c>
      <c r="K659" s="241">
        <f>J659/I659</f>
        <v>0.74003753518923998</v>
      </c>
      <c r="M659" s="270"/>
      <c r="N659" s="244" t="s">
        <v>950</v>
      </c>
      <c r="O659" s="15" t="s">
        <v>742</v>
      </c>
      <c r="P659" s="16">
        <v>9</v>
      </c>
      <c r="Q659" s="17">
        <v>15</v>
      </c>
      <c r="R659" s="17">
        <f t="shared" ref="R659:R661" si="112">P659*Q659</f>
        <v>135</v>
      </c>
      <c r="S659" s="240">
        <f>SUM(R659:R665)</f>
        <v>844.1</v>
      </c>
      <c r="T659" s="240">
        <v>3197</v>
      </c>
      <c r="U659" s="240">
        <f>T659-S659</f>
        <v>2352.9</v>
      </c>
      <c r="V659" s="241">
        <f>U659/T659</f>
        <v>0.7359712230215828</v>
      </c>
    </row>
    <row r="660" spans="2:22" ht="13">
      <c r="B660" s="270"/>
      <c r="C660" s="245"/>
      <c r="D660" s="19" t="s">
        <v>147</v>
      </c>
      <c r="E660" s="17">
        <v>12</v>
      </c>
      <c r="F660" s="17">
        <v>15</v>
      </c>
      <c r="G660" s="17">
        <f t="shared" si="111"/>
        <v>180</v>
      </c>
      <c r="H660" s="236"/>
      <c r="I660" s="236"/>
      <c r="J660" s="236"/>
      <c r="K660" s="242"/>
      <c r="M660" s="270"/>
      <c r="N660" s="245"/>
      <c r="O660" s="19" t="s">
        <v>147</v>
      </c>
      <c r="P660" s="17">
        <v>12</v>
      </c>
      <c r="Q660" s="17">
        <v>15</v>
      </c>
      <c r="R660" s="17">
        <f t="shared" si="112"/>
        <v>180</v>
      </c>
      <c r="S660" s="236"/>
      <c r="T660" s="236"/>
      <c r="U660" s="236"/>
      <c r="V660" s="242"/>
    </row>
    <row r="661" spans="2:22" ht="13">
      <c r="B661" s="270"/>
      <c r="C661" s="245"/>
      <c r="D661" s="19" t="s">
        <v>945</v>
      </c>
      <c r="E661" s="17">
        <v>3</v>
      </c>
      <c r="F661" s="17">
        <v>15</v>
      </c>
      <c r="G661" s="17">
        <f t="shared" si="111"/>
        <v>45</v>
      </c>
      <c r="H661" s="236"/>
      <c r="I661" s="236"/>
      <c r="J661" s="236"/>
      <c r="K661" s="242"/>
      <c r="M661" s="270"/>
      <c r="N661" s="245"/>
      <c r="O661" s="19" t="s">
        <v>945</v>
      </c>
      <c r="P661" s="17">
        <v>3</v>
      </c>
      <c r="Q661" s="17">
        <v>15</v>
      </c>
      <c r="R661" s="17">
        <f t="shared" si="112"/>
        <v>45</v>
      </c>
      <c r="S661" s="236"/>
      <c r="T661" s="236"/>
      <c r="U661" s="236"/>
      <c r="V661" s="242"/>
    </row>
    <row r="662" spans="2:22" ht="13">
      <c r="B662" s="270"/>
      <c r="C662" s="245"/>
      <c r="D662" s="19" t="s">
        <v>951</v>
      </c>
      <c r="E662" s="17"/>
      <c r="F662" s="17"/>
      <c r="G662" s="17">
        <v>20</v>
      </c>
      <c r="H662" s="236"/>
      <c r="I662" s="236"/>
      <c r="J662" s="236"/>
      <c r="K662" s="242"/>
      <c r="M662" s="270"/>
      <c r="N662" s="245"/>
      <c r="O662" s="19" t="s">
        <v>952</v>
      </c>
      <c r="P662" s="17"/>
      <c r="Q662" s="17"/>
      <c r="R662" s="17">
        <v>20</v>
      </c>
      <c r="S662" s="236"/>
      <c r="T662" s="236"/>
      <c r="U662" s="236"/>
      <c r="V662" s="242"/>
    </row>
    <row r="663" spans="2:22" ht="13">
      <c r="B663" s="270"/>
      <c r="C663" s="245"/>
      <c r="D663" s="19" t="s">
        <v>78</v>
      </c>
      <c r="E663" s="17">
        <v>11</v>
      </c>
      <c r="F663" s="17">
        <v>13</v>
      </c>
      <c r="G663" s="17">
        <f t="shared" ref="G663:G664" si="113">E663*F663</f>
        <v>143</v>
      </c>
      <c r="H663" s="236"/>
      <c r="I663" s="236"/>
      <c r="J663" s="236"/>
      <c r="K663" s="242"/>
      <c r="M663" s="270"/>
      <c r="N663" s="245"/>
      <c r="O663" s="19" t="s">
        <v>78</v>
      </c>
      <c r="P663" s="17">
        <v>12</v>
      </c>
      <c r="Q663" s="17">
        <v>13</v>
      </c>
      <c r="R663" s="17">
        <f t="shared" ref="R663:R664" si="114">P663*Q663</f>
        <v>156</v>
      </c>
      <c r="S663" s="236"/>
      <c r="T663" s="236"/>
      <c r="U663" s="236"/>
      <c r="V663" s="242"/>
    </row>
    <row r="664" spans="2:22" ht="13">
      <c r="B664" s="270"/>
      <c r="C664" s="245"/>
      <c r="D664" s="19" t="s">
        <v>953</v>
      </c>
      <c r="E664" s="17">
        <v>12</v>
      </c>
      <c r="F664" s="17">
        <v>13</v>
      </c>
      <c r="G664" s="17">
        <f t="shared" si="113"/>
        <v>156</v>
      </c>
      <c r="H664" s="236"/>
      <c r="I664" s="236"/>
      <c r="J664" s="236"/>
      <c r="K664" s="242"/>
      <c r="M664" s="270"/>
      <c r="N664" s="245"/>
      <c r="O664" s="19" t="s">
        <v>953</v>
      </c>
      <c r="P664" s="17">
        <v>12</v>
      </c>
      <c r="Q664" s="17">
        <v>13</v>
      </c>
      <c r="R664" s="17">
        <f t="shared" si="114"/>
        <v>156</v>
      </c>
      <c r="S664" s="236"/>
      <c r="T664" s="236"/>
      <c r="U664" s="236"/>
      <c r="V664" s="242"/>
    </row>
    <row r="665" spans="2:22" ht="13">
      <c r="B665" s="270"/>
      <c r="C665" s="246"/>
      <c r="D665" s="44" t="s">
        <v>954</v>
      </c>
      <c r="E665" s="21"/>
      <c r="F665" s="21"/>
      <c r="G665" s="21">
        <v>152.1</v>
      </c>
      <c r="H665" s="238"/>
      <c r="I665" s="238"/>
      <c r="J665" s="238"/>
      <c r="K665" s="243"/>
      <c r="M665" s="270"/>
      <c r="N665" s="246"/>
      <c r="O665" s="44" t="s">
        <v>954</v>
      </c>
      <c r="P665" s="21"/>
      <c r="Q665" s="21"/>
      <c r="R665" s="21">
        <v>152.1</v>
      </c>
      <c r="S665" s="238"/>
      <c r="T665" s="238"/>
      <c r="U665" s="238"/>
      <c r="V665" s="243"/>
    </row>
    <row r="666" spans="2:22" ht="13">
      <c r="B666" s="270"/>
      <c r="C666" s="244" t="s">
        <v>955</v>
      </c>
      <c r="D666" s="15" t="s">
        <v>740</v>
      </c>
      <c r="E666" s="16"/>
      <c r="F666" s="17"/>
      <c r="G666" s="17">
        <v>60</v>
      </c>
      <c r="H666" s="240">
        <f>SUM(G666:G670)</f>
        <v>280</v>
      </c>
      <c r="I666" s="240">
        <v>1176</v>
      </c>
      <c r="J666" s="240">
        <f>I666-H666</f>
        <v>896</v>
      </c>
      <c r="K666" s="241">
        <f>J666/I666</f>
        <v>0.76190476190476186</v>
      </c>
      <c r="M666" s="270"/>
      <c r="N666" s="244" t="s">
        <v>955</v>
      </c>
      <c r="O666" s="15" t="s">
        <v>740</v>
      </c>
      <c r="P666" s="16"/>
      <c r="Q666" s="17"/>
      <c r="R666" s="17">
        <v>60</v>
      </c>
      <c r="S666" s="240">
        <f>SUM(R666:R670)</f>
        <v>280</v>
      </c>
      <c r="T666" s="240">
        <v>1176</v>
      </c>
      <c r="U666" s="240">
        <f>T666-S666</f>
        <v>896</v>
      </c>
      <c r="V666" s="241">
        <f>U666/T666</f>
        <v>0.76190476190476186</v>
      </c>
    </row>
    <row r="667" spans="2:22" ht="13">
      <c r="B667" s="270"/>
      <c r="C667" s="245"/>
      <c r="D667" s="19" t="s">
        <v>956</v>
      </c>
      <c r="E667" s="17"/>
      <c r="F667" s="17"/>
      <c r="G667" s="17">
        <v>60</v>
      </c>
      <c r="H667" s="236"/>
      <c r="I667" s="236"/>
      <c r="J667" s="236"/>
      <c r="K667" s="242"/>
      <c r="M667" s="270"/>
      <c r="N667" s="245"/>
      <c r="O667" s="19" t="s">
        <v>956</v>
      </c>
      <c r="P667" s="17"/>
      <c r="Q667" s="17"/>
      <c r="R667" s="17">
        <v>60</v>
      </c>
      <c r="S667" s="236"/>
      <c r="T667" s="236"/>
      <c r="U667" s="236"/>
      <c r="V667" s="242"/>
    </row>
    <row r="668" spans="2:22" ht="13">
      <c r="B668" s="270"/>
      <c r="C668" s="245"/>
      <c r="D668" s="19" t="s">
        <v>957</v>
      </c>
      <c r="E668" s="17">
        <v>2</v>
      </c>
      <c r="F668" s="17">
        <v>25</v>
      </c>
      <c r="G668" s="17">
        <f t="shared" ref="G668:G669" si="115">E668*F668</f>
        <v>50</v>
      </c>
      <c r="H668" s="236"/>
      <c r="I668" s="236"/>
      <c r="J668" s="236"/>
      <c r="K668" s="242"/>
      <c r="M668" s="270"/>
      <c r="N668" s="245"/>
      <c r="O668" s="19" t="s">
        <v>957</v>
      </c>
      <c r="P668" s="17">
        <v>2</v>
      </c>
      <c r="Q668" s="17">
        <v>25</v>
      </c>
      <c r="R668" s="17">
        <f t="shared" ref="R668:R669" si="116">P668*Q668</f>
        <v>50</v>
      </c>
      <c r="S668" s="236"/>
      <c r="T668" s="236"/>
      <c r="U668" s="236"/>
      <c r="V668" s="242"/>
    </row>
    <row r="669" spans="2:22" ht="13">
      <c r="B669" s="270"/>
      <c r="C669" s="245"/>
      <c r="D669" s="19" t="s">
        <v>744</v>
      </c>
      <c r="E669" s="17">
        <v>2</v>
      </c>
      <c r="F669" s="17">
        <v>25</v>
      </c>
      <c r="G669" s="17">
        <f t="shared" si="115"/>
        <v>50</v>
      </c>
      <c r="H669" s="236"/>
      <c r="I669" s="236"/>
      <c r="J669" s="236"/>
      <c r="K669" s="242"/>
      <c r="M669" s="270"/>
      <c r="N669" s="245"/>
      <c r="O669" s="19" t="s">
        <v>744</v>
      </c>
      <c r="P669" s="17">
        <v>2</v>
      </c>
      <c r="Q669" s="17">
        <v>25</v>
      </c>
      <c r="R669" s="17">
        <f t="shared" si="116"/>
        <v>50</v>
      </c>
      <c r="S669" s="236"/>
      <c r="T669" s="236"/>
      <c r="U669" s="236"/>
      <c r="V669" s="242"/>
    </row>
    <row r="670" spans="2:22" ht="13">
      <c r="B670" s="270"/>
      <c r="C670" s="246"/>
      <c r="D670" s="44" t="s">
        <v>70</v>
      </c>
      <c r="E670" s="21"/>
      <c r="F670" s="21"/>
      <c r="G670" s="21">
        <v>60</v>
      </c>
      <c r="H670" s="238"/>
      <c r="I670" s="238"/>
      <c r="J670" s="238"/>
      <c r="K670" s="243"/>
      <c r="M670" s="270"/>
      <c r="N670" s="246"/>
      <c r="O670" s="44" t="s">
        <v>70</v>
      </c>
      <c r="P670" s="21"/>
      <c r="Q670" s="21"/>
      <c r="R670" s="21">
        <v>60</v>
      </c>
      <c r="S670" s="238"/>
      <c r="T670" s="238"/>
      <c r="U670" s="238"/>
      <c r="V670" s="243"/>
    </row>
    <row r="671" spans="2:22" ht="13">
      <c r="B671" s="270"/>
      <c r="C671" s="244" t="s">
        <v>958</v>
      </c>
      <c r="D671" s="19" t="s">
        <v>114</v>
      </c>
      <c r="E671" s="17">
        <v>7</v>
      </c>
      <c r="F671" s="17">
        <v>18</v>
      </c>
      <c r="G671" s="17">
        <f>E671*F671</f>
        <v>126</v>
      </c>
      <c r="H671" s="240">
        <f>SUM(G671,G672)</f>
        <v>289</v>
      </c>
      <c r="I671" s="284">
        <v>2136.96</v>
      </c>
      <c r="J671" s="284">
        <f>I671-H671</f>
        <v>1847.96</v>
      </c>
      <c r="K671" s="294">
        <f>J671/I671</f>
        <v>0.86476115603474091</v>
      </c>
      <c r="M671" s="270"/>
      <c r="N671" s="244" t="s">
        <v>958</v>
      </c>
      <c r="O671" s="19" t="s">
        <v>114</v>
      </c>
      <c r="P671" s="43"/>
      <c r="Q671" s="43"/>
      <c r="R671" s="43"/>
      <c r="S671" s="240">
        <f>SUM(R671,R672)</f>
        <v>163</v>
      </c>
      <c r="T671" s="284">
        <v>2136.96</v>
      </c>
      <c r="U671" s="284">
        <f>T671-S671</f>
        <v>1973.96</v>
      </c>
      <c r="V671" s="294">
        <f>U671/T671</f>
        <v>0.92372342018568432</v>
      </c>
    </row>
    <row r="672" spans="2:22" ht="13">
      <c r="B672" s="270"/>
      <c r="C672" s="246"/>
      <c r="D672" s="20" t="s">
        <v>959</v>
      </c>
      <c r="E672" s="20"/>
      <c r="F672" s="20"/>
      <c r="G672" s="20">
        <v>163</v>
      </c>
      <c r="H672" s="238"/>
      <c r="I672" s="248"/>
      <c r="J672" s="248"/>
      <c r="K672" s="301"/>
      <c r="M672" s="270"/>
      <c r="N672" s="246"/>
      <c r="O672" s="20" t="s">
        <v>959</v>
      </c>
      <c r="P672" s="20"/>
      <c r="Q672" s="20"/>
      <c r="R672" s="20">
        <v>163</v>
      </c>
      <c r="S672" s="238"/>
      <c r="T672" s="248"/>
      <c r="U672" s="248"/>
      <c r="V672" s="301"/>
    </row>
    <row r="673" spans="2:22" ht="13">
      <c r="B673" s="270"/>
      <c r="C673" s="244" t="s">
        <v>960</v>
      </c>
      <c r="D673" s="15" t="s">
        <v>265</v>
      </c>
      <c r="E673" s="16">
        <v>3.35</v>
      </c>
      <c r="F673" s="17">
        <v>13</v>
      </c>
      <c r="G673" s="17">
        <f t="shared" ref="G673:G677" si="117">E673*F673</f>
        <v>43.550000000000004</v>
      </c>
      <c r="H673" s="240">
        <f>SUM(G673:G678)</f>
        <v>555.03</v>
      </c>
      <c r="I673" s="240">
        <v>2423.25</v>
      </c>
      <c r="J673" s="240">
        <f>I673-H673</f>
        <v>1868.22</v>
      </c>
      <c r="K673" s="241">
        <f>J673/I673</f>
        <v>0.77095636025998149</v>
      </c>
      <c r="M673" s="270"/>
      <c r="N673" s="244" t="s">
        <v>960</v>
      </c>
      <c r="O673" s="15" t="s">
        <v>265</v>
      </c>
      <c r="P673" s="16">
        <v>3.35</v>
      </c>
      <c r="Q673" s="17">
        <v>13</v>
      </c>
      <c r="R673" s="17">
        <f t="shared" ref="R673:R674" si="118">P673*Q673</f>
        <v>43.550000000000004</v>
      </c>
      <c r="S673" s="240">
        <f>SUM(R673:R678)</f>
        <v>445.23</v>
      </c>
      <c r="T673" s="240">
        <v>2423.25</v>
      </c>
      <c r="U673" s="240">
        <f>T673-S673</f>
        <v>1978.02</v>
      </c>
      <c r="V673" s="241">
        <f>U673/T673</f>
        <v>0.81626740947075205</v>
      </c>
    </row>
    <row r="674" spans="2:22" ht="13">
      <c r="B674" s="270"/>
      <c r="C674" s="245"/>
      <c r="D674" s="19" t="s">
        <v>78</v>
      </c>
      <c r="E674" s="17">
        <v>8.1</v>
      </c>
      <c r="F674" s="17">
        <v>13</v>
      </c>
      <c r="G674" s="17">
        <f t="shared" si="117"/>
        <v>105.3</v>
      </c>
      <c r="H674" s="236"/>
      <c r="I674" s="236"/>
      <c r="J674" s="236"/>
      <c r="K674" s="242"/>
      <c r="M674" s="270"/>
      <c r="N674" s="245"/>
      <c r="O674" s="19" t="s">
        <v>78</v>
      </c>
      <c r="P674" s="17">
        <v>5</v>
      </c>
      <c r="Q674" s="17">
        <v>13</v>
      </c>
      <c r="R674" s="17">
        <f t="shared" si="118"/>
        <v>65</v>
      </c>
      <c r="S674" s="236"/>
      <c r="T674" s="236"/>
      <c r="U674" s="236"/>
      <c r="V674" s="242"/>
    </row>
    <row r="675" spans="2:22" ht="13">
      <c r="B675" s="270"/>
      <c r="C675" s="245"/>
      <c r="D675" s="19" t="s">
        <v>114</v>
      </c>
      <c r="E675" s="17">
        <v>3.5</v>
      </c>
      <c r="F675" s="17">
        <v>18</v>
      </c>
      <c r="G675" s="17">
        <f t="shared" si="117"/>
        <v>63</v>
      </c>
      <c r="H675" s="236"/>
      <c r="I675" s="236"/>
      <c r="J675" s="236"/>
      <c r="K675" s="242"/>
      <c r="M675" s="270"/>
      <c r="N675" s="245"/>
      <c r="O675" s="19" t="s">
        <v>114</v>
      </c>
      <c r="P675" s="18"/>
      <c r="Q675" s="18"/>
      <c r="R675" s="18"/>
      <c r="S675" s="236"/>
      <c r="T675" s="236"/>
      <c r="U675" s="236"/>
      <c r="V675" s="242"/>
    </row>
    <row r="676" spans="2:22" ht="13">
      <c r="B676" s="270"/>
      <c r="C676" s="245"/>
      <c r="D676" s="19" t="s">
        <v>953</v>
      </c>
      <c r="E676" s="17">
        <v>1.4</v>
      </c>
      <c r="F676" s="17">
        <v>13</v>
      </c>
      <c r="G676" s="17">
        <f t="shared" si="117"/>
        <v>18.2</v>
      </c>
      <c r="H676" s="236"/>
      <c r="I676" s="236"/>
      <c r="J676" s="236"/>
      <c r="K676" s="242"/>
      <c r="M676" s="270"/>
      <c r="N676" s="245"/>
      <c r="O676" s="19" t="s">
        <v>953</v>
      </c>
      <c r="P676" s="17">
        <v>1.4</v>
      </c>
      <c r="Q676" s="17">
        <v>13</v>
      </c>
      <c r="R676" s="17">
        <f t="shared" ref="R676:R677" si="119">P676*Q676</f>
        <v>18.2</v>
      </c>
      <c r="S676" s="236"/>
      <c r="T676" s="236"/>
      <c r="U676" s="236"/>
      <c r="V676" s="242"/>
    </row>
    <row r="677" spans="2:22" ht="13">
      <c r="B677" s="270"/>
      <c r="C677" s="245"/>
      <c r="D677" s="19" t="s">
        <v>754</v>
      </c>
      <c r="E677" s="17">
        <v>5</v>
      </c>
      <c r="F677" s="17">
        <v>13</v>
      </c>
      <c r="G677" s="17">
        <f t="shared" si="117"/>
        <v>65</v>
      </c>
      <c r="H677" s="236"/>
      <c r="I677" s="236"/>
      <c r="J677" s="236"/>
      <c r="K677" s="242"/>
      <c r="M677" s="270"/>
      <c r="N677" s="245"/>
      <c r="O677" s="19" t="s">
        <v>754</v>
      </c>
      <c r="P677" s="17">
        <v>4.5</v>
      </c>
      <c r="Q677" s="17">
        <v>13</v>
      </c>
      <c r="R677" s="17">
        <f t="shared" si="119"/>
        <v>58.5</v>
      </c>
      <c r="S677" s="236"/>
      <c r="T677" s="236"/>
      <c r="U677" s="236"/>
      <c r="V677" s="242"/>
    </row>
    <row r="678" spans="2:22" ht="13">
      <c r="B678" s="270"/>
      <c r="C678" s="246"/>
      <c r="D678" s="44" t="s">
        <v>94</v>
      </c>
      <c r="E678" s="21"/>
      <c r="F678" s="21"/>
      <c r="G678" s="21">
        <v>259.98</v>
      </c>
      <c r="H678" s="238"/>
      <c r="I678" s="238"/>
      <c r="J678" s="238"/>
      <c r="K678" s="243"/>
      <c r="M678" s="270"/>
      <c r="N678" s="246"/>
      <c r="O678" s="44" t="s">
        <v>94</v>
      </c>
      <c r="P678" s="21"/>
      <c r="Q678" s="21"/>
      <c r="R678" s="21">
        <v>259.98</v>
      </c>
      <c r="S678" s="238"/>
      <c r="T678" s="238"/>
      <c r="U678" s="238"/>
      <c r="V678" s="243"/>
    </row>
    <row r="679" spans="2:22" ht="13">
      <c r="B679" s="270"/>
      <c r="C679" s="244" t="s">
        <v>961</v>
      </c>
      <c r="D679" s="19" t="s">
        <v>114</v>
      </c>
      <c r="E679" s="17">
        <v>7</v>
      </c>
      <c r="F679" s="17">
        <v>18</v>
      </c>
      <c r="G679" s="17">
        <f>E679*F679</f>
        <v>126</v>
      </c>
      <c r="H679" s="240">
        <f>SUM(G679,G680)</f>
        <v>221.1</v>
      </c>
      <c r="I679" s="284">
        <v>2328.48</v>
      </c>
      <c r="J679" s="284">
        <f>I679-H679</f>
        <v>2107.38</v>
      </c>
      <c r="K679" s="294">
        <f>J679/I679</f>
        <v>0.90504535147392295</v>
      </c>
      <c r="M679" s="84"/>
      <c r="N679" s="244" t="s">
        <v>961</v>
      </c>
      <c r="O679" s="19" t="s">
        <v>114</v>
      </c>
      <c r="P679" s="18"/>
      <c r="Q679" s="18"/>
      <c r="R679" s="18"/>
      <c r="S679" s="240">
        <f>SUM(R679,R680)</f>
        <v>95.1</v>
      </c>
      <c r="T679" s="284">
        <v>2328.48</v>
      </c>
      <c r="U679" s="284">
        <f>T679-S679</f>
        <v>2233.38</v>
      </c>
      <c r="V679" s="294">
        <f>U679/T679</f>
        <v>0.95915790558647707</v>
      </c>
    </row>
    <row r="680" spans="2:22" ht="13">
      <c r="B680" s="270"/>
      <c r="C680" s="246"/>
      <c r="D680" s="20" t="s">
        <v>959</v>
      </c>
      <c r="E680" s="20"/>
      <c r="F680" s="20"/>
      <c r="G680" s="20">
        <v>95.1</v>
      </c>
      <c r="H680" s="238"/>
      <c r="I680" s="248"/>
      <c r="J680" s="248"/>
      <c r="K680" s="301"/>
      <c r="M680" s="84"/>
      <c r="N680" s="246"/>
      <c r="O680" s="20" t="s">
        <v>959</v>
      </c>
      <c r="P680" s="20"/>
      <c r="Q680" s="20"/>
      <c r="R680" s="20">
        <v>95.1</v>
      </c>
      <c r="S680" s="238"/>
      <c r="T680" s="248"/>
      <c r="U680" s="248"/>
      <c r="V680" s="301"/>
    </row>
    <row r="681" spans="2:22" ht="13">
      <c r="B681" s="270"/>
      <c r="C681" s="244" t="s">
        <v>962</v>
      </c>
      <c r="D681" s="19" t="s">
        <v>114</v>
      </c>
      <c r="E681" s="17">
        <v>7</v>
      </c>
      <c r="F681" s="17">
        <v>18</v>
      </c>
      <c r="G681" s="17">
        <f>E681*F681</f>
        <v>126</v>
      </c>
      <c r="H681" s="240">
        <f>SUM(G681,G682)</f>
        <v>197.36</v>
      </c>
      <c r="I681" s="284">
        <v>2699.2</v>
      </c>
      <c r="J681" s="284">
        <f>I681-H681</f>
        <v>2501.8399999999997</v>
      </c>
      <c r="K681" s="294">
        <f>J681/I681</f>
        <v>0.92688203912270295</v>
      </c>
      <c r="M681" s="119"/>
      <c r="N681" s="244" t="s">
        <v>962</v>
      </c>
      <c r="O681" s="19" t="s">
        <v>114</v>
      </c>
      <c r="P681" s="18"/>
      <c r="Q681" s="18"/>
      <c r="R681" s="18"/>
      <c r="S681" s="240">
        <f>SUM(R681,R682)</f>
        <v>71.36</v>
      </c>
      <c r="T681" s="284">
        <v>2699.2</v>
      </c>
      <c r="U681" s="284">
        <f>T681-S681</f>
        <v>2627.8399999999997</v>
      </c>
      <c r="V681" s="294">
        <f>U681/T681</f>
        <v>0.97356253704801421</v>
      </c>
    </row>
    <row r="682" spans="2:22" ht="13">
      <c r="B682" s="270"/>
      <c r="C682" s="246"/>
      <c r="D682" s="20" t="s">
        <v>47</v>
      </c>
      <c r="E682" s="20"/>
      <c r="F682" s="20"/>
      <c r="G682" s="20">
        <v>71.36</v>
      </c>
      <c r="H682" s="238"/>
      <c r="I682" s="248"/>
      <c r="J682" s="248"/>
      <c r="K682" s="301"/>
      <c r="M682" s="119"/>
      <c r="N682" s="246"/>
      <c r="O682" s="20" t="s">
        <v>47</v>
      </c>
      <c r="P682" s="20"/>
      <c r="Q682" s="20"/>
      <c r="R682" s="20">
        <v>71.36</v>
      </c>
      <c r="S682" s="238"/>
      <c r="T682" s="248"/>
      <c r="U682" s="248"/>
      <c r="V682" s="301"/>
    </row>
    <row r="683" spans="2:22" ht="30">
      <c r="B683" s="254" t="s">
        <v>963</v>
      </c>
      <c r="C683" s="255"/>
      <c r="D683" s="256"/>
      <c r="E683" s="27">
        <f t="shared" ref="E683:J683" si="120">AVERAGE(E595:E682)</f>
        <v>8.3395918367346944</v>
      </c>
      <c r="F683" s="27">
        <f t="shared" si="120"/>
        <v>15.061224489795919</v>
      </c>
      <c r="G683" s="27">
        <f t="shared" si="120"/>
        <v>124.52693181818185</v>
      </c>
      <c r="H683" s="27">
        <f t="shared" si="120"/>
        <v>684.89812500000016</v>
      </c>
      <c r="I683" s="27">
        <f t="shared" si="120"/>
        <v>3248.5850000000005</v>
      </c>
      <c r="J683" s="27">
        <f t="shared" si="120"/>
        <v>2563.6868750000003</v>
      </c>
      <c r="K683" s="28" t="str">
        <f ca="1">AVERAGE($K$12:$K$76)</f>
        <v>#REF!</v>
      </c>
      <c r="M683" s="254" t="s">
        <v>963</v>
      </c>
      <c r="N683" s="255"/>
      <c r="O683" s="256"/>
      <c r="P683" s="27">
        <f t="shared" ref="P683:U683" si="121">AVERAGE(P595:P682)</f>
        <v>7.4749999999999988</v>
      </c>
      <c r="Q683" s="27">
        <f t="shared" si="121"/>
        <v>14</v>
      </c>
      <c r="R683" s="27">
        <f t="shared" si="121"/>
        <v>111.83767123287672</v>
      </c>
      <c r="S683" s="27">
        <f t="shared" si="121"/>
        <v>510.25937500000003</v>
      </c>
      <c r="T683" s="27">
        <f t="shared" si="121"/>
        <v>3248.5850000000005</v>
      </c>
      <c r="U683" s="27">
        <f t="shared" si="121"/>
        <v>2738.3256249999995</v>
      </c>
      <c r="V683" s="28" t="str">
        <f ca="1">AVERAGE($K$12:$K$76)</f>
        <v>#REF!</v>
      </c>
    </row>
    <row r="684" spans="2:22" ht="30">
      <c r="B684" s="251" t="s">
        <v>964</v>
      </c>
      <c r="C684" s="252"/>
      <c r="D684" s="253"/>
      <c r="E684" s="42">
        <f t="shared" ref="E684:J684" si="122">SUM(E595:E682)</f>
        <v>408.64</v>
      </c>
      <c r="F684" s="42">
        <f t="shared" si="122"/>
        <v>738</v>
      </c>
      <c r="G684" s="42">
        <f t="shared" si="122"/>
        <v>10958.370000000003</v>
      </c>
      <c r="H684" s="42">
        <f t="shared" si="122"/>
        <v>10958.370000000003</v>
      </c>
      <c r="I684" s="42">
        <f t="shared" si="122"/>
        <v>51977.360000000008</v>
      </c>
      <c r="J684" s="42">
        <f t="shared" si="122"/>
        <v>41018.990000000005</v>
      </c>
      <c r="K684" s="29">
        <f t="shared" ref="K684:K685" si="123">J684/I684</f>
        <v>0.78917032338695148</v>
      </c>
      <c r="M684" s="251" t="s">
        <v>964</v>
      </c>
      <c r="N684" s="252"/>
      <c r="O684" s="253"/>
      <c r="P684" s="42">
        <f t="shared" ref="P684:U684" si="124">SUM(P595:P682)</f>
        <v>269.09999999999997</v>
      </c>
      <c r="Q684" s="42">
        <f t="shared" si="124"/>
        <v>504</v>
      </c>
      <c r="R684" s="42">
        <f t="shared" si="124"/>
        <v>8164.1500000000005</v>
      </c>
      <c r="S684" s="88">
        <f t="shared" si="124"/>
        <v>8164.1500000000005</v>
      </c>
      <c r="T684" s="88">
        <f t="shared" si="124"/>
        <v>51977.360000000008</v>
      </c>
      <c r="U684" s="88">
        <f t="shared" si="124"/>
        <v>43813.209999999992</v>
      </c>
      <c r="V684" s="89">
        <f t="shared" ref="V684:V685" si="125">U684/T684</f>
        <v>0.84292872896968962</v>
      </c>
    </row>
    <row r="685" spans="2:22" ht="13">
      <c r="B685" s="288" t="s">
        <v>965</v>
      </c>
      <c r="C685" s="244" t="s">
        <v>966</v>
      </c>
      <c r="D685" s="15" t="s">
        <v>114</v>
      </c>
      <c r="E685" s="16">
        <v>7</v>
      </c>
      <c r="F685" s="17">
        <v>18</v>
      </c>
      <c r="G685" s="17">
        <f>E685*F685</f>
        <v>126</v>
      </c>
      <c r="H685" s="240">
        <f>SUM(G685:G687)</f>
        <v>318.02999999999997</v>
      </c>
      <c r="I685" s="240">
        <v>3330</v>
      </c>
      <c r="J685" s="240">
        <f>I685-H685</f>
        <v>3011.9700000000003</v>
      </c>
      <c r="K685" s="241">
        <f t="shared" si="123"/>
        <v>0.90449549549549557</v>
      </c>
      <c r="M685" s="288" t="s">
        <v>965</v>
      </c>
      <c r="N685" s="244" t="s">
        <v>966</v>
      </c>
      <c r="O685" s="15" t="s">
        <v>114</v>
      </c>
      <c r="P685" s="43"/>
      <c r="Q685" s="18"/>
      <c r="R685" s="18"/>
      <c r="S685" s="240">
        <f>SUM(R685:R687)</f>
        <v>192.03</v>
      </c>
      <c r="T685" s="240">
        <v>3330</v>
      </c>
      <c r="U685" s="240">
        <f>T685-S685</f>
        <v>3137.97</v>
      </c>
      <c r="V685" s="241">
        <f t="shared" si="125"/>
        <v>0.94233333333333325</v>
      </c>
    </row>
    <row r="686" spans="2:22" ht="13">
      <c r="B686" s="270"/>
      <c r="C686" s="245"/>
      <c r="D686" s="19" t="s">
        <v>706</v>
      </c>
      <c r="E686" s="17"/>
      <c r="F686" s="17"/>
      <c r="G686" s="17">
        <v>45</v>
      </c>
      <c r="H686" s="236"/>
      <c r="I686" s="236"/>
      <c r="J686" s="236"/>
      <c r="K686" s="242"/>
      <c r="M686" s="270"/>
      <c r="N686" s="245"/>
      <c r="O686" s="19" t="s">
        <v>706</v>
      </c>
      <c r="P686" s="17"/>
      <c r="Q686" s="17"/>
      <c r="R686" s="17">
        <v>45</v>
      </c>
      <c r="S686" s="236"/>
      <c r="T686" s="236"/>
      <c r="U686" s="236"/>
      <c r="V686" s="242"/>
    </row>
    <row r="687" spans="2:22" ht="13">
      <c r="B687" s="270"/>
      <c r="C687" s="246"/>
      <c r="D687" s="44" t="s">
        <v>94</v>
      </c>
      <c r="E687" s="21"/>
      <c r="F687" s="21"/>
      <c r="G687" s="21">
        <v>147.03</v>
      </c>
      <c r="H687" s="238"/>
      <c r="I687" s="238"/>
      <c r="J687" s="238"/>
      <c r="K687" s="243"/>
      <c r="M687" s="270"/>
      <c r="N687" s="246"/>
      <c r="O687" s="44" t="s">
        <v>94</v>
      </c>
      <c r="P687" s="21"/>
      <c r="Q687" s="21"/>
      <c r="R687" s="21">
        <v>147.03</v>
      </c>
      <c r="S687" s="238"/>
      <c r="T687" s="238"/>
      <c r="U687" s="238"/>
      <c r="V687" s="243"/>
    </row>
    <row r="688" spans="2:22" ht="13">
      <c r="B688" s="270"/>
      <c r="C688" s="244" t="s">
        <v>967</v>
      </c>
      <c r="D688" s="15" t="s">
        <v>968</v>
      </c>
      <c r="E688" s="16">
        <v>12.81</v>
      </c>
      <c r="F688" s="17">
        <v>13</v>
      </c>
      <c r="G688" s="17">
        <f t="shared" ref="G688:G697" si="126">E688*F688</f>
        <v>166.53</v>
      </c>
      <c r="H688" s="240">
        <f>SUM(G688:G698)</f>
        <v>1494.61</v>
      </c>
      <c r="I688" s="240">
        <v>2430</v>
      </c>
      <c r="J688" s="240">
        <f>I688-H688</f>
        <v>935.3900000000001</v>
      </c>
      <c r="K688" s="241">
        <f>J688/I688</f>
        <v>0.38493415637860084</v>
      </c>
      <c r="M688" s="270"/>
      <c r="N688" s="244" t="s">
        <v>967</v>
      </c>
      <c r="O688" s="15" t="s">
        <v>968</v>
      </c>
      <c r="P688" s="16">
        <v>12.81</v>
      </c>
      <c r="Q688" s="17">
        <v>13</v>
      </c>
      <c r="R688" s="17">
        <f t="shared" ref="R688:R697" si="127">P688*Q688</f>
        <v>166.53</v>
      </c>
      <c r="S688" s="240">
        <f>SUM(R688:R698)</f>
        <v>1494.61</v>
      </c>
      <c r="T688" s="240">
        <v>2430</v>
      </c>
      <c r="U688" s="240">
        <f>T688-S688</f>
        <v>935.3900000000001</v>
      </c>
      <c r="V688" s="241">
        <f>U688/T688</f>
        <v>0.38493415637860084</v>
      </c>
    </row>
    <row r="689" spans="2:22" ht="13">
      <c r="B689" s="270"/>
      <c r="C689" s="245"/>
      <c r="D689" s="19" t="s">
        <v>917</v>
      </c>
      <c r="E689" s="17">
        <v>7.38</v>
      </c>
      <c r="F689" s="17">
        <v>13</v>
      </c>
      <c r="G689" s="17">
        <f t="shared" si="126"/>
        <v>95.94</v>
      </c>
      <c r="H689" s="236"/>
      <c r="I689" s="236"/>
      <c r="J689" s="236"/>
      <c r="K689" s="242"/>
      <c r="M689" s="270"/>
      <c r="N689" s="245"/>
      <c r="O689" s="19" t="s">
        <v>917</v>
      </c>
      <c r="P689" s="17">
        <v>7.38</v>
      </c>
      <c r="Q689" s="17">
        <v>13</v>
      </c>
      <c r="R689" s="17">
        <f t="shared" si="127"/>
        <v>95.94</v>
      </c>
      <c r="S689" s="236"/>
      <c r="T689" s="236"/>
      <c r="U689" s="236"/>
      <c r="V689" s="242"/>
    </row>
    <row r="690" spans="2:22" ht="13">
      <c r="B690" s="270"/>
      <c r="C690" s="245"/>
      <c r="D690" s="19" t="s">
        <v>53</v>
      </c>
      <c r="E690" s="17">
        <v>11.55</v>
      </c>
      <c r="F690" s="17">
        <v>13</v>
      </c>
      <c r="G690" s="17">
        <f t="shared" si="126"/>
        <v>150.15</v>
      </c>
      <c r="H690" s="236"/>
      <c r="I690" s="236"/>
      <c r="J690" s="236"/>
      <c r="K690" s="242"/>
      <c r="M690" s="270"/>
      <c r="N690" s="245"/>
      <c r="O690" s="19" t="s">
        <v>53</v>
      </c>
      <c r="P690" s="17">
        <v>11.55</v>
      </c>
      <c r="Q690" s="17">
        <v>13</v>
      </c>
      <c r="R690" s="17">
        <f t="shared" si="127"/>
        <v>150.15</v>
      </c>
      <c r="S690" s="236"/>
      <c r="T690" s="236"/>
      <c r="U690" s="236"/>
      <c r="V690" s="242"/>
    </row>
    <row r="691" spans="2:22" ht="13">
      <c r="B691" s="270"/>
      <c r="C691" s="245"/>
      <c r="D691" s="19" t="s">
        <v>791</v>
      </c>
      <c r="E691" s="17">
        <v>15.75</v>
      </c>
      <c r="F691" s="17">
        <v>13</v>
      </c>
      <c r="G691" s="17">
        <f t="shared" si="126"/>
        <v>204.75</v>
      </c>
      <c r="H691" s="236"/>
      <c r="I691" s="236"/>
      <c r="J691" s="236"/>
      <c r="K691" s="242"/>
      <c r="M691" s="270"/>
      <c r="N691" s="245"/>
      <c r="O691" s="19" t="s">
        <v>791</v>
      </c>
      <c r="P691" s="17">
        <v>15.75</v>
      </c>
      <c r="Q691" s="17">
        <v>13</v>
      </c>
      <c r="R691" s="17">
        <f t="shared" si="127"/>
        <v>204.75</v>
      </c>
      <c r="S691" s="236"/>
      <c r="T691" s="236"/>
      <c r="U691" s="236"/>
      <c r="V691" s="242"/>
    </row>
    <row r="692" spans="2:22" ht="13">
      <c r="B692" s="270"/>
      <c r="C692" s="245"/>
      <c r="D692" s="19" t="s">
        <v>969</v>
      </c>
      <c r="E692" s="17">
        <v>2.5</v>
      </c>
      <c r="F692" s="17">
        <v>13</v>
      </c>
      <c r="G692" s="17">
        <f t="shared" si="126"/>
        <v>32.5</v>
      </c>
      <c r="H692" s="236"/>
      <c r="I692" s="236"/>
      <c r="J692" s="236"/>
      <c r="K692" s="242"/>
      <c r="M692" s="270"/>
      <c r="N692" s="245"/>
      <c r="O692" s="19" t="s">
        <v>969</v>
      </c>
      <c r="P692" s="17">
        <v>2.5</v>
      </c>
      <c r="Q692" s="17">
        <v>13</v>
      </c>
      <c r="R692" s="17">
        <f t="shared" si="127"/>
        <v>32.5</v>
      </c>
      <c r="S692" s="236"/>
      <c r="T692" s="236"/>
      <c r="U692" s="236"/>
      <c r="V692" s="242"/>
    </row>
    <row r="693" spans="2:22" ht="13">
      <c r="B693" s="270"/>
      <c r="C693" s="245"/>
      <c r="D693" s="19" t="s">
        <v>970</v>
      </c>
      <c r="E693" s="17">
        <v>2.35</v>
      </c>
      <c r="F693" s="17">
        <v>13</v>
      </c>
      <c r="G693" s="17">
        <f t="shared" si="126"/>
        <v>30.55</v>
      </c>
      <c r="H693" s="236"/>
      <c r="I693" s="236"/>
      <c r="J693" s="236"/>
      <c r="K693" s="242"/>
      <c r="M693" s="270"/>
      <c r="N693" s="245"/>
      <c r="O693" s="19" t="s">
        <v>970</v>
      </c>
      <c r="P693" s="17">
        <v>2.35</v>
      </c>
      <c r="Q693" s="17">
        <v>13</v>
      </c>
      <c r="R693" s="17">
        <f t="shared" si="127"/>
        <v>30.55</v>
      </c>
      <c r="S693" s="236"/>
      <c r="T693" s="236"/>
      <c r="U693" s="236"/>
      <c r="V693" s="242"/>
    </row>
    <row r="694" spans="2:22" ht="13">
      <c r="B694" s="270"/>
      <c r="C694" s="245"/>
      <c r="D694" s="19" t="s">
        <v>971</v>
      </c>
      <c r="E694" s="17">
        <v>2</v>
      </c>
      <c r="F694" s="17">
        <v>13</v>
      </c>
      <c r="G694" s="17">
        <f t="shared" si="126"/>
        <v>26</v>
      </c>
      <c r="H694" s="236"/>
      <c r="I694" s="236"/>
      <c r="J694" s="236"/>
      <c r="K694" s="242"/>
      <c r="M694" s="270"/>
      <c r="N694" s="245"/>
      <c r="O694" s="19" t="s">
        <v>971</v>
      </c>
      <c r="P694" s="17">
        <v>2</v>
      </c>
      <c r="Q694" s="17">
        <v>13</v>
      </c>
      <c r="R694" s="17">
        <f t="shared" si="127"/>
        <v>26</v>
      </c>
      <c r="S694" s="236"/>
      <c r="T694" s="236"/>
      <c r="U694" s="236"/>
      <c r="V694" s="242"/>
    </row>
    <row r="695" spans="2:22" ht="13">
      <c r="B695" s="270"/>
      <c r="C695" s="245"/>
      <c r="D695" s="19" t="s">
        <v>972</v>
      </c>
      <c r="E695" s="17">
        <v>20.57</v>
      </c>
      <c r="F695" s="17">
        <v>13</v>
      </c>
      <c r="G695" s="17">
        <f t="shared" si="126"/>
        <v>267.41000000000003</v>
      </c>
      <c r="H695" s="236"/>
      <c r="I695" s="236"/>
      <c r="J695" s="236"/>
      <c r="K695" s="242"/>
      <c r="M695" s="270"/>
      <c r="N695" s="245"/>
      <c r="O695" s="19" t="s">
        <v>972</v>
      </c>
      <c r="P695" s="17">
        <v>20.57</v>
      </c>
      <c r="Q695" s="17">
        <v>13</v>
      </c>
      <c r="R695" s="17">
        <f t="shared" si="127"/>
        <v>267.41000000000003</v>
      </c>
      <c r="S695" s="236"/>
      <c r="T695" s="236"/>
      <c r="U695" s="236"/>
      <c r="V695" s="242"/>
    </row>
    <row r="696" spans="2:22" ht="13">
      <c r="B696" s="270"/>
      <c r="C696" s="245"/>
      <c r="D696" s="19" t="s">
        <v>973</v>
      </c>
      <c r="E696" s="17">
        <v>21</v>
      </c>
      <c r="F696" s="17">
        <v>17</v>
      </c>
      <c r="G696" s="17">
        <f t="shared" si="126"/>
        <v>357</v>
      </c>
      <c r="H696" s="236"/>
      <c r="I696" s="236"/>
      <c r="J696" s="236"/>
      <c r="K696" s="242"/>
      <c r="M696" s="270"/>
      <c r="N696" s="245"/>
      <c r="O696" s="19" t="s">
        <v>973</v>
      </c>
      <c r="P696" s="17">
        <v>21</v>
      </c>
      <c r="Q696" s="17">
        <v>17</v>
      </c>
      <c r="R696" s="17">
        <f t="shared" si="127"/>
        <v>357</v>
      </c>
      <c r="S696" s="236"/>
      <c r="T696" s="236"/>
      <c r="U696" s="236"/>
      <c r="V696" s="242"/>
    </row>
    <row r="697" spans="2:22" ht="13">
      <c r="B697" s="270"/>
      <c r="C697" s="245"/>
      <c r="D697" s="19" t="s">
        <v>70</v>
      </c>
      <c r="E697" s="17">
        <v>11.06</v>
      </c>
      <c r="F697" s="17">
        <v>13</v>
      </c>
      <c r="G697" s="17">
        <f t="shared" si="126"/>
        <v>143.78</v>
      </c>
      <c r="H697" s="236"/>
      <c r="I697" s="236"/>
      <c r="J697" s="236"/>
      <c r="K697" s="242"/>
      <c r="M697" s="270"/>
      <c r="N697" s="245"/>
      <c r="O697" s="19" t="s">
        <v>70</v>
      </c>
      <c r="P697" s="17">
        <v>11.06</v>
      </c>
      <c r="Q697" s="17">
        <v>13</v>
      </c>
      <c r="R697" s="17">
        <f t="shared" si="127"/>
        <v>143.78</v>
      </c>
      <c r="S697" s="236"/>
      <c r="T697" s="236"/>
      <c r="U697" s="236"/>
      <c r="V697" s="242"/>
    </row>
    <row r="698" spans="2:22" ht="13">
      <c r="B698" s="270"/>
      <c r="C698" s="246"/>
      <c r="D698" s="44" t="s">
        <v>974</v>
      </c>
      <c r="E698" s="21"/>
      <c r="F698" s="21"/>
      <c r="G698" s="21">
        <v>20</v>
      </c>
      <c r="H698" s="238"/>
      <c r="I698" s="238"/>
      <c r="J698" s="238"/>
      <c r="K698" s="243"/>
      <c r="M698" s="270"/>
      <c r="N698" s="246"/>
      <c r="O698" s="44" t="s">
        <v>974</v>
      </c>
      <c r="P698" s="21"/>
      <c r="Q698" s="21"/>
      <c r="R698" s="21">
        <v>20</v>
      </c>
      <c r="S698" s="238"/>
      <c r="T698" s="238"/>
      <c r="U698" s="238"/>
      <c r="V698" s="243"/>
    </row>
    <row r="699" spans="2:22" ht="13">
      <c r="B699" s="270"/>
      <c r="C699" s="244" t="s">
        <v>975</v>
      </c>
      <c r="D699" s="15" t="s">
        <v>81</v>
      </c>
      <c r="E699" s="16">
        <v>6.93</v>
      </c>
      <c r="F699" s="17">
        <v>13</v>
      </c>
      <c r="G699" s="17">
        <f t="shared" ref="G699:G708" si="128">E699*F699</f>
        <v>90.09</v>
      </c>
      <c r="H699" s="240">
        <f>SUM(G699:G709)</f>
        <v>1183.54</v>
      </c>
      <c r="I699" s="240">
        <v>5880.87</v>
      </c>
      <c r="J699" s="240">
        <f>I699-H699</f>
        <v>4697.33</v>
      </c>
      <c r="K699" s="241">
        <f>J699/I699</f>
        <v>0.79874746423573384</v>
      </c>
      <c r="M699" s="270"/>
      <c r="N699" s="244" t="s">
        <v>975</v>
      </c>
      <c r="O699" s="15" t="s">
        <v>81</v>
      </c>
      <c r="P699" s="16">
        <v>6.93</v>
      </c>
      <c r="Q699" s="17">
        <v>13</v>
      </c>
      <c r="R699" s="17">
        <f t="shared" ref="R699:R708" si="129">P699*Q699</f>
        <v>90.09</v>
      </c>
      <c r="S699" s="240">
        <f>SUM(R699:R709)</f>
        <v>1183.54</v>
      </c>
      <c r="T699" s="240">
        <v>5880.87</v>
      </c>
      <c r="U699" s="240">
        <f>T699-S699</f>
        <v>4697.33</v>
      </c>
      <c r="V699" s="241">
        <f>U699/T699</f>
        <v>0.79874746423573384</v>
      </c>
    </row>
    <row r="700" spans="2:22" ht="13">
      <c r="B700" s="270"/>
      <c r="C700" s="245"/>
      <c r="D700" s="19" t="s">
        <v>976</v>
      </c>
      <c r="E700" s="17">
        <v>2.91</v>
      </c>
      <c r="F700" s="17">
        <v>13</v>
      </c>
      <c r="G700" s="17">
        <f t="shared" si="128"/>
        <v>37.83</v>
      </c>
      <c r="H700" s="236"/>
      <c r="I700" s="236"/>
      <c r="J700" s="236"/>
      <c r="K700" s="242"/>
      <c r="M700" s="270"/>
      <c r="N700" s="245"/>
      <c r="O700" s="19" t="s">
        <v>976</v>
      </c>
      <c r="P700" s="17">
        <v>2.91</v>
      </c>
      <c r="Q700" s="17">
        <v>13</v>
      </c>
      <c r="R700" s="17">
        <f t="shared" si="129"/>
        <v>37.83</v>
      </c>
      <c r="S700" s="236"/>
      <c r="T700" s="236"/>
      <c r="U700" s="236"/>
      <c r="V700" s="242"/>
    </row>
    <row r="701" spans="2:22" ht="13">
      <c r="B701" s="270"/>
      <c r="C701" s="245"/>
      <c r="D701" s="19" t="s">
        <v>53</v>
      </c>
      <c r="E701" s="17">
        <v>11.25</v>
      </c>
      <c r="F701" s="17">
        <v>13</v>
      </c>
      <c r="G701" s="17">
        <f t="shared" si="128"/>
        <v>146.25</v>
      </c>
      <c r="H701" s="236"/>
      <c r="I701" s="236"/>
      <c r="J701" s="236"/>
      <c r="K701" s="242"/>
      <c r="M701" s="270"/>
      <c r="N701" s="245"/>
      <c r="O701" s="19" t="s">
        <v>53</v>
      </c>
      <c r="P701" s="17">
        <v>11.25</v>
      </c>
      <c r="Q701" s="17">
        <v>13</v>
      </c>
      <c r="R701" s="17">
        <f t="shared" si="129"/>
        <v>146.25</v>
      </c>
      <c r="S701" s="236"/>
      <c r="T701" s="236"/>
      <c r="U701" s="236"/>
      <c r="V701" s="242"/>
    </row>
    <row r="702" spans="2:22" ht="13">
      <c r="B702" s="270"/>
      <c r="C702" s="245"/>
      <c r="D702" s="19" t="s">
        <v>977</v>
      </c>
      <c r="E702" s="17">
        <v>9.18</v>
      </c>
      <c r="F702" s="17">
        <v>13</v>
      </c>
      <c r="G702" s="17">
        <f t="shared" si="128"/>
        <v>119.34</v>
      </c>
      <c r="H702" s="236"/>
      <c r="I702" s="236"/>
      <c r="J702" s="236"/>
      <c r="K702" s="242"/>
      <c r="M702" s="270"/>
      <c r="N702" s="245"/>
      <c r="O702" s="19" t="s">
        <v>977</v>
      </c>
      <c r="P702" s="17">
        <v>9.18</v>
      </c>
      <c r="Q702" s="17">
        <v>13</v>
      </c>
      <c r="R702" s="17">
        <f t="shared" si="129"/>
        <v>119.34</v>
      </c>
      <c r="S702" s="236"/>
      <c r="T702" s="236"/>
      <c r="U702" s="236"/>
      <c r="V702" s="242"/>
    </row>
    <row r="703" spans="2:22" ht="13">
      <c r="B703" s="270"/>
      <c r="C703" s="245"/>
      <c r="D703" s="19" t="s">
        <v>178</v>
      </c>
      <c r="E703" s="17">
        <v>7.18</v>
      </c>
      <c r="F703" s="17">
        <v>13</v>
      </c>
      <c r="G703" s="17">
        <f t="shared" si="128"/>
        <v>93.34</v>
      </c>
      <c r="H703" s="236"/>
      <c r="I703" s="236"/>
      <c r="J703" s="236"/>
      <c r="K703" s="242"/>
      <c r="M703" s="270"/>
      <c r="N703" s="245"/>
      <c r="O703" s="19" t="s">
        <v>178</v>
      </c>
      <c r="P703" s="17">
        <v>7.18</v>
      </c>
      <c r="Q703" s="17">
        <v>13</v>
      </c>
      <c r="R703" s="17">
        <f t="shared" si="129"/>
        <v>93.34</v>
      </c>
      <c r="S703" s="236"/>
      <c r="T703" s="236"/>
      <c r="U703" s="236"/>
      <c r="V703" s="242"/>
    </row>
    <row r="704" spans="2:22" ht="13">
      <c r="B704" s="270"/>
      <c r="C704" s="245"/>
      <c r="D704" s="19" t="s">
        <v>978</v>
      </c>
      <c r="E704" s="17">
        <v>2</v>
      </c>
      <c r="F704" s="17">
        <v>13</v>
      </c>
      <c r="G704" s="17">
        <f t="shared" si="128"/>
        <v>26</v>
      </c>
      <c r="H704" s="236"/>
      <c r="I704" s="236"/>
      <c r="J704" s="236"/>
      <c r="K704" s="242"/>
      <c r="M704" s="270"/>
      <c r="N704" s="245"/>
      <c r="O704" s="19" t="s">
        <v>978</v>
      </c>
      <c r="P704" s="17">
        <v>2</v>
      </c>
      <c r="Q704" s="17">
        <v>13</v>
      </c>
      <c r="R704" s="17">
        <f t="shared" si="129"/>
        <v>26</v>
      </c>
      <c r="S704" s="236"/>
      <c r="T704" s="236"/>
      <c r="U704" s="236"/>
      <c r="V704" s="242"/>
    </row>
    <row r="705" spans="2:22" ht="13">
      <c r="B705" s="270"/>
      <c r="C705" s="245"/>
      <c r="D705" s="19" t="s">
        <v>38</v>
      </c>
      <c r="E705" s="17">
        <v>11.6</v>
      </c>
      <c r="F705" s="17">
        <v>13</v>
      </c>
      <c r="G705" s="17">
        <f t="shared" si="128"/>
        <v>150.79999999999998</v>
      </c>
      <c r="H705" s="236"/>
      <c r="I705" s="236"/>
      <c r="J705" s="236"/>
      <c r="K705" s="242"/>
      <c r="M705" s="270"/>
      <c r="N705" s="245"/>
      <c r="O705" s="19" t="s">
        <v>38</v>
      </c>
      <c r="P705" s="17">
        <v>11.6</v>
      </c>
      <c r="Q705" s="17">
        <v>13</v>
      </c>
      <c r="R705" s="17">
        <f t="shared" si="129"/>
        <v>150.79999999999998</v>
      </c>
      <c r="S705" s="236"/>
      <c r="T705" s="236"/>
      <c r="U705" s="236"/>
      <c r="V705" s="242"/>
    </row>
    <row r="706" spans="2:22" ht="13">
      <c r="B706" s="270"/>
      <c r="C706" s="245"/>
      <c r="D706" s="19" t="s">
        <v>40</v>
      </c>
      <c r="E706" s="17">
        <v>7.47</v>
      </c>
      <c r="F706" s="17">
        <v>13</v>
      </c>
      <c r="G706" s="17">
        <f t="shared" si="128"/>
        <v>97.11</v>
      </c>
      <c r="H706" s="236"/>
      <c r="I706" s="236"/>
      <c r="J706" s="236"/>
      <c r="K706" s="242"/>
      <c r="M706" s="270"/>
      <c r="N706" s="245"/>
      <c r="O706" s="19" t="s">
        <v>40</v>
      </c>
      <c r="P706" s="17">
        <v>7.47</v>
      </c>
      <c r="Q706" s="17">
        <v>13</v>
      </c>
      <c r="R706" s="17">
        <f t="shared" si="129"/>
        <v>97.11</v>
      </c>
      <c r="S706" s="236"/>
      <c r="T706" s="236"/>
      <c r="U706" s="236"/>
      <c r="V706" s="242"/>
    </row>
    <row r="707" spans="2:22" ht="13">
      <c r="B707" s="270"/>
      <c r="C707" s="245"/>
      <c r="D707" s="19" t="s">
        <v>973</v>
      </c>
      <c r="E707" s="17">
        <v>21</v>
      </c>
      <c r="F707" s="17">
        <v>17</v>
      </c>
      <c r="G707" s="17">
        <f t="shared" si="128"/>
        <v>357</v>
      </c>
      <c r="H707" s="236"/>
      <c r="I707" s="236"/>
      <c r="J707" s="236"/>
      <c r="K707" s="242"/>
      <c r="M707" s="270"/>
      <c r="N707" s="245"/>
      <c r="O707" s="19" t="s">
        <v>973</v>
      </c>
      <c r="P707" s="17">
        <v>21</v>
      </c>
      <c r="Q707" s="17">
        <v>17</v>
      </c>
      <c r="R707" s="17">
        <f t="shared" si="129"/>
        <v>357</v>
      </c>
      <c r="S707" s="236"/>
      <c r="T707" s="236"/>
      <c r="U707" s="236"/>
      <c r="V707" s="242"/>
    </row>
    <row r="708" spans="2:22" ht="13">
      <c r="B708" s="270"/>
      <c r="C708" s="245"/>
      <c r="D708" s="19" t="s">
        <v>70</v>
      </c>
      <c r="E708" s="17">
        <v>5.0599999999999996</v>
      </c>
      <c r="F708" s="17">
        <v>13</v>
      </c>
      <c r="G708" s="17">
        <f t="shared" si="128"/>
        <v>65.78</v>
      </c>
      <c r="H708" s="236"/>
      <c r="I708" s="236"/>
      <c r="J708" s="236"/>
      <c r="K708" s="242"/>
      <c r="M708" s="270"/>
      <c r="N708" s="245"/>
      <c r="O708" s="19" t="s">
        <v>70</v>
      </c>
      <c r="P708" s="17">
        <v>5.0599999999999996</v>
      </c>
      <c r="Q708" s="17">
        <v>13</v>
      </c>
      <c r="R708" s="17">
        <f t="shared" si="129"/>
        <v>65.78</v>
      </c>
      <c r="S708" s="236"/>
      <c r="T708" s="236"/>
      <c r="U708" s="236"/>
      <c r="V708" s="242"/>
    </row>
    <row r="709" spans="2:22" ht="13">
      <c r="B709" s="270"/>
      <c r="C709" s="246"/>
      <c r="D709" s="44"/>
      <c r="E709" s="21"/>
      <c r="F709" s="21"/>
      <c r="G709" s="21"/>
      <c r="H709" s="238"/>
      <c r="I709" s="238"/>
      <c r="J709" s="238"/>
      <c r="K709" s="243"/>
      <c r="M709" s="270"/>
      <c r="N709" s="246"/>
      <c r="O709" s="44"/>
      <c r="P709" s="21"/>
      <c r="Q709" s="21"/>
      <c r="R709" s="21"/>
      <c r="S709" s="238"/>
      <c r="T709" s="238"/>
      <c r="U709" s="238"/>
      <c r="V709" s="243"/>
    </row>
    <row r="710" spans="2:22" ht="13">
      <c r="B710" s="270"/>
      <c r="C710" s="244" t="s">
        <v>979</v>
      </c>
      <c r="D710" s="15" t="s">
        <v>744</v>
      </c>
      <c r="E710" s="16">
        <v>25.76</v>
      </c>
      <c r="F710" s="17">
        <v>15</v>
      </c>
      <c r="G710" s="17">
        <f>E710*F710</f>
        <v>386.40000000000003</v>
      </c>
      <c r="H710" s="240">
        <f>SUM(G710:G712)</f>
        <v>401.40000000000003</v>
      </c>
      <c r="I710" s="240">
        <v>7087.25</v>
      </c>
      <c r="J710" s="240">
        <f>I710-H710</f>
        <v>6685.85</v>
      </c>
      <c r="K710" s="241">
        <f>J710/I710</f>
        <v>0.94336308159017956</v>
      </c>
      <c r="M710" s="270"/>
      <c r="N710" s="244" t="s">
        <v>979</v>
      </c>
      <c r="O710" s="15" t="s">
        <v>744</v>
      </c>
      <c r="P710" s="16">
        <v>25.76</v>
      </c>
      <c r="Q710" s="17">
        <v>15</v>
      </c>
      <c r="R710" s="17">
        <f>P710*Q710</f>
        <v>386.40000000000003</v>
      </c>
      <c r="S710" s="240">
        <f>SUM(R710:R712)</f>
        <v>401.40000000000003</v>
      </c>
      <c r="T710" s="240">
        <v>7087.25</v>
      </c>
      <c r="U710" s="240">
        <f>T710-S710</f>
        <v>6685.85</v>
      </c>
      <c r="V710" s="241">
        <f>U710/T710</f>
        <v>0.94336308159017956</v>
      </c>
    </row>
    <row r="711" spans="2:22" ht="13">
      <c r="B711" s="270"/>
      <c r="C711" s="245"/>
      <c r="D711" s="19" t="s">
        <v>980</v>
      </c>
      <c r="E711" s="17"/>
      <c r="F711" s="17"/>
      <c r="G711" s="17">
        <v>15</v>
      </c>
      <c r="H711" s="236"/>
      <c r="I711" s="236"/>
      <c r="J711" s="236"/>
      <c r="K711" s="242"/>
      <c r="M711" s="270"/>
      <c r="N711" s="245"/>
      <c r="O711" s="19" t="s">
        <v>980</v>
      </c>
      <c r="P711" s="17"/>
      <c r="Q711" s="17"/>
      <c r="R711" s="17">
        <v>15</v>
      </c>
      <c r="S711" s="236"/>
      <c r="T711" s="236"/>
      <c r="U711" s="236"/>
      <c r="V711" s="242"/>
    </row>
    <row r="712" spans="2:22" ht="13">
      <c r="B712" s="270"/>
      <c r="C712" s="246"/>
      <c r="D712" s="44"/>
      <c r="E712" s="21"/>
      <c r="F712" s="21"/>
      <c r="G712" s="21"/>
      <c r="H712" s="238"/>
      <c r="I712" s="238"/>
      <c r="J712" s="238"/>
      <c r="K712" s="243"/>
      <c r="M712" s="270"/>
      <c r="N712" s="246"/>
      <c r="O712" s="44"/>
      <c r="P712" s="21"/>
      <c r="Q712" s="21"/>
      <c r="R712" s="21"/>
      <c r="S712" s="238"/>
      <c r="T712" s="238"/>
      <c r="U712" s="238"/>
      <c r="V712" s="243"/>
    </row>
    <row r="713" spans="2:22" ht="13">
      <c r="B713" s="270"/>
      <c r="C713" s="244" t="s">
        <v>981</v>
      </c>
      <c r="D713" s="15" t="s">
        <v>982</v>
      </c>
      <c r="E713" s="16">
        <v>16.25</v>
      </c>
      <c r="F713" s="17">
        <v>13</v>
      </c>
      <c r="G713" s="17">
        <f t="shared" ref="G713:G716" si="130">E713*F713</f>
        <v>211.25</v>
      </c>
      <c r="H713" s="240">
        <f>SUM(G713:G718)</f>
        <v>894.26</v>
      </c>
      <c r="I713" s="240">
        <v>3317.75</v>
      </c>
      <c r="J713" s="240">
        <f>I713-H713</f>
        <v>2423.4899999999998</v>
      </c>
      <c r="K713" s="241">
        <f>J713/I713</f>
        <v>0.73046190942656919</v>
      </c>
      <c r="M713" s="270"/>
      <c r="N713" s="244" t="s">
        <v>981</v>
      </c>
      <c r="O713" s="15" t="s">
        <v>982</v>
      </c>
      <c r="P713" s="16">
        <v>16.25</v>
      </c>
      <c r="Q713" s="17">
        <v>13</v>
      </c>
      <c r="R713" s="17">
        <f t="shared" ref="R713:R716" si="131">P713*Q713</f>
        <v>211.25</v>
      </c>
      <c r="S713" s="240">
        <f>SUM(R713:R718)</f>
        <v>894.26</v>
      </c>
      <c r="T713" s="240">
        <v>3317.75</v>
      </c>
      <c r="U713" s="240">
        <f>T713-S713</f>
        <v>2423.4899999999998</v>
      </c>
      <c r="V713" s="241">
        <f>U713/T713</f>
        <v>0.73046190942656919</v>
      </c>
    </row>
    <row r="714" spans="2:22" ht="13">
      <c r="B714" s="270"/>
      <c r="C714" s="245"/>
      <c r="D714" s="19" t="s">
        <v>983</v>
      </c>
      <c r="E714" s="17">
        <v>8.41</v>
      </c>
      <c r="F714" s="17">
        <v>13</v>
      </c>
      <c r="G714" s="17">
        <f t="shared" si="130"/>
        <v>109.33</v>
      </c>
      <c r="H714" s="236"/>
      <c r="I714" s="236"/>
      <c r="J714" s="236"/>
      <c r="K714" s="242"/>
      <c r="M714" s="270"/>
      <c r="N714" s="245"/>
      <c r="O714" s="19" t="s">
        <v>983</v>
      </c>
      <c r="P714" s="17">
        <v>8.41</v>
      </c>
      <c r="Q714" s="17">
        <v>13</v>
      </c>
      <c r="R714" s="17">
        <f t="shared" si="131"/>
        <v>109.33</v>
      </c>
      <c r="S714" s="236"/>
      <c r="T714" s="236"/>
      <c r="U714" s="236"/>
      <c r="V714" s="242"/>
    </row>
    <row r="715" spans="2:22" ht="13">
      <c r="B715" s="270"/>
      <c r="C715" s="245"/>
      <c r="D715" s="19" t="s">
        <v>310</v>
      </c>
      <c r="E715" s="17">
        <v>11.65</v>
      </c>
      <c r="F715" s="17">
        <v>13</v>
      </c>
      <c r="G715" s="17">
        <f t="shared" si="130"/>
        <v>151.45000000000002</v>
      </c>
      <c r="H715" s="236"/>
      <c r="I715" s="236"/>
      <c r="J715" s="236"/>
      <c r="K715" s="242"/>
      <c r="M715" s="270"/>
      <c r="N715" s="245"/>
      <c r="O715" s="19" t="s">
        <v>310</v>
      </c>
      <c r="P715" s="17">
        <v>11.65</v>
      </c>
      <c r="Q715" s="17">
        <v>13</v>
      </c>
      <c r="R715" s="17">
        <f t="shared" si="131"/>
        <v>151.45000000000002</v>
      </c>
      <c r="S715" s="236"/>
      <c r="T715" s="236"/>
      <c r="U715" s="236"/>
      <c r="V715" s="242"/>
    </row>
    <row r="716" spans="2:22" ht="13">
      <c r="B716" s="270"/>
      <c r="C716" s="245"/>
      <c r="D716" s="19" t="s">
        <v>419</v>
      </c>
      <c r="E716" s="17">
        <v>13</v>
      </c>
      <c r="F716" s="17">
        <v>13</v>
      </c>
      <c r="G716" s="17">
        <f t="shared" si="130"/>
        <v>169</v>
      </c>
      <c r="H716" s="236"/>
      <c r="I716" s="236"/>
      <c r="J716" s="236"/>
      <c r="K716" s="242"/>
      <c r="M716" s="270"/>
      <c r="N716" s="245"/>
      <c r="O716" s="19" t="s">
        <v>419</v>
      </c>
      <c r="P716" s="17">
        <v>13</v>
      </c>
      <c r="Q716" s="17">
        <v>13</v>
      </c>
      <c r="R716" s="17">
        <f t="shared" si="131"/>
        <v>169</v>
      </c>
      <c r="S716" s="236"/>
      <c r="T716" s="236"/>
      <c r="U716" s="236"/>
      <c r="V716" s="242"/>
    </row>
    <row r="717" spans="2:22" ht="13">
      <c r="B717" s="270"/>
      <c r="C717" s="245"/>
      <c r="D717" s="24" t="s">
        <v>33</v>
      </c>
      <c r="E717" s="17"/>
      <c r="F717" s="17"/>
      <c r="G717" s="17">
        <v>242.98</v>
      </c>
      <c r="H717" s="236"/>
      <c r="I717" s="236"/>
      <c r="J717" s="236"/>
      <c r="K717" s="242"/>
      <c r="M717" s="270"/>
      <c r="N717" s="245"/>
      <c r="O717" s="24" t="s">
        <v>33</v>
      </c>
      <c r="P717" s="17"/>
      <c r="Q717" s="17"/>
      <c r="R717" s="17">
        <v>242.98</v>
      </c>
      <c r="S717" s="236"/>
      <c r="T717" s="236"/>
      <c r="U717" s="236"/>
      <c r="V717" s="242"/>
    </row>
    <row r="718" spans="2:22" ht="13">
      <c r="B718" s="270"/>
      <c r="C718" s="246"/>
      <c r="D718" s="44" t="s">
        <v>984</v>
      </c>
      <c r="E718" s="21"/>
      <c r="F718" s="21"/>
      <c r="G718" s="21">
        <v>10.25</v>
      </c>
      <c r="H718" s="238"/>
      <c r="I718" s="238"/>
      <c r="J718" s="238"/>
      <c r="K718" s="243"/>
      <c r="M718" s="270"/>
      <c r="N718" s="246"/>
      <c r="O718" s="44" t="s">
        <v>984</v>
      </c>
      <c r="P718" s="21"/>
      <c r="Q718" s="21"/>
      <c r="R718" s="21">
        <v>10.25</v>
      </c>
      <c r="S718" s="238"/>
      <c r="T718" s="238"/>
      <c r="U718" s="238"/>
      <c r="V718" s="243"/>
    </row>
    <row r="719" spans="2:22" ht="13">
      <c r="B719" s="270"/>
      <c r="C719" s="244" t="s">
        <v>985</v>
      </c>
      <c r="D719" s="15" t="s">
        <v>986</v>
      </c>
      <c r="E719" s="16"/>
      <c r="F719" s="17"/>
      <c r="G719" s="17">
        <v>300</v>
      </c>
      <c r="H719" s="240">
        <f>SUM(G719:G721)</f>
        <v>362.90000000000003</v>
      </c>
      <c r="I719" s="240">
        <v>2310.34</v>
      </c>
      <c r="J719" s="240">
        <f>I719-H719</f>
        <v>1947.44</v>
      </c>
      <c r="K719" s="241">
        <f>J719/I719</f>
        <v>0.84292355237757211</v>
      </c>
      <c r="M719" s="270"/>
      <c r="N719" s="244" t="s">
        <v>985</v>
      </c>
      <c r="O719" s="15" t="s">
        <v>986</v>
      </c>
      <c r="P719" s="16"/>
      <c r="Q719" s="17"/>
      <c r="R719" s="17">
        <v>300</v>
      </c>
      <c r="S719" s="240">
        <f>SUM(R719:R721)</f>
        <v>362.90000000000003</v>
      </c>
      <c r="T719" s="240">
        <v>2310.34</v>
      </c>
      <c r="U719" s="240">
        <f>T719-S719</f>
        <v>1947.44</v>
      </c>
      <c r="V719" s="241">
        <f>U719/T719</f>
        <v>0.84292355237757211</v>
      </c>
    </row>
    <row r="720" spans="2:22" ht="13">
      <c r="B720" s="270"/>
      <c r="C720" s="245"/>
      <c r="D720" s="24" t="s">
        <v>987</v>
      </c>
      <c r="E720" s="17"/>
      <c r="F720" s="17"/>
      <c r="G720" s="17">
        <v>15.6</v>
      </c>
      <c r="H720" s="236"/>
      <c r="I720" s="236"/>
      <c r="J720" s="236"/>
      <c r="K720" s="242"/>
      <c r="M720" s="270"/>
      <c r="N720" s="245"/>
      <c r="O720" s="24" t="s">
        <v>987</v>
      </c>
      <c r="P720" s="17"/>
      <c r="Q720" s="17"/>
      <c r="R720" s="17">
        <v>15.6</v>
      </c>
      <c r="S720" s="236"/>
      <c r="T720" s="236"/>
      <c r="U720" s="236"/>
      <c r="V720" s="242"/>
    </row>
    <row r="721" spans="2:22" ht="13">
      <c r="B721" s="270"/>
      <c r="C721" s="246"/>
      <c r="D721" s="44" t="s">
        <v>33</v>
      </c>
      <c r="E721" s="21"/>
      <c r="F721" s="21"/>
      <c r="G721" s="21">
        <v>47.3</v>
      </c>
      <c r="H721" s="238"/>
      <c r="I721" s="238"/>
      <c r="J721" s="238"/>
      <c r="K721" s="243"/>
      <c r="M721" s="270"/>
      <c r="N721" s="246"/>
      <c r="O721" s="44" t="s">
        <v>33</v>
      </c>
      <c r="P721" s="21"/>
      <c r="Q721" s="21"/>
      <c r="R721" s="21">
        <v>47.3</v>
      </c>
      <c r="S721" s="238"/>
      <c r="T721" s="238"/>
      <c r="U721" s="238"/>
      <c r="V721" s="243"/>
    </row>
    <row r="722" spans="2:22" ht="13">
      <c r="B722" s="270"/>
      <c r="C722" s="244" t="s">
        <v>988</v>
      </c>
      <c r="D722" s="15" t="s">
        <v>989</v>
      </c>
      <c r="E722" s="16">
        <v>19</v>
      </c>
      <c r="F722" s="17">
        <v>17</v>
      </c>
      <c r="G722" s="17">
        <f t="shared" ref="G722:G730" si="132">E722*F722</f>
        <v>323</v>
      </c>
      <c r="H722" s="240">
        <f>SUM(G722:G732)</f>
        <v>1570.15</v>
      </c>
      <c r="I722" s="240">
        <v>6052.5</v>
      </c>
      <c r="J722" s="240">
        <f>I722-H722</f>
        <v>4482.3500000000004</v>
      </c>
      <c r="K722" s="241">
        <f>J722/I722</f>
        <v>0.74057827344072702</v>
      </c>
      <c r="M722" s="270"/>
      <c r="N722" s="244" t="s">
        <v>988</v>
      </c>
      <c r="O722" s="15" t="s">
        <v>989</v>
      </c>
      <c r="P722" s="16">
        <v>19</v>
      </c>
      <c r="Q722" s="17">
        <v>17</v>
      </c>
      <c r="R722" s="17">
        <f t="shared" ref="R722:R730" si="133">P722*Q722</f>
        <v>323</v>
      </c>
      <c r="S722" s="240">
        <f>SUM(R722:R732)</f>
        <v>1570.15</v>
      </c>
      <c r="T722" s="240">
        <v>6052.5</v>
      </c>
      <c r="U722" s="240">
        <f>T722-S722</f>
        <v>4482.3500000000004</v>
      </c>
      <c r="V722" s="241">
        <f>U722/T722</f>
        <v>0.74057827344072702</v>
      </c>
    </row>
    <row r="723" spans="2:22" ht="13">
      <c r="B723" s="270"/>
      <c r="C723" s="245"/>
      <c r="D723" s="19" t="s">
        <v>178</v>
      </c>
      <c r="E723" s="17">
        <v>9.64</v>
      </c>
      <c r="F723" s="17">
        <v>13</v>
      </c>
      <c r="G723" s="17">
        <f t="shared" si="132"/>
        <v>125.32000000000001</v>
      </c>
      <c r="H723" s="236"/>
      <c r="I723" s="236"/>
      <c r="J723" s="236"/>
      <c r="K723" s="242"/>
      <c r="M723" s="270"/>
      <c r="N723" s="245"/>
      <c r="O723" s="19" t="s">
        <v>178</v>
      </c>
      <c r="P723" s="17">
        <v>9.64</v>
      </c>
      <c r="Q723" s="17">
        <v>13</v>
      </c>
      <c r="R723" s="17">
        <f t="shared" si="133"/>
        <v>125.32000000000001</v>
      </c>
      <c r="S723" s="236"/>
      <c r="T723" s="236"/>
      <c r="U723" s="236"/>
      <c r="V723" s="242"/>
    </row>
    <row r="724" spans="2:22" ht="13">
      <c r="B724" s="270"/>
      <c r="C724" s="245"/>
      <c r="D724" s="19" t="s">
        <v>990</v>
      </c>
      <c r="E724" s="17">
        <v>8.6</v>
      </c>
      <c r="F724" s="17">
        <v>13</v>
      </c>
      <c r="G724" s="17">
        <f t="shared" si="132"/>
        <v>111.8</v>
      </c>
      <c r="H724" s="236"/>
      <c r="I724" s="236"/>
      <c r="J724" s="236"/>
      <c r="K724" s="242"/>
      <c r="M724" s="270"/>
      <c r="N724" s="245"/>
      <c r="O724" s="19" t="s">
        <v>990</v>
      </c>
      <c r="P724" s="17">
        <v>8.6</v>
      </c>
      <c r="Q724" s="17">
        <v>13</v>
      </c>
      <c r="R724" s="17">
        <f t="shared" si="133"/>
        <v>111.8</v>
      </c>
      <c r="S724" s="236"/>
      <c r="T724" s="236"/>
      <c r="U724" s="236"/>
      <c r="V724" s="242"/>
    </row>
    <row r="725" spans="2:22" ht="13">
      <c r="B725" s="270"/>
      <c r="C725" s="245"/>
      <c r="D725" s="19" t="s">
        <v>970</v>
      </c>
      <c r="E725" s="17">
        <v>4.78</v>
      </c>
      <c r="F725" s="17">
        <v>13</v>
      </c>
      <c r="G725" s="17">
        <f t="shared" si="132"/>
        <v>62.14</v>
      </c>
      <c r="H725" s="236"/>
      <c r="I725" s="236"/>
      <c r="J725" s="236"/>
      <c r="K725" s="242"/>
      <c r="M725" s="270"/>
      <c r="N725" s="245"/>
      <c r="O725" s="19" t="s">
        <v>970</v>
      </c>
      <c r="P725" s="17">
        <v>4.78</v>
      </c>
      <c r="Q725" s="17">
        <v>13</v>
      </c>
      <c r="R725" s="17">
        <f t="shared" si="133"/>
        <v>62.14</v>
      </c>
      <c r="S725" s="236"/>
      <c r="T725" s="236"/>
      <c r="U725" s="236"/>
      <c r="V725" s="242"/>
    </row>
    <row r="726" spans="2:22" ht="13">
      <c r="B726" s="270"/>
      <c r="C726" s="245"/>
      <c r="D726" s="19" t="s">
        <v>983</v>
      </c>
      <c r="E726" s="17">
        <v>5.51</v>
      </c>
      <c r="F726" s="17">
        <v>13</v>
      </c>
      <c r="G726" s="17">
        <f t="shared" si="132"/>
        <v>71.63</v>
      </c>
      <c r="H726" s="236"/>
      <c r="I726" s="236"/>
      <c r="J726" s="236"/>
      <c r="K726" s="242"/>
      <c r="M726" s="270"/>
      <c r="N726" s="245"/>
      <c r="O726" s="19" t="s">
        <v>983</v>
      </c>
      <c r="P726" s="17">
        <v>5.51</v>
      </c>
      <c r="Q726" s="17">
        <v>13</v>
      </c>
      <c r="R726" s="17">
        <f t="shared" si="133"/>
        <v>71.63</v>
      </c>
      <c r="S726" s="236"/>
      <c r="T726" s="236"/>
      <c r="U726" s="236"/>
      <c r="V726" s="242"/>
    </row>
    <row r="727" spans="2:22" ht="13">
      <c r="B727" s="270"/>
      <c r="C727" s="245"/>
      <c r="D727" s="19" t="s">
        <v>982</v>
      </c>
      <c r="E727" s="17">
        <v>6.44</v>
      </c>
      <c r="F727" s="17">
        <v>13</v>
      </c>
      <c r="G727" s="17">
        <f t="shared" si="132"/>
        <v>83.72</v>
      </c>
      <c r="H727" s="236"/>
      <c r="I727" s="236"/>
      <c r="J727" s="236"/>
      <c r="K727" s="242"/>
      <c r="M727" s="270"/>
      <c r="N727" s="245"/>
      <c r="O727" s="19" t="s">
        <v>982</v>
      </c>
      <c r="P727" s="17">
        <v>6.44</v>
      </c>
      <c r="Q727" s="17">
        <v>13</v>
      </c>
      <c r="R727" s="17">
        <f t="shared" si="133"/>
        <v>83.72</v>
      </c>
      <c r="S727" s="236"/>
      <c r="T727" s="236"/>
      <c r="U727" s="236"/>
      <c r="V727" s="242"/>
    </row>
    <row r="728" spans="2:22" ht="13">
      <c r="B728" s="270"/>
      <c r="C728" s="245"/>
      <c r="D728" s="19" t="s">
        <v>266</v>
      </c>
      <c r="E728" s="17">
        <v>6.37</v>
      </c>
      <c r="F728" s="17">
        <v>13</v>
      </c>
      <c r="G728" s="17">
        <f t="shared" si="132"/>
        <v>82.81</v>
      </c>
      <c r="H728" s="236"/>
      <c r="I728" s="236"/>
      <c r="J728" s="236"/>
      <c r="K728" s="242"/>
      <c r="M728" s="270"/>
      <c r="N728" s="245"/>
      <c r="O728" s="19" t="s">
        <v>266</v>
      </c>
      <c r="P728" s="17">
        <v>6.37</v>
      </c>
      <c r="Q728" s="17">
        <v>13</v>
      </c>
      <c r="R728" s="17">
        <f t="shared" si="133"/>
        <v>82.81</v>
      </c>
      <c r="S728" s="236"/>
      <c r="T728" s="236"/>
      <c r="U728" s="236"/>
      <c r="V728" s="242"/>
    </row>
    <row r="729" spans="2:22" ht="13">
      <c r="B729" s="270"/>
      <c r="C729" s="245"/>
      <c r="D729" s="19" t="s">
        <v>70</v>
      </c>
      <c r="E729" s="17">
        <v>6.4</v>
      </c>
      <c r="F729" s="17">
        <v>13</v>
      </c>
      <c r="G729" s="17">
        <f t="shared" si="132"/>
        <v>83.2</v>
      </c>
      <c r="H729" s="236"/>
      <c r="I729" s="236"/>
      <c r="J729" s="236"/>
      <c r="K729" s="242"/>
      <c r="M729" s="270"/>
      <c r="N729" s="245"/>
      <c r="O729" s="19" t="s">
        <v>70</v>
      </c>
      <c r="P729" s="17">
        <v>6.4</v>
      </c>
      <c r="Q729" s="17">
        <v>13</v>
      </c>
      <c r="R729" s="17">
        <f t="shared" si="133"/>
        <v>83.2</v>
      </c>
      <c r="S729" s="236"/>
      <c r="T729" s="236"/>
      <c r="U729" s="236"/>
      <c r="V729" s="242"/>
    </row>
    <row r="730" spans="2:22" ht="13">
      <c r="B730" s="270"/>
      <c r="C730" s="245"/>
      <c r="D730" s="19" t="s">
        <v>106</v>
      </c>
      <c r="E730" s="17">
        <v>6.25</v>
      </c>
      <c r="F730" s="17">
        <v>13</v>
      </c>
      <c r="G730" s="17">
        <f t="shared" si="132"/>
        <v>81.25</v>
      </c>
      <c r="H730" s="236"/>
      <c r="I730" s="236"/>
      <c r="J730" s="236"/>
      <c r="K730" s="242"/>
      <c r="M730" s="270"/>
      <c r="N730" s="245"/>
      <c r="O730" s="19" t="s">
        <v>106</v>
      </c>
      <c r="P730" s="17">
        <v>6.25</v>
      </c>
      <c r="Q730" s="17">
        <v>13</v>
      </c>
      <c r="R730" s="17">
        <f t="shared" si="133"/>
        <v>81.25</v>
      </c>
      <c r="S730" s="236"/>
      <c r="T730" s="236"/>
      <c r="U730" s="236"/>
      <c r="V730" s="242"/>
    </row>
    <row r="731" spans="2:22" ht="13">
      <c r="B731" s="270"/>
      <c r="C731" s="245"/>
      <c r="D731" s="19" t="s">
        <v>991</v>
      </c>
      <c r="E731" s="17"/>
      <c r="F731" s="17"/>
      <c r="G731" s="17">
        <v>20</v>
      </c>
      <c r="H731" s="236"/>
      <c r="I731" s="236"/>
      <c r="J731" s="236"/>
      <c r="K731" s="242"/>
      <c r="M731" s="270"/>
      <c r="N731" s="245"/>
      <c r="O731" s="19" t="s">
        <v>991</v>
      </c>
      <c r="P731" s="17"/>
      <c r="Q731" s="17"/>
      <c r="R731" s="17">
        <v>20</v>
      </c>
      <c r="S731" s="236"/>
      <c r="T731" s="236"/>
      <c r="U731" s="236"/>
      <c r="V731" s="242"/>
    </row>
    <row r="732" spans="2:22" ht="13">
      <c r="B732" s="270"/>
      <c r="C732" s="246"/>
      <c r="D732" s="44" t="s">
        <v>33</v>
      </c>
      <c r="E732" s="21"/>
      <c r="F732" s="21"/>
      <c r="G732" s="21">
        <v>525.28</v>
      </c>
      <c r="H732" s="238"/>
      <c r="I732" s="238"/>
      <c r="J732" s="238"/>
      <c r="K732" s="243"/>
      <c r="M732" s="270"/>
      <c r="N732" s="246"/>
      <c r="O732" s="44" t="s">
        <v>33</v>
      </c>
      <c r="P732" s="21"/>
      <c r="Q732" s="21"/>
      <c r="R732" s="21">
        <v>525.28</v>
      </c>
      <c r="S732" s="238"/>
      <c r="T732" s="238"/>
      <c r="U732" s="238"/>
      <c r="V732" s="243"/>
    </row>
    <row r="733" spans="2:22" ht="13">
      <c r="B733" s="270"/>
      <c r="C733" s="244" t="s">
        <v>992</v>
      </c>
      <c r="D733" s="15" t="s">
        <v>102</v>
      </c>
      <c r="E733" s="16">
        <v>7</v>
      </c>
      <c r="F733" s="17">
        <v>20</v>
      </c>
      <c r="G733" s="17">
        <f t="shared" ref="G733:G737" si="134">E733*F733</f>
        <v>140</v>
      </c>
      <c r="H733" s="240">
        <f>SUM(G733:G738)</f>
        <v>916.82</v>
      </c>
      <c r="I733" s="240">
        <v>3638.25</v>
      </c>
      <c r="J733" s="240">
        <f>I733-H733</f>
        <v>2721.43</v>
      </c>
      <c r="K733" s="241">
        <f>J733/I733</f>
        <v>0.74800522229093658</v>
      </c>
      <c r="M733" s="270"/>
      <c r="N733" s="244" t="s">
        <v>992</v>
      </c>
      <c r="O733" s="15" t="s">
        <v>102</v>
      </c>
      <c r="P733" s="43"/>
      <c r="Q733" s="18"/>
      <c r="R733" s="18"/>
      <c r="S733" s="240">
        <f>SUM(R733:R738)</f>
        <v>776.82</v>
      </c>
      <c r="T733" s="240">
        <v>3638.25</v>
      </c>
      <c r="U733" s="240">
        <f>T733-S733</f>
        <v>2861.43</v>
      </c>
      <c r="V733" s="241">
        <f>U733/T733</f>
        <v>0.78648526077097503</v>
      </c>
    </row>
    <row r="734" spans="2:22" ht="13">
      <c r="B734" s="270"/>
      <c r="C734" s="245"/>
      <c r="D734" s="19" t="s">
        <v>106</v>
      </c>
      <c r="E734" s="17">
        <v>4.97</v>
      </c>
      <c r="F734" s="17">
        <v>13</v>
      </c>
      <c r="G734" s="17">
        <f t="shared" si="134"/>
        <v>64.61</v>
      </c>
      <c r="H734" s="236"/>
      <c r="I734" s="236"/>
      <c r="J734" s="236"/>
      <c r="K734" s="242"/>
      <c r="M734" s="270"/>
      <c r="N734" s="245"/>
      <c r="O734" s="19" t="s">
        <v>106</v>
      </c>
      <c r="P734" s="17">
        <v>4.97</v>
      </c>
      <c r="Q734" s="17">
        <v>13</v>
      </c>
      <c r="R734" s="17">
        <f t="shared" ref="R734:R737" si="135">P734*Q734</f>
        <v>64.61</v>
      </c>
      <c r="S734" s="236"/>
      <c r="T734" s="236"/>
      <c r="U734" s="236"/>
      <c r="V734" s="242"/>
    </row>
    <row r="735" spans="2:22" ht="13">
      <c r="B735" s="270"/>
      <c r="C735" s="245"/>
      <c r="D735" s="19" t="s">
        <v>266</v>
      </c>
      <c r="E735" s="17">
        <v>7</v>
      </c>
      <c r="F735" s="17">
        <v>13</v>
      </c>
      <c r="G735" s="17">
        <f t="shared" si="134"/>
        <v>91</v>
      </c>
      <c r="H735" s="236"/>
      <c r="I735" s="236"/>
      <c r="J735" s="236"/>
      <c r="K735" s="242"/>
      <c r="M735" s="270"/>
      <c r="N735" s="245"/>
      <c r="O735" s="19" t="s">
        <v>266</v>
      </c>
      <c r="P735" s="17">
        <v>7</v>
      </c>
      <c r="Q735" s="17">
        <v>13</v>
      </c>
      <c r="R735" s="17">
        <f t="shared" si="135"/>
        <v>91</v>
      </c>
      <c r="S735" s="236"/>
      <c r="T735" s="236"/>
      <c r="U735" s="236"/>
      <c r="V735" s="242"/>
    </row>
    <row r="736" spans="2:22" ht="13">
      <c r="B736" s="270"/>
      <c r="C736" s="245"/>
      <c r="D736" s="19" t="s">
        <v>977</v>
      </c>
      <c r="E736" s="17">
        <v>9</v>
      </c>
      <c r="F736" s="17">
        <v>13</v>
      </c>
      <c r="G736" s="17">
        <f t="shared" si="134"/>
        <v>117</v>
      </c>
      <c r="H736" s="236"/>
      <c r="I736" s="236"/>
      <c r="J736" s="236"/>
      <c r="K736" s="242"/>
      <c r="M736" s="270"/>
      <c r="N736" s="245"/>
      <c r="O736" s="19" t="s">
        <v>977</v>
      </c>
      <c r="P736" s="17">
        <v>9</v>
      </c>
      <c r="Q736" s="17">
        <v>13</v>
      </c>
      <c r="R736" s="17">
        <f t="shared" si="135"/>
        <v>117</v>
      </c>
      <c r="S736" s="236"/>
      <c r="T736" s="236"/>
      <c r="U736" s="236"/>
      <c r="V736" s="242"/>
    </row>
    <row r="737" spans="2:22" ht="13">
      <c r="B737" s="270"/>
      <c r="C737" s="245"/>
      <c r="D737" s="24" t="s">
        <v>70</v>
      </c>
      <c r="E737" s="17">
        <v>5.71</v>
      </c>
      <c r="F737" s="17">
        <v>13</v>
      </c>
      <c r="G737" s="17">
        <f t="shared" si="134"/>
        <v>74.23</v>
      </c>
      <c r="H737" s="236"/>
      <c r="I737" s="236"/>
      <c r="J737" s="236"/>
      <c r="K737" s="242"/>
      <c r="M737" s="270"/>
      <c r="N737" s="245"/>
      <c r="O737" s="24" t="s">
        <v>70</v>
      </c>
      <c r="P737" s="17">
        <v>5.71</v>
      </c>
      <c r="Q737" s="17">
        <v>13</v>
      </c>
      <c r="R737" s="17">
        <f t="shared" si="135"/>
        <v>74.23</v>
      </c>
      <c r="S737" s="236"/>
      <c r="T737" s="236"/>
      <c r="U737" s="236"/>
      <c r="V737" s="242"/>
    </row>
    <row r="738" spans="2:22" ht="13">
      <c r="B738" s="270"/>
      <c r="C738" s="246"/>
      <c r="D738" s="44" t="s">
        <v>33</v>
      </c>
      <c r="E738" s="21"/>
      <c r="F738" s="21"/>
      <c r="G738" s="21">
        <v>429.98</v>
      </c>
      <c r="H738" s="238"/>
      <c r="I738" s="238"/>
      <c r="J738" s="238"/>
      <c r="K738" s="243"/>
      <c r="M738" s="270"/>
      <c r="N738" s="246"/>
      <c r="O738" s="44" t="s">
        <v>33</v>
      </c>
      <c r="P738" s="21"/>
      <c r="Q738" s="21"/>
      <c r="R738" s="21">
        <v>429.98</v>
      </c>
      <c r="S738" s="238"/>
      <c r="T738" s="238"/>
      <c r="U738" s="238"/>
      <c r="V738" s="243"/>
    </row>
    <row r="739" spans="2:22" ht="13">
      <c r="B739" s="270"/>
      <c r="C739" s="244" t="s">
        <v>993</v>
      </c>
      <c r="D739" s="15" t="s">
        <v>114</v>
      </c>
      <c r="E739" s="16">
        <v>35</v>
      </c>
      <c r="F739" s="17">
        <v>18</v>
      </c>
      <c r="G739" s="17">
        <f>E739*F739</f>
        <v>630</v>
      </c>
      <c r="H739" s="240">
        <f>SUM(G739:G755)</f>
        <v>3739.4599999999996</v>
      </c>
      <c r="I739" s="240">
        <f>14558.08</f>
        <v>14558.08</v>
      </c>
      <c r="J739" s="240">
        <f>I739-H739</f>
        <v>10818.62</v>
      </c>
      <c r="K739" s="241">
        <f>J739/I739</f>
        <v>0.74313508374730741</v>
      </c>
      <c r="M739" s="270"/>
      <c r="N739" s="244" t="s">
        <v>993</v>
      </c>
      <c r="O739" s="15" t="s">
        <v>114</v>
      </c>
      <c r="P739" s="43"/>
      <c r="Q739" s="18"/>
      <c r="R739" s="18"/>
      <c r="S739" s="240">
        <f>SUM(R739:R755)</f>
        <v>2983.4599999999996</v>
      </c>
      <c r="T739" s="240">
        <f>14558.08</f>
        <v>14558.08</v>
      </c>
      <c r="U739" s="240">
        <f>T739-S739</f>
        <v>11574.62</v>
      </c>
      <c r="V739" s="241">
        <f>U739/T739</f>
        <v>0.79506500857255913</v>
      </c>
    </row>
    <row r="740" spans="2:22" ht="13">
      <c r="B740" s="270"/>
      <c r="C740" s="245"/>
      <c r="D740" s="19" t="s">
        <v>731</v>
      </c>
      <c r="E740" s="17"/>
      <c r="F740" s="17"/>
      <c r="G740" s="17">
        <v>128.5</v>
      </c>
      <c r="H740" s="236"/>
      <c r="I740" s="236"/>
      <c r="J740" s="236"/>
      <c r="K740" s="242"/>
      <c r="M740" s="270"/>
      <c r="N740" s="245"/>
      <c r="O740" s="19" t="s">
        <v>731</v>
      </c>
      <c r="P740" s="17"/>
      <c r="Q740" s="17"/>
      <c r="R740" s="17">
        <v>128.5</v>
      </c>
      <c r="S740" s="236"/>
      <c r="T740" s="236"/>
      <c r="U740" s="236"/>
      <c r="V740" s="242"/>
    </row>
    <row r="741" spans="2:22" ht="13">
      <c r="B741" s="270"/>
      <c r="C741" s="245"/>
      <c r="D741" s="19" t="s">
        <v>917</v>
      </c>
      <c r="E741" s="17">
        <v>38.49</v>
      </c>
      <c r="F741" s="17">
        <v>17</v>
      </c>
      <c r="G741" s="17">
        <f>E741*F741</f>
        <v>654.33000000000004</v>
      </c>
      <c r="H741" s="236"/>
      <c r="I741" s="236"/>
      <c r="J741" s="236"/>
      <c r="K741" s="242"/>
      <c r="M741" s="270"/>
      <c r="N741" s="245"/>
      <c r="O741" s="19" t="s">
        <v>917</v>
      </c>
      <c r="P741" s="17">
        <v>38.49</v>
      </c>
      <c r="Q741" s="17">
        <v>17</v>
      </c>
      <c r="R741" s="17">
        <f>P741*Q741</f>
        <v>654.33000000000004</v>
      </c>
      <c r="S741" s="236"/>
      <c r="T741" s="236"/>
      <c r="U741" s="236"/>
      <c r="V741" s="242"/>
    </row>
    <row r="742" spans="2:22" ht="13">
      <c r="B742" s="270"/>
      <c r="C742" s="245"/>
      <c r="D742" s="19" t="s">
        <v>23</v>
      </c>
      <c r="E742" s="17"/>
      <c r="F742" s="17"/>
      <c r="G742" s="17">
        <v>300</v>
      </c>
      <c r="H742" s="236"/>
      <c r="I742" s="236"/>
      <c r="J742" s="236"/>
      <c r="K742" s="242"/>
      <c r="M742" s="270"/>
      <c r="N742" s="245"/>
      <c r="O742" s="19" t="s">
        <v>23</v>
      </c>
      <c r="P742" s="17"/>
      <c r="Q742" s="17"/>
      <c r="R742" s="17">
        <v>300</v>
      </c>
      <c r="S742" s="236"/>
      <c r="T742" s="236"/>
      <c r="U742" s="236"/>
      <c r="V742" s="242"/>
    </row>
    <row r="743" spans="2:22" ht="13">
      <c r="B743" s="270"/>
      <c r="C743" s="245"/>
      <c r="D743" s="19" t="s">
        <v>994</v>
      </c>
      <c r="E743" s="17"/>
      <c r="F743" s="17"/>
      <c r="G743" s="17">
        <v>176.44</v>
      </c>
      <c r="H743" s="236"/>
      <c r="I743" s="236"/>
      <c r="J743" s="236"/>
      <c r="K743" s="242"/>
      <c r="M743" s="270"/>
      <c r="N743" s="245"/>
      <c r="O743" s="19" t="s">
        <v>994</v>
      </c>
      <c r="P743" s="17"/>
      <c r="Q743" s="17"/>
      <c r="R743" s="17">
        <v>176.44</v>
      </c>
      <c r="S743" s="236"/>
      <c r="T743" s="236"/>
      <c r="U743" s="236"/>
      <c r="V743" s="242"/>
    </row>
    <row r="744" spans="2:22" ht="13">
      <c r="B744" s="270"/>
      <c r="C744" s="245"/>
      <c r="D744" s="19" t="s">
        <v>33</v>
      </c>
      <c r="E744" s="17"/>
      <c r="F744" s="17"/>
      <c r="G744" s="17">
        <v>453.06</v>
      </c>
      <c r="H744" s="236"/>
      <c r="I744" s="236"/>
      <c r="J744" s="236"/>
      <c r="K744" s="242"/>
      <c r="M744" s="270"/>
      <c r="N744" s="245"/>
      <c r="O744" s="19" t="s">
        <v>33</v>
      </c>
      <c r="P744" s="17"/>
      <c r="Q744" s="17"/>
      <c r="R744" s="17">
        <v>453.06</v>
      </c>
      <c r="S744" s="236"/>
      <c r="T744" s="236"/>
      <c r="U744" s="236"/>
      <c r="V744" s="242"/>
    </row>
    <row r="745" spans="2:22" ht="13">
      <c r="B745" s="270"/>
      <c r="C745" s="245"/>
      <c r="D745" s="19" t="s">
        <v>995</v>
      </c>
      <c r="E745" s="17"/>
      <c r="F745" s="17"/>
      <c r="G745" s="17">
        <v>181.41</v>
      </c>
      <c r="H745" s="236"/>
      <c r="I745" s="236"/>
      <c r="J745" s="236"/>
      <c r="K745" s="242"/>
      <c r="M745" s="270"/>
      <c r="N745" s="245"/>
      <c r="O745" s="19" t="s">
        <v>995</v>
      </c>
      <c r="P745" s="17"/>
      <c r="Q745" s="17"/>
      <c r="R745" s="17">
        <v>181.41</v>
      </c>
      <c r="S745" s="236"/>
      <c r="T745" s="236"/>
      <c r="U745" s="236"/>
      <c r="V745" s="242"/>
    </row>
    <row r="746" spans="2:22" ht="13">
      <c r="B746" s="270"/>
      <c r="C746" s="245"/>
      <c r="D746" s="19" t="s">
        <v>996</v>
      </c>
      <c r="E746" s="17"/>
      <c r="F746" s="17"/>
      <c r="G746" s="17">
        <v>60.87</v>
      </c>
      <c r="H746" s="236"/>
      <c r="I746" s="236"/>
      <c r="J746" s="236"/>
      <c r="K746" s="242"/>
      <c r="M746" s="270"/>
      <c r="N746" s="245"/>
      <c r="O746" s="19" t="s">
        <v>996</v>
      </c>
      <c r="P746" s="17"/>
      <c r="Q746" s="17"/>
      <c r="R746" s="17">
        <v>60.87</v>
      </c>
      <c r="S746" s="236"/>
      <c r="T746" s="236"/>
      <c r="U746" s="236"/>
      <c r="V746" s="242"/>
    </row>
    <row r="747" spans="2:22" ht="13">
      <c r="B747" s="270"/>
      <c r="C747" s="245"/>
      <c r="D747" s="24" t="s">
        <v>997</v>
      </c>
      <c r="E747" s="17"/>
      <c r="F747" s="17"/>
      <c r="G747" s="17">
        <v>225.4</v>
      </c>
      <c r="H747" s="236"/>
      <c r="I747" s="236"/>
      <c r="J747" s="236"/>
      <c r="K747" s="242"/>
      <c r="M747" s="270"/>
      <c r="N747" s="245"/>
      <c r="O747" s="24" t="s">
        <v>997</v>
      </c>
      <c r="P747" s="17"/>
      <c r="Q747" s="17"/>
      <c r="R747" s="17">
        <v>225.4</v>
      </c>
      <c r="S747" s="236"/>
      <c r="T747" s="236"/>
      <c r="U747" s="236"/>
      <c r="V747" s="242"/>
    </row>
    <row r="748" spans="2:22" ht="13">
      <c r="B748" s="270"/>
      <c r="C748" s="245"/>
      <c r="D748" s="24" t="s">
        <v>998</v>
      </c>
      <c r="E748" s="17"/>
      <c r="F748" s="17"/>
      <c r="G748" s="17">
        <v>438.66</v>
      </c>
      <c r="H748" s="236"/>
      <c r="I748" s="236"/>
      <c r="J748" s="236"/>
      <c r="K748" s="242"/>
      <c r="M748" s="270"/>
      <c r="N748" s="245"/>
      <c r="O748" s="24" t="s">
        <v>998</v>
      </c>
      <c r="P748" s="17"/>
      <c r="Q748" s="17"/>
      <c r="R748" s="17">
        <v>438.66</v>
      </c>
      <c r="S748" s="236"/>
      <c r="T748" s="236"/>
      <c r="U748" s="236"/>
      <c r="V748" s="242"/>
    </row>
    <row r="749" spans="2:22" ht="13">
      <c r="B749" s="270"/>
      <c r="C749" s="245"/>
      <c r="D749" s="24" t="s">
        <v>999</v>
      </c>
      <c r="E749" s="17">
        <v>7</v>
      </c>
      <c r="F749" s="17">
        <v>18</v>
      </c>
      <c r="G749" s="17">
        <f>E749*F749</f>
        <v>126</v>
      </c>
      <c r="H749" s="236"/>
      <c r="I749" s="236"/>
      <c r="J749" s="236"/>
      <c r="K749" s="242"/>
      <c r="M749" s="270"/>
      <c r="N749" s="245"/>
      <c r="O749" s="24" t="s">
        <v>999</v>
      </c>
      <c r="P749" s="18"/>
      <c r="Q749" s="18"/>
      <c r="R749" s="18"/>
      <c r="S749" s="236"/>
      <c r="T749" s="236"/>
      <c r="U749" s="236"/>
      <c r="V749" s="242"/>
    </row>
    <row r="750" spans="2:22" ht="13">
      <c r="B750" s="270"/>
      <c r="C750" s="245"/>
      <c r="D750" s="24" t="s">
        <v>1000</v>
      </c>
      <c r="E750" s="17"/>
      <c r="F750" s="17"/>
      <c r="G750" s="17">
        <v>107</v>
      </c>
      <c r="H750" s="236"/>
      <c r="I750" s="236"/>
      <c r="J750" s="236"/>
      <c r="K750" s="242"/>
      <c r="M750" s="270"/>
      <c r="N750" s="245"/>
      <c r="O750" s="24" t="s">
        <v>1000</v>
      </c>
      <c r="P750" s="17"/>
      <c r="Q750" s="17"/>
      <c r="R750" s="17">
        <v>107</v>
      </c>
      <c r="S750" s="236"/>
      <c r="T750" s="236"/>
      <c r="U750" s="236"/>
      <c r="V750" s="242"/>
    </row>
    <row r="751" spans="2:22" ht="13">
      <c r="B751" s="270"/>
      <c r="C751" s="245"/>
      <c r="D751" s="24" t="s">
        <v>1001</v>
      </c>
      <c r="E751" s="17"/>
      <c r="F751" s="17"/>
      <c r="G751" s="17">
        <v>58.32</v>
      </c>
      <c r="H751" s="236"/>
      <c r="I751" s="236"/>
      <c r="J751" s="236"/>
      <c r="K751" s="242"/>
      <c r="M751" s="270"/>
      <c r="N751" s="245"/>
      <c r="O751" s="24" t="s">
        <v>1001</v>
      </c>
      <c r="P751" s="17"/>
      <c r="Q751" s="17"/>
      <c r="R751" s="17">
        <v>58.32</v>
      </c>
      <c r="S751" s="236"/>
      <c r="T751" s="236"/>
      <c r="U751" s="236"/>
      <c r="V751" s="242"/>
    </row>
    <row r="752" spans="2:22" ht="13">
      <c r="B752" s="270"/>
      <c r="C752" s="245"/>
      <c r="D752" s="24" t="s">
        <v>1002</v>
      </c>
      <c r="E752" s="17"/>
      <c r="F752" s="17"/>
      <c r="G752" s="17">
        <v>30.4</v>
      </c>
      <c r="H752" s="236"/>
      <c r="I752" s="236"/>
      <c r="J752" s="236"/>
      <c r="K752" s="242"/>
      <c r="M752" s="270"/>
      <c r="N752" s="245"/>
      <c r="O752" s="24" t="s">
        <v>1002</v>
      </c>
      <c r="P752" s="17"/>
      <c r="Q752" s="17"/>
      <c r="R752" s="17">
        <v>30.4</v>
      </c>
      <c r="S752" s="236"/>
      <c r="T752" s="236"/>
      <c r="U752" s="236"/>
      <c r="V752" s="242"/>
    </row>
    <row r="753" spans="2:22" ht="13">
      <c r="B753" s="270"/>
      <c r="C753" s="245"/>
      <c r="D753" s="24" t="s">
        <v>1003</v>
      </c>
      <c r="E753" s="17"/>
      <c r="F753" s="17"/>
      <c r="G753" s="17">
        <v>70.099999999999994</v>
      </c>
      <c r="H753" s="236"/>
      <c r="I753" s="236"/>
      <c r="J753" s="236"/>
      <c r="K753" s="242"/>
      <c r="M753" s="270"/>
      <c r="N753" s="245"/>
      <c r="O753" s="24" t="s">
        <v>1003</v>
      </c>
      <c r="P753" s="17"/>
      <c r="Q753" s="17"/>
      <c r="R753" s="17">
        <v>70.099999999999994</v>
      </c>
      <c r="S753" s="236"/>
      <c r="T753" s="236"/>
      <c r="U753" s="236"/>
      <c r="V753" s="242"/>
    </row>
    <row r="754" spans="2:22" ht="13">
      <c r="B754" s="270"/>
      <c r="C754" s="245"/>
      <c r="D754" s="24" t="s">
        <v>1004</v>
      </c>
      <c r="E754" s="17"/>
      <c r="F754" s="17"/>
      <c r="G754" s="17">
        <v>47.97</v>
      </c>
      <c r="H754" s="236"/>
      <c r="I754" s="236"/>
      <c r="J754" s="236"/>
      <c r="K754" s="242"/>
      <c r="M754" s="270"/>
      <c r="N754" s="245"/>
      <c r="O754" s="24" t="s">
        <v>1004</v>
      </c>
      <c r="P754" s="17"/>
      <c r="Q754" s="17"/>
      <c r="R754" s="17">
        <v>47.97</v>
      </c>
      <c r="S754" s="236"/>
      <c r="T754" s="236"/>
      <c r="U754" s="236"/>
      <c r="V754" s="242"/>
    </row>
    <row r="755" spans="2:22" ht="13">
      <c r="B755" s="270"/>
      <c r="C755" s="246"/>
      <c r="D755" s="44" t="s">
        <v>1005</v>
      </c>
      <c r="E755" s="21"/>
      <c r="F755" s="21"/>
      <c r="G755" s="21">
        <v>51</v>
      </c>
      <c r="H755" s="238"/>
      <c r="I755" s="238"/>
      <c r="J755" s="238"/>
      <c r="K755" s="243"/>
      <c r="M755" s="270"/>
      <c r="N755" s="246"/>
      <c r="O755" s="44" t="s">
        <v>1005</v>
      </c>
      <c r="P755" s="21"/>
      <c r="Q755" s="21"/>
      <c r="R755" s="21">
        <v>51</v>
      </c>
      <c r="S755" s="238"/>
      <c r="T755" s="238"/>
      <c r="U755" s="238"/>
      <c r="V755" s="243"/>
    </row>
    <row r="756" spans="2:22" ht="13">
      <c r="B756" s="270"/>
      <c r="C756" s="244" t="s">
        <v>1006</v>
      </c>
      <c r="D756" s="15" t="s">
        <v>81</v>
      </c>
      <c r="E756" s="16">
        <v>12</v>
      </c>
      <c r="F756" s="17">
        <v>13</v>
      </c>
      <c r="G756" s="17">
        <f t="shared" ref="G756:G764" si="136">E756*F756</f>
        <v>156</v>
      </c>
      <c r="H756" s="240">
        <f>SUM(G756:G766)</f>
        <v>1639.9199999999998</v>
      </c>
      <c r="I756" s="240">
        <v>6858</v>
      </c>
      <c r="J756" s="240">
        <f>I756-H756</f>
        <v>5218.08</v>
      </c>
      <c r="K756" s="241">
        <f>J756/I756</f>
        <v>0.7608748906386702</v>
      </c>
      <c r="M756" s="270"/>
      <c r="N756" s="244" t="s">
        <v>1006</v>
      </c>
      <c r="O756" s="15" t="s">
        <v>81</v>
      </c>
      <c r="P756" s="16">
        <v>12</v>
      </c>
      <c r="Q756" s="17">
        <v>13</v>
      </c>
      <c r="R756" s="17">
        <f t="shared" ref="R756:R764" si="137">P756*Q756</f>
        <v>156</v>
      </c>
      <c r="S756" s="240">
        <f>SUM(R756:R766)</f>
        <v>1639.9199999999998</v>
      </c>
      <c r="T756" s="240">
        <v>6858</v>
      </c>
      <c r="U756" s="240">
        <f>T756-S756</f>
        <v>5218.08</v>
      </c>
      <c r="V756" s="241">
        <f>U756/T756</f>
        <v>0.7608748906386702</v>
      </c>
    </row>
    <row r="757" spans="2:22" ht="13">
      <c r="B757" s="270"/>
      <c r="C757" s="245"/>
      <c r="D757" s="19" t="s">
        <v>982</v>
      </c>
      <c r="E757" s="17">
        <v>12.37</v>
      </c>
      <c r="F757" s="17">
        <v>13</v>
      </c>
      <c r="G757" s="17">
        <f t="shared" si="136"/>
        <v>160.81</v>
      </c>
      <c r="H757" s="236"/>
      <c r="I757" s="236"/>
      <c r="J757" s="236"/>
      <c r="K757" s="242"/>
      <c r="M757" s="270"/>
      <c r="N757" s="245"/>
      <c r="O757" s="19" t="s">
        <v>982</v>
      </c>
      <c r="P757" s="17">
        <v>12.37</v>
      </c>
      <c r="Q757" s="17">
        <v>13</v>
      </c>
      <c r="R757" s="17">
        <f t="shared" si="137"/>
        <v>160.81</v>
      </c>
      <c r="S757" s="236"/>
      <c r="T757" s="236"/>
      <c r="U757" s="236"/>
      <c r="V757" s="242"/>
    </row>
    <row r="758" spans="2:22" ht="13">
      <c r="B758" s="270"/>
      <c r="C758" s="245"/>
      <c r="D758" s="19" t="s">
        <v>989</v>
      </c>
      <c r="E758" s="17">
        <v>18</v>
      </c>
      <c r="F758" s="17">
        <v>17</v>
      </c>
      <c r="G758" s="17">
        <f t="shared" si="136"/>
        <v>306</v>
      </c>
      <c r="H758" s="236"/>
      <c r="I758" s="236"/>
      <c r="J758" s="236"/>
      <c r="K758" s="242"/>
      <c r="M758" s="270"/>
      <c r="N758" s="245"/>
      <c r="O758" s="19" t="s">
        <v>989</v>
      </c>
      <c r="P758" s="17">
        <v>18</v>
      </c>
      <c r="Q758" s="17">
        <v>17</v>
      </c>
      <c r="R758" s="17">
        <f t="shared" si="137"/>
        <v>306</v>
      </c>
      <c r="S758" s="236"/>
      <c r="T758" s="236"/>
      <c r="U758" s="236"/>
      <c r="V758" s="242"/>
    </row>
    <row r="759" spans="2:22" ht="13">
      <c r="B759" s="270"/>
      <c r="C759" s="245"/>
      <c r="D759" s="19" t="s">
        <v>310</v>
      </c>
      <c r="E759" s="17">
        <v>5.0599999999999996</v>
      </c>
      <c r="F759" s="17">
        <v>13</v>
      </c>
      <c r="G759" s="17">
        <f t="shared" si="136"/>
        <v>65.78</v>
      </c>
      <c r="H759" s="236"/>
      <c r="I759" s="236"/>
      <c r="J759" s="236"/>
      <c r="K759" s="242"/>
      <c r="M759" s="270"/>
      <c r="N759" s="245"/>
      <c r="O759" s="19" t="s">
        <v>310</v>
      </c>
      <c r="P759" s="17">
        <v>5.0599999999999996</v>
      </c>
      <c r="Q759" s="17">
        <v>13</v>
      </c>
      <c r="R759" s="17">
        <f t="shared" si="137"/>
        <v>65.78</v>
      </c>
      <c r="S759" s="236"/>
      <c r="T759" s="236"/>
      <c r="U759" s="236"/>
      <c r="V759" s="242"/>
    </row>
    <row r="760" spans="2:22" ht="13">
      <c r="B760" s="270"/>
      <c r="C760" s="245"/>
      <c r="D760" s="19" t="s">
        <v>983</v>
      </c>
      <c r="E760" s="17">
        <v>10</v>
      </c>
      <c r="F760" s="17">
        <v>13</v>
      </c>
      <c r="G760" s="17">
        <f t="shared" si="136"/>
        <v>130</v>
      </c>
      <c r="H760" s="236"/>
      <c r="I760" s="236"/>
      <c r="J760" s="236"/>
      <c r="K760" s="242"/>
      <c r="M760" s="270"/>
      <c r="N760" s="245"/>
      <c r="O760" s="19" t="s">
        <v>983</v>
      </c>
      <c r="P760" s="17">
        <v>10</v>
      </c>
      <c r="Q760" s="17">
        <v>13</v>
      </c>
      <c r="R760" s="17">
        <f t="shared" si="137"/>
        <v>130</v>
      </c>
      <c r="S760" s="236"/>
      <c r="T760" s="236"/>
      <c r="U760" s="236"/>
      <c r="V760" s="242"/>
    </row>
    <row r="761" spans="2:22" ht="13">
      <c r="B761" s="270"/>
      <c r="C761" s="245"/>
      <c r="D761" s="19" t="s">
        <v>178</v>
      </c>
      <c r="E761" s="17">
        <v>10.53</v>
      </c>
      <c r="F761" s="17">
        <v>13</v>
      </c>
      <c r="G761" s="17">
        <f t="shared" si="136"/>
        <v>136.88999999999999</v>
      </c>
      <c r="H761" s="236"/>
      <c r="I761" s="236"/>
      <c r="J761" s="236"/>
      <c r="K761" s="242"/>
      <c r="M761" s="270"/>
      <c r="N761" s="245"/>
      <c r="O761" s="19" t="s">
        <v>178</v>
      </c>
      <c r="P761" s="17">
        <v>10.53</v>
      </c>
      <c r="Q761" s="17">
        <v>13</v>
      </c>
      <c r="R761" s="17">
        <f t="shared" si="137"/>
        <v>136.88999999999999</v>
      </c>
      <c r="S761" s="236"/>
      <c r="T761" s="236"/>
      <c r="U761" s="236"/>
      <c r="V761" s="242"/>
    </row>
    <row r="762" spans="2:22" ht="13">
      <c r="B762" s="270"/>
      <c r="C762" s="245"/>
      <c r="D762" s="19" t="s">
        <v>970</v>
      </c>
      <c r="E762" s="17">
        <v>9.66</v>
      </c>
      <c r="F762" s="17">
        <v>13</v>
      </c>
      <c r="G762" s="17">
        <f t="shared" si="136"/>
        <v>125.58</v>
      </c>
      <c r="H762" s="236"/>
      <c r="I762" s="236"/>
      <c r="J762" s="236"/>
      <c r="K762" s="242"/>
      <c r="M762" s="270"/>
      <c r="N762" s="245"/>
      <c r="O762" s="19" t="s">
        <v>970</v>
      </c>
      <c r="P762" s="17">
        <v>9.66</v>
      </c>
      <c r="Q762" s="17">
        <v>13</v>
      </c>
      <c r="R762" s="17">
        <f t="shared" si="137"/>
        <v>125.58</v>
      </c>
      <c r="S762" s="236"/>
      <c r="T762" s="236"/>
      <c r="U762" s="236"/>
      <c r="V762" s="242"/>
    </row>
    <row r="763" spans="2:22" ht="13">
      <c r="B763" s="270"/>
      <c r="C763" s="245"/>
      <c r="D763" s="19" t="s">
        <v>990</v>
      </c>
      <c r="E763" s="17">
        <v>7</v>
      </c>
      <c r="F763" s="17">
        <v>13</v>
      </c>
      <c r="G763" s="17">
        <f t="shared" si="136"/>
        <v>91</v>
      </c>
      <c r="H763" s="236"/>
      <c r="I763" s="236"/>
      <c r="J763" s="236"/>
      <c r="K763" s="242"/>
      <c r="M763" s="270"/>
      <c r="N763" s="245"/>
      <c r="O763" s="19" t="s">
        <v>990</v>
      </c>
      <c r="P763" s="17">
        <v>7</v>
      </c>
      <c r="Q763" s="17">
        <v>13</v>
      </c>
      <c r="R763" s="17">
        <f t="shared" si="137"/>
        <v>91</v>
      </c>
      <c r="S763" s="236"/>
      <c r="T763" s="236"/>
      <c r="U763" s="236"/>
      <c r="V763" s="242"/>
    </row>
    <row r="764" spans="2:22" ht="13">
      <c r="B764" s="270"/>
      <c r="C764" s="245"/>
      <c r="D764" s="24" t="s">
        <v>914</v>
      </c>
      <c r="E764" s="17">
        <v>4.22</v>
      </c>
      <c r="F764" s="17">
        <v>13</v>
      </c>
      <c r="G764" s="17">
        <f t="shared" si="136"/>
        <v>54.86</v>
      </c>
      <c r="H764" s="236"/>
      <c r="I764" s="236"/>
      <c r="J764" s="236"/>
      <c r="K764" s="242"/>
      <c r="M764" s="270"/>
      <c r="N764" s="245"/>
      <c r="O764" s="24" t="s">
        <v>914</v>
      </c>
      <c r="P764" s="17">
        <v>4.22</v>
      </c>
      <c r="Q764" s="17">
        <v>13</v>
      </c>
      <c r="R764" s="17">
        <f t="shared" si="137"/>
        <v>54.86</v>
      </c>
      <c r="S764" s="236"/>
      <c r="T764" s="236"/>
      <c r="U764" s="236"/>
      <c r="V764" s="242"/>
    </row>
    <row r="765" spans="2:22" ht="13">
      <c r="B765" s="270"/>
      <c r="C765" s="245"/>
      <c r="D765" s="24" t="s">
        <v>991</v>
      </c>
      <c r="E765" s="17"/>
      <c r="F765" s="17"/>
      <c r="G765" s="17">
        <v>40</v>
      </c>
      <c r="H765" s="236"/>
      <c r="I765" s="236"/>
      <c r="J765" s="236"/>
      <c r="K765" s="242"/>
      <c r="M765" s="270"/>
      <c r="N765" s="245"/>
      <c r="O765" s="24" t="s">
        <v>991</v>
      </c>
      <c r="P765" s="17"/>
      <c r="Q765" s="17"/>
      <c r="R765" s="17">
        <v>40</v>
      </c>
      <c r="S765" s="236"/>
      <c r="T765" s="236"/>
      <c r="U765" s="236"/>
      <c r="V765" s="242"/>
    </row>
    <row r="766" spans="2:22" ht="13">
      <c r="B766" s="270"/>
      <c r="C766" s="246"/>
      <c r="D766" s="44" t="s">
        <v>33</v>
      </c>
      <c r="E766" s="21"/>
      <c r="F766" s="21"/>
      <c r="G766" s="21">
        <v>373</v>
      </c>
      <c r="H766" s="238"/>
      <c r="I766" s="238"/>
      <c r="J766" s="238"/>
      <c r="K766" s="243"/>
      <c r="M766" s="270"/>
      <c r="N766" s="246"/>
      <c r="O766" s="44" t="s">
        <v>33</v>
      </c>
      <c r="P766" s="21"/>
      <c r="Q766" s="21"/>
      <c r="R766" s="21">
        <v>373</v>
      </c>
      <c r="S766" s="238"/>
      <c r="T766" s="238"/>
      <c r="U766" s="238"/>
      <c r="V766" s="243"/>
    </row>
    <row r="767" spans="2:22" ht="13">
      <c r="B767" s="270"/>
      <c r="C767" s="244" t="s">
        <v>1007</v>
      </c>
      <c r="D767" s="15" t="s">
        <v>986</v>
      </c>
      <c r="E767" s="16"/>
      <c r="F767" s="17"/>
      <c r="G767" s="17">
        <v>600</v>
      </c>
      <c r="H767" s="240">
        <f>SUM(G767:G768)</f>
        <v>770.16</v>
      </c>
      <c r="I767" s="240">
        <v>4738</v>
      </c>
      <c r="J767" s="240">
        <f>I767-H767</f>
        <v>3967.84</v>
      </c>
      <c r="K767" s="241">
        <f>J767/I767</f>
        <v>0.83745040101308577</v>
      </c>
      <c r="M767" s="270"/>
      <c r="N767" s="244" t="s">
        <v>1007</v>
      </c>
      <c r="O767" s="15" t="s">
        <v>986</v>
      </c>
      <c r="P767" s="16"/>
      <c r="Q767" s="17"/>
      <c r="R767" s="17">
        <v>600</v>
      </c>
      <c r="S767" s="240">
        <f>SUM(R767:R768)</f>
        <v>770.16</v>
      </c>
      <c r="T767" s="240">
        <v>4738</v>
      </c>
      <c r="U767" s="240">
        <f>T767-S767</f>
        <v>3967.84</v>
      </c>
      <c r="V767" s="241">
        <f>U767/T767</f>
        <v>0.83745040101308577</v>
      </c>
    </row>
    <row r="768" spans="2:22" ht="13">
      <c r="B768" s="270"/>
      <c r="C768" s="246"/>
      <c r="D768" s="44" t="s">
        <v>33</v>
      </c>
      <c r="E768" s="21"/>
      <c r="F768" s="21"/>
      <c r="G768" s="21">
        <v>170.16</v>
      </c>
      <c r="H768" s="238"/>
      <c r="I768" s="238"/>
      <c r="J768" s="238"/>
      <c r="K768" s="243"/>
      <c r="M768" s="270"/>
      <c r="N768" s="246"/>
      <c r="O768" s="44" t="s">
        <v>33</v>
      </c>
      <c r="P768" s="21"/>
      <c r="Q768" s="21"/>
      <c r="R768" s="21">
        <v>170.16</v>
      </c>
      <c r="S768" s="238"/>
      <c r="T768" s="238"/>
      <c r="U768" s="238"/>
      <c r="V768" s="243"/>
    </row>
    <row r="769" spans="2:22" ht="13">
      <c r="B769" s="270"/>
      <c r="C769" s="244" t="s">
        <v>1008</v>
      </c>
      <c r="D769" s="15" t="s">
        <v>23</v>
      </c>
      <c r="E769" s="16">
        <v>3</v>
      </c>
      <c r="F769" s="17">
        <v>13</v>
      </c>
      <c r="G769" s="17">
        <f>E769*F769</f>
        <v>39</v>
      </c>
      <c r="H769" s="240">
        <f>SUM(G769:G770)</f>
        <v>160</v>
      </c>
      <c r="I769" s="240">
        <v>2017.5</v>
      </c>
      <c r="J769" s="240">
        <f>I769-H769</f>
        <v>1857.5</v>
      </c>
      <c r="K769" s="241">
        <f>J769/I769</f>
        <v>0.92069392812887241</v>
      </c>
      <c r="M769" s="270"/>
      <c r="N769" s="244" t="s">
        <v>1008</v>
      </c>
      <c r="O769" s="15" t="s">
        <v>23</v>
      </c>
      <c r="P769" s="16">
        <v>3</v>
      </c>
      <c r="Q769" s="17">
        <v>13</v>
      </c>
      <c r="R769" s="17">
        <f>P769*Q769</f>
        <v>39</v>
      </c>
      <c r="S769" s="240">
        <f>SUM(R769:R770)</f>
        <v>160</v>
      </c>
      <c r="T769" s="240">
        <v>2017.5</v>
      </c>
      <c r="U769" s="240">
        <f>T769-S769</f>
        <v>1857.5</v>
      </c>
      <c r="V769" s="241">
        <f>U769/T769</f>
        <v>0.92069392812887241</v>
      </c>
    </row>
    <row r="770" spans="2:22" ht="13">
      <c r="B770" s="270"/>
      <c r="C770" s="246"/>
      <c r="D770" s="44" t="s">
        <v>33</v>
      </c>
      <c r="E770" s="21"/>
      <c r="F770" s="21"/>
      <c r="G770" s="21">
        <v>121</v>
      </c>
      <c r="H770" s="238"/>
      <c r="I770" s="238"/>
      <c r="J770" s="238"/>
      <c r="K770" s="243"/>
      <c r="M770" s="270"/>
      <c r="N770" s="246"/>
      <c r="O770" s="44" t="s">
        <v>33</v>
      </c>
      <c r="P770" s="21"/>
      <c r="Q770" s="21"/>
      <c r="R770" s="21">
        <v>121</v>
      </c>
      <c r="S770" s="238"/>
      <c r="T770" s="238"/>
      <c r="U770" s="238"/>
      <c r="V770" s="243"/>
    </row>
    <row r="771" spans="2:22" ht="13">
      <c r="B771" s="270"/>
      <c r="C771" s="244" t="s">
        <v>1009</v>
      </c>
      <c r="D771" s="15" t="s">
        <v>147</v>
      </c>
      <c r="E771" s="16">
        <v>9</v>
      </c>
      <c r="F771" s="17">
        <v>15</v>
      </c>
      <c r="G771" s="17">
        <f t="shared" ref="G771:G780" si="138">E771*F771</f>
        <v>135</v>
      </c>
      <c r="H771" s="240">
        <f>SUM(G771:G782)</f>
        <v>1932.6299999999999</v>
      </c>
      <c r="I771" s="240">
        <v>5855.96</v>
      </c>
      <c r="J771" s="240">
        <f>I771-H771</f>
        <v>3923.33</v>
      </c>
      <c r="K771" s="241">
        <f>J771/I771</f>
        <v>0.66997213095717867</v>
      </c>
      <c r="M771" s="270"/>
      <c r="N771" s="244" t="s">
        <v>1009</v>
      </c>
      <c r="O771" s="15" t="s">
        <v>147</v>
      </c>
      <c r="P771" s="16">
        <v>9</v>
      </c>
      <c r="Q771" s="17">
        <v>15</v>
      </c>
      <c r="R771" s="17">
        <f t="shared" ref="R771:R780" si="139">P771*Q771</f>
        <v>135</v>
      </c>
      <c r="S771" s="240">
        <f>SUM(R771:R782)</f>
        <v>1932.6299999999999</v>
      </c>
      <c r="T771" s="240">
        <v>5855.96</v>
      </c>
      <c r="U771" s="240">
        <f>T771-S771</f>
        <v>3923.33</v>
      </c>
      <c r="V771" s="241">
        <f>U771/T771</f>
        <v>0.66997213095717867</v>
      </c>
    </row>
    <row r="772" spans="2:22" ht="13">
      <c r="B772" s="270"/>
      <c r="C772" s="245"/>
      <c r="D772" s="19" t="s">
        <v>139</v>
      </c>
      <c r="E772" s="17">
        <v>12</v>
      </c>
      <c r="F772" s="17">
        <v>15</v>
      </c>
      <c r="G772" s="17">
        <f t="shared" si="138"/>
        <v>180</v>
      </c>
      <c r="H772" s="236"/>
      <c r="I772" s="236"/>
      <c r="J772" s="236"/>
      <c r="K772" s="242"/>
      <c r="M772" s="270"/>
      <c r="N772" s="245"/>
      <c r="O772" s="19" t="s">
        <v>139</v>
      </c>
      <c r="P772" s="17">
        <v>12</v>
      </c>
      <c r="Q772" s="17">
        <v>15</v>
      </c>
      <c r="R772" s="17">
        <f t="shared" si="139"/>
        <v>180</v>
      </c>
      <c r="S772" s="236"/>
      <c r="T772" s="236"/>
      <c r="U772" s="236"/>
      <c r="V772" s="242"/>
    </row>
    <row r="773" spans="2:22" ht="13">
      <c r="B773" s="270"/>
      <c r="C773" s="245"/>
      <c r="D773" s="19" t="s">
        <v>1010</v>
      </c>
      <c r="E773" s="17">
        <v>3</v>
      </c>
      <c r="F773" s="17">
        <v>15</v>
      </c>
      <c r="G773" s="17">
        <f t="shared" si="138"/>
        <v>45</v>
      </c>
      <c r="H773" s="236"/>
      <c r="I773" s="236"/>
      <c r="J773" s="236"/>
      <c r="K773" s="242"/>
      <c r="M773" s="270"/>
      <c r="N773" s="245"/>
      <c r="O773" s="19" t="s">
        <v>1010</v>
      </c>
      <c r="P773" s="17">
        <v>3</v>
      </c>
      <c r="Q773" s="17">
        <v>15</v>
      </c>
      <c r="R773" s="17">
        <f t="shared" si="139"/>
        <v>45</v>
      </c>
      <c r="S773" s="236"/>
      <c r="T773" s="236"/>
      <c r="U773" s="236"/>
      <c r="V773" s="242"/>
    </row>
    <row r="774" spans="2:22" ht="13">
      <c r="B774" s="270"/>
      <c r="C774" s="245"/>
      <c r="D774" s="19" t="s">
        <v>81</v>
      </c>
      <c r="E774" s="17">
        <v>8.5</v>
      </c>
      <c r="F774" s="17">
        <v>13</v>
      </c>
      <c r="G774" s="17">
        <f t="shared" si="138"/>
        <v>110.5</v>
      </c>
      <c r="H774" s="236"/>
      <c r="I774" s="236"/>
      <c r="J774" s="236"/>
      <c r="K774" s="242"/>
      <c r="M774" s="270"/>
      <c r="N774" s="245"/>
      <c r="O774" s="19" t="s">
        <v>81</v>
      </c>
      <c r="P774" s="17">
        <v>8.5</v>
      </c>
      <c r="Q774" s="17">
        <v>13</v>
      </c>
      <c r="R774" s="17">
        <f t="shared" si="139"/>
        <v>110.5</v>
      </c>
      <c r="S774" s="236"/>
      <c r="T774" s="236"/>
      <c r="U774" s="236"/>
      <c r="V774" s="242"/>
    </row>
    <row r="775" spans="2:22" ht="13">
      <c r="B775" s="270"/>
      <c r="C775" s="245"/>
      <c r="D775" s="19" t="s">
        <v>1011</v>
      </c>
      <c r="E775" s="17">
        <v>6.4</v>
      </c>
      <c r="F775" s="17">
        <v>13</v>
      </c>
      <c r="G775" s="17">
        <f t="shared" si="138"/>
        <v>83.2</v>
      </c>
      <c r="H775" s="236"/>
      <c r="I775" s="236"/>
      <c r="J775" s="236"/>
      <c r="K775" s="242"/>
      <c r="M775" s="270"/>
      <c r="N775" s="245"/>
      <c r="O775" s="19" t="s">
        <v>1011</v>
      </c>
      <c r="P775" s="17">
        <v>6.4</v>
      </c>
      <c r="Q775" s="17">
        <v>13</v>
      </c>
      <c r="R775" s="17">
        <f t="shared" si="139"/>
        <v>83.2</v>
      </c>
      <c r="S775" s="236"/>
      <c r="T775" s="236"/>
      <c r="U775" s="236"/>
      <c r="V775" s="242"/>
    </row>
    <row r="776" spans="2:22" ht="13">
      <c r="B776" s="270"/>
      <c r="C776" s="245"/>
      <c r="D776" s="19" t="s">
        <v>982</v>
      </c>
      <c r="E776" s="17">
        <v>8.84</v>
      </c>
      <c r="F776" s="17">
        <v>13</v>
      </c>
      <c r="G776" s="17">
        <f t="shared" si="138"/>
        <v>114.92</v>
      </c>
      <c r="H776" s="236"/>
      <c r="I776" s="236"/>
      <c r="J776" s="236"/>
      <c r="K776" s="242"/>
      <c r="M776" s="270"/>
      <c r="N776" s="245"/>
      <c r="O776" s="19" t="s">
        <v>982</v>
      </c>
      <c r="P776" s="17">
        <v>8.84</v>
      </c>
      <c r="Q776" s="17">
        <v>13</v>
      </c>
      <c r="R776" s="17">
        <f t="shared" si="139"/>
        <v>114.92</v>
      </c>
      <c r="S776" s="236"/>
      <c r="T776" s="236"/>
      <c r="U776" s="236"/>
      <c r="V776" s="242"/>
    </row>
    <row r="777" spans="2:22" ht="13">
      <c r="B777" s="270"/>
      <c r="C777" s="245"/>
      <c r="D777" s="19" t="s">
        <v>989</v>
      </c>
      <c r="E777" s="17">
        <v>10.35</v>
      </c>
      <c r="F777" s="17">
        <v>17</v>
      </c>
      <c r="G777" s="17">
        <f t="shared" si="138"/>
        <v>175.95</v>
      </c>
      <c r="H777" s="236"/>
      <c r="I777" s="236"/>
      <c r="J777" s="236"/>
      <c r="K777" s="242"/>
      <c r="M777" s="270"/>
      <c r="N777" s="245"/>
      <c r="O777" s="19" t="s">
        <v>989</v>
      </c>
      <c r="P777" s="17">
        <v>10.35</v>
      </c>
      <c r="Q777" s="17">
        <v>17</v>
      </c>
      <c r="R777" s="17">
        <f t="shared" si="139"/>
        <v>175.95</v>
      </c>
      <c r="S777" s="236"/>
      <c r="T777" s="236"/>
      <c r="U777" s="236"/>
      <c r="V777" s="242"/>
    </row>
    <row r="778" spans="2:22" ht="13">
      <c r="B778" s="270"/>
      <c r="C778" s="245"/>
      <c r="D778" s="19" t="s">
        <v>970</v>
      </c>
      <c r="E778" s="17">
        <v>10</v>
      </c>
      <c r="F778" s="17">
        <v>13</v>
      </c>
      <c r="G778" s="17">
        <f t="shared" si="138"/>
        <v>130</v>
      </c>
      <c r="H778" s="236"/>
      <c r="I778" s="236"/>
      <c r="J778" s="236"/>
      <c r="K778" s="242"/>
      <c r="M778" s="270"/>
      <c r="N778" s="245"/>
      <c r="O778" s="19" t="s">
        <v>970</v>
      </c>
      <c r="P778" s="17">
        <v>10</v>
      </c>
      <c r="Q778" s="17">
        <v>13</v>
      </c>
      <c r="R778" s="17">
        <f t="shared" si="139"/>
        <v>130</v>
      </c>
      <c r="S778" s="236"/>
      <c r="T778" s="236"/>
      <c r="U778" s="236"/>
      <c r="V778" s="242"/>
    </row>
    <row r="779" spans="2:22" ht="13">
      <c r="B779" s="270"/>
      <c r="C779" s="245"/>
      <c r="D779" s="24" t="s">
        <v>914</v>
      </c>
      <c r="E779" s="17">
        <v>8.77</v>
      </c>
      <c r="F779" s="17">
        <v>13</v>
      </c>
      <c r="G779" s="17">
        <f t="shared" si="138"/>
        <v>114.00999999999999</v>
      </c>
      <c r="H779" s="236"/>
      <c r="I779" s="236"/>
      <c r="J779" s="236"/>
      <c r="K779" s="242"/>
      <c r="M779" s="270"/>
      <c r="N779" s="245"/>
      <c r="O779" s="24" t="s">
        <v>914</v>
      </c>
      <c r="P779" s="17">
        <v>8.77</v>
      </c>
      <c r="Q779" s="17">
        <v>13</v>
      </c>
      <c r="R779" s="17">
        <f t="shared" si="139"/>
        <v>114.00999999999999</v>
      </c>
      <c r="S779" s="236"/>
      <c r="T779" s="236"/>
      <c r="U779" s="236"/>
      <c r="V779" s="242"/>
    </row>
    <row r="780" spans="2:22" ht="13">
      <c r="B780" s="270"/>
      <c r="C780" s="245"/>
      <c r="D780" s="24" t="s">
        <v>70</v>
      </c>
      <c r="E780" s="17">
        <v>6</v>
      </c>
      <c r="F780" s="17">
        <v>13</v>
      </c>
      <c r="G780" s="17">
        <f t="shared" si="138"/>
        <v>78</v>
      </c>
      <c r="H780" s="236"/>
      <c r="I780" s="236"/>
      <c r="J780" s="236"/>
      <c r="K780" s="242"/>
      <c r="M780" s="270"/>
      <c r="N780" s="245"/>
      <c r="O780" s="24" t="s">
        <v>70</v>
      </c>
      <c r="P780" s="17">
        <v>6</v>
      </c>
      <c r="Q780" s="17">
        <v>13</v>
      </c>
      <c r="R780" s="17">
        <f t="shared" si="139"/>
        <v>78</v>
      </c>
      <c r="S780" s="236"/>
      <c r="T780" s="236"/>
      <c r="U780" s="236"/>
      <c r="V780" s="242"/>
    </row>
    <row r="781" spans="2:22" ht="13">
      <c r="B781" s="270"/>
      <c r="C781" s="245"/>
      <c r="D781" s="24" t="s">
        <v>991</v>
      </c>
      <c r="E781" s="17"/>
      <c r="F781" s="17"/>
      <c r="G781" s="17">
        <v>20</v>
      </c>
      <c r="H781" s="236"/>
      <c r="I781" s="236"/>
      <c r="J781" s="236"/>
      <c r="K781" s="242"/>
      <c r="M781" s="270"/>
      <c r="N781" s="245"/>
      <c r="O781" s="24" t="s">
        <v>991</v>
      </c>
      <c r="P781" s="17"/>
      <c r="Q781" s="17"/>
      <c r="R781" s="17">
        <v>20</v>
      </c>
      <c r="S781" s="236"/>
      <c r="T781" s="236"/>
      <c r="U781" s="236"/>
      <c r="V781" s="242"/>
    </row>
    <row r="782" spans="2:22" ht="13">
      <c r="B782" s="270"/>
      <c r="C782" s="246"/>
      <c r="D782" s="44" t="s">
        <v>33</v>
      </c>
      <c r="E782" s="21"/>
      <c r="F782" s="21"/>
      <c r="G782" s="21">
        <v>746.05</v>
      </c>
      <c r="H782" s="238"/>
      <c r="I782" s="238"/>
      <c r="J782" s="238"/>
      <c r="K782" s="243"/>
      <c r="M782" s="270"/>
      <c r="N782" s="246"/>
      <c r="O782" s="44" t="s">
        <v>33</v>
      </c>
      <c r="P782" s="21"/>
      <c r="Q782" s="21"/>
      <c r="R782" s="21">
        <v>746.05</v>
      </c>
      <c r="S782" s="238"/>
      <c r="T782" s="238"/>
      <c r="U782" s="238"/>
      <c r="V782" s="243"/>
    </row>
    <row r="783" spans="2:22" ht="13">
      <c r="B783" s="270"/>
      <c r="C783" s="244" t="s">
        <v>960</v>
      </c>
      <c r="D783" s="15" t="s">
        <v>989</v>
      </c>
      <c r="E783" s="16">
        <v>9.9499999999999993</v>
      </c>
      <c r="F783" s="17">
        <v>17</v>
      </c>
      <c r="G783" s="17">
        <f t="shared" ref="G783:G786" si="140">E783*F783</f>
        <v>169.14999999999998</v>
      </c>
      <c r="H783" s="240">
        <f>SUM(G783:G788)</f>
        <v>1144.58</v>
      </c>
      <c r="I783" s="240">
        <v>4802.5</v>
      </c>
      <c r="J783" s="240">
        <f>I783-H783</f>
        <v>3657.92</v>
      </c>
      <c r="K783" s="241">
        <f>J783/I783</f>
        <v>0.76166996356064554</v>
      </c>
      <c r="M783" s="270"/>
      <c r="N783" s="244" t="s">
        <v>960</v>
      </c>
      <c r="O783" s="15" t="s">
        <v>989</v>
      </c>
      <c r="P783" s="16">
        <v>9.9499999999999993</v>
      </c>
      <c r="Q783" s="17">
        <v>17</v>
      </c>
      <c r="R783" s="17">
        <f t="shared" ref="R783:R786" si="141">P783*Q783</f>
        <v>169.14999999999998</v>
      </c>
      <c r="S783" s="240">
        <f>SUM(R783:R788)</f>
        <v>1144.58</v>
      </c>
      <c r="T783" s="240">
        <v>4802.5</v>
      </c>
      <c r="U783" s="240">
        <f>T783-S783</f>
        <v>3657.92</v>
      </c>
      <c r="V783" s="241">
        <f>U783/T783</f>
        <v>0.76166996356064554</v>
      </c>
    </row>
    <row r="784" spans="2:22" ht="13">
      <c r="B784" s="270"/>
      <c r="C784" s="245"/>
      <c r="D784" s="19" t="s">
        <v>983</v>
      </c>
      <c r="E784" s="17">
        <v>12</v>
      </c>
      <c r="F784" s="17">
        <v>13</v>
      </c>
      <c r="G784" s="17">
        <f t="shared" si="140"/>
        <v>156</v>
      </c>
      <c r="H784" s="236"/>
      <c r="I784" s="236"/>
      <c r="J784" s="236"/>
      <c r="K784" s="242"/>
      <c r="M784" s="270"/>
      <c r="N784" s="245"/>
      <c r="O784" s="19" t="s">
        <v>983</v>
      </c>
      <c r="P784" s="17">
        <v>12</v>
      </c>
      <c r="Q784" s="17">
        <v>13</v>
      </c>
      <c r="R784" s="17">
        <f t="shared" si="141"/>
        <v>156</v>
      </c>
      <c r="S784" s="236"/>
      <c r="T784" s="236"/>
      <c r="U784" s="236"/>
      <c r="V784" s="242"/>
    </row>
    <row r="785" spans="2:22" ht="13">
      <c r="B785" s="270"/>
      <c r="C785" s="245"/>
      <c r="D785" s="19" t="s">
        <v>990</v>
      </c>
      <c r="E785" s="17">
        <v>13.05</v>
      </c>
      <c r="F785" s="17">
        <v>13</v>
      </c>
      <c r="G785" s="17">
        <f t="shared" si="140"/>
        <v>169.65</v>
      </c>
      <c r="H785" s="236"/>
      <c r="I785" s="236"/>
      <c r="J785" s="236"/>
      <c r="K785" s="242"/>
      <c r="M785" s="270"/>
      <c r="N785" s="245"/>
      <c r="O785" s="19" t="s">
        <v>990</v>
      </c>
      <c r="P785" s="17">
        <v>13.05</v>
      </c>
      <c r="Q785" s="17">
        <v>13</v>
      </c>
      <c r="R785" s="17">
        <f t="shared" si="141"/>
        <v>169.65</v>
      </c>
      <c r="S785" s="236"/>
      <c r="T785" s="236"/>
      <c r="U785" s="236"/>
      <c r="V785" s="242"/>
    </row>
    <row r="786" spans="2:22" ht="13">
      <c r="B786" s="270"/>
      <c r="C786" s="245"/>
      <c r="D786" s="19" t="s">
        <v>970</v>
      </c>
      <c r="E786" s="17">
        <v>6.5</v>
      </c>
      <c r="F786" s="17">
        <v>13</v>
      </c>
      <c r="G786" s="17">
        <f t="shared" si="140"/>
        <v>84.5</v>
      </c>
      <c r="H786" s="236"/>
      <c r="I786" s="236"/>
      <c r="J786" s="236"/>
      <c r="K786" s="242"/>
      <c r="M786" s="270"/>
      <c r="N786" s="245"/>
      <c r="O786" s="19" t="s">
        <v>970</v>
      </c>
      <c r="P786" s="17">
        <v>6.5</v>
      </c>
      <c r="Q786" s="17">
        <v>13</v>
      </c>
      <c r="R786" s="17">
        <f t="shared" si="141"/>
        <v>84.5</v>
      </c>
      <c r="S786" s="236"/>
      <c r="T786" s="236"/>
      <c r="U786" s="236"/>
      <c r="V786" s="242"/>
    </row>
    <row r="787" spans="2:22" ht="13">
      <c r="B787" s="270"/>
      <c r="C787" s="245"/>
      <c r="D787" s="24" t="s">
        <v>991</v>
      </c>
      <c r="E787" s="17"/>
      <c r="F787" s="17"/>
      <c r="G787" s="17">
        <v>40</v>
      </c>
      <c r="H787" s="236"/>
      <c r="I787" s="236"/>
      <c r="J787" s="236"/>
      <c r="K787" s="242"/>
      <c r="M787" s="270"/>
      <c r="N787" s="245"/>
      <c r="O787" s="24" t="s">
        <v>991</v>
      </c>
      <c r="P787" s="17"/>
      <c r="Q787" s="17"/>
      <c r="R787" s="17">
        <v>40</v>
      </c>
      <c r="S787" s="236"/>
      <c r="T787" s="236"/>
      <c r="U787" s="236"/>
      <c r="V787" s="242"/>
    </row>
    <row r="788" spans="2:22" ht="13">
      <c r="B788" s="270"/>
      <c r="C788" s="246"/>
      <c r="D788" s="44" t="s">
        <v>33</v>
      </c>
      <c r="E788" s="21"/>
      <c r="F788" s="21"/>
      <c r="G788" s="21">
        <v>525.28</v>
      </c>
      <c r="H788" s="238"/>
      <c r="I788" s="238"/>
      <c r="J788" s="238"/>
      <c r="K788" s="243"/>
      <c r="M788" s="270"/>
      <c r="N788" s="246"/>
      <c r="O788" s="44" t="s">
        <v>33</v>
      </c>
      <c r="P788" s="21"/>
      <c r="Q788" s="21"/>
      <c r="R788" s="21">
        <v>525.28</v>
      </c>
      <c r="S788" s="238"/>
      <c r="T788" s="238"/>
      <c r="U788" s="238"/>
      <c r="V788" s="243"/>
    </row>
    <row r="789" spans="2:22" ht="13">
      <c r="B789" s="270"/>
      <c r="C789" s="244" t="s">
        <v>1012</v>
      </c>
      <c r="D789" s="15" t="s">
        <v>917</v>
      </c>
      <c r="E789" s="16">
        <v>14.88</v>
      </c>
      <c r="F789" s="17">
        <v>13</v>
      </c>
      <c r="G789" s="17">
        <f t="shared" ref="G789:G793" si="142">E789*F789</f>
        <v>193.44</v>
      </c>
      <c r="H789" s="240">
        <f>SUM(G789:G795)</f>
        <v>1389.27</v>
      </c>
      <c r="I789" s="240">
        <v>5626.5</v>
      </c>
      <c r="J789" s="240">
        <f>I789-H789</f>
        <v>4237.2299999999996</v>
      </c>
      <c r="K789" s="241">
        <f>J789/I789</f>
        <v>0.75308451079712069</v>
      </c>
      <c r="M789" s="270"/>
      <c r="N789" s="244" t="s">
        <v>1012</v>
      </c>
      <c r="O789" s="15" t="s">
        <v>917</v>
      </c>
      <c r="P789" s="16">
        <v>14.88</v>
      </c>
      <c r="Q789" s="17">
        <v>13</v>
      </c>
      <c r="R789" s="17">
        <f t="shared" ref="R789:R793" si="143">P789*Q789</f>
        <v>193.44</v>
      </c>
      <c r="S789" s="240">
        <f>SUM(R789:R795)</f>
        <v>1389.27</v>
      </c>
      <c r="T789" s="240">
        <v>5626.5</v>
      </c>
      <c r="U789" s="240">
        <f>T789-S789</f>
        <v>4237.2299999999996</v>
      </c>
      <c r="V789" s="241">
        <f>U789/T789</f>
        <v>0.75308451079712069</v>
      </c>
    </row>
    <row r="790" spans="2:22" ht="13">
      <c r="B790" s="270"/>
      <c r="C790" s="245"/>
      <c r="D790" s="19" t="s">
        <v>970</v>
      </c>
      <c r="E790" s="17">
        <v>3.18</v>
      </c>
      <c r="F790" s="17">
        <v>13</v>
      </c>
      <c r="G790" s="17">
        <f t="shared" si="142"/>
        <v>41.34</v>
      </c>
      <c r="H790" s="236"/>
      <c r="I790" s="236"/>
      <c r="J790" s="236"/>
      <c r="K790" s="242"/>
      <c r="M790" s="270"/>
      <c r="N790" s="245"/>
      <c r="O790" s="19" t="s">
        <v>970</v>
      </c>
      <c r="P790" s="17">
        <v>3.18</v>
      </c>
      <c r="Q790" s="17">
        <v>13</v>
      </c>
      <c r="R790" s="17">
        <f t="shared" si="143"/>
        <v>41.34</v>
      </c>
      <c r="S790" s="236"/>
      <c r="T790" s="236"/>
      <c r="U790" s="236"/>
      <c r="V790" s="242"/>
    </row>
    <row r="791" spans="2:22" ht="13">
      <c r="B791" s="270"/>
      <c r="C791" s="245"/>
      <c r="D791" s="19" t="s">
        <v>23</v>
      </c>
      <c r="E791" s="17">
        <v>19.399999999999999</v>
      </c>
      <c r="F791" s="17">
        <v>17</v>
      </c>
      <c r="G791" s="17">
        <f t="shared" si="142"/>
        <v>329.79999999999995</v>
      </c>
      <c r="H791" s="236"/>
      <c r="I791" s="236"/>
      <c r="J791" s="236"/>
      <c r="K791" s="242"/>
      <c r="M791" s="270"/>
      <c r="N791" s="245"/>
      <c r="O791" s="19" t="s">
        <v>23</v>
      </c>
      <c r="P791" s="17">
        <v>19.399999999999999</v>
      </c>
      <c r="Q791" s="17">
        <v>17</v>
      </c>
      <c r="R791" s="17">
        <f t="shared" si="143"/>
        <v>329.79999999999995</v>
      </c>
      <c r="S791" s="236"/>
      <c r="T791" s="236"/>
      <c r="U791" s="236"/>
      <c r="V791" s="242"/>
    </row>
    <row r="792" spans="2:22" ht="13">
      <c r="B792" s="270"/>
      <c r="C792" s="245"/>
      <c r="D792" s="19" t="s">
        <v>914</v>
      </c>
      <c r="E792" s="17">
        <v>11.75</v>
      </c>
      <c r="F792" s="17">
        <v>13</v>
      </c>
      <c r="G792" s="17">
        <f t="shared" si="142"/>
        <v>152.75</v>
      </c>
      <c r="H792" s="236"/>
      <c r="I792" s="236"/>
      <c r="J792" s="236"/>
      <c r="K792" s="242"/>
      <c r="M792" s="270"/>
      <c r="N792" s="245"/>
      <c r="O792" s="19" t="s">
        <v>914</v>
      </c>
      <c r="P792" s="17">
        <v>11.75</v>
      </c>
      <c r="Q792" s="17">
        <v>13</v>
      </c>
      <c r="R792" s="17">
        <f t="shared" si="143"/>
        <v>152.75</v>
      </c>
      <c r="S792" s="236"/>
      <c r="T792" s="236"/>
      <c r="U792" s="236"/>
      <c r="V792" s="242"/>
    </row>
    <row r="793" spans="2:22" ht="13">
      <c r="B793" s="270"/>
      <c r="C793" s="245"/>
      <c r="D793" s="19" t="s">
        <v>1013</v>
      </c>
      <c r="E793" s="17">
        <v>12.59</v>
      </c>
      <c r="F793" s="17">
        <v>13</v>
      </c>
      <c r="G793" s="17">
        <f t="shared" si="142"/>
        <v>163.66999999999999</v>
      </c>
      <c r="H793" s="236"/>
      <c r="I793" s="236"/>
      <c r="J793" s="236"/>
      <c r="K793" s="242"/>
      <c r="M793" s="270"/>
      <c r="N793" s="245"/>
      <c r="O793" s="19" t="s">
        <v>1013</v>
      </c>
      <c r="P793" s="17">
        <v>12.59</v>
      </c>
      <c r="Q793" s="17">
        <v>13</v>
      </c>
      <c r="R793" s="17">
        <f t="shared" si="143"/>
        <v>163.66999999999999</v>
      </c>
      <c r="S793" s="236"/>
      <c r="T793" s="236"/>
      <c r="U793" s="236"/>
      <c r="V793" s="242"/>
    </row>
    <row r="794" spans="2:22" ht="13">
      <c r="B794" s="270"/>
      <c r="C794" s="245"/>
      <c r="D794" s="24" t="s">
        <v>1014</v>
      </c>
      <c r="E794" s="17"/>
      <c r="F794" s="17"/>
      <c r="G794" s="17">
        <v>40</v>
      </c>
      <c r="H794" s="236"/>
      <c r="I794" s="236"/>
      <c r="J794" s="236"/>
      <c r="K794" s="242"/>
      <c r="M794" s="270"/>
      <c r="N794" s="245"/>
      <c r="O794" s="24" t="s">
        <v>1014</v>
      </c>
      <c r="P794" s="17"/>
      <c r="Q794" s="17"/>
      <c r="R794" s="17">
        <v>40</v>
      </c>
      <c r="S794" s="236"/>
      <c r="T794" s="236"/>
      <c r="U794" s="236"/>
      <c r="V794" s="242"/>
    </row>
    <row r="795" spans="2:22" ht="13">
      <c r="B795" s="270"/>
      <c r="C795" s="246"/>
      <c r="D795" s="44" t="s">
        <v>33</v>
      </c>
      <c r="E795" s="21"/>
      <c r="F795" s="21"/>
      <c r="G795" s="21">
        <v>468.27</v>
      </c>
      <c r="H795" s="238"/>
      <c r="I795" s="238"/>
      <c r="J795" s="238"/>
      <c r="K795" s="243"/>
      <c r="M795" s="270"/>
      <c r="N795" s="246"/>
      <c r="O795" s="44" t="s">
        <v>33</v>
      </c>
      <c r="P795" s="21"/>
      <c r="Q795" s="21"/>
      <c r="R795" s="21">
        <v>468.27</v>
      </c>
      <c r="S795" s="238"/>
      <c r="T795" s="238"/>
      <c r="U795" s="238"/>
      <c r="V795" s="243"/>
    </row>
    <row r="796" spans="2:22" ht="13">
      <c r="B796" s="270"/>
      <c r="C796" s="244" t="s">
        <v>1015</v>
      </c>
      <c r="D796" s="15" t="s">
        <v>106</v>
      </c>
      <c r="E796" s="16">
        <v>17.03</v>
      </c>
      <c r="F796" s="17">
        <v>13</v>
      </c>
      <c r="G796" s="17">
        <f t="shared" ref="G796:G800" si="144">E796*F796</f>
        <v>221.39000000000001</v>
      </c>
      <c r="H796" s="240">
        <f>SUM(G796:G801)</f>
        <v>1215.3600000000001</v>
      </c>
      <c r="I796" s="240">
        <v>2448</v>
      </c>
      <c r="J796" s="240">
        <f>I796-H796</f>
        <v>1232.6399999999999</v>
      </c>
      <c r="K796" s="241">
        <f>J796/I796</f>
        <v>0.50352941176470578</v>
      </c>
      <c r="M796" s="270"/>
      <c r="N796" s="244" t="s">
        <v>1015</v>
      </c>
      <c r="O796" s="15" t="s">
        <v>106</v>
      </c>
      <c r="P796" s="16">
        <v>17.03</v>
      </c>
      <c r="Q796" s="17">
        <v>13</v>
      </c>
      <c r="R796" s="17">
        <f t="shared" ref="R796:R797" si="145">P796*Q796</f>
        <v>221.39000000000001</v>
      </c>
      <c r="S796" s="240">
        <f>SUM(R796:R801)</f>
        <v>837.36000000000013</v>
      </c>
      <c r="T796" s="240">
        <v>2448</v>
      </c>
      <c r="U796" s="240">
        <f>T796-S796</f>
        <v>1610.6399999999999</v>
      </c>
      <c r="V796" s="241">
        <f>U796/T796</f>
        <v>0.65794117647058814</v>
      </c>
    </row>
    <row r="797" spans="2:22" ht="13">
      <c r="B797" s="270"/>
      <c r="C797" s="245"/>
      <c r="D797" s="19" t="s">
        <v>178</v>
      </c>
      <c r="E797" s="17">
        <v>23.84</v>
      </c>
      <c r="F797" s="17">
        <v>13</v>
      </c>
      <c r="G797" s="17">
        <f t="shared" si="144"/>
        <v>309.92</v>
      </c>
      <c r="H797" s="236"/>
      <c r="I797" s="236"/>
      <c r="J797" s="236"/>
      <c r="K797" s="242"/>
      <c r="M797" s="270"/>
      <c r="N797" s="245"/>
      <c r="O797" s="19" t="s">
        <v>178</v>
      </c>
      <c r="P797" s="17">
        <v>23.84</v>
      </c>
      <c r="Q797" s="17">
        <v>13</v>
      </c>
      <c r="R797" s="17">
        <f t="shared" si="145"/>
        <v>309.92</v>
      </c>
      <c r="S797" s="236"/>
      <c r="T797" s="236"/>
      <c r="U797" s="236"/>
      <c r="V797" s="242"/>
    </row>
    <row r="798" spans="2:22" ht="13">
      <c r="B798" s="270"/>
      <c r="C798" s="245"/>
      <c r="D798" s="19" t="s">
        <v>114</v>
      </c>
      <c r="E798" s="17">
        <v>21</v>
      </c>
      <c r="F798" s="17">
        <v>18</v>
      </c>
      <c r="G798" s="17">
        <f t="shared" si="144"/>
        <v>378</v>
      </c>
      <c r="H798" s="236"/>
      <c r="I798" s="236"/>
      <c r="J798" s="236"/>
      <c r="K798" s="242"/>
      <c r="M798" s="270"/>
      <c r="N798" s="245"/>
      <c r="O798" s="19" t="s">
        <v>114</v>
      </c>
      <c r="P798" s="18"/>
      <c r="Q798" s="18"/>
      <c r="R798" s="18"/>
      <c r="S798" s="236"/>
      <c r="T798" s="236"/>
      <c r="U798" s="236"/>
      <c r="V798" s="242"/>
    </row>
    <row r="799" spans="2:22" ht="13">
      <c r="B799" s="270"/>
      <c r="C799" s="245"/>
      <c r="D799" s="19" t="s">
        <v>970</v>
      </c>
      <c r="E799" s="17">
        <v>4.5</v>
      </c>
      <c r="F799" s="17">
        <v>13</v>
      </c>
      <c r="G799" s="17">
        <f t="shared" si="144"/>
        <v>58.5</v>
      </c>
      <c r="H799" s="236"/>
      <c r="I799" s="236"/>
      <c r="J799" s="236"/>
      <c r="K799" s="242"/>
      <c r="M799" s="270"/>
      <c r="N799" s="245"/>
      <c r="O799" s="19" t="s">
        <v>970</v>
      </c>
      <c r="P799" s="17">
        <v>4.5</v>
      </c>
      <c r="Q799" s="17">
        <v>13</v>
      </c>
      <c r="R799" s="17">
        <f t="shared" ref="R799:R800" si="146">P799*Q799</f>
        <v>58.5</v>
      </c>
      <c r="S799" s="236"/>
      <c r="T799" s="236"/>
      <c r="U799" s="236"/>
      <c r="V799" s="242"/>
    </row>
    <row r="800" spans="2:22" ht="13">
      <c r="B800" s="270"/>
      <c r="C800" s="245"/>
      <c r="D800" s="19" t="s">
        <v>266</v>
      </c>
      <c r="E800" s="17">
        <v>16.12</v>
      </c>
      <c r="F800" s="17">
        <v>13</v>
      </c>
      <c r="G800" s="17">
        <f t="shared" si="144"/>
        <v>209.56</v>
      </c>
      <c r="H800" s="236"/>
      <c r="I800" s="236"/>
      <c r="J800" s="236"/>
      <c r="K800" s="242"/>
      <c r="M800" s="270"/>
      <c r="N800" s="245"/>
      <c r="O800" s="19" t="s">
        <v>266</v>
      </c>
      <c r="P800" s="17">
        <v>16.12</v>
      </c>
      <c r="Q800" s="17">
        <v>13</v>
      </c>
      <c r="R800" s="17">
        <f t="shared" si="146"/>
        <v>209.56</v>
      </c>
      <c r="S800" s="236"/>
      <c r="T800" s="236"/>
      <c r="U800" s="236"/>
      <c r="V800" s="242"/>
    </row>
    <row r="801" spans="2:22" ht="13">
      <c r="B801" s="270"/>
      <c r="C801" s="246"/>
      <c r="D801" s="44" t="s">
        <v>1016</v>
      </c>
      <c r="E801" s="21"/>
      <c r="F801" s="21"/>
      <c r="G801" s="21">
        <v>37.99</v>
      </c>
      <c r="H801" s="238"/>
      <c r="I801" s="238"/>
      <c r="J801" s="238"/>
      <c r="K801" s="243"/>
      <c r="M801" s="270"/>
      <c r="N801" s="246"/>
      <c r="O801" s="44" t="s">
        <v>1016</v>
      </c>
      <c r="P801" s="21"/>
      <c r="Q801" s="21"/>
      <c r="R801" s="21">
        <v>37.99</v>
      </c>
      <c r="S801" s="238"/>
      <c r="T801" s="238"/>
      <c r="U801" s="238"/>
      <c r="V801" s="243"/>
    </row>
    <row r="802" spans="2:22" ht="13">
      <c r="B802" s="270"/>
      <c r="C802" s="305" t="s">
        <v>1017</v>
      </c>
      <c r="D802" s="15" t="s">
        <v>986</v>
      </c>
      <c r="E802" s="15"/>
      <c r="F802" s="15"/>
      <c r="G802" s="16">
        <v>280</v>
      </c>
      <c r="H802" s="274">
        <f>SUM(G802:G803)</f>
        <v>295</v>
      </c>
      <c r="I802" s="274">
        <v>2550.2399999999998</v>
      </c>
      <c r="J802" s="274">
        <f>I802-H802</f>
        <v>2255.2399999999998</v>
      </c>
      <c r="K802" s="276">
        <f>J802/I802</f>
        <v>0.88432461258548212</v>
      </c>
      <c r="M802" s="270"/>
      <c r="N802" s="305" t="s">
        <v>1017</v>
      </c>
      <c r="O802" s="15" t="s">
        <v>986</v>
      </c>
      <c r="P802" s="15"/>
      <c r="Q802" s="15"/>
      <c r="R802" s="16">
        <v>280</v>
      </c>
      <c r="S802" s="274">
        <f>SUM(R802:R803)</f>
        <v>295</v>
      </c>
      <c r="T802" s="274">
        <v>2550.2399999999998</v>
      </c>
      <c r="U802" s="274">
        <f>T802-S802</f>
        <v>2255.2399999999998</v>
      </c>
      <c r="V802" s="276">
        <f>U802/T802</f>
        <v>0.88432461258548212</v>
      </c>
    </row>
    <row r="803" spans="2:22" ht="13">
      <c r="B803" s="270"/>
      <c r="C803" s="246"/>
      <c r="D803" s="20" t="s">
        <v>1018</v>
      </c>
      <c r="E803" s="20"/>
      <c r="F803" s="20"/>
      <c r="G803" s="21">
        <v>15</v>
      </c>
      <c r="H803" s="238"/>
      <c r="I803" s="238"/>
      <c r="J803" s="238"/>
      <c r="K803" s="243"/>
      <c r="M803" s="270"/>
      <c r="N803" s="246"/>
      <c r="O803" s="20" t="s">
        <v>1018</v>
      </c>
      <c r="P803" s="20"/>
      <c r="Q803" s="20"/>
      <c r="R803" s="21">
        <v>15</v>
      </c>
      <c r="S803" s="238"/>
      <c r="T803" s="238"/>
      <c r="U803" s="238"/>
      <c r="V803" s="243"/>
    </row>
    <row r="804" spans="2:22" ht="13">
      <c r="B804" s="270"/>
      <c r="C804" s="305" t="s">
        <v>1019</v>
      </c>
      <c r="D804" s="15" t="s">
        <v>114</v>
      </c>
      <c r="E804" s="15">
        <v>3.5</v>
      </c>
      <c r="F804" s="15">
        <v>18</v>
      </c>
      <c r="G804" s="16">
        <f>E804*F804</f>
        <v>63</v>
      </c>
      <c r="H804" s="274">
        <f>SUM(G804:G805)</f>
        <v>63</v>
      </c>
      <c r="I804" s="274">
        <v>2016</v>
      </c>
      <c r="J804" s="274">
        <f>I804-H804</f>
        <v>1953</v>
      </c>
      <c r="K804" s="276">
        <f>J804/I804</f>
        <v>0.96875</v>
      </c>
      <c r="M804" s="270"/>
      <c r="N804" s="305" t="s">
        <v>1019</v>
      </c>
      <c r="O804" s="15" t="s">
        <v>114</v>
      </c>
      <c r="P804" s="120"/>
      <c r="Q804" s="120"/>
      <c r="R804" s="43"/>
      <c r="S804" s="274">
        <f>SUM(R804:R805)</f>
        <v>0</v>
      </c>
      <c r="T804" s="274">
        <v>2016</v>
      </c>
      <c r="U804" s="274">
        <f>T804-S804</f>
        <v>2016</v>
      </c>
      <c r="V804" s="276">
        <f>U804/T804</f>
        <v>1</v>
      </c>
    </row>
    <row r="805" spans="2:22" ht="13">
      <c r="B805" s="270"/>
      <c r="C805" s="246"/>
      <c r="D805" s="20"/>
      <c r="E805" s="20"/>
      <c r="F805" s="20"/>
      <c r="G805" s="21"/>
      <c r="H805" s="238"/>
      <c r="I805" s="238"/>
      <c r="J805" s="238"/>
      <c r="K805" s="243"/>
      <c r="M805" s="270"/>
      <c r="N805" s="246"/>
      <c r="O805" s="20"/>
      <c r="P805" s="20"/>
      <c r="Q805" s="20"/>
      <c r="R805" s="21"/>
      <c r="S805" s="238"/>
      <c r="T805" s="238"/>
      <c r="U805" s="238"/>
      <c r="V805" s="243"/>
    </row>
    <row r="806" spans="2:22" ht="13">
      <c r="B806" s="270"/>
      <c r="C806" s="305" t="s">
        <v>1020</v>
      </c>
      <c r="D806" s="15" t="s">
        <v>114</v>
      </c>
      <c r="E806" s="15">
        <v>3.5</v>
      </c>
      <c r="F806" s="15">
        <v>18</v>
      </c>
      <c r="G806" s="16">
        <f>E806*F806</f>
        <v>63</v>
      </c>
      <c r="H806" s="274">
        <f>SUM(G806:G807)</f>
        <v>151.63</v>
      </c>
      <c r="I806" s="274">
        <v>2016</v>
      </c>
      <c r="J806" s="274">
        <f>I806-H806</f>
        <v>1864.37</v>
      </c>
      <c r="K806" s="276">
        <f>J806/I806</f>
        <v>0.92478670634920634</v>
      </c>
      <c r="M806" s="270"/>
      <c r="N806" s="305" t="s">
        <v>1020</v>
      </c>
      <c r="O806" s="15" t="s">
        <v>114</v>
      </c>
      <c r="P806" s="120"/>
      <c r="Q806" s="120"/>
      <c r="R806" s="43"/>
      <c r="S806" s="274">
        <f>SUM(R806:R807)</f>
        <v>88.63</v>
      </c>
      <c r="T806" s="274">
        <v>2016</v>
      </c>
      <c r="U806" s="274">
        <f>T806-S806</f>
        <v>1927.37</v>
      </c>
      <c r="V806" s="276">
        <f>U806/T806</f>
        <v>0.95603670634920634</v>
      </c>
    </row>
    <row r="807" spans="2:22" ht="13">
      <c r="B807" s="270"/>
      <c r="C807" s="246"/>
      <c r="D807" s="20" t="s">
        <v>699</v>
      </c>
      <c r="E807" s="20"/>
      <c r="F807" s="20"/>
      <c r="G807" s="21">
        <v>88.63</v>
      </c>
      <c r="H807" s="238"/>
      <c r="I807" s="238"/>
      <c r="J807" s="238"/>
      <c r="K807" s="243"/>
      <c r="M807" s="270"/>
      <c r="N807" s="246"/>
      <c r="O807" s="20" t="s">
        <v>699</v>
      </c>
      <c r="P807" s="20"/>
      <c r="Q807" s="20"/>
      <c r="R807" s="21">
        <v>88.63</v>
      </c>
      <c r="S807" s="238"/>
      <c r="T807" s="238"/>
      <c r="U807" s="238"/>
      <c r="V807" s="243"/>
    </row>
    <row r="808" spans="2:22" ht="13">
      <c r="B808" s="270"/>
      <c r="C808" s="244" t="s">
        <v>1021</v>
      </c>
      <c r="D808" s="15" t="s">
        <v>81</v>
      </c>
      <c r="E808" s="16">
        <v>7.8</v>
      </c>
      <c r="F808" s="17">
        <v>15</v>
      </c>
      <c r="G808" s="17">
        <f t="shared" ref="G808:G830" si="147">E808*F808</f>
        <v>117</v>
      </c>
      <c r="H808" s="240">
        <f>SUM(G808:G819)</f>
        <v>3370.5500000000006</v>
      </c>
      <c r="I808" s="240">
        <v>17300</v>
      </c>
      <c r="J808" s="240">
        <f>I808-H808</f>
        <v>13929.449999999999</v>
      </c>
      <c r="K808" s="241">
        <f>J808/I808</f>
        <v>0.80517052023121383</v>
      </c>
      <c r="M808" s="270"/>
      <c r="N808" s="244" t="s">
        <v>1021</v>
      </c>
      <c r="O808" s="15" t="s">
        <v>81</v>
      </c>
      <c r="P808" s="16">
        <v>7.8</v>
      </c>
      <c r="Q808" s="17">
        <v>15</v>
      </c>
      <c r="R808" s="17">
        <f t="shared" ref="R808:R822" si="148">P808*Q808</f>
        <v>117</v>
      </c>
      <c r="S808" s="240">
        <f>SUM(R808:R819)</f>
        <v>3370.5500000000006</v>
      </c>
      <c r="T808" s="240">
        <v>17300</v>
      </c>
      <c r="U808" s="240">
        <f>T808-S808</f>
        <v>13929.449999999999</v>
      </c>
      <c r="V808" s="241">
        <f>U808/T808</f>
        <v>0.80517052023121383</v>
      </c>
    </row>
    <row r="809" spans="2:22" ht="13">
      <c r="B809" s="270"/>
      <c r="C809" s="245"/>
      <c r="D809" s="19" t="s">
        <v>1011</v>
      </c>
      <c r="E809" s="17">
        <v>52.96</v>
      </c>
      <c r="F809" s="17">
        <v>15</v>
      </c>
      <c r="G809" s="17">
        <f t="shared" si="147"/>
        <v>794.4</v>
      </c>
      <c r="H809" s="236"/>
      <c r="I809" s="236"/>
      <c r="J809" s="236"/>
      <c r="K809" s="242"/>
      <c r="M809" s="270"/>
      <c r="N809" s="245"/>
      <c r="O809" s="19" t="s">
        <v>1011</v>
      </c>
      <c r="P809" s="17">
        <v>52.96</v>
      </c>
      <c r="Q809" s="17">
        <v>15</v>
      </c>
      <c r="R809" s="17">
        <f t="shared" si="148"/>
        <v>794.4</v>
      </c>
      <c r="S809" s="236"/>
      <c r="T809" s="236"/>
      <c r="U809" s="236"/>
      <c r="V809" s="242"/>
    </row>
    <row r="810" spans="2:22" ht="13">
      <c r="B810" s="270"/>
      <c r="C810" s="245"/>
      <c r="D810" s="19" t="s">
        <v>989</v>
      </c>
      <c r="E810" s="17">
        <v>13.15</v>
      </c>
      <c r="F810" s="17">
        <v>15</v>
      </c>
      <c r="G810" s="17">
        <f t="shared" si="147"/>
        <v>197.25</v>
      </c>
      <c r="H810" s="236"/>
      <c r="I810" s="236"/>
      <c r="J810" s="236"/>
      <c r="K810" s="242"/>
      <c r="M810" s="270"/>
      <c r="N810" s="245"/>
      <c r="O810" s="19" t="s">
        <v>989</v>
      </c>
      <c r="P810" s="17">
        <v>13.15</v>
      </c>
      <c r="Q810" s="17">
        <v>15</v>
      </c>
      <c r="R810" s="17">
        <f t="shared" si="148"/>
        <v>197.25</v>
      </c>
      <c r="S810" s="236"/>
      <c r="T810" s="236"/>
      <c r="U810" s="236"/>
      <c r="V810" s="242"/>
    </row>
    <row r="811" spans="2:22" ht="13">
      <c r="B811" s="270"/>
      <c r="C811" s="245"/>
      <c r="D811" s="19" t="s">
        <v>70</v>
      </c>
      <c r="E811" s="17">
        <v>37.51</v>
      </c>
      <c r="F811" s="17">
        <v>15</v>
      </c>
      <c r="G811" s="17">
        <f t="shared" si="147"/>
        <v>562.65</v>
      </c>
      <c r="H811" s="236"/>
      <c r="I811" s="236"/>
      <c r="J811" s="236"/>
      <c r="K811" s="242"/>
      <c r="M811" s="270"/>
      <c r="N811" s="245"/>
      <c r="O811" s="19" t="s">
        <v>70</v>
      </c>
      <c r="P811" s="17">
        <v>37.51</v>
      </c>
      <c r="Q811" s="17">
        <v>15</v>
      </c>
      <c r="R811" s="17">
        <f t="shared" si="148"/>
        <v>562.65</v>
      </c>
      <c r="S811" s="236"/>
      <c r="T811" s="236"/>
      <c r="U811" s="236"/>
      <c r="V811" s="242"/>
    </row>
    <row r="812" spans="2:22" ht="13">
      <c r="B812" s="270"/>
      <c r="C812" s="245"/>
      <c r="D812" s="19" t="s">
        <v>983</v>
      </c>
      <c r="E812" s="17">
        <v>8.3000000000000007</v>
      </c>
      <c r="F812" s="17">
        <v>13</v>
      </c>
      <c r="G812" s="17">
        <f t="shared" si="147"/>
        <v>107.9</v>
      </c>
      <c r="H812" s="236"/>
      <c r="I812" s="236"/>
      <c r="J812" s="236"/>
      <c r="K812" s="242"/>
      <c r="M812" s="270"/>
      <c r="N812" s="245"/>
      <c r="O812" s="19" t="s">
        <v>983</v>
      </c>
      <c r="P812" s="17">
        <v>8.3000000000000007</v>
      </c>
      <c r="Q812" s="17">
        <v>13</v>
      </c>
      <c r="R812" s="17">
        <f t="shared" si="148"/>
        <v>107.9</v>
      </c>
      <c r="S812" s="236"/>
      <c r="T812" s="236"/>
      <c r="U812" s="236"/>
      <c r="V812" s="242"/>
    </row>
    <row r="813" spans="2:22" ht="13">
      <c r="B813" s="270"/>
      <c r="C813" s="245"/>
      <c r="D813" s="19" t="s">
        <v>178</v>
      </c>
      <c r="E813" s="17">
        <v>23.32</v>
      </c>
      <c r="F813" s="17">
        <v>15</v>
      </c>
      <c r="G813" s="17">
        <f t="shared" si="147"/>
        <v>349.8</v>
      </c>
      <c r="H813" s="236"/>
      <c r="I813" s="236"/>
      <c r="J813" s="236"/>
      <c r="K813" s="242"/>
      <c r="M813" s="270"/>
      <c r="N813" s="245"/>
      <c r="O813" s="19" t="s">
        <v>178</v>
      </c>
      <c r="P813" s="17">
        <v>23.32</v>
      </c>
      <c r="Q813" s="17">
        <v>15</v>
      </c>
      <c r="R813" s="17">
        <f t="shared" si="148"/>
        <v>349.8</v>
      </c>
      <c r="S813" s="236"/>
      <c r="T813" s="236"/>
      <c r="U813" s="236"/>
      <c r="V813" s="242"/>
    </row>
    <row r="814" spans="2:22" ht="13">
      <c r="B814" s="270"/>
      <c r="C814" s="245"/>
      <c r="D814" s="19" t="s">
        <v>917</v>
      </c>
      <c r="E814" s="17">
        <v>21.77</v>
      </c>
      <c r="F814" s="17">
        <v>15</v>
      </c>
      <c r="G814" s="17">
        <f t="shared" si="147"/>
        <v>326.55</v>
      </c>
      <c r="H814" s="236"/>
      <c r="I814" s="236"/>
      <c r="J814" s="236"/>
      <c r="K814" s="242"/>
      <c r="M814" s="270"/>
      <c r="N814" s="245"/>
      <c r="O814" s="19" t="s">
        <v>917</v>
      </c>
      <c r="P814" s="17">
        <v>21.77</v>
      </c>
      <c r="Q814" s="17">
        <v>15</v>
      </c>
      <c r="R814" s="17">
        <f t="shared" si="148"/>
        <v>326.55</v>
      </c>
      <c r="S814" s="236"/>
      <c r="T814" s="236"/>
      <c r="U814" s="236"/>
      <c r="V814" s="242"/>
    </row>
    <row r="815" spans="2:22" ht="13">
      <c r="B815" s="270"/>
      <c r="C815" s="245"/>
      <c r="D815" s="19" t="s">
        <v>990</v>
      </c>
      <c r="E815" s="17">
        <v>10</v>
      </c>
      <c r="F815" s="17">
        <v>15</v>
      </c>
      <c r="G815" s="17">
        <f t="shared" si="147"/>
        <v>150</v>
      </c>
      <c r="H815" s="236"/>
      <c r="I815" s="236"/>
      <c r="J815" s="236"/>
      <c r="K815" s="242"/>
      <c r="M815" s="270"/>
      <c r="N815" s="245"/>
      <c r="O815" s="19" t="s">
        <v>990</v>
      </c>
      <c r="P815" s="17">
        <v>10</v>
      </c>
      <c r="Q815" s="17">
        <v>15</v>
      </c>
      <c r="R815" s="17">
        <f t="shared" si="148"/>
        <v>150</v>
      </c>
      <c r="S815" s="236"/>
      <c r="T815" s="236"/>
      <c r="U815" s="236"/>
      <c r="V815" s="242"/>
    </row>
    <row r="816" spans="2:22" ht="13">
      <c r="B816" s="270"/>
      <c r="C816" s="245"/>
      <c r="D816" s="24" t="s">
        <v>23</v>
      </c>
      <c r="E816" s="17">
        <v>15.55</v>
      </c>
      <c r="F816" s="17">
        <v>15</v>
      </c>
      <c r="G816" s="17">
        <f t="shared" si="147"/>
        <v>233.25</v>
      </c>
      <c r="H816" s="236"/>
      <c r="I816" s="236"/>
      <c r="J816" s="236"/>
      <c r="K816" s="242"/>
      <c r="M816" s="270"/>
      <c r="N816" s="245"/>
      <c r="O816" s="24" t="s">
        <v>23</v>
      </c>
      <c r="P816" s="17">
        <v>15.55</v>
      </c>
      <c r="Q816" s="17">
        <v>15</v>
      </c>
      <c r="R816" s="17">
        <f t="shared" si="148"/>
        <v>233.25</v>
      </c>
      <c r="S816" s="236"/>
      <c r="T816" s="236"/>
      <c r="U816" s="236"/>
      <c r="V816" s="242"/>
    </row>
    <row r="817" spans="2:22" ht="13">
      <c r="B817" s="270"/>
      <c r="C817" s="245"/>
      <c r="D817" s="24" t="s">
        <v>40</v>
      </c>
      <c r="E817" s="17">
        <v>1.5</v>
      </c>
      <c r="F817" s="17">
        <v>15</v>
      </c>
      <c r="G817" s="17">
        <f t="shared" si="147"/>
        <v>22.5</v>
      </c>
      <c r="H817" s="236"/>
      <c r="I817" s="236"/>
      <c r="J817" s="236"/>
      <c r="K817" s="242"/>
      <c r="M817" s="270"/>
      <c r="N817" s="245"/>
      <c r="O817" s="24" t="s">
        <v>40</v>
      </c>
      <c r="P817" s="17">
        <v>1.5</v>
      </c>
      <c r="Q817" s="17">
        <v>15</v>
      </c>
      <c r="R817" s="17">
        <f t="shared" si="148"/>
        <v>22.5</v>
      </c>
      <c r="S817" s="236"/>
      <c r="T817" s="236"/>
      <c r="U817" s="236"/>
      <c r="V817" s="242"/>
    </row>
    <row r="818" spans="2:22" ht="13">
      <c r="B818" s="270"/>
      <c r="C818" s="245"/>
      <c r="D818" s="24" t="s">
        <v>53</v>
      </c>
      <c r="E818" s="17">
        <v>13.2</v>
      </c>
      <c r="F818" s="17">
        <v>15</v>
      </c>
      <c r="G818" s="17">
        <f t="shared" si="147"/>
        <v>198</v>
      </c>
      <c r="H818" s="236"/>
      <c r="I818" s="236"/>
      <c r="J818" s="236"/>
      <c r="K818" s="242"/>
      <c r="M818" s="270"/>
      <c r="N818" s="245"/>
      <c r="O818" s="24" t="s">
        <v>53</v>
      </c>
      <c r="P818" s="17">
        <v>13.2</v>
      </c>
      <c r="Q818" s="17">
        <v>15</v>
      </c>
      <c r="R818" s="17">
        <f t="shared" si="148"/>
        <v>198</v>
      </c>
      <c r="S818" s="236"/>
      <c r="T818" s="236"/>
      <c r="U818" s="236"/>
      <c r="V818" s="242"/>
    </row>
    <row r="819" spans="2:22" ht="13">
      <c r="B819" s="270"/>
      <c r="C819" s="246"/>
      <c r="D819" s="44" t="s">
        <v>1022</v>
      </c>
      <c r="E819" s="21">
        <v>20.75</v>
      </c>
      <c r="F819" s="21">
        <v>15</v>
      </c>
      <c r="G819" s="21">
        <f t="shared" si="147"/>
        <v>311.25</v>
      </c>
      <c r="H819" s="238"/>
      <c r="I819" s="238"/>
      <c r="J819" s="238"/>
      <c r="K819" s="243"/>
      <c r="M819" s="270"/>
      <c r="N819" s="246"/>
      <c r="O819" s="44" t="s">
        <v>1022</v>
      </c>
      <c r="P819" s="21">
        <v>20.75</v>
      </c>
      <c r="Q819" s="21">
        <v>15</v>
      </c>
      <c r="R819" s="21">
        <f t="shared" si="148"/>
        <v>311.25</v>
      </c>
      <c r="S819" s="238"/>
      <c r="T819" s="238"/>
      <c r="U819" s="238"/>
      <c r="V819" s="243"/>
    </row>
    <row r="820" spans="2:22" ht="13">
      <c r="B820" s="270"/>
      <c r="C820" s="244" t="s">
        <v>1023</v>
      </c>
      <c r="D820" s="15" t="s">
        <v>53</v>
      </c>
      <c r="E820" s="15">
        <v>11</v>
      </c>
      <c r="F820" s="15">
        <v>13</v>
      </c>
      <c r="G820" s="50">
        <f t="shared" si="147"/>
        <v>143</v>
      </c>
      <c r="H820" s="240">
        <f>SUM(G820:G821)</f>
        <v>354.77</v>
      </c>
      <c r="I820" s="240">
        <v>1450</v>
      </c>
      <c r="J820" s="240">
        <f>I820-H820</f>
        <v>1095.23</v>
      </c>
      <c r="K820" s="241">
        <f>J820/I820</f>
        <v>0.75533103448275862</v>
      </c>
      <c r="M820" s="270"/>
      <c r="N820" s="244" t="s">
        <v>1023</v>
      </c>
      <c r="O820" s="15" t="s">
        <v>53</v>
      </c>
      <c r="P820" s="15">
        <v>11</v>
      </c>
      <c r="Q820" s="15">
        <v>13</v>
      </c>
      <c r="R820" s="50">
        <f t="shared" si="148"/>
        <v>143</v>
      </c>
      <c r="S820" s="240">
        <f>SUM(R820:R821)</f>
        <v>354.77</v>
      </c>
      <c r="T820" s="240">
        <v>1450</v>
      </c>
      <c r="U820" s="240">
        <f>T820-S820</f>
        <v>1095.23</v>
      </c>
      <c r="V820" s="241">
        <f>U820/T820</f>
        <v>0.75533103448275862</v>
      </c>
    </row>
    <row r="821" spans="2:22" ht="13">
      <c r="B821" s="270"/>
      <c r="C821" s="246"/>
      <c r="D821" s="20" t="s">
        <v>1022</v>
      </c>
      <c r="E821" s="20">
        <v>16.29</v>
      </c>
      <c r="F821" s="20">
        <v>13</v>
      </c>
      <c r="G821" s="26">
        <f t="shared" si="147"/>
        <v>211.76999999999998</v>
      </c>
      <c r="H821" s="238"/>
      <c r="I821" s="238"/>
      <c r="J821" s="238"/>
      <c r="K821" s="243"/>
      <c r="M821" s="270"/>
      <c r="N821" s="246"/>
      <c r="O821" s="20" t="s">
        <v>1022</v>
      </c>
      <c r="P821" s="20">
        <v>16.29</v>
      </c>
      <c r="Q821" s="20">
        <v>13</v>
      </c>
      <c r="R821" s="26">
        <f t="shared" si="148"/>
        <v>211.76999999999998</v>
      </c>
      <c r="S821" s="238"/>
      <c r="T821" s="238"/>
      <c r="U821" s="238"/>
      <c r="V821" s="243"/>
    </row>
    <row r="822" spans="2:22" ht="13">
      <c r="B822" s="270"/>
      <c r="C822" s="244" t="s">
        <v>1024</v>
      </c>
      <c r="D822" s="15" t="s">
        <v>81</v>
      </c>
      <c r="E822" s="16">
        <v>1.58</v>
      </c>
      <c r="F822" s="17">
        <v>13</v>
      </c>
      <c r="G822" s="17">
        <f t="shared" si="147"/>
        <v>20.54</v>
      </c>
      <c r="H822" s="240">
        <f>SUM(G822:G832)</f>
        <v>1538.3199999999997</v>
      </c>
      <c r="I822" s="240">
        <v>6007.5</v>
      </c>
      <c r="J822" s="240">
        <f>I822-H822</f>
        <v>4469.18</v>
      </c>
      <c r="K822" s="241">
        <f>J822/I822</f>
        <v>0.74393341656263012</v>
      </c>
      <c r="M822" s="270"/>
      <c r="N822" s="244" t="s">
        <v>1024</v>
      </c>
      <c r="O822" s="15" t="s">
        <v>81</v>
      </c>
      <c r="P822" s="16">
        <v>1.58</v>
      </c>
      <c r="Q822" s="17">
        <v>13</v>
      </c>
      <c r="R822" s="17">
        <f t="shared" si="148"/>
        <v>20.54</v>
      </c>
      <c r="S822" s="240">
        <f>SUM(R822:R832)</f>
        <v>1286.32</v>
      </c>
      <c r="T822" s="240">
        <v>6007.5</v>
      </c>
      <c r="U822" s="240">
        <f>T822-S822</f>
        <v>4721.18</v>
      </c>
      <c r="V822" s="241">
        <f>U822/T822</f>
        <v>0.78588098210570123</v>
      </c>
    </row>
    <row r="823" spans="2:22" ht="13">
      <c r="B823" s="270"/>
      <c r="C823" s="245"/>
      <c r="D823" s="19" t="s">
        <v>114</v>
      </c>
      <c r="E823" s="17">
        <v>14</v>
      </c>
      <c r="F823" s="17">
        <v>18</v>
      </c>
      <c r="G823" s="17">
        <f t="shared" si="147"/>
        <v>252</v>
      </c>
      <c r="H823" s="236"/>
      <c r="I823" s="236"/>
      <c r="J823" s="236"/>
      <c r="K823" s="242"/>
      <c r="M823" s="270"/>
      <c r="N823" s="245"/>
      <c r="O823" s="19" t="s">
        <v>114</v>
      </c>
      <c r="P823" s="18"/>
      <c r="Q823" s="18"/>
      <c r="R823" s="18"/>
      <c r="S823" s="236"/>
      <c r="T823" s="236"/>
      <c r="U823" s="236"/>
      <c r="V823" s="242"/>
    </row>
    <row r="824" spans="2:22" ht="13">
      <c r="B824" s="270"/>
      <c r="C824" s="245"/>
      <c r="D824" s="19" t="s">
        <v>989</v>
      </c>
      <c r="E824" s="17">
        <v>17.22</v>
      </c>
      <c r="F824" s="17">
        <v>17</v>
      </c>
      <c r="G824" s="17">
        <f t="shared" si="147"/>
        <v>292.74</v>
      </c>
      <c r="H824" s="236"/>
      <c r="I824" s="236"/>
      <c r="J824" s="236"/>
      <c r="K824" s="242"/>
      <c r="M824" s="270"/>
      <c r="N824" s="245"/>
      <c r="O824" s="19" t="s">
        <v>989</v>
      </c>
      <c r="P824" s="17">
        <v>17.22</v>
      </c>
      <c r="Q824" s="17">
        <v>17</v>
      </c>
      <c r="R824" s="17">
        <f t="shared" ref="R824:R830" si="149">P824*Q824</f>
        <v>292.74</v>
      </c>
      <c r="S824" s="236"/>
      <c r="T824" s="236"/>
      <c r="U824" s="236"/>
      <c r="V824" s="242"/>
    </row>
    <row r="825" spans="2:22" ht="13">
      <c r="B825" s="270"/>
      <c r="C825" s="245"/>
      <c r="D825" s="19" t="s">
        <v>53</v>
      </c>
      <c r="E825" s="17">
        <v>9.34</v>
      </c>
      <c r="F825" s="17">
        <v>13</v>
      </c>
      <c r="G825" s="17">
        <f t="shared" si="147"/>
        <v>121.42</v>
      </c>
      <c r="H825" s="236"/>
      <c r="I825" s="236"/>
      <c r="J825" s="236"/>
      <c r="K825" s="242"/>
      <c r="M825" s="270"/>
      <c r="N825" s="245"/>
      <c r="O825" s="19" t="s">
        <v>53</v>
      </c>
      <c r="P825" s="17">
        <v>9.34</v>
      </c>
      <c r="Q825" s="17">
        <v>13</v>
      </c>
      <c r="R825" s="17">
        <f t="shared" si="149"/>
        <v>121.42</v>
      </c>
      <c r="S825" s="236"/>
      <c r="T825" s="236"/>
      <c r="U825" s="236"/>
      <c r="V825" s="242"/>
    </row>
    <row r="826" spans="2:22" ht="13">
      <c r="B826" s="270"/>
      <c r="C826" s="245"/>
      <c r="D826" s="19" t="s">
        <v>913</v>
      </c>
      <c r="E826" s="17">
        <v>5.55</v>
      </c>
      <c r="F826" s="17">
        <v>13</v>
      </c>
      <c r="G826" s="17">
        <f t="shared" si="147"/>
        <v>72.149999999999991</v>
      </c>
      <c r="H826" s="236"/>
      <c r="I826" s="236"/>
      <c r="J826" s="236"/>
      <c r="K826" s="242"/>
      <c r="M826" s="270"/>
      <c r="N826" s="245"/>
      <c r="O826" s="19" t="s">
        <v>913</v>
      </c>
      <c r="P826" s="17">
        <v>5.55</v>
      </c>
      <c r="Q826" s="17">
        <v>13</v>
      </c>
      <c r="R826" s="17">
        <f t="shared" si="149"/>
        <v>72.149999999999991</v>
      </c>
      <c r="S826" s="236"/>
      <c r="T826" s="236"/>
      <c r="U826" s="236"/>
      <c r="V826" s="242"/>
    </row>
    <row r="827" spans="2:22" ht="13">
      <c r="B827" s="270"/>
      <c r="C827" s="245"/>
      <c r="D827" s="19" t="s">
        <v>983</v>
      </c>
      <c r="E827" s="17">
        <v>11</v>
      </c>
      <c r="F827" s="17">
        <v>13</v>
      </c>
      <c r="G827" s="17">
        <f t="shared" si="147"/>
        <v>143</v>
      </c>
      <c r="H827" s="236"/>
      <c r="I827" s="236"/>
      <c r="J827" s="236"/>
      <c r="K827" s="242"/>
      <c r="M827" s="270"/>
      <c r="N827" s="245"/>
      <c r="O827" s="19" t="s">
        <v>983</v>
      </c>
      <c r="P827" s="17">
        <v>11</v>
      </c>
      <c r="Q827" s="17">
        <v>13</v>
      </c>
      <c r="R827" s="17">
        <f t="shared" si="149"/>
        <v>143</v>
      </c>
      <c r="S827" s="236"/>
      <c r="T827" s="236"/>
      <c r="U827" s="236"/>
      <c r="V827" s="242"/>
    </row>
    <row r="828" spans="2:22" ht="13">
      <c r="B828" s="270"/>
      <c r="C828" s="245"/>
      <c r="D828" s="24" t="s">
        <v>178</v>
      </c>
      <c r="E828" s="17">
        <v>3.84</v>
      </c>
      <c r="F828" s="17">
        <v>13</v>
      </c>
      <c r="G828" s="17">
        <f t="shared" si="147"/>
        <v>49.92</v>
      </c>
      <c r="H828" s="236"/>
      <c r="I828" s="236"/>
      <c r="J828" s="236"/>
      <c r="K828" s="242"/>
      <c r="M828" s="270"/>
      <c r="N828" s="245"/>
      <c r="O828" s="24" t="s">
        <v>178</v>
      </c>
      <c r="P828" s="17">
        <v>3.84</v>
      </c>
      <c r="Q828" s="17">
        <v>13</v>
      </c>
      <c r="R828" s="17">
        <f t="shared" si="149"/>
        <v>49.92</v>
      </c>
      <c r="S828" s="236"/>
      <c r="T828" s="236"/>
      <c r="U828" s="236"/>
      <c r="V828" s="242"/>
    </row>
    <row r="829" spans="2:22" ht="13">
      <c r="B829" s="270"/>
      <c r="C829" s="245"/>
      <c r="D829" s="19" t="s">
        <v>978</v>
      </c>
      <c r="E829" s="17">
        <v>12.45</v>
      </c>
      <c r="F829" s="17">
        <v>13</v>
      </c>
      <c r="G829" s="17">
        <f t="shared" si="147"/>
        <v>161.85</v>
      </c>
      <c r="H829" s="236"/>
      <c r="I829" s="236"/>
      <c r="J829" s="236"/>
      <c r="K829" s="242"/>
      <c r="M829" s="270"/>
      <c r="N829" s="245"/>
      <c r="O829" s="19" t="s">
        <v>978</v>
      </c>
      <c r="P829" s="17">
        <v>12.45</v>
      </c>
      <c r="Q829" s="17">
        <v>13</v>
      </c>
      <c r="R829" s="17">
        <f t="shared" si="149"/>
        <v>161.85</v>
      </c>
      <c r="S829" s="236"/>
      <c r="T829" s="236"/>
      <c r="U829" s="236"/>
      <c r="V829" s="242"/>
    </row>
    <row r="830" spans="2:22" ht="13">
      <c r="B830" s="270"/>
      <c r="C830" s="245"/>
      <c r="D830" s="19" t="s">
        <v>1022</v>
      </c>
      <c r="E830" s="17">
        <v>9.9499999999999993</v>
      </c>
      <c r="F830" s="17">
        <v>13</v>
      </c>
      <c r="G830" s="17">
        <f t="shared" si="147"/>
        <v>129.35</v>
      </c>
      <c r="H830" s="236"/>
      <c r="I830" s="236"/>
      <c r="J830" s="236"/>
      <c r="K830" s="242"/>
      <c r="M830" s="270"/>
      <c r="N830" s="245"/>
      <c r="O830" s="19" t="s">
        <v>1022</v>
      </c>
      <c r="P830" s="17">
        <v>9.9499999999999993</v>
      </c>
      <c r="Q830" s="17">
        <v>13</v>
      </c>
      <c r="R830" s="17">
        <f t="shared" si="149"/>
        <v>129.35</v>
      </c>
      <c r="S830" s="236"/>
      <c r="T830" s="236"/>
      <c r="U830" s="236"/>
      <c r="V830" s="242"/>
    </row>
    <row r="831" spans="2:22" ht="13">
      <c r="B831" s="270"/>
      <c r="C831" s="245"/>
      <c r="D831" s="24" t="s">
        <v>991</v>
      </c>
      <c r="E831" s="17"/>
      <c r="F831" s="17"/>
      <c r="G831" s="17">
        <v>40</v>
      </c>
      <c r="H831" s="236"/>
      <c r="I831" s="236"/>
      <c r="J831" s="236"/>
      <c r="K831" s="242"/>
      <c r="M831" s="270"/>
      <c r="N831" s="245"/>
      <c r="O831" s="24" t="s">
        <v>991</v>
      </c>
      <c r="P831" s="17"/>
      <c r="Q831" s="17"/>
      <c r="R831" s="17">
        <v>40</v>
      </c>
      <c r="S831" s="236"/>
      <c r="T831" s="236"/>
      <c r="U831" s="236"/>
      <c r="V831" s="242"/>
    </row>
    <row r="832" spans="2:22" ht="13">
      <c r="B832" s="270"/>
      <c r="C832" s="246"/>
      <c r="D832" s="44" t="s">
        <v>33</v>
      </c>
      <c r="E832" s="21"/>
      <c r="F832" s="21"/>
      <c r="G832" s="21">
        <v>255.35</v>
      </c>
      <c r="H832" s="238"/>
      <c r="I832" s="238"/>
      <c r="J832" s="238"/>
      <c r="K832" s="243"/>
      <c r="M832" s="270"/>
      <c r="N832" s="246"/>
      <c r="O832" s="44" t="s">
        <v>33</v>
      </c>
      <c r="P832" s="21"/>
      <c r="Q832" s="21"/>
      <c r="R832" s="21">
        <v>255.35</v>
      </c>
      <c r="S832" s="238"/>
      <c r="T832" s="238"/>
      <c r="U832" s="238"/>
      <c r="V832" s="243"/>
    </row>
    <row r="833" spans="2:22" ht="13">
      <c r="B833" s="270"/>
      <c r="C833" s="244" t="s">
        <v>1025</v>
      </c>
      <c r="D833" s="15" t="s">
        <v>990</v>
      </c>
      <c r="E833" s="16">
        <v>20.46</v>
      </c>
      <c r="F833" s="17">
        <v>13</v>
      </c>
      <c r="G833" s="17">
        <f t="shared" ref="G833:G842" si="150">E833*F833</f>
        <v>265.98</v>
      </c>
      <c r="H833" s="240">
        <f>SUM(G833:G843)</f>
        <v>2129.5500000000002</v>
      </c>
      <c r="I833" s="240">
        <v>9362.5</v>
      </c>
      <c r="J833" s="240">
        <f>I833-H833</f>
        <v>7232.95</v>
      </c>
      <c r="K833" s="241">
        <f>J833/I833</f>
        <v>0.77254472630173565</v>
      </c>
      <c r="M833" s="270"/>
      <c r="N833" s="244" t="s">
        <v>1025</v>
      </c>
      <c r="O833" s="15" t="s">
        <v>990</v>
      </c>
      <c r="P833" s="16">
        <v>20.46</v>
      </c>
      <c r="Q833" s="17">
        <v>13</v>
      </c>
      <c r="R833" s="17">
        <f t="shared" ref="R833:R834" si="151">P833*Q833</f>
        <v>265.98</v>
      </c>
      <c r="S833" s="240">
        <f>SUM(R833:R843)</f>
        <v>1877.5500000000002</v>
      </c>
      <c r="T833" s="240">
        <v>9362.5</v>
      </c>
      <c r="U833" s="240">
        <f>T833-S833</f>
        <v>7484.95</v>
      </c>
      <c r="V833" s="241">
        <f>U833/T833</f>
        <v>0.79946061415220293</v>
      </c>
    </row>
    <row r="834" spans="2:22" ht="13">
      <c r="B834" s="270"/>
      <c r="C834" s="245"/>
      <c r="D834" s="19" t="s">
        <v>70</v>
      </c>
      <c r="E834" s="17">
        <v>14.13</v>
      </c>
      <c r="F834" s="17">
        <v>13</v>
      </c>
      <c r="G834" s="17">
        <f t="shared" si="150"/>
        <v>183.69</v>
      </c>
      <c r="H834" s="236"/>
      <c r="I834" s="236"/>
      <c r="J834" s="236"/>
      <c r="K834" s="242"/>
      <c r="M834" s="270"/>
      <c r="N834" s="245"/>
      <c r="O834" s="19" t="s">
        <v>70</v>
      </c>
      <c r="P834" s="17">
        <v>14.13</v>
      </c>
      <c r="Q834" s="17">
        <v>13</v>
      </c>
      <c r="R834" s="17">
        <f t="shared" si="151"/>
        <v>183.69</v>
      </c>
      <c r="S834" s="236"/>
      <c r="T834" s="236"/>
      <c r="U834" s="236"/>
      <c r="V834" s="242"/>
    </row>
    <row r="835" spans="2:22" ht="13">
      <c r="B835" s="270"/>
      <c r="C835" s="245"/>
      <c r="D835" s="19" t="s">
        <v>114</v>
      </c>
      <c r="E835" s="17">
        <v>14</v>
      </c>
      <c r="F835" s="17">
        <v>18</v>
      </c>
      <c r="G835" s="17">
        <f t="shared" si="150"/>
        <v>252</v>
      </c>
      <c r="H835" s="236"/>
      <c r="I835" s="236"/>
      <c r="J835" s="236"/>
      <c r="K835" s="242"/>
      <c r="M835" s="270"/>
      <c r="N835" s="245"/>
      <c r="O835" s="19" t="s">
        <v>114</v>
      </c>
      <c r="P835" s="18"/>
      <c r="Q835" s="18"/>
      <c r="R835" s="18"/>
      <c r="S835" s="236"/>
      <c r="T835" s="236"/>
      <c r="U835" s="236"/>
      <c r="V835" s="242"/>
    </row>
    <row r="836" spans="2:22" ht="13">
      <c r="B836" s="270"/>
      <c r="C836" s="245"/>
      <c r="D836" s="19" t="s">
        <v>983</v>
      </c>
      <c r="E836" s="17">
        <v>11.4</v>
      </c>
      <c r="F836" s="17">
        <v>13</v>
      </c>
      <c r="G836" s="17">
        <f t="shared" si="150"/>
        <v>148.20000000000002</v>
      </c>
      <c r="H836" s="236"/>
      <c r="I836" s="236"/>
      <c r="J836" s="236"/>
      <c r="K836" s="242"/>
      <c r="M836" s="270"/>
      <c r="N836" s="245"/>
      <c r="O836" s="19" t="s">
        <v>983</v>
      </c>
      <c r="P836" s="17">
        <v>11.4</v>
      </c>
      <c r="Q836" s="17">
        <v>13</v>
      </c>
      <c r="R836" s="17">
        <f t="shared" ref="R836:R842" si="152">P836*Q836</f>
        <v>148.20000000000002</v>
      </c>
      <c r="S836" s="236"/>
      <c r="T836" s="236"/>
      <c r="U836" s="236"/>
      <c r="V836" s="242"/>
    </row>
    <row r="837" spans="2:22" ht="13">
      <c r="B837" s="270"/>
      <c r="C837" s="245"/>
      <c r="D837" s="19" t="s">
        <v>1026</v>
      </c>
      <c r="E837" s="17">
        <v>6.5</v>
      </c>
      <c r="F837" s="17">
        <v>13</v>
      </c>
      <c r="G837" s="17">
        <f t="shared" si="150"/>
        <v>84.5</v>
      </c>
      <c r="H837" s="236"/>
      <c r="I837" s="236"/>
      <c r="J837" s="236"/>
      <c r="K837" s="242"/>
      <c r="M837" s="270"/>
      <c r="N837" s="245"/>
      <c r="O837" s="19" t="s">
        <v>1026</v>
      </c>
      <c r="P837" s="17">
        <v>6.5</v>
      </c>
      <c r="Q837" s="17">
        <v>13</v>
      </c>
      <c r="R837" s="17">
        <f t="shared" si="152"/>
        <v>84.5</v>
      </c>
      <c r="S837" s="236"/>
      <c r="T837" s="236"/>
      <c r="U837" s="236"/>
      <c r="V837" s="242"/>
    </row>
    <row r="838" spans="2:22" ht="13">
      <c r="B838" s="270"/>
      <c r="C838" s="245"/>
      <c r="D838" s="19" t="s">
        <v>1027</v>
      </c>
      <c r="E838" s="17">
        <v>8.27</v>
      </c>
      <c r="F838" s="17">
        <v>13</v>
      </c>
      <c r="G838" s="17">
        <f t="shared" si="150"/>
        <v>107.50999999999999</v>
      </c>
      <c r="H838" s="236"/>
      <c r="I838" s="236"/>
      <c r="J838" s="236"/>
      <c r="K838" s="242"/>
      <c r="M838" s="270"/>
      <c r="N838" s="245"/>
      <c r="O838" s="19" t="s">
        <v>1027</v>
      </c>
      <c r="P838" s="17">
        <v>8.27</v>
      </c>
      <c r="Q838" s="17">
        <v>13</v>
      </c>
      <c r="R838" s="17">
        <f t="shared" si="152"/>
        <v>107.50999999999999</v>
      </c>
      <c r="S838" s="236"/>
      <c r="T838" s="236"/>
      <c r="U838" s="236"/>
      <c r="V838" s="242"/>
    </row>
    <row r="839" spans="2:22" ht="13">
      <c r="B839" s="270"/>
      <c r="C839" s="245"/>
      <c r="D839" s="24" t="s">
        <v>54</v>
      </c>
      <c r="E839" s="17">
        <v>13.37</v>
      </c>
      <c r="F839" s="17">
        <v>13</v>
      </c>
      <c r="G839" s="17">
        <f t="shared" si="150"/>
        <v>173.81</v>
      </c>
      <c r="H839" s="236"/>
      <c r="I839" s="236"/>
      <c r="J839" s="236"/>
      <c r="K839" s="242"/>
      <c r="M839" s="270"/>
      <c r="N839" s="245"/>
      <c r="O839" s="24" t="s">
        <v>54</v>
      </c>
      <c r="P839" s="17">
        <v>13.37</v>
      </c>
      <c r="Q839" s="17">
        <v>13</v>
      </c>
      <c r="R839" s="17">
        <f t="shared" si="152"/>
        <v>173.81</v>
      </c>
      <c r="S839" s="236"/>
      <c r="T839" s="236"/>
      <c r="U839" s="236"/>
      <c r="V839" s="242"/>
    </row>
    <row r="840" spans="2:22" ht="13">
      <c r="B840" s="270"/>
      <c r="C840" s="245"/>
      <c r="D840" s="19" t="s">
        <v>53</v>
      </c>
      <c r="E840" s="17">
        <v>5.6</v>
      </c>
      <c r="F840" s="17">
        <v>13</v>
      </c>
      <c r="G840" s="17">
        <f t="shared" si="150"/>
        <v>72.8</v>
      </c>
      <c r="H840" s="236"/>
      <c r="I840" s="236"/>
      <c r="J840" s="236"/>
      <c r="K840" s="242"/>
      <c r="M840" s="270"/>
      <c r="N840" s="245"/>
      <c r="O840" s="19" t="s">
        <v>53</v>
      </c>
      <c r="P840" s="17">
        <v>5.6</v>
      </c>
      <c r="Q840" s="17">
        <v>13</v>
      </c>
      <c r="R840" s="17">
        <f t="shared" si="152"/>
        <v>72.8</v>
      </c>
      <c r="S840" s="236"/>
      <c r="T840" s="236"/>
      <c r="U840" s="236"/>
      <c r="V840" s="242"/>
    </row>
    <row r="841" spans="2:22" ht="13">
      <c r="B841" s="270"/>
      <c r="C841" s="245"/>
      <c r="D841" s="19" t="s">
        <v>178</v>
      </c>
      <c r="E841" s="17">
        <v>7.19</v>
      </c>
      <c r="F841" s="17">
        <v>13</v>
      </c>
      <c r="G841" s="17">
        <f t="shared" si="150"/>
        <v>93.47</v>
      </c>
      <c r="H841" s="236"/>
      <c r="I841" s="236"/>
      <c r="J841" s="236"/>
      <c r="K841" s="242"/>
      <c r="M841" s="270"/>
      <c r="N841" s="245"/>
      <c r="O841" s="19" t="s">
        <v>178</v>
      </c>
      <c r="P841" s="17">
        <v>7.19</v>
      </c>
      <c r="Q841" s="17">
        <v>13</v>
      </c>
      <c r="R841" s="17">
        <f t="shared" si="152"/>
        <v>93.47</v>
      </c>
      <c r="S841" s="236"/>
      <c r="T841" s="236"/>
      <c r="U841" s="236"/>
      <c r="V841" s="242"/>
    </row>
    <row r="842" spans="2:22" ht="13">
      <c r="B842" s="270"/>
      <c r="C842" s="245"/>
      <c r="D842" s="19" t="s">
        <v>1022</v>
      </c>
      <c r="E842" s="17">
        <v>8.32</v>
      </c>
      <c r="F842" s="17">
        <v>13</v>
      </c>
      <c r="G842" s="17">
        <f t="shared" si="150"/>
        <v>108.16</v>
      </c>
      <c r="H842" s="236"/>
      <c r="I842" s="236"/>
      <c r="J842" s="236"/>
      <c r="K842" s="242"/>
      <c r="M842" s="270"/>
      <c r="N842" s="245"/>
      <c r="O842" s="19" t="s">
        <v>1022</v>
      </c>
      <c r="P842" s="17">
        <v>8.32</v>
      </c>
      <c r="Q842" s="17">
        <v>13</v>
      </c>
      <c r="R842" s="17">
        <f t="shared" si="152"/>
        <v>108.16</v>
      </c>
      <c r="S842" s="236"/>
      <c r="T842" s="236"/>
      <c r="U842" s="236"/>
      <c r="V842" s="242"/>
    </row>
    <row r="843" spans="2:22" ht="13">
      <c r="B843" s="270"/>
      <c r="C843" s="246"/>
      <c r="D843" s="44" t="s">
        <v>33</v>
      </c>
      <c r="E843" s="21"/>
      <c r="F843" s="21"/>
      <c r="G843" s="21">
        <v>639.42999999999995</v>
      </c>
      <c r="H843" s="238"/>
      <c r="I843" s="238"/>
      <c r="J843" s="238"/>
      <c r="K843" s="243"/>
      <c r="M843" s="270"/>
      <c r="N843" s="246"/>
      <c r="O843" s="44" t="s">
        <v>33</v>
      </c>
      <c r="P843" s="21"/>
      <c r="Q843" s="21">
        <v>75.86</v>
      </c>
      <c r="R843" s="21">
        <v>639.42999999999995</v>
      </c>
      <c r="S843" s="238"/>
      <c r="T843" s="238"/>
      <c r="U843" s="238"/>
      <c r="V843" s="243"/>
    </row>
    <row r="844" spans="2:22" ht="13">
      <c r="B844" s="270"/>
      <c r="C844" s="244" t="s">
        <v>1028</v>
      </c>
      <c r="D844" s="15" t="s">
        <v>54</v>
      </c>
      <c r="E844" s="16">
        <v>6.44</v>
      </c>
      <c r="F844" s="17">
        <v>13</v>
      </c>
      <c r="G844" s="17">
        <f t="shared" ref="G844:G849" si="153">E844*F844</f>
        <v>83.72</v>
      </c>
      <c r="H844" s="240">
        <f>SUM(G844:G850)</f>
        <v>691.47</v>
      </c>
      <c r="I844" s="240">
        <v>3325</v>
      </c>
      <c r="J844" s="240">
        <f>I844-H844</f>
        <v>2633.5299999999997</v>
      </c>
      <c r="K844" s="241">
        <f>J844/I844</f>
        <v>0.79203909774436088</v>
      </c>
      <c r="M844" s="270"/>
      <c r="N844" s="244" t="s">
        <v>1028</v>
      </c>
      <c r="O844" s="15" t="s">
        <v>54</v>
      </c>
      <c r="P844" s="16">
        <v>6.44</v>
      </c>
      <c r="Q844" s="17">
        <v>13</v>
      </c>
      <c r="R844" s="17">
        <f t="shared" ref="R844:R849" si="154">P844*Q844</f>
        <v>83.72</v>
      </c>
      <c r="S844" s="240">
        <f>SUM(R844:R850)</f>
        <v>691.47</v>
      </c>
      <c r="T844" s="240">
        <v>3325</v>
      </c>
      <c r="U844" s="240">
        <f>T844-S844</f>
        <v>2633.5299999999997</v>
      </c>
      <c r="V844" s="241">
        <f>U844/T844</f>
        <v>0.79203909774436088</v>
      </c>
    </row>
    <row r="845" spans="2:22" ht="13">
      <c r="B845" s="270"/>
      <c r="C845" s="245"/>
      <c r="D845" s="19" t="s">
        <v>1011</v>
      </c>
      <c r="E845" s="17">
        <v>7.63</v>
      </c>
      <c r="F845" s="17">
        <v>13</v>
      </c>
      <c r="G845" s="17">
        <f t="shared" si="153"/>
        <v>99.19</v>
      </c>
      <c r="H845" s="236"/>
      <c r="I845" s="236"/>
      <c r="J845" s="236"/>
      <c r="K845" s="242"/>
      <c r="M845" s="270"/>
      <c r="N845" s="245"/>
      <c r="O845" s="19" t="s">
        <v>1011</v>
      </c>
      <c r="P845" s="17">
        <v>7.63</v>
      </c>
      <c r="Q845" s="17">
        <v>13</v>
      </c>
      <c r="R845" s="17">
        <f t="shared" si="154"/>
        <v>99.19</v>
      </c>
      <c r="S845" s="236"/>
      <c r="T845" s="236"/>
      <c r="U845" s="236"/>
      <c r="V845" s="242"/>
    </row>
    <row r="846" spans="2:22" ht="13">
      <c r="B846" s="270"/>
      <c r="C846" s="245"/>
      <c r="D846" s="19" t="s">
        <v>771</v>
      </c>
      <c r="E846" s="17">
        <v>13.95</v>
      </c>
      <c r="F846" s="17">
        <v>13</v>
      </c>
      <c r="G846" s="17">
        <f t="shared" si="153"/>
        <v>181.35</v>
      </c>
      <c r="H846" s="236"/>
      <c r="I846" s="236"/>
      <c r="J846" s="236"/>
      <c r="K846" s="242"/>
      <c r="M846" s="270"/>
      <c r="N846" s="245"/>
      <c r="O846" s="19" t="s">
        <v>771</v>
      </c>
      <c r="P846" s="17">
        <v>13.95</v>
      </c>
      <c r="Q846" s="17">
        <v>13</v>
      </c>
      <c r="R846" s="17">
        <f t="shared" si="154"/>
        <v>181.35</v>
      </c>
      <c r="S846" s="236"/>
      <c r="T846" s="236"/>
      <c r="U846" s="236"/>
      <c r="V846" s="242"/>
    </row>
    <row r="847" spans="2:22" ht="13">
      <c r="B847" s="270"/>
      <c r="C847" s="245"/>
      <c r="D847" s="19" t="s">
        <v>1029</v>
      </c>
      <c r="E847" s="17">
        <v>5.51</v>
      </c>
      <c r="F847" s="17">
        <v>13</v>
      </c>
      <c r="G847" s="17">
        <f t="shared" si="153"/>
        <v>71.63</v>
      </c>
      <c r="H847" s="236"/>
      <c r="I847" s="236"/>
      <c r="J847" s="236"/>
      <c r="K847" s="242"/>
      <c r="M847" s="270"/>
      <c r="N847" s="245"/>
      <c r="O847" s="19" t="s">
        <v>1029</v>
      </c>
      <c r="P847" s="17">
        <v>5.51</v>
      </c>
      <c r="Q847" s="17">
        <v>13</v>
      </c>
      <c r="R847" s="17">
        <f t="shared" si="154"/>
        <v>71.63</v>
      </c>
      <c r="S847" s="236"/>
      <c r="T847" s="236"/>
      <c r="U847" s="236"/>
      <c r="V847" s="242"/>
    </row>
    <row r="848" spans="2:22" ht="13">
      <c r="B848" s="270"/>
      <c r="C848" s="245"/>
      <c r="D848" s="19" t="s">
        <v>990</v>
      </c>
      <c r="E848" s="17">
        <v>8.27</v>
      </c>
      <c r="F848" s="17">
        <v>13</v>
      </c>
      <c r="G848" s="17">
        <f t="shared" si="153"/>
        <v>107.50999999999999</v>
      </c>
      <c r="H848" s="236"/>
      <c r="I848" s="236"/>
      <c r="J848" s="236"/>
      <c r="K848" s="242"/>
      <c r="M848" s="270"/>
      <c r="N848" s="245"/>
      <c r="O848" s="19" t="s">
        <v>990</v>
      </c>
      <c r="P848" s="17">
        <v>8.27</v>
      </c>
      <c r="Q848" s="17">
        <v>13</v>
      </c>
      <c r="R848" s="17">
        <f t="shared" si="154"/>
        <v>107.50999999999999</v>
      </c>
      <c r="S848" s="236"/>
      <c r="T848" s="236"/>
      <c r="U848" s="236"/>
      <c r="V848" s="242"/>
    </row>
    <row r="849" spans="2:22" ht="13">
      <c r="B849" s="270"/>
      <c r="C849" s="245"/>
      <c r="D849" s="19" t="s">
        <v>70</v>
      </c>
      <c r="E849" s="17">
        <v>11.39</v>
      </c>
      <c r="F849" s="17">
        <v>13</v>
      </c>
      <c r="G849" s="17">
        <f t="shared" si="153"/>
        <v>148.07</v>
      </c>
      <c r="H849" s="236"/>
      <c r="I849" s="236"/>
      <c r="J849" s="236"/>
      <c r="K849" s="242"/>
      <c r="M849" s="270"/>
      <c r="N849" s="245"/>
      <c r="O849" s="19" t="s">
        <v>70</v>
      </c>
      <c r="P849" s="17">
        <v>11.39</v>
      </c>
      <c r="Q849" s="17">
        <v>13</v>
      </c>
      <c r="R849" s="17">
        <f t="shared" si="154"/>
        <v>148.07</v>
      </c>
      <c r="S849" s="236"/>
      <c r="T849" s="236"/>
      <c r="U849" s="236"/>
      <c r="V849" s="242"/>
    </row>
    <row r="850" spans="2:22" ht="13">
      <c r="B850" s="270"/>
      <c r="C850" s="246"/>
      <c r="D850" s="44"/>
      <c r="E850" s="21"/>
      <c r="F850" s="21"/>
      <c r="G850" s="21"/>
      <c r="H850" s="238"/>
      <c r="I850" s="238"/>
      <c r="J850" s="238"/>
      <c r="K850" s="243"/>
      <c r="M850" s="270"/>
      <c r="N850" s="246"/>
      <c r="O850" s="44"/>
      <c r="P850" s="21"/>
      <c r="Q850" s="21"/>
      <c r="R850" s="21"/>
      <c r="S850" s="238"/>
      <c r="T850" s="238"/>
      <c r="U850" s="238"/>
      <c r="V850" s="243"/>
    </row>
    <row r="851" spans="2:22" ht="13">
      <c r="B851" s="270"/>
      <c r="C851" s="305" t="s">
        <v>1030</v>
      </c>
      <c r="D851" s="15" t="s">
        <v>1031</v>
      </c>
      <c r="E851" s="15">
        <v>1.5</v>
      </c>
      <c r="F851" s="15">
        <v>13</v>
      </c>
      <c r="G851" s="16">
        <f>E851*F851</f>
        <v>19.5</v>
      </c>
      <c r="H851" s="240">
        <f>SUM(G851:G852)</f>
        <v>41.34</v>
      </c>
      <c r="I851" s="240">
        <v>1153.5999999999999</v>
      </c>
      <c r="J851" s="240">
        <f>I851-H851</f>
        <v>1112.26</v>
      </c>
      <c r="K851" s="241">
        <f>J851/I851</f>
        <v>0.96416435506241338</v>
      </c>
      <c r="M851" s="270"/>
      <c r="N851" s="305" t="s">
        <v>1030</v>
      </c>
      <c r="O851" s="15" t="s">
        <v>1031</v>
      </c>
      <c r="P851" s="15">
        <v>1.5</v>
      </c>
      <c r="Q851" s="15">
        <v>13</v>
      </c>
      <c r="R851" s="16">
        <f>P851*Q851</f>
        <v>19.5</v>
      </c>
      <c r="S851" s="240">
        <f>SUM(R851:R852)</f>
        <v>41.34</v>
      </c>
      <c r="T851" s="240">
        <v>1153.5999999999999</v>
      </c>
      <c r="U851" s="240">
        <f>T851-S851</f>
        <v>1112.26</v>
      </c>
      <c r="V851" s="241">
        <f>U851/T851</f>
        <v>0.96416435506241338</v>
      </c>
    </row>
    <row r="852" spans="2:22" ht="13">
      <c r="B852" s="270"/>
      <c r="C852" s="246"/>
      <c r="D852" s="20" t="s">
        <v>33</v>
      </c>
      <c r="E852" s="20"/>
      <c r="F852" s="20"/>
      <c r="G852" s="21">
        <v>21.84</v>
      </c>
      <c r="H852" s="238"/>
      <c r="I852" s="238"/>
      <c r="J852" s="238"/>
      <c r="K852" s="243"/>
      <c r="M852" s="270"/>
      <c r="N852" s="246"/>
      <c r="O852" s="20" t="s">
        <v>33</v>
      </c>
      <c r="P852" s="20"/>
      <c r="Q852" s="20"/>
      <c r="R852" s="21">
        <v>21.84</v>
      </c>
      <c r="S852" s="238"/>
      <c r="T852" s="238"/>
      <c r="U852" s="238"/>
      <c r="V852" s="243"/>
    </row>
    <row r="853" spans="2:22" ht="13">
      <c r="B853" s="270"/>
      <c r="C853" s="244" t="s">
        <v>1032</v>
      </c>
      <c r="D853" s="15" t="s">
        <v>114</v>
      </c>
      <c r="E853" s="16">
        <v>7</v>
      </c>
      <c r="F853" s="17">
        <v>18</v>
      </c>
      <c r="G853" s="17">
        <f>E853*F853</f>
        <v>126</v>
      </c>
      <c r="H853" s="240">
        <f>SUM(G853:G855)</f>
        <v>216.18</v>
      </c>
      <c r="I853" s="240">
        <v>3510</v>
      </c>
      <c r="J853" s="240">
        <f>I853-H853</f>
        <v>3293.82</v>
      </c>
      <c r="K853" s="241">
        <f>J853/I853</f>
        <v>0.93841025641025644</v>
      </c>
      <c r="M853" s="270"/>
      <c r="N853" s="244" t="s">
        <v>1032</v>
      </c>
      <c r="O853" s="15" t="s">
        <v>114</v>
      </c>
      <c r="P853" s="43"/>
      <c r="Q853" s="18"/>
      <c r="R853" s="18"/>
      <c r="S853" s="240">
        <f>SUM(R853:R855)</f>
        <v>90.18</v>
      </c>
      <c r="T853" s="240">
        <v>3510</v>
      </c>
      <c r="U853" s="240">
        <f>T853-S853</f>
        <v>3419.82</v>
      </c>
      <c r="V853" s="241">
        <f>U853/T853</f>
        <v>0.97430769230769232</v>
      </c>
    </row>
    <row r="854" spans="2:22" ht="13">
      <c r="B854" s="270"/>
      <c r="C854" s="245"/>
      <c r="D854" s="19" t="s">
        <v>699</v>
      </c>
      <c r="E854" s="17"/>
      <c r="F854" s="17"/>
      <c r="G854" s="17"/>
      <c r="H854" s="236"/>
      <c r="I854" s="236"/>
      <c r="J854" s="236"/>
      <c r="K854" s="242"/>
      <c r="M854" s="270"/>
      <c r="N854" s="245"/>
      <c r="O854" s="19" t="s">
        <v>699</v>
      </c>
      <c r="P854" s="17"/>
      <c r="Q854" s="17"/>
      <c r="R854" s="17"/>
      <c r="S854" s="236"/>
      <c r="T854" s="236"/>
      <c r="U854" s="236"/>
      <c r="V854" s="242"/>
    </row>
    <row r="855" spans="2:22" ht="13">
      <c r="B855" s="270"/>
      <c r="C855" s="246"/>
      <c r="D855" s="44" t="s">
        <v>33</v>
      </c>
      <c r="E855" s="21"/>
      <c r="F855" s="21"/>
      <c r="G855" s="21">
        <v>90.18</v>
      </c>
      <c r="H855" s="238"/>
      <c r="I855" s="238"/>
      <c r="J855" s="238"/>
      <c r="K855" s="243"/>
      <c r="M855" s="270"/>
      <c r="N855" s="246"/>
      <c r="O855" s="44" t="s">
        <v>33</v>
      </c>
      <c r="P855" s="21"/>
      <c r="Q855" s="21"/>
      <c r="R855" s="21">
        <v>90.18</v>
      </c>
      <c r="S855" s="238"/>
      <c r="T855" s="238"/>
      <c r="U855" s="238"/>
      <c r="V855" s="243"/>
    </row>
    <row r="856" spans="2:22" ht="13">
      <c r="B856" s="270"/>
      <c r="C856" s="305" t="s">
        <v>1033</v>
      </c>
      <c r="D856" s="15" t="s">
        <v>1031</v>
      </c>
      <c r="E856" s="16">
        <v>1.5</v>
      </c>
      <c r="F856" s="16">
        <v>13</v>
      </c>
      <c r="G856" s="16">
        <f>E856*F856</f>
        <v>19.5</v>
      </c>
      <c r="H856" s="240">
        <f>SUM(G856:G857)</f>
        <v>44.8</v>
      </c>
      <c r="I856" s="240">
        <v>1153.5999999999999</v>
      </c>
      <c r="J856" s="240">
        <f>I856-H856</f>
        <v>1108.8</v>
      </c>
      <c r="K856" s="241">
        <f>J856/I856</f>
        <v>0.96116504854368934</v>
      </c>
      <c r="M856" s="270"/>
      <c r="N856" s="305" t="s">
        <v>1033</v>
      </c>
      <c r="O856" s="15" t="s">
        <v>1031</v>
      </c>
      <c r="P856" s="16">
        <v>1.5</v>
      </c>
      <c r="Q856" s="16">
        <v>13</v>
      </c>
      <c r="R856" s="16">
        <f>P856*Q856</f>
        <v>19.5</v>
      </c>
      <c r="S856" s="240">
        <f>SUM(R856:R857)</f>
        <v>44.8</v>
      </c>
      <c r="T856" s="240">
        <v>1153.5999999999999</v>
      </c>
      <c r="U856" s="240">
        <f>T856-S856</f>
        <v>1108.8</v>
      </c>
      <c r="V856" s="241">
        <f>U856/T856</f>
        <v>0.96116504854368934</v>
      </c>
    </row>
    <row r="857" spans="2:22" ht="13">
      <c r="B857" s="270"/>
      <c r="C857" s="246"/>
      <c r="D857" s="20" t="s">
        <v>33</v>
      </c>
      <c r="E857" s="20"/>
      <c r="F857" s="20"/>
      <c r="G857" s="21">
        <v>25.3</v>
      </c>
      <c r="H857" s="238"/>
      <c r="I857" s="238"/>
      <c r="J857" s="238"/>
      <c r="K857" s="243"/>
      <c r="M857" s="270"/>
      <c r="N857" s="246"/>
      <c r="O857" s="20" t="s">
        <v>33</v>
      </c>
      <c r="P857" s="20"/>
      <c r="Q857" s="20"/>
      <c r="R857" s="21">
        <v>25.3</v>
      </c>
      <c r="S857" s="238"/>
      <c r="T857" s="238"/>
      <c r="U857" s="238"/>
      <c r="V857" s="243"/>
    </row>
    <row r="858" spans="2:22" ht="13">
      <c r="B858" s="270"/>
      <c r="C858" s="244" t="s">
        <v>1034</v>
      </c>
      <c r="D858" s="15" t="s">
        <v>114</v>
      </c>
      <c r="E858" s="16">
        <v>14</v>
      </c>
      <c r="F858" s="17">
        <v>18</v>
      </c>
      <c r="G858" s="17">
        <f t="shared" ref="G858:G870" si="155">E858*F858</f>
        <v>252</v>
      </c>
      <c r="H858" s="240">
        <f>SUM(G858:G872)</f>
        <v>2853.06</v>
      </c>
      <c r="I858" s="240">
        <v>7377.75</v>
      </c>
      <c r="J858" s="240">
        <f>I858-H858</f>
        <v>4524.6900000000005</v>
      </c>
      <c r="K858" s="241">
        <f>J858/I858</f>
        <v>0.61328860424926301</v>
      </c>
      <c r="M858" s="270"/>
      <c r="N858" s="244" t="s">
        <v>1034</v>
      </c>
      <c r="O858" s="15" t="s">
        <v>114</v>
      </c>
      <c r="P858" s="43"/>
      <c r="Q858" s="18"/>
      <c r="R858" s="18"/>
      <c r="S858" s="240">
        <f>SUM(R858:R872)</f>
        <v>2601.06</v>
      </c>
      <c r="T858" s="240">
        <v>7377.75</v>
      </c>
      <c r="U858" s="240">
        <f>T858-S858</f>
        <v>4776.6900000000005</v>
      </c>
      <c r="V858" s="241">
        <f>U858/T858</f>
        <v>0.64744535935752778</v>
      </c>
    </row>
    <row r="859" spans="2:22" ht="13">
      <c r="B859" s="270"/>
      <c r="C859" s="245"/>
      <c r="D859" s="19" t="s">
        <v>744</v>
      </c>
      <c r="E859" s="17">
        <v>13.23</v>
      </c>
      <c r="F859" s="17">
        <v>13</v>
      </c>
      <c r="G859" s="17">
        <f t="shared" si="155"/>
        <v>171.99</v>
      </c>
      <c r="H859" s="236"/>
      <c r="I859" s="236"/>
      <c r="J859" s="236"/>
      <c r="K859" s="242"/>
      <c r="M859" s="270"/>
      <c r="N859" s="245"/>
      <c r="O859" s="19" t="s">
        <v>744</v>
      </c>
      <c r="P859" s="17">
        <v>13.23</v>
      </c>
      <c r="Q859" s="17">
        <v>13</v>
      </c>
      <c r="R859" s="17">
        <f t="shared" ref="R859:R870" si="156">P859*Q859</f>
        <v>171.99</v>
      </c>
      <c r="S859" s="236"/>
      <c r="T859" s="236"/>
      <c r="U859" s="236"/>
      <c r="V859" s="242"/>
    </row>
    <row r="860" spans="2:22" ht="13">
      <c r="B860" s="270"/>
      <c r="C860" s="245"/>
      <c r="D860" s="19" t="s">
        <v>1035</v>
      </c>
      <c r="E860" s="17">
        <v>11.55</v>
      </c>
      <c r="F860" s="17">
        <v>13</v>
      </c>
      <c r="G860" s="17">
        <f t="shared" si="155"/>
        <v>150.15</v>
      </c>
      <c r="H860" s="236"/>
      <c r="I860" s="236"/>
      <c r="J860" s="236"/>
      <c r="K860" s="242"/>
      <c r="M860" s="270"/>
      <c r="N860" s="245"/>
      <c r="O860" s="19" t="s">
        <v>1035</v>
      </c>
      <c r="P860" s="17">
        <v>11.55</v>
      </c>
      <c r="Q860" s="17">
        <v>13</v>
      </c>
      <c r="R860" s="17">
        <f t="shared" si="156"/>
        <v>150.15</v>
      </c>
      <c r="S860" s="236"/>
      <c r="T860" s="236"/>
      <c r="U860" s="236"/>
      <c r="V860" s="242"/>
    </row>
    <row r="861" spans="2:22" ht="13">
      <c r="B861" s="270"/>
      <c r="C861" s="245"/>
      <c r="D861" s="19" t="s">
        <v>1036</v>
      </c>
      <c r="E861" s="17">
        <v>20.7</v>
      </c>
      <c r="F861" s="17">
        <v>13</v>
      </c>
      <c r="G861" s="17">
        <f t="shared" si="155"/>
        <v>269.09999999999997</v>
      </c>
      <c r="H861" s="236"/>
      <c r="I861" s="236"/>
      <c r="J861" s="236"/>
      <c r="K861" s="242"/>
      <c r="M861" s="270"/>
      <c r="N861" s="245"/>
      <c r="O861" s="19" t="s">
        <v>1036</v>
      </c>
      <c r="P861" s="17">
        <v>20.7</v>
      </c>
      <c r="Q861" s="17">
        <v>13</v>
      </c>
      <c r="R861" s="17">
        <f t="shared" si="156"/>
        <v>269.09999999999997</v>
      </c>
      <c r="S861" s="236"/>
      <c r="T861" s="236"/>
      <c r="U861" s="236"/>
      <c r="V861" s="242"/>
    </row>
    <row r="862" spans="2:22" ht="13">
      <c r="B862" s="270"/>
      <c r="C862" s="245"/>
      <c r="D862" s="19" t="s">
        <v>1037</v>
      </c>
      <c r="E862" s="17">
        <v>13.5</v>
      </c>
      <c r="F862" s="17">
        <v>17</v>
      </c>
      <c r="G862" s="17">
        <f t="shared" si="155"/>
        <v>229.5</v>
      </c>
      <c r="H862" s="236"/>
      <c r="I862" s="236"/>
      <c r="J862" s="236"/>
      <c r="K862" s="242"/>
      <c r="M862" s="270"/>
      <c r="N862" s="245"/>
      <c r="O862" s="19" t="s">
        <v>1037</v>
      </c>
      <c r="P862" s="17">
        <v>13.5</v>
      </c>
      <c r="Q862" s="17">
        <v>17</v>
      </c>
      <c r="R862" s="17">
        <f t="shared" si="156"/>
        <v>229.5</v>
      </c>
      <c r="S862" s="236"/>
      <c r="T862" s="236"/>
      <c r="U862" s="236"/>
      <c r="V862" s="242"/>
    </row>
    <row r="863" spans="2:22" ht="13">
      <c r="B863" s="270"/>
      <c r="C863" s="245"/>
      <c r="D863" s="19" t="s">
        <v>917</v>
      </c>
      <c r="E863" s="17">
        <v>14.55</v>
      </c>
      <c r="F863" s="17">
        <v>13</v>
      </c>
      <c r="G863" s="17">
        <f t="shared" si="155"/>
        <v>189.15</v>
      </c>
      <c r="H863" s="236"/>
      <c r="I863" s="236"/>
      <c r="J863" s="236"/>
      <c r="K863" s="242"/>
      <c r="M863" s="270"/>
      <c r="N863" s="245"/>
      <c r="O863" s="19" t="s">
        <v>917</v>
      </c>
      <c r="P863" s="17">
        <v>14.55</v>
      </c>
      <c r="Q863" s="17">
        <v>13</v>
      </c>
      <c r="R863" s="17">
        <f t="shared" si="156"/>
        <v>189.15</v>
      </c>
      <c r="S863" s="236"/>
      <c r="T863" s="236"/>
      <c r="U863" s="236"/>
      <c r="V863" s="242"/>
    </row>
    <row r="864" spans="2:22" ht="13">
      <c r="B864" s="270"/>
      <c r="C864" s="245"/>
      <c r="D864" s="24" t="s">
        <v>1038</v>
      </c>
      <c r="E864" s="17">
        <v>15.1</v>
      </c>
      <c r="F864" s="17">
        <v>13</v>
      </c>
      <c r="G864" s="17">
        <f t="shared" si="155"/>
        <v>196.29999999999998</v>
      </c>
      <c r="H864" s="236"/>
      <c r="I864" s="236"/>
      <c r="J864" s="236"/>
      <c r="K864" s="242"/>
      <c r="M864" s="270"/>
      <c r="N864" s="245"/>
      <c r="O864" s="24" t="s">
        <v>1038</v>
      </c>
      <c r="P864" s="17">
        <v>15.1</v>
      </c>
      <c r="Q864" s="17">
        <v>13</v>
      </c>
      <c r="R864" s="17">
        <f t="shared" si="156"/>
        <v>196.29999999999998</v>
      </c>
      <c r="S864" s="236"/>
      <c r="T864" s="236"/>
      <c r="U864" s="236"/>
      <c r="V864" s="242"/>
    </row>
    <row r="865" spans="2:22" ht="13">
      <c r="B865" s="270"/>
      <c r="C865" s="245"/>
      <c r="D865" s="19" t="s">
        <v>178</v>
      </c>
      <c r="E865" s="17">
        <v>9.14</v>
      </c>
      <c r="F865" s="17">
        <v>13</v>
      </c>
      <c r="G865" s="17">
        <f t="shared" si="155"/>
        <v>118.82000000000001</v>
      </c>
      <c r="H865" s="236"/>
      <c r="I865" s="236"/>
      <c r="J865" s="236"/>
      <c r="K865" s="242"/>
      <c r="M865" s="270"/>
      <c r="N865" s="245"/>
      <c r="O865" s="19" t="s">
        <v>178</v>
      </c>
      <c r="P865" s="17">
        <v>9.14</v>
      </c>
      <c r="Q865" s="17">
        <v>13</v>
      </c>
      <c r="R865" s="17">
        <f t="shared" si="156"/>
        <v>118.82000000000001</v>
      </c>
      <c r="S865" s="236"/>
      <c r="T865" s="236"/>
      <c r="U865" s="236"/>
      <c r="V865" s="242"/>
    </row>
    <row r="866" spans="2:22" ht="13">
      <c r="B866" s="270"/>
      <c r="C866" s="245"/>
      <c r="D866" s="19" t="s">
        <v>978</v>
      </c>
      <c r="E866" s="17">
        <v>7.8</v>
      </c>
      <c r="F866" s="17">
        <v>13</v>
      </c>
      <c r="G866" s="17">
        <f t="shared" si="155"/>
        <v>101.39999999999999</v>
      </c>
      <c r="H866" s="236"/>
      <c r="I866" s="236"/>
      <c r="J866" s="236"/>
      <c r="K866" s="242"/>
      <c r="M866" s="270"/>
      <c r="N866" s="245"/>
      <c r="O866" s="19" t="s">
        <v>978</v>
      </c>
      <c r="P866" s="17">
        <v>7.8</v>
      </c>
      <c r="Q866" s="17">
        <v>13</v>
      </c>
      <c r="R866" s="17">
        <f t="shared" si="156"/>
        <v>101.39999999999999</v>
      </c>
      <c r="S866" s="236"/>
      <c r="T866" s="236"/>
      <c r="U866" s="236"/>
      <c r="V866" s="242"/>
    </row>
    <row r="867" spans="2:22" ht="13">
      <c r="B867" s="270"/>
      <c r="C867" s="245"/>
      <c r="D867" s="19" t="s">
        <v>78</v>
      </c>
      <c r="E867" s="17">
        <v>18.5</v>
      </c>
      <c r="F867" s="17">
        <v>13</v>
      </c>
      <c r="G867" s="17">
        <f t="shared" si="155"/>
        <v>240.5</v>
      </c>
      <c r="H867" s="236"/>
      <c r="I867" s="236"/>
      <c r="J867" s="236"/>
      <c r="K867" s="242"/>
      <c r="M867" s="270"/>
      <c r="N867" s="245"/>
      <c r="O867" s="19" t="s">
        <v>78</v>
      </c>
      <c r="P867" s="17">
        <v>18.5</v>
      </c>
      <c r="Q867" s="17">
        <v>13</v>
      </c>
      <c r="R867" s="17">
        <f t="shared" si="156"/>
        <v>240.5</v>
      </c>
      <c r="S867" s="236"/>
      <c r="T867" s="236"/>
      <c r="U867" s="236"/>
      <c r="V867" s="242"/>
    </row>
    <row r="868" spans="2:22" ht="13">
      <c r="B868" s="270"/>
      <c r="C868" s="245"/>
      <c r="D868" s="19" t="s">
        <v>895</v>
      </c>
      <c r="E868" s="17">
        <v>21.3</v>
      </c>
      <c r="F868" s="17">
        <v>17</v>
      </c>
      <c r="G868" s="17">
        <f t="shared" si="155"/>
        <v>362.1</v>
      </c>
      <c r="H868" s="236"/>
      <c r="I868" s="236"/>
      <c r="J868" s="236"/>
      <c r="K868" s="242"/>
      <c r="M868" s="270"/>
      <c r="N868" s="245"/>
      <c r="O868" s="19" t="s">
        <v>895</v>
      </c>
      <c r="P868" s="17">
        <v>21.3</v>
      </c>
      <c r="Q868" s="17">
        <v>17</v>
      </c>
      <c r="R868" s="17">
        <f t="shared" si="156"/>
        <v>362.1</v>
      </c>
      <c r="S868" s="236"/>
      <c r="T868" s="236"/>
      <c r="U868" s="236"/>
      <c r="V868" s="242"/>
    </row>
    <row r="869" spans="2:22" ht="13">
      <c r="B869" s="270"/>
      <c r="C869" s="245"/>
      <c r="D869" s="19" t="s">
        <v>990</v>
      </c>
      <c r="E869" s="17">
        <v>9</v>
      </c>
      <c r="F869" s="17">
        <v>13</v>
      </c>
      <c r="G869" s="17">
        <f t="shared" si="155"/>
        <v>117</v>
      </c>
      <c r="H869" s="236"/>
      <c r="I869" s="236"/>
      <c r="J869" s="236"/>
      <c r="K869" s="242"/>
      <c r="M869" s="270"/>
      <c r="N869" s="245"/>
      <c r="O869" s="19" t="s">
        <v>990</v>
      </c>
      <c r="P869" s="17">
        <v>9</v>
      </c>
      <c r="Q869" s="17">
        <v>13</v>
      </c>
      <c r="R869" s="17">
        <f t="shared" si="156"/>
        <v>117</v>
      </c>
      <c r="S869" s="236"/>
      <c r="T869" s="236"/>
      <c r="U869" s="236"/>
      <c r="V869" s="242"/>
    </row>
    <row r="870" spans="2:22" ht="13">
      <c r="B870" s="270"/>
      <c r="C870" s="245"/>
      <c r="D870" s="19" t="s">
        <v>70</v>
      </c>
      <c r="E870" s="17">
        <v>13.11</v>
      </c>
      <c r="F870" s="17">
        <v>13</v>
      </c>
      <c r="G870" s="17">
        <f t="shared" si="155"/>
        <v>170.43</v>
      </c>
      <c r="H870" s="236"/>
      <c r="I870" s="236"/>
      <c r="J870" s="236"/>
      <c r="K870" s="242"/>
      <c r="M870" s="270"/>
      <c r="N870" s="245"/>
      <c r="O870" s="19" t="s">
        <v>70</v>
      </c>
      <c r="P870" s="17">
        <v>13.11</v>
      </c>
      <c r="Q870" s="17">
        <v>13</v>
      </c>
      <c r="R870" s="17">
        <f t="shared" si="156"/>
        <v>170.43</v>
      </c>
      <c r="S870" s="236"/>
      <c r="T870" s="236"/>
      <c r="U870" s="236"/>
      <c r="V870" s="242"/>
    </row>
    <row r="871" spans="2:22" ht="13">
      <c r="B871" s="270"/>
      <c r="C871" s="245"/>
      <c r="D871" s="19" t="s">
        <v>1039</v>
      </c>
      <c r="E871" s="17"/>
      <c r="F871" s="17"/>
      <c r="G871" s="17">
        <v>50</v>
      </c>
      <c r="H871" s="236"/>
      <c r="I871" s="236"/>
      <c r="J871" s="236"/>
      <c r="K871" s="242"/>
      <c r="M871" s="270"/>
      <c r="N871" s="245"/>
      <c r="O871" s="19" t="s">
        <v>1039</v>
      </c>
      <c r="P871" s="17"/>
      <c r="Q871" s="17"/>
      <c r="R871" s="17">
        <v>50</v>
      </c>
      <c r="S871" s="236"/>
      <c r="T871" s="236"/>
      <c r="U871" s="236"/>
      <c r="V871" s="242"/>
    </row>
    <row r="872" spans="2:22" ht="13">
      <c r="B872" s="270"/>
      <c r="C872" s="246"/>
      <c r="D872" s="44" t="s">
        <v>33</v>
      </c>
      <c r="E872" s="21"/>
      <c r="F872" s="21"/>
      <c r="G872" s="21">
        <v>234.62</v>
      </c>
      <c r="H872" s="238"/>
      <c r="I872" s="238"/>
      <c r="J872" s="238"/>
      <c r="K872" s="243"/>
      <c r="M872" s="270"/>
      <c r="N872" s="246"/>
      <c r="O872" s="44" t="s">
        <v>33</v>
      </c>
      <c r="P872" s="21"/>
      <c r="Q872" s="21"/>
      <c r="R872" s="21">
        <v>234.62</v>
      </c>
      <c r="S872" s="238"/>
      <c r="T872" s="238"/>
      <c r="U872" s="238"/>
      <c r="V872" s="243"/>
    </row>
    <row r="873" spans="2:22" ht="30">
      <c r="B873" s="254" t="s">
        <v>1040</v>
      </c>
      <c r="C873" s="255"/>
      <c r="D873" s="256"/>
      <c r="E873" s="27">
        <f t="shared" ref="E873:J873" si="157">AVERAGE(E685:E872)</f>
        <v>11.344850746268655</v>
      </c>
      <c r="F873" s="27">
        <f t="shared" si="157"/>
        <v>13.977611940298507</v>
      </c>
      <c r="G873" s="27">
        <f t="shared" si="157"/>
        <v>168.75825136612019</v>
      </c>
      <c r="H873" s="27">
        <f t="shared" si="157"/>
        <v>1102.9557142857143</v>
      </c>
      <c r="I873" s="27">
        <f t="shared" si="157"/>
        <v>4934.7746428571427</v>
      </c>
      <c r="J873" s="27">
        <f t="shared" si="157"/>
        <v>3831.8189285714279</v>
      </c>
      <c r="K873" s="28" t="str">
        <f ca="1">AVERAGE($K$12:$K$76)</f>
        <v>#REF!</v>
      </c>
      <c r="M873" s="254" t="s">
        <v>1040</v>
      </c>
      <c r="N873" s="255"/>
      <c r="O873" s="256"/>
      <c r="P873" s="27">
        <f t="shared" ref="P873:U873" si="158">AVERAGE(P685:P872)</f>
        <v>11.278130081300814</v>
      </c>
      <c r="Q873" s="27">
        <f t="shared" si="158"/>
        <v>14.103709677419355</v>
      </c>
      <c r="R873" s="27">
        <f t="shared" si="158"/>
        <v>165.55093023255813</v>
      </c>
      <c r="S873" s="92">
        <f t="shared" si="158"/>
        <v>1016.9557142857142</v>
      </c>
      <c r="T873" s="92">
        <f t="shared" si="158"/>
        <v>4934.7746428571427</v>
      </c>
      <c r="U873" s="92">
        <f t="shared" si="158"/>
        <v>3917.8189285714279</v>
      </c>
      <c r="V873" s="93" t="str">
        <f ca="1">AVERAGE($K$12:$K$76)</f>
        <v>#REF!</v>
      </c>
    </row>
    <row r="874" spans="2:22" ht="30">
      <c r="B874" s="251" t="s">
        <v>1041</v>
      </c>
      <c r="C874" s="252"/>
      <c r="D874" s="253"/>
      <c r="E874" s="42">
        <f t="shared" ref="E874:J874" si="159">SUM(E685:E872)</f>
        <v>1520.2099999999998</v>
      </c>
      <c r="F874" s="42">
        <f t="shared" si="159"/>
        <v>1873</v>
      </c>
      <c r="G874" s="42">
        <f t="shared" si="159"/>
        <v>30882.759999999995</v>
      </c>
      <c r="H874" s="42">
        <f t="shared" si="159"/>
        <v>30882.760000000002</v>
      </c>
      <c r="I874" s="42">
        <f t="shared" si="159"/>
        <v>138173.69</v>
      </c>
      <c r="J874" s="42">
        <f t="shared" si="159"/>
        <v>107290.92999999998</v>
      </c>
      <c r="K874" s="29">
        <f>J874/I874</f>
        <v>0.77649319490562907</v>
      </c>
      <c r="M874" s="251" t="s">
        <v>1041</v>
      </c>
      <c r="N874" s="252"/>
      <c r="O874" s="253"/>
      <c r="P874" s="42">
        <f t="shared" ref="P874:U874" si="160">SUM(P685:P872)</f>
        <v>1387.21</v>
      </c>
      <c r="Q874" s="42">
        <f t="shared" si="160"/>
        <v>1748.86</v>
      </c>
      <c r="R874" s="42">
        <f t="shared" si="160"/>
        <v>28474.76</v>
      </c>
      <c r="S874" s="42">
        <f t="shared" si="160"/>
        <v>28474.76</v>
      </c>
      <c r="T874" s="42">
        <f t="shared" si="160"/>
        <v>138173.69</v>
      </c>
      <c r="U874" s="42">
        <f t="shared" si="160"/>
        <v>109698.92999999998</v>
      </c>
      <c r="V874" s="29">
        <f>U874/T874</f>
        <v>0.79392053581257027</v>
      </c>
    </row>
    <row r="875" spans="2:22" ht="13">
      <c r="B875" s="86"/>
    </row>
    <row r="876" spans="2:22" ht="30">
      <c r="B876" s="304" t="s">
        <v>1042</v>
      </c>
      <c r="C876" s="297"/>
      <c r="D876" s="298"/>
      <c r="E876" s="34">
        <f t="shared" ref="E876:J876" si="161">SUM(E594,E684,E874)</f>
        <v>2912.5499999999997</v>
      </c>
      <c r="F876" s="34">
        <f t="shared" si="161"/>
        <v>4117</v>
      </c>
      <c r="G876" s="34">
        <f t="shared" si="161"/>
        <v>61538.720000000001</v>
      </c>
      <c r="H876" s="34">
        <f t="shared" si="161"/>
        <v>61538.720000000008</v>
      </c>
      <c r="I876" s="34">
        <f t="shared" si="161"/>
        <v>266784.79000000004</v>
      </c>
      <c r="J876" s="34">
        <f t="shared" si="161"/>
        <v>205246.07</v>
      </c>
      <c r="K876" s="35">
        <f>J876/I876</f>
        <v>0.76933197728401226</v>
      </c>
      <c r="M876" s="304" t="s">
        <v>1042</v>
      </c>
      <c r="N876" s="297"/>
      <c r="O876" s="298"/>
      <c r="P876" s="34">
        <f t="shared" ref="P876:U876" si="162">SUM(P594,P684,P874)</f>
        <v>2399.75</v>
      </c>
      <c r="Q876" s="34">
        <f t="shared" si="162"/>
        <v>3333.3599999999997</v>
      </c>
      <c r="R876" s="34">
        <f t="shared" si="162"/>
        <v>51984.22</v>
      </c>
      <c r="S876" s="34">
        <f t="shared" si="162"/>
        <v>51984.22</v>
      </c>
      <c r="T876" s="34">
        <f t="shared" si="162"/>
        <v>266784.79000000004</v>
      </c>
      <c r="U876" s="34">
        <f t="shared" si="162"/>
        <v>214800.56999999995</v>
      </c>
      <c r="V876" s="35">
        <f>U876/T876</f>
        <v>0.80514548824166443</v>
      </c>
    </row>
    <row r="877" spans="2:22" ht="16">
      <c r="B877" s="86"/>
      <c r="C877" s="111"/>
      <c r="D877" s="15"/>
      <c r="E877" s="16"/>
      <c r="F877" s="16"/>
      <c r="G877" s="16"/>
      <c r="H877" s="112"/>
      <c r="I877" s="112"/>
      <c r="J877" s="112"/>
      <c r="K877" s="113"/>
      <c r="M877" s="86"/>
      <c r="N877" s="114"/>
      <c r="O877" s="115"/>
      <c r="P877" s="116"/>
      <c r="Q877" s="116"/>
      <c r="R877" s="116"/>
      <c r="S877" s="117"/>
      <c r="T877" s="117"/>
      <c r="U877" s="117"/>
      <c r="V877" s="113"/>
    </row>
    <row r="878" spans="2:22" ht="13">
      <c r="B878" s="288" t="s">
        <v>1043</v>
      </c>
      <c r="C878" s="244" t="s">
        <v>1044</v>
      </c>
      <c r="D878" s="15" t="s">
        <v>895</v>
      </c>
      <c r="E878" s="16">
        <v>14.5</v>
      </c>
      <c r="F878" s="16">
        <v>17</v>
      </c>
      <c r="G878" s="16">
        <f t="shared" ref="G878:G884" si="163">E878*F878</f>
        <v>246.5</v>
      </c>
      <c r="H878" s="240">
        <f>SUM(G878:G886)</f>
        <v>1728.02</v>
      </c>
      <c r="I878" s="240">
        <v>4080</v>
      </c>
      <c r="J878" s="240">
        <f>I878-H878</f>
        <v>2351.98</v>
      </c>
      <c r="K878" s="241">
        <f>J878/I878</f>
        <v>0.57646568627450978</v>
      </c>
      <c r="M878" s="307" t="s">
        <v>1043</v>
      </c>
      <c r="N878" s="244" t="s">
        <v>1044</v>
      </c>
      <c r="O878" s="15" t="s">
        <v>895</v>
      </c>
      <c r="P878" s="16">
        <v>14.5</v>
      </c>
      <c r="Q878" s="16">
        <v>17</v>
      </c>
      <c r="R878" s="16">
        <f t="shared" ref="R878:R884" si="164">P878*Q878</f>
        <v>246.5</v>
      </c>
      <c r="S878" s="240">
        <f>SUM(R878:R886)</f>
        <v>1728.02</v>
      </c>
      <c r="T878" s="240">
        <v>4080</v>
      </c>
      <c r="U878" s="240">
        <f>T878-S878</f>
        <v>2351.98</v>
      </c>
      <c r="V878" s="241">
        <f>U878/T878</f>
        <v>0.57646568627450978</v>
      </c>
    </row>
    <row r="879" spans="2:22" ht="13">
      <c r="B879" s="270"/>
      <c r="C879" s="245"/>
      <c r="D879" s="19" t="s">
        <v>744</v>
      </c>
      <c r="E879" s="17">
        <v>9.4</v>
      </c>
      <c r="F879" s="17">
        <v>13</v>
      </c>
      <c r="G879" s="17">
        <f t="shared" si="163"/>
        <v>122.2</v>
      </c>
      <c r="H879" s="236"/>
      <c r="I879" s="236"/>
      <c r="J879" s="236"/>
      <c r="K879" s="242"/>
      <c r="M879" s="236"/>
      <c r="N879" s="245"/>
      <c r="O879" s="19" t="s">
        <v>744</v>
      </c>
      <c r="P879" s="17">
        <v>9.4</v>
      </c>
      <c r="Q879" s="17">
        <v>13</v>
      </c>
      <c r="R879" s="17">
        <f t="shared" si="164"/>
        <v>122.2</v>
      </c>
      <c r="S879" s="236"/>
      <c r="T879" s="236"/>
      <c r="U879" s="236"/>
      <c r="V879" s="242"/>
    </row>
    <row r="880" spans="2:22" ht="13">
      <c r="B880" s="270"/>
      <c r="C880" s="245"/>
      <c r="D880" s="19" t="s">
        <v>1036</v>
      </c>
      <c r="E880" s="17">
        <v>13.9</v>
      </c>
      <c r="F880" s="17">
        <v>13</v>
      </c>
      <c r="G880" s="17">
        <f t="shared" si="163"/>
        <v>180.70000000000002</v>
      </c>
      <c r="H880" s="236"/>
      <c r="I880" s="236"/>
      <c r="J880" s="236"/>
      <c r="K880" s="242"/>
      <c r="M880" s="236"/>
      <c r="N880" s="245"/>
      <c r="O880" s="19" t="s">
        <v>1036</v>
      </c>
      <c r="P880" s="17">
        <v>13.9</v>
      </c>
      <c r="Q880" s="17">
        <v>13</v>
      </c>
      <c r="R880" s="17">
        <f t="shared" si="164"/>
        <v>180.70000000000002</v>
      </c>
      <c r="S880" s="236"/>
      <c r="T880" s="236"/>
      <c r="U880" s="236"/>
      <c r="V880" s="242"/>
    </row>
    <row r="881" spans="2:22" ht="13">
      <c r="B881" s="270"/>
      <c r="C881" s="245"/>
      <c r="D881" s="19" t="s">
        <v>78</v>
      </c>
      <c r="E881" s="17">
        <v>10.25</v>
      </c>
      <c r="F881" s="17">
        <v>13</v>
      </c>
      <c r="G881" s="17">
        <f t="shared" si="163"/>
        <v>133.25</v>
      </c>
      <c r="H881" s="236"/>
      <c r="I881" s="236"/>
      <c r="J881" s="236"/>
      <c r="K881" s="242"/>
      <c r="M881" s="236"/>
      <c r="N881" s="245"/>
      <c r="O881" s="19" t="s">
        <v>78</v>
      </c>
      <c r="P881" s="17">
        <v>10.25</v>
      </c>
      <c r="Q881" s="17">
        <v>13</v>
      </c>
      <c r="R881" s="17">
        <f t="shared" si="164"/>
        <v>133.25</v>
      </c>
      <c r="S881" s="236"/>
      <c r="T881" s="236"/>
      <c r="U881" s="236"/>
      <c r="V881" s="242"/>
    </row>
    <row r="882" spans="2:22" ht="13">
      <c r="B882" s="270"/>
      <c r="C882" s="245"/>
      <c r="D882" s="19" t="s">
        <v>1031</v>
      </c>
      <c r="E882" s="17">
        <v>9.25</v>
      </c>
      <c r="F882" s="17">
        <v>13</v>
      </c>
      <c r="G882" s="17">
        <f t="shared" si="163"/>
        <v>120.25</v>
      </c>
      <c r="H882" s="236"/>
      <c r="I882" s="236"/>
      <c r="J882" s="236"/>
      <c r="K882" s="242"/>
      <c r="M882" s="236"/>
      <c r="N882" s="245"/>
      <c r="O882" s="19" t="s">
        <v>1031</v>
      </c>
      <c r="P882" s="17">
        <v>9.25</v>
      </c>
      <c r="Q882" s="17">
        <v>13</v>
      </c>
      <c r="R882" s="17">
        <f t="shared" si="164"/>
        <v>120.25</v>
      </c>
      <c r="S882" s="236"/>
      <c r="T882" s="236"/>
      <c r="U882" s="236"/>
      <c r="V882" s="242"/>
    </row>
    <row r="883" spans="2:22" ht="13">
      <c r="B883" s="270"/>
      <c r="C883" s="245"/>
      <c r="D883" s="19" t="s">
        <v>70</v>
      </c>
      <c r="E883" s="17">
        <v>7.08</v>
      </c>
      <c r="F883" s="17">
        <v>13</v>
      </c>
      <c r="G883" s="17">
        <f t="shared" si="163"/>
        <v>92.04</v>
      </c>
      <c r="H883" s="236"/>
      <c r="I883" s="236"/>
      <c r="J883" s="236"/>
      <c r="K883" s="242"/>
      <c r="M883" s="236"/>
      <c r="N883" s="245"/>
      <c r="O883" s="19" t="s">
        <v>70</v>
      </c>
      <c r="P883" s="17">
        <v>7.08</v>
      </c>
      <c r="Q883" s="17">
        <v>13</v>
      </c>
      <c r="R883" s="17">
        <f t="shared" si="164"/>
        <v>92.04</v>
      </c>
      <c r="S883" s="236"/>
      <c r="T883" s="236"/>
      <c r="U883" s="236"/>
      <c r="V883" s="242"/>
    </row>
    <row r="884" spans="2:22" ht="13">
      <c r="B884" s="270"/>
      <c r="C884" s="245"/>
      <c r="D884" s="24" t="s">
        <v>1038</v>
      </c>
      <c r="E884" s="17">
        <v>10.16</v>
      </c>
      <c r="F884" s="17">
        <v>13</v>
      </c>
      <c r="G884" s="17">
        <f t="shared" si="163"/>
        <v>132.08000000000001</v>
      </c>
      <c r="H884" s="236"/>
      <c r="I884" s="236"/>
      <c r="J884" s="236"/>
      <c r="K884" s="242"/>
      <c r="M884" s="236"/>
      <c r="N884" s="245"/>
      <c r="O884" s="24" t="s">
        <v>1038</v>
      </c>
      <c r="P884" s="17">
        <v>10.16</v>
      </c>
      <c r="Q884" s="17">
        <v>13</v>
      </c>
      <c r="R884" s="17">
        <f t="shared" si="164"/>
        <v>132.08000000000001</v>
      </c>
      <c r="S884" s="236"/>
      <c r="T884" s="236"/>
      <c r="U884" s="236"/>
      <c r="V884" s="242"/>
    </row>
    <row r="885" spans="2:22" ht="13">
      <c r="B885" s="270"/>
      <c r="C885" s="245"/>
      <c r="D885" s="24" t="s">
        <v>1045</v>
      </c>
      <c r="E885" s="17"/>
      <c r="F885" s="17"/>
      <c r="G885" s="17">
        <v>126</v>
      </c>
      <c r="H885" s="236"/>
      <c r="I885" s="236"/>
      <c r="J885" s="236"/>
      <c r="K885" s="242"/>
      <c r="M885" s="236"/>
      <c r="N885" s="245"/>
      <c r="O885" s="24" t="s">
        <v>1045</v>
      </c>
      <c r="P885" s="17"/>
      <c r="Q885" s="17"/>
      <c r="R885" s="17">
        <v>126</v>
      </c>
      <c r="S885" s="236"/>
      <c r="T885" s="236"/>
      <c r="U885" s="236"/>
      <c r="V885" s="242"/>
    </row>
    <row r="886" spans="2:22" ht="13">
      <c r="B886" s="270"/>
      <c r="C886" s="246"/>
      <c r="D886" s="44" t="s">
        <v>33</v>
      </c>
      <c r="E886" s="21"/>
      <c r="F886" s="21"/>
      <c r="G886" s="21">
        <v>575</v>
      </c>
      <c r="H886" s="238"/>
      <c r="I886" s="238"/>
      <c r="J886" s="238"/>
      <c r="K886" s="243"/>
      <c r="M886" s="236"/>
      <c r="N886" s="246"/>
      <c r="O886" s="44" t="s">
        <v>33</v>
      </c>
      <c r="P886" s="21"/>
      <c r="Q886" s="21"/>
      <c r="R886" s="21">
        <v>575</v>
      </c>
      <c r="S886" s="238"/>
      <c r="T886" s="238"/>
      <c r="U886" s="238"/>
      <c r="V886" s="243"/>
    </row>
    <row r="887" spans="2:22" ht="13">
      <c r="B887" s="270"/>
      <c r="C887" s="244" t="s">
        <v>1046</v>
      </c>
      <c r="D887" s="15" t="s">
        <v>114</v>
      </c>
      <c r="E887" s="16">
        <v>17.5</v>
      </c>
      <c r="F887" s="17">
        <v>18</v>
      </c>
      <c r="G887" s="17">
        <f>E887*F887</f>
        <v>315</v>
      </c>
      <c r="H887" s="240">
        <f>SUM(G887:G890)</f>
        <v>639.31999999999994</v>
      </c>
      <c r="I887" s="240">
        <v>3474.24</v>
      </c>
      <c r="J887" s="240">
        <f>I887-H887</f>
        <v>2834.92</v>
      </c>
      <c r="K887" s="241">
        <f>J887/I887</f>
        <v>0.81598277608915915</v>
      </c>
      <c r="M887" s="236"/>
      <c r="N887" s="244" t="s">
        <v>1046</v>
      </c>
      <c r="O887" s="15" t="s">
        <v>114</v>
      </c>
      <c r="P887" s="43"/>
      <c r="Q887" s="18"/>
      <c r="R887" s="18"/>
      <c r="S887" s="240">
        <f>SUM(R887:R890)</f>
        <v>324.32000000000005</v>
      </c>
      <c r="T887" s="240">
        <v>3474.24</v>
      </c>
      <c r="U887" s="240">
        <f>T887-S887</f>
        <v>3149.9199999999996</v>
      </c>
      <c r="V887" s="241">
        <f>U887/T887</f>
        <v>0.90665008750115128</v>
      </c>
    </row>
    <row r="888" spans="2:22" ht="13">
      <c r="B888" s="270"/>
      <c r="C888" s="245"/>
      <c r="D888" s="19" t="s">
        <v>699</v>
      </c>
      <c r="E888" s="17"/>
      <c r="F888" s="17"/>
      <c r="G888" s="17">
        <v>90.28</v>
      </c>
      <c r="H888" s="236"/>
      <c r="I888" s="236"/>
      <c r="J888" s="236"/>
      <c r="K888" s="242"/>
      <c r="M888" s="236"/>
      <c r="N888" s="245"/>
      <c r="O888" s="19" t="s">
        <v>699</v>
      </c>
      <c r="P888" s="17"/>
      <c r="Q888" s="17"/>
      <c r="R888" s="17">
        <v>90.28</v>
      </c>
      <c r="S888" s="236"/>
      <c r="T888" s="236"/>
      <c r="U888" s="236"/>
      <c r="V888" s="242"/>
    </row>
    <row r="889" spans="2:22" ht="13">
      <c r="B889" s="270"/>
      <c r="C889" s="245"/>
      <c r="D889" s="19" t="s">
        <v>188</v>
      </c>
      <c r="E889" s="17"/>
      <c r="F889" s="17"/>
      <c r="G889" s="17">
        <v>74.64</v>
      </c>
      <c r="H889" s="236"/>
      <c r="I889" s="236"/>
      <c r="J889" s="236"/>
      <c r="K889" s="242"/>
      <c r="M889" s="236"/>
      <c r="N889" s="245"/>
      <c r="O889" s="19" t="s">
        <v>188</v>
      </c>
      <c r="P889" s="17"/>
      <c r="Q889" s="17"/>
      <c r="R889" s="17">
        <v>74.64</v>
      </c>
      <c r="S889" s="236"/>
      <c r="T889" s="236"/>
      <c r="U889" s="236"/>
      <c r="V889" s="242"/>
    </row>
    <row r="890" spans="2:22" ht="13">
      <c r="B890" s="270"/>
      <c r="C890" s="246"/>
      <c r="D890" s="44" t="s">
        <v>1047</v>
      </c>
      <c r="E890" s="21"/>
      <c r="F890" s="21"/>
      <c r="G890" s="21">
        <v>159.4</v>
      </c>
      <c r="H890" s="238"/>
      <c r="I890" s="238"/>
      <c r="J890" s="238"/>
      <c r="K890" s="243"/>
      <c r="M890" s="236"/>
      <c r="N890" s="246"/>
      <c r="O890" s="44" t="s">
        <v>1047</v>
      </c>
      <c r="P890" s="21"/>
      <c r="Q890" s="21"/>
      <c r="R890" s="21">
        <v>159.4</v>
      </c>
      <c r="S890" s="238"/>
      <c r="T890" s="238"/>
      <c r="U890" s="238"/>
      <c r="V890" s="243"/>
    </row>
    <row r="891" spans="2:22" ht="13">
      <c r="B891" s="270"/>
      <c r="C891" s="244" t="s">
        <v>1048</v>
      </c>
      <c r="D891" s="15" t="s">
        <v>463</v>
      </c>
      <c r="E891" s="16">
        <v>6.45</v>
      </c>
      <c r="F891" s="17">
        <v>13</v>
      </c>
      <c r="G891" s="17">
        <f t="shared" ref="G891:G897" si="165">E891*F891</f>
        <v>83.850000000000009</v>
      </c>
      <c r="H891" s="240">
        <f>SUM(G891:G899)</f>
        <v>1577.0700000000002</v>
      </c>
      <c r="I891" s="240">
        <v>4080</v>
      </c>
      <c r="J891" s="240">
        <f>I891-H891</f>
        <v>2502.9299999999998</v>
      </c>
      <c r="K891" s="241">
        <f>J891/I891</f>
        <v>0.61346323529411761</v>
      </c>
      <c r="M891" s="236"/>
      <c r="N891" s="244" t="s">
        <v>1048</v>
      </c>
      <c r="O891" s="15" t="s">
        <v>463</v>
      </c>
      <c r="P891" s="16">
        <v>6.45</v>
      </c>
      <c r="Q891" s="17">
        <v>13</v>
      </c>
      <c r="R891" s="17">
        <f t="shared" ref="R891:R897" si="166">P891*Q891</f>
        <v>83.850000000000009</v>
      </c>
      <c r="S891" s="240">
        <f>SUM(R891:R899)</f>
        <v>1577.0700000000002</v>
      </c>
      <c r="T891" s="240">
        <v>4080</v>
      </c>
      <c r="U891" s="240">
        <f>T891-S891</f>
        <v>2502.9299999999998</v>
      </c>
      <c r="V891" s="241">
        <f>U891/T891</f>
        <v>0.61346323529411761</v>
      </c>
    </row>
    <row r="892" spans="2:22" ht="13">
      <c r="B892" s="270"/>
      <c r="C892" s="245"/>
      <c r="D892" s="19" t="s">
        <v>989</v>
      </c>
      <c r="E892" s="17">
        <v>20</v>
      </c>
      <c r="F892" s="17">
        <v>17</v>
      </c>
      <c r="G892" s="17">
        <f t="shared" si="165"/>
        <v>340</v>
      </c>
      <c r="H892" s="236"/>
      <c r="I892" s="236"/>
      <c r="J892" s="236"/>
      <c r="K892" s="242"/>
      <c r="M892" s="236"/>
      <c r="N892" s="245"/>
      <c r="O892" s="19" t="s">
        <v>989</v>
      </c>
      <c r="P892" s="17">
        <v>20</v>
      </c>
      <c r="Q892" s="17">
        <v>17</v>
      </c>
      <c r="R892" s="17">
        <f t="shared" si="166"/>
        <v>340</v>
      </c>
      <c r="S892" s="236"/>
      <c r="T892" s="236"/>
      <c r="U892" s="236"/>
      <c r="V892" s="242"/>
    </row>
    <row r="893" spans="2:22" ht="13">
      <c r="B893" s="270"/>
      <c r="C893" s="245"/>
      <c r="D893" s="19" t="s">
        <v>917</v>
      </c>
      <c r="E893" s="17">
        <v>13.51</v>
      </c>
      <c r="F893" s="17">
        <v>13</v>
      </c>
      <c r="G893" s="17">
        <f t="shared" si="165"/>
        <v>175.63</v>
      </c>
      <c r="H893" s="236"/>
      <c r="I893" s="236"/>
      <c r="J893" s="236"/>
      <c r="K893" s="242"/>
      <c r="M893" s="236"/>
      <c r="N893" s="245"/>
      <c r="O893" s="19" t="s">
        <v>917</v>
      </c>
      <c r="P893" s="17">
        <v>13.51</v>
      </c>
      <c r="Q893" s="17">
        <v>13</v>
      </c>
      <c r="R893" s="17">
        <f t="shared" si="166"/>
        <v>175.63</v>
      </c>
      <c r="S893" s="236"/>
      <c r="T893" s="236"/>
      <c r="U893" s="236"/>
      <c r="V893" s="242"/>
    </row>
    <row r="894" spans="2:22" ht="13">
      <c r="B894" s="270"/>
      <c r="C894" s="245"/>
      <c r="D894" s="19" t="s">
        <v>310</v>
      </c>
      <c r="E894" s="17">
        <v>5.45</v>
      </c>
      <c r="F894" s="17">
        <v>13</v>
      </c>
      <c r="G894" s="17">
        <f t="shared" si="165"/>
        <v>70.850000000000009</v>
      </c>
      <c r="H894" s="236"/>
      <c r="I894" s="236"/>
      <c r="J894" s="236"/>
      <c r="K894" s="242"/>
      <c r="M894" s="236"/>
      <c r="N894" s="245"/>
      <c r="O894" s="19" t="s">
        <v>310</v>
      </c>
      <c r="P894" s="17">
        <v>5.45</v>
      </c>
      <c r="Q894" s="17">
        <v>13</v>
      </c>
      <c r="R894" s="17">
        <f t="shared" si="166"/>
        <v>70.850000000000009</v>
      </c>
      <c r="S894" s="236"/>
      <c r="T894" s="236"/>
      <c r="U894" s="236"/>
      <c r="V894" s="242"/>
    </row>
    <row r="895" spans="2:22" ht="13">
      <c r="B895" s="270"/>
      <c r="C895" s="245"/>
      <c r="D895" s="19" t="s">
        <v>978</v>
      </c>
      <c r="E895" s="17">
        <v>5.18</v>
      </c>
      <c r="F895" s="17">
        <v>13</v>
      </c>
      <c r="G895" s="17">
        <f t="shared" si="165"/>
        <v>67.34</v>
      </c>
      <c r="H895" s="236"/>
      <c r="I895" s="236"/>
      <c r="J895" s="236"/>
      <c r="K895" s="242"/>
      <c r="M895" s="236"/>
      <c r="N895" s="245"/>
      <c r="O895" s="19" t="s">
        <v>978</v>
      </c>
      <c r="P895" s="17">
        <v>5.18</v>
      </c>
      <c r="Q895" s="17">
        <v>13</v>
      </c>
      <c r="R895" s="17">
        <f t="shared" si="166"/>
        <v>67.34</v>
      </c>
      <c r="S895" s="236"/>
      <c r="T895" s="236"/>
      <c r="U895" s="236"/>
      <c r="V895" s="242"/>
    </row>
    <row r="896" spans="2:22" ht="13">
      <c r="B896" s="270"/>
      <c r="C896" s="245"/>
      <c r="D896" s="19" t="s">
        <v>1049</v>
      </c>
      <c r="E896" s="17">
        <v>6.9</v>
      </c>
      <c r="F896" s="17">
        <v>13</v>
      </c>
      <c r="G896" s="17">
        <f t="shared" si="165"/>
        <v>89.7</v>
      </c>
      <c r="H896" s="236"/>
      <c r="I896" s="236"/>
      <c r="J896" s="236"/>
      <c r="K896" s="242"/>
      <c r="M896" s="236"/>
      <c r="N896" s="245"/>
      <c r="O896" s="19" t="s">
        <v>1049</v>
      </c>
      <c r="P896" s="17">
        <v>6.9</v>
      </c>
      <c r="Q896" s="17">
        <v>13</v>
      </c>
      <c r="R896" s="17">
        <f t="shared" si="166"/>
        <v>89.7</v>
      </c>
      <c r="S896" s="236"/>
      <c r="T896" s="236"/>
      <c r="U896" s="236"/>
      <c r="V896" s="242"/>
    </row>
    <row r="897" spans="2:22" ht="13">
      <c r="B897" s="270"/>
      <c r="C897" s="245"/>
      <c r="D897" s="24" t="s">
        <v>990</v>
      </c>
      <c r="E897" s="17">
        <v>11.9</v>
      </c>
      <c r="F897" s="17">
        <v>13</v>
      </c>
      <c r="G897" s="17">
        <f t="shared" si="165"/>
        <v>154.70000000000002</v>
      </c>
      <c r="H897" s="236"/>
      <c r="I897" s="236"/>
      <c r="J897" s="236"/>
      <c r="K897" s="242"/>
      <c r="M897" s="236"/>
      <c r="N897" s="245"/>
      <c r="O897" s="24" t="s">
        <v>990</v>
      </c>
      <c r="P897" s="17">
        <v>11.9</v>
      </c>
      <c r="Q897" s="17">
        <v>13</v>
      </c>
      <c r="R897" s="17">
        <f t="shared" si="166"/>
        <v>154.70000000000002</v>
      </c>
      <c r="S897" s="236"/>
      <c r="T897" s="236"/>
      <c r="U897" s="236"/>
      <c r="V897" s="242"/>
    </row>
    <row r="898" spans="2:22" ht="13">
      <c r="B898" s="270"/>
      <c r="C898" s="245"/>
      <c r="D898" s="24" t="s">
        <v>1050</v>
      </c>
      <c r="E898" s="17"/>
      <c r="F898" s="17"/>
      <c r="G898" s="17">
        <v>20</v>
      </c>
      <c r="H898" s="236"/>
      <c r="I898" s="236"/>
      <c r="J898" s="236"/>
      <c r="K898" s="242"/>
      <c r="M898" s="236"/>
      <c r="N898" s="245"/>
      <c r="O898" s="24" t="s">
        <v>1050</v>
      </c>
      <c r="P898" s="17"/>
      <c r="Q898" s="17"/>
      <c r="R898" s="17">
        <v>20</v>
      </c>
      <c r="S898" s="236"/>
      <c r="T898" s="236"/>
      <c r="U898" s="236"/>
      <c r="V898" s="242"/>
    </row>
    <row r="899" spans="2:22" ht="13">
      <c r="B899" s="270"/>
      <c r="C899" s="246"/>
      <c r="D899" s="44" t="s">
        <v>33</v>
      </c>
      <c r="E899" s="21"/>
      <c r="F899" s="21"/>
      <c r="G899" s="21">
        <v>575</v>
      </c>
      <c r="H899" s="238"/>
      <c r="I899" s="238"/>
      <c r="J899" s="238"/>
      <c r="K899" s="243"/>
      <c r="M899" s="236"/>
      <c r="N899" s="246"/>
      <c r="O899" s="44" t="s">
        <v>33</v>
      </c>
      <c r="P899" s="21"/>
      <c r="Q899" s="21"/>
      <c r="R899" s="21">
        <v>575</v>
      </c>
      <c r="S899" s="238"/>
      <c r="T899" s="238"/>
      <c r="U899" s="238"/>
      <c r="V899" s="243"/>
    </row>
    <row r="900" spans="2:22" ht="13">
      <c r="B900" s="270"/>
      <c r="C900" s="305" t="s">
        <v>1051</v>
      </c>
      <c r="D900" s="15" t="s">
        <v>114</v>
      </c>
      <c r="E900" s="15">
        <v>3.5</v>
      </c>
      <c r="F900" s="15">
        <v>17</v>
      </c>
      <c r="G900" s="16">
        <f>E900*F900</f>
        <v>59.5</v>
      </c>
      <c r="H900" s="240">
        <f>SUM(G900:G901)</f>
        <v>107.41</v>
      </c>
      <c r="I900" s="240">
        <v>1717.5</v>
      </c>
      <c r="J900" s="240">
        <f>I900-H900</f>
        <v>1610.09</v>
      </c>
      <c r="K900" s="241">
        <f>J900/I900</f>
        <v>0.93746142649199415</v>
      </c>
      <c r="M900" s="236"/>
      <c r="N900" s="305" t="s">
        <v>1051</v>
      </c>
      <c r="O900" s="15" t="s">
        <v>114</v>
      </c>
      <c r="P900" s="43"/>
      <c r="Q900" s="18"/>
      <c r="R900" s="18"/>
      <c r="S900" s="240">
        <f>SUM(R900:R901)</f>
        <v>47.91</v>
      </c>
      <c r="T900" s="240">
        <v>1717.5</v>
      </c>
      <c r="U900" s="240">
        <f>T900-S900</f>
        <v>1669.59</v>
      </c>
      <c r="V900" s="241">
        <f>U900/T900</f>
        <v>0.97210480349344974</v>
      </c>
    </row>
    <row r="901" spans="2:22" ht="13">
      <c r="B901" s="270"/>
      <c r="C901" s="246"/>
      <c r="D901" s="20" t="s">
        <v>33</v>
      </c>
      <c r="E901" s="20"/>
      <c r="F901" s="20"/>
      <c r="G901" s="21">
        <v>47.91</v>
      </c>
      <c r="H901" s="238"/>
      <c r="I901" s="238"/>
      <c r="J901" s="238"/>
      <c r="K901" s="243"/>
      <c r="M901" s="236"/>
      <c r="N901" s="246"/>
      <c r="O901" s="20" t="s">
        <v>33</v>
      </c>
      <c r="P901" s="20"/>
      <c r="Q901" s="20"/>
      <c r="R901" s="21">
        <v>47.91</v>
      </c>
      <c r="S901" s="238"/>
      <c r="T901" s="238"/>
      <c r="U901" s="238"/>
      <c r="V901" s="243"/>
    </row>
    <row r="902" spans="2:22" ht="13">
      <c r="B902" s="270"/>
      <c r="C902" s="244" t="s">
        <v>1052</v>
      </c>
      <c r="D902" s="15" t="s">
        <v>895</v>
      </c>
      <c r="E902" s="16">
        <v>5.5</v>
      </c>
      <c r="F902" s="17">
        <v>17</v>
      </c>
      <c r="G902" s="17">
        <f t="shared" ref="G902:G906" si="167">E902*F902</f>
        <v>93.5</v>
      </c>
      <c r="H902" s="240">
        <f>SUM(G902:G908)</f>
        <v>995.7600000000001</v>
      </c>
      <c r="I902" s="240">
        <v>5000</v>
      </c>
      <c r="J902" s="240">
        <f>I902-H902</f>
        <v>4004.24</v>
      </c>
      <c r="K902" s="241">
        <f>J902/I902</f>
        <v>0.800848</v>
      </c>
      <c r="M902" s="236"/>
      <c r="N902" s="244" t="s">
        <v>1052</v>
      </c>
      <c r="O902" s="15" t="s">
        <v>895</v>
      </c>
      <c r="P902" s="16">
        <v>5.5</v>
      </c>
      <c r="Q902" s="17">
        <v>17</v>
      </c>
      <c r="R902" s="17">
        <f t="shared" ref="R902:R906" si="168">P902*Q902</f>
        <v>93.5</v>
      </c>
      <c r="S902" s="240">
        <f>SUM(R902:R908)</f>
        <v>995.7600000000001</v>
      </c>
      <c r="T902" s="240">
        <v>5000</v>
      </c>
      <c r="U902" s="240">
        <f>T902-S902</f>
        <v>4004.24</v>
      </c>
      <c r="V902" s="241">
        <f>U902/T902</f>
        <v>0.800848</v>
      </c>
    </row>
    <row r="903" spans="2:22" ht="13">
      <c r="B903" s="270"/>
      <c r="C903" s="245"/>
      <c r="D903" s="19" t="s">
        <v>744</v>
      </c>
      <c r="E903" s="17">
        <v>15.4</v>
      </c>
      <c r="F903" s="17">
        <v>13</v>
      </c>
      <c r="G903" s="17">
        <f t="shared" si="167"/>
        <v>200.20000000000002</v>
      </c>
      <c r="H903" s="236"/>
      <c r="I903" s="236"/>
      <c r="J903" s="236"/>
      <c r="K903" s="242"/>
      <c r="M903" s="236"/>
      <c r="N903" s="245"/>
      <c r="O903" s="19" t="s">
        <v>744</v>
      </c>
      <c r="P903" s="17">
        <v>15.4</v>
      </c>
      <c r="Q903" s="17">
        <v>13</v>
      </c>
      <c r="R903" s="17">
        <f t="shared" si="168"/>
        <v>200.20000000000002</v>
      </c>
      <c r="S903" s="236"/>
      <c r="T903" s="236"/>
      <c r="U903" s="236"/>
      <c r="V903" s="242"/>
    </row>
    <row r="904" spans="2:22" ht="13">
      <c r="B904" s="270"/>
      <c r="C904" s="245"/>
      <c r="D904" s="19" t="s">
        <v>70</v>
      </c>
      <c r="E904" s="17">
        <v>14.4</v>
      </c>
      <c r="F904" s="17">
        <v>13</v>
      </c>
      <c r="G904" s="17">
        <f t="shared" si="167"/>
        <v>187.20000000000002</v>
      </c>
      <c r="H904" s="236"/>
      <c r="I904" s="236"/>
      <c r="J904" s="236"/>
      <c r="K904" s="242"/>
      <c r="M904" s="236"/>
      <c r="N904" s="245"/>
      <c r="O904" s="19" t="s">
        <v>70</v>
      </c>
      <c r="P904" s="17">
        <v>14.4</v>
      </c>
      <c r="Q904" s="17">
        <v>13</v>
      </c>
      <c r="R904" s="17">
        <f t="shared" si="168"/>
        <v>187.20000000000002</v>
      </c>
      <c r="S904" s="236"/>
      <c r="T904" s="236"/>
      <c r="U904" s="236"/>
      <c r="V904" s="242"/>
    </row>
    <row r="905" spans="2:22" ht="13">
      <c r="B905" s="270"/>
      <c r="C905" s="245"/>
      <c r="D905" s="19" t="s">
        <v>1031</v>
      </c>
      <c r="E905" s="17">
        <v>11.57</v>
      </c>
      <c r="F905" s="17">
        <v>13</v>
      </c>
      <c r="G905" s="17">
        <f t="shared" si="167"/>
        <v>150.41</v>
      </c>
      <c r="H905" s="236"/>
      <c r="I905" s="236"/>
      <c r="J905" s="236"/>
      <c r="K905" s="242"/>
      <c r="M905" s="236"/>
      <c r="N905" s="245"/>
      <c r="O905" s="19" t="s">
        <v>1031</v>
      </c>
      <c r="P905" s="17">
        <v>11.57</v>
      </c>
      <c r="Q905" s="17">
        <v>13</v>
      </c>
      <c r="R905" s="17">
        <f t="shared" si="168"/>
        <v>150.41</v>
      </c>
      <c r="S905" s="236"/>
      <c r="T905" s="236"/>
      <c r="U905" s="236"/>
      <c r="V905" s="242"/>
    </row>
    <row r="906" spans="2:22" ht="13">
      <c r="B906" s="270"/>
      <c r="C906" s="245"/>
      <c r="D906" s="24" t="s">
        <v>1053</v>
      </c>
      <c r="E906" s="17">
        <v>7.9</v>
      </c>
      <c r="F906" s="17">
        <v>13</v>
      </c>
      <c r="G906" s="17">
        <f t="shared" si="167"/>
        <v>102.7</v>
      </c>
      <c r="H906" s="236"/>
      <c r="I906" s="236"/>
      <c r="J906" s="236"/>
      <c r="K906" s="242"/>
      <c r="M906" s="236"/>
      <c r="N906" s="245"/>
      <c r="O906" s="24" t="s">
        <v>1053</v>
      </c>
      <c r="P906" s="17">
        <v>7.9</v>
      </c>
      <c r="Q906" s="17">
        <v>13</v>
      </c>
      <c r="R906" s="17">
        <f t="shared" si="168"/>
        <v>102.7</v>
      </c>
      <c r="S906" s="236"/>
      <c r="T906" s="236"/>
      <c r="U906" s="236"/>
      <c r="V906" s="242"/>
    </row>
    <row r="907" spans="2:22" ht="13">
      <c r="B907" s="270"/>
      <c r="C907" s="245"/>
      <c r="D907" s="24" t="s">
        <v>1054</v>
      </c>
      <c r="E907" s="17"/>
      <c r="F907" s="17"/>
      <c r="G907" s="17">
        <v>73.25</v>
      </c>
      <c r="H907" s="236"/>
      <c r="I907" s="236"/>
      <c r="J907" s="236"/>
      <c r="K907" s="242"/>
      <c r="M907" s="236"/>
      <c r="N907" s="245"/>
      <c r="O907" s="24" t="s">
        <v>1054</v>
      </c>
      <c r="P907" s="17"/>
      <c r="Q907" s="17"/>
      <c r="R907" s="17">
        <v>73.25</v>
      </c>
      <c r="S907" s="236"/>
      <c r="T907" s="236"/>
      <c r="U907" s="236"/>
      <c r="V907" s="242"/>
    </row>
    <row r="908" spans="2:22" ht="13">
      <c r="B908" s="270"/>
      <c r="C908" s="246"/>
      <c r="D908" s="44" t="s">
        <v>78</v>
      </c>
      <c r="E908" s="21">
        <v>14.5</v>
      </c>
      <c r="F908" s="21">
        <v>13</v>
      </c>
      <c r="G908" s="21">
        <f t="shared" ref="G908:G928" si="169">E908*F908</f>
        <v>188.5</v>
      </c>
      <c r="H908" s="238"/>
      <c r="I908" s="238"/>
      <c r="J908" s="238"/>
      <c r="K908" s="243"/>
      <c r="M908" s="236"/>
      <c r="N908" s="246"/>
      <c r="O908" s="44" t="s">
        <v>78</v>
      </c>
      <c r="P908" s="21">
        <v>14.5</v>
      </c>
      <c r="Q908" s="21">
        <v>13</v>
      </c>
      <c r="R908" s="21">
        <f t="shared" ref="R908:R915" si="170">P908*Q908</f>
        <v>188.5</v>
      </c>
      <c r="S908" s="238"/>
      <c r="T908" s="238"/>
      <c r="U908" s="238"/>
      <c r="V908" s="243"/>
    </row>
    <row r="909" spans="2:22" ht="13">
      <c r="B909" s="270"/>
      <c r="C909" s="244" t="s">
        <v>1055</v>
      </c>
      <c r="D909" s="15" t="s">
        <v>895</v>
      </c>
      <c r="E909" s="16">
        <v>4.75</v>
      </c>
      <c r="F909" s="17">
        <v>17</v>
      </c>
      <c r="G909" s="17">
        <f t="shared" si="169"/>
        <v>80.75</v>
      </c>
      <c r="H909" s="240">
        <f>SUM(G909:G915)</f>
        <v>608.54999999999995</v>
      </c>
      <c r="I909" s="240">
        <v>3375</v>
      </c>
      <c r="J909" s="240">
        <f>I909-H909</f>
        <v>2766.45</v>
      </c>
      <c r="K909" s="241">
        <f>J909/I909</f>
        <v>0.8196888888888888</v>
      </c>
      <c r="M909" s="236"/>
      <c r="N909" s="244" t="s">
        <v>1055</v>
      </c>
      <c r="O909" s="15" t="s">
        <v>895</v>
      </c>
      <c r="P909" s="16">
        <v>4.75</v>
      </c>
      <c r="Q909" s="17">
        <v>17</v>
      </c>
      <c r="R909" s="17">
        <f t="shared" si="170"/>
        <v>80.75</v>
      </c>
      <c r="S909" s="240">
        <f>SUM(R909:R915)</f>
        <v>608.54999999999995</v>
      </c>
      <c r="T909" s="240">
        <v>3375</v>
      </c>
      <c r="U909" s="240">
        <f>T909-S909</f>
        <v>2766.45</v>
      </c>
      <c r="V909" s="241">
        <f>U909/T909</f>
        <v>0.8196888888888888</v>
      </c>
    </row>
    <row r="910" spans="2:22" ht="13">
      <c r="B910" s="270"/>
      <c r="C910" s="245"/>
      <c r="D910" s="19" t="s">
        <v>1056</v>
      </c>
      <c r="E910" s="17">
        <v>6.9</v>
      </c>
      <c r="F910" s="17">
        <v>13</v>
      </c>
      <c r="G910" s="17">
        <f t="shared" si="169"/>
        <v>89.7</v>
      </c>
      <c r="H910" s="236"/>
      <c r="I910" s="236"/>
      <c r="J910" s="236"/>
      <c r="K910" s="242"/>
      <c r="M910" s="236"/>
      <c r="N910" s="245"/>
      <c r="O910" s="19" t="s">
        <v>1056</v>
      </c>
      <c r="P910" s="17">
        <v>6.9</v>
      </c>
      <c r="Q910" s="17">
        <v>13</v>
      </c>
      <c r="R910" s="17">
        <f t="shared" si="170"/>
        <v>89.7</v>
      </c>
      <c r="S910" s="236"/>
      <c r="T910" s="236"/>
      <c r="U910" s="236"/>
      <c r="V910" s="242"/>
    </row>
    <row r="911" spans="2:22" ht="13">
      <c r="B911" s="270"/>
      <c r="C911" s="245"/>
      <c r="D911" s="19" t="s">
        <v>989</v>
      </c>
      <c r="E911" s="17">
        <v>7</v>
      </c>
      <c r="F911" s="17">
        <v>13</v>
      </c>
      <c r="G911" s="17">
        <f t="shared" si="169"/>
        <v>91</v>
      </c>
      <c r="H911" s="236"/>
      <c r="I911" s="236"/>
      <c r="J911" s="236"/>
      <c r="K911" s="242"/>
      <c r="M911" s="236"/>
      <c r="N911" s="245"/>
      <c r="O911" s="19" t="s">
        <v>989</v>
      </c>
      <c r="P911" s="17">
        <v>7</v>
      </c>
      <c r="Q911" s="17">
        <v>13</v>
      </c>
      <c r="R911" s="17">
        <f t="shared" si="170"/>
        <v>91</v>
      </c>
      <c r="S911" s="236"/>
      <c r="T911" s="236"/>
      <c r="U911" s="236"/>
      <c r="V911" s="242"/>
    </row>
    <row r="912" spans="2:22" ht="13">
      <c r="B912" s="270"/>
      <c r="C912" s="245"/>
      <c r="D912" s="19" t="s">
        <v>1038</v>
      </c>
      <c r="E912" s="17">
        <v>5</v>
      </c>
      <c r="F912" s="17">
        <v>13</v>
      </c>
      <c r="G912" s="17">
        <f t="shared" si="169"/>
        <v>65</v>
      </c>
      <c r="H912" s="236"/>
      <c r="I912" s="236"/>
      <c r="J912" s="236"/>
      <c r="K912" s="242"/>
      <c r="M912" s="236"/>
      <c r="N912" s="245"/>
      <c r="O912" s="19" t="s">
        <v>1038</v>
      </c>
      <c r="P912" s="17">
        <v>5</v>
      </c>
      <c r="Q912" s="17">
        <v>13</v>
      </c>
      <c r="R912" s="17">
        <f t="shared" si="170"/>
        <v>65</v>
      </c>
      <c r="S912" s="236"/>
      <c r="T912" s="236"/>
      <c r="U912" s="236"/>
      <c r="V912" s="242"/>
    </row>
    <row r="913" spans="2:22" ht="13">
      <c r="B913" s="270"/>
      <c r="C913" s="245"/>
      <c r="D913" s="24" t="s">
        <v>463</v>
      </c>
      <c r="E913" s="17">
        <v>6.95</v>
      </c>
      <c r="F913" s="17">
        <v>13</v>
      </c>
      <c r="G913" s="17">
        <f t="shared" si="169"/>
        <v>90.350000000000009</v>
      </c>
      <c r="H913" s="236"/>
      <c r="I913" s="236"/>
      <c r="J913" s="236"/>
      <c r="K913" s="242"/>
      <c r="M913" s="236"/>
      <c r="N913" s="245"/>
      <c r="O913" s="24" t="s">
        <v>463</v>
      </c>
      <c r="P913" s="17">
        <v>6.95</v>
      </c>
      <c r="Q913" s="17">
        <v>13</v>
      </c>
      <c r="R913" s="17">
        <f t="shared" si="170"/>
        <v>90.350000000000009</v>
      </c>
      <c r="S913" s="236"/>
      <c r="T913" s="236"/>
      <c r="U913" s="236"/>
      <c r="V913" s="242"/>
    </row>
    <row r="914" spans="2:22" ht="13">
      <c r="B914" s="270"/>
      <c r="C914" s="245"/>
      <c r="D914" s="24" t="s">
        <v>990</v>
      </c>
      <c r="E914" s="17">
        <v>7</v>
      </c>
      <c r="F914" s="17">
        <v>13</v>
      </c>
      <c r="G914" s="17">
        <f t="shared" si="169"/>
        <v>91</v>
      </c>
      <c r="H914" s="236"/>
      <c r="I914" s="236"/>
      <c r="J914" s="236"/>
      <c r="K914" s="242"/>
      <c r="M914" s="236"/>
      <c r="N914" s="245"/>
      <c r="O914" s="24" t="s">
        <v>990</v>
      </c>
      <c r="P914" s="17">
        <v>7</v>
      </c>
      <c r="Q914" s="17">
        <v>13</v>
      </c>
      <c r="R914" s="17">
        <f t="shared" si="170"/>
        <v>91</v>
      </c>
      <c r="S914" s="236"/>
      <c r="T914" s="236"/>
      <c r="U914" s="236"/>
      <c r="V914" s="242"/>
    </row>
    <row r="915" spans="2:22" ht="13">
      <c r="B915" s="270"/>
      <c r="C915" s="246"/>
      <c r="D915" s="44" t="s">
        <v>917</v>
      </c>
      <c r="E915" s="21">
        <v>7.75</v>
      </c>
      <c r="F915" s="21">
        <v>13</v>
      </c>
      <c r="G915" s="21">
        <f t="shared" si="169"/>
        <v>100.75</v>
      </c>
      <c r="H915" s="238"/>
      <c r="I915" s="238"/>
      <c r="J915" s="238"/>
      <c r="K915" s="243"/>
      <c r="M915" s="236"/>
      <c r="N915" s="246"/>
      <c r="O915" s="44" t="s">
        <v>917</v>
      </c>
      <c r="P915" s="21">
        <v>7.75</v>
      </c>
      <c r="Q915" s="21">
        <v>13</v>
      </c>
      <c r="R915" s="21">
        <f t="shared" si="170"/>
        <v>100.75</v>
      </c>
      <c r="S915" s="238"/>
      <c r="T915" s="238"/>
      <c r="U915" s="238"/>
      <c r="V915" s="243"/>
    </row>
    <row r="916" spans="2:22" ht="13">
      <c r="B916" s="270"/>
      <c r="C916" s="306" t="s">
        <v>1057</v>
      </c>
      <c r="D916" s="15" t="s">
        <v>114</v>
      </c>
      <c r="E916" s="16">
        <v>14</v>
      </c>
      <c r="F916" s="17">
        <v>18</v>
      </c>
      <c r="G916" s="17">
        <f t="shared" si="169"/>
        <v>252</v>
      </c>
      <c r="H916" s="240">
        <f>SUM(G916:G927)</f>
        <v>1640.27</v>
      </c>
      <c r="I916" s="240">
        <v>6084.5</v>
      </c>
      <c r="J916" s="240">
        <f>I916-H916</f>
        <v>4444.2299999999996</v>
      </c>
      <c r="K916" s="241">
        <f>J916/I916</f>
        <v>0.73041827594707853</v>
      </c>
      <c r="M916" s="236"/>
      <c r="N916" s="306" t="s">
        <v>1057</v>
      </c>
      <c r="O916" s="15" t="s">
        <v>114</v>
      </c>
      <c r="P916" s="43"/>
      <c r="Q916" s="18"/>
      <c r="R916" s="18"/>
      <c r="S916" s="240">
        <f>SUM(R916:R927)</f>
        <v>1388.27</v>
      </c>
      <c r="T916" s="240">
        <v>6084.5</v>
      </c>
      <c r="U916" s="240">
        <f>T916-S916</f>
        <v>4696.2299999999996</v>
      </c>
      <c r="V916" s="241">
        <f>U916/T916</f>
        <v>0.77183499054975746</v>
      </c>
    </row>
    <row r="917" spans="2:22" ht="13">
      <c r="B917" s="270"/>
      <c r="C917" s="245"/>
      <c r="D917" s="19" t="s">
        <v>744</v>
      </c>
      <c r="E917" s="17">
        <v>9.44</v>
      </c>
      <c r="F917" s="17">
        <v>13</v>
      </c>
      <c r="G917" s="17">
        <f t="shared" si="169"/>
        <v>122.72</v>
      </c>
      <c r="H917" s="236"/>
      <c r="I917" s="236"/>
      <c r="J917" s="236"/>
      <c r="K917" s="242"/>
      <c r="M917" s="236"/>
      <c r="N917" s="245"/>
      <c r="O917" s="19" t="s">
        <v>744</v>
      </c>
      <c r="P917" s="17">
        <v>9.44</v>
      </c>
      <c r="Q917" s="17">
        <v>13</v>
      </c>
      <c r="R917" s="17">
        <f t="shared" ref="R917:R927" si="171">P917*Q917</f>
        <v>122.72</v>
      </c>
      <c r="S917" s="236"/>
      <c r="T917" s="236"/>
      <c r="U917" s="236"/>
      <c r="V917" s="242"/>
    </row>
    <row r="918" spans="2:22" ht="13">
      <c r="B918" s="270"/>
      <c r="C918" s="245"/>
      <c r="D918" s="19" t="s">
        <v>1056</v>
      </c>
      <c r="E918" s="17">
        <v>10.75</v>
      </c>
      <c r="F918" s="17">
        <v>13</v>
      </c>
      <c r="G918" s="17">
        <f t="shared" si="169"/>
        <v>139.75</v>
      </c>
      <c r="H918" s="236"/>
      <c r="I918" s="236"/>
      <c r="J918" s="236"/>
      <c r="K918" s="242"/>
      <c r="M918" s="236"/>
      <c r="N918" s="245"/>
      <c r="O918" s="19" t="s">
        <v>1056</v>
      </c>
      <c r="P918" s="17">
        <v>10.75</v>
      </c>
      <c r="Q918" s="17">
        <v>13</v>
      </c>
      <c r="R918" s="17">
        <f t="shared" si="171"/>
        <v>139.75</v>
      </c>
      <c r="S918" s="236"/>
      <c r="T918" s="236"/>
      <c r="U918" s="236"/>
      <c r="V918" s="242"/>
    </row>
    <row r="919" spans="2:22" ht="13">
      <c r="B919" s="270"/>
      <c r="C919" s="245"/>
      <c r="D919" s="19" t="s">
        <v>989</v>
      </c>
      <c r="E919" s="17">
        <v>10.85</v>
      </c>
      <c r="F919" s="17">
        <v>13</v>
      </c>
      <c r="G919" s="17">
        <f t="shared" si="169"/>
        <v>141.04999999999998</v>
      </c>
      <c r="H919" s="236"/>
      <c r="I919" s="236"/>
      <c r="J919" s="236"/>
      <c r="K919" s="242"/>
      <c r="M919" s="236"/>
      <c r="N919" s="245"/>
      <c r="O919" s="19" t="s">
        <v>989</v>
      </c>
      <c r="P919" s="17">
        <v>10.85</v>
      </c>
      <c r="Q919" s="17">
        <v>13</v>
      </c>
      <c r="R919" s="17">
        <f t="shared" si="171"/>
        <v>141.04999999999998</v>
      </c>
      <c r="S919" s="236"/>
      <c r="T919" s="236"/>
      <c r="U919" s="236"/>
      <c r="V919" s="242"/>
    </row>
    <row r="920" spans="2:22" ht="13">
      <c r="B920" s="270"/>
      <c r="C920" s="245"/>
      <c r="D920" s="19" t="s">
        <v>917</v>
      </c>
      <c r="E920" s="17">
        <v>6.05</v>
      </c>
      <c r="F920" s="17">
        <v>13</v>
      </c>
      <c r="G920" s="17">
        <f t="shared" si="169"/>
        <v>78.649999999999991</v>
      </c>
      <c r="H920" s="236"/>
      <c r="I920" s="236"/>
      <c r="J920" s="236"/>
      <c r="K920" s="242"/>
      <c r="M920" s="236"/>
      <c r="N920" s="245"/>
      <c r="O920" s="19" t="s">
        <v>917</v>
      </c>
      <c r="P920" s="17">
        <v>6.05</v>
      </c>
      <c r="Q920" s="17">
        <v>13</v>
      </c>
      <c r="R920" s="17">
        <f t="shared" si="171"/>
        <v>78.649999999999991</v>
      </c>
      <c r="S920" s="236"/>
      <c r="T920" s="236"/>
      <c r="U920" s="236"/>
      <c r="V920" s="242"/>
    </row>
    <row r="921" spans="2:22" ht="13">
      <c r="B921" s="270"/>
      <c r="C921" s="245"/>
      <c r="D921" s="19" t="s">
        <v>1031</v>
      </c>
      <c r="E921" s="17">
        <v>7.8</v>
      </c>
      <c r="F921" s="17">
        <v>13</v>
      </c>
      <c r="G921" s="17">
        <f t="shared" si="169"/>
        <v>101.39999999999999</v>
      </c>
      <c r="H921" s="236"/>
      <c r="I921" s="236"/>
      <c r="J921" s="236"/>
      <c r="K921" s="242"/>
      <c r="M921" s="236"/>
      <c r="N921" s="245"/>
      <c r="O921" s="19" t="s">
        <v>1031</v>
      </c>
      <c r="P921" s="17">
        <v>7.8</v>
      </c>
      <c r="Q921" s="17">
        <v>13</v>
      </c>
      <c r="R921" s="17">
        <f t="shared" si="171"/>
        <v>101.39999999999999</v>
      </c>
      <c r="S921" s="236"/>
      <c r="T921" s="236"/>
      <c r="U921" s="236"/>
      <c r="V921" s="242"/>
    </row>
    <row r="922" spans="2:22" ht="13">
      <c r="B922" s="270"/>
      <c r="C922" s="245"/>
      <c r="D922" s="24" t="s">
        <v>1058</v>
      </c>
      <c r="E922" s="17">
        <v>12.04</v>
      </c>
      <c r="F922" s="17">
        <v>13</v>
      </c>
      <c r="G922" s="17">
        <f t="shared" si="169"/>
        <v>156.51999999999998</v>
      </c>
      <c r="H922" s="236"/>
      <c r="I922" s="236"/>
      <c r="J922" s="236"/>
      <c r="K922" s="242"/>
      <c r="M922" s="236"/>
      <c r="N922" s="245"/>
      <c r="O922" s="24" t="s">
        <v>1058</v>
      </c>
      <c r="P922" s="17">
        <v>12.04</v>
      </c>
      <c r="Q922" s="17">
        <v>13</v>
      </c>
      <c r="R922" s="17">
        <f t="shared" si="171"/>
        <v>156.51999999999998</v>
      </c>
      <c r="S922" s="236"/>
      <c r="T922" s="236"/>
      <c r="U922" s="236"/>
      <c r="V922" s="242"/>
    </row>
    <row r="923" spans="2:22" ht="13">
      <c r="B923" s="270"/>
      <c r="C923" s="245"/>
      <c r="D923" s="24" t="s">
        <v>1038</v>
      </c>
      <c r="E923" s="17">
        <v>9.9</v>
      </c>
      <c r="F923" s="17">
        <v>13</v>
      </c>
      <c r="G923" s="17">
        <f t="shared" si="169"/>
        <v>128.70000000000002</v>
      </c>
      <c r="H923" s="236"/>
      <c r="I923" s="236"/>
      <c r="J923" s="236"/>
      <c r="K923" s="242"/>
      <c r="M923" s="236"/>
      <c r="N923" s="245"/>
      <c r="O923" s="24" t="s">
        <v>1038</v>
      </c>
      <c r="P923" s="17">
        <v>9.9</v>
      </c>
      <c r="Q923" s="17">
        <v>13</v>
      </c>
      <c r="R923" s="17">
        <f t="shared" si="171"/>
        <v>128.70000000000002</v>
      </c>
      <c r="S923" s="236"/>
      <c r="T923" s="236"/>
      <c r="U923" s="236"/>
      <c r="V923" s="242"/>
    </row>
    <row r="924" spans="2:22" ht="13">
      <c r="B924" s="270"/>
      <c r="C924" s="245"/>
      <c r="D924" s="24" t="s">
        <v>78</v>
      </c>
      <c r="E924" s="17">
        <v>12.9</v>
      </c>
      <c r="F924" s="17">
        <v>13</v>
      </c>
      <c r="G924" s="17">
        <f t="shared" si="169"/>
        <v>167.70000000000002</v>
      </c>
      <c r="H924" s="236"/>
      <c r="I924" s="236"/>
      <c r="J924" s="236"/>
      <c r="K924" s="242"/>
      <c r="M924" s="236"/>
      <c r="N924" s="245"/>
      <c r="O924" s="24" t="s">
        <v>78</v>
      </c>
      <c r="P924" s="17">
        <v>12.9</v>
      </c>
      <c r="Q924" s="17">
        <v>13</v>
      </c>
      <c r="R924" s="17">
        <f t="shared" si="171"/>
        <v>167.70000000000002</v>
      </c>
      <c r="S924" s="236"/>
      <c r="T924" s="236"/>
      <c r="U924" s="236"/>
      <c r="V924" s="242"/>
    </row>
    <row r="925" spans="2:22" ht="13">
      <c r="B925" s="270"/>
      <c r="C925" s="245"/>
      <c r="D925" s="24" t="s">
        <v>895</v>
      </c>
      <c r="E925" s="17">
        <v>5.6</v>
      </c>
      <c r="F925" s="17">
        <v>13</v>
      </c>
      <c r="G925" s="17">
        <f t="shared" si="169"/>
        <v>72.8</v>
      </c>
      <c r="H925" s="236"/>
      <c r="I925" s="236"/>
      <c r="J925" s="236"/>
      <c r="K925" s="242"/>
      <c r="M925" s="236"/>
      <c r="N925" s="245"/>
      <c r="O925" s="24" t="s">
        <v>895</v>
      </c>
      <c r="P925" s="17">
        <v>5.6</v>
      </c>
      <c r="Q925" s="17">
        <v>13</v>
      </c>
      <c r="R925" s="17">
        <f t="shared" si="171"/>
        <v>72.8</v>
      </c>
      <c r="S925" s="236"/>
      <c r="T925" s="236"/>
      <c r="U925" s="236"/>
      <c r="V925" s="242"/>
    </row>
    <row r="926" spans="2:22" ht="13">
      <c r="B926" s="270"/>
      <c r="C926" s="245"/>
      <c r="D926" s="24" t="s">
        <v>990</v>
      </c>
      <c r="E926" s="17">
        <v>14.46</v>
      </c>
      <c r="F926" s="17">
        <v>13</v>
      </c>
      <c r="G926" s="17">
        <f t="shared" si="169"/>
        <v>187.98000000000002</v>
      </c>
      <c r="H926" s="236"/>
      <c r="I926" s="236"/>
      <c r="J926" s="236"/>
      <c r="K926" s="242"/>
      <c r="M926" s="236"/>
      <c r="N926" s="245"/>
      <c r="O926" s="24" t="s">
        <v>990</v>
      </c>
      <c r="P926" s="17">
        <v>14.46</v>
      </c>
      <c r="Q926" s="17">
        <v>13</v>
      </c>
      <c r="R926" s="17">
        <f t="shared" si="171"/>
        <v>187.98000000000002</v>
      </c>
      <c r="S926" s="236"/>
      <c r="T926" s="236"/>
      <c r="U926" s="236"/>
      <c r="V926" s="242"/>
    </row>
    <row r="927" spans="2:22" ht="13">
      <c r="B927" s="270"/>
      <c r="C927" s="246"/>
      <c r="D927" s="44" t="s">
        <v>70</v>
      </c>
      <c r="E927" s="21">
        <v>7</v>
      </c>
      <c r="F927" s="21">
        <v>13</v>
      </c>
      <c r="G927" s="21">
        <f t="shared" si="169"/>
        <v>91</v>
      </c>
      <c r="H927" s="238"/>
      <c r="I927" s="238"/>
      <c r="J927" s="238"/>
      <c r="K927" s="243"/>
      <c r="M927" s="236"/>
      <c r="N927" s="246"/>
      <c r="O927" s="44" t="s">
        <v>70</v>
      </c>
      <c r="P927" s="21">
        <v>7</v>
      </c>
      <c r="Q927" s="21">
        <v>13</v>
      </c>
      <c r="R927" s="21">
        <f t="shared" si="171"/>
        <v>91</v>
      </c>
      <c r="S927" s="238"/>
      <c r="T927" s="238"/>
      <c r="U927" s="238"/>
      <c r="V927" s="243"/>
    </row>
    <row r="928" spans="2:22" ht="13">
      <c r="B928" s="270"/>
      <c r="C928" s="244" t="s">
        <v>1059</v>
      </c>
      <c r="D928" s="15" t="s">
        <v>87</v>
      </c>
      <c r="E928" s="16">
        <v>3</v>
      </c>
      <c r="F928" s="17">
        <v>25</v>
      </c>
      <c r="G928" s="17">
        <f t="shared" si="169"/>
        <v>75</v>
      </c>
      <c r="H928" s="240">
        <f>SUM(G928:G931)</f>
        <v>427.19</v>
      </c>
      <c r="I928" s="240">
        <v>2808</v>
      </c>
      <c r="J928" s="240">
        <f>I928-H928</f>
        <v>2380.81</v>
      </c>
      <c r="K928" s="241">
        <f>J928/I928</f>
        <v>0.84786680911680912</v>
      </c>
      <c r="M928" s="236"/>
      <c r="N928" s="244" t="s">
        <v>1059</v>
      </c>
      <c r="O928" s="15" t="s">
        <v>87</v>
      </c>
      <c r="P928" s="43"/>
      <c r="Q928" s="18"/>
      <c r="R928" s="18"/>
      <c r="S928" s="240">
        <f>SUM(R928:R931)</f>
        <v>352.19</v>
      </c>
      <c r="T928" s="240">
        <v>2808</v>
      </c>
      <c r="U928" s="240">
        <f>T928-S928</f>
        <v>2455.81</v>
      </c>
      <c r="V928" s="241">
        <f>U928/T928</f>
        <v>0.87457621082621084</v>
      </c>
    </row>
    <row r="929" spans="2:22" ht="13">
      <c r="B929" s="270"/>
      <c r="C929" s="245"/>
      <c r="D929" s="19" t="s">
        <v>1060</v>
      </c>
      <c r="E929" s="17"/>
      <c r="F929" s="17"/>
      <c r="G929" s="17">
        <v>181.52</v>
      </c>
      <c r="H929" s="236"/>
      <c r="I929" s="236"/>
      <c r="J929" s="236"/>
      <c r="K929" s="242"/>
      <c r="M929" s="236"/>
      <c r="N929" s="245"/>
      <c r="O929" s="19" t="s">
        <v>1060</v>
      </c>
      <c r="P929" s="17"/>
      <c r="Q929" s="17"/>
      <c r="R929" s="17">
        <v>181.52</v>
      </c>
      <c r="S929" s="236"/>
      <c r="T929" s="236"/>
      <c r="U929" s="236"/>
      <c r="V929" s="242"/>
    </row>
    <row r="930" spans="2:22" ht="13">
      <c r="B930" s="270"/>
      <c r="C930" s="245"/>
      <c r="D930" s="19" t="s">
        <v>188</v>
      </c>
      <c r="E930" s="17"/>
      <c r="F930" s="17"/>
      <c r="G930" s="17">
        <v>61.67</v>
      </c>
      <c r="H930" s="236"/>
      <c r="I930" s="236"/>
      <c r="J930" s="236"/>
      <c r="K930" s="242"/>
      <c r="M930" s="236"/>
      <c r="N930" s="245"/>
      <c r="O930" s="19" t="s">
        <v>188</v>
      </c>
      <c r="P930" s="17"/>
      <c r="Q930" s="17"/>
      <c r="R930" s="17">
        <v>61.67</v>
      </c>
      <c r="S930" s="236"/>
      <c r="T930" s="236"/>
      <c r="U930" s="236"/>
      <c r="V930" s="242"/>
    </row>
    <row r="931" spans="2:22" ht="13">
      <c r="B931" s="270"/>
      <c r="C931" s="246"/>
      <c r="D931" s="44" t="s">
        <v>1061</v>
      </c>
      <c r="E931" s="21"/>
      <c r="F931" s="21"/>
      <c r="G931" s="21">
        <v>109</v>
      </c>
      <c r="H931" s="238"/>
      <c r="I931" s="238"/>
      <c r="J931" s="238"/>
      <c r="K931" s="243"/>
      <c r="M931" s="236"/>
      <c r="N931" s="246"/>
      <c r="O931" s="44" t="s">
        <v>1061</v>
      </c>
      <c r="P931" s="21"/>
      <c r="Q931" s="21"/>
      <c r="R931" s="21">
        <v>109</v>
      </c>
      <c r="S931" s="238"/>
      <c r="T931" s="238"/>
      <c r="U931" s="238"/>
      <c r="V931" s="243"/>
    </row>
    <row r="932" spans="2:22" ht="13">
      <c r="B932" s="270"/>
      <c r="C932" s="306" t="s">
        <v>1062</v>
      </c>
      <c r="D932" s="15" t="s">
        <v>114</v>
      </c>
      <c r="E932" s="16">
        <v>14</v>
      </c>
      <c r="F932" s="17">
        <v>18</v>
      </c>
      <c r="G932" s="17">
        <f t="shared" ref="G932:G943" si="172">E932*F932</f>
        <v>252</v>
      </c>
      <c r="H932" s="240">
        <f>SUM(G932:G944)</f>
        <v>2148.54</v>
      </c>
      <c r="I932" s="240">
        <v>6000.5</v>
      </c>
      <c r="J932" s="240">
        <f>I932-H932</f>
        <v>3851.96</v>
      </c>
      <c r="K932" s="241">
        <f>J932/I932</f>
        <v>0.64193983834680446</v>
      </c>
      <c r="M932" s="236"/>
      <c r="N932" s="306" t="s">
        <v>1062</v>
      </c>
      <c r="O932" s="15" t="s">
        <v>114</v>
      </c>
      <c r="P932" s="43"/>
      <c r="Q932" s="18"/>
      <c r="R932" s="18"/>
      <c r="S932" s="240">
        <f>SUM(R932:R944)</f>
        <v>1896.54</v>
      </c>
      <c r="T932" s="240">
        <v>6000.5</v>
      </c>
      <c r="U932" s="240">
        <f>T932-S932</f>
        <v>4103.96</v>
      </c>
      <c r="V932" s="241">
        <f>U932/T932</f>
        <v>0.68393633863844683</v>
      </c>
    </row>
    <row r="933" spans="2:22" ht="13">
      <c r="B933" s="270"/>
      <c r="C933" s="245"/>
      <c r="D933" s="19" t="s">
        <v>744</v>
      </c>
      <c r="E933" s="17">
        <v>10.25</v>
      </c>
      <c r="F933" s="17">
        <v>13</v>
      </c>
      <c r="G933" s="17">
        <f t="shared" si="172"/>
        <v>133.25</v>
      </c>
      <c r="H933" s="236"/>
      <c r="I933" s="236"/>
      <c r="J933" s="236"/>
      <c r="K933" s="242"/>
      <c r="M933" s="236"/>
      <c r="N933" s="245"/>
      <c r="O933" s="19" t="s">
        <v>744</v>
      </c>
      <c r="P933" s="17">
        <v>10.25</v>
      </c>
      <c r="Q933" s="17">
        <v>13</v>
      </c>
      <c r="R933" s="17">
        <f t="shared" ref="R933:R943" si="173">P933*Q933</f>
        <v>133.25</v>
      </c>
      <c r="S933" s="236"/>
      <c r="T933" s="236"/>
      <c r="U933" s="236"/>
      <c r="V933" s="242"/>
    </row>
    <row r="934" spans="2:22" ht="13">
      <c r="B934" s="270"/>
      <c r="C934" s="245"/>
      <c r="D934" s="19" t="s">
        <v>1035</v>
      </c>
      <c r="E934" s="17">
        <v>10.92</v>
      </c>
      <c r="F934" s="17">
        <v>13</v>
      </c>
      <c r="G934" s="17">
        <f t="shared" si="172"/>
        <v>141.96</v>
      </c>
      <c r="H934" s="236"/>
      <c r="I934" s="236"/>
      <c r="J934" s="236"/>
      <c r="K934" s="242"/>
      <c r="M934" s="236"/>
      <c r="N934" s="245"/>
      <c r="O934" s="19" t="s">
        <v>1035</v>
      </c>
      <c r="P934" s="17">
        <v>10.92</v>
      </c>
      <c r="Q934" s="17">
        <v>13</v>
      </c>
      <c r="R934" s="17">
        <f t="shared" si="173"/>
        <v>141.96</v>
      </c>
      <c r="S934" s="236"/>
      <c r="T934" s="236"/>
      <c r="U934" s="236"/>
      <c r="V934" s="242"/>
    </row>
    <row r="935" spans="2:22" ht="13">
      <c r="B935" s="270"/>
      <c r="C935" s="245"/>
      <c r="D935" s="19" t="s">
        <v>1056</v>
      </c>
      <c r="E935" s="17">
        <v>11</v>
      </c>
      <c r="F935" s="17">
        <v>13</v>
      </c>
      <c r="G935" s="17">
        <f t="shared" si="172"/>
        <v>143</v>
      </c>
      <c r="H935" s="236"/>
      <c r="I935" s="236"/>
      <c r="J935" s="236"/>
      <c r="K935" s="242"/>
      <c r="M935" s="236"/>
      <c r="N935" s="245"/>
      <c r="O935" s="19" t="s">
        <v>1056</v>
      </c>
      <c r="P935" s="17">
        <v>11</v>
      </c>
      <c r="Q935" s="17">
        <v>13</v>
      </c>
      <c r="R935" s="17">
        <f t="shared" si="173"/>
        <v>143</v>
      </c>
      <c r="S935" s="236"/>
      <c r="T935" s="236"/>
      <c r="U935" s="236"/>
      <c r="V935" s="242"/>
    </row>
    <row r="936" spans="2:22" ht="13">
      <c r="B936" s="270"/>
      <c r="C936" s="245"/>
      <c r="D936" s="19" t="s">
        <v>989</v>
      </c>
      <c r="E936" s="17">
        <v>11.06</v>
      </c>
      <c r="F936" s="17">
        <v>13</v>
      </c>
      <c r="G936" s="17">
        <f t="shared" si="172"/>
        <v>143.78</v>
      </c>
      <c r="H936" s="236"/>
      <c r="I936" s="236"/>
      <c r="J936" s="236"/>
      <c r="K936" s="242"/>
      <c r="M936" s="236"/>
      <c r="N936" s="245"/>
      <c r="O936" s="19" t="s">
        <v>989</v>
      </c>
      <c r="P936" s="17">
        <v>11.06</v>
      </c>
      <c r="Q936" s="17">
        <v>13</v>
      </c>
      <c r="R936" s="17">
        <f t="shared" si="173"/>
        <v>143.78</v>
      </c>
      <c r="S936" s="236"/>
      <c r="T936" s="236"/>
      <c r="U936" s="236"/>
      <c r="V936" s="242"/>
    </row>
    <row r="937" spans="2:22" ht="13">
      <c r="B937" s="270"/>
      <c r="C937" s="245"/>
      <c r="D937" s="19" t="s">
        <v>917</v>
      </c>
      <c r="E937" s="17">
        <v>10.08</v>
      </c>
      <c r="F937" s="17">
        <v>13</v>
      </c>
      <c r="G937" s="17">
        <f t="shared" si="172"/>
        <v>131.04</v>
      </c>
      <c r="H937" s="236"/>
      <c r="I937" s="236"/>
      <c r="J937" s="236"/>
      <c r="K937" s="242"/>
      <c r="M937" s="236"/>
      <c r="N937" s="245"/>
      <c r="O937" s="19" t="s">
        <v>917</v>
      </c>
      <c r="P937" s="17">
        <v>10.08</v>
      </c>
      <c r="Q937" s="17">
        <v>13</v>
      </c>
      <c r="R937" s="17">
        <f t="shared" si="173"/>
        <v>131.04</v>
      </c>
      <c r="S937" s="236"/>
      <c r="T937" s="236"/>
      <c r="U937" s="236"/>
      <c r="V937" s="242"/>
    </row>
    <row r="938" spans="2:22" ht="13">
      <c r="B938" s="270"/>
      <c r="C938" s="245"/>
      <c r="D938" s="19" t="s">
        <v>1031</v>
      </c>
      <c r="E938" s="17">
        <v>3.7</v>
      </c>
      <c r="F938" s="17">
        <v>13</v>
      </c>
      <c r="G938" s="17">
        <f t="shared" si="172"/>
        <v>48.1</v>
      </c>
      <c r="H938" s="236"/>
      <c r="I938" s="236"/>
      <c r="J938" s="236"/>
      <c r="K938" s="242"/>
      <c r="M938" s="236"/>
      <c r="N938" s="245"/>
      <c r="O938" s="19" t="s">
        <v>1031</v>
      </c>
      <c r="P938" s="17">
        <v>3.7</v>
      </c>
      <c r="Q938" s="17">
        <v>13</v>
      </c>
      <c r="R938" s="17">
        <f t="shared" si="173"/>
        <v>48.1</v>
      </c>
      <c r="S938" s="236"/>
      <c r="T938" s="236"/>
      <c r="U938" s="236"/>
      <c r="V938" s="242"/>
    </row>
    <row r="939" spans="2:22" ht="13">
      <c r="B939" s="270"/>
      <c r="C939" s="245"/>
      <c r="D939" s="24" t="s">
        <v>1038</v>
      </c>
      <c r="E939" s="17">
        <v>9.56</v>
      </c>
      <c r="F939" s="17">
        <v>13</v>
      </c>
      <c r="G939" s="17">
        <f t="shared" si="172"/>
        <v>124.28</v>
      </c>
      <c r="H939" s="236"/>
      <c r="I939" s="236"/>
      <c r="J939" s="236"/>
      <c r="K939" s="242"/>
      <c r="M939" s="236"/>
      <c r="N939" s="245"/>
      <c r="O939" s="24" t="s">
        <v>1038</v>
      </c>
      <c r="P939" s="17">
        <v>9.56</v>
      </c>
      <c r="Q939" s="17">
        <v>13</v>
      </c>
      <c r="R939" s="17">
        <f t="shared" si="173"/>
        <v>124.28</v>
      </c>
      <c r="S939" s="236"/>
      <c r="T939" s="236"/>
      <c r="U939" s="236"/>
      <c r="V939" s="242"/>
    </row>
    <row r="940" spans="2:22" ht="13">
      <c r="B940" s="270"/>
      <c r="C940" s="245"/>
      <c r="D940" s="24" t="s">
        <v>78</v>
      </c>
      <c r="E940" s="17">
        <v>15.1</v>
      </c>
      <c r="F940" s="17">
        <v>13</v>
      </c>
      <c r="G940" s="17">
        <f t="shared" si="172"/>
        <v>196.29999999999998</v>
      </c>
      <c r="H940" s="236"/>
      <c r="I940" s="236"/>
      <c r="J940" s="236"/>
      <c r="K940" s="242"/>
      <c r="M940" s="236"/>
      <c r="N940" s="245"/>
      <c r="O940" s="24" t="s">
        <v>78</v>
      </c>
      <c r="P940" s="17">
        <v>15.1</v>
      </c>
      <c r="Q940" s="17">
        <v>13</v>
      </c>
      <c r="R940" s="17">
        <f t="shared" si="173"/>
        <v>196.29999999999998</v>
      </c>
      <c r="S940" s="236"/>
      <c r="T940" s="236"/>
      <c r="U940" s="236"/>
      <c r="V940" s="242"/>
    </row>
    <row r="941" spans="2:22" ht="13">
      <c r="B941" s="270"/>
      <c r="C941" s="245"/>
      <c r="D941" s="24" t="s">
        <v>895</v>
      </c>
      <c r="E941" s="17">
        <v>14.3</v>
      </c>
      <c r="F941" s="17">
        <v>17</v>
      </c>
      <c r="G941" s="17">
        <f t="shared" si="172"/>
        <v>243.10000000000002</v>
      </c>
      <c r="H941" s="236"/>
      <c r="I941" s="236"/>
      <c r="J941" s="236"/>
      <c r="K941" s="242"/>
      <c r="M941" s="236"/>
      <c r="N941" s="245"/>
      <c r="O941" s="24" t="s">
        <v>895</v>
      </c>
      <c r="P941" s="17">
        <v>14.3</v>
      </c>
      <c r="Q941" s="17">
        <v>17</v>
      </c>
      <c r="R941" s="17">
        <f t="shared" si="173"/>
        <v>243.10000000000002</v>
      </c>
      <c r="S941" s="236"/>
      <c r="T941" s="236"/>
      <c r="U941" s="236"/>
      <c r="V941" s="242"/>
    </row>
    <row r="942" spans="2:22" ht="13">
      <c r="B942" s="270"/>
      <c r="C942" s="245"/>
      <c r="D942" s="24" t="s">
        <v>990</v>
      </c>
      <c r="E942" s="17">
        <v>15</v>
      </c>
      <c r="F942" s="17">
        <v>13</v>
      </c>
      <c r="G942" s="17">
        <f t="shared" si="172"/>
        <v>195</v>
      </c>
      <c r="H942" s="236"/>
      <c r="I942" s="236"/>
      <c r="J942" s="236"/>
      <c r="K942" s="242"/>
      <c r="M942" s="236"/>
      <c r="N942" s="245"/>
      <c r="O942" s="24" t="s">
        <v>990</v>
      </c>
      <c r="P942" s="17">
        <v>15</v>
      </c>
      <c r="Q942" s="17">
        <v>13</v>
      </c>
      <c r="R942" s="17">
        <f t="shared" si="173"/>
        <v>195</v>
      </c>
      <c r="S942" s="236"/>
      <c r="T942" s="236"/>
      <c r="U942" s="236"/>
      <c r="V942" s="242"/>
    </row>
    <row r="943" spans="2:22" ht="13">
      <c r="B943" s="270"/>
      <c r="C943" s="245"/>
      <c r="D943" s="24" t="s">
        <v>70</v>
      </c>
      <c r="E943" s="17">
        <v>10.6</v>
      </c>
      <c r="F943" s="17">
        <v>13</v>
      </c>
      <c r="G943" s="17">
        <f t="shared" si="172"/>
        <v>137.79999999999998</v>
      </c>
      <c r="H943" s="236"/>
      <c r="I943" s="236"/>
      <c r="J943" s="236"/>
      <c r="K943" s="242"/>
      <c r="M943" s="236"/>
      <c r="N943" s="245"/>
      <c r="O943" s="24" t="s">
        <v>70</v>
      </c>
      <c r="P943" s="17">
        <v>10.6</v>
      </c>
      <c r="Q943" s="17">
        <v>13</v>
      </c>
      <c r="R943" s="17">
        <f t="shared" si="173"/>
        <v>137.79999999999998</v>
      </c>
      <c r="S943" s="236"/>
      <c r="T943" s="236"/>
      <c r="U943" s="236"/>
      <c r="V943" s="242"/>
    </row>
    <row r="944" spans="2:22" ht="13">
      <c r="B944" s="270"/>
      <c r="C944" s="246"/>
      <c r="D944" s="44" t="s">
        <v>33</v>
      </c>
      <c r="E944" s="21"/>
      <c r="F944" s="21"/>
      <c r="G944" s="21">
        <v>258.93</v>
      </c>
      <c r="H944" s="238"/>
      <c r="I944" s="238"/>
      <c r="J944" s="238"/>
      <c r="K944" s="243"/>
      <c r="M944" s="236"/>
      <c r="N944" s="246"/>
      <c r="O944" s="44" t="s">
        <v>33</v>
      </c>
      <c r="P944" s="21"/>
      <c r="Q944" s="21"/>
      <c r="R944" s="21">
        <v>258.93</v>
      </c>
      <c r="S944" s="238"/>
      <c r="T944" s="238"/>
      <c r="U944" s="238"/>
      <c r="V944" s="243"/>
    </row>
    <row r="945" spans="2:22" ht="13">
      <c r="B945" s="270"/>
      <c r="C945" s="244" t="s">
        <v>1063</v>
      </c>
      <c r="D945" s="15" t="s">
        <v>114</v>
      </c>
      <c r="E945" s="16">
        <v>3.5</v>
      </c>
      <c r="F945" s="17">
        <v>18</v>
      </c>
      <c r="G945" s="17">
        <f>E945*F945</f>
        <v>63</v>
      </c>
      <c r="H945" s="240">
        <f>SUM(G945:G946)</f>
        <v>149.94999999999999</v>
      </c>
      <c r="I945" s="240">
        <v>1792.5</v>
      </c>
      <c r="J945" s="240">
        <f>I945-H945</f>
        <v>1642.55</v>
      </c>
      <c r="K945" s="241">
        <f>J945/I945</f>
        <v>0.91634588563458852</v>
      </c>
      <c r="M945" s="236"/>
      <c r="N945" s="244" t="s">
        <v>1063</v>
      </c>
      <c r="O945" s="15" t="s">
        <v>114</v>
      </c>
      <c r="P945" s="43"/>
      <c r="Q945" s="18"/>
      <c r="R945" s="18"/>
      <c r="S945" s="240">
        <f>SUM(R945:R946)</f>
        <v>86.95</v>
      </c>
      <c r="T945" s="240">
        <v>1792.5</v>
      </c>
      <c r="U945" s="240">
        <f>T945-S945</f>
        <v>1705.55</v>
      </c>
      <c r="V945" s="241">
        <f>U945/T945</f>
        <v>0.95149232914923287</v>
      </c>
    </row>
    <row r="946" spans="2:22" ht="13">
      <c r="B946" s="270"/>
      <c r="C946" s="246"/>
      <c r="D946" s="44" t="s">
        <v>33</v>
      </c>
      <c r="E946" s="21"/>
      <c r="F946" s="21"/>
      <c r="G946" s="21">
        <v>86.95</v>
      </c>
      <c r="H946" s="238"/>
      <c r="I946" s="238"/>
      <c r="J946" s="238"/>
      <c r="K946" s="243"/>
      <c r="M946" s="236"/>
      <c r="N946" s="246"/>
      <c r="O946" s="44" t="s">
        <v>33</v>
      </c>
      <c r="P946" s="21"/>
      <c r="Q946" s="21"/>
      <c r="R946" s="21">
        <v>86.95</v>
      </c>
      <c r="S946" s="238"/>
      <c r="T946" s="238"/>
      <c r="U946" s="238"/>
      <c r="V946" s="243"/>
    </row>
    <row r="947" spans="2:22" ht="13">
      <c r="B947" s="270"/>
      <c r="C947" s="244" t="s">
        <v>1064</v>
      </c>
      <c r="D947" s="15" t="s">
        <v>114</v>
      </c>
      <c r="E947" s="16">
        <v>3.5</v>
      </c>
      <c r="F947" s="17">
        <v>18</v>
      </c>
      <c r="G947" s="17">
        <f t="shared" ref="G947:G948" si="174">E947*F947</f>
        <v>63</v>
      </c>
      <c r="H947" s="240">
        <f>SUM(G947:G955)</f>
        <v>636.28</v>
      </c>
      <c r="I947" s="240">
        <v>2797.5</v>
      </c>
      <c r="J947" s="240">
        <f>I947-H947</f>
        <v>2161.2200000000003</v>
      </c>
      <c r="K947" s="241">
        <f>J947/I947</f>
        <v>0.77255406613047373</v>
      </c>
      <c r="M947" s="236"/>
      <c r="N947" s="244" t="s">
        <v>1064</v>
      </c>
      <c r="O947" s="15" t="s">
        <v>114</v>
      </c>
      <c r="P947" s="43"/>
      <c r="Q947" s="18"/>
      <c r="R947" s="18"/>
      <c r="S947" s="240">
        <f>SUM(R947:R955)</f>
        <v>485.78</v>
      </c>
      <c r="T947" s="240">
        <v>2797.5</v>
      </c>
      <c r="U947" s="240">
        <f>T947-S947</f>
        <v>2311.7200000000003</v>
      </c>
      <c r="V947" s="241">
        <f>U947/T947</f>
        <v>0.82635210008936555</v>
      </c>
    </row>
    <row r="948" spans="2:22" ht="13">
      <c r="B948" s="270"/>
      <c r="C948" s="245"/>
      <c r="D948" s="19" t="s">
        <v>740</v>
      </c>
      <c r="E948" s="17">
        <v>3.5</v>
      </c>
      <c r="F948" s="17">
        <v>25</v>
      </c>
      <c r="G948" s="17">
        <f t="shared" si="174"/>
        <v>87.5</v>
      </c>
      <c r="H948" s="236"/>
      <c r="I948" s="236"/>
      <c r="J948" s="236"/>
      <c r="K948" s="242"/>
      <c r="M948" s="236"/>
      <c r="N948" s="245"/>
      <c r="O948" s="19" t="s">
        <v>740</v>
      </c>
      <c r="P948" s="18"/>
      <c r="Q948" s="18"/>
      <c r="R948" s="18"/>
      <c r="S948" s="236"/>
      <c r="T948" s="236"/>
      <c r="U948" s="236"/>
      <c r="V948" s="242"/>
    </row>
    <row r="949" spans="2:22" ht="13">
      <c r="B949" s="270"/>
      <c r="C949" s="245"/>
      <c r="D949" s="19" t="s">
        <v>744</v>
      </c>
      <c r="E949" s="17"/>
      <c r="F949" s="17"/>
      <c r="G949" s="17">
        <v>50</v>
      </c>
      <c r="H949" s="236"/>
      <c r="I949" s="236"/>
      <c r="J949" s="236"/>
      <c r="K949" s="242"/>
      <c r="M949" s="236"/>
      <c r="N949" s="245"/>
      <c r="O949" s="19" t="s">
        <v>744</v>
      </c>
      <c r="P949" s="17"/>
      <c r="Q949" s="17"/>
      <c r="R949" s="17">
        <v>50</v>
      </c>
      <c r="S949" s="236"/>
      <c r="T949" s="236"/>
      <c r="U949" s="236"/>
      <c r="V949" s="242"/>
    </row>
    <row r="950" spans="2:22" ht="13">
      <c r="B950" s="270"/>
      <c r="C950" s="245"/>
      <c r="D950" s="19" t="s">
        <v>1065</v>
      </c>
      <c r="E950" s="17"/>
      <c r="F950" s="17"/>
      <c r="G950" s="17">
        <v>50</v>
      </c>
      <c r="H950" s="236"/>
      <c r="I950" s="236"/>
      <c r="J950" s="236"/>
      <c r="K950" s="242"/>
      <c r="M950" s="236"/>
      <c r="N950" s="245"/>
      <c r="O950" s="19" t="s">
        <v>1065</v>
      </c>
      <c r="P950" s="17"/>
      <c r="Q950" s="17"/>
      <c r="R950" s="17">
        <v>50</v>
      </c>
      <c r="S950" s="236"/>
      <c r="T950" s="236"/>
      <c r="U950" s="236"/>
      <c r="V950" s="242"/>
    </row>
    <row r="951" spans="2:22" ht="13">
      <c r="B951" s="270"/>
      <c r="C951" s="245"/>
      <c r="D951" s="24" t="s">
        <v>1066</v>
      </c>
      <c r="E951" s="17"/>
      <c r="F951" s="17"/>
      <c r="G951" s="17">
        <v>60</v>
      </c>
      <c r="H951" s="236"/>
      <c r="I951" s="236"/>
      <c r="J951" s="236"/>
      <c r="K951" s="242"/>
      <c r="M951" s="236"/>
      <c r="N951" s="245"/>
      <c r="O951" s="24" t="s">
        <v>1066</v>
      </c>
      <c r="P951" s="17"/>
      <c r="Q951" s="17"/>
      <c r="R951" s="17">
        <v>60</v>
      </c>
      <c r="S951" s="236"/>
      <c r="T951" s="236"/>
      <c r="U951" s="236"/>
      <c r="V951" s="242"/>
    </row>
    <row r="952" spans="2:22" ht="13">
      <c r="B952" s="270"/>
      <c r="C952" s="245"/>
      <c r="D952" s="24" t="s">
        <v>1067</v>
      </c>
      <c r="E952" s="17"/>
      <c r="F952" s="17"/>
      <c r="G952" s="17">
        <v>50</v>
      </c>
      <c r="H952" s="236"/>
      <c r="I952" s="236"/>
      <c r="J952" s="236"/>
      <c r="K952" s="242"/>
      <c r="M952" s="236"/>
      <c r="N952" s="245"/>
      <c r="O952" s="24" t="s">
        <v>1067</v>
      </c>
      <c r="P952" s="17"/>
      <c r="Q952" s="17"/>
      <c r="R952" s="17">
        <v>50</v>
      </c>
      <c r="S952" s="236"/>
      <c r="T952" s="236"/>
      <c r="U952" s="236"/>
      <c r="V952" s="242"/>
    </row>
    <row r="953" spans="2:22" ht="13">
      <c r="B953" s="270"/>
      <c r="C953" s="245"/>
      <c r="D953" s="24" t="s">
        <v>1068</v>
      </c>
      <c r="E953" s="17"/>
      <c r="F953" s="17"/>
      <c r="G953" s="17">
        <v>46.65</v>
      </c>
      <c r="H953" s="236"/>
      <c r="I953" s="236"/>
      <c r="J953" s="236"/>
      <c r="K953" s="242"/>
      <c r="M953" s="236"/>
      <c r="N953" s="245"/>
      <c r="O953" s="24" t="s">
        <v>1068</v>
      </c>
      <c r="P953" s="17"/>
      <c r="Q953" s="17"/>
      <c r="R953" s="17">
        <v>46.65</v>
      </c>
      <c r="S953" s="236"/>
      <c r="T953" s="236"/>
      <c r="U953" s="236"/>
      <c r="V953" s="242"/>
    </row>
    <row r="954" spans="2:22" ht="13">
      <c r="B954" s="270"/>
      <c r="C954" s="245"/>
      <c r="D954" s="24" t="s">
        <v>1069</v>
      </c>
      <c r="E954" s="17"/>
      <c r="F954" s="17"/>
      <c r="G954" s="17">
        <v>49.13</v>
      </c>
      <c r="H954" s="236"/>
      <c r="I954" s="236"/>
      <c r="J954" s="236"/>
      <c r="K954" s="242"/>
      <c r="M954" s="236"/>
      <c r="N954" s="245"/>
      <c r="O954" s="24" t="s">
        <v>1069</v>
      </c>
      <c r="P954" s="17"/>
      <c r="Q954" s="17"/>
      <c r="R954" s="17">
        <v>49.13</v>
      </c>
      <c r="S954" s="236"/>
      <c r="T954" s="236"/>
      <c r="U954" s="236"/>
      <c r="V954" s="242"/>
    </row>
    <row r="955" spans="2:22" ht="13">
      <c r="B955" s="270"/>
      <c r="C955" s="246"/>
      <c r="D955" s="44" t="s">
        <v>748</v>
      </c>
      <c r="E955" s="21"/>
      <c r="F955" s="21"/>
      <c r="G955" s="21">
        <v>180</v>
      </c>
      <c r="H955" s="238"/>
      <c r="I955" s="238"/>
      <c r="J955" s="238"/>
      <c r="K955" s="243"/>
      <c r="M955" s="236"/>
      <c r="N955" s="246"/>
      <c r="O955" s="44" t="s">
        <v>748</v>
      </c>
      <c r="P955" s="21"/>
      <c r="Q955" s="21"/>
      <c r="R955" s="21">
        <v>180</v>
      </c>
      <c r="S955" s="238"/>
      <c r="T955" s="238"/>
      <c r="U955" s="238"/>
      <c r="V955" s="243"/>
    </row>
    <row r="956" spans="2:22" ht="13">
      <c r="B956" s="270"/>
      <c r="C956" s="244" t="s">
        <v>1070</v>
      </c>
      <c r="D956" s="15" t="s">
        <v>731</v>
      </c>
      <c r="E956" s="16"/>
      <c r="F956" s="17"/>
      <c r="G956" s="17">
        <v>406.88</v>
      </c>
      <c r="H956" s="240">
        <f>SUM(G956:G960)</f>
        <v>994.2700000000001</v>
      </c>
      <c r="I956" s="240">
        <v>3029.6</v>
      </c>
      <c r="J956" s="240">
        <f>I956-H956</f>
        <v>2035.33</v>
      </c>
      <c r="K956" s="241">
        <f>J956/I956</f>
        <v>0.67181476102455773</v>
      </c>
      <c r="M956" s="236"/>
      <c r="N956" s="244" t="s">
        <v>1070</v>
      </c>
      <c r="O956" s="15" t="s">
        <v>731</v>
      </c>
      <c r="P956" s="16"/>
      <c r="Q956" s="17"/>
      <c r="R956" s="17">
        <v>406.88</v>
      </c>
      <c r="S956" s="240">
        <f>SUM(R956:R960)</f>
        <v>994.2700000000001</v>
      </c>
      <c r="T956" s="240">
        <v>3029.6</v>
      </c>
      <c r="U956" s="240">
        <f>T956-S956</f>
        <v>2035.33</v>
      </c>
      <c r="V956" s="241">
        <f>U956/T956</f>
        <v>0.67181476102455773</v>
      </c>
    </row>
    <row r="957" spans="2:22" ht="13">
      <c r="B957" s="270"/>
      <c r="C957" s="245"/>
      <c r="D957" s="19" t="s">
        <v>742</v>
      </c>
      <c r="E957" s="17">
        <v>9</v>
      </c>
      <c r="F957" s="17">
        <v>15</v>
      </c>
      <c r="G957" s="17">
        <f>E957*F957</f>
        <v>135</v>
      </c>
      <c r="H957" s="236"/>
      <c r="I957" s="236"/>
      <c r="J957" s="236"/>
      <c r="K957" s="242"/>
      <c r="M957" s="236"/>
      <c r="N957" s="245"/>
      <c r="O957" s="19" t="s">
        <v>742</v>
      </c>
      <c r="P957" s="17">
        <v>9</v>
      </c>
      <c r="Q957" s="17">
        <v>15</v>
      </c>
      <c r="R957" s="17">
        <f>P957*Q957</f>
        <v>135</v>
      </c>
      <c r="S957" s="236"/>
      <c r="T957" s="236"/>
      <c r="U957" s="236"/>
      <c r="V957" s="242"/>
    </row>
    <row r="958" spans="2:22" ht="13">
      <c r="B958" s="270"/>
      <c r="C958" s="245"/>
      <c r="D958" s="19" t="s">
        <v>1071</v>
      </c>
      <c r="E958" s="17">
        <v>3</v>
      </c>
      <c r="F958" s="17">
        <v>15</v>
      </c>
      <c r="G958" s="17">
        <v>50</v>
      </c>
      <c r="H958" s="236"/>
      <c r="I958" s="236"/>
      <c r="J958" s="236"/>
      <c r="K958" s="242"/>
      <c r="M958" s="236"/>
      <c r="N958" s="245"/>
      <c r="O958" s="19" t="s">
        <v>1071</v>
      </c>
      <c r="P958" s="17">
        <v>3</v>
      </c>
      <c r="Q958" s="17">
        <v>15</v>
      </c>
      <c r="R958" s="17">
        <v>50</v>
      </c>
      <c r="S958" s="236"/>
      <c r="T958" s="236"/>
      <c r="U958" s="236"/>
      <c r="V958" s="242"/>
    </row>
    <row r="959" spans="2:22" ht="13">
      <c r="B959" s="270"/>
      <c r="C959" s="245"/>
      <c r="D959" s="24" t="s">
        <v>1072</v>
      </c>
      <c r="E959" s="17"/>
      <c r="F959" s="17"/>
      <c r="G959" s="17">
        <v>254.31</v>
      </c>
      <c r="H959" s="236"/>
      <c r="I959" s="236"/>
      <c r="J959" s="236"/>
      <c r="K959" s="242"/>
      <c r="M959" s="236"/>
      <c r="N959" s="245"/>
      <c r="O959" s="24" t="s">
        <v>1072</v>
      </c>
      <c r="P959" s="17"/>
      <c r="Q959" s="17"/>
      <c r="R959" s="17">
        <v>254.31</v>
      </c>
      <c r="S959" s="236"/>
      <c r="T959" s="236"/>
      <c r="U959" s="236"/>
      <c r="V959" s="242"/>
    </row>
    <row r="960" spans="2:22" ht="13">
      <c r="B960" s="270"/>
      <c r="C960" s="246"/>
      <c r="D960" s="44" t="s">
        <v>1073</v>
      </c>
      <c r="E960" s="21"/>
      <c r="F960" s="21"/>
      <c r="G960" s="21">
        <v>148.08000000000001</v>
      </c>
      <c r="H960" s="238"/>
      <c r="I960" s="238"/>
      <c r="J960" s="238"/>
      <c r="K960" s="243"/>
      <c r="M960" s="236"/>
      <c r="N960" s="246"/>
      <c r="O960" s="44" t="s">
        <v>1073</v>
      </c>
      <c r="P960" s="21"/>
      <c r="Q960" s="21"/>
      <c r="R960" s="21">
        <v>148.08000000000001</v>
      </c>
      <c r="S960" s="238"/>
      <c r="T960" s="238"/>
      <c r="U960" s="238"/>
      <c r="V960" s="243"/>
    </row>
    <row r="961" spans="2:22" ht="13">
      <c r="B961" s="270"/>
      <c r="C961" s="244" t="s">
        <v>1074</v>
      </c>
      <c r="D961" s="15" t="s">
        <v>895</v>
      </c>
      <c r="E961" s="16">
        <v>3.5</v>
      </c>
      <c r="F961" s="17">
        <v>13</v>
      </c>
      <c r="G961" s="17">
        <f>E961*F961</f>
        <v>45.5</v>
      </c>
      <c r="H961" s="240">
        <f>SUM(G961:G962)</f>
        <v>176.76</v>
      </c>
      <c r="I961" s="240">
        <v>2535</v>
      </c>
      <c r="J961" s="240">
        <f>I961-H961</f>
        <v>2358.2399999999998</v>
      </c>
      <c r="K961" s="241">
        <f>J961/I961</f>
        <v>0.93027218934911238</v>
      </c>
      <c r="M961" s="119"/>
      <c r="N961" s="244" t="s">
        <v>1074</v>
      </c>
      <c r="O961" s="15" t="s">
        <v>895</v>
      </c>
      <c r="P961" s="16">
        <v>3.5</v>
      </c>
      <c r="Q961" s="17">
        <v>13</v>
      </c>
      <c r="R961" s="17">
        <f>P961*Q961</f>
        <v>45.5</v>
      </c>
      <c r="S961" s="240">
        <f>SUM(R961:R962)</f>
        <v>176.76</v>
      </c>
      <c r="T961" s="240">
        <v>2535</v>
      </c>
      <c r="U961" s="240">
        <f>T961-S961</f>
        <v>2358.2399999999998</v>
      </c>
      <c r="V961" s="241">
        <f>U961/T961</f>
        <v>0.93027218934911238</v>
      </c>
    </row>
    <row r="962" spans="2:22" ht="13">
      <c r="B962" s="270"/>
      <c r="C962" s="246"/>
      <c r="D962" s="44" t="s">
        <v>33</v>
      </c>
      <c r="E962" s="21"/>
      <c r="F962" s="21"/>
      <c r="G962" s="21">
        <v>131.26</v>
      </c>
      <c r="H962" s="238"/>
      <c r="I962" s="238"/>
      <c r="J962" s="238"/>
      <c r="K962" s="243"/>
      <c r="M962" s="119"/>
      <c r="N962" s="246"/>
      <c r="O962" s="44" t="s">
        <v>33</v>
      </c>
      <c r="P962" s="21"/>
      <c r="Q962" s="21"/>
      <c r="R962" s="21">
        <v>131.26</v>
      </c>
      <c r="S962" s="238"/>
      <c r="T962" s="238"/>
      <c r="U962" s="238"/>
      <c r="V962" s="243"/>
    </row>
    <row r="963" spans="2:22" ht="30">
      <c r="B963" s="254" t="s">
        <v>1075</v>
      </c>
      <c r="C963" s="255"/>
      <c r="D963" s="256"/>
      <c r="E963" s="27">
        <f t="shared" ref="E963:J963" si="175">AVERAGE(E878:E962)</f>
        <v>9.4151666666666678</v>
      </c>
      <c r="F963" s="27">
        <f t="shared" si="175"/>
        <v>14.283333333333333</v>
      </c>
      <c r="G963" s="27">
        <f t="shared" si="175"/>
        <v>139.16929411764704</v>
      </c>
      <c r="H963" s="27">
        <f t="shared" si="175"/>
        <v>909.95307692307699</v>
      </c>
      <c r="I963" s="27">
        <f t="shared" si="175"/>
        <v>3598.0261538461536</v>
      </c>
      <c r="J963" s="27">
        <f t="shared" si="175"/>
        <v>2688.0730769230768</v>
      </c>
      <c r="K963" s="28" t="str">
        <f ca="1">AVERAGE($K$12:$K$76)</f>
        <v>#REF!</v>
      </c>
      <c r="M963" s="254" t="s">
        <v>1075</v>
      </c>
      <c r="N963" s="255"/>
      <c r="O963" s="256"/>
      <c r="P963" s="27">
        <f t="shared" ref="P963:U963" si="176">AVERAGE(P878:P962)</f>
        <v>9.6617307692307701</v>
      </c>
      <c r="Q963" s="27">
        <f t="shared" si="176"/>
        <v>13.461538461538462</v>
      </c>
      <c r="R963" s="27">
        <f t="shared" si="176"/>
        <v>138.47259740259736</v>
      </c>
      <c r="S963" s="27">
        <f t="shared" si="176"/>
        <v>820.18384615384628</v>
      </c>
      <c r="T963" s="27">
        <f t="shared" si="176"/>
        <v>3598.0261538461536</v>
      </c>
      <c r="U963" s="27">
        <f t="shared" si="176"/>
        <v>2777.8423076923073</v>
      </c>
      <c r="V963" s="28" t="str">
        <f ca="1">AVERAGE($K$12:$K$76)</f>
        <v>#REF!</v>
      </c>
    </row>
    <row r="964" spans="2:22" ht="30">
      <c r="B964" s="251" t="s">
        <v>1076</v>
      </c>
      <c r="C964" s="252"/>
      <c r="D964" s="253"/>
      <c r="E964" s="88">
        <f t="shared" ref="E964:J964" si="177">SUM(E878:E962)</f>
        <v>564.91000000000008</v>
      </c>
      <c r="F964" s="42">
        <f t="shared" si="177"/>
        <v>857</v>
      </c>
      <c r="G964" s="42">
        <f t="shared" si="177"/>
        <v>11829.39</v>
      </c>
      <c r="H964" s="42">
        <f t="shared" si="177"/>
        <v>11829.390000000001</v>
      </c>
      <c r="I964" s="42">
        <f t="shared" si="177"/>
        <v>46774.34</v>
      </c>
      <c r="J964" s="42">
        <f t="shared" si="177"/>
        <v>34944.949999999997</v>
      </c>
      <c r="K964" s="29">
        <f t="shared" ref="K964:K965" si="178">J964/I964</f>
        <v>0.74709659184929167</v>
      </c>
      <c r="M964" s="251" t="s">
        <v>1076</v>
      </c>
      <c r="N964" s="252"/>
      <c r="O964" s="253"/>
      <c r="P964" s="42">
        <f t="shared" ref="P964:U964" si="179">SUM(P878:P962)</f>
        <v>502.41000000000008</v>
      </c>
      <c r="Q964" s="42">
        <f t="shared" si="179"/>
        <v>700</v>
      </c>
      <c r="R964" s="42">
        <f t="shared" si="179"/>
        <v>10662.389999999998</v>
      </c>
      <c r="S964" s="42">
        <f t="shared" si="179"/>
        <v>10662.390000000001</v>
      </c>
      <c r="T964" s="42">
        <f t="shared" si="179"/>
        <v>46774.34</v>
      </c>
      <c r="U964" s="42">
        <f t="shared" si="179"/>
        <v>36111.949999999997</v>
      </c>
      <c r="V964" s="29">
        <f t="shared" ref="V964:V965" si="180">U964/T964</f>
        <v>0.77204616890371947</v>
      </c>
    </row>
    <row r="965" spans="2:22" ht="13">
      <c r="B965" s="288" t="s">
        <v>1077</v>
      </c>
      <c r="C965" s="244" t="s">
        <v>1078</v>
      </c>
      <c r="D965" s="15" t="s">
        <v>147</v>
      </c>
      <c r="E965" s="16">
        <v>5.5</v>
      </c>
      <c r="F965" s="17">
        <v>25</v>
      </c>
      <c r="G965" s="17">
        <f t="shared" ref="G965:G967" si="181">E965*F965</f>
        <v>137.5</v>
      </c>
      <c r="H965" s="240">
        <f>SUM(G965:G968)</f>
        <v>412.5</v>
      </c>
      <c r="I965" s="240">
        <v>2004.75</v>
      </c>
      <c r="J965" s="240">
        <f>I965-H965</f>
        <v>1592.25</v>
      </c>
      <c r="K965" s="241">
        <f t="shared" si="178"/>
        <v>0.79423868312757206</v>
      </c>
      <c r="M965" s="288" t="s">
        <v>1077</v>
      </c>
      <c r="N965" s="244" t="s">
        <v>1078</v>
      </c>
      <c r="O965" s="15" t="s">
        <v>147</v>
      </c>
      <c r="P965" s="16">
        <v>5.5</v>
      </c>
      <c r="Q965" s="17">
        <v>25</v>
      </c>
      <c r="R965" s="17">
        <f t="shared" ref="R965:R967" si="182">P965*Q965</f>
        <v>137.5</v>
      </c>
      <c r="S965" s="240">
        <f>SUM(R965:R968)</f>
        <v>412.5</v>
      </c>
      <c r="T965" s="240">
        <v>2004.75</v>
      </c>
      <c r="U965" s="240">
        <f>T965-S965</f>
        <v>1592.25</v>
      </c>
      <c r="V965" s="241">
        <f t="shared" si="180"/>
        <v>0.79423868312757206</v>
      </c>
    </row>
    <row r="966" spans="2:22" ht="13">
      <c r="B966" s="270"/>
      <c r="C966" s="245"/>
      <c r="D966" s="19" t="s">
        <v>744</v>
      </c>
      <c r="E966" s="17">
        <v>5.5</v>
      </c>
      <c r="F966" s="17">
        <v>25</v>
      </c>
      <c r="G966" s="17">
        <f t="shared" si="181"/>
        <v>137.5</v>
      </c>
      <c r="H966" s="236"/>
      <c r="I966" s="236"/>
      <c r="J966" s="236"/>
      <c r="K966" s="242"/>
      <c r="M966" s="270"/>
      <c r="N966" s="245"/>
      <c r="O966" s="19" t="s">
        <v>744</v>
      </c>
      <c r="P966" s="17">
        <v>5.5</v>
      </c>
      <c r="Q966" s="17">
        <v>25</v>
      </c>
      <c r="R966" s="17">
        <f t="shared" si="182"/>
        <v>137.5</v>
      </c>
      <c r="S966" s="236"/>
      <c r="T966" s="236"/>
      <c r="U966" s="236"/>
      <c r="V966" s="242"/>
    </row>
    <row r="967" spans="2:22" ht="13">
      <c r="B967" s="270"/>
      <c r="C967" s="245"/>
      <c r="D967" s="19" t="s">
        <v>70</v>
      </c>
      <c r="E967" s="17">
        <v>5.5</v>
      </c>
      <c r="F967" s="17">
        <v>25</v>
      </c>
      <c r="G967" s="17">
        <f t="shared" si="181"/>
        <v>137.5</v>
      </c>
      <c r="H967" s="236"/>
      <c r="I967" s="236"/>
      <c r="J967" s="236"/>
      <c r="K967" s="242"/>
      <c r="M967" s="270"/>
      <c r="N967" s="245"/>
      <c r="O967" s="19" t="s">
        <v>70</v>
      </c>
      <c r="P967" s="17">
        <v>5.5</v>
      </c>
      <c r="Q967" s="17">
        <v>25</v>
      </c>
      <c r="R967" s="17">
        <f t="shared" si="182"/>
        <v>137.5</v>
      </c>
      <c r="S967" s="236"/>
      <c r="T967" s="236"/>
      <c r="U967" s="236"/>
      <c r="V967" s="242"/>
    </row>
    <row r="968" spans="2:22" ht="13">
      <c r="B968" s="270"/>
      <c r="C968" s="246"/>
      <c r="D968" s="44"/>
      <c r="E968" s="21"/>
      <c r="F968" s="21"/>
      <c r="G968" s="21"/>
      <c r="H968" s="238"/>
      <c r="I968" s="238"/>
      <c r="J968" s="238"/>
      <c r="K968" s="243"/>
      <c r="M968" s="270"/>
      <c r="N968" s="246"/>
      <c r="O968" s="44"/>
      <c r="P968" s="21"/>
      <c r="Q968" s="21"/>
      <c r="R968" s="21"/>
      <c r="S968" s="238"/>
      <c r="T968" s="238"/>
      <c r="U968" s="238"/>
      <c r="V968" s="243"/>
    </row>
    <row r="969" spans="2:22" ht="13">
      <c r="B969" s="270"/>
      <c r="C969" s="244" t="s">
        <v>1079</v>
      </c>
      <c r="D969" s="15" t="s">
        <v>114</v>
      </c>
      <c r="E969" s="16">
        <v>14</v>
      </c>
      <c r="F969" s="17">
        <v>18</v>
      </c>
      <c r="G969" s="17">
        <f>E969*F969</f>
        <v>252</v>
      </c>
      <c r="H969" s="240">
        <f>SUM(G969:G973)</f>
        <v>577.27</v>
      </c>
      <c r="I969" s="240">
        <v>2806.87</v>
      </c>
      <c r="J969" s="240">
        <f>I969-H969</f>
        <v>2229.6</v>
      </c>
      <c r="K969" s="241">
        <f>J969/I969</f>
        <v>0.79433675232554413</v>
      </c>
      <c r="M969" s="270"/>
      <c r="N969" s="244" t="s">
        <v>1079</v>
      </c>
      <c r="O969" s="15" t="s">
        <v>114</v>
      </c>
      <c r="P969" s="18"/>
      <c r="Q969" s="18"/>
      <c r="R969" s="18"/>
      <c r="S969" s="240">
        <f>SUM(R969:R973)</f>
        <v>325.27</v>
      </c>
      <c r="T969" s="240">
        <v>2806.87</v>
      </c>
      <c r="U969" s="240">
        <f>T969-S969</f>
        <v>2481.6</v>
      </c>
      <c r="V969" s="241">
        <f>U969/T969</f>
        <v>0.88411647137202654</v>
      </c>
    </row>
    <row r="970" spans="2:22" ht="13">
      <c r="B970" s="270"/>
      <c r="C970" s="245"/>
      <c r="D970" s="19" t="s">
        <v>47</v>
      </c>
      <c r="E970" s="17"/>
      <c r="F970" s="17"/>
      <c r="G970" s="17">
        <v>59.27</v>
      </c>
      <c r="H970" s="236"/>
      <c r="I970" s="236"/>
      <c r="J970" s="236"/>
      <c r="K970" s="242"/>
      <c r="M970" s="270"/>
      <c r="N970" s="245"/>
      <c r="O970" s="19" t="s">
        <v>47</v>
      </c>
      <c r="P970" s="17"/>
      <c r="Q970" s="17"/>
      <c r="R970" s="17">
        <v>59.27</v>
      </c>
      <c r="S970" s="236"/>
      <c r="T970" s="236"/>
      <c r="U970" s="236"/>
      <c r="V970" s="242"/>
    </row>
    <row r="971" spans="2:22" ht="13">
      <c r="B971" s="270"/>
      <c r="C971" s="245"/>
      <c r="D971" s="19" t="s">
        <v>1061</v>
      </c>
      <c r="E971" s="17"/>
      <c r="F971" s="17"/>
      <c r="G971" s="17">
        <v>160</v>
      </c>
      <c r="H971" s="236"/>
      <c r="I971" s="236"/>
      <c r="J971" s="236"/>
      <c r="K971" s="242"/>
      <c r="M971" s="270"/>
      <c r="N971" s="245"/>
      <c r="O971" s="19" t="s">
        <v>1061</v>
      </c>
      <c r="P971" s="17"/>
      <c r="Q971" s="17"/>
      <c r="R971" s="17">
        <v>160</v>
      </c>
      <c r="S971" s="236"/>
      <c r="T971" s="236"/>
      <c r="U971" s="236"/>
      <c r="V971" s="242"/>
    </row>
    <row r="972" spans="2:22" ht="13">
      <c r="B972" s="270"/>
      <c r="C972" s="245"/>
      <c r="D972" s="24" t="s">
        <v>45</v>
      </c>
      <c r="E972" s="17"/>
      <c r="F972" s="17"/>
      <c r="G972" s="17">
        <v>27</v>
      </c>
      <c r="H972" s="236"/>
      <c r="I972" s="236"/>
      <c r="J972" s="236"/>
      <c r="K972" s="242"/>
      <c r="M972" s="270"/>
      <c r="N972" s="245"/>
      <c r="O972" s="24" t="s">
        <v>45</v>
      </c>
      <c r="P972" s="17"/>
      <c r="Q972" s="17"/>
      <c r="R972" s="17">
        <v>27</v>
      </c>
      <c r="S972" s="236"/>
      <c r="T972" s="236"/>
      <c r="U972" s="236"/>
      <c r="V972" s="242"/>
    </row>
    <row r="973" spans="2:22" ht="13">
      <c r="B973" s="270"/>
      <c r="C973" s="246"/>
      <c r="D973" s="44" t="s">
        <v>1080</v>
      </c>
      <c r="E973" s="21"/>
      <c r="F973" s="21"/>
      <c r="G973" s="21">
        <v>79</v>
      </c>
      <c r="H973" s="238"/>
      <c r="I973" s="238"/>
      <c r="J973" s="238"/>
      <c r="K973" s="243"/>
      <c r="M973" s="270"/>
      <c r="N973" s="246"/>
      <c r="O973" s="44" t="s">
        <v>1080</v>
      </c>
      <c r="P973" s="21"/>
      <c r="Q973" s="21"/>
      <c r="R973" s="21">
        <v>79</v>
      </c>
      <c r="S973" s="238"/>
      <c r="T973" s="238"/>
      <c r="U973" s="238"/>
      <c r="V973" s="243"/>
    </row>
    <row r="974" spans="2:22" ht="13">
      <c r="B974" s="270"/>
      <c r="C974" s="244" t="s">
        <v>1081</v>
      </c>
      <c r="D974" s="15" t="s">
        <v>114</v>
      </c>
      <c r="E974" s="16">
        <v>7</v>
      </c>
      <c r="F974" s="17">
        <v>18</v>
      </c>
      <c r="G974" s="17">
        <f>E974*F974</f>
        <v>126</v>
      </c>
      <c r="H974" s="240">
        <f>SUM(G974:G976)</f>
        <v>196</v>
      </c>
      <c r="I974" s="240">
        <v>2159.13</v>
      </c>
      <c r="J974" s="240">
        <f>I974-H974</f>
        <v>1963.13</v>
      </c>
      <c r="K974" s="241">
        <f>J974/I974</f>
        <v>0.90922269617855345</v>
      </c>
      <c r="M974" s="270"/>
      <c r="N974" s="244" t="s">
        <v>1081</v>
      </c>
      <c r="O974" s="15" t="s">
        <v>114</v>
      </c>
      <c r="P974" s="18"/>
      <c r="Q974" s="18"/>
      <c r="R974" s="18"/>
      <c r="S974" s="240">
        <f>SUM(R974:R976)</f>
        <v>70</v>
      </c>
      <c r="T974" s="240">
        <v>2159.13</v>
      </c>
      <c r="U974" s="240">
        <f>T974-S974</f>
        <v>2089.13</v>
      </c>
      <c r="V974" s="241">
        <f>U974/T974</f>
        <v>0.96757953434948341</v>
      </c>
    </row>
    <row r="975" spans="2:22" ht="13">
      <c r="B975" s="270"/>
      <c r="C975" s="245"/>
      <c r="D975" s="24" t="s">
        <v>45</v>
      </c>
      <c r="E975" s="17"/>
      <c r="F975" s="17"/>
      <c r="G975" s="17">
        <v>65</v>
      </c>
      <c r="H975" s="236"/>
      <c r="I975" s="236"/>
      <c r="J975" s="236"/>
      <c r="K975" s="242"/>
      <c r="M975" s="270"/>
      <c r="N975" s="245"/>
      <c r="O975" s="24" t="s">
        <v>45</v>
      </c>
      <c r="P975" s="17"/>
      <c r="Q975" s="17"/>
      <c r="R975" s="17">
        <v>65</v>
      </c>
      <c r="S975" s="236"/>
      <c r="T975" s="236"/>
      <c r="U975" s="236"/>
      <c r="V975" s="242"/>
    </row>
    <row r="976" spans="2:22" ht="13">
      <c r="B976" s="270"/>
      <c r="C976" s="246"/>
      <c r="D976" s="44" t="s">
        <v>212</v>
      </c>
      <c r="E976" s="21"/>
      <c r="F976" s="21"/>
      <c r="G976" s="21">
        <v>5</v>
      </c>
      <c r="H976" s="238"/>
      <c r="I976" s="238"/>
      <c r="J976" s="238"/>
      <c r="K976" s="243"/>
      <c r="M976" s="270"/>
      <c r="N976" s="246"/>
      <c r="O976" s="44" t="s">
        <v>212</v>
      </c>
      <c r="P976" s="21"/>
      <c r="Q976" s="21"/>
      <c r="R976" s="21">
        <v>5</v>
      </c>
      <c r="S976" s="238"/>
      <c r="T976" s="238"/>
      <c r="U976" s="238"/>
      <c r="V976" s="243"/>
    </row>
    <row r="977" spans="2:22" ht="13">
      <c r="B977" s="270"/>
      <c r="C977" s="244" t="s">
        <v>1082</v>
      </c>
      <c r="D977" s="15" t="s">
        <v>70</v>
      </c>
      <c r="E977" s="16">
        <v>3.35</v>
      </c>
      <c r="F977" s="17">
        <v>13</v>
      </c>
      <c r="G977" s="17">
        <f>E977*F977</f>
        <v>43.550000000000004</v>
      </c>
      <c r="H977" s="240">
        <f>SUM(G977:G980)</f>
        <v>486.16</v>
      </c>
      <c r="I977" s="240">
        <v>3675</v>
      </c>
      <c r="J977" s="240">
        <f>I977-H977</f>
        <v>3188.84</v>
      </c>
      <c r="K977" s="241">
        <f>J977/I977</f>
        <v>0.86771156462585042</v>
      </c>
      <c r="M977" s="270"/>
      <c r="N977" s="244" t="s">
        <v>1082</v>
      </c>
      <c r="O977" s="15" t="s">
        <v>70</v>
      </c>
      <c r="P977" s="16">
        <v>3.35</v>
      </c>
      <c r="Q977" s="17">
        <v>13</v>
      </c>
      <c r="R977" s="17">
        <f>P977*Q977</f>
        <v>43.550000000000004</v>
      </c>
      <c r="S977" s="240">
        <f>SUM(R977:R980)</f>
        <v>486.16</v>
      </c>
      <c r="T977" s="240">
        <v>3675</v>
      </c>
      <c r="U977" s="240">
        <f>T977-S977</f>
        <v>3188.84</v>
      </c>
      <c r="V977" s="241">
        <f>U977/T977</f>
        <v>0.86771156462585042</v>
      </c>
    </row>
    <row r="978" spans="2:22" ht="13">
      <c r="B978" s="270"/>
      <c r="C978" s="245"/>
      <c r="D978" s="24" t="s">
        <v>1083</v>
      </c>
      <c r="E978" s="17"/>
      <c r="F978" s="17"/>
      <c r="G978" s="17">
        <v>1.5</v>
      </c>
      <c r="H978" s="236"/>
      <c r="I978" s="236"/>
      <c r="J978" s="236"/>
      <c r="K978" s="242"/>
      <c r="M978" s="270"/>
      <c r="N978" s="245"/>
      <c r="O978" s="24" t="s">
        <v>1083</v>
      </c>
      <c r="P978" s="17"/>
      <c r="Q978" s="17"/>
      <c r="R978" s="17">
        <v>1.5</v>
      </c>
      <c r="S978" s="236"/>
      <c r="T978" s="236"/>
      <c r="U978" s="236"/>
      <c r="V978" s="242"/>
    </row>
    <row r="979" spans="2:22" ht="13">
      <c r="B979" s="270"/>
      <c r="C979" s="245"/>
      <c r="D979" s="24" t="s">
        <v>33</v>
      </c>
      <c r="E979" s="17"/>
      <c r="F979" s="17"/>
      <c r="G979" s="17">
        <v>402.11</v>
      </c>
      <c r="H979" s="236"/>
      <c r="I979" s="236"/>
      <c r="J979" s="236"/>
      <c r="K979" s="242"/>
      <c r="M979" s="270"/>
      <c r="N979" s="245"/>
      <c r="O979" s="24" t="s">
        <v>33</v>
      </c>
      <c r="P979" s="17"/>
      <c r="Q979" s="17"/>
      <c r="R979" s="17">
        <v>402.11</v>
      </c>
      <c r="S979" s="236"/>
      <c r="T979" s="236"/>
      <c r="U979" s="236"/>
      <c r="V979" s="242"/>
    </row>
    <row r="980" spans="2:22" ht="13">
      <c r="B980" s="270"/>
      <c r="C980" s="246"/>
      <c r="D980" s="44" t="s">
        <v>53</v>
      </c>
      <c r="E980" s="21">
        <v>3</v>
      </c>
      <c r="F980" s="21">
        <v>13</v>
      </c>
      <c r="G980" s="21">
        <f t="shared" ref="G980:G981" si="183">E980*F980</f>
        <v>39</v>
      </c>
      <c r="H980" s="238"/>
      <c r="I980" s="238"/>
      <c r="J980" s="238"/>
      <c r="K980" s="243"/>
      <c r="M980" s="270"/>
      <c r="N980" s="246"/>
      <c r="O980" s="44" t="s">
        <v>53</v>
      </c>
      <c r="P980" s="21">
        <v>3</v>
      </c>
      <c r="Q980" s="21">
        <v>13</v>
      </c>
      <c r="R980" s="21">
        <f>P980*Q980</f>
        <v>39</v>
      </c>
      <c r="S980" s="238"/>
      <c r="T980" s="238"/>
      <c r="U980" s="238"/>
      <c r="V980" s="243"/>
    </row>
    <row r="981" spans="2:22" ht="13">
      <c r="B981" s="270"/>
      <c r="C981" s="244" t="s">
        <v>1084</v>
      </c>
      <c r="D981" s="15" t="s">
        <v>114</v>
      </c>
      <c r="E981" s="16">
        <v>7</v>
      </c>
      <c r="F981" s="17">
        <v>18</v>
      </c>
      <c r="G981" s="17">
        <f t="shared" si="183"/>
        <v>126</v>
      </c>
      <c r="H981" s="240">
        <f>SUM(G981:G982)</f>
        <v>146</v>
      </c>
      <c r="I981" s="240">
        <v>2076.48</v>
      </c>
      <c r="J981" s="240">
        <f>I981-H981</f>
        <v>1930.48</v>
      </c>
      <c r="K981" s="241">
        <f>J981/I981</f>
        <v>0.92968870396054859</v>
      </c>
      <c r="M981" s="270"/>
      <c r="N981" s="244" t="s">
        <v>1084</v>
      </c>
      <c r="O981" s="15" t="s">
        <v>114</v>
      </c>
      <c r="P981" s="18"/>
      <c r="Q981" s="18"/>
      <c r="R981" s="18"/>
      <c r="S981" s="240">
        <f>SUM(R981:R982)</f>
        <v>20</v>
      </c>
      <c r="T981" s="240">
        <v>2076.48</v>
      </c>
      <c r="U981" s="240">
        <f>T981-S981</f>
        <v>2056.48</v>
      </c>
      <c r="V981" s="241">
        <f>U981/T981</f>
        <v>0.99036831561103411</v>
      </c>
    </row>
    <row r="982" spans="2:22" ht="13">
      <c r="B982" s="270"/>
      <c r="C982" s="246"/>
      <c r="D982" s="44" t="s">
        <v>212</v>
      </c>
      <c r="E982" s="21"/>
      <c r="F982" s="21"/>
      <c r="G982" s="21">
        <v>20</v>
      </c>
      <c r="H982" s="238"/>
      <c r="I982" s="238"/>
      <c r="J982" s="238"/>
      <c r="K982" s="243"/>
      <c r="M982" s="270"/>
      <c r="N982" s="246"/>
      <c r="O982" s="44" t="s">
        <v>212</v>
      </c>
      <c r="P982" s="21"/>
      <c r="Q982" s="21"/>
      <c r="R982" s="21">
        <v>20</v>
      </c>
      <c r="S982" s="238"/>
      <c r="T982" s="238"/>
      <c r="U982" s="238"/>
      <c r="V982" s="243"/>
    </row>
    <row r="983" spans="2:22" ht="13">
      <c r="B983" s="270"/>
      <c r="C983" s="244" t="s">
        <v>1085</v>
      </c>
      <c r="D983" s="15" t="s">
        <v>114</v>
      </c>
      <c r="E983" s="16">
        <v>21</v>
      </c>
      <c r="F983" s="17">
        <v>18</v>
      </c>
      <c r="G983" s="17">
        <f>E983*F983</f>
        <v>378</v>
      </c>
      <c r="H983" s="240">
        <f>SUM(G983:G987)</f>
        <v>906.43000000000006</v>
      </c>
      <c r="I983" s="240">
        <v>4984</v>
      </c>
      <c r="J983" s="240">
        <f>I983-H983</f>
        <v>4077.5699999999997</v>
      </c>
      <c r="K983" s="241">
        <f>J983/I983</f>
        <v>0.81813202247191008</v>
      </c>
      <c r="M983" s="270"/>
      <c r="N983" s="244" t="s">
        <v>1085</v>
      </c>
      <c r="O983" s="15" t="s">
        <v>114</v>
      </c>
      <c r="P983" s="18"/>
      <c r="Q983" s="18"/>
      <c r="R983" s="18"/>
      <c r="S983" s="240">
        <f>SUM(R983:R987)</f>
        <v>528.43000000000006</v>
      </c>
      <c r="T983" s="240">
        <v>4984</v>
      </c>
      <c r="U983" s="240">
        <f>T983-S983</f>
        <v>4455.57</v>
      </c>
      <c r="V983" s="241">
        <f>U983/T983</f>
        <v>0.89397471910112358</v>
      </c>
    </row>
    <row r="984" spans="2:22" ht="13">
      <c r="B984" s="270"/>
      <c r="C984" s="245"/>
      <c r="D984" s="24" t="s">
        <v>47</v>
      </c>
      <c r="E984" s="17"/>
      <c r="F984" s="17"/>
      <c r="G984" s="17">
        <v>144.85</v>
      </c>
      <c r="H984" s="236"/>
      <c r="I984" s="236"/>
      <c r="J984" s="236"/>
      <c r="K984" s="242"/>
      <c r="M984" s="270"/>
      <c r="N984" s="245"/>
      <c r="O984" s="24" t="s">
        <v>47</v>
      </c>
      <c r="P984" s="17"/>
      <c r="Q984" s="17"/>
      <c r="R984" s="17">
        <v>144.85</v>
      </c>
      <c r="S984" s="236"/>
      <c r="T984" s="236"/>
      <c r="U984" s="236"/>
      <c r="V984" s="242"/>
    </row>
    <row r="985" spans="2:22" ht="13">
      <c r="B985" s="270"/>
      <c r="C985" s="245"/>
      <c r="D985" s="24" t="s">
        <v>45</v>
      </c>
      <c r="E985" s="17"/>
      <c r="F985" s="17"/>
      <c r="G985" s="17">
        <v>92</v>
      </c>
      <c r="H985" s="236"/>
      <c r="I985" s="236"/>
      <c r="J985" s="236"/>
      <c r="K985" s="242"/>
      <c r="M985" s="270"/>
      <c r="N985" s="245"/>
      <c r="O985" s="24" t="s">
        <v>45</v>
      </c>
      <c r="P985" s="17"/>
      <c r="Q985" s="17"/>
      <c r="R985" s="17">
        <v>92</v>
      </c>
      <c r="S985" s="236"/>
      <c r="T985" s="236"/>
      <c r="U985" s="236"/>
      <c r="V985" s="242"/>
    </row>
    <row r="986" spans="2:22" ht="13">
      <c r="B986" s="270"/>
      <c r="C986" s="245"/>
      <c r="D986" s="24" t="s">
        <v>33</v>
      </c>
      <c r="E986" s="17"/>
      <c r="F986" s="17"/>
      <c r="G986" s="17">
        <v>236.58</v>
      </c>
      <c r="H986" s="236"/>
      <c r="I986" s="236"/>
      <c r="J986" s="236"/>
      <c r="K986" s="242"/>
      <c r="M986" s="270"/>
      <c r="N986" s="245"/>
      <c r="O986" s="24" t="s">
        <v>33</v>
      </c>
      <c r="P986" s="17"/>
      <c r="Q986" s="17"/>
      <c r="R986" s="17">
        <v>236.58</v>
      </c>
      <c r="S986" s="236"/>
      <c r="T986" s="236"/>
      <c r="U986" s="236"/>
      <c r="V986" s="242"/>
    </row>
    <row r="987" spans="2:22" ht="13">
      <c r="B987" s="270"/>
      <c r="C987" s="246"/>
      <c r="D987" s="44" t="s">
        <v>212</v>
      </c>
      <c r="E987" s="21"/>
      <c r="F987" s="21"/>
      <c r="G987" s="21">
        <v>55</v>
      </c>
      <c r="H987" s="238"/>
      <c r="I987" s="238"/>
      <c r="J987" s="238"/>
      <c r="K987" s="243"/>
      <c r="M987" s="270"/>
      <c r="N987" s="246"/>
      <c r="O987" s="44" t="s">
        <v>212</v>
      </c>
      <c r="P987" s="21"/>
      <c r="Q987" s="21"/>
      <c r="R987" s="21">
        <v>55</v>
      </c>
      <c r="S987" s="238"/>
      <c r="T987" s="238"/>
      <c r="U987" s="238"/>
      <c r="V987" s="243"/>
    </row>
    <row r="988" spans="2:22" ht="13">
      <c r="B988" s="270"/>
      <c r="C988" s="244" t="s">
        <v>1086</v>
      </c>
      <c r="D988" s="15" t="s">
        <v>23</v>
      </c>
      <c r="E988" s="16">
        <v>7</v>
      </c>
      <c r="F988" s="17">
        <v>16</v>
      </c>
      <c r="G988" s="17">
        <f>E988*F988</f>
        <v>112</v>
      </c>
      <c r="H988" s="240">
        <f>SUM(G988:G990)</f>
        <v>200.6</v>
      </c>
      <c r="I988" s="240">
        <v>2136.96</v>
      </c>
      <c r="J988" s="240">
        <f>I988-H988</f>
        <v>1936.3600000000001</v>
      </c>
      <c r="K988" s="241">
        <f>J988/I988</f>
        <v>0.90612833183587904</v>
      </c>
      <c r="M988" s="270"/>
      <c r="N988" s="244" t="s">
        <v>1086</v>
      </c>
      <c r="O988" s="15" t="s">
        <v>23</v>
      </c>
      <c r="P988" s="18"/>
      <c r="Q988" s="18"/>
      <c r="R988" s="18"/>
      <c r="S988" s="240">
        <f>SUM(R988:R990)</f>
        <v>88.6</v>
      </c>
      <c r="T988" s="240">
        <v>2136.96</v>
      </c>
      <c r="U988" s="240">
        <f>T988-S988</f>
        <v>2048.36</v>
      </c>
      <c r="V988" s="241">
        <f>U988/T988</f>
        <v>0.95853923330338431</v>
      </c>
    </row>
    <row r="989" spans="2:22" ht="13">
      <c r="B989" s="270"/>
      <c r="C989" s="245"/>
      <c r="D989" s="24" t="s">
        <v>45</v>
      </c>
      <c r="E989" s="17"/>
      <c r="F989" s="17"/>
      <c r="G989" s="17">
        <v>70</v>
      </c>
      <c r="H989" s="236"/>
      <c r="I989" s="236"/>
      <c r="J989" s="236"/>
      <c r="K989" s="242"/>
      <c r="M989" s="270"/>
      <c r="N989" s="245"/>
      <c r="O989" s="24" t="s">
        <v>45</v>
      </c>
      <c r="P989" s="17"/>
      <c r="Q989" s="17"/>
      <c r="R989" s="17">
        <v>70</v>
      </c>
      <c r="S989" s="236"/>
      <c r="T989" s="236"/>
      <c r="U989" s="236"/>
      <c r="V989" s="242"/>
    </row>
    <row r="990" spans="2:22" ht="13">
      <c r="B990" s="270"/>
      <c r="C990" s="246"/>
      <c r="D990" s="44" t="s">
        <v>212</v>
      </c>
      <c r="E990" s="21"/>
      <c r="F990" s="21"/>
      <c r="G990" s="21">
        <v>18.600000000000001</v>
      </c>
      <c r="H990" s="238"/>
      <c r="I990" s="238"/>
      <c r="J990" s="238"/>
      <c r="K990" s="243"/>
      <c r="M990" s="270"/>
      <c r="N990" s="246"/>
      <c r="O990" s="44" t="s">
        <v>212</v>
      </c>
      <c r="P990" s="21"/>
      <c r="Q990" s="21"/>
      <c r="R990" s="21">
        <v>18.600000000000001</v>
      </c>
      <c r="S990" s="238"/>
      <c r="T990" s="238"/>
      <c r="U990" s="238"/>
      <c r="V990" s="243"/>
    </row>
    <row r="991" spans="2:22" ht="30">
      <c r="B991" s="254" t="s">
        <v>1087</v>
      </c>
      <c r="C991" s="255"/>
      <c r="D991" s="256"/>
      <c r="E991" s="27">
        <f t="shared" ref="E991:J991" si="184">AVERAGE(E965:E990)</f>
        <v>7.8849999999999998</v>
      </c>
      <c r="F991" s="27">
        <f t="shared" si="184"/>
        <v>18.899999999999999</v>
      </c>
      <c r="G991" s="27">
        <f t="shared" si="184"/>
        <v>116.99839999999999</v>
      </c>
      <c r="H991" s="27">
        <f t="shared" si="184"/>
        <v>417.85142857142858</v>
      </c>
      <c r="I991" s="27">
        <f t="shared" si="184"/>
        <v>2834.7414285714285</v>
      </c>
      <c r="J991" s="27">
        <f t="shared" si="184"/>
        <v>2416.89</v>
      </c>
      <c r="K991" s="28" t="str">
        <f ca="1">AVERAGE($K$12:$K$76)</f>
        <v>#REF!</v>
      </c>
      <c r="M991" s="254" t="s">
        <v>1087</v>
      </c>
      <c r="N991" s="255"/>
      <c r="O991" s="256"/>
      <c r="P991" s="27">
        <f t="shared" ref="P991:U991" si="185">AVERAGE(P965:P990)</f>
        <v>4.57</v>
      </c>
      <c r="Q991" s="27">
        <f t="shared" si="185"/>
        <v>20.2</v>
      </c>
      <c r="R991" s="27">
        <f t="shared" si="185"/>
        <v>96.547999999999973</v>
      </c>
      <c r="S991" s="27">
        <f t="shared" si="185"/>
        <v>275.85142857142858</v>
      </c>
      <c r="T991" s="27">
        <f t="shared" si="185"/>
        <v>2834.7414285714285</v>
      </c>
      <c r="U991" s="27">
        <f t="shared" si="185"/>
        <v>2558.89</v>
      </c>
      <c r="V991" s="28" t="str">
        <f ca="1">AVERAGE($K$12:$K$76)</f>
        <v>#REF!</v>
      </c>
    </row>
    <row r="992" spans="2:22" ht="30">
      <c r="B992" s="251" t="s">
        <v>1088</v>
      </c>
      <c r="C992" s="252"/>
      <c r="D992" s="253"/>
      <c r="E992" s="121">
        <f t="shared" ref="E992:J992" si="186">SUM(E965:E990)</f>
        <v>78.849999999999994</v>
      </c>
      <c r="F992" s="121">
        <f t="shared" si="186"/>
        <v>189</v>
      </c>
      <c r="G992" s="121">
        <f t="shared" si="186"/>
        <v>2924.9599999999996</v>
      </c>
      <c r="H992" s="121">
        <f t="shared" si="186"/>
        <v>2924.96</v>
      </c>
      <c r="I992" s="121">
        <f t="shared" si="186"/>
        <v>19843.189999999999</v>
      </c>
      <c r="J992" s="121">
        <f t="shared" si="186"/>
        <v>16918.23</v>
      </c>
      <c r="K992" s="29">
        <f t="shared" ref="K992:K993" si="187">J992/I992</f>
        <v>0.85259628114229624</v>
      </c>
      <c r="M992" s="251" t="s">
        <v>1088</v>
      </c>
      <c r="N992" s="252"/>
      <c r="O992" s="253"/>
      <c r="P992" s="42">
        <f t="shared" ref="P992:U992" si="188">SUM(P965:P990)</f>
        <v>22.85</v>
      </c>
      <c r="Q992" s="42">
        <f t="shared" si="188"/>
        <v>101</v>
      </c>
      <c r="R992" s="42">
        <f t="shared" si="188"/>
        <v>1930.9599999999996</v>
      </c>
      <c r="S992" s="42">
        <f t="shared" si="188"/>
        <v>1930.96</v>
      </c>
      <c r="T992" s="42">
        <f t="shared" si="188"/>
        <v>19843.189999999999</v>
      </c>
      <c r="U992" s="42">
        <f t="shared" si="188"/>
        <v>17912.23</v>
      </c>
      <c r="V992" s="29">
        <f t="shared" ref="V992:V993" si="189">U992/T992</f>
        <v>0.90268903336610695</v>
      </c>
    </row>
    <row r="993" spans="2:22" ht="13">
      <c r="B993" s="288" t="s">
        <v>1089</v>
      </c>
      <c r="C993" s="244" t="s">
        <v>1090</v>
      </c>
      <c r="D993" s="15" t="s">
        <v>38</v>
      </c>
      <c r="E993" s="16">
        <v>3</v>
      </c>
      <c r="F993" s="17">
        <v>13</v>
      </c>
      <c r="G993" s="17">
        <f>E993*F993</f>
        <v>39</v>
      </c>
      <c r="H993" s="240">
        <f>SUM(G993:G994)</f>
        <v>87.44</v>
      </c>
      <c r="I993" s="240">
        <v>1717.5</v>
      </c>
      <c r="J993" s="240">
        <f>I993-H993</f>
        <v>1630.06</v>
      </c>
      <c r="K993" s="241">
        <f t="shared" si="187"/>
        <v>0.94908879184861716</v>
      </c>
      <c r="M993" s="288" t="s">
        <v>1089</v>
      </c>
      <c r="N993" s="244" t="s">
        <v>1090</v>
      </c>
      <c r="O993" s="15" t="s">
        <v>38</v>
      </c>
      <c r="P993" s="16">
        <v>3</v>
      </c>
      <c r="Q993" s="17">
        <v>13</v>
      </c>
      <c r="R993" s="17">
        <f>P993*Q993</f>
        <v>39</v>
      </c>
      <c r="S993" s="240">
        <f>SUM(R993:R994)</f>
        <v>87.44</v>
      </c>
      <c r="T993" s="240">
        <v>1717.5</v>
      </c>
      <c r="U993" s="240">
        <f>T993-S993</f>
        <v>1630.06</v>
      </c>
      <c r="V993" s="241">
        <f t="shared" si="189"/>
        <v>0.94908879184861716</v>
      </c>
    </row>
    <row r="994" spans="2:22" ht="13">
      <c r="B994" s="270"/>
      <c r="C994" s="246"/>
      <c r="D994" s="44" t="s">
        <v>33</v>
      </c>
      <c r="E994" s="21"/>
      <c r="F994" s="21"/>
      <c r="G994" s="21">
        <v>48.44</v>
      </c>
      <c r="H994" s="238"/>
      <c r="I994" s="238"/>
      <c r="J994" s="238"/>
      <c r="K994" s="243"/>
      <c r="M994" s="270"/>
      <c r="N994" s="246"/>
      <c r="O994" s="44" t="s">
        <v>33</v>
      </c>
      <c r="P994" s="21"/>
      <c r="Q994" s="21"/>
      <c r="R994" s="21">
        <v>48.44</v>
      </c>
      <c r="S994" s="238"/>
      <c r="T994" s="238"/>
      <c r="U994" s="238"/>
      <c r="V994" s="243"/>
    </row>
    <row r="995" spans="2:22" ht="13">
      <c r="B995" s="270"/>
      <c r="C995" s="244" t="s">
        <v>1091</v>
      </c>
      <c r="D995" s="15" t="s">
        <v>114</v>
      </c>
      <c r="E995" s="16">
        <v>7</v>
      </c>
      <c r="F995" s="17">
        <v>18</v>
      </c>
      <c r="G995" s="17">
        <f>E995*F995</f>
        <v>126</v>
      </c>
      <c r="H995" s="240">
        <f>SUM(G995:G998)</f>
        <v>381.92999999999995</v>
      </c>
      <c r="I995" s="240">
        <v>3478.82</v>
      </c>
      <c r="J995" s="240">
        <f>I995-H995</f>
        <v>3096.8900000000003</v>
      </c>
      <c r="K995" s="241">
        <f>J995/I995</f>
        <v>0.89021277329669257</v>
      </c>
      <c r="M995" s="270"/>
      <c r="N995" s="244" t="s">
        <v>1091</v>
      </c>
      <c r="O995" s="15" t="s">
        <v>114</v>
      </c>
      <c r="P995" s="18"/>
      <c r="Q995" s="18"/>
      <c r="R995" s="18"/>
      <c r="S995" s="240">
        <f>SUM(R995:R998)</f>
        <v>255.93</v>
      </c>
      <c r="T995" s="240">
        <v>3478.82</v>
      </c>
      <c r="U995" s="240">
        <f>T995-S995</f>
        <v>3222.8900000000003</v>
      </c>
      <c r="V995" s="241">
        <f>U995/T995</f>
        <v>0.92643195106386655</v>
      </c>
    </row>
    <row r="996" spans="2:22" ht="13">
      <c r="B996" s="270"/>
      <c r="C996" s="245"/>
      <c r="D996" s="24" t="s">
        <v>33</v>
      </c>
      <c r="E996" s="17"/>
      <c r="F996" s="17"/>
      <c r="G996" s="17">
        <v>137.41</v>
      </c>
      <c r="H996" s="236"/>
      <c r="I996" s="236"/>
      <c r="J996" s="236"/>
      <c r="K996" s="242"/>
      <c r="M996" s="270"/>
      <c r="N996" s="245"/>
      <c r="O996" s="24" t="s">
        <v>33</v>
      </c>
      <c r="P996" s="17"/>
      <c r="Q996" s="17"/>
      <c r="R996" s="17">
        <v>137.41</v>
      </c>
      <c r="S996" s="236"/>
      <c r="T996" s="236"/>
      <c r="U996" s="236"/>
      <c r="V996" s="242"/>
    </row>
    <row r="997" spans="2:22" ht="13">
      <c r="B997" s="270"/>
      <c r="C997" s="245"/>
      <c r="D997" s="24" t="s">
        <v>44</v>
      </c>
      <c r="E997" s="17"/>
      <c r="F997" s="17"/>
      <c r="G997" s="17">
        <v>31</v>
      </c>
      <c r="H997" s="236"/>
      <c r="I997" s="236"/>
      <c r="J997" s="236"/>
      <c r="K997" s="242"/>
      <c r="M997" s="270"/>
      <c r="N997" s="245"/>
      <c r="O997" s="24" t="s">
        <v>44</v>
      </c>
      <c r="P997" s="17"/>
      <c r="Q997" s="17"/>
      <c r="R997" s="17">
        <v>31</v>
      </c>
      <c r="S997" s="236"/>
      <c r="T997" s="236"/>
      <c r="U997" s="236"/>
      <c r="V997" s="242"/>
    </row>
    <row r="998" spans="2:22" ht="13">
      <c r="B998" s="270"/>
      <c r="C998" s="246"/>
      <c r="D998" s="44" t="s">
        <v>45</v>
      </c>
      <c r="E998" s="21"/>
      <c r="F998" s="21"/>
      <c r="G998" s="21">
        <v>87.52</v>
      </c>
      <c r="H998" s="238"/>
      <c r="I998" s="238"/>
      <c r="J998" s="238"/>
      <c r="K998" s="243"/>
      <c r="M998" s="270"/>
      <c r="N998" s="246"/>
      <c r="O998" s="44" t="s">
        <v>45</v>
      </c>
      <c r="P998" s="21"/>
      <c r="Q998" s="21"/>
      <c r="R998" s="21">
        <v>87.52</v>
      </c>
      <c r="S998" s="238"/>
      <c r="T998" s="238"/>
      <c r="U998" s="238"/>
      <c r="V998" s="243"/>
    </row>
    <row r="999" spans="2:22" ht="13">
      <c r="B999" s="270"/>
      <c r="C999" s="244" t="s">
        <v>1092</v>
      </c>
      <c r="D999" s="15" t="s">
        <v>114</v>
      </c>
      <c r="E999" s="16">
        <v>7</v>
      </c>
      <c r="F999" s="17">
        <v>18</v>
      </c>
      <c r="G999" s="17">
        <f t="shared" ref="G999:G1002" si="190">E999*F999</f>
        <v>126</v>
      </c>
      <c r="H999" s="240">
        <f>SUM(G999:G1003)</f>
        <v>560.51</v>
      </c>
      <c r="I999" s="240">
        <v>2637.6</v>
      </c>
      <c r="J999" s="240">
        <f>I999-H999</f>
        <v>2077.09</v>
      </c>
      <c r="K999" s="241">
        <f>J999/I999</f>
        <v>0.78749241734910536</v>
      </c>
      <c r="M999" s="270"/>
      <c r="N999" s="244" t="s">
        <v>1092</v>
      </c>
      <c r="O999" s="15" t="s">
        <v>114</v>
      </c>
      <c r="P999" s="18"/>
      <c r="Q999" s="18"/>
      <c r="R999" s="18"/>
      <c r="S999" s="240">
        <f>SUM(R999:R1003)</f>
        <v>434.51</v>
      </c>
      <c r="T999" s="240">
        <v>2637.6</v>
      </c>
      <c r="U999" s="240">
        <f>T999-S999</f>
        <v>2203.09</v>
      </c>
      <c r="V999" s="241">
        <f>U999/T999</f>
        <v>0.83526311798604802</v>
      </c>
    </row>
    <row r="1000" spans="2:22" ht="13">
      <c r="B1000" s="270"/>
      <c r="C1000" s="245"/>
      <c r="D1000" s="24" t="s">
        <v>70</v>
      </c>
      <c r="E1000" s="17">
        <v>10.029999999999999</v>
      </c>
      <c r="F1000" s="17">
        <v>13</v>
      </c>
      <c r="G1000" s="17">
        <f t="shared" si="190"/>
        <v>130.38999999999999</v>
      </c>
      <c r="H1000" s="236"/>
      <c r="I1000" s="236"/>
      <c r="J1000" s="236"/>
      <c r="K1000" s="242"/>
      <c r="M1000" s="270"/>
      <c r="N1000" s="245"/>
      <c r="O1000" s="24" t="s">
        <v>70</v>
      </c>
      <c r="P1000" s="17">
        <v>10.029999999999999</v>
      </c>
      <c r="Q1000" s="17">
        <v>13</v>
      </c>
      <c r="R1000" s="17">
        <f t="shared" ref="R1000:R1002" si="191">P1000*Q1000</f>
        <v>130.38999999999999</v>
      </c>
      <c r="S1000" s="236"/>
      <c r="T1000" s="236"/>
      <c r="U1000" s="236"/>
      <c r="V1000" s="242"/>
    </row>
    <row r="1001" spans="2:22" ht="13">
      <c r="B1001" s="270"/>
      <c r="C1001" s="245"/>
      <c r="D1001" s="24" t="s">
        <v>265</v>
      </c>
      <c r="E1001" s="17">
        <v>3.83</v>
      </c>
      <c r="F1001" s="17">
        <v>13</v>
      </c>
      <c r="G1001" s="17">
        <f t="shared" si="190"/>
        <v>49.79</v>
      </c>
      <c r="H1001" s="236"/>
      <c r="I1001" s="236"/>
      <c r="J1001" s="236"/>
      <c r="K1001" s="242"/>
      <c r="M1001" s="270"/>
      <c r="N1001" s="245"/>
      <c r="O1001" s="24" t="s">
        <v>265</v>
      </c>
      <c r="P1001" s="17">
        <v>3.83</v>
      </c>
      <c r="Q1001" s="17">
        <v>13</v>
      </c>
      <c r="R1001" s="17">
        <f t="shared" si="191"/>
        <v>49.79</v>
      </c>
      <c r="S1001" s="236"/>
      <c r="T1001" s="236"/>
      <c r="U1001" s="236"/>
      <c r="V1001" s="242"/>
    </row>
    <row r="1002" spans="2:22" ht="13">
      <c r="B1002" s="270"/>
      <c r="C1002" s="245"/>
      <c r="D1002" s="24" t="s">
        <v>38</v>
      </c>
      <c r="E1002" s="17">
        <v>5.3</v>
      </c>
      <c r="F1002" s="17">
        <v>13</v>
      </c>
      <c r="G1002" s="17">
        <f t="shared" si="190"/>
        <v>68.899999999999991</v>
      </c>
      <c r="H1002" s="236"/>
      <c r="I1002" s="236"/>
      <c r="J1002" s="236"/>
      <c r="K1002" s="242"/>
      <c r="M1002" s="270"/>
      <c r="N1002" s="245"/>
      <c r="O1002" s="24" t="s">
        <v>38</v>
      </c>
      <c r="P1002" s="17">
        <v>5.3</v>
      </c>
      <c r="Q1002" s="17">
        <v>13</v>
      </c>
      <c r="R1002" s="17">
        <f t="shared" si="191"/>
        <v>68.899999999999991</v>
      </c>
      <c r="S1002" s="236"/>
      <c r="T1002" s="236"/>
      <c r="U1002" s="236"/>
      <c r="V1002" s="242"/>
    </row>
    <row r="1003" spans="2:22" ht="13">
      <c r="B1003" s="270"/>
      <c r="C1003" s="246"/>
      <c r="D1003" s="44" t="s">
        <v>33</v>
      </c>
      <c r="E1003" s="21"/>
      <c r="F1003" s="21"/>
      <c r="G1003" s="21">
        <v>185.43</v>
      </c>
      <c r="H1003" s="238"/>
      <c r="I1003" s="238"/>
      <c r="J1003" s="238"/>
      <c r="K1003" s="243"/>
      <c r="M1003" s="270"/>
      <c r="N1003" s="246"/>
      <c r="O1003" s="44" t="s">
        <v>33</v>
      </c>
      <c r="P1003" s="21"/>
      <c r="Q1003" s="21"/>
      <c r="R1003" s="21">
        <v>185.43</v>
      </c>
      <c r="S1003" s="238"/>
      <c r="T1003" s="238"/>
      <c r="U1003" s="238"/>
      <c r="V1003" s="243"/>
    </row>
    <row r="1004" spans="2:22" ht="13">
      <c r="B1004" s="270"/>
      <c r="C1004" s="244" t="s">
        <v>1093</v>
      </c>
      <c r="D1004" s="15" t="s">
        <v>23</v>
      </c>
      <c r="E1004" s="16">
        <v>21</v>
      </c>
      <c r="F1004" s="17">
        <v>16</v>
      </c>
      <c r="G1004" s="17">
        <f t="shared" ref="G1004:G1011" si="192">E1004*F1004</f>
        <v>336</v>
      </c>
      <c r="H1004" s="240">
        <f>SUM(G1004:G1012)</f>
        <v>1450.26</v>
      </c>
      <c r="I1004" s="240">
        <v>4384.8</v>
      </c>
      <c r="J1004" s="240">
        <f>I1004-H1004</f>
        <v>2934.54</v>
      </c>
      <c r="K1004" s="241">
        <f>J1004/I1004</f>
        <v>0.66925287356321839</v>
      </c>
      <c r="M1004" s="270"/>
      <c r="N1004" s="244" t="s">
        <v>1093</v>
      </c>
      <c r="O1004" s="15" t="s">
        <v>23</v>
      </c>
      <c r="P1004" s="18"/>
      <c r="Q1004" s="18"/>
      <c r="R1004" s="18"/>
      <c r="S1004" s="240">
        <f>SUM(R1004:R1012)</f>
        <v>1023.26</v>
      </c>
      <c r="T1004" s="240">
        <v>4384.8</v>
      </c>
      <c r="U1004" s="240">
        <f>T1004-S1004</f>
        <v>3361.54</v>
      </c>
      <c r="V1004" s="241">
        <f>U1004/T1004</f>
        <v>0.76663473818646233</v>
      </c>
    </row>
    <row r="1005" spans="2:22" ht="13">
      <c r="B1005" s="270"/>
      <c r="C1005" s="245"/>
      <c r="D1005" s="24" t="s">
        <v>70</v>
      </c>
      <c r="E1005" s="17">
        <v>5.3</v>
      </c>
      <c r="F1005" s="17">
        <v>13</v>
      </c>
      <c r="G1005" s="17">
        <f t="shared" si="192"/>
        <v>68.899999999999991</v>
      </c>
      <c r="H1005" s="236"/>
      <c r="I1005" s="236"/>
      <c r="J1005" s="236"/>
      <c r="K1005" s="242"/>
      <c r="M1005" s="270"/>
      <c r="N1005" s="245"/>
      <c r="O1005" s="24" t="s">
        <v>70</v>
      </c>
      <c r="P1005" s="17">
        <v>5.3</v>
      </c>
      <c r="Q1005" s="17">
        <v>13</v>
      </c>
      <c r="R1005" s="17">
        <f t="shared" ref="R1005:R1010" si="193">P1005*Q1005</f>
        <v>68.899999999999991</v>
      </c>
      <c r="S1005" s="236"/>
      <c r="T1005" s="236"/>
      <c r="U1005" s="236"/>
      <c r="V1005" s="242"/>
    </row>
    <row r="1006" spans="2:22" ht="13">
      <c r="B1006" s="270"/>
      <c r="C1006" s="245"/>
      <c r="D1006" s="24" t="s">
        <v>913</v>
      </c>
      <c r="E1006" s="17">
        <v>6.07</v>
      </c>
      <c r="F1006" s="17">
        <v>13</v>
      </c>
      <c r="G1006" s="17">
        <f t="shared" si="192"/>
        <v>78.91</v>
      </c>
      <c r="H1006" s="236"/>
      <c r="I1006" s="236"/>
      <c r="J1006" s="236"/>
      <c r="K1006" s="242"/>
      <c r="M1006" s="270"/>
      <c r="N1006" s="245"/>
      <c r="O1006" s="24" t="s">
        <v>913</v>
      </c>
      <c r="P1006" s="17">
        <v>6.07</v>
      </c>
      <c r="Q1006" s="17">
        <v>13</v>
      </c>
      <c r="R1006" s="17">
        <f t="shared" si="193"/>
        <v>78.91</v>
      </c>
      <c r="S1006" s="236"/>
      <c r="T1006" s="236"/>
      <c r="U1006" s="236"/>
      <c r="V1006" s="242"/>
    </row>
    <row r="1007" spans="2:22" ht="13">
      <c r="B1007" s="270"/>
      <c r="C1007" s="245"/>
      <c r="D1007" s="24" t="s">
        <v>744</v>
      </c>
      <c r="E1007" s="17">
        <v>14.12</v>
      </c>
      <c r="F1007" s="17">
        <v>13</v>
      </c>
      <c r="G1007" s="17">
        <f t="shared" si="192"/>
        <v>183.56</v>
      </c>
      <c r="H1007" s="236"/>
      <c r="I1007" s="236"/>
      <c r="J1007" s="236"/>
      <c r="K1007" s="242"/>
      <c r="M1007" s="270"/>
      <c r="N1007" s="245"/>
      <c r="O1007" s="24" t="s">
        <v>744</v>
      </c>
      <c r="P1007" s="17">
        <v>14.12</v>
      </c>
      <c r="Q1007" s="17">
        <v>13</v>
      </c>
      <c r="R1007" s="17">
        <f t="shared" si="193"/>
        <v>183.56</v>
      </c>
      <c r="S1007" s="236"/>
      <c r="T1007" s="236"/>
      <c r="U1007" s="236"/>
      <c r="V1007" s="242"/>
    </row>
    <row r="1008" spans="2:22" ht="13">
      <c r="B1008" s="270"/>
      <c r="C1008" s="245"/>
      <c r="D1008" s="24" t="s">
        <v>1094</v>
      </c>
      <c r="E1008" s="17">
        <v>12.03</v>
      </c>
      <c r="F1008" s="17">
        <v>13</v>
      </c>
      <c r="G1008" s="17">
        <f t="shared" si="192"/>
        <v>156.38999999999999</v>
      </c>
      <c r="H1008" s="236"/>
      <c r="I1008" s="236"/>
      <c r="J1008" s="236"/>
      <c r="K1008" s="242"/>
      <c r="M1008" s="270"/>
      <c r="N1008" s="245"/>
      <c r="O1008" s="24" t="s">
        <v>1094</v>
      </c>
      <c r="P1008" s="17">
        <v>12.03</v>
      </c>
      <c r="Q1008" s="17">
        <v>13</v>
      </c>
      <c r="R1008" s="17">
        <f t="shared" si="193"/>
        <v>156.38999999999999</v>
      </c>
      <c r="S1008" s="236"/>
      <c r="T1008" s="236"/>
      <c r="U1008" s="236"/>
      <c r="V1008" s="242"/>
    </row>
    <row r="1009" spans="2:22" ht="13">
      <c r="B1009" s="270"/>
      <c r="C1009" s="245"/>
      <c r="D1009" s="24" t="s">
        <v>1035</v>
      </c>
      <c r="E1009" s="17">
        <v>13.15</v>
      </c>
      <c r="F1009" s="17">
        <v>13</v>
      </c>
      <c r="G1009" s="17">
        <f t="shared" si="192"/>
        <v>170.95000000000002</v>
      </c>
      <c r="H1009" s="236"/>
      <c r="I1009" s="236"/>
      <c r="J1009" s="236"/>
      <c r="K1009" s="242"/>
      <c r="M1009" s="270"/>
      <c r="N1009" s="245"/>
      <c r="O1009" s="24" t="s">
        <v>1035</v>
      </c>
      <c r="P1009" s="17">
        <v>13.15</v>
      </c>
      <c r="Q1009" s="17">
        <v>13</v>
      </c>
      <c r="R1009" s="17">
        <f t="shared" si="193"/>
        <v>170.95000000000002</v>
      </c>
      <c r="S1009" s="236"/>
      <c r="T1009" s="236"/>
      <c r="U1009" s="236"/>
      <c r="V1009" s="242"/>
    </row>
    <row r="1010" spans="2:22" ht="13">
      <c r="B1010" s="270"/>
      <c r="C1010" s="245"/>
      <c r="D1010" s="24" t="s">
        <v>178</v>
      </c>
      <c r="E1010" s="17">
        <v>7.08</v>
      </c>
      <c r="F1010" s="17">
        <v>13</v>
      </c>
      <c r="G1010" s="17">
        <f t="shared" si="192"/>
        <v>92.04</v>
      </c>
      <c r="H1010" s="236"/>
      <c r="I1010" s="236"/>
      <c r="J1010" s="236"/>
      <c r="K1010" s="242"/>
      <c r="M1010" s="270"/>
      <c r="N1010" s="245"/>
      <c r="O1010" s="24" t="s">
        <v>178</v>
      </c>
      <c r="P1010" s="17">
        <v>7.08</v>
      </c>
      <c r="Q1010" s="17">
        <v>13</v>
      </c>
      <c r="R1010" s="17">
        <f t="shared" si="193"/>
        <v>92.04</v>
      </c>
      <c r="S1010" s="236"/>
      <c r="T1010" s="236"/>
      <c r="U1010" s="236"/>
      <c r="V1010" s="242"/>
    </row>
    <row r="1011" spans="2:22" ht="13">
      <c r="B1011" s="270"/>
      <c r="C1011" s="245"/>
      <c r="D1011" s="24" t="s">
        <v>1095</v>
      </c>
      <c r="E1011" s="17">
        <v>7</v>
      </c>
      <c r="F1011" s="17">
        <v>13</v>
      </c>
      <c r="G1011" s="17">
        <f t="shared" si="192"/>
        <v>91</v>
      </c>
      <c r="H1011" s="236"/>
      <c r="I1011" s="236"/>
      <c r="J1011" s="236"/>
      <c r="K1011" s="242"/>
      <c r="M1011" s="270"/>
      <c r="N1011" s="245"/>
      <c r="O1011" s="24" t="s">
        <v>1095</v>
      </c>
      <c r="P1011" s="18"/>
      <c r="Q1011" s="18"/>
      <c r="R1011" s="18"/>
      <c r="S1011" s="236"/>
      <c r="T1011" s="236"/>
      <c r="U1011" s="236"/>
      <c r="V1011" s="242"/>
    </row>
    <row r="1012" spans="2:22" ht="13">
      <c r="B1012" s="270"/>
      <c r="C1012" s="246"/>
      <c r="D1012" s="44" t="s">
        <v>33</v>
      </c>
      <c r="E1012" s="21"/>
      <c r="F1012" s="21"/>
      <c r="G1012" s="21">
        <v>272.51</v>
      </c>
      <c r="H1012" s="238"/>
      <c r="I1012" s="238"/>
      <c r="J1012" s="238"/>
      <c r="K1012" s="243"/>
      <c r="M1012" s="270"/>
      <c r="N1012" s="246"/>
      <c r="O1012" s="44" t="s">
        <v>33</v>
      </c>
      <c r="P1012" s="21"/>
      <c r="Q1012" s="21"/>
      <c r="R1012" s="21">
        <v>272.51</v>
      </c>
      <c r="S1012" s="238"/>
      <c r="T1012" s="238"/>
      <c r="U1012" s="238"/>
      <c r="V1012" s="243"/>
    </row>
    <row r="1013" spans="2:22" ht="13">
      <c r="B1013" s="270"/>
      <c r="C1013" s="244" t="s">
        <v>1096</v>
      </c>
      <c r="D1013" s="15" t="s">
        <v>23</v>
      </c>
      <c r="E1013" s="16">
        <v>3.5</v>
      </c>
      <c r="F1013" s="17">
        <v>16</v>
      </c>
      <c r="G1013" s="17">
        <f>E1013*F1013</f>
        <v>56</v>
      </c>
      <c r="H1013" s="240">
        <f>SUM(G1013:G1014)</f>
        <v>156</v>
      </c>
      <c r="I1013" s="240">
        <v>1230</v>
      </c>
      <c r="J1013" s="240">
        <f>I1013-H1013</f>
        <v>1074</v>
      </c>
      <c r="K1013" s="241">
        <f>J1013/I1013</f>
        <v>0.87317073170731707</v>
      </c>
      <c r="M1013" s="270"/>
      <c r="N1013" s="244" t="s">
        <v>1096</v>
      </c>
      <c r="O1013" s="15" t="s">
        <v>23</v>
      </c>
      <c r="P1013" s="18"/>
      <c r="Q1013" s="18"/>
      <c r="R1013" s="18"/>
      <c r="S1013" s="240">
        <f>SUM(R1013:R1014)</f>
        <v>100</v>
      </c>
      <c r="T1013" s="240">
        <v>1230</v>
      </c>
      <c r="U1013" s="240">
        <f>T1013-S1013</f>
        <v>1130</v>
      </c>
      <c r="V1013" s="241">
        <f>U1013/T1013</f>
        <v>0.91869918699186992</v>
      </c>
    </row>
    <row r="1014" spans="2:22" ht="13">
      <c r="B1014" s="270"/>
      <c r="C1014" s="246"/>
      <c r="D1014" s="44" t="s">
        <v>33</v>
      </c>
      <c r="E1014" s="21"/>
      <c r="F1014" s="21"/>
      <c r="G1014" s="21">
        <v>100</v>
      </c>
      <c r="H1014" s="238"/>
      <c r="I1014" s="238"/>
      <c r="J1014" s="238"/>
      <c r="K1014" s="243"/>
      <c r="M1014" s="270"/>
      <c r="N1014" s="246"/>
      <c r="O1014" s="44" t="s">
        <v>33</v>
      </c>
      <c r="P1014" s="21"/>
      <c r="Q1014" s="21"/>
      <c r="R1014" s="21">
        <v>100</v>
      </c>
      <c r="S1014" s="238"/>
      <c r="T1014" s="238"/>
      <c r="U1014" s="238"/>
      <c r="V1014" s="243"/>
    </row>
    <row r="1015" spans="2:22" ht="13">
      <c r="B1015" s="270"/>
      <c r="C1015" s="244" t="s">
        <v>1097</v>
      </c>
      <c r="D1015" s="15" t="s">
        <v>23</v>
      </c>
      <c r="E1015" s="16">
        <v>7</v>
      </c>
      <c r="F1015" s="17">
        <v>16</v>
      </c>
      <c r="G1015" s="17">
        <f>E1015*F1015</f>
        <v>112</v>
      </c>
      <c r="H1015" s="240">
        <f>SUM(G1015:G1016)</f>
        <v>112</v>
      </c>
      <c r="I1015" s="240">
        <v>1000</v>
      </c>
      <c r="J1015" s="240">
        <f>I1015-H1015</f>
        <v>888</v>
      </c>
      <c r="K1015" s="241">
        <f>J1015/I1015</f>
        <v>0.88800000000000001</v>
      </c>
      <c r="M1015" s="270"/>
      <c r="N1015" s="244" t="s">
        <v>1097</v>
      </c>
      <c r="O1015" s="15" t="s">
        <v>23</v>
      </c>
      <c r="P1015" s="18"/>
      <c r="Q1015" s="18"/>
      <c r="R1015" s="18"/>
      <c r="S1015" s="240">
        <f>SUM(R1015:R1016)</f>
        <v>0</v>
      </c>
      <c r="T1015" s="240">
        <v>1000</v>
      </c>
      <c r="U1015" s="240">
        <f>T1015-S1015</f>
        <v>1000</v>
      </c>
      <c r="V1015" s="241">
        <f>U1015/T1015</f>
        <v>1</v>
      </c>
    </row>
    <row r="1016" spans="2:22" ht="13">
      <c r="B1016" s="270"/>
      <c r="C1016" s="246"/>
      <c r="D1016" s="44"/>
      <c r="E1016" s="21"/>
      <c r="F1016" s="21"/>
      <c r="G1016" s="21"/>
      <c r="H1016" s="238"/>
      <c r="I1016" s="238"/>
      <c r="J1016" s="238"/>
      <c r="K1016" s="243"/>
      <c r="M1016" s="270"/>
      <c r="N1016" s="246"/>
      <c r="O1016" s="44"/>
      <c r="P1016" s="21"/>
      <c r="Q1016" s="21"/>
      <c r="R1016" s="21"/>
      <c r="S1016" s="238"/>
      <c r="T1016" s="238"/>
      <c r="U1016" s="238"/>
      <c r="V1016" s="243"/>
    </row>
    <row r="1017" spans="2:22" ht="13">
      <c r="B1017" s="270"/>
      <c r="C1017" s="244" t="s">
        <v>1098</v>
      </c>
      <c r="D1017" s="15" t="s">
        <v>23</v>
      </c>
      <c r="E1017" s="16">
        <v>7</v>
      </c>
      <c r="F1017" s="17">
        <v>16</v>
      </c>
      <c r="G1017" s="17">
        <f t="shared" ref="G1017:G1030" si="194">E1017*F1017</f>
        <v>112</v>
      </c>
      <c r="H1017" s="240">
        <f>SUM(G1017:G1031)</f>
        <v>3862.8999999999996</v>
      </c>
      <c r="I1017" s="240">
        <v>16250</v>
      </c>
      <c r="J1017" s="240">
        <f>I1017-H1017</f>
        <v>12387.1</v>
      </c>
      <c r="K1017" s="241">
        <f>J1017/I1017</f>
        <v>0.76228307692307695</v>
      </c>
      <c r="M1017" s="270"/>
      <c r="N1017" s="244" t="s">
        <v>1098</v>
      </c>
      <c r="O1017" s="15" t="s">
        <v>23</v>
      </c>
      <c r="P1017" s="18"/>
      <c r="Q1017" s="18"/>
      <c r="R1017" s="18"/>
      <c r="S1017" s="240">
        <f>SUM(R1017:R1031)</f>
        <v>3372.9</v>
      </c>
      <c r="T1017" s="240">
        <v>16250</v>
      </c>
      <c r="U1017" s="240">
        <f>T1017-S1017</f>
        <v>12877.1</v>
      </c>
      <c r="V1017" s="241">
        <f>U1017/T1017</f>
        <v>0.79243692307692315</v>
      </c>
    </row>
    <row r="1018" spans="2:22" ht="13">
      <c r="B1018" s="270"/>
      <c r="C1018" s="245"/>
      <c r="D1018" s="24" t="s">
        <v>114</v>
      </c>
      <c r="E1018" s="17">
        <v>21</v>
      </c>
      <c r="F1018" s="17">
        <v>18</v>
      </c>
      <c r="G1018" s="17">
        <f t="shared" si="194"/>
        <v>378</v>
      </c>
      <c r="H1018" s="236"/>
      <c r="I1018" s="236"/>
      <c r="J1018" s="236"/>
      <c r="K1018" s="242"/>
      <c r="M1018" s="270"/>
      <c r="N1018" s="245"/>
      <c r="O1018" s="24" t="s">
        <v>114</v>
      </c>
      <c r="P1018" s="18"/>
      <c r="Q1018" s="18"/>
      <c r="R1018" s="18"/>
      <c r="S1018" s="236"/>
      <c r="T1018" s="236"/>
      <c r="U1018" s="236"/>
      <c r="V1018" s="242"/>
    </row>
    <row r="1019" spans="2:22" ht="13">
      <c r="B1019" s="270"/>
      <c r="C1019" s="245"/>
      <c r="D1019" s="24" t="s">
        <v>54</v>
      </c>
      <c r="E1019" s="17">
        <v>13.62</v>
      </c>
      <c r="F1019" s="17">
        <v>15</v>
      </c>
      <c r="G1019" s="17">
        <f t="shared" si="194"/>
        <v>204.29999999999998</v>
      </c>
      <c r="H1019" s="236"/>
      <c r="I1019" s="236"/>
      <c r="J1019" s="236"/>
      <c r="K1019" s="242"/>
      <c r="M1019" s="270"/>
      <c r="N1019" s="245"/>
      <c r="O1019" s="24" t="s">
        <v>54</v>
      </c>
      <c r="P1019" s="17">
        <v>13.62</v>
      </c>
      <c r="Q1019" s="17">
        <v>15</v>
      </c>
      <c r="R1019" s="17">
        <f t="shared" ref="R1019:R1030" si="195">P1019*Q1019</f>
        <v>204.29999999999998</v>
      </c>
      <c r="S1019" s="236"/>
      <c r="T1019" s="236"/>
      <c r="U1019" s="236"/>
      <c r="V1019" s="242"/>
    </row>
    <row r="1020" spans="2:22" ht="13">
      <c r="B1020" s="270"/>
      <c r="C1020" s="245"/>
      <c r="D1020" s="24" t="s">
        <v>744</v>
      </c>
      <c r="E1020" s="17">
        <v>5.3</v>
      </c>
      <c r="F1020" s="17">
        <v>15</v>
      </c>
      <c r="G1020" s="17">
        <f t="shared" si="194"/>
        <v>79.5</v>
      </c>
      <c r="H1020" s="236"/>
      <c r="I1020" s="236"/>
      <c r="J1020" s="236"/>
      <c r="K1020" s="242"/>
      <c r="M1020" s="270"/>
      <c r="N1020" s="245"/>
      <c r="O1020" s="24" t="s">
        <v>744</v>
      </c>
      <c r="P1020" s="17">
        <v>5.3</v>
      </c>
      <c r="Q1020" s="17">
        <v>15</v>
      </c>
      <c r="R1020" s="17">
        <f t="shared" si="195"/>
        <v>79.5</v>
      </c>
      <c r="S1020" s="236"/>
      <c r="T1020" s="236"/>
      <c r="U1020" s="236"/>
      <c r="V1020" s="242"/>
    </row>
    <row r="1021" spans="2:22" ht="13">
      <c r="B1021" s="270"/>
      <c r="C1021" s="245"/>
      <c r="D1021" s="24" t="s">
        <v>1099</v>
      </c>
      <c r="E1021" s="17">
        <v>13.57</v>
      </c>
      <c r="F1021" s="17">
        <v>15</v>
      </c>
      <c r="G1021" s="17">
        <f t="shared" si="194"/>
        <v>203.55</v>
      </c>
      <c r="H1021" s="236"/>
      <c r="I1021" s="236"/>
      <c r="J1021" s="236"/>
      <c r="K1021" s="242"/>
      <c r="M1021" s="270"/>
      <c r="N1021" s="245"/>
      <c r="O1021" s="24" t="s">
        <v>1099</v>
      </c>
      <c r="P1021" s="17">
        <v>13.57</v>
      </c>
      <c r="Q1021" s="17">
        <v>15</v>
      </c>
      <c r="R1021" s="17">
        <f t="shared" si="195"/>
        <v>203.55</v>
      </c>
      <c r="S1021" s="236"/>
      <c r="T1021" s="236"/>
      <c r="U1021" s="236"/>
      <c r="V1021" s="242"/>
    </row>
    <row r="1022" spans="2:22" ht="13">
      <c r="B1022" s="270"/>
      <c r="C1022" s="245"/>
      <c r="D1022" s="24" t="s">
        <v>106</v>
      </c>
      <c r="E1022" s="17">
        <v>17.97</v>
      </c>
      <c r="F1022" s="17">
        <v>15</v>
      </c>
      <c r="G1022" s="17">
        <f t="shared" si="194"/>
        <v>269.54999999999995</v>
      </c>
      <c r="H1022" s="236"/>
      <c r="I1022" s="236"/>
      <c r="J1022" s="236"/>
      <c r="K1022" s="242"/>
      <c r="M1022" s="270"/>
      <c r="N1022" s="245"/>
      <c r="O1022" s="24" t="s">
        <v>106</v>
      </c>
      <c r="P1022" s="17">
        <v>17.97</v>
      </c>
      <c r="Q1022" s="17">
        <v>15</v>
      </c>
      <c r="R1022" s="17">
        <f t="shared" si="195"/>
        <v>269.54999999999995</v>
      </c>
      <c r="S1022" s="236"/>
      <c r="T1022" s="236"/>
      <c r="U1022" s="236"/>
      <c r="V1022" s="242"/>
    </row>
    <row r="1023" spans="2:22" ht="13">
      <c r="B1023" s="270"/>
      <c r="C1023" s="245"/>
      <c r="D1023" s="24" t="s">
        <v>80</v>
      </c>
      <c r="E1023" s="17">
        <v>14.44</v>
      </c>
      <c r="F1023" s="17">
        <v>15</v>
      </c>
      <c r="G1023" s="17">
        <f t="shared" si="194"/>
        <v>216.6</v>
      </c>
      <c r="H1023" s="236"/>
      <c r="I1023" s="236"/>
      <c r="J1023" s="236"/>
      <c r="K1023" s="242"/>
      <c r="M1023" s="270"/>
      <c r="N1023" s="245"/>
      <c r="O1023" s="24" t="s">
        <v>80</v>
      </c>
      <c r="P1023" s="17">
        <v>14.44</v>
      </c>
      <c r="Q1023" s="17">
        <v>15</v>
      </c>
      <c r="R1023" s="17">
        <f t="shared" si="195"/>
        <v>216.6</v>
      </c>
      <c r="S1023" s="236"/>
      <c r="T1023" s="236"/>
      <c r="U1023" s="236"/>
      <c r="V1023" s="242"/>
    </row>
    <row r="1024" spans="2:22" ht="13">
      <c r="B1024" s="270"/>
      <c r="C1024" s="245"/>
      <c r="D1024" s="24" t="s">
        <v>1100</v>
      </c>
      <c r="E1024" s="17">
        <v>26.77</v>
      </c>
      <c r="F1024" s="17">
        <v>15</v>
      </c>
      <c r="G1024" s="17">
        <f t="shared" si="194"/>
        <v>401.55</v>
      </c>
      <c r="H1024" s="236"/>
      <c r="I1024" s="236"/>
      <c r="J1024" s="236"/>
      <c r="K1024" s="242"/>
      <c r="M1024" s="270"/>
      <c r="N1024" s="245"/>
      <c r="O1024" s="24" t="s">
        <v>1100</v>
      </c>
      <c r="P1024" s="17">
        <v>26.77</v>
      </c>
      <c r="Q1024" s="17">
        <v>15</v>
      </c>
      <c r="R1024" s="17">
        <f t="shared" si="195"/>
        <v>401.55</v>
      </c>
      <c r="S1024" s="236"/>
      <c r="T1024" s="236"/>
      <c r="U1024" s="236"/>
      <c r="V1024" s="242"/>
    </row>
    <row r="1025" spans="2:22" ht="13">
      <c r="B1025" s="270"/>
      <c r="C1025" s="245"/>
      <c r="D1025" s="24" t="s">
        <v>178</v>
      </c>
      <c r="E1025" s="17">
        <v>23.43</v>
      </c>
      <c r="F1025" s="17">
        <v>15</v>
      </c>
      <c r="G1025" s="17">
        <f t="shared" si="194"/>
        <v>351.45</v>
      </c>
      <c r="H1025" s="236"/>
      <c r="I1025" s="236"/>
      <c r="J1025" s="236"/>
      <c r="K1025" s="242"/>
      <c r="M1025" s="270"/>
      <c r="N1025" s="245"/>
      <c r="O1025" s="24" t="s">
        <v>178</v>
      </c>
      <c r="P1025" s="17">
        <v>23.43</v>
      </c>
      <c r="Q1025" s="17">
        <v>15</v>
      </c>
      <c r="R1025" s="17">
        <f t="shared" si="195"/>
        <v>351.45</v>
      </c>
      <c r="S1025" s="236"/>
      <c r="T1025" s="236"/>
      <c r="U1025" s="236"/>
      <c r="V1025" s="242"/>
    </row>
    <row r="1026" spans="2:22" ht="13">
      <c r="B1026" s="270"/>
      <c r="C1026" s="245"/>
      <c r="D1026" s="24" t="s">
        <v>58</v>
      </c>
      <c r="E1026" s="17">
        <v>36.9</v>
      </c>
      <c r="F1026" s="17">
        <v>15</v>
      </c>
      <c r="G1026" s="17">
        <f t="shared" si="194"/>
        <v>553.5</v>
      </c>
      <c r="H1026" s="236"/>
      <c r="I1026" s="236"/>
      <c r="J1026" s="236"/>
      <c r="K1026" s="242"/>
      <c r="M1026" s="270"/>
      <c r="N1026" s="245"/>
      <c r="O1026" s="24" t="s">
        <v>58</v>
      </c>
      <c r="P1026" s="17">
        <v>36.9</v>
      </c>
      <c r="Q1026" s="17">
        <v>15</v>
      </c>
      <c r="R1026" s="17">
        <f t="shared" si="195"/>
        <v>553.5</v>
      </c>
      <c r="S1026" s="236"/>
      <c r="T1026" s="236"/>
      <c r="U1026" s="236"/>
      <c r="V1026" s="242"/>
    </row>
    <row r="1027" spans="2:22" ht="13">
      <c r="B1027" s="270"/>
      <c r="C1027" s="245"/>
      <c r="D1027" s="24" t="s">
        <v>38</v>
      </c>
      <c r="E1027" s="17">
        <v>27.12</v>
      </c>
      <c r="F1027" s="17">
        <v>15</v>
      </c>
      <c r="G1027" s="17">
        <f t="shared" si="194"/>
        <v>406.8</v>
      </c>
      <c r="H1027" s="236"/>
      <c r="I1027" s="236"/>
      <c r="J1027" s="236"/>
      <c r="K1027" s="242"/>
      <c r="M1027" s="270"/>
      <c r="N1027" s="245"/>
      <c r="O1027" s="24" t="s">
        <v>38</v>
      </c>
      <c r="P1027" s="17">
        <v>27.12</v>
      </c>
      <c r="Q1027" s="17">
        <v>15</v>
      </c>
      <c r="R1027" s="17">
        <f t="shared" si="195"/>
        <v>406.8</v>
      </c>
      <c r="S1027" s="236"/>
      <c r="T1027" s="236"/>
      <c r="U1027" s="236"/>
      <c r="V1027" s="242"/>
    </row>
    <row r="1028" spans="2:22" ht="13">
      <c r="B1028" s="270"/>
      <c r="C1028" s="245"/>
      <c r="D1028" s="24" t="s">
        <v>1094</v>
      </c>
      <c r="E1028" s="17">
        <v>15.15</v>
      </c>
      <c r="F1028" s="17">
        <v>15</v>
      </c>
      <c r="G1028" s="17">
        <f t="shared" si="194"/>
        <v>227.25</v>
      </c>
      <c r="H1028" s="236"/>
      <c r="I1028" s="236"/>
      <c r="J1028" s="236"/>
      <c r="K1028" s="242"/>
      <c r="M1028" s="270"/>
      <c r="N1028" s="245"/>
      <c r="O1028" s="24" t="s">
        <v>1094</v>
      </c>
      <c r="P1028" s="17">
        <v>15.15</v>
      </c>
      <c r="Q1028" s="17">
        <v>15</v>
      </c>
      <c r="R1028" s="17">
        <f t="shared" si="195"/>
        <v>227.25</v>
      </c>
      <c r="S1028" s="236"/>
      <c r="T1028" s="236"/>
      <c r="U1028" s="236"/>
      <c r="V1028" s="242"/>
    </row>
    <row r="1029" spans="2:22" ht="13">
      <c r="B1029" s="270"/>
      <c r="C1029" s="245"/>
      <c r="D1029" s="24" t="s">
        <v>1101</v>
      </c>
      <c r="E1029" s="17">
        <v>26.7</v>
      </c>
      <c r="F1029" s="17">
        <v>15</v>
      </c>
      <c r="G1029" s="17">
        <f t="shared" si="194"/>
        <v>400.5</v>
      </c>
      <c r="H1029" s="236"/>
      <c r="I1029" s="236"/>
      <c r="J1029" s="236"/>
      <c r="K1029" s="242"/>
      <c r="M1029" s="270"/>
      <c r="N1029" s="245"/>
      <c r="O1029" s="24" t="s">
        <v>1101</v>
      </c>
      <c r="P1029" s="17">
        <v>26.7</v>
      </c>
      <c r="Q1029" s="17">
        <v>15</v>
      </c>
      <c r="R1029" s="17">
        <f t="shared" si="195"/>
        <v>400.5</v>
      </c>
      <c r="S1029" s="236"/>
      <c r="T1029" s="236"/>
      <c r="U1029" s="236"/>
      <c r="V1029" s="242"/>
    </row>
    <row r="1030" spans="2:22" ht="13">
      <c r="B1030" s="270"/>
      <c r="C1030" s="245"/>
      <c r="D1030" s="24" t="s">
        <v>70</v>
      </c>
      <c r="E1030" s="17">
        <v>3.89</v>
      </c>
      <c r="F1030" s="17">
        <v>15</v>
      </c>
      <c r="G1030" s="17">
        <f t="shared" si="194"/>
        <v>58.35</v>
      </c>
      <c r="H1030" s="236"/>
      <c r="I1030" s="236"/>
      <c r="J1030" s="236"/>
      <c r="K1030" s="242"/>
      <c r="M1030" s="270"/>
      <c r="N1030" s="245"/>
      <c r="O1030" s="24" t="s">
        <v>70</v>
      </c>
      <c r="P1030" s="17">
        <v>3.89</v>
      </c>
      <c r="Q1030" s="17">
        <v>15</v>
      </c>
      <c r="R1030" s="17">
        <f t="shared" si="195"/>
        <v>58.35</v>
      </c>
      <c r="S1030" s="236"/>
      <c r="T1030" s="236"/>
      <c r="U1030" s="236"/>
      <c r="V1030" s="242"/>
    </row>
    <row r="1031" spans="2:22" ht="13">
      <c r="B1031" s="270"/>
      <c r="C1031" s="246"/>
      <c r="D1031" s="44"/>
      <c r="E1031" s="21"/>
      <c r="F1031" s="21"/>
      <c r="G1031" s="21"/>
      <c r="H1031" s="238"/>
      <c r="I1031" s="238"/>
      <c r="J1031" s="238"/>
      <c r="K1031" s="243"/>
      <c r="M1031" s="270"/>
      <c r="N1031" s="246"/>
      <c r="O1031" s="44"/>
      <c r="P1031" s="21"/>
      <c r="Q1031" s="21"/>
      <c r="R1031" s="21"/>
      <c r="S1031" s="238"/>
      <c r="T1031" s="238"/>
      <c r="U1031" s="238"/>
      <c r="V1031" s="243"/>
    </row>
    <row r="1032" spans="2:22" ht="13">
      <c r="B1032" s="270"/>
      <c r="C1032" s="244" t="s">
        <v>1102</v>
      </c>
      <c r="D1032" s="15" t="s">
        <v>38</v>
      </c>
      <c r="E1032" s="16">
        <v>3</v>
      </c>
      <c r="F1032" s="17">
        <v>13</v>
      </c>
      <c r="G1032" s="17">
        <f>E1032*F1032</f>
        <v>39</v>
      </c>
      <c r="H1032" s="240">
        <f>SUM(G1032:G1033)</f>
        <v>68.63</v>
      </c>
      <c r="I1032" s="240">
        <v>1358.5</v>
      </c>
      <c r="J1032" s="240">
        <f>I1032-H1032</f>
        <v>1289.8699999999999</v>
      </c>
      <c r="K1032" s="241">
        <f>J1032/I1032</f>
        <v>0.94948104527051891</v>
      </c>
      <c r="M1032" s="270"/>
      <c r="N1032" s="244" t="s">
        <v>1102</v>
      </c>
      <c r="O1032" s="15" t="s">
        <v>38</v>
      </c>
      <c r="P1032" s="16">
        <v>3</v>
      </c>
      <c r="Q1032" s="17">
        <v>13</v>
      </c>
      <c r="R1032" s="17">
        <f>P1032*Q1032</f>
        <v>39</v>
      </c>
      <c r="S1032" s="240">
        <f>SUM(R1032:R1033)</f>
        <v>68.63</v>
      </c>
      <c r="T1032" s="240">
        <v>1358.5</v>
      </c>
      <c r="U1032" s="240">
        <f>T1032-S1032</f>
        <v>1289.8699999999999</v>
      </c>
      <c r="V1032" s="241">
        <f>U1032/T1032</f>
        <v>0.94948104527051891</v>
      </c>
    </row>
    <row r="1033" spans="2:22" ht="13">
      <c r="B1033" s="270"/>
      <c r="C1033" s="246"/>
      <c r="D1033" s="44" t="s">
        <v>33</v>
      </c>
      <c r="E1033" s="21"/>
      <c r="F1033" s="21"/>
      <c r="G1033" s="21">
        <v>29.63</v>
      </c>
      <c r="H1033" s="238"/>
      <c r="I1033" s="238"/>
      <c r="J1033" s="238"/>
      <c r="K1033" s="243"/>
      <c r="M1033" s="270"/>
      <c r="N1033" s="246"/>
      <c r="O1033" s="44" t="s">
        <v>33</v>
      </c>
      <c r="P1033" s="21"/>
      <c r="Q1033" s="21"/>
      <c r="R1033" s="21">
        <v>29.63</v>
      </c>
      <c r="S1033" s="238"/>
      <c r="T1033" s="238"/>
      <c r="U1033" s="238"/>
      <c r="V1033" s="243"/>
    </row>
    <row r="1034" spans="2:22" ht="13">
      <c r="B1034" s="270"/>
      <c r="C1034" s="244" t="s">
        <v>1103</v>
      </c>
      <c r="D1034" s="15" t="s">
        <v>114</v>
      </c>
      <c r="E1034" s="16">
        <v>14</v>
      </c>
      <c r="F1034" s="17">
        <v>18</v>
      </c>
      <c r="G1034" s="17">
        <f t="shared" ref="G1034:G1038" si="196">E1034*F1034</f>
        <v>252</v>
      </c>
      <c r="H1034" s="240">
        <f>SUM(G1034:G1043)</f>
        <v>1672.04</v>
      </c>
      <c r="I1034" s="240">
        <v>3550.4</v>
      </c>
      <c r="J1034" s="240">
        <f>I1034-H1034</f>
        <v>1878.3600000000001</v>
      </c>
      <c r="K1034" s="241">
        <f>J1034/I1034</f>
        <v>0.5290558810274899</v>
      </c>
      <c r="M1034" s="270"/>
      <c r="N1034" s="244" t="s">
        <v>1103</v>
      </c>
      <c r="O1034" s="15" t="s">
        <v>114</v>
      </c>
      <c r="P1034" s="18"/>
      <c r="Q1034" s="18"/>
      <c r="R1034" s="18"/>
      <c r="S1034" s="240">
        <f>SUM(R1034:R1043)</f>
        <v>1420.04</v>
      </c>
      <c r="T1034" s="240">
        <v>3550.4</v>
      </c>
      <c r="U1034" s="240">
        <f>T1034-S1034</f>
        <v>2130.36</v>
      </c>
      <c r="V1034" s="241">
        <f>U1034/T1034</f>
        <v>0.60003379900856246</v>
      </c>
    </row>
    <row r="1035" spans="2:22" ht="13">
      <c r="B1035" s="270"/>
      <c r="C1035" s="245"/>
      <c r="D1035" s="24" t="s">
        <v>70</v>
      </c>
      <c r="E1035" s="17">
        <v>16.8</v>
      </c>
      <c r="F1035" s="17">
        <v>17</v>
      </c>
      <c r="G1035" s="17">
        <f t="shared" si="196"/>
        <v>285.60000000000002</v>
      </c>
      <c r="H1035" s="236"/>
      <c r="I1035" s="236"/>
      <c r="J1035" s="236"/>
      <c r="K1035" s="242"/>
      <c r="M1035" s="270"/>
      <c r="N1035" s="245"/>
      <c r="O1035" s="24" t="s">
        <v>70</v>
      </c>
      <c r="P1035" s="17">
        <v>16.8</v>
      </c>
      <c r="Q1035" s="17">
        <v>17</v>
      </c>
      <c r="R1035" s="17">
        <f t="shared" ref="R1035:R1038" si="197">P1035*Q1035</f>
        <v>285.60000000000002</v>
      </c>
      <c r="S1035" s="236"/>
      <c r="T1035" s="236"/>
      <c r="U1035" s="236"/>
      <c r="V1035" s="242"/>
    </row>
    <row r="1036" spans="2:22" ht="13">
      <c r="B1036" s="270"/>
      <c r="C1036" s="245"/>
      <c r="D1036" s="24" t="s">
        <v>744</v>
      </c>
      <c r="E1036" s="17">
        <v>16.86</v>
      </c>
      <c r="F1036" s="17">
        <v>17</v>
      </c>
      <c r="G1036" s="17">
        <f t="shared" si="196"/>
        <v>286.62</v>
      </c>
      <c r="H1036" s="236"/>
      <c r="I1036" s="236"/>
      <c r="J1036" s="236"/>
      <c r="K1036" s="242"/>
      <c r="M1036" s="270"/>
      <c r="N1036" s="245"/>
      <c r="O1036" s="24" t="s">
        <v>744</v>
      </c>
      <c r="P1036" s="17">
        <v>16.86</v>
      </c>
      <c r="Q1036" s="17">
        <v>17</v>
      </c>
      <c r="R1036" s="17">
        <f t="shared" si="197"/>
        <v>286.62</v>
      </c>
      <c r="S1036" s="236"/>
      <c r="T1036" s="236"/>
      <c r="U1036" s="236"/>
      <c r="V1036" s="242"/>
    </row>
    <row r="1037" spans="2:22" ht="13">
      <c r="B1037" s="270"/>
      <c r="C1037" s="245"/>
      <c r="D1037" s="24" t="s">
        <v>53</v>
      </c>
      <c r="E1037" s="17">
        <v>8</v>
      </c>
      <c r="F1037" s="17">
        <v>17</v>
      </c>
      <c r="G1037" s="17">
        <f t="shared" si="196"/>
        <v>136</v>
      </c>
      <c r="H1037" s="236"/>
      <c r="I1037" s="236"/>
      <c r="J1037" s="236"/>
      <c r="K1037" s="242"/>
      <c r="M1037" s="270"/>
      <c r="N1037" s="245"/>
      <c r="O1037" s="24" t="s">
        <v>53</v>
      </c>
      <c r="P1037" s="17">
        <v>8</v>
      </c>
      <c r="Q1037" s="17">
        <v>17</v>
      </c>
      <c r="R1037" s="17">
        <f t="shared" si="197"/>
        <v>136</v>
      </c>
      <c r="S1037" s="236"/>
      <c r="T1037" s="236"/>
      <c r="U1037" s="236"/>
      <c r="V1037" s="242"/>
    </row>
    <row r="1038" spans="2:22" ht="13">
      <c r="B1038" s="270"/>
      <c r="C1038" s="245"/>
      <c r="D1038" s="24" t="s">
        <v>62</v>
      </c>
      <c r="E1038" s="17">
        <v>8</v>
      </c>
      <c r="F1038" s="17">
        <v>17</v>
      </c>
      <c r="G1038" s="17">
        <f t="shared" si="196"/>
        <v>136</v>
      </c>
      <c r="H1038" s="236"/>
      <c r="I1038" s="236"/>
      <c r="J1038" s="236"/>
      <c r="K1038" s="242"/>
      <c r="M1038" s="270"/>
      <c r="N1038" s="245"/>
      <c r="O1038" s="24" t="s">
        <v>62</v>
      </c>
      <c r="P1038" s="17">
        <v>8</v>
      </c>
      <c r="Q1038" s="17">
        <v>17</v>
      </c>
      <c r="R1038" s="17">
        <f t="shared" si="197"/>
        <v>136</v>
      </c>
      <c r="S1038" s="236"/>
      <c r="T1038" s="236"/>
      <c r="U1038" s="236"/>
      <c r="V1038" s="242"/>
    </row>
    <row r="1039" spans="2:22" ht="13">
      <c r="B1039" s="270"/>
      <c r="C1039" s="245"/>
      <c r="D1039" s="24" t="s">
        <v>47</v>
      </c>
      <c r="E1039" s="17"/>
      <c r="F1039" s="17"/>
      <c r="G1039" s="17">
        <v>104.69</v>
      </c>
      <c r="H1039" s="236"/>
      <c r="I1039" s="236"/>
      <c r="J1039" s="236"/>
      <c r="K1039" s="242"/>
      <c r="M1039" s="270"/>
      <c r="N1039" s="245"/>
      <c r="O1039" s="24" t="s">
        <v>47</v>
      </c>
      <c r="P1039" s="17"/>
      <c r="Q1039" s="17"/>
      <c r="R1039" s="17">
        <v>104.69</v>
      </c>
      <c r="S1039" s="236"/>
      <c r="T1039" s="236"/>
      <c r="U1039" s="236"/>
      <c r="V1039" s="242"/>
    </row>
    <row r="1040" spans="2:22" ht="13">
      <c r="B1040" s="270"/>
      <c r="C1040" s="245"/>
      <c r="D1040" s="54" t="s">
        <v>395</v>
      </c>
      <c r="E1040" s="19"/>
      <c r="F1040" s="19"/>
      <c r="G1040" s="17">
        <v>101</v>
      </c>
      <c r="H1040" s="236"/>
      <c r="I1040" s="236"/>
      <c r="J1040" s="236"/>
      <c r="K1040" s="242"/>
      <c r="M1040" s="270"/>
      <c r="N1040" s="245"/>
      <c r="O1040" s="54" t="s">
        <v>395</v>
      </c>
      <c r="P1040" s="19"/>
      <c r="Q1040" s="19"/>
      <c r="R1040" s="17">
        <v>101</v>
      </c>
      <c r="S1040" s="236"/>
      <c r="T1040" s="236"/>
      <c r="U1040" s="236"/>
      <c r="V1040" s="242"/>
    </row>
    <row r="1041" spans="2:22" ht="13">
      <c r="B1041" s="270"/>
      <c r="C1041" s="245"/>
      <c r="D1041" s="54" t="s">
        <v>212</v>
      </c>
      <c r="E1041" s="19"/>
      <c r="F1041" s="19"/>
      <c r="G1041" s="17">
        <v>80</v>
      </c>
      <c r="H1041" s="236"/>
      <c r="I1041" s="236"/>
      <c r="J1041" s="236"/>
      <c r="K1041" s="242"/>
      <c r="M1041" s="270"/>
      <c r="N1041" s="245"/>
      <c r="O1041" s="54" t="s">
        <v>212</v>
      </c>
      <c r="P1041" s="19"/>
      <c r="Q1041" s="19"/>
      <c r="R1041" s="17">
        <v>80</v>
      </c>
      <c r="S1041" s="236"/>
      <c r="T1041" s="236"/>
      <c r="U1041" s="236"/>
      <c r="V1041" s="242"/>
    </row>
    <row r="1042" spans="2:22" ht="13">
      <c r="B1042" s="270"/>
      <c r="C1042" s="245"/>
      <c r="D1042" s="24" t="s">
        <v>46</v>
      </c>
      <c r="E1042" s="17"/>
      <c r="F1042" s="17"/>
      <c r="G1042" s="17">
        <v>160</v>
      </c>
      <c r="H1042" s="236"/>
      <c r="I1042" s="236"/>
      <c r="J1042" s="236"/>
      <c r="K1042" s="242"/>
      <c r="M1042" s="270"/>
      <c r="N1042" s="245"/>
      <c r="O1042" s="24" t="s">
        <v>46</v>
      </c>
      <c r="P1042" s="17"/>
      <c r="Q1042" s="17"/>
      <c r="R1042" s="17">
        <v>160</v>
      </c>
      <c r="S1042" s="236"/>
      <c r="T1042" s="236"/>
      <c r="U1042" s="236"/>
      <c r="V1042" s="242"/>
    </row>
    <row r="1043" spans="2:22" ht="13">
      <c r="B1043" s="270"/>
      <c r="C1043" s="246"/>
      <c r="D1043" s="44" t="s">
        <v>33</v>
      </c>
      <c r="E1043" s="21"/>
      <c r="F1043" s="21"/>
      <c r="G1043" s="21">
        <v>130.13</v>
      </c>
      <c r="H1043" s="238"/>
      <c r="I1043" s="238"/>
      <c r="J1043" s="238"/>
      <c r="K1043" s="243"/>
      <c r="M1043" s="270"/>
      <c r="N1043" s="246"/>
      <c r="O1043" s="44" t="s">
        <v>33</v>
      </c>
      <c r="P1043" s="21"/>
      <c r="Q1043" s="21"/>
      <c r="R1043" s="21">
        <v>130.13</v>
      </c>
      <c r="S1043" s="238"/>
      <c r="T1043" s="238"/>
      <c r="U1043" s="238"/>
      <c r="V1043" s="243"/>
    </row>
    <row r="1044" spans="2:22" ht="13">
      <c r="B1044" s="270"/>
      <c r="C1044" s="244" t="s">
        <v>1104</v>
      </c>
      <c r="D1044" s="15" t="s">
        <v>23</v>
      </c>
      <c r="E1044" s="16"/>
      <c r="F1044" s="17"/>
      <c r="G1044" s="17">
        <v>250</v>
      </c>
      <c r="H1044" s="240">
        <f>SUM(G1044:G1047)</f>
        <v>496.65999999999997</v>
      </c>
      <c r="I1044" s="240">
        <v>3035.2</v>
      </c>
      <c r="J1044" s="240">
        <f>I1044-H1044</f>
        <v>2538.54</v>
      </c>
      <c r="K1044" s="241">
        <f>J1044/I1044</f>
        <v>0.83636663152345814</v>
      </c>
      <c r="M1044" s="270"/>
      <c r="N1044" s="244" t="s">
        <v>1104</v>
      </c>
      <c r="O1044" s="15" t="s">
        <v>23</v>
      </c>
      <c r="P1044" s="16"/>
      <c r="Q1044" s="17"/>
      <c r="R1044" s="17">
        <v>250</v>
      </c>
      <c r="S1044" s="240">
        <f>SUM(R1044:R1047)</f>
        <v>496.65999999999997</v>
      </c>
      <c r="T1044" s="240">
        <v>3035.2</v>
      </c>
      <c r="U1044" s="240">
        <f>T1044-S1044</f>
        <v>2538.54</v>
      </c>
      <c r="V1044" s="241">
        <f>U1044/T1044</f>
        <v>0.83636663152345814</v>
      </c>
    </row>
    <row r="1045" spans="2:22" ht="13">
      <c r="B1045" s="270"/>
      <c r="C1045" s="245"/>
      <c r="D1045" s="19" t="s">
        <v>45</v>
      </c>
      <c r="E1045" s="17"/>
      <c r="F1045" s="17"/>
      <c r="G1045" s="17">
        <v>90.01</v>
      </c>
      <c r="H1045" s="236"/>
      <c r="I1045" s="236"/>
      <c r="J1045" s="236"/>
      <c r="K1045" s="242"/>
      <c r="M1045" s="270"/>
      <c r="N1045" s="245"/>
      <c r="O1045" s="19" t="s">
        <v>45</v>
      </c>
      <c r="P1045" s="17"/>
      <c r="Q1045" s="17"/>
      <c r="R1045" s="17">
        <v>90.01</v>
      </c>
      <c r="S1045" s="236"/>
      <c r="T1045" s="236"/>
      <c r="U1045" s="236"/>
      <c r="V1045" s="242"/>
    </row>
    <row r="1046" spans="2:22" ht="13">
      <c r="B1046" s="270"/>
      <c r="C1046" s="245"/>
      <c r="D1046" s="19" t="s">
        <v>212</v>
      </c>
      <c r="E1046" s="17"/>
      <c r="F1046" s="17"/>
      <c r="G1046" s="17">
        <v>32.299999999999997</v>
      </c>
      <c r="H1046" s="236"/>
      <c r="I1046" s="236"/>
      <c r="J1046" s="236"/>
      <c r="K1046" s="242"/>
      <c r="M1046" s="270"/>
      <c r="N1046" s="245"/>
      <c r="O1046" s="19" t="s">
        <v>212</v>
      </c>
      <c r="P1046" s="17"/>
      <c r="Q1046" s="17"/>
      <c r="R1046" s="17">
        <v>32.299999999999997</v>
      </c>
      <c r="S1046" s="236"/>
      <c r="T1046" s="236"/>
      <c r="U1046" s="236"/>
      <c r="V1046" s="242"/>
    </row>
    <row r="1047" spans="2:22" ht="13">
      <c r="B1047" s="270"/>
      <c r="C1047" s="246"/>
      <c r="D1047" s="44" t="s">
        <v>33</v>
      </c>
      <c r="E1047" s="21"/>
      <c r="F1047" s="21"/>
      <c r="G1047" s="21">
        <v>124.35</v>
      </c>
      <c r="H1047" s="238"/>
      <c r="I1047" s="238"/>
      <c r="J1047" s="238"/>
      <c r="K1047" s="243"/>
      <c r="M1047" s="270"/>
      <c r="N1047" s="246"/>
      <c r="O1047" s="44" t="s">
        <v>33</v>
      </c>
      <c r="P1047" s="21"/>
      <c r="Q1047" s="21"/>
      <c r="R1047" s="21">
        <v>124.35</v>
      </c>
      <c r="S1047" s="238"/>
      <c r="T1047" s="238"/>
      <c r="U1047" s="238"/>
      <c r="V1047" s="243"/>
    </row>
    <row r="1048" spans="2:22" ht="13">
      <c r="B1048" s="270"/>
      <c r="C1048" s="244" t="s">
        <v>1105</v>
      </c>
      <c r="D1048" s="15" t="s">
        <v>70</v>
      </c>
      <c r="E1048" s="17">
        <v>4.17</v>
      </c>
      <c r="F1048" s="17">
        <v>13</v>
      </c>
      <c r="G1048" s="17">
        <f t="shared" ref="G1048:G1050" si="198">E1048*F1048</f>
        <v>54.21</v>
      </c>
      <c r="H1048" s="240">
        <f>SUM(G1048:G1051)</f>
        <v>396.94</v>
      </c>
      <c r="I1048" s="240">
        <v>3675</v>
      </c>
      <c r="J1048" s="240">
        <f>I1048-H1048</f>
        <v>3278.06</v>
      </c>
      <c r="K1048" s="241">
        <f>J1048/I1048</f>
        <v>0.89198911564625849</v>
      </c>
      <c r="M1048" s="270"/>
      <c r="N1048" s="244" t="s">
        <v>1105</v>
      </c>
      <c r="O1048" s="15" t="s">
        <v>70</v>
      </c>
      <c r="P1048" s="16">
        <v>13</v>
      </c>
      <c r="Q1048" s="17">
        <v>4.17</v>
      </c>
      <c r="R1048" s="17">
        <f t="shared" ref="R1048:R1050" si="199">P1048*Q1048</f>
        <v>54.21</v>
      </c>
      <c r="S1048" s="240">
        <f>SUM(R1048:R1051)</f>
        <v>396.94</v>
      </c>
      <c r="T1048" s="240">
        <v>3675</v>
      </c>
      <c r="U1048" s="240">
        <f>T1048-S1048</f>
        <v>3278.06</v>
      </c>
      <c r="V1048" s="241">
        <f>U1048/T1048</f>
        <v>0.89198911564625849</v>
      </c>
    </row>
    <row r="1049" spans="2:22" ht="13">
      <c r="B1049" s="270"/>
      <c r="C1049" s="245"/>
      <c r="D1049" s="19" t="s">
        <v>1106</v>
      </c>
      <c r="E1049" s="17">
        <v>3.95</v>
      </c>
      <c r="F1049" s="17">
        <v>13</v>
      </c>
      <c r="G1049" s="17">
        <f t="shared" si="198"/>
        <v>51.35</v>
      </c>
      <c r="H1049" s="236"/>
      <c r="I1049" s="236"/>
      <c r="J1049" s="236"/>
      <c r="K1049" s="242"/>
      <c r="M1049" s="270"/>
      <c r="N1049" s="245"/>
      <c r="O1049" s="19" t="s">
        <v>1106</v>
      </c>
      <c r="P1049" s="17">
        <v>13</v>
      </c>
      <c r="Q1049" s="17">
        <v>3.95</v>
      </c>
      <c r="R1049" s="17">
        <f t="shared" si="199"/>
        <v>51.35</v>
      </c>
      <c r="S1049" s="236"/>
      <c r="T1049" s="236"/>
      <c r="U1049" s="236"/>
      <c r="V1049" s="242"/>
    </row>
    <row r="1050" spans="2:22" ht="13">
      <c r="B1050" s="270"/>
      <c r="C1050" s="245"/>
      <c r="D1050" s="19" t="s">
        <v>32</v>
      </c>
      <c r="E1050" s="17">
        <v>3</v>
      </c>
      <c r="F1050" s="17">
        <v>13</v>
      </c>
      <c r="G1050" s="17">
        <f t="shared" si="198"/>
        <v>39</v>
      </c>
      <c r="H1050" s="236"/>
      <c r="I1050" s="236"/>
      <c r="J1050" s="236"/>
      <c r="K1050" s="242"/>
      <c r="M1050" s="270"/>
      <c r="N1050" s="245"/>
      <c r="O1050" s="19" t="s">
        <v>32</v>
      </c>
      <c r="P1050" s="17">
        <v>13</v>
      </c>
      <c r="Q1050" s="17">
        <v>3</v>
      </c>
      <c r="R1050" s="17">
        <f t="shared" si="199"/>
        <v>39</v>
      </c>
      <c r="S1050" s="236"/>
      <c r="T1050" s="236"/>
      <c r="U1050" s="236"/>
      <c r="V1050" s="242"/>
    </row>
    <row r="1051" spans="2:22" ht="13">
      <c r="B1051" s="270"/>
      <c r="C1051" s="246"/>
      <c r="D1051" s="44" t="s">
        <v>33</v>
      </c>
      <c r="E1051" s="21"/>
      <c r="F1051" s="21"/>
      <c r="G1051" s="21">
        <v>252.38</v>
      </c>
      <c r="H1051" s="238"/>
      <c r="I1051" s="238"/>
      <c r="J1051" s="238"/>
      <c r="K1051" s="243"/>
      <c r="M1051" s="270"/>
      <c r="N1051" s="246"/>
      <c r="O1051" s="44" t="s">
        <v>33</v>
      </c>
      <c r="P1051" s="21"/>
      <c r="Q1051" s="21"/>
      <c r="R1051" s="21">
        <v>252.38</v>
      </c>
      <c r="S1051" s="238"/>
      <c r="T1051" s="238"/>
      <c r="U1051" s="238"/>
      <c r="V1051" s="243"/>
    </row>
    <row r="1052" spans="2:22" ht="13">
      <c r="B1052" s="270"/>
      <c r="C1052" s="244" t="s">
        <v>1107</v>
      </c>
      <c r="D1052" s="15" t="s">
        <v>54</v>
      </c>
      <c r="E1052" s="16"/>
      <c r="F1052" s="17"/>
      <c r="G1052" s="17">
        <v>950</v>
      </c>
      <c r="H1052" s="240">
        <f>SUM(G1052:G1053)</f>
        <v>1007.23</v>
      </c>
      <c r="I1052" s="240">
        <v>6182.4</v>
      </c>
      <c r="J1052" s="240">
        <f>I1052-H1052</f>
        <v>5175.17</v>
      </c>
      <c r="K1052" s="241">
        <f>J1052/I1052</f>
        <v>0.83708106884057976</v>
      </c>
      <c r="M1052" s="270"/>
      <c r="N1052" s="244" t="s">
        <v>1107</v>
      </c>
      <c r="O1052" s="15" t="s">
        <v>54</v>
      </c>
      <c r="P1052" s="16"/>
      <c r="Q1052" s="17"/>
      <c r="R1052" s="17">
        <v>950</v>
      </c>
      <c r="S1052" s="240">
        <f>SUM(R1052:R1053)</f>
        <v>1007.23</v>
      </c>
      <c r="T1052" s="240">
        <v>6182.4</v>
      </c>
      <c r="U1052" s="240">
        <f>T1052-S1052</f>
        <v>5175.17</v>
      </c>
      <c r="V1052" s="241">
        <f>U1052/T1052</f>
        <v>0.83708106884057976</v>
      </c>
    </row>
    <row r="1053" spans="2:22" ht="13">
      <c r="B1053" s="270"/>
      <c r="C1053" s="246"/>
      <c r="D1053" s="44" t="s">
        <v>33</v>
      </c>
      <c r="E1053" s="21"/>
      <c r="F1053" s="21"/>
      <c r="G1053" s="21">
        <v>57.23</v>
      </c>
      <c r="H1053" s="238"/>
      <c r="I1053" s="238"/>
      <c r="J1053" s="238"/>
      <c r="K1053" s="243"/>
      <c r="M1053" s="270"/>
      <c r="N1053" s="246"/>
      <c r="O1053" s="44" t="s">
        <v>33</v>
      </c>
      <c r="P1053" s="21"/>
      <c r="Q1053" s="21"/>
      <c r="R1053" s="21">
        <v>57.23</v>
      </c>
      <c r="S1053" s="238"/>
      <c r="T1053" s="238"/>
      <c r="U1053" s="238"/>
      <c r="V1053" s="243"/>
    </row>
    <row r="1054" spans="2:22" ht="13">
      <c r="B1054" s="270"/>
      <c r="C1054" s="244" t="s">
        <v>1108</v>
      </c>
      <c r="D1054" s="15" t="s">
        <v>114</v>
      </c>
      <c r="E1054" s="16">
        <v>7</v>
      </c>
      <c r="F1054" s="17">
        <v>18</v>
      </c>
      <c r="G1054" s="17">
        <f t="shared" ref="G1054:G1055" si="200">E1054*F1054</f>
        <v>126</v>
      </c>
      <c r="H1054" s="240">
        <f>SUM(G1054:G1058)</f>
        <v>523.24</v>
      </c>
      <c r="I1054" s="240">
        <v>4697.0200000000004</v>
      </c>
      <c r="J1054" s="240">
        <f>I1054-H1054</f>
        <v>4173.7800000000007</v>
      </c>
      <c r="K1054" s="241">
        <f>J1054/I1054</f>
        <v>0.88860170916879222</v>
      </c>
      <c r="M1054" s="270"/>
      <c r="N1054" s="244" t="s">
        <v>1108</v>
      </c>
      <c r="O1054" s="15" t="s">
        <v>114</v>
      </c>
      <c r="P1054" s="18"/>
      <c r="Q1054" s="18"/>
      <c r="R1054" s="18"/>
      <c r="S1054" s="240">
        <f>SUM(R1054:R1058)</f>
        <v>397.24</v>
      </c>
      <c r="T1054" s="240">
        <v>4697.0200000000004</v>
      </c>
      <c r="U1054" s="240">
        <f>T1054-S1054</f>
        <v>4299.7800000000007</v>
      </c>
      <c r="V1054" s="241">
        <f>U1054/T1054</f>
        <v>0.91542722832774825</v>
      </c>
    </row>
    <row r="1055" spans="2:22" ht="13">
      <c r="B1055" s="270"/>
      <c r="C1055" s="245"/>
      <c r="D1055" s="19" t="s">
        <v>53</v>
      </c>
      <c r="E1055" s="17">
        <v>9.83</v>
      </c>
      <c r="F1055" s="17">
        <v>17</v>
      </c>
      <c r="G1055" s="17">
        <f t="shared" si="200"/>
        <v>167.11</v>
      </c>
      <c r="H1055" s="236"/>
      <c r="I1055" s="236"/>
      <c r="J1055" s="236"/>
      <c r="K1055" s="242"/>
      <c r="M1055" s="270"/>
      <c r="N1055" s="245"/>
      <c r="O1055" s="19" t="s">
        <v>53</v>
      </c>
      <c r="P1055" s="17">
        <v>9.83</v>
      </c>
      <c r="Q1055" s="17">
        <v>17</v>
      </c>
      <c r="R1055" s="17">
        <f>P1055*Q1055</f>
        <v>167.11</v>
      </c>
      <c r="S1055" s="236"/>
      <c r="T1055" s="236"/>
      <c r="U1055" s="236"/>
      <c r="V1055" s="242"/>
    </row>
    <row r="1056" spans="2:22" ht="13">
      <c r="B1056" s="270"/>
      <c r="C1056" s="245"/>
      <c r="D1056" s="19" t="s">
        <v>212</v>
      </c>
      <c r="E1056" s="17"/>
      <c r="F1056" s="17"/>
      <c r="G1056" s="17">
        <v>47.6</v>
      </c>
      <c r="H1056" s="236"/>
      <c r="I1056" s="236"/>
      <c r="J1056" s="236"/>
      <c r="K1056" s="242"/>
      <c r="M1056" s="270"/>
      <c r="N1056" s="245"/>
      <c r="O1056" s="19" t="s">
        <v>212</v>
      </c>
      <c r="P1056" s="17"/>
      <c r="Q1056" s="17"/>
      <c r="R1056" s="17">
        <v>47.6</v>
      </c>
      <c r="S1056" s="236"/>
      <c r="T1056" s="236"/>
      <c r="U1056" s="236"/>
      <c r="V1056" s="242"/>
    </row>
    <row r="1057" spans="2:22" ht="13">
      <c r="B1057" s="270"/>
      <c r="C1057" s="245"/>
      <c r="D1057" s="19" t="s">
        <v>47</v>
      </c>
      <c r="E1057" s="17"/>
      <c r="F1057" s="17"/>
      <c r="G1057" s="17">
        <v>103.53</v>
      </c>
      <c r="H1057" s="236"/>
      <c r="I1057" s="236"/>
      <c r="J1057" s="236"/>
      <c r="K1057" s="242"/>
      <c r="M1057" s="270"/>
      <c r="N1057" s="245"/>
      <c r="O1057" s="19" t="s">
        <v>47</v>
      </c>
      <c r="P1057" s="17"/>
      <c r="Q1057" s="17"/>
      <c r="R1057" s="17">
        <v>103.53</v>
      </c>
      <c r="S1057" s="236"/>
      <c r="T1057" s="236"/>
      <c r="U1057" s="236"/>
      <c r="V1057" s="242"/>
    </row>
    <row r="1058" spans="2:22" ht="13">
      <c r="B1058" s="270"/>
      <c r="C1058" s="246"/>
      <c r="D1058" s="44" t="s">
        <v>45</v>
      </c>
      <c r="E1058" s="21"/>
      <c r="F1058" s="21"/>
      <c r="G1058" s="21">
        <v>79</v>
      </c>
      <c r="H1058" s="238"/>
      <c r="I1058" s="238"/>
      <c r="J1058" s="238"/>
      <c r="K1058" s="243"/>
      <c r="M1058" s="270"/>
      <c r="N1058" s="246"/>
      <c r="O1058" s="44" t="s">
        <v>45</v>
      </c>
      <c r="P1058" s="21"/>
      <c r="Q1058" s="21"/>
      <c r="R1058" s="21">
        <v>79</v>
      </c>
      <c r="S1058" s="238"/>
      <c r="T1058" s="238"/>
      <c r="U1058" s="238"/>
      <c r="V1058" s="243"/>
    </row>
    <row r="1059" spans="2:22" ht="13">
      <c r="B1059" s="270"/>
      <c r="C1059" s="244" t="s">
        <v>1109</v>
      </c>
      <c r="D1059" s="15" t="s">
        <v>114</v>
      </c>
      <c r="E1059" s="16">
        <v>7</v>
      </c>
      <c r="F1059" s="17">
        <v>18</v>
      </c>
      <c r="G1059" s="17">
        <f t="shared" ref="G1059:G1060" si="201">E1059*F1059</f>
        <v>126</v>
      </c>
      <c r="H1059" s="240">
        <f>SUM(G1059:G1061)</f>
        <v>160</v>
      </c>
      <c r="I1059" s="240">
        <v>2261.9499999999998</v>
      </c>
      <c r="J1059" s="240">
        <f>I1059-H1059</f>
        <v>2101.9499999999998</v>
      </c>
      <c r="K1059" s="241">
        <f>J1059/I1059</f>
        <v>0.92926457260328477</v>
      </c>
      <c r="M1059" s="270"/>
      <c r="N1059" s="244" t="s">
        <v>1109</v>
      </c>
      <c r="O1059" s="15" t="s">
        <v>114</v>
      </c>
      <c r="P1059" s="18"/>
      <c r="Q1059" s="18"/>
      <c r="R1059" s="18"/>
      <c r="S1059" s="240">
        <f>SUM(R1059:R1061)</f>
        <v>34</v>
      </c>
      <c r="T1059" s="240">
        <v>2261.9499999999998</v>
      </c>
      <c r="U1059" s="240">
        <f>T1059-S1059</f>
        <v>2227.9499999999998</v>
      </c>
      <c r="V1059" s="241">
        <f>U1059/T1059</f>
        <v>0.98496872167819804</v>
      </c>
    </row>
    <row r="1060" spans="2:22" ht="13">
      <c r="B1060" s="270"/>
      <c r="C1060" s="245"/>
      <c r="D1060" s="19" t="s">
        <v>53</v>
      </c>
      <c r="E1060" s="17">
        <v>2</v>
      </c>
      <c r="F1060" s="17">
        <v>17</v>
      </c>
      <c r="G1060" s="17">
        <f t="shared" si="201"/>
        <v>34</v>
      </c>
      <c r="H1060" s="236"/>
      <c r="I1060" s="236"/>
      <c r="J1060" s="236"/>
      <c r="K1060" s="242"/>
      <c r="M1060" s="270"/>
      <c r="N1060" s="245"/>
      <c r="O1060" s="19" t="s">
        <v>53</v>
      </c>
      <c r="P1060" s="17">
        <v>2</v>
      </c>
      <c r="Q1060" s="17">
        <v>17</v>
      </c>
      <c r="R1060" s="17">
        <f>P1060*Q1060</f>
        <v>34</v>
      </c>
      <c r="S1060" s="236"/>
      <c r="T1060" s="236"/>
      <c r="U1060" s="236"/>
      <c r="V1060" s="242"/>
    </row>
    <row r="1061" spans="2:22" ht="13">
      <c r="B1061" s="270"/>
      <c r="C1061" s="246"/>
      <c r="D1061" s="44"/>
      <c r="E1061" s="21"/>
      <c r="F1061" s="21"/>
      <c r="G1061" s="21"/>
      <c r="H1061" s="238"/>
      <c r="I1061" s="238"/>
      <c r="J1061" s="238"/>
      <c r="K1061" s="243"/>
      <c r="M1061" s="270"/>
      <c r="N1061" s="246"/>
      <c r="O1061" s="44"/>
      <c r="P1061" s="21"/>
      <c r="Q1061" s="21"/>
      <c r="R1061" s="21"/>
      <c r="S1061" s="238"/>
      <c r="T1061" s="238"/>
      <c r="U1061" s="238"/>
      <c r="V1061" s="243"/>
    </row>
    <row r="1062" spans="2:22" ht="13">
      <c r="B1062" s="270"/>
      <c r="C1062" s="244" t="s">
        <v>1110</v>
      </c>
      <c r="D1062" s="15" t="s">
        <v>23</v>
      </c>
      <c r="E1062" s="16"/>
      <c r="F1062" s="17"/>
      <c r="G1062" s="17">
        <v>200</v>
      </c>
      <c r="H1062" s="240">
        <f>SUM(G1062:G1064)</f>
        <v>300</v>
      </c>
      <c r="I1062" s="240">
        <v>2261.9499999999998</v>
      </c>
      <c r="J1062" s="240">
        <f>I1062-H1062</f>
        <v>1961.9499999999998</v>
      </c>
      <c r="K1062" s="241">
        <f>J1062/I1062</f>
        <v>0.86737107363115895</v>
      </c>
      <c r="M1062" s="270"/>
      <c r="N1062" s="244" t="s">
        <v>1110</v>
      </c>
      <c r="O1062" s="15" t="s">
        <v>23</v>
      </c>
      <c r="P1062" s="16"/>
      <c r="Q1062" s="17"/>
      <c r="R1062" s="17">
        <v>200</v>
      </c>
      <c r="S1062" s="240">
        <f>SUM(R1062:R1064)</f>
        <v>300</v>
      </c>
      <c r="T1062" s="240">
        <v>2261.9499999999998</v>
      </c>
      <c r="U1062" s="240">
        <f>T1062-S1062</f>
        <v>1961.9499999999998</v>
      </c>
      <c r="V1062" s="241">
        <f>U1062/T1062</f>
        <v>0.86737107363115895</v>
      </c>
    </row>
    <row r="1063" spans="2:22" ht="13">
      <c r="B1063" s="270"/>
      <c r="C1063" s="245"/>
      <c r="D1063" s="19" t="s">
        <v>44</v>
      </c>
      <c r="E1063" s="17"/>
      <c r="F1063" s="17"/>
      <c r="G1063" s="17">
        <v>30</v>
      </c>
      <c r="H1063" s="236"/>
      <c r="I1063" s="236"/>
      <c r="J1063" s="236"/>
      <c r="K1063" s="242"/>
      <c r="M1063" s="270"/>
      <c r="N1063" s="245"/>
      <c r="O1063" s="19" t="s">
        <v>44</v>
      </c>
      <c r="P1063" s="17"/>
      <c r="Q1063" s="17"/>
      <c r="R1063" s="17">
        <v>30</v>
      </c>
      <c r="S1063" s="236"/>
      <c r="T1063" s="236"/>
      <c r="U1063" s="236"/>
      <c r="V1063" s="242"/>
    </row>
    <row r="1064" spans="2:22" ht="13">
      <c r="B1064" s="270"/>
      <c r="C1064" s="246"/>
      <c r="D1064" s="44" t="s">
        <v>45</v>
      </c>
      <c r="E1064" s="21"/>
      <c r="F1064" s="21"/>
      <c r="G1064" s="21">
        <v>70</v>
      </c>
      <c r="H1064" s="238"/>
      <c r="I1064" s="238"/>
      <c r="J1064" s="238"/>
      <c r="K1064" s="243"/>
      <c r="M1064" s="270"/>
      <c r="N1064" s="246"/>
      <c r="O1064" s="44" t="s">
        <v>45</v>
      </c>
      <c r="P1064" s="21"/>
      <c r="Q1064" s="21"/>
      <c r="R1064" s="21">
        <v>70</v>
      </c>
      <c r="S1064" s="238"/>
      <c r="T1064" s="238"/>
      <c r="U1064" s="238"/>
      <c r="V1064" s="243"/>
    </row>
    <row r="1065" spans="2:22" ht="13">
      <c r="B1065" s="270"/>
      <c r="C1065" s="244" t="s">
        <v>1111</v>
      </c>
      <c r="D1065" s="15" t="s">
        <v>23</v>
      </c>
      <c r="E1065" s="16"/>
      <c r="F1065" s="17"/>
      <c r="G1065" s="17">
        <v>400</v>
      </c>
      <c r="H1065" s="240">
        <f>SUM(G1065:G1070)</f>
        <v>1125.17</v>
      </c>
      <c r="I1065" s="240">
        <v>4183.2</v>
      </c>
      <c r="J1065" s="240">
        <f>I1065-H1065</f>
        <v>3058.0299999999997</v>
      </c>
      <c r="K1065" s="241">
        <f>J1065/I1065</f>
        <v>0.73102648689998084</v>
      </c>
      <c r="M1065" s="270"/>
      <c r="N1065" s="244" t="s">
        <v>1111</v>
      </c>
      <c r="O1065" s="15" t="s">
        <v>23</v>
      </c>
      <c r="P1065" s="16"/>
      <c r="Q1065" s="17"/>
      <c r="R1065" s="17">
        <v>400</v>
      </c>
      <c r="S1065" s="240">
        <f>SUM(R1065:R1070)</f>
        <v>1125.17</v>
      </c>
      <c r="T1065" s="240">
        <v>4183.2</v>
      </c>
      <c r="U1065" s="240">
        <f>T1065-S1065</f>
        <v>3058.0299999999997</v>
      </c>
      <c r="V1065" s="241">
        <f>U1065/T1065</f>
        <v>0.73102648689998084</v>
      </c>
    </row>
    <row r="1066" spans="2:22" ht="13">
      <c r="B1066" s="270"/>
      <c r="C1066" s="245"/>
      <c r="D1066" s="19" t="s">
        <v>53</v>
      </c>
      <c r="E1066" s="17"/>
      <c r="F1066" s="17"/>
      <c r="G1066" s="17">
        <v>150</v>
      </c>
      <c r="H1066" s="236"/>
      <c r="I1066" s="236"/>
      <c r="J1066" s="236"/>
      <c r="K1066" s="242"/>
      <c r="M1066" s="270"/>
      <c r="N1066" s="245"/>
      <c r="O1066" s="19" t="s">
        <v>53</v>
      </c>
      <c r="P1066" s="17"/>
      <c r="Q1066" s="17"/>
      <c r="R1066" s="17">
        <v>150</v>
      </c>
      <c r="S1066" s="236"/>
      <c r="T1066" s="236"/>
      <c r="U1066" s="236"/>
      <c r="V1066" s="242"/>
    </row>
    <row r="1067" spans="2:22" ht="13">
      <c r="B1067" s="270"/>
      <c r="C1067" s="245"/>
      <c r="D1067" s="19" t="s">
        <v>1022</v>
      </c>
      <c r="E1067" s="17"/>
      <c r="F1067" s="17"/>
      <c r="G1067" s="17">
        <v>150</v>
      </c>
      <c r="H1067" s="236"/>
      <c r="I1067" s="236"/>
      <c r="J1067" s="236"/>
      <c r="K1067" s="242"/>
      <c r="M1067" s="270"/>
      <c r="N1067" s="245"/>
      <c r="O1067" s="19" t="s">
        <v>1022</v>
      </c>
      <c r="P1067" s="17"/>
      <c r="Q1067" s="17"/>
      <c r="R1067" s="17">
        <v>150</v>
      </c>
      <c r="S1067" s="236"/>
      <c r="T1067" s="236"/>
      <c r="U1067" s="236"/>
      <c r="V1067" s="242"/>
    </row>
    <row r="1068" spans="2:22" ht="13">
      <c r="B1068" s="270"/>
      <c r="C1068" s="245"/>
      <c r="D1068" s="19" t="s">
        <v>44</v>
      </c>
      <c r="E1068" s="17"/>
      <c r="F1068" s="17"/>
      <c r="G1068" s="17">
        <v>27</v>
      </c>
      <c r="H1068" s="236"/>
      <c r="I1068" s="236"/>
      <c r="J1068" s="236"/>
      <c r="K1068" s="242"/>
      <c r="M1068" s="270"/>
      <c r="N1068" s="245"/>
      <c r="O1068" s="19" t="s">
        <v>44</v>
      </c>
      <c r="P1068" s="17"/>
      <c r="Q1068" s="17"/>
      <c r="R1068" s="17">
        <v>27</v>
      </c>
      <c r="S1068" s="236"/>
      <c r="T1068" s="236"/>
      <c r="U1068" s="236"/>
      <c r="V1068" s="242"/>
    </row>
    <row r="1069" spans="2:22" ht="13">
      <c r="B1069" s="270"/>
      <c r="C1069" s="245"/>
      <c r="D1069" s="19" t="s">
        <v>33</v>
      </c>
      <c r="E1069" s="17"/>
      <c r="F1069" s="17"/>
      <c r="G1069" s="17">
        <v>307.17</v>
      </c>
      <c r="H1069" s="236"/>
      <c r="I1069" s="236"/>
      <c r="J1069" s="236"/>
      <c r="K1069" s="242"/>
      <c r="M1069" s="270"/>
      <c r="N1069" s="245"/>
      <c r="O1069" s="19" t="s">
        <v>33</v>
      </c>
      <c r="P1069" s="17"/>
      <c r="Q1069" s="17"/>
      <c r="R1069" s="17">
        <v>307.17</v>
      </c>
      <c r="S1069" s="236"/>
      <c r="T1069" s="236"/>
      <c r="U1069" s="236"/>
      <c r="V1069" s="242"/>
    </row>
    <row r="1070" spans="2:22" ht="13">
      <c r="B1070" s="270"/>
      <c r="C1070" s="246"/>
      <c r="D1070" s="44" t="s">
        <v>45</v>
      </c>
      <c r="E1070" s="21"/>
      <c r="F1070" s="21"/>
      <c r="G1070" s="21">
        <v>91</v>
      </c>
      <c r="H1070" s="238"/>
      <c r="I1070" s="238"/>
      <c r="J1070" s="238"/>
      <c r="K1070" s="243"/>
      <c r="M1070" s="270"/>
      <c r="N1070" s="246"/>
      <c r="O1070" s="44" t="s">
        <v>45</v>
      </c>
      <c r="P1070" s="21"/>
      <c r="Q1070" s="21"/>
      <c r="R1070" s="21">
        <v>91</v>
      </c>
      <c r="S1070" s="238"/>
      <c r="T1070" s="238"/>
      <c r="U1070" s="238"/>
      <c r="V1070" s="243"/>
    </row>
    <row r="1071" spans="2:22" ht="13">
      <c r="B1071" s="270"/>
      <c r="C1071" s="244" t="s">
        <v>1112</v>
      </c>
      <c r="D1071" s="15" t="s">
        <v>23</v>
      </c>
      <c r="E1071" s="16">
        <v>21</v>
      </c>
      <c r="F1071" s="17">
        <v>16</v>
      </c>
      <c r="G1071" s="17">
        <f t="shared" ref="G1071:G1075" si="202">E1071*F1071</f>
        <v>336</v>
      </c>
      <c r="H1071" s="240">
        <f>SUM(G1071:G1081)</f>
        <v>2854.16</v>
      </c>
      <c r="I1071" s="240">
        <v>4175</v>
      </c>
      <c r="J1071" s="240">
        <f>I1071-H1071</f>
        <v>1320.8400000000001</v>
      </c>
      <c r="K1071" s="241">
        <f>J1071/I1071</f>
        <v>0.31636886227544914</v>
      </c>
      <c r="M1071" s="270"/>
      <c r="N1071" s="244" t="s">
        <v>1112</v>
      </c>
      <c r="O1071" s="15" t="s">
        <v>23</v>
      </c>
      <c r="P1071" s="18"/>
      <c r="Q1071" s="18"/>
      <c r="R1071" s="18"/>
      <c r="S1071" s="240">
        <f>SUM(R1071:R1081)</f>
        <v>2518.16</v>
      </c>
      <c r="T1071" s="240">
        <v>4175</v>
      </c>
      <c r="U1071" s="240">
        <f>T1071-S1071</f>
        <v>1656.8400000000001</v>
      </c>
      <c r="V1071" s="241">
        <f>U1071/T1071</f>
        <v>0.39684790419161681</v>
      </c>
    </row>
    <row r="1072" spans="2:22" ht="13">
      <c r="B1072" s="270"/>
      <c r="C1072" s="245"/>
      <c r="D1072" s="24" t="s">
        <v>70</v>
      </c>
      <c r="E1072" s="17">
        <v>23.56</v>
      </c>
      <c r="F1072" s="17">
        <v>17</v>
      </c>
      <c r="G1072" s="17">
        <f t="shared" si="202"/>
        <v>400.52</v>
      </c>
      <c r="H1072" s="236"/>
      <c r="I1072" s="236"/>
      <c r="J1072" s="236"/>
      <c r="K1072" s="242"/>
      <c r="M1072" s="270"/>
      <c r="N1072" s="245"/>
      <c r="O1072" s="24" t="s">
        <v>70</v>
      </c>
      <c r="P1072" s="17">
        <v>23.56</v>
      </c>
      <c r="Q1072" s="17">
        <v>17</v>
      </c>
      <c r="R1072" s="17">
        <f t="shared" ref="R1072:R1075" si="203">P1072*Q1072</f>
        <v>400.52</v>
      </c>
      <c r="S1072" s="236"/>
      <c r="T1072" s="236"/>
      <c r="U1072" s="236"/>
      <c r="V1072" s="242"/>
    </row>
    <row r="1073" spans="2:22" ht="13">
      <c r="B1073" s="270"/>
      <c r="C1073" s="245"/>
      <c r="D1073" s="24" t="s">
        <v>744</v>
      </c>
      <c r="E1073" s="17">
        <v>23.55</v>
      </c>
      <c r="F1073" s="17">
        <v>17</v>
      </c>
      <c r="G1073" s="17">
        <f t="shared" si="202"/>
        <v>400.35</v>
      </c>
      <c r="H1073" s="236"/>
      <c r="I1073" s="236"/>
      <c r="J1073" s="236"/>
      <c r="K1073" s="242"/>
      <c r="M1073" s="270"/>
      <c r="N1073" s="245"/>
      <c r="O1073" s="24" t="s">
        <v>744</v>
      </c>
      <c r="P1073" s="17">
        <v>23.55</v>
      </c>
      <c r="Q1073" s="17">
        <v>17</v>
      </c>
      <c r="R1073" s="17">
        <f t="shared" si="203"/>
        <v>400.35</v>
      </c>
      <c r="S1073" s="236"/>
      <c r="T1073" s="236"/>
      <c r="U1073" s="236"/>
      <c r="V1073" s="242"/>
    </row>
    <row r="1074" spans="2:22" ht="13">
      <c r="B1074" s="270"/>
      <c r="C1074" s="245"/>
      <c r="D1074" s="24" t="s">
        <v>53</v>
      </c>
      <c r="E1074" s="17">
        <v>24</v>
      </c>
      <c r="F1074" s="17">
        <v>17</v>
      </c>
      <c r="G1074" s="17">
        <f t="shared" si="202"/>
        <v>408</v>
      </c>
      <c r="H1074" s="236"/>
      <c r="I1074" s="236"/>
      <c r="J1074" s="236"/>
      <c r="K1074" s="242"/>
      <c r="M1074" s="270"/>
      <c r="N1074" s="245"/>
      <c r="O1074" s="24" t="s">
        <v>53</v>
      </c>
      <c r="P1074" s="17">
        <v>24</v>
      </c>
      <c r="Q1074" s="17">
        <v>17</v>
      </c>
      <c r="R1074" s="17">
        <f t="shared" si="203"/>
        <v>408</v>
      </c>
      <c r="S1074" s="236"/>
      <c r="T1074" s="236"/>
      <c r="U1074" s="236"/>
      <c r="V1074" s="242"/>
    </row>
    <row r="1075" spans="2:22" ht="13">
      <c r="B1075" s="270"/>
      <c r="C1075" s="245"/>
      <c r="D1075" s="24" t="s">
        <v>1022</v>
      </c>
      <c r="E1075" s="17">
        <v>24.52</v>
      </c>
      <c r="F1075" s="17">
        <v>17</v>
      </c>
      <c r="G1075" s="17">
        <f t="shared" si="202"/>
        <v>416.84</v>
      </c>
      <c r="H1075" s="236"/>
      <c r="I1075" s="236"/>
      <c r="J1075" s="236"/>
      <c r="K1075" s="242"/>
      <c r="M1075" s="270"/>
      <c r="N1075" s="245"/>
      <c r="O1075" s="24" t="s">
        <v>1022</v>
      </c>
      <c r="P1075" s="17">
        <v>24.52</v>
      </c>
      <c r="Q1075" s="17">
        <v>17</v>
      </c>
      <c r="R1075" s="17">
        <f t="shared" si="203"/>
        <v>416.84</v>
      </c>
      <c r="S1075" s="236"/>
      <c r="T1075" s="236"/>
      <c r="U1075" s="236"/>
      <c r="V1075" s="242"/>
    </row>
    <row r="1076" spans="2:22" ht="13">
      <c r="B1076" s="270"/>
      <c r="C1076" s="245"/>
      <c r="D1076" s="24" t="s">
        <v>47</v>
      </c>
      <c r="E1076" s="17"/>
      <c r="F1076" s="17"/>
      <c r="G1076" s="17">
        <v>228.04</v>
      </c>
      <c r="H1076" s="236"/>
      <c r="I1076" s="236"/>
      <c r="J1076" s="236"/>
      <c r="K1076" s="242"/>
      <c r="M1076" s="270"/>
      <c r="N1076" s="245"/>
      <c r="O1076" s="24" t="s">
        <v>47</v>
      </c>
      <c r="P1076" s="17"/>
      <c r="Q1076" s="17"/>
      <c r="R1076" s="17">
        <v>228.04</v>
      </c>
      <c r="S1076" s="236"/>
      <c r="T1076" s="236"/>
      <c r="U1076" s="236"/>
      <c r="V1076" s="242"/>
    </row>
    <row r="1077" spans="2:22" ht="13">
      <c r="B1077" s="270"/>
      <c r="C1077" s="245"/>
      <c r="D1077" s="54" t="s">
        <v>395</v>
      </c>
      <c r="E1077" s="19"/>
      <c r="F1077" s="19"/>
      <c r="G1077" s="17">
        <v>124</v>
      </c>
      <c r="H1077" s="236"/>
      <c r="I1077" s="236"/>
      <c r="J1077" s="236"/>
      <c r="K1077" s="242"/>
      <c r="M1077" s="270"/>
      <c r="N1077" s="245"/>
      <c r="O1077" s="54" t="s">
        <v>395</v>
      </c>
      <c r="P1077" s="19"/>
      <c r="Q1077" s="19"/>
      <c r="R1077" s="17">
        <v>124</v>
      </c>
      <c r="S1077" s="236"/>
      <c r="T1077" s="236"/>
      <c r="U1077" s="236"/>
      <c r="V1077" s="242"/>
    </row>
    <row r="1078" spans="2:22" ht="13">
      <c r="B1078" s="270"/>
      <c r="C1078" s="245"/>
      <c r="D1078" s="54" t="s">
        <v>212</v>
      </c>
      <c r="E1078" s="19"/>
      <c r="F1078" s="19"/>
      <c r="G1078" s="17">
        <v>67</v>
      </c>
      <c r="H1078" s="236"/>
      <c r="I1078" s="236"/>
      <c r="J1078" s="236"/>
      <c r="K1078" s="242"/>
      <c r="M1078" s="270"/>
      <c r="N1078" s="245"/>
      <c r="O1078" s="54" t="s">
        <v>212</v>
      </c>
      <c r="P1078" s="19"/>
      <c r="Q1078" s="19"/>
      <c r="R1078" s="17">
        <v>67</v>
      </c>
      <c r="S1078" s="236"/>
      <c r="T1078" s="236"/>
      <c r="U1078" s="236"/>
      <c r="V1078" s="242"/>
    </row>
    <row r="1079" spans="2:22" ht="13">
      <c r="B1079" s="270"/>
      <c r="C1079" s="245"/>
      <c r="D1079" s="54" t="s">
        <v>1113</v>
      </c>
      <c r="E1079" s="19"/>
      <c r="F1079" s="19"/>
      <c r="G1079" s="17">
        <v>105</v>
      </c>
      <c r="H1079" s="236"/>
      <c r="I1079" s="236"/>
      <c r="J1079" s="236"/>
      <c r="K1079" s="242"/>
      <c r="M1079" s="270"/>
      <c r="N1079" s="245"/>
      <c r="O1079" s="54" t="s">
        <v>259</v>
      </c>
      <c r="P1079" s="19"/>
      <c r="Q1079" s="19"/>
      <c r="R1079" s="17">
        <v>105</v>
      </c>
      <c r="S1079" s="236"/>
      <c r="T1079" s="236"/>
      <c r="U1079" s="236"/>
      <c r="V1079" s="242"/>
    </row>
    <row r="1080" spans="2:22" ht="13">
      <c r="B1080" s="270"/>
      <c r="C1080" s="245"/>
      <c r="D1080" s="24" t="s">
        <v>1114</v>
      </c>
      <c r="E1080" s="17"/>
      <c r="F1080" s="17"/>
      <c r="G1080" s="17">
        <v>192.41</v>
      </c>
      <c r="H1080" s="236"/>
      <c r="I1080" s="236"/>
      <c r="J1080" s="236"/>
      <c r="K1080" s="242"/>
      <c r="M1080" s="270"/>
      <c r="N1080" s="245"/>
      <c r="O1080" s="24" t="s">
        <v>1114</v>
      </c>
      <c r="P1080" s="17"/>
      <c r="Q1080" s="17"/>
      <c r="R1080" s="17">
        <v>192.41</v>
      </c>
      <c r="S1080" s="236"/>
      <c r="T1080" s="236"/>
      <c r="U1080" s="236"/>
      <c r="V1080" s="242"/>
    </row>
    <row r="1081" spans="2:22" ht="13">
      <c r="B1081" s="270"/>
      <c r="C1081" s="246"/>
      <c r="D1081" s="44" t="s">
        <v>33</v>
      </c>
      <c r="E1081" s="21"/>
      <c r="F1081" s="21"/>
      <c r="G1081" s="21">
        <v>176</v>
      </c>
      <c r="H1081" s="238"/>
      <c r="I1081" s="238"/>
      <c r="J1081" s="238"/>
      <c r="K1081" s="243"/>
      <c r="M1081" s="270"/>
      <c r="N1081" s="246"/>
      <c r="O1081" s="44" t="s">
        <v>33</v>
      </c>
      <c r="P1081" s="21"/>
      <c r="Q1081" s="21"/>
      <c r="R1081" s="21">
        <v>176</v>
      </c>
      <c r="S1081" s="238"/>
      <c r="T1081" s="238"/>
      <c r="U1081" s="238"/>
      <c r="V1081" s="243"/>
    </row>
    <row r="1082" spans="2:22" ht="13">
      <c r="B1082" s="270"/>
      <c r="C1082" s="244" t="s">
        <v>1115</v>
      </c>
      <c r="D1082" s="15" t="s">
        <v>1116</v>
      </c>
      <c r="E1082" s="16">
        <v>17.829999999999998</v>
      </c>
      <c r="F1082" s="17">
        <v>15</v>
      </c>
      <c r="G1082" s="17">
        <f>E1082*F1082</f>
        <v>267.45</v>
      </c>
      <c r="H1082" s="240">
        <f>SUM(G1082:G1083)</f>
        <v>267.45</v>
      </c>
      <c r="I1082" s="240">
        <v>1207.5</v>
      </c>
      <c r="J1082" s="240">
        <f>I1082-H1082</f>
        <v>940.05</v>
      </c>
      <c r="K1082" s="241">
        <f>J1082/I1082</f>
        <v>0.77850931677018631</v>
      </c>
      <c r="M1082" s="270"/>
      <c r="N1082" s="244" t="s">
        <v>1115</v>
      </c>
      <c r="O1082" s="15" t="s">
        <v>1116</v>
      </c>
      <c r="P1082" s="16">
        <v>17.829999999999998</v>
      </c>
      <c r="Q1082" s="17">
        <v>15</v>
      </c>
      <c r="R1082" s="17">
        <f>P1082*Q1082</f>
        <v>267.45</v>
      </c>
      <c r="S1082" s="240">
        <f>SUM(R1082:R1083)</f>
        <v>267.45</v>
      </c>
      <c r="T1082" s="240">
        <v>1207.5</v>
      </c>
      <c r="U1082" s="240">
        <f>T1082-S1082</f>
        <v>940.05</v>
      </c>
      <c r="V1082" s="241">
        <f>U1082/T1082</f>
        <v>0.77850931677018631</v>
      </c>
    </row>
    <row r="1083" spans="2:22" ht="13">
      <c r="B1083" s="270"/>
      <c r="C1083" s="246"/>
      <c r="D1083" s="44"/>
      <c r="E1083" s="21"/>
      <c r="F1083" s="21"/>
      <c r="G1083" s="21"/>
      <c r="H1083" s="238"/>
      <c r="I1083" s="238"/>
      <c r="J1083" s="238"/>
      <c r="K1083" s="243"/>
      <c r="M1083" s="270"/>
      <c r="N1083" s="246"/>
      <c r="O1083" s="44"/>
      <c r="P1083" s="21"/>
      <c r="Q1083" s="21"/>
      <c r="R1083" s="21"/>
      <c r="S1083" s="238"/>
      <c r="T1083" s="238"/>
      <c r="U1083" s="238"/>
      <c r="V1083" s="243"/>
    </row>
    <row r="1084" spans="2:22" ht="30">
      <c r="B1084" s="254" t="s">
        <v>1117</v>
      </c>
      <c r="C1084" s="255"/>
      <c r="D1084" s="256"/>
      <c r="E1084" s="27">
        <f t="shared" ref="E1084:J1084" si="204">AVERAGE(E993:E1083)</f>
        <v>12.721224489795917</v>
      </c>
      <c r="F1084" s="27">
        <f t="shared" si="204"/>
        <v>15.26530612244898</v>
      </c>
      <c r="G1084" s="27">
        <f t="shared" si="204"/>
        <v>177.96045977011497</v>
      </c>
      <c r="H1084" s="27">
        <f t="shared" si="204"/>
        <v>860.14222222222224</v>
      </c>
      <c r="I1084" s="27">
        <f t="shared" si="204"/>
        <v>3738.1577777777775</v>
      </c>
      <c r="J1084" s="27">
        <f t="shared" si="204"/>
        <v>2878.0155555555557</v>
      </c>
      <c r="K1084" s="28" t="str">
        <f ca="1">AVERAGE($K$12:$K$76)</f>
        <v>#REF!</v>
      </c>
      <c r="M1084" s="254" t="s">
        <v>1118</v>
      </c>
      <c r="N1084" s="255"/>
      <c r="O1084" s="256"/>
      <c r="P1084" s="27">
        <f t="shared" ref="P1084:U1084" si="205">AVERAGE(P993:P1083)</f>
        <v>14.100540540540541</v>
      </c>
      <c r="Q1084" s="27">
        <f t="shared" si="205"/>
        <v>14.03027027027027</v>
      </c>
      <c r="R1084" s="27">
        <f t="shared" si="205"/>
        <v>177.40746666666672</v>
      </c>
      <c r="S1084" s="27">
        <f t="shared" si="205"/>
        <v>739.19777777777779</v>
      </c>
      <c r="T1084" s="27">
        <f t="shared" si="205"/>
        <v>3738.1577777777775</v>
      </c>
      <c r="U1084" s="27">
        <f t="shared" si="205"/>
        <v>2998.96</v>
      </c>
      <c r="V1084" s="28" t="str">
        <f ca="1">AVERAGE($K$12:$K$76)</f>
        <v>#REF!</v>
      </c>
    </row>
    <row r="1085" spans="2:22" ht="30">
      <c r="B1085" s="251" t="s">
        <v>1119</v>
      </c>
      <c r="C1085" s="252"/>
      <c r="D1085" s="253"/>
      <c r="E1085" s="121">
        <f t="shared" ref="E1085:J1085" si="206">SUM(E993:E1083)</f>
        <v>623.33999999999992</v>
      </c>
      <c r="F1085" s="121">
        <f t="shared" si="206"/>
        <v>748</v>
      </c>
      <c r="G1085" s="121">
        <f t="shared" si="206"/>
        <v>15482.560000000003</v>
      </c>
      <c r="H1085" s="121">
        <f t="shared" si="206"/>
        <v>15482.56</v>
      </c>
      <c r="I1085" s="121">
        <f t="shared" si="206"/>
        <v>67286.84</v>
      </c>
      <c r="J1085" s="121">
        <f t="shared" si="206"/>
        <v>51804.28</v>
      </c>
      <c r="K1085" s="29">
        <f>J1085/I1085</f>
        <v>0.76990210864412711</v>
      </c>
      <c r="M1085" s="251" t="s">
        <v>1120</v>
      </c>
      <c r="N1085" s="252"/>
      <c r="O1085" s="253"/>
      <c r="P1085" s="42">
        <f t="shared" ref="P1085:U1085" si="207">SUM(P993:P1083)</f>
        <v>521.72</v>
      </c>
      <c r="Q1085" s="42">
        <f t="shared" si="207"/>
        <v>519.12</v>
      </c>
      <c r="R1085" s="42">
        <f t="shared" si="207"/>
        <v>13305.560000000005</v>
      </c>
      <c r="S1085" s="42">
        <f t="shared" si="207"/>
        <v>13305.56</v>
      </c>
      <c r="T1085" s="42">
        <f t="shared" si="207"/>
        <v>67286.84</v>
      </c>
      <c r="U1085" s="42">
        <f t="shared" si="207"/>
        <v>53981.279999999999</v>
      </c>
      <c r="V1085" s="29">
        <f>U1085/T1085</f>
        <v>0.80225613210547564</v>
      </c>
    </row>
    <row r="1086" spans="2:22" ht="16">
      <c r="B1086" s="86"/>
      <c r="C1086" s="30"/>
      <c r="D1086" s="24"/>
      <c r="E1086" s="17"/>
      <c r="F1086" s="17"/>
      <c r="G1086" s="17"/>
      <c r="H1086" s="31"/>
      <c r="I1086" s="31"/>
      <c r="J1086" s="31"/>
      <c r="K1086" s="85"/>
      <c r="M1086" s="86"/>
      <c r="N1086" s="30"/>
      <c r="O1086" s="24"/>
      <c r="P1086" s="17"/>
      <c r="Q1086" s="17"/>
      <c r="R1086" s="17"/>
      <c r="S1086" s="31"/>
      <c r="T1086" s="31"/>
      <c r="U1086" s="31"/>
      <c r="V1086" s="85"/>
    </row>
    <row r="1087" spans="2:22" ht="30">
      <c r="B1087" s="257" t="s">
        <v>1121</v>
      </c>
      <c r="C1087" s="252"/>
      <c r="D1087" s="253"/>
      <c r="E1087" s="34">
        <f t="shared" ref="E1087:J1087" si="208">SUM(E964,E992,E1085)</f>
        <v>1267.0999999999999</v>
      </c>
      <c r="F1087" s="34">
        <f t="shared" si="208"/>
        <v>1794</v>
      </c>
      <c r="G1087" s="34">
        <f t="shared" si="208"/>
        <v>30236.910000000003</v>
      </c>
      <c r="H1087" s="34">
        <f t="shared" si="208"/>
        <v>30236.910000000003</v>
      </c>
      <c r="I1087" s="34">
        <f t="shared" si="208"/>
        <v>133904.37</v>
      </c>
      <c r="J1087" s="34">
        <f t="shared" si="208"/>
        <v>103667.45999999999</v>
      </c>
      <c r="K1087" s="35">
        <f>J1087/I1087</f>
        <v>0.77419026727805818</v>
      </c>
      <c r="M1087" s="304" t="s">
        <v>1121</v>
      </c>
      <c r="N1087" s="297"/>
      <c r="O1087" s="298"/>
      <c r="P1087" s="34">
        <f t="shared" ref="P1087:U1087" si="209">SUM(P964,P992,P1085)</f>
        <v>1046.98</v>
      </c>
      <c r="Q1087" s="34">
        <f t="shared" si="209"/>
        <v>1320.12</v>
      </c>
      <c r="R1087" s="34">
        <f t="shared" si="209"/>
        <v>25898.910000000003</v>
      </c>
      <c r="S1087" s="34">
        <f t="shared" si="209"/>
        <v>25898.910000000003</v>
      </c>
      <c r="T1087" s="34">
        <f t="shared" si="209"/>
        <v>133904.37</v>
      </c>
      <c r="U1087" s="34">
        <f t="shared" si="209"/>
        <v>108005.45999999999</v>
      </c>
      <c r="V1087" s="35">
        <f>U1087/T1087</f>
        <v>0.80658652141076492</v>
      </c>
    </row>
    <row r="1088" spans="2:22" ht="16">
      <c r="B1088" s="86"/>
      <c r="C1088" s="30"/>
      <c r="D1088" s="24"/>
      <c r="E1088" s="17"/>
      <c r="F1088" s="17"/>
      <c r="G1088" s="17"/>
      <c r="H1088" s="31"/>
      <c r="I1088" s="31"/>
      <c r="J1088" s="31"/>
      <c r="K1088" s="85"/>
      <c r="M1088" s="86"/>
      <c r="N1088" s="30"/>
      <c r="O1088" s="24"/>
      <c r="P1088" s="17"/>
      <c r="Q1088" s="17"/>
      <c r="R1088" s="17"/>
      <c r="S1088" s="31"/>
      <c r="T1088" s="31"/>
      <c r="U1088" s="31"/>
      <c r="V1088" s="85"/>
    </row>
    <row r="1089" spans="2:22" ht="13">
      <c r="B1089" s="288" t="s">
        <v>1122</v>
      </c>
      <c r="C1089" s="244" t="s">
        <v>1123</v>
      </c>
      <c r="D1089" s="15" t="s">
        <v>740</v>
      </c>
      <c r="E1089" s="16"/>
      <c r="F1089" s="16"/>
      <c r="G1089" s="16">
        <v>200</v>
      </c>
      <c r="H1089" s="240">
        <f>SUM(G1089:G1092)</f>
        <v>368.1</v>
      </c>
      <c r="I1089" s="240">
        <v>2808</v>
      </c>
      <c r="J1089" s="240">
        <f>I1089-H1089</f>
        <v>2439.9</v>
      </c>
      <c r="K1089" s="241">
        <f>J1089/I1089</f>
        <v>0.86891025641025643</v>
      </c>
      <c r="M1089" s="288" t="s">
        <v>1122</v>
      </c>
      <c r="N1089" s="244" t="s">
        <v>1123</v>
      </c>
      <c r="O1089" s="15" t="s">
        <v>740</v>
      </c>
      <c r="P1089" s="16"/>
      <c r="Q1089" s="16"/>
      <c r="R1089" s="16">
        <v>200</v>
      </c>
      <c r="S1089" s="240">
        <f>SUM(R1089:R1092)</f>
        <v>368.1</v>
      </c>
      <c r="T1089" s="240">
        <v>2808</v>
      </c>
      <c r="U1089" s="240">
        <f>T1089-S1089</f>
        <v>2439.9</v>
      </c>
      <c r="V1089" s="241">
        <f>U1089/T1089</f>
        <v>0.86891025641025643</v>
      </c>
    </row>
    <row r="1090" spans="2:22" ht="13">
      <c r="B1090" s="270"/>
      <c r="C1090" s="245"/>
      <c r="D1090" s="19" t="s">
        <v>44</v>
      </c>
      <c r="E1090" s="17"/>
      <c r="F1090" s="17"/>
      <c r="G1090" s="17">
        <v>37</v>
      </c>
      <c r="H1090" s="236"/>
      <c r="I1090" s="236"/>
      <c r="J1090" s="236"/>
      <c r="K1090" s="242"/>
      <c r="M1090" s="270"/>
      <c r="N1090" s="245"/>
      <c r="O1090" s="19" t="s">
        <v>44</v>
      </c>
      <c r="P1090" s="17"/>
      <c r="Q1090" s="17"/>
      <c r="R1090" s="17">
        <v>37</v>
      </c>
      <c r="S1090" s="236"/>
      <c r="T1090" s="236"/>
      <c r="U1090" s="236"/>
      <c r="V1090" s="242"/>
    </row>
    <row r="1091" spans="2:22" ht="13">
      <c r="B1091" s="270"/>
      <c r="C1091" s="245"/>
      <c r="D1091" s="19" t="s">
        <v>1124</v>
      </c>
      <c r="E1091" s="17"/>
      <c r="F1091" s="17"/>
      <c r="G1091" s="17">
        <v>51.1</v>
      </c>
      <c r="H1091" s="236"/>
      <c r="I1091" s="236"/>
      <c r="J1091" s="236"/>
      <c r="K1091" s="242"/>
      <c r="M1091" s="270"/>
      <c r="N1091" s="245"/>
      <c r="O1091" s="19" t="s">
        <v>1124</v>
      </c>
      <c r="P1091" s="17"/>
      <c r="Q1091" s="17"/>
      <c r="R1091" s="17">
        <v>51.1</v>
      </c>
      <c r="S1091" s="236"/>
      <c r="T1091" s="236"/>
      <c r="U1091" s="236"/>
      <c r="V1091" s="242"/>
    </row>
    <row r="1092" spans="2:22" ht="13">
      <c r="B1092" s="270"/>
      <c r="C1092" s="246"/>
      <c r="D1092" s="44" t="s">
        <v>45</v>
      </c>
      <c r="E1092" s="21"/>
      <c r="F1092" s="21"/>
      <c r="G1092" s="21">
        <v>80</v>
      </c>
      <c r="H1092" s="238"/>
      <c r="I1092" s="238"/>
      <c r="J1092" s="238"/>
      <c r="K1092" s="243"/>
      <c r="M1092" s="270"/>
      <c r="N1092" s="246"/>
      <c r="O1092" s="44" t="s">
        <v>45</v>
      </c>
      <c r="P1092" s="21"/>
      <c r="Q1092" s="21"/>
      <c r="R1092" s="21">
        <v>80</v>
      </c>
      <c r="S1092" s="238"/>
      <c r="T1092" s="238"/>
      <c r="U1092" s="238"/>
      <c r="V1092" s="243"/>
    </row>
    <row r="1093" spans="2:22" ht="13">
      <c r="B1093" s="270"/>
      <c r="C1093" s="244" t="s">
        <v>1125</v>
      </c>
      <c r="D1093" s="15" t="s">
        <v>114</v>
      </c>
      <c r="E1093" s="16">
        <v>14</v>
      </c>
      <c r="F1093" s="17">
        <v>18</v>
      </c>
      <c r="G1093" s="17">
        <f t="shared" ref="G1093:G1094" si="210">E1093*F1093</f>
        <v>252</v>
      </c>
      <c r="H1093" s="240">
        <f>SUM(G1093:G1097)</f>
        <v>687.75</v>
      </c>
      <c r="I1093" s="240">
        <v>3703.84</v>
      </c>
      <c r="J1093" s="240">
        <f>I1093-H1093</f>
        <v>3016.09</v>
      </c>
      <c r="K1093" s="241">
        <f>J1093/I1093</f>
        <v>0.8143143332325371</v>
      </c>
      <c r="M1093" s="270"/>
      <c r="N1093" s="244" t="s">
        <v>1125</v>
      </c>
      <c r="O1093" s="15" t="s">
        <v>114</v>
      </c>
      <c r="P1093" s="18"/>
      <c r="Q1093" s="18"/>
      <c r="R1093" s="18"/>
      <c r="S1093" s="240">
        <f>SUM(R1093:R1097)</f>
        <v>435.75000000000006</v>
      </c>
      <c r="T1093" s="240">
        <v>3703.84</v>
      </c>
      <c r="U1093" s="240">
        <f>T1093-S1093</f>
        <v>3268.09</v>
      </c>
      <c r="V1093" s="241">
        <f>U1093/T1093</f>
        <v>0.8823518294526761</v>
      </c>
    </row>
    <row r="1094" spans="2:22" ht="13">
      <c r="B1094" s="270"/>
      <c r="C1094" s="245"/>
      <c r="D1094" s="19" t="s">
        <v>62</v>
      </c>
      <c r="E1094" s="17">
        <v>10.38</v>
      </c>
      <c r="F1094" s="17">
        <v>17</v>
      </c>
      <c r="G1094" s="17">
        <f t="shared" si="210"/>
        <v>176.46</v>
      </c>
      <c r="H1094" s="236"/>
      <c r="I1094" s="236"/>
      <c r="J1094" s="236"/>
      <c r="K1094" s="242"/>
      <c r="M1094" s="270"/>
      <c r="N1094" s="245"/>
      <c r="O1094" s="19" t="s">
        <v>62</v>
      </c>
      <c r="P1094" s="17">
        <v>10.38</v>
      </c>
      <c r="Q1094" s="17">
        <v>17</v>
      </c>
      <c r="R1094" s="17">
        <f>P1094*Q1094</f>
        <v>176.46</v>
      </c>
      <c r="S1094" s="236"/>
      <c r="T1094" s="236"/>
      <c r="U1094" s="236"/>
      <c r="V1094" s="242"/>
    </row>
    <row r="1095" spans="2:22" ht="13">
      <c r="B1095" s="270"/>
      <c r="C1095" s="245"/>
      <c r="D1095" s="19" t="s">
        <v>45</v>
      </c>
      <c r="E1095" s="17"/>
      <c r="F1095" s="17"/>
      <c r="G1095" s="17">
        <v>73</v>
      </c>
      <c r="H1095" s="236"/>
      <c r="I1095" s="236"/>
      <c r="J1095" s="236"/>
      <c r="K1095" s="242"/>
      <c r="M1095" s="270"/>
      <c r="N1095" s="245"/>
      <c r="O1095" s="19" t="s">
        <v>45</v>
      </c>
      <c r="P1095" s="17"/>
      <c r="Q1095" s="17"/>
      <c r="R1095" s="17">
        <v>73</v>
      </c>
      <c r="S1095" s="236"/>
      <c r="T1095" s="236"/>
      <c r="U1095" s="236"/>
      <c r="V1095" s="242"/>
    </row>
    <row r="1096" spans="2:22" ht="13">
      <c r="B1096" s="270"/>
      <c r="C1096" s="245"/>
      <c r="D1096" s="19" t="s">
        <v>212</v>
      </c>
      <c r="E1096" s="17"/>
      <c r="F1096" s="17"/>
      <c r="G1096" s="17">
        <v>68</v>
      </c>
      <c r="H1096" s="236"/>
      <c r="I1096" s="236"/>
      <c r="J1096" s="236"/>
      <c r="K1096" s="242"/>
      <c r="M1096" s="270"/>
      <c r="N1096" s="245"/>
      <c r="O1096" s="19" t="s">
        <v>212</v>
      </c>
      <c r="P1096" s="17"/>
      <c r="Q1096" s="17"/>
      <c r="R1096" s="17">
        <v>68</v>
      </c>
      <c r="S1096" s="236"/>
      <c r="T1096" s="236"/>
      <c r="U1096" s="236"/>
      <c r="V1096" s="242"/>
    </row>
    <row r="1097" spans="2:22" ht="13">
      <c r="B1097" s="270"/>
      <c r="C1097" s="246"/>
      <c r="D1097" s="44" t="s">
        <v>33</v>
      </c>
      <c r="E1097" s="21"/>
      <c r="F1097" s="21"/>
      <c r="G1097" s="21">
        <v>118.29</v>
      </c>
      <c r="H1097" s="238"/>
      <c r="I1097" s="238"/>
      <c r="J1097" s="238"/>
      <c r="K1097" s="243"/>
      <c r="M1097" s="270"/>
      <c r="N1097" s="246"/>
      <c r="O1097" s="44" t="s">
        <v>33</v>
      </c>
      <c r="P1097" s="21"/>
      <c r="Q1097" s="21"/>
      <c r="R1097" s="21">
        <v>118.29</v>
      </c>
      <c r="S1097" s="238"/>
      <c r="T1097" s="238"/>
      <c r="U1097" s="238"/>
      <c r="V1097" s="243"/>
    </row>
    <row r="1098" spans="2:22" ht="13">
      <c r="B1098" s="270"/>
      <c r="C1098" s="244" t="s">
        <v>1126</v>
      </c>
      <c r="D1098" s="15" t="s">
        <v>23</v>
      </c>
      <c r="E1098" s="16">
        <v>21</v>
      </c>
      <c r="F1098" s="17">
        <v>16</v>
      </c>
      <c r="G1098" s="17">
        <f t="shared" ref="G1098:G1102" si="211">E1098*F1098</f>
        <v>336</v>
      </c>
      <c r="H1098" s="240">
        <f>SUM(G1098:G1108)</f>
        <v>2367.5100000000002</v>
      </c>
      <c r="I1098" s="240">
        <v>2600</v>
      </c>
      <c r="J1098" s="240">
        <f>I1098-H1098</f>
        <v>232.48999999999978</v>
      </c>
      <c r="K1098" s="241">
        <f>J1098/I1098</f>
        <v>8.9419230769230681E-2</v>
      </c>
      <c r="M1098" s="270"/>
      <c r="N1098" s="244" t="s">
        <v>1126</v>
      </c>
      <c r="O1098" s="15" t="s">
        <v>23</v>
      </c>
      <c r="P1098" s="18"/>
      <c r="Q1098" s="18"/>
      <c r="R1098" s="18"/>
      <c r="S1098" s="240">
        <f>SUM(R1098:R1108)</f>
        <v>2031.51</v>
      </c>
      <c r="T1098" s="240">
        <v>2600</v>
      </c>
      <c r="U1098" s="240">
        <f>T1098-S1098</f>
        <v>568.49</v>
      </c>
      <c r="V1098" s="241">
        <f>U1098/T1098</f>
        <v>0.21865000000000001</v>
      </c>
    </row>
    <row r="1099" spans="2:22" ht="13">
      <c r="B1099" s="270"/>
      <c r="C1099" s="245"/>
      <c r="D1099" s="24" t="s">
        <v>80</v>
      </c>
      <c r="E1099" s="17">
        <v>21</v>
      </c>
      <c r="F1099" s="17">
        <v>17</v>
      </c>
      <c r="G1099" s="17">
        <f t="shared" si="211"/>
        <v>357</v>
      </c>
      <c r="H1099" s="236"/>
      <c r="I1099" s="236"/>
      <c r="J1099" s="236"/>
      <c r="K1099" s="242"/>
      <c r="M1099" s="270"/>
      <c r="N1099" s="245"/>
      <c r="O1099" s="24" t="s">
        <v>80</v>
      </c>
      <c r="P1099" s="17">
        <v>21</v>
      </c>
      <c r="Q1099" s="17">
        <v>17</v>
      </c>
      <c r="R1099" s="17">
        <f t="shared" ref="R1099:R1102" si="212">P1099*Q1099</f>
        <v>357</v>
      </c>
      <c r="S1099" s="236"/>
      <c r="T1099" s="236"/>
      <c r="U1099" s="236"/>
      <c r="V1099" s="242"/>
    </row>
    <row r="1100" spans="2:22" ht="13">
      <c r="B1100" s="270"/>
      <c r="C1100" s="245"/>
      <c r="D1100" s="24" t="s">
        <v>1127</v>
      </c>
      <c r="E1100" s="17">
        <v>18.28</v>
      </c>
      <c r="F1100" s="17">
        <v>17</v>
      </c>
      <c r="G1100" s="17">
        <f t="shared" si="211"/>
        <v>310.76</v>
      </c>
      <c r="H1100" s="236"/>
      <c r="I1100" s="236"/>
      <c r="J1100" s="236"/>
      <c r="K1100" s="242"/>
      <c r="M1100" s="270"/>
      <c r="N1100" s="245"/>
      <c r="O1100" s="24" t="s">
        <v>1127</v>
      </c>
      <c r="P1100" s="17">
        <v>18.28</v>
      </c>
      <c r="Q1100" s="17">
        <v>17</v>
      </c>
      <c r="R1100" s="17">
        <f t="shared" si="212"/>
        <v>310.76</v>
      </c>
      <c r="S1100" s="236"/>
      <c r="T1100" s="236"/>
      <c r="U1100" s="236"/>
      <c r="V1100" s="242"/>
    </row>
    <row r="1101" spans="2:22" ht="13">
      <c r="B1101" s="270"/>
      <c r="C1101" s="245"/>
      <c r="D1101" s="24" t="s">
        <v>58</v>
      </c>
      <c r="E1101" s="17">
        <v>15</v>
      </c>
      <c r="F1101" s="17">
        <v>17</v>
      </c>
      <c r="G1101" s="17">
        <f t="shared" si="211"/>
        <v>255</v>
      </c>
      <c r="H1101" s="236"/>
      <c r="I1101" s="236"/>
      <c r="J1101" s="236"/>
      <c r="K1101" s="242"/>
      <c r="M1101" s="270"/>
      <c r="N1101" s="245"/>
      <c r="O1101" s="24" t="s">
        <v>58</v>
      </c>
      <c r="P1101" s="17">
        <v>15</v>
      </c>
      <c r="Q1101" s="17">
        <v>17</v>
      </c>
      <c r="R1101" s="17">
        <f t="shared" si="212"/>
        <v>255</v>
      </c>
      <c r="S1101" s="236"/>
      <c r="T1101" s="236"/>
      <c r="U1101" s="236"/>
      <c r="V1101" s="242"/>
    </row>
    <row r="1102" spans="2:22" ht="13">
      <c r="B1102" s="270"/>
      <c r="C1102" s="245"/>
      <c r="D1102" s="24" t="s">
        <v>1022</v>
      </c>
      <c r="E1102" s="17">
        <v>21.5</v>
      </c>
      <c r="F1102" s="17">
        <v>17</v>
      </c>
      <c r="G1102" s="17">
        <f t="shared" si="211"/>
        <v>365.5</v>
      </c>
      <c r="H1102" s="236"/>
      <c r="I1102" s="236"/>
      <c r="J1102" s="236"/>
      <c r="K1102" s="242"/>
      <c r="M1102" s="270"/>
      <c r="N1102" s="245"/>
      <c r="O1102" s="24" t="s">
        <v>1022</v>
      </c>
      <c r="P1102" s="17">
        <v>21.5</v>
      </c>
      <c r="Q1102" s="17">
        <v>17</v>
      </c>
      <c r="R1102" s="17">
        <f t="shared" si="212"/>
        <v>365.5</v>
      </c>
      <c r="S1102" s="236"/>
      <c r="T1102" s="236"/>
      <c r="U1102" s="236"/>
      <c r="V1102" s="242"/>
    </row>
    <row r="1103" spans="2:22" ht="13">
      <c r="B1103" s="270"/>
      <c r="C1103" s="245"/>
      <c r="D1103" s="24" t="s">
        <v>47</v>
      </c>
      <c r="E1103" s="17"/>
      <c r="F1103" s="17"/>
      <c r="G1103" s="17">
        <v>256.25</v>
      </c>
      <c r="H1103" s="236"/>
      <c r="I1103" s="236"/>
      <c r="J1103" s="236"/>
      <c r="K1103" s="242"/>
      <c r="M1103" s="270"/>
      <c r="N1103" s="245"/>
      <c r="O1103" s="24" t="s">
        <v>47</v>
      </c>
      <c r="P1103" s="17"/>
      <c r="Q1103" s="17"/>
      <c r="R1103" s="17">
        <v>256.25</v>
      </c>
      <c r="S1103" s="236"/>
      <c r="T1103" s="236"/>
      <c r="U1103" s="236"/>
      <c r="V1103" s="242"/>
    </row>
    <row r="1104" spans="2:22" ht="13">
      <c r="B1104" s="270"/>
      <c r="C1104" s="245"/>
      <c r="D1104" s="54" t="s">
        <v>395</v>
      </c>
      <c r="E1104" s="19"/>
      <c r="F1104" s="19"/>
      <c r="G1104" s="17">
        <v>126</v>
      </c>
      <c r="H1104" s="236"/>
      <c r="I1104" s="236"/>
      <c r="J1104" s="236"/>
      <c r="K1104" s="242"/>
      <c r="M1104" s="270"/>
      <c r="N1104" s="245"/>
      <c r="O1104" s="54" t="s">
        <v>395</v>
      </c>
      <c r="P1104" s="19"/>
      <c r="Q1104" s="19"/>
      <c r="R1104" s="17">
        <v>126</v>
      </c>
      <c r="S1104" s="236"/>
      <c r="T1104" s="236"/>
      <c r="U1104" s="236"/>
      <c r="V1104" s="242"/>
    </row>
    <row r="1105" spans="2:22" ht="13">
      <c r="B1105" s="270"/>
      <c r="C1105" s="245"/>
      <c r="D1105" s="54" t="s">
        <v>212</v>
      </c>
      <c r="E1105" s="19"/>
      <c r="F1105" s="19"/>
      <c r="G1105" s="17">
        <v>66</v>
      </c>
      <c r="H1105" s="236"/>
      <c r="I1105" s="236"/>
      <c r="J1105" s="236"/>
      <c r="K1105" s="242"/>
      <c r="M1105" s="270"/>
      <c r="N1105" s="245"/>
      <c r="O1105" s="54" t="s">
        <v>212</v>
      </c>
      <c r="P1105" s="19"/>
      <c r="Q1105" s="19"/>
      <c r="R1105" s="17">
        <v>66</v>
      </c>
      <c r="S1105" s="236"/>
      <c r="T1105" s="236"/>
      <c r="U1105" s="236"/>
      <c r="V1105" s="242"/>
    </row>
    <row r="1106" spans="2:22" ht="13">
      <c r="B1106" s="270"/>
      <c r="C1106" s="245"/>
      <c r="D1106" s="54" t="s">
        <v>1113</v>
      </c>
      <c r="E1106" s="19"/>
      <c r="F1106" s="19"/>
      <c r="G1106" s="17">
        <v>105</v>
      </c>
      <c r="H1106" s="236"/>
      <c r="I1106" s="236"/>
      <c r="J1106" s="236"/>
      <c r="K1106" s="242"/>
      <c r="M1106" s="270"/>
      <c r="N1106" s="245"/>
      <c r="O1106" s="54" t="s">
        <v>1113</v>
      </c>
      <c r="P1106" s="19"/>
      <c r="Q1106" s="19"/>
      <c r="R1106" s="17">
        <v>105</v>
      </c>
      <c r="S1106" s="236"/>
      <c r="T1106" s="236"/>
      <c r="U1106" s="236"/>
      <c r="V1106" s="242"/>
    </row>
    <row r="1107" spans="2:22" ht="13">
      <c r="B1107" s="270"/>
      <c r="C1107" s="245"/>
      <c r="D1107" s="24" t="s">
        <v>1114</v>
      </c>
      <c r="E1107" s="17"/>
      <c r="F1107" s="17"/>
      <c r="G1107" s="17">
        <v>190</v>
      </c>
      <c r="H1107" s="236"/>
      <c r="I1107" s="236"/>
      <c r="J1107" s="236"/>
      <c r="K1107" s="242"/>
      <c r="M1107" s="270"/>
      <c r="N1107" s="245"/>
      <c r="O1107" s="24" t="s">
        <v>1114</v>
      </c>
      <c r="P1107" s="17"/>
      <c r="Q1107" s="17"/>
      <c r="R1107" s="17">
        <v>190</v>
      </c>
      <c r="S1107" s="236"/>
      <c r="T1107" s="236"/>
      <c r="U1107" s="236"/>
      <c r="V1107" s="242"/>
    </row>
    <row r="1108" spans="2:22" ht="13">
      <c r="B1108" s="270"/>
      <c r="C1108" s="246"/>
      <c r="D1108" s="44"/>
      <c r="E1108" s="21"/>
      <c r="F1108" s="21"/>
      <c r="G1108" s="21"/>
      <c r="H1108" s="238"/>
      <c r="I1108" s="238"/>
      <c r="J1108" s="238"/>
      <c r="K1108" s="243"/>
      <c r="M1108" s="270"/>
      <c r="N1108" s="246"/>
      <c r="O1108" s="44"/>
      <c r="P1108" s="21"/>
      <c r="Q1108" s="21"/>
      <c r="R1108" s="21"/>
      <c r="S1108" s="238"/>
      <c r="T1108" s="238"/>
      <c r="U1108" s="238"/>
      <c r="V1108" s="243"/>
    </row>
    <row r="1109" spans="2:22" ht="13">
      <c r="B1109" s="270"/>
      <c r="C1109" s="244" t="s">
        <v>1128</v>
      </c>
      <c r="D1109" s="15" t="s">
        <v>1129</v>
      </c>
      <c r="E1109" s="16">
        <v>17.09</v>
      </c>
      <c r="F1109" s="17">
        <v>15</v>
      </c>
      <c r="G1109" s="17">
        <f t="shared" ref="G1109:G1117" si="213">E1109*F1109</f>
        <v>256.35000000000002</v>
      </c>
      <c r="H1109" s="240">
        <f>SUM(G1109:G1118)</f>
        <v>3159.6000000000004</v>
      </c>
      <c r="I1109" s="240">
        <v>16000</v>
      </c>
      <c r="J1109" s="240">
        <f>I1109-H1109</f>
        <v>12840.4</v>
      </c>
      <c r="K1109" s="241">
        <f>J1109/I1109</f>
        <v>0.80252499999999993</v>
      </c>
      <c r="M1109" s="270"/>
      <c r="N1109" s="244" t="s">
        <v>1128</v>
      </c>
      <c r="O1109" s="15" t="s">
        <v>1129</v>
      </c>
      <c r="P1109" s="16">
        <v>17.09</v>
      </c>
      <c r="Q1109" s="17">
        <v>15</v>
      </c>
      <c r="R1109" s="17">
        <f t="shared" ref="R1109:R1117" si="214">P1109*Q1109</f>
        <v>256.35000000000002</v>
      </c>
      <c r="S1109" s="240">
        <f>SUM(R1109:R1118)</f>
        <v>3159.6000000000004</v>
      </c>
      <c r="T1109" s="240">
        <v>16000</v>
      </c>
      <c r="U1109" s="240">
        <f>T1109-S1109</f>
        <v>12840.4</v>
      </c>
      <c r="V1109" s="241">
        <f>U1109/T1109</f>
        <v>0.80252499999999993</v>
      </c>
    </row>
    <row r="1110" spans="2:22" ht="13">
      <c r="B1110" s="270"/>
      <c r="C1110" s="245"/>
      <c r="D1110" s="24" t="s">
        <v>1130</v>
      </c>
      <c r="E1110" s="17">
        <v>12.09</v>
      </c>
      <c r="F1110" s="17">
        <v>15</v>
      </c>
      <c r="G1110" s="17">
        <f t="shared" si="213"/>
        <v>181.35</v>
      </c>
      <c r="H1110" s="236"/>
      <c r="I1110" s="236"/>
      <c r="J1110" s="236"/>
      <c r="K1110" s="242"/>
      <c r="M1110" s="270"/>
      <c r="N1110" s="245"/>
      <c r="O1110" s="24" t="s">
        <v>1130</v>
      </c>
      <c r="P1110" s="17">
        <v>12.09</v>
      </c>
      <c r="Q1110" s="17">
        <v>15</v>
      </c>
      <c r="R1110" s="17">
        <f t="shared" si="214"/>
        <v>181.35</v>
      </c>
      <c r="S1110" s="236"/>
      <c r="T1110" s="236"/>
      <c r="U1110" s="236"/>
      <c r="V1110" s="242"/>
    </row>
    <row r="1111" spans="2:22" ht="13">
      <c r="B1111" s="270"/>
      <c r="C1111" s="245"/>
      <c r="D1111" s="24" t="s">
        <v>1131</v>
      </c>
      <c r="E1111" s="17">
        <v>32.049999999999997</v>
      </c>
      <c r="F1111" s="17">
        <v>15</v>
      </c>
      <c r="G1111" s="17">
        <f t="shared" si="213"/>
        <v>480.74999999999994</v>
      </c>
      <c r="H1111" s="236"/>
      <c r="I1111" s="236"/>
      <c r="J1111" s="236"/>
      <c r="K1111" s="242"/>
      <c r="M1111" s="270"/>
      <c r="N1111" s="245"/>
      <c r="O1111" s="24" t="s">
        <v>1131</v>
      </c>
      <c r="P1111" s="17">
        <v>32.049999999999997</v>
      </c>
      <c r="Q1111" s="17">
        <v>15</v>
      </c>
      <c r="R1111" s="17">
        <f t="shared" si="214"/>
        <v>480.74999999999994</v>
      </c>
      <c r="S1111" s="236"/>
      <c r="T1111" s="236"/>
      <c r="U1111" s="236"/>
      <c r="V1111" s="242"/>
    </row>
    <row r="1112" spans="2:22" ht="13">
      <c r="B1112" s="270"/>
      <c r="C1112" s="245"/>
      <c r="D1112" s="24" t="s">
        <v>1132</v>
      </c>
      <c r="E1112" s="17">
        <v>35.44</v>
      </c>
      <c r="F1112" s="17">
        <v>15</v>
      </c>
      <c r="G1112" s="17">
        <f t="shared" si="213"/>
        <v>531.59999999999991</v>
      </c>
      <c r="H1112" s="236"/>
      <c r="I1112" s="236"/>
      <c r="J1112" s="236"/>
      <c r="K1112" s="242"/>
      <c r="M1112" s="270"/>
      <c r="N1112" s="245"/>
      <c r="O1112" s="24" t="s">
        <v>1132</v>
      </c>
      <c r="P1112" s="17">
        <v>35.44</v>
      </c>
      <c r="Q1112" s="17">
        <v>15</v>
      </c>
      <c r="R1112" s="17">
        <f t="shared" si="214"/>
        <v>531.59999999999991</v>
      </c>
      <c r="S1112" s="236"/>
      <c r="T1112" s="236"/>
      <c r="U1112" s="236"/>
      <c r="V1112" s="242"/>
    </row>
    <row r="1113" spans="2:22" ht="13">
      <c r="B1113" s="270"/>
      <c r="C1113" s="245"/>
      <c r="D1113" s="24" t="s">
        <v>266</v>
      </c>
      <c r="E1113" s="17">
        <v>17.899999999999999</v>
      </c>
      <c r="F1113" s="17">
        <v>15</v>
      </c>
      <c r="G1113" s="17">
        <f t="shared" si="213"/>
        <v>268.5</v>
      </c>
      <c r="H1113" s="236"/>
      <c r="I1113" s="236"/>
      <c r="J1113" s="236"/>
      <c r="K1113" s="242"/>
      <c r="M1113" s="270"/>
      <c r="N1113" s="245"/>
      <c r="O1113" s="24" t="s">
        <v>266</v>
      </c>
      <c r="P1113" s="17">
        <v>17.899999999999999</v>
      </c>
      <c r="Q1113" s="17">
        <v>15</v>
      </c>
      <c r="R1113" s="17">
        <f t="shared" si="214"/>
        <v>268.5</v>
      </c>
      <c r="S1113" s="236"/>
      <c r="T1113" s="236"/>
      <c r="U1113" s="236"/>
      <c r="V1113" s="242"/>
    </row>
    <row r="1114" spans="2:22" ht="13">
      <c r="B1114" s="270"/>
      <c r="C1114" s="245"/>
      <c r="D1114" s="24" t="s">
        <v>526</v>
      </c>
      <c r="E1114" s="17">
        <v>43.75</v>
      </c>
      <c r="F1114" s="17">
        <v>15</v>
      </c>
      <c r="G1114" s="17">
        <f t="shared" si="213"/>
        <v>656.25</v>
      </c>
      <c r="H1114" s="236"/>
      <c r="I1114" s="236"/>
      <c r="J1114" s="236"/>
      <c r="K1114" s="242"/>
      <c r="M1114" s="270"/>
      <c r="N1114" s="245"/>
      <c r="O1114" s="24" t="s">
        <v>526</v>
      </c>
      <c r="P1114" s="17">
        <v>43.75</v>
      </c>
      <c r="Q1114" s="17">
        <v>15</v>
      </c>
      <c r="R1114" s="17">
        <f t="shared" si="214"/>
        <v>656.25</v>
      </c>
      <c r="S1114" s="236"/>
      <c r="T1114" s="236"/>
      <c r="U1114" s="236"/>
      <c r="V1114" s="242"/>
    </row>
    <row r="1115" spans="2:22" ht="13">
      <c r="B1115" s="270"/>
      <c r="C1115" s="245"/>
      <c r="D1115" s="24" t="s">
        <v>990</v>
      </c>
      <c r="E1115" s="17">
        <v>21.42</v>
      </c>
      <c r="F1115" s="17">
        <v>15</v>
      </c>
      <c r="G1115" s="17">
        <f t="shared" si="213"/>
        <v>321.3</v>
      </c>
      <c r="H1115" s="236"/>
      <c r="I1115" s="236"/>
      <c r="J1115" s="236"/>
      <c r="K1115" s="242"/>
      <c r="M1115" s="270"/>
      <c r="N1115" s="245"/>
      <c r="O1115" s="24" t="s">
        <v>990</v>
      </c>
      <c r="P1115" s="17">
        <v>21.42</v>
      </c>
      <c r="Q1115" s="17">
        <v>15</v>
      </c>
      <c r="R1115" s="17">
        <f t="shared" si="214"/>
        <v>321.3</v>
      </c>
      <c r="S1115" s="236"/>
      <c r="T1115" s="236"/>
      <c r="U1115" s="236"/>
      <c r="V1115" s="242"/>
    </row>
    <row r="1116" spans="2:22" ht="13">
      <c r="B1116" s="270"/>
      <c r="C1116" s="245"/>
      <c r="D1116" s="24" t="s">
        <v>70</v>
      </c>
      <c r="E1116" s="17">
        <v>4.3499999999999996</v>
      </c>
      <c r="F1116" s="17">
        <v>15</v>
      </c>
      <c r="G1116" s="17">
        <f t="shared" si="213"/>
        <v>65.25</v>
      </c>
      <c r="H1116" s="236"/>
      <c r="I1116" s="236"/>
      <c r="J1116" s="236"/>
      <c r="K1116" s="242"/>
      <c r="M1116" s="270"/>
      <c r="N1116" s="245"/>
      <c r="O1116" s="24" t="s">
        <v>70</v>
      </c>
      <c r="P1116" s="17">
        <v>4.3499999999999996</v>
      </c>
      <c r="Q1116" s="17">
        <v>15</v>
      </c>
      <c r="R1116" s="17">
        <f t="shared" si="214"/>
        <v>65.25</v>
      </c>
      <c r="S1116" s="236"/>
      <c r="T1116" s="236"/>
      <c r="U1116" s="236"/>
      <c r="V1116" s="242"/>
    </row>
    <row r="1117" spans="2:22" ht="13">
      <c r="B1117" s="270"/>
      <c r="C1117" s="245"/>
      <c r="D1117" s="24" t="s">
        <v>1094</v>
      </c>
      <c r="E1117" s="17">
        <v>26.55</v>
      </c>
      <c r="F1117" s="17">
        <v>15</v>
      </c>
      <c r="G1117" s="17">
        <f t="shared" si="213"/>
        <v>398.25</v>
      </c>
      <c r="H1117" s="236"/>
      <c r="I1117" s="236"/>
      <c r="J1117" s="236"/>
      <c r="K1117" s="242"/>
      <c r="M1117" s="270"/>
      <c r="N1117" s="245"/>
      <c r="O1117" s="24" t="s">
        <v>1094</v>
      </c>
      <c r="P1117" s="17">
        <v>26.55</v>
      </c>
      <c r="Q1117" s="17">
        <v>15</v>
      </c>
      <c r="R1117" s="17">
        <f t="shared" si="214"/>
        <v>398.25</v>
      </c>
      <c r="S1117" s="236"/>
      <c r="T1117" s="236"/>
      <c r="U1117" s="236"/>
      <c r="V1117" s="242"/>
    </row>
    <row r="1118" spans="2:22" ht="13">
      <c r="B1118" s="270"/>
      <c r="C1118" s="246"/>
      <c r="D1118" s="44"/>
      <c r="E1118" s="21"/>
      <c r="F1118" s="21"/>
      <c r="G1118" s="21"/>
      <c r="H1118" s="238"/>
      <c r="I1118" s="238"/>
      <c r="J1118" s="238"/>
      <c r="K1118" s="243"/>
      <c r="M1118" s="270"/>
      <c r="N1118" s="246"/>
      <c r="O1118" s="44"/>
      <c r="P1118" s="21"/>
      <c r="Q1118" s="21"/>
      <c r="R1118" s="21"/>
      <c r="S1118" s="238"/>
      <c r="T1118" s="238"/>
      <c r="U1118" s="238"/>
      <c r="V1118" s="243"/>
    </row>
    <row r="1119" spans="2:22" ht="13">
      <c r="B1119" s="270"/>
      <c r="C1119" s="244" t="s">
        <v>1133</v>
      </c>
      <c r="D1119" s="15" t="s">
        <v>1134</v>
      </c>
      <c r="E1119" s="16">
        <v>5</v>
      </c>
      <c r="F1119" s="17">
        <v>25</v>
      </c>
      <c r="G1119" s="17">
        <f t="shared" ref="G1119:G1125" si="215">E1119*F1119</f>
        <v>125</v>
      </c>
      <c r="H1119" s="240">
        <f>SUM(G1119:G1126)</f>
        <v>904.12</v>
      </c>
      <c r="I1119" s="240">
        <v>3565</v>
      </c>
      <c r="J1119" s="240">
        <f>I1119-H1119</f>
        <v>2660.88</v>
      </c>
      <c r="K1119" s="241">
        <f>J1119/I1119</f>
        <v>0.74638990182328191</v>
      </c>
      <c r="M1119" s="270"/>
      <c r="N1119" s="244" t="s">
        <v>1133</v>
      </c>
      <c r="O1119" s="15" t="s">
        <v>1134</v>
      </c>
      <c r="P1119" s="16">
        <v>5</v>
      </c>
      <c r="Q1119" s="17">
        <v>25</v>
      </c>
      <c r="R1119" s="17">
        <f t="shared" ref="R1119:R1125" si="216">P1119*Q1119</f>
        <v>125</v>
      </c>
      <c r="S1119" s="240">
        <f>SUM(R1119:R1126)</f>
        <v>904.12</v>
      </c>
      <c r="T1119" s="240">
        <v>3565</v>
      </c>
      <c r="U1119" s="240">
        <f>T1119-S1119</f>
        <v>2660.88</v>
      </c>
      <c r="V1119" s="241">
        <f>U1119/T1119</f>
        <v>0.74638990182328191</v>
      </c>
    </row>
    <row r="1120" spans="2:22" ht="13">
      <c r="B1120" s="270"/>
      <c r="C1120" s="245"/>
      <c r="D1120" s="24" t="s">
        <v>1135</v>
      </c>
      <c r="E1120" s="17">
        <v>3</v>
      </c>
      <c r="F1120" s="17">
        <v>25</v>
      </c>
      <c r="G1120" s="17">
        <f t="shared" si="215"/>
        <v>75</v>
      </c>
      <c r="H1120" s="236"/>
      <c r="I1120" s="236"/>
      <c r="J1120" s="236"/>
      <c r="K1120" s="242"/>
      <c r="M1120" s="270"/>
      <c r="N1120" s="245"/>
      <c r="O1120" s="24" t="s">
        <v>1135</v>
      </c>
      <c r="P1120" s="17">
        <v>3</v>
      </c>
      <c r="Q1120" s="17">
        <v>25</v>
      </c>
      <c r="R1120" s="17">
        <f t="shared" si="216"/>
        <v>75</v>
      </c>
      <c r="S1120" s="236"/>
      <c r="T1120" s="236"/>
      <c r="U1120" s="236"/>
      <c r="V1120" s="242"/>
    </row>
    <row r="1121" spans="2:22" ht="13">
      <c r="B1121" s="270"/>
      <c r="C1121" s="245"/>
      <c r="D1121" s="24" t="s">
        <v>474</v>
      </c>
      <c r="E1121" s="17">
        <v>6</v>
      </c>
      <c r="F1121" s="17">
        <v>25</v>
      </c>
      <c r="G1121" s="17">
        <f t="shared" si="215"/>
        <v>150</v>
      </c>
      <c r="H1121" s="236"/>
      <c r="I1121" s="236"/>
      <c r="J1121" s="236"/>
      <c r="K1121" s="242"/>
      <c r="M1121" s="270"/>
      <c r="N1121" s="245"/>
      <c r="O1121" s="24" t="s">
        <v>474</v>
      </c>
      <c r="P1121" s="17">
        <v>6</v>
      </c>
      <c r="Q1121" s="17">
        <v>25</v>
      </c>
      <c r="R1121" s="17">
        <f t="shared" si="216"/>
        <v>150</v>
      </c>
      <c r="S1121" s="236"/>
      <c r="T1121" s="236"/>
      <c r="U1121" s="236"/>
      <c r="V1121" s="242"/>
    </row>
    <row r="1122" spans="2:22" ht="13">
      <c r="B1122" s="270"/>
      <c r="C1122" s="245"/>
      <c r="D1122" s="24" t="s">
        <v>70</v>
      </c>
      <c r="E1122" s="17">
        <v>6</v>
      </c>
      <c r="F1122" s="17">
        <v>25</v>
      </c>
      <c r="G1122" s="17">
        <f t="shared" si="215"/>
        <v>150</v>
      </c>
      <c r="H1122" s="236"/>
      <c r="I1122" s="236"/>
      <c r="J1122" s="236"/>
      <c r="K1122" s="242"/>
      <c r="M1122" s="270"/>
      <c r="N1122" s="245"/>
      <c r="O1122" s="24" t="s">
        <v>70</v>
      </c>
      <c r="P1122" s="17">
        <v>6</v>
      </c>
      <c r="Q1122" s="17">
        <v>25</v>
      </c>
      <c r="R1122" s="17">
        <f t="shared" si="216"/>
        <v>150</v>
      </c>
      <c r="S1122" s="236"/>
      <c r="T1122" s="236"/>
      <c r="U1122" s="236"/>
      <c r="V1122" s="242"/>
    </row>
    <row r="1123" spans="2:22" ht="13">
      <c r="B1123" s="270"/>
      <c r="C1123" s="245"/>
      <c r="D1123" s="24" t="s">
        <v>139</v>
      </c>
      <c r="E1123" s="17">
        <v>3</v>
      </c>
      <c r="F1123" s="17">
        <v>25</v>
      </c>
      <c r="G1123" s="17">
        <f t="shared" si="215"/>
        <v>75</v>
      </c>
      <c r="H1123" s="236"/>
      <c r="I1123" s="236"/>
      <c r="J1123" s="236"/>
      <c r="K1123" s="242"/>
      <c r="M1123" s="270"/>
      <c r="N1123" s="245"/>
      <c r="O1123" s="24" t="s">
        <v>139</v>
      </c>
      <c r="P1123" s="17">
        <v>3</v>
      </c>
      <c r="Q1123" s="17">
        <v>25</v>
      </c>
      <c r="R1123" s="17">
        <f t="shared" si="216"/>
        <v>75</v>
      </c>
      <c r="S1123" s="236"/>
      <c r="T1123" s="236"/>
      <c r="U1123" s="236"/>
      <c r="V1123" s="242"/>
    </row>
    <row r="1124" spans="2:22" ht="13">
      <c r="B1124" s="270"/>
      <c r="C1124" s="245"/>
      <c r="D1124" s="24" t="s">
        <v>1067</v>
      </c>
      <c r="E1124" s="17">
        <v>3</v>
      </c>
      <c r="F1124" s="17">
        <v>25</v>
      </c>
      <c r="G1124" s="17">
        <f t="shared" si="215"/>
        <v>75</v>
      </c>
      <c r="H1124" s="236"/>
      <c r="I1124" s="236"/>
      <c r="J1124" s="236"/>
      <c r="K1124" s="242"/>
      <c r="M1124" s="270"/>
      <c r="N1124" s="245"/>
      <c r="O1124" s="24" t="s">
        <v>1067</v>
      </c>
      <c r="P1124" s="17">
        <v>3</v>
      </c>
      <c r="Q1124" s="17">
        <v>25</v>
      </c>
      <c r="R1124" s="17">
        <f t="shared" si="216"/>
        <v>75</v>
      </c>
      <c r="S1124" s="236"/>
      <c r="T1124" s="236"/>
      <c r="U1124" s="236"/>
      <c r="V1124" s="242"/>
    </row>
    <row r="1125" spans="2:22" ht="13">
      <c r="B1125" s="270"/>
      <c r="C1125" s="245"/>
      <c r="D1125" s="54" t="s">
        <v>1100</v>
      </c>
      <c r="E1125" s="19">
        <v>5</v>
      </c>
      <c r="F1125" s="17">
        <v>25</v>
      </c>
      <c r="G1125" s="17">
        <f t="shared" si="215"/>
        <v>125</v>
      </c>
      <c r="H1125" s="236"/>
      <c r="I1125" s="236"/>
      <c r="J1125" s="236"/>
      <c r="K1125" s="242"/>
      <c r="M1125" s="270"/>
      <c r="N1125" s="245"/>
      <c r="O1125" s="54" t="s">
        <v>1100</v>
      </c>
      <c r="P1125" s="19">
        <v>5</v>
      </c>
      <c r="Q1125" s="17">
        <v>25</v>
      </c>
      <c r="R1125" s="17">
        <f t="shared" si="216"/>
        <v>125</v>
      </c>
      <c r="S1125" s="236"/>
      <c r="T1125" s="236"/>
      <c r="U1125" s="236"/>
      <c r="V1125" s="242"/>
    </row>
    <row r="1126" spans="2:22" ht="13">
      <c r="B1126" s="270"/>
      <c r="C1126" s="246"/>
      <c r="D1126" s="44" t="s">
        <v>33</v>
      </c>
      <c r="E1126" s="21"/>
      <c r="F1126" s="21"/>
      <c r="G1126" s="21">
        <v>129.12</v>
      </c>
      <c r="H1126" s="238"/>
      <c r="I1126" s="238"/>
      <c r="J1126" s="238"/>
      <c r="K1126" s="243"/>
      <c r="M1126" s="270"/>
      <c r="N1126" s="246"/>
      <c r="O1126" s="44" t="s">
        <v>33</v>
      </c>
      <c r="P1126" s="21"/>
      <c r="Q1126" s="21"/>
      <c r="R1126" s="21">
        <v>129.12</v>
      </c>
      <c r="S1126" s="238"/>
      <c r="T1126" s="238"/>
      <c r="U1126" s="238"/>
      <c r="V1126" s="243"/>
    </row>
    <row r="1127" spans="2:22" ht="13">
      <c r="B1127" s="270"/>
      <c r="C1127" s="244" t="s">
        <v>1136</v>
      </c>
      <c r="D1127" s="15" t="s">
        <v>349</v>
      </c>
      <c r="E1127" s="16">
        <v>14</v>
      </c>
      <c r="F1127" s="16">
        <v>16</v>
      </c>
      <c r="G1127" s="17">
        <f>E1127*F1127</f>
        <v>224</v>
      </c>
      <c r="H1127" s="240">
        <f>SUM(G1127:G1131)</f>
        <v>495.44</v>
      </c>
      <c r="I1127" s="240">
        <v>2806.87</v>
      </c>
      <c r="J1127" s="240">
        <f>I1127-H1127</f>
        <v>2311.4299999999998</v>
      </c>
      <c r="K1127" s="241">
        <f>J1127/I1127</f>
        <v>0.82349022220480461</v>
      </c>
      <c r="M1127" s="270"/>
      <c r="N1127" s="244" t="s">
        <v>1136</v>
      </c>
      <c r="O1127" s="15" t="s">
        <v>349</v>
      </c>
      <c r="P1127" s="18"/>
      <c r="Q1127" s="18"/>
      <c r="R1127" s="18"/>
      <c r="S1127" s="240">
        <f>SUM(R1127:R1131)</f>
        <v>271.44</v>
      </c>
      <c r="T1127" s="240">
        <v>2806.87</v>
      </c>
      <c r="U1127" s="240">
        <f>T1127-S1127</f>
        <v>2535.4299999999998</v>
      </c>
      <c r="V1127" s="241">
        <f>U1127/T1127</f>
        <v>0.903294416912789</v>
      </c>
    </row>
    <row r="1128" spans="2:22" ht="13">
      <c r="B1128" s="270"/>
      <c r="C1128" s="245"/>
      <c r="D1128" s="19" t="s">
        <v>47</v>
      </c>
      <c r="E1128" s="17"/>
      <c r="F1128" s="17"/>
      <c r="G1128" s="17">
        <v>50.44</v>
      </c>
      <c r="H1128" s="236"/>
      <c r="I1128" s="236"/>
      <c r="J1128" s="236"/>
      <c r="K1128" s="242"/>
      <c r="M1128" s="270"/>
      <c r="N1128" s="245"/>
      <c r="O1128" s="19" t="s">
        <v>47</v>
      </c>
      <c r="P1128" s="17"/>
      <c r="Q1128" s="17"/>
      <c r="R1128" s="17">
        <v>50.44</v>
      </c>
      <c r="S1128" s="236"/>
      <c r="T1128" s="236"/>
      <c r="U1128" s="236"/>
      <c r="V1128" s="242"/>
    </row>
    <row r="1129" spans="2:22" ht="13">
      <c r="B1129" s="270"/>
      <c r="C1129" s="245"/>
      <c r="D1129" s="19" t="s">
        <v>1124</v>
      </c>
      <c r="E1129" s="17"/>
      <c r="F1129" s="17"/>
      <c r="G1129" s="17">
        <v>86</v>
      </c>
      <c r="H1129" s="236"/>
      <c r="I1129" s="236"/>
      <c r="J1129" s="236"/>
      <c r="K1129" s="242"/>
      <c r="M1129" s="270"/>
      <c r="N1129" s="245"/>
      <c r="O1129" s="19" t="s">
        <v>1124</v>
      </c>
      <c r="P1129" s="17"/>
      <c r="Q1129" s="17"/>
      <c r="R1129" s="17">
        <v>86</v>
      </c>
      <c r="S1129" s="236"/>
      <c r="T1129" s="236"/>
      <c r="U1129" s="236"/>
      <c r="V1129" s="242"/>
    </row>
    <row r="1130" spans="2:22" ht="13">
      <c r="B1130" s="270"/>
      <c r="C1130" s="245"/>
      <c r="D1130" s="19" t="s">
        <v>46</v>
      </c>
      <c r="E1130" s="17"/>
      <c r="F1130" s="17"/>
      <c r="G1130" s="17">
        <v>100</v>
      </c>
      <c r="H1130" s="236"/>
      <c r="I1130" s="236"/>
      <c r="J1130" s="236"/>
      <c r="K1130" s="242"/>
      <c r="M1130" s="270"/>
      <c r="N1130" s="245"/>
      <c r="O1130" s="19" t="s">
        <v>46</v>
      </c>
      <c r="P1130" s="17"/>
      <c r="Q1130" s="17"/>
      <c r="R1130" s="17">
        <v>100</v>
      </c>
      <c r="S1130" s="236"/>
      <c r="T1130" s="236"/>
      <c r="U1130" s="236"/>
      <c r="V1130" s="242"/>
    </row>
    <row r="1131" spans="2:22" ht="13">
      <c r="B1131" s="270"/>
      <c r="C1131" s="246"/>
      <c r="D1131" s="44" t="s">
        <v>188</v>
      </c>
      <c r="E1131" s="21"/>
      <c r="F1131" s="21"/>
      <c r="G1131" s="21">
        <v>35</v>
      </c>
      <c r="H1131" s="238"/>
      <c r="I1131" s="238"/>
      <c r="J1131" s="238"/>
      <c r="K1131" s="243"/>
      <c r="M1131" s="270"/>
      <c r="N1131" s="246"/>
      <c r="O1131" s="44" t="s">
        <v>188</v>
      </c>
      <c r="P1131" s="21"/>
      <c r="Q1131" s="21"/>
      <c r="R1131" s="21">
        <v>35</v>
      </c>
      <c r="S1131" s="238"/>
      <c r="T1131" s="238"/>
      <c r="U1131" s="238"/>
      <c r="V1131" s="243"/>
    </row>
    <row r="1132" spans="2:22" ht="13">
      <c r="B1132" s="270"/>
      <c r="C1132" s="244" t="s">
        <v>1137</v>
      </c>
      <c r="D1132" s="15" t="s">
        <v>114</v>
      </c>
      <c r="E1132" s="16">
        <v>14</v>
      </c>
      <c r="F1132" s="16">
        <v>18</v>
      </c>
      <c r="G1132" s="17">
        <f>E1132*F1132</f>
        <v>252</v>
      </c>
      <c r="H1132" s="240">
        <f>SUM(G1132:G1135)</f>
        <v>481.19</v>
      </c>
      <c r="I1132" s="240">
        <v>2751.84</v>
      </c>
      <c r="J1132" s="240">
        <f>I1132-H1132</f>
        <v>2270.65</v>
      </c>
      <c r="K1132" s="241">
        <f>J1132/I1132</f>
        <v>0.82513881621024476</v>
      </c>
      <c r="M1132" s="270"/>
      <c r="N1132" s="244" t="s">
        <v>1137</v>
      </c>
      <c r="O1132" s="15" t="s">
        <v>114</v>
      </c>
      <c r="P1132" s="18"/>
      <c r="Q1132" s="18"/>
      <c r="R1132" s="18"/>
      <c r="S1132" s="240">
        <f>SUM(R1132:R1135)</f>
        <v>229.19</v>
      </c>
      <c r="T1132" s="240">
        <v>2751.84</v>
      </c>
      <c r="U1132" s="240">
        <f>T1132-S1132</f>
        <v>2522.65</v>
      </c>
      <c r="V1132" s="241">
        <f>U1132/T1132</f>
        <v>0.91671390778533635</v>
      </c>
    </row>
    <row r="1133" spans="2:22" ht="13">
      <c r="B1133" s="270"/>
      <c r="C1133" s="245"/>
      <c r="D1133" s="19" t="s">
        <v>47</v>
      </c>
      <c r="E1133" s="17"/>
      <c r="F1133" s="17"/>
      <c r="G1133" s="17">
        <v>60.12</v>
      </c>
      <c r="H1133" s="236"/>
      <c r="I1133" s="236"/>
      <c r="J1133" s="236"/>
      <c r="K1133" s="242"/>
      <c r="M1133" s="270"/>
      <c r="N1133" s="245"/>
      <c r="O1133" s="19" t="s">
        <v>47</v>
      </c>
      <c r="P1133" s="17"/>
      <c r="Q1133" s="17"/>
      <c r="R1133" s="17">
        <v>60.12</v>
      </c>
      <c r="S1133" s="236"/>
      <c r="T1133" s="236"/>
      <c r="U1133" s="236"/>
      <c r="V1133" s="242"/>
    </row>
    <row r="1134" spans="2:22" ht="13">
      <c r="B1134" s="270"/>
      <c r="C1134" s="245"/>
      <c r="D1134" s="19" t="s">
        <v>83</v>
      </c>
      <c r="E1134" s="17"/>
      <c r="F1134" s="17"/>
      <c r="G1134" s="17">
        <v>99.07</v>
      </c>
      <c r="H1134" s="236"/>
      <c r="I1134" s="236"/>
      <c r="J1134" s="236"/>
      <c r="K1134" s="242"/>
      <c r="M1134" s="270"/>
      <c r="N1134" s="245"/>
      <c r="O1134" s="19" t="s">
        <v>83</v>
      </c>
      <c r="P1134" s="17"/>
      <c r="Q1134" s="17"/>
      <c r="R1134" s="17">
        <v>99.07</v>
      </c>
      <c r="S1134" s="236"/>
      <c r="T1134" s="236"/>
      <c r="U1134" s="236"/>
      <c r="V1134" s="242"/>
    </row>
    <row r="1135" spans="2:22" ht="13">
      <c r="B1135" s="270"/>
      <c r="C1135" s="246"/>
      <c r="D1135" s="44" t="s">
        <v>188</v>
      </c>
      <c r="E1135" s="21"/>
      <c r="F1135" s="21"/>
      <c r="G1135" s="21">
        <v>70</v>
      </c>
      <c r="H1135" s="238"/>
      <c r="I1135" s="238"/>
      <c r="J1135" s="238"/>
      <c r="K1135" s="243"/>
      <c r="M1135" s="270"/>
      <c r="N1135" s="246"/>
      <c r="O1135" s="44" t="s">
        <v>188</v>
      </c>
      <c r="P1135" s="21"/>
      <c r="Q1135" s="21"/>
      <c r="R1135" s="21">
        <v>70</v>
      </c>
      <c r="S1135" s="238"/>
      <c r="T1135" s="238"/>
      <c r="U1135" s="238"/>
      <c r="V1135" s="243"/>
    </row>
    <row r="1136" spans="2:22" ht="13">
      <c r="B1136" s="270"/>
      <c r="C1136" s="289" t="s">
        <v>1138</v>
      </c>
      <c r="D1136" s="77" t="s">
        <v>137</v>
      </c>
      <c r="E1136" s="70">
        <v>71</v>
      </c>
      <c r="F1136" s="70">
        <v>15</v>
      </c>
      <c r="G1136" s="17">
        <f t="shared" ref="G1136:G1161" si="217">E1136*F1136</f>
        <v>1065</v>
      </c>
      <c r="H1136" s="240">
        <f>SUM(G1136:G1182)</f>
        <v>47416.579999999994</v>
      </c>
      <c r="I1136" s="240">
        <v>65423.5</v>
      </c>
      <c r="J1136" s="240">
        <f>I1136-H1136</f>
        <v>18006.920000000006</v>
      </c>
      <c r="K1136" s="241">
        <f>J1136/I1136</f>
        <v>0.27523626831337372</v>
      </c>
      <c r="M1136" s="270"/>
      <c r="N1136" s="289" t="s">
        <v>1138</v>
      </c>
      <c r="O1136" s="77" t="s">
        <v>137</v>
      </c>
      <c r="P1136" s="70">
        <v>71</v>
      </c>
      <c r="Q1136" s="70">
        <v>15</v>
      </c>
      <c r="R1136" s="17">
        <f t="shared" ref="R1136:R1152" si="218">P1136*Q1136</f>
        <v>1065</v>
      </c>
      <c r="S1136" s="240">
        <f>SUM(R1136:R1182)</f>
        <v>44616.580000000009</v>
      </c>
      <c r="T1136" s="240">
        <v>65423.5</v>
      </c>
      <c r="U1136" s="240">
        <f>T1136-S1136</f>
        <v>20806.919999999991</v>
      </c>
      <c r="V1136" s="241">
        <f>U1136/T1136</f>
        <v>0.31803434545690756</v>
      </c>
    </row>
    <row r="1137" spans="2:22" ht="13">
      <c r="B1137" s="270"/>
      <c r="C1137" s="245"/>
      <c r="D1137" s="19" t="s">
        <v>70</v>
      </c>
      <c r="E1137" s="102">
        <v>69.5</v>
      </c>
      <c r="F1137" s="102">
        <v>15</v>
      </c>
      <c r="G1137" s="17">
        <f t="shared" si="217"/>
        <v>1042.5</v>
      </c>
      <c r="H1137" s="236"/>
      <c r="I1137" s="236"/>
      <c r="J1137" s="236"/>
      <c r="K1137" s="242"/>
      <c r="M1137" s="270"/>
      <c r="N1137" s="245"/>
      <c r="O1137" s="19" t="s">
        <v>70</v>
      </c>
      <c r="P1137" s="102">
        <v>69.5</v>
      </c>
      <c r="Q1137" s="102">
        <v>15</v>
      </c>
      <c r="R1137" s="17">
        <f t="shared" si="218"/>
        <v>1042.5</v>
      </c>
      <c r="S1137" s="236"/>
      <c r="T1137" s="236"/>
      <c r="U1137" s="236"/>
      <c r="V1137" s="242"/>
    </row>
    <row r="1138" spans="2:22" ht="13">
      <c r="B1138" s="270"/>
      <c r="C1138" s="245"/>
      <c r="D1138" s="19" t="s">
        <v>1139</v>
      </c>
      <c r="E1138" s="102">
        <v>73</v>
      </c>
      <c r="F1138" s="102">
        <v>15</v>
      </c>
      <c r="G1138" s="17">
        <f t="shared" si="217"/>
        <v>1095</v>
      </c>
      <c r="H1138" s="236"/>
      <c r="I1138" s="236"/>
      <c r="J1138" s="236"/>
      <c r="K1138" s="242"/>
      <c r="M1138" s="270"/>
      <c r="N1138" s="245"/>
      <c r="O1138" s="19" t="s">
        <v>1139</v>
      </c>
      <c r="P1138" s="102">
        <v>73</v>
      </c>
      <c r="Q1138" s="102">
        <v>15</v>
      </c>
      <c r="R1138" s="17">
        <f t="shared" si="218"/>
        <v>1095</v>
      </c>
      <c r="S1138" s="236"/>
      <c r="T1138" s="236"/>
      <c r="U1138" s="236"/>
      <c r="V1138" s="242"/>
    </row>
    <row r="1139" spans="2:22" ht="13">
      <c r="B1139" s="270"/>
      <c r="C1139" s="245"/>
      <c r="D1139" s="19" t="s">
        <v>139</v>
      </c>
      <c r="E1139" s="102">
        <v>56</v>
      </c>
      <c r="F1139" s="102">
        <v>15</v>
      </c>
      <c r="G1139" s="17">
        <f t="shared" si="217"/>
        <v>840</v>
      </c>
      <c r="H1139" s="236"/>
      <c r="I1139" s="236"/>
      <c r="J1139" s="236"/>
      <c r="K1139" s="242"/>
      <c r="M1139" s="270"/>
      <c r="N1139" s="245"/>
      <c r="O1139" s="19" t="s">
        <v>139</v>
      </c>
      <c r="P1139" s="102">
        <v>56</v>
      </c>
      <c r="Q1139" s="102">
        <v>15</v>
      </c>
      <c r="R1139" s="17">
        <f t="shared" si="218"/>
        <v>840</v>
      </c>
      <c r="S1139" s="236"/>
      <c r="T1139" s="236"/>
      <c r="U1139" s="236"/>
      <c r="V1139" s="242"/>
    </row>
    <row r="1140" spans="2:22" ht="13">
      <c r="B1140" s="270"/>
      <c r="C1140" s="245"/>
      <c r="D1140" s="19" t="s">
        <v>628</v>
      </c>
      <c r="E1140" s="102">
        <v>24</v>
      </c>
      <c r="F1140" s="102">
        <v>15</v>
      </c>
      <c r="G1140" s="17">
        <f t="shared" si="217"/>
        <v>360</v>
      </c>
      <c r="H1140" s="236"/>
      <c r="I1140" s="236"/>
      <c r="J1140" s="236"/>
      <c r="K1140" s="242"/>
      <c r="M1140" s="270"/>
      <c r="N1140" s="245"/>
      <c r="O1140" s="19" t="s">
        <v>628</v>
      </c>
      <c r="P1140" s="102">
        <v>24</v>
      </c>
      <c r="Q1140" s="102">
        <v>15</v>
      </c>
      <c r="R1140" s="17">
        <f t="shared" si="218"/>
        <v>360</v>
      </c>
      <c r="S1140" s="236"/>
      <c r="T1140" s="236"/>
      <c r="U1140" s="236"/>
      <c r="V1140" s="242"/>
    </row>
    <row r="1141" spans="2:22" ht="13">
      <c r="B1141" s="270"/>
      <c r="C1141" s="245"/>
      <c r="D1141" s="19" t="s">
        <v>1116</v>
      </c>
      <c r="E1141" s="102">
        <v>49.5</v>
      </c>
      <c r="F1141" s="102">
        <v>15</v>
      </c>
      <c r="G1141" s="17">
        <f t="shared" si="217"/>
        <v>742.5</v>
      </c>
      <c r="H1141" s="236"/>
      <c r="I1141" s="236"/>
      <c r="J1141" s="236"/>
      <c r="K1141" s="242"/>
      <c r="M1141" s="270"/>
      <c r="N1141" s="245"/>
      <c r="O1141" s="19" t="s">
        <v>1116</v>
      </c>
      <c r="P1141" s="102">
        <v>49.5</v>
      </c>
      <c r="Q1141" s="102">
        <v>15</v>
      </c>
      <c r="R1141" s="17">
        <f t="shared" si="218"/>
        <v>742.5</v>
      </c>
      <c r="S1141" s="236"/>
      <c r="T1141" s="236"/>
      <c r="U1141" s="236"/>
      <c r="V1141" s="242"/>
    </row>
    <row r="1142" spans="2:22" ht="13">
      <c r="B1142" s="270"/>
      <c r="C1142" s="245"/>
      <c r="D1142" s="19" t="s">
        <v>100</v>
      </c>
      <c r="E1142" s="102">
        <v>42</v>
      </c>
      <c r="F1142" s="102">
        <v>15</v>
      </c>
      <c r="G1142" s="17">
        <f t="shared" si="217"/>
        <v>630</v>
      </c>
      <c r="H1142" s="236"/>
      <c r="I1142" s="236"/>
      <c r="J1142" s="236"/>
      <c r="K1142" s="242"/>
      <c r="M1142" s="270"/>
      <c r="N1142" s="245"/>
      <c r="O1142" s="19" t="s">
        <v>100</v>
      </c>
      <c r="P1142" s="102">
        <v>42</v>
      </c>
      <c r="Q1142" s="102">
        <v>15</v>
      </c>
      <c r="R1142" s="17">
        <f t="shared" si="218"/>
        <v>630</v>
      </c>
      <c r="S1142" s="236"/>
      <c r="T1142" s="236"/>
      <c r="U1142" s="236"/>
      <c r="V1142" s="242"/>
    </row>
    <row r="1143" spans="2:22" ht="13">
      <c r="B1143" s="270"/>
      <c r="C1143" s="245"/>
      <c r="D1143" s="19" t="s">
        <v>1140</v>
      </c>
      <c r="E1143" s="102">
        <v>63</v>
      </c>
      <c r="F1143" s="102">
        <v>15</v>
      </c>
      <c r="G1143" s="17">
        <f t="shared" si="217"/>
        <v>945</v>
      </c>
      <c r="H1143" s="236"/>
      <c r="I1143" s="236"/>
      <c r="J1143" s="236"/>
      <c r="K1143" s="242"/>
      <c r="M1143" s="270"/>
      <c r="N1143" s="245"/>
      <c r="O1143" s="19" t="s">
        <v>1140</v>
      </c>
      <c r="P1143" s="102">
        <v>63</v>
      </c>
      <c r="Q1143" s="102">
        <v>15</v>
      </c>
      <c r="R1143" s="17">
        <f t="shared" si="218"/>
        <v>945</v>
      </c>
      <c r="S1143" s="236"/>
      <c r="T1143" s="236"/>
      <c r="U1143" s="236"/>
      <c r="V1143" s="242"/>
    </row>
    <row r="1144" spans="2:22" ht="13">
      <c r="B1144" s="270"/>
      <c r="C1144" s="245"/>
      <c r="D1144" s="19" t="s">
        <v>537</v>
      </c>
      <c r="E1144" s="102">
        <v>32.75</v>
      </c>
      <c r="F1144" s="102">
        <v>15</v>
      </c>
      <c r="G1144" s="17">
        <f t="shared" si="217"/>
        <v>491.25</v>
      </c>
      <c r="H1144" s="236"/>
      <c r="I1144" s="236"/>
      <c r="J1144" s="236"/>
      <c r="K1144" s="242"/>
      <c r="M1144" s="270"/>
      <c r="N1144" s="245"/>
      <c r="O1144" s="19" t="s">
        <v>537</v>
      </c>
      <c r="P1144" s="102">
        <v>32.75</v>
      </c>
      <c r="Q1144" s="102">
        <v>15</v>
      </c>
      <c r="R1144" s="17">
        <f t="shared" si="218"/>
        <v>491.25</v>
      </c>
      <c r="S1144" s="236"/>
      <c r="T1144" s="236"/>
      <c r="U1144" s="236"/>
      <c r="V1144" s="242"/>
    </row>
    <row r="1145" spans="2:22" ht="13">
      <c r="B1145" s="270"/>
      <c r="C1145" s="245"/>
      <c r="D1145" s="19" t="s">
        <v>1141</v>
      </c>
      <c r="E1145" s="102">
        <v>30.5</v>
      </c>
      <c r="F1145" s="102">
        <v>15</v>
      </c>
      <c r="G1145" s="17">
        <f t="shared" si="217"/>
        <v>457.5</v>
      </c>
      <c r="H1145" s="236"/>
      <c r="I1145" s="236"/>
      <c r="J1145" s="236"/>
      <c r="K1145" s="242"/>
      <c r="M1145" s="270"/>
      <c r="N1145" s="245"/>
      <c r="O1145" s="19" t="s">
        <v>1141</v>
      </c>
      <c r="P1145" s="102">
        <v>30.5</v>
      </c>
      <c r="Q1145" s="102">
        <v>15</v>
      </c>
      <c r="R1145" s="17">
        <f t="shared" si="218"/>
        <v>457.5</v>
      </c>
      <c r="S1145" s="236"/>
      <c r="T1145" s="236"/>
      <c r="U1145" s="236"/>
      <c r="V1145" s="242"/>
    </row>
    <row r="1146" spans="2:22" ht="13">
      <c r="B1146" s="270"/>
      <c r="C1146" s="245"/>
      <c r="D1146" s="19" t="s">
        <v>1142</v>
      </c>
      <c r="E1146" s="102">
        <v>1</v>
      </c>
      <c r="F1146" s="102">
        <v>170</v>
      </c>
      <c r="G1146" s="17">
        <f t="shared" si="217"/>
        <v>170</v>
      </c>
      <c r="H1146" s="236"/>
      <c r="I1146" s="236"/>
      <c r="J1146" s="236"/>
      <c r="K1146" s="242"/>
      <c r="M1146" s="270"/>
      <c r="N1146" s="245"/>
      <c r="O1146" s="19" t="s">
        <v>1142</v>
      </c>
      <c r="P1146" s="102">
        <v>1</v>
      </c>
      <c r="Q1146" s="102">
        <v>170</v>
      </c>
      <c r="R1146" s="17">
        <f t="shared" si="218"/>
        <v>170</v>
      </c>
      <c r="S1146" s="236"/>
      <c r="T1146" s="236"/>
      <c r="U1146" s="236"/>
      <c r="V1146" s="242"/>
    </row>
    <row r="1147" spans="2:22" ht="13">
      <c r="B1147" s="270"/>
      <c r="C1147" s="245"/>
      <c r="D1147" s="19" t="s">
        <v>1143</v>
      </c>
      <c r="E1147" s="102">
        <v>50.5</v>
      </c>
      <c r="F1147" s="102">
        <v>15</v>
      </c>
      <c r="G1147" s="17">
        <f t="shared" si="217"/>
        <v>757.5</v>
      </c>
      <c r="H1147" s="236"/>
      <c r="I1147" s="236"/>
      <c r="J1147" s="236"/>
      <c r="K1147" s="242"/>
      <c r="M1147" s="270"/>
      <c r="N1147" s="245"/>
      <c r="O1147" s="19" t="s">
        <v>1143</v>
      </c>
      <c r="P1147" s="102">
        <v>50.5</v>
      </c>
      <c r="Q1147" s="102">
        <v>15</v>
      </c>
      <c r="R1147" s="17">
        <f t="shared" si="218"/>
        <v>757.5</v>
      </c>
      <c r="S1147" s="236"/>
      <c r="T1147" s="236"/>
      <c r="U1147" s="236"/>
      <c r="V1147" s="242"/>
    </row>
    <row r="1148" spans="2:22" ht="13">
      <c r="B1148" s="270"/>
      <c r="C1148" s="245"/>
      <c r="D1148" s="19" t="s">
        <v>1144</v>
      </c>
      <c r="E1148" s="102">
        <v>27.5</v>
      </c>
      <c r="F1148" s="102">
        <v>15</v>
      </c>
      <c r="G1148" s="17">
        <f t="shared" si="217"/>
        <v>412.5</v>
      </c>
      <c r="H1148" s="236"/>
      <c r="I1148" s="236"/>
      <c r="J1148" s="236"/>
      <c r="K1148" s="242"/>
      <c r="M1148" s="270"/>
      <c r="N1148" s="245"/>
      <c r="O1148" s="19" t="s">
        <v>1144</v>
      </c>
      <c r="P1148" s="102">
        <v>27.5</v>
      </c>
      <c r="Q1148" s="102">
        <v>15</v>
      </c>
      <c r="R1148" s="17">
        <f t="shared" si="218"/>
        <v>412.5</v>
      </c>
      <c r="S1148" s="236"/>
      <c r="T1148" s="236"/>
      <c r="U1148" s="236"/>
      <c r="V1148" s="242"/>
    </row>
    <row r="1149" spans="2:22" ht="13">
      <c r="B1149" s="270"/>
      <c r="C1149" s="245"/>
      <c r="D1149" s="19" t="s">
        <v>1145</v>
      </c>
      <c r="E1149" s="102">
        <v>6</v>
      </c>
      <c r="F1149" s="102">
        <v>15</v>
      </c>
      <c r="G1149" s="17">
        <f t="shared" si="217"/>
        <v>90</v>
      </c>
      <c r="H1149" s="236"/>
      <c r="I1149" s="236"/>
      <c r="J1149" s="236"/>
      <c r="K1149" s="242"/>
      <c r="M1149" s="270"/>
      <c r="N1149" s="245"/>
      <c r="O1149" s="19" t="s">
        <v>1145</v>
      </c>
      <c r="P1149" s="102">
        <v>6</v>
      </c>
      <c r="Q1149" s="102">
        <v>15</v>
      </c>
      <c r="R1149" s="17">
        <f t="shared" si="218"/>
        <v>90</v>
      </c>
      <c r="S1149" s="236"/>
      <c r="T1149" s="236"/>
      <c r="U1149" s="236"/>
      <c r="V1149" s="242"/>
    </row>
    <row r="1150" spans="2:22" ht="13">
      <c r="B1150" s="270"/>
      <c r="C1150" s="245"/>
      <c r="D1150" s="19" t="s">
        <v>375</v>
      </c>
      <c r="E1150" s="102">
        <v>7</v>
      </c>
      <c r="F1150" s="102">
        <v>15</v>
      </c>
      <c r="G1150" s="17">
        <f t="shared" si="217"/>
        <v>105</v>
      </c>
      <c r="H1150" s="236"/>
      <c r="I1150" s="236"/>
      <c r="J1150" s="236"/>
      <c r="K1150" s="242"/>
      <c r="M1150" s="270"/>
      <c r="N1150" s="245"/>
      <c r="O1150" s="19" t="s">
        <v>375</v>
      </c>
      <c r="P1150" s="102">
        <v>7</v>
      </c>
      <c r="Q1150" s="102">
        <v>15</v>
      </c>
      <c r="R1150" s="17">
        <f t="shared" si="218"/>
        <v>105</v>
      </c>
      <c r="S1150" s="236"/>
      <c r="T1150" s="236"/>
      <c r="U1150" s="236"/>
      <c r="V1150" s="242"/>
    </row>
    <row r="1151" spans="2:22" ht="13">
      <c r="B1151" s="270"/>
      <c r="C1151" s="245"/>
      <c r="D1151" s="19" t="s">
        <v>990</v>
      </c>
      <c r="E1151" s="102">
        <v>5.5</v>
      </c>
      <c r="F1151" s="102">
        <v>15</v>
      </c>
      <c r="G1151" s="17">
        <f t="shared" si="217"/>
        <v>82.5</v>
      </c>
      <c r="H1151" s="236"/>
      <c r="I1151" s="236"/>
      <c r="J1151" s="236"/>
      <c r="K1151" s="242"/>
      <c r="M1151" s="270"/>
      <c r="N1151" s="245"/>
      <c r="O1151" s="19" t="s">
        <v>990</v>
      </c>
      <c r="P1151" s="102">
        <v>5.5</v>
      </c>
      <c r="Q1151" s="102">
        <v>15</v>
      </c>
      <c r="R1151" s="17">
        <f t="shared" si="218"/>
        <v>82.5</v>
      </c>
      <c r="S1151" s="236"/>
      <c r="T1151" s="236"/>
      <c r="U1151" s="236"/>
      <c r="V1151" s="242"/>
    </row>
    <row r="1152" spans="2:22" ht="13">
      <c r="B1152" s="270"/>
      <c r="C1152" s="245"/>
      <c r="D1152" s="19" t="s">
        <v>1146</v>
      </c>
      <c r="E1152" s="102">
        <v>7</v>
      </c>
      <c r="F1152" s="102">
        <v>15</v>
      </c>
      <c r="G1152" s="17">
        <f t="shared" si="217"/>
        <v>105</v>
      </c>
      <c r="H1152" s="236"/>
      <c r="I1152" s="236"/>
      <c r="J1152" s="236"/>
      <c r="K1152" s="242"/>
      <c r="M1152" s="270"/>
      <c r="N1152" s="245"/>
      <c r="O1152" s="19" t="s">
        <v>1146</v>
      </c>
      <c r="P1152" s="102">
        <v>7</v>
      </c>
      <c r="Q1152" s="102">
        <v>15</v>
      </c>
      <c r="R1152" s="17">
        <f t="shared" si="218"/>
        <v>105</v>
      </c>
      <c r="S1152" s="236"/>
      <c r="T1152" s="236"/>
      <c r="U1152" s="236"/>
      <c r="V1152" s="242"/>
    </row>
    <row r="1153" spans="2:22" ht="13">
      <c r="B1153" s="270"/>
      <c r="C1153" s="245"/>
      <c r="D1153" s="19" t="s">
        <v>1147</v>
      </c>
      <c r="E1153" s="102">
        <v>14</v>
      </c>
      <c r="F1153" s="102">
        <v>12</v>
      </c>
      <c r="G1153" s="17">
        <f t="shared" si="217"/>
        <v>168</v>
      </c>
      <c r="H1153" s="236"/>
      <c r="I1153" s="236"/>
      <c r="J1153" s="236"/>
      <c r="K1153" s="242"/>
      <c r="M1153" s="270"/>
      <c r="N1153" s="245"/>
      <c r="O1153" s="19" t="s">
        <v>1147</v>
      </c>
      <c r="P1153" s="18"/>
      <c r="Q1153" s="18"/>
      <c r="R1153" s="18"/>
      <c r="S1153" s="236"/>
      <c r="T1153" s="236"/>
      <c r="U1153" s="236"/>
      <c r="V1153" s="242"/>
    </row>
    <row r="1154" spans="2:22" ht="13">
      <c r="B1154" s="270"/>
      <c r="C1154" s="245"/>
      <c r="D1154" s="19" t="s">
        <v>385</v>
      </c>
      <c r="E1154" s="102">
        <v>7</v>
      </c>
      <c r="F1154" s="102">
        <v>12</v>
      </c>
      <c r="G1154" s="17">
        <f t="shared" si="217"/>
        <v>84</v>
      </c>
      <c r="H1154" s="236"/>
      <c r="I1154" s="236"/>
      <c r="J1154" s="236"/>
      <c r="K1154" s="242"/>
      <c r="M1154" s="270"/>
      <c r="N1154" s="245"/>
      <c r="O1154" s="19" t="s">
        <v>385</v>
      </c>
      <c r="P1154" s="18"/>
      <c r="Q1154" s="18"/>
      <c r="R1154" s="18"/>
      <c r="S1154" s="236"/>
      <c r="T1154" s="236"/>
      <c r="U1154" s="236"/>
      <c r="V1154" s="242"/>
    </row>
    <row r="1155" spans="2:22" ht="13">
      <c r="B1155" s="270"/>
      <c r="C1155" s="245"/>
      <c r="D1155" s="19" t="s">
        <v>398</v>
      </c>
      <c r="E1155" s="102">
        <v>14</v>
      </c>
      <c r="F1155" s="102">
        <v>12</v>
      </c>
      <c r="G1155" s="17">
        <f t="shared" si="217"/>
        <v>168</v>
      </c>
      <c r="H1155" s="236"/>
      <c r="I1155" s="236"/>
      <c r="J1155" s="236"/>
      <c r="K1155" s="242"/>
      <c r="M1155" s="270"/>
      <c r="N1155" s="245"/>
      <c r="O1155" s="19" t="s">
        <v>398</v>
      </c>
      <c r="P1155" s="18"/>
      <c r="Q1155" s="18"/>
      <c r="R1155" s="18"/>
      <c r="S1155" s="236"/>
      <c r="T1155" s="236"/>
      <c r="U1155" s="236"/>
      <c r="V1155" s="242"/>
    </row>
    <row r="1156" spans="2:22" ht="13">
      <c r="B1156" s="270"/>
      <c r="C1156" s="245"/>
      <c r="D1156" s="19" t="s">
        <v>482</v>
      </c>
      <c r="E1156" s="102">
        <v>3</v>
      </c>
      <c r="F1156" s="102">
        <v>170</v>
      </c>
      <c r="G1156" s="17">
        <f t="shared" si="217"/>
        <v>510</v>
      </c>
      <c r="H1156" s="236"/>
      <c r="I1156" s="236"/>
      <c r="J1156" s="236"/>
      <c r="K1156" s="242"/>
      <c r="M1156" s="270"/>
      <c r="N1156" s="245"/>
      <c r="O1156" s="19" t="s">
        <v>482</v>
      </c>
      <c r="P1156" s="102">
        <v>3</v>
      </c>
      <c r="Q1156" s="102">
        <v>170</v>
      </c>
      <c r="R1156" s="17">
        <f t="shared" ref="R1156:R1157" si="219">P1156*Q1156</f>
        <v>510</v>
      </c>
      <c r="S1156" s="236"/>
      <c r="T1156" s="236"/>
      <c r="U1156" s="236"/>
      <c r="V1156" s="242"/>
    </row>
    <row r="1157" spans="2:22" ht="13">
      <c r="B1157" s="270"/>
      <c r="C1157" s="245"/>
      <c r="D1157" s="19" t="s">
        <v>1148</v>
      </c>
      <c r="E1157" s="102">
        <v>3</v>
      </c>
      <c r="F1157" s="102">
        <v>200</v>
      </c>
      <c r="G1157" s="17">
        <f t="shared" si="217"/>
        <v>600</v>
      </c>
      <c r="H1157" s="236"/>
      <c r="I1157" s="236"/>
      <c r="J1157" s="236"/>
      <c r="K1157" s="242"/>
      <c r="M1157" s="270"/>
      <c r="N1157" s="245"/>
      <c r="O1157" s="19" t="s">
        <v>1148</v>
      </c>
      <c r="P1157" s="102">
        <v>3</v>
      </c>
      <c r="Q1157" s="102">
        <v>200</v>
      </c>
      <c r="R1157" s="17">
        <f t="shared" si="219"/>
        <v>600</v>
      </c>
      <c r="S1157" s="236"/>
      <c r="T1157" s="236"/>
      <c r="U1157" s="236"/>
      <c r="V1157" s="242"/>
    </row>
    <row r="1158" spans="2:22" ht="13">
      <c r="B1158" s="270"/>
      <c r="C1158" s="245"/>
      <c r="D1158" s="19" t="s">
        <v>1149</v>
      </c>
      <c r="E1158" s="102">
        <v>70</v>
      </c>
      <c r="F1158" s="102">
        <v>18</v>
      </c>
      <c r="G1158" s="17">
        <f t="shared" si="217"/>
        <v>1260</v>
      </c>
      <c r="H1158" s="236"/>
      <c r="I1158" s="236"/>
      <c r="J1158" s="236"/>
      <c r="K1158" s="242"/>
      <c r="M1158" s="270"/>
      <c r="N1158" s="245"/>
      <c r="O1158" s="19" t="s">
        <v>1149</v>
      </c>
      <c r="P1158" s="18"/>
      <c r="Q1158" s="18"/>
      <c r="R1158" s="18"/>
      <c r="S1158" s="236"/>
      <c r="T1158" s="236"/>
      <c r="U1158" s="236"/>
      <c r="V1158" s="242"/>
    </row>
    <row r="1159" spans="2:22" ht="13">
      <c r="B1159" s="270"/>
      <c r="C1159" s="245"/>
      <c r="D1159" s="19" t="s">
        <v>1150</v>
      </c>
      <c r="E1159" s="102">
        <v>42</v>
      </c>
      <c r="F1159" s="102">
        <v>15</v>
      </c>
      <c r="G1159" s="17">
        <f t="shared" si="217"/>
        <v>630</v>
      </c>
      <c r="H1159" s="236"/>
      <c r="I1159" s="236"/>
      <c r="J1159" s="236"/>
      <c r="K1159" s="242"/>
      <c r="M1159" s="270"/>
      <c r="N1159" s="245"/>
      <c r="O1159" s="19" t="s">
        <v>1150</v>
      </c>
      <c r="P1159" s="102">
        <v>42</v>
      </c>
      <c r="Q1159" s="102">
        <v>15</v>
      </c>
      <c r="R1159" s="17">
        <f>P1159*Q1159</f>
        <v>630</v>
      </c>
      <c r="S1159" s="236"/>
      <c r="T1159" s="236"/>
      <c r="U1159" s="236"/>
      <c r="V1159" s="242"/>
    </row>
    <row r="1160" spans="2:22" ht="13">
      <c r="B1160" s="270"/>
      <c r="C1160" s="245"/>
      <c r="D1160" s="19" t="s">
        <v>384</v>
      </c>
      <c r="E1160" s="102">
        <v>70</v>
      </c>
      <c r="F1160" s="102">
        <v>16</v>
      </c>
      <c r="G1160" s="17">
        <f t="shared" si="217"/>
        <v>1120</v>
      </c>
      <c r="H1160" s="236"/>
      <c r="I1160" s="236"/>
      <c r="J1160" s="236"/>
      <c r="K1160" s="242"/>
      <c r="M1160" s="270"/>
      <c r="N1160" s="245"/>
      <c r="O1160" s="19" t="s">
        <v>384</v>
      </c>
      <c r="P1160" s="18"/>
      <c r="Q1160" s="18"/>
      <c r="R1160" s="18"/>
      <c r="S1160" s="236"/>
      <c r="T1160" s="236"/>
      <c r="U1160" s="236"/>
      <c r="V1160" s="242"/>
    </row>
    <row r="1161" spans="2:22" ht="13">
      <c r="B1161" s="270"/>
      <c r="C1161" s="245"/>
      <c r="D1161" s="19" t="s">
        <v>35</v>
      </c>
      <c r="E1161" s="102">
        <v>6</v>
      </c>
      <c r="F1161" s="102">
        <v>170</v>
      </c>
      <c r="G1161" s="17">
        <f t="shared" si="217"/>
        <v>1020</v>
      </c>
      <c r="H1161" s="236"/>
      <c r="I1161" s="236"/>
      <c r="J1161" s="236"/>
      <c r="K1161" s="242"/>
      <c r="M1161" s="270"/>
      <c r="N1161" s="245"/>
      <c r="O1161" s="19" t="s">
        <v>35</v>
      </c>
      <c r="P1161" s="102">
        <v>6</v>
      </c>
      <c r="Q1161" s="102">
        <v>170</v>
      </c>
      <c r="R1161" s="17">
        <f>P1161*Q1161</f>
        <v>1020</v>
      </c>
      <c r="S1161" s="236"/>
      <c r="T1161" s="236"/>
      <c r="U1161" s="236"/>
      <c r="V1161" s="242"/>
    </row>
    <row r="1162" spans="2:22" ht="13">
      <c r="B1162" s="270"/>
      <c r="C1162" s="245"/>
      <c r="D1162" s="19" t="s">
        <v>387</v>
      </c>
      <c r="E1162" s="19"/>
      <c r="F1162" s="19"/>
      <c r="G1162" s="17">
        <v>803.6</v>
      </c>
      <c r="H1162" s="236"/>
      <c r="I1162" s="236"/>
      <c r="J1162" s="236"/>
      <c r="K1162" s="242"/>
      <c r="M1162" s="270"/>
      <c r="N1162" s="245"/>
      <c r="O1162" s="19" t="s">
        <v>387</v>
      </c>
      <c r="P1162" s="19"/>
      <c r="Q1162" s="19"/>
      <c r="R1162" s="17">
        <v>803.6</v>
      </c>
      <c r="S1162" s="236"/>
      <c r="T1162" s="236"/>
      <c r="U1162" s="236"/>
      <c r="V1162" s="242"/>
    </row>
    <row r="1163" spans="2:22" ht="13">
      <c r="B1163" s="270"/>
      <c r="C1163" s="245"/>
      <c r="D1163" s="19" t="s">
        <v>1151</v>
      </c>
      <c r="E1163" s="19"/>
      <c r="F1163" s="19"/>
      <c r="G1163" s="17">
        <v>1757.58</v>
      </c>
      <c r="H1163" s="236"/>
      <c r="I1163" s="236"/>
      <c r="J1163" s="236"/>
      <c r="K1163" s="242"/>
      <c r="M1163" s="270"/>
      <c r="N1163" s="245"/>
      <c r="O1163" s="19" t="s">
        <v>1151</v>
      </c>
      <c r="P1163" s="19"/>
      <c r="Q1163" s="19"/>
      <c r="R1163" s="17">
        <v>1757.58</v>
      </c>
      <c r="S1163" s="236"/>
      <c r="T1163" s="236"/>
      <c r="U1163" s="236"/>
      <c r="V1163" s="242"/>
    </row>
    <row r="1164" spans="2:22" ht="13">
      <c r="B1164" s="270"/>
      <c r="C1164" s="245"/>
      <c r="D1164" s="19" t="s">
        <v>1152</v>
      </c>
      <c r="E1164" s="19"/>
      <c r="F1164" s="19"/>
      <c r="G1164" s="17">
        <v>13500</v>
      </c>
      <c r="H1164" s="236"/>
      <c r="I1164" s="236"/>
      <c r="J1164" s="236"/>
      <c r="K1164" s="242"/>
      <c r="M1164" s="270"/>
      <c r="N1164" s="245"/>
      <c r="O1164" s="19" t="s">
        <v>1152</v>
      </c>
      <c r="P1164" s="19"/>
      <c r="Q1164" s="19"/>
      <c r="R1164" s="17">
        <v>13500</v>
      </c>
      <c r="S1164" s="236"/>
      <c r="T1164" s="236"/>
      <c r="U1164" s="236"/>
      <c r="V1164" s="242"/>
    </row>
    <row r="1165" spans="2:22" ht="13">
      <c r="B1165" s="270"/>
      <c r="C1165" s="245"/>
      <c r="D1165" s="19" t="s">
        <v>1153</v>
      </c>
      <c r="E1165" s="19"/>
      <c r="F1165" s="19"/>
      <c r="G1165" s="17">
        <v>72.89</v>
      </c>
      <c r="H1165" s="236"/>
      <c r="I1165" s="236"/>
      <c r="J1165" s="236"/>
      <c r="K1165" s="242"/>
      <c r="M1165" s="270"/>
      <c r="N1165" s="245"/>
      <c r="O1165" s="19" t="s">
        <v>1153</v>
      </c>
      <c r="P1165" s="19"/>
      <c r="Q1165" s="19"/>
      <c r="R1165" s="17">
        <v>72.89</v>
      </c>
      <c r="S1165" s="236"/>
      <c r="T1165" s="236"/>
      <c r="U1165" s="236"/>
      <c r="V1165" s="242"/>
    </row>
    <row r="1166" spans="2:22" ht="13">
      <c r="B1166" s="270"/>
      <c r="C1166" s="245"/>
      <c r="D1166" s="19" t="s">
        <v>389</v>
      </c>
      <c r="E1166" s="19"/>
      <c r="F1166" s="19"/>
      <c r="G1166" s="17">
        <v>339</v>
      </c>
      <c r="H1166" s="236"/>
      <c r="I1166" s="236"/>
      <c r="J1166" s="236"/>
      <c r="K1166" s="242"/>
      <c r="M1166" s="270"/>
      <c r="N1166" s="245"/>
      <c r="O1166" s="19" t="s">
        <v>389</v>
      </c>
      <c r="P1166" s="19"/>
      <c r="Q1166" s="19"/>
      <c r="R1166" s="17">
        <v>339</v>
      </c>
      <c r="S1166" s="236"/>
      <c r="T1166" s="236"/>
      <c r="U1166" s="236"/>
      <c r="V1166" s="242"/>
    </row>
    <row r="1167" spans="2:22" ht="13">
      <c r="B1167" s="270"/>
      <c r="C1167" s="245"/>
      <c r="D1167" s="19" t="s">
        <v>1154</v>
      </c>
      <c r="E1167" s="102">
        <v>18</v>
      </c>
      <c r="F1167" s="102">
        <v>13</v>
      </c>
      <c r="G1167" s="17">
        <f>E1167*F1167</f>
        <v>234</v>
      </c>
      <c r="H1167" s="236"/>
      <c r="I1167" s="236"/>
      <c r="J1167" s="236"/>
      <c r="K1167" s="242"/>
      <c r="M1167" s="270"/>
      <c r="N1167" s="245"/>
      <c r="O1167" s="19" t="s">
        <v>1154</v>
      </c>
      <c r="P1167" s="102">
        <v>18</v>
      </c>
      <c r="Q1167" s="102">
        <v>13</v>
      </c>
      <c r="R1167" s="17">
        <f>P1167*Q1167</f>
        <v>234</v>
      </c>
      <c r="S1167" s="236"/>
      <c r="T1167" s="236"/>
      <c r="U1167" s="236"/>
      <c r="V1167" s="242"/>
    </row>
    <row r="1168" spans="2:22" ht="13">
      <c r="B1168" s="270"/>
      <c r="C1168" s="245"/>
      <c r="D1168" s="19" t="s">
        <v>1155</v>
      </c>
      <c r="E1168" s="19"/>
      <c r="F1168" s="19"/>
      <c r="G1168" s="17">
        <v>79</v>
      </c>
      <c r="H1168" s="236"/>
      <c r="I1168" s="236"/>
      <c r="J1168" s="236"/>
      <c r="K1168" s="242"/>
      <c r="M1168" s="270"/>
      <c r="N1168" s="245"/>
      <c r="O1168" s="19" t="s">
        <v>1155</v>
      </c>
      <c r="P1168" s="19"/>
      <c r="Q1168" s="19"/>
      <c r="R1168" s="17">
        <v>79</v>
      </c>
      <c r="S1168" s="236"/>
      <c r="T1168" s="236"/>
      <c r="U1168" s="236"/>
      <c r="V1168" s="242"/>
    </row>
    <row r="1169" spans="2:22" ht="13">
      <c r="B1169" s="270"/>
      <c r="C1169" s="245"/>
      <c r="D1169" s="19" t="s">
        <v>1156</v>
      </c>
      <c r="E1169" s="19"/>
      <c r="F1169" s="19"/>
      <c r="G1169" s="17">
        <v>29.7</v>
      </c>
      <c r="H1169" s="236"/>
      <c r="I1169" s="236"/>
      <c r="J1169" s="236"/>
      <c r="K1169" s="242"/>
      <c r="M1169" s="270"/>
      <c r="N1169" s="245"/>
      <c r="O1169" s="19" t="s">
        <v>1156</v>
      </c>
      <c r="P1169" s="19"/>
      <c r="Q1169" s="19"/>
      <c r="R1169" s="17">
        <v>29.7</v>
      </c>
      <c r="S1169" s="236"/>
      <c r="T1169" s="236"/>
      <c r="U1169" s="236"/>
      <c r="V1169" s="242"/>
    </row>
    <row r="1170" spans="2:22" ht="13">
      <c r="B1170" s="270"/>
      <c r="C1170" s="245"/>
      <c r="D1170" s="19" t="s">
        <v>1157</v>
      </c>
      <c r="E1170" s="19"/>
      <c r="F1170" s="19"/>
      <c r="G1170" s="17">
        <v>25</v>
      </c>
      <c r="H1170" s="236"/>
      <c r="I1170" s="236"/>
      <c r="J1170" s="236"/>
      <c r="K1170" s="242"/>
      <c r="M1170" s="270"/>
      <c r="N1170" s="245"/>
      <c r="O1170" s="19" t="s">
        <v>1157</v>
      </c>
      <c r="P1170" s="19"/>
      <c r="Q1170" s="19"/>
      <c r="R1170" s="17">
        <v>25</v>
      </c>
      <c r="S1170" s="236"/>
      <c r="T1170" s="236"/>
      <c r="U1170" s="236"/>
      <c r="V1170" s="242"/>
    </row>
    <row r="1171" spans="2:22" ht="13">
      <c r="B1171" s="270"/>
      <c r="C1171" s="245"/>
      <c r="D1171" s="19" t="s">
        <v>1158</v>
      </c>
      <c r="E1171" s="19"/>
      <c r="F1171" s="19"/>
      <c r="G1171" s="17">
        <v>50</v>
      </c>
      <c r="H1171" s="236"/>
      <c r="I1171" s="236"/>
      <c r="J1171" s="236"/>
      <c r="K1171" s="242"/>
      <c r="M1171" s="270"/>
      <c r="N1171" s="245"/>
      <c r="O1171" s="19" t="s">
        <v>1158</v>
      </c>
      <c r="P1171" s="19"/>
      <c r="Q1171" s="19"/>
      <c r="R1171" s="17">
        <v>50</v>
      </c>
      <c r="S1171" s="236"/>
      <c r="T1171" s="236"/>
      <c r="U1171" s="236"/>
      <c r="V1171" s="242"/>
    </row>
    <row r="1172" spans="2:22" ht="13">
      <c r="B1172" s="270"/>
      <c r="C1172" s="245"/>
      <c r="D1172" s="19" t="s">
        <v>391</v>
      </c>
      <c r="E1172" s="19"/>
      <c r="F1172" s="19"/>
      <c r="G1172" s="17">
        <v>138</v>
      </c>
      <c r="H1172" s="236"/>
      <c r="I1172" s="236"/>
      <c r="J1172" s="236"/>
      <c r="K1172" s="242"/>
      <c r="M1172" s="270"/>
      <c r="N1172" s="245"/>
      <c r="O1172" s="19" t="s">
        <v>391</v>
      </c>
      <c r="P1172" s="19"/>
      <c r="Q1172" s="19"/>
      <c r="R1172" s="17">
        <v>138</v>
      </c>
      <c r="S1172" s="236"/>
      <c r="T1172" s="236"/>
      <c r="U1172" s="236"/>
      <c r="V1172" s="242"/>
    </row>
    <row r="1173" spans="2:22" ht="13">
      <c r="B1173" s="270"/>
      <c r="C1173" s="245"/>
      <c r="D1173" s="19" t="s">
        <v>393</v>
      </c>
      <c r="E1173" s="19"/>
      <c r="F1173" s="19"/>
      <c r="G1173" s="17">
        <v>49.77</v>
      </c>
      <c r="H1173" s="236"/>
      <c r="I1173" s="236"/>
      <c r="J1173" s="236"/>
      <c r="K1173" s="242"/>
      <c r="M1173" s="270"/>
      <c r="N1173" s="245"/>
      <c r="O1173" s="19" t="s">
        <v>393</v>
      </c>
      <c r="P1173" s="19"/>
      <c r="Q1173" s="19"/>
      <c r="R1173" s="17">
        <v>49.77</v>
      </c>
      <c r="S1173" s="236"/>
      <c r="T1173" s="236"/>
      <c r="U1173" s="236"/>
      <c r="V1173" s="242"/>
    </row>
    <row r="1174" spans="2:22" ht="13">
      <c r="B1174" s="270"/>
      <c r="C1174" s="245"/>
      <c r="D1174" s="19" t="s">
        <v>1159</v>
      </c>
      <c r="E1174" s="19"/>
      <c r="F1174" s="19"/>
      <c r="G1174" s="17">
        <v>762.97</v>
      </c>
      <c r="H1174" s="236"/>
      <c r="I1174" s="236"/>
      <c r="J1174" s="236"/>
      <c r="K1174" s="242"/>
      <c r="M1174" s="270"/>
      <c r="N1174" s="245"/>
      <c r="O1174" s="19" t="s">
        <v>1159</v>
      </c>
      <c r="P1174" s="19"/>
      <c r="Q1174" s="19"/>
      <c r="R1174" s="17">
        <v>762.97</v>
      </c>
      <c r="S1174" s="236"/>
      <c r="T1174" s="236"/>
      <c r="U1174" s="236"/>
      <c r="V1174" s="242"/>
    </row>
    <row r="1175" spans="2:22" ht="13">
      <c r="B1175" s="270"/>
      <c r="C1175" s="245"/>
      <c r="D1175" s="19" t="s">
        <v>1160</v>
      </c>
      <c r="E1175" s="19"/>
      <c r="F1175" s="19"/>
      <c r="G1175" s="17">
        <v>997.56</v>
      </c>
      <c r="H1175" s="236"/>
      <c r="I1175" s="236"/>
      <c r="J1175" s="236"/>
      <c r="K1175" s="242"/>
      <c r="M1175" s="270"/>
      <c r="N1175" s="245"/>
      <c r="O1175" s="19" t="s">
        <v>1160</v>
      </c>
      <c r="P1175" s="19"/>
      <c r="Q1175" s="19"/>
      <c r="R1175" s="17">
        <v>997.56</v>
      </c>
      <c r="S1175" s="236"/>
      <c r="T1175" s="236"/>
      <c r="U1175" s="236"/>
      <c r="V1175" s="242"/>
    </row>
    <row r="1176" spans="2:22" ht="13">
      <c r="B1176" s="270"/>
      <c r="C1176" s="245"/>
      <c r="D1176" s="19" t="s">
        <v>1161</v>
      </c>
      <c r="E1176" s="19"/>
      <c r="F1176" s="19"/>
      <c r="G1176" s="17">
        <v>832.34</v>
      </c>
      <c r="H1176" s="236"/>
      <c r="I1176" s="236"/>
      <c r="J1176" s="236"/>
      <c r="K1176" s="242"/>
      <c r="M1176" s="270"/>
      <c r="N1176" s="245"/>
      <c r="O1176" s="19" t="s">
        <v>1161</v>
      </c>
      <c r="P1176" s="19"/>
      <c r="Q1176" s="19"/>
      <c r="R1176" s="17">
        <v>832.34</v>
      </c>
      <c r="S1176" s="236"/>
      <c r="T1176" s="236"/>
      <c r="U1176" s="236"/>
      <c r="V1176" s="242"/>
    </row>
    <row r="1177" spans="2:22" ht="13">
      <c r="B1177" s="270"/>
      <c r="C1177" s="245"/>
      <c r="D1177" s="19" t="s">
        <v>395</v>
      </c>
      <c r="E1177" s="19"/>
      <c r="F1177" s="19"/>
      <c r="G1177" s="17">
        <v>645.52</v>
      </c>
      <c r="H1177" s="236"/>
      <c r="I1177" s="236"/>
      <c r="J1177" s="236"/>
      <c r="K1177" s="242"/>
      <c r="M1177" s="270"/>
      <c r="N1177" s="245"/>
      <c r="O1177" s="19" t="s">
        <v>395</v>
      </c>
      <c r="P1177" s="19"/>
      <c r="Q1177" s="19"/>
      <c r="R1177" s="17">
        <v>645.52</v>
      </c>
      <c r="S1177" s="236"/>
      <c r="T1177" s="236"/>
      <c r="U1177" s="236"/>
      <c r="V1177" s="242"/>
    </row>
    <row r="1178" spans="2:22" ht="13">
      <c r="B1178" s="270"/>
      <c r="C1178" s="245"/>
      <c r="D1178" s="19" t="s">
        <v>1162</v>
      </c>
      <c r="E1178" s="19"/>
      <c r="F1178" s="19"/>
      <c r="G1178" s="17">
        <v>313</v>
      </c>
      <c r="H1178" s="236"/>
      <c r="I1178" s="236"/>
      <c r="J1178" s="236"/>
      <c r="K1178" s="242"/>
      <c r="M1178" s="270"/>
      <c r="N1178" s="245"/>
      <c r="O1178" s="19" t="s">
        <v>1162</v>
      </c>
      <c r="P1178" s="19"/>
      <c r="Q1178" s="19"/>
      <c r="R1178" s="17">
        <v>313</v>
      </c>
      <c r="S1178" s="236"/>
      <c r="T1178" s="236"/>
      <c r="U1178" s="236"/>
      <c r="V1178" s="242"/>
    </row>
    <row r="1179" spans="2:22" ht="13">
      <c r="B1179" s="270"/>
      <c r="C1179" s="245"/>
      <c r="D1179" s="19" t="s">
        <v>1163</v>
      </c>
      <c r="E1179" s="19"/>
      <c r="F1179" s="19"/>
      <c r="G1179" s="23">
        <v>145</v>
      </c>
      <c r="H1179" s="236"/>
      <c r="I1179" s="236"/>
      <c r="J1179" s="236"/>
      <c r="K1179" s="242"/>
      <c r="M1179" s="270"/>
      <c r="N1179" s="245"/>
      <c r="O1179" s="19" t="s">
        <v>1163</v>
      </c>
      <c r="P1179" s="19"/>
      <c r="Q1179" s="19"/>
      <c r="R1179" s="23">
        <v>145</v>
      </c>
      <c r="S1179" s="236"/>
      <c r="T1179" s="236"/>
      <c r="U1179" s="236"/>
      <c r="V1179" s="242"/>
    </row>
    <row r="1180" spans="2:22" ht="13">
      <c r="B1180" s="270"/>
      <c r="C1180" s="245"/>
      <c r="D1180" s="19" t="s">
        <v>1164</v>
      </c>
      <c r="E1180" s="19"/>
      <c r="F1180" s="19"/>
      <c r="G1180" s="17">
        <v>290.39999999999998</v>
      </c>
      <c r="H1180" s="236"/>
      <c r="I1180" s="236"/>
      <c r="J1180" s="236"/>
      <c r="K1180" s="242"/>
      <c r="M1180" s="270"/>
      <c r="N1180" s="245"/>
      <c r="O1180" s="19" t="s">
        <v>1164</v>
      </c>
      <c r="P1180" s="19"/>
      <c r="Q1180" s="19"/>
      <c r="R1180" s="17">
        <v>290.39999999999998</v>
      </c>
      <c r="S1180" s="236"/>
      <c r="T1180" s="236"/>
      <c r="U1180" s="236"/>
      <c r="V1180" s="242"/>
    </row>
    <row r="1181" spans="2:22" ht="13">
      <c r="B1181" s="270"/>
      <c r="C1181" s="245"/>
      <c r="D1181" s="19" t="s">
        <v>1165</v>
      </c>
      <c r="E1181" s="19"/>
      <c r="F1181" s="19"/>
      <c r="G1181" s="17">
        <v>2400</v>
      </c>
      <c r="H1181" s="236"/>
      <c r="I1181" s="236"/>
      <c r="J1181" s="236"/>
      <c r="K1181" s="242"/>
      <c r="M1181" s="270"/>
      <c r="N1181" s="245"/>
      <c r="O1181" s="19" t="s">
        <v>1165</v>
      </c>
      <c r="P1181" s="19"/>
      <c r="Q1181" s="19"/>
      <c r="R1181" s="17">
        <v>2400</v>
      </c>
      <c r="S1181" s="236"/>
      <c r="T1181" s="236"/>
      <c r="U1181" s="236"/>
      <c r="V1181" s="242"/>
    </row>
    <row r="1182" spans="2:22" ht="13">
      <c r="B1182" s="270"/>
      <c r="C1182" s="246"/>
      <c r="D1182" s="20" t="s">
        <v>1166</v>
      </c>
      <c r="E1182" s="20"/>
      <c r="F1182" s="20"/>
      <c r="G1182" s="21">
        <v>9000</v>
      </c>
      <c r="H1182" s="238"/>
      <c r="I1182" s="238"/>
      <c r="J1182" s="238"/>
      <c r="K1182" s="243"/>
      <c r="M1182" s="270"/>
      <c r="N1182" s="246"/>
      <c r="O1182" s="20" t="s">
        <v>1166</v>
      </c>
      <c r="P1182" s="20"/>
      <c r="Q1182" s="20"/>
      <c r="R1182" s="21">
        <v>9000</v>
      </c>
      <c r="S1182" s="238"/>
      <c r="T1182" s="238"/>
      <c r="U1182" s="238"/>
      <c r="V1182" s="243"/>
    </row>
    <row r="1183" spans="2:22" ht="13">
      <c r="B1183" s="270"/>
      <c r="C1183" s="244" t="s">
        <v>1167</v>
      </c>
      <c r="D1183" s="15" t="s">
        <v>1168</v>
      </c>
      <c r="E1183" s="16"/>
      <c r="F1183" s="16"/>
      <c r="G1183" s="17">
        <v>860</v>
      </c>
      <c r="H1183" s="240">
        <f>SUM(G1183:G1184)</f>
        <v>982</v>
      </c>
      <c r="I1183" s="240">
        <v>5543</v>
      </c>
      <c r="J1183" s="240">
        <f>I1183-H1183</f>
        <v>4561</v>
      </c>
      <c r="K1183" s="241">
        <f>J1183/I1183</f>
        <v>0.82283961753563051</v>
      </c>
      <c r="M1183" s="270"/>
      <c r="N1183" s="244" t="s">
        <v>1167</v>
      </c>
      <c r="O1183" s="15" t="s">
        <v>1168</v>
      </c>
      <c r="P1183" s="16"/>
      <c r="Q1183" s="16"/>
      <c r="R1183" s="17">
        <v>860</v>
      </c>
      <c r="S1183" s="240">
        <f>SUM(R1183:R1184)</f>
        <v>982</v>
      </c>
      <c r="T1183" s="240">
        <v>5543</v>
      </c>
      <c r="U1183" s="240">
        <f>T1183-S1183</f>
        <v>4561</v>
      </c>
      <c r="V1183" s="241">
        <f>U1183/T1183</f>
        <v>0.82283961753563051</v>
      </c>
    </row>
    <row r="1184" spans="2:22" ht="13">
      <c r="B1184" s="270"/>
      <c r="C1184" s="246"/>
      <c r="D1184" s="44" t="s">
        <v>33</v>
      </c>
      <c r="E1184" s="21"/>
      <c r="F1184" s="21"/>
      <c r="G1184" s="21">
        <v>122</v>
      </c>
      <c r="H1184" s="238"/>
      <c r="I1184" s="238"/>
      <c r="J1184" s="238"/>
      <c r="K1184" s="243"/>
      <c r="M1184" s="270"/>
      <c r="N1184" s="246"/>
      <c r="O1184" s="44" t="s">
        <v>33</v>
      </c>
      <c r="P1184" s="21"/>
      <c r="Q1184" s="21"/>
      <c r="R1184" s="21">
        <v>122</v>
      </c>
      <c r="S1184" s="238"/>
      <c r="T1184" s="238"/>
      <c r="U1184" s="238"/>
      <c r="V1184" s="243"/>
    </row>
    <row r="1185" spans="2:22" ht="13">
      <c r="B1185" s="270"/>
      <c r="C1185" s="244" t="s">
        <v>1169</v>
      </c>
      <c r="D1185" s="15" t="s">
        <v>114</v>
      </c>
      <c r="E1185" s="16">
        <v>28</v>
      </c>
      <c r="F1185" s="16">
        <v>18</v>
      </c>
      <c r="G1185" s="17">
        <f t="shared" ref="G1185:G1189" si="220">E1185*F1185</f>
        <v>504</v>
      </c>
      <c r="H1185" s="240">
        <f>SUM(G1185:G1195)</f>
        <v>3798.7200000000003</v>
      </c>
      <c r="I1185" s="240">
        <v>5984</v>
      </c>
      <c r="J1185" s="240">
        <f>I1185-H1185</f>
        <v>2185.2799999999997</v>
      </c>
      <c r="K1185" s="241">
        <f>J1185/I1185</f>
        <v>0.365187165775401</v>
      </c>
      <c r="M1185" s="270"/>
      <c r="N1185" s="244" t="s">
        <v>1169</v>
      </c>
      <c r="O1185" s="15" t="s">
        <v>114</v>
      </c>
      <c r="P1185" s="18"/>
      <c r="Q1185" s="18"/>
      <c r="R1185" s="18"/>
      <c r="S1185" s="240">
        <f>SUM(R1185:R1195)</f>
        <v>3294.7200000000003</v>
      </c>
      <c r="T1185" s="240">
        <v>5984</v>
      </c>
      <c r="U1185" s="240">
        <f>T1185-S1185</f>
        <v>2689.2799999999997</v>
      </c>
      <c r="V1185" s="241">
        <f>U1185/T1185</f>
        <v>0.44941176470588229</v>
      </c>
    </row>
    <row r="1186" spans="2:22" ht="13">
      <c r="B1186" s="270"/>
      <c r="C1186" s="245"/>
      <c r="D1186" s="19" t="s">
        <v>1011</v>
      </c>
      <c r="E1186" s="17">
        <v>29</v>
      </c>
      <c r="F1186" s="17">
        <v>17</v>
      </c>
      <c r="G1186" s="17">
        <f t="shared" si="220"/>
        <v>493</v>
      </c>
      <c r="H1186" s="236"/>
      <c r="I1186" s="236"/>
      <c r="J1186" s="236"/>
      <c r="K1186" s="242"/>
      <c r="M1186" s="270"/>
      <c r="N1186" s="245"/>
      <c r="O1186" s="19" t="s">
        <v>1011</v>
      </c>
      <c r="P1186" s="17">
        <v>29</v>
      </c>
      <c r="Q1186" s="17">
        <v>17</v>
      </c>
      <c r="R1186" s="17">
        <f t="shared" ref="R1186:R1189" si="221">P1186*Q1186</f>
        <v>493</v>
      </c>
      <c r="S1186" s="236"/>
      <c r="T1186" s="236"/>
      <c r="U1186" s="236"/>
      <c r="V1186" s="242"/>
    </row>
    <row r="1187" spans="2:22" ht="13">
      <c r="B1187" s="270"/>
      <c r="C1187" s="245"/>
      <c r="D1187" s="19" t="s">
        <v>70</v>
      </c>
      <c r="E1187" s="17">
        <v>26.5</v>
      </c>
      <c r="F1187" s="17">
        <v>17</v>
      </c>
      <c r="G1187" s="17">
        <f t="shared" si="220"/>
        <v>450.5</v>
      </c>
      <c r="H1187" s="236"/>
      <c r="I1187" s="236"/>
      <c r="J1187" s="236"/>
      <c r="K1187" s="242"/>
      <c r="M1187" s="270"/>
      <c r="N1187" s="245"/>
      <c r="O1187" s="19" t="s">
        <v>70</v>
      </c>
      <c r="P1187" s="17">
        <v>26.5</v>
      </c>
      <c r="Q1187" s="17">
        <v>17</v>
      </c>
      <c r="R1187" s="17">
        <f t="shared" si="221"/>
        <v>450.5</v>
      </c>
      <c r="S1187" s="236"/>
      <c r="T1187" s="236"/>
      <c r="U1187" s="236"/>
      <c r="V1187" s="242"/>
    </row>
    <row r="1188" spans="2:22" ht="13">
      <c r="B1188" s="270"/>
      <c r="C1188" s="245"/>
      <c r="D1188" s="19" t="s">
        <v>62</v>
      </c>
      <c r="E1188" s="17">
        <v>23.12</v>
      </c>
      <c r="F1188" s="17">
        <v>17</v>
      </c>
      <c r="G1188" s="17">
        <f t="shared" si="220"/>
        <v>393.04</v>
      </c>
      <c r="H1188" s="236"/>
      <c r="I1188" s="236"/>
      <c r="J1188" s="236"/>
      <c r="K1188" s="242"/>
      <c r="M1188" s="270"/>
      <c r="N1188" s="245"/>
      <c r="O1188" s="19" t="s">
        <v>62</v>
      </c>
      <c r="P1188" s="17">
        <v>23.12</v>
      </c>
      <c r="Q1188" s="17">
        <v>17</v>
      </c>
      <c r="R1188" s="17">
        <f t="shared" si="221"/>
        <v>393.04</v>
      </c>
      <c r="S1188" s="236"/>
      <c r="T1188" s="236"/>
      <c r="U1188" s="236"/>
      <c r="V1188" s="242"/>
    </row>
    <row r="1189" spans="2:22" ht="13">
      <c r="B1189" s="270"/>
      <c r="C1189" s="245"/>
      <c r="D1189" s="19" t="s">
        <v>32</v>
      </c>
      <c r="E1189" s="17">
        <v>24.67</v>
      </c>
      <c r="F1189" s="17">
        <v>17</v>
      </c>
      <c r="G1189" s="17">
        <f t="shared" si="220"/>
        <v>419.39000000000004</v>
      </c>
      <c r="H1189" s="236"/>
      <c r="I1189" s="236"/>
      <c r="J1189" s="236"/>
      <c r="K1189" s="242"/>
      <c r="M1189" s="270"/>
      <c r="N1189" s="245"/>
      <c r="O1189" s="19" t="s">
        <v>32</v>
      </c>
      <c r="P1189" s="17">
        <v>24.67</v>
      </c>
      <c r="Q1189" s="17">
        <v>17</v>
      </c>
      <c r="R1189" s="17">
        <f t="shared" si="221"/>
        <v>419.39000000000004</v>
      </c>
      <c r="S1189" s="236"/>
      <c r="T1189" s="236"/>
      <c r="U1189" s="236"/>
      <c r="V1189" s="242"/>
    </row>
    <row r="1190" spans="2:22" ht="13">
      <c r="B1190" s="270"/>
      <c r="C1190" s="245"/>
      <c r="D1190" s="19" t="s">
        <v>47</v>
      </c>
      <c r="E1190" s="17"/>
      <c r="F1190" s="17"/>
      <c r="G1190" s="17">
        <v>486.73</v>
      </c>
      <c r="H1190" s="236"/>
      <c r="I1190" s="236"/>
      <c r="J1190" s="236"/>
      <c r="K1190" s="242"/>
      <c r="M1190" s="270"/>
      <c r="N1190" s="245"/>
      <c r="O1190" s="19" t="s">
        <v>47</v>
      </c>
      <c r="P1190" s="17"/>
      <c r="Q1190" s="17"/>
      <c r="R1190" s="17">
        <v>486.73</v>
      </c>
      <c r="S1190" s="236"/>
      <c r="T1190" s="236"/>
      <c r="U1190" s="236"/>
      <c r="V1190" s="242"/>
    </row>
    <row r="1191" spans="2:22" ht="13">
      <c r="B1191" s="270"/>
      <c r="C1191" s="245"/>
      <c r="D1191" s="19" t="s">
        <v>44</v>
      </c>
      <c r="E1191" s="17"/>
      <c r="F1191" s="17"/>
      <c r="G1191" s="17">
        <v>43.4</v>
      </c>
      <c r="H1191" s="236"/>
      <c r="I1191" s="236"/>
      <c r="J1191" s="236"/>
      <c r="K1191" s="242"/>
      <c r="M1191" s="270"/>
      <c r="N1191" s="245"/>
      <c r="O1191" s="19" t="s">
        <v>44</v>
      </c>
      <c r="P1191" s="17"/>
      <c r="Q1191" s="17"/>
      <c r="R1191" s="17">
        <v>43.4</v>
      </c>
      <c r="S1191" s="236"/>
      <c r="T1191" s="236"/>
      <c r="U1191" s="236"/>
      <c r="V1191" s="242"/>
    </row>
    <row r="1192" spans="2:22" ht="13">
      <c r="B1192" s="270"/>
      <c r="C1192" s="245"/>
      <c r="D1192" s="19" t="s">
        <v>33</v>
      </c>
      <c r="E1192" s="17"/>
      <c r="F1192" s="17"/>
      <c r="G1192" s="17">
        <v>453.59</v>
      </c>
      <c r="H1192" s="236"/>
      <c r="I1192" s="236"/>
      <c r="J1192" s="236"/>
      <c r="K1192" s="242"/>
      <c r="M1192" s="270"/>
      <c r="N1192" s="245"/>
      <c r="O1192" s="19" t="s">
        <v>33</v>
      </c>
      <c r="P1192" s="17"/>
      <c r="Q1192" s="17"/>
      <c r="R1192" s="17">
        <v>453.59</v>
      </c>
      <c r="S1192" s="236"/>
      <c r="T1192" s="236"/>
      <c r="U1192" s="236"/>
      <c r="V1192" s="242"/>
    </row>
    <row r="1193" spans="2:22" ht="13">
      <c r="B1193" s="270"/>
      <c r="C1193" s="245"/>
      <c r="D1193" s="19" t="s">
        <v>1124</v>
      </c>
      <c r="E1193" s="17"/>
      <c r="F1193" s="17"/>
      <c r="G1193" s="17">
        <v>316</v>
      </c>
      <c r="H1193" s="236"/>
      <c r="I1193" s="236"/>
      <c r="J1193" s="236"/>
      <c r="K1193" s="242"/>
      <c r="M1193" s="270"/>
      <c r="N1193" s="245"/>
      <c r="O1193" s="19" t="s">
        <v>1124</v>
      </c>
      <c r="P1193" s="17"/>
      <c r="Q1193" s="17"/>
      <c r="R1193" s="17">
        <v>316</v>
      </c>
      <c r="S1193" s="236"/>
      <c r="T1193" s="236"/>
      <c r="U1193" s="236"/>
      <c r="V1193" s="242"/>
    </row>
    <row r="1194" spans="2:22" ht="13">
      <c r="B1194" s="270"/>
      <c r="C1194" s="245"/>
      <c r="D1194" s="19" t="s">
        <v>83</v>
      </c>
      <c r="E1194" s="17"/>
      <c r="F1194" s="17"/>
      <c r="G1194" s="17">
        <v>99.07</v>
      </c>
      <c r="H1194" s="236"/>
      <c r="I1194" s="236"/>
      <c r="J1194" s="236"/>
      <c r="K1194" s="242"/>
      <c r="M1194" s="270"/>
      <c r="N1194" s="245"/>
      <c r="O1194" s="19" t="s">
        <v>83</v>
      </c>
      <c r="P1194" s="17"/>
      <c r="Q1194" s="17"/>
      <c r="R1194" s="17">
        <v>99.07</v>
      </c>
      <c r="S1194" s="236"/>
      <c r="T1194" s="236"/>
      <c r="U1194" s="236"/>
      <c r="V1194" s="242"/>
    </row>
    <row r="1195" spans="2:22" ht="13">
      <c r="B1195" s="270"/>
      <c r="C1195" s="246"/>
      <c r="D1195" s="44" t="s">
        <v>188</v>
      </c>
      <c r="E1195" s="21"/>
      <c r="F1195" s="21"/>
      <c r="G1195" s="21">
        <v>140</v>
      </c>
      <c r="H1195" s="238"/>
      <c r="I1195" s="238"/>
      <c r="J1195" s="238"/>
      <c r="K1195" s="243"/>
      <c r="M1195" s="270"/>
      <c r="N1195" s="246"/>
      <c r="O1195" s="44" t="s">
        <v>188</v>
      </c>
      <c r="P1195" s="21"/>
      <c r="Q1195" s="21"/>
      <c r="R1195" s="21">
        <v>140</v>
      </c>
      <c r="S1195" s="238"/>
      <c r="T1195" s="238"/>
      <c r="U1195" s="238"/>
      <c r="V1195" s="243"/>
    </row>
    <row r="1196" spans="2:22" ht="13">
      <c r="B1196" s="270"/>
      <c r="C1196" s="244" t="s">
        <v>1170</v>
      </c>
      <c r="D1196" s="15" t="s">
        <v>1171</v>
      </c>
      <c r="E1196" s="16">
        <v>4.5</v>
      </c>
      <c r="F1196" s="16">
        <v>13</v>
      </c>
      <c r="G1196" s="17">
        <f>E1196*F1196</f>
        <v>58.5</v>
      </c>
      <c r="H1196" s="240">
        <f>SUM(G1196:G1197)</f>
        <v>183.5</v>
      </c>
      <c r="I1196" s="240">
        <v>1800</v>
      </c>
      <c r="J1196" s="240">
        <f>I1196-H1196</f>
        <v>1616.5</v>
      </c>
      <c r="K1196" s="241">
        <f>J1196/I1196</f>
        <v>0.89805555555555561</v>
      </c>
      <c r="M1196" s="270"/>
      <c r="N1196" s="244" t="s">
        <v>1170</v>
      </c>
      <c r="O1196" s="15" t="s">
        <v>1171</v>
      </c>
      <c r="P1196" s="16">
        <v>4.5</v>
      </c>
      <c r="Q1196" s="16">
        <v>13</v>
      </c>
      <c r="R1196" s="17">
        <f>P1196*Q1196</f>
        <v>58.5</v>
      </c>
      <c r="S1196" s="240">
        <f>SUM(R1196:R1197)</f>
        <v>183.5</v>
      </c>
      <c r="T1196" s="240">
        <v>1800</v>
      </c>
      <c r="U1196" s="240">
        <f>T1196-S1196</f>
        <v>1616.5</v>
      </c>
      <c r="V1196" s="241">
        <f>U1196/T1196</f>
        <v>0.89805555555555561</v>
      </c>
    </row>
    <row r="1197" spans="2:22" ht="13">
      <c r="B1197" s="270"/>
      <c r="C1197" s="246"/>
      <c r="D1197" s="44" t="s">
        <v>33</v>
      </c>
      <c r="E1197" s="21"/>
      <c r="F1197" s="21"/>
      <c r="G1197" s="21">
        <v>125</v>
      </c>
      <c r="H1197" s="238"/>
      <c r="I1197" s="238"/>
      <c r="J1197" s="238"/>
      <c r="K1197" s="243"/>
      <c r="M1197" s="270"/>
      <c r="N1197" s="246"/>
      <c r="O1197" s="44" t="s">
        <v>33</v>
      </c>
      <c r="P1197" s="21"/>
      <c r="Q1197" s="21"/>
      <c r="R1197" s="21">
        <v>125</v>
      </c>
      <c r="S1197" s="238"/>
      <c r="T1197" s="238"/>
      <c r="U1197" s="238"/>
      <c r="V1197" s="243"/>
    </row>
    <row r="1198" spans="2:22" ht="13">
      <c r="B1198" s="270"/>
      <c r="C1198" s="244" t="s">
        <v>1172</v>
      </c>
      <c r="D1198" s="15" t="s">
        <v>23</v>
      </c>
      <c r="E1198" s="16">
        <v>28</v>
      </c>
      <c r="F1198" s="16">
        <v>16</v>
      </c>
      <c r="G1198" s="17">
        <f t="shared" ref="G1198:G1202" si="222">E1198*F1198</f>
        <v>448</v>
      </c>
      <c r="H1198" s="240">
        <f>SUM(G1198:G1206)</f>
        <v>2574.3199999999997</v>
      </c>
      <c r="I1198" s="240">
        <v>7904.96</v>
      </c>
      <c r="J1198" s="240">
        <f>I1198-H1198</f>
        <v>5330.64</v>
      </c>
      <c r="K1198" s="241">
        <f>J1198/I1198</f>
        <v>0.67434117313686603</v>
      </c>
      <c r="M1198" s="270"/>
      <c r="N1198" s="244" t="s">
        <v>1172</v>
      </c>
      <c r="O1198" s="15" t="s">
        <v>23</v>
      </c>
      <c r="P1198" s="18"/>
      <c r="Q1198" s="18"/>
      <c r="R1198" s="18"/>
      <c r="S1198" s="240">
        <f>SUM(R1198:R1206)</f>
        <v>2000.3199999999997</v>
      </c>
      <c r="T1198" s="240">
        <v>7904.96</v>
      </c>
      <c r="U1198" s="240">
        <f>T1198-S1198</f>
        <v>5904.64</v>
      </c>
      <c r="V1198" s="241">
        <f>U1198/T1198</f>
        <v>0.74695381127798244</v>
      </c>
    </row>
    <row r="1199" spans="2:22" ht="13">
      <c r="B1199" s="270"/>
      <c r="C1199" s="245"/>
      <c r="D1199" s="19" t="s">
        <v>586</v>
      </c>
      <c r="E1199" s="17">
        <v>38.56</v>
      </c>
      <c r="F1199" s="17">
        <v>13</v>
      </c>
      <c r="G1199" s="17">
        <f t="shared" si="222"/>
        <v>501.28000000000003</v>
      </c>
      <c r="H1199" s="236"/>
      <c r="I1199" s="236"/>
      <c r="J1199" s="236"/>
      <c r="K1199" s="242"/>
      <c r="M1199" s="270"/>
      <c r="N1199" s="245"/>
      <c r="O1199" s="19" t="s">
        <v>586</v>
      </c>
      <c r="P1199" s="17">
        <v>38.56</v>
      </c>
      <c r="Q1199" s="17">
        <v>13</v>
      </c>
      <c r="R1199" s="17">
        <f>P1199*Q1199</f>
        <v>501.28000000000003</v>
      </c>
      <c r="S1199" s="236"/>
      <c r="T1199" s="236"/>
      <c r="U1199" s="236"/>
      <c r="V1199" s="242"/>
    </row>
    <row r="1200" spans="2:22" ht="13">
      <c r="B1200" s="270"/>
      <c r="C1200" s="245"/>
      <c r="D1200" s="19" t="s">
        <v>114</v>
      </c>
      <c r="E1200" s="17">
        <v>7</v>
      </c>
      <c r="F1200" s="17">
        <v>18</v>
      </c>
      <c r="G1200" s="17">
        <f t="shared" si="222"/>
        <v>126</v>
      </c>
      <c r="H1200" s="236"/>
      <c r="I1200" s="236"/>
      <c r="J1200" s="236"/>
      <c r="K1200" s="242"/>
      <c r="M1200" s="270"/>
      <c r="N1200" s="245"/>
      <c r="O1200" s="19" t="s">
        <v>114</v>
      </c>
      <c r="P1200" s="18"/>
      <c r="Q1200" s="18"/>
      <c r="R1200" s="18"/>
      <c r="S1200" s="236"/>
      <c r="T1200" s="236"/>
      <c r="U1200" s="236"/>
      <c r="V1200" s="242"/>
    </row>
    <row r="1201" spans="2:22" ht="13">
      <c r="B1201" s="270"/>
      <c r="C1201" s="245"/>
      <c r="D1201" s="19" t="s">
        <v>385</v>
      </c>
      <c r="E1201" s="17">
        <v>7</v>
      </c>
      <c r="F1201" s="17">
        <v>16</v>
      </c>
      <c r="G1201" s="17">
        <f t="shared" si="222"/>
        <v>112</v>
      </c>
      <c r="H1201" s="236"/>
      <c r="I1201" s="236"/>
      <c r="J1201" s="236"/>
      <c r="K1201" s="242"/>
      <c r="M1201" s="270"/>
      <c r="N1201" s="245"/>
      <c r="O1201" s="19" t="s">
        <v>385</v>
      </c>
      <c r="P1201" s="17">
        <v>7</v>
      </c>
      <c r="Q1201" s="17">
        <v>16</v>
      </c>
      <c r="R1201" s="17">
        <f t="shared" ref="R1201:R1202" si="223">P1201*Q1201</f>
        <v>112</v>
      </c>
      <c r="S1201" s="236"/>
      <c r="T1201" s="236"/>
      <c r="U1201" s="236"/>
      <c r="V1201" s="242"/>
    </row>
    <row r="1202" spans="2:22" ht="13">
      <c r="B1202" s="270"/>
      <c r="C1202" s="245"/>
      <c r="D1202" s="19" t="s">
        <v>398</v>
      </c>
      <c r="E1202" s="17">
        <v>7</v>
      </c>
      <c r="F1202" s="17">
        <v>16</v>
      </c>
      <c r="G1202" s="17">
        <f t="shared" si="222"/>
        <v>112</v>
      </c>
      <c r="H1202" s="236"/>
      <c r="I1202" s="236"/>
      <c r="J1202" s="236"/>
      <c r="K1202" s="242"/>
      <c r="M1202" s="270"/>
      <c r="N1202" s="245"/>
      <c r="O1202" s="19" t="s">
        <v>398</v>
      </c>
      <c r="P1202" s="17">
        <v>7</v>
      </c>
      <c r="Q1202" s="17">
        <v>16</v>
      </c>
      <c r="R1202" s="17">
        <f t="shared" si="223"/>
        <v>112</v>
      </c>
      <c r="S1202" s="236"/>
      <c r="T1202" s="236"/>
      <c r="U1202" s="236"/>
      <c r="V1202" s="242"/>
    </row>
    <row r="1203" spans="2:22" ht="13">
      <c r="B1203" s="270"/>
      <c r="C1203" s="245"/>
      <c r="D1203" s="19" t="s">
        <v>53</v>
      </c>
      <c r="E1203" s="17">
        <v>21.12</v>
      </c>
      <c r="F1203" s="17">
        <v>13</v>
      </c>
      <c r="G1203" s="17">
        <f t="shared" ref="G1203:G1204" si="224">$E$1203*F1203</f>
        <v>274.56</v>
      </c>
      <c r="H1203" s="236"/>
      <c r="I1203" s="236"/>
      <c r="J1203" s="236"/>
      <c r="K1203" s="242"/>
      <c r="M1203" s="270"/>
      <c r="N1203" s="245"/>
      <c r="O1203" s="19" t="s">
        <v>53</v>
      </c>
      <c r="P1203" s="17">
        <v>21.12</v>
      </c>
      <c r="Q1203" s="17">
        <v>13</v>
      </c>
      <c r="R1203" s="17">
        <f t="shared" ref="R1203:R1204" si="225">$E$1203*Q1203</f>
        <v>274.56</v>
      </c>
      <c r="S1203" s="236"/>
      <c r="T1203" s="236"/>
      <c r="U1203" s="236"/>
      <c r="V1203" s="242"/>
    </row>
    <row r="1204" spans="2:22" ht="13">
      <c r="B1204" s="270"/>
      <c r="C1204" s="245"/>
      <c r="D1204" s="19" t="s">
        <v>583</v>
      </c>
      <c r="E1204" s="17">
        <v>30</v>
      </c>
      <c r="F1204" s="17">
        <v>13</v>
      </c>
      <c r="G1204" s="17">
        <f t="shared" si="224"/>
        <v>274.56</v>
      </c>
      <c r="H1204" s="236"/>
      <c r="I1204" s="236"/>
      <c r="J1204" s="236"/>
      <c r="K1204" s="242"/>
      <c r="M1204" s="270"/>
      <c r="N1204" s="245"/>
      <c r="O1204" s="19" t="s">
        <v>583</v>
      </c>
      <c r="P1204" s="17">
        <v>30</v>
      </c>
      <c r="Q1204" s="17">
        <v>13</v>
      </c>
      <c r="R1204" s="17">
        <f t="shared" si="225"/>
        <v>274.56</v>
      </c>
      <c r="S1204" s="236"/>
      <c r="T1204" s="236"/>
      <c r="U1204" s="236"/>
      <c r="V1204" s="242"/>
    </row>
    <row r="1205" spans="2:22" ht="13">
      <c r="B1205" s="270"/>
      <c r="C1205" s="245"/>
      <c r="D1205" s="19" t="s">
        <v>33</v>
      </c>
      <c r="E1205" s="17"/>
      <c r="F1205" s="17"/>
      <c r="G1205" s="17">
        <v>725.92</v>
      </c>
      <c r="H1205" s="236"/>
      <c r="I1205" s="236"/>
      <c r="J1205" s="236"/>
      <c r="K1205" s="242"/>
      <c r="M1205" s="270"/>
      <c r="N1205" s="245"/>
      <c r="O1205" s="19" t="s">
        <v>33</v>
      </c>
      <c r="P1205" s="17"/>
      <c r="Q1205" s="17"/>
      <c r="R1205" s="17">
        <v>725.92</v>
      </c>
      <c r="S1205" s="236"/>
      <c r="T1205" s="236"/>
      <c r="U1205" s="236"/>
      <c r="V1205" s="242"/>
    </row>
    <row r="1206" spans="2:22" ht="13">
      <c r="B1206" s="270"/>
      <c r="C1206" s="246"/>
      <c r="D1206" s="44"/>
      <c r="E1206" s="21"/>
      <c r="F1206" s="21"/>
      <c r="G1206" s="21"/>
      <c r="H1206" s="238"/>
      <c r="I1206" s="238"/>
      <c r="J1206" s="238"/>
      <c r="K1206" s="243"/>
      <c r="M1206" s="270"/>
      <c r="N1206" s="246"/>
      <c r="O1206" s="44"/>
      <c r="P1206" s="21"/>
      <c r="Q1206" s="21"/>
      <c r="R1206" s="21"/>
      <c r="S1206" s="238"/>
      <c r="T1206" s="238"/>
      <c r="U1206" s="238"/>
      <c r="V1206" s="243"/>
    </row>
    <row r="1207" spans="2:22" ht="13">
      <c r="B1207" s="270"/>
      <c r="C1207" s="244" t="s">
        <v>1173</v>
      </c>
      <c r="D1207" s="15" t="s">
        <v>114</v>
      </c>
      <c r="E1207" s="16">
        <v>14</v>
      </c>
      <c r="F1207" s="16">
        <v>18</v>
      </c>
      <c r="G1207" s="17">
        <f>E1207*F1207</f>
        <v>252</v>
      </c>
      <c r="H1207" s="240">
        <f>SUM(G1207:G1212)</f>
        <v>640.79</v>
      </c>
      <c r="I1207" s="240">
        <v>2125</v>
      </c>
      <c r="J1207" s="240">
        <f>I1207-H1207</f>
        <v>1484.21</v>
      </c>
      <c r="K1207" s="241">
        <f>J1207/I1207</f>
        <v>0.69845176470588233</v>
      </c>
      <c r="M1207" s="270"/>
      <c r="N1207" s="244" t="s">
        <v>1173</v>
      </c>
      <c r="O1207" s="15" t="s">
        <v>114</v>
      </c>
      <c r="P1207" s="18"/>
      <c r="Q1207" s="18"/>
      <c r="R1207" s="18"/>
      <c r="S1207" s="240">
        <f>SUM(R1207:R1212)</f>
        <v>388.78999999999996</v>
      </c>
      <c r="T1207" s="240">
        <v>2125</v>
      </c>
      <c r="U1207" s="240">
        <f>T1207-S1207</f>
        <v>1736.21</v>
      </c>
      <c r="V1207" s="241">
        <f>U1207/T1207</f>
        <v>0.81703999999999999</v>
      </c>
    </row>
    <row r="1208" spans="2:22" ht="13">
      <c r="B1208" s="270"/>
      <c r="C1208" s="245"/>
      <c r="D1208" s="19" t="s">
        <v>47</v>
      </c>
      <c r="E1208" s="17"/>
      <c r="F1208" s="17"/>
      <c r="G1208" s="17">
        <v>73.16</v>
      </c>
      <c r="H1208" s="236"/>
      <c r="I1208" s="236"/>
      <c r="J1208" s="236"/>
      <c r="K1208" s="242"/>
      <c r="M1208" s="270"/>
      <c r="N1208" s="245"/>
      <c r="O1208" s="19" t="s">
        <v>47</v>
      </c>
      <c r="P1208" s="17"/>
      <c r="Q1208" s="17"/>
      <c r="R1208" s="17">
        <v>73.16</v>
      </c>
      <c r="S1208" s="236"/>
      <c r="T1208" s="236"/>
      <c r="U1208" s="236"/>
      <c r="V1208" s="242"/>
    </row>
    <row r="1209" spans="2:22" ht="13">
      <c r="B1209" s="270"/>
      <c r="C1209" s="245"/>
      <c r="D1209" s="19" t="s">
        <v>83</v>
      </c>
      <c r="E1209" s="17"/>
      <c r="F1209" s="17"/>
      <c r="G1209" s="17">
        <v>110</v>
      </c>
      <c r="H1209" s="236"/>
      <c r="I1209" s="236"/>
      <c r="J1209" s="236"/>
      <c r="K1209" s="242"/>
      <c r="M1209" s="270"/>
      <c r="N1209" s="245"/>
      <c r="O1209" s="19" t="s">
        <v>83</v>
      </c>
      <c r="P1209" s="17"/>
      <c r="Q1209" s="17"/>
      <c r="R1209" s="17">
        <v>110</v>
      </c>
      <c r="S1209" s="236"/>
      <c r="T1209" s="236"/>
      <c r="U1209" s="236"/>
      <c r="V1209" s="242"/>
    </row>
    <row r="1210" spans="2:22" ht="13">
      <c r="B1210" s="270"/>
      <c r="C1210" s="245"/>
      <c r="D1210" s="19" t="s">
        <v>44</v>
      </c>
      <c r="E1210" s="17"/>
      <c r="F1210" s="17"/>
      <c r="G1210" s="17">
        <v>67.5</v>
      </c>
      <c r="H1210" s="236"/>
      <c r="I1210" s="236"/>
      <c r="J1210" s="236"/>
      <c r="K1210" s="242"/>
      <c r="M1210" s="270"/>
      <c r="N1210" s="245"/>
      <c r="O1210" s="19" t="s">
        <v>44</v>
      </c>
      <c r="P1210" s="17"/>
      <c r="Q1210" s="17"/>
      <c r="R1210" s="17">
        <v>67.5</v>
      </c>
      <c r="S1210" s="236"/>
      <c r="T1210" s="236"/>
      <c r="U1210" s="236"/>
      <c r="V1210" s="242"/>
    </row>
    <row r="1211" spans="2:22" ht="13">
      <c r="B1211" s="270"/>
      <c r="C1211" s="245"/>
      <c r="D1211" s="19" t="s">
        <v>33</v>
      </c>
      <c r="E1211" s="17"/>
      <c r="F1211" s="17"/>
      <c r="G1211" s="17">
        <v>68.13</v>
      </c>
      <c r="H1211" s="236"/>
      <c r="I1211" s="236"/>
      <c r="J1211" s="236"/>
      <c r="K1211" s="242"/>
      <c r="M1211" s="270"/>
      <c r="N1211" s="245"/>
      <c r="O1211" s="19" t="s">
        <v>33</v>
      </c>
      <c r="P1211" s="17"/>
      <c r="Q1211" s="17"/>
      <c r="R1211" s="17">
        <v>68.13</v>
      </c>
      <c r="S1211" s="236"/>
      <c r="T1211" s="236"/>
      <c r="U1211" s="236"/>
      <c r="V1211" s="242"/>
    </row>
    <row r="1212" spans="2:22" ht="13">
      <c r="B1212" s="270"/>
      <c r="C1212" s="246"/>
      <c r="D1212" s="44" t="s">
        <v>188</v>
      </c>
      <c r="E1212" s="21"/>
      <c r="F1212" s="21"/>
      <c r="G1212" s="21">
        <v>70</v>
      </c>
      <c r="H1212" s="238"/>
      <c r="I1212" s="238"/>
      <c r="J1212" s="238"/>
      <c r="K1212" s="243"/>
      <c r="M1212" s="270"/>
      <c r="N1212" s="246"/>
      <c r="O1212" s="44" t="s">
        <v>188</v>
      </c>
      <c r="P1212" s="21"/>
      <c r="Q1212" s="21"/>
      <c r="R1212" s="21">
        <v>70</v>
      </c>
      <c r="S1212" s="238"/>
      <c r="T1212" s="238"/>
      <c r="U1212" s="238"/>
      <c r="V1212" s="243"/>
    </row>
    <row r="1213" spans="2:22" ht="13">
      <c r="B1213" s="270"/>
      <c r="C1213" s="244" t="s">
        <v>1174</v>
      </c>
      <c r="D1213" s="15" t="s">
        <v>23</v>
      </c>
      <c r="E1213" s="16">
        <v>7</v>
      </c>
      <c r="F1213" s="16">
        <v>16</v>
      </c>
      <c r="G1213" s="17">
        <f>E1213*F1213</f>
        <v>112</v>
      </c>
      <c r="H1213" s="240">
        <f>SUM(G1213:G1216)</f>
        <v>249</v>
      </c>
      <c r="I1213" s="240">
        <v>2217.6</v>
      </c>
      <c r="J1213" s="240">
        <f>I1213-H1213</f>
        <v>1968.6</v>
      </c>
      <c r="K1213" s="241">
        <f>J1213/I1213</f>
        <v>0.88771645021645018</v>
      </c>
      <c r="M1213" s="270"/>
      <c r="N1213" s="244" t="s">
        <v>1174</v>
      </c>
      <c r="O1213" s="15" t="s">
        <v>23</v>
      </c>
      <c r="P1213" s="18"/>
      <c r="Q1213" s="18"/>
      <c r="R1213" s="18"/>
      <c r="S1213" s="240">
        <f>SUM(R1213:R1216)</f>
        <v>137</v>
      </c>
      <c r="T1213" s="240">
        <v>2217.6</v>
      </c>
      <c r="U1213" s="240">
        <f>T1213-S1213</f>
        <v>2080.6</v>
      </c>
      <c r="V1213" s="241">
        <f>U1213/T1213</f>
        <v>0.93822150072150068</v>
      </c>
    </row>
    <row r="1214" spans="2:22" ht="13">
      <c r="B1214" s="270"/>
      <c r="C1214" s="245"/>
      <c r="D1214" s="19" t="s">
        <v>44</v>
      </c>
      <c r="E1214" s="17"/>
      <c r="F1214" s="17"/>
      <c r="G1214" s="17">
        <v>37</v>
      </c>
      <c r="H1214" s="236"/>
      <c r="I1214" s="236"/>
      <c r="J1214" s="236"/>
      <c r="K1214" s="242"/>
      <c r="M1214" s="270"/>
      <c r="N1214" s="245"/>
      <c r="O1214" s="19" t="s">
        <v>44</v>
      </c>
      <c r="P1214" s="17"/>
      <c r="Q1214" s="17"/>
      <c r="R1214" s="17">
        <v>37</v>
      </c>
      <c r="S1214" s="236"/>
      <c r="T1214" s="236"/>
      <c r="U1214" s="236"/>
      <c r="V1214" s="242"/>
    </row>
    <row r="1215" spans="2:22" ht="13">
      <c r="B1215" s="270"/>
      <c r="C1215" s="245"/>
      <c r="D1215" s="19" t="s">
        <v>45</v>
      </c>
      <c r="E1215" s="17"/>
      <c r="F1215" s="17"/>
      <c r="G1215" s="17">
        <v>100</v>
      </c>
      <c r="H1215" s="236"/>
      <c r="I1215" s="236"/>
      <c r="J1215" s="236"/>
      <c r="K1215" s="242"/>
      <c r="M1215" s="270"/>
      <c r="N1215" s="245"/>
      <c r="O1215" s="19" t="s">
        <v>45</v>
      </c>
      <c r="P1215" s="17"/>
      <c r="Q1215" s="17"/>
      <c r="R1215" s="17">
        <v>100</v>
      </c>
      <c r="S1215" s="236"/>
      <c r="T1215" s="236"/>
      <c r="U1215" s="236"/>
      <c r="V1215" s="242"/>
    </row>
    <row r="1216" spans="2:22" ht="13">
      <c r="B1216" s="270"/>
      <c r="C1216" s="246"/>
      <c r="D1216" s="44"/>
      <c r="E1216" s="21"/>
      <c r="F1216" s="21"/>
      <c r="G1216" s="21"/>
      <c r="H1216" s="238"/>
      <c r="I1216" s="238"/>
      <c r="J1216" s="238"/>
      <c r="K1216" s="243"/>
      <c r="M1216" s="270"/>
      <c r="N1216" s="246"/>
      <c r="O1216" s="44"/>
      <c r="P1216" s="21"/>
      <c r="Q1216" s="21"/>
      <c r="R1216" s="21"/>
      <c r="S1216" s="238"/>
      <c r="T1216" s="238"/>
      <c r="U1216" s="238"/>
      <c r="V1216" s="243"/>
    </row>
    <row r="1217" spans="2:22" ht="30">
      <c r="B1217" s="254" t="s">
        <v>1175</v>
      </c>
      <c r="C1217" s="255"/>
      <c r="D1217" s="256"/>
      <c r="E1217" s="27">
        <f t="shared" ref="E1217:J1217" si="226">AVERAGE(E1089:E1216)</f>
        <v>23.119701492537313</v>
      </c>
      <c r="F1217" s="27">
        <f t="shared" si="226"/>
        <v>26.104477611940297</v>
      </c>
      <c r="G1217" s="27">
        <f t="shared" si="226"/>
        <v>518.61790322580634</v>
      </c>
      <c r="H1217" s="27">
        <f t="shared" si="226"/>
        <v>4593.4728571428568</v>
      </c>
      <c r="I1217" s="27">
        <f t="shared" si="226"/>
        <v>8945.2578571428585</v>
      </c>
      <c r="J1217" s="27">
        <f t="shared" si="226"/>
        <v>4351.7850000000008</v>
      </c>
      <c r="K1217" s="28" t="str">
        <f ca="1">AVERAGE($K$12:$K$76)</f>
        <v>#REF!</v>
      </c>
      <c r="M1217" s="254" t="s">
        <v>1175</v>
      </c>
      <c r="N1217" s="255"/>
      <c r="O1217" s="256"/>
      <c r="P1217" s="27">
        <f t="shared" ref="P1217:U1217" si="227">AVERAGE(P1089:P1216)</f>
        <v>23.151320754716977</v>
      </c>
      <c r="Q1217" s="27">
        <f t="shared" si="227"/>
        <v>28.773584905660378</v>
      </c>
      <c r="R1217" s="27">
        <f t="shared" si="227"/>
        <v>536.38745454545437</v>
      </c>
      <c r="S1217" s="27">
        <f t="shared" si="227"/>
        <v>4214.4728571428577</v>
      </c>
      <c r="T1217" s="27">
        <f t="shared" si="227"/>
        <v>8945.2578571428585</v>
      </c>
      <c r="U1217" s="27">
        <f t="shared" si="227"/>
        <v>4730.7849999999989</v>
      </c>
      <c r="V1217" s="28" t="str">
        <f ca="1">AVERAGE($K$12:$K$76)</f>
        <v>#REF!</v>
      </c>
    </row>
    <row r="1218" spans="2:22" ht="30">
      <c r="B1218" s="251" t="s">
        <v>1176</v>
      </c>
      <c r="C1218" s="252"/>
      <c r="D1218" s="253"/>
      <c r="E1218" s="121">
        <f t="shared" ref="E1218:J1218" si="228">SUM(E1089:E1216)</f>
        <v>1549.02</v>
      </c>
      <c r="F1218" s="121">
        <f t="shared" si="228"/>
        <v>1749</v>
      </c>
      <c r="G1218" s="121">
        <f t="shared" si="228"/>
        <v>64308.619999999981</v>
      </c>
      <c r="H1218" s="121">
        <f t="shared" si="228"/>
        <v>64308.619999999995</v>
      </c>
      <c r="I1218" s="121">
        <f t="shared" si="228"/>
        <v>125233.61000000002</v>
      </c>
      <c r="J1218" s="121">
        <f t="shared" si="228"/>
        <v>60924.990000000005</v>
      </c>
      <c r="K1218" s="29">
        <f t="shared" ref="K1218:K1219" si="229">J1218/I1218</f>
        <v>0.48649072720973224</v>
      </c>
      <c r="M1218" s="251" t="s">
        <v>1176</v>
      </c>
      <c r="N1218" s="252"/>
      <c r="O1218" s="253"/>
      <c r="P1218" s="121">
        <f t="shared" ref="P1218:U1218" si="230">SUM(P1089:P1216)</f>
        <v>1227.0199999999998</v>
      </c>
      <c r="Q1218" s="121">
        <f t="shared" si="230"/>
        <v>1525</v>
      </c>
      <c r="R1218" s="121">
        <f t="shared" si="230"/>
        <v>59002.619999999981</v>
      </c>
      <c r="S1218" s="121">
        <f t="shared" si="230"/>
        <v>59002.62000000001</v>
      </c>
      <c r="T1218" s="121">
        <f t="shared" si="230"/>
        <v>125233.61000000002</v>
      </c>
      <c r="U1218" s="121">
        <f t="shared" si="230"/>
        <v>66230.989999999991</v>
      </c>
      <c r="V1218" s="29">
        <f t="shared" ref="V1218:V1219" si="231">U1218/T1218</f>
        <v>0.52885954497358967</v>
      </c>
    </row>
    <row r="1219" spans="2:22" ht="13">
      <c r="B1219" s="307" t="s">
        <v>650</v>
      </c>
      <c r="C1219" s="244" t="s">
        <v>1177</v>
      </c>
      <c r="D1219" s="15" t="s">
        <v>23</v>
      </c>
      <c r="E1219" s="16">
        <v>7</v>
      </c>
      <c r="F1219" s="17">
        <v>15</v>
      </c>
      <c r="G1219" s="17">
        <f t="shared" ref="G1219:G1227" si="232">E1219*F1219</f>
        <v>105</v>
      </c>
      <c r="H1219" s="240">
        <f>SUM(G1219:G1228)</f>
        <v>1565.5500000000002</v>
      </c>
      <c r="I1219" s="240">
        <v>5500</v>
      </c>
      <c r="J1219" s="240">
        <f>I1219-H1219</f>
        <v>3934.45</v>
      </c>
      <c r="K1219" s="241">
        <f t="shared" si="229"/>
        <v>0.71535454545454547</v>
      </c>
      <c r="M1219" s="307" t="s">
        <v>650</v>
      </c>
      <c r="N1219" s="244" t="s">
        <v>1177</v>
      </c>
      <c r="O1219" s="15" t="s">
        <v>23</v>
      </c>
      <c r="P1219" s="18"/>
      <c r="Q1219" s="18"/>
      <c r="R1219" s="18"/>
      <c r="S1219" s="240">
        <f>SUM(R1219:R1228)</f>
        <v>1460.5500000000002</v>
      </c>
      <c r="T1219" s="240">
        <v>5500</v>
      </c>
      <c r="U1219" s="240">
        <f>T1219-S1219</f>
        <v>4039.45</v>
      </c>
      <c r="V1219" s="241">
        <f t="shared" si="231"/>
        <v>0.73444545454545451</v>
      </c>
    </row>
    <row r="1220" spans="2:22" ht="13">
      <c r="B1220" s="236"/>
      <c r="C1220" s="245"/>
      <c r="D1220" s="24" t="s">
        <v>1011</v>
      </c>
      <c r="E1220" s="17">
        <v>20.97</v>
      </c>
      <c r="F1220" s="17">
        <v>15</v>
      </c>
      <c r="G1220" s="17">
        <f t="shared" si="232"/>
        <v>314.54999999999995</v>
      </c>
      <c r="H1220" s="236"/>
      <c r="I1220" s="236"/>
      <c r="J1220" s="236"/>
      <c r="K1220" s="242"/>
      <c r="M1220" s="236"/>
      <c r="N1220" s="245"/>
      <c r="O1220" s="24" t="s">
        <v>1011</v>
      </c>
      <c r="P1220" s="17">
        <v>20.97</v>
      </c>
      <c r="Q1220" s="17">
        <v>15</v>
      </c>
      <c r="R1220" s="17">
        <f t="shared" ref="R1220:R1227" si="233">P1220*Q1220</f>
        <v>314.54999999999995</v>
      </c>
      <c r="S1220" s="236"/>
      <c r="T1220" s="236"/>
      <c r="U1220" s="236"/>
      <c r="V1220" s="242"/>
    </row>
    <row r="1221" spans="2:22" ht="13">
      <c r="B1221" s="236"/>
      <c r="C1221" s="245"/>
      <c r="D1221" s="24" t="s">
        <v>70</v>
      </c>
      <c r="E1221" s="17">
        <v>19.18</v>
      </c>
      <c r="F1221" s="17">
        <v>15</v>
      </c>
      <c r="G1221" s="17">
        <f t="shared" si="232"/>
        <v>287.7</v>
      </c>
      <c r="H1221" s="236"/>
      <c r="I1221" s="236"/>
      <c r="J1221" s="236"/>
      <c r="K1221" s="242"/>
      <c r="M1221" s="236"/>
      <c r="N1221" s="245"/>
      <c r="O1221" s="24" t="s">
        <v>70</v>
      </c>
      <c r="P1221" s="17">
        <v>19.18</v>
      </c>
      <c r="Q1221" s="17">
        <v>15</v>
      </c>
      <c r="R1221" s="17">
        <f t="shared" si="233"/>
        <v>287.7</v>
      </c>
      <c r="S1221" s="236"/>
      <c r="T1221" s="236"/>
      <c r="U1221" s="236"/>
      <c r="V1221" s="242"/>
    </row>
    <row r="1222" spans="2:22" ht="13">
      <c r="B1222" s="236"/>
      <c r="C1222" s="245"/>
      <c r="D1222" s="24" t="s">
        <v>32</v>
      </c>
      <c r="E1222" s="17">
        <v>20.73</v>
      </c>
      <c r="F1222" s="17">
        <v>15</v>
      </c>
      <c r="G1222" s="17">
        <f t="shared" si="232"/>
        <v>310.95</v>
      </c>
      <c r="H1222" s="236"/>
      <c r="I1222" s="236"/>
      <c r="J1222" s="236"/>
      <c r="K1222" s="242"/>
      <c r="M1222" s="236"/>
      <c r="N1222" s="245"/>
      <c r="O1222" s="24" t="s">
        <v>32</v>
      </c>
      <c r="P1222" s="17">
        <v>20.73</v>
      </c>
      <c r="Q1222" s="17">
        <v>15</v>
      </c>
      <c r="R1222" s="17">
        <f t="shared" si="233"/>
        <v>310.95</v>
      </c>
      <c r="S1222" s="236"/>
      <c r="T1222" s="236"/>
      <c r="U1222" s="236"/>
      <c r="V1222" s="242"/>
    </row>
    <row r="1223" spans="2:22" ht="13">
      <c r="B1223" s="236"/>
      <c r="C1223" s="245"/>
      <c r="D1223" s="24" t="s">
        <v>38</v>
      </c>
      <c r="E1223" s="17">
        <v>6.65</v>
      </c>
      <c r="F1223" s="17">
        <v>15</v>
      </c>
      <c r="G1223" s="17">
        <f t="shared" si="232"/>
        <v>99.75</v>
      </c>
      <c r="H1223" s="236"/>
      <c r="I1223" s="236"/>
      <c r="J1223" s="236"/>
      <c r="K1223" s="242"/>
      <c r="M1223" s="236"/>
      <c r="N1223" s="245"/>
      <c r="O1223" s="24" t="s">
        <v>38</v>
      </c>
      <c r="P1223" s="17">
        <v>6.65</v>
      </c>
      <c r="Q1223" s="17">
        <v>15</v>
      </c>
      <c r="R1223" s="17">
        <f t="shared" si="233"/>
        <v>99.75</v>
      </c>
      <c r="S1223" s="236"/>
      <c r="T1223" s="236"/>
      <c r="U1223" s="236"/>
      <c r="V1223" s="242"/>
    </row>
    <row r="1224" spans="2:22" ht="13">
      <c r="B1224" s="236"/>
      <c r="C1224" s="245"/>
      <c r="D1224" s="24" t="s">
        <v>1178</v>
      </c>
      <c r="E1224" s="17">
        <v>4.88</v>
      </c>
      <c r="F1224" s="17">
        <v>15</v>
      </c>
      <c r="G1224" s="17">
        <f t="shared" si="232"/>
        <v>73.2</v>
      </c>
      <c r="H1224" s="236"/>
      <c r="I1224" s="236"/>
      <c r="J1224" s="236"/>
      <c r="K1224" s="242"/>
      <c r="M1224" s="236"/>
      <c r="N1224" s="245"/>
      <c r="O1224" s="24" t="s">
        <v>1178</v>
      </c>
      <c r="P1224" s="17">
        <v>4.88</v>
      </c>
      <c r="Q1224" s="17">
        <v>15</v>
      </c>
      <c r="R1224" s="17">
        <f t="shared" si="233"/>
        <v>73.2</v>
      </c>
      <c r="S1224" s="236"/>
      <c r="T1224" s="236"/>
      <c r="U1224" s="236"/>
      <c r="V1224" s="242"/>
    </row>
    <row r="1225" spans="2:22" ht="13">
      <c r="B1225" s="236"/>
      <c r="C1225" s="245"/>
      <c r="D1225" s="24" t="s">
        <v>80</v>
      </c>
      <c r="E1225" s="17">
        <v>5.65</v>
      </c>
      <c r="F1225" s="17">
        <v>15</v>
      </c>
      <c r="G1225" s="17">
        <f t="shared" si="232"/>
        <v>84.75</v>
      </c>
      <c r="H1225" s="236"/>
      <c r="I1225" s="236"/>
      <c r="J1225" s="236"/>
      <c r="K1225" s="242"/>
      <c r="M1225" s="236"/>
      <c r="N1225" s="245"/>
      <c r="O1225" s="24" t="s">
        <v>80</v>
      </c>
      <c r="P1225" s="17">
        <v>5.65</v>
      </c>
      <c r="Q1225" s="17">
        <v>15</v>
      </c>
      <c r="R1225" s="17">
        <f t="shared" si="233"/>
        <v>84.75</v>
      </c>
      <c r="S1225" s="236"/>
      <c r="T1225" s="236"/>
      <c r="U1225" s="236"/>
      <c r="V1225" s="242"/>
    </row>
    <row r="1226" spans="2:22" ht="13">
      <c r="B1226" s="236"/>
      <c r="C1226" s="245"/>
      <c r="D1226" s="24" t="s">
        <v>192</v>
      </c>
      <c r="E1226" s="17">
        <v>7.88</v>
      </c>
      <c r="F1226" s="17">
        <v>15</v>
      </c>
      <c r="G1226" s="17">
        <f t="shared" si="232"/>
        <v>118.2</v>
      </c>
      <c r="H1226" s="236"/>
      <c r="I1226" s="236"/>
      <c r="J1226" s="236"/>
      <c r="K1226" s="242"/>
      <c r="M1226" s="236"/>
      <c r="N1226" s="245"/>
      <c r="O1226" s="24" t="s">
        <v>192</v>
      </c>
      <c r="P1226" s="17">
        <v>7.88</v>
      </c>
      <c r="Q1226" s="17">
        <v>15</v>
      </c>
      <c r="R1226" s="17">
        <f t="shared" si="233"/>
        <v>118.2</v>
      </c>
      <c r="S1226" s="236"/>
      <c r="T1226" s="236"/>
      <c r="U1226" s="236"/>
      <c r="V1226" s="242"/>
    </row>
    <row r="1227" spans="2:22" ht="13">
      <c r="B1227" s="236"/>
      <c r="C1227" s="245"/>
      <c r="D1227" s="24" t="s">
        <v>79</v>
      </c>
      <c r="E1227" s="17">
        <v>11.43</v>
      </c>
      <c r="F1227" s="17">
        <v>15</v>
      </c>
      <c r="G1227" s="17">
        <f t="shared" si="232"/>
        <v>171.45</v>
      </c>
      <c r="H1227" s="236"/>
      <c r="I1227" s="236"/>
      <c r="J1227" s="236"/>
      <c r="K1227" s="242"/>
      <c r="M1227" s="236"/>
      <c r="N1227" s="245"/>
      <c r="O1227" s="24" t="s">
        <v>79</v>
      </c>
      <c r="P1227" s="17">
        <v>11.43</v>
      </c>
      <c r="Q1227" s="17">
        <v>15</v>
      </c>
      <c r="R1227" s="17">
        <f t="shared" si="233"/>
        <v>171.45</v>
      </c>
      <c r="S1227" s="236"/>
      <c r="T1227" s="236"/>
      <c r="U1227" s="236"/>
      <c r="V1227" s="242"/>
    </row>
    <row r="1228" spans="2:22" ht="13">
      <c r="B1228" s="236"/>
      <c r="C1228" s="246"/>
      <c r="D1228" s="44"/>
      <c r="E1228" s="21"/>
      <c r="F1228" s="21"/>
      <c r="G1228" s="21"/>
      <c r="H1228" s="238"/>
      <c r="I1228" s="238"/>
      <c r="J1228" s="238"/>
      <c r="K1228" s="243"/>
      <c r="M1228" s="236"/>
      <c r="N1228" s="246"/>
      <c r="O1228" s="44"/>
      <c r="P1228" s="21"/>
      <c r="Q1228" s="21"/>
      <c r="R1228" s="21"/>
      <c r="S1228" s="238"/>
      <c r="T1228" s="238"/>
      <c r="U1228" s="238"/>
      <c r="V1228" s="243"/>
    </row>
    <row r="1229" spans="2:22" ht="13">
      <c r="B1229" s="236"/>
      <c r="C1229" s="244" t="s">
        <v>1179</v>
      </c>
      <c r="D1229" s="15" t="s">
        <v>114</v>
      </c>
      <c r="E1229" s="16">
        <v>14</v>
      </c>
      <c r="F1229" s="16">
        <v>18</v>
      </c>
      <c r="G1229" s="17">
        <f>E1229*F1229</f>
        <v>252</v>
      </c>
      <c r="H1229" s="240">
        <f>SUM(G1229:G1236)</f>
        <v>739.76</v>
      </c>
      <c r="I1229" s="240">
        <v>2867.2</v>
      </c>
      <c r="J1229" s="240">
        <f>I1229-H1229</f>
        <v>2127.4399999999996</v>
      </c>
      <c r="K1229" s="241">
        <f>J1229/I1229</f>
        <v>0.74199218749999996</v>
      </c>
      <c r="M1229" s="236"/>
      <c r="N1229" s="244" t="s">
        <v>1179</v>
      </c>
      <c r="O1229" s="15" t="s">
        <v>114</v>
      </c>
      <c r="P1229" s="18"/>
      <c r="Q1229" s="18"/>
      <c r="R1229" s="18"/>
      <c r="S1229" s="240">
        <f>SUM(R1229:R1236)</f>
        <v>487.76000000000005</v>
      </c>
      <c r="T1229" s="240">
        <v>2867.2</v>
      </c>
      <c r="U1229" s="240">
        <f>T1229-S1229</f>
        <v>2379.4399999999996</v>
      </c>
      <c r="V1229" s="241">
        <f>U1229/T1229</f>
        <v>0.82988281249999996</v>
      </c>
    </row>
    <row r="1230" spans="2:22" ht="13">
      <c r="B1230" s="236"/>
      <c r="C1230" s="245"/>
      <c r="D1230" s="19" t="s">
        <v>44</v>
      </c>
      <c r="E1230" s="17"/>
      <c r="F1230" s="17"/>
      <c r="G1230" s="17">
        <v>20.7</v>
      </c>
      <c r="H1230" s="236"/>
      <c r="I1230" s="236"/>
      <c r="J1230" s="236"/>
      <c r="K1230" s="242"/>
      <c r="M1230" s="236"/>
      <c r="N1230" s="245"/>
      <c r="O1230" s="19" t="s">
        <v>44</v>
      </c>
      <c r="P1230" s="17"/>
      <c r="Q1230" s="17"/>
      <c r="R1230" s="17">
        <v>20.7</v>
      </c>
      <c r="S1230" s="236"/>
      <c r="T1230" s="236"/>
      <c r="U1230" s="236"/>
      <c r="V1230" s="242"/>
    </row>
    <row r="1231" spans="2:22" ht="13">
      <c r="B1231" s="236"/>
      <c r="C1231" s="245"/>
      <c r="D1231" s="19" t="s">
        <v>47</v>
      </c>
      <c r="E1231" s="17"/>
      <c r="F1231" s="17"/>
      <c r="G1231" s="17">
        <v>86.18</v>
      </c>
      <c r="H1231" s="236"/>
      <c r="I1231" s="236"/>
      <c r="J1231" s="236"/>
      <c r="K1231" s="242"/>
      <c r="M1231" s="236"/>
      <c r="N1231" s="245"/>
      <c r="O1231" s="19" t="s">
        <v>47</v>
      </c>
      <c r="P1231" s="17"/>
      <c r="Q1231" s="17"/>
      <c r="R1231" s="17">
        <v>86.18</v>
      </c>
      <c r="S1231" s="236"/>
      <c r="T1231" s="236"/>
      <c r="U1231" s="236"/>
      <c r="V1231" s="242"/>
    </row>
    <row r="1232" spans="2:22" ht="13">
      <c r="B1232" s="236"/>
      <c r="C1232" s="245"/>
      <c r="D1232" s="19" t="s">
        <v>46</v>
      </c>
      <c r="E1232" s="17"/>
      <c r="F1232" s="17"/>
      <c r="G1232" s="17">
        <v>108</v>
      </c>
      <c r="H1232" s="236"/>
      <c r="I1232" s="236"/>
      <c r="J1232" s="236"/>
      <c r="K1232" s="242"/>
      <c r="M1232" s="236"/>
      <c r="N1232" s="245"/>
      <c r="O1232" s="19" t="s">
        <v>46</v>
      </c>
      <c r="P1232" s="17"/>
      <c r="Q1232" s="17"/>
      <c r="R1232" s="17">
        <v>108</v>
      </c>
      <c r="S1232" s="236"/>
      <c r="T1232" s="236"/>
      <c r="U1232" s="236"/>
      <c r="V1232" s="242"/>
    </row>
    <row r="1233" spans="2:22" ht="13">
      <c r="B1233" s="236"/>
      <c r="C1233" s="245"/>
      <c r="D1233" s="19" t="s">
        <v>155</v>
      </c>
      <c r="E1233" s="17"/>
      <c r="F1233" s="17"/>
      <c r="G1233" s="17">
        <v>67</v>
      </c>
      <c r="H1233" s="236"/>
      <c r="I1233" s="236"/>
      <c r="J1233" s="236"/>
      <c r="K1233" s="242"/>
      <c r="M1233" s="236"/>
      <c r="N1233" s="245"/>
      <c r="O1233" s="19" t="s">
        <v>155</v>
      </c>
      <c r="P1233" s="17"/>
      <c r="Q1233" s="17"/>
      <c r="R1233" s="17">
        <v>67</v>
      </c>
      <c r="S1233" s="236"/>
      <c r="T1233" s="236"/>
      <c r="U1233" s="236"/>
      <c r="V1233" s="242"/>
    </row>
    <row r="1234" spans="2:22" ht="13">
      <c r="B1234" s="236"/>
      <c r="C1234" s="245"/>
      <c r="D1234" s="19" t="s">
        <v>188</v>
      </c>
      <c r="E1234" s="17"/>
      <c r="F1234" s="17"/>
      <c r="G1234" s="17">
        <v>70</v>
      </c>
      <c r="H1234" s="236"/>
      <c r="I1234" s="236"/>
      <c r="J1234" s="236"/>
      <c r="K1234" s="242"/>
      <c r="M1234" s="236"/>
      <c r="N1234" s="245"/>
      <c r="O1234" s="19" t="s">
        <v>188</v>
      </c>
      <c r="P1234" s="17"/>
      <c r="Q1234" s="17"/>
      <c r="R1234" s="17">
        <v>70</v>
      </c>
      <c r="S1234" s="236"/>
      <c r="T1234" s="236"/>
      <c r="U1234" s="236"/>
      <c r="V1234" s="242"/>
    </row>
    <row r="1235" spans="2:22" ht="13">
      <c r="B1235" s="236"/>
      <c r="C1235" s="245"/>
      <c r="D1235" s="19" t="s">
        <v>45</v>
      </c>
      <c r="E1235" s="17"/>
      <c r="F1235" s="17"/>
      <c r="G1235" s="17">
        <v>38.090000000000003</v>
      </c>
      <c r="H1235" s="236"/>
      <c r="I1235" s="236"/>
      <c r="J1235" s="236"/>
      <c r="K1235" s="242"/>
      <c r="M1235" s="236"/>
      <c r="N1235" s="245"/>
      <c r="O1235" s="19" t="s">
        <v>45</v>
      </c>
      <c r="P1235" s="17"/>
      <c r="Q1235" s="17"/>
      <c r="R1235" s="17">
        <v>38.090000000000003</v>
      </c>
      <c r="S1235" s="236"/>
      <c r="T1235" s="236"/>
      <c r="U1235" s="236"/>
      <c r="V1235" s="242"/>
    </row>
    <row r="1236" spans="2:22" ht="13">
      <c r="B1236" s="236"/>
      <c r="C1236" s="246"/>
      <c r="D1236" s="44" t="s">
        <v>33</v>
      </c>
      <c r="E1236" s="21"/>
      <c r="F1236" s="21"/>
      <c r="G1236" s="21">
        <v>97.79</v>
      </c>
      <c r="H1236" s="238"/>
      <c r="I1236" s="238"/>
      <c r="J1236" s="238"/>
      <c r="K1236" s="243"/>
      <c r="M1236" s="236"/>
      <c r="N1236" s="246"/>
      <c r="O1236" s="44" t="s">
        <v>33</v>
      </c>
      <c r="P1236" s="21"/>
      <c r="Q1236" s="21"/>
      <c r="R1236" s="21">
        <v>97.79</v>
      </c>
      <c r="S1236" s="238"/>
      <c r="T1236" s="238"/>
      <c r="U1236" s="238"/>
      <c r="V1236" s="243"/>
    </row>
    <row r="1237" spans="2:22" ht="13">
      <c r="B1237" s="236"/>
      <c r="C1237" s="244" t="s">
        <v>1180</v>
      </c>
      <c r="D1237" s="15" t="s">
        <v>114</v>
      </c>
      <c r="E1237" s="16">
        <v>21</v>
      </c>
      <c r="F1237" s="17">
        <v>18</v>
      </c>
      <c r="G1237" s="17">
        <f t="shared" ref="G1237:G1240" si="234">E1237*F1237</f>
        <v>378</v>
      </c>
      <c r="H1237" s="240">
        <f>SUM(G1237:G1241)</f>
        <v>1620.15</v>
      </c>
      <c r="I1237" s="240">
        <v>3500</v>
      </c>
      <c r="J1237" s="240">
        <f>I1237-H1237</f>
        <v>1879.85</v>
      </c>
      <c r="K1237" s="241">
        <f>J1237/I1237</f>
        <v>0.53710000000000002</v>
      </c>
      <c r="M1237" s="236"/>
      <c r="N1237" s="244" t="s">
        <v>1180</v>
      </c>
      <c r="O1237" s="15" t="s">
        <v>114</v>
      </c>
      <c r="P1237" s="18"/>
      <c r="Q1237" s="18"/>
      <c r="R1237" s="18"/>
      <c r="S1237" s="240">
        <f>SUM(R1237:R1241)</f>
        <v>1242.1500000000001</v>
      </c>
      <c r="T1237" s="240">
        <v>3500</v>
      </c>
      <c r="U1237" s="240">
        <f>T1237-S1237</f>
        <v>2257.85</v>
      </c>
      <c r="V1237" s="241">
        <f>U1237/T1237</f>
        <v>0.64510000000000001</v>
      </c>
    </row>
    <row r="1238" spans="2:22" ht="13">
      <c r="B1238" s="236"/>
      <c r="C1238" s="245"/>
      <c r="D1238" s="24" t="s">
        <v>1011</v>
      </c>
      <c r="E1238" s="17">
        <v>33.83</v>
      </c>
      <c r="F1238" s="17">
        <v>15</v>
      </c>
      <c r="G1238" s="17">
        <f t="shared" si="234"/>
        <v>507.45</v>
      </c>
      <c r="H1238" s="236"/>
      <c r="I1238" s="236"/>
      <c r="J1238" s="236"/>
      <c r="K1238" s="242"/>
      <c r="M1238" s="236"/>
      <c r="N1238" s="245"/>
      <c r="O1238" s="24" t="s">
        <v>1011</v>
      </c>
      <c r="P1238" s="17">
        <v>33.83</v>
      </c>
      <c r="Q1238" s="17">
        <v>15</v>
      </c>
      <c r="R1238" s="17">
        <f t="shared" ref="R1238:R1240" si="235">P1238*Q1238</f>
        <v>507.45</v>
      </c>
      <c r="S1238" s="236"/>
      <c r="T1238" s="236"/>
      <c r="U1238" s="236"/>
      <c r="V1238" s="242"/>
    </row>
    <row r="1239" spans="2:22" ht="13">
      <c r="B1239" s="236"/>
      <c r="C1239" s="245"/>
      <c r="D1239" s="24" t="s">
        <v>70</v>
      </c>
      <c r="E1239" s="17">
        <v>27.4</v>
      </c>
      <c r="F1239" s="17">
        <v>15</v>
      </c>
      <c r="G1239" s="17">
        <f t="shared" si="234"/>
        <v>411</v>
      </c>
      <c r="H1239" s="236"/>
      <c r="I1239" s="236"/>
      <c r="J1239" s="236"/>
      <c r="K1239" s="242"/>
      <c r="M1239" s="236"/>
      <c r="N1239" s="245"/>
      <c r="O1239" s="24" t="s">
        <v>70</v>
      </c>
      <c r="P1239" s="17">
        <v>27.4</v>
      </c>
      <c r="Q1239" s="17">
        <v>15</v>
      </c>
      <c r="R1239" s="17">
        <f t="shared" si="235"/>
        <v>411</v>
      </c>
      <c r="S1239" s="236"/>
      <c r="T1239" s="236"/>
      <c r="U1239" s="236"/>
      <c r="V1239" s="242"/>
    </row>
    <row r="1240" spans="2:22" ht="13">
      <c r="B1240" s="236"/>
      <c r="C1240" s="245"/>
      <c r="D1240" s="24" t="s">
        <v>216</v>
      </c>
      <c r="E1240" s="17">
        <v>21.58</v>
      </c>
      <c r="F1240" s="17">
        <v>15</v>
      </c>
      <c r="G1240" s="17">
        <f t="shared" si="234"/>
        <v>323.7</v>
      </c>
      <c r="H1240" s="236"/>
      <c r="I1240" s="236"/>
      <c r="J1240" s="236"/>
      <c r="K1240" s="242"/>
      <c r="M1240" s="236"/>
      <c r="N1240" s="245"/>
      <c r="O1240" s="24" t="s">
        <v>216</v>
      </c>
      <c r="P1240" s="17">
        <v>21.58</v>
      </c>
      <c r="Q1240" s="17">
        <v>15</v>
      </c>
      <c r="R1240" s="17">
        <f t="shared" si="235"/>
        <v>323.7</v>
      </c>
      <c r="S1240" s="236"/>
      <c r="T1240" s="236"/>
      <c r="U1240" s="236"/>
      <c r="V1240" s="242"/>
    </row>
    <row r="1241" spans="2:22" ht="13">
      <c r="B1241" s="236"/>
      <c r="C1241" s="246"/>
      <c r="D1241" s="44"/>
      <c r="E1241" s="21"/>
      <c r="F1241" s="21"/>
      <c r="G1241" s="21"/>
      <c r="H1241" s="238"/>
      <c r="I1241" s="238"/>
      <c r="J1241" s="238"/>
      <c r="K1241" s="243"/>
      <c r="M1241" s="236"/>
      <c r="N1241" s="246"/>
      <c r="O1241" s="44"/>
      <c r="P1241" s="21"/>
      <c r="Q1241" s="21"/>
      <c r="R1241" s="21"/>
      <c r="S1241" s="238"/>
      <c r="T1241" s="238"/>
      <c r="U1241" s="238"/>
      <c r="V1241" s="243"/>
    </row>
    <row r="1242" spans="2:22" ht="13">
      <c r="B1242" s="236"/>
      <c r="C1242" s="244" t="s">
        <v>1181</v>
      </c>
      <c r="D1242" s="15" t="s">
        <v>137</v>
      </c>
      <c r="E1242" s="16">
        <v>3</v>
      </c>
      <c r="F1242" s="16">
        <v>15</v>
      </c>
      <c r="G1242" s="17">
        <f t="shared" ref="G1242:G1246" si="236">E1242*F1242</f>
        <v>45</v>
      </c>
      <c r="H1242" s="240">
        <f>SUM(G1242:G1247)</f>
        <v>280.89999999999998</v>
      </c>
      <c r="I1242" s="240">
        <v>1288</v>
      </c>
      <c r="J1242" s="240">
        <f>I1242-H1242</f>
        <v>1007.1</v>
      </c>
      <c r="K1242" s="241">
        <f>J1242/I1242</f>
        <v>0.78190993788819874</v>
      </c>
      <c r="M1242" s="236"/>
      <c r="N1242" s="244" t="s">
        <v>1181</v>
      </c>
      <c r="O1242" s="15" t="s">
        <v>137</v>
      </c>
      <c r="P1242" s="16">
        <v>3</v>
      </c>
      <c r="Q1242" s="16">
        <v>15</v>
      </c>
      <c r="R1242" s="17">
        <f t="shared" ref="R1242:R1246" si="237">P1242*Q1242</f>
        <v>45</v>
      </c>
      <c r="S1242" s="240">
        <f>SUM(R1242:R1247)</f>
        <v>280.89999999999998</v>
      </c>
      <c r="T1242" s="240">
        <v>1288</v>
      </c>
      <c r="U1242" s="240">
        <f>T1242-S1242</f>
        <v>1007.1</v>
      </c>
      <c r="V1242" s="241">
        <f>U1242/T1242</f>
        <v>0.78190993788819874</v>
      </c>
    </row>
    <row r="1243" spans="2:22" ht="13">
      <c r="B1243" s="236"/>
      <c r="C1243" s="245"/>
      <c r="D1243" s="19" t="s">
        <v>146</v>
      </c>
      <c r="E1243" s="17">
        <v>3</v>
      </c>
      <c r="F1243" s="17">
        <v>15</v>
      </c>
      <c r="G1243" s="17">
        <f t="shared" si="236"/>
        <v>45</v>
      </c>
      <c r="H1243" s="236"/>
      <c r="I1243" s="236"/>
      <c r="J1243" s="236"/>
      <c r="K1243" s="242"/>
      <c r="M1243" s="236"/>
      <c r="N1243" s="245"/>
      <c r="O1243" s="19" t="s">
        <v>146</v>
      </c>
      <c r="P1243" s="17">
        <v>3</v>
      </c>
      <c r="Q1243" s="17">
        <v>15</v>
      </c>
      <c r="R1243" s="17">
        <f t="shared" si="237"/>
        <v>45</v>
      </c>
      <c r="S1243" s="236"/>
      <c r="T1243" s="236"/>
      <c r="U1243" s="236"/>
      <c r="V1243" s="242"/>
    </row>
    <row r="1244" spans="2:22" ht="13">
      <c r="B1244" s="236"/>
      <c r="C1244" s="245"/>
      <c r="D1244" s="19" t="s">
        <v>1182</v>
      </c>
      <c r="E1244" s="17">
        <v>3</v>
      </c>
      <c r="F1244" s="17">
        <v>15</v>
      </c>
      <c r="G1244" s="17">
        <f t="shared" si="236"/>
        <v>45</v>
      </c>
      <c r="H1244" s="236"/>
      <c r="I1244" s="236"/>
      <c r="J1244" s="236"/>
      <c r="K1244" s="242"/>
      <c r="M1244" s="236"/>
      <c r="N1244" s="245"/>
      <c r="O1244" s="19" t="s">
        <v>1182</v>
      </c>
      <c r="P1244" s="17">
        <v>3</v>
      </c>
      <c r="Q1244" s="17">
        <v>15</v>
      </c>
      <c r="R1244" s="17">
        <f t="shared" si="237"/>
        <v>45</v>
      </c>
      <c r="S1244" s="236"/>
      <c r="T1244" s="236"/>
      <c r="U1244" s="236"/>
      <c r="V1244" s="242"/>
    </row>
    <row r="1245" spans="2:22" ht="13">
      <c r="B1245" s="236"/>
      <c r="C1245" s="245"/>
      <c r="D1245" s="19" t="s">
        <v>1183</v>
      </c>
      <c r="E1245" s="17">
        <v>6</v>
      </c>
      <c r="F1245" s="17">
        <v>15</v>
      </c>
      <c r="G1245" s="17">
        <f t="shared" si="236"/>
        <v>90</v>
      </c>
      <c r="H1245" s="236"/>
      <c r="I1245" s="236"/>
      <c r="J1245" s="236"/>
      <c r="K1245" s="242"/>
      <c r="M1245" s="236"/>
      <c r="N1245" s="245"/>
      <c r="O1245" s="19" t="s">
        <v>1183</v>
      </c>
      <c r="P1245" s="17">
        <v>6</v>
      </c>
      <c r="Q1245" s="17">
        <v>15</v>
      </c>
      <c r="R1245" s="17">
        <f t="shared" si="237"/>
        <v>90</v>
      </c>
      <c r="S1245" s="236"/>
      <c r="T1245" s="236"/>
      <c r="U1245" s="236"/>
      <c r="V1245" s="242"/>
    </row>
    <row r="1246" spans="2:22" ht="13">
      <c r="B1246" s="236"/>
      <c r="C1246" s="245"/>
      <c r="D1246" s="19" t="s">
        <v>1184</v>
      </c>
      <c r="E1246" s="17">
        <v>4.3</v>
      </c>
      <c r="F1246" s="17">
        <v>13</v>
      </c>
      <c r="G1246" s="17">
        <f t="shared" si="236"/>
        <v>55.9</v>
      </c>
      <c r="H1246" s="236"/>
      <c r="I1246" s="236"/>
      <c r="J1246" s="236"/>
      <c r="K1246" s="242"/>
      <c r="M1246" s="236"/>
      <c r="N1246" s="245"/>
      <c r="O1246" s="19" t="s">
        <v>1184</v>
      </c>
      <c r="P1246" s="17">
        <v>4.3</v>
      </c>
      <c r="Q1246" s="17">
        <v>13</v>
      </c>
      <c r="R1246" s="17">
        <f t="shared" si="237"/>
        <v>55.9</v>
      </c>
      <c r="S1246" s="236"/>
      <c r="T1246" s="236"/>
      <c r="U1246" s="236"/>
      <c r="V1246" s="242"/>
    </row>
    <row r="1247" spans="2:22" ht="13">
      <c r="B1247" s="236"/>
      <c r="C1247" s="246"/>
      <c r="D1247" s="44"/>
      <c r="E1247" s="21"/>
      <c r="F1247" s="21"/>
      <c r="G1247" s="21"/>
      <c r="H1247" s="238"/>
      <c r="I1247" s="238"/>
      <c r="J1247" s="238"/>
      <c r="K1247" s="243"/>
      <c r="M1247" s="236"/>
      <c r="N1247" s="246"/>
      <c r="O1247" s="44"/>
      <c r="P1247" s="21"/>
      <c r="Q1247" s="21"/>
      <c r="R1247" s="21"/>
      <c r="S1247" s="238"/>
      <c r="T1247" s="238"/>
      <c r="U1247" s="238"/>
      <c r="V1247" s="243"/>
    </row>
    <row r="1248" spans="2:22" ht="13">
      <c r="B1248" s="236"/>
      <c r="C1248" s="244" t="s">
        <v>1185</v>
      </c>
      <c r="D1248" s="15" t="s">
        <v>114</v>
      </c>
      <c r="E1248" s="16">
        <v>14</v>
      </c>
      <c r="F1248" s="17">
        <v>18</v>
      </c>
      <c r="G1248" s="17">
        <f>E1248*F1248</f>
        <v>252</v>
      </c>
      <c r="H1248" s="240">
        <f>SUM(G1248:G1252)</f>
        <v>494.71999999999997</v>
      </c>
      <c r="I1248" s="240">
        <v>2116.8000000000002</v>
      </c>
      <c r="J1248" s="240">
        <f>I1248-H1248</f>
        <v>1622.0800000000002</v>
      </c>
      <c r="K1248" s="241">
        <f>J1248/I1248</f>
        <v>0.7662887377173091</v>
      </c>
      <c r="M1248" s="236"/>
      <c r="N1248" s="244" t="s">
        <v>1185</v>
      </c>
      <c r="O1248" s="15" t="s">
        <v>114</v>
      </c>
      <c r="P1248" s="18"/>
      <c r="Q1248" s="18"/>
      <c r="R1248" s="18"/>
      <c r="S1248" s="240">
        <f>SUM(R1248:R1252)</f>
        <v>242.71999999999997</v>
      </c>
      <c r="T1248" s="240">
        <v>2116.8000000000002</v>
      </c>
      <c r="U1248" s="240">
        <f>T1248-S1248</f>
        <v>1874.0800000000002</v>
      </c>
      <c r="V1248" s="241">
        <f>U1248/T1248</f>
        <v>0.88533635676492817</v>
      </c>
    </row>
    <row r="1249" spans="2:22" ht="13">
      <c r="B1249" s="236"/>
      <c r="C1249" s="245"/>
      <c r="D1249" s="24" t="s">
        <v>162</v>
      </c>
      <c r="E1249" s="17"/>
      <c r="F1249" s="17"/>
      <c r="G1249" s="17">
        <v>61</v>
      </c>
      <c r="H1249" s="236"/>
      <c r="I1249" s="236"/>
      <c r="J1249" s="236"/>
      <c r="K1249" s="242"/>
      <c r="M1249" s="236"/>
      <c r="N1249" s="245"/>
      <c r="O1249" s="24" t="s">
        <v>162</v>
      </c>
      <c r="P1249" s="17"/>
      <c r="Q1249" s="17"/>
      <c r="R1249" s="17">
        <v>61</v>
      </c>
      <c r="S1249" s="236"/>
      <c r="T1249" s="236"/>
      <c r="U1249" s="236"/>
      <c r="V1249" s="242"/>
    </row>
    <row r="1250" spans="2:22" ht="13">
      <c r="B1250" s="236"/>
      <c r="C1250" s="245"/>
      <c r="D1250" s="24" t="s">
        <v>1186</v>
      </c>
      <c r="E1250" s="17"/>
      <c r="F1250" s="17"/>
      <c r="G1250" s="17">
        <v>78.52</v>
      </c>
      <c r="H1250" s="236"/>
      <c r="I1250" s="236"/>
      <c r="J1250" s="236"/>
      <c r="K1250" s="242"/>
      <c r="M1250" s="236"/>
      <c r="N1250" s="245"/>
      <c r="O1250" s="24" t="s">
        <v>1186</v>
      </c>
      <c r="P1250" s="17"/>
      <c r="Q1250" s="17"/>
      <c r="R1250" s="17">
        <v>78.52</v>
      </c>
      <c r="S1250" s="236"/>
      <c r="T1250" s="236"/>
      <c r="U1250" s="236"/>
      <c r="V1250" s="242"/>
    </row>
    <row r="1251" spans="2:22" ht="13">
      <c r="B1251" s="236"/>
      <c r="C1251" s="245"/>
      <c r="D1251" s="24" t="s">
        <v>212</v>
      </c>
      <c r="E1251" s="17"/>
      <c r="F1251" s="17"/>
      <c r="G1251" s="17">
        <v>33.200000000000003</v>
      </c>
      <c r="H1251" s="236"/>
      <c r="I1251" s="236"/>
      <c r="J1251" s="236"/>
      <c r="K1251" s="242"/>
      <c r="M1251" s="236"/>
      <c r="N1251" s="245"/>
      <c r="O1251" s="24" t="s">
        <v>212</v>
      </c>
      <c r="P1251" s="17"/>
      <c r="Q1251" s="17"/>
      <c r="R1251" s="17">
        <v>33.200000000000003</v>
      </c>
      <c r="S1251" s="236"/>
      <c r="T1251" s="236"/>
      <c r="U1251" s="236"/>
      <c r="V1251" s="242"/>
    </row>
    <row r="1252" spans="2:22" ht="13">
      <c r="B1252" s="236"/>
      <c r="C1252" s="246"/>
      <c r="D1252" s="44" t="s">
        <v>1113</v>
      </c>
      <c r="E1252" s="21"/>
      <c r="F1252" s="21"/>
      <c r="G1252" s="21">
        <v>70</v>
      </c>
      <c r="H1252" s="238"/>
      <c r="I1252" s="238"/>
      <c r="J1252" s="238"/>
      <c r="K1252" s="243"/>
      <c r="M1252" s="236"/>
      <c r="N1252" s="246"/>
      <c r="O1252" s="44" t="s">
        <v>1113</v>
      </c>
      <c r="P1252" s="21"/>
      <c r="Q1252" s="21"/>
      <c r="R1252" s="21">
        <v>70</v>
      </c>
      <c r="S1252" s="238"/>
      <c r="T1252" s="238"/>
      <c r="U1252" s="238"/>
      <c r="V1252" s="243"/>
    </row>
    <row r="1253" spans="2:22" ht="13">
      <c r="B1253" s="236"/>
      <c r="C1253" s="244" t="s">
        <v>1187</v>
      </c>
      <c r="D1253" s="15" t="s">
        <v>114</v>
      </c>
      <c r="E1253" s="16">
        <v>7</v>
      </c>
      <c r="F1253" s="17">
        <v>18</v>
      </c>
      <c r="G1253" s="17">
        <f>E1253*F1253</f>
        <v>126</v>
      </c>
      <c r="H1253" s="240">
        <f>SUM(G1253:G1257)</f>
        <v>316.05</v>
      </c>
      <c r="I1253" s="240">
        <v>2279.5</v>
      </c>
      <c r="J1253" s="240">
        <f>I1253-H1253</f>
        <v>1963.45</v>
      </c>
      <c r="K1253" s="241">
        <f>J1253/I1253</f>
        <v>0.8613511735029612</v>
      </c>
      <c r="M1253" s="236"/>
      <c r="N1253" s="244" t="s">
        <v>1187</v>
      </c>
      <c r="O1253" s="15" t="s">
        <v>114</v>
      </c>
      <c r="P1253" s="18"/>
      <c r="Q1253" s="18"/>
      <c r="R1253" s="18"/>
      <c r="S1253" s="240">
        <f>SUM(R1253:R1257)</f>
        <v>190.05</v>
      </c>
      <c r="T1253" s="240">
        <v>2279.5</v>
      </c>
      <c r="U1253" s="240">
        <f>T1253-S1253</f>
        <v>2089.4499999999998</v>
      </c>
      <c r="V1253" s="241">
        <f>U1253/T1253</f>
        <v>0.9166264531695546</v>
      </c>
    </row>
    <row r="1254" spans="2:22" ht="13">
      <c r="B1254" s="236"/>
      <c r="C1254" s="245"/>
      <c r="D1254" s="24" t="s">
        <v>162</v>
      </c>
      <c r="E1254" s="17"/>
      <c r="F1254" s="17"/>
      <c r="G1254" s="17">
        <v>55</v>
      </c>
      <c r="H1254" s="236"/>
      <c r="I1254" s="236"/>
      <c r="J1254" s="236"/>
      <c r="K1254" s="242"/>
      <c r="M1254" s="236"/>
      <c r="N1254" s="245"/>
      <c r="O1254" s="24" t="s">
        <v>162</v>
      </c>
      <c r="P1254" s="17"/>
      <c r="Q1254" s="17"/>
      <c r="R1254" s="17">
        <v>55</v>
      </c>
      <c r="S1254" s="236"/>
      <c r="T1254" s="236"/>
      <c r="U1254" s="236"/>
      <c r="V1254" s="242"/>
    </row>
    <row r="1255" spans="2:22" ht="13">
      <c r="B1255" s="236"/>
      <c r="C1255" s="245"/>
      <c r="D1255" s="24" t="s">
        <v>44</v>
      </c>
      <c r="E1255" s="17"/>
      <c r="F1255" s="17"/>
      <c r="G1255" s="17">
        <v>24.6</v>
      </c>
      <c r="H1255" s="236"/>
      <c r="I1255" s="236"/>
      <c r="J1255" s="236"/>
      <c r="K1255" s="242"/>
      <c r="M1255" s="236"/>
      <c r="N1255" s="245"/>
      <c r="O1255" s="24" t="s">
        <v>44</v>
      </c>
      <c r="P1255" s="17"/>
      <c r="Q1255" s="17"/>
      <c r="R1255" s="17">
        <v>24.6</v>
      </c>
      <c r="S1255" s="236"/>
      <c r="T1255" s="236"/>
      <c r="U1255" s="236"/>
      <c r="V1255" s="242"/>
    </row>
    <row r="1256" spans="2:22" ht="13">
      <c r="B1256" s="236"/>
      <c r="C1256" s="245"/>
      <c r="D1256" s="24" t="s">
        <v>1113</v>
      </c>
      <c r="E1256" s="17"/>
      <c r="F1256" s="17"/>
      <c r="G1256" s="17">
        <v>35</v>
      </c>
      <c r="H1256" s="236"/>
      <c r="I1256" s="236"/>
      <c r="J1256" s="236"/>
      <c r="K1256" s="242"/>
      <c r="M1256" s="236"/>
      <c r="N1256" s="245"/>
      <c r="O1256" s="24" t="s">
        <v>1113</v>
      </c>
      <c r="P1256" s="17"/>
      <c r="Q1256" s="17"/>
      <c r="R1256" s="17">
        <v>35</v>
      </c>
      <c r="S1256" s="236"/>
      <c r="T1256" s="236"/>
      <c r="U1256" s="236"/>
      <c r="V1256" s="242"/>
    </row>
    <row r="1257" spans="2:22" ht="13">
      <c r="B1257" s="236"/>
      <c r="C1257" s="246"/>
      <c r="D1257" s="44" t="s">
        <v>33</v>
      </c>
      <c r="E1257" s="21"/>
      <c r="F1257" s="21"/>
      <c r="G1257" s="21">
        <v>75.45</v>
      </c>
      <c r="H1257" s="238"/>
      <c r="I1257" s="238"/>
      <c r="J1257" s="238"/>
      <c r="K1257" s="243"/>
      <c r="M1257" s="236"/>
      <c r="N1257" s="246"/>
      <c r="O1257" s="44" t="s">
        <v>33</v>
      </c>
      <c r="P1257" s="21"/>
      <c r="Q1257" s="21"/>
      <c r="R1257" s="21">
        <v>75.45</v>
      </c>
      <c r="S1257" s="238"/>
      <c r="T1257" s="238"/>
      <c r="U1257" s="238"/>
      <c r="V1257" s="243"/>
    </row>
    <row r="1258" spans="2:22" ht="13">
      <c r="B1258" s="236"/>
      <c r="C1258" s="244" t="s">
        <v>1188</v>
      </c>
      <c r="D1258" s="15" t="s">
        <v>147</v>
      </c>
      <c r="E1258" s="16">
        <v>15</v>
      </c>
      <c r="F1258" s="17">
        <v>15</v>
      </c>
      <c r="G1258" s="17">
        <f t="shared" ref="G1258:G1259" si="238">E1258*F1258</f>
        <v>225</v>
      </c>
      <c r="H1258" s="240">
        <f>SUM(G1258:G1264)</f>
        <v>779.87</v>
      </c>
      <c r="I1258" s="240">
        <v>3292.8</v>
      </c>
      <c r="J1258" s="240">
        <f>I1258-H1258</f>
        <v>2512.9300000000003</v>
      </c>
      <c r="K1258" s="241">
        <f>J1258/I1258</f>
        <v>0.76315901360544225</v>
      </c>
      <c r="M1258" s="236"/>
      <c r="N1258" s="244" t="s">
        <v>1188</v>
      </c>
      <c r="O1258" s="15" t="s">
        <v>147</v>
      </c>
      <c r="P1258" s="16">
        <v>15</v>
      </c>
      <c r="Q1258" s="17">
        <v>15</v>
      </c>
      <c r="R1258" s="17">
        <f t="shared" ref="R1258:R1259" si="239">P1258*Q1258</f>
        <v>225</v>
      </c>
      <c r="S1258" s="240">
        <f>SUM(R1258:R1264)</f>
        <v>779.87</v>
      </c>
      <c r="T1258" s="240">
        <v>3292.8</v>
      </c>
      <c r="U1258" s="240">
        <f>T1258-S1258</f>
        <v>2512.9300000000003</v>
      </c>
      <c r="V1258" s="241">
        <f>U1258/T1258</f>
        <v>0.76315901360544225</v>
      </c>
    </row>
    <row r="1259" spans="2:22" ht="13">
      <c r="B1259" s="236"/>
      <c r="C1259" s="245"/>
      <c r="D1259" s="24" t="s">
        <v>146</v>
      </c>
      <c r="E1259" s="17">
        <v>9</v>
      </c>
      <c r="F1259" s="17">
        <v>15</v>
      </c>
      <c r="G1259" s="17">
        <f t="shared" si="238"/>
        <v>135</v>
      </c>
      <c r="H1259" s="236"/>
      <c r="I1259" s="236"/>
      <c r="J1259" s="236"/>
      <c r="K1259" s="242"/>
      <c r="M1259" s="236"/>
      <c r="N1259" s="245"/>
      <c r="O1259" s="24" t="s">
        <v>146</v>
      </c>
      <c r="P1259" s="17">
        <v>9</v>
      </c>
      <c r="Q1259" s="17">
        <v>15</v>
      </c>
      <c r="R1259" s="17">
        <f t="shared" si="239"/>
        <v>135</v>
      </c>
      <c r="S1259" s="236"/>
      <c r="T1259" s="236"/>
      <c r="U1259" s="236"/>
      <c r="V1259" s="242"/>
    </row>
    <row r="1260" spans="2:22" ht="13">
      <c r="B1260" s="236"/>
      <c r="C1260" s="245"/>
      <c r="D1260" s="24" t="s">
        <v>1189</v>
      </c>
      <c r="E1260" s="17"/>
      <c r="F1260" s="17"/>
      <c r="G1260" s="17">
        <v>25.4</v>
      </c>
      <c r="H1260" s="236"/>
      <c r="I1260" s="236"/>
      <c r="J1260" s="236"/>
      <c r="K1260" s="242"/>
      <c r="M1260" s="236"/>
      <c r="N1260" s="245"/>
      <c r="O1260" s="24" t="s">
        <v>1189</v>
      </c>
      <c r="P1260" s="17"/>
      <c r="Q1260" s="17"/>
      <c r="R1260" s="17">
        <v>25.4</v>
      </c>
      <c r="S1260" s="236"/>
      <c r="T1260" s="236"/>
      <c r="U1260" s="236"/>
      <c r="V1260" s="242"/>
    </row>
    <row r="1261" spans="2:22" ht="13">
      <c r="B1261" s="236"/>
      <c r="C1261" s="245"/>
      <c r="D1261" s="24" t="s">
        <v>1190</v>
      </c>
      <c r="E1261" s="17"/>
      <c r="F1261" s="17"/>
      <c r="G1261" s="17">
        <v>32.770000000000003</v>
      </c>
      <c r="H1261" s="236"/>
      <c r="I1261" s="236"/>
      <c r="J1261" s="236"/>
      <c r="K1261" s="242"/>
      <c r="M1261" s="236"/>
      <c r="N1261" s="245"/>
      <c r="O1261" s="24" t="s">
        <v>1190</v>
      </c>
      <c r="P1261" s="17"/>
      <c r="Q1261" s="17"/>
      <c r="R1261" s="17">
        <v>32.770000000000003</v>
      </c>
      <c r="S1261" s="236"/>
      <c r="T1261" s="236"/>
      <c r="U1261" s="236"/>
      <c r="V1261" s="242"/>
    </row>
    <row r="1262" spans="2:22" ht="13">
      <c r="B1262" s="236"/>
      <c r="C1262" s="245"/>
      <c r="D1262" s="24" t="s">
        <v>1191</v>
      </c>
      <c r="E1262" s="17"/>
      <c r="F1262" s="17"/>
      <c r="G1262" s="17">
        <v>45.31</v>
      </c>
      <c r="H1262" s="236"/>
      <c r="I1262" s="236"/>
      <c r="J1262" s="236"/>
      <c r="K1262" s="242"/>
      <c r="M1262" s="236"/>
      <c r="N1262" s="245"/>
      <c r="O1262" s="24" t="s">
        <v>1191</v>
      </c>
      <c r="P1262" s="17"/>
      <c r="Q1262" s="17"/>
      <c r="R1262" s="17">
        <v>45.31</v>
      </c>
      <c r="S1262" s="236"/>
      <c r="T1262" s="236"/>
      <c r="U1262" s="236"/>
      <c r="V1262" s="242"/>
    </row>
    <row r="1263" spans="2:22" ht="13">
      <c r="B1263" s="236"/>
      <c r="C1263" s="245"/>
      <c r="D1263" s="24" t="s">
        <v>1192</v>
      </c>
      <c r="E1263" s="17"/>
      <c r="F1263" s="17"/>
      <c r="G1263" s="17">
        <v>67</v>
      </c>
      <c r="H1263" s="236"/>
      <c r="I1263" s="236"/>
      <c r="J1263" s="236"/>
      <c r="K1263" s="242"/>
      <c r="M1263" s="236"/>
      <c r="N1263" s="245"/>
      <c r="O1263" s="24" t="s">
        <v>1192</v>
      </c>
      <c r="P1263" s="17"/>
      <c r="Q1263" s="17"/>
      <c r="R1263" s="17">
        <v>67</v>
      </c>
      <c r="S1263" s="236"/>
      <c r="T1263" s="236"/>
      <c r="U1263" s="236"/>
      <c r="V1263" s="242"/>
    </row>
    <row r="1264" spans="2:22" ht="13">
      <c r="B1264" s="236"/>
      <c r="C1264" s="246"/>
      <c r="D1264" s="44" t="s">
        <v>33</v>
      </c>
      <c r="E1264" s="21"/>
      <c r="F1264" s="21"/>
      <c r="G1264" s="21">
        <v>249.39</v>
      </c>
      <c r="H1264" s="238"/>
      <c r="I1264" s="238"/>
      <c r="J1264" s="238"/>
      <c r="K1264" s="243"/>
      <c r="M1264" s="236"/>
      <c r="N1264" s="246"/>
      <c r="O1264" s="44" t="s">
        <v>33</v>
      </c>
      <c r="P1264" s="21"/>
      <c r="Q1264" s="21"/>
      <c r="R1264" s="21">
        <v>249.39</v>
      </c>
      <c r="S1264" s="238"/>
      <c r="T1264" s="238"/>
      <c r="U1264" s="238"/>
      <c r="V1264" s="243"/>
    </row>
    <row r="1265" spans="2:22" ht="13">
      <c r="B1265" s="236"/>
      <c r="C1265" s="244" t="s">
        <v>1193</v>
      </c>
      <c r="D1265" s="15" t="s">
        <v>23</v>
      </c>
      <c r="E1265" s="16">
        <v>21</v>
      </c>
      <c r="F1265" s="17">
        <v>16</v>
      </c>
      <c r="G1265" s="17">
        <f t="shared" ref="G1265:G1268" si="240">E1265*F1265</f>
        <v>336</v>
      </c>
      <c r="H1265" s="240">
        <f>SUM(G1265:G1273)</f>
        <v>1553.8700000000001</v>
      </c>
      <c r="I1265" s="237">
        <v>3147.2</v>
      </c>
      <c r="J1265" s="237">
        <f>I1265-H1265</f>
        <v>1593.3299999999997</v>
      </c>
      <c r="K1265" s="241">
        <f>J1265/I1265</f>
        <v>0.50626906456532783</v>
      </c>
      <c r="M1265" s="236"/>
      <c r="N1265" s="244" t="s">
        <v>1193</v>
      </c>
      <c r="O1265" s="15" t="s">
        <v>23</v>
      </c>
      <c r="P1265" s="18"/>
      <c r="Q1265" s="18"/>
      <c r="R1265" s="18"/>
      <c r="S1265" s="240">
        <f>SUM(R1265:R1273)</f>
        <v>1217.8700000000001</v>
      </c>
      <c r="T1265" s="237">
        <v>3147.2</v>
      </c>
      <c r="U1265" s="237">
        <f>T1265-S1265</f>
        <v>1929.3299999999997</v>
      </c>
      <c r="V1265" s="241">
        <f>U1265/T1265</f>
        <v>0.61303063040162675</v>
      </c>
    </row>
    <row r="1266" spans="2:22" ht="13">
      <c r="B1266" s="236"/>
      <c r="C1266" s="245"/>
      <c r="D1266" s="24" t="s">
        <v>32</v>
      </c>
      <c r="E1266" s="17">
        <v>11.1</v>
      </c>
      <c r="F1266" s="17">
        <v>17</v>
      </c>
      <c r="G1266" s="17">
        <f t="shared" si="240"/>
        <v>188.7</v>
      </c>
      <c r="H1266" s="236"/>
      <c r="I1266" s="236"/>
      <c r="J1266" s="236"/>
      <c r="K1266" s="242"/>
      <c r="M1266" s="236"/>
      <c r="N1266" s="245"/>
      <c r="O1266" s="24" t="s">
        <v>32</v>
      </c>
      <c r="P1266" s="17">
        <v>11.1</v>
      </c>
      <c r="Q1266" s="17">
        <v>17</v>
      </c>
      <c r="R1266" s="17">
        <f t="shared" ref="R1266:R1268" si="241">P1266*Q1266</f>
        <v>188.7</v>
      </c>
      <c r="S1266" s="236"/>
      <c r="T1266" s="236"/>
      <c r="U1266" s="236"/>
      <c r="V1266" s="242"/>
    </row>
    <row r="1267" spans="2:22" ht="13">
      <c r="B1267" s="236"/>
      <c r="C1267" s="245"/>
      <c r="D1267" s="24" t="s">
        <v>57</v>
      </c>
      <c r="E1267" s="17">
        <v>10.73</v>
      </c>
      <c r="F1267" s="17">
        <v>17</v>
      </c>
      <c r="G1267" s="17">
        <f t="shared" si="240"/>
        <v>182.41</v>
      </c>
      <c r="H1267" s="236"/>
      <c r="I1267" s="236"/>
      <c r="J1267" s="236"/>
      <c r="K1267" s="242"/>
      <c r="M1267" s="236"/>
      <c r="N1267" s="245"/>
      <c r="O1267" s="24" t="s">
        <v>70</v>
      </c>
      <c r="P1267" s="17">
        <v>10.73</v>
      </c>
      <c r="Q1267" s="17">
        <v>17</v>
      </c>
      <c r="R1267" s="17">
        <f t="shared" si="241"/>
        <v>182.41</v>
      </c>
      <c r="S1267" s="236"/>
      <c r="T1267" s="236"/>
      <c r="U1267" s="236"/>
      <c r="V1267" s="242"/>
    </row>
    <row r="1268" spans="2:22" ht="13">
      <c r="B1268" s="236"/>
      <c r="C1268" s="245"/>
      <c r="D1268" s="24" t="s">
        <v>53</v>
      </c>
      <c r="E1268" s="17">
        <v>12.2</v>
      </c>
      <c r="F1268" s="17">
        <v>17</v>
      </c>
      <c r="G1268" s="17">
        <f t="shared" si="240"/>
        <v>207.39999999999998</v>
      </c>
      <c r="H1268" s="236"/>
      <c r="I1268" s="236"/>
      <c r="J1268" s="236"/>
      <c r="K1268" s="242"/>
      <c r="M1268" s="236"/>
      <c r="N1268" s="245"/>
      <c r="O1268" s="24" t="s">
        <v>53</v>
      </c>
      <c r="P1268" s="17">
        <v>12.2</v>
      </c>
      <c r="Q1268" s="17">
        <v>17</v>
      </c>
      <c r="R1268" s="17">
        <f t="shared" si="241"/>
        <v>207.39999999999998</v>
      </c>
      <c r="S1268" s="236"/>
      <c r="T1268" s="236"/>
      <c r="U1268" s="236"/>
      <c r="V1268" s="242"/>
    </row>
    <row r="1269" spans="2:22" ht="13">
      <c r="B1269" s="236"/>
      <c r="C1269" s="245"/>
      <c r="D1269" s="24" t="s">
        <v>1186</v>
      </c>
      <c r="E1269" s="17"/>
      <c r="F1269" s="17"/>
      <c r="G1269" s="17">
        <v>140.28</v>
      </c>
      <c r="H1269" s="236"/>
      <c r="I1269" s="236"/>
      <c r="J1269" s="236"/>
      <c r="K1269" s="242"/>
      <c r="M1269" s="236"/>
      <c r="N1269" s="245"/>
      <c r="O1269" s="24" t="s">
        <v>1186</v>
      </c>
      <c r="P1269" s="17"/>
      <c r="Q1269" s="17"/>
      <c r="R1269" s="17">
        <v>140.28</v>
      </c>
      <c r="S1269" s="236"/>
      <c r="T1269" s="236"/>
      <c r="U1269" s="236"/>
      <c r="V1269" s="242"/>
    </row>
    <row r="1270" spans="2:22" ht="13">
      <c r="B1270" s="236"/>
      <c r="C1270" s="245"/>
      <c r="D1270" s="24" t="s">
        <v>155</v>
      </c>
      <c r="E1270" s="17"/>
      <c r="F1270" s="17"/>
      <c r="G1270" s="17">
        <v>230.27</v>
      </c>
      <c r="H1270" s="236"/>
      <c r="I1270" s="236"/>
      <c r="J1270" s="236"/>
      <c r="K1270" s="242"/>
      <c r="M1270" s="236"/>
      <c r="N1270" s="245"/>
      <c r="O1270" s="24" t="s">
        <v>155</v>
      </c>
      <c r="P1270" s="17"/>
      <c r="Q1270" s="17"/>
      <c r="R1270" s="17">
        <v>230.27</v>
      </c>
      <c r="S1270" s="236"/>
      <c r="T1270" s="236"/>
      <c r="U1270" s="236"/>
      <c r="V1270" s="242"/>
    </row>
    <row r="1271" spans="2:22" ht="13">
      <c r="B1271" s="236"/>
      <c r="C1271" s="245"/>
      <c r="D1271" s="24" t="s">
        <v>1113</v>
      </c>
      <c r="E1271" s="17"/>
      <c r="F1271" s="17"/>
      <c r="G1271" s="17">
        <v>70</v>
      </c>
      <c r="H1271" s="236"/>
      <c r="I1271" s="236"/>
      <c r="J1271" s="236"/>
      <c r="K1271" s="242"/>
      <c r="M1271" s="236"/>
      <c r="N1271" s="245"/>
      <c r="O1271" s="24" t="s">
        <v>1113</v>
      </c>
      <c r="P1271" s="17"/>
      <c r="Q1271" s="17"/>
      <c r="R1271" s="17">
        <v>70</v>
      </c>
      <c r="S1271" s="236"/>
      <c r="T1271" s="236"/>
      <c r="U1271" s="236"/>
      <c r="V1271" s="242"/>
    </row>
    <row r="1272" spans="2:22" ht="13">
      <c r="B1272" s="236"/>
      <c r="C1272" s="245"/>
      <c r="D1272" s="24" t="s">
        <v>162</v>
      </c>
      <c r="E1272" s="17"/>
      <c r="F1272" s="17"/>
      <c r="G1272" s="17">
        <v>136.91</v>
      </c>
      <c r="H1272" s="236"/>
      <c r="I1272" s="236"/>
      <c r="J1272" s="236"/>
      <c r="K1272" s="242"/>
      <c r="M1272" s="236"/>
      <c r="N1272" s="245"/>
      <c r="O1272" s="24" t="s">
        <v>162</v>
      </c>
      <c r="P1272" s="17"/>
      <c r="Q1272" s="17"/>
      <c r="R1272" s="17">
        <v>136.91</v>
      </c>
      <c r="S1272" s="236"/>
      <c r="T1272" s="236"/>
      <c r="U1272" s="236"/>
      <c r="V1272" s="242"/>
    </row>
    <row r="1273" spans="2:22" ht="13">
      <c r="B1273" s="236"/>
      <c r="C1273" s="246"/>
      <c r="D1273" s="44" t="s">
        <v>1194</v>
      </c>
      <c r="E1273" s="21"/>
      <c r="F1273" s="21"/>
      <c r="G1273" s="21">
        <v>61.9</v>
      </c>
      <c r="H1273" s="238"/>
      <c r="I1273" s="238"/>
      <c r="J1273" s="238"/>
      <c r="K1273" s="243"/>
      <c r="M1273" s="236"/>
      <c r="N1273" s="246"/>
      <c r="O1273" s="44" t="s">
        <v>1194</v>
      </c>
      <c r="P1273" s="21"/>
      <c r="Q1273" s="21"/>
      <c r="R1273" s="21">
        <v>61.9</v>
      </c>
      <c r="S1273" s="238"/>
      <c r="T1273" s="238"/>
      <c r="U1273" s="238"/>
      <c r="V1273" s="243"/>
    </row>
    <row r="1274" spans="2:22" ht="13">
      <c r="B1274" s="236"/>
      <c r="C1274" s="244" t="s">
        <v>1195</v>
      </c>
      <c r="D1274" s="15" t="s">
        <v>114</v>
      </c>
      <c r="E1274" s="16">
        <v>21</v>
      </c>
      <c r="F1274" s="17">
        <v>18</v>
      </c>
      <c r="G1274" s="17">
        <f t="shared" ref="G1274:G1277" si="242">E1274*F1274</f>
        <v>378</v>
      </c>
      <c r="H1274" s="240">
        <f>SUM(G1274:G1283)</f>
        <v>1325.56</v>
      </c>
      <c r="I1274" s="237">
        <v>3642.5</v>
      </c>
      <c r="J1274" s="237">
        <f>I1274-H1274</f>
        <v>2316.94</v>
      </c>
      <c r="K1274" s="241">
        <f>J1274/I1274</f>
        <v>0.63608510638297877</v>
      </c>
      <c r="M1274" s="236"/>
      <c r="N1274" s="244" t="s">
        <v>1195</v>
      </c>
      <c r="O1274" s="15" t="s">
        <v>114</v>
      </c>
      <c r="P1274" s="18"/>
      <c r="Q1274" s="18"/>
      <c r="R1274" s="18"/>
      <c r="S1274" s="240">
        <f>SUM(R1274:R1283)</f>
        <v>947.56</v>
      </c>
      <c r="T1274" s="237">
        <v>3642.5</v>
      </c>
      <c r="U1274" s="237">
        <f>T1274-S1274</f>
        <v>2694.94</v>
      </c>
      <c r="V1274" s="241">
        <f>U1274/T1274</f>
        <v>0.73985998627316407</v>
      </c>
    </row>
    <row r="1275" spans="2:22" ht="13">
      <c r="B1275" s="236"/>
      <c r="C1275" s="245"/>
      <c r="D1275" s="24" t="s">
        <v>586</v>
      </c>
      <c r="E1275" s="17">
        <v>10.58</v>
      </c>
      <c r="F1275" s="17">
        <v>17</v>
      </c>
      <c r="G1275" s="17">
        <f t="shared" si="242"/>
        <v>179.86</v>
      </c>
      <c r="H1275" s="236"/>
      <c r="I1275" s="236"/>
      <c r="J1275" s="236"/>
      <c r="K1275" s="242"/>
      <c r="M1275" s="236"/>
      <c r="N1275" s="245"/>
      <c r="O1275" s="24" t="s">
        <v>586</v>
      </c>
      <c r="P1275" s="17">
        <v>10.58</v>
      </c>
      <c r="Q1275" s="17">
        <v>17</v>
      </c>
      <c r="R1275" s="17">
        <f t="shared" ref="R1275:R1277" si="243">P1275*Q1275</f>
        <v>179.86</v>
      </c>
      <c r="S1275" s="236"/>
      <c r="T1275" s="236"/>
      <c r="U1275" s="236"/>
      <c r="V1275" s="242"/>
    </row>
    <row r="1276" spans="2:22" ht="13">
      <c r="B1276" s="236"/>
      <c r="C1276" s="245"/>
      <c r="D1276" s="24" t="s">
        <v>1196</v>
      </c>
      <c r="E1276" s="17">
        <v>9.75</v>
      </c>
      <c r="F1276" s="17">
        <v>17</v>
      </c>
      <c r="G1276" s="17">
        <f t="shared" si="242"/>
        <v>165.75</v>
      </c>
      <c r="H1276" s="236"/>
      <c r="I1276" s="236"/>
      <c r="J1276" s="236"/>
      <c r="K1276" s="242"/>
      <c r="M1276" s="236"/>
      <c r="N1276" s="245"/>
      <c r="O1276" s="24" t="s">
        <v>1196</v>
      </c>
      <c r="P1276" s="17">
        <v>9.75</v>
      </c>
      <c r="Q1276" s="17">
        <v>17</v>
      </c>
      <c r="R1276" s="17">
        <f t="shared" si="243"/>
        <v>165.75</v>
      </c>
      <c r="S1276" s="236"/>
      <c r="T1276" s="236"/>
      <c r="U1276" s="236"/>
      <c r="V1276" s="242"/>
    </row>
    <row r="1277" spans="2:22" ht="13">
      <c r="B1277" s="236"/>
      <c r="C1277" s="245"/>
      <c r="D1277" s="24" t="s">
        <v>1197</v>
      </c>
      <c r="E1277" s="17">
        <v>4</v>
      </c>
      <c r="F1277" s="17">
        <v>17</v>
      </c>
      <c r="G1277" s="17">
        <f t="shared" si="242"/>
        <v>68</v>
      </c>
      <c r="H1277" s="236"/>
      <c r="I1277" s="236"/>
      <c r="J1277" s="236"/>
      <c r="K1277" s="242"/>
      <c r="M1277" s="236"/>
      <c r="N1277" s="245"/>
      <c r="O1277" s="24" t="s">
        <v>1197</v>
      </c>
      <c r="P1277" s="17">
        <v>4</v>
      </c>
      <c r="Q1277" s="17">
        <v>17</v>
      </c>
      <c r="R1277" s="17">
        <f t="shared" si="243"/>
        <v>68</v>
      </c>
      <c r="S1277" s="236"/>
      <c r="T1277" s="236"/>
      <c r="U1277" s="236"/>
      <c r="V1277" s="242"/>
    </row>
    <row r="1278" spans="2:22" ht="13">
      <c r="B1278" s="236"/>
      <c r="C1278" s="245"/>
      <c r="D1278" s="24" t="s">
        <v>1186</v>
      </c>
      <c r="E1278" s="17"/>
      <c r="F1278" s="17"/>
      <c r="G1278" s="17">
        <v>212.95</v>
      </c>
      <c r="H1278" s="236"/>
      <c r="I1278" s="236"/>
      <c r="J1278" s="236"/>
      <c r="K1278" s="242"/>
      <c r="M1278" s="236"/>
      <c r="N1278" s="245"/>
      <c r="O1278" s="24" t="s">
        <v>1186</v>
      </c>
      <c r="P1278" s="17"/>
      <c r="Q1278" s="17"/>
      <c r="R1278" s="17">
        <v>212.95</v>
      </c>
      <c r="S1278" s="236"/>
      <c r="T1278" s="236"/>
      <c r="U1278" s="236"/>
      <c r="V1278" s="242"/>
    </row>
    <row r="1279" spans="2:22" ht="13">
      <c r="B1279" s="236"/>
      <c r="C1279" s="245"/>
      <c r="D1279" s="24" t="s">
        <v>212</v>
      </c>
      <c r="E1279" s="17"/>
      <c r="F1279" s="17"/>
      <c r="G1279" s="17" t="s">
        <v>1198</v>
      </c>
      <c r="H1279" s="236"/>
      <c r="I1279" s="236"/>
      <c r="J1279" s="236"/>
      <c r="K1279" s="242"/>
      <c r="M1279" s="236"/>
      <c r="N1279" s="245"/>
      <c r="O1279" s="24" t="s">
        <v>212</v>
      </c>
      <c r="P1279" s="17"/>
      <c r="Q1279" s="17"/>
      <c r="R1279" s="17" t="s">
        <v>1198</v>
      </c>
      <c r="S1279" s="236"/>
      <c r="T1279" s="236"/>
      <c r="U1279" s="236"/>
      <c r="V1279" s="242"/>
    </row>
    <row r="1280" spans="2:22" ht="13">
      <c r="B1280" s="236"/>
      <c r="C1280" s="245"/>
      <c r="D1280" s="24" t="s">
        <v>1113</v>
      </c>
      <c r="E1280" s="17"/>
      <c r="F1280" s="17"/>
      <c r="G1280" s="17">
        <v>120</v>
      </c>
      <c r="H1280" s="236"/>
      <c r="I1280" s="236"/>
      <c r="J1280" s="236"/>
      <c r="K1280" s="242"/>
      <c r="M1280" s="236"/>
      <c r="N1280" s="245"/>
      <c r="O1280" s="24" t="s">
        <v>1113</v>
      </c>
      <c r="P1280" s="17"/>
      <c r="Q1280" s="17"/>
      <c r="R1280" s="17">
        <v>120</v>
      </c>
      <c r="S1280" s="236"/>
      <c r="T1280" s="236"/>
      <c r="U1280" s="236"/>
      <c r="V1280" s="242"/>
    </row>
    <row r="1281" spans="2:22" ht="13">
      <c r="B1281" s="236"/>
      <c r="C1281" s="245"/>
      <c r="D1281" s="24" t="s">
        <v>1199</v>
      </c>
      <c r="E1281" s="17"/>
      <c r="F1281" s="17"/>
      <c r="G1281" s="17">
        <v>40</v>
      </c>
      <c r="H1281" s="236"/>
      <c r="I1281" s="236"/>
      <c r="J1281" s="236"/>
      <c r="K1281" s="242"/>
      <c r="M1281" s="236"/>
      <c r="N1281" s="245"/>
      <c r="O1281" s="24" t="s">
        <v>1199</v>
      </c>
      <c r="P1281" s="17"/>
      <c r="Q1281" s="17"/>
      <c r="R1281" s="17">
        <v>40</v>
      </c>
      <c r="S1281" s="236"/>
      <c r="T1281" s="236"/>
      <c r="U1281" s="236"/>
      <c r="V1281" s="242"/>
    </row>
    <row r="1282" spans="2:22" ht="13">
      <c r="B1282" s="236"/>
      <c r="C1282" s="245"/>
      <c r="D1282" s="24" t="s">
        <v>162</v>
      </c>
      <c r="E1282" s="17"/>
      <c r="F1282" s="17"/>
      <c r="G1282" s="17">
        <v>102</v>
      </c>
      <c r="H1282" s="236"/>
      <c r="I1282" s="236"/>
      <c r="J1282" s="236"/>
      <c r="K1282" s="242"/>
      <c r="M1282" s="236"/>
      <c r="N1282" s="245"/>
      <c r="O1282" s="24" t="s">
        <v>162</v>
      </c>
      <c r="P1282" s="17"/>
      <c r="Q1282" s="17"/>
      <c r="R1282" s="17">
        <v>102</v>
      </c>
      <c r="S1282" s="236"/>
      <c r="T1282" s="236"/>
      <c r="U1282" s="236"/>
      <c r="V1282" s="242"/>
    </row>
    <row r="1283" spans="2:22" ht="13">
      <c r="B1283" s="236"/>
      <c r="C1283" s="246"/>
      <c r="D1283" s="44" t="s">
        <v>1200</v>
      </c>
      <c r="E1283" s="21"/>
      <c r="F1283" s="21"/>
      <c r="G1283" s="21">
        <v>59</v>
      </c>
      <c r="H1283" s="238"/>
      <c r="I1283" s="238"/>
      <c r="J1283" s="238"/>
      <c r="K1283" s="243"/>
      <c r="M1283" s="236"/>
      <c r="N1283" s="246"/>
      <c r="O1283" s="44" t="s">
        <v>1200</v>
      </c>
      <c r="P1283" s="21"/>
      <c r="Q1283" s="21"/>
      <c r="R1283" s="21">
        <v>59</v>
      </c>
      <c r="S1283" s="238"/>
      <c r="T1283" s="238"/>
      <c r="U1283" s="238"/>
      <c r="V1283" s="243"/>
    </row>
    <row r="1284" spans="2:22" ht="13">
      <c r="B1284" s="236"/>
      <c r="C1284" s="244" t="s">
        <v>1201</v>
      </c>
      <c r="D1284" s="15" t="s">
        <v>23</v>
      </c>
      <c r="E1284" s="16">
        <v>14</v>
      </c>
      <c r="F1284" s="17">
        <v>16</v>
      </c>
      <c r="G1284" s="17">
        <f>E1284*F1284</f>
        <v>224</v>
      </c>
      <c r="H1284" s="240">
        <f>SUM(G1284:G1289)</f>
        <v>1080.45</v>
      </c>
      <c r="I1284" s="237">
        <v>2898</v>
      </c>
      <c r="J1284" s="237">
        <f>I1284-H1284</f>
        <v>1817.55</v>
      </c>
      <c r="K1284" s="241">
        <f>J1284/I1284</f>
        <v>0.62717391304347825</v>
      </c>
      <c r="M1284" s="236"/>
      <c r="N1284" s="244" t="s">
        <v>1201</v>
      </c>
      <c r="O1284" s="15" t="s">
        <v>23</v>
      </c>
      <c r="P1284" s="18"/>
      <c r="Q1284" s="18"/>
      <c r="R1284" s="18"/>
      <c r="S1284" s="240">
        <f>SUM(R1284:R1289)</f>
        <v>856.45</v>
      </c>
      <c r="T1284" s="237">
        <v>2898</v>
      </c>
      <c r="U1284" s="237">
        <f>T1284-S1284</f>
        <v>2041.55</v>
      </c>
      <c r="V1284" s="241">
        <f>U1284/T1284</f>
        <v>0.70446859903381642</v>
      </c>
    </row>
    <row r="1285" spans="2:22" ht="13">
      <c r="B1285" s="236"/>
      <c r="C1285" s="245"/>
      <c r="D1285" s="24" t="s">
        <v>1186</v>
      </c>
      <c r="E1285" s="17"/>
      <c r="F1285" s="17"/>
      <c r="G1285" s="17">
        <v>64.099999999999994</v>
      </c>
      <c r="H1285" s="236"/>
      <c r="I1285" s="236"/>
      <c r="J1285" s="236"/>
      <c r="K1285" s="242"/>
      <c r="M1285" s="236"/>
      <c r="N1285" s="245"/>
      <c r="O1285" s="24" t="s">
        <v>1186</v>
      </c>
      <c r="P1285" s="17"/>
      <c r="Q1285" s="17"/>
      <c r="R1285" s="17">
        <v>64.099999999999994</v>
      </c>
      <c r="S1285" s="236"/>
      <c r="T1285" s="236"/>
      <c r="U1285" s="236"/>
      <c r="V1285" s="242"/>
    </row>
    <row r="1286" spans="2:22" ht="13">
      <c r="B1286" s="236"/>
      <c r="C1286" s="245"/>
      <c r="D1286" s="24" t="s">
        <v>155</v>
      </c>
      <c r="E1286" s="17"/>
      <c r="F1286" s="17"/>
      <c r="G1286" s="17">
        <v>422.27</v>
      </c>
      <c r="H1286" s="236"/>
      <c r="I1286" s="236"/>
      <c r="J1286" s="236"/>
      <c r="K1286" s="242"/>
      <c r="M1286" s="236"/>
      <c r="N1286" s="245"/>
      <c r="O1286" s="24" t="s">
        <v>155</v>
      </c>
      <c r="P1286" s="17"/>
      <c r="Q1286" s="17"/>
      <c r="R1286" s="17">
        <v>422.27</v>
      </c>
      <c r="S1286" s="236"/>
      <c r="T1286" s="236"/>
      <c r="U1286" s="236"/>
      <c r="V1286" s="242"/>
    </row>
    <row r="1287" spans="2:22" ht="13">
      <c r="B1287" s="236"/>
      <c r="C1287" s="245"/>
      <c r="D1287" s="24" t="s">
        <v>1113</v>
      </c>
      <c r="E1287" s="17"/>
      <c r="F1287" s="17"/>
      <c r="G1287" s="17">
        <v>58.08</v>
      </c>
      <c r="H1287" s="236"/>
      <c r="I1287" s="236"/>
      <c r="J1287" s="236"/>
      <c r="K1287" s="242"/>
      <c r="M1287" s="236"/>
      <c r="N1287" s="245"/>
      <c r="O1287" s="24" t="s">
        <v>1113</v>
      </c>
      <c r="P1287" s="17"/>
      <c r="Q1287" s="17"/>
      <c r="R1287" s="17">
        <v>58.08</v>
      </c>
      <c r="S1287" s="236"/>
      <c r="T1287" s="236"/>
      <c r="U1287" s="236"/>
      <c r="V1287" s="242"/>
    </row>
    <row r="1288" spans="2:22" ht="13">
      <c r="B1288" s="236"/>
      <c r="C1288" s="245"/>
      <c r="D1288" s="24" t="s">
        <v>162</v>
      </c>
      <c r="E1288" s="17"/>
      <c r="F1288" s="17"/>
      <c r="G1288" s="17">
        <v>243.4</v>
      </c>
      <c r="H1288" s="236"/>
      <c r="I1288" s="236"/>
      <c r="J1288" s="236"/>
      <c r="K1288" s="242"/>
      <c r="M1288" s="236"/>
      <c r="N1288" s="245"/>
      <c r="O1288" s="24" t="s">
        <v>162</v>
      </c>
      <c r="P1288" s="17"/>
      <c r="Q1288" s="17"/>
      <c r="R1288" s="17">
        <v>243.4</v>
      </c>
      <c r="S1288" s="236"/>
      <c r="T1288" s="236"/>
      <c r="U1288" s="236"/>
      <c r="V1288" s="242"/>
    </row>
    <row r="1289" spans="2:22" ht="13">
      <c r="B1289" s="236"/>
      <c r="C1289" s="246"/>
      <c r="D1289" s="44" t="s">
        <v>1194</v>
      </c>
      <c r="E1289" s="21"/>
      <c r="F1289" s="21"/>
      <c r="G1289" s="21">
        <v>68.599999999999994</v>
      </c>
      <c r="H1289" s="238"/>
      <c r="I1289" s="238"/>
      <c r="J1289" s="238"/>
      <c r="K1289" s="243"/>
      <c r="M1289" s="236"/>
      <c r="N1289" s="246"/>
      <c r="O1289" s="44" t="s">
        <v>1194</v>
      </c>
      <c r="P1289" s="21"/>
      <c r="Q1289" s="21"/>
      <c r="R1289" s="21">
        <v>68.599999999999994</v>
      </c>
      <c r="S1289" s="238"/>
      <c r="T1289" s="238"/>
      <c r="U1289" s="238"/>
      <c r="V1289" s="243"/>
    </row>
    <row r="1290" spans="2:22" ht="13">
      <c r="B1290" s="236"/>
      <c r="C1290" s="244" t="s">
        <v>1202</v>
      </c>
      <c r="D1290" s="15" t="s">
        <v>23</v>
      </c>
      <c r="E1290" s="16">
        <v>7</v>
      </c>
      <c r="F1290" s="17">
        <v>16</v>
      </c>
      <c r="G1290" s="17">
        <f t="shared" ref="G1290:G1291" si="244">E1290*F1290</f>
        <v>112</v>
      </c>
      <c r="H1290" s="240">
        <f>SUM(G1290:G1294)</f>
        <v>341.47</v>
      </c>
      <c r="I1290" s="237">
        <v>1569.4</v>
      </c>
      <c r="J1290" s="237">
        <f>I1290-H1290</f>
        <v>1227.93</v>
      </c>
      <c r="K1290" s="241">
        <f>J1290/I1290</f>
        <v>0.78242003313368169</v>
      </c>
      <c r="M1290" s="236"/>
      <c r="N1290" s="244" t="s">
        <v>1202</v>
      </c>
      <c r="O1290" s="15" t="s">
        <v>23</v>
      </c>
      <c r="P1290" s="18"/>
      <c r="Q1290" s="18"/>
      <c r="R1290" s="18"/>
      <c r="S1290" s="240">
        <f>SUM(R1290:R1294)</f>
        <v>103.47</v>
      </c>
      <c r="T1290" s="237">
        <v>1569.4</v>
      </c>
      <c r="U1290" s="237">
        <f>T1290-S1290</f>
        <v>1465.93</v>
      </c>
      <c r="V1290" s="241">
        <f>U1290/T1290</f>
        <v>0.93407034535491273</v>
      </c>
    </row>
    <row r="1291" spans="2:22" ht="13">
      <c r="B1291" s="236"/>
      <c r="C1291" s="245"/>
      <c r="D1291" s="24" t="s">
        <v>114</v>
      </c>
      <c r="E1291" s="17">
        <v>7</v>
      </c>
      <c r="F1291" s="17">
        <v>18</v>
      </c>
      <c r="G1291" s="17">
        <f t="shared" si="244"/>
        <v>126</v>
      </c>
      <c r="H1291" s="236"/>
      <c r="I1291" s="236"/>
      <c r="J1291" s="236"/>
      <c r="K1291" s="242"/>
      <c r="M1291" s="236"/>
      <c r="N1291" s="245"/>
      <c r="O1291" s="24" t="s">
        <v>114</v>
      </c>
      <c r="P1291" s="18"/>
      <c r="Q1291" s="18"/>
      <c r="R1291" s="18"/>
      <c r="S1291" s="236"/>
      <c r="T1291" s="236"/>
      <c r="U1291" s="236"/>
      <c r="V1291" s="242"/>
    </row>
    <row r="1292" spans="2:22" ht="13">
      <c r="B1292" s="236"/>
      <c r="C1292" s="245"/>
      <c r="D1292" s="24" t="s">
        <v>45</v>
      </c>
      <c r="E1292" s="17"/>
      <c r="F1292" s="17"/>
      <c r="G1292" s="17">
        <v>25</v>
      </c>
      <c r="H1292" s="236"/>
      <c r="I1292" s="236"/>
      <c r="J1292" s="236"/>
      <c r="K1292" s="242"/>
      <c r="M1292" s="236"/>
      <c r="N1292" s="245"/>
      <c r="O1292" s="24" t="s">
        <v>45</v>
      </c>
      <c r="P1292" s="17"/>
      <c r="Q1292" s="17"/>
      <c r="R1292" s="17">
        <v>25</v>
      </c>
      <c r="S1292" s="236"/>
      <c r="T1292" s="236"/>
      <c r="U1292" s="236"/>
      <c r="V1292" s="242"/>
    </row>
    <row r="1293" spans="2:22" ht="13">
      <c r="B1293" s="236"/>
      <c r="C1293" s="245"/>
      <c r="D1293" s="24" t="s">
        <v>33</v>
      </c>
      <c r="E1293" s="17"/>
      <c r="F1293" s="17"/>
      <c r="G1293" s="17">
        <v>78.47</v>
      </c>
      <c r="H1293" s="236"/>
      <c r="I1293" s="236"/>
      <c r="J1293" s="236"/>
      <c r="K1293" s="242"/>
      <c r="M1293" s="236"/>
      <c r="N1293" s="245"/>
      <c r="O1293" s="24" t="s">
        <v>33</v>
      </c>
      <c r="P1293" s="17"/>
      <c r="Q1293" s="17"/>
      <c r="R1293" s="17">
        <v>78.47</v>
      </c>
      <c r="S1293" s="236"/>
      <c r="T1293" s="236"/>
      <c r="U1293" s="236"/>
      <c r="V1293" s="242"/>
    </row>
    <row r="1294" spans="2:22" ht="13">
      <c r="B1294" s="236"/>
      <c r="C1294" s="246"/>
      <c r="D1294" s="44"/>
      <c r="E1294" s="21"/>
      <c r="F1294" s="21"/>
      <c r="G1294" s="21"/>
      <c r="H1294" s="238"/>
      <c r="I1294" s="238"/>
      <c r="J1294" s="238"/>
      <c r="K1294" s="243"/>
      <c r="M1294" s="236"/>
      <c r="N1294" s="246"/>
      <c r="O1294" s="44"/>
      <c r="P1294" s="21"/>
      <c r="Q1294" s="21"/>
      <c r="R1294" s="21"/>
      <c r="S1294" s="238"/>
      <c r="T1294" s="238"/>
      <c r="U1294" s="238"/>
      <c r="V1294" s="243"/>
    </row>
    <row r="1295" spans="2:22" ht="13">
      <c r="B1295" s="236"/>
      <c r="C1295" s="244" t="s">
        <v>1203</v>
      </c>
      <c r="D1295" s="15" t="s">
        <v>23</v>
      </c>
      <c r="E1295" s="16">
        <v>7</v>
      </c>
      <c r="F1295" s="17">
        <v>16</v>
      </c>
      <c r="G1295" s="17">
        <f t="shared" ref="G1295:G1296" si="245">E1295*F1295</f>
        <v>112</v>
      </c>
      <c r="H1295" s="240">
        <f>SUM(G1295:G1299)</f>
        <v>394.82</v>
      </c>
      <c r="I1295" s="237">
        <v>2116</v>
      </c>
      <c r="J1295" s="237">
        <f>I1295-H1295</f>
        <v>1721.18</v>
      </c>
      <c r="K1295" s="241">
        <f>J1295/I1295</f>
        <v>0.81341209829867678</v>
      </c>
      <c r="M1295" s="236"/>
      <c r="N1295" s="244" t="s">
        <v>1203</v>
      </c>
      <c r="O1295" s="15" t="s">
        <v>23</v>
      </c>
      <c r="P1295" s="18"/>
      <c r="Q1295" s="18"/>
      <c r="R1295" s="18"/>
      <c r="S1295" s="240">
        <f>SUM(R1295:R1299)</f>
        <v>156.82</v>
      </c>
      <c r="T1295" s="237">
        <v>2116</v>
      </c>
      <c r="U1295" s="237">
        <f>T1295-S1295</f>
        <v>1959.18</v>
      </c>
      <c r="V1295" s="241">
        <f>U1295/T1295</f>
        <v>0.92588846880907372</v>
      </c>
    </row>
    <row r="1296" spans="2:22" ht="13">
      <c r="B1296" s="236"/>
      <c r="C1296" s="245"/>
      <c r="D1296" s="24" t="s">
        <v>114</v>
      </c>
      <c r="E1296" s="17">
        <v>7</v>
      </c>
      <c r="F1296" s="17">
        <v>18</v>
      </c>
      <c r="G1296" s="17">
        <f t="shared" si="245"/>
        <v>126</v>
      </c>
      <c r="H1296" s="236"/>
      <c r="I1296" s="236"/>
      <c r="J1296" s="236"/>
      <c r="K1296" s="242"/>
      <c r="M1296" s="236"/>
      <c r="N1296" s="245"/>
      <c r="O1296" s="24" t="s">
        <v>114</v>
      </c>
      <c r="P1296" s="18"/>
      <c r="Q1296" s="18"/>
      <c r="R1296" s="18"/>
      <c r="S1296" s="236"/>
      <c r="T1296" s="236"/>
      <c r="U1296" s="236"/>
      <c r="V1296" s="242"/>
    </row>
    <row r="1297" spans="2:22" ht="13">
      <c r="B1297" s="236"/>
      <c r="C1297" s="245"/>
      <c r="D1297" s="24" t="s">
        <v>45</v>
      </c>
      <c r="E1297" s="17"/>
      <c r="F1297" s="17"/>
      <c r="G1297" s="17">
        <v>102.42</v>
      </c>
      <c r="H1297" s="236"/>
      <c r="I1297" s="236"/>
      <c r="J1297" s="236"/>
      <c r="K1297" s="242"/>
      <c r="M1297" s="236"/>
      <c r="N1297" s="245"/>
      <c r="O1297" s="24" t="s">
        <v>45</v>
      </c>
      <c r="P1297" s="17"/>
      <c r="Q1297" s="17"/>
      <c r="R1297" s="17">
        <v>102.42</v>
      </c>
      <c r="S1297" s="236"/>
      <c r="T1297" s="236"/>
      <c r="U1297" s="236"/>
      <c r="V1297" s="242"/>
    </row>
    <row r="1298" spans="2:22" ht="13">
      <c r="B1298" s="236"/>
      <c r="C1298" s="245"/>
      <c r="D1298" s="24" t="s">
        <v>44</v>
      </c>
      <c r="E1298" s="17"/>
      <c r="F1298" s="17"/>
      <c r="G1298" s="17">
        <v>54.4</v>
      </c>
      <c r="H1298" s="236"/>
      <c r="I1298" s="236"/>
      <c r="J1298" s="236"/>
      <c r="K1298" s="242"/>
      <c r="M1298" s="236"/>
      <c r="N1298" s="245"/>
      <c r="O1298" s="24" t="s">
        <v>44</v>
      </c>
      <c r="P1298" s="17"/>
      <c r="Q1298" s="17"/>
      <c r="R1298" s="17">
        <v>54.4</v>
      </c>
      <c r="S1298" s="236"/>
      <c r="T1298" s="236"/>
      <c r="U1298" s="236"/>
      <c r="V1298" s="242"/>
    </row>
    <row r="1299" spans="2:22" ht="13">
      <c r="B1299" s="236"/>
      <c r="C1299" s="246"/>
      <c r="D1299" s="44"/>
      <c r="E1299" s="21"/>
      <c r="F1299" s="21"/>
      <c r="G1299" s="21"/>
      <c r="H1299" s="238"/>
      <c r="I1299" s="238"/>
      <c r="J1299" s="238"/>
      <c r="K1299" s="243"/>
      <c r="M1299" s="236"/>
      <c r="N1299" s="246"/>
      <c r="O1299" s="44"/>
      <c r="P1299" s="21"/>
      <c r="Q1299" s="21"/>
      <c r="R1299" s="21"/>
      <c r="S1299" s="238"/>
      <c r="T1299" s="238"/>
      <c r="U1299" s="238"/>
      <c r="V1299" s="243"/>
    </row>
    <row r="1300" spans="2:22" ht="30">
      <c r="B1300" s="254" t="s">
        <v>657</v>
      </c>
      <c r="C1300" s="255"/>
      <c r="D1300" s="256"/>
      <c r="E1300" s="27">
        <f t="shared" ref="E1300:J1300" si="246">AVERAGE(E1219:E1299)</f>
        <v>11.912222222222223</v>
      </c>
      <c r="F1300" s="27">
        <f t="shared" si="246"/>
        <v>15.972222222222221</v>
      </c>
      <c r="G1300" s="27">
        <f t="shared" si="246"/>
        <v>139.90893333333332</v>
      </c>
      <c r="H1300" s="27">
        <f t="shared" si="246"/>
        <v>874.43083333333334</v>
      </c>
      <c r="I1300" s="27">
        <f t="shared" si="246"/>
        <v>2851.4500000000003</v>
      </c>
      <c r="J1300" s="27">
        <f t="shared" si="246"/>
        <v>1977.0191666666667</v>
      </c>
      <c r="K1300" s="28" t="str">
        <f ca="1">AVERAGE($K$12:$K$76)</f>
        <v>#REF!</v>
      </c>
      <c r="M1300" s="254" t="s">
        <v>657</v>
      </c>
      <c r="N1300" s="255"/>
      <c r="O1300" s="256"/>
      <c r="P1300" s="27">
        <f t="shared" ref="P1300:U1300" si="247">AVERAGE(P1219:P1299)</f>
        <v>11.743333333333332</v>
      </c>
      <c r="Q1300" s="27">
        <f t="shared" si="247"/>
        <v>15.416666666666666</v>
      </c>
      <c r="R1300" s="27">
        <f t="shared" si="247"/>
        <v>126.44714285714285</v>
      </c>
      <c r="S1300" s="27">
        <f t="shared" si="247"/>
        <v>663.84749999999997</v>
      </c>
      <c r="T1300" s="27">
        <f t="shared" si="247"/>
        <v>2851.4500000000003</v>
      </c>
      <c r="U1300" s="27">
        <f t="shared" si="247"/>
        <v>2187.6024999999995</v>
      </c>
      <c r="V1300" s="28" t="str">
        <f ca="1">AVERAGE($K$12:$K$76)</f>
        <v>#REF!</v>
      </c>
    </row>
    <row r="1301" spans="2:22" ht="30">
      <c r="B1301" s="251" t="s">
        <v>658</v>
      </c>
      <c r="C1301" s="252"/>
      <c r="D1301" s="253"/>
      <c r="E1301" s="121">
        <f t="shared" ref="E1301:J1301" si="248">SUM(E1219:E1299)</f>
        <v>428.84000000000003</v>
      </c>
      <c r="F1301" s="121">
        <f t="shared" si="248"/>
        <v>575</v>
      </c>
      <c r="G1301" s="121">
        <f t="shared" si="248"/>
        <v>10493.17</v>
      </c>
      <c r="H1301" s="121">
        <f t="shared" si="248"/>
        <v>10493.17</v>
      </c>
      <c r="I1301" s="121">
        <f t="shared" si="248"/>
        <v>34217.4</v>
      </c>
      <c r="J1301" s="121">
        <f t="shared" si="248"/>
        <v>23724.23</v>
      </c>
      <c r="K1301" s="29">
        <f t="shared" ref="K1301:K1302" si="249">J1301/I1301</f>
        <v>0.69333818466628083</v>
      </c>
      <c r="M1301" s="251" t="s">
        <v>658</v>
      </c>
      <c r="N1301" s="252"/>
      <c r="O1301" s="253"/>
      <c r="P1301" s="121">
        <f t="shared" ref="P1301:U1301" si="250">SUM(P1219:P1299)</f>
        <v>281.83999999999997</v>
      </c>
      <c r="Q1301" s="121">
        <f t="shared" si="250"/>
        <v>370</v>
      </c>
      <c r="R1301" s="121">
        <f t="shared" si="250"/>
        <v>7966.1699999999992</v>
      </c>
      <c r="S1301" s="121">
        <f t="shared" si="250"/>
        <v>7966.17</v>
      </c>
      <c r="T1301" s="121">
        <f t="shared" si="250"/>
        <v>34217.4</v>
      </c>
      <c r="U1301" s="121">
        <f t="shared" si="250"/>
        <v>26251.229999999996</v>
      </c>
      <c r="V1301" s="29">
        <f t="shared" ref="V1301:V1302" si="251">U1301/T1301</f>
        <v>0.76718950007890707</v>
      </c>
    </row>
    <row r="1302" spans="2:22" ht="13">
      <c r="B1302" s="307" t="s">
        <v>659</v>
      </c>
      <c r="C1302" s="244" t="s">
        <v>1204</v>
      </c>
      <c r="D1302" s="15" t="s">
        <v>23</v>
      </c>
      <c r="E1302" s="16"/>
      <c r="F1302" s="17"/>
      <c r="G1302" s="17">
        <v>200</v>
      </c>
      <c r="H1302" s="240">
        <f>SUM(G1302:G1308)</f>
        <v>709.98</v>
      </c>
      <c r="I1302" s="237">
        <v>2004.75</v>
      </c>
      <c r="J1302" s="237">
        <f>I1302-H1302</f>
        <v>1294.77</v>
      </c>
      <c r="K1302" s="241">
        <f t="shared" si="249"/>
        <v>0.64585110362888143</v>
      </c>
      <c r="M1302" s="307" t="s">
        <v>659</v>
      </c>
      <c r="N1302" s="244" t="s">
        <v>1204</v>
      </c>
      <c r="O1302" s="15" t="s">
        <v>23</v>
      </c>
      <c r="P1302" s="16"/>
      <c r="Q1302" s="17"/>
      <c r="R1302" s="17">
        <v>200</v>
      </c>
      <c r="S1302" s="240">
        <f>SUM(R1302:R1308)</f>
        <v>709.98</v>
      </c>
      <c r="T1302" s="237">
        <v>2004.75</v>
      </c>
      <c r="U1302" s="237">
        <f>T1302-S1302</f>
        <v>1294.77</v>
      </c>
      <c r="V1302" s="241">
        <f t="shared" si="251"/>
        <v>0.64585110362888143</v>
      </c>
    </row>
    <row r="1303" spans="2:22" ht="13">
      <c r="B1303" s="236"/>
      <c r="C1303" s="245"/>
      <c r="D1303" s="24" t="s">
        <v>155</v>
      </c>
      <c r="E1303" s="17"/>
      <c r="F1303" s="17"/>
      <c r="G1303" s="17">
        <v>45</v>
      </c>
      <c r="H1303" s="236"/>
      <c r="I1303" s="236"/>
      <c r="J1303" s="236"/>
      <c r="K1303" s="242"/>
      <c r="M1303" s="236"/>
      <c r="N1303" s="245"/>
      <c r="O1303" s="24" t="s">
        <v>155</v>
      </c>
      <c r="P1303" s="17"/>
      <c r="Q1303" s="17"/>
      <c r="R1303" s="17">
        <v>45</v>
      </c>
      <c r="S1303" s="236"/>
      <c r="T1303" s="236"/>
      <c r="U1303" s="236"/>
      <c r="V1303" s="242"/>
    </row>
    <row r="1304" spans="2:22" ht="13">
      <c r="B1304" s="236"/>
      <c r="C1304" s="245"/>
      <c r="D1304" s="24" t="s">
        <v>46</v>
      </c>
      <c r="E1304" s="17"/>
      <c r="F1304" s="17"/>
      <c r="G1304" s="17">
        <v>138</v>
      </c>
      <c r="H1304" s="236"/>
      <c r="I1304" s="236"/>
      <c r="J1304" s="236"/>
      <c r="K1304" s="242"/>
      <c r="M1304" s="236"/>
      <c r="N1304" s="245"/>
      <c r="O1304" s="24" t="s">
        <v>46</v>
      </c>
      <c r="P1304" s="17"/>
      <c r="Q1304" s="17"/>
      <c r="R1304" s="17">
        <v>138</v>
      </c>
      <c r="S1304" s="236"/>
      <c r="T1304" s="236"/>
      <c r="U1304" s="236"/>
      <c r="V1304" s="242"/>
    </row>
    <row r="1305" spans="2:22" ht="13">
      <c r="B1305" s="236"/>
      <c r="C1305" s="245"/>
      <c r="D1305" s="24" t="s">
        <v>33</v>
      </c>
      <c r="E1305" s="17"/>
      <c r="F1305" s="17"/>
      <c r="G1305" s="17">
        <v>80.98</v>
      </c>
      <c r="H1305" s="236"/>
      <c r="I1305" s="236"/>
      <c r="J1305" s="236"/>
      <c r="K1305" s="242"/>
      <c r="M1305" s="236"/>
      <c r="N1305" s="245"/>
      <c r="O1305" s="24" t="s">
        <v>33</v>
      </c>
      <c r="P1305" s="17"/>
      <c r="Q1305" s="17"/>
      <c r="R1305" s="17">
        <v>80.98</v>
      </c>
      <c r="S1305" s="236"/>
      <c r="T1305" s="236"/>
      <c r="U1305" s="236"/>
      <c r="V1305" s="242"/>
    </row>
    <row r="1306" spans="2:22" ht="13">
      <c r="B1306" s="236"/>
      <c r="C1306" s="245"/>
      <c r="D1306" s="24" t="s">
        <v>1205</v>
      </c>
      <c r="E1306" s="17"/>
      <c r="F1306" s="17"/>
      <c r="G1306" s="17">
        <v>91</v>
      </c>
      <c r="H1306" s="236"/>
      <c r="I1306" s="236"/>
      <c r="J1306" s="236"/>
      <c r="K1306" s="242"/>
      <c r="M1306" s="236"/>
      <c r="N1306" s="245"/>
      <c r="O1306" s="24" t="s">
        <v>1205</v>
      </c>
      <c r="P1306" s="17"/>
      <c r="Q1306" s="17"/>
      <c r="R1306" s="17">
        <v>91</v>
      </c>
      <c r="S1306" s="236"/>
      <c r="T1306" s="236"/>
      <c r="U1306" s="236"/>
      <c r="V1306" s="242"/>
    </row>
    <row r="1307" spans="2:22" ht="13">
      <c r="B1307" s="236"/>
      <c r="C1307" s="245"/>
      <c r="D1307" s="24" t="s">
        <v>1206</v>
      </c>
      <c r="E1307" s="17"/>
      <c r="F1307" s="17"/>
      <c r="G1307" s="17">
        <v>120</v>
      </c>
      <c r="H1307" s="236"/>
      <c r="I1307" s="236"/>
      <c r="J1307" s="236"/>
      <c r="K1307" s="242"/>
      <c r="M1307" s="236"/>
      <c r="N1307" s="245"/>
      <c r="O1307" s="24" t="s">
        <v>1206</v>
      </c>
      <c r="P1307" s="17"/>
      <c r="Q1307" s="17"/>
      <c r="R1307" s="17">
        <v>120</v>
      </c>
      <c r="S1307" s="236"/>
      <c r="T1307" s="236"/>
      <c r="U1307" s="236"/>
      <c r="V1307" s="242"/>
    </row>
    <row r="1308" spans="2:22" ht="13">
      <c r="B1308" s="236"/>
      <c r="C1308" s="246"/>
      <c r="D1308" s="44" t="s">
        <v>1207</v>
      </c>
      <c r="E1308" s="21"/>
      <c r="F1308" s="21"/>
      <c r="G1308" s="21">
        <v>35</v>
      </c>
      <c r="H1308" s="238"/>
      <c r="I1308" s="238"/>
      <c r="J1308" s="238"/>
      <c r="K1308" s="243"/>
      <c r="M1308" s="236"/>
      <c r="N1308" s="246"/>
      <c r="O1308" s="44" t="s">
        <v>1207</v>
      </c>
      <c r="P1308" s="21"/>
      <c r="Q1308" s="21"/>
      <c r="R1308" s="21">
        <v>35</v>
      </c>
      <c r="S1308" s="238"/>
      <c r="T1308" s="238"/>
      <c r="U1308" s="238"/>
      <c r="V1308" s="243"/>
    </row>
    <row r="1309" spans="2:22" ht="13">
      <c r="B1309" s="236"/>
      <c r="C1309" s="244" t="s">
        <v>1208</v>
      </c>
      <c r="D1309" s="15" t="s">
        <v>114</v>
      </c>
      <c r="E1309" s="16">
        <v>14</v>
      </c>
      <c r="F1309" s="17">
        <v>18</v>
      </c>
      <c r="G1309" s="17">
        <f>E1309*F1309</f>
        <v>252</v>
      </c>
      <c r="H1309" s="240">
        <f>SUM(G1309:G1313)</f>
        <v>435.44000000000005</v>
      </c>
      <c r="I1309" s="237">
        <v>2825.55</v>
      </c>
      <c r="J1309" s="237">
        <f>I1309-H1309</f>
        <v>2390.11</v>
      </c>
      <c r="K1309" s="241">
        <f>J1309/I1309</f>
        <v>0.84589195023977637</v>
      </c>
      <c r="M1309" s="236"/>
      <c r="N1309" s="244" t="s">
        <v>1208</v>
      </c>
      <c r="O1309" s="15" t="s">
        <v>114</v>
      </c>
      <c r="P1309" s="18"/>
      <c r="Q1309" s="18"/>
      <c r="R1309" s="18"/>
      <c r="S1309" s="240">
        <f>SUM(R1309:R1313)</f>
        <v>183.44</v>
      </c>
      <c r="T1309" s="237">
        <v>2825.55</v>
      </c>
      <c r="U1309" s="237">
        <f>T1309-S1309</f>
        <v>2642.11</v>
      </c>
      <c r="V1309" s="241">
        <f>U1309/T1309</f>
        <v>0.93507812638247423</v>
      </c>
    </row>
    <row r="1310" spans="2:22" ht="13">
      <c r="B1310" s="236"/>
      <c r="C1310" s="245"/>
      <c r="D1310" s="24" t="s">
        <v>47</v>
      </c>
      <c r="E1310" s="17"/>
      <c r="F1310" s="17"/>
      <c r="G1310" s="17">
        <v>67.34</v>
      </c>
      <c r="H1310" s="236"/>
      <c r="I1310" s="236"/>
      <c r="J1310" s="236"/>
      <c r="K1310" s="242"/>
      <c r="M1310" s="236"/>
      <c r="N1310" s="245"/>
      <c r="O1310" s="24" t="s">
        <v>47</v>
      </c>
      <c r="P1310" s="17"/>
      <c r="Q1310" s="17"/>
      <c r="R1310" s="17">
        <v>67.34</v>
      </c>
      <c r="S1310" s="236"/>
      <c r="T1310" s="236"/>
      <c r="U1310" s="236"/>
      <c r="V1310" s="242"/>
    </row>
    <row r="1311" spans="2:22" ht="13">
      <c r="B1311" s="236"/>
      <c r="C1311" s="245"/>
      <c r="D1311" s="24" t="s">
        <v>44</v>
      </c>
      <c r="E1311" s="17"/>
      <c r="F1311" s="17"/>
      <c r="G1311" s="17">
        <v>46.1</v>
      </c>
      <c r="H1311" s="236"/>
      <c r="I1311" s="236"/>
      <c r="J1311" s="236"/>
      <c r="K1311" s="242"/>
      <c r="M1311" s="236"/>
      <c r="N1311" s="245"/>
      <c r="O1311" s="24" t="s">
        <v>44</v>
      </c>
      <c r="P1311" s="17"/>
      <c r="Q1311" s="17"/>
      <c r="R1311" s="17">
        <v>46.1</v>
      </c>
      <c r="S1311" s="236"/>
      <c r="T1311" s="236"/>
      <c r="U1311" s="236"/>
      <c r="V1311" s="242"/>
    </row>
    <row r="1312" spans="2:22" ht="13">
      <c r="B1312" s="236"/>
      <c r="C1312" s="245"/>
      <c r="D1312" s="24" t="s">
        <v>83</v>
      </c>
      <c r="E1312" s="17"/>
      <c r="F1312" s="17"/>
      <c r="G1312" s="17">
        <v>70</v>
      </c>
      <c r="H1312" s="236"/>
      <c r="I1312" s="236"/>
      <c r="J1312" s="236"/>
      <c r="K1312" s="242"/>
      <c r="M1312" s="236"/>
      <c r="N1312" s="245"/>
      <c r="O1312" s="24" t="s">
        <v>83</v>
      </c>
      <c r="P1312" s="17"/>
      <c r="Q1312" s="17"/>
      <c r="R1312" s="17">
        <v>70</v>
      </c>
      <c r="S1312" s="236"/>
      <c r="T1312" s="236"/>
      <c r="U1312" s="236"/>
      <c r="V1312" s="242"/>
    </row>
    <row r="1313" spans="2:22" ht="13">
      <c r="B1313" s="236"/>
      <c r="C1313" s="246"/>
      <c r="D1313" s="44"/>
      <c r="E1313" s="21"/>
      <c r="F1313" s="21"/>
      <c r="G1313" s="21"/>
      <c r="H1313" s="238"/>
      <c r="I1313" s="238"/>
      <c r="J1313" s="238"/>
      <c r="K1313" s="243"/>
      <c r="M1313" s="236"/>
      <c r="N1313" s="246"/>
      <c r="O1313" s="44"/>
      <c r="P1313" s="21"/>
      <c r="Q1313" s="21"/>
      <c r="R1313" s="21"/>
      <c r="S1313" s="238"/>
      <c r="T1313" s="238"/>
      <c r="U1313" s="238"/>
      <c r="V1313" s="243"/>
    </row>
    <row r="1314" spans="2:22" ht="13">
      <c r="B1314" s="236"/>
      <c r="C1314" s="244" t="s">
        <v>1209</v>
      </c>
      <c r="D1314" s="15" t="s">
        <v>114</v>
      </c>
      <c r="E1314" s="16">
        <v>21</v>
      </c>
      <c r="F1314" s="17">
        <v>18</v>
      </c>
      <c r="G1314" s="17">
        <f t="shared" ref="G1314:G1326" si="252">E1314*F1314</f>
        <v>378</v>
      </c>
      <c r="H1314" s="240">
        <f>SUM(G1314:G1329)</f>
        <v>5572.87</v>
      </c>
      <c r="I1314" s="237">
        <v>12034</v>
      </c>
      <c r="J1314" s="237">
        <f>I1314-H1314</f>
        <v>6461.13</v>
      </c>
      <c r="K1314" s="241">
        <f>J1314/I1314</f>
        <v>0.5369062655808543</v>
      </c>
      <c r="M1314" s="236"/>
      <c r="N1314" s="244" t="s">
        <v>1209</v>
      </c>
      <c r="O1314" s="15" t="s">
        <v>114</v>
      </c>
      <c r="P1314" s="18"/>
      <c r="Q1314" s="18"/>
      <c r="R1314" s="18"/>
      <c r="S1314" s="240">
        <f>SUM(R1314:R1329)</f>
        <v>4970.87</v>
      </c>
      <c r="T1314" s="237">
        <v>12034</v>
      </c>
      <c r="U1314" s="237">
        <f>T1314-S1314</f>
        <v>7063.13</v>
      </c>
      <c r="V1314" s="241">
        <f>U1314/T1314</f>
        <v>0.58693119494764834</v>
      </c>
    </row>
    <row r="1315" spans="2:22" ht="13">
      <c r="B1315" s="236"/>
      <c r="C1315" s="245"/>
      <c r="D1315" s="24" t="s">
        <v>23</v>
      </c>
      <c r="E1315" s="17">
        <v>14</v>
      </c>
      <c r="F1315" s="17">
        <v>16</v>
      </c>
      <c r="G1315" s="17">
        <f t="shared" si="252"/>
        <v>224</v>
      </c>
      <c r="H1315" s="236"/>
      <c r="I1315" s="236"/>
      <c r="J1315" s="236"/>
      <c r="K1315" s="242"/>
      <c r="M1315" s="236"/>
      <c r="N1315" s="245"/>
      <c r="O1315" s="24" t="s">
        <v>23</v>
      </c>
      <c r="P1315" s="18"/>
      <c r="Q1315" s="18"/>
      <c r="R1315" s="18"/>
      <c r="S1315" s="236"/>
      <c r="T1315" s="236"/>
      <c r="U1315" s="236"/>
      <c r="V1315" s="242"/>
    </row>
    <row r="1316" spans="2:22" ht="13">
      <c r="B1316" s="236"/>
      <c r="C1316" s="245"/>
      <c r="D1316" s="24" t="s">
        <v>62</v>
      </c>
      <c r="E1316" s="17">
        <v>4.55</v>
      </c>
      <c r="F1316" s="17">
        <v>13</v>
      </c>
      <c r="G1316" s="17">
        <f t="shared" si="252"/>
        <v>59.15</v>
      </c>
      <c r="H1316" s="236"/>
      <c r="I1316" s="236"/>
      <c r="J1316" s="236"/>
      <c r="K1316" s="242"/>
      <c r="M1316" s="236"/>
      <c r="N1316" s="245"/>
      <c r="O1316" s="24" t="s">
        <v>62</v>
      </c>
      <c r="P1316" s="17">
        <v>4.55</v>
      </c>
      <c r="Q1316" s="17">
        <v>13</v>
      </c>
      <c r="R1316" s="17">
        <f t="shared" ref="R1316:R1326" si="253">P1316*Q1316</f>
        <v>59.15</v>
      </c>
      <c r="S1316" s="236"/>
      <c r="T1316" s="236"/>
      <c r="U1316" s="236"/>
      <c r="V1316" s="242"/>
    </row>
    <row r="1317" spans="2:22" ht="13">
      <c r="B1317" s="236"/>
      <c r="C1317" s="245"/>
      <c r="D1317" s="24" t="s">
        <v>216</v>
      </c>
      <c r="E1317" s="17">
        <v>9.08</v>
      </c>
      <c r="F1317" s="17">
        <v>13</v>
      </c>
      <c r="G1317" s="17">
        <f t="shared" si="252"/>
        <v>118.04</v>
      </c>
      <c r="H1317" s="236"/>
      <c r="I1317" s="236"/>
      <c r="J1317" s="236"/>
      <c r="K1317" s="242"/>
      <c r="M1317" s="236"/>
      <c r="N1317" s="245"/>
      <c r="O1317" s="24" t="s">
        <v>216</v>
      </c>
      <c r="P1317" s="17">
        <v>9.08</v>
      </c>
      <c r="Q1317" s="17">
        <v>13</v>
      </c>
      <c r="R1317" s="17">
        <f t="shared" si="253"/>
        <v>118.04</v>
      </c>
      <c r="S1317" s="236"/>
      <c r="T1317" s="236"/>
      <c r="U1317" s="236"/>
      <c r="V1317" s="242"/>
    </row>
    <row r="1318" spans="2:22" ht="13">
      <c r="B1318" s="236"/>
      <c r="C1318" s="245"/>
      <c r="D1318" s="24" t="s">
        <v>1210</v>
      </c>
      <c r="E1318" s="17">
        <v>10.34</v>
      </c>
      <c r="F1318" s="17">
        <v>13</v>
      </c>
      <c r="G1318" s="17">
        <f t="shared" si="252"/>
        <v>134.41999999999999</v>
      </c>
      <c r="H1318" s="236"/>
      <c r="I1318" s="236"/>
      <c r="J1318" s="236"/>
      <c r="K1318" s="242"/>
      <c r="M1318" s="236"/>
      <c r="N1318" s="245"/>
      <c r="O1318" s="24" t="s">
        <v>1210</v>
      </c>
      <c r="P1318" s="17">
        <v>10.34</v>
      </c>
      <c r="Q1318" s="17">
        <v>13</v>
      </c>
      <c r="R1318" s="17">
        <f t="shared" si="253"/>
        <v>134.41999999999999</v>
      </c>
      <c r="S1318" s="236"/>
      <c r="T1318" s="236"/>
      <c r="U1318" s="236"/>
      <c r="V1318" s="242"/>
    </row>
    <row r="1319" spans="2:22" ht="13">
      <c r="B1319" s="236"/>
      <c r="C1319" s="245"/>
      <c r="D1319" s="24" t="s">
        <v>55</v>
      </c>
      <c r="E1319" s="17">
        <v>21.53</v>
      </c>
      <c r="F1319" s="17">
        <v>13</v>
      </c>
      <c r="G1319" s="17">
        <f t="shared" si="252"/>
        <v>279.89</v>
      </c>
      <c r="H1319" s="236"/>
      <c r="I1319" s="236"/>
      <c r="J1319" s="236"/>
      <c r="K1319" s="242"/>
      <c r="M1319" s="236"/>
      <c r="N1319" s="245"/>
      <c r="O1319" s="24" t="s">
        <v>55</v>
      </c>
      <c r="P1319" s="17">
        <v>21.53</v>
      </c>
      <c r="Q1319" s="17">
        <v>13</v>
      </c>
      <c r="R1319" s="17">
        <f t="shared" si="253"/>
        <v>279.89</v>
      </c>
      <c r="S1319" s="236"/>
      <c r="T1319" s="236"/>
      <c r="U1319" s="236"/>
      <c r="V1319" s="242"/>
    </row>
    <row r="1320" spans="2:22" ht="13">
      <c r="B1320" s="236"/>
      <c r="C1320" s="245"/>
      <c r="D1320" s="24" t="s">
        <v>1211</v>
      </c>
      <c r="E1320" s="17">
        <v>22.5</v>
      </c>
      <c r="F1320" s="17">
        <v>13</v>
      </c>
      <c r="G1320" s="17">
        <f t="shared" si="252"/>
        <v>292.5</v>
      </c>
      <c r="H1320" s="236"/>
      <c r="I1320" s="236"/>
      <c r="J1320" s="236"/>
      <c r="K1320" s="242"/>
      <c r="M1320" s="236"/>
      <c r="N1320" s="245"/>
      <c r="O1320" s="24" t="s">
        <v>1211</v>
      </c>
      <c r="P1320" s="17">
        <v>22.5</v>
      </c>
      <c r="Q1320" s="17">
        <v>13</v>
      </c>
      <c r="R1320" s="17">
        <f t="shared" si="253"/>
        <v>292.5</v>
      </c>
      <c r="S1320" s="236"/>
      <c r="T1320" s="236"/>
      <c r="U1320" s="236"/>
      <c r="V1320" s="242"/>
    </row>
    <row r="1321" spans="2:22" ht="13">
      <c r="B1321" s="236"/>
      <c r="C1321" s="245"/>
      <c r="D1321" s="24" t="s">
        <v>64</v>
      </c>
      <c r="E1321" s="17">
        <v>21.28</v>
      </c>
      <c r="F1321" s="17">
        <v>13</v>
      </c>
      <c r="G1321" s="17">
        <f t="shared" si="252"/>
        <v>276.64</v>
      </c>
      <c r="H1321" s="236"/>
      <c r="I1321" s="236"/>
      <c r="J1321" s="236"/>
      <c r="K1321" s="242"/>
      <c r="M1321" s="236"/>
      <c r="N1321" s="245"/>
      <c r="O1321" s="24" t="s">
        <v>64</v>
      </c>
      <c r="P1321" s="17">
        <v>21.28</v>
      </c>
      <c r="Q1321" s="17">
        <v>13</v>
      </c>
      <c r="R1321" s="17">
        <f t="shared" si="253"/>
        <v>276.64</v>
      </c>
      <c r="S1321" s="236"/>
      <c r="T1321" s="236"/>
      <c r="U1321" s="236"/>
      <c r="V1321" s="242"/>
    </row>
    <row r="1322" spans="2:22" ht="13">
      <c r="B1322" s="236"/>
      <c r="C1322" s="245"/>
      <c r="D1322" s="24" t="s">
        <v>32</v>
      </c>
      <c r="E1322" s="17">
        <v>18.079999999999998</v>
      </c>
      <c r="F1322" s="17">
        <v>13</v>
      </c>
      <c r="G1322" s="17">
        <f t="shared" si="252"/>
        <v>235.03999999999996</v>
      </c>
      <c r="H1322" s="236"/>
      <c r="I1322" s="236"/>
      <c r="J1322" s="236"/>
      <c r="K1322" s="242"/>
      <c r="M1322" s="236"/>
      <c r="N1322" s="245"/>
      <c r="O1322" s="24" t="s">
        <v>32</v>
      </c>
      <c r="P1322" s="17">
        <v>18.079999999999998</v>
      </c>
      <c r="Q1322" s="17">
        <v>13</v>
      </c>
      <c r="R1322" s="17">
        <f t="shared" si="253"/>
        <v>235.03999999999996</v>
      </c>
      <c r="S1322" s="236"/>
      <c r="T1322" s="236"/>
      <c r="U1322" s="236"/>
      <c r="V1322" s="242"/>
    </row>
    <row r="1323" spans="2:22" ht="13">
      <c r="B1323" s="236"/>
      <c r="C1323" s="245"/>
      <c r="D1323" s="24" t="s">
        <v>1212</v>
      </c>
      <c r="E1323" s="17">
        <v>3.5</v>
      </c>
      <c r="F1323" s="17">
        <v>13</v>
      </c>
      <c r="G1323" s="17">
        <f t="shared" si="252"/>
        <v>45.5</v>
      </c>
      <c r="H1323" s="236"/>
      <c r="I1323" s="236"/>
      <c r="J1323" s="236"/>
      <c r="K1323" s="242"/>
      <c r="M1323" s="236"/>
      <c r="N1323" s="245"/>
      <c r="O1323" s="24" t="s">
        <v>1212</v>
      </c>
      <c r="P1323" s="17">
        <v>3.5</v>
      </c>
      <c r="Q1323" s="17">
        <v>13</v>
      </c>
      <c r="R1323" s="17">
        <f t="shared" si="253"/>
        <v>45.5</v>
      </c>
      <c r="S1323" s="236"/>
      <c r="T1323" s="236"/>
      <c r="U1323" s="236"/>
      <c r="V1323" s="242"/>
    </row>
    <row r="1324" spans="2:22" ht="13">
      <c r="B1324" s="236"/>
      <c r="C1324" s="245"/>
      <c r="D1324" s="24" t="s">
        <v>178</v>
      </c>
      <c r="E1324" s="17">
        <v>8.08</v>
      </c>
      <c r="F1324" s="17">
        <v>15</v>
      </c>
      <c r="G1324" s="17">
        <f t="shared" si="252"/>
        <v>121.2</v>
      </c>
      <c r="H1324" s="236"/>
      <c r="I1324" s="236"/>
      <c r="J1324" s="236"/>
      <c r="K1324" s="242"/>
      <c r="M1324" s="236"/>
      <c r="N1324" s="245"/>
      <c r="O1324" s="24" t="s">
        <v>178</v>
      </c>
      <c r="P1324" s="17">
        <v>8.08</v>
      </c>
      <c r="Q1324" s="17">
        <v>15</v>
      </c>
      <c r="R1324" s="17">
        <f t="shared" si="253"/>
        <v>121.2</v>
      </c>
      <c r="S1324" s="236"/>
      <c r="T1324" s="236"/>
      <c r="U1324" s="236"/>
      <c r="V1324" s="242"/>
    </row>
    <row r="1325" spans="2:22" ht="13">
      <c r="B1325" s="236"/>
      <c r="C1325" s="245"/>
      <c r="D1325" s="24" t="s">
        <v>96</v>
      </c>
      <c r="E1325" s="17">
        <v>22.1</v>
      </c>
      <c r="F1325" s="17">
        <v>13</v>
      </c>
      <c r="G1325" s="17">
        <f t="shared" si="252"/>
        <v>287.3</v>
      </c>
      <c r="H1325" s="236"/>
      <c r="I1325" s="236"/>
      <c r="J1325" s="236"/>
      <c r="K1325" s="242"/>
      <c r="M1325" s="236"/>
      <c r="N1325" s="245"/>
      <c r="O1325" s="24" t="s">
        <v>96</v>
      </c>
      <c r="P1325" s="17">
        <v>22.1</v>
      </c>
      <c r="Q1325" s="17">
        <v>13</v>
      </c>
      <c r="R1325" s="17">
        <f t="shared" si="253"/>
        <v>287.3</v>
      </c>
      <c r="S1325" s="236"/>
      <c r="T1325" s="236"/>
      <c r="U1325" s="236"/>
      <c r="V1325" s="242"/>
    </row>
    <row r="1326" spans="2:22" ht="13">
      <c r="B1326" s="236"/>
      <c r="C1326" s="245"/>
      <c r="D1326" s="24" t="s">
        <v>79</v>
      </c>
      <c r="E1326" s="17">
        <v>22.63</v>
      </c>
      <c r="F1326" s="17">
        <v>13</v>
      </c>
      <c r="G1326" s="17">
        <f t="shared" si="252"/>
        <v>294.19</v>
      </c>
      <c r="H1326" s="236"/>
      <c r="I1326" s="236"/>
      <c r="J1326" s="236"/>
      <c r="K1326" s="242"/>
      <c r="M1326" s="236"/>
      <c r="N1326" s="245"/>
      <c r="O1326" s="24" t="s">
        <v>79</v>
      </c>
      <c r="P1326" s="17">
        <v>22.63</v>
      </c>
      <c r="Q1326" s="17">
        <v>13</v>
      </c>
      <c r="R1326" s="17">
        <f t="shared" si="253"/>
        <v>294.19</v>
      </c>
      <c r="S1326" s="236"/>
      <c r="T1326" s="236"/>
      <c r="U1326" s="236"/>
      <c r="V1326" s="242"/>
    </row>
    <row r="1327" spans="2:22" ht="13">
      <c r="B1327" s="236"/>
      <c r="C1327" s="245"/>
      <c r="D1327" s="24" t="s">
        <v>33</v>
      </c>
      <c r="E1327" s="17"/>
      <c r="F1327" s="17"/>
      <c r="G1327" s="17">
        <v>2724</v>
      </c>
      <c r="H1327" s="236"/>
      <c r="I1327" s="236"/>
      <c r="J1327" s="236"/>
      <c r="K1327" s="242"/>
      <c r="M1327" s="236"/>
      <c r="N1327" s="245"/>
      <c r="O1327" s="24" t="s">
        <v>33</v>
      </c>
      <c r="P1327" s="17"/>
      <c r="Q1327" s="17"/>
      <c r="R1327" s="17">
        <v>2724</v>
      </c>
      <c r="S1327" s="236"/>
      <c r="T1327" s="236"/>
      <c r="U1327" s="236"/>
      <c r="V1327" s="242"/>
    </row>
    <row r="1328" spans="2:22" ht="13">
      <c r="B1328" s="236"/>
      <c r="C1328" s="245"/>
      <c r="D1328" s="24" t="s">
        <v>162</v>
      </c>
      <c r="E1328" s="17"/>
      <c r="F1328" s="17"/>
      <c r="G1328" s="17">
        <v>60</v>
      </c>
      <c r="H1328" s="236"/>
      <c r="I1328" s="236"/>
      <c r="J1328" s="236"/>
      <c r="K1328" s="242"/>
      <c r="M1328" s="236"/>
      <c r="N1328" s="245"/>
      <c r="O1328" s="24" t="s">
        <v>162</v>
      </c>
      <c r="P1328" s="17"/>
      <c r="Q1328" s="17"/>
      <c r="R1328" s="17">
        <v>60</v>
      </c>
      <c r="S1328" s="236"/>
      <c r="T1328" s="236"/>
      <c r="U1328" s="236"/>
      <c r="V1328" s="242"/>
    </row>
    <row r="1329" spans="2:22" ht="13">
      <c r="B1329" s="236"/>
      <c r="C1329" s="246"/>
      <c r="D1329" s="44" t="s">
        <v>483</v>
      </c>
      <c r="E1329" s="21"/>
      <c r="F1329" s="21"/>
      <c r="G1329" s="21">
        <v>43</v>
      </c>
      <c r="H1329" s="238"/>
      <c r="I1329" s="238"/>
      <c r="J1329" s="238"/>
      <c r="K1329" s="243"/>
      <c r="M1329" s="236"/>
      <c r="N1329" s="246"/>
      <c r="O1329" s="44" t="s">
        <v>483</v>
      </c>
      <c r="P1329" s="21"/>
      <c r="Q1329" s="21"/>
      <c r="R1329" s="21">
        <v>43</v>
      </c>
      <c r="S1329" s="238"/>
      <c r="T1329" s="238"/>
      <c r="U1329" s="238"/>
      <c r="V1329" s="243"/>
    </row>
    <row r="1330" spans="2:22" ht="13">
      <c r="B1330" s="236"/>
      <c r="C1330" s="244" t="s">
        <v>1213</v>
      </c>
      <c r="D1330" s="15" t="s">
        <v>114</v>
      </c>
      <c r="E1330" s="16">
        <v>21</v>
      </c>
      <c r="F1330" s="17">
        <v>18</v>
      </c>
      <c r="G1330" s="17">
        <f>E1330*F1330</f>
        <v>378</v>
      </c>
      <c r="H1330" s="240">
        <f>SUM(G1330:G1335)</f>
        <v>1321.43</v>
      </c>
      <c r="I1330" s="237">
        <v>6578.88</v>
      </c>
      <c r="J1330" s="237">
        <f>I1330-H1330</f>
        <v>5257.45</v>
      </c>
      <c r="K1330" s="241">
        <f>J1330/I1330</f>
        <v>0.79914058319957193</v>
      </c>
      <c r="M1330" s="236"/>
      <c r="N1330" s="244" t="s">
        <v>1213</v>
      </c>
      <c r="O1330" s="15" t="s">
        <v>114</v>
      </c>
      <c r="P1330" s="18"/>
      <c r="Q1330" s="18"/>
      <c r="R1330" s="18"/>
      <c r="S1330" s="240">
        <f>SUM(R1330:R1335)</f>
        <v>943.43000000000006</v>
      </c>
      <c r="T1330" s="237">
        <v>6578.88</v>
      </c>
      <c r="U1330" s="237">
        <f>T1330-S1330</f>
        <v>5635.45</v>
      </c>
      <c r="V1330" s="241">
        <f>U1330/T1330</f>
        <v>0.85659717155503667</v>
      </c>
    </row>
    <row r="1331" spans="2:22" ht="13">
      <c r="B1331" s="236"/>
      <c r="C1331" s="245"/>
      <c r="D1331" s="24" t="s">
        <v>47</v>
      </c>
      <c r="E1331" s="17"/>
      <c r="F1331" s="17"/>
      <c r="G1331" s="17">
        <v>213.02</v>
      </c>
      <c r="H1331" s="236"/>
      <c r="I1331" s="236"/>
      <c r="J1331" s="236"/>
      <c r="K1331" s="242"/>
      <c r="M1331" s="236"/>
      <c r="N1331" s="245"/>
      <c r="O1331" s="24" t="s">
        <v>47</v>
      </c>
      <c r="P1331" s="17"/>
      <c r="Q1331" s="17"/>
      <c r="R1331" s="17">
        <v>213.02</v>
      </c>
      <c r="S1331" s="236"/>
      <c r="T1331" s="236"/>
      <c r="U1331" s="236"/>
      <c r="V1331" s="242"/>
    </row>
    <row r="1332" spans="2:22" ht="13">
      <c r="B1332" s="236"/>
      <c r="C1332" s="245"/>
      <c r="D1332" s="24" t="s">
        <v>44</v>
      </c>
      <c r="E1332" s="17"/>
      <c r="F1332" s="17"/>
      <c r="G1332" s="17">
        <v>29.1</v>
      </c>
      <c r="H1332" s="236"/>
      <c r="I1332" s="236"/>
      <c r="J1332" s="236"/>
      <c r="K1332" s="242"/>
      <c r="M1332" s="236"/>
      <c r="N1332" s="245"/>
      <c r="O1332" s="24" t="s">
        <v>44</v>
      </c>
      <c r="P1332" s="17"/>
      <c r="Q1332" s="17"/>
      <c r="R1332" s="17">
        <v>29.1</v>
      </c>
      <c r="S1332" s="236"/>
      <c r="T1332" s="236"/>
      <c r="U1332" s="236"/>
      <c r="V1332" s="242"/>
    </row>
    <row r="1333" spans="2:22" ht="13">
      <c r="B1333" s="236"/>
      <c r="C1333" s="245"/>
      <c r="D1333" s="24" t="s">
        <v>188</v>
      </c>
      <c r="E1333" s="17"/>
      <c r="F1333" s="17"/>
      <c r="G1333" s="17">
        <v>130.65</v>
      </c>
      <c r="H1333" s="236"/>
      <c r="I1333" s="236"/>
      <c r="J1333" s="236"/>
      <c r="K1333" s="242"/>
      <c r="M1333" s="236"/>
      <c r="N1333" s="245"/>
      <c r="O1333" s="24" t="s">
        <v>188</v>
      </c>
      <c r="P1333" s="17"/>
      <c r="Q1333" s="17"/>
      <c r="R1333" s="17">
        <v>130.65</v>
      </c>
      <c r="S1333" s="236"/>
      <c r="T1333" s="236"/>
      <c r="U1333" s="236"/>
      <c r="V1333" s="242"/>
    </row>
    <row r="1334" spans="2:22" ht="13">
      <c r="B1334" s="236"/>
      <c r="C1334" s="245"/>
      <c r="D1334" s="24" t="s">
        <v>83</v>
      </c>
      <c r="E1334" s="17"/>
      <c r="F1334" s="17"/>
      <c r="G1334" s="17">
        <v>121.59</v>
      </c>
      <c r="H1334" s="236"/>
      <c r="I1334" s="236"/>
      <c r="J1334" s="236"/>
      <c r="K1334" s="242"/>
      <c r="M1334" s="236"/>
      <c r="N1334" s="245"/>
      <c r="O1334" s="24" t="s">
        <v>83</v>
      </c>
      <c r="P1334" s="17"/>
      <c r="Q1334" s="17"/>
      <c r="R1334" s="17">
        <v>121.59</v>
      </c>
      <c r="S1334" s="236"/>
      <c r="T1334" s="236"/>
      <c r="U1334" s="236"/>
      <c r="V1334" s="242"/>
    </row>
    <row r="1335" spans="2:22" ht="13">
      <c r="B1335" s="236"/>
      <c r="C1335" s="246"/>
      <c r="D1335" s="44" t="s">
        <v>33</v>
      </c>
      <c r="E1335" s="21"/>
      <c r="F1335" s="21"/>
      <c r="G1335" s="21">
        <v>449.07</v>
      </c>
      <c r="H1335" s="238"/>
      <c r="I1335" s="238"/>
      <c r="J1335" s="238"/>
      <c r="K1335" s="243"/>
      <c r="M1335" s="236"/>
      <c r="N1335" s="246"/>
      <c r="O1335" s="44" t="s">
        <v>33</v>
      </c>
      <c r="P1335" s="21"/>
      <c r="Q1335" s="21"/>
      <c r="R1335" s="21">
        <v>449.07</v>
      </c>
      <c r="S1335" s="238"/>
      <c r="T1335" s="238"/>
      <c r="U1335" s="238"/>
      <c r="V1335" s="243"/>
    </row>
    <row r="1336" spans="2:22" ht="13">
      <c r="B1336" s="236"/>
      <c r="C1336" s="244" t="s">
        <v>1214</v>
      </c>
      <c r="D1336" s="15" t="s">
        <v>146</v>
      </c>
      <c r="E1336" s="16">
        <v>15</v>
      </c>
      <c r="F1336" s="17">
        <v>15</v>
      </c>
      <c r="G1336" s="17">
        <f t="shared" ref="G1336:G1339" si="254">E1336*F1336</f>
        <v>225</v>
      </c>
      <c r="H1336" s="240">
        <f>SUM(G1336:G1340)</f>
        <v>720</v>
      </c>
      <c r="I1336" s="240">
        <v>2990</v>
      </c>
      <c r="J1336" s="240">
        <f>I1336-H1336</f>
        <v>2270</v>
      </c>
      <c r="K1336" s="241">
        <f>J1336/I1336</f>
        <v>0.75919732441471577</v>
      </c>
      <c r="M1336" s="236"/>
      <c r="N1336" s="244" t="s">
        <v>1214</v>
      </c>
      <c r="O1336" s="15" t="s">
        <v>146</v>
      </c>
      <c r="P1336" s="16">
        <v>15</v>
      </c>
      <c r="Q1336" s="17">
        <v>15</v>
      </c>
      <c r="R1336" s="17">
        <f t="shared" ref="R1336:R1339" si="255">P1336*Q1336</f>
        <v>225</v>
      </c>
      <c r="S1336" s="240">
        <f>SUM(R1336:R1340)</f>
        <v>720</v>
      </c>
      <c r="T1336" s="240">
        <v>2990</v>
      </c>
      <c r="U1336" s="240">
        <f>T1336-S1336</f>
        <v>2270</v>
      </c>
      <c r="V1336" s="241">
        <f>U1336/T1336</f>
        <v>0.75919732441471577</v>
      </c>
    </row>
    <row r="1337" spans="2:22" ht="13">
      <c r="B1337" s="236"/>
      <c r="C1337" s="245"/>
      <c r="D1337" s="19" t="s">
        <v>147</v>
      </c>
      <c r="E1337" s="17">
        <v>18</v>
      </c>
      <c r="F1337" s="17">
        <v>15</v>
      </c>
      <c r="G1337" s="17">
        <f t="shared" si="254"/>
        <v>270</v>
      </c>
      <c r="H1337" s="236"/>
      <c r="I1337" s="236"/>
      <c r="J1337" s="236"/>
      <c r="K1337" s="242"/>
      <c r="M1337" s="236"/>
      <c r="N1337" s="245"/>
      <c r="O1337" s="19" t="s">
        <v>147</v>
      </c>
      <c r="P1337" s="17">
        <v>18</v>
      </c>
      <c r="Q1337" s="17">
        <v>15</v>
      </c>
      <c r="R1337" s="17">
        <f t="shared" si="255"/>
        <v>270</v>
      </c>
      <c r="S1337" s="236"/>
      <c r="T1337" s="236"/>
      <c r="U1337" s="236"/>
      <c r="V1337" s="242"/>
    </row>
    <row r="1338" spans="2:22" ht="13">
      <c r="B1338" s="236"/>
      <c r="C1338" s="245"/>
      <c r="D1338" s="19" t="s">
        <v>1215</v>
      </c>
      <c r="E1338" s="17">
        <v>6</v>
      </c>
      <c r="F1338" s="17">
        <v>15</v>
      </c>
      <c r="G1338" s="17">
        <f t="shared" si="254"/>
        <v>90</v>
      </c>
      <c r="H1338" s="236"/>
      <c r="I1338" s="236"/>
      <c r="J1338" s="236"/>
      <c r="K1338" s="242"/>
      <c r="M1338" s="236"/>
      <c r="N1338" s="245"/>
      <c r="O1338" s="19" t="s">
        <v>1215</v>
      </c>
      <c r="P1338" s="17">
        <v>6</v>
      </c>
      <c r="Q1338" s="17">
        <v>15</v>
      </c>
      <c r="R1338" s="17">
        <f t="shared" si="255"/>
        <v>90</v>
      </c>
      <c r="S1338" s="236"/>
      <c r="T1338" s="236"/>
      <c r="U1338" s="236"/>
      <c r="V1338" s="242"/>
    </row>
    <row r="1339" spans="2:22" ht="13">
      <c r="B1339" s="236"/>
      <c r="C1339" s="245"/>
      <c r="D1339" s="19" t="s">
        <v>138</v>
      </c>
      <c r="E1339" s="17">
        <v>9</v>
      </c>
      <c r="F1339" s="17">
        <v>15</v>
      </c>
      <c r="G1339" s="17">
        <f t="shared" si="254"/>
        <v>135</v>
      </c>
      <c r="H1339" s="236"/>
      <c r="I1339" s="236"/>
      <c r="J1339" s="236"/>
      <c r="K1339" s="242"/>
      <c r="M1339" s="236"/>
      <c r="N1339" s="245"/>
      <c r="O1339" s="19" t="s">
        <v>138</v>
      </c>
      <c r="P1339" s="17">
        <v>9</v>
      </c>
      <c r="Q1339" s="17">
        <v>15</v>
      </c>
      <c r="R1339" s="17">
        <f t="shared" si="255"/>
        <v>135</v>
      </c>
      <c r="S1339" s="236"/>
      <c r="T1339" s="236"/>
      <c r="U1339" s="236"/>
      <c r="V1339" s="242"/>
    </row>
    <row r="1340" spans="2:22" ht="15" customHeight="1">
      <c r="B1340" s="236"/>
      <c r="C1340" s="246"/>
      <c r="D1340" s="44"/>
      <c r="E1340" s="21"/>
      <c r="F1340" s="21"/>
      <c r="G1340" s="21"/>
      <c r="H1340" s="238"/>
      <c r="I1340" s="238"/>
      <c r="J1340" s="238"/>
      <c r="K1340" s="243"/>
      <c r="M1340" s="236"/>
      <c r="N1340" s="246"/>
      <c r="O1340" s="44"/>
      <c r="P1340" s="21"/>
      <c r="Q1340" s="21"/>
      <c r="R1340" s="21"/>
      <c r="S1340" s="238"/>
      <c r="T1340" s="238"/>
      <c r="U1340" s="238"/>
      <c r="V1340" s="243"/>
    </row>
    <row r="1341" spans="2:22" ht="13">
      <c r="B1341" s="236"/>
      <c r="C1341" s="244" t="s">
        <v>1216</v>
      </c>
      <c r="D1341" s="15" t="s">
        <v>23</v>
      </c>
      <c r="E1341" s="16"/>
      <c r="F1341" s="17"/>
      <c r="G1341" s="17">
        <v>200</v>
      </c>
      <c r="H1341" s="240">
        <f>SUM(G1341:G1344)</f>
        <v>572.52</v>
      </c>
      <c r="I1341" s="237">
        <v>2633.57</v>
      </c>
      <c r="J1341" s="237">
        <f>I1341-H1341</f>
        <v>2061.0500000000002</v>
      </c>
      <c r="K1341" s="241">
        <f>J1341/I1341</f>
        <v>0.7826068796348683</v>
      </c>
      <c r="M1341" s="236"/>
      <c r="N1341" s="244" t="s">
        <v>1216</v>
      </c>
      <c r="O1341" s="15" t="s">
        <v>23</v>
      </c>
      <c r="P1341" s="16"/>
      <c r="Q1341" s="17"/>
      <c r="R1341" s="17">
        <v>200</v>
      </c>
      <c r="S1341" s="240">
        <f>SUM(R1341:R1344)</f>
        <v>572.52</v>
      </c>
      <c r="T1341" s="237">
        <v>2633.57</v>
      </c>
      <c r="U1341" s="237">
        <f>T1341-S1341</f>
        <v>2061.0500000000002</v>
      </c>
      <c r="V1341" s="241">
        <f>U1341/T1341</f>
        <v>0.7826068796348683</v>
      </c>
    </row>
    <row r="1342" spans="2:22" ht="13">
      <c r="B1342" s="236"/>
      <c r="C1342" s="245"/>
      <c r="D1342" s="24" t="s">
        <v>44</v>
      </c>
      <c r="E1342" s="17"/>
      <c r="F1342" s="17"/>
      <c r="G1342" s="17">
        <v>64.400000000000006</v>
      </c>
      <c r="H1342" s="236"/>
      <c r="I1342" s="236"/>
      <c r="J1342" s="236"/>
      <c r="K1342" s="242"/>
      <c r="M1342" s="236"/>
      <c r="N1342" s="245"/>
      <c r="O1342" s="24" t="s">
        <v>44</v>
      </c>
      <c r="P1342" s="17"/>
      <c r="Q1342" s="17"/>
      <c r="R1342" s="17">
        <v>64.400000000000006</v>
      </c>
      <c r="S1342" s="236"/>
      <c r="T1342" s="236"/>
      <c r="U1342" s="236"/>
      <c r="V1342" s="242"/>
    </row>
    <row r="1343" spans="2:22" ht="13">
      <c r="B1343" s="236"/>
      <c r="C1343" s="245"/>
      <c r="D1343" s="24" t="s">
        <v>83</v>
      </c>
      <c r="E1343" s="17"/>
      <c r="F1343" s="17"/>
      <c r="G1343" s="17">
        <v>99.79</v>
      </c>
      <c r="H1343" s="236"/>
      <c r="I1343" s="236"/>
      <c r="J1343" s="236"/>
      <c r="K1343" s="242"/>
      <c r="M1343" s="236"/>
      <c r="N1343" s="245"/>
      <c r="O1343" s="24" t="s">
        <v>83</v>
      </c>
      <c r="P1343" s="17"/>
      <c r="Q1343" s="17"/>
      <c r="R1343" s="17">
        <v>99.79</v>
      </c>
      <c r="S1343" s="236"/>
      <c r="T1343" s="236"/>
      <c r="U1343" s="236"/>
      <c r="V1343" s="242"/>
    </row>
    <row r="1344" spans="2:22" ht="13">
      <c r="B1344" s="236"/>
      <c r="C1344" s="246"/>
      <c r="D1344" s="44" t="s">
        <v>33</v>
      </c>
      <c r="E1344" s="21"/>
      <c r="F1344" s="21"/>
      <c r="G1344" s="21">
        <v>208.33</v>
      </c>
      <c r="H1344" s="238"/>
      <c r="I1344" s="238"/>
      <c r="J1344" s="238"/>
      <c r="K1344" s="243"/>
      <c r="M1344" s="236"/>
      <c r="N1344" s="246"/>
      <c r="O1344" s="44" t="s">
        <v>33</v>
      </c>
      <c r="P1344" s="21"/>
      <c r="Q1344" s="21"/>
      <c r="R1344" s="21">
        <v>208.33</v>
      </c>
      <c r="S1344" s="238"/>
      <c r="T1344" s="238"/>
      <c r="U1344" s="238"/>
      <c r="V1344" s="243"/>
    </row>
    <row r="1345" spans="2:22" ht="13">
      <c r="B1345" s="236"/>
      <c r="C1345" s="244" t="s">
        <v>1217</v>
      </c>
      <c r="D1345" s="15" t="s">
        <v>23</v>
      </c>
      <c r="E1345" s="16"/>
      <c r="F1345" s="17"/>
      <c r="G1345" s="17">
        <v>200</v>
      </c>
      <c r="H1345" s="240">
        <f>SUM(G1345:G1348)</f>
        <v>338.63</v>
      </c>
      <c r="I1345" s="237">
        <v>2628.05</v>
      </c>
      <c r="J1345" s="237">
        <f>I1345-H1345</f>
        <v>2289.42</v>
      </c>
      <c r="K1345" s="241">
        <f>J1345/I1345</f>
        <v>0.87114780921215351</v>
      </c>
      <c r="M1345" s="236"/>
      <c r="N1345" s="244" t="s">
        <v>1217</v>
      </c>
      <c r="O1345" s="15" t="s">
        <v>23</v>
      </c>
      <c r="P1345" s="16"/>
      <c r="Q1345" s="17"/>
      <c r="R1345" s="17">
        <v>200</v>
      </c>
      <c r="S1345" s="240">
        <f>SUM(R1345:R1348)</f>
        <v>338.63</v>
      </c>
      <c r="T1345" s="237">
        <v>2628.05</v>
      </c>
      <c r="U1345" s="237">
        <f>T1345-S1345</f>
        <v>2289.42</v>
      </c>
      <c r="V1345" s="241">
        <f>U1345/T1345</f>
        <v>0.87114780921215351</v>
      </c>
    </row>
    <row r="1346" spans="2:22" ht="13">
      <c r="B1346" s="236"/>
      <c r="C1346" s="245"/>
      <c r="D1346" s="24" t="s">
        <v>44</v>
      </c>
      <c r="E1346" s="17"/>
      <c r="F1346" s="17"/>
      <c r="G1346" s="17">
        <v>64.400000000000006</v>
      </c>
      <c r="H1346" s="236"/>
      <c r="I1346" s="236"/>
      <c r="J1346" s="236"/>
      <c r="K1346" s="242"/>
      <c r="M1346" s="236"/>
      <c r="N1346" s="245"/>
      <c r="O1346" s="24" t="s">
        <v>44</v>
      </c>
      <c r="P1346" s="17"/>
      <c r="Q1346" s="17"/>
      <c r="R1346" s="17">
        <v>64.400000000000006</v>
      </c>
      <c r="S1346" s="236"/>
      <c r="T1346" s="236"/>
      <c r="U1346" s="236"/>
      <c r="V1346" s="242"/>
    </row>
    <row r="1347" spans="2:22" ht="13">
      <c r="B1347" s="236"/>
      <c r="C1347" s="245"/>
      <c r="D1347" s="24" t="s">
        <v>83</v>
      </c>
      <c r="E1347" s="17"/>
      <c r="F1347" s="17"/>
      <c r="G1347" s="17">
        <v>74.23</v>
      </c>
      <c r="H1347" s="236"/>
      <c r="I1347" s="236"/>
      <c r="J1347" s="236"/>
      <c r="K1347" s="242"/>
      <c r="M1347" s="236"/>
      <c r="N1347" s="245"/>
      <c r="O1347" s="24" t="s">
        <v>83</v>
      </c>
      <c r="P1347" s="17"/>
      <c r="Q1347" s="17"/>
      <c r="R1347" s="17">
        <v>74.23</v>
      </c>
      <c r="S1347" s="236"/>
      <c r="T1347" s="236"/>
      <c r="U1347" s="236"/>
      <c r="V1347" s="242"/>
    </row>
    <row r="1348" spans="2:22" ht="13">
      <c r="B1348" s="236"/>
      <c r="C1348" s="246"/>
      <c r="D1348" s="44"/>
      <c r="E1348" s="21"/>
      <c r="F1348" s="21"/>
      <c r="G1348" s="21"/>
      <c r="H1348" s="238"/>
      <c r="I1348" s="238"/>
      <c r="J1348" s="238"/>
      <c r="K1348" s="243"/>
      <c r="M1348" s="236"/>
      <c r="N1348" s="246"/>
      <c r="O1348" s="44"/>
      <c r="P1348" s="21"/>
      <c r="Q1348" s="21"/>
      <c r="R1348" s="21"/>
      <c r="S1348" s="238"/>
      <c r="T1348" s="238"/>
      <c r="U1348" s="238"/>
      <c r="V1348" s="243"/>
    </row>
    <row r="1349" spans="2:22" ht="13">
      <c r="B1349" s="236"/>
      <c r="C1349" s="244" t="s">
        <v>1218</v>
      </c>
      <c r="D1349" s="15" t="s">
        <v>114</v>
      </c>
      <c r="E1349" s="16">
        <v>35</v>
      </c>
      <c r="F1349" s="17">
        <v>18</v>
      </c>
      <c r="G1349" s="17">
        <f t="shared" ref="G1349:G1355" si="256">E1349*F1349</f>
        <v>630</v>
      </c>
      <c r="H1349" s="240">
        <f>SUM(G1349:G1358)</f>
        <v>3088.27</v>
      </c>
      <c r="I1349" s="237">
        <v>8412.25</v>
      </c>
      <c r="J1349" s="237">
        <f>I1349-H1349</f>
        <v>5323.98</v>
      </c>
      <c r="K1349" s="241">
        <f>J1349/I1349</f>
        <v>0.63288418675146363</v>
      </c>
      <c r="M1349" s="236"/>
      <c r="N1349" s="244" t="s">
        <v>1218</v>
      </c>
      <c r="O1349" s="15" t="s">
        <v>114</v>
      </c>
      <c r="P1349" s="18"/>
      <c r="Q1349" s="18"/>
      <c r="R1349" s="18"/>
      <c r="S1349" s="240">
        <f>SUM(R1349:R1358)</f>
        <v>2346.27</v>
      </c>
      <c r="T1349" s="237">
        <v>8412.25</v>
      </c>
      <c r="U1349" s="237">
        <f>T1349-S1349</f>
        <v>6065.98</v>
      </c>
      <c r="V1349" s="241">
        <f>U1349/T1349</f>
        <v>0.72108888822847628</v>
      </c>
    </row>
    <row r="1350" spans="2:22" ht="13">
      <c r="B1350" s="236"/>
      <c r="C1350" s="245"/>
      <c r="D1350" s="24" t="s">
        <v>23</v>
      </c>
      <c r="E1350" s="17">
        <v>7</v>
      </c>
      <c r="F1350" s="17">
        <v>16</v>
      </c>
      <c r="G1350" s="17">
        <f t="shared" si="256"/>
        <v>112</v>
      </c>
      <c r="H1350" s="236"/>
      <c r="I1350" s="236"/>
      <c r="J1350" s="236"/>
      <c r="K1350" s="242"/>
      <c r="M1350" s="236"/>
      <c r="N1350" s="245"/>
      <c r="O1350" s="24" t="s">
        <v>23</v>
      </c>
      <c r="P1350" s="18"/>
      <c r="Q1350" s="18"/>
      <c r="R1350" s="18"/>
      <c r="S1350" s="236"/>
      <c r="T1350" s="236"/>
      <c r="U1350" s="236"/>
      <c r="V1350" s="242"/>
    </row>
    <row r="1351" spans="2:22" ht="13">
      <c r="B1351" s="236"/>
      <c r="C1351" s="245"/>
      <c r="D1351" s="24" t="s">
        <v>62</v>
      </c>
      <c r="E1351" s="17">
        <v>25.2</v>
      </c>
      <c r="F1351" s="17">
        <v>15</v>
      </c>
      <c r="G1351" s="17">
        <f t="shared" si="256"/>
        <v>378</v>
      </c>
      <c r="H1351" s="236"/>
      <c r="I1351" s="236"/>
      <c r="J1351" s="236"/>
      <c r="K1351" s="242"/>
      <c r="M1351" s="236"/>
      <c r="N1351" s="245"/>
      <c r="O1351" s="24" t="s">
        <v>62</v>
      </c>
      <c r="P1351" s="17">
        <v>25.2</v>
      </c>
      <c r="Q1351" s="17">
        <v>15</v>
      </c>
      <c r="R1351" s="17">
        <f t="shared" ref="R1351:R1355" si="257">P1351*Q1351</f>
        <v>378</v>
      </c>
      <c r="S1351" s="236"/>
      <c r="T1351" s="236"/>
      <c r="U1351" s="236"/>
      <c r="V1351" s="242"/>
    </row>
    <row r="1352" spans="2:22" ht="13">
      <c r="B1352" s="236"/>
      <c r="C1352" s="245"/>
      <c r="D1352" s="24" t="s">
        <v>586</v>
      </c>
      <c r="E1352" s="17">
        <v>24.89</v>
      </c>
      <c r="F1352" s="17">
        <v>15</v>
      </c>
      <c r="G1352" s="17">
        <f t="shared" si="256"/>
        <v>373.35</v>
      </c>
      <c r="H1352" s="236"/>
      <c r="I1352" s="236"/>
      <c r="J1352" s="236"/>
      <c r="K1352" s="242"/>
      <c r="M1352" s="236"/>
      <c r="N1352" s="245"/>
      <c r="O1352" s="24" t="s">
        <v>586</v>
      </c>
      <c r="P1352" s="17">
        <v>24.89</v>
      </c>
      <c r="Q1352" s="17">
        <v>15</v>
      </c>
      <c r="R1352" s="17">
        <f t="shared" si="257"/>
        <v>373.35</v>
      </c>
      <c r="S1352" s="236"/>
      <c r="T1352" s="236"/>
      <c r="U1352" s="236"/>
      <c r="V1352" s="242"/>
    </row>
    <row r="1353" spans="2:22" ht="13">
      <c r="B1353" s="236"/>
      <c r="C1353" s="245"/>
      <c r="D1353" s="24" t="s">
        <v>32</v>
      </c>
      <c r="E1353" s="17">
        <v>27.42</v>
      </c>
      <c r="F1353" s="17">
        <v>15</v>
      </c>
      <c r="G1353" s="17">
        <f t="shared" si="256"/>
        <v>411.3</v>
      </c>
      <c r="H1353" s="236"/>
      <c r="I1353" s="236"/>
      <c r="J1353" s="236"/>
      <c r="K1353" s="242"/>
      <c r="M1353" s="236"/>
      <c r="N1353" s="245"/>
      <c r="O1353" s="24" t="s">
        <v>32</v>
      </c>
      <c r="P1353" s="17">
        <v>27.42</v>
      </c>
      <c r="Q1353" s="17">
        <v>15</v>
      </c>
      <c r="R1353" s="17">
        <f t="shared" si="257"/>
        <v>411.3</v>
      </c>
      <c r="S1353" s="236"/>
      <c r="T1353" s="236"/>
      <c r="U1353" s="236"/>
      <c r="V1353" s="242"/>
    </row>
    <row r="1354" spans="2:22" ht="13">
      <c r="B1354" s="236"/>
      <c r="C1354" s="245"/>
      <c r="D1354" s="24" t="s">
        <v>55</v>
      </c>
      <c r="E1354" s="17">
        <v>26.14</v>
      </c>
      <c r="F1354" s="17">
        <v>15</v>
      </c>
      <c r="G1354" s="17">
        <f t="shared" si="256"/>
        <v>392.1</v>
      </c>
      <c r="H1354" s="236"/>
      <c r="I1354" s="236"/>
      <c r="J1354" s="236"/>
      <c r="K1354" s="242"/>
      <c r="M1354" s="236"/>
      <c r="N1354" s="245"/>
      <c r="O1354" s="24" t="s">
        <v>55</v>
      </c>
      <c r="P1354" s="17">
        <v>26.14</v>
      </c>
      <c r="Q1354" s="17">
        <v>15</v>
      </c>
      <c r="R1354" s="17">
        <f t="shared" si="257"/>
        <v>392.1</v>
      </c>
      <c r="S1354" s="236"/>
      <c r="T1354" s="236"/>
      <c r="U1354" s="236"/>
      <c r="V1354" s="242"/>
    </row>
    <row r="1355" spans="2:22" ht="13">
      <c r="B1355" s="236"/>
      <c r="C1355" s="245"/>
      <c r="D1355" s="24" t="s">
        <v>63</v>
      </c>
      <c r="E1355" s="17">
        <v>10</v>
      </c>
      <c r="F1355" s="17">
        <v>15</v>
      </c>
      <c r="G1355" s="17">
        <f t="shared" si="256"/>
        <v>150</v>
      </c>
      <c r="H1355" s="236"/>
      <c r="I1355" s="236"/>
      <c r="J1355" s="236"/>
      <c r="K1355" s="242"/>
      <c r="M1355" s="236"/>
      <c r="N1355" s="245"/>
      <c r="O1355" s="24" t="s">
        <v>63</v>
      </c>
      <c r="P1355" s="17">
        <v>10</v>
      </c>
      <c r="Q1355" s="17">
        <v>15</v>
      </c>
      <c r="R1355" s="17">
        <f t="shared" si="257"/>
        <v>150</v>
      </c>
      <c r="S1355" s="236"/>
      <c r="T1355" s="236"/>
      <c r="U1355" s="236"/>
      <c r="V1355" s="242"/>
    </row>
    <row r="1356" spans="2:22" ht="13">
      <c r="B1356" s="236"/>
      <c r="C1356" s="245"/>
      <c r="D1356" s="24" t="s">
        <v>33</v>
      </c>
      <c r="E1356" s="17"/>
      <c r="F1356" s="17"/>
      <c r="G1356" s="17">
        <v>200.34</v>
      </c>
      <c r="H1356" s="236"/>
      <c r="I1356" s="236"/>
      <c r="J1356" s="236"/>
      <c r="K1356" s="242"/>
      <c r="M1356" s="236"/>
      <c r="N1356" s="245"/>
      <c r="O1356" s="24" t="s">
        <v>33</v>
      </c>
      <c r="P1356" s="17"/>
      <c r="Q1356" s="17"/>
      <c r="R1356" s="17">
        <v>200.34</v>
      </c>
      <c r="S1356" s="236"/>
      <c r="T1356" s="236"/>
      <c r="U1356" s="236"/>
      <c r="V1356" s="242"/>
    </row>
    <row r="1357" spans="2:22" ht="13">
      <c r="B1357" s="236"/>
      <c r="C1357" s="245"/>
      <c r="D1357" s="24" t="s">
        <v>44</v>
      </c>
      <c r="E1357" s="17"/>
      <c r="F1357" s="17"/>
      <c r="G1357" s="17">
        <v>135.5</v>
      </c>
      <c r="H1357" s="236"/>
      <c r="I1357" s="236"/>
      <c r="J1357" s="236"/>
      <c r="K1357" s="242"/>
      <c r="M1357" s="236"/>
      <c r="N1357" s="245"/>
      <c r="O1357" s="24" t="s">
        <v>44</v>
      </c>
      <c r="P1357" s="17"/>
      <c r="Q1357" s="17"/>
      <c r="R1357" s="17">
        <v>135.5</v>
      </c>
      <c r="S1357" s="236"/>
      <c r="T1357" s="236"/>
      <c r="U1357" s="236"/>
      <c r="V1357" s="242"/>
    </row>
    <row r="1358" spans="2:22" ht="13">
      <c r="B1358" s="236"/>
      <c r="C1358" s="246"/>
      <c r="D1358" s="44" t="s">
        <v>162</v>
      </c>
      <c r="E1358" s="21"/>
      <c r="F1358" s="21"/>
      <c r="G1358" s="21">
        <v>305.68</v>
      </c>
      <c r="H1358" s="238"/>
      <c r="I1358" s="238"/>
      <c r="J1358" s="238"/>
      <c r="K1358" s="243"/>
      <c r="M1358" s="236"/>
      <c r="N1358" s="246"/>
      <c r="O1358" s="44" t="s">
        <v>162</v>
      </c>
      <c r="P1358" s="21"/>
      <c r="Q1358" s="21"/>
      <c r="R1358" s="21">
        <v>305.68</v>
      </c>
      <c r="S1358" s="238"/>
      <c r="T1358" s="238"/>
      <c r="U1358" s="238"/>
      <c r="V1358" s="243"/>
    </row>
    <row r="1359" spans="2:22" ht="13">
      <c r="B1359" s="236"/>
      <c r="C1359" s="244" t="s">
        <v>1219</v>
      </c>
      <c r="D1359" s="15" t="s">
        <v>874</v>
      </c>
      <c r="E1359" s="16">
        <v>20</v>
      </c>
      <c r="F1359" s="17">
        <v>15</v>
      </c>
      <c r="G1359" s="17">
        <f t="shared" ref="G1359:G1361" si="258">E1359*F1359</f>
        <v>300</v>
      </c>
      <c r="H1359" s="240">
        <f>SUM(G1359:G1362)</f>
        <v>600</v>
      </c>
      <c r="I1359" s="237">
        <v>2640</v>
      </c>
      <c r="J1359" s="237">
        <f>I1359-H1359</f>
        <v>2040</v>
      </c>
      <c r="K1359" s="241">
        <f>J1359/I1359</f>
        <v>0.77272727272727271</v>
      </c>
      <c r="M1359" s="236"/>
      <c r="N1359" s="244" t="s">
        <v>1219</v>
      </c>
      <c r="O1359" s="15" t="s">
        <v>874</v>
      </c>
      <c r="P1359" s="16">
        <v>20</v>
      </c>
      <c r="Q1359" s="17">
        <v>15</v>
      </c>
      <c r="R1359" s="17">
        <f t="shared" ref="R1359:R1361" si="259">P1359*Q1359</f>
        <v>300</v>
      </c>
      <c r="S1359" s="240">
        <f>SUM(R1359:R1362)</f>
        <v>600</v>
      </c>
      <c r="T1359" s="237">
        <v>2640</v>
      </c>
      <c r="U1359" s="237">
        <f>T1359-S1359</f>
        <v>2040</v>
      </c>
      <c r="V1359" s="241">
        <f>U1359/T1359</f>
        <v>0.77272727272727271</v>
      </c>
    </row>
    <row r="1360" spans="2:22" ht="13">
      <c r="B1360" s="236"/>
      <c r="C1360" s="245"/>
      <c r="D1360" s="19" t="s">
        <v>147</v>
      </c>
      <c r="E1360" s="17">
        <v>16</v>
      </c>
      <c r="F1360" s="17">
        <v>15</v>
      </c>
      <c r="G1360" s="17">
        <f t="shared" si="258"/>
        <v>240</v>
      </c>
      <c r="H1360" s="236"/>
      <c r="I1360" s="236"/>
      <c r="J1360" s="236"/>
      <c r="K1360" s="242"/>
      <c r="M1360" s="236"/>
      <c r="N1360" s="245"/>
      <c r="O1360" s="19" t="s">
        <v>147</v>
      </c>
      <c r="P1360" s="17">
        <v>16</v>
      </c>
      <c r="Q1360" s="17">
        <v>15</v>
      </c>
      <c r="R1360" s="17">
        <f t="shared" si="259"/>
        <v>240</v>
      </c>
      <c r="S1360" s="236"/>
      <c r="T1360" s="236"/>
      <c r="U1360" s="236"/>
      <c r="V1360" s="242"/>
    </row>
    <row r="1361" spans="2:22" ht="13">
      <c r="B1361" s="236"/>
      <c r="C1361" s="245"/>
      <c r="D1361" s="19" t="s">
        <v>138</v>
      </c>
      <c r="E1361" s="17">
        <v>4</v>
      </c>
      <c r="F1361" s="17">
        <v>15</v>
      </c>
      <c r="G1361" s="17">
        <f t="shared" si="258"/>
        <v>60</v>
      </c>
      <c r="H1361" s="236"/>
      <c r="I1361" s="236"/>
      <c r="J1361" s="236"/>
      <c r="K1361" s="242"/>
      <c r="M1361" s="236"/>
      <c r="N1361" s="245"/>
      <c r="O1361" s="19" t="s">
        <v>138</v>
      </c>
      <c r="P1361" s="17">
        <v>4</v>
      </c>
      <c r="Q1361" s="17">
        <v>15</v>
      </c>
      <c r="R1361" s="17">
        <f t="shared" si="259"/>
        <v>60</v>
      </c>
      <c r="S1361" s="236"/>
      <c r="T1361" s="236"/>
      <c r="U1361" s="236"/>
      <c r="V1361" s="242"/>
    </row>
    <row r="1362" spans="2:22" ht="13">
      <c r="B1362" s="236"/>
      <c r="C1362" s="246"/>
      <c r="D1362" s="44"/>
      <c r="E1362" s="21"/>
      <c r="F1362" s="21"/>
      <c r="G1362" s="21"/>
      <c r="H1362" s="238"/>
      <c r="I1362" s="238"/>
      <c r="J1362" s="238"/>
      <c r="K1362" s="243"/>
      <c r="M1362" s="236"/>
      <c r="N1362" s="246"/>
      <c r="O1362" s="44"/>
      <c r="P1362" s="21"/>
      <c r="Q1362" s="21"/>
      <c r="R1362" s="21"/>
      <c r="S1362" s="238"/>
      <c r="T1362" s="238"/>
      <c r="U1362" s="238"/>
      <c r="V1362" s="243"/>
    </row>
    <row r="1363" spans="2:22" ht="13">
      <c r="B1363" s="236"/>
      <c r="C1363" s="244" t="s">
        <v>1220</v>
      </c>
      <c r="D1363" s="15" t="s">
        <v>23</v>
      </c>
      <c r="E1363" s="16">
        <v>14</v>
      </c>
      <c r="F1363" s="17">
        <v>16</v>
      </c>
      <c r="G1363" s="17">
        <f t="shared" ref="G1363:G1364" si="260">E1363*F1363</f>
        <v>224</v>
      </c>
      <c r="H1363" s="240">
        <f>SUM(G1363:G1369)</f>
        <v>1297.5099999999998</v>
      </c>
      <c r="I1363" s="237">
        <v>5495.79</v>
      </c>
      <c r="J1363" s="237">
        <f>I1363-H1363</f>
        <v>4198.2800000000007</v>
      </c>
      <c r="K1363" s="241">
        <f>J1363/I1363</f>
        <v>0.76390837350044316</v>
      </c>
      <c r="M1363" s="236"/>
      <c r="N1363" s="244" t="s">
        <v>1220</v>
      </c>
      <c r="O1363" s="15" t="s">
        <v>23</v>
      </c>
      <c r="P1363" s="18"/>
      <c r="Q1363" s="18"/>
      <c r="R1363" s="18"/>
      <c r="S1363" s="240">
        <f>SUM(R1363:R1369)</f>
        <v>695.51</v>
      </c>
      <c r="T1363" s="237">
        <v>5495.79</v>
      </c>
      <c r="U1363" s="237">
        <f>T1363-S1363</f>
        <v>4800.28</v>
      </c>
      <c r="V1363" s="241">
        <f>U1363/T1363</f>
        <v>0.87344676561513446</v>
      </c>
    </row>
    <row r="1364" spans="2:22" ht="13">
      <c r="B1364" s="236"/>
      <c r="C1364" s="245"/>
      <c r="D1364" s="24" t="s">
        <v>1221</v>
      </c>
      <c r="E1364" s="17">
        <v>21</v>
      </c>
      <c r="F1364" s="17">
        <v>18</v>
      </c>
      <c r="G1364" s="17">
        <f t="shared" si="260"/>
        <v>378</v>
      </c>
      <c r="H1364" s="236"/>
      <c r="I1364" s="236"/>
      <c r="J1364" s="236"/>
      <c r="K1364" s="242"/>
      <c r="M1364" s="236"/>
      <c r="N1364" s="245"/>
      <c r="O1364" s="24" t="s">
        <v>1221</v>
      </c>
      <c r="P1364" s="18"/>
      <c r="Q1364" s="18"/>
      <c r="R1364" s="18"/>
      <c r="S1364" s="236"/>
      <c r="T1364" s="236"/>
      <c r="U1364" s="236"/>
      <c r="V1364" s="242"/>
    </row>
    <row r="1365" spans="2:22" ht="13">
      <c r="B1365" s="236"/>
      <c r="C1365" s="245"/>
      <c r="D1365" s="24" t="s">
        <v>212</v>
      </c>
      <c r="E1365" s="17"/>
      <c r="F1365" s="17"/>
      <c r="G1365" s="17">
        <v>167.9</v>
      </c>
      <c r="H1365" s="236"/>
      <c r="I1365" s="236"/>
      <c r="J1365" s="236"/>
      <c r="K1365" s="242"/>
      <c r="M1365" s="236"/>
      <c r="N1365" s="245"/>
      <c r="O1365" s="24" t="s">
        <v>212</v>
      </c>
      <c r="P1365" s="17"/>
      <c r="Q1365" s="17"/>
      <c r="R1365" s="17">
        <v>167.9</v>
      </c>
      <c r="S1365" s="236"/>
      <c r="T1365" s="236"/>
      <c r="U1365" s="236"/>
      <c r="V1365" s="242"/>
    </row>
    <row r="1366" spans="2:22" ht="13">
      <c r="B1366" s="236"/>
      <c r="C1366" s="245"/>
      <c r="D1366" s="24" t="s">
        <v>165</v>
      </c>
      <c r="E1366" s="17"/>
      <c r="F1366" s="17"/>
      <c r="G1366" s="17">
        <v>134.49</v>
      </c>
      <c r="H1366" s="236"/>
      <c r="I1366" s="236"/>
      <c r="J1366" s="236"/>
      <c r="K1366" s="242"/>
      <c r="M1366" s="236"/>
      <c r="N1366" s="245"/>
      <c r="O1366" s="24" t="s">
        <v>165</v>
      </c>
      <c r="P1366" s="17"/>
      <c r="Q1366" s="17"/>
      <c r="R1366" s="17">
        <v>134.49</v>
      </c>
      <c r="S1366" s="236"/>
      <c r="T1366" s="236"/>
      <c r="U1366" s="236"/>
      <c r="V1366" s="242"/>
    </row>
    <row r="1367" spans="2:22" ht="13">
      <c r="B1367" s="236"/>
      <c r="C1367" s="245"/>
      <c r="D1367" s="24" t="s">
        <v>174</v>
      </c>
      <c r="E1367" s="17"/>
      <c r="F1367" s="17"/>
      <c r="G1367" s="17">
        <v>54</v>
      </c>
      <c r="H1367" s="236"/>
      <c r="I1367" s="236"/>
      <c r="J1367" s="236"/>
      <c r="K1367" s="242"/>
      <c r="M1367" s="236"/>
      <c r="N1367" s="245"/>
      <c r="O1367" s="24" t="s">
        <v>174</v>
      </c>
      <c r="P1367" s="17"/>
      <c r="Q1367" s="17"/>
      <c r="R1367" s="17">
        <v>54</v>
      </c>
      <c r="S1367" s="236"/>
      <c r="T1367" s="236"/>
      <c r="U1367" s="236"/>
      <c r="V1367" s="242"/>
    </row>
    <row r="1368" spans="2:22" ht="13">
      <c r="B1368" s="236"/>
      <c r="C1368" s="245"/>
      <c r="D1368" s="24" t="s">
        <v>1113</v>
      </c>
      <c r="E1368" s="17"/>
      <c r="F1368" s="17"/>
      <c r="G1368" s="17">
        <v>150</v>
      </c>
      <c r="H1368" s="236"/>
      <c r="I1368" s="236"/>
      <c r="J1368" s="236"/>
      <c r="K1368" s="242"/>
      <c r="M1368" s="236"/>
      <c r="N1368" s="245"/>
      <c r="O1368" s="24" t="s">
        <v>1113</v>
      </c>
      <c r="P1368" s="17"/>
      <c r="Q1368" s="17"/>
      <c r="R1368" s="17">
        <v>150</v>
      </c>
      <c r="S1368" s="236"/>
      <c r="T1368" s="236"/>
      <c r="U1368" s="236"/>
      <c r="V1368" s="242"/>
    </row>
    <row r="1369" spans="2:22" ht="13">
      <c r="B1369" s="236"/>
      <c r="C1369" s="246"/>
      <c r="D1369" s="44" t="s">
        <v>395</v>
      </c>
      <c r="E1369" s="21"/>
      <c r="F1369" s="21"/>
      <c r="G1369" s="21">
        <v>189.12</v>
      </c>
      <c r="H1369" s="238"/>
      <c r="I1369" s="238"/>
      <c r="J1369" s="238"/>
      <c r="K1369" s="243"/>
      <c r="M1369" s="236"/>
      <c r="N1369" s="246"/>
      <c r="O1369" s="44" t="s">
        <v>395</v>
      </c>
      <c r="P1369" s="21"/>
      <c r="Q1369" s="21"/>
      <c r="R1369" s="21">
        <v>189.12</v>
      </c>
      <c r="S1369" s="238"/>
      <c r="T1369" s="238"/>
      <c r="U1369" s="238"/>
      <c r="V1369" s="243"/>
    </row>
    <row r="1370" spans="2:22" ht="13">
      <c r="B1370" s="236"/>
      <c r="C1370" s="244" t="s">
        <v>1222</v>
      </c>
      <c r="D1370" s="15" t="s">
        <v>87</v>
      </c>
      <c r="E1370" s="16">
        <v>1</v>
      </c>
      <c r="F1370" s="17">
        <v>21</v>
      </c>
      <c r="G1370" s="17">
        <f>E1370*F1370</f>
        <v>21</v>
      </c>
      <c r="H1370" s="240">
        <f>SUM(G1370:G1371)</f>
        <v>171</v>
      </c>
      <c r="I1370" s="237">
        <v>1404</v>
      </c>
      <c r="J1370" s="237">
        <f>I1370-H1370</f>
        <v>1233</v>
      </c>
      <c r="K1370" s="241">
        <f>J1370/I1370</f>
        <v>0.87820512820512819</v>
      </c>
      <c r="M1370" s="236"/>
      <c r="N1370" s="244" t="s">
        <v>1222</v>
      </c>
      <c r="O1370" s="15" t="s">
        <v>87</v>
      </c>
      <c r="P1370" s="18"/>
      <c r="Q1370" s="18"/>
      <c r="R1370" s="18"/>
      <c r="S1370" s="240">
        <f>SUM(R1370:R1371)</f>
        <v>150</v>
      </c>
      <c r="T1370" s="237">
        <v>1404</v>
      </c>
      <c r="U1370" s="237">
        <f>T1370-S1370</f>
        <v>1254</v>
      </c>
      <c r="V1370" s="241">
        <f>U1370/T1370</f>
        <v>0.89316239316239321</v>
      </c>
    </row>
    <row r="1371" spans="2:22" ht="13">
      <c r="B1371" s="236"/>
      <c r="C1371" s="246"/>
      <c r="D1371" s="44" t="s">
        <v>115</v>
      </c>
      <c r="E1371" s="21"/>
      <c r="F1371" s="21"/>
      <c r="G1371" s="21">
        <v>150</v>
      </c>
      <c r="H1371" s="238"/>
      <c r="I1371" s="238"/>
      <c r="J1371" s="238"/>
      <c r="K1371" s="243"/>
      <c r="M1371" s="236"/>
      <c r="N1371" s="246"/>
      <c r="O1371" s="44" t="s">
        <v>115</v>
      </c>
      <c r="P1371" s="21"/>
      <c r="Q1371" s="21"/>
      <c r="R1371" s="21">
        <v>150</v>
      </c>
      <c r="S1371" s="238"/>
      <c r="T1371" s="238"/>
      <c r="U1371" s="238"/>
      <c r="V1371" s="243"/>
    </row>
    <row r="1372" spans="2:22" ht="13">
      <c r="B1372" s="236"/>
      <c r="C1372" s="244" t="s">
        <v>1223</v>
      </c>
      <c r="D1372" s="15" t="s">
        <v>285</v>
      </c>
      <c r="E1372" s="16">
        <v>1</v>
      </c>
      <c r="F1372" s="17">
        <v>12</v>
      </c>
      <c r="G1372" s="17">
        <f>E1372*F1372</f>
        <v>12</v>
      </c>
      <c r="H1372" s="240">
        <f>SUM(G1372:G1373)</f>
        <v>87</v>
      </c>
      <c r="I1372" s="237">
        <v>1404</v>
      </c>
      <c r="J1372" s="237">
        <f>I1372-H1372</f>
        <v>1317</v>
      </c>
      <c r="K1372" s="241">
        <f>J1372/I1372</f>
        <v>0.93803418803418803</v>
      </c>
      <c r="M1372" s="236"/>
      <c r="N1372" s="244" t="s">
        <v>1223</v>
      </c>
      <c r="O1372" s="15" t="s">
        <v>285</v>
      </c>
      <c r="P1372" s="18"/>
      <c r="Q1372" s="18"/>
      <c r="R1372" s="18"/>
      <c r="S1372" s="240">
        <f>SUM(R1372:R1373)</f>
        <v>75</v>
      </c>
      <c r="T1372" s="237">
        <v>1404</v>
      </c>
      <c r="U1372" s="237">
        <f>T1372-S1372</f>
        <v>1329</v>
      </c>
      <c r="V1372" s="241">
        <f>U1372/T1372</f>
        <v>0.94658119658119655</v>
      </c>
    </row>
    <row r="1373" spans="2:22" ht="13">
      <c r="B1373" s="236"/>
      <c r="C1373" s="246"/>
      <c r="D1373" s="44" t="s">
        <v>115</v>
      </c>
      <c r="E1373" s="21"/>
      <c r="F1373" s="21"/>
      <c r="G1373" s="21">
        <v>75</v>
      </c>
      <c r="H1373" s="238"/>
      <c r="I1373" s="238"/>
      <c r="J1373" s="238"/>
      <c r="K1373" s="243"/>
      <c r="M1373" s="236"/>
      <c r="N1373" s="246"/>
      <c r="O1373" s="44" t="s">
        <v>115</v>
      </c>
      <c r="P1373" s="21"/>
      <c r="Q1373" s="21"/>
      <c r="R1373" s="21">
        <v>75</v>
      </c>
      <c r="S1373" s="238"/>
      <c r="T1373" s="238"/>
      <c r="U1373" s="238"/>
      <c r="V1373" s="243"/>
    </row>
    <row r="1374" spans="2:22" ht="13">
      <c r="B1374" s="236"/>
      <c r="C1374" s="244" t="s">
        <v>1224</v>
      </c>
      <c r="D1374" s="15" t="s">
        <v>23</v>
      </c>
      <c r="E1374" s="16">
        <v>7</v>
      </c>
      <c r="F1374" s="17">
        <v>16</v>
      </c>
      <c r="G1374" s="17">
        <f>E1374*F1374</f>
        <v>112</v>
      </c>
      <c r="H1374" s="240">
        <f>SUM(G1374:G1376)</f>
        <v>251.15999999999997</v>
      </c>
      <c r="I1374" s="237">
        <v>2261.9499999999998</v>
      </c>
      <c r="J1374" s="237">
        <f>I1374-H1374</f>
        <v>2010.79</v>
      </c>
      <c r="K1374" s="241">
        <f>J1374/I1374</f>
        <v>0.88896306284400628</v>
      </c>
      <c r="M1374" s="236"/>
      <c r="N1374" s="244" t="s">
        <v>1224</v>
      </c>
      <c r="O1374" s="15" t="s">
        <v>23</v>
      </c>
      <c r="P1374" s="18"/>
      <c r="Q1374" s="18"/>
      <c r="R1374" s="18"/>
      <c r="S1374" s="240">
        <f>SUM(R1374:R1376)</f>
        <v>139.16</v>
      </c>
      <c r="T1374" s="237">
        <v>2261.9499999999998</v>
      </c>
      <c r="U1374" s="237">
        <f>T1374-S1374</f>
        <v>2122.79</v>
      </c>
      <c r="V1374" s="241">
        <f>U1374/T1374</f>
        <v>0.93847786202170702</v>
      </c>
    </row>
    <row r="1375" spans="2:22" ht="13">
      <c r="B1375" s="236"/>
      <c r="C1375" s="245"/>
      <c r="D1375" s="24" t="s">
        <v>212</v>
      </c>
      <c r="E1375" s="17"/>
      <c r="F1375" s="17"/>
      <c r="G1375" s="17">
        <v>22.2</v>
      </c>
      <c r="H1375" s="236"/>
      <c r="I1375" s="236"/>
      <c r="J1375" s="236"/>
      <c r="K1375" s="242"/>
      <c r="M1375" s="236"/>
      <c r="N1375" s="245"/>
      <c r="O1375" s="24" t="s">
        <v>212</v>
      </c>
      <c r="P1375" s="17"/>
      <c r="Q1375" s="17"/>
      <c r="R1375" s="17">
        <v>22.2</v>
      </c>
      <c r="S1375" s="236"/>
      <c r="T1375" s="236"/>
      <c r="U1375" s="236"/>
      <c r="V1375" s="242"/>
    </row>
    <row r="1376" spans="2:22" ht="13">
      <c r="B1376" s="236"/>
      <c r="C1376" s="246"/>
      <c r="D1376" s="44" t="s">
        <v>395</v>
      </c>
      <c r="E1376" s="21"/>
      <c r="F1376" s="21"/>
      <c r="G1376" s="21">
        <v>116.96</v>
      </c>
      <c r="H1376" s="238"/>
      <c r="I1376" s="238"/>
      <c r="J1376" s="238"/>
      <c r="K1376" s="243"/>
      <c r="M1376" s="236"/>
      <c r="N1376" s="246"/>
      <c r="O1376" s="44" t="s">
        <v>395</v>
      </c>
      <c r="P1376" s="21"/>
      <c r="Q1376" s="21"/>
      <c r="R1376" s="21">
        <v>116.96</v>
      </c>
      <c r="S1376" s="238"/>
      <c r="T1376" s="238"/>
      <c r="U1376" s="238"/>
      <c r="V1376" s="243"/>
    </row>
    <row r="1377" spans="2:22" ht="13">
      <c r="B1377" s="236"/>
      <c r="C1377" s="244" t="s">
        <v>1225</v>
      </c>
      <c r="D1377" s="15" t="s">
        <v>23</v>
      </c>
      <c r="E1377" s="16">
        <v>7</v>
      </c>
      <c r="F1377" s="17">
        <v>16</v>
      </c>
      <c r="G1377" s="17">
        <f>E1377*F1377</f>
        <v>112</v>
      </c>
      <c r="H1377" s="240">
        <f>SUM(G1377:G1380)</f>
        <v>211</v>
      </c>
      <c r="I1377" s="237">
        <v>1785.77</v>
      </c>
      <c r="J1377" s="237">
        <f>I1377-H1377</f>
        <v>1574.77</v>
      </c>
      <c r="K1377" s="241">
        <f>J1377/I1377</f>
        <v>0.88184368647698197</v>
      </c>
      <c r="M1377" s="236"/>
      <c r="N1377" s="244" t="s">
        <v>1225</v>
      </c>
      <c r="O1377" s="15" t="s">
        <v>23</v>
      </c>
      <c r="P1377" s="18"/>
      <c r="Q1377" s="18"/>
      <c r="R1377" s="18"/>
      <c r="S1377" s="240">
        <f>SUM(R1377:R1380)</f>
        <v>99</v>
      </c>
      <c r="T1377" s="237">
        <v>1785.77</v>
      </c>
      <c r="U1377" s="237">
        <f>T1377-S1377</f>
        <v>1686.77</v>
      </c>
      <c r="V1377" s="241">
        <f>U1377/T1377</f>
        <v>0.94456172967403418</v>
      </c>
    </row>
    <row r="1378" spans="2:22" ht="13">
      <c r="B1378" s="236"/>
      <c r="C1378" s="245"/>
      <c r="D1378" s="24" t="s">
        <v>212</v>
      </c>
      <c r="E1378" s="17"/>
      <c r="F1378" s="17"/>
      <c r="G1378" s="17">
        <v>14</v>
      </c>
      <c r="H1378" s="236"/>
      <c r="I1378" s="236"/>
      <c r="J1378" s="236"/>
      <c r="K1378" s="242"/>
      <c r="M1378" s="236"/>
      <c r="N1378" s="245"/>
      <c r="O1378" s="24" t="s">
        <v>212</v>
      </c>
      <c r="P1378" s="17"/>
      <c r="Q1378" s="17"/>
      <c r="R1378" s="17">
        <v>14</v>
      </c>
      <c r="S1378" s="236"/>
      <c r="T1378" s="236"/>
      <c r="U1378" s="236"/>
      <c r="V1378" s="242"/>
    </row>
    <row r="1379" spans="2:22" ht="13">
      <c r="B1379" s="236"/>
      <c r="C1379" s="245"/>
      <c r="D1379" s="24" t="s">
        <v>1113</v>
      </c>
      <c r="E1379" s="17"/>
      <c r="F1379" s="17"/>
      <c r="G1379" s="17">
        <v>35</v>
      </c>
      <c r="H1379" s="236"/>
      <c r="I1379" s="236"/>
      <c r="J1379" s="236"/>
      <c r="K1379" s="242"/>
      <c r="M1379" s="236"/>
      <c r="N1379" s="245"/>
      <c r="O1379" s="24" t="s">
        <v>1113</v>
      </c>
      <c r="P1379" s="17"/>
      <c r="Q1379" s="17"/>
      <c r="R1379" s="17">
        <v>35</v>
      </c>
      <c r="S1379" s="236"/>
      <c r="T1379" s="236"/>
      <c r="U1379" s="236"/>
      <c r="V1379" s="242"/>
    </row>
    <row r="1380" spans="2:22" ht="13">
      <c r="B1380" s="236"/>
      <c r="C1380" s="246"/>
      <c r="D1380" s="44" t="s">
        <v>395</v>
      </c>
      <c r="E1380" s="21"/>
      <c r="F1380" s="21"/>
      <c r="G1380" s="21">
        <v>50</v>
      </c>
      <c r="H1380" s="238"/>
      <c r="I1380" s="238"/>
      <c r="J1380" s="238"/>
      <c r="K1380" s="243"/>
      <c r="M1380" s="236"/>
      <c r="N1380" s="246"/>
      <c r="O1380" s="44" t="s">
        <v>395</v>
      </c>
      <c r="P1380" s="21"/>
      <c r="Q1380" s="21"/>
      <c r="R1380" s="21">
        <v>50</v>
      </c>
      <c r="S1380" s="238"/>
      <c r="T1380" s="238"/>
      <c r="U1380" s="238"/>
      <c r="V1380" s="243"/>
    </row>
    <row r="1381" spans="2:22" ht="13">
      <c r="B1381" s="236"/>
      <c r="C1381" s="244" t="s">
        <v>1226</v>
      </c>
      <c r="D1381" s="15" t="s">
        <v>23</v>
      </c>
      <c r="E1381" s="16">
        <v>7</v>
      </c>
      <c r="F1381" s="17">
        <v>16</v>
      </c>
      <c r="G1381" s="17">
        <f>E1381*F1381</f>
        <v>112</v>
      </c>
      <c r="H1381" s="240">
        <f>SUM(G1381:G1384)</f>
        <v>231</v>
      </c>
      <c r="I1381" s="237">
        <v>1765.77</v>
      </c>
      <c r="J1381" s="237">
        <f>I1381-H1381</f>
        <v>1534.77</v>
      </c>
      <c r="K1381" s="241">
        <f>J1381/I1381</f>
        <v>0.86917888513226527</v>
      </c>
      <c r="M1381" s="236"/>
      <c r="N1381" s="244" t="s">
        <v>1226</v>
      </c>
      <c r="O1381" s="15" t="s">
        <v>23</v>
      </c>
      <c r="P1381" s="18"/>
      <c r="Q1381" s="18"/>
      <c r="R1381" s="18"/>
      <c r="S1381" s="240">
        <f>SUM(R1381:R1384)</f>
        <v>119</v>
      </c>
      <c r="T1381" s="237">
        <v>1765.77</v>
      </c>
      <c r="U1381" s="237">
        <f>T1381-S1381</f>
        <v>1646.77</v>
      </c>
      <c r="V1381" s="241">
        <f>U1381/T1381</f>
        <v>0.93260730446207607</v>
      </c>
    </row>
    <row r="1382" spans="2:22" ht="13">
      <c r="B1382" s="236"/>
      <c r="C1382" s="245"/>
      <c r="D1382" s="24" t="s">
        <v>212</v>
      </c>
      <c r="E1382" s="17"/>
      <c r="F1382" s="17"/>
      <c r="G1382" s="17">
        <v>14</v>
      </c>
      <c r="H1382" s="236"/>
      <c r="I1382" s="236"/>
      <c r="J1382" s="236"/>
      <c r="K1382" s="242"/>
      <c r="M1382" s="236"/>
      <c r="N1382" s="245"/>
      <c r="O1382" s="24" t="s">
        <v>212</v>
      </c>
      <c r="P1382" s="17"/>
      <c r="Q1382" s="17"/>
      <c r="R1382" s="17">
        <v>14</v>
      </c>
      <c r="S1382" s="236"/>
      <c r="T1382" s="236"/>
      <c r="U1382" s="236"/>
      <c r="V1382" s="242"/>
    </row>
    <row r="1383" spans="2:22" ht="13">
      <c r="B1383" s="236"/>
      <c r="C1383" s="245"/>
      <c r="D1383" s="24" t="s">
        <v>1113</v>
      </c>
      <c r="E1383" s="17"/>
      <c r="F1383" s="17"/>
      <c r="G1383" s="17">
        <v>35</v>
      </c>
      <c r="H1383" s="236"/>
      <c r="I1383" s="236"/>
      <c r="J1383" s="236"/>
      <c r="K1383" s="242"/>
      <c r="M1383" s="236"/>
      <c r="N1383" s="245"/>
      <c r="O1383" s="24" t="s">
        <v>1113</v>
      </c>
      <c r="P1383" s="17"/>
      <c r="Q1383" s="17"/>
      <c r="R1383" s="17">
        <v>35</v>
      </c>
      <c r="S1383" s="236"/>
      <c r="T1383" s="236"/>
      <c r="U1383" s="236"/>
      <c r="V1383" s="242"/>
    </row>
    <row r="1384" spans="2:22" ht="13">
      <c r="B1384" s="236"/>
      <c r="C1384" s="246"/>
      <c r="D1384" s="44" t="s">
        <v>395</v>
      </c>
      <c r="E1384" s="21"/>
      <c r="F1384" s="21"/>
      <c r="G1384" s="21">
        <v>70</v>
      </c>
      <c r="H1384" s="238"/>
      <c r="I1384" s="238"/>
      <c r="J1384" s="238"/>
      <c r="K1384" s="243"/>
      <c r="M1384" s="236"/>
      <c r="N1384" s="246"/>
      <c r="O1384" s="44" t="s">
        <v>395</v>
      </c>
      <c r="P1384" s="21"/>
      <c r="Q1384" s="21"/>
      <c r="R1384" s="21">
        <v>70</v>
      </c>
      <c r="S1384" s="238"/>
      <c r="T1384" s="238"/>
      <c r="U1384" s="238"/>
      <c r="V1384" s="243"/>
    </row>
    <row r="1385" spans="2:22" ht="30">
      <c r="B1385" s="254" t="s">
        <v>666</v>
      </c>
      <c r="C1385" s="255"/>
      <c r="D1385" s="256"/>
      <c r="E1385" s="27">
        <f t="shared" ref="E1385:J1385" si="261">AVERAGE(E1302:E1384)</f>
        <v>14.869999999999997</v>
      </c>
      <c r="F1385" s="27">
        <f t="shared" si="261"/>
        <v>15.111111111111111</v>
      </c>
      <c r="G1385" s="27">
        <f t="shared" si="261"/>
        <v>197.56721518987342</v>
      </c>
      <c r="H1385" s="27">
        <f t="shared" si="261"/>
        <v>1040.5206666666668</v>
      </c>
      <c r="I1385" s="27">
        <f t="shared" si="261"/>
        <v>3790.9553333333329</v>
      </c>
      <c r="J1385" s="27">
        <f t="shared" si="261"/>
        <v>2750.4346666666665</v>
      </c>
      <c r="K1385" s="28" t="str">
        <f ca="1">AVERAGE($K$12:$K$76)</f>
        <v>#REF!</v>
      </c>
      <c r="M1385" s="254" t="s">
        <v>666</v>
      </c>
      <c r="N1385" s="255"/>
      <c r="O1385" s="256"/>
      <c r="P1385" s="27">
        <f t="shared" ref="P1385:U1385" si="262">AVERAGE(P1302:P1384)</f>
        <v>15.883478260869564</v>
      </c>
      <c r="Q1385" s="27">
        <f t="shared" si="262"/>
        <v>14.130434782608695</v>
      </c>
      <c r="R1385" s="27">
        <f t="shared" si="262"/>
        <v>191.86075757575756</v>
      </c>
      <c r="S1385" s="27">
        <f t="shared" si="262"/>
        <v>844.1873333333333</v>
      </c>
      <c r="T1385" s="27">
        <f t="shared" si="262"/>
        <v>3790.9553333333329</v>
      </c>
      <c r="U1385" s="27">
        <f t="shared" si="262"/>
        <v>2946.7679999999996</v>
      </c>
      <c r="V1385" s="28" t="str">
        <f ca="1">AVERAGE($K$12:$K$76)</f>
        <v>#REF!</v>
      </c>
    </row>
    <row r="1386" spans="2:22" ht="30">
      <c r="B1386" s="251" t="s">
        <v>667</v>
      </c>
      <c r="C1386" s="252"/>
      <c r="D1386" s="253"/>
      <c r="E1386" s="121">
        <f t="shared" ref="E1386:J1386" si="263">SUM(E1302:E1384)</f>
        <v>535.31999999999994</v>
      </c>
      <c r="F1386" s="121">
        <f t="shared" si="263"/>
        <v>544</v>
      </c>
      <c r="G1386" s="121">
        <f t="shared" si="263"/>
        <v>15607.81</v>
      </c>
      <c r="H1386" s="121">
        <f t="shared" si="263"/>
        <v>15607.810000000001</v>
      </c>
      <c r="I1386" s="121">
        <f t="shared" si="263"/>
        <v>56864.329999999994</v>
      </c>
      <c r="J1386" s="121">
        <f t="shared" si="263"/>
        <v>41256.519999999997</v>
      </c>
      <c r="K1386" s="29">
        <f>J1386/I1386</f>
        <v>0.72552547440548409</v>
      </c>
      <c r="M1386" s="251" t="s">
        <v>667</v>
      </c>
      <c r="N1386" s="252"/>
      <c r="O1386" s="253"/>
      <c r="P1386" s="121">
        <f t="shared" ref="P1386:U1386" si="264">SUM(P1302:P1384)</f>
        <v>365.32</v>
      </c>
      <c r="Q1386" s="121">
        <f t="shared" si="264"/>
        <v>325</v>
      </c>
      <c r="R1386" s="121">
        <f t="shared" si="264"/>
        <v>12662.81</v>
      </c>
      <c r="S1386" s="121">
        <f t="shared" si="264"/>
        <v>12662.81</v>
      </c>
      <c r="T1386" s="121">
        <f t="shared" si="264"/>
        <v>56864.329999999994</v>
      </c>
      <c r="U1386" s="121">
        <f t="shared" si="264"/>
        <v>44201.52</v>
      </c>
      <c r="V1386" s="29">
        <f>U1386/T1386</f>
        <v>0.77731541020530803</v>
      </c>
    </row>
    <row r="1387" spans="2:22" ht="16">
      <c r="B1387" s="119"/>
      <c r="C1387" s="30"/>
      <c r="D1387" s="24"/>
      <c r="E1387" s="17"/>
      <c r="F1387" s="17"/>
      <c r="G1387" s="17"/>
      <c r="H1387" s="31"/>
      <c r="I1387" s="31"/>
      <c r="J1387" s="31"/>
      <c r="K1387" s="122"/>
      <c r="M1387" s="119"/>
      <c r="N1387" s="30"/>
      <c r="O1387" s="24"/>
      <c r="P1387" s="17"/>
      <c r="Q1387" s="17"/>
      <c r="R1387" s="17"/>
      <c r="S1387" s="31"/>
      <c r="T1387" s="31"/>
      <c r="U1387" s="31"/>
      <c r="V1387" s="122"/>
    </row>
    <row r="1388" spans="2:22" ht="30">
      <c r="B1388" s="257" t="s">
        <v>668</v>
      </c>
      <c r="C1388" s="252"/>
      <c r="D1388" s="253"/>
      <c r="E1388" s="34">
        <f t="shared" ref="E1388:J1388" si="265">SUM(E1218,E1301,E1386)</f>
        <v>2513.1800000000003</v>
      </c>
      <c r="F1388" s="34">
        <f t="shared" si="265"/>
        <v>2868</v>
      </c>
      <c r="G1388" s="34">
        <f t="shared" si="265"/>
        <v>90409.599999999977</v>
      </c>
      <c r="H1388" s="34">
        <f t="shared" si="265"/>
        <v>90409.599999999991</v>
      </c>
      <c r="I1388" s="34">
        <f t="shared" si="265"/>
        <v>216315.34</v>
      </c>
      <c r="J1388" s="34">
        <f t="shared" si="265"/>
        <v>125905.73999999999</v>
      </c>
      <c r="K1388" s="35">
        <f>J1388/I1388</f>
        <v>0.58204720941196308</v>
      </c>
      <c r="M1388" s="257" t="s">
        <v>668</v>
      </c>
      <c r="N1388" s="252"/>
      <c r="O1388" s="253"/>
      <c r="P1388" s="34">
        <f t="shared" ref="P1388:U1388" si="266">SUM(P1218,P1301,P1386)</f>
        <v>1874.1799999999996</v>
      </c>
      <c r="Q1388" s="34">
        <f t="shared" si="266"/>
        <v>2220</v>
      </c>
      <c r="R1388" s="34">
        <f t="shared" si="266"/>
        <v>79631.599999999977</v>
      </c>
      <c r="S1388" s="34">
        <f t="shared" si="266"/>
        <v>79631.600000000006</v>
      </c>
      <c r="T1388" s="34">
        <f t="shared" si="266"/>
        <v>216315.34</v>
      </c>
      <c r="U1388" s="34">
        <f t="shared" si="266"/>
        <v>136683.74</v>
      </c>
      <c r="V1388" s="35">
        <f>U1388/T1388</f>
        <v>0.63187261707838194</v>
      </c>
    </row>
    <row r="1389" spans="2:22" ht="16">
      <c r="B1389" s="119"/>
      <c r="C1389" s="30"/>
      <c r="D1389" s="24"/>
      <c r="E1389" s="17"/>
      <c r="F1389" s="17"/>
      <c r="G1389" s="17"/>
      <c r="H1389" s="31"/>
      <c r="I1389" s="31"/>
      <c r="J1389" s="31"/>
      <c r="K1389" s="122"/>
      <c r="M1389" s="119"/>
      <c r="N1389" s="30"/>
      <c r="O1389" s="24"/>
      <c r="P1389" s="17"/>
      <c r="Q1389" s="17"/>
      <c r="R1389" s="17"/>
      <c r="S1389" s="31"/>
      <c r="T1389" s="31"/>
      <c r="U1389" s="31"/>
      <c r="V1389" s="122"/>
    </row>
    <row r="1390" spans="2:22" ht="16">
      <c r="B1390" s="119"/>
      <c r="C1390" s="30"/>
      <c r="D1390" s="24"/>
      <c r="E1390" s="17"/>
      <c r="F1390" s="17"/>
      <c r="G1390" s="17"/>
      <c r="H1390" s="31"/>
      <c r="I1390" s="31"/>
      <c r="J1390" s="31"/>
      <c r="K1390" s="122"/>
      <c r="M1390" s="119"/>
      <c r="N1390" s="30"/>
      <c r="O1390" s="24"/>
      <c r="P1390" s="17"/>
      <c r="Q1390" s="17"/>
      <c r="R1390" s="17"/>
      <c r="S1390" s="31"/>
      <c r="T1390" s="31"/>
      <c r="U1390" s="31"/>
      <c r="V1390" s="122"/>
    </row>
    <row r="1391" spans="2:22" ht="16">
      <c r="B1391" s="119"/>
      <c r="C1391" s="30"/>
      <c r="D1391" s="24"/>
      <c r="E1391" s="17"/>
      <c r="F1391" s="17"/>
      <c r="G1391" s="17"/>
      <c r="H1391" s="31"/>
      <c r="I1391" s="31"/>
      <c r="J1391" s="31"/>
      <c r="K1391" s="122"/>
      <c r="M1391" s="119"/>
      <c r="N1391" s="30"/>
      <c r="O1391" s="24"/>
      <c r="P1391" s="17"/>
      <c r="Q1391" s="17"/>
      <c r="R1391" s="17"/>
      <c r="S1391" s="31"/>
      <c r="T1391" s="31"/>
      <c r="U1391" s="31"/>
      <c r="V1391" s="122"/>
    </row>
    <row r="1392" spans="2:22" ht="16">
      <c r="B1392" s="119"/>
      <c r="C1392" s="30"/>
      <c r="D1392" s="24"/>
      <c r="E1392" s="17"/>
      <c r="F1392" s="17"/>
      <c r="G1392" s="17"/>
      <c r="H1392" s="31"/>
      <c r="I1392" s="31"/>
      <c r="J1392" s="31"/>
      <c r="K1392" s="122"/>
      <c r="M1392" s="119"/>
      <c r="N1392" s="30"/>
      <c r="O1392" s="24"/>
      <c r="P1392" s="17"/>
      <c r="Q1392" s="17"/>
      <c r="R1392" s="17"/>
      <c r="S1392" s="31"/>
      <c r="T1392" s="31"/>
      <c r="U1392" s="31"/>
      <c r="V1392" s="122"/>
    </row>
    <row r="1393" spans="2:22" ht="16">
      <c r="B1393" s="119"/>
      <c r="C1393" s="30"/>
      <c r="D1393" s="24"/>
      <c r="E1393" s="17"/>
      <c r="F1393" s="17"/>
      <c r="G1393" s="17"/>
      <c r="H1393" s="31"/>
      <c r="I1393" s="31"/>
      <c r="J1393" s="31"/>
      <c r="K1393" s="122"/>
      <c r="M1393" s="119"/>
      <c r="N1393" s="30"/>
      <c r="O1393" s="24"/>
      <c r="P1393" s="17"/>
      <c r="Q1393" s="17"/>
      <c r="R1393" s="17"/>
      <c r="S1393" s="31"/>
      <c r="T1393" s="31"/>
      <c r="U1393" s="31"/>
      <c r="V1393" s="122"/>
    </row>
    <row r="1394" spans="2:22" ht="16">
      <c r="B1394" s="119"/>
      <c r="C1394" s="30"/>
      <c r="D1394" s="24"/>
      <c r="E1394" s="17"/>
      <c r="F1394" s="17"/>
      <c r="G1394" s="17"/>
      <c r="H1394" s="31"/>
      <c r="I1394" s="31"/>
      <c r="J1394" s="31"/>
      <c r="K1394" s="122"/>
      <c r="M1394" s="119"/>
      <c r="N1394" s="30"/>
      <c r="O1394" s="24"/>
      <c r="P1394" s="17"/>
      <c r="Q1394" s="17"/>
      <c r="R1394" s="17"/>
      <c r="S1394" s="31"/>
      <c r="T1394" s="31"/>
      <c r="U1394" s="31"/>
      <c r="V1394" s="122"/>
    </row>
    <row r="1395" spans="2:22" ht="16">
      <c r="B1395" s="119"/>
      <c r="C1395" s="30"/>
      <c r="D1395" s="24"/>
      <c r="E1395" s="17"/>
      <c r="F1395" s="17"/>
      <c r="G1395" s="17"/>
      <c r="H1395" s="31"/>
      <c r="I1395" s="31"/>
      <c r="J1395" s="31"/>
      <c r="K1395" s="122"/>
      <c r="M1395" s="119"/>
      <c r="N1395" s="30"/>
      <c r="O1395" s="24"/>
      <c r="P1395" s="17"/>
      <c r="Q1395" s="17"/>
      <c r="R1395" s="17"/>
      <c r="S1395" s="31"/>
      <c r="T1395" s="31"/>
      <c r="U1395" s="31"/>
      <c r="V1395" s="122"/>
    </row>
    <row r="1396" spans="2:22" ht="16">
      <c r="B1396" s="119"/>
      <c r="C1396" s="30"/>
      <c r="D1396" s="24"/>
      <c r="E1396" s="17"/>
      <c r="F1396" s="17"/>
      <c r="G1396" s="17"/>
      <c r="H1396" s="31"/>
      <c r="I1396" s="31"/>
      <c r="J1396" s="31"/>
      <c r="K1396" s="122"/>
      <c r="M1396" s="119"/>
      <c r="N1396" s="30"/>
      <c r="O1396" s="24"/>
      <c r="P1396" s="17"/>
      <c r="Q1396" s="17"/>
      <c r="R1396" s="17"/>
      <c r="S1396" s="31"/>
      <c r="T1396" s="31"/>
      <c r="U1396" s="31"/>
      <c r="V1396" s="122"/>
    </row>
    <row r="1397" spans="2:22" ht="16">
      <c r="B1397" s="119"/>
      <c r="C1397" s="30"/>
      <c r="D1397" s="24"/>
      <c r="E1397" s="17"/>
      <c r="F1397" s="17"/>
      <c r="G1397" s="17"/>
      <c r="H1397" s="31"/>
      <c r="I1397" s="31"/>
      <c r="J1397" s="31"/>
      <c r="K1397" s="122"/>
      <c r="M1397" s="119"/>
      <c r="N1397" s="30"/>
      <c r="O1397" s="24"/>
      <c r="P1397" s="17"/>
      <c r="Q1397" s="17"/>
      <c r="R1397" s="17"/>
      <c r="S1397" s="31"/>
      <c r="T1397" s="31"/>
      <c r="U1397" s="31"/>
      <c r="V1397" s="122"/>
    </row>
    <row r="1398" spans="2:22" ht="16">
      <c r="B1398" s="119"/>
      <c r="C1398" s="30"/>
      <c r="D1398" s="24"/>
      <c r="E1398" s="17"/>
      <c r="F1398" s="17"/>
      <c r="G1398" s="17"/>
      <c r="H1398" s="31"/>
      <c r="I1398" s="31"/>
      <c r="J1398" s="31"/>
      <c r="K1398" s="122"/>
      <c r="M1398" s="119"/>
      <c r="N1398" s="30"/>
      <c r="O1398" s="24"/>
      <c r="P1398" s="17"/>
      <c r="Q1398" s="17"/>
      <c r="R1398" s="17"/>
      <c r="S1398" s="31"/>
      <c r="T1398" s="31"/>
      <c r="U1398" s="31"/>
      <c r="V1398" s="122"/>
    </row>
    <row r="1399" spans="2:22" ht="16">
      <c r="B1399" s="119"/>
      <c r="C1399" s="30"/>
      <c r="D1399" s="24"/>
      <c r="E1399" s="17"/>
      <c r="F1399" s="17"/>
      <c r="G1399" s="17"/>
      <c r="H1399" s="31"/>
      <c r="I1399" s="31"/>
      <c r="J1399" s="31"/>
      <c r="K1399" s="122"/>
      <c r="M1399" s="119"/>
      <c r="N1399" s="30"/>
      <c r="O1399" s="24"/>
      <c r="P1399" s="17"/>
      <c r="Q1399" s="17"/>
      <c r="R1399" s="17"/>
      <c r="S1399" s="31"/>
      <c r="T1399" s="31"/>
      <c r="U1399" s="31"/>
      <c r="V1399" s="122"/>
    </row>
    <row r="1400" spans="2:22" ht="16">
      <c r="B1400" s="119"/>
      <c r="C1400" s="30"/>
      <c r="D1400" s="24"/>
      <c r="E1400" s="17"/>
      <c r="F1400" s="17"/>
      <c r="G1400" s="17"/>
      <c r="H1400" s="31"/>
      <c r="I1400" s="31"/>
      <c r="J1400" s="31"/>
      <c r="K1400" s="122"/>
      <c r="M1400" s="119"/>
      <c r="N1400" s="30"/>
      <c r="O1400" s="24"/>
      <c r="P1400" s="17"/>
      <c r="Q1400" s="17"/>
      <c r="R1400" s="17"/>
      <c r="S1400" s="31"/>
      <c r="T1400" s="31"/>
      <c r="U1400" s="31"/>
      <c r="V1400" s="122"/>
    </row>
    <row r="1401" spans="2:22" ht="16">
      <c r="B1401" s="119"/>
      <c r="C1401" s="30"/>
      <c r="D1401" s="24"/>
      <c r="E1401" s="17"/>
      <c r="F1401" s="17"/>
      <c r="G1401" s="17"/>
      <c r="H1401" s="31"/>
      <c r="I1401" s="31"/>
      <c r="J1401" s="31"/>
      <c r="K1401" s="122"/>
      <c r="M1401" s="119"/>
      <c r="N1401" s="30"/>
      <c r="O1401" s="24"/>
      <c r="P1401" s="17"/>
      <c r="Q1401" s="17"/>
      <c r="R1401" s="17"/>
      <c r="S1401" s="31"/>
      <c r="T1401" s="31"/>
      <c r="U1401" s="31"/>
      <c r="V1401" s="122"/>
    </row>
    <row r="1402" spans="2:22" ht="16">
      <c r="B1402" s="119"/>
      <c r="C1402" s="30"/>
      <c r="D1402" s="24"/>
      <c r="E1402" s="17"/>
      <c r="F1402" s="17"/>
      <c r="G1402" s="17"/>
      <c r="H1402" s="31"/>
      <c r="I1402" s="31"/>
      <c r="J1402" s="31"/>
      <c r="K1402" s="122"/>
      <c r="M1402" s="119"/>
      <c r="N1402" s="30"/>
      <c r="O1402" s="24"/>
      <c r="P1402" s="17"/>
      <c r="Q1402" s="17"/>
      <c r="R1402" s="17"/>
      <c r="S1402" s="31"/>
      <c r="T1402" s="31"/>
      <c r="U1402" s="31"/>
      <c r="V1402" s="122"/>
    </row>
    <row r="1403" spans="2:22" ht="16">
      <c r="B1403" s="119"/>
      <c r="C1403" s="30"/>
      <c r="D1403" s="24"/>
      <c r="E1403" s="17"/>
      <c r="F1403" s="17"/>
      <c r="G1403" s="17"/>
      <c r="H1403" s="31"/>
      <c r="I1403" s="31"/>
      <c r="J1403" s="31"/>
      <c r="K1403" s="122"/>
      <c r="M1403" s="119"/>
      <c r="N1403" s="30"/>
      <c r="O1403" s="24"/>
      <c r="P1403" s="17"/>
      <c r="Q1403" s="17"/>
      <c r="R1403" s="17"/>
      <c r="S1403" s="31"/>
      <c r="T1403" s="31"/>
      <c r="U1403" s="31"/>
      <c r="V1403" s="122"/>
    </row>
    <row r="1404" spans="2:22" ht="16">
      <c r="B1404" s="119"/>
      <c r="C1404" s="30"/>
      <c r="D1404" s="24"/>
      <c r="E1404" s="17"/>
      <c r="F1404" s="17"/>
      <c r="G1404" s="17"/>
      <c r="H1404" s="31"/>
      <c r="I1404" s="31"/>
      <c r="J1404" s="31"/>
      <c r="K1404" s="122"/>
      <c r="M1404" s="119"/>
      <c r="N1404" s="30"/>
      <c r="O1404" s="24"/>
      <c r="P1404" s="17"/>
      <c r="Q1404" s="17"/>
      <c r="R1404" s="17"/>
      <c r="S1404" s="31"/>
      <c r="T1404" s="31"/>
      <c r="U1404" s="31"/>
      <c r="V1404" s="122"/>
    </row>
    <row r="1405" spans="2:22" ht="16">
      <c r="B1405" s="119"/>
      <c r="C1405" s="30"/>
      <c r="D1405" s="24"/>
      <c r="E1405" s="17"/>
      <c r="F1405" s="17"/>
      <c r="G1405" s="17"/>
      <c r="H1405" s="31"/>
      <c r="I1405" s="31"/>
      <c r="J1405" s="31"/>
      <c r="K1405" s="122"/>
      <c r="M1405" s="119"/>
      <c r="N1405" s="30"/>
      <c r="O1405" s="24"/>
      <c r="P1405" s="17"/>
      <c r="Q1405" s="17"/>
      <c r="R1405" s="17"/>
      <c r="S1405" s="31"/>
      <c r="T1405" s="31"/>
      <c r="U1405" s="31"/>
      <c r="V1405" s="122"/>
    </row>
    <row r="1406" spans="2:22" ht="16">
      <c r="B1406" s="119"/>
      <c r="C1406" s="30"/>
      <c r="D1406" s="24"/>
      <c r="E1406" s="17"/>
      <c r="F1406" s="17"/>
      <c r="G1406" s="17"/>
      <c r="H1406" s="31"/>
      <c r="I1406" s="31"/>
      <c r="J1406" s="31"/>
      <c r="K1406" s="122"/>
      <c r="M1406" s="119"/>
      <c r="N1406" s="30"/>
      <c r="O1406" s="24"/>
      <c r="P1406" s="17"/>
      <c r="Q1406" s="17"/>
      <c r="R1406" s="17"/>
      <c r="S1406" s="31"/>
      <c r="T1406" s="31"/>
      <c r="U1406" s="31"/>
      <c r="V1406" s="122"/>
    </row>
    <row r="1407" spans="2:22" ht="16">
      <c r="B1407" s="119"/>
      <c r="C1407" s="30"/>
      <c r="D1407" s="24"/>
      <c r="E1407" s="17"/>
      <c r="F1407" s="17"/>
      <c r="G1407" s="17"/>
      <c r="H1407" s="31"/>
      <c r="I1407" s="31"/>
      <c r="J1407" s="31"/>
      <c r="K1407" s="122"/>
      <c r="M1407" s="119"/>
      <c r="N1407" s="30"/>
      <c r="O1407" s="24"/>
      <c r="P1407" s="17"/>
      <c r="Q1407" s="17"/>
      <c r="R1407" s="17"/>
      <c r="S1407" s="31"/>
      <c r="T1407" s="31"/>
      <c r="U1407" s="31"/>
      <c r="V1407" s="122"/>
    </row>
    <row r="1408" spans="2:22" ht="16">
      <c r="B1408" s="119"/>
      <c r="C1408" s="30"/>
      <c r="D1408" s="24"/>
      <c r="E1408" s="17"/>
      <c r="F1408" s="17"/>
      <c r="G1408" s="17"/>
      <c r="H1408" s="31"/>
      <c r="I1408" s="31"/>
      <c r="J1408" s="31"/>
      <c r="K1408" s="122"/>
      <c r="M1408" s="119"/>
      <c r="N1408" s="30"/>
      <c r="O1408" s="24"/>
      <c r="P1408" s="17"/>
      <c r="Q1408" s="17"/>
      <c r="R1408" s="17"/>
      <c r="S1408" s="31"/>
      <c r="T1408" s="31"/>
      <c r="U1408" s="31"/>
      <c r="V1408" s="122"/>
    </row>
    <row r="1409" spans="2:22" ht="16">
      <c r="B1409" s="119"/>
      <c r="C1409" s="30"/>
      <c r="D1409" s="24"/>
      <c r="E1409" s="17"/>
      <c r="F1409" s="17"/>
      <c r="G1409" s="17"/>
      <c r="H1409" s="31"/>
      <c r="I1409" s="31"/>
      <c r="J1409" s="31"/>
      <c r="K1409" s="122"/>
      <c r="M1409" s="119"/>
      <c r="N1409" s="30"/>
      <c r="O1409" s="24"/>
      <c r="P1409" s="17"/>
      <c r="Q1409" s="17"/>
      <c r="R1409" s="17"/>
      <c r="S1409" s="31"/>
      <c r="T1409" s="31"/>
      <c r="U1409" s="31"/>
      <c r="V1409" s="122"/>
    </row>
    <row r="1410" spans="2:22" ht="16">
      <c r="B1410" s="119"/>
      <c r="C1410" s="30"/>
      <c r="D1410" s="24"/>
      <c r="E1410" s="17"/>
      <c r="F1410" s="17"/>
      <c r="G1410" s="17"/>
      <c r="H1410" s="31"/>
      <c r="I1410" s="31"/>
      <c r="J1410" s="31"/>
      <c r="K1410" s="122"/>
      <c r="M1410" s="119"/>
      <c r="N1410" s="30"/>
      <c r="O1410" s="24"/>
      <c r="P1410" s="17"/>
      <c r="Q1410" s="17"/>
      <c r="R1410" s="17"/>
      <c r="S1410" s="31"/>
      <c r="T1410" s="31"/>
      <c r="U1410" s="31"/>
      <c r="V1410" s="122"/>
    </row>
    <row r="1411" spans="2:22" ht="16">
      <c r="B1411" s="119"/>
      <c r="C1411" s="30"/>
      <c r="D1411" s="24"/>
      <c r="E1411" s="17"/>
      <c r="F1411" s="17"/>
      <c r="G1411" s="17"/>
      <c r="H1411" s="31"/>
      <c r="I1411" s="31"/>
      <c r="J1411" s="31"/>
      <c r="K1411" s="122"/>
      <c r="M1411" s="119"/>
      <c r="N1411" s="30"/>
      <c r="O1411" s="24"/>
      <c r="P1411" s="17"/>
      <c r="Q1411" s="17"/>
      <c r="R1411" s="17"/>
      <c r="S1411" s="31"/>
      <c r="T1411" s="31"/>
      <c r="U1411" s="31"/>
      <c r="V1411" s="122"/>
    </row>
    <row r="1412" spans="2:22" ht="16">
      <c r="B1412" s="119"/>
      <c r="C1412" s="30"/>
      <c r="D1412" s="24"/>
      <c r="E1412" s="17"/>
      <c r="F1412" s="17"/>
      <c r="G1412" s="17"/>
      <c r="H1412" s="31"/>
      <c r="I1412" s="31"/>
      <c r="J1412" s="31"/>
      <c r="K1412" s="122"/>
      <c r="M1412" s="119"/>
      <c r="N1412" s="30"/>
      <c r="O1412" s="24"/>
      <c r="P1412" s="17"/>
      <c r="Q1412" s="17"/>
      <c r="R1412" s="17"/>
      <c r="S1412" s="31"/>
      <c r="T1412" s="31"/>
      <c r="U1412" s="31"/>
      <c r="V1412" s="122"/>
    </row>
    <row r="1413" spans="2:22" ht="16">
      <c r="B1413" s="119"/>
      <c r="C1413" s="30"/>
      <c r="D1413" s="24"/>
      <c r="E1413" s="17"/>
      <c r="F1413" s="17"/>
      <c r="G1413" s="17"/>
      <c r="H1413" s="31"/>
      <c r="I1413" s="31"/>
      <c r="J1413" s="31"/>
      <c r="K1413" s="122"/>
      <c r="M1413" s="119"/>
      <c r="N1413" s="30"/>
      <c r="O1413" s="24"/>
      <c r="P1413" s="17"/>
      <c r="Q1413" s="17"/>
      <c r="R1413" s="17"/>
      <c r="S1413" s="31"/>
      <c r="T1413" s="31"/>
      <c r="U1413" s="31"/>
      <c r="V1413" s="122"/>
    </row>
    <row r="1414" spans="2:22" ht="16">
      <c r="B1414" s="119"/>
      <c r="C1414" s="30"/>
      <c r="D1414" s="24"/>
      <c r="E1414" s="17"/>
      <c r="F1414" s="17"/>
      <c r="G1414" s="17"/>
      <c r="H1414" s="31"/>
      <c r="I1414" s="31"/>
      <c r="J1414" s="31"/>
      <c r="K1414" s="122"/>
      <c r="M1414" s="119"/>
      <c r="N1414" s="30"/>
      <c r="O1414" s="24"/>
      <c r="P1414" s="17"/>
      <c r="Q1414" s="17"/>
      <c r="R1414" s="17"/>
      <c r="S1414" s="31"/>
      <c r="T1414" s="31"/>
      <c r="U1414" s="31"/>
      <c r="V1414" s="122"/>
    </row>
    <row r="1415" spans="2:22" ht="16">
      <c r="B1415" s="119"/>
      <c r="C1415" s="30"/>
      <c r="D1415" s="24"/>
      <c r="E1415" s="17"/>
      <c r="F1415" s="17"/>
      <c r="G1415" s="17"/>
      <c r="H1415" s="31"/>
      <c r="I1415" s="31"/>
      <c r="J1415" s="31"/>
      <c r="K1415" s="122"/>
      <c r="M1415" s="119"/>
      <c r="N1415" s="30"/>
      <c r="O1415" s="24"/>
      <c r="P1415" s="17"/>
      <c r="Q1415" s="17"/>
      <c r="R1415" s="17"/>
      <c r="S1415" s="31"/>
      <c r="T1415" s="31"/>
      <c r="U1415" s="31"/>
      <c r="V1415" s="122"/>
    </row>
    <row r="1416" spans="2:22" ht="16">
      <c r="B1416" s="119"/>
      <c r="C1416" s="30"/>
      <c r="D1416" s="24"/>
      <c r="E1416" s="17"/>
      <c r="F1416" s="17"/>
      <c r="G1416" s="17"/>
      <c r="H1416" s="31"/>
      <c r="I1416" s="31"/>
      <c r="J1416" s="31"/>
      <c r="K1416" s="122"/>
      <c r="M1416" s="119"/>
      <c r="N1416" s="30"/>
      <c r="O1416" s="24"/>
      <c r="P1416" s="17"/>
      <c r="Q1416" s="17"/>
      <c r="R1416" s="17"/>
      <c r="S1416" s="31"/>
      <c r="T1416" s="31"/>
      <c r="U1416" s="31"/>
      <c r="V1416" s="122"/>
    </row>
    <row r="1417" spans="2:22" ht="16">
      <c r="B1417" s="119"/>
      <c r="C1417" s="30"/>
      <c r="D1417" s="24"/>
      <c r="E1417" s="17"/>
      <c r="F1417" s="17"/>
      <c r="G1417" s="17"/>
      <c r="H1417" s="31"/>
      <c r="I1417" s="31"/>
      <c r="J1417" s="31"/>
      <c r="K1417" s="122"/>
      <c r="M1417" s="119"/>
      <c r="N1417" s="30"/>
      <c r="O1417" s="24"/>
      <c r="P1417" s="17"/>
      <c r="Q1417" s="17"/>
      <c r="R1417" s="17"/>
      <c r="S1417" s="31"/>
      <c r="T1417" s="31"/>
      <c r="U1417" s="31"/>
      <c r="V1417" s="122"/>
    </row>
    <row r="1418" spans="2:22" ht="16">
      <c r="B1418" s="119"/>
      <c r="C1418" s="30"/>
      <c r="D1418" s="24"/>
      <c r="E1418" s="17"/>
      <c r="F1418" s="17"/>
      <c r="G1418" s="17"/>
      <c r="H1418" s="31"/>
      <c r="I1418" s="31"/>
      <c r="J1418" s="31"/>
      <c r="K1418" s="122"/>
      <c r="M1418" s="119"/>
      <c r="N1418" s="30"/>
      <c r="O1418" s="24"/>
      <c r="P1418" s="17"/>
      <c r="Q1418" s="17"/>
      <c r="R1418" s="17"/>
      <c r="S1418" s="31"/>
      <c r="T1418" s="31"/>
      <c r="U1418" s="31"/>
      <c r="V1418" s="122"/>
    </row>
    <row r="1419" spans="2:22" ht="16">
      <c r="B1419" s="119"/>
      <c r="C1419" s="30"/>
      <c r="D1419" s="24"/>
      <c r="E1419" s="17"/>
      <c r="F1419" s="17"/>
      <c r="G1419" s="17"/>
      <c r="H1419" s="31"/>
      <c r="I1419" s="31"/>
      <c r="J1419" s="31"/>
      <c r="K1419" s="122"/>
      <c r="M1419" s="119"/>
      <c r="N1419" s="30"/>
      <c r="O1419" s="24"/>
      <c r="P1419" s="17"/>
      <c r="Q1419" s="17"/>
      <c r="R1419" s="17"/>
      <c r="S1419" s="31"/>
      <c r="T1419" s="31"/>
      <c r="U1419" s="31"/>
      <c r="V1419" s="122"/>
    </row>
    <row r="1420" spans="2:22" ht="16">
      <c r="B1420" s="119"/>
      <c r="C1420" s="30"/>
      <c r="D1420" s="24"/>
      <c r="E1420" s="17"/>
      <c r="F1420" s="17"/>
      <c r="G1420" s="17"/>
      <c r="H1420" s="31"/>
      <c r="I1420" s="31"/>
      <c r="J1420" s="31"/>
      <c r="K1420" s="122"/>
      <c r="M1420" s="119"/>
      <c r="N1420" s="30"/>
      <c r="O1420" s="24"/>
      <c r="P1420" s="17"/>
      <c r="Q1420" s="17"/>
      <c r="R1420" s="17"/>
      <c r="S1420" s="31"/>
      <c r="T1420" s="31"/>
      <c r="U1420" s="31"/>
      <c r="V1420" s="122"/>
    </row>
    <row r="1421" spans="2:22" ht="16">
      <c r="B1421" s="119"/>
      <c r="C1421" s="30"/>
      <c r="D1421" s="24"/>
      <c r="E1421" s="17"/>
      <c r="F1421" s="17"/>
      <c r="G1421" s="17"/>
      <c r="H1421" s="31"/>
      <c r="I1421" s="31"/>
      <c r="J1421" s="31"/>
      <c r="K1421" s="122"/>
      <c r="M1421" s="119"/>
      <c r="N1421" s="30"/>
      <c r="O1421" s="24"/>
      <c r="P1421" s="17"/>
      <c r="Q1421" s="17"/>
      <c r="R1421" s="17"/>
      <c r="S1421" s="31"/>
      <c r="T1421" s="31"/>
      <c r="U1421" s="31"/>
      <c r="V1421" s="122"/>
    </row>
    <row r="1422" spans="2:22" ht="16">
      <c r="B1422" s="119"/>
      <c r="C1422" s="30"/>
      <c r="D1422" s="24"/>
      <c r="E1422" s="17"/>
      <c r="F1422" s="17"/>
      <c r="G1422" s="17"/>
      <c r="H1422" s="31"/>
      <c r="I1422" s="31"/>
      <c r="J1422" s="31"/>
      <c r="K1422" s="122"/>
      <c r="M1422" s="119"/>
      <c r="N1422" s="30"/>
      <c r="O1422" s="24"/>
      <c r="P1422" s="17"/>
      <c r="Q1422" s="17"/>
      <c r="R1422" s="17"/>
      <c r="S1422" s="31"/>
      <c r="T1422" s="31"/>
      <c r="U1422" s="31"/>
      <c r="V1422" s="122"/>
    </row>
    <row r="1423" spans="2:22" ht="16">
      <c r="B1423" s="119"/>
      <c r="C1423" s="30"/>
      <c r="D1423" s="24"/>
      <c r="E1423" s="17"/>
      <c r="F1423" s="17"/>
      <c r="G1423" s="17"/>
      <c r="H1423" s="31"/>
      <c r="I1423" s="31"/>
      <c r="J1423" s="31"/>
      <c r="K1423" s="122"/>
      <c r="M1423" s="119"/>
      <c r="N1423" s="30"/>
      <c r="O1423" s="24"/>
      <c r="P1423" s="17"/>
      <c r="Q1423" s="17"/>
      <c r="R1423" s="17"/>
      <c r="S1423" s="31"/>
      <c r="T1423" s="31"/>
      <c r="U1423" s="31"/>
      <c r="V1423" s="122"/>
    </row>
    <row r="1424" spans="2:22" ht="16">
      <c r="B1424" s="119"/>
      <c r="C1424" s="30"/>
      <c r="D1424" s="24"/>
      <c r="E1424" s="17"/>
      <c r="F1424" s="17"/>
      <c r="G1424" s="17"/>
      <c r="H1424" s="31"/>
      <c r="I1424" s="31"/>
      <c r="J1424" s="31"/>
      <c r="K1424" s="122"/>
      <c r="M1424" s="119"/>
      <c r="N1424" s="30"/>
      <c r="O1424" s="24"/>
      <c r="P1424" s="17"/>
      <c r="Q1424" s="17"/>
      <c r="R1424" s="17"/>
      <c r="S1424" s="31"/>
      <c r="T1424" s="31"/>
      <c r="U1424" s="31"/>
      <c r="V1424" s="122"/>
    </row>
    <row r="1425" spans="2:22" ht="16">
      <c r="B1425" s="119"/>
      <c r="C1425" s="30"/>
      <c r="D1425" s="24"/>
      <c r="E1425" s="17"/>
      <c r="F1425" s="17"/>
      <c r="G1425" s="17"/>
      <c r="H1425" s="31"/>
      <c r="I1425" s="31"/>
      <c r="J1425" s="31"/>
      <c r="K1425" s="122"/>
      <c r="M1425" s="119"/>
      <c r="N1425" s="30"/>
      <c r="O1425" s="24"/>
      <c r="P1425" s="17"/>
      <c r="Q1425" s="17"/>
      <c r="R1425" s="17"/>
      <c r="S1425" s="31"/>
      <c r="T1425" s="31"/>
      <c r="U1425" s="31"/>
      <c r="V1425" s="122"/>
    </row>
    <row r="1426" spans="2:22" ht="16">
      <c r="B1426" s="119"/>
      <c r="C1426" s="30"/>
      <c r="D1426" s="24"/>
      <c r="E1426" s="17"/>
      <c r="F1426" s="17"/>
      <c r="G1426" s="17"/>
      <c r="H1426" s="31"/>
      <c r="I1426" s="31"/>
      <c r="J1426" s="31"/>
      <c r="K1426" s="122"/>
      <c r="M1426" s="119"/>
      <c r="N1426" s="30"/>
      <c r="O1426" s="24"/>
      <c r="P1426" s="17"/>
      <c r="Q1426" s="17"/>
      <c r="R1426" s="17"/>
      <c r="S1426" s="31"/>
      <c r="T1426" s="31"/>
      <c r="U1426" s="31"/>
      <c r="V1426" s="122"/>
    </row>
    <row r="1427" spans="2:22" ht="16">
      <c r="B1427" s="119"/>
      <c r="C1427" s="30"/>
      <c r="D1427" s="24"/>
      <c r="E1427" s="17"/>
      <c r="F1427" s="17"/>
      <c r="G1427" s="17"/>
      <c r="H1427" s="31"/>
      <c r="I1427" s="31"/>
      <c r="J1427" s="31"/>
      <c r="K1427" s="122"/>
      <c r="M1427" s="119"/>
      <c r="N1427" s="30"/>
      <c r="O1427" s="24"/>
      <c r="P1427" s="17"/>
      <c r="Q1427" s="17"/>
      <c r="R1427" s="17"/>
      <c r="S1427" s="31"/>
      <c r="T1427" s="31"/>
      <c r="U1427" s="31"/>
      <c r="V1427" s="122"/>
    </row>
    <row r="1428" spans="2:22" ht="16">
      <c r="B1428" s="119"/>
      <c r="C1428" s="30"/>
      <c r="D1428" s="24"/>
      <c r="E1428" s="17"/>
      <c r="F1428" s="17"/>
      <c r="G1428" s="17"/>
      <c r="H1428" s="31"/>
      <c r="I1428" s="31"/>
      <c r="J1428" s="31"/>
      <c r="K1428" s="122"/>
      <c r="M1428" s="119"/>
      <c r="N1428" s="30"/>
      <c r="O1428" s="24"/>
      <c r="P1428" s="17"/>
      <c r="Q1428" s="17"/>
      <c r="R1428" s="17"/>
      <c r="S1428" s="31"/>
      <c r="T1428" s="31"/>
      <c r="U1428" s="31"/>
      <c r="V1428" s="122"/>
    </row>
    <row r="1429" spans="2:22" ht="16">
      <c r="B1429" s="119"/>
      <c r="C1429" s="30"/>
      <c r="D1429" s="24"/>
      <c r="E1429" s="17"/>
      <c r="F1429" s="17"/>
      <c r="G1429" s="17"/>
      <c r="H1429" s="31"/>
      <c r="I1429" s="31"/>
      <c r="J1429" s="31"/>
      <c r="K1429" s="122"/>
      <c r="M1429" s="119"/>
      <c r="N1429" s="30"/>
      <c r="O1429" s="24"/>
      <c r="P1429" s="17"/>
      <c r="Q1429" s="17"/>
      <c r="R1429" s="17"/>
      <c r="S1429" s="31"/>
      <c r="T1429" s="31"/>
      <c r="U1429" s="31"/>
      <c r="V1429" s="122"/>
    </row>
    <row r="1430" spans="2:22" ht="16">
      <c r="B1430" s="119"/>
      <c r="C1430" s="30"/>
      <c r="D1430" s="24"/>
      <c r="E1430" s="17"/>
      <c r="F1430" s="17"/>
      <c r="G1430" s="17"/>
      <c r="H1430" s="31"/>
      <c r="I1430" s="31"/>
      <c r="J1430" s="31"/>
      <c r="K1430" s="122"/>
      <c r="M1430" s="119"/>
      <c r="N1430" s="30"/>
      <c r="O1430" s="24"/>
      <c r="P1430" s="17"/>
      <c r="Q1430" s="17"/>
      <c r="R1430" s="17"/>
      <c r="S1430" s="31"/>
      <c r="T1430" s="31"/>
      <c r="U1430" s="31"/>
      <c r="V1430" s="122"/>
    </row>
    <row r="1431" spans="2:22" ht="16">
      <c r="B1431" s="119"/>
      <c r="C1431" s="30"/>
      <c r="D1431" s="24"/>
      <c r="E1431" s="17"/>
      <c r="F1431" s="17"/>
      <c r="G1431" s="17"/>
      <c r="H1431" s="31"/>
      <c r="I1431" s="31"/>
      <c r="J1431" s="31"/>
      <c r="K1431" s="122"/>
      <c r="M1431" s="119"/>
      <c r="N1431" s="30"/>
      <c r="O1431" s="24"/>
      <c r="P1431" s="17"/>
      <c r="Q1431" s="17"/>
      <c r="R1431" s="17"/>
      <c r="S1431" s="31"/>
      <c r="T1431" s="31"/>
      <c r="U1431" s="31"/>
      <c r="V1431" s="122"/>
    </row>
    <row r="1432" spans="2:22" ht="16">
      <c r="B1432" s="119"/>
      <c r="C1432" s="30"/>
      <c r="D1432" s="24"/>
      <c r="E1432" s="17"/>
      <c r="F1432" s="17"/>
      <c r="G1432" s="17"/>
      <c r="H1432" s="31"/>
      <c r="I1432" s="31"/>
      <c r="J1432" s="31"/>
      <c r="K1432" s="122"/>
      <c r="M1432" s="119"/>
      <c r="N1432" s="30"/>
      <c r="O1432" s="24"/>
      <c r="P1432" s="17"/>
      <c r="Q1432" s="17"/>
      <c r="R1432" s="17"/>
      <c r="S1432" s="31"/>
      <c r="T1432" s="31"/>
      <c r="U1432" s="31"/>
      <c r="V1432" s="122"/>
    </row>
    <row r="1433" spans="2:22" ht="16">
      <c r="B1433" s="119"/>
      <c r="C1433" s="30"/>
      <c r="D1433" s="24"/>
      <c r="E1433" s="17"/>
      <c r="F1433" s="17"/>
      <c r="G1433" s="17"/>
      <c r="H1433" s="31"/>
      <c r="I1433" s="31"/>
      <c r="J1433" s="31"/>
      <c r="K1433" s="122"/>
      <c r="M1433" s="119"/>
      <c r="N1433" s="30"/>
      <c r="O1433" s="24"/>
      <c r="P1433" s="17"/>
      <c r="Q1433" s="17"/>
      <c r="R1433" s="17"/>
      <c r="S1433" s="31"/>
      <c r="T1433" s="31"/>
      <c r="U1433" s="31"/>
      <c r="V1433" s="122"/>
    </row>
    <row r="1434" spans="2:22" ht="16">
      <c r="B1434" s="119"/>
      <c r="C1434" s="30"/>
      <c r="D1434" s="24"/>
      <c r="E1434" s="17"/>
      <c r="F1434" s="17"/>
      <c r="G1434" s="17"/>
      <c r="H1434" s="31"/>
      <c r="I1434" s="31"/>
      <c r="J1434" s="31"/>
      <c r="K1434" s="122"/>
      <c r="M1434" s="119"/>
      <c r="N1434" s="30"/>
      <c r="O1434" s="24"/>
      <c r="P1434" s="17"/>
      <c r="Q1434" s="17"/>
      <c r="R1434" s="17"/>
      <c r="S1434" s="31"/>
      <c r="T1434" s="31"/>
      <c r="U1434" s="31"/>
      <c r="V1434" s="122"/>
    </row>
    <row r="1435" spans="2:22" ht="16">
      <c r="B1435" s="119"/>
      <c r="C1435" s="30"/>
      <c r="D1435" s="24"/>
      <c r="E1435" s="17"/>
      <c r="F1435" s="17"/>
      <c r="G1435" s="17"/>
      <c r="H1435" s="31"/>
      <c r="I1435" s="31"/>
      <c r="J1435" s="31"/>
      <c r="K1435" s="122"/>
      <c r="M1435" s="119"/>
      <c r="N1435" s="30"/>
      <c r="O1435" s="24"/>
      <c r="P1435" s="17"/>
      <c r="Q1435" s="17"/>
      <c r="R1435" s="17"/>
      <c r="S1435" s="31"/>
      <c r="T1435" s="31"/>
      <c r="U1435" s="31"/>
      <c r="V1435" s="122"/>
    </row>
    <row r="1436" spans="2:22" ht="16">
      <c r="B1436" s="119"/>
      <c r="C1436" s="30"/>
      <c r="D1436" s="24"/>
      <c r="E1436" s="17"/>
      <c r="F1436" s="17"/>
      <c r="G1436" s="17"/>
      <c r="H1436" s="31"/>
      <c r="I1436" s="31"/>
      <c r="J1436" s="31"/>
      <c r="K1436" s="122"/>
      <c r="M1436" s="119"/>
      <c r="N1436" s="30"/>
      <c r="O1436" s="24"/>
      <c r="P1436" s="17"/>
      <c r="Q1436" s="17"/>
      <c r="R1436" s="17"/>
      <c r="S1436" s="31"/>
      <c r="T1436" s="31"/>
      <c r="U1436" s="31"/>
      <c r="V1436" s="122"/>
    </row>
    <row r="1437" spans="2:22" ht="16">
      <c r="B1437" s="119"/>
      <c r="C1437" s="30"/>
      <c r="D1437" s="24"/>
      <c r="E1437" s="17"/>
      <c r="F1437" s="17"/>
      <c r="G1437" s="17"/>
      <c r="H1437" s="31"/>
      <c r="I1437" s="31"/>
      <c r="J1437" s="31"/>
      <c r="K1437" s="122"/>
      <c r="M1437" s="119"/>
      <c r="N1437" s="30"/>
      <c r="O1437" s="24"/>
      <c r="P1437" s="17"/>
      <c r="Q1437" s="17"/>
      <c r="R1437" s="17"/>
      <c r="S1437" s="31"/>
      <c r="T1437" s="31"/>
      <c r="U1437" s="31"/>
      <c r="V1437" s="122"/>
    </row>
    <row r="1438" spans="2:22" ht="16">
      <c r="B1438" s="119"/>
      <c r="C1438" s="30"/>
      <c r="D1438" s="24"/>
      <c r="E1438" s="17"/>
      <c r="F1438" s="17"/>
      <c r="G1438" s="17"/>
      <c r="H1438" s="31"/>
      <c r="I1438" s="31"/>
      <c r="J1438" s="31"/>
      <c r="K1438" s="122"/>
      <c r="M1438" s="119"/>
      <c r="N1438" s="30"/>
      <c r="O1438" s="24"/>
      <c r="P1438" s="17"/>
      <c r="Q1438" s="17"/>
      <c r="R1438" s="17"/>
      <c r="S1438" s="31"/>
      <c r="T1438" s="31"/>
      <c r="U1438" s="31"/>
      <c r="V1438" s="122"/>
    </row>
    <row r="1439" spans="2:22" ht="16">
      <c r="B1439" s="119"/>
      <c r="C1439" s="30"/>
      <c r="D1439" s="24"/>
      <c r="E1439" s="17"/>
      <c r="F1439" s="17"/>
      <c r="G1439" s="17"/>
      <c r="H1439" s="31"/>
      <c r="I1439" s="31"/>
      <c r="J1439" s="31"/>
      <c r="K1439" s="122"/>
      <c r="M1439" s="119"/>
      <c r="N1439" s="30"/>
      <c r="O1439" s="24"/>
      <c r="P1439" s="17"/>
      <c r="Q1439" s="17"/>
      <c r="R1439" s="17"/>
      <c r="S1439" s="31"/>
      <c r="T1439" s="31"/>
      <c r="U1439" s="31"/>
      <c r="V1439" s="122"/>
    </row>
    <row r="1440" spans="2:22" ht="16">
      <c r="B1440" s="119"/>
      <c r="C1440" s="30"/>
      <c r="D1440" s="24"/>
      <c r="E1440" s="17"/>
      <c r="F1440" s="17"/>
      <c r="G1440" s="17"/>
      <c r="H1440" s="31"/>
      <c r="I1440" s="31"/>
      <c r="J1440" s="31"/>
      <c r="K1440" s="122"/>
      <c r="M1440" s="119"/>
      <c r="N1440" s="30"/>
      <c r="O1440" s="24"/>
      <c r="P1440" s="17"/>
      <c r="Q1440" s="17"/>
      <c r="R1440" s="17"/>
      <c r="S1440" s="31"/>
      <c r="T1440" s="31"/>
      <c r="U1440" s="31"/>
      <c r="V1440" s="122"/>
    </row>
    <row r="1441" spans="2:22" ht="16">
      <c r="B1441" s="119"/>
      <c r="C1441" s="30"/>
      <c r="D1441" s="24"/>
      <c r="E1441" s="17"/>
      <c r="F1441" s="17"/>
      <c r="G1441" s="17"/>
      <c r="H1441" s="31"/>
      <c r="I1441" s="31"/>
      <c r="J1441" s="31"/>
      <c r="K1441" s="122"/>
      <c r="M1441" s="119"/>
      <c r="N1441" s="30"/>
      <c r="O1441" s="24"/>
      <c r="P1441" s="17"/>
      <c r="Q1441" s="17"/>
      <c r="R1441" s="17"/>
      <c r="S1441" s="31"/>
      <c r="T1441" s="31"/>
      <c r="U1441" s="31"/>
      <c r="V1441" s="122"/>
    </row>
    <row r="1442" spans="2:22" ht="16">
      <c r="B1442" s="119"/>
      <c r="C1442" s="30"/>
      <c r="D1442" s="24"/>
      <c r="E1442" s="17"/>
      <c r="F1442" s="17"/>
      <c r="G1442" s="17"/>
      <c r="H1442" s="31"/>
      <c r="I1442" s="31"/>
      <c r="J1442" s="31"/>
      <c r="K1442" s="122"/>
      <c r="M1442" s="119"/>
      <c r="N1442" s="30"/>
      <c r="O1442" s="24"/>
      <c r="P1442" s="17"/>
      <c r="Q1442" s="17"/>
      <c r="R1442" s="17"/>
      <c r="S1442" s="31"/>
      <c r="T1442" s="31"/>
      <c r="U1442" s="31"/>
      <c r="V1442" s="122"/>
    </row>
    <row r="1443" spans="2:22" ht="16">
      <c r="B1443" s="119"/>
      <c r="C1443" s="30"/>
      <c r="D1443" s="24"/>
      <c r="E1443" s="17"/>
      <c r="F1443" s="17"/>
      <c r="G1443" s="17"/>
      <c r="H1443" s="31"/>
      <c r="I1443" s="31"/>
      <c r="J1443" s="31"/>
      <c r="K1443" s="122"/>
      <c r="M1443" s="119"/>
      <c r="N1443" s="30"/>
      <c r="O1443" s="24"/>
      <c r="P1443" s="17"/>
      <c r="Q1443" s="17"/>
      <c r="R1443" s="17"/>
      <c r="S1443" s="31"/>
      <c r="T1443" s="31"/>
      <c r="U1443" s="31"/>
      <c r="V1443" s="122"/>
    </row>
    <row r="1444" spans="2:22" ht="16">
      <c r="B1444" s="119"/>
      <c r="C1444" s="30"/>
      <c r="D1444" s="24"/>
      <c r="E1444" s="17"/>
      <c r="F1444" s="17"/>
      <c r="G1444" s="17"/>
      <c r="H1444" s="31"/>
      <c r="I1444" s="31"/>
      <c r="J1444" s="31"/>
      <c r="K1444" s="122"/>
      <c r="M1444" s="119"/>
      <c r="N1444" s="30"/>
      <c r="O1444" s="24"/>
      <c r="P1444" s="17"/>
      <c r="Q1444" s="17"/>
      <c r="R1444" s="17"/>
      <c r="S1444" s="31"/>
      <c r="T1444" s="31"/>
      <c r="U1444" s="31"/>
      <c r="V1444" s="122"/>
    </row>
    <row r="1445" spans="2:22" ht="16">
      <c r="B1445" s="119"/>
      <c r="C1445" s="30"/>
      <c r="D1445" s="24"/>
      <c r="E1445" s="17"/>
      <c r="F1445" s="17"/>
      <c r="G1445" s="17"/>
      <c r="H1445" s="31"/>
      <c r="I1445" s="31"/>
      <c r="J1445" s="31"/>
      <c r="K1445" s="122"/>
      <c r="M1445" s="119"/>
      <c r="N1445" s="30"/>
      <c r="O1445" s="24"/>
      <c r="P1445" s="17"/>
      <c r="Q1445" s="17"/>
      <c r="R1445" s="17"/>
      <c r="S1445" s="31"/>
      <c r="T1445" s="31"/>
      <c r="U1445" s="31"/>
      <c r="V1445" s="122"/>
    </row>
    <row r="1446" spans="2:22" ht="16">
      <c r="B1446" s="119"/>
      <c r="C1446" s="30"/>
      <c r="D1446" s="24"/>
      <c r="E1446" s="17"/>
      <c r="F1446" s="17"/>
      <c r="G1446" s="17"/>
      <c r="H1446" s="31"/>
      <c r="I1446" s="31"/>
      <c r="J1446" s="31"/>
      <c r="K1446" s="122"/>
      <c r="M1446" s="119"/>
      <c r="N1446" s="30"/>
      <c r="O1446" s="24"/>
      <c r="P1446" s="17"/>
      <c r="Q1446" s="17"/>
      <c r="R1446" s="17"/>
      <c r="S1446" s="31"/>
      <c r="T1446" s="31"/>
      <c r="U1446" s="31"/>
      <c r="V1446" s="122"/>
    </row>
    <row r="1447" spans="2:22" ht="16">
      <c r="B1447" s="119"/>
      <c r="C1447" s="30"/>
      <c r="D1447" s="24"/>
      <c r="E1447" s="17"/>
      <c r="F1447" s="17"/>
      <c r="G1447" s="17"/>
      <c r="H1447" s="31"/>
      <c r="I1447" s="31"/>
      <c r="J1447" s="31"/>
      <c r="K1447" s="122"/>
      <c r="M1447" s="119"/>
      <c r="N1447" s="30"/>
      <c r="O1447" s="24"/>
      <c r="P1447" s="17"/>
      <c r="Q1447" s="17"/>
      <c r="R1447" s="17"/>
      <c r="S1447" s="31"/>
      <c r="T1447" s="31"/>
      <c r="U1447" s="31"/>
      <c r="V1447" s="122"/>
    </row>
    <row r="1448" spans="2:22" ht="16">
      <c r="B1448" s="119"/>
      <c r="C1448" s="30"/>
      <c r="D1448" s="24"/>
      <c r="E1448" s="17"/>
      <c r="F1448" s="17"/>
      <c r="G1448" s="17"/>
      <c r="H1448" s="31"/>
      <c r="I1448" s="31"/>
      <c r="J1448" s="31"/>
      <c r="K1448" s="122"/>
      <c r="M1448" s="119"/>
      <c r="N1448" s="30"/>
      <c r="O1448" s="24"/>
      <c r="P1448" s="17"/>
      <c r="Q1448" s="17"/>
      <c r="R1448" s="17"/>
      <c r="S1448" s="31"/>
      <c r="T1448" s="31"/>
      <c r="U1448" s="31"/>
      <c r="V1448" s="122"/>
    </row>
    <row r="1449" spans="2:22" ht="16">
      <c r="B1449" s="119"/>
      <c r="C1449" s="30"/>
      <c r="D1449" s="24"/>
      <c r="E1449" s="17"/>
      <c r="F1449" s="17"/>
      <c r="G1449" s="17"/>
      <c r="H1449" s="31"/>
      <c r="I1449" s="31"/>
      <c r="J1449" s="31"/>
      <c r="K1449" s="122"/>
      <c r="M1449" s="119"/>
      <c r="N1449" s="30"/>
      <c r="O1449" s="24"/>
      <c r="P1449" s="17"/>
      <c r="Q1449" s="17"/>
      <c r="R1449" s="17"/>
      <c r="S1449" s="31"/>
      <c r="T1449" s="31"/>
      <c r="U1449" s="31"/>
      <c r="V1449" s="122"/>
    </row>
    <row r="1450" spans="2:22" ht="16">
      <c r="B1450" s="119"/>
      <c r="C1450" s="30"/>
      <c r="D1450" s="24"/>
      <c r="E1450" s="17"/>
      <c r="F1450" s="17"/>
      <c r="G1450" s="17"/>
      <c r="H1450" s="31"/>
      <c r="I1450" s="31"/>
      <c r="J1450" s="31"/>
      <c r="K1450" s="122"/>
      <c r="M1450" s="119"/>
      <c r="N1450" s="30"/>
      <c r="O1450" s="24"/>
      <c r="P1450" s="17"/>
      <c r="Q1450" s="17"/>
      <c r="R1450" s="17"/>
      <c r="S1450" s="31"/>
      <c r="T1450" s="31"/>
      <c r="U1450" s="31"/>
      <c r="V1450" s="122"/>
    </row>
    <row r="1451" spans="2:22" ht="16">
      <c r="B1451" s="119"/>
      <c r="C1451" s="30"/>
      <c r="D1451" s="24"/>
      <c r="E1451" s="17"/>
      <c r="F1451" s="17"/>
      <c r="G1451" s="17"/>
      <c r="H1451" s="31"/>
      <c r="I1451" s="31"/>
      <c r="J1451" s="31"/>
      <c r="K1451" s="122"/>
      <c r="M1451" s="119"/>
      <c r="N1451" s="30"/>
      <c r="O1451" s="24"/>
      <c r="P1451" s="17"/>
      <c r="Q1451" s="17"/>
      <c r="R1451" s="17"/>
      <c r="S1451" s="31"/>
      <c r="T1451" s="31"/>
      <c r="U1451" s="31"/>
      <c r="V1451" s="122"/>
    </row>
    <row r="1452" spans="2:22" ht="16">
      <c r="B1452" s="119"/>
      <c r="C1452" s="30"/>
      <c r="D1452" s="24"/>
      <c r="E1452" s="17"/>
      <c r="F1452" s="17"/>
      <c r="G1452" s="17"/>
      <c r="H1452" s="31"/>
      <c r="I1452" s="31"/>
      <c r="J1452" s="31"/>
      <c r="K1452" s="122"/>
      <c r="M1452" s="119"/>
      <c r="N1452" s="30"/>
      <c r="O1452" s="24"/>
      <c r="P1452" s="17"/>
      <c r="Q1452" s="17"/>
      <c r="R1452" s="17"/>
      <c r="S1452" s="31"/>
      <c r="T1452" s="31"/>
      <c r="U1452" s="31"/>
      <c r="V1452" s="122"/>
    </row>
    <row r="1453" spans="2:22" ht="16">
      <c r="B1453" s="119"/>
      <c r="C1453" s="30"/>
      <c r="D1453" s="24"/>
      <c r="E1453" s="17"/>
      <c r="F1453" s="17"/>
      <c r="G1453" s="17"/>
      <c r="H1453" s="31"/>
      <c r="I1453" s="31"/>
      <c r="J1453" s="31"/>
      <c r="K1453" s="122"/>
      <c r="M1453" s="119"/>
      <c r="N1453" s="30"/>
      <c r="O1453" s="24"/>
      <c r="P1453" s="17"/>
      <c r="Q1453" s="17"/>
      <c r="R1453" s="17"/>
      <c r="S1453" s="31"/>
      <c r="T1453" s="31"/>
      <c r="U1453" s="31"/>
      <c r="V1453" s="122"/>
    </row>
    <row r="1454" spans="2:22" ht="16">
      <c r="B1454" s="119"/>
      <c r="C1454" s="30"/>
      <c r="D1454" s="24"/>
      <c r="E1454" s="17"/>
      <c r="F1454" s="17"/>
      <c r="G1454" s="17"/>
      <c r="H1454" s="31"/>
      <c r="I1454" s="31"/>
      <c r="J1454" s="31"/>
      <c r="K1454" s="122"/>
      <c r="M1454" s="119"/>
      <c r="N1454" s="30"/>
      <c r="O1454" s="24"/>
      <c r="P1454" s="17"/>
      <c r="Q1454" s="17"/>
      <c r="R1454" s="17"/>
      <c r="S1454" s="31"/>
      <c r="T1454" s="31"/>
      <c r="U1454" s="31"/>
      <c r="V1454" s="122"/>
    </row>
    <row r="1455" spans="2:22" ht="16">
      <c r="B1455" s="119"/>
      <c r="C1455" s="30"/>
      <c r="D1455" s="24"/>
      <c r="E1455" s="17"/>
      <c r="F1455" s="17"/>
      <c r="G1455" s="17"/>
      <c r="H1455" s="31"/>
      <c r="I1455" s="31"/>
      <c r="J1455" s="31"/>
      <c r="K1455" s="122"/>
      <c r="M1455" s="119"/>
      <c r="N1455" s="30"/>
      <c r="O1455" s="24"/>
      <c r="P1455" s="17"/>
      <c r="Q1455" s="17"/>
      <c r="R1455" s="17"/>
      <c r="S1455" s="31"/>
      <c r="T1455" s="31"/>
      <c r="U1455" s="31"/>
      <c r="V1455" s="122"/>
    </row>
    <row r="1456" spans="2:22" ht="16">
      <c r="B1456" s="119"/>
      <c r="C1456" s="30"/>
      <c r="D1456" s="24"/>
      <c r="E1456" s="17"/>
      <c r="F1456" s="17"/>
      <c r="G1456" s="17"/>
      <c r="H1456" s="31"/>
      <c r="I1456" s="31"/>
      <c r="J1456" s="31"/>
      <c r="K1456" s="122"/>
      <c r="M1456" s="119"/>
      <c r="N1456" s="30"/>
      <c r="O1456" s="24"/>
      <c r="P1456" s="17"/>
      <c r="Q1456" s="17"/>
      <c r="R1456" s="17"/>
      <c r="S1456" s="31"/>
      <c r="T1456" s="31"/>
      <c r="U1456" s="31"/>
      <c r="V1456" s="122"/>
    </row>
    <row r="1457" spans="2:22" ht="16">
      <c r="B1457" s="119"/>
      <c r="C1457" s="30"/>
      <c r="D1457" s="24"/>
      <c r="E1457" s="17"/>
      <c r="F1457" s="17"/>
      <c r="G1457" s="17"/>
      <c r="H1457" s="31"/>
      <c r="I1457" s="31"/>
      <c r="J1457" s="31"/>
      <c r="K1457" s="122"/>
      <c r="M1457" s="119"/>
      <c r="N1457" s="30"/>
      <c r="O1457" s="24"/>
      <c r="P1457" s="17"/>
      <c r="Q1457" s="17"/>
      <c r="R1457" s="17"/>
      <c r="S1457" s="31"/>
      <c r="T1457" s="31"/>
      <c r="U1457" s="31"/>
      <c r="V1457" s="122"/>
    </row>
    <row r="1458" spans="2:22" ht="16">
      <c r="B1458" s="119"/>
      <c r="C1458" s="30"/>
      <c r="D1458" s="24"/>
      <c r="E1458" s="17"/>
      <c r="F1458" s="17"/>
      <c r="G1458" s="17"/>
      <c r="H1458" s="31"/>
      <c r="I1458" s="31"/>
      <c r="J1458" s="31"/>
      <c r="K1458" s="122"/>
      <c r="M1458" s="119"/>
      <c r="N1458" s="30"/>
      <c r="O1458" s="24"/>
      <c r="P1458" s="17"/>
      <c r="Q1458" s="17"/>
      <c r="R1458" s="17"/>
      <c r="S1458" s="31"/>
      <c r="T1458" s="31"/>
      <c r="U1458" s="31"/>
      <c r="V1458" s="122"/>
    </row>
    <row r="1459" spans="2:22" ht="16">
      <c r="B1459" s="119"/>
      <c r="C1459" s="30"/>
      <c r="D1459" s="24"/>
      <c r="E1459" s="17"/>
      <c r="F1459" s="17"/>
      <c r="G1459" s="17"/>
      <c r="H1459" s="31"/>
      <c r="I1459" s="31"/>
      <c r="J1459" s="31"/>
      <c r="K1459" s="122"/>
      <c r="M1459" s="119"/>
      <c r="N1459" s="30"/>
      <c r="O1459" s="24"/>
      <c r="P1459" s="17"/>
      <c r="Q1459" s="17"/>
      <c r="R1459" s="17"/>
      <c r="S1459" s="31"/>
      <c r="T1459" s="31"/>
      <c r="U1459" s="31"/>
      <c r="V1459" s="122"/>
    </row>
    <row r="1460" spans="2:22" ht="16">
      <c r="B1460" s="119"/>
      <c r="C1460" s="30"/>
      <c r="D1460" s="24"/>
      <c r="E1460" s="17"/>
      <c r="F1460" s="17"/>
      <c r="G1460" s="17"/>
      <c r="H1460" s="31"/>
      <c r="I1460" s="31"/>
      <c r="J1460" s="31"/>
      <c r="K1460" s="122"/>
      <c r="M1460" s="119"/>
      <c r="N1460" s="30"/>
      <c r="O1460" s="24"/>
      <c r="P1460" s="17"/>
      <c r="Q1460" s="17"/>
      <c r="R1460" s="17"/>
      <c r="S1460" s="31"/>
      <c r="T1460" s="31"/>
      <c r="U1460" s="31"/>
      <c r="V1460" s="122"/>
    </row>
    <row r="1461" spans="2:22" ht="16">
      <c r="B1461" s="119"/>
      <c r="C1461" s="30"/>
      <c r="D1461" s="24"/>
      <c r="E1461" s="17"/>
      <c r="F1461" s="17"/>
      <c r="G1461" s="17"/>
      <c r="H1461" s="31"/>
      <c r="I1461" s="31"/>
      <c r="J1461" s="31"/>
      <c r="K1461" s="122"/>
      <c r="M1461" s="119"/>
      <c r="N1461" s="30"/>
      <c r="O1461" s="24"/>
      <c r="P1461" s="17"/>
      <c r="Q1461" s="17"/>
      <c r="R1461" s="17"/>
      <c r="S1461" s="31"/>
      <c r="T1461" s="31"/>
      <c r="U1461" s="31"/>
      <c r="V1461" s="122"/>
    </row>
    <row r="1462" spans="2:22" ht="16">
      <c r="B1462" s="119"/>
      <c r="C1462" s="30"/>
      <c r="D1462" s="24"/>
      <c r="E1462" s="17"/>
      <c r="F1462" s="17"/>
      <c r="G1462" s="17"/>
      <c r="H1462" s="31"/>
      <c r="I1462" s="31"/>
      <c r="J1462" s="31"/>
      <c r="K1462" s="122"/>
      <c r="M1462" s="119"/>
      <c r="N1462" s="30"/>
      <c r="O1462" s="24"/>
      <c r="P1462" s="17"/>
      <c r="Q1462" s="17"/>
      <c r="R1462" s="17"/>
      <c r="S1462" s="31"/>
      <c r="T1462" s="31"/>
      <c r="U1462" s="31"/>
      <c r="V1462" s="122"/>
    </row>
    <row r="1463" spans="2:22" ht="16">
      <c r="B1463" s="119"/>
      <c r="C1463" s="30"/>
      <c r="D1463" s="24"/>
      <c r="E1463" s="17"/>
      <c r="F1463" s="17"/>
      <c r="G1463" s="17"/>
      <c r="H1463" s="31"/>
      <c r="I1463" s="31"/>
      <c r="J1463" s="31"/>
      <c r="K1463" s="122"/>
      <c r="M1463" s="119"/>
      <c r="N1463" s="30"/>
      <c r="O1463" s="24"/>
      <c r="P1463" s="17"/>
      <c r="Q1463" s="17"/>
      <c r="R1463" s="17"/>
      <c r="S1463" s="31"/>
      <c r="T1463" s="31"/>
      <c r="U1463" s="31"/>
      <c r="V1463" s="122"/>
    </row>
    <row r="1464" spans="2:22" ht="16">
      <c r="B1464" s="119"/>
      <c r="C1464" s="30"/>
      <c r="D1464" s="24"/>
      <c r="E1464" s="17"/>
      <c r="F1464" s="17"/>
      <c r="G1464" s="17"/>
      <c r="H1464" s="31"/>
      <c r="I1464" s="31"/>
      <c r="J1464" s="31"/>
      <c r="K1464" s="122"/>
      <c r="M1464" s="119"/>
      <c r="N1464" s="30"/>
      <c r="O1464" s="24"/>
      <c r="P1464" s="17"/>
      <c r="Q1464" s="17"/>
      <c r="R1464" s="17"/>
      <c r="S1464" s="31"/>
      <c r="T1464" s="31"/>
      <c r="U1464" s="31"/>
      <c r="V1464" s="122"/>
    </row>
    <row r="1465" spans="2:22" ht="16">
      <c r="B1465" s="119"/>
      <c r="C1465" s="30"/>
      <c r="D1465" s="24"/>
      <c r="E1465" s="17"/>
      <c r="F1465" s="17"/>
      <c r="G1465" s="17"/>
      <c r="H1465" s="31"/>
      <c r="I1465" s="31"/>
      <c r="J1465" s="31"/>
      <c r="K1465" s="122"/>
      <c r="M1465" s="119"/>
      <c r="N1465" s="30"/>
      <c r="O1465" s="24"/>
      <c r="P1465" s="17"/>
      <c r="Q1465" s="17"/>
      <c r="R1465" s="17"/>
      <c r="S1465" s="31"/>
      <c r="T1465" s="31"/>
      <c r="U1465" s="31"/>
      <c r="V1465" s="122"/>
    </row>
    <row r="1466" spans="2:22" ht="16">
      <c r="B1466" s="119"/>
      <c r="C1466" s="30"/>
      <c r="D1466" s="24"/>
      <c r="E1466" s="17"/>
      <c r="F1466" s="17"/>
      <c r="G1466" s="17"/>
      <c r="H1466" s="31"/>
      <c r="I1466" s="31"/>
      <c r="J1466" s="31"/>
      <c r="K1466" s="122"/>
      <c r="M1466" s="119"/>
      <c r="N1466" s="30"/>
      <c r="O1466" s="24"/>
      <c r="P1466" s="17"/>
      <c r="Q1466" s="17"/>
      <c r="R1466" s="17"/>
      <c r="S1466" s="31"/>
      <c r="T1466" s="31"/>
      <c r="U1466" s="31"/>
      <c r="V1466" s="122"/>
    </row>
    <row r="1467" spans="2:22" ht="16">
      <c r="B1467" s="119"/>
      <c r="C1467" s="30"/>
      <c r="D1467" s="24"/>
      <c r="E1467" s="17"/>
      <c r="F1467" s="17"/>
      <c r="G1467" s="17"/>
      <c r="H1467" s="31"/>
      <c r="I1467" s="31"/>
      <c r="J1467" s="31"/>
      <c r="K1467" s="122"/>
      <c r="M1467" s="119"/>
      <c r="N1467" s="30"/>
      <c r="O1467" s="24"/>
      <c r="P1467" s="17"/>
      <c r="Q1467" s="17"/>
      <c r="R1467" s="17"/>
      <c r="S1467" s="31"/>
      <c r="T1467" s="31"/>
      <c r="U1467" s="31"/>
      <c r="V1467" s="122"/>
    </row>
    <row r="1468" spans="2:22" ht="16">
      <c r="B1468" s="119"/>
      <c r="C1468" s="30"/>
      <c r="D1468" s="24"/>
      <c r="E1468" s="17"/>
      <c r="F1468" s="17"/>
      <c r="G1468" s="17"/>
      <c r="H1468" s="31"/>
      <c r="I1468" s="31"/>
      <c r="J1468" s="31"/>
      <c r="K1468" s="122"/>
      <c r="M1468" s="119"/>
      <c r="N1468" s="30"/>
      <c r="O1468" s="24"/>
      <c r="P1468" s="17"/>
      <c r="Q1468" s="17"/>
      <c r="R1468" s="17"/>
      <c r="S1468" s="31"/>
      <c r="T1468" s="31"/>
      <c r="U1468" s="31"/>
      <c r="V1468" s="122"/>
    </row>
    <row r="1469" spans="2:22" ht="16">
      <c r="B1469" s="119"/>
      <c r="C1469" s="30"/>
      <c r="D1469" s="24"/>
      <c r="E1469" s="17"/>
      <c r="F1469" s="17"/>
      <c r="G1469" s="17"/>
      <c r="H1469" s="31"/>
      <c r="I1469" s="31"/>
      <c r="J1469" s="31"/>
      <c r="K1469" s="122"/>
      <c r="M1469" s="119"/>
      <c r="N1469" s="30"/>
      <c r="O1469" s="24"/>
      <c r="P1469" s="17"/>
      <c r="Q1469" s="17"/>
      <c r="R1469" s="17"/>
      <c r="S1469" s="31"/>
      <c r="T1469" s="31"/>
      <c r="U1469" s="31"/>
      <c r="V1469" s="122"/>
    </row>
    <row r="1470" spans="2:22" ht="16">
      <c r="B1470" s="119"/>
      <c r="C1470" s="30"/>
      <c r="D1470" s="24"/>
      <c r="E1470" s="17"/>
      <c r="F1470" s="17"/>
      <c r="G1470" s="17"/>
      <c r="H1470" s="31"/>
      <c r="I1470" s="31"/>
      <c r="J1470" s="31"/>
      <c r="K1470" s="122"/>
      <c r="M1470" s="119"/>
      <c r="N1470" s="30"/>
      <c r="O1470" s="24"/>
      <c r="P1470" s="17"/>
      <c r="Q1470" s="17"/>
      <c r="R1470" s="17"/>
      <c r="S1470" s="31"/>
      <c r="T1470" s="31"/>
      <c r="U1470" s="31"/>
      <c r="V1470" s="122"/>
    </row>
    <row r="1471" spans="2:22" ht="16">
      <c r="B1471" s="119"/>
      <c r="C1471" s="30"/>
      <c r="D1471" s="24"/>
      <c r="E1471" s="17"/>
      <c r="F1471" s="17"/>
      <c r="G1471" s="17"/>
      <c r="H1471" s="31"/>
      <c r="I1471" s="31"/>
      <c r="J1471" s="31"/>
      <c r="K1471" s="122"/>
      <c r="M1471" s="119"/>
      <c r="N1471" s="30"/>
      <c r="O1471" s="24"/>
      <c r="P1471" s="17"/>
      <c r="Q1471" s="17"/>
      <c r="R1471" s="17"/>
      <c r="S1471" s="31"/>
      <c r="T1471" s="31"/>
      <c r="U1471" s="31"/>
      <c r="V1471" s="122"/>
    </row>
    <row r="1472" spans="2:22" ht="16">
      <c r="B1472" s="119"/>
      <c r="C1472" s="30"/>
      <c r="D1472" s="24"/>
      <c r="E1472" s="17"/>
      <c r="F1472" s="17"/>
      <c r="G1472" s="17"/>
      <c r="H1472" s="31"/>
      <c r="I1472" s="31"/>
      <c r="J1472" s="31"/>
      <c r="K1472" s="122"/>
      <c r="M1472" s="119"/>
      <c r="N1472" s="30"/>
      <c r="O1472" s="24"/>
      <c r="P1472" s="17"/>
      <c r="Q1472" s="17"/>
      <c r="R1472" s="17"/>
      <c r="S1472" s="31"/>
      <c r="T1472" s="31"/>
      <c r="U1472" s="31"/>
      <c r="V1472" s="122"/>
    </row>
    <row r="1473" spans="2:22" ht="16">
      <c r="B1473" s="119"/>
      <c r="C1473" s="30"/>
      <c r="D1473" s="24"/>
      <c r="E1473" s="17"/>
      <c r="F1473" s="17"/>
      <c r="G1473" s="17"/>
      <c r="H1473" s="31"/>
      <c r="I1473" s="31"/>
      <c r="J1473" s="31"/>
      <c r="K1473" s="122"/>
      <c r="M1473" s="119"/>
      <c r="N1473" s="30"/>
      <c r="O1473" s="24"/>
      <c r="P1473" s="17"/>
      <c r="Q1473" s="17"/>
      <c r="R1473" s="17"/>
      <c r="S1473" s="31"/>
      <c r="T1473" s="31"/>
      <c r="U1473" s="31"/>
      <c r="V1473" s="122"/>
    </row>
    <row r="1474" spans="2:22" ht="16">
      <c r="B1474" s="119"/>
      <c r="C1474" s="30"/>
      <c r="D1474" s="24"/>
      <c r="E1474" s="17"/>
      <c r="F1474" s="17"/>
      <c r="G1474" s="17"/>
      <c r="H1474" s="31"/>
      <c r="I1474" s="31"/>
      <c r="J1474" s="31"/>
      <c r="K1474" s="122"/>
      <c r="M1474" s="119"/>
      <c r="N1474" s="30"/>
      <c r="O1474" s="24"/>
      <c r="P1474" s="17"/>
      <c r="Q1474" s="17"/>
      <c r="R1474" s="17"/>
      <c r="S1474" s="31"/>
      <c r="T1474" s="31"/>
      <c r="U1474" s="31"/>
      <c r="V1474" s="122"/>
    </row>
    <row r="1475" spans="2:22" ht="16">
      <c r="B1475" s="119"/>
      <c r="C1475" s="30"/>
      <c r="D1475" s="24"/>
      <c r="E1475" s="17"/>
      <c r="F1475" s="17"/>
      <c r="G1475" s="17"/>
      <c r="H1475" s="31"/>
      <c r="I1475" s="31"/>
      <c r="J1475" s="31"/>
      <c r="K1475" s="122"/>
      <c r="M1475" s="119"/>
      <c r="N1475" s="30"/>
      <c r="O1475" s="24"/>
      <c r="P1475" s="17"/>
      <c r="Q1475" s="17"/>
      <c r="R1475" s="17"/>
      <c r="S1475" s="31"/>
      <c r="T1475" s="31"/>
      <c r="U1475" s="31"/>
      <c r="V1475" s="122"/>
    </row>
    <row r="1476" spans="2:22" ht="16">
      <c r="B1476" s="119"/>
      <c r="C1476" s="30"/>
      <c r="D1476" s="24"/>
      <c r="E1476" s="17"/>
      <c r="F1476" s="17"/>
      <c r="G1476" s="17"/>
      <c r="H1476" s="31"/>
      <c r="I1476" s="31"/>
      <c r="J1476" s="31"/>
      <c r="K1476" s="122"/>
      <c r="M1476" s="119"/>
      <c r="N1476" s="30"/>
      <c r="O1476" s="24"/>
      <c r="P1476" s="17"/>
      <c r="Q1476" s="17"/>
      <c r="R1476" s="17"/>
      <c r="S1476" s="31"/>
      <c r="T1476" s="31"/>
      <c r="U1476" s="31"/>
      <c r="V1476" s="122"/>
    </row>
    <row r="1477" spans="2:22" ht="16">
      <c r="B1477" s="119"/>
      <c r="C1477" s="30"/>
      <c r="D1477" s="24"/>
      <c r="E1477" s="17"/>
      <c r="F1477" s="17"/>
      <c r="G1477" s="17"/>
      <c r="H1477" s="31"/>
      <c r="I1477" s="31"/>
      <c r="J1477" s="31"/>
      <c r="K1477" s="122"/>
      <c r="M1477" s="119"/>
      <c r="N1477" s="30"/>
      <c r="O1477" s="24"/>
      <c r="P1477" s="17"/>
      <c r="Q1477" s="17"/>
      <c r="R1477" s="17"/>
      <c r="S1477" s="31"/>
      <c r="T1477" s="31"/>
      <c r="U1477" s="31"/>
      <c r="V1477" s="122"/>
    </row>
    <row r="1478" spans="2:22" ht="16">
      <c r="B1478" s="119"/>
      <c r="C1478" s="30"/>
      <c r="D1478" s="24"/>
      <c r="E1478" s="17"/>
      <c r="F1478" s="17"/>
      <c r="G1478" s="17"/>
      <c r="H1478" s="31"/>
      <c r="I1478" s="31"/>
      <c r="J1478" s="31"/>
      <c r="K1478" s="122"/>
      <c r="M1478" s="119"/>
      <c r="N1478" s="30"/>
      <c r="O1478" s="24"/>
      <c r="P1478" s="17"/>
      <c r="Q1478" s="17"/>
      <c r="R1478" s="17"/>
      <c r="S1478" s="31"/>
      <c r="T1478" s="31"/>
      <c r="U1478" s="31"/>
      <c r="V1478" s="122"/>
    </row>
    <row r="1479" spans="2:22" ht="16">
      <c r="B1479" s="119"/>
      <c r="C1479" s="30"/>
      <c r="D1479" s="24"/>
      <c r="E1479" s="17"/>
      <c r="F1479" s="17"/>
      <c r="G1479" s="17"/>
      <c r="H1479" s="31"/>
      <c r="I1479" s="31"/>
      <c r="J1479" s="31"/>
      <c r="K1479" s="122"/>
      <c r="M1479" s="119"/>
      <c r="N1479" s="30"/>
      <c r="O1479" s="24"/>
      <c r="P1479" s="17"/>
      <c r="Q1479" s="17"/>
      <c r="R1479" s="17"/>
      <c r="S1479" s="31"/>
      <c r="T1479" s="31"/>
      <c r="U1479" s="31"/>
      <c r="V1479" s="122"/>
    </row>
    <row r="1480" spans="2:22" ht="16">
      <c r="B1480" s="119"/>
      <c r="C1480" s="30"/>
      <c r="D1480" s="24"/>
      <c r="E1480" s="17"/>
      <c r="F1480" s="17"/>
      <c r="G1480" s="17"/>
      <c r="H1480" s="31"/>
      <c r="I1480" s="31"/>
      <c r="J1480" s="31"/>
      <c r="K1480" s="122"/>
      <c r="M1480" s="119"/>
      <c r="N1480" s="30"/>
      <c r="O1480" s="24"/>
      <c r="P1480" s="17"/>
      <c r="Q1480" s="17"/>
      <c r="R1480" s="17"/>
      <c r="S1480" s="31"/>
      <c r="T1480" s="31"/>
      <c r="U1480" s="31"/>
      <c r="V1480" s="122"/>
    </row>
    <row r="1481" spans="2:22" ht="16">
      <c r="B1481" s="119"/>
      <c r="C1481" s="30"/>
      <c r="D1481" s="24"/>
      <c r="E1481" s="17"/>
      <c r="F1481" s="17"/>
      <c r="G1481" s="17"/>
      <c r="H1481" s="31"/>
      <c r="I1481" s="31"/>
      <c r="J1481" s="31"/>
      <c r="K1481" s="122"/>
      <c r="M1481" s="119"/>
      <c r="N1481" s="30"/>
      <c r="O1481" s="24"/>
      <c r="P1481" s="17"/>
      <c r="Q1481" s="17"/>
      <c r="R1481" s="17"/>
      <c r="S1481" s="31"/>
      <c r="T1481" s="31"/>
      <c r="U1481" s="31"/>
      <c r="V1481" s="122"/>
    </row>
    <row r="1482" spans="2:22" ht="16">
      <c r="B1482" s="119"/>
      <c r="C1482" s="30"/>
      <c r="D1482" s="24"/>
      <c r="E1482" s="17"/>
      <c r="F1482" s="17"/>
      <c r="G1482" s="17"/>
      <c r="H1482" s="31"/>
      <c r="I1482" s="31"/>
      <c r="J1482" s="31"/>
      <c r="K1482" s="122"/>
      <c r="M1482" s="119"/>
      <c r="N1482" s="30"/>
      <c r="O1482" s="24"/>
      <c r="P1482" s="17"/>
      <c r="Q1482" s="17"/>
      <c r="R1482" s="17"/>
      <c r="S1482" s="31"/>
      <c r="T1482" s="31"/>
      <c r="U1482" s="31"/>
      <c r="V1482" s="122"/>
    </row>
    <row r="1483" spans="2:22" ht="16">
      <c r="B1483" s="119"/>
      <c r="C1483" s="30"/>
      <c r="D1483" s="24"/>
      <c r="E1483" s="17"/>
      <c r="F1483" s="17"/>
      <c r="G1483" s="17"/>
      <c r="H1483" s="31"/>
      <c r="I1483" s="31"/>
      <c r="J1483" s="31"/>
      <c r="K1483" s="122"/>
      <c r="M1483" s="119"/>
      <c r="N1483" s="30"/>
      <c r="O1483" s="24"/>
      <c r="P1483" s="17"/>
      <c r="Q1483" s="17"/>
      <c r="R1483" s="17"/>
      <c r="S1483" s="31"/>
      <c r="T1483" s="31"/>
      <c r="U1483" s="31"/>
      <c r="V1483" s="122"/>
    </row>
    <row r="1484" spans="2:22" ht="16">
      <c r="B1484" s="119"/>
      <c r="C1484" s="30"/>
      <c r="D1484" s="24"/>
      <c r="E1484" s="17"/>
      <c r="F1484" s="17"/>
      <c r="G1484" s="17"/>
      <c r="H1484" s="31"/>
      <c r="I1484" s="31"/>
      <c r="J1484" s="31"/>
      <c r="K1484" s="122"/>
      <c r="M1484" s="119"/>
      <c r="N1484" s="30"/>
      <c r="O1484" s="24"/>
      <c r="P1484" s="17"/>
      <c r="Q1484" s="17"/>
      <c r="R1484" s="17"/>
      <c r="S1484" s="31"/>
      <c r="T1484" s="31"/>
      <c r="U1484" s="31"/>
      <c r="V1484" s="122"/>
    </row>
    <row r="1485" spans="2:22" ht="16">
      <c r="B1485" s="119"/>
      <c r="C1485" s="30"/>
      <c r="D1485" s="24"/>
      <c r="E1485" s="17"/>
      <c r="F1485" s="17"/>
      <c r="G1485" s="17"/>
      <c r="H1485" s="31"/>
      <c r="I1485" s="31"/>
      <c r="J1485" s="31"/>
      <c r="K1485" s="122"/>
      <c r="M1485" s="119"/>
      <c r="N1485" s="30"/>
      <c r="O1485" s="24"/>
      <c r="P1485" s="17"/>
      <c r="Q1485" s="17"/>
      <c r="R1485" s="17"/>
      <c r="S1485" s="31"/>
      <c r="T1485" s="31"/>
      <c r="U1485" s="31"/>
      <c r="V1485" s="122"/>
    </row>
    <row r="1486" spans="2:22" ht="16">
      <c r="B1486" s="119"/>
      <c r="C1486" s="30"/>
      <c r="D1486" s="24"/>
      <c r="E1486" s="17"/>
      <c r="F1486" s="17"/>
      <c r="G1486" s="17"/>
      <c r="H1486" s="31"/>
      <c r="I1486" s="31"/>
      <c r="J1486" s="31"/>
      <c r="K1486" s="122"/>
      <c r="M1486" s="119"/>
      <c r="N1486" s="30"/>
      <c r="O1486" s="24"/>
      <c r="P1486" s="17"/>
      <c r="Q1486" s="17"/>
      <c r="R1486" s="17"/>
      <c r="S1486" s="31"/>
      <c r="T1486" s="31"/>
      <c r="U1486" s="31"/>
      <c r="V1486" s="122"/>
    </row>
    <row r="1487" spans="2:22" ht="16">
      <c r="B1487" s="119"/>
      <c r="C1487" s="30"/>
      <c r="D1487" s="24"/>
      <c r="E1487" s="17"/>
      <c r="F1487" s="17"/>
      <c r="G1487" s="17"/>
      <c r="H1487" s="31"/>
      <c r="I1487" s="31"/>
      <c r="J1487" s="31"/>
      <c r="K1487" s="122"/>
      <c r="M1487" s="119"/>
      <c r="N1487" s="30"/>
      <c r="O1487" s="24"/>
      <c r="P1487" s="17"/>
      <c r="Q1487" s="17"/>
      <c r="R1487" s="17"/>
      <c r="S1487" s="31"/>
      <c r="T1487" s="31"/>
      <c r="U1487" s="31"/>
      <c r="V1487" s="122"/>
    </row>
    <row r="1488" spans="2:22" ht="16">
      <c r="B1488" s="119"/>
      <c r="C1488" s="30"/>
      <c r="D1488" s="24"/>
      <c r="E1488" s="17"/>
      <c r="F1488" s="17"/>
      <c r="G1488" s="17"/>
      <c r="H1488" s="31"/>
      <c r="I1488" s="31"/>
      <c r="J1488" s="31"/>
      <c r="K1488" s="122"/>
      <c r="M1488" s="119"/>
      <c r="N1488" s="30"/>
      <c r="O1488" s="24"/>
      <c r="P1488" s="17"/>
      <c r="Q1488" s="17"/>
      <c r="R1488" s="17"/>
      <c r="S1488" s="31"/>
      <c r="T1488" s="31"/>
      <c r="U1488" s="31"/>
      <c r="V1488" s="122"/>
    </row>
    <row r="1489" spans="2:22" ht="16">
      <c r="B1489" s="119"/>
      <c r="C1489" s="30"/>
      <c r="D1489" s="24"/>
      <c r="E1489" s="17"/>
      <c r="F1489" s="17"/>
      <c r="G1489" s="17"/>
      <c r="H1489" s="31"/>
      <c r="I1489" s="31"/>
      <c r="J1489" s="31"/>
      <c r="K1489" s="122"/>
      <c r="M1489" s="119"/>
      <c r="N1489" s="30"/>
      <c r="O1489" s="24"/>
      <c r="P1489" s="17"/>
      <c r="Q1489" s="17"/>
      <c r="R1489" s="17"/>
      <c r="S1489" s="31"/>
      <c r="T1489" s="31"/>
      <c r="U1489" s="31"/>
      <c r="V1489" s="122"/>
    </row>
    <row r="1490" spans="2:22" ht="16">
      <c r="B1490" s="119"/>
      <c r="C1490" s="30"/>
      <c r="D1490" s="24"/>
      <c r="E1490" s="17"/>
      <c r="F1490" s="17"/>
      <c r="G1490" s="17"/>
      <c r="H1490" s="31"/>
      <c r="I1490" s="31"/>
      <c r="J1490" s="31"/>
      <c r="K1490" s="122"/>
      <c r="M1490" s="119"/>
      <c r="N1490" s="30"/>
      <c r="O1490" s="24"/>
      <c r="P1490" s="17"/>
      <c r="Q1490" s="17"/>
      <c r="R1490" s="17"/>
      <c r="S1490" s="31"/>
      <c r="T1490" s="31"/>
      <c r="U1490" s="31"/>
      <c r="V1490" s="122"/>
    </row>
    <row r="1491" spans="2:22" ht="16">
      <c r="B1491" s="119"/>
      <c r="C1491" s="30"/>
      <c r="D1491" s="24"/>
      <c r="E1491" s="17"/>
      <c r="F1491" s="17"/>
      <c r="G1491" s="17"/>
      <c r="H1491" s="31"/>
      <c r="I1491" s="31"/>
      <c r="J1491" s="31"/>
      <c r="K1491" s="122"/>
      <c r="M1491" s="119"/>
      <c r="N1491" s="30"/>
      <c r="O1491" s="24"/>
      <c r="P1491" s="17"/>
      <c r="Q1491" s="17"/>
      <c r="R1491" s="17"/>
      <c r="S1491" s="31"/>
      <c r="T1491" s="31"/>
      <c r="U1491" s="31"/>
      <c r="V1491" s="122"/>
    </row>
    <row r="1492" spans="2:22" ht="16">
      <c r="B1492" s="119"/>
      <c r="C1492" s="30"/>
      <c r="D1492" s="24"/>
      <c r="E1492" s="17"/>
      <c r="F1492" s="17"/>
      <c r="G1492" s="17"/>
      <c r="H1492" s="31"/>
      <c r="I1492" s="31"/>
      <c r="J1492" s="31"/>
      <c r="K1492" s="122"/>
      <c r="M1492" s="119"/>
      <c r="N1492" s="30"/>
      <c r="O1492" s="24"/>
      <c r="P1492" s="17"/>
      <c r="Q1492" s="17"/>
      <c r="R1492" s="17"/>
      <c r="S1492" s="31"/>
      <c r="T1492" s="31"/>
      <c r="U1492" s="31"/>
      <c r="V1492" s="122"/>
    </row>
    <row r="1493" spans="2:22" ht="16">
      <c r="B1493" s="119"/>
      <c r="C1493" s="30"/>
      <c r="D1493" s="24"/>
      <c r="E1493" s="17"/>
      <c r="F1493" s="17"/>
      <c r="G1493" s="17"/>
      <c r="H1493" s="31"/>
      <c r="I1493" s="31"/>
      <c r="J1493" s="31"/>
      <c r="K1493" s="122"/>
      <c r="M1493" s="119"/>
      <c r="N1493" s="30"/>
      <c r="O1493" s="24"/>
      <c r="P1493" s="17"/>
      <c r="Q1493" s="17"/>
      <c r="R1493" s="17"/>
      <c r="S1493" s="31"/>
      <c r="T1493" s="31"/>
      <c r="U1493" s="31"/>
      <c r="V1493" s="122"/>
    </row>
    <row r="1494" spans="2:22" ht="16">
      <c r="B1494" s="119"/>
      <c r="C1494" s="30"/>
      <c r="D1494" s="24"/>
      <c r="E1494" s="17"/>
      <c r="F1494" s="17"/>
      <c r="G1494" s="17"/>
      <c r="H1494" s="31"/>
      <c r="I1494" s="31"/>
      <c r="J1494" s="31"/>
      <c r="K1494" s="122"/>
      <c r="M1494" s="119"/>
      <c r="N1494" s="30"/>
      <c r="O1494" s="24"/>
      <c r="P1494" s="17"/>
      <c r="Q1494" s="17"/>
      <c r="R1494" s="17"/>
      <c r="S1494" s="31"/>
      <c r="T1494" s="31"/>
      <c r="U1494" s="31"/>
      <c r="V1494" s="122"/>
    </row>
    <row r="1495" spans="2:22" ht="16">
      <c r="B1495" s="119"/>
      <c r="C1495" s="30"/>
      <c r="D1495" s="24"/>
      <c r="E1495" s="17"/>
      <c r="F1495" s="17"/>
      <c r="G1495" s="17"/>
      <c r="H1495" s="31"/>
      <c r="I1495" s="31"/>
      <c r="J1495" s="31"/>
      <c r="K1495" s="122"/>
      <c r="M1495" s="119"/>
      <c r="N1495" s="30"/>
      <c r="O1495" s="24"/>
      <c r="P1495" s="17"/>
      <c r="Q1495" s="17"/>
      <c r="R1495" s="17"/>
      <c r="S1495" s="31"/>
      <c r="T1495" s="31"/>
      <c r="U1495" s="31"/>
      <c r="V1495" s="122"/>
    </row>
    <row r="1496" spans="2:22" ht="16">
      <c r="B1496" s="119"/>
      <c r="C1496" s="30"/>
      <c r="D1496" s="24"/>
      <c r="E1496" s="17"/>
      <c r="F1496" s="17"/>
      <c r="G1496" s="17"/>
      <c r="H1496" s="31"/>
      <c r="I1496" s="31"/>
      <c r="J1496" s="31"/>
      <c r="K1496" s="122"/>
      <c r="M1496" s="119"/>
      <c r="N1496" s="30"/>
      <c r="O1496" s="24"/>
      <c r="P1496" s="17"/>
      <c r="Q1496" s="17"/>
      <c r="R1496" s="17"/>
      <c r="S1496" s="31"/>
      <c r="T1496" s="31"/>
      <c r="U1496" s="31"/>
      <c r="V1496" s="122"/>
    </row>
    <row r="1497" spans="2:22" ht="16">
      <c r="B1497" s="119"/>
      <c r="C1497" s="30"/>
      <c r="D1497" s="24"/>
      <c r="E1497" s="17"/>
      <c r="F1497" s="17"/>
      <c r="G1497" s="17"/>
      <c r="H1497" s="31"/>
      <c r="I1497" s="31"/>
      <c r="J1497" s="31"/>
      <c r="K1497" s="122"/>
      <c r="M1497" s="119"/>
      <c r="N1497" s="30"/>
      <c r="O1497" s="24"/>
      <c r="P1497" s="17"/>
      <c r="Q1497" s="17"/>
      <c r="R1497" s="17"/>
      <c r="S1497" s="31"/>
      <c r="T1497" s="31"/>
      <c r="U1497" s="31"/>
      <c r="V1497" s="122"/>
    </row>
    <row r="1498" spans="2:22" ht="16">
      <c r="B1498" s="119"/>
      <c r="C1498" s="30"/>
      <c r="D1498" s="24"/>
      <c r="E1498" s="17"/>
      <c r="F1498" s="17"/>
      <c r="G1498" s="17"/>
      <c r="H1498" s="31"/>
      <c r="I1498" s="31"/>
      <c r="J1498" s="31"/>
      <c r="K1498" s="122"/>
      <c r="M1498" s="119"/>
      <c r="N1498" s="30"/>
      <c r="O1498" s="24"/>
      <c r="P1498" s="17"/>
      <c r="Q1498" s="17"/>
      <c r="R1498" s="17"/>
      <c r="S1498" s="31"/>
      <c r="T1498" s="31"/>
      <c r="U1498" s="31"/>
      <c r="V1498" s="122"/>
    </row>
    <row r="1499" spans="2:22" ht="16">
      <c r="B1499" s="119"/>
      <c r="C1499" s="30"/>
      <c r="D1499" s="24"/>
      <c r="E1499" s="17"/>
      <c r="F1499" s="17"/>
      <c r="G1499" s="17"/>
      <c r="H1499" s="31"/>
      <c r="I1499" s="31"/>
      <c r="J1499" s="31"/>
      <c r="K1499" s="122"/>
      <c r="M1499" s="119"/>
      <c r="N1499" s="30"/>
      <c r="O1499" s="24"/>
      <c r="P1499" s="17"/>
      <c r="Q1499" s="17"/>
      <c r="R1499" s="17"/>
      <c r="S1499" s="31"/>
      <c r="T1499" s="31"/>
      <c r="U1499" s="31"/>
      <c r="V1499" s="122"/>
    </row>
    <row r="1500" spans="2:22" ht="16">
      <c r="B1500" s="119"/>
      <c r="C1500" s="30"/>
      <c r="D1500" s="24"/>
      <c r="E1500" s="17"/>
      <c r="F1500" s="17"/>
      <c r="G1500" s="17"/>
      <c r="H1500" s="31"/>
      <c r="I1500" s="31"/>
      <c r="J1500" s="31"/>
      <c r="K1500" s="122"/>
      <c r="M1500" s="119"/>
      <c r="N1500" s="30"/>
      <c r="O1500" s="24"/>
      <c r="P1500" s="17"/>
      <c r="Q1500" s="17"/>
      <c r="R1500" s="17"/>
      <c r="S1500" s="31"/>
      <c r="T1500" s="31"/>
      <c r="U1500" s="31"/>
      <c r="V1500" s="122"/>
    </row>
    <row r="1501" spans="2:22" ht="16">
      <c r="B1501" s="119"/>
      <c r="C1501" s="30"/>
      <c r="D1501" s="24"/>
      <c r="E1501" s="17"/>
      <c r="F1501" s="17"/>
      <c r="G1501" s="17"/>
      <c r="H1501" s="31"/>
      <c r="I1501" s="31"/>
      <c r="J1501" s="31"/>
      <c r="K1501" s="122"/>
      <c r="M1501" s="119"/>
      <c r="N1501" s="30"/>
      <c r="O1501" s="24"/>
      <c r="P1501" s="17"/>
      <c r="Q1501" s="17"/>
      <c r="R1501" s="17"/>
      <c r="S1501" s="31"/>
      <c r="T1501" s="31"/>
      <c r="U1501" s="31"/>
      <c r="V1501" s="122"/>
    </row>
    <row r="1502" spans="2:22" ht="16">
      <c r="B1502" s="119"/>
      <c r="C1502" s="30"/>
      <c r="D1502" s="24"/>
      <c r="E1502" s="17"/>
      <c r="F1502" s="17"/>
      <c r="G1502" s="17"/>
      <c r="H1502" s="31"/>
      <c r="I1502" s="31"/>
      <c r="J1502" s="31"/>
      <c r="K1502" s="122"/>
      <c r="M1502" s="119"/>
      <c r="N1502" s="30"/>
      <c r="O1502" s="24"/>
      <c r="P1502" s="17"/>
      <c r="Q1502" s="17"/>
      <c r="R1502" s="17"/>
      <c r="S1502" s="31"/>
      <c r="T1502" s="31"/>
      <c r="U1502" s="31"/>
      <c r="V1502" s="122"/>
    </row>
    <row r="1503" spans="2:22" ht="16">
      <c r="B1503" s="119"/>
      <c r="C1503" s="30"/>
      <c r="D1503" s="24"/>
      <c r="E1503" s="17"/>
      <c r="F1503" s="17"/>
      <c r="G1503" s="17"/>
      <c r="H1503" s="31"/>
      <c r="I1503" s="31"/>
      <c r="J1503" s="31"/>
      <c r="K1503" s="122"/>
      <c r="M1503" s="119"/>
      <c r="N1503" s="30"/>
      <c r="O1503" s="24"/>
      <c r="P1503" s="17"/>
      <c r="Q1503" s="17"/>
      <c r="R1503" s="17"/>
      <c r="S1503" s="31"/>
      <c r="T1503" s="31"/>
      <c r="U1503" s="31"/>
      <c r="V1503" s="122"/>
    </row>
    <row r="1504" spans="2:22" ht="16">
      <c r="B1504" s="119"/>
      <c r="C1504" s="30"/>
      <c r="D1504" s="24"/>
      <c r="E1504" s="17"/>
      <c r="F1504" s="17"/>
      <c r="G1504" s="17"/>
      <c r="H1504" s="31"/>
      <c r="I1504" s="31"/>
      <c r="J1504" s="31"/>
      <c r="K1504" s="122"/>
      <c r="M1504" s="119"/>
      <c r="N1504" s="30"/>
      <c r="O1504" s="24"/>
      <c r="P1504" s="17"/>
      <c r="Q1504" s="17"/>
      <c r="R1504" s="17"/>
      <c r="S1504" s="31"/>
      <c r="T1504" s="31"/>
      <c r="U1504" s="31"/>
      <c r="V1504" s="122"/>
    </row>
    <row r="1505" spans="2:22" ht="16">
      <c r="B1505" s="119"/>
      <c r="C1505" s="30"/>
      <c r="D1505" s="24"/>
      <c r="E1505" s="17"/>
      <c r="F1505" s="17"/>
      <c r="G1505" s="17"/>
      <c r="H1505" s="31"/>
      <c r="I1505" s="31"/>
      <c r="J1505" s="31"/>
      <c r="K1505" s="122"/>
      <c r="M1505" s="119"/>
      <c r="N1505" s="30"/>
      <c r="O1505" s="24"/>
      <c r="P1505" s="17"/>
      <c r="Q1505" s="17"/>
      <c r="R1505" s="17"/>
      <c r="S1505" s="31"/>
      <c r="T1505" s="31"/>
      <c r="U1505" s="31"/>
      <c r="V1505" s="122"/>
    </row>
    <row r="1506" spans="2:22" ht="16">
      <c r="B1506" s="119"/>
      <c r="C1506" s="30"/>
      <c r="D1506" s="24"/>
      <c r="E1506" s="17"/>
      <c r="F1506" s="17"/>
      <c r="G1506" s="17"/>
      <c r="H1506" s="31"/>
      <c r="I1506" s="31"/>
      <c r="J1506" s="31"/>
      <c r="K1506" s="122"/>
      <c r="M1506" s="119"/>
      <c r="N1506" s="30"/>
      <c r="O1506" s="24"/>
      <c r="P1506" s="17"/>
      <c r="Q1506" s="17"/>
      <c r="R1506" s="17"/>
      <c r="S1506" s="31"/>
      <c r="T1506" s="31"/>
      <c r="U1506" s="31"/>
      <c r="V1506" s="122"/>
    </row>
    <row r="1507" spans="2:22" ht="16">
      <c r="B1507" s="119"/>
      <c r="C1507" s="30"/>
      <c r="D1507" s="24"/>
      <c r="E1507" s="17"/>
      <c r="F1507" s="17"/>
      <c r="G1507" s="17"/>
      <c r="H1507" s="31"/>
      <c r="I1507" s="31"/>
      <c r="J1507" s="31"/>
      <c r="K1507" s="122"/>
      <c r="M1507" s="119"/>
      <c r="N1507" s="30"/>
      <c r="O1507" s="24"/>
      <c r="P1507" s="17"/>
      <c r="Q1507" s="17"/>
      <c r="R1507" s="17"/>
      <c r="S1507" s="31"/>
      <c r="T1507" s="31"/>
      <c r="U1507" s="31"/>
      <c r="V1507" s="122"/>
    </row>
    <row r="1508" spans="2:22" ht="16">
      <c r="B1508" s="119"/>
      <c r="C1508" s="30"/>
      <c r="D1508" s="24"/>
      <c r="E1508" s="17"/>
      <c r="F1508" s="17"/>
      <c r="G1508" s="17"/>
      <c r="H1508" s="31"/>
      <c r="I1508" s="31"/>
      <c r="J1508" s="31"/>
      <c r="K1508" s="122"/>
      <c r="M1508" s="119"/>
      <c r="N1508" s="30"/>
      <c r="O1508" s="24"/>
      <c r="P1508" s="17"/>
      <c r="Q1508" s="17"/>
      <c r="R1508" s="17"/>
      <c r="S1508" s="31"/>
      <c r="T1508" s="31"/>
      <c r="U1508" s="31"/>
      <c r="V1508" s="122"/>
    </row>
    <row r="1509" spans="2:22" ht="16">
      <c r="B1509" s="119"/>
      <c r="C1509" s="30"/>
      <c r="D1509" s="24"/>
      <c r="E1509" s="17"/>
      <c r="F1509" s="17"/>
      <c r="G1509" s="17"/>
      <c r="H1509" s="31"/>
      <c r="I1509" s="31"/>
      <c r="J1509" s="31"/>
      <c r="K1509" s="122"/>
      <c r="M1509" s="119"/>
      <c r="N1509" s="30"/>
      <c r="O1509" s="24"/>
      <c r="P1509" s="17"/>
      <c r="Q1509" s="17"/>
      <c r="R1509" s="17"/>
      <c r="S1509" s="31"/>
      <c r="T1509" s="31"/>
      <c r="U1509" s="31"/>
      <c r="V1509" s="122"/>
    </row>
    <row r="1510" spans="2:22" ht="16">
      <c r="B1510" s="119"/>
      <c r="C1510" s="30"/>
      <c r="D1510" s="24"/>
      <c r="E1510" s="17"/>
      <c r="F1510" s="17"/>
      <c r="G1510" s="17"/>
      <c r="H1510" s="31"/>
      <c r="I1510" s="31"/>
      <c r="J1510" s="31"/>
      <c r="K1510" s="122"/>
      <c r="M1510" s="119"/>
      <c r="N1510" s="30"/>
      <c r="O1510" s="24"/>
      <c r="P1510" s="17"/>
      <c r="Q1510" s="17"/>
      <c r="R1510" s="17"/>
      <c r="S1510" s="31"/>
      <c r="T1510" s="31"/>
      <c r="U1510" s="31"/>
      <c r="V1510" s="122"/>
    </row>
    <row r="1511" spans="2:22" ht="16">
      <c r="B1511" s="119"/>
      <c r="C1511" s="30"/>
      <c r="D1511" s="24"/>
      <c r="E1511" s="17"/>
      <c r="F1511" s="17"/>
      <c r="G1511" s="17"/>
      <c r="H1511" s="31"/>
      <c r="I1511" s="31"/>
      <c r="J1511" s="31"/>
      <c r="K1511" s="122"/>
      <c r="M1511" s="119"/>
      <c r="N1511" s="30"/>
      <c r="O1511" s="24"/>
      <c r="P1511" s="17"/>
      <c r="Q1511" s="17"/>
      <c r="R1511" s="17"/>
      <c r="S1511" s="31"/>
      <c r="T1511" s="31"/>
      <c r="U1511" s="31"/>
      <c r="V1511" s="122"/>
    </row>
    <row r="1512" spans="2:22" ht="16">
      <c r="B1512" s="119"/>
      <c r="C1512" s="30"/>
      <c r="D1512" s="24"/>
      <c r="E1512" s="17"/>
      <c r="F1512" s="17"/>
      <c r="G1512" s="17"/>
      <c r="H1512" s="31"/>
      <c r="I1512" s="31"/>
      <c r="J1512" s="31"/>
      <c r="K1512" s="122"/>
      <c r="M1512" s="119"/>
      <c r="N1512" s="30"/>
      <c r="O1512" s="24"/>
      <c r="P1512" s="17"/>
      <c r="Q1512" s="17"/>
      <c r="R1512" s="17"/>
      <c r="S1512" s="31"/>
      <c r="T1512" s="31"/>
      <c r="U1512" s="31"/>
      <c r="V1512" s="122"/>
    </row>
    <row r="1513" spans="2:22" ht="16">
      <c r="B1513" s="119"/>
      <c r="C1513" s="30"/>
      <c r="D1513" s="24"/>
      <c r="E1513" s="17"/>
      <c r="F1513" s="17"/>
      <c r="G1513" s="17"/>
      <c r="H1513" s="31"/>
      <c r="I1513" s="31"/>
      <c r="J1513" s="31"/>
      <c r="K1513" s="122"/>
      <c r="M1513" s="119"/>
      <c r="N1513" s="30"/>
      <c r="O1513" s="24"/>
      <c r="P1513" s="17"/>
      <c r="Q1513" s="17"/>
      <c r="R1513" s="17"/>
      <c r="S1513" s="31"/>
      <c r="T1513" s="31"/>
      <c r="U1513" s="31"/>
      <c r="V1513" s="122"/>
    </row>
    <row r="1514" spans="2:22" ht="16">
      <c r="B1514" s="119"/>
      <c r="C1514" s="30"/>
      <c r="D1514" s="24"/>
      <c r="E1514" s="17"/>
      <c r="F1514" s="17"/>
      <c r="G1514" s="17"/>
      <c r="H1514" s="31"/>
      <c r="I1514" s="31"/>
      <c r="J1514" s="31"/>
      <c r="K1514" s="122"/>
      <c r="M1514" s="119"/>
      <c r="N1514" s="30"/>
      <c r="O1514" s="24"/>
      <c r="P1514" s="17"/>
      <c r="Q1514" s="17"/>
      <c r="R1514" s="17"/>
      <c r="S1514" s="31"/>
      <c r="T1514" s="31"/>
      <c r="U1514" s="31"/>
      <c r="V1514" s="122"/>
    </row>
    <row r="1515" spans="2:22" ht="16">
      <c r="B1515" s="119"/>
      <c r="C1515" s="30"/>
      <c r="D1515" s="24"/>
      <c r="E1515" s="17"/>
      <c r="F1515" s="17"/>
      <c r="G1515" s="17"/>
      <c r="H1515" s="31"/>
      <c r="I1515" s="31"/>
      <c r="J1515" s="31"/>
      <c r="K1515" s="122"/>
      <c r="M1515" s="119"/>
      <c r="N1515" s="30"/>
      <c r="O1515" s="24"/>
      <c r="P1515" s="17"/>
      <c r="Q1515" s="17"/>
      <c r="R1515" s="17"/>
      <c r="S1515" s="31"/>
      <c r="T1515" s="31"/>
      <c r="U1515" s="31"/>
      <c r="V1515" s="122"/>
    </row>
    <row r="1516" spans="2:22" ht="16">
      <c r="B1516" s="119"/>
      <c r="C1516" s="30"/>
      <c r="D1516" s="24"/>
      <c r="E1516" s="17"/>
      <c r="F1516" s="17"/>
      <c r="G1516" s="17"/>
      <c r="H1516" s="31"/>
      <c r="I1516" s="31"/>
      <c r="J1516" s="31"/>
      <c r="K1516" s="122"/>
      <c r="M1516" s="119"/>
      <c r="N1516" s="30"/>
      <c r="O1516" s="24"/>
      <c r="P1516" s="17"/>
      <c r="Q1516" s="17"/>
      <c r="R1516" s="17"/>
      <c r="S1516" s="31"/>
      <c r="T1516" s="31"/>
      <c r="U1516" s="31"/>
      <c r="V1516" s="122"/>
    </row>
    <row r="1517" spans="2:22" ht="16">
      <c r="B1517" s="119"/>
      <c r="C1517" s="30"/>
      <c r="D1517" s="24"/>
      <c r="E1517" s="17"/>
      <c r="F1517" s="17"/>
      <c r="G1517" s="17"/>
      <c r="H1517" s="31"/>
      <c r="I1517" s="31"/>
      <c r="J1517" s="31"/>
      <c r="K1517" s="122"/>
      <c r="M1517" s="119"/>
      <c r="N1517" s="30"/>
      <c r="O1517" s="24"/>
      <c r="P1517" s="17"/>
      <c r="Q1517" s="17"/>
      <c r="R1517" s="17"/>
      <c r="S1517" s="31"/>
      <c r="T1517" s="31"/>
      <c r="U1517" s="31"/>
      <c r="V1517" s="122"/>
    </row>
    <row r="1518" spans="2:22" ht="16">
      <c r="B1518" s="119"/>
      <c r="C1518" s="30"/>
      <c r="D1518" s="24"/>
      <c r="E1518" s="17"/>
      <c r="F1518" s="17"/>
      <c r="G1518" s="17"/>
      <c r="H1518" s="31"/>
      <c r="I1518" s="31"/>
      <c r="J1518" s="31"/>
      <c r="K1518" s="122"/>
      <c r="M1518" s="119"/>
      <c r="N1518" s="30"/>
      <c r="O1518" s="24"/>
      <c r="P1518" s="17"/>
      <c r="Q1518" s="17"/>
      <c r="R1518" s="17"/>
      <c r="S1518" s="31"/>
      <c r="T1518" s="31"/>
      <c r="U1518" s="31"/>
      <c r="V1518" s="122"/>
    </row>
    <row r="1519" spans="2:22" ht="16">
      <c r="B1519" s="119"/>
      <c r="C1519" s="30"/>
      <c r="D1519" s="24"/>
      <c r="E1519" s="17"/>
      <c r="F1519" s="17"/>
      <c r="G1519" s="17"/>
      <c r="H1519" s="31"/>
      <c r="I1519" s="31"/>
      <c r="J1519" s="31"/>
      <c r="K1519" s="122"/>
      <c r="M1519" s="119"/>
      <c r="N1519" s="30"/>
      <c r="O1519" s="24"/>
      <c r="P1519" s="17"/>
      <c r="Q1519" s="17"/>
      <c r="R1519" s="17"/>
      <c r="S1519" s="31"/>
      <c r="T1519" s="31"/>
      <c r="U1519" s="31"/>
      <c r="V1519" s="122"/>
    </row>
    <row r="1520" spans="2:22" ht="16">
      <c r="B1520" s="119"/>
      <c r="C1520" s="30"/>
      <c r="D1520" s="24"/>
      <c r="E1520" s="17"/>
      <c r="F1520" s="17"/>
      <c r="G1520" s="17"/>
      <c r="H1520" s="31"/>
      <c r="I1520" s="31"/>
      <c r="J1520" s="31"/>
      <c r="K1520" s="122"/>
      <c r="M1520" s="119"/>
      <c r="N1520" s="30"/>
      <c r="O1520" s="24"/>
      <c r="P1520" s="17"/>
      <c r="Q1520" s="17"/>
      <c r="R1520" s="17"/>
      <c r="S1520" s="31"/>
      <c r="T1520" s="31"/>
      <c r="U1520" s="31"/>
      <c r="V1520" s="122"/>
    </row>
    <row r="1521" spans="2:22" ht="16">
      <c r="B1521" s="119"/>
      <c r="C1521" s="30"/>
      <c r="D1521" s="24"/>
      <c r="E1521" s="17"/>
      <c r="F1521" s="17"/>
      <c r="G1521" s="17"/>
      <c r="H1521" s="31"/>
      <c r="I1521" s="31"/>
      <c r="J1521" s="31"/>
      <c r="K1521" s="122"/>
      <c r="M1521" s="119"/>
      <c r="N1521" s="30"/>
      <c r="O1521" s="24"/>
      <c r="P1521" s="17"/>
      <c r="Q1521" s="17"/>
      <c r="R1521" s="17"/>
      <c r="S1521" s="31"/>
      <c r="T1521" s="31"/>
      <c r="U1521" s="31"/>
      <c r="V1521" s="122"/>
    </row>
    <row r="1522" spans="2:22" ht="16">
      <c r="B1522" s="119"/>
      <c r="C1522" s="30"/>
      <c r="D1522" s="24"/>
      <c r="E1522" s="17"/>
      <c r="F1522" s="17"/>
      <c r="G1522" s="17"/>
      <c r="H1522" s="31"/>
      <c r="I1522" s="31"/>
      <c r="J1522" s="31"/>
      <c r="K1522" s="122"/>
      <c r="M1522" s="119"/>
      <c r="N1522" s="30"/>
      <c r="O1522" s="24"/>
      <c r="P1522" s="17"/>
      <c r="Q1522" s="17"/>
      <c r="R1522" s="17"/>
      <c r="S1522" s="31"/>
      <c r="T1522" s="31"/>
      <c r="U1522" s="31"/>
      <c r="V1522" s="122"/>
    </row>
    <row r="1523" spans="2:22" ht="16">
      <c r="B1523" s="119"/>
      <c r="C1523" s="30"/>
      <c r="D1523" s="24"/>
      <c r="E1523" s="17"/>
      <c r="F1523" s="17"/>
      <c r="G1523" s="17"/>
      <c r="H1523" s="31"/>
      <c r="I1523" s="31"/>
      <c r="J1523" s="31"/>
      <c r="K1523" s="122"/>
      <c r="M1523" s="119"/>
      <c r="N1523" s="30"/>
      <c r="O1523" s="24"/>
      <c r="P1523" s="17"/>
      <c r="Q1523" s="17"/>
      <c r="R1523" s="17"/>
      <c r="S1523" s="31"/>
      <c r="T1523" s="31"/>
      <c r="U1523" s="31"/>
      <c r="V1523" s="122"/>
    </row>
    <row r="1524" spans="2:22" ht="16">
      <c r="B1524" s="119"/>
      <c r="C1524" s="30"/>
      <c r="D1524" s="24"/>
      <c r="E1524" s="17"/>
      <c r="F1524" s="17"/>
      <c r="G1524" s="17"/>
      <c r="H1524" s="31"/>
      <c r="I1524" s="31"/>
      <c r="J1524" s="31"/>
      <c r="K1524" s="122"/>
      <c r="M1524" s="119"/>
      <c r="N1524" s="30"/>
      <c r="O1524" s="24"/>
      <c r="P1524" s="17"/>
      <c r="Q1524" s="17"/>
      <c r="R1524" s="17"/>
      <c r="S1524" s="31"/>
      <c r="T1524" s="31"/>
      <c r="U1524" s="31"/>
      <c r="V1524" s="122"/>
    </row>
    <row r="1525" spans="2:22" ht="16">
      <c r="B1525" s="119"/>
      <c r="C1525" s="30"/>
      <c r="D1525" s="24"/>
      <c r="E1525" s="17"/>
      <c r="F1525" s="17"/>
      <c r="G1525" s="17"/>
      <c r="H1525" s="31"/>
      <c r="I1525" s="31"/>
      <c r="J1525" s="31"/>
      <c r="K1525" s="122"/>
      <c r="M1525" s="119"/>
      <c r="N1525" s="30"/>
      <c r="O1525" s="24"/>
      <c r="P1525" s="17"/>
      <c r="Q1525" s="17"/>
      <c r="R1525" s="17"/>
      <c r="S1525" s="31"/>
      <c r="T1525" s="31"/>
      <c r="U1525" s="31"/>
      <c r="V1525" s="122"/>
    </row>
    <row r="1526" spans="2:22" ht="16">
      <c r="B1526" s="119"/>
      <c r="C1526" s="30"/>
      <c r="D1526" s="24"/>
      <c r="E1526" s="17"/>
      <c r="F1526" s="17"/>
      <c r="G1526" s="17"/>
      <c r="H1526" s="31"/>
      <c r="I1526" s="31"/>
      <c r="J1526" s="31"/>
      <c r="K1526" s="122"/>
      <c r="M1526" s="119"/>
      <c r="N1526" s="30"/>
      <c r="O1526" s="24"/>
      <c r="P1526" s="17"/>
      <c r="Q1526" s="17"/>
      <c r="R1526" s="17"/>
      <c r="S1526" s="31"/>
      <c r="T1526" s="31"/>
      <c r="U1526" s="31"/>
      <c r="V1526" s="122"/>
    </row>
    <row r="1527" spans="2:22" ht="16">
      <c r="B1527" s="119"/>
      <c r="C1527" s="30"/>
      <c r="D1527" s="24"/>
      <c r="E1527" s="17"/>
      <c r="F1527" s="17"/>
      <c r="G1527" s="17"/>
      <c r="H1527" s="31"/>
      <c r="I1527" s="31"/>
      <c r="J1527" s="31"/>
      <c r="K1527" s="122"/>
      <c r="M1527" s="119"/>
      <c r="N1527" s="30"/>
      <c r="O1527" s="24"/>
      <c r="P1527" s="17"/>
      <c r="Q1527" s="17"/>
      <c r="R1527" s="17"/>
      <c r="S1527" s="31"/>
      <c r="T1527" s="31"/>
      <c r="U1527" s="31"/>
      <c r="V1527" s="122"/>
    </row>
    <row r="1528" spans="2:22" ht="16">
      <c r="B1528" s="119"/>
      <c r="C1528" s="30"/>
      <c r="D1528" s="24"/>
      <c r="E1528" s="17"/>
      <c r="F1528" s="17"/>
      <c r="G1528" s="17"/>
      <c r="H1528" s="31"/>
      <c r="I1528" s="31"/>
      <c r="J1528" s="31"/>
      <c r="K1528" s="122"/>
      <c r="M1528" s="119"/>
      <c r="N1528" s="30"/>
      <c r="O1528" s="24"/>
      <c r="P1528" s="17"/>
      <c r="Q1528" s="17"/>
      <c r="R1528" s="17"/>
      <c r="S1528" s="31"/>
      <c r="T1528" s="31"/>
      <c r="U1528" s="31"/>
      <c r="V1528" s="122"/>
    </row>
    <row r="1529" spans="2:22" ht="16">
      <c r="B1529" s="119"/>
      <c r="C1529" s="30"/>
      <c r="D1529" s="24"/>
      <c r="E1529" s="17"/>
      <c r="F1529" s="17"/>
      <c r="G1529" s="17"/>
      <c r="H1529" s="31"/>
      <c r="I1529" s="31"/>
      <c r="J1529" s="31"/>
      <c r="K1529" s="122"/>
      <c r="M1529" s="119"/>
      <c r="N1529" s="30"/>
      <c r="O1529" s="24"/>
      <c r="P1529" s="17"/>
      <c r="Q1529" s="17"/>
      <c r="R1529" s="17"/>
      <c r="S1529" s="31"/>
      <c r="T1529" s="31"/>
      <c r="U1529" s="31"/>
      <c r="V1529" s="122"/>
    </row>
    <row r="1530" spans="2:22" ht="16">
      <c r="B1530" s="119"/>
      <c r="C1530" s="30"/>
      <c r="D1530" s="24"/>
      <c r="E1530" s="17"/>
      <c r="F1530" s="17"/>
      <c r="G1530" s="17"/>
      <c r="H1530" s="31"/>
      <c r="I1530" s="31"/>
      <c r="J1530" s="31"/>
      <c r="K1530" s="122"/>
      <c r="M1530" s="119"/>
      <c r="N1530" s="30"/>
      <c r="O1530" s="24"/>
      <c r="P1530" s="17"/>
      <c r="Q1530" s="17"/>
      <c r="R1530" s="17"/>
      <c r="S1530" s="31"/>
      <c r="T1530" s="31"/>
      <c r="U1530" s="31"/>
      <c r="V1530" s="122"/>
    </row>
    <row r="1531" spans="2:22" ht="16">
      <c r="B1531" s="119"/>
      <c r="C1531" s="30"/>
      <c r="D1531" s="24"/>
      <c r="E1531" s="17"/>
      <c r="F1531" s="17"/>
      <c r="G1531" s="17"/>
      <c r="H1531" s="31"/>
      <c r="I1531" s="31"/>
      <c r="J1531" s="31"/>
      <c r="K1531" s="122"/>
      <c r="M1531" s="119"/>
      <c r="N1531" s="30"/>
      <c r="O1531" s="24"/>
      <c r="P1531" s="17"/>
      <c r="Q1531" s="17"/>
      <c r="R1531" s="17"/>
      <c r="S1531" s="31"/>
      <c r="T1531" s="31"/>
      <c r="U1531" s="31"/>
      <c r="V1531" s="122"/>
    </row>
    <row r="1532" spans="2:22" ht="16">
      <c r="B1532" s="119"/>
      <c r="C1532" s="30"/>
      <c r="D1532" s="24"/>
      <c r="E1532" s="17"/>
      <c r="F1532" s="17"/>
      <c r="G1532" s="17"/>
      <c r="H1532" s="31"/>
      <c r="I1532" s="31"/>
      <c r="J1532" s="31"/>
      <c r="K1532" s="122"/>
      <c r="M1532" s="119"/>
      <c r="N1532" s="30"/>
      <c r="O1532" s="24"/>
      <c r="P1532" s="17"/>
      <c r="Q1532" s="17"/>
      <c r="R1532" s="17"/>
      <c r="S1532" s="31"/>
      <c r="T1532" s="31"/>
      <c r="U1532" s="31"/>
      <c r="V1532" s="122"/>
    </row>
    <row r="1533" spans="2:22" ht="16">
      <c r="B1533" s="119"/>
      <c r="C1533" s="30"/>
      <c r="D1533" s="24"/>
      <c r="E1533" s="17"/>
      <c r="F1533" s="17"/>
      <c r="G1533" s="17"/>
      <c r="H1533" s="31"/>
      <c r="I1533" s="31"/>
      <c r="J1533" s="31"/>
      <c r="K1533" s="122"/>
      <c r="M1533" s="119"/>
      <c r="N1533" s="30"/>
      <c r="O1533" s="24"/>
      <c r="P1533" s="17"/>
      <c r="Q1533" s="17"/>
      <c r="R1533" s="17"/>
      <c r="S1533" s="31"/>
      <c r="T1533" s="31"/>
      <c r="U1533" s="31"/>
      <c r="V1533" s="122"/>
    </row>
    <row r="1534" spans="2:22" ht="16">
      <c r="B1534" s="119"/>
      <c r="C1534" s="30"/>
      <c r="D1534" s="24"/>
      <c r="E1534" s="17"/>
      <c r="F1534" s="17"/>
      <c r="G1534" s="17"/>
      <c r="H1534" s="31"/>
      <c r="I1534" s="31"/>
      <c r="J1534" s="31"/>
      <c r="K1534" s="122"/>
      <c r="M1534" s="119"/>
      <c r="N1534" s="30"/>
      <c r="O1534" s="24"/>
      <c r="P1534" s="17"/>
      <c r="Q1534" s="17"/>
      <c r="R1534" s="17"/>
      <c r="S1534" s="31"/>
      <c r="T1534" s="31"/>
      <c r="U1534" s="31"/>
      <c r="V1534" s="122"/>
    </row>
    <row r="1535" spans="2:22" ht="16">
      <c r="B1535" s="119"/>
      <c r="C1535" s="30"/>
      <c r="D1535" s="24"/>
      <c r="E1535" s="17"/>
      <c r="F1535" s="17"/>
      <c r="G1535" s="17"/>
      <c r="H1535" s="31"/>
      <c r="I1535" s="31"/>
      <c r="J1535" s="31"/>
      <c r="K1535" s="122"/>
      <c r="M1535" s="119"/>
      <c r="N1535" s="30"/>
      <c r="O1535" s="24"/>
      <c r="P1535" s="17"/>
      <c r="Q1535" s="17"/>
      <c r="R1535" s="17"/>
      <c r="S1535" s="31"/>
      <c r="T1535" s="31"/>
      <c r="U1535" s="31"/>
      <c r="V1535" s="122"/>
    </row>
    <row r="1536" spans="2:22" ht="16">
      <c r="B1536" s="119"/>
      <c r="C1536" s="30"/>
      <c r="D1536" s="24"/>
      <c r="E1536" s="17"/>
      <c r="F1536" s="17"/>
      <c r="G1536" s="17"/>
      <c r="H1536" s="31"/>
      <c r="I1536" s="31"/>
      <c r="J1536" s="31"/>
      <c r="K1536" s="122"/>
      <c r="M1536" s="119"/>
      <c r="N1536" s="30"/>
      <c r="O1536" s="24"/>
      <c r="P1536" s="17"/>
      <c r="Q1536" s="17"/>
      <c r="R1536" s="17"/>
      <c r="S1536" s="31"/>
      <c r="T1536" s="31"/>
      <c r="U1536" s="31"/>
      <c r="V1536" s="122"/>
    </row>
    <row r="1537" spans="2:22" ht="16">
      <c r="B1537" s="119"/>
      <c r="C1537" s="30"/>
      <c r="D1537" s="24"/>
      <c r="E1537" s="17"/>
      <c r="F1537" s="17"/>
      <c r="G1537" s="17"/>
      <c r="H1537" s="31"/>
      <c r="I1537" s="31"/>
      <c r="J1537" s="31"/>
      <c r="K1537" s="122"/>
      <c r="M1537" s="119"/>
      <c r="N1537" s="30"/>
      <c r="O1537" s="24"/>
      <c r="P1537" s="17"/>
      <c r="Q1537" s="17"/>
      <c r="R1537" s="17"/>
      <c r="S1537" s="31"/>
      <c r="T1537" s="31"/>
      <c r="U1537" s="31"/>
      <c r="V1537" s="122"/>
    </row>
    <row r="1538" spans="2:22" ht="16">
      <c r="B1538" s="119"/>
      <c r="C1538" s="30"/>
      <c r="D1538" s="24"/>
      <c r="E1538" s="17"/>
      <c r="F1538" s="17"/>
      <c r="G1538" s="17"/>
      <c r="H1538" s="31"/>
      <c r="I1538" s="31"/>
      <c r="J1538" s="31"/>
      <c r="K1538" s="122"/>
      <c r="M1538" s="119"/>
      <c r="N1538" s="30"/>
      <c r="O1538" s="24"/>
      <c r="P1538" s="17"/>
      <c r="Q1538" s="17"/>
      <c r="R1538" s="17"/>
      <c r="S1538" s="31"/>
      <c r="T1538" s="31"/>
      <c r="U1538" s="31"/>
      <c r="V1538" s="122"/>
    </row>
    <row r="1539" spans="2:22" ht="16">
      <c r="B1539" s="119"/>
      <c r="C1539" s="30"/>
      <c r="D1539" s="24"/>
      <c r="E1539" s="17"/>
      <c r="F1539" s="17"/>
      <c r="G1539" s="17"/>
      <c r="H1539" s="31"/>
      <c r="I1539" s="31"/>
      <c r="J1539" s="31"/>
      <c r="K1539" s="122"/>
      <c r="M1539" s="119"/>
      <c r="N1539" s="30"/>
      <c r="O1539" s="24"/>
      <c r="P1539" s="17"/>
      <c r="Q1539" s="17"/>
      <c r="R1539" s="17"/>
      <c r="S1539" s="31"/>
      <c r="T1539" s="31"/>
      <c r="U1539" s="31"/>
      <c r="V1539" s="122"/>
    </row>
    <row r="1540" spans="2:22" ht="16">
      <c r="B1540" s="119"/>
      <c r="C1540" s="30"/>
      <c r="D1540" s="24"/>
      <c r="E1540" s="17"/>
      <c r="F1540" s="17"/>
      <c r="G1540" s="17"/>
      <c r="H1540" s="31"/>
      <c r="I1540" s="31"/>
      <c r="J1540" s="31"/>
      <c r="K1540" s="122"/>
      <c r="M1540" s="119"/>
      <c r="N1540" s="30"/>
      <c r="O1540" s="24"/>
      <c r="P1540" s="17"/>
      <c r="Q1540" s="17"/>
      <c r="R1540" s="17"/>
      <c r="S1540" s="31"/>
      <c r="T1540" s="31"/>
      <c r="U1540" s="31"/>
      <c r="V1540" s="122"/>
    </row>
    <row r="1541" spans="2:22" ht="16">
      <c r="B1541" s="119"/>
      <c r="C1541" s="30"/>
      <c r="D1541" s="24"/>
      <c r="E1541" s="17"/>
      <c r="F1541" s="17"/>
      <c r="G1541" s="17"/>
      <c r="H1541" s="31"/>
      <c r="I1541" s="31"/>
      <c r="J1541" s="31"/>
      <c r="K1541" s="122"/>
      <c r="M1541" s="119"/>
      <c r="N1541" s="30"/>
      <c r="O1541" s="24"/>
      <c r="P1541" s="17"/>
      <c r="Q1541" s="17"/>
      <c r="R1541" s="17"/>
      <c r="S1541" s="31"/>
      <c r="T1541" s="31"/>
      <c r="U1541" s="31"/>
      <c r="V1541" s="122"/>
    </row>
    <row r="1542" spans="2:22" ht="16">
      <c r="B1542" s="119"/>
      <c r="C1542" s="30"/>
      <c r="D1542" s="24"/>
      <c r="E1542" s="17"/>
      <c r="F1542" s="17"/>
      <c r="G1542" s="17"/>
      <c r="H1542" s="31"/>
      <c r="I1542" s="31"/>
      <c r="J1542" s="31"/>
      <c r="K1542" s="122"/>
      <c r="M1542" s="119"/>
      <c r="N1542" s="30"/>
      <c r="O1542" s="24"/>
      <c r="P1542" s="17"/>
      <c r="Q1542" s="17"/>
      <c r="R1542" s="17"/>
      <c r="S1542" s="31"/>
      <c r="T1542" s="31"/>
      <c r="U1542" s="31"/>
      <c r="V1542" s="122"/>
    </row>
    <row r="1543" spans="2:22" ht="16">
      <c r="B1543" s="119"/>
      <c r="C1543" s="30"/>
      <c r="D1543" s="24"/>
      <c r="E1543" s="17"/>
      <c r="F1543" s="17"/>
      <c r="G1543" s="17"/>
      <c r="H1543" s="31"/>
      <c r="I1543" s="31"/>
      <c r="J1543" s="31"/>
      <c r="K1543" s="122"/>
      <c r="M1543" s="119"/>
      <c r="N1543" s="30"/>
      <c r="O1543" s="24"/>
      <c r="P1543" s="17"/>
      <c r="Q1543" s="17"/>
      <c r="R1543" s="17"/>
      <c r="S1543" s="31"/>
      <c r="T1543" s="31"/>
      <c r="U1543" s="31"/>
      <c r="V1543" s="122"/>
    </row>
    <row r="1544" spans="2:22" ht="16">
      <c r="B1544" s="119"/>
      <c r="C1544" s="30"/>
      <c r="D1544" s="24"/>
      <c r="E1544" s="17"/>
      <c r="F1544" s="17"/>
      <c r="G1544" s="17"/>
      <c r="H1544" s="31"/>
      <c r="I1544" s="31"/>
      <c r="J1544" s="31"/>
      <c r="K1544" s="122"/>
      <c r="M1544" s="119"/>
      <c r="N1544" s="30"/>
      <c r="O1544" s="24"/>
      <c r="P1544" s="17"/>
      <c r="Q1544" s="17"/>
      <c r="R1544" s="17"/>
      <c r="S1544" s="31"/>
      <c r="T1544" s="31"/>
      <c r="U1544" s="31"/>
      <c r="V1544" s="122"/>
    </row>
    <row r="1545" spans="2:22" ht="16">
      <c r="B1545" s="119"/>
      <c r="C1545" s="30"/>
      <c r="D1545" s="24"/>
      <c r="E1545" s="17"/>
      <c r="F1545" s="17"/>
      <c r="G1545" s="17"/>
      <c r="H1545" s="31"/>
      <c r="I1545" s="31"/>
      <c r="J1545" s="31"/>
      <c r="K1545" s="122"/>
      <c r="M1545" s="119"/>
      <c r="N1545" s="30"/>
      <c r="O1545" s="24"/>
      <c r="P1545" s="17"/>
      <c r="Q1545" s="17"/>
      <c r="R1545" s="17"/>
      <c r="S1545" s="31"/>
      <c r="T1545" s="31"/>
      <c r="U1545" s="31"/>
      <c r="V1545" s="122"/>
    </row>
    <row r="1546" spans="2:22" ht="16">
      <c r="B1546" s="119"/>
      <c r="C1546" s="30"/>
      <c r="D1546" s="24"/>
      <c r="E1546" s="17"/>
      <c r="F1546" s="17"/>
      <c r="G1546" s="17"/>
      <c r="H1546" s="31"/>
      <c r="I1546" s="31"/>
      <c r="J1546" s="31"/>
      <c r="K1546" s="122"/>
      <c r="M1546" s="119"/>
      <c r="N1546" s="30"/>
      <c r="O1546" s="24"/>
      <c r="P1546" s="17"/>
      <c r="Q1546" s="17"/>
      <c r="R1546" s="17"/>
      <c r="S1546" s="31"/>
      <c r="T1546" s="31"/>
      <c r="U1546" s="31"/>
      <c r="V1546" s="122"/>
    </row>
    <row r="1547" spans="2:22" ht="16">
      <c r="B1547" s="119"/>
      <c r="C1547" s="30"/>
      <c r="D1547" s="24"/>
      <c r="E1547" s="17"/>
      <c r="F1547" s="17"/>
      <c r="G1547" s="17"/>
      <c r="H1547" s="31"/>
      <c r="I1547" s="31"/>
      <c r="J1547" s="31"/>
      <c r="K1547" s="122"/>
      <c r="M1547" s="119"/>
      <c r="N1547" s="30"/>
      <c r="O1547" s="24"/>
      <c r="P1547" s="17"/>
      <c r="Q1547" s="17"/>
      <c r="R1547" s="17"/>
      <c r="S1547" s="31"/>
      <c r="T1547" s="31"/>
      <c r="U1547" s="31"/>
      <c r="V1547" s="122"/>
    </row>
    <row r="1548" spans="2:22" ht="16">
      <c r="B1548" s="119"/>
      <c r="C1548" s="30"/>
      <c r="D1548" s="24"/>
      <c r="E1548" s="17"/>
      <c r="F1548" s="17"/>
      <c r="G1548" s="17"/>
      <c r="H1548" s="31"/>
      <c r="I1548" s="31"/>
      <c r="J1548" s="31"/>
      <c r="K1548" s="122"/>
      <c r="M1548" s="119"/>
      <c r="N1548" s="30"/>
      <c r="O1548" s="24"/>
      <c r="P1548" s="17"/>
      <c r="Q1548" s="17"/>
      <c r="R1548" s="17"/>
      <c r="S1548" s="31"/>
      <c r="T1548" s="31"/>
      <c r="U1548" s="31"/>
      <c r="V1548" s="122"/>
    </row>
    <row r="1549" spans="2:22" ht="16">
      <c r="B1549" s="119"/>
      <c r="C1549" s="30"/>
      <c r="D1549" s="24"/>
      <c r="E1549" s="17"/>
      <c r="F1549" s="17"/>
      <c r="G1549" s="17"/>
      <c r="H1549" s="31"/>
      <c r="I1549" s="31"/>
      <c r="J1549" s="31"/>
      <c r="K1549" s="122"/>
      <c r="M1549" s="119"/>
      <c r="N1549" s="30"/>
      <c r="O1549" s="24"/>
      <c r="P1549" s="17"/>
      <c r="Q1549" s="17"/>
      <c r="R1549" s="17"/>
      <c r="S1549" s="31"/>
      <c r="T1549" s="31"/>
      <c r="U1549" s="31"/>
      <c r="V1549" s="122"/>
    </row>
    <row r="1550" spans="2:22" ht="16">
      <c r="B1550" s="119"/>
      <c r="C1550" s="30"/>
      <c r="D1550" s="24"/>
      <c r="E1550" s="17"/>
      <c r="F1550" s="17"/>
      <c r="G1550" s="17"/>
      <c r="H1550" s="31"/>
      <c r="I1550" s="31"/>
      <c r="J1550" s="31"/>
      <c r="K1550" s="122"/>
      <c r="M1550" s="119"/>
      <c r="N1550" s="30"/>
      <c r="O1550" s="24"/>
      <c r="P1550" s="17"/>
      <c r="Q1550" s="17"/>
      <c r="R1550" s="17"/>
      <c r="S1550" s="31"/>
      <c r="T1550" s="31"/>
      <c r="U1550" s="31"/>
      <c r="V1550" s="122"/>
    </row>
    <row r="1551" spans="2:22" ht="16">
      <c r="B1551" s="119"/>
      <c r="C1551" s="30"/>
      <c r="D1551" s="24"/>
      <c r="E1551" s="17"/>
      <c r="F1551" s="17"/>
      <c r="G1551" s="17"/>
      <c r="H1551" s="31"/>
      <c r="I1551" s="31"/>
      <c r="J1551" s="31"/>
      <c r="K1551" s="122"/>
      <c r="M1551" s="119"/>
      <c r="N1551" s="30"/>
      <c r="O1551" s="24"/>
      <c r="P1551" s="17"/>
      <c r="Q1551" s="17"/>
      <c r="R1551" s="17"/>
      <c r="S1551" s="31"/>
      <c r="T1551" s="31"/>
      <c r="U1551" s="31"/>
      <c r="V1551" s="122"/>
    </row>
    <row r="1552" spans="2:22" ht="16">
      <c r="B1552" s="119"/>
      <c r="C1552" s="30"/>
      <c r="D1552" s="24"/>
      <c r="E1552" s="17"/>
      <c r="F1552" s="17"/>
      <c r="G1552" s="17"/>
      <c r="H1552" s="31"/>
      <c r="I1552" s="31"/>
      <c r="J1552" s="31"/>
      <c r="K1552" s="122"/>
      <c r="M1552" s="119"/>
      <c r="N1552" s="30"/>
      <c r="O1552" s="24"/>
      <c r="P1552" s="17"/>
      <c r="Q1552" s="17"/>
      <c r="R1552" s="17"/>
      <c r="S1552" s="31"/>
      <c r="T1552" s="31"/>
      <c r="U1552" s="31"/>
      <c r="V1552" s="122"/>
    </row>
    <row r="1553" spans="2:22" ht="16">
      <c r="B1553" s="119"/>
      <c r="C1553" s="30"/>
      <c r="D1553" s="24"/>
      <c r="E1553" s="17"/>
      <c r="F1553" s="17"/>
      <c r="G1553" s="17"/>
      <c r="H1553" s="31"/>
      <c r="I1553" s="31"/>
      <c r="J1553" s="31"/>
      <c r="K1553" s="122"/>
      <c r="M1553" s="119"/>
      <c r="N1553" s="30"/>
      <c r="O1553" s="24"/>
      <c r="P1553" s="17"/>
      <c r="Q1553" s="17"/>
      <c r="R1553" s="17"/>
      <c r="S1553" s="31"/>
      <c r="T1553" s="31"/>
      <c r="U1553" s="31"/>
      <c r="V1553" s="122"/>
    </row>
    <row r="1554" spans="2:22" ht="16">
      <c r="B1554" s="119"/>
      <c r="C1554" s="30"/>
      <c r="D1554" s="24"/>
      <c r="E1554" s="17"/>
      <c r="F1554" s="17"/>
      <c r="G1554" s="17"/>
      <c r="H1554" s="31"/>
      <c r="I1554" s="31"/>
      <c r="J1554" s="31"/>
      <c r="K1554" s="122"/>
      <c r="M1554" s="119"/>
      <c r="N1554" s="30"/>
      <c r="O1554" s="24"/>
      <c r="P1554" s="17"/>
      <c r="Q1554" s="17"/>
      <c r="R1554" s="17"/>
      <c r="S1554" s="31"/>
      <c r="T1554" s="31"/>
      <c r="U1554" s="31"/>
      <c r="V1554" s="122"/>
    </row>
    <row r="1555" spans="2:22" ht="16">
      <c r="B1555" s="119"/>
      <c r="C1555" s="30"/>
      <c r="D1555" s="24"/>
      <c r="E1555" s="17"/>
      <c r="F1555" s="17"/>
      <c r="G1555" s="17"/>
      <c r="H1555" s="31"/>
      <c r="I1555" s="31"/>
      <c r="J1555" s="31"/>
      <c r="K1555" s="122"/>
      <c r="M1555" s="119"/>
      <c r="N1555" s="30"/>
      <c r="O1555" s="24"/>
      <c r="P1555" s="17"/>
      <c r="Q1555" s="17"/>
      <c r="R1555" s="17"/>
      <c r="S1555" s="31"/>
      <c r="T1555" s="31"/>
      <c r="U1555" s="31"/>
      <c r="V1555" s="122"/>
    </row>
    <row r="1556" spans="2:22" ht="16">
      <c r="B1556" s="119"/>
      <c r="C1556" s="30"/>
      <c r="D1556" s="24"/>
      <c r="E1556" s="17"/>
      <c r="F1556" s="17"/>
      <c r="G1556" s="17"/>
      <c r="H1556" s="31"/>
      <c r="I1556" s="31"/>
      <c r="J1556" s="31"/>
      <c r="K1556" s="122"/>
      <c r="M1556" s="119"/>
      <c r="N1556" s="30"/>
      <c r="O1556" s="24"/>
      <c r="P1556" s="17"/>
      <c r="Q1556" s="17"/>
      <c r="R1556" s="17"/>
      <c r="S1556" s="31"/>
      <c r="T1556" s="31"/>
      <c r="U1556" s="31"/>
      <c r="V1556" s="122"/>
    </row>
    <row r="1557" spans="2:22" ht="16">
      <c r="B1557" s="119"/>
      <c r="C1557" s="30"/>
      <c r="D1557" s="24"/>
      <c r="E1557" s="17"/>
      <c r="F1557" s="17"/>
      <c r="G1557" s="17"/>
      <c r="H1557" s="31"/>
      <c r="I1557" s="31"/>
      <c r="J1557" s="31"/>
      <c r="K1557" s="122"/>
      <c r="M1557" s="119"/>
      <c r="N1557" s="30"/>
      <c r="O1557" s="24"/>
      <c r="P1557" s="17"/>
      <c r="Q1557" s="17"/>
      <c r="R1557" s="17"/>
      <c r="S1557" s="31"/>
      <c r="T1557" s="31"/>
      <c r="U1557" s="31"/>
      <c r="V1557" s="122"/>
    </row>
    <row r="1558" spans="2:22" ht="16">
      <c r="B1558" s="119"/>
      <c r="C1558" s="30"/>
      <c r="D1558" s="24"/>
      <c r="E1558" s="17"/>
      <c r="F1558" s="17"/>
      <c r="G1558" s="17"/>
      <c r="H1558" s="31"/>
      <c r="I1558" s="31"/>
      <c r="J1558" s="31"/>
      <c r="K1558" s="122"/>
      <c r="M1558" s="119"/>
      <c r="N1558" s="30"/>
      <c r="O1558" s="24"/>
      <c r="P1558" s="17"/>
      <c r="Q1558" s="17"/>
      <c r="R1558" s="17"/>
      <c r="S1558" s="31"/>
      <c r="T1558" s="31"/>
      <c r="U1558" s="31"/>
      <c r="V1558" s="122"/>
    </row>
    <row r="1559" spans="2:22" ht="16">
      <c r="B1559" s="119"/>
      <c r="C1559" s="30"/>
      <c r="D1559" s="24"/>
      <c r="E1559" s="17"/>
      <c r="F1559" s="17"/>
      <c r="G1559" s="17"/>
      <c r="H1559" s="31"/>
      <c r="I1559" s="31"/>
      <c r="J1559" s="31"/>
      <c r="K1559" s="122"/>
      <c r="M1559" s="119"/>
      <c r="N1559" s="30"/>
      <c r="O1559" s="24"/>
      <c r="P1559" s="17"/>
      <c r="Q1559" s="17"/>
      <c r="R1559" s="17"/>
      <c r="S1559" s="31"/>
      <c r="T1559" s="31"/>
      <c r="U1559" s="31"/>
      <c r="V1559" s="122"/>
    </row>
    <row r="1560" spans="2:22" ht="16">
      <c r="B1560" s="119"/>
      <c r="C1560" s="30"/>
      <c r="D1560" s="24"/>
      <c r="E1560" s="17"/>
      <c r="F1560" s="17"/>
      <c r="G1560" s="17"/>
      <c r="H1560" s="31"/>
      <c r="I1560" s="31"/>
      <c r="J1560" s="31"/>
      <c r="K1560" s="122"/>
      <c r="M1560" s="119"/>
      <c r="N1560" s="30"/>
      <c r="O1560" s="24"/>
      <c r="P1560" s="17"/>
      <c r="Q1560" s="17"/>
      <c r="R1560" s="17"/>
      <c r="S1560" s="31"/>
      <c r="T1560" s="31"/>
      <c r="U1560" s="31"/>
      <c r="V1560" s="122"/>
    </row>
    <row r="1561" spans="2:22" ht="16">
      <c r="B1561" s="119"/>
      <c r="C1561" s="30"/>
      <c r="D1561" s="24"/>
      <c r="E1561" s="17"/>
      <c r="F1561" s="17"/>
      <c r="G1561" s="17"/>
      <c r="H1561" s="31"/>
      <c r="I1561" s="31"/>
      <c r="J1561" s="31"/>
      <c r="K1561" s="122"/>
      <c r="M1561" s="119"/>
      <c r="N1561" s="30"/>
      <c r="O1561" s="24"/>
      <c r="P1561" s="17"/>
      <c r="Q1561" s="17"/>
      <c r="R1561" s="17"/>
      <c r="S1561" s="31"/>
      <c r="T1561" s="31"/>
      <c r="U1561" s="31"/>
      <c r="V1561" s="122"/>
    </row>
    <row r="1562" spans="2:22" ht="16">
      <c r="B1562" s="119"/>
      <c r="C1562" s="30"/>
      <c r="D1562" s="24"/>
      <c r="E1562" s="17"/>
      <c r="F1562" s="17"/>
      <c r="G1562" s="17"/>
      <c r="H1562" s="31"/>
      <c r="I1562" s="31"/>
      <c r="J1562" s="31"/>
      <c r="K1562" s="122"/>
      <c r="M1562" s="119"/>
      <c r="N1562" s="30"/>
      <c r="O1562" s="24"/>
      <c r="P1562" s="17"/>
      <c r="Q1562" s="17"/>
      <c r="R1562" s="17"/>
      <c r="S1562" s="31"/>
      <c r="T1562" s="31"/>
      <c r="U1562" s="31"/>
      <c r="V1562" s="122"/>
    </row>
    <row r="1563" spans="2:22" ht="16">
      <c r="B1563" s="119"/>
      <c r="C1563" s="30"/>
      <c r="D1563" s="24"/>
      <c r="E1563" s="17"/>
      <c r="F1563" s="17"/>
      <c r="G1563" s="17"/>
      <c r="H1563" s="31"/>
      <c r="I1563" s="31"/>
      <c r="J1563" s="31"/>
      <c r="K1563" s="122"/>
      <c r="M1563" s="119"/>
      <c r="N1563" s="30"/>
      <c r="O1563" s="24"/>
      <c r="P1563" s="17"/>
      <c r="Q1563" s="17"/>
      <c r="R1563" s="17"/>
      <c r="S1563" s="31"/>
      <c r="T1563" s="31"/>
      <c r="U1563" s="31"/>
      <c r="V1563" s="122"/>
    </row>
    <row r="1564" spans="2:22" ht="16">
      <c r="B1564" s="119"/>
      <c r="C1564" s="30"/>
      <c r="D1564" s="24"/>
      <c r="E1564" s="17"/>
      <c r="F1564" s="17"/>
      <c r="G1564" s="17"/>
      <c r="H1564" s="31"/>
      <c r="I1564" s="31"/>
      <c r="J1564" s="31"/>
      <c r="K1564" s="122"/>
      <c r="M1564" s="119"/>
      <c r="N1564" s="30"/>
      <c r="O1564" s="24"/>
      <c r="P1564" s="17"/>
      <c r="Q1564" s="17"/>
      <c r="R1564" s="17"/>
      <c r="S1564" s="31"/>
      <c r="T1564" s="31"/>
      <c r="U1564" s="31"/>
      <c r="V1564" s="122"/>
    </row>
    <row r="1565" spans="2:22" ht="16">
      <c r="B1565" s="119"/>
      <c r="C1565" s="30"/>
      <c r="D1565" s="24"/>
      <c r="E1565" s="17"/>
      <c r="F1565" s="17"/>
      <c r="G1565" s="17"/>
      <c r="H1565" s="31"/>
      <c r="I1565" s="31"/>
      <c r="J1565" s="31"/>
      <c r="K1565" s="122"/>
      <c r="M1565" s="119"/>
      <c r="N1565" s="30"/>
      <c r="O1565" s="24"/>
      <c r="P1565" s="17"/>
      <c r="Q1565" s="17"/>
      <c r="R1565" s="17"/>
      <c r="S1565" s="31"/>
      <c r="T1565" s="31"/>
      <c r="U1565" s="31"/>
      <c r="V1565" s="122"/>
    </row>
    <row r="1566" spans="2:22" ht="16">
      <c r="B1566" s="119"/>
      <c r="C1566" s="30"/>
      <c r="D1566" s="24"/>
      <c r="E1566" s="17"/>
      <c r="F1566" s="17"/>
      <c r="G1566" s="17"/>
      <c r="H1566" s="31"/>
      <c r="I1566" s="31"/>
      <c r="J1566" s="31"/>
      <c r="K1566" s="122"/>
      <c r="M1566" s="119"/>
      <c r="N1566" s="30"/>
      <c r="O1566" s="24"/>
      <c r="P1566" s="17"/>
      <c r="Q1566" s="17"/>
      <c r="R1566" s="17"/>
      <c r="S1566" s="31"/>
      <c r="T1566" s="31"/>
      <c r="U1566" s="31"/>
      <c r="V1566" s="122"/>
    </row>
    <row r="1567" spans="2:22" ht="16">
      <c r="B1567" s="119"/>
      <c r="C1567" s="30"/>
      <c r="D1567" s="24"/>
      <c r="E1567" s="17"/>
      <c r="F1567" s="17"/>
      <c r="G1567" s="17"/>
      <c r="H1567" s="31"/>
      <c r="I1567" s="31"/>
      <c r="J1567" s="31"/>
      <c r="K1567" s="122"/>
      <c r="M1567" s="119"/>
      <c r="N1567" s="30"/>
      <c r="O1567" s="24"/>
      <c r="P1567" s="17"/>
      <c r="Q1567" s="17"/>
      <c r="R1567" s="17"/>
      <c r="S1567" s="31"/>
      <c r="T1567" s="31"/>
      <c r="U1567" s="31"/>
      <c r="V1567" s="122"/>
    </row>
    <row r="1568" spans="2:22" ht="16">
      <c r="B1568" s="119"/>
      <c r="C1568" s="30"/>
      <c r="D1568" s="24"/>
      <c r="E1568" s="17"/>
      <c r="F1568" s="17"/>
      <c r="G1568" s="17"/>
      <c r="H1568" s="31"/>
      <c r="I1568" s="31"/>
      <c r="J1568" s="31"/>
      <c r="K1568" s="122"/>
      <c r="M1568" s="119"/>
      <c r="N1568" s="30"/>
      <c r="O1568" s="24"/>
      <c r="P1568" s="17"/>
      <c r="Q1568" s="17"/>
      <c r="R1568" s="17"/>
      <c r="S1568" s="31"/>
      <c r="T1568" s="31"/>
      <c r="U1568" s="31"/>
      <c r="V1568" s="122"/>
    </row>
    <row r="1569" spans="2:22" ht="16">
      <c r="B1569" s="119"/>
      <c r="C1569" s="30"/>
      <c r="D1569" s="24"/>
      <c r="E1569" s="17"/>
      <c r="F1569" s="17"/>
      <c r="G1569" s="17"/>
      <c r="H1569" s="31"/>
      <c r="I1569" s="31"/>
      <c r="J1569" s="31"/>
      <c r="K1569" s="122"/>
      <c r="M1569" s="119"/>
      <c r="N1569" s="30"/>
      <c r="O1569" s="24"/>
      <c r="P1569" s="17"/>
      <c r="Q1569" s="17"/>
      <c r="R1569" s="17"/>
      <c r="S1569" s="31"/>
      <c r="T1569" s="31"/>
      <c r="U1569" s="31"/>
      <c r="V1569" s="122"/>
    </row>
    <row r="1570" spans="2:22" ht="16">
      <c r="B1570" s="119"/>
      <c r="C1570" s="30"/>
      <c r="D1570" s="24"/>
      <c r="E1570" s="17"/>
      <c r="F1570" s="17"/>
      <c r="G1570" s="17"/>
      <c r="H1570" s="31"/>
      <c r="I1570" s="31"/>
      <c r="J1570" s="31"/>
      <c r="K1570" s="122"/>
      <c r="M1570" s="119"/>
      <c r="N1570" s="30"/>
      <c r="O1570" s="24"/>
      <c r="P1570" s="17"/>
      <c r="Q1570" s="17"/>
      <c r="R1570" s="17"/>
      <c r="S1570" s="31"/>
      <c r="T1570" s="31"/>
      <c r="U1570" s="31"/>
      <c r="V1570" s="122"/>
    </row>
    <row r="1571" spans="2:22" ht="16">
      <c r="B1571" s="119"/>
      <c r="C1571" s="30"/>
      <c r="D1571" s="24"/>
      <c r="E1571" s="17"/>
      <c r="F1571" s="17"/>
      <c r="G1571" s="17"/>
      <c r="H1571" s="31"/>
      <c r="I1571" s="31"/>
      <c r="J1571" s="31"/>
      <c r="K1571" s="122"/>
      <c r="M1571" s="119"/>
      <c r="N1571" s="30"/>
      <c r="O1571" s="24"/>
      <c r="P1571" s="17"/>
      <c r="Q1571" s="17"/>
      <c r="R1571" s="17"/>
      <c r="S1571" s="31"/>
      <c r="T1571" s="31"/>
      <c r="U1571" s="31"/>
      <c r="V1571" s="122"/>
    </row>
    <row r="1572" spans="2:22" ht="16">
      <c r="B1572" s="119"/>
      <c r="C1572" s="30"/>
      <c r="D1572" s="24"/>
      <c r="E1572" s="17"/>
      <c r="F1572" s="17"/>
      <c r="G1572" s="17"/>
      <c r="H1572" s="31"/>
      <c r="I1572" s="31"/>
      <c r="J1572" s="31"/>
      <c r="K1572" s="122"/>
      <c r="M1572" s="119"/>
      <c r="N1572" s="30"/>
      <c r="O1572" s="24"/>
      <c r="P1572" s="17"/>
      <c r="Q1572" s="17"/>
      <c r="R1572" s="17"/>
      <c r="S1572" s="31"/>
      <c r="T1572" s="31"/>
      <c r="U1572" s="31"/>
      <c r="V1572" s="122"/>
    </row>
    <row r="1573" spans="2:22" ht="16">
      <c r="B1573" s="119"/>
      <c r="C1573" s="30"/>
      <c r="D1573" s="24"/>
      <c r="E1573" s="17"/>
      <c r="F1573" s="17"/>
      <c r="G1573" s="17"/>
      <c r="H1573" s="31"/>
      <c r="I1573" s="31"/>
      <c r="J1573" s="31"/>
      <c r="K1573" s="122"/>
      <c r="M1573" s="119"/>
      <c r="N1573" s="30"/>
      <c r="O1573" s="24"/>
      <c r="P1573" s="17"/>
      <c r="Q1573" s="17"/>
      <c r="R1573" s="17"/>
      <c r="S1573" s="31"/>
      <c r="T1573" s="31"/>
      <c r="U1573" s="31"/>
      <c r="V1573" s="122"/>
    </row>
    <row r="1574" spans="2:22" ht="16">
      <c r="B1574" s="119"/>
      <c r="C1574" s="30"/>
      <c r="D1574" s="24"/>
      <c r="E1574" s="17"/>
      <c r="F1574" s="17"/>
      <c r="G1574" s="17"/>
      <c r="H1574" s="31"/>
      <c r="I1574" s="31"/>
      <c r="J1574" s="31"/>
      <c r="K1574" s="122"/>
      <c r="M1574" s="119"/>
      <c r="N1574" s="30"/>
      <c r="O1574" s="24"/>
      <c r="P1574" s="17"/>
      <c r="Q1574" s="17"/>
      <c r="R1574" s="17"/>
      <c r="S1574" s="31"/>
      <c r="T1574" s="31"/>
      <c r="U1574" s="31"/>
      <c r="V1574" s="122"/>
    </row>
    <row r="1575" spans="2:22" ht="16">
      <c r="B1575" s="119"/>
      <c r="C1575" s="30"/>
      <c r="D1575" s="24"/>
      <c r="E1575" s="17"/>
      <c r="F1575" s="17"/>
      <c r="G1575" s="17"/>
      <c r="H1575" s="31"/>
      <c r="I1575" s="31"/>
      <c r="J1575" s="31"/>
      <c r="K1575" s="122"/>
      <c r="M1575" s="119"/>
      <c r="N1575" s="30"/>
      <c r="O1575" s="24"/>
      <c r="P1575" s="17"/>
      <c r="Q1575" s="17"/>
      <c r="R1575" s="17"/>
      <c r="S1575" s="31"/>
      <c r="T1575" s="31"/>
      <c r="U1575" s="31"/>
      <c r="V1575" s="122"/>
    </row>
    <row r="1576" spans="2:22" ht="16">
      <c r="B1576" s="119"/>
      <c r="C1576" s="30"/>
      <c r="D1576" s="24"/>
      <c r="E1576" s="17"/>
      <c r="F1576" s="17"/>
      <c r="G1576" s="17"/>
      <c r="H1576" s="31"/>
      <c r="I1576" s="31"/>
      <c r="J1576" s="31"/>
      <c r="K1576" s="122"/>
      <c r="M1576" s="119"/>
      <c r="N1576" s="30"/>
      <c r="O1576" s="24"/>
      <c r="P1576" s="17"/>
      <c r="Q1576" s="17"/>
      <c r="R1576" s="17"/>
      <c r="S1576" s="31"/>
      <c r="T1576" s="31"/>
      <c r="U1576" s="31"/>
      <c r="V1576" s="122"/>
    </row>
    <row r="1577" spans="2:22" ht="16">
      <c r="B1577" s="119"/>
      <c r="C1577" s="30"/>
      <c r="D1577" s="24"/>
      <c r="E1577" s="17"/>
      <c r="F1577" s="17"/>
      <c r="G1577" s="17"/>
      <c r="H1577" s="31"/>
      <c r="I1577" s="31"/>
      <c r="J1577" s="31"/>
      <c r="K1577" s="122"/>
      <c r="M1577" s="119"/>
      <c r="N1577" s="30"/>
      <c r="O1577" s="24"/>
      <c r="P1577" s="17"/>
      <c r="Q1577" s="17"/>
      <c r="R1577" s="17"/>
      <c r="S1577" s="31"/>
      <c r="T1577" s="31"/>
      <c r="U1577" s="31"/>
      <c r="V1577" s="122"/>
    </row>
    <row r="1578" spans="2:22" ht="16">
      <c r="B1578" s="119"/>
      <c r="C1578" s="30"/>
      <c r="D1578" s="24"/>
      <c r="E1578" s="17"/>
      <c r="F1578" s="17"/>
      <c r="G1578" s="17"/>
      <c r="H1578" s="31"/>
      <c r="I1578" s="31"/>
      <c r="J1578" s="31"/>
      <c r="K1578" s="122"/>
      <c r="M1578" s="119"/>
      <c r="N1578" s="30"/>
      <c r="O1578" s="24"/>
      <c r="P1578" s="17"/>
      <c r="Q1578" s="17"/>
      <c r="R1578" s="17"/>
      <c r="S1578" s="31"/>
      <c r="T1578" s="31"/>
      <c r="U1578" s="31"/>
      <c r="V1578" s="122"/>
    </row>
    <row r="1579" spans="2:22" ht="16">
      <c r="B1579" s="119"/>
      <c r="C1579" s="30"/>
      <c r="D1579" s="24"/>
      <c r="E1579" s="17"/>
      <c r="F1579" s="17"/>
      <c r="G1579" s="17"/>
      <c r="H1579" s="31"/>
      <c r="I1579" s="31"/>
      <c r="J1579" s="31"/>
      <c r="K1579" s="122"/>
      <c r="M1579" s="119"/>
      <c r="N1579" s="30"/>
      <c r="O1579" s="24"/>
      <c r="P1579" s="17"/>
      <c r="Q1579" s="17"/>
      <c r="R1579" s="17"/>
      <c r="S1579" s="31"/>
      <c r="T1579" s="31"/>
      <c r="U1579" s="31"/>
      <c r="V1579" s="122"/>
    </row>
    <row r="1580" spans="2:22" ht="16">
      <c r="B1580" s="119"/>
      <c r="C1580" s="30"/>
      <c r="D1580" s="24"/>
      <c r="E1580" s="17"/>
      <c r="F1580" s="17"/>
      <c r="G1580" s="17"/>
      <c r="H1580" s="31"/>
      <c r="I1580" s="31"/>
      <c r="J1580" s="31"/>
      <c r="K1580" s="122"/>
      <c r="M1580" s="119"/>
      <c r="N1580" s="30"/>
      <c r="O1580" s="24"/>
      <c r="P1580" s="17"/>
      <c r="Q1580" s="17"/>
      <c r="R1580" s="17"/>
      <c r="S1580" s="31"/>
      <c r="T1580" s="31"/>
      <c r="U1580" s="31"/>
      <c r="V1580" s="122"/>
    </row>
    <row r="1581" spans="2:22" ht="16">
      <c r="B1581" s="119"/>
      <c r="C1581" s="30"/>
      <c r="D1581" s="24"/>
      <c r="E1581" s="17"/>
      <c r="F1581" s="17"/>
      <c r="G1581" s="17"/>
      <c r="H1581" s="31"/>
      <c r="I1581" s="31"/>
      <c r="J1581" s="31"/>
      <c r="K1581" s="122"/>
      <c r="M1581" s="119"/>
      <c r="N1581" s="30"/>
      <c r="O1581" s="24"/>
      <c r="P1581" s="17"/>
      <c r="Q1581" s="17"/>
      <c r="R1581" s="17"/>
      <c r="S1581" s="31"/>
      <c r="T1581" s="31"/>
      <c r="U1581" s="31"/>
      <c r="V1581" s="122"/>
    </row>
    <row r="1582" spans="2:22" ht="16">
      <c r="B1582" s="119"/>
      <c r="C1582" s="30"/>
      <c r="D1582" s="24"/>
      <c r="E1582" s="17"/>
      <c r="F1582" s="17"/>
      <c r="G1582" s="17"/>
      <c r="H1582" s="31"/>
      <c r="I1582" s="31"/>
      <c r="J1582" s="31"/>
      <c r="K1582" s="122"/>
      <c r="M1582" s="119"/>
      <c r="N1582" s="30"/>
      <c r="O1582" s="24"/>
      <c r="P1582" s="17"/>
      <c r="Q1582" s="17"/>
      <c r="R1582" s="17"/>
      <c r="S1582" s="31"/>
      <c r="T1582" s="31"/>
      <c r="U1582" s="31"/>
      <c r="V1582" s="122"/>
    </row>
    <row r="1583" spans="2:22" ht="16">
      <c r="B1583" s="119"/>
      <c r="C1583" s="30"/>
      <c r="D1583" s="24"/>
      <c r="E1583" s="17"/>
      <c r="F1583" s="17"/>
      <c r="G1583" s="17"/>
      <c r="H1583" s="31"/>
      <c r="I1583" s="31"/>
      <c r="J1583" s="31"/>
      <c r="K1583" s="122"/>
      <c r="M1583" s="119"/>
      <c r="N1583" s="30"/>
      <c r="O1583" s="24"/>
      <c r="P1583" s="17"/>
      <c r="Q1583" s="17"/>
      <c r="R1583" s="17"/>
      <c r="S1583" s="31"/>
      <c r="T1583" s="31"/>
      <c r="U1583" s="31"/>
      <c r="V1583" s="122"/>
    </row>
    <row r="1584" spans="2:22" ht="16">
      <c r="B1584" s="119"/>
      <c r="C1584" s="30"/>
      <c r="D1584" s="24"/>
      <c r="E1584" s="17"/>
      <c r="F1584" s="17"/>
      <c r="G1584" s="17"/>
      <c r="H1584" s="31"/>
      <c r="I1584" s="31"/>
      <c r="J1584" s="31"/>
      <c r="K1584" s="122"/>
      <c r="M1584" s="119"/>
      <c r="N1584" s="30"/>
      <c r="O1584" s="24"/>
      <c r="P1584" s="17"/>
      <c r="Q1584" s="17"/>
      <c r="R1584" s="17"/>
      <c r="S1584" s="31"/>
      <c r="T1584" s="31"/>
      <c r="U1584" s="31"/>
      <c r="V1584" s="122"/>
    </row>
    <row r="1585" spans="2:22" ht="16">
      <c r="B1585" s="119"/>
      <c r="C1585" s="30"/>
      <c r="D1585" s="24"/>
      <c r="E1585" s="17"/>
      <c r="F1585" s="17"/>
      <c r="G1585" s="17"/>
      <c r="H1585" s="31"/>
      <c r="I1585" s="31"/>
      <c r="J1585" s="31"/>
      <c r="K1585" s="122"/>
      <c r="M1585" s="119"/>
      <c r="N1585" s="30"/>
      <c r="O1585" s="24"/>
      <c r="P1585" s="17"/>
      <c r="Q1585" s="17"/>
      <c r="R1585" s="17"/>
      <c r="S1585" s="31"/>
      <c r="T1585" s="31"/>
      <c r="U1585" s="31"/>
      <c r="V1585" s="122"/>
    </row>
    <row r="1586" spans="2:22" ht="16">
      <c r="B1586" s="119"/>
      <c r="C1586" s="30"/>
      <c r="D1586" s="24"/>
      <c r="E1586" s="17"/>
      <c r="F1586" s="17"/>
      <c r="G1586" s="17"/>
      <c r="H1586" s="31"/>
      <c r="I1586" s="31"/>
      <c r="J1586" s="31"/>
      <c r="K1586" s="122"/>
      <c r="M1586" s="119"/>
      <c r="N1586" s="30"/>
      <c r="O1586" s="24"/>
      <c r="P1586" s="17"/>
      <c r="Q1586" s="17"/>
      <c r="R1586" s="17"/>
      <c r="S1586" s="31"/>
      <c r="T1586" s="31"/>
      <c r="U1586" s="31"/>
      <c r="V1586" s="122"/>
    </row>
    <row r="1587" spans="2:22" ht="16">
      <c r="B1587" s="119"/>
      <c r="C1587" s="30"/>
      <c r="D1587" s="24"/>
      <c r="E1587" s="17"/>
      <c r="F1587" s="17"/>
      <c r="G1587" s="17"/>
      <c r="H1587" s="31"/>
      <c r="I1587" s="31"/>
      <c r="J1587" s="31"/>
      <c r="K1587" s="122"/>
      <c r="M1587" s="119"/>
      <c r="N1587" s="30"/>
      <c r="O1587" s="24"/>
      <c r="P1587" s="17"/>
      <c r="Q1587" s="17"/>
      <c r="R1587" s="17"/>
      <c r="S1587" s="31"/>
      <c r="T1587" s="31"/>
      <c r="U1587" s="31"/>
      <c r="V1587" s="122"/>
    </row>
    <row r="1588" spans="2:22" ht="16">
      <c r="B1588" s="119"/>
      <c r="C1588" s="30"/>
      <c r="D1588" s="24"/>
      <c r="E1588" s="17"/>
      <c r="F1588" s="17"/>
      <c r="G1588" s="17"/>
      <c r="H1588" s="31"/>
      <c r="I1588" s="31"/>
      <c r="J1588" s="31"/>
      <c r="K1588" s="122"/>
      <c r="M1588" s="119"/>
      <c r="N1588" s="30"/>
      <c r="O1588" s="24"/>
      <c r="P1588" s="17"/>
      <c r="Q1588" s="17"/>
      <c r="R1588" s="17"/>
      <c r="S1588" s="31"/>
      <c r="T1588" s="31"/>
      <c r="U1588" s="31"/>
      <c r="V1588" s="122"/>
    </row>
    <row r="1589" spans="2:22" ht="16">
      <c r="B1589" s="119"/>
      <c r="C1589" s="30"/>
      <c r="D1589" s="24"/>
      <c r="E1589" s="17"/>
      <c r="F1589" s="17"/>
      <c r="G1589" s="17"/>
      <c r="H1589" s="31"/>
      <c r="I1589" s="31"/>
      <c r="J1589" s="31"/>
      <c r="K1589" s="122"/>
      <c r="M1589" s="119"/>
      <c r="N1589" s="30"/>
      <c r="O1589" s="24"/>
      <c r="P1589" s="17"/>
      <c r="Q1589" s="17"/>
      <c r="R1589" s="17"/>
      <c r="S1589" s="31"/>
      <c r="T1589" s="31"/>
      <c r="U1589" s="31"/>
      <c r="V1589" s="122"/>
    </row>
    <row r="1590" spans="2:22" ht="16">
      <c r="B1590" s="119"/>
      <c r="C1590" s="30"/>
      <c r="D1590" s="24"/>
      <c r="E1590" s="17"/>
      <c r="F1590" s="17"/>
      <c r="G1590" s="17"/>
      <c r="H1590" s="31"/>
      <c r="I1590" s="31"/>
      <c r="J1590" s="31"/>
      <c r="K1590" s="122"/>
      <c r="M1590" s="119"/>
      <c r="N1590" s="30"/>
      <c r="O1590" s="24"/>
      <c r="P1590" s="17"/>
      <c r="Q1590" s="17"/>
      <c r="R1590" s="17"/>
      <c r="S1590" s="31"/>
      <c r="T1590" s="31"/>
      <c r="U1590" s="31"/>
      <c r="V1590" s="122"/>
    </row>
    <row r="1591" spans="2:22" ht="16">
      <c r="B1591" s="119"/>
      <c r="C1591" s="30"/>
      <c r="D1591" s="24"/>
      <c r="E1591" s="17"/>
      <c r="F1591" s="17"/>
      <c r="G1591" s="17"/>
      <c r="H1591" s="31"/>
      <c r="I1591" s="31"/>
      <c r="J1591" s="31"/>
      <c r="K1591" s="122"/>
      <c r="M1591" s="119"/>
      <c r="N1591" s="30"/>
      <c r="O1591" s="24"/>
      <c r="P1591" s="17"/>
      <c r="Q1591" s="17"/>
      <c r="R1591" s="17"/>
      <c r="S1591" s="31"/>
      <c r="T1591" s="31"/>
      <c r="U1591" s="31"/>
      <c r="V1591" s="122"/>
    </row>
    <row r="1592" spans="2:22" ht="16">
      <c r="B1592" s="119"/>
      <c r="C1592" s="30"/>
      <c r="D1592" s="24"/>
      <c r="E1592" s="17"/>
      <c r="F1592" s="17"/>
      <c r="G1592" s="17"/>
      <c r="H1592" s="31"/>
      <c r="I1592" s="31"/>
      <c r="J1592" s="31"/>
      <c r="K1592" s="122"/>
      <c r="M1592" s="119"/>
      <c r="N1592" s="30"/>
      <c r="O1592" s="24"/>
      <c r="P1592" s="17"/>
      <c r="Q1592" s="17"/>
      <c r="R1592" s="17"/>
      <c r="S1592" s="31"/>
      <c r="T1592" s="31"/>
      <c r="U1592" s="31"/>
      <c r="V1592" s="122"/>
    </row>
    <row r="1593" spans="2:22" ht="16">
      <c r="B1593" s="119"/>
      <c r="C1593" s="30"/>
      <c r="D1593" s="24"/>
      <c r="E1593" s="17"/>
      <c r="F1593" s="17"/>
      <c r="G1593" s="17"/>
      <c r="H1593" s="31"/>
      <c r="I1593" s="31"/>
      <c r="J1593" s="31"/>
      <c r="K1593" s="122"/>
      <c r="M1593" s="119"/>
      <c r="N1593" s="30"/>
      <c r="O1593" s="24"/>
      <c r="P1593" s="17"/>
      <c r="Q1593" s="17"/>
      <c r="R1593" s="17"/>
      <c r="S1593" s="31"/>
      <c r="T1593" s="31"/>
      <c r="U1593" s="31"/>
      <c r="V1593" s="122"/>
    </row>
    <row r="1594" spans="2:22" ht="16">
      <c r="B1594" s="119"/>
      <c r="C1594" s="30"/>
      <c r="D1594" s="24"/>
      <c r="E1594" s="17"/>
      <c r="F1594" s="17"/>
      <c r="G1594" s="17"/>
      <c r="H1594" s="31"/>
      <c r="I1594" s="31"/>
      <c r="J1594" s="31"/>
      <c r="K1594" s="122"/>
      <c r="M1594" s="119"/>
      <c r="N1594" s="30"/>
      <c r="O1594" s="24"/>
      <c r="P1594" s="17"/>
      <c r="Q1594" s="17"/>
      <c r="R1594" s="17"/>
      <c r="S1594" s="31"/>
      <c r="T1594" s="31"/>
      <c r="U1594" s="31"/>
      <c r="V1594" s="122"/>
    </row>
    <row r="1595" spans="2:22" ht="16">
      <c r="B1595" s="119"/>
      <c r="C1595" s="30"/>
      <c r="D1595" s="24"/>
      <c r="E1595" s="17"/>
      <c r="F1595" s="17"/>
      <c r="G1595" s="17"/>
      <c r="H1595" s="31"/>
      <c r="I1595" s="31"/>
      <c r="J1595" s="31"/>
      <c r="K1595" s="122"/>
      <c r="M1595" s="119"/>
      <c r="N1595" s="30"/>
      <c r="O1595" s="24"/>
      <c r="P1595" s="17"/>
      <c r="Q1595" s="17"/>
      <c r="R1595" s="17"/>
      <c r="S1595" s="31"/>
      <c r="T1595" s="31"/>
      <c r="U1595" s="31"/>
      <c r="V1595" s="122"/>
    </row>
    <row r="1596" spans="2:22" ht="16">
      <c r="B1596" s="119"/>
      <c r="C1596" s="30"/>
      <c r="D1596" s="24"/>
      <c r="E1596" s="17"/>
      <c r="F1596" s="17"/>
      <c r="G1596" s="17"/>
      <c r="H1596" s="31"/>
      <c r="I1596" s="31"/>
      <c r="J1596" s="31"/>
      <c r="K1596" s="122"/>
      <c r="M1596" s="119"/>
      <c r="N1596" s="30"/>
      <c r="O1596" s="24"/>
      <c r="P1596" s="17"/>
      <c r="Q1596" s="17"/>
      <c r="R1596" s="17"/>
      <c r="S1596" s="31"/>
      <c r="T1596" s="31"/>
      <c r="U1596" s="31"/>
      <c r="V1596" s="122"/>
    </row>
    <row r="1597" spans="2:22" ht="16">
      <c r="B1597" s="119"/>
      <c r="C1597" s="30"/>
      <c r="D1597" s="24"/>
      <c r="E1597" s="17"/>
      <c r="F1597" s="17"/>
      <c r="G1597" s="17"/>
      <c r="H1597" s="31"/>
      <c r="I1597" s="31"/>
      <c r="J1597" s="31"/>
      <c r="K1597" s="122"/>
      <c r="M1597" s="119"/>
      <c r="N1597" s="30"/>
      <c r="O1597" s="24"/>
      <c r="P1597" s="17"/>
      <c r="Q1597" s="17"/>
      <c r="R1597" s="17"/>
      <c r="S1597" s="31"/>
      <c r="T1597" s="31"/>
      <c r="U1597" s="31"/>
      <c r="V1597" s="122"/>
    </row>
    <row r="1598" spans="2:22" ht="16">
      <c r="B1598" s="119"/>
      <c r="C1598" s="30"/>
      <c r="D1598" s="24"/>
      <c r="E1598" s="17"/>
      <c r="F1598" s="17"/>
      <c r="G1598" s="17"/>
      <c r="H1598" s="31"/>
      <c r="I1598" s="31"/>
      <c r="J1598" s="31"/>
      <c r="K1598" s="122"/>
      <c r="M1598" s="119"/>
      <c r="N1598" s="30"/>
      <c r="O1598" s="24"/>
      <c r="P1598" s="17"/>
      <c r="Q1598" s="17"/>
      <c r="R1598" s="17"/>
      <c r="S1598" s="31"/>
      <c r="T1598" s="31"/>
      <c r="U1598" s="31"/>
      <c r="V1598" s="122"/>
    </row>
    <row r="1599" spans="2:22" ht="16">
      <c r="B1599" s="119"/>
      <c r="C1599" s="30"/>
      <c r="D1599" s="24"/>
      <c r="E1599" s="17"/>
      <c r="F1599" s="17"/>
      <c r="G1599" s="17"/>
      <c r="H1599" s="31"/>
      <c r="I1599" s="31"/>
      <c r="J1599" s="31"/>
      <c r="K1599" s="122"/>
      <c r="M1599" s="119"/>
      <c r="N1599" s="30"/>
      <c r="O1599" s="24"/>
      <c r="P1599" s="17"/>
      <c r="Q1599" s="17"/>
      <c r="R1599" s="17"/>
      <c r="S1599" s="31"/>
      <c r="T1599" s="31"/>
      <c r="U1599" s="31"/>
      <c r="V1599" s="122"/>
    </row>
    <row r="1600" spans="2:22" ht="16">
      <c r="B1600" s="119"/>
      <c r="C1600" s="30"/>
      <c r="D1600" s="24"/>
      <c r="E1600" s="17"/>
      <c r="F1600" s="17"/>
      <c r="G1600" s="17"/>
      <c r="H1600" s="31"/>
      <c r="I1600" s="31"/>
      <c r="J1600" s="31"/>
      <c r="K1600" s="122"/>
      <c r="M1600" s="119"/>
      <c r="N1600" s="30"/>
      <c r="O1600" s="24"/>
      <c r="P1600" s="17"/>
      <c r="Q1600" s="17"/>
      <c r="R1600" s="17"/>
      <c r="S1600" s="31"/>
      <c r="T1600" s="31"/>
      <c r="U1600" s="31"/>
      <c r="V1600" s="122"/>
    </row>
    <row r="1601" spans="2:22" ht="16">
      <c r="B1601" s="119"/>
      <c r="C1601" s="30"/>
      <c r="D1601" s="24"/>
      <c r="E1601" s="17"/>
      <c r="F1601" s="17"/>
      <c r="G1601" s="17"/>
      <c r="H1601" s="31"/>
      <c r="I1601" s="31"/>
      <c r="J1601" s="31"/>
      <c r="K1601" s="122"/>
      <c r="M1601" s="119"/>
      <c r="N1601" s="30"/>
      <c r="O1601" s="24"/>
      <c r="P1601" s="17"/>
      <c r="Q1601" s="17"/>
      <c r="R1601" s="17"/>
      <c r="S1601" s="31"/>
      <c r="T1601" s="31"/>
      <c r="U1601" s="31"/>
      <c r="V1601" s="122"/>
    </row>
    <row r="1602" spans="2:22" ht="16">
      <c r="B1602" s="119"/>
      <c r="C1602" s="30"/>
      <c r="D1602" s="24"/>
      <c r="E1602" s="17"/>
      <c r="F1602" s="17"/>
      <c r="G1602" s="17"/>
      <c r="H1602" s="31"/>
      <c r="I1602" s="31"/>
      <c r="J1602" s="31"/>
      <c r="K1602" s="122"/>
      <c r="M1602" s="119"/>
      <c r="N1602" s="30"/>
      <c r="O1602" s="24"/>
      <c r="P1602" s="17"/>
      <c r="Q1602" s="17"/>
      <c r="R1602" s="17"/>
      <c r="S1602" s="31"/>
      <c r="T1602" s="31"/>
      <c r="U1602" s="31"/>
      <c r="V1602" s="122"/>
    </row>
    <row r="1603" spans="2:22" ht="16">
      <c r="B1603" s="119"/>
      <c r="C1603" s="30"/>
      <c r="D1603" s="24"/>
      <c r="E1603" s="17"/>
      <c r="F1603" s="17"/>
      <c r="G1603" s="17"/>
      <c r="H1603" s="31"/>
      <c r="I1603" s="31"/>
      <c r="J1603" s="31"/>
      <c r="K1603" s="122"/>
      <c r="M1603" s="119"/>
      <c r="N1603" s="30"/>
      <c r="O1603" s="24"/>
      <c r="P1603" s="17"/>
      <c r="Q1603" s="17"/>
      <c r="R1603" s="17"/>
      <c r="S1603" s="31"/>
      <c r="T1603" s="31"/>
      <c r="U1603" s="31"/>
      <c r="V1603" s="122"/>
    </row>
    <row r="1604" spans="2:22" ht="16">
      <c r="B1604" s="119"/>
      <c r="C1604" s="30"/>
      <c r="D1604" s="24"/>
      <c r="E1604" s="17"/>
      <c r="F1604" s="17"/>
      <c r="G1604" s="17"/>
      <c r="H1604" s="31"/>
      <c r="I1604" s="31"/>
      <c r="J1604" s="31"/>
      <c r="K1604" s="122"/>
      <c r="M1604" s="119"/>
      <c r="N1604" s="30"/>
      <c r="O1604" s="24"/>
      <c r="P1604" s="17"/>
      <c r="Q1604" s="17"/>
      <c r="R1604" s="17"/>
      <c r="S1604" s="31"/>
      <c r="T1604" s="31"/>
      <c r="U1604" s="31"/>
      <c r="V1604" s="122"/>
    </row>
    <row r="1605" spans="2:22" ht="16">
      <c r="B1605" s="119"/>
      <c r="C1605" s="30"/>
      <c r="D1605" s="24"/>
      <c r="E1605" s="17"/>
      <c r="F1605" s="17"/>
      <c r="G1605" s="17"/>
      <c r="H1605" s="31"/>
      <c r="I1605" s="31"/>
      <c r="J1605" s="31"/>
      <c r="K1605" s="122"/>
      <c r="M1605" s="119"/>
      <c r="N1605" s="30"/>
      <c r="O1605" s="24"/>
      <c r="P1605" s="17"/>
      <c r="Q1605" s="17"/>
      <c r="R1605" s="17"/>
      <c r="S1605" s="31"/>
      <c r="T1605" s="31"/>
      <c r="U1605" s="31"/>
      <c r="V1605" s="122"/>
    </row>
    <row r="1606" spans="2:22" ht="16">
      <c r="B1606" s="119"/>
      <c r="C1606" s="30"/>
      <c r="D1606" s="24"/>
      <c r="E1606" s="17"/>
      <c r="F1606" s="17"/>
      <c r="G1606" s="17"/>
      <c r="H1606" s="31"/>
      <c r="I1606" s="31"/>
      <c r="J1606" s="31"/>
      <c r="K1606" s="122"/>
      <c r="M1606" s="119"/>
      <c r="N1606" s="30"/>
      <c r="O1606" s="24"/>
      <c r="P1606" s="17"/>
      <c r="Q1606" s="17"/>
      <c r="R1606" s="17"/>
      <c r="S1606" s="31"/>
      <c r="T1606" s="31"/>
      <c r="U1606" s="31"/>
      <c r="V1606" s="122"/>
    </row>
    <row r="1607" spans="2:22" ht="16">
      <c r="B1607" s="119"/>
      <c r="C1607" s="30"/>
      <c r="D1607" s="24"/>
      <c r="E1607" s="17"/>
      <c r="F1607" s="17"/>
      <c r="G1607" s="17"/>
      <c r="H1607" s="31"/>
      <c r="I1607" s="31"/>
      <c r="J1607" s="31"/>
      <c r="K1607" s="122"/>
      <c r="M1607" s="119"/>
      <c r="N1607" s="30"/>
      <c r="O1607" s="24"/>
      <c r="P1607" s="17"/>
      <c r="Q1607" s="17"/>
      <c r="R1607" s="17"/>
      <c r="S1607" s="31"/>
      <c r="T1607" s="31"/>
      <c r="U1607" s="31"/>
      <c r="V1607" s="122"/>
    </row>
    <row r="1608" spans="2:22" ht="16">
      <c r="B1608" s="119"/>
      <c r="C1608" s="30"/>
      <c r="D1608" s="24"/>
      <c r="E1608" s="17"/>
      <c r="F1608" s="17"/>
      <c r="G1608" s="17"/>
      <c r="H1608" s="31"/>
      <c r="I1608" s="31"/>
      <c r="J1608" s="31"/>
      <c r="K1608" s="122"/>
      <c r="M1608" s="119"/>
      <c r="N1608" s="30"/>
      <c r="O1608" s="24"/>
      <c r="P1608" s="17"/>
      <c r="Q1608" s="17"/>
      <c r="R1608" s="17"/>
      <c r="S1608" s="31"/>
      <c r="T1608" s="31"/>
      <c r="U1608" s="31"/>
      <c r="V1608" s="122"/>
    </row>
    <row r="1609" spans="2:22" ht="16">
      <c r="B1609" s="119"/>
      <c r="C1609" s="30"/>
      <c r="D1609" s="24"/>
      <c r="E1609" s="17"/>
      <c r="F1609" s="17"/>
      <c r="G1609" s="17"/>
      <c r="H1609" s="31"/>
      <c r="I1609" s="31"/>
      <c r="J1609" s="31"/>
      <c r="K1609" s="122"/>
      <c r="M1609" s="119"/>
      <c r="N1609" s="30"/>
      <c r="O1609" s="24"/>
      <c r="P1609" s="17"/>
      <c r="Q1609" s="17"/>
      <c r="R1609" s="17"/>
      <c r="S1609" s="31"/>
      <c r="T1609" s="31"/>
      <c r="U1609" s="31"/>
      <c r="V1609" s="122"/>
    </row>
    <row r="1610" spans="2:22" ht="16">
      <c r="B1610" s="119"/>
      <c r="C1610" s="30"/>
      <c r="D1610" s="24"/>
      <c r="E1610" s="17"/>
      <c r="F1610" s="17"/>
      <c r="G1610" s="17"/>
      <c r="H1610" s="31"/>
      <c r="I1610" s="31"/>
      <c r="J1610" s="31"/>
      <c r="K1610" s="122"/>
      <c r="M1610" s="119"/>
      <c r="N1610" s="30"/>
      <c r="O1610" s="24"/>
      <c r="P1610" s="17"/>
      <c r="Q1610" s="17"/>
      <c r="R1610" s="17"/>
      <c r="S1610" s="31"/>
      <c r="T1610" s="31"/>
      <c r="U1610" s="31"/>
      <c r="V1610" s="122"/>
    </row>
    <row r="1611" spans="2:22" ht="16">
      <c r="B1611" s="119"/>
      <c r="C1611" s="30"/>
      <c r="D1611" s="24"/>
      <c r="E1611" s="17"/>
      <c r="F1611" s="17"/>
      <c r="G1611" s="17"/>
      <c r="H1611" s="31"/>
      <c r="I1611" s="31"/>
      <c r="J1611" s="31"/>
      <c r="K1611" s="122"/>
      <c r="M1611" s="119"/>
      <c r="N1611" s="30"/>
      <c r="O1611" s="24"/>
      <c r="P1611" s="17"/>
      <c r="Q1611" s="17"/>
      <c r="R1611" s="17"/>
      <c r="S1611" s="31"/>
      <c r="T1611" s="31"/>
      <c r="U1611" s="31"/>
      <c r="V1611" s="122"/>
    </row>
    <row r="1612" spans="2:22" ht="16">
      <c r="B1612" s="119"/>
      <c r="C1612" s="30"/>
      <c r="D1612" s="24"/>
      <c r="E1612" s="17"/>
      <c r="F1612" s="17"/>
      <c r="G1612" s="17"/>
      <c r="H1612" s="31"/>
      <c r="I1612" s="31"/>
      <c r="J1612" s="31"/>
      <c r="K1612" s="122"/>
      <c r="M1612" s="119"/>
      <c r="N1612" s="30"/>
      <c r="O1612" s="24"/>
      <c r="P1612" s="17"/>
      <c r="Q1612" s="17"/>
      <c r="R1612" s="17"/>
      <c r="S1612" s="31"/>
      <c r="T1612" s="31"/>
      <c r="U1612" s="31"/>
      <c r="V1612" s="122"/>
    </row>
    <row r="1613" spans="2:22" ht="16">
      <c r="B1613" s="119"/>
      <c r="C1613" s="30"/>
      <c r="D1613" s="24"/>
      <c r="E1613" s="17"/>
      <c r="F1613" s="17"/>
      <c r="G1613" s="17"/>
      <c r="H1613" s="31"/>
      <c r="I1613" s="31"/>
      <c r="J1613" s="31"/>
      <c r="K1613" s="122"/>
      <c r="M1613" s="119"/>
      <c r="N1613" s="30"/>
      <c r="O1613" s="24"/>
      <c r="P1613" s="17"/>
      <c r="Q1613" s="17"/>
      <c r="R1613" s="17"/>
      <c r="S1613" s="31"/>
      <c r="T1613" s="31"/>
      <c r="U1613" s="31"/>
      <c r="V1613" s="122"/>
    </row>
    <row r="1614" spans="2:22" ht="16">
      <c r="B1614" s="119"/>
      <c r="C1614" s="30"/>
      <c r="D1614" s="24"/>
      <c r="E1614" s="17"/>
      <c r="F1614" s="17"/>
      <c r="G1614" s="17"/>
      <c r="H1614" s="31"/>
      <c r="I1614" s="31"/>
      <c r="J1614" s="31"/>
      <c r="K1614" s="122"/>
      <c r="M1614" s="119"/>
      <c r="N1614" s="30"/>
      <c r="O1614" s="24"/>
      <c r="P1614" s="17"/>
      <c r="Q1614" s="17"/>
      <c r="R1614" s="17"/>
      <c r="S1614" s="31"/>
      <c r="T1614" s="31"/>
      <c r="U1614" s="31"/>
      <c r="V1614" s="122"/>
    </row>
    <row r="1615" spans="2:22" ht="16">
      <c r="B1615" s="119"/>
      <c r="C1615" s="30"/>
      <c r="D1615" s="24"/>
      <c r="E1615" s="17"/>
      <c r="F1615" s="17"/>
      <c r="G1615" s="17"/>
      <c r="H1615" s="31"/>
      <c r="I1615" s="31"/>
      <c r="J1615" s="31"/>
      <c r="K1615" s="122"/>
      <c r="M1615" s="119"/>
      <c r="N1615" s="30"/>
      <c r="O1615" s="24"/>
      <c r="P1615" s="17"/>
      <c r="Q1615" s="17"/>
      <c r="R1615" s="17"/>
      <c r="S1615" s="31"/>
      <c r="T1615" s="31"/>
      <c r="U1615" s="31"/>
      <c r="V1615" s="122"/>
    </row>
    <row r="1616" spans="2:22" ht="16">
      <c r="B1616" s="119"/>
      <c r="C1616" s="30"/>
      <c r="D1616" s="24"/>
      <c r="E1616" s="17"/>
      <c r="F1616" s="17"/>
      <c r="G1616" s="17"/>
      <c r="H1616" s="31"/>
      <c r="I1616" s="31"/>
      <c r="J1616" s="31"/>
      <c r="K1616" s="122"/>
      <c r="M1616" s="119"/>
      <c r="N1616" s="30"/>
      <c r="O1616" s="24"/>
      <c r="P1616" s="17"/>
      <c r="Q1616" s="17"/>
      <c r="R1616" s="17"/>
      <c r="S1616" s="31"/>
      <c r="T1616" s="31"/>
      <c r="U1616" s="31"/>
      <c r="V1616" s="122"/>
    </row>
    <row r="1617" spans="2:22" ht="16">
      <c r="B1617" s="119"/>
      <c r="C1617" s="30"/>
      <c r="D1617" s="24"/>
      <c r="E1617" s="17"/>
      <c r="F1617" s="17"/>
      <c r="G1617" s="17"/>
      <c r="H1617" s="31"/>
      <c r="I1617" s="31"/>
      <c r="J1617" s="31"/>
      <c r="K1617" s="122"/>
      <c r="M1617" s="119"/>
      <c r="N1617" s="30"/>
      <c r="O1617" s="24"/>
      <c r="P1617" s="17"/>
      <c r="Q1617" s="17"/>
      <c r="R1617" s="17"/>
      <c r="S1617" s="31"/>
      <c r="T1617" s="31"/>
      <c r="U1617" s="31"/>
      <c r="V1617" s="122"/>
    </row>
    <row r="1618" spans="2:22" ht="16">
      <c r="B1618" s="119"/>
      <c r="C1618" s="30"/>
      <c r="D1618" s="24"/>
      <c r="E1618" s="17"/>
      <c r="F1618" s="17"/>
      <c r="G1618" s="17"/>
      <c r="H1618" s="31"/>
      <c r="I1618" s="31"/>
      <c r="J1618" s="31"/>
      <c r="K1618" s="122"/>
      <c r="M1618" s="119"/>
      <c r="N1618" s="30"/>
      <c r="O1618" s="24"/>
      <c r="P1618" s="17"/>
      <c r="Q1618" s="17"/>
      <c r="R1618" s="17"/>
      <c r="S1618" s="31"/>
      <c r="T1618" s="31"/>
      <c r="U1618" s="31"/>
      <c r="V1618" s="122"/>
    </row>
    <row r="1619" spans="2:22" ht="16">
      <c r="B1619" s="119"/>
      <c r="C1619" s="30"/>
      <c r="D1619" s="24"/>
      <c r="E1619" s="17"/>
      <c r="F1619" s="17"/>
      <c r="G1619" s="17"/>
      <c r="H1619" s="31"/>
      <c r="I1619" s="31"/>
      <c r="J1619" s="31"/>
      <c r="K1619" s="122"/>
      <c r="M1619" s="119"/>
      <c r="N1619" s="30"/>
      <c r="O1619" s="24"/>
      <c r="P1619" s="17"/>
      <c r="Q1619" s="17"/>
      <c r="R1619" s="17"/>
      <c r="S1619" s="31"/>
      <c r="T1619" s="31"/>
      <c r="U1619" s="31"/>
      <c r="V1619" s="122"/>
    </row>
    <row r="1620" spans="2:22" ht="16">
      <c r="B1620" s="119"/>
      <c r="C1620" s="30"/>
      <c r="D1620" s="24"/>
      <c r="E1620" s="17"/>
      <c r="F1620" s="17"/>
      <c r="G1620" s="17"/>
      <c r="H1620" s="31"/>
      <c r="I1620" s="31"/>
      <c r="J1620" s="31"/>
      <c r="K1620" s="122"/>
      <c r="M1620" s="119"/>
      <c r="N1620" s="30"/>
      <c r="O1620" s="24"/>
      <c r="P1620" s="17"/>
      <c r="Q1620" s="17"/>
      <c r="R1620" s="17"/>
      <c r="S1620" s="31"/>
      <c r="T1620" s="31"/>
      <c r="U1620" s="31"/>
      <c r="V1620" s="122"/>
    </row>
    <row r="1621" spans="2:22" ht="16">
      <c r="B1621" s="119"/>
      <c r="C1621" s="30"/>
      <c r="D1621" s="24"/>
      <c r="E1621" s="17"/>
      <c r="F1621" s="17"/>
      <c r="G1621" s="17"/>
      <c r="H1621" s="31"/>
      <c r="I1621" s="31"/>
      <c r="J1621" s="31"/>
      <c r="K1621" s="122"/>
      <c r="M1621" s="119"/>
      <c r="N1621" s="30"/>
      <c r="O1621" s="24"/>
      <c r="P1621" s="17"/>
      <c r="Q1621" s="17"/>
      <c r="R1621" s="17"/>
      <c r="S1621" s="31"/>
      <c r="T1621" s="31"/>
      <c r="U1621" s="31"/>
      <c r="V1621" s="122"/>
    </row>
    <row r="1622" spans="2:22" ht="16">
      <c r="B1622" s="119"/>
      <c r="C1622" s="30"/>
      <c r="D1622" s="24"/>
      <c r="E1622" s="17"/>
      <c r="F1622" s="17"/>
      <c r="G1622" s="17"/>
      <c r="H1622" s="31"/>
      <c r="I1622" s="31"/>
      <c r="J1622" s="31"/>
      <c r="K1622" s="122"/>
      <c r="M1622" s="119"/>
      <c r="N1622" s="30"/>
      <c r="O1622" s="24"/>
      <c r="P1622" s="17"/>
      <c r="Q1622" s="17"/>
      <c r="R1622" s="17"/>
      <c r="S1622" s="31"/>
      <c r="T1622" s="31"/>
      <c r="U1622" s="31"/>
      <c r="V1622" s="122"/>
    </row>
    <row r="1623" spans="2:22" ht="16">
      <c r="B1623" s="119"/>
      <c r="C1623" s="30"/>
      <c r="D1623" s="24"/>
      <c r="E1623" s="17"/>
      <c r="F1623" s="17"/>
      <c r="G1623" s="17"/>
      <c r="H1623" s="31"/>
      <c r="I1623" s="31"/>
      <c r="J1623" s="31"/>
      <c r="K1623" s="122"/>
      <c r="M1623" s="119"/>
      <c r="N1623" s="30"/>
      <c r="O1623" s="24"/>
      <c r="P1623" s="17"/>
      <c r="Q1623" s="17"/>
      <c r="R1623" s="17"/>
      <c r="S1623" s="31"/>
      <c r="T1623" s="31"/>
      <c r="U1623" s="31"/>
      <c r="V1623" s="122"/>
    </row>
    <row r="1624" spans="2:22" ht="16">
      <c r="B1624" s="119"/>
      <c r="C1624" s="30"/>
      <c r="D1624" s="24"/>
      <c r="E1624" s="17"/>
      <c r="F1624" s="17"/>
      <c r="G1624" s="17"/>
      <c r="H1624" s="31"/>
      <c r="I1624" s="31"/>
      <c r="J1624" s="31"/>
      <c r="K1624" s="122"/>
      <c r="M1624" s="119"/>
      <c r="N1624" s="30"/>
      <c r="O1624" s="24"/>
      <c r="P1624" s="17"/>
      <c r="Q1624" s="17"/>
      <c r="R1624" s="17"/>
      <c r="S1624" s="31"/>
      <c r="T1624" s="31"/>
      <c r="U1624" s="31"/>
      <c r="V1624" s="122"/>
    </row>
    <row r="1625" spans="2:22" ht="16">
      <c r="B1625" s="119"/>
      <c r="C1625" s="30"/>
      <c r="D1625" s="24"/>
      <c r="E1625" s="17"/>
      <c r="F1625" s="17"/>
      <c r="G1625" s="17"/>
      <c r="H1625" s="31"/>
      <c r="I1625" s="31"/>
      <c r="J1625" s="31"/>
      <c r="K1625" s="122"/>
      <c r="M1625" s="119"/>
      <c r="N1625" s="30"/>
      <c r="O1625" s="24"/>
      <c r="P1625" s="17"/>
      <c r="Q1625" s="17"/>
      <c r="R1625" s="17"/>
      <c r="S1625" s="31"/>
      <c r="T1625" s="31"/>
      <c r="U1625" s="31"/>
      <c r="V1625" s="122"/>
    </row>
    <row r="1626" spans="2:22" ht="16">
      <c r="B1626" s="119"/>
      <c r="C1626" s="30"/>
      <c r="D1626" s="24"/>
      <c r="E1626" s="17"/>
      <c r="F1626" s="17"/>
      <c r="G1626" s="17"/>
      <c r="H1626" s="31"/>
      <c r="I1626" s="31"/>
      <c r="J1626" s="31"/>
      <c r="K1626" s="122"/>
      <c r="M1626" s="119"/>
      <c r="N1626" s="30"/>
      <c r="O1626" s="24"/>
      <c r="P1626" s="17"/>
      <c r="Q1626" s="17"/>
      <c r="R1626" s="17"/>
      <c r="S1626" s="31"/>
      <c r="T1626" s="31"/>
      <c r="U1626" s="31"/>
      <c r="V1626" s="122"/>
    </row>
    <row r="1627" spans="2:22" ht="16">
      <c r="B1627" s="119"/>
      <c r="C1627" s="30"/>
      <c r="D1627" s="24"/>
      <c r="E1627" s="17"/>
      <c r="F1627" s="17"/>
      <c r="G1627" s="17"/>
      <c r="H1627" s="31"/>
      <c r="I1627" s="31"/>
      <c r="J1627" s="31"/>
      <c r="K1627" s="122"/>
      <c r="M1627" s="119"/>
      <c r="N1627" s="30"/>
      <c r="O1627" s="24"/>
      <c r="P1627" s="17"/>
      <c r="Q1627" s="17"/>
      <c r="R1627" s="17"/>
      <c r="S1627" s="31"/>
      <c r="T1627" s="31"/>
      <c r="U1627" s="31"/>
      <c r="V1627" s="122"/>
    </row>
    <row r="1628" spans="2:22" ht="16">
      <c r="B1628" s="119"/>
      <c r="C1628" s="30"/>
      <c r="D1628" s="24"/>
      <c r="E1628" s="17"/>
      <c r="F1628" s="17"/>
      <c r="G1628" s="17"/>
      <c r="H1628" s="31"/>
      <c r="I1628" s="31"/>
      <c r="J1628" s="31"/>
      <c r="K1628" s="122"/>
      <c r="M1628" s="119"/>
      <c r="N1628" s="30"/>
      <c r="O1628" s="24"/>
      <c r="P1628" s="17"/>
      <c r="Q1628" s="17"/>
      <c r="R1628" s="17"/>
      <c r="S1628" s="31"/>
      <c r="T1628" s="31"/>
      <c r="U1628" s="31"/>
      <c r="V1628" s="122"/>
    </row>
    <row r="1629" spans="2:22" ht="16">
      <c r="B1629" s="119"/>
      <c r="C1629" s="30"/>
      <c r="D1629" s="24"/>
      <c r="E1629" s="17"/>
      <c r="F1629" s="17"/>
      <c r="G1629" s="17"/>
      <c r="H1629" s="31"/>
      <c r="I1629" s="31"/>
      <c r="J1629" s="31"/>
      <c r="K1629" s="122"/>
      <c r="M1629" s="119"/>
      <c r="N1629" s="30"/>
      <c r="O1629" s="24"/>
      <c r="P1629" s="17"/>
      <c r="Q1629" s="17"/>
      <c r="R1629" s="17"/>
      <c r="S1629" s="31"/>
      <c r="T1629" s="31"/>
      <c r="U1629" s="31"/>
      <c r="V1629" s="122"/>
    </row>
    <row r="1630" spans="2:22" ht="16">
      <c r="B1630" s="119"/>
      <c r="C1630" s="30"/>
      <c r="D1630" s="24"/>
      <c r="E1630" s="17"/>
      <c r="F1630" s="17"/>
      <c r="G1630" s="17"/>
      <c r="H1630" s="31"/>
      <c r="I1630" s="31"/>
      <c r="J1630" s="31"/>
      <c r="K1630" s="122"/>
      <c r="M1630" s="119"/>
      <c r="N1630" s="30"/>
      <c r="O1630" s="24"/>
      <c r="P1630" s="17"/>
      <c r="Q1630" s="17"/>
      <c r="R1630" s="17"/>
      <c r="S1630" s="31"/>
      <c r="T1630" s="31"/>
      <c r="U1630" s="31"/>
      <c r="V1630" s="122"/>
    </row>
    <row r="1631" spans="2:22" ht="16">
      <c r="B1631" s="119"/>
      <c r="C1631" s="30"/>
      <c r="D1631" s="24"/>
      <c r="E1631" s="17"/>
      <c r="F1631" s="17"/>
      <c r="G1631" s="17"/>
      <c r="H1631" s="31"/>
      <c r="I1631" s="31"/>
      <c r="J1631" s="31"/>
      <c r="K1631" s="122"/>
      <c r="M1631" s="119"/>
      <c r="N1631" s="30"/>
      <c r="O1631" s="24"/>
      <c r="P1631" s="17"/>
      <c r="Q1631" s="17"/>
      <c r="R1631" s="17"/>
      <c r="S1631" s="31"/>
      <c r="T1631" s="31"/>
      <c r="U1631" s="31"/>
      <c r="V1631" s="122"/>
    </row>
    <row r="1632" spans="2:22" ht="16">
      <c r="B1632" s="119"/>
      <c r="C1632" s="30"/>
      <c r="D1632" s="24"/>
      <c r="E1632" s="17"/>
      <c r="F1632" s="17"/>
      <c r="G1632" s="17"/>
      <c r="H1632" s="31"/>
      <c r="I1632" s="31"/>
      <c r="J1632" s="31"/>
      <c r="K1632" s="122"/>
      <c r="M1632" s="119"/>
      <c r="N1632" s="30"/>
      <c r="O1632" s="24"/>
      <c r="P1632" s="17"/>
      <c r="Q1632" s="17"/>
      <c r="R1632" s="17"/>
      <c r="S1632" s="31"/>
      <c r="T1632" s="31"/>
      <c r="U1632" s="31"/>
      <c r="V1632" s="122"/>
    </row>
    <row r="1633" spans="2:22" ht="16">
      <c r="B1633" s="119"/>
      <c r="C1633" s="30"/>
      <c r="D1633" s="24"/>
      <c r="E1633" s="17"/>
      <c r="F1633" s="17"/>
      <c r="G1633" s="17"/>
      <c r="H1633" s="31"/>
      <c r="I1633" s="31"/>
      <c r="J1633" s="31"/>
      <c r="K1633" s="122"/>
      <c r="M1633" s="119"/>
      <c r="N1633" s="30"/>
      <c r="O1633" s="24"/>
      <c r="P1633" s="17"/>
      <c r="Q1633" s="17"/>
      <c r="R1633" s="17"/>
      <c r="S1633" s="31"/>
      <c r="T1633" s="31"/>
      <c r="U1633" s="31"/>
      <c r="V1633" s="122"/>
    </row>
    <row r="1634" spans="2:22" ht="16">
      <c r="B1634" s="119"/>
      <c r="C1634" s="30"/>
      <c r="D1634" s="24"/>
      <c r="E1634" s="17"/>
      <c r="F1634" s="17"/>
      <c r="G1634" s="17"/>
      <c r="H1634" s="31"/>
      <c r="I1634" s="31"/>
      <c r="J1634" s="31"/>
      <c r="K1634" s="122"/>
      <c r="M1634" s="119"/>
      <c r="N1634" s="30"/>
      <c r="O1634" s="24"/>
      <c r="P1634" s="17"/>
      <c r="Q1634" s="17"/>
      <c r="R1634" s="17"/>
      <c r="S1634" s="31"/>
      <c r="T1634" s="31"/>
      <c r="U1634" s="31"/>
      <c r="V1634" s="122"/>
    </row>
    <row r="1635" spans="2:22" ht="16">
      <c r="B1635" s="119"/>
      <c r="C1635" s="30"/>
      <c r="D1635" s="24"/>
      <c r="E1635" s="17"/>
      <c r="F1635" s="17"/>
      <c r="G1635" s="17"/>
      <c r="H1635" s="31"/>
      <c r="I1635" s="31"/>
      <c r="J1635" s="31"/>
      <c r="K1635" s="122"/>
      <c r="M1635" s="119"/>
      <c r="N1635" s="30"/>
      <c r="O1635" s="24"/>
      <c r="P1635" s="17"/>
      <c r="Q1635" s="17"/>
      <c r="R1635" s="17"/>
      <c r="S1635" s="31"/>
      <c r="T1635" s="31"/>
      <c r="U1635" s="31"/>
      <c r="V1635" s="122"/>
    </row>
    <row r="1636" spans="2:22" ht="16">
      <c r="B1636" s="119"/>
      <c r="C1636" s="30"/>
      <c r="D1636" s="24"/>
      <c r="E1636" s="17"/>
      <c r="F1636" s="17"/>
      <c r="G1636" s="17"/>
      <c r="H1636" s="31"/>
      <c r="I1636" s="31"/>
      <c r="J1636" s="31"/>
      <c r="K1636" s="122"/>
      <c r="M1636" s="119"/>
      <c r="N1636" s="30"/>
      <c r="O1636" s="24"/>
      <c r="P1636" s="17"/>
      <c r="Q1636" s="17"/>
      <c r="R1636" s="17"/>
      <c r="S1636" s="31"/>
      <c r="T1636" s="31"/>
      <c r="U1636" s="31"/>
      <c r="V1636" s="122"/>
    </row>
    <row r="1637" spans="2:22" ht="16">
      <c r="B1637" s="119"/>
      <c r="C1637" s="30"/>
      <c r="D1637" s="24"/>
      <c r="E1637" s="17"/>
      <c r="F1637" s="17"/>
      <c r="G1637" s="17"/>
      <c r="H1637" s="31"/>
      <c r="I1637" s="31"/>
      <c r="J1637" s="31"/>
      <c r="K1637" s="122"/>
      <c r="M1637" s="119"/>
      <c r="N1637" s="30"/>
      <c r="O1637" s="24"/>
      <c r="P1637" s="17"/>
      <c r="Q1637" s="17"/>
      <c r="R1637" s="17"/>
      <c r="S1637" s="31"/>
      <c r="T1637" s="31"/>
      <c r="U1637" s="31"/>
      <c r="V1637" s="122"/>
    </row>
    <row r="1638" spans="2:22" ht="16">
      <c r="B1638" s="119"/>
      <c r="C1638" s="30"/>
      <c r="D1638" s="24"/>
      <c r="E1638" s="17"/>
      <c r="F1638" s="17"/>
      <c r="G1638" s="17"/>
      <c r="H1638" s="31"/>
      <c r="I1638" s="31"/>
      <c r="J1638" s="31"/>
      <c r="K1638" s="122"/>
      <c r="M1638" s="119"/>
      <c r="N1638" s="30"/>
      <c r="O1638" s="24"/>
      <c r="P1638" s="17"/>
      <c r="Q1638" s="17"/>
      <c r="R1638" s="17"/>
      <c r="S1638" s="31"/>
      <c r="T1638" s="31"/>
      <c r="U1638" s="31"/>
      <c r="V1638" s="122"/>
    </row>
    <row r="1639" spans="2:22" ht="16">
      <c r="B1639" s="119"/>
      <c r="C1639" s="30"/>
      <c r="D1639" s="24"/>
      <c r="E1639" s="17"/>
      <c r="F1639" s="17"/>
      <c r="G1639" s="17"/>
      <c r="H1639" s="31"/>
      <c r="I1639" s="31"/>
      <c r="J1639" s="31"/>
      <c r="K1639" s="122"/>
      <c r="M1639" s="119"/>
      <c r="N1639" s="30"/>
      <c r="O1639" s="24"/>
      <c r="P1639" s="17"/>
      <c r="Q1639" s="17"/>
      <c r="R1639" s="17"/>
      <c r="S1639" s="31"/>
      <c r="T1639" s="31"/>
      <c r="U1639" s="31"/>
      <c r="V1639" s="122"/>
    </row>
    <row r="1640" spans="2:22" ht="16">
      <c r="B1640" s="119"/>
      <c r="C1640" s="30"/>
      <c r="D1640" s="24"/>
      <c r="E1640" s="17"/>
      <c r="F1640" s="17"/>
      <c r="G1640" s="17"/>
      <c r="H1640" s="31"/>
      <c r="I1640" s="31"/>
      <c r="J1640" s="31"/>
      <c r="K1640" s="122"/>
      <c r="M1640" s="119"/>
      <c r="N1640" s="30"/>
      <c r="O1640" s="24"/>
      <c r="P1640" s="17"/>
      <c r="Q1640" s="17"/>
      <c r="R1640" s="17"/>
      <c r="S1640" s="31"/>
      <c r="T1640" s="31"/>
      <c r="U1640" s="31"/>
      <c r="V1640" s="122"/>
    </row>
    <row r="1641" spans="2:22" ht="16">
      <c r="B1641" s="119"/>
      <c r="C1641" s="30"/>
      <c r="D1641" s="24"/>
      <c r="E1641" s="17"/>
      <c r="F1641" s="17"/>
      <c r="G1641" s="17"/>
      <c r="H1641" s="31"/>
      <c r="I1641" s="31"/>
      <c r="J1641" s="31"/>
      <c r="K1641" s="122"/>
      <c r="M1641" s="119"/>
      <c r="N1641" s="30"/>
      <c r="O1641" s="24"/>
      <c r="P1641" s="17"/>
      <c r="Q1641" s="17"/>
      <c r="R1641" s="17"/>
      <c r="S1641" s="31"/>
      <c r="T1641" s="31"/>
      <c r="U1641" s="31"/>
      <c r="V1641" s="122"/>
    </row>
    <row r="1642" spans="2:22" ht="16">
      <c r="B1642" s="119"/>
      <c r="C1642" s="30"/>
      <c r="D1642" s="24"/>
      <c r="E1642" s="17"/>
      <c r="F1642" s="17"/>
      <c r="G1642" s="17"/>
      <c r="H1642" s="31"/>
      <c r="I1642" s="31"/>
      <c r="J1642" s="31"/>
      <c r="K1642" s="122"/>
      <c r="M1642" s="119"/>
      <c r="N1642" s="30"/>
      <c r="O1642" s="24"/>
      <c r="P1642" s="17"/>
      <c r="Q1642" s="17"/>
      <c r="R1642" s="17"/>
      <c r="S1642" s="31"/>
      <c r="T1642" s="31"/>
      <c r="U1642" s="31"/>
      <c r="V1642" s="122"/>
    </row>
    <row r="1643" spans="2:22" ht="16">
      <c r="B1643" s="119"/>
      <c r="C1643" s="30"/>
      <c r="D1643" s="24"/>
      <c r="E1643" s="17"/>
      <c r="F1643" s="17"/>
      <c r="G1643" s="17"/>
      <c r="H1643" s="31"/>
      <c r="I1643" s="31"/>
      <c r="J1643" s="31"/>
      <c r="K1643" s="122"/>
      <c r="M1643" s="119"/>
      <c r="N1643" s="30"/>
      <c r="O1643" s="24"/>
      <c r="P1643" s="17"/>
      <c r="Q1643" s="17"/>
      <c r="R1643" s="17"/>
      <c r="S1643" s="31"/>
      <c r="T1643" s="31"/>
      <c r="U1643" s="31"/>
      <c r="V1643" s="122"/>
    </row>
    <row r="1644" spans="2:22" ht="16">
      <c r="B1644" s="119"/>
      <c r="C1644" s="30"/>
      <c r="D1644" s="24"/>
      <c r="E1644" s="17"/>
      <c r="F1644" s="17"/>
      <c r="G1644" s="17"/>
      <c r="H1644" s="31"/>
      <c r="I1644" s="31"/>
      <c r="J1644" s="31"/>
      <c r="K1644" s="122"/>
      <c r="M1644" s="119"/>
      <c r="N1644" s="30"/>
      <c r="O1644" s="24"/>
      <c r="P1644" s="17"/>
      <c r="Q1644" s="17"/>
      <c r="R1644" s="17"/>
      <c r="S1644" s="31"/>
      <c r="T1644" s="31"/>
      <c r="U1644" s="31"/>
      <c r="V1644" s="122"/>
    </row>
    <row r="1645" spans="2:22" ht="16">
      <c r="B1645" s="119"/>
      <c r="C1645" s="30"/>
      <c r="D1645" s="24"/>
      <c r="E1645" s="17"/>
      <c r="F1645" s="17"/>
      <c r="G1645" s="17"/>
      <c r="H1645" s="31"/>
      <c r="I1645" s="31"/>
      <c r="J1645" s="31"/>
      <c r="K1645" s="122"/>
      <c r="M1645" s="119"/>
      <c r="N1645" s="30"/>
      <c r="O1645" s="24"/>
      <c r="P1645" s="17"/>
      <c r="Q1645" s="17"/>
      <c r="R1645" s="17"/>
      <c r="S1645" s="31"/>
      <c r="T1645" s="31"/>
      <c r="U1645" s="31"/>
      <c r="V1645" s="122"/>
    </row>
    <row r="1646" spans="2:22" ht="16">
      <c r="B1646" s="119"/>
      <c r="C1646" s="30"/>
      <c r="D1646" s="24"/>
      <c r="E1646" s="17"/>
      <c r="F1646" s="17"/>
      <c r="G1646" s="17"/>
      <c r="H1646" s="31"/>
      <c r="I1646" s="31"/>
      <c r="J1646" s="31"/>
      <c r="K1646" s="122"/>
      <c r="M1646" s="119"/>
      <c r="N1646" s="30"/>
      <c r="O1646" s="24"/>
      <c r="P1646" s="17"/>
      <c r="Q1646" s="17"/>
      <c r="R1646" s="17"/>
      <c r="S1646" s="31"/>
      <c r="T1646" s="31"/>
      <c r="U1646" s="31"/>
      <c r="V1646" s="122"/>
    </row>
    <row r="1647" spans="2:22" ht="16">
      <c r="B1647" s="119"/>
      <c r="C1647" s="30"/>
      <c r="D1647" s="24"/>
      <c r="E1647" s="17"/>
      <c r="F1647" s="17"/>
      <c r="G1647" s="17"/>
      <c r="H1647" s="31"/>
      <c r="I1647" s="31"/>
      <c r="J1647" s="31"/>
      <c r="K1647" s="122"/>
      <c r="M1647" s="119"/>
      <c r="N1647" s="30"/>
      <c r="O1647" s="24"/>
      <c r="P1647" s="17"/>
      <c r="Q1647" s="17"/>
      <c r="R1647" s="17"/>
      <c r="S1647" s="31"/>
      <c r="T1647" s="31"/>
      <c r="U1647" s="31"/>
      <c r="V1647" s="122"/>
    </row>
    <row r="1648" spans="2:22" ht="16">
      <c r="B1648" s="119"/>
      <c r="C1648" s="30"/>
      <c r="D1648" s="24"/>
      <c r="E1648" s="17"/>
      <c r="F1648" s="17"/>
      <c r="G1648" s="17"/>
      <c r="H1648" s="31"/>
      <c r="I1648" s="31"/>
      <c r="J1648" s="31"/>
      <c r="K1648" s="122"/>
      <c r="M1648" s="119"/>
      <c r="N1648" s="30"/>
      <c r="O1648" s="24"/>
      <c r="P1648" s="17"/>
      <c r="Q1648" s="17"/>
      <c r="R1648" s="17"/>
      <c r="S1648" s="31"/>
      <c r="T1648" s="31"/>
      <c r="U1648" s="31"/>
      <c r="V1648" s="122"/>
    </row>
    <row r="1649" spans="2:22" ht="16">
      <c r="B1649" s="119"/>
      <c r="C1649" s="30"/>
      <c r="D1649" s="24"/>
      <c r="E1649" s="17"/>
      <c r="F1649" s="17"/>
      <c r="G1649" s="17"/>
      <c r="H1649" s="31"/>
      <c r="I1649" s="31"/>
      <c r="J1649" s="31"/>
      <c r="K1649" s="122"/>
      <c r="M1649" s="119"/>
      <c r="N1649" s="30"/>
      <c r="O1649" s="24"/>
      <c r="P1649" s="17"/>
      <c r="Q1649" s="17"/>
      <c r="R1649" s="17"/>
      <c r="S1649" s="31"/>
      <c r="T1649" s="31"/>
      <c r="U1649" s="31"/>
      <c r="V1649" s="122"/>
    </row>
    <row r="1650" spans="2:22" ht="16">
      <c r="B1650" s="119"/>
      <c r="C1650" s="30"/>
      <c r="D1650" s="24"/>
      <c r="E1650" s="17"/>
      <c r="F1650" s="17"/>
      <c r="G1650" s="17"/>
      <c r="H1650" s="31"/>
      <c r="I1650" s="31"/>
      <c r="J1650" s="31"/>
      <c r="K1650" s="122"/>
      <c r="M1650" s="119"/>
      <c r="N1650" s="30"/>
      <c r="O1650" s="24"/>
      <c r="P1650" s="17"/>
      <c r="Q1650" s="17"/>
      <c r="R1650" s="17"/>
      <c r="S1650" s="31"/>
      <c r="T1650" s="31"/>
      <c r="U1650" s="31"/>
      <c r="V1650" s="122"/>
    </row>
    <row r="1651" spans="2:22" ht="16">
      <c r="B1651" s="119"/>
      <c r="C1651" s="30"/>
      <c r="D1651" s="24"/>
      <c r="E1651" s="17"/>
      <c r="F1651" s="17"/>
      <c r="G1651" s="17"/>
      <c r="H1651" s="31"/>
      <c r="I1651" s="31"/>
      <c r="J1651" s="31"/>
      <c r="K1651" s="122"/>
      <c r="M1651" s="119"/>
      <c r="N1651" s="30"/>
      <c r="O1651" s="24"/>
      <c r="P1651" s="17"/>
      <c r="Q1651" s="17"/>
      <c r="R1651" s="17"/>
      <c r="S1651" s="31"/>
      <c r="T1651" s="31"/>
      <c r="U1651" s="31"/>
      <c r="V1651" s="122"/>
    </row>
    <row r="1652" spans="2:22" ht="16">
      <c r="B1652" s="119"/>
      <c r="C1652" s="30"/>
      <c r="D1652" s="24"/>
      <c r="E1652" s="17"/>
      <c r="F1652" s="17"/>
      <c r="G1652" s="17"/>
      <c r="H1652" s="31"/>
      <c r="I1652" s="31"/>
      <c r="J1652" s="31"/>
      <c r="K1652" s="122"/>
      <c r="M1652" s="119"/>
      <c r="N1652" s="30"/>
      <c r="O1652" s="24"/>
      <c r="P1652" s="17"/>
      <c r="Q1652" s="17"/>
      <c r="R1652" s="17"/>
      <c r="S1652" s="31"/>
      <c r="T1652" s="31"/>
      <c r="U1652" s="31"/>
      <c r="V1652" s="122"/>
    </row>
    <row r="1653" spans="2:22" ht="16">
      <c r="B1653" s="119"/>
      <c r="C1653" s="30"/>
      <c r="D1653" s="24"/>
      <c r="E1653" s="17"/>
      <c r="F1653" s="17"/>
      <c r="G1653" s="17"/>
      <c r="H1653" s="31"/>
      <c r="I1653" s="31"/>
      <c r="J1653" s="31"/>
      <c r="K1653" s="122"/>
      <c r="M1653" s="119"/>
      <c r="N1653" s="30"/>
      <c r="O1653" s="24"/>
      <c r="P1653" s="17"/>
      <c r="Q1653" s="17"/>
      <c r="R1653" s="17"/>
      <c r="S1653" s="31"/>
      <c r="T1653" s="31"/>
      <c r="U1653" s="31"/>
      <c r="V1653" s="122"/>
    </row>
    <row r="1654" spans="2:22" ht="16">
      <c r="B1654" s="119"/>
      <c r="C1654" s="30"/>
      <c r="D1654" s="24"/>
      <c r="E1654" s="17"/>
      <c r="F1654" s="17"/>
      <c r="G1654" s="17"/>
      <c r="H1654" s="31"/>
      <c r="I1654" s="31"/>
      <c r="J1654" s="31"/>
      <c r="K1654" s="122"/>
      <c r="M1654" s="119"/>
      <c r="N1654" s="30"/>
      <c r="O1654" s="24"/>
      <c r="P1654" s="17"/>
      <c r="Q1654" s="17"/>
      <c r="R1654" s="17"/>
      <c r="S1654" s="31"/>
      <c r="T1654" s="31"/>
      <c r="U1654" s="31"/>
      <c r="V1654" s="122"/>
    </row>
    <row r="1655" spans="2:22" ht="16">
      <c r="B1655" s="119"/>
      <c r="C1655" s="30"/>
      <c r="D1655" s="24"/>
      <c r="E1655" s="17"/>
      <c r="F1655" s="17"/>
      <c r="G1655" s="17"/>
      <c r="H1655" s="31"/>
      <c r="I1655" s="31"/>
      <c r="J1655" s="31"/>
      <c r="K1655" s="122"/>
      <c r="M1655" s="119"/>
      <c r="N1655" s="30"/>
      <c r="O1655" s="24"/>
      <c r="P1655" s="17"/>
      <c r="Q1655" s="17"/>
      <c r="R1655" s="17"/>
      <c r="S1655" s="31"/>
      <c r="T1655" s="31"/>
      <c r="U1655" s="31"/>
      <c r="V1655" s="122"/>
    </row>
    <row r="1656" spans="2:22" ht="16">
      <c r="B1656" s="119"/>
      <c r="C1656" s="30"/>
      <c r="D1656" s="24"/>
      <c r="E1656" s="17"/>
      <c r="F1656" s="17"/>
      <c r="G1656" s="17"/>
      <c r="H1656" s="31"/>
      <c r="I1656" s="31"/>
      <c r="J1656" s="31"/>
      <c r="K1656" s="122"/>
      <c r="M1656" s="119"/>
      <c r="N1656" s="30"/>
      <c r="O1656" s="24"/>
      <c r="P1656" s="17"/>
      <c r="Q1656" s="17"/>
      <c r="R1656" s="17"/>
      <c r="S1656" s="31"/>
      <c r="T1656" s="31"/>
      <c r="U1656" s="31"/>
      <c r="V1656" s="122"/>
    </row>
    <row r="1657" spans="2:22" ht="16">
      <c r="B1657" s="119"/>
      <c r="C1657" s="30"/>
      <c r="D1657" s="24"/>
      <c r="E1657" s="17"/>
      <c r="F1657" s="17"/>
      <c r="G1657" s="17"/>
      <c r="H1657" s="31"/>
      <c r="I1657" s="31"/>
      <c r="J1657" s="31"/>
      <c r="K1657" s="122"/>
      <c r="M1657" s="119"/>
      <c r="N1657" s="30"/>
      <c r="O1657" s="24"/>
      <c r="P1657" s="17"/>
      <c r="Q1657" s="17"/>
      <c r="R1657" s="17"/>
      <c r="S1657" s="31"/>
      <c r="T1657" s="31"/>
      <c r="U1657" s="31"/>
      <c r="V1657" s="122"/>
    </row>
    <row r="1658" spans="2:22" ht="16">
      <c r="B1658" s="119"/>
      <c r="C1658" s="30"/>
      <c r="D1658" s="24"/>
      <c r="E1658" s="17"/>
      <c r="F1658" s="17"/>
      <c r="G1658" s="17"/>
      <c r="H1658" s="31"/>
      <c r="I1658" s="31"/>
      <c r="J1658" s="31"/>
      <c r="K1658" s="122"/>
      <c r="M1658" s="119"/>
      <c r="N1658" s="30"/>
      <c r="O1658" s="24"/>
      <c r="P1658" s="17"/>
      <c r="Q1658" s="17"/>
      <c r="R1658" s="17"/>
      <c r="S1658" s="31"/>
      <c r="T1658" s="31"/>
      <c r="U1658" s="31"/>
      <c r="V1658" s="122"/>
    </row>
    <row r="1659" spans="2:22" ht="16">
      <c r="B1659" s="119"/>
      <c r="C1659" s="30"/>
      <c r="D1659" s="24"/>
      <c r="E1659" s="17"/>
      <c r="F1659" s="17"/>
      <c r="G1659" s="17"/>
      <c r="H1659" s="31"/>
      <c r="I1659" s="31"/>
      <c r="J1659" s="31"/>
      <c r="K1659" s="122"/>
      <c r="M1659" s="119"/>
      <c r="N1659" s="30"/>
      <c r="O1659" s="24"/>
      <c r="P1659" s="17"/>
      <c r="Q1659" s="17"/>
      <c r="R1659" s="17"/>
      <c r="S1659" s="31"/>
      <c r="T1659" s="31"/>
      <c r="U1659" s="31"/>
      <c r="V1659" s="122"/>
    </row>
    <row r="1660" spans="2:22" ht="16">
      <c r="B1660" s="119"/>
      <c r="C1660" s="30"/>
      <c r="D1660" s="24"/>
      <c r="E1660" s="17"/>
      <c r="F1660" s="17"/>
      <c r="G1660" s="17"/>
      <c r="H1660" s="31"/>
      <c r="I1660" s="31"/>
      <c r="J1660" s="31"/>
      <c r="K1660" s="122"/>
      <c r="M1660" s="119"/>
      <c r="N1660" s="30"/>
      <c r="O1660" s="24"/>
      <c r="P1660" s="17"/>
      <c r="Q1660" s="17"/>
      <c r="R1660" s="17"/>
      <c r="S1660" s="31"/>
      <c r="T1660" s="31"/>
      <c r="U1660" s="31"/>
      <c r="V1660" s="122"/>
    </row>
    <row r="1661" spans="2:22" ht="16">
      <c r="B1661" s="119"/>
      <c r="C1661" s="30"/>
      <c r="D1661" s="24"/>
      <c r="E1661" s="17"/>
      <c r="F1661" s="17"/>
      <c r="G1661" s="17"/>
      <c r="H1661" s="31"/>
      <c r="I1661" s="31"/>
      <c r="J1661" s="31"/>
      <c r="K1661" s="122"/>
      <c r="M1661" s="119"/>
      <c r="N1661" s="30"/>
      <c r="O1661" s="24"/>
      <c r="P1661" s="17"/>
      <c r="Q1661" s="17"/>
      <c r="R1661" s="17"/>
      <c r="S1661" s="31"/>
      <c r="T1661" s="31"/>
      <c r="U1661" s="31"/>
      <c r="V1661" s="122"/>
    </row>
    <row r="1662" spans="2:22" ht="16">
      <c r="B1662" s="119"/>
      <c r="C1662" s="30"/>
      <c r="D1662" s="24"/>
      <c r="E1662" s="17"/>
      <c r="F1662" s="17"/>
      <c r="G1662" s="17"/>
      <c r="H1662" s="31"/>
      <c r="I1662" s="31"/>
      <c r="J1662" s="31"/>
      <c r="K1662" s="122"/>
      <c r="M1662" s="119"/>
      <c r="N1662" s="30"/>
      <c r="O1662" s="24"/>
      <c r="P1662" s="17"/>
      <c r="Q1662" s="17"/>
      <c r="R1662" s="17"/>
      <c r="S1662" s="31"/>
      <c r="T1662" s="31"/>
      <c r="U1662" s="31"/>
      <c r="V1662" s="122"/>
    </row>
    <row r="1663" spans="2:22" ht="16">
      <c r="B1663" s="119"/>
      <c r="C1663" s="30"/>
      <c r="D1663" s="24"/>
      <c r="E1663" s="17"/>
      <c r="F1663" s="17"/>
      <c r="G1663" s="17"/>
      <c r="H1663" s="31"/>
      <c r="I1663" s="31"/>
      <c r="J1663" s="31"/>
      <c r="K1663" s="122"/>
      <c r="M1663" s="119"/>
      <c r="N1663" s="30"/>
      <c r="O1663" s="24"/>
      <c r="P1663" s="17"/>
      <c r="Q1663" s="17"/>
      <c r="R1663" s="17"/>
      <c r="S1663" s="31"/>
      <c r="T1663" s="31"/>
      <c r="U1663" s="31"/>
      <c r="V1663" s="122"/>
    </row>
    <row r="1664" spans="2:22" ht="16">
      <c r="B1664" s="119"/>
      <c r="C1664" s="30"/>
      <c r="D1664" s="24"/>
      <c r="E1664" s="17"/>
      <c r="F1664" s="17"/>
      <c r="G1664" s="17"/>
      <c r="H1664" s="31"/>
      <c r="I1664" s="31"/>
      <c r="J1664" s="31"/>
      <c r="K1664" s="122"/>
      <c r="M1664" s="119"/>
      <c r="N1664" s="30"/>
      <c r="O1664" s="24"/>
      <c r="P1664" s="17"/>
      <c r="Q1664" s="17"/>
      <c r="R1664" s="17"/>
      <c r="S1664" s="31"/>
      <c r="T1664" s="31"/>
      <c r="U1664" s="31"/>
      <c r="V1664" s="122"/>
    </row>
    <row r="1665" spans="2:22" ht="16">
      <c r="B1665" s="119"/>
      <c r="C1665" s="30"/>
      <c r="D1665" s="24"/>
      <c r="E1665" s="17"/>
      <c r="F1665" s="17"/>
      <c r="G1665" s="17"/>
      <c r="H1665" s="31"/>
      <c r="I1665" s="31"/>
      <c r="J1665" s="31"/>
      <c r="K1665" s="122"/>
      <c r="M1665" s="119"/>
      <c r="N1665" s="30"/>
      <c r="O1665" s="24"/>
      <c r="P1665" s="17"/>
      <c r="Q1665" s="17"/>
      <c r="R1665" s="17"/>
      <c r="S1665" s="31"/>
      <c r="T1665" s="31"/>
      <c r="U1665" s="31"/>
      <c r="V1665" s="122"/>
    </row>
    <row r="1666" spans="2:22" ht="16">
      <c r="B1666" s="119"/>
      <c r="C1666" s="30"/>
      <c r="D1666" s="24"/>
      <c r="E1666" s="17"/>
      <c r="F1666" s="17"/>
      <c r="G1666" s="17"/>
      <c r="H1666" s="31"/>
      <c r="I1666" s="31"/>
      <c r="J1666" s="31"/>
      <c r="K1666" s="122"/>
      <c r="M1666" s="119"/>
      <c r="N1666" s="30"/>
      <c r="O1666" s="24"/>
      <c r="P1666" s="17"/>
      <c r="Q1666" s="17"/>
      <c r="R1666" s="17"/>
      <c r="S1666" s="31"/>
      <c r="T1666" s="31"/>
      <c r="U1666" s="31"/>
      <c r="V1666" s="122"/>
    </row>
    <row r="1667" spans="2:22" ht="16">
      <c r="B1667" s="119"/>
      <c r="C1667" s="30"/>
      <c r="D1667" s="24"/>
      <c r="E1667" s="17"/>
      <c r="F1667" s="17"/>
      <c r="G1667" s="17"/>
      <c r="H1667" s="31"/>
      <c r="I1667" s="31"/>
      <c r="J1667" s="31"/>
      <c r="K1667" s="122"/>
      <c r="M1667" s="119"/>
      <c r="N1667" s="30"/>
      <c r="O1667" s="24"/>
      <c r="P1667" s="17"/>
      <c r="Q1667" s="17"/>
      <c r="R1667" s="17"/>
      <c r="S1667" s="31"/>
      <c r="T1667" s="31"/>
      <c r="U1667" s="31"/>
      <c r="V1667" s="122"/>
    </row>
    <row r="1668" spans="2:22" ht="16">
      <c r="B1668" s="119"/>
      <c r="C1668" s="30"/>
      <c r="D1668" s="24"/>
      <c r="E1668" s="17"/>
      <c r="F1668" s="17"/>
      <c r="G1668" s="17"/>
      <c r="H1668" s="31"/>
      <c r="I1668" s="31"/>
      <c r="J1668" s="31"/>
      <c r="K1668" s="122"/>
      <c r="M1668" s="119"/>
      <c r="N1668" s="30"/>
      <c r="O1668" s="24"/>
      <c r="P1668" s="17"/>
      <c r="Q1668" s="17"/>
      <c r="R1668" s="17"/>
      <c r="S1668" s="31"/>
      <c r="T1668" s="31"/>
      <c r="U1668" s="31"/>
      <c r="V1668" s="122"/>
    </row>
    <row r="1669" spans="2:22" ht="16">
      <c r="B1669" s="119"/>
      <c r="C1669" s="30"/>
      <c r="D1669" s="24"/>
      <c r="E1669" s="17"/>
      <c r="F1669" s="17"/>
      <c r="G1669" s="17"/>
      <c r="H1669" s="31"/>
      <c r="I1669" s="31"/>
      <c r="J1669" s="31"/>
      <c r="K1669" s="122"/>
      <c r="M1669" s="119"/>
      <c r="N1669" s="30"/>
      <c r="O1669" s="24"/>
      <c r="P1669" s="17"/>
      <c r="Q1669" s="17"/>
      <c r="R1669" s="17"/>
      <c r="S1669" s="31"/>
      <c r="T1669" s="31"/>
      <c r="U1669" s="31"/>
      <c r="V1669" s="122"/>
    </row>
    <row r="1670" spans="2:22" ht="16">
      <c r="B1670" s="119"/>
      <c r="C1670" s="30"/>
      <c r="D1670" s="24"/>
      <c r="E1670" s="17"/>
      <c r="F1670" s="17"/>
      <c r="G1670" s="17"/>
      <c r="H1670" s="31"/>
      <c r="I1670" s="31"/>
      <c r="J1670" s="31"/>
      <c r="K1670" s="122"/>
      <c r="M1670" s="119"/>
      <c r="N1670" s="30"/>
      <c r="O1670" s="24"/>
      <c r="P1670" s="17"/>
      <c r="Q1670" s="17"/>
      <c r="R1670" s="17"/>
      <c r="S1670" s="31"/>
      <c r="T1670" s="31"/>
      <c r="U1670" s="31"/>
      <c r="V1670" s="122"/>
    </row>
    <row r="1671" spans="2:22" ht="16">
      <c r="B1671" s="119"/>
      <c r="C1671" s="30"/>
      <c r="D1671" s="24"/>
      <c r="E1671" s="17"/>
      <c r="F1671" s="17"/>
      <c r="G1671" s="17"/>
      <c r="H1671" s="31"/>
      <c r="I1671" s="31"/>
      <c r="J1671" s="31"/>
      <c r="K1671" s="122"/>
      <c r="M1671" s="119"/>
      <c r="N1671" s="30"/>
      <c r="O1671" s="24"/>
      <c r="P1671" s="17"/>
      <c r="Q1671" s="17"/>
      <c r="R1671" s="17"/>
      <c r="S1671" s="31"/>
      <c r="T1671" s="31"/>
      <c r="U1671" s="31"/>
      <c r="V1671" s="122"/>
    </row>
    <row r="1672" spans="2:22" ht="16">
      <c r="B1672" s="119"/>
      <c r="C1672" s="30"/>
      <c r="D1672" s="24"/>
      <c r="E1672" s="17"/>
      <c r="F1672" s="17"/>
      <c r="G1672" s="17"/>
      <c r="H1672" s="31"/>
      <c r="I1672" s="31"/>
      <c r="J1672" s="31"/>
      <c r="K1672" s="122"/>
      <c r="M1672" s="119"/>
      <c r="N1672" s="30"/>
      <c r="O1672" s="24"/>
      <c r="P1672" s="17"/>
      <c r="Q1672" s="17"/>
      <c r="R1672" s="17"/>
      <c r="S1672" s="31"/>
      <c r="T1672" s="31"/>
      <c r="U1672" s="31"/>
      <c r="V1672" s="122"/>
    </row>
    <row r="1673" spans="2:22" ht="16">
      <c r="B1673" s="119"/>
      <c r="C1673" s="30"/>
      <c r="D1673" s="24"/>
      <c r="E1673" s="17"/>
      <c r="F1673" s="17"/>
      <c r="G1673" s="17"/>
      <c r="H1673" s="31"/>
      <c r="I1673" s="31"/>
      <c r="J1673" s="31"/>
      <c r="K1673" s="122"/>
      <c r="M1673" s="119"/>
      <c r="N1673" s="30"/>
      <c r="O1673" s="24"/>
      <c r="P1673" s="17"/>
      <c r="Q1673" s="17"/>
      <c r="R1673" s="17"/>
      <c r="S1673" s="31"/>
      <c r="T1673" s="31"/>
      <c r="U1673" s="31"/>
      <c r="V1673" s="122"/>
    </row>
    <row r="1674" spans="2:22" ht="16">
      <c r="B1674" s="119"/>
      <c r="C1674" s="30"/>
      <c r="D1674" s="24"/>
      <c r="E1674" s="17"/>
      <c r="F1674" s="17"/>
      <c r="G1674" s="17"/>
      <c r="H1674" s="31"/>
      <c r="I1674" s="31"/>
      <c r="J1674" s="31"/>
      <c r="K1674" s="122"/>
      <c r="M1674" s="119"/>
      <c r="N1674" s="30"/>
      <c r="O1674" s="24"/>
      <c r="P1674" s="17"/>
      <c r="Q1674" s="17"/>
      <c r="R1674" s="17"/>
      <c r="S1674" s="31"/>
      <c r="T1674" s="31"/>
      <c r="U1674" s="31"/>
      <c r="V1674" s="122"/>
    </row>
    <row r="1675" spans="2:22" ht="16">
      <c r="B1675" s="119"/>
      <c r="C1675" s="30"/>
      <c r="D1675" s="24"/>
      <c r="E1675" s="17"/>
      <c r="F1675" s="17"/>
      <c r="G1675" s="17"/>
      <c r="H1675" s="31"/>
      <c r="I1675" s="31"/>
      <c r="J1675" s="31"/>
      <c r="K1675" s="122"/>
      <c r="M1675" s="119"/>
      <c r="N1675" s="30"/>
      <c r="O1675" s="24"/>
      <c r="P1675" s="17"/>
      <c r="Q1675" s="17"/>
      <c r="R1675" s="17"/>
      <c r="S1675" s="31"/>
      <c r="T1675" s="31"/>
      <c r="U1675" s="31"/>
      <c r="V1675" s="122"/>
    </row>
    <row r="1676" spans="2:22" ht="16">
      <c r="B1676" s="119"/>
      <c r="C1676" s="30"/>
      <c r="D1676" s="24"/>
      <c r="E1676" s="17"/>
      <c r="F1676" s="17"/>
      <c r="G1676" s="17"/>
      <c r="H1676" s="31"/>
      <c r="I1676" s="31"/>
      <c r="J1676" s="31"/>
      <c r="K1676" s="122"/>
      <c r="M1676" s="119"/>
      <c r="N1676" s="30"/>
      <c r="O1676" s="24"/>
      <c r="P1676" s="17"/>
      <c r="Q1676" s="17"/>
      <c r="R1676" s="17"/>
      <c r="S1676" s="31"/>
      <c r="T1676" s="31"/>
      <c r="U1676" s="31"/>
      <c r="V1676" s="122"/>
    </row>
    <row r="1677" spans="2:22" ht="16">
      <c r="B1677" s="119"/>
      <c r="C1677" s="30"/>
      <c r="D1677" s="24"/>
      <c r="E1677" s="17"/>
      <c r="F1677" s="17"/>
      <c r="G1677" s="17"/>
      <c r="H1677" s="31"/>
      <c r="I1677" s="31"/>
      <c r="J1677" s="31"/>
      <c r="K1677" s="122"/>
      <c r="M1677" s="119"/>
      <c r="N1677" s="30"/>
      <c r="O1677" s="24"/>
      <c r="P1677" s="17"/>
      <c r="Q1677" s="17"/>
      <c r="R1677" s="17"/>
      <c r="S1677" s="31"/>
      <c r="T1677" s="31"/>
      <c r="U1677" s="31"/>
      <c r="V1677" s="122"/>
    </row>
    <row r="1678" spans="2:22" ht="16">
      <c r="B1678" s="119"/>
      <c r="C1678" s="30"/>
      <c r="D1678" s="24"/>
      <c r="E1678" s="17"/>
      <c r="F1678" s="17"/>
      <c r="G1678" s="17"/>
      <c r="H1678" s="31"/>
      <c r="I1678" s="31"/>
      <c r="J1678" s="31"/>
      <c r="K1678" s="122"/>
      <c r="M1678" s="119"/>
      <c r="N1678" s="30"/>
      <c r="O1678" s="24"/>
      <c r="P1678" s="17"/>
      <c r="Q1678" s="17"/>
      <c r="R1678" s="17"/>
      <c r="S1678" s="31"/>
      <c r="T1678" s="31"/>
      <c r="U1678" s="31"/>
      <c r="V1678" s="122"/>
    </row>
    <row r="1679" spans="2:22" ht="16">
      <c r="B1679" s="119"/>
      <c r="C1679" s="30"/>
      <c r="D1679" s="24"/>
      <c r="E1679" s="17"/>
      <c r="F1679" s="17"/>
      <c r="G1679" s="17"/>
      <c r="H1679" s="31"/>
      <c r="I1679" s="31"/>
      <c r="J1679" s="31"/>
      <c r="K1679" s="122"/>
      <c r="M1679" s="119"/>
      <c r="N1679" s="30"/>
      <c r="O1679" s="24"/>
      <c r="P1679" s="17"/>
      <c r="Q1679" s="17"/>
      <c r="R1679" s="17"/>
      <c r="S1679" s="31"/>
      <c r="T1679" s="31"/>
      <c r="U1679" s="31"/>
      <c r="V1679" s="122"/>
    </row>
    <row r="1680" spans="2:22" ht="16">
      <c r="B1680" s="119"/>
      <c r="C1680" s="30"/>
      <c r="D1680" s="24"/>
      <c r="E1680" s="17"/>
      <c r="F1680" s="17"/>
      <c r="G1680" s="17"/>
      <c r="H1680" s="31"/>
      <c r="I1680" s="31"/>
      <c r="J1680" s="31"/>
      <c r="K1680" s="122"/>
      <c r="M1680" s="119"/>
      <c r="N1680" s="30"/>
      <c r="O1680" s="24"/>
      <c r="P1680" s="17"/>
      <c r="Q1680" s="17"/>
      <c r="R1680" s="17"/>
      <c r="S1680" s="31"/>
      <c r="T1680" s="31"/>
      <c r="U1680" s="31"/>
      <c r="V1680" s="122"/>
    </row>
    <row r="1681" spans="2:22" ht="16">
      <c r="B1681" s="119"/>
      <c r="C1681" s="30"/>
      <c r="D1681" s="24"/>
      <c r="E1681" s="17"/>
      <c r="F1681" s="17"/>
      <c r="G1681" s="17"/>
      <c r="H1681" s="31"/>
      <c r="I1681" s="31"/>
      <c r="J1681" s="31"/>
      <c r="K1681" s="122"/>
      <c r="M1681" s="119"/>
      <c r="N1681" s="30"/>
      <c r="O1681" s="24"/>
      <c r="P1681" s="17"/>
      <c r="Q1681" s="17"/>
      <c r="R1681" s="17"/>
      <c r="S1681" s="31"/>
      <c r="T1681" s="31"/>
      <c r="U1681" s="31"/>
      <c r="V1681" s="122"/>
    </row>
    <row r="1682" spans="2:22" ht="16">
      <c r="B1682" s="119"/>
      <c r="C1682" s="30"/>
      <c r="D1682" s="24"/>
      <c r="E1682" s="17"/>
      <c r="F1682" s="17"/>
      <c r="G1682" s="17"/>
      <c r="H1682" s="31"/>
      <c r="I1682" s="31"/>
      <c r="J1682" s="31"/>
      <c r="K1682" s="122"/>
      <c r="M1682" s="119"/>
      <c r="N1682" s="30"/>
      <c r="O1682" s="24"/>
      <c r="P1682" s="17"/>
      <c r="Q1682" s="17"/>
      <c r="R1682" s="17"/>
      <c r="S1682" s="31"/>
      <c r="T1682" s="31"/>
      <c r="U1682" s="31"/>
      <c r="V1682" s="122"/>
    </row>
    <row r="1683" spans="2:22" ht="16">
      <c r="B1683" s="119"/>
      <c r="C1683" s="30"/>
      <c r="D1683" s="24"/>
      <c r="E1683" s="17"/>
      <c r="F1683" s="17"/>
      <c r="G1683" s="17"/>
      <c r="H1683" s="31"/>
      <c r="I1683" s="31"/>
      <c r="J1683" s="31"/>
      <c r="K1683" s="122"/>
      <c r="M1683" s="119"/>
      <c r="N1683" s="30"/>
      <c r="O1683" s="24"/>
      <c r="P1683" s="17"/>
      <c r="Q1683" s="17"/>
      <c r="R1683" s="17"/>
      <c r="S1683" s="31"/>
      <c r="T1683" s="31"/>
      <c r="U1683" s="31"/>
      <c r="V1683" s="122"/>
    </row>
    <row r="1684" spans="2:22" ht="16">
      <c r="B1684" s="119"/>
      <c r="C1684" s="30"/>
      <c r="D1684" s="24"/>
      <c r="E1684" s="17"/>
      <c r="F1684" s="17"/>
      <c r="G1684" s="17"/>
      <c r="H1684" s="31"/>
      <c r="I1684" s="31"/>
      <c r="J1684" s="31"/>
      <c r="K1684" s="122"/>
      <c r="M1684" s="119"/>
      <c r="N1684" s="30"/>
      <c r="O1684" s="24"/>
      <c r="P1684" s="17"/>
      <c r="Q1684" s="17"/>
      <c r="R1684" s="17"/>
      <c r="S1684" s="31"/>
      <c r="T1684" s="31"/>
      <c r="U1684" s="31"/>
      <c r="V1684" s="122"/>
    </row>
    <row r="1685" spans="2:22" ht="16">
      <c r="B1685" s="119"/>
      <c r="C1685" s="30"/>
      <c r="D1685" s="24"/>
      <c r="E1685" s="17"/>
      <c r="F1685" s="17"/>
      <c r="G1685" s="17"/>
      <c r="H1685" s="31"/>
      <c r="I1685" s="31"/>
      <c r="J1685" s="31"/>
      <c r="K1685" s="122"/>
      <c r="M1685" s="119"/>
      <c r="N1685" s="30"/>
      <c r="O1685" s="24"/>
      <c r="P1685" s="17"/>
      <c r="Q1685" s="17"/>
      <c r="R1685" s="17"/>
      <c r="S1685" s="31"/>
      <c r="T1685" s="31"/>
      <c r="U1685" s="31"/>
      <c r="V1685" s="122"/>
    </row>
    <row r="1686" spans="2:22" ht="16">
      <c r="B1686" s="119"/>
      <c r="C1686" s="30"/>
      <c r="D1686" s="24"/>
      <c r="E1686" s="17"/>
      <c r="F1686" s="17"/>
      <c r="G1686" s="17"/>
      <c r="H1686" s="31"/>
      <c r="I1686" s="31"/>
      <c r="J1686" s="31"/>
      <c r="K1686" s="122"/>
      <c r="M1686" s="119"/>
      <c r="N1686" s="30"/>
      <c r="O1686" s="24"/>
      <c r="P1686" s="17"/>
      <c r="Q1686" s="17"/>
      <c r="R1686" s="17"/>
      <c r="S1686" s="31"/>
      <c r="T1686" s="31"/>
      <c r="U1686" s="31"/>
      <c r="V1686" s="122"/>
    </row>
    <row r="1687" spans="2:22" ht="16">
      <c r="B1687" s="119"/>
      <c r="C1687" s="30"/>
      <c r="D1687" s="24"/>
      <c r="E1687" s="17"/>
      <c r="F1687" s="17"/>
      <c r="G1687" s="17"/>
      <c r="H1687" s="31"/>
      <c r="I1687" s="31"/>
      <c r="J1687" s="31"/>
      <c r="K1687" s="122"/>
      <c r="M1687" s="119"/>
      <c r="N1687" s="30"/>
      <c r="O1687" s="24"/>
      <c r="P1687" s="17"/>
      <c r="Q1687" s="17"/>
      <c r="R1687" s="17"/>
      <c r="S1687" s="31"/>
      <c r="T1687" s="31"/>
      <c r="U1687" s="31"/>
      <c r="V1687" s="122"/>
    </row>
    <row r="1688" spans="2:22" ht="16">
      <c r="B1688" s="119"/>
      <c r="C1688" s="30"/>
      <c r="D1688" s="24"/>
      <c r="E1688" s="17"/>
      <c r="F1688" s="17"/>
      <c r="G1688" s="17"/>
      <c r="H1688" s="31"/>
      <c r="I1688" s="31"/>
      <c r="J1688" s="31"/>
      <c r="K1688" s="122"/>
      <c r="M1688" s="119"/>
      <c r="N1688" s="30"/>
      <c r="O1688" s="24"/>
      <c r="P1688" s="17"/>
      <c r="Q1688" s="17"/>
      <c r="R1688" s="17"/>
      <c r="S1688" s="31"/>
      <c r="T1688" s="31"/>
      <c r="U1688" s="31"/>
      <c r="V1688" s="122"/>
    </row>
    <row r="1689" spans="2:22" ht="16">
      <c r="B1689" s="119"/>
      <c r="C1689" s="30"/>
      <c r="D1689" s="24"/>
      <c r="E1689" s="17"/>
      <c r="F1689" s="17"/>
      <c r="G1689" s="17"/>
      <c r="H1689" s="31"/>
      <c r="I1689" s="31"/>
      <c r="J1689" s="31"/>
      <c r="K1689" s="122"/>
      <c r="M1689" s="119"/>
      <c r="N1689" s="30"/>
      <c r="O1689" s="24"/>
      <c r="P1689" s="17"/>
      <c r="Q1689" s="17"/>
      <c r="R1689" s="17"/>
      <c r="S1689" s="31"/>
      <c r="T1689" s="31"/>
      <c r="U1689" s="31"/>
      <c r="V1689" s="122"/>
    </row>
    <row r="1690" spans="2:22" ht="16">
      <c r="B1690" s="119"/>
      <c r="C1690" s="30"/>
      <c r="D1690" s="24"/>
      <c r="E1690" s="17"/>
      <c r="F1690" s="17"/>
      <c r="G1690" s="17"/>
      <c r="H1690" s="31"/>
      <c r="I1690" s="31"/>
      <c r="J1690" s="31"/>
      <c r="K1690" s="122"/>
      <c r="M1690" s="119"/>
      <c r="N1690" s="30"/>
      <c r="O1690" s="24"/>
      <c r="P1690" s="17"/>
      <c r="Q1690" s="17"/>
      <c r="R1690" s="17"/>
      <c r="S1690" s="31"/>
      <c r="T1690" s="31"/>
      <c r="U1690" s="31"/>
      <c r="V1690" s="122"/>
    </row>
    <row r="1691" spans="2:22" ht="16">
      <c r="B1691" s="119"/>
      <c r="C1691" s="30"/>
      <c r="D1691" s="24"/>
      <c r="E1691" s="17"/>
      <c r="F1691" s="17"/>
      <c r="G1691" s="17"/>
      <c r="H1691" s="31"/>
      <c r="I1691" s="31"/>
      <c r="J1691" s="31"/>
      <c r="K1691" s="122"/>
      <c r="M1691" s="119"/>
      <c r="N1691" s="30"/>
      <c r="O1691" s="24"/>
      <c r="P1691" s="17"/>
      <c r="Q1691" s="17"/>
      <c r="R1691" s="17"/>
      <c r="S1691" s="31"/>
      <c r="T1691" s="31"/>
      <c r="U1691" s="31"/>
      <c r="V1691" s="122"/>
    </row>
    <row r="1692" spans="2:22" ht="16">
      <c r="B1692" s="119"/>
      <c r="C1692" s="30"/>
      <c r="D1692" s="24"/>
      <c r="E1692" s="17"/>
      <c r="F1692" s="17"/>
      <c r="G1692" s="17"/>
      <c r="H1692" s="31"/>
      <c r="I1692" s="31"/>
      <c r="J1692" s="31"/>
      <c r="K1692" s="122"/>
      <c r="M1692" s="119"/>
      <c r="N1692" s="30"/>
      <c r="O1692" s="24"/>
      <c r="P1692" s="17"/>
      <c r="Q1692" s="17"/>
      <c r="R1692" s="17"/>
      <c r="S1692" s="31"/>
      <c r="T1692" s="31"/>
      <c r="U1692" s="31"/>
      <c r="V1692" s="122"/>
    </row>
    <row r="1693" spans="2:22" ht="16">
      <c r="B1693" s="119"/>
      <c r="C1693" s="30"/>
      <c r="D1693" s="24"/>
      <c r="E1693" s="17"/>
      <c r="F1693" s="17"/>
      <c r="G1693" s="17"/>
      <c r="H1693" s="31"/>
      <c r="I1693" s="31"/>
      <c r="J1693" s="31"/>
      <c r="K1693" s="122"/>
      <c r="M1693" s="119"/>
      <c r="N1693" s="30"/>
      <c r="O1693" s="24"/>
      <c r="P1693" s="17"/>
      <c r="Q1693" s="17"/>
      <c r="R1693" s="17"/>
      <c r="S1693" s="31"/>
      <c r="T1693" s="31"/>
      <c r="U1693" s="31"/>
      <c r="V1693" s="122"/>
    </row>
    <row r="1694" spans="2:22" ht="16">
      <c r="B1694" s="119"/>
      <c r="C1694" s="30"/>
      <c r="D1694" s="24"/>
      <c r="E1694" s="17"/>
      <c r="F1694" s="17"/>
      <c r="G1694" s="17"/>
      <c r="H1694" s="31"/>
      <c r="I1694" s="31"/>
      <c r="J1694" s="31"/>
      <c r="K1694" s="122"/>
      <c r="M1694" s="119"/>
      <c r="N1694" s="30"/>
      <c r="O1694" s="24"/>
      <c r="P1694" s="17"/>
      <c r="Q1694" s="17"/>
      <c r="R1694" s="17"/>
      <c r="S1694" s="31"/>
      <c r="T1694" s="31"/>
      <c r="U1694" s="31"/>
      <c r="V1694" s="122"/>
    </row>
    <row r="1695" spans="2:22" ht="16">
      <c r="B1695" s="119"/>
      <c r="C1695" s="30"/>
      <c r="D1695" s="24"/>
      <c r="E1695" s="17"/>
      <c r="F1695" s="17"/>
      <c r="G1695" s="17"/>
      <c r="H1695" s="31"/>
      <c r="I1695" s="31"/>
      <c r="J1695" s="31"/>
      <c r="K1695" s="122"/>
      <c r="M1695" s="119"/>
      <c r="N1695" s="30"/>
      <c r="O1695" s="24"/>
      <c r="P1695" s="17"/>
      <c r="Q1695" s="17"/>
      <c r="R1695" s="17"/>
      <c r="S1695" s="31"/>
      <c r="T1695" s="31"/>
      <c r="U1695" s="31"/>
      <c r="V1695" s="122"/>
    </row>
    <row r="1696" spans="2:22" ht="16">
      <c r="B1696" s="119"/>
      <c r="C1696" s="30"/>
      <c r="D1696" s="24"/>
      <c r="E1696" s="17"/>
      <c r="F1696" s="17"/>
      <c r="G1696" s="17"/>
      <c r="H1696" s="31"/>
      <c r="I1696" s="31"/>
      <c r="J1696" s="31"/>
      <c r="K1696" s="122"/>
      <c r="M1696" s="119"/>
      <c r="N1696" s="30"/>
      <c r="O1696" s="24"/>
      <c r="P1696" s="17"/>
      <c r="Q1696" s="17"/>
      <c r="R1696" s="17"/>
      <c r="S1696" s="31"/>
      <c r="T1696" s="31"/>
      <c r="U1696" s="31"/>
      <c r="V1696" s="122"/>
    </row>
    <row r="1697" spans="2:22" ht="16">
      <c r="B1697" s="119"/>
      <c r="C1697" s="30"/>
      <c r="D1697" s="24"/>
      <c r="E1697" s="17"/>
      <c r="F1697" s="17"/>
      <c r="G1697" s="17"/>
      <c r="H1697" s="31"/>
      <c r="I1697" s="31"/>
      <c r="J1697" s="31"/>
      <c r="K1697" s="122"/>
      <c r="M1697" s="119"/>
      <c r="N1697" s="30"/>
      <c r="O1697" s="24"/>
      <c r="P1697" s="17"/>
      <c r="Q1697" s="17"/>
      <c r="R1697" s="17"/>
      <c r="S1697" s="31"/>
      <c r="T1697" s="31"/>
      <c r="U1697" s="31"/>
      <c r="V1697" s="122"/>
    </row>
    <row r="1698" spans="2:22" ht="16">
      <c r="B1698" s="119"/>
      <c r="C1698" s="30"/>
      <c r="D1698" s="24"/>
      <c r="E1698" s="17"/>
      <c r="F1698" s="17"/>
      <c r="G1698" s="17"/>
      <c r="H1698" s="31"/>
      <c r="I1698" s="31"/>
      <c r="J1698" s="31"/>
      <c r="K1698" s="122"/>
      <c r="M1698" s="119"/>
      <c r="N1698" s="30"/>
      <c r="O1698" s="24"/>
      <c r="P1698" s="17"/>
      <c r="Q1698" s="17"/>
      <c r="R1698" s="17"/>
      <c r="S1698" s="31"/>
      <c r="T1698" s="31"/>
      <c r="U1698" s="31"/>
      <c r="V1698" s="122"/>
    </row>
    <row r="1699" spans="2:22" ht="16">
      <c r="B1699" s="119"/>
      <c r="C1699" s="30"/>
      <c r="D1699" s="24"/>
      <c r="E1699" s="17"/>
      <c r="F1699" s="17"/>
      <c r="G1699" s="17"/>
      <c r="H1699" s="31"/>
      <c r="I1699" s="31"/>
      <c r="J1699" s="31"/>
      <c r="K1699" s="122"/>
      <c r="M1699" s="119"/>
      <c r="N1699" s="30"/>
      <c r="O1699" s="24"/>
      <c r="P1699" s="17"/>
      <c r="Q1699" s="17"/>
      <c r="R1699" s="17"/>
      <c r="S1699" s="31"/>
      <c r="T1699" s="31"/>
      <c r="U1699" s="31"/>
      <c r="V1699" s="122"/>
    </row>
    <row r="1700" spans="2:22" ht="16">
      <c r="B1700" s="119"/>
      <c r="C1700" s="30"/>
      <c r="D1700" s="24"/>
      <c r="E1700" s="17"/>
      <c r="F1700" s="17"/>
      <c r="G1700" s="17"/>
      <c r="H1700" s="31"/>
      <c r="I1700" s="31"/>
      <c r="J1700" s="31"/>
      <c r="K1700" s="122"/>
      <c r="M1700" s="119"/>
      <c r="N1700" s="30"/>
      <c r="O1700" s="24"/>
      <c r="P1700" s="17"/>
      <c r="Q1700" s="17"/>
      <c r="R1700" s="17"/>
      <c r="S1700" s="31"/>
      <c r="T1700" s="31"/>
      <c r="U1700" s="31"/>
      <c r="V1700" s="122"/>
    </row>
    <row r="1701" spans="2:22" ht="16">
      <c r="B1701" s="119"/>
      <c r="C1701" s="30"/>
      <c r="D1701" s="24"/>
      <c r="E1701" s="17"/>
      <c r="F1701" s="17"/>
      <c r="G1701" s="17"/>
      <c r="H1701" s="31"/>
      <c r="I1701" s="31"/>
      <c r="J1701" s="31"/>
      <c r="K1701" s="122"/>
      <c r="M1701" s="119"/>
      <c r="N1701" s="30"/>
      <c r="O1701" s="24"/>
      <c r="P1701" s="17"/>
      <c r="Q1701" s="17"/>
      <c r="R1701" s="17"/>
      <c r="S1701" s="31"/>
      <c r="T1701" s="31"/>
      <c r="U1701" s="31"/>
      <c r="V1701" s="122"/>
    </row>
    <row r="1702" spans="2:22" ht="16">
      <c r="B1702" s="119"/>
      <c r="C1702" s="30"/>
      <c r="D1702" s="24"/>
      <c r="E1702" s="17"/>
      <c r="F1702" s="17"/>
      <c r="G1702" s="17"/>
      <c r="H1702" s="31"/>
      <c r="I1702" s="31"/>
      <c r="J1702" s="31"/>
      <c r="K1702" s="122"/>
      <c r="M1702" s="119"/>
      <c r="N1702" s="30"/>
      <c r="O1702" s="24"/>
      <c r="P1702" s="17"/>
      <c r="Q1702" s="17"/>
      <c r="R1702" s="17"/>
      <c r="S1702" s="31"/>
      <c r="T1702" s="31"/>
      <c r="U1702" s="31"/>
      <c r="V1702" s="122"/>
    </row>
    <row r="1703" spans="2:22" ht="16">
      <c r="B1703" s="119"/>
      <c r="C1703" s="30"/>
      <c r="D1703" s="24"/>
      <c r="E1703" s="17"/>
      <c r="F1703" s="17"/>
      <c r="G1703" s="17"/>
      <c r="H1703" s="31"/>
      <c r="I1703" s="31"/>
      <c r="J1703" s="31"/>
      <c r="K1703" s="122"/>
      <c r="M1703" s="119"/>
      <c r="N1703" s="30"/>
      <c r="O1703" s="24"/>
      <c r="P1703" s="17"/>
      <c r="Q1703" s="17"/>
      <c r="R1703" s="17"/>
      <c r="S1703" s="31"/>
      <c r="T1703" s="31"/>
      <c r="U1703" s="31"/>
      <c r="V1703" s="122"/>
    </row>
    <row r="1704" spans="2:22" ht="16">
      <c r="B1704" s="119"/>
      <c r="C1704" s="30"/>
      <c r="D1704" s="24"/>
      <c r="E1704" s="17"/>
      <c r="F1704" s="17"/>
      <c r="G1704" s="17"/>
      <c r="H1704" s="31"/>
      <c r="I1704" s="31"/>
      <c r="J1704" s="31"/>
      <c r="K1704" s="122"/>
      <c r="M1704" s="119"/>
      <c r="N1704" s="30"/>
      <c r="O1704" s="24"/>
      <c r="P1704" s="17"/>
      <c r="Q1704" s="17"/>
      <c r="R1704" s="17"/>
      <c r="S1704" s="31"/>
      <c r="T1704" s="31"/>
      <c r="U1704" s="31"/>
      <c r="V1704" s="122"/>
    </row>
    <row r="1705" spans="2:22" ht="16">
      <c r="B1705" s="119"/>
      <c r="C1705" s="30"/>
      <c r="D1705" s="24"/>
      <c r="E1705" s="17"/>
      <c r="F1705" s="17"/>
      <c r="G1705" s="17"/>
      <c r="H1705" s="31"/>
      <c r="I1705" s="31"/>
      <c r="J1705" s="31"/>
      <c r="K1705" s="122"/>
      <c r="M1705" s="119"/>
      <c r="N1705" s="30"/>
      <c r="O1705" s="24"/>
      <c r="P1705" s="17"/>
      <c r="Q1705" s="17"/>
      <c r="R1705" s="17"/>
      <c r="S1705" s="31"/>
      <c r="T1705" s="31"/>
      <c r="U1705" s="31"/>
      <c r="V1705" s="122"/>
    </row>
    <row r="1706" spans="2:22" ht="16">
      <c r="B1706" s="119"/>
      <c r="C1706" s="30"/>
      <c r="D1706" s="24"/>
      <c r="E1706" s="17"/>
      <c r="F1706" s="17"/>
      <c r="G1706" s="17"/>
      <c r="H1706" s="31"/>
      <c r="I1706" s="31"/>
      <c r="J1706" s="31"/>
      <c r="K1706" s="122"/>
      <c r="M1706" s="119"/>
      <c r="N1706" s="30"/>
      <c r="O1706" s="24"/>
      <c r="P1706" s="17"/>
      <c r="Q1706" s="17"/>
      <c r="R1706" s="17"/>
      <c r="S1706" s="31"/>
      <c r="T1706" s="31"/>
      <c r="U1706" s="31"/>
      <c r="V1706" s="122"/>
    </row>
    <row r="1707" spans="2:22" ht="16">
      <c r="B1707" s="119"/>
      <c r="C1707" s="30"/>
      <c r="D1707" s="24"/>
      <c r="E1707" s="17"/>
      <c r="F1707" s="17"/>
      <c r="G1707" s="17"/>
      <c r="H1707" s="31"/>
      <c r="I1707" s="31"/>
      <c r="J1707" s="31"/>
      <c r="K1707" s="122"/>
      <c r="M1707" s="119"/>
      <c r="N1707" s="30"/>
      <c r="O1707" s="24"/>
      <c r="P1707" s="17"/>
      <c r="Q1707" s="17"/>
      <c r="R1707" s="17"/>
      <c r="S1707" s="31"/>
      <c r="T1707" s="31"/>
      <c r="U1707" s="31"/>
      <c r="V1707" s="122"/>
    </row>
    <row r="1708" spans="2:22" ht="16">
      <c r="B1708" s="119"/>
      <c r="C1708" s="30"/>
      <c r="D1708" s="24"/>
      <c r="E1708" s="17"/>
      <c r="F1708" s="17"/>
      <c r="G1708" s="17"/>
      <c r="H1708" s="31"/>
      <c r="I1708" s="31"/>
      <c r="J1708" s="31"/>
      <c r="K1708" s="122"/>
      <c r="M1708" s="119"/>
      <c r="N1708" s="30"/>
      <c r="O1708" s="24"/>
      <c r="P1708" s="17"/>
      <c r="Q1708" s="17"/>
      <c r="R1708" s="17"/>
      <c r="S1708" s="31"/>
      <c r="T1708" s="31"/>
      <c r="U1708" s="31"/>
      <c r="V1708" s="122"/>
    </row>
    <row r="1709" spans="2:22" ht="16">
      <c r="B1709" s="119"/>
      <c r="C1709" s="30"/>
      <c r="D1709" s="24"/>
      <c r="E1709" s="17"/>
      <c r="F1709" s="17"/>
      <c r="G1709" s="17"/>
      <c r="H1709" s="31"/>
      <c r="I1709" s="31"/>
      <c r="J1709" s="31"/>
      <c r="K1709" s="122"/>
      <c r="M1709" s="119"/>
      <c r="N1709" s="30"/>
      <c r="O1709" s="24"/>
      <c r="P1709" s="17"/>
      <c r="Q1709" s="17"/>
      <c r="R1709" s="17"/>
      <c r="S1709" s="31"/>
      <c r="T1709" s="31"/>
      <c r="U1709" s="31"/>
      <c r="V1709" s="122"/>
    </row>
    <row r="1710" spans="2:22" ht="16">
      <c r="B1710" s="119"/>
      <c r="C1710" s="30"/>
      <c r="D1710" s="24"/>
      <c r="E1710" s="17"/>
      <c r="F1710" s="17"/>
      <c r="G1710" s="17"/>
      <c r="H1710" s="31"/>
      <c r="I1710" s="31"/>
      <c r="J1710" s="31"/>
      <c r="K1710" s="122"/>
      <c r="M1710" s="119"/>
      <c r="N1710" s="30"/>
      <c r="O1710" s="24"/>
      <c r="P1710" s="17"/>
      <c r="Q1710" s="17"/>
      <c r="R1710" s="17"/>
      <c r="S1710" s="31"/>
      <c r="T1710" s="31"/>
      <c r="U1710" s="31"/>
      <c r="V1710" s="122"/>
    </row>
    <row r="1711" spans="2:22" ht="16">
      <c r="B1711" s="119"/>
      <c r="C1711" s="30"/>
      <c r="D1711" s="24"/>
      <c r="E1711" s="17"/>
      <c r="F1711" s="17"/>
      <c r="G1711" s="17"/>
      <c r="H1711" s="31"/>
      <c r="I1711" s="31"/>
      <c r="J1711" s="31"/>
      <c r="K1711" s="122"/>
      <c r="M1711" s="119"/>
      <c r="N1711" s="30"/>
      <c r="O1711" s="24"/>
      <c r="P1711" s="17"/>
      <c r="Q1711" s="17"/>
      <c r="R1711" s="17"/>
      <c r="S1711" s="31"/>
      <c r="T1711" s="31"/>
      <c r="U1711" s="31"/>
      <c r="V1711" s="122"/>
    </row>
    <row r="1712" spans="2:22" ht="16">
      <c r="B1712" s="119"/>
      <c r="C1712" s="30"/>
      <c r="D1712" s="24"/>
      <c r="E1712" s="17"/>
      <c r="F1712" s="17"/>
      <c r="G1712" s="17"/>
      <c r="H1712" s="31"/>
      <c r="I1712" s="31"/>
      <c r="J1712" s="31"/>
      <c r="K1712" s="122"/>
      <c r="M1712" s="119"/>
      <c r="N1712" s="30"/>
      <c r="O1712" s="24"/>
      <c r="P1712" s="17"/>
      <c r="Q1712" s="17"/>
      <c r="R1712" s="17"/>
      <c r="S1712" s="31"/>
      <c r="T1712" s="31"/>
      <c r="U1712" s="31"/>
      <c r="V1712" s="122"/>
    </row>
    <row r="1713" spans="2:22" ht="16">
      <c r="B1713" s="119"/>
      <c r="C1713" s="30"/>
      <c r="D1713" s="24"/>
      <c r="E1713" s="17"/>
      <c r="F1713" s="17"/>
      <c r="G1713" s="17"/>
      <c r="H1713" s="31"/>
      <c r="I1713" s="31"/>
      <c r="J1713" s="31"/>
      <c r="K1713" s="122"/>
      <c r="M1713" s="119"/>
      <c r="N1713" s="30"/>
      <c r="O1713" s="24"/>
      <c r="P1713" s="17"/>
      <c r="Q1713" s="17"/>
      <c r="R1713" s="17"/>
      <c r="S1713" s="31"/>
      <c r="T1713" s="31"/>
      <c r="U1713" s="31"/>
      <c r="V1713" s="122"/>
    </row>
    <row r="1714" spans="2:22" ht="16">
      <c r="B1714" s="119"/>
      <c r="C1714" s="30"/>
      <c r="D1714" s="24"/>
      <c r="E1714" s="17"/>
      <c r="F1714" s="17"/>
      <c r="G1714" s="17"/>
      <c r="H1714" s="31"/>
      <c r="I1714" s="31"/>
      <c r="J1714" s="31"/>
      <c r="K1714" s="122"/>
      <c r="M1714" s="119"/>
      <c r="N1714" s="30"/>
      <c r="O1714" s="24"/>
      <c r="P1714" s="17"/>
      <c r="Q1714" s="17"/>
      <c r="R1714" s="17"/>
      <c r="S1714" s="31"/>
      <c r="T1714" s="31"/>
      <c r="U1714" s="31"/>
      <c r="V1714" s="122"/>
    </row>
    <row r="1715" spans="2:22" ht="16">
      <c r="B1715" s="119"/>
      <c r="C1715" s="30"/>
      <c r="D1715" s="24"/>
      <c r="E1715" s="17"/>
      <c r="F1715" s="17"/>
      <c r="G1715" s="17"/>
      <c r="H1715" s="31"/>
      <c r="I1715" s="31"/>
      <c r="J1715" s="31"/>
      <c r="K1715" s="122"/>
      <c r="M1715" s="119"/>
      <c r="N1715" s="30"/>
      <c r="O1715" s="24"/>
      <c r="P1715" s="17"/>
      <c r="Q1715" s="17"/>
      <c r="R1715" s="17"/>
      <c r="S1715" s="31"/>
      <c r="T1715" s="31"/>
      <c r="U1715" s="31"/>
      <c r="V1715" s="122"/>
    </row>
    <row r="1716" spans="2:22" ht="16">
      <c r="B1716" s="119"/>
      <c r="C1716" s="30"/>
      <c r="D1716" s="24"/>
      <c r="E1716" s="17"/>
      <c r="F1716" s="17"/>
      <c r="G1716" s="17"/>
      <c r="H1716" s="31"/>
      <c r="I1716" s="31"/>
      <c r="J1716" s="31"/>
      <c r="K1716" s="122"/>
      <c r="M1716" s="119"/>
      <c r="N1716" s="30"/>
      <c r="O1716" s="24"/>
      <c r="P1716" s="17"/>
      <c r="Q1716" s="17"/>
      <c r="R1716" s="17"/>
      <c r="S1716" s="31"/>
      <c r="T1716" s="31"/>
      <c r="U1716" s="31"/>
      <c r="V1716" s="122"/>
    </row>
    <row r="1717" spans="2:22" ht="16">
      <c r="B1717" s="119"/>
      <c r="C1717" s="30"/>
      <c r="D1717" s="24"/>
      <c r="E1717" s="17"/>
      <c r="F1717" s="17"/>
      <c r="G1717" s="17"/>
      <c r="H1717" s="31"/>
      <c r="I1717" s="31"/>
      <c r="J1717" s="31"/>
      <c r="K1717" s="122"/>
      <c r="M1717" s="119"/>
      <c r="N1717" s="30"/>
      <c r="O1717" s="24"/>
      <c r="P1717" s="17"/>
      <c r="Q1717" s="17"/>
      <c r="R1717" s="17"/>
      <c r="S1717" s="31"/>
      <c r="T1717" s="31"/>
      <c r="U1717" s="31"/>
      <c r="V1717" s="122"/>
    </row>
    <row r="1718" spans="2:22" ht="16">
      <c r="B1718" s="119"/>
      <c r="C1718" s="30"/>
      <c r="D1718" s="24"/>
      <c r="E1718" s="17"/>
      <c r="F1718" s="17"/>
      <c r="G1718" s="17"/>
      <c r="H1718" s="31"/>
      <c r="I1718" s="31"/>
      <c r="J1718" s="31"/>
      <c r="K1718" s="122"/>
      <c r="M1718" s="119"/>
      <c r="N1718" s="30"/>
      <c r="O1718" s="24"/>
      <c r="P1718" s="17"/>
      <c r="Q1718" s="17"/>
      <c r="R1718" s="17"/>
      <c r="S1718" s="31"/>
      <c r="T1718" s="31"/>
      <c r="U1718" s="31"/>
      <c r="V1718" s="122"/>
    </row>
    <row r="1719" spans="2:22" ht="16">
      <c r="B1719" s="119"/>
      <c r="C1719" s="30"/>
      <c r="D1719" s="24"/>
      <c r="E1719" s="17"/>
      <c r="F1719" s="17"/>
      <c r="G1719" s="17"/>
      <c r="H1719" s="31"/>
      <c r="I1719" s="31"/>
      <c r="J1719" s="31"/>
      <c r="K1719" s="122"/>
      <c r="M1719" s="119"/>
      <c r="N1719" s="30"/>
      <c r="O1719" s="24"/>
      <c r="P1719" s="17"/>
      <c r="Q1719" s="17"/>
      <c r="R1719" s="17"/>
      <c r="S1719" s="31"/>
      <c r="T1719" s="31"/>
      <c r="U1719" s="31"/>
      <c r="V1719" s="122"/>
    </row>
    <row r="1720" spans="2:22" ht="16">
      <c r="B1720" s="119"/>
      <c r="C1720" s="30"/>
      <c r="D1720" s="24"/>
      <c r="E1720" s="17"/>
      <c r="F1720" s="17"/>
      <c r="G1720" s="17"/>
      <c r="H1720" s="31"/>
      <c r="I1720" s="31"/>
      <c r="J1720" s="31"/>
      <c r="K1720" s="122"/>
      <c r="M1720" s="119"/>
      <c r="N1720" s="30"/>
      <c r="O1720" s="24"/>
      <c r="P1720" s="17"/>
      <c r="Q1720" s="17"/>
      <c r="R1720" s="17"/>
      <c r="S1720" s="31"/>
      <c r="T1720" s="31"/>
      <c r="U1720" s="31"/>
      <c r="V1720" s="122"/>
    </row>
    <row r="1721" spans="2:22" ht="16">
      <c r="B1721" s="119"/>
      <c r="C1721" s="30"/>
      <c r="D1721" s="24"/>
      <c r="E1721" s="17"/>
      <c r="F1721" s="17"/>
      <c r="G1721" s="17"/>
      <c r="H1721" s="31"/>
      <c r="I1721" s="31"/>
      <c r="J1721" s="31"/>
      <c r="K1721" s="122"/>
      <c r="M1721" s="119"/>
      <c r="N1721" s="30"/>
      <c r="O1721" s="24"/>
      <c r="P1721" s="17"/>
      <c r="Q1721" s="17"/>
      <c r="R1721" s="17"/>
      <c r="S1721" s="31"/>
      <c r="T1721" s="31"/>
      <c r="U1721" s="31"/>
      <c r="V1721" s="122"/>
    </row>
    <row r="1722" spans="2:22" ht="16">
      <c r="B1722" s="119"/>
      <c r="C1722" s="30"/>
      <c r="D1722" s="24"/>
      <c r="E1722" s="17"/>
      <c r="F1722" s="17"/>
      <c r="G1722" s="17"/>
      <c r="H1722" s="31"/>
      <c r="I1722" s="31"/>
      <c r="J1722" s="31"/>
      <c r="K1722" s="122"/>
      <c r="M1722" s="119"/>
      <c r="N1722" s="30"/>
      <c r="O1722" s="24"/>
      <c r="P1722" s="17"/>
      <c r="Q1722" s="17"/>
      <c r="R1722" s="17"/>
      <c r="S1722" s="31"/>
      <c r="T1722" s="31"/>
      <c r="U1722" s="31"/>
      <c r="V1722" s="122"/>
    </row>
    <row r="1723" spans="2:22" ht="16">
      <c r="B1723" s="119"/>
      <c r="C1723" s="30"/>
      <c r="D1723" s="24"/>
      <c r="E1723" s="17"/>
      <c r="F1723" s="17"/>
      <c r="G1723" s="17"/>
      <c r="H1723" s="31"/>
      <c r="I1723" s="31"/>
      <c r="J1723" s="31"/>
      <c r="K1723" s="122"/>
      <c r="M1723" s="119"/>
      <c r="N1723" s="30"/>
      <c r="O1723" s="24"/>
      <c r="P1723" s="17"/>
      <c r="Q1723" s="17"/>
      <c r="R1723" s="17"/>
      <c r="S1723" s="31"/>
      <c r="T1723" s="31"/>
      <c r="U1723" s="31"/>
      <c r="V1723" s="122"/>
    </row>
    <row r="1724" spans="2:22" ht="16">
      <c r="B1724" s="119"/>
      <c r="C1724" s="30"/>
      <c r="D1724" s="24"/>
      <c r="E1724" s="17"/>
      <c r="F1724" s="17"/>
      <c r="G1724" s="17"/>
      <c r="H1724" s="31"/>
      <c r="I1724" s="31"/>
      <c r="J1724" s="31"/>
      <c r="K1724" s="122"/>
      <c r="M1724" s="119"/>
      <c r="N1724" s="30"/>
      <c r="O1724" s="24"/>
      <c r="P1724" s="17"/>
      <c r="Q1724" s="17"/>
      <c r="R1724" s="17"/>
      <c r="S1724" s="31"/>
      <c r="T1724" s="31"/>
      <c r="U1724" s="31"/>
      <c r="V1724" s="122"/>
    </row>
    <row r="1725" spans="2:22" ht="16">
      <c r="B1725" s="119"/>
      <c r="C1725" s="30"/>
      <c r="D1725" s="24"/>
      <c r="E1725" s="17"/>
      <c r="F1725" s="17"/>
      <c r="G1725" s="17"/>
      <c r="H1725" s="31"/>
      <c r="I1725" s="31"/>
      <c r="J1725" s="31"/>
      <c r="K1725" s="122"/>
      <c r="M1725" s="119"/>
      <c r="N1725" s="30"/>
      <c r="O1725" s="24"/>
      <c r="P1725" s="17"/>
      <c r="Q1725" s="17"/>
      <c r="R1725" s="17"/>
      <c r="S1725" s="31"/>
      <c r="T1725" s="31"/>
      <c r="U1725" s="31"/>
      <c r="V1725" s="122"/>
    </row>
    <row r="1726" spans="2:22" ht="16">
      <c r="B1726" s="119"/>
      <c r="C1726" s="30"/>
      <c r="D1726" s="24"/>
      <c r="E1726" s="17"/>
      <c r="F1726" s="17"/>
      <c r="G1726" s="17"/>
      <c r="H1726" s="31"/>
      <c r="I1726" s="31"/>
      <c r="J1726" s="31"/>
      <c r="K1726" s="122"/>
      <c r="M1726" s="119"/>
      <c r="N1726" s="30"/>
      <c r="O1726" s="24"/>
      <c r="P1726" s="17"/>
      <c r="Q1726" s="17"/>
      <c r="R1726" s="17"/>
      <c r="S1726" s="31"/>
      <c r="T1726" s="31"/>
      <c r="U1726" s="31"/>
      <c r="V1726" s="122"/>
    </row>
    <row r="1727" spans="2:22" ht="16">
      <c r="B1727" s="119"/>
      <c r="C1727" s="30"/>
      <c r="D1727" s="24"/>
      <c r="E1727" s="17"/>
      <c r="F1727" s="17"/>
      <c r="G1727" s="17"/>
      <c r="H1727" s="31"/>
      <c r="I1727" s="31"/>
      <c r="J1727" s="31"/>
      <c r="K1727" s="122"/>
      <c r="M1727" s="119"/>
      <c r="N1727" s="30"/>
      <c r="O1727" s="24"/>
      <c r="P1727" s="17"/>
      <c r="Q1727" s="17"/>
      <c r="R1727" s="17"/>
      <c r="S1727" s="31"/>
      <c r="T1727" s="31"/>
      <c r="U1727" s="31"/>
      <c r="V1727" s="122"/>
    </row>
    <row r="1728" spans="2:22" ht="16">
      <c r="B1728" s="119"/>
      <c r="C1728" s="30"/>
      <c r="D1728" s="24"/>
      <c r="E1728" s="17"/>
      <c r="F1728" s="17"/>
      <c r="G1728" s="17"/>
      <c r="H1728" s="31"/>
      <c r="I1728" s="31"/>
      <c r="J1728" s="31"/>
      <c r="K1728" s="122"/>
      <c r="M1728" s="119"/>
      <c r="N1728" s="30"/>
      <c r="O1728" s="24"/>
      <c r="P1728" s="17"/>
      <c r="Q1728" s="17"/>
      <c r="R1728" s="17"/>
      <c r="S1728" s="31"/>
      <c r="T1728" s="31"/>
      <c r="U1728" s="31"/>
      <c r="V1728" s="122"/>
    </row>
    <row r="1729" spans="2:22" ht="16">
      <c r="B1729" s="119"/>
      <c r="C1729" s="30"/>
      <c r="D1729" s="24"/>
      <c r="E1729" s="17"/>
      <c r="F1729" s="17"/>
      <c r="G1729" s="17"/>
      <c r="H1729" s="31"/>
      <c r="I1729" s="31"/>
      <c r="J1729" s="31"/>
      <c r="K1729" s="122"/>
      <c r="M1729" s="119"/>
      <c r="N1729" s="30"/>
      <c r="O1729" s="24"/>
      <c r="P1729" s="17"/>
      <c r="Q1729" s="17"/>
      <c r="R1729" s="17"/>
      <c r="S1729" s="31"/>
      <c r="T1729" s="31"/>
      <c r="U1729" s="31"/>
      <c r="V1729" s="122"/>
    </row>
    <row r="1730" spans="2:22" ht="16">
      <c r="B1730" s="119"/>
      <c r="C1730" s="30"/>
      <c r="D1730" s="24"/>
      <c r="E1730" s="17"/>
      <c r="F1730" s="17"/>
      <c r="G1730" s="17"/>
      <c r="H1730" s="31"/>
      <c r="I1730" s="31"/>
      <c r="J1730" s="31"/>
      <c r="K1730" s="122"/>
      <c r="M1730" s="119"/>
      <c r="N1730" s="30"/>
      <c r="O1730" s="24"/>
      <c r="P1730" s="17"/>
      <c r="Q1730" s="17"/>
      <c r="R1730" s="17"/>
      <c r="S1730" s="31"/>
      <c r="T1730" s="31"/>
      <c r="U1730" s="31"/>
      <c r="V1730" s="122"/>
    </row>
    <row r="1731" spans="2:22" ht="16">
      <c r="B1731" s="119"/>
      <c r="C1731" s="30"/>
      <c r="D1731" s="24"/>
      <c r="E1731" s="17"/>
      <c r="F1731" s="17"/>
      <c r="G1731" s="17"/>
      <c r="H1731" s="31"/>
      <c r="I1731" s="31"/>
      <c r="J1731" s="31"/>
      <c r="K1731" s="122"/>
      <c r="M1731" s="119"/>
      <c r="N1731" s="30"/>
      <c r="O1731" s="24"/>
      <c r="P1731" s="17"/>
      <c r="Q1731" s="17"/>
      <c r="R1731" s="17"/>
      <c r="S1731" s="31"/>
      <c r="T1731" s="31"/>
      <c r="U1731" s="31"/>
      <c r="V1731" s="122"/>
    </row>
    <row r="1732" spans="2:22" ht="16">
      <c r="B1732" s="119"/>
      <c r="C1732" s="30"/>
      <c r="D1732" s="24"/>
      <c r="E1732" s="17"/>
      <c r="F1732" s="17"/>
      <c r="G1732" s="17"/>
      <c r="H1732" s="31"/>
      <c r="I1732" s="31"/>
      <c r="J1732" s="31"/>
      <c r="K1732" s="122"/>
      <c r="M1732" s="119"/>
      <c r="N1732" s="30"/>
      <c r="O1732" s="24"/>
      <c r="P1732" s="17"/>
      <c r="Q1732" s="17"/>
      <c r="R1732" s="17"/>
      <c r="S1732" s="31"/>
      <c r="T1732" s="31"/>
      <c r="U1732" s="31"/>
      <c r="V1732" s="122"/>
    </row>
    <row r="1733" spans="2:22" ht="16">
      <c r="B1733" s="119"/>
      <c r="C1733" s="30"/>
      <c r="D1733" s="24"/>
      <c r="E1733" s="17"/>
      <c r="F1733" s="17"/>
      <c r="G1733" s="17"/>
      <c r="H1733" s="31"/>
      <c r="I1733" s="31"/>
      <c r="J1733" s="31"/>
      <c r="K1733" s="122"/>
      <c r="M1733" s="119"/>
      <c r="N1733" s="30"/>
      <c r="O1733" s="24"/>
      <c r="P1733" s="17"/>
      <c r="Q1733" s="17"/>
      <c r="R1733" s="17"/>
      <c r="S1733" s="31"/>
      <c r="T1733" s="31"/>
      <c r="U1733" s="31"/>
      <c r="V1733" s="122"/>
    </row>
    <row r="1734" spans="2:22" ht="16">
      <c r="B1734" s="119"/>
      <c r="C1734" s="30"/>
      <c r="D1734" s="24"/>
      <c r="E1734" s="17"/>
      <c r="F1734" s="17"/>
      <c r="G1734" s="17"/>
      <c r="H1734" s="31"/>
      <c r="I1734" s="31"/>
      <c r="J1734" s="31"/>
      <c r="K1734" s="122"/>
      <c r="M1734" s="119"/>
      <c r="N1734" s="30"/>
      <c r="O1734" s="24"/>
      <c r="P1734" s="17"/>
      <c r="Q1734" s="17"/>
      <c r="R1734" s="17"/>
      <c r="S1734" s="31"/>
      <c r="T1734" s="31"/>
      <c r="U1734" s="31"/>
      <c r="V1734" s="122"/>
    </row>
    <row r="1735" spans="2:22" ht="16">
      <c r="B1735" s="119"/>
      <c r="C1735" s="30"/>
      <c r="D1735" s="24"/>
      <c r="E1735" s="17"/>
      <c r="F1735" s="17"/>
      <c r="G1735" s="17"/>
      <c r="H1735" s="31"/>
      <c r="I1735" s="31"/>
      <c r="J1735" s="31"/>
      <c r="K1735" s="122"/>
      <c r="M1735" s="119"/>
      <c r="N1735" s="30"/>
      <c r="O1735" s="24"/>
      <c r="P1735" s="17"/>
      <c r="Q1735" s="17"/>
      <c r="R1735" s="17"/>
      <c r="S1735" s="31"/>
      <c r="T1735" s="31"/>
      <c r="U1735" s="31"/>
      <c r="V1735" s="122"/>
    </row>
    <row r="1736" spans="2:22" ht="16">
      <c r="B1736" s="119"/>
      <c r="C1736" s="30"/>
      <c r="D1736" s="24"/>
      <c r="E1736" s="17"/>
      <c r="F1736" s="17"/>
      <c r="G1736" s="17"/>
      <c r="H1736" s="31"/>
      <c r="I1736" s="31"/>
      <c r="J1736" s="31"/>
      <c r="K1736" s="122"/>
      <c r="M1736" s="119"/>
      <c r="N1736" s="30"/>
      <c r="O1736" s="24"/>
      <c r="P1736" s="17"/>
      <c r="Q1736" s="17"/>
      <c r="R1736" s="17"/>
      <c r="S1736" s="31"/>
      <c r="T1736" s="31"/>
      <c r="U1736" s="31"/>
      <c r="V1736" s="122"/>
    </row>
    <row r="1737" spans="2:22" ht="16">
      <c r="B1737" s="119"/>
      <c r="C1737" s="30"/>
      <c r="D1737" s="24"/>
      <c r="E1737" s="17"/>
      <c r="F1737" s="17"/>
      <c r="G1737" s="17"/>
      <c r="H1737" s="31"/>
      <c r="I1737" s="31"/>
      <c r="J1737" s="31"/>
      <c r="K1737" s="122"/>
      <c r="M1737" s="119"/>
      <c r="N1737" s="30"/>
      <c r="O1737" s="24"/>
      <c r="P1737" s="17"/>
      <c r="Q1737" s="17"/>
      <c r="R1737" s="17"/>
      <c r="S1737" s="31"/>
      <c r="T1737" s="31"/>
      <c r="U1737" s="31"/>
      <c r="V1737" s="122"/>
    </row>
    <row r="1738" spans="2:22" ht="16">
      <c r="B1738" s="119"/>
      <c r="C1738" s="30"/>
      <c r="D1738" s="24"/>
      <c r="E1738" s="17"/>
      <c r="F1738" s="17"/>
      <c r="G1738" s="17"/>
      <c r="H1738" s="31"/>
      <c r="I1738" s="31"/>
      <c r="J1738" s="31"/>
      <c r="K1738" s="122"/>
      <c r="M1738" s="119"/>
      <c r="N1738" s="30"/>
      <c r="O1738" s="24"/>
      <c r="P1738" s="17"/>
      <c r="Q1738" s="17"/>
      <c r="R1738" s="17"/>
      <c r="S1738" s="31"/>
      <c r="T1738" s="31"/>
      <c r="U1738" s="31"/>
      <c r="V1738" s="122"/>
    </row>
    <row r="1739" spans="2:22" ht="16">
      <c r="B1739" s="119"/>
      <c r="C1739" s="30"/>
      <c r="D1739" s="24"/>
      <c r="E1739" s="17"/>
      <c r="F1739" s="17"/>
      <c r="G1739" s="17"/>
      <c r="H1739" s="31"/>
      <c r="I1739" s="31"/>
      <c r="J1739" s="31"/>
      <c r="K1739" s="122"/>
      <c r="M1739" s="119"/>
      <c r="N1739" s="30"/>
      <c r="O1739" s="24"/>
      <c r="P1739" s="17"/>
      <c r="Q1739" s="17"/>
      <c r="R1739" s="17"/>
      <c r="S1739" s="31"/>
      <c r="T1739" s="31"/>
      <c r="U1739" s="31"/>
      <c r="V1739" s="122"/>
    </row>
    <row r="1740" spans="2:22" ht="16">
      <c r="B1740" s="119"/>
      <c r="C1740" s="30"/>
      <c r="D1740" s="24"/>
      <c r="E1740" s="17"/>
      <c r="F1740" s="17"/>
      <c r="G1740" s="17"/>
      <c r="H1740" s="31"/>
      <c r="I1740" s="31"/>
      <c r="J1740" s="31"/>
      <c r="K1740" s="122"/>
      <c r="M1740" s="119"/>
      <c r="N1740" s="30"/>
      <c r="O1740" s="24"/>
      <c r="P1740" s="17"/>
      <c r="Q1740" s="17"/>
      <c r="R1740" s="17"/>
      <c r="S1740" s="31"/>
      <c r="T1740" s="31"/>
      <c r="U1740" s="31"/>
      <c r="V1740" s="122"/>
    </row>
    <row r="1741" spans="2:22" ht="16">
      <c r="B1741" s="119"/>
      <c r="C1741" s="30"/>
      <c r="D1741" s="24"/>
      <c r="E1741" s="17"/>
      <c r="F1741" s="17"/>
      <c r="G1741" s="17"/>
      <c r="H1741" s="31"/>
      <c r="I1741" s="31"/>
      <c r="J1741" s="31"/>
      <c r="K1741" s="122"/>
      <c r="M1741" s="119"/>
      <c r="N1741" s="30"/>
      <c r="O1741" s="24"/>
      <c r="P1741" s="17"/>
      <c r="Q1741" s="17"/>
      <c r="R1741" s="17"/>
      <c r="S1741" s="31"/>
      <c r="T1741" s="31"/>
      <c r="U1741" s="31"/>
      <c r="V1741" s="122"/>
    </row>
    <row r="1742" spans="2:22" ht="16">
      <c r="B1742" s="119"/>
      <c r="C1742" s="30"/>
      <c r="D1742" s="24"/>
      <c r="E1742" s="17"/>
      <c r="F1742" s="17"/>
      <c r="G1742" s="17"/>
      <c r="H1742" s="31"/>
      <c r="I1742" s="31"/>
      <c r="J1742" s="31"/>
      <c r="K1742" s="122"/>
      <c r="M1742" s="119"/>
      <c r="N1742" s="30"/>
      <c r="O1742" s="24"/>
      <c r="P1742" s="17"/>
      <c r="Q1742" s="17"/>
      <c r="R1742" s="17"/>
      <c r="S1742" s="31"/>
      <c r="T1742" s="31"/>
      <c r="U1742" s="31"/>
      <c r="V1742" s="122"/>
    </row>
    <row r="1743" spans="2:22" ht="16">
      <c r="B1743" s="119"/>
      <c r="C1743" s="30"/>
      <c r="D1743" s="24"/>
      <c r="E1743" s="17"/>
      <c r="F1743" s="17"/>
      <c r="G1743" s="17"/>
      <c r="H1743" s="31"/>
      <c r="I1743" s="31"/>
      <c r="J1743" s="31"/>
      <c r="K1743" s="122"/>
      <c r="M1743" s="119"/>
      <c r="N1743" s="30"/>
      <c r="O1743" s="24"/>
      <c r="P1743" s="17"/>
      <c r="Q1743" s="17"/>
      <c r="R1743" s="17"/>
      <c r="S1743" s="31"/>
      <c r="T1743" s="31"/>
      <c r="U1743" s="31"/>
      <c r="V1743" s="122"/>
    </row>
    <row r="1744" spans="2:22" ht="16">
      <c r="B1744" s="119"/>
      <c r="C1744" s="30"/>
      <c r="D1744" s="24"/>
      <c r="E1744" s="17"/>
      <c r="F1744" s="17"/>
      <c r="G1744" s="17"/>
      <c r="H1744" s="31"/>
      <c r="I1744" s="31"/>
      <c r="J1744" s="31"/>
      <c r="K1744" s="122"/>
      <c r="M1744" s="119"/>
      <c r="N1744" s="30"/>
      <c r="O1744" s="24"/>
      <c r="P1744" s="17"/>
      <c r="Q1744" s="17"/>
      <c r="R1744" s="17"/>
      <c r="S1744" s="31"/>
      <c r="T1744" s="31"/>
      <c r="U1744" s="31"/>
      <c r="V1744" s="122"/>
    </row>
    <row r="1745" spans="2:22" ht="16">
      <c r="B1745" s="119"/>
      <c r="C1745" s="30"/>
      <c r="D1745" s="24"/>
      <c r="E1745" s="17"/>
      <c r="F1745" s="17"/>
      <c r="G1745" s="17"/>
      <c r="H1745" s="31"/>
      <c r="I1745" s="31"/>
      <c r="J1745" s="31"/>
      <c r="K1745" s="122"/>
      <c r="M1745" s="119"/>
      <c r="N1745" s="30"/>
      <c r="O1745" s="24"/>
      <c r="P1745" s="17"/>
      <c r="Q1745" s="17"/>
      <c r="R1745" s="17"/>
      <c r="S1745" s="31"/>
      <c r="T1745" s="31"/>
      <c r="U1745" s="31"/>
      <c r="V1745" s="122"/>
    </row>
    <row r="1746" spans="2:22" ht="16">
      <c r="B1746" s="119"/>
      <c r="C1746" s="30"/>
      <c r="D1746" s="24"/>
      <c r="E1746" s="17"/>
      <c r="F1746" s="17"/>
      <c r="G1746" s="17"/>
      <c r="H1746" s="31"/>
      <c r="I1746" s="31"/>
      <c r="J1746" s="31"/>
      <c r="K1746" s="122"/>
      <c r="M1746" s="119"/>
      <c r="N1746" s="30"/>
      <c r="O1746" s="24"/>
      <c r="P1746" s="17"/>
      <c r="Q1746" s="17"/>
      <c r="R1746" s="17"/>
      <c r="S1746" s="31"/>
      <c r="T1746" s="31"/>
      <c r="U1746" s="31"/>
      <c r="V1746" s="122"/>
    </row>
    <row r="1747" spans="2:22" ht="16">
      <c r="B1747" s="119"/>
      <c r="C1747" s="30"/>
      <c r="D1747" s="24"/>
      <c r="E1747" s="17"/>
      <c r="F1747" s="17"/>
      <c r="G1747" s="17"/>
      <c r="H1747" s="31"/>
      <c r="I1747" s="31"/>
      <c r="J1747" s="31"/>
      <c r="K1747" s="122"/>
      <c r="M1747" s="119"/>
      <c r="N1747" s="30"/>
      <c r="O1747" s="24"/>
      <c r="P1747" s="17"/>
      <c r="Q1747" s="17"/>
      <c r="R1747" s="17"/>
      <c r="S1747" s="31"/>
      <c r="T1747" s="31"/>
      <c r="U1747" s="31"/>
      <c r="V1747" s="122"/>
    </row>
    <row r="1748" spans="2:22" ht="16">
      <c r="B1748" s="119"/>
      <c r="C1748" s="30"/>
      <c r="D1748" s="24"/>
      <c r="E1748" s="17"/>
      <c r="F1748" s="17"/>
      <c r="G1748" s="17"/>
      <c r="H1748" s="31"/>
      <c r="I1748" s="31"/>
      <c r="J1748" s="31"/>
      <c r="K1748" s="122"/>
      <c r="M1748" s="119"/>
      <c r="N1748" s="30"/>
      <c r="O1748" s="24"/>
      <c r="P1748" s="17"/>
      <c r="Q1748" s="17"/>
      <c r="R1748" s="17"/>
      <c r="S1748" s="31"/>
      <c r="T1748" s="31"/>
      <c r="U1748" s="31"/>
      <c r="V1748" s="122"/>
    </row>
    <row r="1749" spans="2:22" ht="16">
      <c r="B1749" s="119"/>
      <c r="C1749" s="30"/>
      <c r="D1749" s="24"/>
      <c r="E1749" s="17"/>
      <c r="F1749" s="17"/>
      <c r="G1749" s="17"/>
      <c r="H1749" s="31"/>
      <c r="I1749" s="31"/>
      <c r="J1749" s="31"/>
      <c r="K1749" s="122"/>
      <c r="M1749" s="119"/>
      <c r="N1749" s="30"/>
      <c r="O1749" s="24"/>
      <c r="P1749" s="17"/>
      <c r="Q1749" s="17"/>
      <c r="R1749" s="17"/>
      <c r="S1749" s="31"/>
      <c r="T1749" s="31"/>
      <c r="U1749" s="31"/>
      <c r="V1749" s="122"/>
    </row>
    <row r="1750" spans="2:22" ht="16">
      <c r="B1750" s="119"/>
      <c r="C1750" s="30"/>
      <c r="D1750" s="24"/>
      <c r="E1750" s="17"/>
      <c r="F1750" s="17"/>
      <c r="G1750" s="17"/>
      <c r="H1750" s="31"/>
      <c r="I1750" s="31"/>
      <c r="J1750" s="31"/>
      <c r="K1750" s="122"/>
      <c r="M1750" s="119"/>
      <c r="N1750" s="30"/>
      <c r="O1750" s="24"/>
      <c r="P1750" s="17"/>
      <c r="Q1750" s="17"/>
      <c r="R1750" s="17"/>
      <c r="S1750" s="31"/>
      <c r="T1750" s="31"/>
      <c r="U1750" s="31"/>
      <c r="V1750" s="122"/>
    </row>
    <row r="1751" spans="2:22" ht="16">
      <c r="B1751" s="119"/>
      <c r="C1751" s="30"/>
      <c r="D1751" s="24"/>
      <c r="E1751" s="17"/>
      <c r="F1751" s="17"/>
      <c r="G1751" s="17"/>
      <c r="H1751" s="31"/>
      <c r="I1751" s="31"/>
      <c r="J1751" s="31"/>
      <c r="K1751" s="122"/>
      <c r="M1751" s="119"/>
      <c r="N1751" s="30"/>
      <c r="O1751" s="24"/>
      <c r="P1751" s="17"/>
      <c r="Q1751" s="17"/>
      <c r="R1751" s="17"/>
      <c r="S1751" s="31"/>
      <c r="T1751" s="31"/>
      <c r="U1751" s="31"/>
      <c r="V1751" s="122"/>
    </row>
    <row r="1752" spans="2:22" ht="16">
      <c r="B1752" s="119"/>
      <c r="C1752" s="30"/>
      <c r="D1752" s="24"/>
      <c r="E1752" s="17"/>
      <c r="F1752" s="17"/>
      <c r="G1752" s="17"/>
      <c r="H1752" s="31"/>
      <c r="I1752" s="31"/>
      <c r="J1752" s="31"/>
      <c r="K1752" s="122"/>
      <c r="M1752" s="119"/>
      <c r="N1752" s="30"/>
      <c r="O1752" s="24"/>
      <c r="P1752" s="17"/>
      <c r="Q1752" s="17"/>
      <c r="R1752" s="17"/>
      <c r="S1752" s="31"/>
      <c r="T1752" s="31"/>
      <c r="U1752" s="31"/>
      <c r="V1752" s="122"/>
    </row>
    <row r="1753" spans="2:22" ht="16">
      <c r="B1753" s="119"/>
      <c r="C1753" s="30"/>
      <c r="D1753" s="24"/>
      <c r="E1753" s="17"/>
      <c r="F1753" s="17"/>
      <c r="G1753" s="17"/>
      <c r="H1753" s="31"/>
      <c r="I1753" s="31"/>
      <c r="J1753" s="31"/>
      <c r="K1753" s="122"/>
      <c r="M1753" s="119"/>
      <c r="N1753" s="30"/>
      <c r="O1753" s="24"/>
      <c r="P1753" s="17"/>
      <c r="Q1753" s="17"/>
      <c r="R1753" s="17"/>
      <c r="S1753" s="31"/>
      <c r="T1753" s="31"/>
      <c r="U1753" s="31"/>
      <c r="V1753" s="122"/>
    </row>
    <row r="1754" spans="2:22" ht="16">
      <c r="B1754" s="119"/>
      <c r="C1754" s="30"/>
      <c r="D1754" s="24"/>
      <c r="E1754" s="17"/>
      <c r="F1754" s="17"/>
      <c r="G1754" s="17"/>
      <c r="H1754" s="31"/>
      <c r="I1754" s="31"/>
      <c r="J1754" s="31"/>
      <c r="K1754" s="122"/>
      <c r="M1754" s="119"/>
      <c r="N1754" s="30"/>
      <c r="O1754" s="24"/>
      <c r="P1754" s="17"/>
      <c r="Q1754" s="17"/>
      <c r="R1754" s="17"/>
      <c r="S1754" s="31"/>
      <c r="T1754" s="31"/>
      <c r="U1754" s="31"/>
      <c r="V1754" s="122"/>
    </row>
    <row r="1755" spans="2:22" ht="16">
      <c r="B1755" s="119"/>
      <c r="C1755" s="30"/>
      <c r="D1755" s="24"/>
      <c r="E1755" s="17"/>
      <c r="F1755" s="17"/>
      <c r="G1755" s="17"/>
      <c r="H1755" s="31"/>
      <c r="I1755" s="31"/>
      <c r="J1755" s="31"/>
      <c r="K1755" s="122"/>
      <c r="M1755" s="119"/>
      <c r="N1755" s="30"/>
      <c r="O1755" s="24"/>
      <c r="P1755" s="17"/>
      <c r="Q1755" s="17"/>
      <c r="R1755" s="17"/>
      <c r="S1755" s="31"/>
      <c r="T1755" s="31"/>
      <c r="U1755" s="31"/>
      <c r="V1755" s="122"/>
    </row>
    <row r="1756" spans="2:22" ht="16">
      <c r="B1756" s="119"/>
      <c r="C1756" s="30"/>
      <c r="D1756" s="24"/>
      <c r="E1756" s="17"/>
      <c r="F1756" s="17"/>
      <c r="G1756" s="17"/>
      <c r="H1756" s="31"/>
      <c r="I1756" s="31"/>
      <c r="J1756" s="31"/>
      <c r="K1756" s="122"/>
      <c r="M1756" s="119"/>
      <c r="N1756" s="30"/>
      <c r="O1756" s="24"/>
      <c r="P1756" s="17"/>
      <c r="Q1756" s="17"/>
      <c r="R1756" s="17"/>
      <c r="S1756" s="31"/>
      <c r="T1756" s="31"/>
      <c r="U1756" s="31"/>
      <c r="V1756" s="122"/>
    </row>
    <row r="1757" spans="2:22" ht="16">
      <c r="B1757" s="119"/>
      <c r="C1757" s="30"/>
      <c r="D1757" s="24"/>
      <c r="E1757" s="17"/>
      <c r="F1757" s="17"/>
      <c r="G1757" s="17"/>
      <c r="H1757" s="31"/>
      <c r="I1757" s="31"/>
      <c r="J1757" s="31"/>
      <c r="K1757" s="122"/>
      <c r="M1757" s="119"/>
      <c r="N1757" s="30"/>
      <c r="O1757" s="24"/>
      <c r="P1757" s="17"/>
      <c r="Q1757" s="17"/>
      <c r="R1757" s="17"/>
      <c r="S1757" s="31"/>
      <c r="T1757" s="31"/>
      <c r="U1757" s="31"/>
      <c r="V1757" s="122"/>
    </row>
    <row r="1758" spans="2:22" ht="16">
      <c r="B1758" s="119"/>
      <c r="C1758" s="30"/>
      <c r="D1758" s="24"/>
      <c r="E1758" s="17"/>
      <c r="F1758" s="17"/>
      <c r="G1758" s="17"/>
      <c r="H1758" s="31"/>
      <c r="I1758" s="31"/>
      <c r="J1758" s="31"/>
      <c r="K1758" s="122"/>
      <c r="M1758" s="119"/>
      <c r="N1758" s="30"/>
      <c r="O1758" s="24"/>
      <c r="P1758" s="17"/>
      <c r="Q1758" s="17"/>
      <c r="R1758" s="17"/>
      <c r="S1758" s="31"/>
      <c r="T1758" s="31"/>
      <c r="U1758" s="31"/>
      <c r="V1758" s="122"/>
    </row>
    <row r="1759" spans="2:22" ht="16">
      <c r="B1759" s="119"/>
      <c r="C1759" s="30"/>
      <c r="D1759" s="24"/>
      <c r="E1759" s="17"/>
      <c r="F1759" s="17"/>
      <c r="G1759" s="17"/>
      <c r="H1759" s="31"/>
      <c r="I1759" s="31"/>
      <c r="J1759" s="31"/>
      <c r="K1759" s="122"/>
      <c r="M1759" s="119"/>
      <c r="N1759" s="30"/>
      <c r="O1759" s="24"/>
      <c r="P1759" s="17"/>
      <c r="Q1759" s="17"/>
      <c r="R1759" s="17"/>
      <c r="S1759" s="31"/>
      <c r="T1759" s="31"/>
      <c r="U1759" s="31"/>
      <c r="V1759" s="122"/>
    </row>
    <row r="1760" spans="2:22" ht="16">
      <c r="B1760" s="119"/>
      <c r="C1760" s="30"/>
      <c r="D1760" s="24"/>
      <c r="E1760" s="17"/>
      <c r="F1760" s="17"/>
      <c r="G1760" s="17"/>
      <c r="H1760" s="31"/>
      <c r="I1760" s="31"/>
      <c r="J1760" s="31"/>
      <c r="K1760" s="122"/>
      <c r="M1760" s="119"/>
      <c r="N1760" s="30"/>
      <c r="O1760" s="24"/>
      <c r="P1760" s="17"/>
      <c r="Q1760" s="17"/>
      <c r="R1760" s="17"/>
      <c r="S1760" s="31"/>
      <c r="T1760" s="31"/>
      <c r="U1760" s="31"/>
      <c r="V1760" s="122"/>
    </row>
    <row r="1761" spans="2:22" ht="16">
      <c r="B1761" s="119"/>
      <c r="C1761" s="30"/>
      <c r="D1761" s="24"/>
      <c r="E1761" s="17"/>
      <c r="F1761" s="17"/>
      <c r="G1761" s="17"/>
      <c r="H1761" s="31"/>
      <c r="I1761" s="31"/>
      <c r="J1761" s="31"/>
      <c r="K1761" s="122"/>
      <c r="M1761" s="119"/>
      <c r="N1761" s="30"/>
      <c r="O1761" s="24"/>
      <c r="P1761" s="17"/>
      <c r="Q1761" s="17"/>
      <c r="R1761" s="17"/>
      <c r="S1761" s="31"/>
      <c r="T1761" s="31"/>
      <c r="U1761" s="31"/>
      <c r="V1761" s="122"/>
    </row>
    <row r="1762" spans="2:22" ht="16">
      <c r="B1762" s="119"/>
      <c r="C1762" s="30"/>
      <c r="D1762" s="24"/>
      <c r="E1762" s="17"/>
      <c r="F1762" s="17"/>
      <c r="G1762" s="17"/>
      <c r="H1762" s="31"/>
      <c r="I1762" s="31"/>
      <c r="J1762" s="31"/>
      <c r="K1762" s="122"/>
      <c r="M1762" s="119"/>
      <c r="N1762" s="30"/>
      <c r="O1762" s="24"/>
      <c r="P1762" s="17"/>
      <c r="Q1762" s="17"/>
      <c r="R1762" s="17"/>
      <c r="S1762" s="31"/>
      <c r="T1762" s="31"/>
      <c r="U1762" s="31"/>
      <c r="V1762" s="122"/>
    </row>
    <row r="1763" spans="2:22" ht="16">
      <c r="B1763" s="119"/>
      <c r="C1763" s="30"/>
      <c r="D1763" s="24"/>
      <c r="E1763" s="17"/>
      <c r="F1763" s="17"/>
      <c r="G1763" s="17"/>
      <c r="H1763" s="31"/>
      <c r="I1763" s="31"/>
      <c r="J1763" s="31"/>
      <c r="K1763" s="122"/>
      <c r="M1763" s="119"/>
      <c r="N1763" s="30"/>
      <c r="O1763" s="24"/>
      <c r="P1763" s="17"/>
      <c r="Q1763" s="17"/>
      <c r="R1763" s="17"/>
      <c r="S1763" s="31"/>
      <c r="T1763" s="31"/>
      <c r="U1763" s="31"/>
      <c r="V1763" s="122"/>
    </row>
    <row r="1764" spans="2:22" ht="16">
      <c r="B1764" s="119"/>
      <c r="C1764" s="30"/>
      <c r="D1764" s="24"/>
      <c r="E1764" s="17"/>
      <c r="F1764" s="17"/>
      <c r="G1764" s="17"/>
      <c r="H1764" s="31"/>
      <c r="I1764" s="31"/>
      <c r="J1764" s="31"/>
      <c r="K1764" s="122"/>
      <c r="M1764" s="119"/>
      <c r="N1764" s="30"/>
      <c r="O1764" s="24"/>
      <c r="P1764" s="17"/>
      <c r="Q1764" s="17"/>
      <c r="R1764" s="17"/>
      <c r="S1764" s="31"/>
      <c r="T1764" s="31"/>
      <c r="U1764" s="31"/>
      <c r="V1764" s="122"/>
    </row>
    <row r="1765" spans="2:22" ht="16">
      <c r="B1765" s="119"/>
      <c r="C1765" s="30"/>
      <c r="D1765" s="24"/>
      <c r="E1765" s="17"/>
      <c r="F1765" s="17"/>
      <c r="G1765" s="17"/>
      <c r="H1765" s="31"/>
      <c r="I1765" s="31"/>
      <c r="J1765" s="31"/>
      <c r="K1765" s="122"/>
      <c r="M1765" s="119"/>
      <c r="N1765" s="30"/>
      <c r="O1765" s="24"/>
      <c r="P1765" s="17"/>
      <c r="Q1765" s="17"/>
      <c r="R1765" s="17"/>
      <c r="S1765" s="31"/>
      <c r="T1765" s="31"/>
      <c r="U1765" s="31"/>
      <c r="V1765" s="122"/>
    </row>
    <row r="1766" spans="2:22" ht="16">
      <c r="B1766" s="119"/>
      <c r="C1766" s="30"/>
      <c r="D1766" s="24"/>
      <c r="E1766" s="17"/>
      <c r="F1766" s="17"/>
      <c r="G1766" s="17"/>
      <c r="H1766" s="31"/>
      <c r="I1766" s="31"/>
      <c r="J1766" s="31"/>
      <c r="K1766" s="122"/>
      <c r="M1766" s="119"/>
      <c r="N1766" s="30"/>
      <c r="O1766" s="24"/>
      <c r="P1766" s="17"/>
      <c r="Q1766" s="17"/>
      <c r="R1766" s="17"/>
      <c r="S1766" s="31"/>
      <c r="T1766" s="31"/>
      <c r="U1766" s="31"/>
      <c r="V1766" s="122"/>
    </row>
    <row r="1767" spans="2:22" ht="16">
      <c r="B1767" s="119"/>
      <c r="C1767" s="30"/>
      <c r="D1767" s="24"/>
      <c r="E1767" s="17"/>
      <c r="F1767" s="17"/>
      <c r="G1767" s="17"/>
      <c r="H1767" s="31"/>
      <c r="I1767" s="31"/>
      <c r="J1767" s="31"/>
      <c r="K1767" s="122"/>
      <c r="M1767" s="119"/>
      <c r="N1767" s="30"/>
      <c r="O1767" s="24"/>
      <c r="P1767" s="17"/>
      <c r="Q1767" s="17"/>
      <c r="R1767" s="17"/>
      <c r="S1767" s="31"/>
      <c r="T1767" s="31"/>
      <c r="U1767" s="31"/>
      <c r="V1767" s="122"/>
    </row>
    <row r="1768" spans="2:22" ht="16">
      <c r="B1768" s="119"/>
      <c r="C1768" s="30"/>
      <c r="D1768" s="24"/>
      <c r="E1768" s="17"/>
      <c r="F1768" s="17"/>
      <c r="G1768" s="17"/>
      <c r="H1768" s="31"/>
      <c r="I1768" s="31"/>
      <c r="J1768" s="31"/>
      <c r="K1768" s="122"/>
      <c r="M1768" s="119"/>
      <c r="N1768" s="30"/>
      <c r="O1768" s="24"/>
      <c r="P1768" s="17"/>
      <c r="Q1768" s="17"/>
      <c r="R1768" s="17"/>
      <c r="S1768" s="31"/>
      <c r="T1768" s="31"/>
      <c r="U1768" s="31"/>
      <c r="V1768" s="122"/>
    </row>
    <row r="1769" spans="2:22" ht="16">
      <c r="B1769" s="119"/>
      <c r="C1769" s="30"/>
      <c r="D1769" s="24"/>
      <c r="E1769" s="17"/>
      <c r="F1769" s="17"/>
      <c r="G1769" s="17"/>
      <c r="H1769" s="31"/>
      <c r="I1769" s="31"/>
      <c r="J1769" s="31"/>
      <c r="K1769" s="122"/>
      <c r="M1769" s="119"/>
      <c r="N1769" s="30"/>
      <c r="O1769" s="24"/>
      <c r="P1769" s="17"/>
      <c r="Q1769" s="17"/>
      <c r="R1769" s="17"/>
      <c r="S1769" s="31"/>
      <c r="T1769" s="31"/>
      <c r="U1769" s="31"/>
      <c r="V1769" s="122"/>
    </row>
    <row r="1770" spans="2:22" ht="16">
      <c r="B1770" s="119"/>
      <c r="C1770" s="30"/>
      <c r="D1770" s="24"/>
      <c r="E1770" s="17"/>
      <c r="F1770" s="17"/>
      <c r="G1770" s="17"/>
      <c r="H1770" s="31"/>
      <c r="I1770" s="31"/>
      <c r="J1770" s="31"/>
      <c r="K1770" s="122"/>
      <c r="M1770" s="119"/>
      <c r="N1770" s="30"/>
      <c r="O1770" s="24"/>
      <c r="P1770" s="17"/>
      <c r="Q1770" s="17"/>
      <c r="R1770" s="17"/>
      <c r="S1770" s="31"/>
      <c r="T1770" s="31"/>
      <c r="U1770" s="31"/>
      <c r="V1770" s="122"/>
    </row>
    <row r="1771" spans="2:22" ht="16">
      <c r="B1771" s="119"/>
      <c r="C1771" s="30"/>
      <c r="D1771" s="24"/>
      <c r="E1771" s="17"/>
      <c r="F1771" s="17"/>
      <c r="G1771" s="17"/>
      <c r="H1771" s="31"/>
      <c r="I1771" s="31"/>
      <c r="J1771" s="31"/>
      <c r="K1771" s="122"/>
      <c r="M1771" s="119"/>
      <c r="N1771" s="30"/>
      <c r="O1771" s="24"/>
      <c r="P1771" s="17"/>
      <c r="Q1771" s="17"/>
      <c r="R1771" s="17"/>
      <c r="S1771" s="31"/>
      <c r="T1771" s="31"/>
      <c r="U1771" s="31"/>
      <c r="V1771" s="122"/>
    </row>
    <row r="1772" spans="2:22" ht="16">
      <c r="B1772" s="119"/>
      <c r="C1772" s="30"/>
      <c r="D1772" s="24"/>
      <c r="E1772" s="17"/>
      <c r="F1772" s="17"/>
      <c r="G1772" s="17"/>
      <c r="H1772" s="31"/>
      <c r="I1772" s="31"/>
      <c r="J1772" s="31"/>
      <c r="K1772" s="122"/>
      <c r="M1772" s="119"/>
      <c r="N1772" s="30"/>
      <c r="O1772" s="24"/>
      <c r="P1772" s="17"/>
      <c r="Q1772" s="17"/>
      <c r="R1772" s="17"/>
      <c r="S1772" s="31"/>
      <c r="T1772" s="31"/>
      <c r="U1772" s="31"/>
      <c r="V1772" s="122"/>
    </row>
    <row r="1773" spans="2:22" ht="16">
      <c r="B1773" s="119"/>
      <c r="C1773" s="30"/>
      <c r="D1773" s="24"/>
      <c r="E1773" s="17"/>
      <c r="F1773" s="17"/>
      <c r="G1773" s="17"/>
      <c r="H1773" s="31"/>
      <c r="I1773" s="31"/>
      <c r="J1773" s="31"/>
      <c r="K1773" s="122"/>
      <c r="M1773" s="119"/>
      <c r="N1773" s="30"/>
      <c r="O1773" s="24"/>
      <c r="P1773" s="17"/>
      <c r="Q1773" s="17"/>
      <c r="R1773" s="17"/>
      <c r="S1773" s="31"/>
      <c r="T1773" s="31"/>
      <c r="U1773" s="31"/>
      <c r="V1773" s="122"/>
    </row>
    <row r="1774" spans="2:22" ht="16">
      <c r="B1774" s="119"/>
      <c r="C1774" s="30"/>
      <c r="D1774" s="24"/>
      <c r="E1774" s="17"/>
      <c r="F1774" s="17"/>
      <c r="G1774" s="17"/>
      <c r="H1774" s="31"/>
      <c r="I1774" s="31"/>
      <c r="J1774" s="31"/>
      <c r="K1774" s="122"/>
      <c r="M1774" s="119"/>
      <c r="N1774" s="30"/>
      <c r="O1774" s="24"/>
      <c r="P1774" s="17"/>
      <c r="Q1774" s="17"/>
      <c r="R1774" s="17"/>
      <c r="S1774" s="31"/>
      <c r="T1774" s="31"/>
      <c r="U1774" s="31"/>
      <c r="V1774" s="122"/>
    </row>
    <row r="1775" spans="2:22" ht="16">
      <c r="B1775" s="119"/>
      <c r="C1775" s="30"/>
      <c r="D1775" s="24"/>
      <c r="E1775" s="17"/>
      <c r="F1775" s="17"/>
      <c r="G1775" s="17"/>
      <c r="H1775" s="31"/>
      <c r="I1775" s="31"/>
      <c r="J1775" s="31"/>
      <c r="K1775" s="122"/>
      <c r="M1775" s="119"/>
      <c r="N1775" s="30"/>
      <c r="O1775" s="24"/>
      <c r="P1775" s="17"/>
      <c r="Q1775" s="17"/>
      <c r="R1775" s="17"/>
      <c r="S1775" s="31"/>
      <c r="T1775" s="31"/>
      <c r="U1775" s="31"/>
      <c r="V1775" s="122"/>
    </row>
    <row r="1776" spans="2:22" ht="16">
      <c r="B1776" s="119"/>
      <c r="C1776" s="30"/>
      <c r="D1776" s="24"/>
      <c r="E1776" s="17"/>
      <c r="F1776" s="17"/>
      <c r="G1776" s="17"/>
      <c r="H1776" s="31"/>
      <c r="I1776" s="31"/>
      <c r="J1776" s="31"/>
      <c r="K1776" s="122"/>
      <c r="M1776" s="119"/>
      <c r="N1776" s="30"/>
      <c r="O1776" s="24"/>
      <c r="P1776" s="17"/>
      <c r="Q1776" s="17"/>
      <c r="R1776" s="17"/>
      <c r="S1776" s="31"/>
      <c r="T1776" s="31"/>
      <c r="U1776" s="31"/>
      <c r="V1776" s="122"/>
    </row>
    <row r="1777" spans="2:22" ht="16">
      <c r="B1777" s="119"/>
      <c r="C1777" s="30"/>
      <c r="D1777" s="24"/>
      <c r="E1777" s="17"/>
      <c r="F1777" s="17"/>
      <c r="G1777" s="17"/>
      <c r="H1777" s="31"/>
      <c r="I1777" s="31"/>
      <c r="J1777" s="31"/>
      <c r="K1777" s="122"/>
      <c r="M1777" s="119"/>
      <c r="N1777" s="30"/>
      <c r="O1777" s="24"/>
      <c r="P1777" s="17"/>
      <c r="Q1777" s="17"/>
      <c r="R1777" s="17"/>
      <c r="S1777" s="31"/>
      <c r="T1777" s="31"/>
      <c r="U1777" s="31"/>
      <c r="V1777" s="122"/>
    </row>
    <row r="1778" spans="2:22" ht="16">
      <c r="B1778" s="119"/>
      <c r="C1778" s="30"/>
      <c r="D1778" s="24"/>
      <c r="E1778" s="17"/>
      <c r="F1778" s="17"/>
      <c r="G1778" s="17"/>
      <c r="H1778" s="31"/>
      <c r="I1778" s="31"/>
      <c r="J1778" s="31"/>
      <c r="K1778" s="122"/>
      <c r="M1778" s="119"/>
      <c r="N1778" s="30"/>
      <c r="O1778" s="24"/>
      <c r="P1778" s="17"/>
      <c r="Q1778" s="17"/>
      <c r="R1778" s="17"/>
      <c r="S1778" s="31"/>
      <c r="T1778" s="31"/>
      <c r="U1778" s="31"/>
      <c r="V1778" s="122"/>
    </row>
    <row r="1779" spans="2:22" ht="16">
      <c r="B1779" s="119"/>
      <c r="C1779" s="30"/>
      <c r="D1779" s="24"/>
      <c r="E1779" s="17"/>
      <c r="F1779" s="17"/>
      <c r="G1779" s="17"/>
      <c r="H1779" s="31"/>
      <c r="I1779" s="31"/>
      <c r="J1779" s="31"/>
      <c r="K1779" s="122"/>
      <c r="M1779" s="119"/>
      <c r="N1779" s="30"/>
      <c r="O1779" s="24"/>
      <c r="P1779" s="17"/>
      <c r="Q1779" s="17"/>
      <c r="R1779" s="17"/>
      <c r="S1779" s="31"/>
      <c r="T1779" s="31"/>
      <c r="U1779" s="31"/>
      <c r="V1779" s="122"/>
    </row>
    <row r="1780" spans="2:22" ht="16">
      <c r="B1780" s="119"/>
      <c r="C1780" s="30"/>
      <c r="D1780" s="24"/>
      <c r="E1780" s="17"/>
      <c r="F1780" s="17"/>
      <c r="G1780" s="17"/>
      <c r="H1780" s="31"/>
      <c r="I1780" s="31"/>
      <c r="J1780" s="31"/>
      <c r="K1780" s="122"/>
      <c r="M1780" s="119"/>
      <c r="N1780" s="30"/>
      <c r="O1780" s="24"/>
      <c r="P1780" s="17"/>
      <c r="Q1780" s="17"/>
      <c r="R1780" s="17"/>
      <c r="S1780" s="31"/>
      <c r="T1780" s="31"/>
      <c r="U1780" s="31"/>
      <c r="V1780" s="122"/>
    </row>
    <row r="1781" spans="2:22" ht="16">
      <c r="B1781" s="119"/>
      <c r="C1781" s="30"/>
      <c r="D1781" s="24"/>
      <c r="E1781" s="17"/>
      <c r="F1781" s="17"/>
      <c r="G1781" s="17"/>
      <c r="H1781" s="31"/>
      <c r="I1781" s="31"/>
      <c r="J1781" s="31"/>
      <c r="K1781" s="122"/>
      <c r="M1781" s="119"/>
      <c r="N1781" s="30"/>
      <c r="O1781" s="24"/>
      <c r="P1781" s="17"/>
      <c r="Q1781" s="17"/>
      <c r="R1781" s="17"/>
      <c r="S1781" s="31"/>
      <c r="T1781" s="31"/>
      <c r="U1781" s="31"/>
      <c r="V1781" s="122"/>
    </row>
    <row r="1782" spans="2:22" ht="16">
      <c r="B1782" s="119"/>
      <c r="C1782" s="30"/>
      <c r="D1782" s="24"/>
      <c r="E1782" s="17"/>
      <c r="F1782" s="17"/>
      <c r="G1782" s="17"/>
      <c r="H1782" s="31"/>
      <c r="I1782" s="31"/>
      <c r="J1782" s="31"/>
      <c r="K1782" s="122"/>
      <c r="M1782" s="119"/>
      <c r="N1782" s="30"/>
      <c r="O1782" s="24"/>
      <c r="P1782" s="17"/>
      <c r="Q1782" s="17"/>
      <c r="R1782" s="17"/>
      <c r="S1782" s="31"/>
      <c r="T1782" s="31"/>
      <c r="U1782" s="31"/>
      <c r="V1782" s="122"/>
    </row>
    <row r="1783" spans="2:22" ht="16">
      <c r="B1783" s="119"/>
      <c r="C1783" s="30"/>
      <c r="D1783" s="24"/>
      <c r="E1783" s="17"/>
      <c r="F1783" s="17"/>
      <c r="G1783" s="17"/>
      <c r="H1783" s="31"/>
      <c r="I1783" s="31"/>
      <c r="J1783" s="31"/>
      <c r="K1783" s="122"/>
      <c r="M1783" s="119"/>
      <c r="N1783" s="30"/>
      <c r="O1783" s="24"/>
      <c r="P1783" s="17"/>
      <c r="Q1783" s="17"/>
      <c r="R1783" s="17"/>
      <c r="S1783" s="31"/>
      <c r="T1783" s="31"/>
      <c r="U1783" s="31"/>
      <c r="V1783" s="122"/>
    </row>
    <row r="1784" spans="2:22" ht="16">
      <c r="B1784" s="119"/>
      <c r="C1784" s="30"/>
      <c r="D1784" s="24"/>
      <c r="E1784" s="17"/>
      <c r="F1784" s="17"/>
      <c r="G1784" s="17"/>
      <c r="H1784" s="31"/>
      <c r="I1784" s="31"/>
      <c r="J1784" s="31"/>
      <c r="K1784" s="122"/>
      <c r="M1784" s="119"/>
      <c r="N1784" s="30"/>
      <c r="O1784" s="24"/>
      <c r="P1784" s="17"/>
      <c r="Q1784" s="17"/>
      <c r="R1784" s="17"/>
      <c r="S1784" s="31"/>
      <c r="T1784" s="31"/>
      <c r="U1784" s="31"/>
      <c r="V1784" s="122"/>
    </row>
    <row r="1785" spans="2:22" ht="16">
      <c r="B1785" s="119"/>
      <c r="C1785" s="30"/>
      <c r="D1785" s="24"/>
      <c r="E1785" s="17"/>
      <c r="F1785" s="17"/>
      <c r="G1785" s="17"/>
      <c r="H1785" s="31"/>
      <c r="I1785" s="31"/>
      <c r="J1785" s="31"/>
      <c r="K1785" s="122"/>
      <c r="M1785" s="119"/>
      <c r="N1785" s="30"/>
      <c r="O1785" s="24"/>
      <c r="P1785" s="17"/>
      <c r="Q1785" s="17"/>
      <c r="R1785" s="17"/>
      <c r="S1785" s="31"/>
      <c r="T1785" s="31"/>
      <c r="U1785" s="31"/>
      <c r="V1785" s="122"/>
    </row>
    <row r="1786" spans="2:22" ht="16">
      <c r="B1786" s="119"/>
      <c r="C1786" s="30"/>
      <c r="D1786" s="24"/>
      <c r="E1786" s="17"/>
      <c r="F1786" s="17"/>
      <c r="G1786" s="17"/>
      <c r="H1786" s="31"/>
      <c r="I1786" s="31"/>
      <c r="J1786" s="31"/>
      <c r="K1786" s="122"/>
      <c r="M1786" s="119"/>
      <c r="N1786" s="30"/>
      <c r="O1786" s="24"/>
      <c r="P1786" s="17"/>
      <c r="Q1786" s="17"/>
      <c r="R1786" s="17"/>
      <c r="S1786" s="31"/>
      <c r="T1786" s="31"/>
      <c r="U1786" s="31"/>
      <c r="V1786" s="122"/>
    </row>
    <row r="1787" spans="2:22" ht="16">
      <c r="B1787" s="119"/>
      <c r="C1787" s="30"/>
      <c r="D1787" s="24"/>
      <c r="E1787" s="17"/>
      <c r="F1787" s="17"/>
      <c r="G1787" s="17"/>
      <c r="H1787" s="31"/>
      <c r="I1787" s="31"/>
      <c r="J1787" s="31"/>
      <c r="K1787" s="122"/>
      <c r="M1787" s="119"/>
      <c r="N1787" s="30"/>
      <c r="O1787" s="24"/>
      <c r="P1787" s="17"/>
      <c r="Q1787" s="17"/>
      <c r="R1787" s="17"/>
      <c r="S1787" s="31"/>
      <c r="T1787" s="31"/>
      <c r="U1787" s="31"/>
      <c r="V1787" s="122"/>
    </row>
    <row r="1788" spans="2:22" ht="16">
      <c r="B1788" s="119"/>
      <c r="C1788" s="30"/>
      <c r="D1788" s="24"/>
      <c r="E1788" s="17"/>
      <c r="F1788" s="17"/>
      <c r="G1788" s="17"/>
      <c r="H1788" s="31"/>
      <c r="I1788" s="31"/>
      <c r="J1788" s="31"/>
      <c r="K1788" s="122"/>
      <c r="M1788" s="119"/>
      <c r="N1788" s="30"/>
      <c r="O1788" s="24"/>
      <c r="P1788" s="17"/>
      <c r="Q1788" s="17"/>
      <c r="R1788" s="17"/>
      <c r="S1788" s="31"/>
      <c r="T1788" s="31"/>
      <c r="U1788" s="31"/>
      <c r="V1788" s="122"/>
    </row>
    <row r="1789" spans="2:22" ht="16">
      <c r="B1789" s="119"/>
      <c r="C1789" s="30"/>
      <c r="D1789" s="24"/>
      <c r="E1789" s="17"/>
      <c r="F1789" s="17"/>
      <c r="G1789" s="17"/>
      <c r="H1789" s="31"/>
      <c r="I1789" s="31"/>
      <c r="J1789" s="31"/>
      <c r="K1789" s="122"/>
      <c r="M1789" s="119"/>
      <c r="N1789" s="30"/>
      <c r="O1789" s="24"/>
      <c r="P1789" s="17"/>
      <c r="Q1789" s="17"/>
      <c r="R1789" s="17"/>
      <c r="S1789" s="31"/>
      <c r="T1789" s="31"/>
      <c r="U1789" s="31"/>
      <c r="V1789" s="122"/>
    </row>
    <row r="1790" spans="2:22" ht="16">
      <c r="B1790" s="119"/>
      <c r="C1790" s="30"/>
      <c r="D1790" s="24"/>
      <c r="E1790" s="17"/>
      <c r="F1790" s="17"/>
      <c r="G1790" s="17"/>
      <c r="H1790" s="31"/>
      <c r="I1790" s="31"/>
      <c r="J1790" s="31"/>
      <c r="K1790" s="122"/>
      <c r="M1790" s="119"/>
      <c r="N1790" s="30"/>
      <c r="O1790" s="24"/>
      <c r="P1790" s="17"/>
      <c r="Q1790" s="17"/>
      <c r="R1790" s="17"/>
      <c r="S1790" s="31"/>
      <c r="T1790" s="31"/>
      <c r="U1790" s="31"/>
      <c r="V1790" s="122"/>
    </row>
    <row r="1791" spans="2:22" ht="16">
      <c r="B1791" s="119"/>
      <c r="C1791" s="30"/>
      <c r="D1791" s="24"/>
      <c r="E1791" s="17"/>
      <c r="F1791" s="17"/>
      <c r="G1791" s="17"/>
      <c r="H1791" s="31"/>
      <c r="I1791" s="31"/>
      <c r="J1791" s="31"/>
      <c r="K1791" s="122"/>
      <c r="M1791" s="119"/>
      <c r="N1791" s="30"/>
      <c r="O1791" s="24"/>
      <c r="P1791" s="17"/>
      <c r="Q1791" s="17"/>
      <c r="R1791" s="17"/>
      <c r="S1791" s="31"/>
      <c r="T1791" s="31"/>
      <c r="U1791" s="31"/>
      <c r="V1791" s="122"/>
    </row>
    <row r="1792" spans="2:22" ht="16">
      <c r="B1792" s="119"/>
      <c r="C1792" s="30"/>
      <c r="D1792" s="24"/>
      <c r="E1792" s="17"/>
      <c r="F1792" s="17"/>
      <c r="G1792" s="17"/>
      <c r="H1792" s="31"/>
      <c r="I1792" s="31"/>
      <c r="J1792" s="31"/>
      <c r="K1792" s="122"/>
      <c r="M1792" s="119"/>
      <c r="N1792" s="30"/>
      <c r="O1792" s="24"/>
      <c r="P1792" s="17"/>
      <c r="Q1792" s="17"/>
      <c r="R1792" s="17"/>
      <c r="S1792" s="31"/>
      <c r="T1792" s="31"/>
      <c r="U1792" s="31"/>
      <c r="V1792" s="122"/>
    </row>
    <row r="1793" spans="2:22" ht="16">
      <c r="B1793" s="119"/>
      <c r="C1793" s="30"/>
      <c r="D1793" s="24"/>
      <c r="E1793" s="17"/>
      <c r="F1793" s="17"/>
      <c r="G1793" s="17"/>
      <c r="H1793" s="31"/>
      <c r="I1793" s="31"/>
      <c r="J1793" s="31"/>
      <c r="K1793" s="122"/>
      <c r="M1793" s="119"/>
      <c r="N1793" s="30"/>
      <c r="O1793" s="24"/>
      <c r="P1793" s="17"/>
      <c r="Q1793" s="17"/>
      <c r="R1793" s="17"/>
      <c r="S1793" s="31"/>
      <c r="T1793" s="31"/>
      <c r="U1793" s="31"/>
      <c r="V1793" s="122"/>
    </row>
    <row r="1794" spans="2:22" ht="16">
      <c r="B1794" s="119"/>
      <c r="C1794" s="30"/>
      <c r="D1794" s="24"/>
      <c r="E1794" s="17"/>
      <c r="F1794" s="17"/>
      <c r="G1794" s="17"/>
      <c r="H1794" s="31"/>
      <c r="I1794" s="31"/>
      <c r="J1794" s="31"/>
      <c r="K1794" s="122"/>
      <c r="M1794" s="119"/>
      <c r="N1794" s="30"/>
      <c r="O1794" s="24"/>
      <c r="P1794" s="17"/>
      <c r="Q1794" s="17"/>
      <c r="R1794" s="17"/>
      <c r="S1794" s="31"/>
      <c r="T1794" s="31"/>
      <c r="U1794" s="31"/>
      <c r="V1794" s="122"/>
    </row>
    <row r="1795" spans="2:22" ht="16">
      <c r="B1795" s="119"/>
      <c r="C1795" s="30"/>
      <c r="D1795" s="24"/>
      <c r="E1795" s="17"/>
      <c r="F1795" s="17"/>
      <c r="G1795" s="17"/>
      <c r="H1795" s="31"/>
      <c r="I1795" s="31"/>
      <c r="J1795" s="31"/>
      <c r="K1795" s="122"/>
      <c r="M1795" s="119"/>
      <c r="N1795" s="30"/>
      <c r="O1795" s="24"/>
      <c r="P1795" s="17"/>
      <c r="Q1795" s="17"/>
      <c r="R1795" s="17"/>
      <c r="S1795" s="31"/>
      <c r="T1795" s="31"/>
      <c r="U1795" s="31"/>
      <c r="V1795" s="122"/>
    </row>
    <row r="1796" spans="2:22" ht="16">
      <c r="B1796" s="119"/>
      <c r="C1796" s="30"/>
      <c r="D1796" s="24"/>
      <c r="E1796" s="17"/>
      <c r="F1796" s="17"/>
      <c r="G1796" s="17"/>
      <c r="H1796" s="31"/>
      <c r="I1796" s="31"/>
      <c r="J1796" s="31"/>
      <c r="K1796" s="122"/>
      <c r="M1796" s="119"/>
      <c r="N1796" s="30"/>
      <c r="O1796" s="24"/>
      <c r="P1796" s="17"/>
      <c r="Q1796" s="17"/>
      <c r="R1796" s="17"/>
      <c r="S1796" s="31"/>
      <c r="T1796" s="31"/>
      <c r="U1796" s="31"/>
      <c r="V1796" s="122"/>
    </row>
    <row r="1797" spans="2:22" ht="16">
      <c r="B1797" s="119"/>
      <c r="C1797" s="30"/>
      <c r="D1797" s="24"/>
      <c r="E1797" s="17"/>
      <c r="F1797" s="17"/>
      <c r="G1797" s="17"/>
      <c r="H1797" s="31"/>
      <c r="I1797" s="31"/>
      <c r="J1797" s="31"/>
      <c r="K1797" s="122"/>
      <c r="M1797" s="119"/>
      <c r="N1797" s="30"/>
      <c r="O1797" s="24"/>
      <c r="P1797" s="17"/>
      <c r="Q1797" s="17"/>
      <c r="R1797" s="17"/>
      <c r="S1797" s="31"/>
      <c r="T1797" s="31"/>
      <c r="U1797" s="31"/>
      <c r="V1797" s="122"/>
    </row>
    <row r="1798" spans="2:22" ht="16">
      <c r="B1798" s="119"/>
      <c r="C1798" s="30"/>
      <c r="D1798" s="24"/>
      <c r="E1798" s="17"/>
      <c r="F1798" s="17"/>
      <c r="G1798" s="17"/>
      <c r="H1798" s="31"/>
      <c r="I1798" s="31"/>
      <c r="J1798" s="31"/>
      <c r="K1798" s="122"/>
      <c r="M1798" s="119"/>
      <c r="N1798" s="30"/>
      <c r="O1798" s="24"/>
      <c r="P1798" s="17"/>
      <c r="Q1798" s="17"/>
      <c r="R1798" s="17"/>
      <c r="S1798" s="31"/>
      <c r="T1798" s="31"/>
      <c r="U1798" s="31"/>
      <c r="V1798" s="122"/>
    </row>
    <row r="1799" spans="2:22" ht="16">
      <c r="B1799" s="119"/>
      <c r="C1799" s="30"/>
      <c r="D1799" s="24"/>
      <c r="E1799" s="17"/>
      <c r="F1799" s="17"/>
      <c r="G1799" s="17"/>
      <c r="H1799" s="31"/>
      <c r="I1799" s="31"/>
      <c r="J1799" s="31"/>
      <c r="K1799" s="122"/>
      <c r="M1799" s="119"/>
      <c r="N1799" s="30"/>
      <c r="O1799" s="24"/>
      <c r="P1799" s="17"/>
      <c r="Q1799" s="17"/>
      <c r="R1799" s="17"/>
      <c r="S1799" s="31"/>
      <c r="T1799" s="31"/>
      <c r="U1799" s="31"/>
      <c r="V1799" s="122"/>
    </row>
    <row r="1800" spans="2:22" ht="16">
      <c r="B1800" s="119"/>
      <c r="C1800" s="30"/>
      <c r="D1800" s="24"/>
      <c r="E1800" s="17"/>
      <c r="F1800" s="17"/>
      <c r="G1800" s="17"/>
      <c r="H1800" s="31"/>
      <c r="I1800" s="31"/>
      <c r="J1800" s="31"/>
      <c r="K1800" s="122"/>
      <c r="M1800" s="119"/>
      <c r="N1800" s="30"/>
      <c r="O1800" s="24"/>
      <c r="P1800" s="17"/>
      <c r="Q1800" s="17"/>
      <c r="R1800" s="17"/>
      <c r="S1800" s="31"/>
      <c r="T1800" s="31"/>
      <c r="U1800" s="31"/>
      <c r="V1800" s="122"/>
    </row>
    <row r="1801" spans="2:22" ht="16">
      <c r="B1801" s="119"/>
      <c r="C1801" s="30"/>
      <c r="D1801" s="24"/>
      <c r="E1801" s="17"/>
      <c r="F1801" s="17"/>
      <c r="G1801" s="17"/>
      <c r="H1801" s="31"/>
      <c r="I1801" s="31"/>
      <c r="J1801" s="31"/>
      <c r="K1801" s="122"/>
      <c r="M1801" s="119"/>
      <c r="N1801" s="30"/>
      <c r="O1801" s="24"/>
      <c r="P1801" s="17"/>
      <c r="Q1801" s="17"/>
      <c r="R1801" s="17"/>
      <c r="S1801" s="31"/>
      <c r="T1801" s="31"/>
      <c r="U1801" s="31"/>
      <c r="V1801" s="122"/>
    </row>
    <row r="1802" spans="2:22" ht="16">
      <c r="B1802" s="119"/>
      <c r="C1802" s="30"/>
      <c r="D1802" s="24"/>
      <c r="E1802" s="17"/>
      <c r="F1802" s="17"/>
      <c r="G1802" s="17"/>
      <c r="H1802" s="31"/>
      <c r="I1802" s="31"/>
      <c r="J1802" s="31"/>
      <c r="K1802" s="122"/>
      <c r="M1802" s="119"/>
      <c r="N1802" s="30"/>
      <c r="O1802" s="24"/>
      <c r="P1802" s="17"/>
      <c r="Q1802" s="17"/>
      <c r="R1802" s="17"/>
      <c r="S1802" s="31"/>
      <c r="T1802" s="31"/>
      <c r="U1802" s="31"/>
      <c r="V1802" s="122"/>
    </row>
    <row r="1803" spans="2:22" ht="16">
      <c r="B1803" s="119"/>
      <c r="C1803" s="30"/>
      <c r="D1803" s="24"/>
      <c r="E1803" s="17"/>
      <c r="F1803" s="17"/>
      <c r="G1803" s="17"/>
      <c r="H1803" s="31"/>
      <c r="I1803" s="31"/>
      <c r="J1803" s="31"/>
      <c r="K1803" s="122"/>
      <c r="M1803" s="119"/>
      <c r="N1803" s="30"/>
      <c r="O1803" s="24"/>
      <c r="P1803" s="17"/>
      <c r="Q1803" s="17"/>
      <c r="R1803" s="17"/>
      <c r="S1803" s="31"/>
      <c r="T1803" s="31"/>
      <c r="U1803" s="31"/>
      <c r="V1803" s="122"/>
    </row>
    <row r="1804" spans="2:22" ht="16">
      <c r="B1804" s="119"/>
      <c r="C1804" s="30"/>
      <c r="D1804" s="24"/>
      <c r="E1804" s="17"/>
      <c r="F1804" s="17"/>
      <c r="G1804" s="17"/>
      <c r="H1804" s="31"/>
      <c r="I1804" s="31"/>
      <c r="J1804" s="31"/>
      <c r="K1804" s="122"/>
      <c r="M1804" s="119"/>
      <c r="N1804" s="30"/>
      <c r="O1804" s="24"/>
      <c r="P1804" s="17"/>
      <c r="Q1804" s="17"/>
      <c r="R1804" s="17"/>
      <c r="S1804" s="31"/>
      <c r="T1804" s="31"/>
      <c r="U1804" s="31"/>
      <c r="V1804" s="122"/>
    </row>
    <row r="1805" spans="2:22" ht="16">
      <c r="B1805" s="119"/>
      <c r="C1805" s="30"/>
      <c r="D1805" s="24"/>
      <c r="E1805" s="17"/>
      <c r="F1805" s="17"/>
      <c r="G1805" s="17"/>
      <c r="H1805" s="31"/>
      <c r="I1805" s="31"/>
      <c r="J1805" s="31"/>
      <c r="K1805" s="122"/>
      <c r="M1805" s="119"/>
      <c r="N1805" s="30"/>
      <c r="O1805" s="24"/>
      <c r="P1805" s="17"/>
      <c r="Q1805" s="17"/>
      <c r="R1805" s="17"/>
      <c r="S1805" s="31"/>
      <c r="T1805" s="31"/>
      <c r="U1805" s="31"/>
      <c r="V1805" s="122"/>
    </row>
    <row r="1806" spans="2:22" ht="16">
      <c r="B1806" s="119"/>
      <c r="C1806" s="30"/>
      <c r="D1806" s="24"/>
      <c r="E1806" s="17"/>
      <c r="F1806" s="17"/>
      <c r="G1806" s="17"/>
      <c r="H1806" s="31"/>
      <c r="I1806" s="31"/>
      <c r="J1806" s="31"/>
      <c r="K1806" s="122"/>
      <c r="M1806" s="119"/>
      <c r="N1806" s="30"/>
      <c r="O1806" s="24"/>
      <c r="P1806" s="17"/>
      <c r="Q1806" s="17"/>
      <c r="R1806" s="17"/>
      <c r="S1806" s="31"/>
      <c r="T1806" s="31"/>
      <c r="U1806" s="31"/>
      <c r="V1806" s="122"/>
    </row>
    <row r="1807" spans="2:22" ht="16">
      <c r="B1807" s="119"/>
      <c r="C1807" s="30"/>
      <c r="D1807" s="24"/>
      <c r="E1807" s="17"/>
      <c r="F1807" s="17"/>
      <c r="G1807" s="17"/>
      <c r="H1807" s="31"/>
      <c r="I1807" s="31"/>
      <c r="J1807" s="31"/>
      <c r="K1807" s="122"/>
      <c r="M1807" s="119"/>
      <c r="N1807" s="30"/>
      <c r="O1807" s="24"/>
      <c r="P1807" s="17"/>
      <c r="Q1807" s="17"/>
      <c r="R1807" s="17"/>
      <c r="S1807" s="31"/>
      <c r="T1807" s="31"/>
      <c r="U1807" s="31"/>
      <c r="V1807" s="122"/>
    </row>
    <row r="1808" spans="2:22" ht="16">
      <c r="B1808" s="119"/>
      <c r="C1808" s="30"/>
      <c r="D1808" s="24"/>
      <c r="E1808" s="17"/>
      <c r="F1808" s="17"/>
      <c r="G1808" s="17"/>
      <c r="H1808" s="31"/>
      <c r="I1808" s="31"/>
      <c r="J1808" s="31"/>
      <c r="K1808" s="122"/>
      <c r="M1808" s="119"/>
      <c r="N1808" s="30"/>
      <c r="O1808" s="24"/>
      <c r="P1808" s="17"/>
      <c r="Q1808" s="17"/>
      <c r="R1808" s="17"/>
      <c r="S1808" s="31"/>
      <c r="T1808" s="31"/>
      <c r="U1808" s="31"/>
      <c r="V1808" s="122"/>
    </row>
    <row r="1809" spans="2:22" ht="16">
      <c r="B1809" s="119"/>
      <c r="C1809" s="30"/>
      <c r="D1809" s="24"/>
      <c r="E1809" s="17"/>
      <c r="F1809" s="17"/>
      <c r="G1809" s="17"/>
      <c r="H1809" s="31"/>
      <c r="I1809" s="31"/>
      <c r="J1809" s="31"/>
      <c r="K1809" s="122"/>
      <c r="M1809" s="119"/>
      <c r="N1809" s="30"/>
      <c r="O1809" s="24"/>
      <c r="P1809" s="17"/>
      <c r="Q1809" s="17"/>
      <c r="R1809" s="17"/>
      <c r="S1809" s="31"/>
      <c r="T1809" s="31"/>
      <c r="U1809" s="31"/>
      <c r="V1809" s="122"/>
    </row>
    <row r="1810" spans="2:22" ht="16">
      <c r="B1810" s="119"/>
      <c r="C1810" s="30"/>
      <c r="D1810" s="24"/>
      <c r="E1810" s="17"/>
      <c r="F1810" s="17"/>
      <c r="G1810" s="17"/>
      <c r="H1810" s="31"/>
      <c r="I1810" s="31"/>
      <c r="J1810" s="31"/>
      <c r="K1810" s="122"/>
      <c r="M1810" s="119"/>
      <c r="N1810" s="30"/>
      <c r="O1810" s="24"/>
      <c r="P1810" s="17"/>
      <c r="Q1810" s="17"/>
      <c r="R1810" s="17"/>
      <c r="S1810" s="31"/>
      <c r="T1810" s="31"/>
      <c r="U1810" s="31"/>
      <c r="V1810" s="122"/>
    </row>
    <row r="1811" spans="2:22" ht="16">
      <c r="B1811" s="119"/>
      <c r="C1811" s="30"/>
      <c r="D1811" s="24"/>
      <c r="E1811" s="17"/>
      <c r="F1811" s="17"/>
      <c r="G1811" s="17"/>
      <c r="H1811" s="31"/>
      <c r="I1811" s="31"/>
      <c r="J1811" s="31"/>
      <c r="K1811" s="122"/>
      <c r="M1811" s="119"/>
      <c r="N1811" s="30"/>
      <c r="O1811" s="24"/>
      <c r="P1811" s="17"/>
      <c r="Q1811" s="17"/>
      <c r="R1811" s="17"/>
      <c r="S1811" s="31"/>
      <c r="T1811" s="31"/>
      <c r="U1811" s="31"/>
      <c r="V1811" s="122"/>
    </row>
    <row r="1812" spans="2:22" ht="16">
      <c r="B1812" s="119"/>
      <c r="C1812" s="30"/>
      <c r="D1812" s="24"/>
      <c r="E1812" s="17"/>
      <c r="F1812" s="17"/>
      <c r="G1812" s="17"/>
      <c r="H1812" s="31"/>
      <c r="I1812" s="31"/>
      <c r="J1812" s="31"/>
      <c r="K1812" s="122"/>
      <c r="M1812" s="119"/>
      <c r="N1812" s="30"/>
      <c r="O1812" s="24"/>
      <c r="P1812" s="17"/>
      <c r="Q1812" s="17"/>
      <c r="R1812" s="17"/>
      <c r="S1812" s="31"/>
      <c r="T1812" s="31"/>
      <c r="U1812" s="31"/>
      <c r="V1812" s="122"/>
    </row>
    <row r="1813" spans="2:22" ht="16">
      <c r="B1813" s="119"/>
      <c r="C1813" s="30"/>
      <c r="D1813" s="24"/>
      <c r="E1813" s="17"/>
      <c r="F1813" s="17"/>
      <c r="G1813" s="17"/>
      <c r="H1813" s="31"/>
      <c r="I1813" s="31"/>
      <c r="J1813" s="31"/>
      <c r="K1813" s="122"/>
      <c r="M1813" s="119"/>
      <c r="N1813" s="30"/>
      <c r="O1813" s="24"/>
      <c r="P1813" s="17"/>
      <c r="Q1813" s="17"/>
      <c r="R1813" s="17"/>
      <c r="S1813" s="31"/>
      <c r="T1813" s="31"/>
      <c r="U1813" s="31"/>
      <c r="V1813" s="122"/>
    </row>
    <row r="1814" spans="2:22" ht="16">
      <c r="B1814" s="119"/>
      <c r="C1814" s="30"/>
      <c r="D1814" s="24"/>
      <c r="E1814" s="17"/>
      <c r="F1814" s="17"/>
      <c r="G1814" s="17"/>
      <c r="H1814" s="31"/>
      <c r="I1814" s="31"/>
      <c r="J1814" s="31"/>
      <c r="K1814" s="122"/>
      <c r="M1814" s="119"/>
      <c r="N1814" s="30"/>
      <c r="O1814" s="24"/>
      <c r="P1814" s="17"/>
      <c r="Q1814" s="17"/>
      <c r="R1814" s="17"/>
      <c r="S1814" s="31"/>
      <c r="T1814" s="31"/>
      <c r="U1814" s="31"/>
      <c r="V1814" s="122"/>
    </row>
    <row r="1815" spans="2:22" ht="16">
      <c r="B1815" s="119"/>
      <c r="C1815" s="30"/>
      <c r="D1815" s="24"/>
      <c r="E1815" s="17"/>
      <c r="F1815" s="17"/>
      <c r="G1815" s="17"/>
      <c r="H1815" s="31"/>
      <c r="I1815" s="31"/>
      <c r="J1815" s="31"/>
      <c r="K1815" s="122"/>
      <c r="M1815" s="119"/>
      <c r="N1815" s="30"/>
      <c r="O1815" s="24"/>
      <c r="P1815" s="17"/>
      <c r="Q1815" s="17"/>
      <c r="R1815" s="17"/>
      <c r="S1815" s="31"/>
      <c r="T1815" s="31"/>
      <c r="U1815" s="31"/>
      <c r="V1815" s="122"/>
    </row>
    <row r="1816" spans="2:22" ht="16">
      <c r="B1816" s="119"/>
      <c r="C1816" s="30"/>
      <c r="D1816" s="24"/>
      <c r="E1816" s="17"/>
      <c r="F1816" s="17"/>
      <c r="G1816" s="17"/>
      <c r="H1816" s="31"/>
      <c r="I1816" s="31"/>
      <c r="J1816" s="31"/>
      <c r="K1816" s="122"/>
      <c r="M1816" s="119"/>
      <c r="N1816" s="30"/>
      <c r="O1816" s="24"/>
      <c r="P1816" s="17"/>
      <c r="Q1816" s="17"/>
      <c r="R1816" s="17"/>
      <c r="S1816" s="31"/>
      <c r="T1816" s="31"/>
      <c r="U1816" s="31"/>
      <c r="V1816" s="122"/>
    </row>
    <row r="1817" spans="2:22" ht="16">
      <c r="B1817" s="119"/>
      <c r="C1817" s="30"/>
      <c r="D1817" s="24"/>
      <c r="E1817" s="17"/>
      <c r="F1817" s="17"/>
      <c r="G1817" s="17"/>
      <c r="H1817" s="31"/>
      <c r="I1817" s="31"/>
      <c r="J1817" s="31"/>
      <c r="K1817" s="122"/>
      <c r="M1817" s="119"/>
      <c r="N1817" s="30"/>
      <c r="O1817" s="24"/>
      <c r="P1817" s="17"/>
      <c r="Q1817" s="17"/>
      <c r="R1817" s="17"/>
      <c r="S1817" s="31"/>
      <c r="T1817" s="31"/>
      <c r="U1817" s="31"/>
      <c r="V1817" s="122"/>
    </row>
    <row r="1818" spans="2:22" ht="16">
      <c r="B1818" s="119"/>
      <c r="C1818" s="30"/>
      <c r="D1818" s="24"/>
      <c r="E1818" s="17"/>
      <c r="F1818" s="17"/>
      <c r="G1818" s="17"/>
      <c r="H1818" s="31"/>
      <c r="I1818" s="31"/>
      <c r="J1818" s="31"/>
      <c r="K1818" s="122"/>
      <c r="M1818" s="119"/>
      <c r="N1818" s="30"/>
      <c r="O1818" s="24"/>
      <c r="P1818" s="17"/>
      <c r="Q1818" s="17"/>
      <c r="R1818" s="17"/>
      <c r="S1818" s="31"/>
      <c r="T1818" s="31"/>
      <c r="U1818" s="31"/>
      <c r="V1818" s="122"/>
    </row>
    <row r="1819" spans="2:22" ht="16">
      <c r="B1819" s="119"/>
      <c r="C1819" s="30"/>
      <c r="D1819" s="24"/>
      <c r="E1819" s="17"/>
      <c r="F1819" s="17"/>
      <c r="G1819" s="17"/>
      <c r="H1819" s="31"/>
      <c r="I1819" s="31"/>
      <c r="J1819" s="31"/>
      <c r="K1819" s="122"/>
      <c r="M1819" s="119"/>
      <c r="N1819" s="30"/>
      <c r="O1819" s="24"/>
      <c r="P1819" s="17"/>
      <c r="Q1819" s="17"/>
      <c r="R1819" s="17"/>
      <c r="S1819" s="31"/>
      <c r="T1819" s="31"/>
      <c r="U1819" s="31"/>
      <c r="V1819" s="122"/>
    </row>
    <row r="1820" spans="2:22" ht="16">
      <c r="B1820" s="119"/>
      <c r="C1820" s="30"/>
      <c r="D1820" s="24"/>
      <c r="E1820" s="17"/>
      <c r="F1820" s="17"/>
      <c r="G1820" s="17"/>
      <c r="H1820" s="31"/>
      <c r="I1820" s="31"/>
      <c r="J1820" s="31"/>
      <c r="K1820" s="122"/>
      <c r="M1820" s="119"/>
      <c r="N1820" s="30"/>
      <c r="O1820" s="24"/>
      <c r="P1820" s="17"/>
      <c r="Q1820" s="17"/>
      <c r="R1820" s="17"/>
      <c r="S1820" s="31"/>
      <c r="T1820" s="31"/>
      <c r="U1820" s="31"/>
      <c r="V1820" s="122"/>
    </row>
    <row r="1821" spans="2:22" ht="16">
      <c r="B1821" s="119"/>
      <c r="C1821" s="30"/>
      <c r="D1821" s="24"/>
      <c r="E1821" s="17"/>
      <c r="F1821" s="17"/>
      <c r="G1821" s="17"/>
      <c r="H1821" s="31"/>
      <c r="I1821" s="31"/>
      <c r="J1821" s="31"/>
      <c r="K1821" s="122"/>
      <c r="M1821" s="119"/>
      <c r="N1821" s="30"/>
      <c r="O1821" s="24"/>
      <c r="P1821" s="17"/>
      <c r="Q1821" s="17"/>
      <c r="R1821" s="17"/>
      <c r="S1821" s="31"/>
      <c r="T1821" s="31"/>
      <c r="U1821" s="31"/>
      <c r="V1821" s="122"/>
    </row>
    <row r="1822" spans="2:22" ht="16">
      <c r="B1822" s="119"/>
      <c r="C1822" s="30"/>
      <c r="D1822" s="24"/>
      <c r="E1822" s="17"/>
      <c r="F1822" s="17"/>
      <c r="G1822" s="17"/>
      <c r="H1822" s="31"/>
      <c r="I1822" s="31"/>
      <c r="J1822" s="31"/>
      <c r="K1822" s="122"/>
      <c r="M1822" s="119"/>
      <c r="N1822" s="30"/>
      <c r="O1822" s="24"/>
      <c r="P1822" s="17"/>
      <c r="Q1822" s="17"/>
      <c r="R1822" s="17"/>
      <c r="S1822" s="31"/>
      <c r="T1822" s="31"/>
      <c r="U1822" s="31"/>
      <c r="V1822" s="122"/>
    </row>
    <row r="1823" spans="2:22" ht="16">
      <c r="B1823" s="119"/>
      <c r="C1823" s="30"/>
      <c r="D1823" s="24"/>
      <c r="E1823" s="17"/>
      <c r="F1823" s="17"/>
      <c r="G1823" s="17"/>
      <c r="H1823" s="31"/>
      <c r="I1823" s="31"/>
      <c r="J1823" s="31"/>
      <c r="K1823" s="122"/>
      <c r="M1823" s="119"/>
      <c r="N1823" s="30"/>
      <c r="O1823" s="24"/>
      <c r="P1823" s="17"/>
      <c r="Q1823" s="17"/>
      <c r="R1823" s="17"/>
      <c r="S1823" s="31"/>
      <c r="T1823" s="31"/>
      <c r="U1823" s="31"/>
      <c r="V1823" s="122"/>
    </row>
    <row r="1824" spans="2:22" ht="16">
      <c r="B1824" s="119"/>
      <c r="C1824" s="30"/>
      <c r="D1824" s="24"/>
      <c r="E1824" s="17"/>
      <c r="F1824" s="17"/>
      <c r="G1824" s="17"/>
      <c r="H1824" s="31"/>
      <c r="I1824" s="31"/>
      <c r="J1824" s="31"/>
      <c r="K1824" s="122"/>
      <c r="M1824" s="119"/>
      <c r="N1824" s="30"/>
      <c r="O1824" s="24"/>
      <c r="P1824" s="17"/>
      <c r="Q1824" s="17"/>
      <c r="R1824" s="17"/>
      <c r="S1824" s="31"/>
      <c r="T1824" s="31"/>
      <c r="U1824" s="31"/>
      <c r="V1824" s="122"/>
    </row>
    <row r="1825" spans="2:22" ht="16">
      <c r="B1825" s="119"/>
      <c r="C1825" s="30"/>
      <c r="D1825" s="24"/>
      <c r="E1825" s="17"/>
      <c r="F1825" s="17"/>
      <c r="G1825" s="17"/>
      <c r="H1825" s="31"/>
      <c r="I1825" s="31"/>
      <c r="J1825" s="31"/>
      <c r="K1825" s="122"/>
      <c r="M1825" s="119"/>
      <c r="N1825" s="30"/>
      <c r="O1825" s="24"/>
      <c r="P1825" s="17"/>
      <c r="Q1825" s="17"/>
      <c r="R1825" s="17"/>
      <c r="S1825" s="31"/>
      <c r="T1825" s="31"/>
      <c r="U1825" s="31"/>
      <c r="V1825" s="122"/>
    </row>
    <row r="1826" spans="2:22" ht="16">
      <c r="B1826" s="119"/>
      <c r="C1826" s="30"/>
      <c r="D1826" s="24"/>
      <c r="E1826" s="17"/>
      <c r="F1826" s="17"/>
      <c r="G1826" s="17"/>
      <c r="H1826" s="31"/>
      <c r="I1826" s="31"/>
      <c r="J1826" s="31"/>
      <c r="K1826" s="122"/>
      <c r="M1826" s="119"/>
      <c r="N1826" s="30"/>
      <c r="O1826" s="24"/>
      <c r="P1826" s="17"/>
      <c r="Q1826" s="17"/>
      <c r="R1826" s="17"/>
      <c r="S1826" s="31"/>
      <c r="T1826" s="31"/>
      <c r="U1826" s="31"/>
      <c r="V1826" s="122"/>
    </row>
    <row r="1827" spans="2:22" ht="16">
      <c r="B1827" s="119"/>
      <c r="C1827" s="30"/>
      <c r="D1827" s="24"/>
      <c r="E1827" s="17"/>
      <c r="F1827" s="17"/>
      <c r="G1827" s="17"/>
      <c r="H1827" s="31"/>
      <c r="I1827" s="31"/>
      <c r="J1827" s="31"/>
      <c r="K1827" s="122"/>
      <c r="M1827" s="119"/>
      <c r="N1827" s="30"/>
      <c r="O1827" s="24"/>
      <c r="P1827" s="17"/>
      <c r="Q1827" s="17"/>
      <c r="R1827" s="17"/>
      <c r="S1827" s="31"/>
      <c r="T1827" s="31"/>
      <c r="U1827" s="31"/>
      <c r="V1827" s="122"/>
    </row>
    <row r="1828" spans="2:22" ht="16">
      <c r="B1828" s="119"/>
      <c r="C1828" s="30"/>
      <c r="D1828" s="24"/>
      <c r="E1828" s="17"/>
      <c r="F1828" s="17"/>
      <c r="G1828" s="17"/>
      <c r="H1828" s="31"/>
      <c r="I1828" s="31"/>
      <c r="J1828" s="31"/>
      <c r="K1828" s="122"/>
      <c r="M1828" s="119"/>
      <c r="N1828" s="30"/>
      <c r="O1828" s="24"/>
      <c r="P1828" s="17"/>
      <c r="Q1828" s="17"/>
      <c r="R1828" s="17"/>
      <c r="S1828" s="31"/>
      <c r="T1828" s="31"/>
      <c r="U1828" s="31"/>
      <c r="V1828" s="122"/>
    </row>
    <row r="1829" spans="2:22" ht="16">
      <c r="B1829" s="119"/>
      <c r="C1829" s="30"/>
      <c r="D1829" s="24"/>
      <c r="E1829" s="17"/>
      <c r="F1829" s="17"/>
      <c r="G1829" s="17"/>
      <c r="H1829" s="31"/>
      <c r="I1829" s="31"/>
      <c r="J1829" s="31"/>
      <c r="K1829" s="122"/>
      <c r="M1829" s="119"/>
      <c r="N1829" s="30"/>
      <c r="O1829" s="24"/>
      <c r="P1829" s="17"/>
      <c r="Q1829" s="17"/>
      <c r="R1829" s="17"/>
      <c r="S1829" s="31"/>
      <c r="T1829" s="31"/>
      <c r="U1829" s="31"/>
      <c r="V1829" s="122"/>
    </row>
    <row r="1830" spans="2:22" ht="16">
      <c r="B1830" s="119"/>
      <c r="C1830" s="30"/>
      <c r="D1830" s="24"/>
      <c r="E1830" s="17"/>
      <c r="F1830" s="17"/>
      <c r="G1830" s="17"/>
      <c r="H1830" s="31"/>
      <c r="I1830" s="31"/>
      <c r="J1830" s="31"/>
      <c r="K1830" s="122"/>
      <c r="M1830" s="119"/>
      <c r="N1830" s="30"/>
      <c r="O1830" s="24"/>
      <c r="P1830" s="17"/>
      <c r="Q1830" s="17"/>
      <c r="R1830" s="17"/>
      <c r="S1830" s="31"/>
      <c r="T1830" s="31"/>
      <c r="U1830" s="31"/>
      <c r="V1830" s="122"/>
    </row>
    <row r="1831" spans="2:22" ht="16">
      <c r="B1831" s="119"/>
      <c r="C1831" s="30"/>
      <c r="D1831" s="24"/>
      <c r="E1831" s="17"/>
      <c r="F1831" s="17"/>
      <c r="G1831" s="17"/>
      <c r="H1831" s="31"/>
      <c r="I1831" s="31"/>
      <c r="J1831" s="31"/>
      <c r="K1831" s="122"/>
      <c r="M1831" s="119"/>
      <c r="N1831" s="30"/>
      <c r="O1831" s="24"/>
      <c r="P1831" s="17"/>
      <c r="Q1831" s="17"/>
      <c r="R1831" s="17"/>
      <c r="S1831" s="31"/>
      <c r="T1831" s="31"/>
      <c r="U1831" s="31"/>
      <c r="V1831" s="122"/>
    </row>
    <row r="1832" spans="2:22" ht="16">
      <c r="B1832" s="119"/>
      <c r="C1832" s="30"/>
      <c r="D1832" s="24"/>
      <c r="E1832" s="17"/>
      <c r="F1832" s="17"/>
      <c r="G1832" s="17"/>
      <c r="H1832" s="31"/>
      <c r="I1832" s="31"/>
      <c r="J1832" s="31"/>
      <c r="K1832" s="122"/>
      <c r="M1832" s="119"/>
      <c r="N1832" s="30"/>
      <c r="O1832" s="24"/>
      <c r="P1832" s="17"/>
      <c r="Q1832" s="17"/>
      <c r="R1832" s="17"/>
      <c r="S1832" s="31"/>
      <c r="T1832" s="31"/>
      <c r="U1832" s="31"/>
      <c r="V1832" s="122"/>
    </row>
    <row r="1833" spans="2:22" ht="16">
      <c r="B1833" s="119"/>
      <c r="C1833" s="30"/>
      <c r="D1833" s="24"/>
      <c r="E1833" s="17"/>
      <c r="F1833" s="17"/>
      <c r="G1833" s="17"/>
      <c r="H1833" s="31"/>
      <c r="I1833" s="31"/>
      <c r="J1833" s="31"/>
      <c r="K1833" s="122"/>
      <c r="M1833" s="119"/>
      <c r="N1833" s="30"/>
      <c r="O1833" s="24"/>
      <c r="P1833" s="17"/>
      <c r="Q1833" s="17"/>
      <c r="R1833" s="17"/>
      <c r="S1833" s="31"/>
      <c r="T1833" s="31"/>
      <c r="U1833" s="31"/>
      <c r="V1833" s="122"/>
    </row>
    <row r="1834" spans="2:22" ht="16">
      <c r="B1834" s="119"/>
      <c r="C1834" s="30"/>
      <c r="D1834" s="24"/>
      <c r="E1834" s="17"/>
      <c r="F1834" s="17"/>
      <c r="G1834" s="17"/>
      <c r="H1834" s="31"/>
      <c r="I1834" s="31"/>
      <c r="J1834" s="31"/>
      <c r="K1834" s="122"/>
      <c r="M1834" s="119"/>
      <c r="N1834" s="30"/>
      <c r="O1834" s="24"/>
      <c r="P1834" s="17"/>
      <c r="Q1834" s="17"/>
      <c r="R1834" s="17"/>
      <c r="S1834" s="31"/>
      <c r="T1834" s="31"/>
      <c r="U1834" s="31"/>
      <c r="V1834" s="122"/>
    </row>
    <row r="1835" spans="2:22" ht="16">
      <c r="B1835" s="119"/>
      <c r="C1835" s="30"/>
      <c r="D1835" s="24"/>
      <c r="E1835" s="17"/>
      <c r="F1835" s="17"/>
      <c r="G1835" s="17"/>
      <c r="H1835" s="31"/>
      <c r="I1835" s="31"/>
      <c r="J1835" s="31"/>
      <c r="K1835" s="122"/>
      <c r="M1835" s="119"/>
      <c r="N1835" s="30"/>
      <c r="O1835" s="24"/>
      <c r="P1835" s="17"/>
      <c r="Q1835" s="17"/>
      <c r="R1835" s="17"/>
      <c r="S1835" s="31"/>
      <c r="T1835" s="31"/>
      <c r="U1835" s="31"/>
      <c r="V1835" s="122"/>
    </row>
    <row r="1836" spans="2:22" ht="16">
      <c r="B1836" s="119"/>
      <c r="C1836" s="30"/>
      <c r="D1836" s="24"/>
      <c r="E1836" s="17"/>
      <c r="F1836" s="17"/>
      <c r="G1836" s="17"/>
      <c r="H1836" s="31"/>
      <c r="I1836" s="31"/>
      <c r="J1836" s="31"/>
      <c r="K1836" s="122"/>
      <c r="M1836" s="119"/>
      <c r="N1836" s="30"/>
      <c r="O1836" s="24"/>
      <c r="P1836" s="17"/>
      <c r="Q1836" s="17"/>
      <c r="R1836" s="17"/>
      <c r="S1836" s="31"/>
      <c r="T1836" s="31"/>
      <c r="U1836" s="31"/>
      <c r="V1836" s="122"/>
    </row>
    <row r="1837" spans="2:22" ht="16">
      <c r="B1837" s="119"/>
      <c r="C1837" s="30"/>
      <c r="D1837" s="24"/>
      <c r="E1837" s="17"/>
      <c r="F1837" s="17"/>
      <c r="G1837" s="17"/>
      <c r="H1837" s="31"/>
      <c r="I1837" s="31"/>
      <c r="J1837" s="31"/>
      <c r="K1837" s="122"/>
      <c r="M1837" s="119"/>
      <c r="N1837" s="30"/>
      <c r="O1837" s="24"/>
      <c r="P1837" s="17"/>
      <c r="Q1837" s="17"/>
      <c r="R1837" s="17"/>
      <c r="S1837" s="31"/>
      <c r="T1837" s="31"/>
      <c r="U1837" s="31"/>
      <c r="V1837" s="122"/>
    </row>
    <row r="1838" spans="2:22" ht="16">
      <c r="B1838" s="119"/>
      <c r="C1838" s="30"/>
      <c r="D1838" s="24"/>
      <c r="E1838" s="17"/>
      <c r="F1838" s="17"/>
      <c r="G1838" s="17"/>
      <c r="H1838" s="31"/>
      <c r="I1838" s="31"/>
      <c r="J1838" s="31"/>
      <c r="K1838" s="122"/>
      <c r="M1838" s="119"/>
      <c r="N1838" s="30"/>
      <c r="O1838" s="24"/>
      <c r="P1838" s="17"/>
      <c r="Q1838" s="17"/>
      <c r="R1838" s="17"/>
      <c r="S1838" s="31"/>
      <c r="T1838" s="31"/>
      <c r="U1838" s="31"/>
      <c r="V1838" s="122"/>
    </row>
    <row r="1839" spans="2:22" ht="16">
      <c r="B1839" s="119"/>
      <c r="C1839" s="30"/>
      <c r="D1839" s="24"/>
      <c r="E1839" s="17"/>
      <c r="F1839" s="17"/>
      <c r="G1839" s="17"/>
      <c r="H1839" s="31"/>
      <c r="I1839" s="31"/>
      <c r="J1839" s="31"/>
      <c r="K1839" s="122"/>
      <c r="M1839" s="119"/>
      <c r="N1839" s="30"/>
      <c r="O1839" s="24"/>
      <c r="P1839" s="17"/>
      <c r="Q1839" s="17"/>
      <c r="R1839" s="17"/>
      <c r="S1839" s="31"/>
      <c r="T1839" s="31"/>
      <c r="U1839" s="31"/>
      <c r="V1839" s="122"/>
    </row>
    <row r="1840" spans="2:22" ht="16">
      <c r="B1840" s="119"/>
      <c r="C1840" s="30"/>
      <c r="D1840" s="24"/>
      <c r="E1840" s="17"/>
      <c r="F1840" s="17"/>
      <c r="G1840" s="17"/>
      <c r="H1840" s="31"/>
      <c r="I1840" s="31"/>
      <c r="J1840" s="31"/>
      <c r="K1840" s="122"/>
      <c r="M1840" s="119"/>
      <c r="N1840" s="30"/>
      <c r="O1840" s="24"/>
      <c r="P1840" s="17"/>
      <c r="Q1840" s="17"/>
      <c r="R1840" s="17"/>
      <c r="S1840" s="31"/>
      <c r="T1840" s="31"/>
      <c r="U1840" s="31"/>
      <c r="V1840" s="122"/>
    </row>
    <row r="1841" spans="2:22" ht="16">
      <c r="B1841" s="119"/>
      <c r="C1841" s="30"/>
      <c r="D1841" s="24"/>
      <c r="E1841" s="17"/>
      <c r="F1841" s="17"/>
      <c r="G1841" s="17"/>
      <c r="H1841" s="31"/>
      <c r="I1841" s="31"/>
      <c r="J1841" s="31"/>
      <c r="K1841" s="122"/>
      <c r="M1841" s="119"/>
      <c r="N1841" s="30"/>
      <c r="O1841" s="24"/>
      <c r="P1841" s="17"/>
      <c r="Q1841" s="17"/>
      <c r="R1841" s="17"/>
      <c r="S1841" s="31"/>
      <c r="T1841" s="31"/>
      <c r="U1841" s="31"/>
      <c r="V1841" s="122"/>
    </row>
    <row r="1842" spans="2:22" ht="16">
      <c r="B1842" s="119"/>
      <c r="C1842" s="30"/>
      <c r="D1842" s="24"/>
      <c r="E1842" s="17"/>
      <c r="F1842" s="17"/>
      <c r="G1842" s="17"/>
      <c r="H1842" s="31"/>
      <c r="I1842" s="31"/>
      <c r="J1842" s="31"/>
      <c r="K1842" s="122"/>
      <c r="M1842" s="119"/>
      <c r="N1842" s="30"/>
      <c r="O1842" s="24"/>
      <c r="P1842" s="17"/>
      <c r="Q1842" s="17"/>
      <c r="R1842" s="17"/>
      <c r="S1842" s="31"/>
      <c r="T1842" s="31"/>
      <c r="U1842" s="31"/>
      <c r="V1842" s="122"/>
    </row>
    <row r="1843" spans="2:22" ht="16">
      <c r="B1843" s="119"/>
      <c r="C1843" s="30"/>
      <c r="D1843" s="24"/>
      <c r="E1843" s="17"/>
      <c r="F1843" s="17"/>
      <c r="G1843" s="17"/>
      <c r="H1843" s="31"/>
      <c r="I1843" s="31"/>
      <c r="J1843" s="31"/>
      <c r="K1843" s="122"/>
      <c r="M1843" s="119"/>
      <c r="N1843" s="30"/>
      <c r="O1843" s="24"/>
      <c r="P1843" s="17"/>
      <c r="Q1843" s="17"/>
      <c r="R1843" s="17"/>
      <c r="S1843" s="31"/>
      <c r="T1843" s="31"/>
      <c r="U1843" s="31"/>
      <c r="V1843" s="122"/>
    </row>
    <row r="1844" spans="2:22" ht="16">
      <c r="B1844" s="119"/>
      <c r="C1844" s="30"/>
      <c r="D1844" s="24"/>
      <c r="E1844" s="17"/>
      <c r="F1844" s="17"/>
      <c r="G1844" s="17"/>
      <c r="H1844" s="31"/>
      <c r="I1844" s="31"/>
      <c r="J1844" s="31"/>
      <c r="K1844" s="122"/>
      <c r="M1844" s="119"/>
      <c r="N1844" s="30"/>
      <c r="O1844" s="24"/>
      <c r="P1844" s="17"/>
      <c r="Q1844" s="17"/>
      <c r="R1844" s="17"/>
      <c r="S1844" s="31"/>
      <c r="T1844" s="31"/>
      <c r="U1844" s="31"/>
      <c r="V1844" s="122"/>
    </row>
    <row r="1845" spans="2:22" ht="16">
      <c r="B1845" s="119"/>
      <c r="C1845" s="30"/>
      <c r="D1845" s="24"/>
      <c r="E1845" s="17"/>
      <c r="F1845" s="17"/>
      <c r="G1845" s="17"/>
      <c r="H1845" s="31"/>
      <c r="I1845" s="31"/>
      <c r="J1845" s="31"/>
      <c r="K1845" s="122"/>
      <c r="M1845" s="119"/>
      <c r="N1845" s="30"/>
      <c r="O1845" s="24"/>
      <c r="P1845" s="17"/>
      <c r="Q1845" s="17"/>
      <c r="R1845" s="17"/>
      <c r="S1845" s="31"/>
      <c r="T1845" s="31"/>
      <c r="U1845" s="31"/>
      <c r="V1845" s="122"/>
    </row>
    <row r="1846" spans="2:22" ht="16">
      <c r="B1846" s="119"/>
      <c r="C1846" s="30"/>
      <c r="D1846" s="24"/>
      <c r="E1846" s="17"/>
      <c r="F1846" s="17"/>
      <c r="G1846" s="17"/>
      <c r="H1846" s="31"/>
      <c r="I1846" s="31"/>
      <c r="J1846" s="31"/>
      <c r="K1846" s="122"/>
      <c r="M1846" s="119"/>
      <c r="N1846" s="30"/>
      <c r="O1846" s="24"/>
      <c r="P1846" s="17"/>
      <c r="Q1846" s="17"/>
      <c r="R1846" s="17"/>
      <c r="S1846" s="31"/>
      <c r="T1846" s="31"/>
      <c r="U1846" s="31"/>
      <c r="V1846" s="122"/>
    </row>
    <row r="1847" spans="2:22" ht="16">
      <c r="B1847" s="119"/>
      <c r="C1847" s="30"/>
      <c r="D1847" s="24"/>
      <c r="E1847" s="17"/>
      <c r="F1847" s="17"/>
      <c r="G1847" s="17"/>
      <c r="H1847" s="31"/>
      <c r="I1847" s="31"/>
      <c r="J1847" s="31"/>
      <c r="K1847" s="122"/>
      <c r="M1847" s="119"/>
      <c r="N1847" s="30"/>
      <c r="O1847" s="24"/>
      <c r="P1847" s="17"/>
      <c r="Q1847" s="17"/>
      <c r="R1847" s="17"/>
      <c r="S1847" s="31"/>
      <c r="T1847" s="31"/>
      <c r="U1847" s="31"/>
      <c r="V1847" s="122"/>
    </row>
    <row r="1848" spans="2:22" ht="16">
      <c r="B1848" s="119"/>
      <c r="C1848" s="30"/>
      <c r="D1848" s="24"/>
      <c r="E1848" s="17"/>
      <c r="F1848" s="17"/>
      <c r="G1848" s="17"/>
      <c r="H1848" s="31"/>
      <c r="I1848" s="31"/>
      <c r="J1848" s="31"/>
      <c r="K1848" s="122"/>
      <c r="M1848" s="119"/>
      <c r="N1848" s="30"/>
      <c r="O1848" s="24"/>
      <c r="P1848" s="17"/>
      <c r="Q1848" s="17"/>
      <c r="R1848" s="17"/>
      <c r="S1848" s="31"/>
      <c r="T1848" s="31"/>
      <c r="U1848" s="31"/>
      <c r="V1848" s="122"/>
    </row>
    <row r="1849" spans="2:22" ht="16">
      <c r="B1849" s="119"/>
      <c r="C1849" s="30"/>
      <c r="D1849" s="24"/>
      <c r="E1849" s="17"/>
      <c r="F1849" s="17"/>
      <c r="G1849" s="17"/>
      <c r="H1849" s="31"/>
      <c r="I1849" s="31"/>
      <c r="J1849" s="31"/>
      <c r="K1849" s="122"/>
      <c r="M1849" s="119"/>
      <c r="N1849" s="30"/>
      <c r="O1849" s="24"/>
      <c r="P1849" s="17"/>
      <c r="Q1849" s="17"/>
      <c r="R1849" s="17"/>
      <c r="S1849" s="31"/>
      <c r="T1849" s="31"/>
      <c r="U1849" s="31"/>
      <c r="V1849" s="122"/>
    </row>
    <row r="1850" spans="2:22" ht="16">
      <c r="B1850" s="119"/>
      <c r="C1850" s="30"/>
      <c r="D1850" s="24"/>
      <c r="E1850" s="17"/>
      <c r="F1850" s="17"/>
      <c r="G1850" s="17"/>
      <c r="H1850" s="31"/>
      <c r="I1850" s="31"/>
      <c r="J1850" s="31"/>
      <c r="K1850" s="122"/>
      <c r="M1850" s="119"/>
      <c r="N1850" s="30"/>
      <c r="O1850" s="24"/>
      <c r="P1850" s="17"/>
      <c r="Q1850" s="17"/>
      <c r="R1850" s="17"/>
      <c r="S1850" s="31"/>
      <c r="T1850" s="31"/>
      <c r="U1850" s="31"/>
      <c r="V1850" s="122"/>
    </row>
    <row r="1851" spans="2:22" ht="16">
      <c r="B1851" s="119"/>
      <c r="C1851" s="30"/>
      <c r="D1851" s="24"/>
      <c r="E1851" s="17"/>
      <c r="F1851" s="17"/>
      <c r="G1851" s="17"/>
      <c r="H1851" s="31"/>
      <c r="I1851" s="31"/>
      <c r="J1851" s="31"/>
      <c r="K1851" s="122"/>
      <c r="M1851" s="119"/>
      <c r="N1851" s="30"/>
      <c r="O1851" s="24"/>
      <c r="P1851" s="17"/>
      <c r="Q1851" s="17"/>
      <c r="R1851" s="17"/>
      <c r="S1851" s="31"/>
      <c r="T1851" s="31"/>
      <c r="U1851" s="31"/>
      <c r="V1851" s="122"/>
    </row>
    <row r="1852" spans="2:22" ht="16">
      <c r="B1852" s="119"/>
      <c r="C1852" s="30"/>
      <c r="D1852" s="24"/>
      <c r="E1852" s="17"/>
      <c r="F1852" s="17"/>
      <c r="G1852" s="17"/>
      <c r="H1852" s="31"/>
      <c r="I1852" s="31"/>
      <c r="J1852" s="31"/>
      <c r="K1852" s="122"/>
      <c r="M1852" s="119"/>
      <c r="N1852" s="30"/>
      <c r="O1852" s="24"/>
      <c r="P1852" s="17"/>
      <c r="Q1852" s="17"/>
      <c r="R1852" s="17"/>
      <c r="S1852" s="31"/>
      <c r="T1852" s="31"/>
      <c r="U1852" s="31"/>
      <c r="V1852" s="122"/>
    </row>
    <row r="1853" spans="2:22" ht="16">
      <c r="B1853" s="119"/>
      <c r="C1853" s="30"/>
      <c r="D1853" s="24"/>
      <c r="E1853" s="17"/>
      <c r="F1853" s="17"/>
      <c r="G1853" s="17"/>
      <c r="H1853" s="31"/>
      <c r="I1853" s="31"/>
      <c r="J1853" s="31"/>
      <c r="K1853" s="122"/>
      <c r="M1853" s="119"/>
      <c r="N1853" s="30"/>
      <c r="O1853" s="24"/>
      <c r="P1853" s="17"/>
      <c r="Q1853" s="17"/>
      <c r="R1853" s="17"/>
      <c r="S1853" s="31"/>
      <c r="T1853" s="31"/>
      <c r="U1853" s="31"/>
      <c r="V1853" s="122"/>
    </row>
    <row r="1854" spans="2:22" ht="16">
      <c r="B1854" s="119"/>
      <c r="C1854" s="30"/>
      <c r="D1854" s="24"/>
      <c r="E1854" s="17"/>
      <c r="F1854" s="17"/>
      <c r="G1854" s="17"/>
      <c r="H1854" s="31"/>
      <c r="I1854" s="31"/>
      <c r="J1854" s="31"/>
      <c r="K1854" s="122"/>
      <c r="M1854" s="119"/>
      <c r="N1854" s="30"/>
      <c r="O1854" s="24"/>
      <c r="P1854" s="17"/>
      <c r="Q1854" s="17"/>
      <c r="R1854" s="17"/>
      <c r="S1854" s="31"/>
      <c r="T1854" s="31"/>
      <c r="U1854" s="31"/>
      <c r="V1854" s="122"/>
    </row>
    <row r="1855" spans="2:22" ht="16">
      <c r="B1855" s="119"/>
      <c r="C1855" s="30"/>
      <c r="D1855" s="24"/>
      <c r="E1855" s="17"/>
      <c r="F1855" s="17"/>
      <c r="G1855" s="17"/>
      <c r="H1855" s="31"/>
      <c r="I1855" s="31"/>
      <c r="J1855" s="31"/>
      <c r="K1855" s="122"/>
      <c r="M1855" s="119"/>
      <c r="N1855" s="30"/>
      <c r="O1855" s="24"/>
      <c r="P1855" s="17"/>
      <c r="Q1855" s="17"/>
      <c r="R1855" s="17"/>
      <c r="S1855" s="31"/>
      <c r="T1855" s="31"/>
      <c r="U1855" s="31"/>
      <c r="V1855" s="122"/>
    </row>
    <row r="1856" spans="2:22" ht="16">
      <c r="B1856" s="119"/>
      <c r="C1856" s="30"/>
      <c r="D1856" s="24"/>
      <c r="E1856" s="17"/>
      <c r="F1856" s="17"/>
      <c r="G1856" s="17"/>
      <c r="H1856" s="31"/>
      <c r="I1856" s="31"/>
      <c r="J1856" s="31"/>
      <c r="K1856" s="122"/>
      <c r="M1856" s="119"/>
      <c r="N1856" s="30"/>
      <c r="O1856" s="24"/>
      <c r="P1856" s="17"/>
      <c r="Q1856" s="17"/>
      <c r="R1856" s="17"/>
      <c r="S1856" s="31"/>
      <c r="T1856" s="31"/>
      <c r="U1856" s="31"/>
      <c r="V1856" s="122"/>
    </row>
    <row r="1857" spans="2:22" ht="16">
      <c r="B1857" s="119"/>
      <c r="C1857" s="30"/>
      <c r="D1857" s="24"/>
      <c r="E1857" s="17"/>
      <c r="F1857" s="17"/>
      <c r="G1857" s="17"/>
      <c r="H1857" s="31"/>
      <c r="I1857" s="31"/>
      <c r="J1857" s="31"/>
      <c r="K1857" s="122"/>
      <c r="M1857" s="119"/>
      <c r="N1857" s="30"/>
      <c r="O1857" s="24"/>
      <c r="P1857" s="17"/>
      <c r="Q1857" s="17"/>
      <c r="R1857" s="17"/>
      <c r="S1857" s="31"/>
      <c r="T1857" s="31"/>
      <c r="U1857" s="31"/>
      <c r="V1857" s="122"/>
    </row>
    <row r="1858" spans="2:22" ht="16">
      <c r="B1858" s="119"/>
      <c r="C1858" s="30"/>
      <c r="D1858" s="24"/>
      <c r="E1858" s="17"/>
      <c r="F1858" s="17"/>
      <c r="G1858" s="17"/>
      <c r="H1858" s="31"/>
      <c r="I1858" s="31"/>
      <c r="J1858" s="31"/>
      <c r="K1858" s="122"/>
      <c r="M1858" s="119"/>
      <c r="N1858" s="30"/>
      <c r="O1858" s="24"/>
      <c r="P1858" s="17"/>
      <c r="Q1858" s="17"/>
      <c r="R1858" s="17"/>
      <c r="S1858" s="31"/>
      <c r="T1858" s="31"/>
      <c r="U1858" s="31"/>
      <c r="V1858" s="122"/>
    </row>
    <row r="1859" spans="2:22" ht="16">
      <c r="B1859" s="119"/>
      <c r="C1859" s="30"/>
      <c r="D1859" s="24"/>
      <c r="E1859" s="17"/>
      <c r="F1859" s="17"/>
      <c r="G1859" s="17"/>
      <c r="H1859" s="31"/>
      <c r="I1859" s="31"/>
      <c r="J1859" s="31"/>
      <c r="K1859" s="122"/>
      <c r="M1859" s="119"/>
      <c r="N1859" s="30"/>
      <c r="O1859" s="24"/>
      <c r="P1859" s="17"/>
      <c r="Q1859" s="17"/>
      <c r="R1859" s="17"/>
      <c r="S1859" s="31"/>
      <c r="T1859" s="31"/>
      <c r="U1859" s="31"/>
      <c r="V1859" s="122"/>
    </row>
    <row r="1860" spans="2:22" ht="16">
      <c r="B1860" s="119"/>
      <c r="C1860" s="30"/>
      <c r="D1860" s="24"/>
      <c r="E1860" s="17"/>
      <c r="F1860" s="17"/>
      <c r="G1860" s="17"/>
      <c r="H1860" s="31"/>
      <c r="I1860" s="31"/>
      <c r="J1860" s="31"/>
      <c r="K1860" s="122"/>
      <c r="M1860" s="119"/>
      <c r="N1860" s="30"/>
      <c r="O1860" s="24"/>
      <c r="P1860" s="17"/>
      <c r="Q1860" s="17"/>
      <c r="R1860" s="17"/>
      <c r="S1860" s="31"/>
      <c r="T1860" s="31"/>
      <c r="U1860" s="31"/>
      <c r="V1860" s="122"/>
    </row>
    <row r="1861" spans="2:22" ht="16">
      <c r="B1861" s="119"/>
      <c r="C1861" s="30"/>
      <c r="D1861" s="24"/>
      <c r="E1861" s="17"/>
      <c r="F1861" s="17"/>
      <c r="G1861" s="17"/>
      <c r="H1861" s="31"/>
      <c r="I1861" s="31"/>
      <c r="J1861" s="31"/>
      <c r="K1861" s="122"/>
      <c r="M1861" s="119"/>
      <c r="N1861" s="30"/>
      <c r="O1861" s="24"/>
      <c r="P1861" s="17"/>
      <c r="Q1861" s="17"/>
      <c r="R1861" s="17"/>
      <c r="S1861" s="31"/>
      <c r="T1861" s="31"/>
      <c r="U1861" s="31"/>
      <c r="V1861" s="122"/>
    </row>
    <row r="1862" spans="2:22" ht="16">
      <c r="B1862" s="119"/>
      <c r="C1862" s="30"/>
      <c r="D1862" s="24"/>
      <c r="E1862" s="17"/>
      <c r="F1862" s="17"/>
      <c r="G1862" s="17"/>
      <c r="H1862" s="31"/>
      <c r="I1862" s="31"/>
      <c r="J1862" s="31"/>
      <c r="K1862" s="122"/>
      <c r="M1862" s="119"/>
      <c r="N1862" s="30"/>
      <c r="O1862" s="24"/>
      <c r="P1862" s="17"/>
      <c r="Q1862" s="17"/>
      <c r="R1862" s="17"/>
      <c r="S1862" s="31"/>
      <c r="T1862" s="31"/>
      <c r="U1862" s="31"/>
      <c r="V1862" s="122"/>
    </row>
    <row r="1863" spans="2:22" ht="16">
      <c r="B1863" s="119"/>
      <c r="C1863" s="30"/>
      <c r="D1863" s="24"/>
      <c r="E1863" s="17"/>
      <c r="F1863" s="17"/>
      <c r="G1863" s="17"/>
      <c r="H1863" s="31"/>
      <c r="I1863" s="31"/>
      <c r="J1863" s="31"/>
      <c r="K1863" s="122"/>
      <c r="M1863" s="119"/>
      <c r="N1863" s="30"/>
      <c r="O1863" s="24"/>
      <c r="P1863" s="17"/>
      <c r="Q1863" s="17"/>
      <c r="R1863" s="17"/>
      <c r="S1863" s="31"/>
      <c r="T1863" s="31"/>
      <c r="U1863" s="31"/>
      <c r="V1863" s="122"/>
    </row>
    <row r="1864" spans="2:22" ht="16">
      <c r="B1864" s="119"/>
      <c r="C1864" s="30"/>
      <c r="D1864" s="24"/>
      <c r="E1864" s="17"/>
      <c r="F1864" s="17"/>
      <c r="G1864" s="17"/>
      <c r="H1864" s="31"/>
      <c r="I1864" s="31"/>
      <c r="J1864" s="31"/>
      <c r="K1864" s="122"/>
      <c r="M1864" s="119"/>
      <c r="N1864" s="30"/>
      <c r="O1864" s="24"/>
      <c r="P1864" s="17"/>
      <c r="Q1864" s="17"/>
      <c r="R1864" s="17"/>
      <c r="S1864" s="31"/>
      <c r="T1864" s="31"/>
      <c r="U1864" s="31"/>
      <c r="V1864" s="122"/>
    </row>
    <row r="1865" spans="2:22" ht="16">
      <c r="B1865" s="119"/>
      <c r="C1865" s="30"/>
      <c r="D1865" s="24"/>
      <c r="E1865" s="17"/>
      <c r="F1865" s="17"/>
      <c r="G1865" s="17"/>
      <c r="H1865" s="31"/>
      <c r="I1865" s="31"/>
      <c r="J1865" s="31"/>
      <c r="K1865" s="122"/>
      <c r="M1865" s="119"/>
      <c r="N1865" s="30"/>
      <c r="O1865" s="24"/>
      <c r="P1865" s="17"/>
      <c r="Q1865" s="17"/>
      <c r="R1865" s="17"/>
      <c r="S1865" s="31"/>
      <c r="T1865" s="31"/>
      <c r="U1865" s="31"/>
      <c r="V1865" s="122"/>
    </row>
    <row r="1866" spans="2:22" ht="16">
      <c r="B1866" s="119"/>
      <c r="C1866" s="30"/>
      <c r="D1866" s="24"/>
      <c r="E1866" s="17"/>
      <c r="F1866" s="17"/>
      <c r="G1866" s="17"/>
      <c r="H1866" s="31"/>
      <c r="I1866" s="31"/>
      <c r="J1866" s="31"/>
      <c r="K1866" s="122"/>
      <c r="M1866" s="119"/>
      <c r="N1866" s="30"/>
      <c r="O1866" s="24"/>
      <c r="P1866" s="17"/>
      <c r="Q1866" s="17"/>
      <c r="R1866" s="17"/>
      <c r="S1866" s="31"/>
      <c r="T1866" s="31"/>
      <c r="U1866" s="31"/>
      <c r="V1866" s="122"/>
    </row>
    <row r="1867" spans="2:22" ht="16">
      <c r="B1867" s="119"/>
      <c r="C1867" s="30"/>
      <c r="D1867" s="24"/>
      <c r="E1867" s="17"/>
      <c r="F1867" s="17"/>
      <c r="G1867" s="17"/>
      <c r="H1867" s="31"/>
      <c r="I1867" s="31"/>
      <c r="J1867" s="31"/>
      <c r="K1867" s="122"/>
      <c r="M1867" s="119"/>
      <c r="N1867" s="30"/>
      <c r="O1867" s="24"/>
      <c r="P1867" s="17"/>
      <c r="Q1867" s="17"/>
      <c r="R1867" s="17"/>
      <c r="S1867" s="31"/>
      <c r="T1867" s="31"/>
      <c r="U1867" s="31"/>
      <c r="V1867" s="122"/>
    </row>
    <row r="1868" spans="2:22" ht="16">
      <c r="B1868" s="119"/>
      <c r="C1868" s="30"/>
      <c r="D1868" s="24"/>
      <c r="E1868" s="17"/>
      <c r="F1868" s="17"/>
      <c r="G1868" s="17"/>
      <c r="H1868" s="31"/>
      <c r="I1868" s="31"/>
      <c r="J1868" s="31"/>
      <c r="K1868" s="122"/>
      <c r="M1868" s="119"/>
      <c r="N1868" s="30"/>
      <c r="O1868" s="24"/>
      <c r="P1868" s="17"/>
      <c r="Q1868" s="17"/>
      <c r="R1868" s="17"/>
      <c r="S1868" s="31"/>
      <c r="T1868" s="31"/>
      <c r="U1868" s="31"/>
      <c r="V1868" s="122"/>
    </row>
    <row r="1869" spans="2:22" ht="16">
      <c r="B1869" s="119"/>
      <c r="C1869" s="30"/>
      <c r="D1869" s="24"/>
      <c r="E1869" s="17"/>
      <c r="F1869" s="17"/>
      <c r="G1869" s="17"/>
      <c r="H1869" s="31"/>
      <c r="I1869" s="31"/>
      <c r="J1869" s="31"/>
      <c r="K1869" s="122"/>
      <c r="M1869" s="119"/>
      <c r="N1869" s="30"/>
      <c r="O1869" s="24"/>
      <c r="P1869" s="17"/>
      <c r="Q1869" s="17"/>
      <c r="R1869" s="17"/>
      <c r="S1869" s="31"/>
      <c r="T1869" s="31"/>
      <c r="U1869" s="31"/>
      <c r="V1869" s="122"/>
    </row>
    <row r="1870" spans="2:22" ht="16">
      <c r="B1870" s="119"/>
      <c r="C1870" s="30"/>
      <c r="D1870" s="24"/>
      <c r="E1870" s="17"/>
      <c r="F1870" s="17"/>
      <c r="G1870" s="17"/>
      <c r="H1870" s="31"/>
      <c r="I1870" s="31"/>
      <c r="J1870" s="31"/>
      <c r="K1870" s="122"/>
      <c r="M1870" s="119"/>
      <c r="N1870" s="30"/>
      <c r="O1870" s="24"/>
      <c r="P1870" s="17"/>
      <c r="Q1870" s="17"/>
      <c r="R1870" s="17"/>
      <c r="S1870" s="31"/>
      <c r="T1870" s="31"/>
      <c r="U1870" s="31"/>
      <c r="V1870" s="122"/>
    </row>
    <row r="1871" spans="2:22" ht="16">
      <c r="B1871" s="119"/>
      <c r="C1871" s="30"/>
      <c r="D1871" s="24"/>
      <c r="E1871" s="17"/>
      <c r="F1871" s="17"/>
      <c r="G1871" s="17"/>
      <c r="H1871" s="31"/>
      <c r="I1871" s="31"/>
      <c r="J1871" s="31"/>
      <c r="K1871" s="122"/>
      <c r="M1871" s="119"/>
      <c r="N1871" s="30"/>
      <c r="O1871" s="24"/>
      <c r="P1871" s="17"/>
      <c r="Q1871" s="17"/>
      <c r="R1871" s="17"/>
      <c r="S1871" s="31"/>
      <c r="T1871" s="31"/>
      <c r="U1871" s="31"/>
      <c r="V1871" s="122"/>
    </row>
    <row r="1872" spans="2:22" ht="16">
      <c r="B1872" s="119"/>
      <c r="C1872" s="30"/>
      <c r="D1872" s="24"/>
      <c r="E1872" s="17"/>
      <c r="F1872" s="17"/>
      <c r="G1872" s="17"/>
      <c r="H1872" s="31"/>
      <c r="I1872" s="31"/>
      <c r="J1872" s="31"/>
      <c r="K1872" s="122"/>
      <c r="M1872" s="119"/>
      <c r="N1872" s="30"/>
      <c r="O1872" s="24"/>
      <c r="P1872" s="17"/>
      <c r="Q1872" s="17"/>
      <c r="R1872" s="17"/>
      <c r="S1872" s="31"/>
      <c r="T1872" s="31"/>
      <c r="U1872" s="31"/>
      <c r="V1872" s="122"/>
    </row>
    <row r="1873" spans="2:22" ht="16">
      <c r="B1873" s="119"/>
      <c r="C1873" s="30"/>
      <c r="D1873" s="24"/>
      <c r="E1873" s="17"/>
      <c r="F1873" s="17"/>
      <c r="G1873" s="17"/>
      <c r="H1873" s="31"/>
      <c r="I1873" s="31"/>
      <c r="J1873" s="31"/>
      <c r="K1873" s="122"/>
      <c r="M1873" s="119"/>
      <c r="N1873" s="30"/>
      <c r="O1873" s="24"/>
      <c r="P1873" s="17"/>
      <c r="Q1873" s="17"/>
      <c r="R1873" s="17"/>
      <c r="S1873" s="31"/>
      <c r="T1873" s="31"/>
      <c r="U1873" s="31"/>
      <c r="V1873" s="122"/>
    </row>
    <row r="1874" spans="2:22" ht="16">
      <c r="B1874" s="119"/>
      <c r="C1874" s="30"/>
      <c r="D1874" s="24"/>
      <c r="E1874" s="17"/>
      <c r="F1874" s="17"/>
      <c r="G1874" s="17"/>
      <c r="H1874" s="31"/>
      <c r="I1874" s="31"/>
      <c r="J1874" s="31"/>
      <c r="K1874" s="122"/>
      <c r="M1874" s="119"/>
      <c r="N1874" s="30"/>
      <c r="O1874" s="24"/>
      <c r="P1874" s="17"/>
      <c r="Q1874" s="17"/>
      <c r="R1874" s="17"/>
      <c r="S1874" s="31"/>
      <c r="T1874" s="31"/>
      <c r="U1874" s="31"/>
      <c r="V1874" s="122"/>
    </row>
    <row r="1875" spans="2:22" ht="16">
      <c r="B1875" s="119"/>
      <c r="C1875" s="30"/>
      <c r="D1875" s="24"/>
      <c r="E1875" s="17"/>
      <c r="F1875" s="17"/>
      <c r="G1875" s="17"/>
      <c r="H1875" s="31"/>
      <c r="I1875" s="31"/>
      <c r="J1875" s="31"/>
      <c r="K1875" s="122"/>
      <c r="M1875" s="119"/>
      <c r="N1875" s="30"/>
      <c r="O1875" s="24"/>
      <c r="P1875" s="17"/>
      <c r="Q1875" s="17"/>
      <c r="R1875" s="17"/>
      <c r="S1875" s="31"/>
      <c r="T1875" s="31"/>
      <c r="U1875" s="31"/>
      <c r="V1875" s="122"/>
    </row>
    <row r="1876" spans="2:22" ht="16">
      <c r="B1876" s="119"/>
      <c r="C1876" s="30"/>
      <c r="D1876" s="24"/>
      <c r="E1876" s="17"/>
      <c r="F1876" s="17"/>
      <c r="G1876" s="17"/>
      <c r="H1876" s="31"/>
      <c r="I1876" s="31"/>
      <c r="J1876" s="31"/>
      <c r="K1876" s="122"/>
      <c r="M1876" s="119"/>
      <c r="N1876" s="30"/>
      <c r="O1876" s="24"/>
      <c r="P1876" s="17"/>
      <c r="Q1876" s="17"/>
      <c r="R1876" s="17"/>
      <c r="S1876" s="31"/>
      <c r="T1876" s="31"/>
      <c r="U1876" s="31"/>
      <c r="V1876" s="122"/>
    </row>
    <row r="1877" spans="2:22" ht="16">
      <c r="B1877" s="119"/>
      <c r="C1877" s="30"/>
      <c r="D1877" s="24"/>
      <c r="E1877" s="17"/>
      <c r="F1877" s="17"/>
      <c r="G1877" s="17"/>
      <c r="H1877" s="31"/>
      <c r="I1877" s="31"/>
      <c r="J1877" s="31"/>
      <c r="K1877" s="122"/>
      <c r="M1877" s="119"/>
      <c r="N1877" s="30"/>
      <c r="O1877" s="24"/>
      <c r="P1877" s="17"/>
      <c r="Q1877" s="17"/>
      <c r="R1877" s="17"/>
      <c r="S1877" s="31"/>
      <c r="T1877" s="31"/>
      <c r="U1877" s="31"/>
      <c r="V1877" s="122"/>
    </row>
    <row r="1878" spans="2:22" ht="16">
      <c r="B1878" s="119"/>
      <c r="C1878" s="30"/>
      <c r="D1878" s="24"/>
      <c r="E1878" s="17"/>
      <c r="F1878" s="17"/>
      <c r="G1878" s="17"/>
      <c r="H1878" s="31"/>
      <c r="I1878" s="31"/>
      <c r="J1878" s="31"/>
      <c r="K1878" s="122"/>
      <c r="M1878" s="119"/>
      <c r="N1878" s="30"/>
      <c r="O1878" s="24"/>
      <c r="P1878" s="17"/>
      <c r="Q1878" s="17"/>
      <c r="R1878" s="17"/>
      <c r="S1878" s="31"/>
      <c r="T1878" s="31"/>
      <c r="U1878" s="31"/>
      <c r="V1878" s="122"/>
    </row>
    <row r="1879" spans="2:22" ht="16">
      <c r="B1879" s="119"/>
      <c r="C1879" s="30"/>
      <c r="D1879" s="24"/>
      <c r="E1879" s="17"/>
      <c r="F1879" s="17"/>
      <c r="G1879" s="17"/>
      <c r="H1879" s="31"/>
      <c r="I1879" s="31"/>
      <c r="J1879" s="31"/>
      <c r="K1879" s="122"/>
      <c r="M1879" s="119"/>
      <c r="N1879" s="30"/>
      <c r="O1879" s="24"/>
      <c r="P1879" s="17"/>
      <c r="Q1879" s="17"/>
      <c r="R1879" s="17"/>
      <c r="S1879" s="31"/>
      <c r="T1879" s="31"/>
      <c r="U1879" s="31"/>
      <c r="V1879" s="122"/>
    </row>
    <row r="1880" spans="2:22" ht="16">
      <c r="B1880" s="119"/>
      <c r="C1880" s="30"/>
      <c r="D1880" s="24"/>
      <c r="E1880" s="17"/>
      <c r="F1880" s="17"/>
      <c r="G1880" s="17"/>
      <c r="H1880" s="31"/>
      <c r="I1880" s="31"/>
      <c r="J1880" s="31"/>
      <c r="K1880" s="122"/>
      <c r="M1880" s="119"/>
      <c r="N1880" s="30"/>
      <c r="O1880" s="24"/>
      <c r="P1880" s="17"/>
      <c r="Q1880" s="17"/>
      <c r="R1880" s="17"/>
      <c r="S1880" s="31"/>
      <c r="T1880" s="31"/>
      <c r="U1880" s="31"/>
      <c r="V1880" s="122"/>
    </row>
    <row r="1881" spans="2:22" ht="16">
      <c r="B1881" s="119"/>
      <c r="C1881" s="30"/>
      <c r="D1881" s="24"/>
      <c r="E1881" s="17"/>
      <c r="F1881" s="17"/>
      <c r="G1881" s="17"/>
      <c r="H1881" s="31"/>
      <c r="I1881" s="31"/>
      <c r="J1881" s="31"/>
      <c r="K1881" s="122"/>
      <c r="M1881" s="119"/>
      <c r="N1881" s="30"/>
      <c r="O1881" s="24"/>
      <c r="P1881" s="17"/>
      <c r="Q1881" s="17"/>
      <c r="R1881" s="17"/>
      <c r="S1881" s="31"/>
      <c r="T1881" s="31"/>
      <c r="U1881" s="31"/>
      <c r="V1881" s="122"/>
    </row>
    <row r="1882" spans="2:22" ht="16">
      <c r="B1882" s="119"/>
      <c r="C1882" s="30"/>
      <c r="D1882" s="24"/>
      <c r="E1882" s="17"/>
      <c r="F1882" s="17"/>
      <c r="G1882" s="17"/>
      <c r="H1882" s="31"/>
      <c r="I1882" s="31"/>
      <c r="J1882" s="31"/>
      <c r="K1882" s="122"/>
      <c r="M1882" s="119"/>
      <c r="N1882" s="30"/>
      <c r="O1882" s="24"/>
      <c r="P1882" s="17"/>
      <c r="Q1882" s="17"/>
      <c r="R1882" s="17"/>
      <c r="S1882" s="31"/>
      <c r="T1882" s="31"/>
      <c r="U1882" s="31"/>
      <c r="V1882" s="122"/>
    </row>
    <row r="1883" spans="2:22" ht="16">
      <c r="B1883" s="119"/>
      <c r="C1883" s="30"/>
      <c r="D1883" s="24"/>
      <c r="E1883" s="17"/>
      <c r="F1883" s="17"/>
      <c r="G1883" s="17"/>
      <c r="H1883" s="31"/>
      <c r="I1883" s="31"/>
      <c r="J1883" s="31"/>
      <c r="K1883" s="122"/>
      <c r="M1883" s="119"/>
      <c r="N1883" s="30"/>
      <c r="O1883" s="24"/>
      <c r="P1883" s="17"/>
      <c r="Q1883" s="17"/>
      <c r="R1883" s="17"/>
      <c r="S1883" s="31"/>
      <c r="T1883" s="31"/>
      <c r="U1883" s="31"/>
      <c r="V1883" s="122"/>
    </row>
    <row r="1884" spans="2:22" ht="16">
      <c r="B1884" s="119"/>
      <c r="C1884" s="30"/>
      <c r="D1884" s="24"/>
      <c r="E1884" s="17"/>
      <c r="F1884" s="17"/>
      <c r="G1884" s="17"/>
      <c r="H1884" s="31"/>
      <c r="I1884" s="31"/>
      <c r="J1884" s="31"/>
      <c r="K1884" s="122"/>
      <c r="M1884" s="119"/>
      <c r="N1884" s="30"/>
      <c r="O1884" s="24"/>
      <c r="P1884" s="17"/>
      <c r="Q1884" s="17"/>
      <c r="R1884" s="17"/>
      <c r="S1884" s="31"/>
      <c r="T1884" s="31"/>
      <c r="U1884" s="31"/>
      <c r="V1884" s="122"/>
    </row>
    <row r="1885" spans="2:22" ht="16">
      <c r="B1885" s="119"/>
      <c r="C1885" s="30"/>
      <c r="D1885" s="24"/>
      <c r="E1885" s="17"/>
      <c r="F1885" s="17"/>
      <c r="G1885" s="17"/>
      <c r="H1885" s="31"/>
      <c r="I1885" s="31"/>
      <c r="J1885" s="31"/>
      <c r="K1885" s="122"/>
      <c r="M1885" s="119"/>
      <c r="N1885" s="30"/>
      <c r="O1885" s="24"/>
      <c r="P1885" s="17"/>
      <c r="Q1885" s="17"/>
      <c r="R1885" s="17"/>
      <c r="S1885" s="31"/>
      <c r="T1885" s="31"/>
      <c r="U1885" s="31"/>
      <c r="V1885" s="122"/>
    </row>
    <row r="1886" spans="2:22" ht="16">
      <c r="B1886" s="119"/>
      <c r="C1886" s="30"/>
      <c r="D1886" s="24"/>
      <c r="E1886" s="17"/>
      <c r="F1886" s="17"/>
      <c r="G1886" s="17"/>
      <c r="H1886" s="31"/>
      <c r="I1886" s="31"/>
      <c r="J1886" s="31"/>
      <c r="K1886" s="122"/>
      <c r="M1886" s="119"/>
      <c r="N1886" s="30"/>
      <c r="O1886" s="24"/>
      <c r="P1886" s="17"/>
      <c r="Q1886" s="17"/>
      <c r="R1886" s="17"/>
      <c r="S1886" s="31"/>
      <c r="T1886" s="31"/>
      <c r="U1886" s="31"/>
      <c r="V1886" s="122"/>
    </row>
    <row r="1887" spans="2:22" ht="16">
      <c r="B1887" s="119"/>
      <c r="C1887" s="30"/>
      <c r="D1887" s="24"/>
      <c r="E1887" s="17"/>
      <c r="F1887" s="17"/>
      <c r="G1887" s="17"/>
      <c r="H1887" s="31"/>
      <c r="I1887" s="31"/>
      <c r="J1887" s="31"/>
      <c r="K1887" s="122"/>
      <c r="M1887" s="119"/>
      <c r="N1887" s="30"/>
      <c r="O1887" s="24"/>
      <c r="P1887" s="17"/>
      <c r="Q1887" s="17"/>
      <c r="R1887" s="17"/>
      <c r="S1887" s="31"/>
      <c r="T1887" s="31"/>
      <c r="U1887" s="31"/>
      <c r="V1887" s="122"/>
    </row>
    <row r="1888" spans="2:22" ht="16">
      <c r="B1888" s="119"/>
      <c r="C1888" s="30"/>
      <c r="D1888" s="24"/>
      <c r="E1888" s="17"/>
      <c r="F1888" s="17"/>
      <c r="G1888" s="17"/>
      <c r="H1888" s="31"/>
      <c r="I1888" s="31"/>
      <c r="J1888" s="31"/>
      <c r="K1888" s="122"/>
      <c r="M1888" s="119"/>
      <c r="N1888" s="30"/>
      <c r="O1888" s="24"/>
      <c r="P1888" s="17"/>
      <c r="Q1888" s="17"/>
      <c r="R1888" s="17"/>
      <c r="S1888" s="31"/>
      <c r="T1888" s="31"/>
      <c r="U1888" s="31"/>
      <c r="V1888" s="122"/>
    </row>
    <row r="1889" spans="2:22" ht="16">
      <c r="B1889" s="119"/>
      <c r="C1889" s="30"/>
      <c r="D1889" s="24"/>
      <c r="E1889" s="17"/>
      <c r="F1889" s="17"/>
      <c r="G1889" s="17"/>
      <c r="H1889" s="31"/>
      <c r="I1889" s="31"/>
      <c r="J1889" s="31"/>
      <c r="K1889" s="122"/>
      <c r="M1889" s="119"/>
      <c r="N1889" s="30"/>
      <c r="O1889" s="24"/>
      <c r="P1889" s="17"/>
      <c r="Q1889" s="17"/>
      <c r="R1889" s="17"/>
      <c r="S1889" s="31"/>
      <c r="T1889" s="31"/>
      <c r="U1889" s="31"/>
      <c r="V1889" s="122"/>
    </row>
    <row r="1890" spans="2:22" ht="16">
      <c r="B1890" s="119"/>
      <c r="C1890" s="30"/>
      <c r="D1890" s="24"/>
      <c r="E1890" s="17"/>
      <c r="F1890" s="17"/>
      <c r="G1890" s="17"/>
      <c r="H1890" s="31"/>
      <c r="I1890" s="31"/>
      <c r="J1890" s="31"/>
      <c r="K1890" s="122"/>
      <c r="M1890" s="119"/>
      <c r="N1890" s="30"/>
      <c r="O1890" s="24"/>
      <c r="P1890" s="17"/>
      <c r="Q1890" s="17"/>
      <c r="R1890" s="17"/>
      <c r="S1890" s="31"/>
      <c r="T1890" s="31"/>
      <c r="U1890" s="31"/>
      <c r="V1890" s="122"/>
    </row>
    <row r="1891" spans="2:22" ht="16">
      <c r="B1891" s="119"/>
      <c r="C1891" s="30"/>
      <c r="D1891" s="24"/>
      <c r="E1891" s="17"/>
      <c r="F1891" s="17"/>
      <c r="G1891" s="17"/>
      <c r="H1891" s="31"/>
      <c r="I1891" s="31"/>
      <c r="J1891" s="31"/>
      <c r="K1891" s="122"/>
      <c r="M1891" s="119"/>
      <c r="N1891" s="30"/>
      <c r="O1891" s="24"/>
      <c r="P1891" s="17"/>
      <c r="Q1891" s="17"/>
      <c r="R1891" s="17"/>
      <c r="S1891" s="31"/>
      <c r="T1891" s="31"/>
      <c r="U1891" s="31"/>
      <c r="V1891" s="122"/>
    </row>
    <row r="1892" spans="2:22" ht="16">
      <c r="B1892" s="119"/>
      <c r="C1892" s="30"/>
      <c r="D1892" s="24"/>
      <c r="E1892" s="17"/>
      <c r="F1892" s="17"/>
      <c r="G1892" s="17"/>
      <c r="H1892" s="31"/>
      <c r="I1892" s="31"/>
      <c r="J1892" s="31"/>
      <c r="K1892" s="122"/>
      <c r="M1892" s="119"/>
      <c r="N1892" s="30"/>
      <c r="O1892" s="24"/>
      <c r="P1892" s="17"/>
      <c r="Q1892" s="17"/>
      <c r="R1892" s="17"/>
      <c r="S1892" s="31"/>
      <c r="T1892" s="31"/>
      <c r="U1892" s="31"/>
      <c r="V1892" s="122"/>
    </row>
    <row r="1893" spans="2:22" ht="16">
      <c r="B1893" s="119"/>
      <c r="C1893" s="30"/>
      <c r="D1893" s="24"/>
      <c r="E1893" s="17"/>
      <c r="F1893" s="17"/>
      <c r="G1893" s="17"/>
      <c r="H1893" s="31"/>
      <c r="I1893" s="31"/>
      <c r="J1893" s="31"/>
      <c r="K1893" s="122"/>
      <c r="M1893" s="119"/>
      <c r="N1893" s="30"/>
      <c r="O1893" s="24"/>
      <c r="P1893" s="17"/>
      <c r="Q1893" s="17"/>
      <c r="R1893" s="17"/>
      <c r="S1893" s="31"/>
      <c r="T1893" s="31"/>
      <c r="U1893" s="31"/>
      <c r="V1893" s="122"/>
    </row>
    <row r="1894" spans="2:22" ht="16">
      <c r="B1894" s="119"/>
      <c r="C1894" s="30"/>
      <c r="D1894" s="24"/>
      <c r="E1894" s="17"/>
      <c r="F1894" s="17"/>
      <c r="G1894" s="17"/>
      <c r="H1894" s="31"/>
      <c r="I1894" s="31"/>
      <c r="J1894" s="31"/>
      <c r="K1894" s="122"/>
      <c r="M1894" s="119"/>
      <c r="N1894" s="30"/>
      <c r="O1894" s="24"/>
      <c r="P1894" s="17"/>
      <c r="Q1894" s="17"/>
      <c r="R1894" s="17"/>
      <c r="S1894" s="31"/>
      <c r="T1894" s="31"/>
      <c r="U1894" s="31"/>
      <c r="V1894" s="122"/>
    </row>
    <row r="1895" spans="2:22" ht="16">
      <c r="B1895" s="119"/>
      <c r="C1895" s="30"/>
      <c r="D1895" s="24"/>
      <c r="E1895" s="17"/>
      <c r="F1895" s="17"/>
      <c r="G1895" s="17"/>
      <c r="H1895" s="31"/>
      <c r="I1895" s="31"/>
      <c r="J1895" s="31"/>
      <c r="K1895" s="122"/>
      <c r="M1895" s="119"/>
      <c r="N1895" s="30"/>
      <c r="O1895" s="24"/>
      <c r="P1895" s="17"/>
      <c r="Q1895" s="17"/>
      <c r="R1895" s="17"/>
      <c r="S1895" s="31"/>
      <c r="T1895" s="31"/>
      <c r="U1895" s="31"/>
      <c r="V1895" s="122"/>
    </row>
    <row r="1896" spans="2:22" ht="16">
      <c r="B1896" s="119"/>
      <c r="C1896" s="30"/>
      <c r="D1896" s="24"/>
      <c r="E1896" s="17"/>
      <c r="F1896" s="17"/>
      <c r="G1896" s="17"/>
      <c r="H1896" s="31"/>
      <c r="I1896" s="31"/>
      <c r="J1896" s="31"/>
      <c r="K1896" s="122"/>
      <c r="M1896" s="119"/>
      <c r="N1896" s="30"/>
      <c r="O1896" s="24"/>
      <c r="P1896" s="17"/>
      <c r="Q1896" s="17"/>
      <c r="R1896" s="17"/>
      <c r="S1896" s="31"/>
      <c r="T1896" s="31"/>
      <c r="U1896" s="31"/>
      <c r="V1896" s="122"/>
    </row>
    <row r="1897" spans="2:22" ht="16">
      <c r="B1897" s="119"/>
      <c r="C1897" s="30"/>
      <c r="D1897" s="24"/>
      <c r="E1897" s="17"/>
      <c r="F1897" s="17"/>
      <c r="G1897" s="17"/>
      <c r="H1897" s="31"/>
      <c r="I1897" s="31"/>
      <c r="J1897" s="31"/>
      <c r="K1897" s="122"/>
      <c r="M1897" s="119"/>
      <c r="N1897" s="30"/>
      <c r="O1897" s="24"/>
      <c r="P1897" s="17"/>
      <c r="Q1897" s="17"/>
      <c r="R1897" s="17"/>
      <c r="S1897" s="31"/>
      <c r="T1897" s="31"/>
      <c r="U1897" s="31"/>
      <c r="V1897" s="122"/>
    </row>
    <row r="1898" spans="2:22" ht="16">
      <c r="B1898" s="119"/>
      <c r="C1898" s="30"/>
      <c r="D1898" s="24"/>
      <c r="E1898" s="17"/>
      <c r="F1898" s="17"/>
      <c r="G1898" s="17"/>
      <c r="H1898" s="31"/>
      <c r="I1898" s="31"/>
      <c r="J1898" s="31"/>
      <c r="K1898" s="122"/>
      <c r="M1898" s="119"/>
      <c r="N1898" s="30"/>
      <c r="O1898" s="24"/>
      <c r="P1898" s="17"/>
      <c r="Q1898" s="17"/>
      <c r="R1898" s="17"/>
      <c r="S1898" s="31"/>
      <c r="T1898" s="31"/>
      <c r="U1898" s="31"/>
      <c r="V1898" s="122"/>
    </row>
    <row r="1899" spans="2:22" ht="16">
      <c r="B1899" s="119"/>
      <c r="C1899" s="30"/>
      <c r="D1899" s="24"/>
      <c r="E1899" s="17"/>
      <c r="F1899" s="17"/>
      <c r="G1899" s="17"/>
      <c r="H1899" s="31"/>
      <c r="I1899" s="31"/>
      <c r="J1899" s="31"/>
      <c r="K1899" s="122"/>
      <c r="M1899" s="119"/>
      <c r="N1899" s="30"/>
      <c r="O1899" s="24"/>
      <c r="P1899" s="17"/>
      <c r="Q1899" s="17"/>
      <c r="R1899" s="17"/>
      <c r="S1899" s="31"/>
      <c r="T1899" s="31"/>
      <c r="U1899" s="31"/>
      <c r="V1899" s="122"/>
    </row>
    <row r="1900" spans="2:22" ht="16">
      <c r="B1900" s="119"/>
      <c r="C1900" s="30"/>
      <c r="D1900" s="24"/>
      <c r="E1900" s="17"/>
      <c r="F1900" s="17"/>
      <c r="G1900" s="17"/>
      <c r="H1900" s="31"/>
      <c r="I1900" s="31"/>
      <c r="J1900" s="31"/>
      <c r="K1900" s="122"/>
      <c r="M1900" s="119"/>
      <c r="N1900" s="30"/>
      <c r="O1900" s="24"/>
      <c r="P1900" s="17"/>
      <c r="Q1900" s="17"/>
      <c r="R1900" s="17"/>
      <c r="S1900" s="31"/>
      <c r="T1900" s="31"/>
      <c r="U1900" s="31"/>
      <c r="V1900" s="122"/>
    </row>
    <row r="1901" spans="2:22" ht="16">
      <c r="B1901" s="119"/>
      <c r="C1901" s="30"/>
      <c r="D1901" s="24"/>
      <c r="E1901" s="17"/>
      <c r="F1901" s="17"/>
      <c r="G1901" s="17"/>
      <c r="H1901" s="31"/>
      <c r="I1901" s="31"/>
      <c r="J1901" s="31"/>
      <c r="K1901" s="122"/>
      <c r="M1901" s="119"/>
      <c r="N1901" s="30"/>
      <c r="O1901" s="24"/>
      <c r="P1901" s="17"/>
      <c r="Q1901" s="17"/>
      <c r="R1901" s="17"/>
      <c r="S1901" s="31"/>
      <c r="T1901" s="31"/>
      <c r="U1901" s="31"/>
      <c r="V1901" s="122"/>
    </row>
    <row r="1902" spans="2:22" ht="16">
      <c r="B1902" s="119"/>
      <c r="C1902" s="30"/>
      <c r="D1902" s="24"/>
      <c r="E1902" s="17"/>
      <c r="F1902" s="17"/>
      <c r="G1902" s="17"/>
      <c r="H1902" s="31"/>
      <c r="I1902" s="31"/>
      <c r="J1902" s="31"/>
      <c r="K1902" s="122"/>
      <c r="M1902" s="119"/>
      <c r="N1902" s="30"/>
      <c r="O1902" s="24"/>
      <c r="P1902" s="17"/>
      <c r="Q1902" s="17"/>
      <c r="R1902" s="17"/>
      <c r="S1902" s="31"/>
      <c r="T1902" s="31"/>
      <c r="U1902" s="31"/>
      <c r="V1902" s="122"/>
    </row>
    <row r="1903" spans="2:22" ht="16">
      <c r="B1903" s="119"/>
      <c r="C1903" s="30"/>
      <c r="D1903" s="24"/>
      <c r="E1903" s="17"/>
      <c r="F1903" s="17"/>
      <c r="G1903" s="17"/>
      <c r="H1903" s="31"/>
      <c r="I1903" s="31"/>
      <c r="J1903" s="31"/>
      <c r="K1903" s="122"/>
      <c r="M1903" s="119"/>
      <c r="N1903" s="30"/>
      <c r="O1903" s="24"/>
      <c r="P1903" s="17"/>
      <c r="Q1903" s="17"/>
      <c r="R1903" s="17"/>
      <c r="S1903" s="31"/>
      <c r="T1903" s="31"/>
      <c r="U1903" s="31"/>
      <c r="V1903" s="122"/>
    </row>
    <row r="1904" spans="2:22" ht="16">
      <c r="B1904" s="119"/>
      <c r="C1904" s="30"/>
      <c r="D1904" s="24"/>
      <c r="E1904" s="17"/>
      <c r="F1904" s="17"/>
      <c r="G1904" s="17"/>
      <c r="H1904" s="31"/>
      <c r="I1904" s="31"/>
      <c r="J1904" s="31"/>
      <c r="K1904" s="122"/>
      <c r="M1904" s="119"/>
      <c r="N1904" s="30"/>
      <c r="O1904" s="24"/>
      <c r="P1904" s="17"/>
      <c r="Q1904" s="17"/>
      <c r="R1904" s="17"/>
      <c r="S1904" s="31"/>
      <c r="T1904" s="31"/>
      <c r="U1904" s="31"/>
      <c r="V1904" s="122"/>
    </row>
    <row r="1905" spans="2:22" ht="16">
      <c r="B1905" s="119"/>
      <c r="C1905" s="30"/>
      <c r="D1905" s="24"/>
      <c r="E1905" s="17"/>
      <c r="F1905" s="17"/>
      <c r="G1905" s="17"/>
      <c r="H1905" s="31"/>
      <c r="I1905" s="31"/>
      <c r="J1905" s="31"/>
      <c r="K1905" s="122"/>
      <c r="M1905" s="119"/>
      <c r="N1905" s="30"/>
      <c r="O1905" s="24"/>
      <c r="P1905" s="17"/>
      <c r="Q1905" s="17"/>
      <c r="R1905" s="17"/>
      <c r="S1905" s="31"/>
      <c r="T1905" s="31"/>
      <c r="U1905" s="31"/>
      <c r="V1905" s="122"/>
    </row>
    <row r="1906" spans="2:22" ht="16">
      <c r="B1906" s="119"/>
      <c r="C1906" s="30"/>
      <c r="D1906" s="24"/>
      <c r="E1906" s="17"/>
      <c r="F1906" s="17"/>
      <c r="G1906" s="17"/>
      <c r="H1906" s="31"/>
      <c r="I1906" s="31"/>
      <c r="J1906" s="31"/>
      <c r="K1906" s="122"/>
      <c r="M1906" s="119"/>
      <c r="N1906" s="30"/>
      <c r="O1906" s="24"/>
      <c r="P1906" s="17"/>
      <c r="Q1906" s="17"/>
      <c r="R1906" s="17"/>
      <c r="S1906" s="31"/>
      <c r="T1906" s="31"/>
      <c r="U1906" s="31"/>
      <c r="V1906" s="122"/>
    </row>
    <row r="1907" spans="2:22" ht="16">
      <c r="B1907" s="119"/>
      <c r="C1907" s="30"/>
      <c r="D1907" s="24"/>
      <c r="E1907" s="17"/>
      <c r="F1907" s="17"/>
      <c r="G1907" s="17"/>
      <c r="H1907" s="31"/>
      <c r="I1907" s="31"/>
      <c r="J1907" s="31"/>
      <c r="K1907" s="122"/>
      <c r="M1907" s="119"/>
      <c r="N1907" s="30"/>
      <c r="O1907" s="24"/>
      <c r="P1907" s="17"/>
      <c r="Q1907" s="17"/>
      <c r="R1907" s="17"/>
      <c r="S1907" s="31"/>
      <c r="T1907" s="31"/>
      <c r="U1907" s="31"/>
      <c r="V1907" s="122"/>
    </row>
    <row r="1908" spans="2:22" ht="16">
      <c r="B1908" s="119"/>
      <c r="C1908" s="30"/>
      <c r="D1908" s="24"/>
      <c r="E1908" s="17"/>
      <c r="F1908" s="17"/>
      <c r="G1908" s="17"/>
      <c r="H1908" s="31"/>
      <c r="I1908" s="31"/>
      <c r="J1908" s="31"/>
      <c r="K1908" s="122"/>
      <c r="M1908" s="119"/>
      <c r="N1908" s="30"/>
      <c r="O1908" s="24"/>
      <c r="P1908" s="17"/>
      <c r="Q1908" s="17"/>
      <c r="R1908" s="17"/>
      <c r="S1908" s="31"/>
      <c r="T1908" s="31"/>
      <c r="U1908" s="31"/>
      <c r="V1908" s="122"/>
    </row>
    <row r="1909" spans="2:22" ht="16">
      <c r="B1909" s="119"/>
      <c r="C1909" s="30"/>
      <c r="D1909" s="24"/>
      <c r="E1909" s="17"/>
      <c r="F1909" s="17"/>
      <c r="G1909" s="17"/>
      <c r="H1909" s="31"/>
      <c r="I1909" s="31"/>
      <c r="J1909" s="31"/>
      <c r="K1909" s="122"/>
      <c r="M1909" s="119"/>
      <c r="N1909" s="30"/>
      <c r="O1909" s="24"/>
      <c r="P1909" s="17"/>
      <c r="Q1909" s="17"/>
      <c r="R1909" s="17"/>
      <c r="S1909" s="31"/>
      <c r="T1909" s="31"/>
      <c r="U1909" s="31"/>
      <c r="V1909" s="122"/>
    </row>
    <row r="1910" spans="2:22" ht="16">
      <c r="B1910" s="119"/>
      <c r="C1910" s="30"/>
      <c r="D1910" s="24"/>
      <c r="E1910" s="17"/>
      <c r="F1910" s="17"/>
      <c r="G1910" s="17"/>
      <c r="H1910" s="31"/>
      <c r="I1910" s="31"/>
      <c r="J1910" s="31"/>
      <c r="K1910" s="122"/>
      <c r="M1910" s="119"/>
      <c r="N1910" s="30"/>
      <c r="O1910" s="24"/>
      <c r="P1910" s="17"/>
      <c r="Q1910" s="17"/>
      <c r="R1910" s="17"/>
      <c r="S1910" s="31"/>
      <c r="T1910" s="31"/>
      <c r="U1910" s="31"/>
      <c r="V1910" s="122"/>
    </row>
    <row r="1911" spans="2:22" ht="16">
      <c r="B1911" s="119"/>
      <c r="C1911" s="30"/>
      <c r="D1911" s="24"/>
      <c r="E1911" s="17"/>
      <c r="F1911" s="17"/>
      <c r="G1911" s="17"/>
      <c r="H1911" s="31"/>
      <c r="I1911" s="31"/>
      <c r="J1911" s="31"/>
      <c r="K1911" s="122"/>
      <c r="M1911" s="119"/>
      <c r="N1911" s="30"/>
      <c r="O1911" s="24"/>
      <c r="P1911" s="17"/>
      <c r="Q1911" s="17"/>
      <c r="R1911" s="17"/>
      <c r="S1911" s="31"/>
      <c r="T1911" s="31"/>
      <c r="U1911" s="31"/>
      <c r="V1911" s="122"/>
    </row>
    <row r="1912" spans="2:22" ht="16">
      <c r="B1912" s="119"/>
      <c r="C1912" s="30"/>
      <c r="D1912" s="24"/>
      <c r="E1912" s="17"/>
      <c r="F1912" s="17"/>
      <c r="G1912" s="17"/>
      <c r="H1912" s="31"/>
      <c r="I1912" s="31"/>
      <c r="J1912" s="31"/>
      <c r="K1912" s="122"/>
      <c r="M1912" s="119"/>
      <c r="N1912" s="30"/>
      <c r="O1912" s="24"/>
      <c r="P1912" s="17"/>
      <c r="Q1912" s="17"/>
      <c r="R1912" s="17"/>
      <c r="S1912" s="31"/>
      <c r="T1912" s="31"/>
      <c r="U1912" s="31"/>
      <c r="V1912" s="122"/>
    </row>
    <row r="1913" spans="2:22" ht="16">
      <c r="B1913" s="119"/>
      <c r="C1913" s="30"/>
      <c r="D1913" s="24"/>
      <c r="E1913" s="17"/>
      <c r="F1913" s="17"/>
      <c r="G1913" s="17"/>
      <c r="H1913" s="31"/>
      <c r="I1913" s="31"/>
      <c r="J1913" s="31"/>
      <c r="K1913" s="122"/>
      <c r="M1913" s="119"/>
      <c r="N1913" s="30"/>
      <c r="O1913" s="24"/>
      <c r="P1913" s="17"/>
      <c r="Q1913" s="17"/>
      <c r="R1913" s="17"/>
      <c r="S1913" s="31"/>
      <c r="T1913" s="31"/>
      <c r="U1913" s="31"/>
      <c r="V1913" s="122"/>
    </row>
    <row r="1914" spans="2:22" ht="16">
      <c r="B1914" s="119"/>
      <c r="C1914" s="30"/>
      <c r="D1914" s="24"/>
      <c r="E1914" s="17"/>
      <c r="F1914" s="17"/>
      <c r="G1914" s="17"/>
      <c r="H1914" s="31"/>
      <c r="I1914" s="31"/>
      <c r="J1914" s="31"/>
      <c r="K1914" s="122"/>
      <c r="M1914" s="119"/>
      <c r="N1914" s="30"/>
      <c r="O1914" s="24"/>
      <c r="P1914" s="17"/>
      <c r="Q1914" s="17"/>
      <c r="R1914" s="17"/>
      <c r="S1914" s="31"/>
      <c r="T1914" s="31"/>
      <c r="U1914" s="31"/>
      <c r="V1914" s="122"/>
    </row>
    <row r="1915" spans="2:22" ht="16">
      <c r="B1915" s="119"/>
      <c r="C1915" s="30"/>
      <c r="D1915" s="24"/>
      <c r="E1915" s="17"/>
      <c r="F1915" s="17"/>
      <c r="G1915" s="17"/>
      <c r="H1915" s="31"/>
      <c r="I1915" s="31"/>
      <c r="J1915" s="31"/>
      <c r="K1915" s="122"/>
      <c r="M1915" s="119"/>
      <c r="N1915" s="30"/>
      <c r="O1915" s="24"/>
      <c r="P1915" s="17"/>
      <c r="Q1915" s="17"/>
      <c r="R1915" s="17"/>
      <c r="S1915" s="31"/>
      <c r="T1915" s="31"/>
      <c r="U1915" s="31"/>
      <c r="V1915" s="122"/>
    </row>
    <row r="1916" spans="2:22" ht="16">
      <c r="B1916" s="119"/>
      <c r="C1916" s="30"/>
      <c r="D1916" s="24"/>
      <c r="E1916" s="17"/>
      <c r="F1916" s="17"/>
      <c r="G1916" s="17"/>
      <c r="H1916" s="31"/>
      <c r="I1916" s="31"/>
      <c r="J1916" s="31"/>
      <c r="K1916" s="122"/>
      <c r="M1916" s="119"/>
      <c r="N1916" s="30"/>
      <c r="O1916" s="24"/>
      <c r="P1916" s="17"/>
      <c r="Q1916" s="17"/>
      <c r="R1916" s="17"/>
      <c r="S1916" s="31"/>
      <c r="T1916" s="31"/>
      <c r="U1916" s="31"/>
      <c r="V1916" s="122"/>
    </row>
    <row r="1917" spans="2:22" ht="16">
      <c r="B1917" s="119"/>
      <c r="C1917" s="30"/>
      <c r="D1917" s="24"/>
      <c r="E1917" s="17"/>
      <c r="F1917" s="17"/>
      <c r="G1917" s="17"/>
      <c r="H1917" s="31"/>
      <c r="I1917" s="31"/>
      <c r="J1917" s="31"/>
      <c r="K1917" s="122"/>
      <c r="M1917" s="119"/>
      <c r="N1917" s="30"/>
      <c r="O1917" s="24"/>
      <c r="P1917" s="17"/>
      <c r="Q1917" s="17"/>
      <c r="R1917" s="17"/>
      <c r="S1917" s="31"/>
      <c r="T1917" s="31"/>
      <c r="U1917" s="31"/>
      <c r="V1917" s="122"/>
    </row>
    <row r="1918" spans="2:22" ht="16">
      <c r="B1918" s="119"/>
      <c r="C1918" s="30"/>
      <c r="D1918" s="24"/>
      <c r="E1918" s="17"/>
      <c r="F1918" s="17"/>
      <c r="G1918" s="17"/>
      <c r="H1918" s="31"/>
      <c r="I1918" s="31"/>
      <c r="J1918" s="31"/>
      <c r="K1918" s="122"/>
      <c r="M1918" s="119"/>
      <c r="N1918" s="30"/>
      <c r="O1918" s="24"/>
      <c r="P1918" s="17"/>
      <c r="Q1918" s="17"/>
      <c r="R1918" s="17"/>
      <c r="S1918" s="31"/>
      <c r="T1918" s="31"/>
      <c r="U1918" s="31"/>
      <c r="V1918" s="122"/>
    </row>
    <row r="1919" spans="2:22" ht="16">
      <c r="B1919" s="119"/>
      <c r="C1919" s="30"/>
      <c r="D1919" s="24"/>
      <c r="E1919" s="17"/>
      <c r="F1919" s="17"/>
      <c r="G1919" s="17"/>
      <c r="H1919" s="31"/>
      <c r="I1919" s="31"/>
      <c r="J1919" s="31"/>
      <c r="K1919" s="122"/>
      <c r="M1919" s="119"/>
      <c r="N1919" s="30"/>
      <c r="O1919" s="24"/>
      <c r="P1919" s="17"/>
      <c r="Q1919" s="17"/>
      <c r="R1919" s="17"/>
      <c r="S1919" s="31"/>
      <c r="T1919" s="31"/>
      <c r="U1919" s="31"/>
      <c r="V1919" s="122"/>
    </row>
    <row r="1920" spans="2:22" ht="16">
      <c r="B1920" s="119"/>
      <c r="C1920" s="30"/>
      <c r="D1920" s="24"/>
      <c r="E1920" s="17"/>
      <c r="F1920" s="17"/>
      <c r="G1920" s="17"/>
      <c r="H1920" s="31"/>
      <c r="I1920" s="31"/>
      <c r="J1920" s="31"/>
      <c r="K1920" s="122"/>
      <c r="M1920" s="119"/>
      <c r="N1920" s="30"/>
      <c r="O1920" s="24"/>
      <c r="P1920" s="17"/>
      <c r="Q1920" s="17"/>
      <c r="R1920" s="17"/>
      <c r="S1920" s="31"/>
      <c r="T1920" s="31"/>
      <c r="U1920" s="31"/>
      <c r="V1920" s="122"/>
    </row>
    <row r="1921" spans="2:22" ht="16">
      <c r="B1921" s="119"/>
      <c r="C1921" s="30"/>
      <c r="D1921" s="24"/>
      <c r="E1921" s="17"/>
      <c r="F1921" s="17"/>
      <c r="G1921" s="17"/>
      <c r="H1921" s="31"/>
      <c r="I1921" s="31"/>
      <c r="J1921" s="31"/>
      <c r="K1921" s="122"/>
      <c r="M1921" s="119"/>
      <c r="N1921" s="30"/>
      <c r="O1921" s="24"/>
      <c r="P1921" s="17"/>
      <c r="Q1921" s="17"/>
      <c r="R1921" s="17"/>
      <c r="S1921" s="31"/>
      <c r="T1921" s="31"/>
      <c r="U1921" s="31"/>
      <c r="V1921" s="122"/>
    </row>
    <row r="1922" spans="2:22" ht="16">
      <c r="B1922" s="119"/>
      <c r="C1922" s="30"/>
      <c r="D1922" s="24"/>
      <c r="E1922" s="17"/>
      <c r="F1922" s="17"/>
      <c r="G1922" s="17"/>
      <c r="H1922" s="31"/>
      <c r="I1922" s="31"/>
      <c r="J1922" s="31"/>
      <c r="K1922" s="122"/>
      <c r="M1922" s="119"/>
      <c r="N1922" s="30"/>
      <c r="O1922" s="24"/>
      <c r="P1922" s="17"/>
      <c r="Q1922" s="17"/>
      <c r="R1922" s="17"/>
      <c r="S1922" s="31"/>
      <c r="T1922" s="31"/>
      <c r="U1922" s="31"/>
      <c r="V1922" s="122"/>
    </row>
    <row r="1923" spans="2:22" ht="16">
      <c r="B1923" s="119"/>
      <c r="C1923" s="30"/>
      <c r="D1923" s="24"/>
      <c r="E1923" s="17"/>
      <c r="F1923" s="17"/>
      <c r="G1923" s="17"/>
      <c r="H1923" s="31"/>
      <c r="I1923" s="31"/>
      <c r="J1923" s="31"/>
      <c r="K1923" s="122"/>
      <c r="M1923" s="119"/>
      <c r="N1923" s="30"/>
      <c r="O1923" s="24"/>
      <c r="P1923" s="17"/>
      <c r="Q1923" s="17"/>
      <c r="R1923" s="17"/>
      <c r="S1923" s="31"/>
      <c r="T1923" s="31"/>
      <c r="U1923" s="31"/>
      <c r="V1923" s="122"/>
    </row>
    <row r="1924" spans="2:22" ht="16">
      <c r="B1924" s="119"/>
      <c r="C1924" s="30"/>
      <c r="D1924" s="24"/>
      <c r="E1924" s="17"/>
      <c r="F1924" s="17"/>
      <c r="G1924" s="17"/>
      <c r="H1924" s="31"/>
      <c r="I1924" s="31"/>
      <c r="J1924" s="31"/>
      <c r="K1924" s="122"/>
      <c r="M1924" s="119"/>
      <c r="N1924" s="30"/>
      <c r="O1924" s="24"/>
      <c r="P1924" s="17"/>
      <c r="Q1924" s="17"/>
      <c r="R1924" s="17"/>
      <c r="S1924" s="31"/>
      <c r="T1924" s="31"/>
      <c r="U1924" s="31"/>
      <c r="V1924" s="122"/>
    </row>
    <row r="1925" spans="2:22" ht="16">
      <c r="B1925" s="119"/>
      <c r="C1925" s="30"/>
      <c r="D1925" s="24"/>
      <c r="E1925" s="17"/>
      <c r="F1925" s="17"/>
      <c r="G1925" s="17"/>
      <c r="H1925" s="31"/>
      <c r="I1925" s="31"/>
      <c r="J1925" s="31"/>
      <c r="K1925" s="122"/>
      <c r="M1925" s="119"/>
      <c r="N1925" s="30"/>
      <c r="O1925" s="24"/>
      <c r="P1925" s="17"/>
      <c r="Q1925" s="17"/>
      <c r="R1925" s="17"/>
      <c r="S1925" s="31"/>
      <c r="T1925" s="31"/>
      <c r="U1925" s="31"/>
      <c r="V1925" s="122"/>
    </row>
    <row r="1926" spans="2:22" ht="16">
      <c r="B1926" s="119"/>
      <c r="C1926" s="30"/>
      <c r="D1926" s="24"/>
      <c r="E1926" s="17"/>
      <c r="F1926" s="17"/>
      <c r="G1926" s="17"/>
      <c r="H1926" s="31"/>
      <c r="I1926" s="31"/>
      <c r="J1926" s="31"/>
      <c r="K1926" s="122"/>
      <c r="M1926" s="119"/>
      <c r="N1926" s="30"/>
      <c r="O1926" s="24"/>
      <c r="P1926" s="17"/>
      <c r="Q1926" s="17"/>
      <c r="R1926" s="17"/>
      <c r="S1926" s="31"/>
      <c r="T1926" s="31"/>
      <c r="U1926" s="31"/>
      <c r="V1926" s="122"/>
    </row>
    <row r="1927" spans="2:22" ht="16">
      <c r="B1927" s="119"/>
      <c r="C1927" s="30"/>
      <c r="D1927" s="24"/>
      <c r="E1927" s="17"/>
      <c r="F1927" s="17"/>
      <c r="G1927" s="17"/>
      <c r="H1927" s="31"/>
      <c r="I1927" s="31"/>
      <c r="J1927" s="31"/>
      <c r="K1927" s="122"/>
      <c r="M1927" s="119"/>
      <c r="N1927" s="30"/>
      <c r="O1927" s="24"/>
      <c r="P1927" s="17"/>
      <c r="Q1927" s="17"/>
      <c r="R1927" s="17"/>
      <c r="S1927" s="31"/>
      <c r="T1927" s="31"/>
      <c r="U1927" s="31"/>
      <c r="V1927" s="122"/>
    </row>
    <row r="1928" spans="2:22" ht="16">
      <c r="B1928" s="119"/>
      <c r="C1928" s="30"/>
      <c r="D1928" s="24"/>
      <c r="E1928" s="17"/>
      <c r="F1928" s="17"/>
      <c r="G1928" s="17"/>
      <c r="H1928" s="31"/>
      <c r="I1928" s="31"/>
      <c r="J1928" s="31"/>
      <c r="K1928" s="122"/>
      <c r="M1928" s="119"/>
      <c r="N1928" s="30"/>
      <c r="O1928" s="24"/>
      <c r="P1928" s="17"/>
      <c r="Q1928" s="17"/>
      <c r="R1928" s="17"/>
      <c r="S1928" s="31"/>
      <c r="T1928" s="31"/>
      <c r="U1928" s="31"/>
      <c r="V1928" s="122"/>
    </row>
    <row r="1929" spans="2:22" ht="16">
      <c r="B1929" s="119"/>
      <c r="C1929" s="30"/>
      <c r="D1929" s="24"/>
      <c r="E1929" s="17"/>
      <c r="F1929" s="17"/>
      <c r="G1929" s="17"/>
      <c r="H1929" s="31"/>
      <c r="I1929" s="31"/>
      <c r="J1929" s="31"/>
      <c r="K1929" s="122"/>
      <c r="M1929" s="119"/>
      <c r="N1929" s="30"/>
      <c r="O1929" s="24"/>
      <c r="P1929" s="17"/>
      <c r="Q1929" s="17"/>
      <c r="R1929" s="17"/>
      <c r="S1929" s="31"/>
      <c r="T1929" s="31"/>
      <c r="U1929" s="31"/>
      <c r="V1929" s="122"/>
    </row>
    <row r="1930" spans="2:22" ht="16">
      <c r="B1930" s="119"/>
      <c r="C1930" s="30"/>
      <c r="D1930" s="24"/>
      <c r="E1930" s="17"/>
      <c r="F1930" s="17"/>
      <c r="G1930" s="17"/>
      <c r="H1930" s="31"/>
      <c r="I1930" s="31"/>
      <c r="J1930" s="31"/>
      <c r="K1930" s="122"/>
      <c r="M1930" s="119"/>
      <c r="N1930" s="30"/>
      <c r="O1930" s="24"/>
      <c r="P1930" s="17"/>
      <c r="Q1930" s="17"/>
      <c r="R1930" s="17"/>
      <c r="S1930" s="31"/>
      <c r="T1930" s="31"/>
      <c r="U1930" s="31"/>
      <c r="V1930" s="122"/>
    </row>
    <row r="1931" spans="2:22" ht="16">
      <c r="B1931" s="119"/>
      <c r="C1931" s="30"/>
      <c r="D1931" s="24"/>
      <c r="E1931" s="17"/>
      <c r="F1931" s="17"/>
      <c r="G1931" s="17"/>
      <c r="H1931" s="31"/>
      <c r="I1931" s="31"/>
      <c r="J1931" s="31"/>
      <c r="K1931" s="122"/>
      <c r="M1931" s="119"/>
      <c r="N1931" s="30"/>
      <c r="O1931" s="24"/>
      <c r="P1931" s="17"/>
      <c r="Q1931" s="17"/>
      <c r="R1931" s="17"/>
      <c r="S1931" s="31"/>
      <c r="T1931" s="31"/>
      <c r="U1931" s="31"/>
      <c r="V1931" s="122"/>
    </row>
    <row r="1932" spans="2:22" ht="16">
      <c r="B1932" s="119"/>
      <c r="C1932" s="30"/>
      <c r="D1932" s="24"/>
      <c r="E1932" s="17"/>
      <c r="F1932" s="17"/>
      <c r="G1932" s="17"/>
      <c r="H1932" s="31"/>
      <c r="I1932" s="31"/>
      <c r="J1932" s="31"/>
      <c r="K1932" s="122"/>
      <c r="M1932" s="119"/>
      <c r="N1932" s="30"/>
      <c r="O1932" s="24"/>
      <c r="P1932" s="17"/>
      <c r="Q1932" s="17"/>
      <c r="R1932" s="17"/>
      <c r="S1932" s="31"/>
      <c r="T1932" s="31"/>
      <c r="U1932" s="31"/>
      <c r="V1932" s="122"/>
    </row>
    <row r="1933" spans="2:22" ht="16">
      <c r="B1933" s="119"/>
      <c r="C1933" s="30"/>
      <c r="D1933" s="24"/>
      <c r="E1933" s="17"/>
      <c r="F1933" s="17"/>
      <c r="G1933" s="17"/>
      <c r="H1933" s="31"/>
      <c r="I1933" s="31"/>
      <c r="J1933" s="31"/>
      <c r="K1933" s="122"/>
      <c r="M1933" s="119"/>
      <c r="N1933" s="30"/>
      <c r="O1933" s="24"/>
      <c r="P1933" s="17"/>
      <c r="Q1933" s="17"/>
      <c r="R1933" s="17"/>
      <c r="S1933" s="31"/>
      <c r="T1933" s="31"/>
      <c r="U1933" s="31"/>
      <c r="V1933" s="122"/>
    </row>
    <row r="1934" spans="2:22" ht="16">
      <c r="B1934" s="119"/>
      <c r="C1934" s="30"/>
      <c r="D1934" s="24"/>
      <c r="E1934" s="17"/>
      <c r="F1934" s="17"/>
      <c r="G1934" s="17"/>
      <c r="H1934" s="31"/>
      <c r="I1934" s="31"/>
      <c r="J1934" s="31"/>
      <c r="K1934" s="122"/>
      <c r="M1934" s="119"/>
      <c r="N1934" s="30"/>
      <c r="O1934" s="24"/>
      <c r="P1934" s="17"/>
      <c r="Q1934" s="17"/>
      <c r="R1934" s="17"/>
      <c r="S1934" s="31"/>
      <c r="T1934" s="31"/>
      <c r="U1934" s="31"/>
      <c r="V1934" s="122"/>
    </row>
    <row r="1935" spans="2:22" ht="16">
      <c r="B1935" s="119"/>
      <c r="C1935" s="30"/>
      <c r="D1935" s="24"/>
      <c r="E1935" s="17"/>
      <c r="F1935" s="17"/>
      <c r="G1935" s="17"/>
      <c r="H1935" s="31"/>
      <c r="I1935" s="31"/>
      <c r="J1935" s="31"/>
      <c r="K1935" s="122"/>
      <c r="M1935" s="119"/>
      <c r="N1935" s="30"/>
      <c r="O1935" s="24"/>
      <c r="P1935" s="17"/>
      <c r="Q1935" s="17"/>
      <c r="R1935" s="17"/>
      <c r="S1935" s="31"/>
      <c r="T1935" s="31"/>
      <c r="U1935" s="31"/>
      <c r="V1935" s="122"/>
    </row>
    <row r="1936" spans="2:22" ht="16">
      <c r="B1936" s="119"/>
      <c r="C1936" s="30"/>
      <c r="D1936" s="24"/>
      <c r="E1936" s="17"/>
      <c r="F1936" s="17"/>
      <c r="G1936" s="17"/>
      <c r="H1936" s="31"/>
      <c r="I1936" s="31"/>
      <c r="J1936" s="31"/>
      <c r="K1936" s="122"/>
      <c r="M1936" s="119"/>
      <c r="N1936" s="30"/>
      <c r="O1936" s="24"/>
      <c r="P1936" s="17"/>
      <c r="Q1936" s="17"/>
      <c r="R1936" s="17"/>
      <c r="S1936" s="31"/>
      <c r="T1936" s="31"/>
      <c r="U1936" s="31"/>
      <c r="V1936" s="122"/>
    </row>
    <row r="1937" spans="2:22" ht="16">
      <c r="B1937" s="119"/>
      <c r="C1937" s="30"/>
      <c r="D1937" s="24"/>
      <c r="E1937" s="17"/>
      <c r="F1937" s="17"/>
      <c r="G1937" s="17"/>
      <c r="H1937" s="31"/>
      <c r="I1937" s="31"/>
      <c r="J1937" s="31"/>
      <c r="K1937" s="122"/>
      <c r="M1937" s="119"/>
      <c r="N1937" s="30"/>
      <c r="O1937" s="24"/>
      <c r="P1937" s="17"/>
      <c r="Q1937" s="17"/>
      <c r="R1937" s="17"/>
      <c r="S1937" s="31"/>
      <c r="T1937" s="31"/>
      <c r="U1937" s="31"/>
      <c r="V1937" s="122"/>
    </row>
    <row r="1938" spans="2:22" ht="16">
      <c r="B1938" s="119"/>
      <c r="C1938" s="30"/>
      <c r="D1938" s="24"/>
      <c r="E1938" s="17"/>
      <c r="F1938" s="17"/>
      <c r="G1938" s="17"/>
      <c r="H1938" s="31"/>
      <c r="I1938" s="31"/>
      <c r="J1938" s="31"/>
      <c r="K1938" s="122"/>
      <c r="M1938" s="119"/>
      <c r="N1938" s="30"/>
      <c r="O1938" s="24"/>
      <c r="P1938" s="17"/>
      <c r="Q1938" s="17"/>
      <c r="R1938" s="17"/>
      <c r="S1938" s="31"/>
      <c r="T1938" s="31"/>
      <c r="U1938" s="31"/>
      <c r="V1938" s="122"/>
    </row>
    <row r="1939" spans="2:22" ht="16">
      <c r="B1939" s="119"/>
      <c r="C1939" s="30"/>
      <c r="D1939" s="24"/>
      <c r="E1939" s="17"/>
      <c r="F1939" s="17"/>
      <c r="G1939" s="17"/>
      <c r="H1939" s="31"/>
      <c r="I1939" s="31"/>
      <c r="J1939" s="31"/>
      <c r="K1939" s="122"/>
      <c r="M1939" s="119"/>
      <c r="N1939" s="30"/>
      <c r="O1939" s="24"/>
      <c r="P1939" s="17"/>
      <c r="Q1939" s="17"/>
      <c r="R1939" s="17"/>
      <c r="S1939" s="31"/>
      <c r="T1939" s="31"/>
      <c r="U1939" s="31"/>
      <c r="V1939" s="122"/>
    </row>
    <row r="1940" spans="2:22" ht="16">
      <c r="B1940" s="119"/>
      <c r="C1940" s="30"/>
      <c r="D1940" s="24"/>
      <c r="E1940" s="17"/>
      <c r="F1940" s="17"/>
      <c r="G1940" s="17"/>
      <c r="H1940" s="31"/>
      <c r="I1940" s="31"/>
      <c r="J1940" s="31"/>
      <c r="K1940" s="122"/>
      <c r="M1940" s="119"/>
      <c r="N1940" s="30"/>
      <c r="O1940" s="24"/>
      <c r="P1940" s="17"/>
      <c r="Q1940" s="17"/>
      <c r="R1940" s="17"/>
      <c r="S1940" s="31"/>
      <c r="T1940" s="31"/>
      <c r="U1940" s="31"/>
      <c r="V1940" s="122"/>
    </row>
    <row r="1941" spans="2:22" ht="16">
      <c r="B1941" s="119"/>
      <c r="C1941" s="30"/>
      <c r="D1941" s="24"/>
      <c r="E1941" s="17"/>
      <c r="F1941" s="17"/>
      <c r="G1941" s="17"/>
      <c r="H1941" s="31"/>
      <c r="I1941" s="31"/>
      <c r="J1941" s="31"/>
      <c r="K1941" s="122"/>
      <c r="M1941" s="119"/>
      <c r="N1941" s="30"/>
      <c r="O1941" s="24"/>
      <c r="P1941" s="17"/>
      <c r="Q1941" s="17"/>
      <c r="R1941" s="17"/>
      <c r="S1941" s="31"/>
      <c r="T1941" s="31"/>
      <c r="U1941" s="31"/>
      <c r="V1941" s="122"/>
    </row>
    <row r="1942" spans="2:22" ht="16">
      <c r="B1942" s="119"/>
      <c r="C1942" s="30"/>
      <c r="D1942" s="24"/>
      <c r="E1942" s="17"/>
      <c r="F1942" s="17"/>
      <c r="G1942" s="17"/>
      <c r="H1942" s="31"/>
      <c r="I1942" s="31"/>
      <c r="J1942" s="31"/>
      <c r="K1942" s="122"/>
      <c r="M1942" s="119"/>
      <c r="N1942" s="30"/>
      <c r="O1942" s="24"/>
      <c r="P1942" s="17"/>
      <c r="Q1942" s="17"/>
      <c r="R1942" s="17"/>
      <c r="S1942" s="31"/>
      <c r="T1942" s="31"/>
      <c r="U1942" s="31"/>
      <c r="V1942" s="122"/>
    </row>
    <row r="1943" spans="2:22" ht="16">
      <c r="B1943" s="119"/>
      <c r="C1943" s="30"/>
      <c r="D1943" s="24"/>
      <c r="E1943" s="17"/>
      <c r="F1943" s="17"/>
      <c r="G1943" s="17"/>
      <c r="H1943" s="31"/>
      <c r="I1943" s="31"/>
      <c r="J1943" s="31"/>
      <c r="K1943" s="122"/>
      <c r="M1943" s="119"/>
      <c r="N1943" s="30"/>
      <c r="O1943" s="24"/>
      <c r="P1943" s="17"/>
      <c r="Q1943" s="17"/>
      <c r="R1943" s="17"/>
      <c r="S1943" s="31"/>
      <c r="T1943" s="31"/>
      <c r="U1943" s="31"/>
      <c r="V1943" s="122"/>
    </row>
    <row r="1944" spans="2:22" ht="16">
      <c r="B1944" s="119"/>
      <c r="C1944" s="30"/>
      <c r="D1944" s="24"/>
      <c r="E1944" s="17"/>
      <c r="F1944" s="17"/>
      <c r="G1944" s="17"/>
      <c r="H1944" s="31"/>
      <c r="I1944" s="31"/>
      <c r="J1944" s="31"/>
      <c r="K1944" s="122"/>
      <c r="M1944" s="119"/>
      <c r="N1944" s="30"/>
      <c r="O1944" s="24"/>
      <c r="P1944" s="17"/>
      <c r="Q1944" s="17"/>
      <c r="R1944" s="17"/>
      <c r="S1944" s="31"/>
      <c r="T1944" s="31"/>
      <c r="U1944" s="31"/>
      <c r="V1944" s="122"/>
    </row>
    <row r="1945" spans="2:22" ht="16">
      <c r="B1945" s="119"/>
      <c r="C1945" s="30"/>
      <c r="D1945" s="24"/>
      <c r="E1945" s="17"/>
      <c r="F1945" s="17"/>
      <c r="G1945" s="17"/>
      <c r="H1945" s="31"/>
      <c r="I1945" s="31"/>
      <c r="J1945" s="31"/>
      <c r="K1945" s="122"/>
      <c r="M1945" s="119"/>
      <c r="N1945" s="30"/>
      <c r="O1945" s="24"/>
      <c r="P1945" s="17"/>
      <c r="Q1945" s="17"/>
      <c r="R1945" s="17"/>
      <c r="S1945" s="31"/>
      <c r="T1945" s="31"/>
      <c r="U1945" s="31"/>
      <c r="V1945" s="122"/>
    </row>
    <row r="1946" spans="2:22" ht="16">
      <c r="B1946" s="119"/>
      <c r="C1946" s="30"/>
      <c r="D1946" s="24"/>
      <c r="E1946" s="17"/>
      <c r="F1946" s="17"/>
      <c r="G1946" s="17"/>
      <c r="H1946" s="31"/>
      <c r="I1946" s="31"/>
      <c r="J1946" s="31"/>
      <c r="K1946" s="122"/>
      <c r="M1946" s="119"/>
      <c r="N1946" s="30"/>
      <c r="O1946" s="24"/>
      <c r="P1946" s="17"/>
      <c r="Q1946" s="17"/>
      <c r="R1946" s="17"/>
      <c r="S1946" s="31"/>
      <c r="T1946" s="31"/>
      <c r="U1946" s="31"/>
      <c r="V1946" s="122"/>
    </row>
    <row r="1947" spans="2:22" ht="16">
      <c r="B1947" s="119"/>
      <c r="C1947" s="30"/>
      <c r="D1947" s="24"/>
      <c r="E1947" s="17"/>
      <c r="F1947" s="17"/>
      <c r="G1947" s="17"/>
      <c r="H1947" s="31"/>
      <c r="I1947" s="31"/>
      <c r="J1947" s="31"/>
      <c r="K1947" s="122"/>
      <c r="M1947" s="119"/>
      <c r="N1947" s="30"/>
      <c r="O1947" s="24"/>
      <c r="P1947" s="17"/>
      <c r="Q1947" s="17"/>
      <c r="R1947" s="17"/>
      <c r="S1947" s="31"/>
      <c r="T1947" s="31"/>
      <c r="U1947" s="31"/>
      <c r="V1947" s="122"/>
    </row>
    <row r="1948" spans="2:22" ht="16">
      <c r="B1948" s="119"/>
      <c r="C1948" s="30"/>
      <c r="D1948" s="24"/>
      <c r="E1948" s="17"/>
      <c r="F1948" s="17"/>
      <c r="G1948" s="17"/>
      <c r="H1948" s="31"/>
      <c r="I1948" s="31"/>
      <c r="J1948" s="31"/>
      <c r="K1948" s="122"/>
      <c r="M1948" s="119"/>
      <c r="N1948" s="30"/>
      <c r="O1948" s="24"/>
      <c r="P1948" s="17"/>
      <c r="Q1948" s="17"/>
      <c r="R1948" s="17"/>
      <c r="S1948" s="31"/>
      <c r="T1948" s="31"/>
      <c r="U1948" s="31"/>
      <c r="V1948" s="122"/>
    </row>
    <row r="1949" spans="2:22" ht="16">
      <c r="B1949" s="119"/>
      <c r="C1949" s="30"/>
      <c r="D1949" s="24"/>
      <c r="E1949" s="17"/>
      <c r="F1949" s="17"/>
      <c r="G1949" s="17"/>
      <c r="H1949" s="31"/>
      <c r="I1949" s="31"/>
      <c r="J1949" s="31"/>
      <c r="K1949" s="122"/>
      <c r="M1949" s="119"/>
      <c r="N1949" s="30"/>
      <c r="O1949" s="24"/>
      <c r="P1949" s="17"/>
      <c r="Q1949" s="17"/>
      <c r="R1949" s="17"/>
      <c r="S1949" s="31"/>
      <c r="T1949" s="31"/>
      <c r="U1949" s="31"/>
      <c r="V1949" s="122"/>
    </row>
    <row r="1950" spans="2:22" ht="16">
      <c r="B1950" s="119"/>
      <c r="C1950" s="30"/>
      <c r="D1950" s="24"/>
      <c r="E1950" s="17"/>
      <c r="F1950" s="17"/>
      <c r="G1950" s="17"/>
      <c r="H1950" s="31"/>
      <c r="I1950" s="31"/>
      <c r="J1950" s="31"/>
      <c r="K1950" s="122"/>
      <c r="M1950" s="119"/>
      <c r="N1950" s="30"/>
      <c r="O1950" s="24"/>
      <c r="P1950" s="17"/>
      <c r="Q1950" s="17"/>
      <c r="R1950" s="17"/>
      <c r="S1950" s="31"/>
      <c r="T1950" s="31"/>
      <c r="U1950" s="31"/>
      <c r="V1950" s="122"/>
    </row>
    <row r="1951" spans="2:22" ht="16">
      <c r="B1951" s="119"/>
      <c r="C1951" s="30"/>
      <c r="D1951" s="24"/>
      <c r="E1951" s="17"/>
      <c r="F1951" s="17"/>
      <c r="G1951" s="17"/>
      <c r="H1951" s="31"/>
      <c r="I1951" s="31"/>
      <c r="J1951" s="31"/>
      <c r="K1951" s="122"/>
      <c r="M1951" s="119"/>
      <c r="N1951" s="30"/>
      <c r="O1951" s="24"/>
      <c r="P1951" s="17"/>
      <c r="Q1951" s="17"/>
      <c r="R1951" s="17"/>
      <c r="S1951" s="31"/>
      <c r="T1951" s="31"/>
      <c r="U1951" s="31"/>
      <c r="V1951" s="122"/>
    </row>
    <row r="1952" spans="2:22" ht="16">
      <c r="B1952" s="119"/>
      <c r="C1952" s="30"/>
      <c r="D1952" s="24"/>
      <c r="E1952" s="17"/>
      <c r="F1952" s="17"/>
      <c r="G1952" s="17"/>
      <c r="H1952" s="31"/>
      <c r="I1952" s="31"/>
      <c r="J1952" s="31"/>
      <c r="K1952" s="122"/>
      <c r="M1952" s="119"/>
      <c r="N1952" s="30"/>
      <c r="O1952" s="24"/>
      <c r="P1952" s="17"/>
      <c r="Q1952" s="17"/>
      <c r="R1952" s="17"/>
      <c r="S1952" s="31"/>
      <c r="T1952" s="31"/>
      <c r="U1952" s="31"/>
      <c r="V1952" s="122"/>
    </row>
    <row r="1953" spans="2:22" ht="16">
      <c r="B1953" s="119"/>
      <c r="C1953" s="30"/>
      <c r="D1953" s="24"/>
      <c r="E1953" s="17"/>
      <c r="F1953" s="17"/>
      <c r="G1953" s="17"/>
      <c r="H1953" s="31"/>
      <c r="I1953" s="31"/>
      <c r="J1953" s="31"/>
      <c r="K1953" s="122"/>
      <c r="M1953" s="119"/>
      <c r="N1953" s="30"/>
      <c r="O1953" s="24"/>
      <c r="P1953" s="17"/>
      <c r="Q1953" s="17"/>
      <c r="R1953" s="17"/>
      <c r="S1953" s="31"/>
      <c r="T1953" s="31"/>
      <c r="U1953" s="31"/>
      <c r="V1953" s="122"/>
    </row>
    <row r="1954" spans="2:22" ht="16">
      <c r="B1954" s="119"/>
      <c r="C1954" s="30"/>
      <c r="D1954" s="24"/>
      <c r="E1954" s="17"/>
      <c r="F1954" s="17"/>
      <c r="G1954" s="17"/>
      <c r="H1954" s="31"/>
      <c r="I1954" s="31"/>
      <c r="J1954" s="31"/>
      <c r="K1954" s="122"/>
      <c r="M1954" s="119"/>
      <c r="N1954" s="30"/>
      <c r="O1954" s="24"/>
      <c r="P1954" s="17"/>
      <c r="Q1954" s="17"/>
      <c r="R1954" s="17"/>
      <c r="S1954" s="31"/>
      <c r="T1954" s="31"/>
      <c r="U1954" s="31"/>
      <c r="V1954" s="122"/>
    </row>
    <row r="1955" spans="2:22" ht="16">
      <c r="B1955" s="119"/>
      <c r="C1955" s="30"/>
      <c r="D1955" s="24"/>
      <c r="E1955" s="17"/>
      <c r="F1955" s="17"/>
      <c r="G1955" s="17"/>
      <c r="H1955" s="31"/>
      <c r="I1955" s="31"/>
      <c r="J1955" s="31"/>
      <c r="K1955" s="122"/>
      <c r="M1955" s="119"/>
      <c r="N1955" s="30"/>
      <c r="O1955" s="24"/>
      <c r="P1955" s="17"/>
      <c r="Q1955" s="17"/>
      <c r="R1955" s="17"/>
      <c r="S1955" s="31"/>
      <c r="T1955" s="31"/>
      <c r="U1955" s="31"/>
      <c r="V1955" s="122"/>
    </row>
    <row r="1956" spans="2:22" ht="16">
      <c r="B1956" s="119"/>
      <c r="C1956" s="30"/>
      <c r="D1956" s="24"/>
      <c r="E1956" s="17"/>
      <c r="F1956" s="17"/>
      <c r="G1956" s="17"/>
      <c r="H1956" s="31"/>
      <c r="I1956" s="31"/>
      <c r="J1956" s="31"/>
      <c r="K1956" s="122"/>
      <c r="M1956" s="119"/>
      <c r="N1956" s="30"/>
      <c r="O1956" s="24"/>
      <c r="P1956" s="17"/>
      <c r="Q1956" s="17"/>
      <c r="R1956" s="17"/>
      <c r="S1956" s="31"/>
      <c r="T1956" s="31"/>
      <c r="U1956" s="31"/>
      <c r="V1956" s="122"/>
    </row>
    <row r="1957" spans="2:22" ht="16">
      <c r="B1957" s="119"/>
      <c r="C1957" s="30"/>
      <c r="D1957" s="24"/>
      <c r="E1957" s="17"/>
      <c r="F1957" s="17"/>
      <c r="G1957" s="17"/>
      <c r="H1957" s="31"/>
      <c r="I1957" s="31"/>
      <c r="J1957" s="31"/>
      <c r="K1957" s="122"/>
      <c r="M1957" s="119"/>
      <c r="N1957" s="30"/>
      <c r="O1957" s="24"/>
      <c r="P1957" s="17"/>
      <c r="Q1957" s="17"/>
      <c r="R1957" s="17"/>
      <c r="S1957" s="31"/>
      <c r="T1957" s="31"/>
      <c r="U1957" s="31"/>
      <c r="V1957" s="122"/>
    </row>
    <row r="1958" spans="2:22" ht="16">
      <c r="B1958" s="119"/>
      <c r="C1958" s="30"/>
      <c r="D1958" s="24"/>
      <c r="E1958" s="17"/>
      <c r="F1958" s="17"/>
      <c r="G1958" s="17"/>
      <c r="H1958" s="31"/>
      <c r="I1958" s="31"/>
      <c r="J1958" s="31"/>
      <c r="K1958" s="122"/>
      <c r="M1958" s="119"/>
      <c r="N1958" s="30"/>
      <c r="O1958" s="24"/>
      <c r="P1958" s="17"/>
      <c r="Q1958" s="17"/>
      <c r="R1958" s="17"/>
      <c r="S1958" s="31"/>
      <c r="T1958" s="31"/>
      <c r="U1958" s="31"/>
      <c r="V1958" s="122"/>
    </row>
    <row r="1959" spans="2:22" ht="16">
      <c r="B1959" s="119"/>
      <c r="C1959" s="30"/>
      <c r="D1959" s="24"/>
      <c r="E1959" s="17"/>
      <c r="F1959" s="17"/>
      <c r="G1959" s="17"/>
      <c r="H1959" s="31"/>
      <c r="I1959" s="31"/>
      <c r="J1959" s="31"/>
      <c r="K1959" s="122"/>
      <c r="M1959" s="119"/>
      <c r="N1959" s="30"/>
      <c r="O1959" s="24"/>
      <c r="P1959" s="17"/>
      <c r="Q1959" s="17"/>
      <c r="R1959" s="17"/>
      <c r="S1959" s="31"/>
      <c r="T1959" s="31"/>
      <c r="U1959" s="31"/>
      <c r="V1959" s="122"/>
    </row>
    <row r="1960" spans="2:22" ht="16">
      <c r="B1960" s="119"/>
      <c r="C1960" s="30"/>
      <c r="D1960" s="24"/>
      <c r="E1960" s="17"/>
      <c r="F1960" s="17"/>
      <c r="G1960" s="17"/>
      <c r="H1960" s="31"/>
      <c r="I1960" s="31"/>
      <c r="J1960" s="31"/>
      <c r="K1960" s="122"/>
      <c r="M1960" s="119"/>
      <c r="N1960" s="30"/>
      <c r="O1960" s="24"/>
      <c r="P1960" s="17"/>
      <c r="Q1960" s="17"/>
      <c r="R1960" s="17"/>
      <c r="S1960" s="31"/>
      <c r="T1960" s="31"/>
      <c r="U1960" s="31"/>
      <c r="V1960" s="122"/>
    </row>
    <row r="1961" spans="2:22" ht="16">
      <c r="B1961" s="119"/>
      <c r="C1961" s="30"/>
      <c r="D1961" s="24"/>
      <c r="E1961" s="17"/>
      <c r="F1961" s="17"/>
      <c r="G1961" s="17"/>
      <c r="H1961" s="31"/>
      <c r="I1961" s="31"/>
      <c r="J1961" s="31"/>
      <c r="K1961" s="122"/>
      <c r="M1961" s="119"/>
      <c r="N1961" s="30"/>
      <c r="O1961" s="24"/>
      <c r="P1961" s="17"/>
      <c r="Q1961" s="17"/>
      <c r="R1961" s="17"/>
      <c r="S1961" s="31"/>
      <c r="T1961" s="31"/>
      <c r="U1961" s="31"/>
      <c r="V1961" s="122"/>
    </row>
    <row r="1962" spans="2:22" ht="16">
      <c r="B1962" s="119"/>
      <c r="C1962" s="30"/>
      <c r="D1962" s="24"/>
      <c r="E1962" s="17"/>
      <c r="F1962" s="17"/>
      <c r="G1962" s="17"/>
      <c r="H1962" s="31"/>
      <c r="I1962" s="31"/>
      <c r="J1962" s="31"/>
      <c r="K1962" s="122"/>
      <c r="M1962" s="119"/>
      <c r="N1962" s="30"/>
      <c r="O1962" s="24"/>
      <c r="P1962" s="17"/>
      <c r="Q1962" s="17"/>
      <c r="R1962" s="17"/>
      <c r="S1962" s="31"/>
      <c r="T1962" s="31"/>
      <c r="U1962" s="31"/>
      <c r="V1962" s="122"/>
    </row>
    <row r="1963" spans="2:22" ht="16">
      <c r="B1963" s="119"/>
      <c r="C1963" s="30"/>
      <c r="D1963" s="24"/>
      <c r="E1963" s="17"/>
      <c r="F1963" s="17"/>
      <c r="G1963" s="17"/>
      <c r="H1963" s="31"/>
      <c r="I1963" s="31"/>
      <c r="J1963" s="31"/>
      <c r="K1963" s="122"/>
      <c r="M1963" s="119"/>
      <c r="N1963" s="30"/>
      <c r="O1963" s="24"/>
      <c r="P1963" s="17"/>
      <c r="Q1963" s="17"/>
      <c r="R1963" s="17"/>
      <c r="S1963" s="31"/>
      <c r="T1963" s="31"/>
      <c r="U1963" s="31"/>
      <c r="V1963" s="122"/>
    </row>
    <row r="1964" spans="2:22" ht="16">
      <c r="B1964" s="119"/>
      <c r="C1964" s="30"/>
      <c r="D1964" s="24"/>
      <c r="E1964" s="17"/>
      <c r="F1964" s="17"/>
      <c r="G1964" s="17"/>
      <c r="H1964" s="31"/>
      <c r="I1964" s="31"/>
      <c r="J1964" s="31"/>
      <c r="K1964" s="122"/>
      <c r="M1964" s="119"/>
      <c r="N1964" s="30"/>
      <c r="O1964" s="24"/>
      <c r="P1964" s="17"/>
      <c r="Q1964" s="17"/>
      <c r="R1964" s="17"/>
      <c r="S1964" s="31"/>
      <c r="T1964" s="31"/>
      <c r="U1964" s="31"/>
      <c r="V1964" s="122"/>
    </row>
    <row r="1965" spans="2:22" ht="16">
      <c r="B1965" s="119"/>
      <c r="C1965" s="30"/>
      <c r="D1965" s="24"/>
      <c r="E1965" s="17"/>
      <c r="F1965" s="17"/>
      <c r="G1965" s="17"/>
      <c r="H1965" s="31"/>
      <c r="I1965" s="31"/>
      <c r="J1965" s="31"/>
      <c r="K1965" s="122"/>
      <c r="M1965" s="119"/>
      <c r="N1965" s="30"/>
      <c r="O1965" s="24"/>
      <c r="P1965" s="17"/>
      <c r="Q1965" s="17"/>
      <c r="R1965" s="17"/>
      <c r="S1965" s="31"/>
      <c r="T1965" s="31"/>
      <c r="U1965" s="31"/>
      <c r="V1965" s="122"/>
    </row>
    <row r="1966" spans="2:22" ht="16">
      <c r="B1966" s="119"/>
      <c r="C1966" s="30"/>
      <c r="D1966" s="24"/>
      <c r="E1966" s="17"/>
      <c r="F1966" s="17"/>
      <c r="G1966" s="17"/>
      <c r="H1966" s="31"/>
      <c r="I1966" s="31"/>
      <c r="J1966" s="31"/>
      <c r="K1966" s="122"/>
      <c r="M1966" s="119"/>
      <c r="N1966" s="30"/>
      <c r="O1966" s="24"/>
      <c r="P1966" s="17"/>
      <c r="Q1966" s="17"/>
      <c r="R1966" s="17"/>
      <c r="S1966" s="31"/>
      <c r="T1966" s="31"/>
      <c r="U1966" s="31"/>
      <c r="V1966" s="122"/>
    </row>
    <row r="1967" spans="2:22" ht="16">
      <c r="B1967" s="119"/>
      <c r="C1967" s="30"/>
      <c r="D1967" s="24"/>
      <c r="E1967" s="17"/>
      <c r="F1967" s="17"/>
      <c r="G1967" s="17"/>
      <c r="H1967" s="31"/>
      <c r="I1967" s="31"/>
      <c r="J1967" s="31"/>
      <c r="K1967" s="122"/>
      <c r="M1967" s="119"/>
      <c r="N1967" s="30"/>
      <c r="O1967" s="24"/>
      <c r="P1967" s="17"/>
      <c r="Q1967" s="17"/>
      <c r="R1967" s="17"/>
      <c r="S1967" s="31"/>
      <c r="T1967" s="31"/>
      <c r="U1967" s="31"/>
      <c r="V1967" s="122"/>
    </row>
    <row r="1968" spans="2:22" ht="16">
      <c r="B1968" s="119"/>
      <c r="C1968" s="30"/>
      <c r="D1968" s="24"/>
      <c r="E1968" s="17"/>
      <c r="F1968" s="17"/>
      <c r="G1968" s="17"/>
      <c r="H1968" s="31"/>
      <c r="I1968" s="31"/>
      <c r="J1968" s="31"/>
      <c r="K1968" s="122"/>
      <c r="M1968" s="119"/>
      <c r="N1968" s="30"/>
      <c r="O1968" s="24"/>
      <c r="P1968" s="17"/>
      <c r="Q1968" s="17"/>
      <c r="R1968" s="17"/>
      <c r="S1968" s="31"/>
      <c r="T1968" s="31"/>
      <c r="U1968" s="31"/>
      <c r="V1968" s="122"/>
    </row>
    <row r="1969" spans="2:22" ht="16">
      <c r="B1969" s="119"/>
      <c r="C1969" s="30"/>
      <c r="D1969" s="24"/>
      <c r="E1969" s="17"/>
      <c r="F1969" s="17"/>
      <c r="G1969" s="17"/>
      <c r="H1969" s="31"/>
      <c r="I1969" s="31"/>
      <c r="J1969" s="31"/>
      <c r="K1969" s="122"/>
      <c r="M1969" s="119"/>
      <c r="N1969" s="30"/>
      <c r="O1969" s="24"/>
      <c r="P1969" s="17"/>
      <c r="Q1969" s="17"/>
      <c r="R1969" s="17"/>
      <c r="S1969" s="31"/>
      <c r="T1969" s="31"/>
      <c r="U1969" s="31"/>
      <c r="V1969" s="122"/>
    </row>
    <row r="1970" spans="2:22" ht="16">
      <c r="B1970" s="119"/>
      <c r="C1970" s="30"/>
      <c r="D1970" s="24"/>
      <c r="E1970" s="17"/>
      <c r="F1970" s="17"/>
      <c r="G1970" s="17"/>
      <c r="H1970" s="31"/>
      <c r="I1970" s="31"/>
      <c r="J1970" s="31"/>
      <c r="K1970" s="122"/>
      <c r="M1970" s="119"/>
      <c r="N1970" s="30"/>
      <c r="O1970" s="24"/>
      <c r="P1970" s="17"/>
      <c r="Q1970" s="17"/>
      <c r="R1970" s="17"/>
      <c r="S1970" s="31"/>
      <c r="T1970" s="31"/>
      <c r="U1970" s="31"/>
      <c r="V1970" s="122"/>
    </row>
    <row r="1971" spans="2:22" ht="16">
      <c r="B1971" s="119"/>
      <c r="C1971" s="30"/>
      <c r="D1971" s="24"/>
      <c r="E1971" s="17"/>
      <c r="F1971" s="17"/>
      <c r="G1971" s="17"/>
      <c r="H1971" s="31"/>
      <c r="I1971" s="31"/>
      <c r="J1971" s="31"/>
      <c r="K1971" s="122"/>
      <c r="M1971" s="119"/>
      <c r="N1971" s="30"/>
      <c r="O1971" s="24"/>
      <c r="P1971" s="17"/>
      <c r="Q1971" s="17"/>
      <c r="R1971" s="17"/>
      <c r="S1971" s="31"/>
      <c r="T1971" s="31"/>
      <c r="U1971" s="31"/>
      <c r="V1971" s="122"/>
    </row>
    <row r="1972" spans="2:22" ht="16">
      <c r="B1972" s="119"/>
      <c r="C1972" s="30"/>
      <c r="D1972" s="24"/>
      <c r="E1972" s="17"/>
      <c r="F1972" s="17"/>
      <c r="G1972" s="17"/>
      <c r="H1972" s="31"/>
      <c r="I1972" s="31"/>
      <c r="J1972" s="31"/>
      <c r="K1972" s="122"/>
      <c r="M1972" s="119"/>
      <c r="N1972" s="30"/>
      <c r="O1972" s="24"/>
      <c r="P1972" s="17"/>
      <c r="Q1972" s="17"/>
      <c r="R1972" s="17"/>
      <c r="S1972" s="31"/>
      <c r="T1972" s="31"/>
      <c r="U1972" s="31"/>
      <c r="V1972" s="122"/>
    </row>
    <row r="1973" spans="2:22" ht="16">
      <c r="B1973" s="119"/>
      <c r="C1973" s="30"/>
      <c r="D1973" s="24"/>
      <c r="E1973" s="17"/>
      <c r="F1973" s="17"/>
      <c r="G1973" s="17"/>
      <c r="H1973" s="31"/>
      <c r="I1973" s="31"/>
      <c r="J1973" s="31"/>
      <c r="K1973" s="122"/>
      <c r="M1973" s="119"/>
      <c r="N1973" s="30"/>
      <c r="O1973" s="24"/>
      <c r="P1973" s="17"/>
      <c r="Q1973" s="17"/>
      <c r="R1973" s="17"/>
      <c r="S1973" s="31"/>
      <c r="T1973" s="31"/>
      <c r="U1973" s="31"/>
      <c r="V1973" s="122"/>
    </row>
    <row r="1974" spans="2:22" ht="16">
      <c r="B1974" s="119"/>
      <c r="C1974" s="30"/>
      <c r="D1974" s="24"/>
      <c r="E1974" s="17"/>
      <c r="F1974" s="17"/>
      <c r="G1974" s="17"/>
      <c r="H1974" s="31"/>
      <c r="I1974" s="31"/>
      <c r="J1974" s="31"/>
      <c r="K1974" s="122"/>
      <c r="M1974" s="119"/>
      <c r="N1974" s="30"/>
      <c r="O1974" s="24"/>
      <c r="P1974" s="17"/>
      <c r="Q1974" s="17"/>
      <c r="R1974" s="17"/>
      <c r="S1974" s="31"/>
      <c r="T1974" s="31"/>
      <c r="U1974" s="31"/>
      <c r="V1974" s="122"/>
    </row>
    <row r="1975" spans="2:22" ht="16">
      <c r="B1975" s="119"/>
      <c r="C1975" s="30"/>
      <c r="D1975" s="24"/>
      <c r="E1975" s="17"/>
      <c r="F1975" s="17"/>
      <c r="G1975" s="17"/>
      <c r="H1975" s="31"/>
      <c r="I1975" s="31"/>
      <c r="J1975" s="31"/>
      <c r="K1975" s="122"/>
      <c r="M1975" s="119"/>
      <c r="N1975" s="30"/>
      <c r="O1975" s="24"/>
      <c r="P1975" s="17"/>
      <c r="Q1975" s="17"/>
      <c r="R1975" s="17"/>
      <c r="S1975" s="31"/>
      <c r="T1975" s="31"/>
      <c r="U1975" s="31"/>
      <c r="V1975" s="122"/>
    </row>
    <row r="1976" spans="2:22" ht="16">
      <c r="B1976" s="119"/>
      <c r="C1976" s="30"/>
      <c r="D1976" s="24"/>
      <c r="E1976" s="17"/>
      <c r="F1976" s="17"/>
      <c r="G1976" s="17"/>
      <c r="H1976" s="31"/>
      <c r="I1976" s="31"/>
      <c r="J1976" s="31"/>
      <c r="K1976" s="122"/>
      <c r="M1976" s="119"/>
      <c r="N1976" s="30"/>
      <c r="O1976" s="24"/>
      <c r="P1976" s="17"/>
      <c r="Q1976" s="17"/>
      <c r="R1976" s="17"/>
      <c r="S1976" s="31"/>
      <c r="T1976" s="31"/>
      <c r="U1976" s="31"/>
      <c r="V1976" s="122"/>
    </row>
    <row r="1977" spans="2:22" ht="16">
      <c r="B1977" s="119"/>
      <c r="C1977" s="30"/>
      <c r="D1977" s="24"/>
      <c r="E1977" s="17"/>
      <c r="F1977" s="17"/>
      <c r="G1977" s="17"/>
      <c r="H1977" s="31"/>
      <c r="I1977" s="31"/>
      <c r="J1977" s="31"/>
      <c r="K1977" s="122"/>
      <c r="M1977" s="119"/>
      <c r="N1977" s="30"/>
      <c r="O1977" s="24"/>
      <c r="P1977" s="17"/>
      <c r="Q1977" s="17"/>
      <c r="R1977" s="17"/>
      <c r="S1977" s="31"/>
      <c r="T1977" s="31"/>
      <c r="U1977" s="31"/>
      <c r="V1977" s="122"/>
    </row>
    <row r="1978" spans="2:22" ht="16">
      <c r="B1978" s="119"/>
      <c r="C1978" s="30"/>
      <c r="D1978" s="24"/>
      <c r="E1978" s="17"/>
      <c r="F1978" s="17"/>
      <c r="G1978" s="17"/>
      <c r="H1978" s="31"/>
      <c r="I1978" s="31"/>
      <c r="J1978" s="31"/>
      <c r="K1978" s="122"/>
      <c r="M1978" s="119"/>
      <c r="N1978" s="30"/>
      <c r="O1978" s="24"/>
      <c r="P1978" s="17"/>
      <c r="Q1978" s="17"/>
      <c r="R1978" s="17"/>
      <c r="S1978" s="31"/>
      <c r="T1978" s="31"/>
      <c r="U1978" s="31"/>
      <c r="V1978" s="122"/>
    </row>
    <row r="1979" spans="2:22" ht="16">
      <c r="B1979" s="119"/>
      <c r="C1979" s="30"/>
      <c r="D1979" s="24"/>
      <c r="E1979" s="17"/>
      <c r="F1979" s="17"/>
      <c r="G1979" s="17"/>
      <c r="H1979" s="31"/>
      <c r="I1979" s="31"/>
      <c r="J1979" s="31"/>
      <c r="K1979" s="122"/>
      <c r="M1979" s="119"/>
      <c r="N1979" s="30"/>
      <c r="O1979" s="24"/>
      <c r="P1979" s="17"/>
      <c r="Q1979" s="17"/>
      <c r="R1979" s="17"/>
      <c r="S1979" s="31"/>
      <c r="T1979" s="31"/>
      <c r="U1979" s="31"/>
      <c r="V1979" s="122"/>
    </row>
    <row r="1980" spans="2:22" ht="16">
      <c r="B1980" s="119"/>
      <c r="C1980" s="30"/>
      <c r="D1980" s="24"/>
      <c r="E1980" s="17"/>
      <c r="F1980" s="17"/>
      <c r="G1980" s="17"/>
      <c r="H1980" s="31"/>
      <c r="I1980" s="31"/>
      <c r="J1980" s="31"/>
      <c r="K1980" s="122"/>
      <c r="M1980" s="119"/>
      <c r="N1980" s="30"/>
      <c r="O1980" s="24"/>
      <c r="P1980" s="17"/>
      <c r="Q1980" s="17"/>
      <c r="R1980" s="17"/>
      <c r="S1980" s="31"/>
      <c r="T1980" s="31"/>
      <c r="U1980" s="31"/>
      <c r="V1980" s="122"/>
    </row>
    <row r="1981" spans="2:22" ht="16">
      <c r="B1981" s="119"/>
      <c r="C1981" s="30"/>
      <c r="D1981" s="24"/>
      <c r="E1981" s="17"/>
      <c r="F1981" s="17"/>
      <c r="G1981" s="17"/>
      <c r="H1981" s="31"/>
      <c r="I1981" s="31"/>
      <c r="J1981" s="31"/>
      <c r="K1981" s="122"/>
      <c r="M1981" s="119"/>
      <c r="N1981" s="30"/>
      <c r="O1981" s="24"/>
      <c r="P1981" s="17"/>
      <c r="Q1981" s="17"/>
      <c r="R1981" s="17"/>
      <c r="S1981" s="31"/>
      <c r="T1981" s="31"/>
      <c r="U1981" s="31"/>
      <c r="V1981" s="122"/>
    </row>
    <row r="1982" spans="2:22" ht="16">
      <c r="B1982" s="119"/>
      <c r="C1982" s="30"/>
      <c r="D1982" s="24"/>
      <c r="E1982" s="17"/>
      <c r="F1982" s="17"/>
      <c r="G1982" s="17"/>
      <c r="H1982" s="31"/>
      <c r="I1982" s="31"/>
      <c r="J1982" s="31"/>
      <c r="K1982" s="122"/>
      <c r="M1982" s="119"/>
      <c r="N1982" s="30"/>
      <c r="O1982" s="24"/>
      <c r="P1982" s="17"/>
      <c r="Q1982" s="17"/>
      <c r="R1982" s="17"/>
      <c r="S1982" s="31"/>
      <c r="T1982" s="31"/>
      <c r="U1982" s="31"/>
      <c r="V1982" s="122"/>
    </row>
    <row r="1983" spans="2:22" ht="16">
      <c r="B1983" s="119"/>
      <c r="C1983" s="30"/>
      <c r="D1983" s="24"/>
      <c r="E1983" s="17"/>
      <c r="F1983" s="17"/>
      <c r="G1983" s="17"/>
      <c r="H1983" s="31"/>
      <c r="I1983" s="31"/>
      <c r="J1983" s="31"/>
      <c r="K1983" s="122"/>
      <c r="M1983" s="119"/>
      <c r="N1983" s="30"/>
      <c r="O1983" s="24"/>
      <c r="P1983" s="17"/>
      <c r="Q1983" s="17"/>
      <c r="R1983" s="17"/>
      <c r="S1983" s="31"/>
      <c r="T1983" s="31"/>
      <c r="U1983" s="31"/>
      <c r="V1983" s="122"/>
    </row>
    <row r="1984" spans="2:22" ht="16">
      <c r="B1984" s="119"/>
      <c r="C1984" s="30"/>
      <c r="D1984" s="24"/>
      <c r="E1984" s="17"/>
      <c r="F1984" s="17"/>
      <c r="G1984" s="17"/>
      <c r="H1984" s="31"/>
      <c r="I1984" s="31"/>
      <c r="J1984" s="31"/>
      <c r="K1984" s="122"/>
      <c r="M1984" s="119"/>
      <c r="N1984" s="30"/>
      <c r="O1984" s="24"/>
      <c r="P1984" s="17"/>
      <c r="Q1984" s="17"/>
      <c r="R1984" s="17"/>
      <c r="S1984" s="31"/>
      <c r="T1984" s="31"/>
      <c r="U1984" s="31"/>
      <c r="V1984" s="122"/>
    </row>
    <row r="1985" spans="2:22" ht="16">
      <c r="B1985" s="119"/>
      <c r="C1985" s="30"/>
      <c r="D1985" s="24"/>
      <c r="E1985" s="17"/>
      <c r="F1985" s="17"/>
      <c r="G1985" s="17"/>
      <c r="H1985" s="31"/>
      <c r="I1985" s="31"/>
      <c r="J1985" s="31"/>
      <c r="K1985" s="122"/>
      <c r="M1985" s="119"/>
      <c r="N1985" s="30"/>
      <c r="O1985" s="24"/>
      <c r="P1985" s="17"/>
      <c r="Q1985" s="17"/>
      <c r="R1985" s="17"/>
      <c r="S1985" s="31"/>
      <c r="T1985" s="31"/>
      <c r="U1985" s="31"/>
      <c r="V1985" s="122"/>
    </row>
    <row r="1986" spans="2:22" ht="16">
      <c r="B1986" s="119"/>
      <c r="C1986" s="30"/>
      <c r="D1986" s="24"/>
      <c r="E1986" s="17"/>
      <c r="F1986" s="17"/>
      <c r="G1986" s="17"/>
      <c r="H1986" s="31"/>
      <c r="I1986" s="31"/>
      <c r="J1986" s="31"/>
      <c r="K1986" s="122"/>
      <c r="M1986" s="119"/>
      <c r="N1986" s="30"/>
      <c r="O1986" s="24"/>
      <c r="P1986" s="17"/>
      <c r="Q1986" s="17"/>
      <c r="R1986" s="17"/>
      <c r="S1986" s="31"/>
      <c r="T1986" s="31"/>
      <c r="U1986" s="31"/>
      <c r="V1986" s="122"/>
    </row>
    <row r="1987" spans="2:22" ht="16">
      <c r="B1987" s="119"/>
      <c r="C1987" s="30"/>
      <c r="D1987" s="24"/>
      <c r="E1987" s="17"/>
      <c r="F1987" s="17"/>
      <c r="G1987" s="17"/>
      <c r="H1987" s="31"/>
      <c r="I1987" s="31"/>
      <c r="J1987" s="31"/>
      <c r="K1987" s="122"/>
      <c r="M1987" s="119"/>
      <c r="N1987" s="30"/>
      <c r="O1987" s="24"/>
      <c r="P1987" s="17"/>
      <c r="Q1987" s="17"/>
      <c r="R1987" s="17"/>
      <c r="S1987" s="31"/>
      <c r="T1987" s="31"/>
      <c r="U1987" s="31"/>
      <c r="V1987" s="122"/>
    </row>
    <row r="1988" spans="2:22" ht="16">
      <c r="B1988" s="119"/>
      <c r="C1988" s="30"/>
      <c r="D1988" s="24"/>
      <c r="E1988" s="17"/>
      <c r="F1988" s="17"/>
      <c r="G1988" s="17"/>
      <c r="H1988" s="31"/>
      <c r="I1988" s="31"/>
      <c r="J1988" s="31"/>
      <c r="K1988" s="122"/>
      <c r="M1988" s="119"/>
      <c r="N1988" s="30"/>
      <c r="O1988" s="24"/>
      <c r="P1988" s="17"/>
      <c r="Q1988" s="17"/>
      <c r="R1988" s="17"/>
      <c r="S1988" s="31"/>
      <c r="T1988" s="31"/>
      <c r="U1988" s="31"/>
      <c r="V1988" s="122"/>
    </row>
    <row r="1989" spans="2:22" ht="16">
      <c r="B1989" s="119"/>
      <c r="C1989" s="30"/>
      <c r="D1989" s="24"/>
      <c r="E1989" s="17"/>
      <c r="F1989" s="17"/>
      <c r="G1989" s="17"/>
      <c r="H1989" s="31"/>
      <c r="I1989" s="31"/>
      <c r="J1989" s="31"/>
      <c r="K1989" s="122"/>
      <c r="M1989" s="119"/>
      <c r="N1989" s="30"/>
      <c r="O1989" s="24"/>
      <c r="P1989" s="17"/>
      <c r="Q1989" s="17"/>
      <c r="R1989" s="17"/>
      <c r="S1989" s="31"/>
      <c r="T1989" s="31"/>
      <c r="U1989" s="31"/>
      <c r="V1989" s="122"/>
    </row>
    <row r="1990" spans="2:22" ht="16">
      <c r="B1990" s="119"/>
      <c r="C1990" s="30"/>
      <c r="D1990" s="24"/>
      <c r="E1990" s="17"/>
      <c r="F1990" s="17"/>
      <c r="G1990" s="17"/>
      <c r="H1990" s="31"/>
      <c r="I1990" s="31"/>
      <c r="J1990" s="31"/>
      <c r="K1990" s="122"/>
      <c r="M1990" s="119"/>
      <c r="N1990" s="30"/>
      <c r="O1990" s="24"/>
      <c r="P1990" s="17"/>
      <c r="Q1990" s="17"/>
      <c r="R1990" s="17"/>
      <c r="S1990" s="31"/>
      <c r="T1990" s="31"/>
      <c r="U1990" s="31"/>
      <c r="V1990" s="122"/>
    </row>
    <row r="1991" spans="2:22" ht="16">
      <c r="B1991" s="119"/>
      <c r="C1991" s="30"/>
      <c r="D1991" s="24"/>
      <c r="E1991" s="17"/>
      <c r="F1991" s="17"/>
      <c r="G1991" s="17"/>
      <c r="H1991" s="31"/>
      <c r="I1991" s="31"/>
      <c r="J1991" s="31"/>
      <c r="K1991" s="122"/>
      <c r="M1991" s="119"/>
      <c r="N1991" s="30"/>
      <c r="O1991" s="24"/>
      <c r="P1991" s="17"/>
      <c r="Q1991" s="17"/>
      <c r="R1991" s="17"/>
      <c r="S1991" s="31"/>
      <c r="T1991" s="31"/>
      <c r="U1991" s="31"/>
      <c r="V1991" s="122"/>
    </row>
    <row r="1992" spans="2:22" ht="16">
      <c r="B1992" s="119"/>
      <c r="C1992" s="30"/>
      <c r="D1992" s="24"/>
      <c r="E1992" s="17"/>
      <c r="F1992" s="17"/>
      <c r="G1992" s="17"/>
      <c r="H1992" s="31"/>
      <c r="I1992" s="31"/>
      <c r="J1992" s="31"/>
      <c r="K1992" s="122"/>
      <c r="M1992" s="119"/>
      <c r="N1992" s="30"/>
      <c r="O1992" s="24"/>
      <c r="P1992" s="17"/>
      <c r="Q1992" s="17"/>
      <c r="R1992" s="17"/>
      <c r="S1992" s="31"/>
      <c r="T1992" s="31"/>
      <c r="U1992" s="31"/>
      <c r="V1992" s="122"/>
    </row>
    <row r="1993" spans="2:22" ht="16">
      <c r="B1993" s="119"/>
      <c r="C1993" s="30"/>
      <c r="D1993" s="24"/>
      <c r="E1993" s="17"/>
      <c r="F1993" s="17"/>
      <c r="G1993" s="17"/>
      <c r="H1993" s="31"/>
      <c r="I1993" s="31"/>
      <c r="J1993" s="31"/>
      <c r="K1993" s="122"/>
      <c r="M1993" s="119"/>
      <c r="N1993" s="30"/>
      <c r="O1993" s="24"/>
      <c r="P1993" s="17"/>
      <c r="Q1993" s="17"/>
      <c r="R1993" s="17"/>
      <c r="S1993" s="31"/>
      <c r="T1993" s="31"/>
      <c r="U1993" s="31"/>
      <c r="V1993" s="122"/>
    </row>
    <row r="1994" spans="2:22" ht="16">
      <c r="B1994" s="119"/>
      <c r="C1994" s="30"/>
      <c r="D1994" s="24"/>
      <c r="E1994" s="17"/>
      <c r="F1994" s="17"/>
      <c r="G1994" s="17"/>
      <c r="H1994" s="31"/>
      <c r="I1994" s="31"/>
      <c r="J1994" s="31"/>
      <c r="K1994" s="122"/>
      <c r="M1994" s="119"/>
      <c r="N1994" s="30"/>
      <c r="O1994" s="24"/>
      <c r="P1994" s="17"/>
      <c r="Q1994" s="17"/>
      <c r="R1994" s="17"/>
      <c r="S1994" s="31"/>
      <c r="T1994" s="31"/>
      <c r="U1994" s="31"/>
      <c r="V1994" s="122"/>
    </row>
    <row r="1995" spans="2:22" ht="16">
      <c r="B1995" s="119"/>
      <c r="C1995" s="30"/>
      <c r="D1995" s="24"/>
      <c r="E1995" s="17"/>
      <c r="F1995" s="17"/>
      <c r="G1995" s="17"/>
      <c r="H1995" s="31"/>
      <c r="I1995" s="31"/>
      <c r="J1995" s="31"/>
      <c r="K1995" s="122"/>
      <c r="M1995" s="119"/>
      <c r="N1995" s="30"/>
      <c r="O1995" s="24"/>
      <c r="P1995" s="17"/>
      <c r="Q1995" s="17"/>
      <c r="R1995" s="17"/>
      <c r="S1995" s="31"/>
      <c r="T1995" s="31"/>
      <c r="U1995" s="31"/>
      <c r="V1995" s="122"/>
    </row>
    <row r="1996" spans="2:22" ht="16">
      <c r="B1996" s="119"/>
      <c r="C1996" s="30"/>
      <c r="D1996" s="24"/>
      <c r="E1996" s="17"/>
      <c r="F1996" s="17"/>
      <c r="G1996" s="17"/>
      <c r="H1996" s="31"/>
      <c r="I1996" s="31"/>
      <c r="J1996" s="31"/>
      <c r="K1996" s="122"/>
      <c r="M1996" s="119"/>
      <c r="N1996" s="30"/>
      <c r="O1996" s="24"/>
      <c r="P1996" s="17"/>
      <c r="Q1996" s="17"/>
      <c r="R1996" s="17"/>
      <c r="S1996" s="31"/>
      <c r="T1996" s="31"/>
      <c r="U1996" s="31"/>
      <c r="V1996" s="122"/>
    </row>
    <row r="1997" spans="2:22" ht="16">
      <c r="B1997" s="119"/>
      <c r="C1997" s="30"/>
      <c r="D1997" s="24"/>
      <c r="E1997" s="17"/>
      <c r="F1997" s="17"/>
      <c r="G1997" s="17"/>
      <c r="H1997" s="31"/>
      <c r="I1997" s="31"/>
      <c r="J1997" s="31"/>
      <c r="K1997" s="122"/>
      <c r="M1997" s="119"/>
      <c r="N1997" s="30"/>
      <c r="O1997" s="24"/>
      <c r="P1997" s="17"/>
      <c r="Q1997" s="17"/>
      <c r="R1997" s="17"/>
      <c r="S1997" s="31"/>
      <c r="T1997" s="31"/>
      <c r="U1997" s="31"/>
      <c r="V1997" s="122"/>
    </row>
    <row r="1998" spans="2:22" ht="16">
      <c r="B1998" s="119"/>
      <c r="C1998" s="30"/>
      <c r="D1998" s="24"/>
      <c r="E1998" s="17"/>
      <c r="F1998" s="17"/>
      <c r="G1998" s="17"/>
      <c r="H1998" s="31"/>
      <c r="I1998" s="31"/>
      <c r="J1998" s="31"/>
      <c r="K1998" s="122"/>
      <c r="M1998" s="119"/>
      <c r="N1998" s="30"/>
      <c r="O1998" s="24"/>
      <c r="P1998" s="17"/>
      <c r="Q1998" s="17"/>
      <c r="R1998" s="17"/>
      <c r="S1998" s="31"/>
      <c r="T1998" s="31"/>
      <c r="U1998" s="31"/>
      <c r="V1998" s="122"/>
    </row>
    <row r="1999" spans="2:22" ht="16">
      <c r="B1999" s="119"/>
      <c r="C1999" s="30"/>
      <c r="D1999" s="24"/>
      <c r="E1999" s="17"/>
      <c r="F1999" s="17"/>
      <c r="G1999" s="17"/>
      <c r="H1999" s="31"/>
      <c r="I1999" s="31"/>
      <c r="J1999" s="31"/>
      <c r="K1999" s="122"/>
      <c r="M1999" s="119"/>
      <c r="N1999" s="30"/>
      <c r="O1999" s="24"/>
      <c r="P1999" s="17"/>
      <c r="Q1999" s="17"/>
      <c r="R1999" s="17"/>
      <c r="S1999" s="31"/>
      <c r="T1999" s="31"/>
      <c r="U1999" s="31"/>
      <c r="V1999" s="122"/>
    </row>
    <row r="2000" spans="2:22" ht="16">
      <c r="B2000" s="119"/>
      <c r="C2000" s="30"/>
      <c r="D2000" s="24"/>
      <c r="E2000" s="17"/>
      <c r="F2000" s="17"/>
      <c r="G2000" s="17"/>
      <c r="H2000" s="31"/>
      <c r="I2000" s="31"/>
      <c r="J2000" s="31"/>
      <c r="K2000" s="122"/>
      <c r="M2000" s="119"/>
      <c r="N2000" s="30"/>
      <c r="O2000" s="24"/>
      <c r="P2000" s="17"/>
      <c r="Q2000" s="17"/>
      <c r="R2000" s="17"/>
      <c r="S2000" s="31"/>
      <c r="T2000" s="31"/>
      <c r="U2000" s="31"/>
      <c r="V2000" s="122"/>
    </row>
    <row r="2001" spans="2:22" ht="16">
      <c r="B2001" s="119"/>
      <c r="C2001" s="30"/>
      <c r="D2001" s="24"/>
      <c r="E2001" s="17"/>
      <c r="F2001" s="17"/>
      <c r="G2001" s="17"/>
      <c r="H2001" s="31"/>
      <c r="I2001" s="31"/>
      <c r="J2001" s="31"/>
      <c r="K2001" s="122"/>
      <c r="M2001" s="119"/>
      <c r="N2001" s="30"/>
      <c r="O2001" s="24"/>
      <c r="P2001" s="17"/>
      <c r="Q2001" s="17"/>
      <c r="R2001" s="17"/>
      <c r="S2001" s="31"/>
      <c r="T2001" s="31"/>
      <c r="U2001" s="31"/>
      <c r="V2001" s="122"/>
    </row>
    <row r="2002" spans="2:22" ht="16">
      <c r="B2002" s="119"/>
      <c r="C2002" s="30"/>
      <c r="D2002" s="24"/>
      <c r="E2002" s="17"/>
      <c r="F2002" s="17"/>
      <c r="G2002" s="17"/>
      <c r="H2002" s="31"/>
      <c r="I2002" s="31"/>
      <c r="J2002" s="31"/>
      <c r="K2002" s="122"/>
      <c r="M2002" s="119"/>
      <c r="N2002" s="30"/>
      <c r="O2002" s="24"/>
      <c r="P2002" s="17"/>
      <c r="Q2002" s="17"/>
      <c r="R2002" s="17"/>
      <c r="S2002" s="31"/>
      <c r="T2002" s="31"/>
      <c r="U2002" s="31"/>
      <c r="V2002" s="122"/>
    </row>
    <row r="2003" spans="2:22" ht="16">
      <c r="B2003" s="119"/>
      <c r="C2003" s="30"/>
      <c r="D2003" s="24"/>
      <c r="E2003" s="17"/>
      <c r="F2003" s="17"/>
      <c r="G2003" s="17"/>
      <c r="H2003" s="31"/>
      <c r="I2003" s="31"/>
      <c r="J2003" s="31"/>
      <c r="K2003" s="122"/>
      <c r="M2003" s="119"/>
      <c r="N2003" s="30"/>
      <c r="O2003" s="24"/>
      <c r="P2003" s="17"/>
      <c r="Q2003" s="17"/>
      <c r="R2003" s="17"/>
      <c r="S2003" s="31"/>
      <c r="T2003" s="31"/>
      <c r="U2003" s="31"/>
      <c r="V2003" s="122"/>
    </row>
    <row r="2004" spans="2:22" ht="16">
      <c r="B2004" s="119"/>
      <c r="C2004" s="30"/>
      <c r="D2004" s="24"/>
      <c r="E2004" s="17"/>
      <c r="F2004" s="17"/>
      <c r="G2004" s="17"/>
      <c r="H2004" s="31"/>
      <c r="I2004" s="31"/>
      <c r="J2004" s="31"/>
      <c r="K2004" s="122"/>
      <c r="M2004" s="119"/>
      <c r="N2004" s="30"/>
      <c r="O2004" s="24"/>
      <c r="P2004" s="17"/>
      <c r="Q2004" s="17"/>
      <c r="R2004" s="17"/>
      <c r="S2004" s="31"/>
      <c r="T2004" s="31"/>
      <c r="U2004" s="31"/>
      <c r="V2004" s="122"/>
    </row>
    <row r="2005" spans="2:22" ht="16">
      <c r="B2005" s="119"/>
      <c r="C2005" s="30"/>
      <c r="D2005" s="24"/>
      <c r="E2005" s="17"/>
      <c r="F2005" s="17"/>
      <c r="G2005" s="17"/>
      <c r="H2005" s="31"/>
      <c r="I2005" s="31"/>
      <c r="J2005" s="31"/>
      <c r="K2005" s="122"/>
      <c r="M2005" s="119"/>
      <c r="N2005" s="30"/>
      <c r="O2005" s="24"/>
      <c r="P2005" s="17"/>
      <c r="Q2005" s="17"/>
      <c r="R2005" s="17"/>
      <c r="S2005" s="31"/>
      <c r="T2005" s="31"/>
      <c r="U2005" s="31"/>
      <c r="V2005" s="122"/>
    </row>
    <row r="2006" spans="2:22" ht="16">
      <c r="B2006" s="119"/>
      <c r="C2006" s="30"/>
      <c r="D2006" s="24"/>
      <c r="E2006" s="17"/>
      <c r="F2006" s="17"/>
      <c r="G2006" s="17"/>
      <c r="H2006" s="31"/>
      <c r="I2006" s="31"/>
      <c r="J2006" s="31"/>
      <c r="K2006" s="122"/>
      <c r="M2006" s="119"/>
      <c r="N2006" s="30"/>
      <c r="O2006" s="24"/>
      <c r="P2006" s="17"/>
      <c r="Q2006" s="17"/>
      <c r="R2006" s="17"/>
      <c r="S2006" s="31"/>
      <c r="T2006" s="31"/>
      <c r="U2006" s="31"/>
      <c r="V2006" s="122"/>
    </row>
    <row r="2007" spans="2:22" ht="16">
      <c r="B2007" s="119"/>
      <c r="C2007" s="30"/>
      <c r="D2007" s="24"/>
      <c r="E2007" s="17"/>
      <c r="F2007" s="17"/>
      <c r="G2007" s="17"/>
      <c r="H2007" s="31"/>
      <c r="I2007" s="31"/>
      <c r="J2007" s="31"/>
      <c r="K2007" s="122"/>
      <c r="M2007" s="119"/>
      <c r="N2007" s="30"/>
      <c r="O2007" s="24"/>
      <c r="P2007" s="17"/>
      <c r="Q2007" s="17"/>
      <c r="R2007" s="17"/>
      <c r="S2007" s="31"/>
      <c r="T2007" s="31"/>
      <c r="U2007" s="31"/>
      <c r="V2007" s="122"/>
    </row>
    <row r="2008" spans="2:22" ht="16">
      <c r="B2008" s="119"/>
      <c r="C2008" s="30"/>
      <c r="D2008" s="24"/>
      <c r="E2008" s="17"/>
      <c r="F2008" s="17"/>
      <c r="G2008" s="17"/>
      <c r="H2008" s="31"/>
      <c r="I2008" s="31"/>
      <c r="J2008" s="31"/>
      <c r="K2008" s="122"/>
      <c r="M2008" s="119"/>
      <c r="N2008" s="30"/>
      <c r="O2008" s="24"/>
      <c r="P2008" s="17"/>
      <c r="Q2008" s="17"/>
      <c r="R2008" s="17"/>
      <c r="S2008" s="31"/>
      <c r="T2008" s="31"/>
      <c r="U2008" s="31"/>
      <c r="V2008" s="122"/>
    </row>
    <row r="2009" spans="2:22" ht="16">
      <c r="B2009" s="119"/>
      <c r="C2009" s="30"/>
      <c r="D2009" s="24"/>
      <c r="E2009" s="17"/>
      <c r="F2009" s="17"/>
      <c r="G2009" s="17"/>
      <c r="H2009" s="31"/>
      <c r="I2009" s="31"/>
      <c r="J2009" s="31"/>
      <c r="K2009" s="122"/>
      <c r="M2009" s="119"/>
      <c r="N2009" s="30"/>
      <c r="O2009" s="24"/>
      <c r="P2009" s="17"/>
      <c r="Q2009" s="17"/>
      <c r="R2009" s="17"/>
      <c r="S2009" s="31"/>
      <c r="T2009" s="31"/>
      <c r="U2009" s="31"/>
      <c r="V2009" s="122"/>
    </row>
    <row r="2010" spans="2:22" ht="16">
      <c r="B2010" s="119"/>
      <c r="C2010" s="30"/>
      <c r="D2010" s="24"/>
      <c r="E2010" s="17"/>
      <c r="F2010" s="17"/>
      <c r="G2010" s="17"/>
      <c r="H2010" s="31"/>
      <c r="I2010" s="31"/>
      <c r="J2010" s="31"/>
      <c r="K2010" s="122"/>
      <c r="M2010" s="119"/>
      <c r="N2010" s="30"/>
      <c r="O2010" s="24"/>
      <c r="P2010" s="17"/>
      <c r="Q2010" s="17"/>
      <c r="R2010" s="17"/>
      <c r="S2010" s="31"/>
      <c r="T2010" s="31"/>
      <c r="U2010" s="31"/>
      <c r="V2010" s="122"/>
    </row>
    <row r="2011" spans="2:22" ht="16">
      <c r="B2011" s="119"/>
      <c r="C2011" s="30"/>
      <c r="D2011" s="24"/>
      <c r="E2011" s="17"/>
      <c r="F2011" s="17"/>
      <c r="G2011" s="17"/>
      <c r="H2011" s="31"/>
      <c r="I2011" s="31"/>
      <c r="J2011" s="31"/>
      <c r="K2011" s="122"/>
      <c r="M2011" s="119"/>
      <c r="N2011" s="30"/>
      <c r="O2011" s="24"/>
      <c r="P2011" s="17"/>
      <c r="Q2011" s="17"/>
      <c r="R2011" s="17"/>
      <c r="S2011" s="31"/>
      <c r="T2011" s="31"/>
      <c r="U2011" s="31"/>
      <c r="V2011" s="122"/>
    </row>
    <row r="2012" spans="2:22" ht="16">
      <c r="B2012" s="119"/>
      <c r="C2012" s="30"/>
      <c r="D2012" s="24"/>
      <c r="E2012" s="17"/>
      <c r="F2012" s="17"/>
      <c r="G2012" s="17"/>
      <c r="H2012" s="31"/>
      <c r="I2012" s="31"/>
      <c r="J2012" s="31"/>
      <c r="K2012" s="122"/>
      <c r="M2012" s="119"/>
      <c r="N2012" s="30"/>
      <c r="O2012" s="24"/>
      <c r="P2012" s="17"/>
      <c r="Q2012" s="17"/>
      <c r="R2012" s="17"/>
      <c r="S2012" s="31"/>
      <c r="T2012" s="31"/>
      <c r="U2012" s="31"/>
      <c r="V2012" s="122"/>
    </row>
    <row r="2013" spans="2:22" ht="16">
      <c r="B2013" s="119"/>
      <c r="C2013" s="30"/>
      <c r="D2013" s="24"/>
      <c r="E2013" s="17"/>
      <c r="F2013" s="17"/>
      <c r="G2013" s="17"/>
      <c r="H2013" s="31"/>
      <c r="I2013" s="31"/>
      <c r="J2013" s="31"/>
      <c r="K2013" s="122"/>
      <c r="M2013" s="119"/>
      <c r="N2013" s="30"/>
      <c r="O2013" s="24"/>
      <c r="P2013" s="17"/>
      <c r="Q2013" s="17"/>
      <c r="R2013" s="17"/>
      <c r="S2013" s="31"/>
      <c r="T2013" s="31"/>
      <c r="U2013" s="31"/>
      <c r="V2013" s="122"/>
    </row>
    <row r="2014" spans="2:22" ht="16">
      <c r="B2014" s="119"/>
      <c r="C2014" s="30"/>
      <c r="D2014" s="24"/>
      <c r="E2014" s="17"/>
      <c r="F2014" s="17"/>
      <c r="G2014" s="17"/>
      <c r="H2014" s="31"/>
      <c r="I2014" s="31"/>
      <c r="J2014" s="31"/>
      <c r="K2014" s="122"/>
      <c r="M2014" s="119"/>
      <c r="N2014" s="30"/>
      <c r="O2014" s="24"/>
      <c r="P2014" s="17"/>
      <c r="Q2014" s="17"/>
      <c r="R2014" s="17"/>
      <c r="S2014" s="31"/>
      <c r="T2014" s="31"/>
      <c r="U2014" s="31"/>
      <c r="V2014" s="122"/>
    </row>
    <row r="2015" spans="2:22" ht="16">
      <c r="B2015" s="119"/>
      <c r="C2015" s="30"/>
      <c r="D2015" s="24"/>
      <c r="E2015" s="17"/>
      <c r="F2015" s="17"/>
      <c r="G2015" s="17"/>
      <c r="H2015" s="31"/>
      <c r="I2015" s="31"/>
      <c r="J2015" s="31"/>
      <c r="K2015" s="122"/>
      <c r="M2015" s="119"/>
      <c r="N2015" s="30"/>
      <c r="O2015" s="24"/>
      <c r="P2015" s="17"/>
      <c r="Q2015" s="17"/>
      <c r="R2015" s="17"/>
      <c r="S2015" s="31"/>
      <c r="T2015" s="31"/>
      <c r="U2015" s="31"/>
      <c r="V2015" s="122"/>
    </row>
    <row r="2016" spans="2:22" ht="16">
      <c r="B2016" s="119"/>
      <c r="C2016" s="30"/>
      <c r="D2016" s="24"/>
      <c r="E2016" s="17"/>
      <c r="F2016" s="17"/>
      <c r="G2016" s="17"/>
      <c r="H2016" s="31"/>
      <c r="I2016" s="31"/>
      <c r="J2016" s="31"/>
      <c r="K2016" s="122"/>
      <c r="M2016" s="119"/>
      <c r="N2016" s="30"/>
      <c r="O2016" s="24"/>
      <c r="P2016" s="17"/>
      <c r="Q2016" s="17"/>
      <c r="R2016" s="17"/>
      <c r="S2016" s="31"/>
      <c r="T2016" s="31"/>
      <c r="U2016" s="31"/>
      <c r="V2016" s="122"/>
    </row>
    <row r="2017" spans="2:22" ht="16">
      <c r="B2017" s="119"/>
      <c r="C2017" s="30"/>
      <c r="D2017" s="24"/>
      <c r="E2017" s="17"/>
      <c r="F2017" s="17"/>
      <c r="G2017" s="17"/>
      <c r="H2017" s="31"/>
      <c r="I2017" s="31"/>
      <c r="J2017" s="31"/>
      <c r="K2017" s="122"/>
      <c r="M2017" s="119"/>
      <c r="N2017" s="30"/>
      <c r="O2017" s="24"/>
      <c r="P2017" s="17"/>
      <c r="Q2017" s="17"/>
      <c r="R2017" s="17"/>
      <c r="S2017" s="31"/>
      <c r="T2017" s="31"/>
      <c r="U2017" s="31"/>
      <c r="V2017" s="122"/>
    </row>
    <row r="2018" spans="2:22" ht="16">
      <c r="B2018" s="119"/>
      <c r="C2018" s="30"/>
      <c r="D2018" s="24"/>
      <c r="E2018" s="17"/>
      <c r="F2018" s="17"/>
      <c r="G2018" s="17"/>
      <c r="H2018" s="31"/>
      <c r="I2018" s="31"/>
      <c r="J2018" s="31"/>
      <c r="K2018" s="122"/>
      <c r="M2018" s="119"/>
      <c r="N2018" s="30"/>
      <c r="O2018" s="24"/>
      <c r="P2018" s="17"/>
      <c r="Q2018" s="17"/>
      <c r="R2018" s="17"/>
      <c r="S2018" s="31"/>
      <c r="T2018" s="31"/>
      <c r="U2018" s="31"/>
      <c r="V2018" s="122"/>
    </row>
    <row r="2019" spans="2:22" ht="16">
      <c r="B2019" s="119"/>
      <c r="C2019" s="30"/>
      <c r="D2019" s="24"/>
      <c r="E2019" s="17"/>
      <c r="F2019" s="17"/>
      <c r="G2019" s="17"/>
      <c r="H2019" s="31"/>
      <c r="I2019" s="31"/>
      <c r="J2019" s="31"/>
      <c r="K2019" s="122"/>
      <c r="M2019" s="119"/>
      <c r="N2019" s="30"/>
      <c r="O2019" s="24"/>
      <c r="P2019" s="17"/>
      <c r="Q2019" s="17"/>
      <c r="R2019" s="17"/>
      <c r="S2019" s="31"/>
      <c r="T2019" s="31"/>
      <c r="U2019" s="31"/>
      <c r="V2019" s="122"/>
    </row>
    <row r="2020" spans="2:22" ht="16">
      <c r="B2020" s="119"/>
      <c r="C2020" s="30"/>
      <c r="D2020" s="24"/>
      <c r="E2020" s="17"/>
      <c r="F2020" s="17"/>
      <c r="G2020" s="17"/>
      <c r="H2020" s="31"/>
      <c r="I2020" s="31"/>
      <c r="J2020" s="31"/>
      <c r="K2020" s="122"/>
      <c r="M2020" s="119"/>
      <c r="N2020" s="30"/>
      <c r="O2020" s="24"/>
      <c r="P2020" s="17"/>
      <c r="Q2020" s="17"/>
      <c r="R2020" s="17"/>
      <c r="S2020" s="31"/>
      <c r="T2020" s="31"/>
      <c r="U2020" s="31"/>
      <c r="V2020" s="122"/>
    </row>
    <row r="2021" spans="2:22" ht="16">
      <c r="B2021" s="119"/>
      <c r="C2021" s="30"/>
      <c r="D2021" s="24"/>
      <c r="E2021" s="17"/>
      <c r="F2021" s="17"/>
      <c r="G2021" s="17"/>
      <c r="H2021" s="31"/>
      <c r="I2021" s="31"/>
      <c r="J2021" s="31"/>
      <c r="K2021" s="122"/>
      <c r="M2021" s="119"/>
      <c r="N2021" s="30"/>
      <c r="O2021" s="24"/>
      <c r="P2021" s="17"/>
      <c r="Q2021" s="17"/>
      <c r="R2021" s="17"/>
      <c r="S2021" s="31"/>
      <c r="T2021" s="31"/>
      <c r="U2021" s="31"/>
      <c r="V2021" s="122"/>
    </row>
    <row r="2022" spans="2:22" ht="16">
      <c r="B2022" s="119"/>
      <c r="C2022" s="30"/>
      <c r="D2022" s="24"/>
      <c r="E2022" s="17"/>
      <c r="F2022" s="17"/>
      <c r="G2022" s="17"/>
      <c r="H2022" s="31"/>
      <c r="I2022" s="31"/>
      <c r="J2022" s="31"/>
      <c r="K2022" s="122"/>
      <c r="M2022" s="119"/>
      <c r="N2022" s="30"/>
      <c r="O2022" s="24"/>
      <c r="P2022" s="17"/>
      <c r="Q2022" s="17"/>
      <c r="R2022" s="17"/>
      <c r="S2022" s="31"/>
      <c r="T2022" s="31"/>
      <c r="U2022" s="31"/>
      <c r="V2022" s="122"/>
    </row>
    <row r="2023" spans="2:22" ht="16">
      <c r="B2023" s="119"/>
      <c r="C2023" s="30"/>
      <c r="D2023" s="24"/>
      <c r="E2023" s="17"/>
      <c r="F2023" s="17"/>
      <c r="G2023" s="17"/>
      <c r="H2023" s="31"/>
      <c r="I2023" s="31"/>
      <c r="J2023" s="31"/>
      <c r="K2023" s="122"/>
      <c r="M2023" s="119"/>
      <c r="N2023" s="30"/>
      <c r="O2023" s="24"/>
      <c r="P2023" s="17"/>
      <c r="Q2023" s="17"/>
      <c r="R2023" s="17"/>
      <c r="S2023" s="31"/>
      <c r="T2023" s="31"/>
      <c r="U2023" s="31"/>
      <c r="V2023" s="122"/>
    </row>
    <row r="2024" spans="2:22" ht="16">
      <c r="B2024" s="119"/>
      <c r="C2024" s="30"/>
      <c r="D2024" s="24"/>
      <c r="E2024" s="17"/>
      <c r="F2024" s="17"/>
      <c r="G2024" s="17"/>
      <c r="H2024" s="31"/>
      <c r="I2024" s="31"/>
      <c r="J2024" s="31"/>
      <c r="K2024" s="122"/>
      <c r="M2024" s="119"/>
      <c r="N2024" s="30"/>
      <c r="O2024" s="24"/>
      <c r="P2024" s="17"/>
      <c r="Q2024" s="17"/>
      <c r="R2024" s="17"/>
      <c r="S2024" s="31"/>
      <c r="T2024" s="31"/>
      <c r="U2024" s="31"/>
      <c r="V2024" s="122"/>
    </row>
    <row r="2025" spans="2:22" ht="16">
      <c r="B2025" s="119"/>
      <c r="C2025" s="30"/>
      <c r="D2025" s="24"/>
      <c r="E2025" s="17"/>
      <c r="F2025" s="17"/>
      <c r="G2025" s="17"/>
      <c r="H2025" s="31"/>
      <c r="I2025" s="31"/>
      <c r="J2025" s="31"/>
      <c r="K2025" s="122"/>
      <c r="M2025" s="119"/>
      <c r="N2025" s="30"/>
      <c r="O2025" s="24"/>
      <c r="P2025" s="17"/>
      <c r="Q2025" s="17"/>
      <c r="R2025" s="17"/>
      <c r="S2025" s="31"/>
      <c r="T2025" s="31"/>
      <c r="U2025" s="31"/>
      <c r="V2025" s="122"/>
    </row>
    <row r="2026" spans="2:22" ht="16">
      <c r="B2026" s="119"/>
      <c r="C2026" s="30"/>
      <c r="D2026" s="24"/>
      <c r="E2026" s="17"/>
      <c r="F2026" s="17"/>
      <c r="G2026" s="17"/>
      <c r="H2026" s="31"/>
      <c r="I2026" s="31"/>
      <c r="J2026" s="31"/>
      <c r="K2026" s="122"/>
      <c r="M2026" s="119"/>
      <c r="N2026" s="30"/>
      <c r="O2026" s="24"/>
      <c r="P2026" s="17"/>
      <c r="Q2026" s="17"/>
      <c r="R2026" s="17"/>
      <c r="S2026" s="31"/>
      <c r="T2026" s="31"/>
      <c r="U2026" s="31"/>
      <c r="V2026" s="122"/>
    </row>
    <row r="2027" spans="2:22" ht="16">
      <c r="B2027" s="119"/>
      <c r="C2027" s="30"/>
      <c r="D2027" s="24"/>
      <c r="E2027" s="17"/>
      <c r="F2027" s="17"/>
      <c r="G2027" s="17"/>
      <c r="H2027" s="31"/>
      <c r="I2027" s="31"/>
      <c r="J2027" s="31"/>
      <c r="K2027" s="122"/>
      <c r="M2027" s="119"/>
      <c r="N2027" s="30"/>
      <c r="O2027" s="24"/>
      <c r="P2027" s="17"/>
      <c r="Q2027" s="17"/>
      <c r="R2027" s="17"/>
      <c r="S2027" s="31"/>
      <c r="T2027" s="31"/>
      <c r="U2027" s="31"/>
      <c r="V2027" s="122"/>
    </row>
    <row r="2028" spans="2:22" ht="16">
      <c r="B2028" s="119"/>
      <c r="C2028" s="30"/>
      <c r="D2028" s="24"/>
      <c r="E2028" s="17"/>
      <c r="F2028" s="17"/>
      <c r="G2028" s="17"/>
      <c r="H2028" s="31"/>
      <c r="I2028" s="31"/>
      <c r="J2028" s="31"/>
      <c r="K2028" s="122"/>
      <c r="M2028" s="119"/>
      <c r="N2028" s="30"/>
      <c r="O2028" s="24"/>
      <c r="P2028" s="17"/>
      <c r="Q2028" s="17"/>
      <c r="R2028" s="17"/>
      <c r="S2028" s="31"/>
      <c r="T2028" s="31"/>
      <c r="U2028" s="31"/>
      <c r="V2028" s="122"/>
    </row>
    <row r="2029" spans="2:22" ht="16">
      <c r="B2029" s="119"/>
      <c r="C2029" s="30"/>
      <c r="D2029" s="24"/>
      <c r="E2029" s="17"/>
      <c r="F2029" s="17"/>
      <c r="G2029" s="17"/>
      <c r="H2029" s="31"/>
      <c r="I2029" s="31"/>
      <c r="J2029" s="31"/>
      <c r="K2029" s="122"/>
      <c r="M2029" s="119"/>
      <c r="N2029" s="30"/>
      <c r="O2029" s="24"/>
      <c r="P2029" s="17"/>
      <c r="Q2029" s="17"/>
      <c r="R2029" s="17"/>
      <c r="S2029" s="31"/>
      <c r="T2029" s="31"/>
      <c r="U2029" s="31"/>
      <c r="V2029" s="122"/>
    </row>
    <row r="2030" spans="2:22" ht="16">
      <c r="B2030" s="119"/>
      <c r="C2030" s="30"/>
      <c r="D2030" s="24"/>
      <c r="E2030" s="17"/>
      <c r="F2030" s="17"/>
      <c r="G2030" s="17"/>
      <c r="H2030" s="31"/>
      <c r="I2030" s="31"/>
      <c r="J2030" s="31"/>
      <c r="K2030" s="122"/>
      <c r="M2030" s="119"/>
      <c r="N2030" s="30"/>
      <c r="O2030" s="24"/>
      <c r="P2030" s="17"/>
      <c r="Q2030" s="17"/>
      <c r="R2030" s="17"/>
      <c r="S2030" s="31"/>
      <c r="T2030" s="31"/>
      <c r="U2030" s="31"/>
      <c r="V2030" s="122"/>
    </row>
    <row r="2031" spans="2:22" ht="16">
      <c r="B2031" s="119"/>
      <c r="C2031" s="30"/>
      <c r="D2031" s="24"/>
      <c r="E2031" s="17"/>
      <c r="F2031" s="17"/>
      <c r="G2031" s="17"/>
      <c r="H2031" s="31"/>
      <c r="I2031" s="31"/>
      <c r="J2031" s="31"/>
      <c r="K2031" s="122"/>
      <c r="M2031" s="119"/>
      <c r="N2031" s="30"/>
      <c r="O2031" s="24"/>
      <c r="P2031" s="17"/>
      <c r="Q2031" s="17"/>
      <c r="R2031" s="17"/>
      <c r="S2031" s="31"/>
      <c r="T2031" s="31"/>
      <c r="U2031" s="31"/>
      <c r="V2031" s="122"/>
    </row>
    <row r="2032" spans="2:22" ht="16">
      <c r="B2032" s="119"/>
      <c r="C2032" s="30"/>
      <c r="D2032" s="24"/>
      <c r="E2032" s="17"/>
      <c r="F2032" s="17"/>
      <c r="G2032" s="17"/>
      <c r="H2032" s="31"/>
      <c r="I2032" s="31"/>
      <c r="J2032" s="31"/>
      <c r="K2032" s="122"/>
      <c r="M2032" s="119"/>
      <c r="N2032" s="30"/>
      <c r="O2032" s="24"/>
      <c r="P2032" s="17"/>
      <c r="Q2032" s="17"/>
      <c r="R2032" s="17"/>
      <c r="S2032" s="31"/>
      <c r="T2032" s="31"/>
      <c r="U2032" s="31"/>
      <c r="V2032" s="122"/>
    </row>
    <row r="2033" spans="2:22" ht="16">
      <c r="B2033" s="119"/>
      <c r="C2033" s="30"/>
      <c r="D2033" s="24"/>
      <c r="E2033" s="17"/>
      <c r="F2033" s="17"/>
      <c r="G2033" s="17"/>
      <c r="H2033" s="31"/>
      <c r="I2033" s="31"/>
      <c r="J2033" s="31"/>
      <c r="K2033" s="122"/>
      <c r="M2033" s="119"/>
      <c r="N2033" s="30"/>
      <c r="O2033" s="24"/>
      <c r="P2033" s="17"/>
      <c r="Q2033" s="17"/>
      <c r="R2033" s="17"/>
      <c r="S2033" s="31"/>
      <c r="T2033" s="31"/>
      <c r="U2033" s="31"/>
      <c r="V2033" s="122"/>
    </row>
    <row r="2034" spans="2:22" ht="16">
      <c r="B2034" s="119"/>
      <c r="C2034" s="30"/>
      <c r="D2034" s="24"/>
      <c r="E2034" s="17"/>
      <c r="F2034" s="17"/>
      <c r="G2034" s="17"/>
      <c r="H2034" s="31"/>
      <c r="I2034" s="31"/>
      <c r="J2034" s="31"/>
      <c r="K2034" s="122"/>
      <c r="M2034" s="119"/>
      <c r="N2034" s="30"/>
      <c r="O2034" s="24"/>
      <c r="P2034" s="17"/>
      <c r="Q2034" s="17"/>
      <c r="R2034" s="17"/>
      <c r="S2034" s="31"/>
      <c r="T2034" s="31"/>
      <c r="U2034" s="31"/>
      <c r="V2034" s="122"/>
    </row>
    <row r="2035" spans="2:22" ht="16">
      <c r="B2035" s="119"/>
      <c r="C2035" s="30"/>
      <c r="D2035" s="24"/>
      <c r="E2035" s="17"/>
      <c r="F2035" s="17"/>
      <c r="G2035" s="17"/>
      <c r="H2035" s="31"/>
      <c r="I2035" s="31"/>
      <c r="J2035" s="31"/>
      <c r="K2035" s="122"/>
      <c r="M2035" s="119"/>
      <c r="N2035" s="30"/>
      <c r="O2035" s="24"/>
      <c r="P2035" s="17"/>
      <c r="Q2035" s="17"/>
      <c r="R2035" s="17"/>
      <c r="S2035" s="31"/>
      <c r="T2035" s="31"/>
      <c r="U2035" s="31"/>
      <c r="V2035" s="122"/>
    </row>
    <row r="2036" spans="2:22" ht="16">
      <c r="B2036" s="119"/>
      <c r="C2036" s="30"/>
      <c r="D2036" s="24"/>
      <c r="E2036" s="17"/>
      <c r="F2036" s="17"/>
      <c r="G2036" s="17"/>
      <c r="H2036" s="31"/>
      <c r="I2036" s="31"/>
      <c r="J2036" s="31"/>
      <c r="K2036" s="122"/>
      <c r="M2036" s="119"/>
      <c r="N2036" s="30"/>
      <c r="O2036" s="24"/>
      <c r="P2036" s="17"/>
      <c r="Q2036" s="17"/>
      <c r="R2036" s="17"/>
      <c r="S2036" s="31"/>
      <c r="T2036" s="31"/>
      <c r="U2036" s="31"/>
      <c r="V2036" s="122"/>
    </row>
    <row r="2037" spans="2:22" ht="16">
      <c r="B2037" s="119"/>
      <c r="C2037" s="30"/>
      <c r="D2037" s="24"/>
      <c r="E2037" s="17"/>
      <c r="F2037" s="17"/>
      <c r="G2037" s="17"/>
      <c r="H2037" s="31"/>
      <c r="I2037" s="31"/>
      <c r="J2037" s="31"/>
      <c r="K2037" s="122"/>
      <c r="M2037" s="119"/>
      <c r="N2037" s="30"/>
      <c r="O2037" s="24"/>
      <c r="P2037" s="17"/>
      <c r="Q2037" s="17"/>
      <c r="R2037" s="17"/>
      <c r="S2037" s="31"/>
      <c r="T2037" s="31"/>
      <c r="U2037" s="31"/>
      <c r="V2037" s="122"/>
    </row>
    <row r="2038" spans="2:22" ht="16">
      <c r="B2038" s="119"/>
      <c r="C2038" s="30"/>
      <c r="D2038" s="24"/>
      <c r="E2038" s="17"/>
      <c r="F2038" s="17"/>
      <c r="G2038" s="17"/>
      <c r="H2038" s="31"/>
      <c r="I2038" s="31"/>
      <c r="J2038" s="31"/>
      <c r="K2038" s="122"/>
      <c r="M2038" s="119"/>
      <c r="N2038" s="30"/>
      <c r="O2038" s="24"/>
      <c r="P2038" s="17"/>
      <c r="Q2038" s="17"/>
      <c r="R2038" s="17"/>
      <c r="S2038" s="31"/>
      <c r="T2038" s="31"/>
      <c r="U2038" s="31"/>
      <c r="V2038" s="122"/>
    </row>
    <row r="2039" spans="2:22" ht="16">
      <c r="B2039" s="119"/>
      <c r="C2039" s="30"/>
      <c r="D2039" s="24"/>
      <c r="E2039" s="17"/>
      <c r="F2039" s="17"/>
      <c r="G2039" s="17"/>
      <c r="H2039" s="31"/>
      <c r="I2039" s="31"/>
      <c r="J2039" s="31"/>
      <c r="K2039" s="122"/>
      <c r="M2039" s="119"/>
      <c r="N2039" s="30"/>
      <c r="O2039" s="24"/>
      <c r="P2039" s="17"/>
      <c r="Q2039" s="17"/>
      <c r="R2039" s="17"/>
      <c r="S2039" s="31"/>
      <c r="T2039" s="31"/>
      <c r="U2039" s="31"/>
      <c r="V2039" s="122"/>
    </row>
    <row r="2040" spans="2:22" ht="16">
      <c r="B2040" s="119"/>
      <c r="C2040" s="30"/>
      <c r="D2040" s="24"/>
      <c r="E2040" s="17"/>
      <c r="F2040" s="17"/>
      <c r="G2040" s="17"/>
      <c r="H2040" s="31"/>
      <c r="I2040" s="31"/>
      <c r="J2040" s="31"/>
      <c r="K2040" s="122"/>
      <c r="M2040" s="119"/>
      <c r="N2040" s="30"/>
      <c r="O2040" s="24"/>
      <c r="P2040" s="17"/>
      <c r="Q2040" s="17"/>
      <c r="R2040" s="17"/>
      <c r="S2040" s="31"/>
      <c r="T2040" s="31"/>
      <c r="U2040" s="31"/>
      <c r="V2040" s="122"/>
    </row>
    <row r="2041" spans="2:22" ht="16">
      <c r="B2041" s="119"/>
      <c r="C2041" s="30"/>
      <c r="D2041" s="24"/>
      <c r="E2041" s="17"/>
      <c r="F2041" s="17"/>
      <c r="G2041" s="17"/>
      <c r="H2041" s="31"/>
      <c r="I2041" s="31"/>
      <c r="J2041" s="31"/>
      <c r="K2041" s="122"/>
      <c r="M2041" s="119"/>
      <c r="N2041" s="30"/>
      <c r="O2041" s="24"/>
      <c r="P2041" s="17"/>
      <c r="Q2041" s="17"/>
      <c r="R2041" s="17"/>
      <c r="S2041" s="31"/>
      <c r="T2041" s="31"/>
      <c r="U2041" s="31"/>
      <c r="V2041" s="122"/>
    </row>
    <row r="2042" spans="2:22" ht="16">
      <c r="B2042" s="119"/>
      <c r="C2042" s="30"/>
      <c r="D2042" s="24"/>
      <c r="E2042" s="17"/>
      <c r="F2042" s="17"/>
      <c r="G2042" s="17"/>
      <c r="H2042" s="31"/>
      <c r="I2042" s="31"/>
      <c r="J2042" s="31"/>
      <c r="K2042" s="122"/>
      <c r="M2042" s="119"/>
      <c r="N2042" s="30"/>
      <c r="O2042" s="24"/>
      <c r="P2042" s="17"/>
      <c r="Q2042" s="17"/>
      <c r="R2042" s="17"/>
      <c r="S2042" s="31"/>
      <c r="T2042" s="31"/>
      <c r="U2042" s="31"/>
      <c r="V2042" s="122"/>
    </row>
    <row r="2043" spans="2:22" ht="16">
      <c r="B2043" s="119"/>
      <c r="C2043" s="30"/>
      <c r="D2043" s="24"/>
      <c r="E2043" s="17"/>
      <c r="F2043" s="17"/>
      <c r="G2043" s="17"/>
      <c r="H2043" s="31"/>
      <c r="I2043" s="31"/>
      <c r="J2043" s="31"/>
      <c r="K2043" s="122"/>
      <c r="M2043" s="119"/>
      <c r="N2043" s="30"/>
      <c r="O2043" s="24"/>
      <c r="P2043" s="17"/>
      <c r="Q2043" s="17"/>
      <c r="R2043" s="17"/>
      <c r="S2043" s="31"/>
      <c r="T2043" s="31"/>
      <c r="U2043" s="31"/>
      <c r="V2043" s="122"/>
    </row>
    <row r="2044" spans="2:22" ht="16">
      <c r="B2044" s="119"/>
      <c r="C2044" s="30"/>
      <c r="D2044" s="24"/>
      <c r="E2044" s="17"/>
      <c r="F2044" s="17"/>
      <c r="G2044" s="17"/>
      <c r="H2044" s="31"/>
      <c r="I2044" s="31"/>
      <c r="J2044" s="31"/>
      <c r="K2044" s="122"/>
      <c r="M2044" s="119"/>
      <c r="N2044" s="30"/>
      <c r="O2044" s="24"/>
      <c r="P2044" s="17"/>
      <c r="Q2044" s="17"/>
      <c r="R2044" s="17"/>
      <c r="S2044" s="31"/>
      <c r="T2044" s="31"/>
      <c r="U2044" s="31"/>
      <c r="V2044" s="122"/>
    </row>
    <row r="2045" spans="2:22" ht="16">
      <c r="B2045" s="119"/>
      <c r="C2045" s="30"/>
      <c r="D2045" s="24"/>
      <c r="E2045" s="17"/>
      <c r="F2045" s="17"/>
      <c r="G2045" s="17"/>
      <c r="H2045" s="31"/>
      <c r="I2045" s="31"/>
      <c r="J2045" s="31"/>
      <c r="K2045" s="122"/>
      <c r="M2045" s="119"/>
      <c r="N2045" s="30"/>
      <c r="O2045" s="24"/>
      <c r="P2045" s="17"/>
      <c r="Q2045" s="17"/>
      <c r="R2045" s="17"/>
      <c r="S2045" s="31"/>
      <c r="T2045" s="31"/>
      <c r="U2045" s="31"/>
      <c r="V2045" s="122"/>
    </row>
    <row r="2046" spans="2:22" ht="16">
      <c r="B2046" s="119"/>
      <c r="C2046" s="30"/>
      <c r="D2046" s="24"/>
      <c r="E2046" s="17"/>
      <c r="F2046" s="17"/>
      <c r="G2046" s="17"/>
      <c r="H2046" s="31"/>
      <c r="I2046" s="31"/>
      <c r="J2046" s="31"/>
      <c r="K2046" s="122"/>
      <c r="M2046" s="119"/>
      <c r="N2046" s="30"/>
      <c r="O2046" s="24"/>
      <c r="P2046" s="17"/>
      <c r="Q2046" s="17"/>
      <c r="R2046" s="17"/>
      <c r="S2046" s="31"/>
      <c r="T2046" s="31"/>
      <c r="U2046" s="31"/>
      <c r="V2046" s="122"/>
    </row>
    <row r="2047" spans="2:22" ht="16">
      <c r="B2047" s="119"/>
      <c r="C2047" s="30"/>
      <c r="D2047" s="24"/>
      <c r="E2047" s="17"/>
      <c r="F2047" s="17"/>
      <c r="G2047" s="17"/>
      <c r="H2047" s="31"/>
      <c r="I2047" s="31"/>
      <c r="J2047" s="31"/>
      <c r="K2047" s="122"/>
      <c r="M2047" s="119"/>
      <c r="N2047" s="30"/>
      <c r="O2047" s="24"/>
      <c r="P2047" s="17"/>
      <c r="Q2047" s="17"/>
      <c r="R2047" s="17"/>
      <c r="S2047" s="31"/>
      <c r="T2047" s="31"/>
      <c r="U2047" s="31"/>
      <c r="V2047" s="122"/>
    </row>
    <row r="2048" spans="2:22" ht="16">
      <c r="B2048" s="119"/>
      <c r="C2048" s="30"/>
      <c r="D2048" s="24"/>
      <c r="E2048" s="17"/>
      <c r="F2048" s="17"/>
      <c r="G2048" s="17"/>
      <c r="H2048" s="31"/>
      <c r="I2048" s="31"/>
      <c r="J2048" s="31"/>
      <c r="K2048" s="122"/>
      <c r="M2048" s="119"/>
      <c r="N2048" s="30"/>
      <c r="O2048" s="24"/>
      <c r="P2048" s="17"/>
      <c r="Q2048" s="17"/>
      <c r="R2048" s="17"/>
      <c r="S2048" s="31"/>
      <c r="T2048" s="31"/>
      <c r="U2048" s="31"/>
      <c r="V2048" s="122"/>
    </row>
    <row r="2049" spans="2:22" ht="16">
      <c r="B2049" s="119"/>
      <c r="C2049" s="30"/>
      <c r="D2049" s="24"/>
      <c r="E2049" s="17"/>
      <c r="F2049" s="17"/>
      <c r="G2049" s="17"/>
      <c r="H2049" s="31"/>
      <c r="I2049" s="31"/>
      <c r="J2049" s="31"/>
      <c r="K2049" s="122"/>
      <c r="M2049" s="119"/>
      <c r="N2049" s="30"/>
      <c r="O2049" s="24"/>
      <c r="P2049" s="17"/>
      <c r="Q2049" s="17"/>
      <c r="R2049" s="17"/>
      <c r="S2049" s="31"/>
      <c r="T2049" s="31"/>
      <c r="U2049" s="31"/>
      <c r="V2049" s="122"/>
    </row>
    <row r="2050" spans="2:22" ht="16">
      <c r="B2050" s="119"/>
      <c r="C2050" s="30"/>
      <c r="D2050" s="24"/>
      <c r="E2050" s="17"/>
      <c r="F2050" s="17"/>
      <c r="G2050" s="17"/>
      <c r="H2050" s="31"/>
      <c r="I2050" s="31"/>
      <c r="J2050" s="31"/>
      <c r="K2050" s="122"/>
      <c r="M2050" s="119"/>
      <c r="N2050" s="30"/>
      <c r="O2050" s="24"/>
      <c r="P2050" s="17"/>
      <c r="Q2050" s="17"/>
      <c r="R2050" s="17"/>
      <c r="S2050" s="31"/>
      <c r="T2050" s="31"/>
      <c r="U2050" s="31"/>
      <c r="V2050" s="122"/>
    </row>
    <row r="2051" spans="2:22" ht="16">
      <c r="B2051" s="119"/>
      <c r="C2051" s="30"/>
      <c r="D2051" s="24"/>
      <c r="E2051" s="17"/>
      <c r="F2051" s="17"/>
      <c r="G2051" s="17"/>
      <c r="H2051" s="31"/>
      <c r="I2051" s="31"/>
      <c r="J2051" s="31"/>
      <c r="K2051" s="122"/>
      <c r="M2051" s="119"/>
      <c r="N2051" s="30"/>
      <c r="O2051" s="24"/>
      <c r="P2051" s="17"/>
      <c r="Q2051" s="17"/>
      <c r="R2051" s="17"/>
      <c r="S2051" s="31"/>
      <c r="T2051" s="31"/>
      <c r="U2051" s="31"/>
      <c r="V2051" s="122"/>
    </row>
    <row r="2052" spans="2:22" ht="16">
      <c r="B2052" s="119"/>
      <c r="C2052" s="30"/>
      <c r="D2052" s="24"/>
      <c r="E2052" s="17"/>
      <c r="F2052" s="17"/>
      <c r="G2052" s="17"/>
      <c r="H2052" s="31"/>
      <c r="I2052" s="31"/>
      <c r="J2052" s="31"/>
      <c r="K2052" s="122"/>
      <c r="M2052" s="119"/>
      <c r="N2052" s="30"/>
      <c r="O2052" s="24"/>
      <c r="P2052" s="17"/>
      <c r="Q2052" s="17"/>
      <c r="R2052" s="17"/>
      <c r="S2052" s="31"/>
      <c r="T2052" s="31"/>
      <c r="U2052" s="31"/>
      <c r="V2052" s="122"/>
    </row>
    <row r="2053" spans="2:22" ht="16">
      <c r="B2053" s="119"/>
      <c r="C2053" s="30"/>
      <c r="D2053" s="24"/>
      <c r="E2053" s="17"/>
      <c r="F2053" s="17"/>
      <c r="G2053" s="17"/>
      <c r="H2053" s="31"/>
      <c r="I2053" s="31"/>
      <c r="J2053" s="31"/>
      <c r="K2053" s="122"/>
      <c r="M2053" s="119"/>
      <c r="N2053" s="30"/>
      <c r="O2053" s="24"/>
      <c r="P2053" s="17"/>
      <c r="Q2053" s="17"/>
      <c r="R2053" s="17"/>
      <c r="S2053" s="31"/>
      <c r="T2053" s="31"/>
      <c r="U2053" s="31"/>
      <c r="V2053" s="122"/>
    </row>
    <row r="2054" spans="2:22" ht="16">
      <c r="B2054" s="119"/>
      <c r="C2054" s="30"/>
      <c r="D2054" s="24"/>
      <c r="E2054" s="17"/>
      <c r="F2054" s="17"/>
      <c r="G2054" s="17"/>
      <c r="H2054" s="31"/>
      <c r="I2054" s="31"/>
      <c r="J2054" s="31"/>
      <c r="K2054" s="122"/>
      <c r="M2054" s="119"/>
      <c r="N2054" s="30"/>
      <c r="O2054" s="24"/>
      <c r="P2054" s="17"/>
      <c r="Q2054" s="17"/>
      <c r="R2054" s="17"/>
      <c r="S2054" s="31"/>
      <c r="T2054" s="31"/>
      <c r="U2054" s="31"/>
      <c r="V2054" s="122"/>
    </row>
    <row r="2055" spans="2:22" ht="16">
      <c r="B2055" s="119"/>
      <c r="C2055" s="30"/>
      <c r="D2055" s="24"/>
      <c r="E2055" s="17"/>
      <c r="F2055" s="17"/>
      <c r="G2055" s="17"/>
      <c r="H2055" s="31"/>
      <c r="I2055" s="31"/>
      <c r="J2055" s="31"/>
      <c r="K2055" s="122"/>
      <c r="M2055" s="119"/>
      <c r="N2055" s="30"/>
      <c r="O2055" s="24"/>
      <c r="P2055" s="17"/>
      <c r="Q2055" s="17"/>
      <c r="R2055" s="17"/>
      <c r="S2055" s="31"/>
      <c r="T2055" s="31"/>
      <c r="U2055" s="31"/>
      <c r="V2055" s="122"/>
    </row>
    <row r="2056" spans="2:22" ht="16">
      <c r="B2056" s="119"/>
      <c r="C2056" s="30"/>
      <c r="D2056" s="24"/>
      <c r="E2056" s="17"/>
      <c r="F2056" s="17"/>
      <c r="G2056" s="17"/>
      <c r="H2056" s="31"/>
      <c r="I2056" s="31"/>
      <c r="J2056" s="31"/>
      <c r="K2056" s="122"/>
      <c r="M2056" s="119"/>
      <c r="N2056" s="30"/>
      <c r="O2056" s="24"/>
      <c r="P2056" s="17"/>
      <c r="Q2056" s="17"/>
      <c r="R2056" s="17"/>
      <c r="S2056" s="31"/>
      <c r="T2056" s="31"/>
      <c r="U2056" s="31"/>
      <c r="V2056" s="122"/>
    </row>
    <row r="2057" spans="2:22" ht="16">
      <c r="B2057" s="119"/>
      <c r="C2057" s="30"/>
      <c r="D2057" s="24"/>
      <c r="E2057" s="17"/>
      <c r="F2057" s="17"/>
      <c r="G2057" s="17"/>
      <c r="H2057" s="31"/>
      <c r="I2057" s="31"/>
      <c r="J2057" s="31"/>
      <c r="K2057" s="122"/>
      <c r="M2057" s="119"/>
      <c r="N2057" s="30"/>
      <c r="O2057" s="24"/>
      <c r="P2057" s="17"/>
      <c r="Q2057" s="17"/>
      <c r="R2057" s="17"/>
      <c r="S2057" s="31"/>
      <c r="T2057" s="31"/>
      <c r="U2057" s="31"/>
      <c r="V2057" s="122"/>
    </row>
    <row r="2058" spans="2:22" ht="16">
      <c r="B2058" s="119"/>
      <c r="C2058" s="30"/>
      <c r="D2058" s="24"/>
      <c r="E2058" s="17"/>
      <c r="F2058" s="17"/>
      <c r="G2058" s="17"/>
      <c r="H2058" s="31"/>
      <c r="I2058" s="31"/>
      <c r="J2058" s="31"/>
      <c r="K2058" s="122"/>
      <c r="M2058" s="119"/>
      <c r="N2058" s="30"/>
      <c r="O2058" s="24"/>
      <c r="P2058" s="17"/>
      <c r="Q2058" s="17"/>
      <c r="R2058" s="17"/>
      <c r="S2058" s="31"/>
      <c r="T2058" s="31"/>
      <c r="U2058" s="31"/>
      <c r="V2058" s="122"/>
    </row>
    <row r="2059" spans="2:22" ht="16">
      <c r="B2059" s="119"/>
      <c r="C2059" s="30"/>
      <c r="D2059" s="24"/>
      <c r="E2059" s="17"/>
      <c r="F2059" s="17"/>
      <c r="G2059" s="17"/>
      <c r="H2059" s="31"/>
      <c r="I2059" s="31"/>
      <c r="J2059" s="31"/>
      <c r="K2059" s="122"/>
      <c r="M2059" s="119"/>
      <c r="N2059" s="30"/>
      <c r="O2059" s="24"/>
      <c r="P2059" s="17"/>
      <c r="Q2059" s="17"/>
      <c r="R2059" s="17"/>
      <c r="S2059" s="31"/>
      <c r="T2059" s="31"/>
      <c r="U2059" s="31"/>
      <c r="V2059" s="122"/>
    </row>
  </sheetData>
  <mergeCells count="2212">
    <mergeCell ref="J1290:J1294"/>
    <mergeCell ref="H1295:H1299"/>
    <mergeCell ref="I1295:I1299"/>
    <mergeCell ref="J1295:J1299"/>
    <mergeCell ref="H1302:H1308"/>
    <mergeCell ref="I1330:I1335"/>
    <mergeCell ref="J1330:J1335"/>
    <mergeCell ref="H1309:H1313"/>
    <mergeCell ref="I1309:I1313"/>
    <mergeCell ref="J1309:J1313"/>
    <mergeCell ref="H1314:H1329"/>
    <mergeCell ref="I1314:I1329"/>
    <mergeCell ref="J1314:J1329"/>
    <mergeCell ref="H1330:H1335"/>
    <mergeCell ref="H1377:H1380"/>
    <mergeCell ref="I1377:I1380"/>
    <mergeCell ref="T1381:T1384"/>
    <mergeCell ref="U1381:U1384"/>
    <mergeCell ref="I1363:I1369"/>
    <mergeCell ref="J1363:J1369"/>
    <mergeCell ref="M1385:O1385"/>
    <mergeCell ref="M1386:O1386"/>
    <mergeCell ref="M1388:O1388"/>
    <mergeCell ref="H1349:H1358"/>
    <mergeCell ref="I1349:I1358"/>
    <mergeCell ref="J1349:J1358"/>
    <mergeCell ref="H1359:H1362"/>
    <mergeCell ref="I1359:I1362"/>
    <mergeCell ref="J1359:J1362"/>
    <mergeCell ref="H1363:H1369"/>
    <mergeCell ref="H1237:H1241"/>
    <mergeCell ref="I1237:I1241"/>
    <mergeCell ref="H1242:H1247"/>
    <mergeCell ref="I1242:I1247"/>
    <mergeCell ref="H1248:H1252"/>
    <mergeCell ref="I1248:I1252"/>
    <mergeCell ref="I1253:I1257"/>
    <mergeCell ref="H1253:H1257"/>
    <mergeCell ref="H1258:H1264"/>
    <mergeCell ref="I1258:I1264"/>
    <mergeCell ref="H1265:H1273"/>
    <mergeCell ref="I1265:I1273"/>
    <mergeCell ref="H1274:H1283"/>
    <mergeCell ref="I1274:I1283"/>
    <mergeCell ref="I1302:I1308"/>
    <mergeCell ref="J1302:J1308"/>
    <mergeCell ref="H1290:H1294"/>
    <mergeCell ref="I1290:I1294"/>
    <mergeCell ref="S1377:S1380"/>
    <mergeCell ref="T1377:T1380"/>
    <mergeCell ref="U1377:U1380"/>
    <mergeCell ref="V1377:V1380"/>
    <mergeCell ref="S1381:S1384"/>
    <mergeCell ref="V1381:V1384"/>
    <mergeCell ref="S1219:S1228"/>
    <mergeCell ref="T1219:T1228"/>
    <mergeCell ref="U1219:U1228"/>
    <mergeCell ref="V1219:V1228"/>
    <mergeCell ref="T1229:T1236"/>
    <mergeCell ref="U1229:U1236"/>
    <mergeCell ref="V1229:V1236"/>
    <mergeCell ref="U1242:U1247"/>
    <mergeCell ref="V1242:V1247"/>
    <mergeCell ref="S1229:S1236"/>
    <mergeCell ref="S1237:S1241"/>
    <mergeCell ref="T1237:T1241"/>
    <mergeCell ref="U1237:U1241"/>
    <mergeCell ref="V1237:V1241"/>
    <mergeCell ref="S1242:S1247"/>
    <mergeCell ref="T1242:T1247"/>
    <mergeCell ref="S1248:S1252"/>
    <mergeCell ref="T1248:T1252"/>
    <mergeCell ref="U1248:U1252"/>
    <mergeCell ref="V1248:V1252"/>
    <mergeCell ref="T1253:T1257"/>
    <mergeCell ref="U1253:U1257"/>
    <mergeCell ref="V1253:V1257"/>
    <mergeCell ref="U1265:U1273"/>
    <mergeCell ref="V1265:V1273"/>
    <mergeCell ref="S1253:S1257"/>
    <mergeCell ref="S1363:S1369"/>
    <mergeCell ref="S1370:S1371"/>
    <mergeCell ref="S1359:S1362"/>
    <mergeCell ref="T1359:T1362"/>
    <mergeCell ref="U1359:U1362"/>
    <mergeCell ref="V1359:V1362"/>
    <mergeCell ref="T1363:T1369"/>
    <mergeCell ref="U1363:U1369"/>
    <mergeCell ref="V1363:V1369"/>
    <mergeCell ref="V1370:V1371"/>
    <mergeCell ref="T1370:T1371"/>
    <mergeCell ref="U1370:U1371"/>
    <mergeCell ref="S1372:S1373"/>
    <mergeCell ref="T1372:T1373"/>
    <mergeCell ref="U1372:U1373"/>
    <mergeCell ref="V1372:V1373"/>
    <mergeCell ref="S1374:S1376"/>
    <mergeCell ref="V1374:V1376"/>
    <mergeCell ref="T1374:T1376"/>
    <mergeCell ref="U1374:U1376"/>
    <mergeCell ref="B1386:D1386"/>
    <mergeCell ref="B1388:D1388"/>
    <mergeCell ref="B991:D991"/>
    <mergeCell ref="B992:D992"/>
    <mergeCell ref="B1084:D1084"/>
    <mergeCell ref="B1085:D1085"/>
    <mergeCell ref="B1087:D1087"/>
    <mergeCell ref="B1217:D1217"/>
    <mergeCell ref="B1218:D1218"/>
    <mergeCell ref="U1295:U1299"/>
    <mergeCell ref="V1295:V1299"/>
    <mergeCell ref="S1302:S1308"/>
    <mergeCell ref="T1302:T1308"/>
    <mergeCell ref="U1302:U1308"/>
    <mergeCell ref="V1302:V1308"/>
    <mergeCell ref="S1309:S1313"/>
    <mergeCell ref="V1309:V1313"/>
    <mergeCell ref="T1309:T1313"/>
    <mergeCell ref="U1309:U1313"/>
    <mergeCell ref="S1314:S1329"/>
    <mergeCell ref="T1314:T1329"/>
    <mergeCell ref="U1314:U1329"/>
    <mergeCell ref="V1314:V1329"/>
    <mergeCell ref="S1330:S1335"/>
    <mergeCell ref="V1330:V1335"/>
    <mergeCell ref="T1341:T1344"/>
    <mergeCell ref="U1341:U1344"/>
    <mergeCell ref="T1330:T1335"/>
    <mergeCell ref="U1330:U1335"/>
    <mergeCell ref="S1336:S1340"/>
    <mergeCell ref="T1336:T1340"/>
    <mergeCell ref="U1336:U1340"/>
    <mergeCell ref="C802:C803"/>
    <mergeCell ref="C804:C805"/>
    <mergeCell ref="C806:C807"/>
    <mergeCell ref="C808:C819"/>
    <mergeCell ref="C820:C821"/>
    <mergeCell ref="C822:C832"/>
    <mergeCell ref="C833:C843"/>
    <mergeCell ref="C844:C850"/>
    <mergeCell ref="C851:C852"/>
    <mergeCell ref="B873:D873"/>
    <mergeCell ref="B874:D874"/>
    <mergeCell ref="B876:D876"/>
    <mergeCell ref="B963:D963"/>
    <mergeCell ref="B964:D964"/>
    <mergeCell ref="B1300:D1300"/>
    <mergeCell ref="B1301:D1301"/>
    <mergeCell ref="B1385:D1385"/>
    <mergeCell ref="C719:C721"/>
    <mergeCell ref="C722:C732"/>
    <mergeCell ref="C679:C680"/>
    <mergeCell ref="C681:C682"/>
    <mergeCell ref="C685:C687"/>
    <mergeCell ref="C688:C698"/>
    <mergeCell ref="C699:C709"/>
    <mergeCell ref="C710:C712"/>
    <mergeCell ref="C713:C718"/>
    <mergeCell ref="C789:C795"/>
    <mergeCell ref="C796:C801"/>
    <mergeCell ref="C733:C738"/>
    <mergeCell ref="C739:C755"/>
    <mergeCell ref="C756:C766"/>
    <mergeCell ref="C767:C768"/>
    <mergeCell ref="C769:C770"/>
    <mergeCell ref="C771:C782"/>
    <mergeCell ref="C783:C788"/>
    <mergeCell ref="C624:C630"/>
    <mergeCell ref="C576:C577"/>
    <mergeCell ref="C578:C585"/>
    <mergeCell ref="C586:C590"/>
    <mergeCell ref="C591:C592"/>
    <mergeCell ref="C595:C600"/>
    <mergeCell ref="C601:C613"/>
    <mergeCell ref="C614:C617"/>
    <mergeCell ref="C671:C672"/>
    <mergeCell ref="C673:C678"/>
    <mergeCell ref="B683:D683"/>
    <mergeCell ref="B684:D684"/>
    <mergeCell ref="C631:C637"/>
    <mergeCell ref="C638:C639"/>
    <mergeCell ref="C640:C646"/>
    <mergeCell ref="C647:C648"/>
    <mergeCell ref="C649:C658"/>
    <mergeCell ref="C659:C665"/>
    <mergeCell ref="C666:C670"/>
    <mergeCell ref="C430:C431"/>
    <mergeCell ref="C432:C438"/>
    <mergeCell ref="C439:C446"/>
    <mergeCell ref="C452:C453"/>
    <mergeCell ref="C454:C460"/>
    <mergeCell ref="C461:C467"/>
    <mergeCell ref="C1059:C1061"/>
    <mergeCell ref="C1062:C1064"/>
    <mergeCell ref="C1065:C1070"/>
    <mergeCell ref="C1071:C1081"/>
    <mergeCell ref="C1082:C1083"/>
    <mergeCell ref="C1089:C1092"/>
    <mergeCell ref="C1093:C1097"/>
    <mergeCell ref="C504:C512"/>
    <mergeCell ref="C513:C514"/>
    <mergeCell ref="C468:C471"/>
    <mergeCell ref="C472:C477"/>
    <mergeCell ref="C478:C486"/>
    <mergeCell ref="C487:C489"/>
    <mergeCell ref="C490:C495"/>
    <mergeCell ref="C496:C497"/>
    <mergeCell ref="C498:C503"/>
    <mergeCell ref="C563:C564"/>
    <mergeCell ref="C565:C575"/>
    <mergeCell ref="C515:C517"/>
    <mergeCell ref="C518:C519"/>
    <mergeCell ref="C520:C528"/>
    <mergeCell ref="C529:C533"/>
    <mergeCell ref="C534:C544"/>
    <mergeCell ref="C545:C553"/>
    <mergeCell ref="C554:C562"/>
    <mergeCell ref="C618:C623"/>
    <mergeCell ref="C1374:C1376"/>
    <mergeCell ref="C1377:C1380"/>
    <mergeCell ref="C1381:C1384"/>
    <mergeCell ref="C1336:C1340"/>
    <mergeCell ref="C1341:C1344"/>
    <mergeCell ref="C1345:C1348"/>
    <mergeCell ref="C1349:C1358"/>
    <mergeCell ref="C1359:C1362"/>
    <mergeCell ref="C1363:C1369"/>
    <mergeCell ref="C1370:C1371"/>
    <mergeCell ref="C201:C214"/>
    <mergeCell ref="C215:C225"/>
    <mergeCell ref="C12:C14"/>
    <mergeCell ref="C28:C32"/>
    <mergeCell ref="C78:C81"/>
    <mergeCell ref="C82:C84"/>
    <mergeCell ref="C85:C93"/>
    <mergeCell ref="C94:C118"/>
    <mergeCell ref="C232:C234"/>
    <mergeCell ref="C237:C239"/>
    <mergeCell ref="C240:C247"/>
    <mergeCell ref="C248:C261"/>
    <mergeCell ref="C262:C271"/>
    <mergeCell ref="C272:C277"/>
    <mergeCell ref="C278:C294"/>
    <mergeCell ref="C295:C297"/>
    <mergeCell ref="C298:C310"/>
    <mergeCell ref="C311:C322"/>
    <mergeCell ref="C323:C327"/>
    <mergeCell ref="C328:C341"/>
    <mergeCell ref="C342:C357"/>
    <mergeCell ref="C358:C365"/>
    <mergeCell ref="C1219:C1228"/>
    <mergeCell ref="C1229:C1236"/>
    <mergeCell ref="C1237:C1241"/>
    <mergeCell ref="C1242:C1247"/>
    <mergeCell ref="C1248:C1252"/>
    <mergeCell ref="C1253:C1257"/>
    <mergeCell ref="C1258:C1264"/>
    <mergeCell ref="C1265:C1273"/>
    <mergeCell ref="C1274:C1283"/>
    <mergeCell ref="C1284:C1289"/>
    <mergeCell ref="C1290:C1294"/>
    <mergeCell ref="C1295:C1299"/>
    <mergeCell ref="C1302:C1308"/>
    <mergeCell ref="C1309:C1313"/>
    <mergeCell ref="C1314:C1329"/>
    <mergeCell ref="C1330:C1335"/>
    <mergeCell ref="C1372:C1373"/>
    <mergeCell ref="C1052:C1053"/>
    <mergeCell ref="C1054:C1058"/>
    <mergeCell ref="C1013:C1014"/>
    <mergeCell ref="C1015:C1016"/>
    <mergeCell ref="C1017:C1031"/>
    <mergeCell ref="C1032:C1033"/>
    <mergeCell ref="C1034:C1043"/>
    <mergeCell ref="C1044:C1047"/>
    <mergeCell ref="C1048:C1051"/>
    <mergeCell ref="B993:B1083"/>
    <mergeCell ref="B1089:B1216"/>
    <mergeCell ref="B1219:B1299"/>
    <mergeCell ref="B1302:B1384"/>
    <mergeCell ref="B78:B234"/>
    <mergeCell ref="B237:B446"/>
    <mergeCell ref="B452:B592"/>
    <mergeCell ref="B595:B682"/>
    <mergeCell ref="B685:B872"/>
    <mergeCell ref="B878:B962"/>
    <mergeCell ref="B965:B990"/>
    <mergeCell ref="C1098:C1108"/>
    <mergeCell ref="C1109:C1118"/>
    <mergeCell ref="C1119:C1126"/>
    <mergeCell ref="C1127:C1131"/>
    <mergeCell ref="C1132:C1135"/>
    <mergeCell ref="C1136:C1182"/>
    <mergeCell ref="C1183:C1184"/>
    <mergeCell ref="C1185:C1195"/>
    <mergeCell ref="C1196:C1197"/>
    <mergeCell ref="C1198:C1206"/>
    <mergeCell ref="C1207:C1212"/>
    <mergeCell ref="C1213:C1216"/>
    <mergeCell ref="C965:C968"/>
    <mergeCell ref="C969:C973"/>
    <mergeCell ref="C916:C927"/>
    <mergeCell ref="C928:C931"/>
    <mergeCell ref="C932:C944"/>
    <mergeCell ref="C945:C946"/>
    <mergeCell ref="C947:C955"/>
    <mergeCell ref="C956:C960"/>
    <mergeCell ref="C961:C962"/>
    <mergeCell ref="C999:C1003"/>
    <mergeCell ref="C1004:C1012"/>
    <mergeCell ref="C974:C976"/>
    <mergeCell ref="C977:C980"/>
    <mergeCell ref="C981:C982"/>
    <mergeCell ref="C983:C987"/>
    <mergeCell ref="C988:C990"/>
    <mergeCell ref="C993:C994"/>
    <mergeCell ref="C995:C998"/>
    <mergeCell ref="C130:C135"/>
    <mergeCell ref="C136:C139"/>
    <mergeCell ref="C140:C144"/>
    <mergeCell ref="C145:C148"/>
    <mergeCell ref="C149:C151"/>
    <mergeCell ref="C152:C160"/>
    <mergeCell ref="C161:C164"/>
    <mergeCell ref="C165:C166"/>
    <mergeCell ref="C167:C180"/>
    <mergeCell ref="C181:C184"/>
    <mergeCell ref="C185:C190"/>
    <mergeCell ref="C191:C200"/>
    <mergeCell ref="C226:C229"/>
    <mergeCell ref="C230:C231"/>
    <mergeCell ref="C902:C908"/>
    <mergeCell ref="C909:C915"/>
    <mergeCell ref="C853:C855"/>
    <mergeCell ref="C856:C857"/>
    <mergeCell ref="C858:C872"/>
    <mergeCell ref="C878:C886"/>
    <mergeCell ref="C887:C890"/>
    <mergeCell ref="C891:C899"/>
    <mergeCell ref="C900:C901"/>
    <mergeCell ref="C366:C374"/>
    <mergeCell ref="C375:C378"/>
    <mergeCell ref="C379:C382"/>
    <mergeCell ref="C383:C394"/>
    <mergeCell ref="C395:C404"/>
    <mergeCell ref="C405:C413"/>
    <mergeCell ref="C414:C417"/>
    <mergeCell ref="C418:C421"/>
    <mergeCell ref="C422:C429"/>
    <mergeCell ref="J82:J84"/>
    <mergeCell ref="J454:J460"/>
    <mergeCell ref="J563:J564"/>
    <mergeCell ref="K563:K564"/>
    <mergeCell ref="J565:J575"/>
    <mergeCell ref="K565:K575"/>
    <mergeCell ref="J576:J577"/>
    <mergeCell ref="K576:K577"/>
    <mergeCell ref="J578:J585"/>
    <mergeCell ref="K578:K585"/>
    <mergeCell ref="J586:J590"/>
    <mergeCell ref="K586:K590"/>
    <mergeCell ref="J63:J66"/>
    <mergeCell ref="K63:K66"/>
    <mergeCell ref="M78:M234"/>
    <mergeCell ref="K82:K84"/>
    <mergeCell ref="K85:K93"/>
    <mergeCell ref="M237:M446"/>
    <mergeCell ref="M452:M592"/>
    <mergeCell ref="J165:J166"/>
    <mergeCell ref="K165:K166"/>
    <mergeCell ref="J181:J184"/>
    <mergeCell ref="K181:K184"/>
    <mergeCell ref="S181:S184"/>
    <mergeCell ref="T181:T184"/>
    <mergeCell ref="U181:U184"/>
    <mergeCell ref="V181:V184"/>
    <mergeCell ref="S185:S190"/>
    <mergeCell ref="V185:V190"/>
    <mergeCell ref="J85:J93"/>
    <mergeCell ref="J240:J247"/>
    <mergeCell ref="J430:J431"/>
    <mergeCell ref="K430:K431"/>
    <mergeCell ref="J432:J438"/>
    <mergeCell ref="K432:K438"/>
    <mergeCell ref="J439:J446"/>
    <mergeCell ref="K439:K446"/>
    <mergeCell ref="V58:V62"/>
    <mergeCell ref="I39:I46"/>
    <mergeCell ref="J39:J46"/>
    <mergeCell ref="H47:H52"/>
    <mergeCell ref="I47:I52"/>
    <mergeCell ref="J47:J52"/>
    <mergeCell ref="K47:K52"/>
    <mergeCell ref="K53:K57"/>
    <mergeCell ref="H53:H57"/>
    <mergeCell ref="H58:H62"/>
    <mergeCell ref="I58:I62"/>
    <mergeCell ref="J58:J62"/>
    <mergeCell ref="K58:K62"/>
    <mergeCell ref="H63:H66"/>
    <mergeCell ref="I63:I66"/>
    <mergeCell ref="T201:T214"/>
    <mergeCell ref="U201:U214"/>
    <mergeCell ref="T185:T190"/>
    <mergeCell ref="U185:U190"/>
    <mergeCell ref="S191:S200"/>
    <mergeCell ref="T191:T200"/>
    <mergeCell ref="U191:U200"/>
    <mergeCell ref="V191:V200"/>
    <mergeCell ref="S201:S214"/>
    <mergeCell ref="V201:V214"/>
    <mergeCell ref="J140:J144"/>
    <mergeCell ref="K140:K144"/>
    <mergeCell ref="J145:J148"/>
    <mergeCell ref="K145:K148"/>
    <mergeCell ref="J149:J151"/>
    <mergeCell ref="K149:K151"/>
    <mergeCell ref="J152:J160"/>
    <mergeCell ref="C26:C27"/>
    <mergeCell ref="H26:H27"/>
    <mergeCell ref="I26:I27"/>
    <mergeCell ref="J26:J27"/>
    <mergeCell ref="J33:J38"/>
    <mergeCell ref="K33:K38"/>
    <mergeCell ref="H12:H14"/>
    <mergeCell ref="H15:H18"/>
    <mergeCell ref="H28:H32"/>
    <mergeCell ref="I28:I32"/>
    <mergeCell ref="J28:J32"/>
    <mergeCell ref="K28:K32"/>
    <mergeCell ref="C33:C38"/>
    <mergeCell ref="S33:S38"/>
    <mergeCell ref="S39:S46"/>
    <mergeCell ref="S5:S10"/>
    <mergeCell ref="S12:S14"/>
    <mergeCell ref="S15:S18"/>
    <mergeCell ref="S19:S21"/>
    <mergeCell ref="S22:S25"/>
    <mergeCell ref="S26:S27"/>
    <mergeCell ref="S28:S32"/>
    <mergeCell ref="N39:N46"/>
    <mergeCell ref="N12:N14"/>
    <mergeCell ref="N15:N18"/>
    <mergeCell ref="N19:N21"/>
    <mergeCell ref="N22:N25"/>
    <mergeCell ref="N26:N27"/>
    <mergeCell ref="N28:N32"/>
    <mergeCell ref="N33:N38"/>
    <mergeCell ref="T5:T10"/>
    <mergeCell ref="U5:U10"/>
    <mergeCell ref="T12:T14"/>
    <mergeCell ref="U12:U14"/>
    <mergeCell ref="V12:V14"/>
    <mergeCell ref="U15:U18"/>
    <mergeCell ref="V15:V18"/>
    <mergeCell ref="T15:T18"/>
    <mergeCell ref="T19:T21"/>
    <mergeCell ref="U19:U21"/>
    <mergeCell ref="V19:V21"/>
    <mergeCell ref="T22:T25"/>
    <mergeCell ref="U22:U25"/>
    <mergeCell ref="V22:V25"/>
    <mergeCell ref="C19:C21"/>
    <mergeCell ref="H19:H21"/>
    <mergeCell ref="I19:I21"/>
    <mergeCell ref="J19:J21"/>
    <mergeCell ref="C15:C18"/>
    <mergeCell ref="C22:C25"/>
    <mergeCell ref="H22:H25"/>
    <mergeCell ref="I22:I25"/>
    <mergeCell ref="J22:J25"/>
    <mergeCell ref="K22:K25"/>
    <mergeCell ref="I1345:I1348"/>
    <mergeCell ref="J1345:J1348"/>
    <mergeCell ref="H1336:H1340"/>
    <mergeCell ref="I1336:I1340"/>
    <mergeCell ref="J1336:J1340"/>
    <mergeCell ref="H1341:H1344"/>
    <mergeCell ref="I1341:I1344"/>
    <mergeCell ref="J1341:J1344"/>
    <mergeCell ref="H1345:H1348"/>
    <mergeCell ref="I1374:I1376"/>
    <mergeCell ref="J1374:J1376"/>
    <mergeCell ref="J1377:J1380"/>
    <mergeCell ref="H1381:H1384"/>
    <mergeCell ref="I1381:I1384"/>
    <mergeCell ref="J1381:J1384"/>
    <mergeCell ref="H1370:H1371"/>
    <mergeCell ref="I1370:I1371"/>
    <mergeCell ref="J1370:J1371"/>
    <mergeCell ref="H1372:H1373"/>
    <mergeCell ref="I1372:I1373"/>
    <mergeCell ref="J1372:J1373"/>
    <mergeCell ref="H1374:H1376"/>
    <mergeCell ref="N1183:N1184"/>
    <mergeCell ref="H1185:H1195"/>
    <mergeCell ref="I1185:I1195"/>
    <mergeCell ref="J1185:J1195"/>
    <mergeCell ref="K1185:K1195"/>
    <mergeCell ref="N1185:N1195"/>
    <mergeCell ref="H1196:H1197"/>
    <mergeCell ref="I1196:I1197"/>
    <mergeCell ref="J1196:J1197"/>
    <mergeCell ref="K1196:K1197"/>
    <mergeCell ref="N1196:N1197"/>
    <mergeCell ref="H1198:H1206"/>
    <mergeCell ref="I1198:I1206"/>
    <mergeCell ref="I1229:I1236"/>
    <mergeCell ref="J1229:J1236"/>
    <mergeCell ref="H1213:H1216"/>
    <mergeCell ref="I1213:I1216"/>
    <mergeCell ref="H1219:H1228"/>
    <mergeCell ref="I1219:I1228"/>
    <mergeCell ref="J1219:J1228"/>
    <mergeCell ref="K1219:K1228"/>
    <mergeCell ref="H1229:H1236"/>
    <mergeCell ref="K1017:K1031"/>
    <mergeCell ref="I1032:I1033"/>
    <mergeCell ref="H1093:H1097"/>
    <mergeCell ref="I1093:I1097"/>
    <mergeCell ref="J1093:J1097"/>
    <mergeCell ref="K1093:K1097"/>
    <mergeCell ref="H1098:H1108"/>
    <mergeCell ref="I1098:I1108"/>
    <mergeCell ref="H1109:H1118"/>
    <mergeCell ref="I1109:I1118"/>
    <mergeCell ref="J1109:J1118"/>
    <mergeCell ref="K1109:K1118"/>
    <mergeCell ref="H1119:H1126"/>
    <mergeCell ref="I1119:I1126"/>
    <mergeCell ref="J1098:J1108"/>
    <mergeCell ref="K1098:K1108"/>
    <mergeCell ref="J1119:J1126"/>
    <mergeCell ref="K1119:K1126"/>
    <mergeCell ref="N1377:N1380"/>
    <mergeCell ref="J983:J987"/>
    <mergeCell ref="K983:K987"/>
    <mergeCell ref="I977:I980"/>
    <mergeCell ref="J977:J980"/>
    <mergeCell ref="K977:K980"/>
    <mergeCell ref="I981:I982"/>
    <mergeCell ref="J981:J982"/>
    <mergeCell ref="K981:K982"/>
    <mergeCell ref="I983:I987"/>
    <mergeCell ref="J995:J998"/>
    <mergeCell ref="K995:K998"/>
    <mergeCell ref="I988:I990"/>
    <mergeCell ref="J988:J990"/>
    <mergeCell ref="K988:K990"/>
    <mergeCell ref="I993:I994"/>
    <mergeCell ref="J993:J994"/>
    <mergeCell ref="K993:K994"/>
    <mergeCell ref="I995:I998"/>
    <mergeCell ref="J1013:J1014"/>
    <mergeCell ref="K1013:K1014"/>
    <mergeCell ref="I999:I1003"/>
    <mergeCell ref="J999:J1003"/>
    <mergeCell ref="K999:K1003"/>
    <mergeCell ref="I1004:I1012"/>
    <mergeCell ref="J1004:J1012"/>
    <mergeCell ref="K1004:K1012"/>
    <mergeCell ref="I1013:I1014"/>
    <mergeCell ref="I1034:I1043"/>
    <mergeCell ref="J1034:J1043"/>
    <mergeCell ref="I1015:I1016"/>
    <mergeCell ref="J1015:J1016"/>
    <mergeCell ref="K1302:K1308"/>
    <mergeCell ref="K1309:K1313"/>
    <mergeCell ref="K1314:K1329"/>
    <mergeCell ref="K1330:K1335"/>
    <mergeCell ref="K1336:K1340"/>
    <mergeCell ref="K1341:K1344"/>
    <mergeCell ref="K1345:K1348"/>
    <mergeCell ref="K1349:K1358"/>
    <mergeCell ref="K1359:K1362"/>
    <mergeCell ref="K1363:K1369"/>
    <mergeCell ref="K1370:K1371"/>
    <mergeCell ref="K1372:K1373"/>
    <mergeCell ref="K1374:K1376"/>
    <mergeCell ref="K1377:K1380"/>
    <mergeCell ref="K1274:K1283"/>
    <mergeCell ref="N1274:N1283"/>
    <mergeCell ref="K1290:K1294"/>
    <mergeCell ref="N1290:N1294"/>
    <mergeCell ref="K1295:K1299"/>
    <mergeCell ref="N1295:N1299"/>
    <mergeCell ref="M1219:M1299"/>
    <mergeCell ref="M1302:M1384"/>
    <mergeCell ref="N1219:N1228"/>
    <mergeCell ref="N1229:N1236"/>
    <mergeCell ref="N1237:N1241"/>
    <mergeCell ref="K1248:K1252"/>
    <mergeCell ref="N1302:N1308"/>
    <mergeCell ref="N1372:N1373"/>
    <mergeCell ref="N1374:N1376"/>
    <mergeCell ref="K1381:K1384"/>
    <mergeCell ref="N1381:N1384"/>
    <mergeCell ref="N1370:N1371"/>
    <mergeCell ref="T1284:T1289"/>
    <mergeCell ref="U1284:U1289"/>
    <mergeCell ref="V1284:V1289"/>
    <mergeCell ref="M1300:O1300"/>
    <mergeCell ref="M1301:O1301"/>
    <mergeCell ref="S1284:S1289"/>
    <mergeCell ref="S1290:S1294"/>
    <mergeCell ref="T1290:T1294"/>
    <mergeCell ref="U1290:U1294"/>
    <mergeCell ref="V1290:V1294"/>
    <mergeCell ref="S1295:S1299"/>
    <mergeCell ref="T1295:T1299"/>
    <mergeCell ref="N1359:N1362"/>
    <mergeCell ref="N1363:N1369"/>
    <mergeCell ref="N1309:N1313"/>
    <mergeCell ref="N1314:N1329"/>
    <mergeCell ref="N1330:N1335"/>
    <mergeCell ref="N1336:N1340"/>
    <mergeCell ref="N1341:N1344"/>
    <mergeCell ref="N1345:N1348"/>
    <mergeCell ref="N1349:N1358"/>
    <mergeCell ref="V1336:V1340"/>
    <mergeCell ref="V1341:V1344"/>
    <mergeCell ref="U1349:U1358"/>
    <mergeCell ref="V1349:V1358"/>
    <mergeCell ref="S1341:S1344"/>
    <mergeCell ref="S1345:S1348"/>
    <mergeCell ref="T1345:T1348"/>
    <mergeCell ref="U1345:U1348"/>
    <mergeCell ref="V1345:V1348"/>
    <mergeCell ref="S1349:S1358"/>
    <mergeCell ref="T1349:T1358"/>
    <mergeCell ref="S1207:S1212"/>
    <mergeCell ref="S1213:S1216"/>
    <mergeCell ref="T1213:T1216"/>
    <mergeCell ref="U1213:U1216"/>
    <mergeCell ref="V1213:V1216"/>
    <mergeCell ref="M1217:O1217"/>
    <mergeCell ref="M1218:O1218"/>
    <mergeCell ref="S1198:S1206"/>
    <mergeCell ref="T1198:T1206"/>
    <mergeCell ref="U1198:U1206"/>
    <mergeCell ref="V1198:V1206"/>
    <mergeCell ref="T1207:T1212"/>
    <mergeCell ref="U1207:U1212"/>
    <mergeCell ref="V1207:V1212"/>
    <mergeCell ref="S1274:S1283"/>
    <mergeCell ref="T1274:T1283"/>
    <mergeCell ref="U1274:U1283"/>
    <mergeCell ref="V1274:V1283"/>
    <mergeCell ref="N1213:N1216"/>
    <mergeCell ref="S1258:S1264"/>
    <mergeCell ref="T1258:T1264"/>
    <mergeCell ref="U1258:U1264"/>
    <mergeCell ref="V1258:V1264"/>
    <mergeCell ref="S1265:S1273"/>
    <mergeCell ref="T1265:T1273"/>
    <mergeCell ref="T1109:T1118"/>
    <mergeCell ref="U1109:U1118"/>
    <mergeCell ref="T1119:T1126"/>
    <mergeCell ref="U1119:U1126"/>
    <mergeCell ref="V1119:V1126"/>
    <mergeCell ref="U1127:U1131"/>
    <mergeCell ref="V1127:V1131"/>
    <mergeCell ref="S1136:S1182"/>
    <mergeCell ref="T1136:T1182"/>
    <mergeCell ref="U1136:U1182"/>
    <mergeCell ref="V1136:V1182"/>
    <mergeCell ref="T1183:T1184"/>
    <mergeCell ref="U1183:U1184"/>
    <mergeCell ref="V1183:V1184"/>
    <mergeCell ref="U1196:U1197"/>
    <mergeCell ref="V1196:V1197"/>
    <mergeCell ref="S1183:S1184"/>
    <mergeCell ref="S1185:S1195"/>
    <mergeCell ref="T1185:T1195"/>
    <mergeCell ref="U1185:U1195"/>
    <mergeCell ref="V1185:V1195"/>
    <mergeCell ref="S1196:S1197"/>
    <mergeCell ref="T1196:T1197"/>
    <mergeCell ref="U1089:U1092"/>
    <mergeCell ref="V1089:V1092"/>
    <mergeCell ref="U1093:U1097"/>
    <mergeCell ref="V1093:V1097"/>
    <mergeCell ref="N1093:N1097"/>
    <mergeCell ref="N1098:N1108"/>
    <mergeCell ref="N1109:N1118"/>
    <mergeCell ref="N1119:N1126"/>
    <mergeCell ref="N1127:N1131"/>
    <mergeCell ref="N1132:N1135"/>
    <mergeCell ref="S1082:S1083"/>
    <mergeCell ref="M1084:O1084"/>
    <mergeCell ref="M1085:O1085"/>
    <mergeCell ref="M1087:O1087"/>
    <mergeCell ref="N1089:N1092"/>
    <mergeCell ref="T1089:T1092"/>
    <mergeCell ref="T1093:T1097"/>
    <mergeCell ref="S1109:S1118"/>
    <mergeCell ref="S1119:S1126"/>
    <mergeCell ref="S1127:S1131"/>
    <mergeCell ref="S1132:S1135"/>
    <mergeCell ref="T1127:T1131"/>
    <mergeCell ref="T1132:T1135"/>
    <mergeCell ref="U1132:U1135"/>
    <mergeCell ref="V1132:V1135"/>
    <mergeCell ref="S1089:S1092"/>
    <mergeCell ref="S1093:S1097"/>
    <mergeCell ref="S1098:S1108"/>
    <mergeCell ref="T1098:T1108"/>
    <mergeCell ref="U1098:U1108"/>
    <mergeCell ref="V1098:V1108"/>
    <mergeCell ref="V1109:V1118"/>
    <mergeCell ref="U1032:U1033"/>
    <mergeCell ref="V1032:V1033"/>
    <mergeCell ref="T1082:T1083"/>
    <mergeCell ref="U1082:U1083"/>
    <mergeCell ref="T1059:T1061"/>
    <mergeCell ref="U1059:U1061"/>
    <mergeCell ref="S1062:S1064"/>
    <mergeCell ref="T1062:T1064"/>
    <mergeCell ref="U1062:U1064"/>
    <mergeCell ref="V1062:V1064"/>
    <mergeCell ref="S1065:S1070"/>
    <mergeCell ref="V1065:V1070"/>
    <mergeCell ref="T1065:T1070"/>
    <mergeCell ref="U1065:U1070"/>
    <mergeCell ref="S1071:S1081"/>
    <mergeCell ref="T1071:T1081"/>
    <mergeCell ref="U1071:U1081"/>
    <mergeCell ref="V1071:V1081"/>
    <mergeCell ref="V1082:V1083"/>
    <mergeCell ref="S1048:S1051"/>
    <mergeCell ref="T1048:T1051"/>
    <mergeCell ref="U1048:U1051"/>
    <mergeCell ref="V1048:V1051"/>
    <mergeCell ref="S1052:S1053"/>
    <mergeCell ref="V1052:V1053"/>
    <mergeCell ref="T1052:T1053"/>
    <mergeCell ref="U1052:U1053"/>
    <mergeCell ref="S1054:S1058"/>
    <mergeCell ref="T1054:T1058"/>
    <mergeCell ref="U1054:U1058"/>
    <mergeCell ref="V1054:V1058"/>
    <mergeCell ref="S1059:S1061"/>
    <mergeCell ref="V1059:V1061"/>
    <mergeCell ref="S981:S982"/>
    <mergeCell ref="T981:T982"/>
    <mergeCell ref="U981:U982"/>
    <mergeCell ref="V981:V982"/>
    <mergeCell ref="T983:T987"/>
    <mergeCell ref="U983:U987"/>
    <mergeCell ref="V983:V987"/>
    <mergeCell ref="S983:S987"/>
    <mergeCell ref="S988:S990"/>
    <mergeCell ref="T988:T990"/>
    <mergeCell ref="U988:U990"/>
    <mergeCell ref="V988:V990"/>
    <mergeCell ref="S993:S994"/>
    <mergeCell ref="T993:T994"/>
    <mergeCell ref="S995:S998"/>
    <mergeCell ref="T995:T998"/>
    <mergeCell ref="U995:U998"/>
    <mergeCell ref="V995:V998"/>
    <mergeCell ref="U993:U994"/>
    <mergeCell ref="V993:V994"/>
    <mergeCell ref="S1015:S1016"/>
    <mergeCell ref="T1015:T1016"/>
    <mergeCell ref="U1015:U1016"/>
    <mergeCell ref="V1015:V1016"/>
    <mergeCell ref="T1017:T1031"/>
    <mergeCell ref="U1017:U1031"/>
    <mergeCell ref="V1017:V1031"/>
    <mergeCell ref="S1017:S1031"/>
    <mergeCell ref="S1032:S1033"/>
    <mergeCell ref="S1034:S1043"/>
    <mergeCell ref="T1034:T1043"/>
    <mergeCell ref="U1034:U1043"/>
    <mergeCell ref="V1034:V1043"/>
    <mergeCell ref="S1044:S1047"/>
    <mergeCell ref="V1044:V1047"/>
    <mergeCell ref="T1044:T1047"/>
    <mergeCell ref="U1044:U1047"/>
    <mergeCell ref="T999:T1003"/>
    <mergeCell ref="U999:U1003"/>
    <mergeCell ref="V999:V1003"/>
    <mergeCell ref="U1013:U1014"/>
    <mergeCell ref="V1013:V1014"/>
    <mergeCell ref="S999:S1003"/>
    <mergeCell ref="S1004:S1012"/>
    <mergeCell ref="T1004:T1012"/>
    <mergeCell ref="U1004:U1012"/>
    <mergeCell ref="V1004:V1012"/>
    <mergeCell ref="S1013:S1014"/>
    <mergeCell ref="T1013:T1014"/>
    <mergeCell ref="T1032:T1033"/>
    <mergeCell ref="S961:S962"/>
    <mergeCell ref="T961:T962"/>
    <mergeCell ref="U961:U962"/>
    <mergeCell ref="V961:V962"/>
    <mergeCell ref="S965:S968"/>
    <mergeCell ref="T965:T968"/>
    <mergeCell ref="U965:U968"/>
    <mergeCell ref="V965:V968"/>
    <mergeCell ref="T969:T973"/>
    <mergeCell ref="U969:U973"/>
    <mergeCell ref="V969:V973"/>
    <mergeCell ref="U977:U980"/>
    <mergeCell ref="V977:V980"/>
    <mergeCell ref="N977:N980"/>
    <mergeCell ref="N981:N982"/>
    <mergeCell ref="S969:S973"/>
    <mergeCell ref="S974:S976"/>
    <mergeCell ref="T974:T976"/>
    <mergeCell ref="U974:U976"/>
    <mergeCell ref="V974:V976"/>
    <mergeCell ref="S977:S980"/>
    <mergeCell ref="T977:T980"/>
    <mergeCell ref="J1237:J1241"/>
    <mergeCell ref="K1237:K1241"/>
    <mergeCell ref="H1284:H1289"/>
    <mergeCell ref="I1284:I1289"/>
    <mergeCell ref="K1229:K1236"/>
    <mergeCell ref="J1242:J1247"/>
    <mergeCell ref="K1242:K1247"/>
    <mergeCell ref="J1213:J1216"/>
    <mergeCell ref="J1248:J1252"/>
    <mergeCell ref="J1253:J1257"/>
    <mergeCell ref="J1258:J1264"/>
    <mergeCell ref="J1265:J1273"/>
    <mergeCell ref="J1274:J1283"/>
    <mergeCell ref="J1284:J1289"/>
    <mergeCell ref="N1242:N1247"/>
    <mergeCell ref="N1248:N1252"/>
    <mergeCell ref="K1253:K1257"/>
    <mergeCell ref="N1253:N1257"/>
    <mergeCell ref="K1258:K1264"/>
    <mergeCell ref="N1258:N1264"/>
    <mergeCell ref="K1265:K1273"/>
    <mergeCell ref="N1265:N1273"/>
    <mergeCell ref="K1284:K1289"/>
    <mergeCell ref="N1284:N1289"/>
    <mergeCell ref="K1213:K1216"/>
    <mergeCell ref="J1136:J1182"/>
    <mergeCell ref="K1136:K1182"/>
    <mergeCell ref="N1136:N1182"/>
    <mergeCell ref="J1198:J1206"/>
    <mergeCell ref="K1198:K1206"/>
    <mergeCell ref="N1198:N1206"/>
    <mergeCell ref="H1207:H1212"/>
    <mergeCell ref="I1207:I1212"/>
    <mergeCell ref="J1207:J1212"/>
    <mergeCell ref="K1207:K1212"/>
    <mergeCell ref="N1207:N1212"/>
    <mergeCell ref="J1032:J1033"/>
    <mergeCell ref="K1032:K1033"/>
    <mergeCell ref="H1089:H1092"/>
    <mergeCell ref="I1089:I1092"/>
    <mergeCell ref="J1089:J1092"/>
    <mergeCell ref="K1089:K1092"/>
    <mergeCell ref="M1089:M1216"/>
    <mergeCell ref="H1127:H1131"/>
    <mergeCell ref="I1127:I1131"/>
    <mergeCell ref="J1127:J1131"/>
    <mergeCell ref="K1127:K1131"/>
    <mergeCell ref="H1132:H1135"/>
    <mergeCell ref="I1132:I1135"/>
    <mergeCell ref="J1132:J1135"/>
    <mergeCell ref="K1132:K1135"/>
    <mergeCell ref="H1136:H1182"/>
    <mergeCell ref="I1136:I1182"/>
    <mergeCell ref="H1183:H1184"/>
    <mergeCell ref="I1183:I1184"/>
    <mergeCell ref="J1183:J1184"/>
    <mergeCell ref="K1183:K1184"/>
    <mergeCell ref="J513:J514"/>
    <mergeCell ref="K513:K514"/>
    <mergeCell ref="J515:J517"/>
    <mergeCell ref="K515:K517"/>
    <mergeCell ref="J518:J519"/>
    <mergeCell ref="K518:K519"/>
    <mergeCell ref="J520:J528"/>
    <mergeCell ref="K520:K528"/>
    <mergeCell ref="J529:J533"/>
    <mergeCell ref="K529:K533"/>
    <mergeCell ref="J534:J544"/>
    <mergeCell ref="K534:K544"/>
    <mergeCell ref="J545:J553"/>
    <mergeCell ref="K545:K553"/>
    <mergeCell ref="J554:J562"/>
    <mergeCell ref="K554:K562"/>
    <mergeCell ref="J1059:J1061"/>
    <mergeCell ref="J1048:J1051"/>
    <mergeCell ref="K1048:K1051"/>
    <mergeCell ref="J1052:J1053"/>
    <mergeCell ref="K1052:K1053"/>
    <mergeCell ref="J1054:J1058"/>
    <mergeCell ref="K1054:K1058"/>
    <mergeCell ref="K1059:K1061"/>
    <mergeCell ref="J679:J680"/>
    <mergeCell ref="K679:K680"/>
    <mergeCell ref="K681:K682"/>
    <mergeCell ref="J681:J682"/>
    <mergeCell ref="J685:J687"/>
    <mergeCell ref="K685:K687"/>
    <mergeCell ref="K1015:K1016"/>
    <mergeCell ref="J1017:J1031"/>
    <mergeCell ref="J414:J417"/>
    <mergeCell ref="K414:K417"/>
    <mergeCell ref="J418:J421"/>
    <mergeCell ref="K418:K421"/>
    <mergeCell ref="J422:J429"/>
    <mergeCell ref="K422:K429"/>
    <mergeCell ref="J478:J486"/>
    <mergeCell ref="K478:K486"/>
    <mergeCell ref="J487:J489"/>
    <mergeCell ref="K487:K489"/>
    <mergeCell ref="J490:J495"/>
    <mergeCell ref="K490:K495"/>
    <mergeCell ref="J496:J497"/>
    <mergeCell ref="K496:K497"/>
    <mergeCell ref="J498:J503"/>
    <mergeCell ref="K498:K503"/>
    <mergeCell ref="J504:J512"/>
    <mergeCell ref="K504:K512"/>
    <mergeCell ref="J452:J453"/>
    <mergeCell ref="K452:K453"/>
    <mergeCell ref="K454:K460"/>
    <mergeCell ref="J461:J467"/>
    <mergeCell ref="K461:K467"/>
    <mergeCell ref="J468:J471"/>
    <mergeCell ref="K468:K471"/>
    <mergeCell ref="J472:J477"/>
    <mergeCell ref="K472:K477"/>
    <mergeCell ref="J328:J341"/>
    <mergeCell ref="K328:K341"/>
    <mergeCell ref="J342:J357"/>
    <mergeCell ref="K342:K357"/>
    <mergeCell ref="J358:J365"/>
    <mergeCell ref="K358:K365"/>
    <mergeCell ref="J366:J374"/>
    <mergeCell ref="K366:K374"/>
    <mergeCell ref="J375:J378"/>
    <mergeCell ref="K375:K378"/>
    <mergeCell ref="J379:J382"/>
    <mergeCell ref="K379:K382"/>
    <mergeCell ref="J383:J394"/>
    <mergeCell ref="K383:K394"/>
    <mergeCell ref="J395:J404"/>
    <mergeCell ref="K395:K404"/>
    <mergeCell ref="J405:J413"/>
    <mergeCell ref="K405:K413"/>
    <mergeCell ref="J185:J190"/>
    <mergeCell ref="K185:K190"/>
    <mergeCell ref="J191:J200"/>
    <mergeCell ref="K191:K200"/>
    <mergeCell ref="J215:J225"/>
    <mergeCell ref="K215:K225"/>
    <mergeCell ref="J226:J229"/>
    <mergeCell ref="K226:K229"/>
    <mergeCell ref="J230:J231"/>
    <mergeCell ref="K230:K231"/>
    <mergeCell ref="J232:J234"/>
    <mergeCell ref="K232:K234"/>
    <mergeCell ref="J201:J214"/>
    <mergeCell ref="K201:K214"/>
    <mergeCell ref="K240:K247"/>
    <mergeCell ref="J248:J261"/>
    <mergeCell ref="K248:K261"/>
    <mergeCell ref="K1034:K1043"/>
    <mergeCell ref="N1034:N1043"/>
    <mergeCell ref="J1044:J1047"/>
    <mergeCell ref="K1044:K1047"/>
    <mergeCell ref="N1044:N1047"/>
    <mergeCell ref="N1048:N1051"/>
    <mergeCell ref="N1052:N1053"/>
    <mergeCell ref="J1071:J1081"/>
    <mergeCell ref="J1082:J1083"/>
    <mergeCell ref="N1054:N1058"/>
    <mergeCell ref="N1059:N1061"/>
    <mergeCell ref="J1065:J1070"/>
    <mergeCell ref="K1065:K1070"/>
    <mergeCell ref="N1065:N1070"/>
    <mergeCell ref="K1071:K1081"/>
    <mergeCell ref="N1071:N1081"/>
    <mergeCell ref="K1082:K1083"/>
    <mergeCell ref="J1062:J1064"/>
    <mergeCell ref="K1062:K1064"/>
    <mergeCell ref="N1062:N1064"/>
    <mergeCell ref="N1082:N1083"/>
    <mergeCell ref="N983:N987"/>
    <mergeCell ref="N988:N990"/>
    <mergeCell ref="M993:M1083"/>
    <mergeCell ref="N993:N994"/>
    <mergeCell ref="N995:N998"/>
    <mergeCell ref="N999:N1003"/>
    <mergeCell ref="N1004:N1012"/>
    <mergeCell ref="M991:O991"/>
    <mergeCell ref="M992:O992"/>
    <mergeCell ref="N961:N962"/>
    <mergeCell ref="M963:O963"/>
    <mergeCell ref="M964:O964"/>
    <mergeCell ref="M965:M990"/>
    <mergeCell ref="N965:N968"/>
    <mergeCell ref="N969:N973"/>
    <mergeCell ref="N974:N976"/>
    <mergeCell ref="N1013:N1014"/>
    <mergeCell ref="N1015:N1016"/>
    <mergeCell ref="N1017:N1031"/>
    <mergeCell ref="N1032:N1033"/>
    <mergeCell ref="H833:H843"/>
    <mergeCell ref="H844:H850"/>
    <mergeCell ref="H851:H852"/>
    <mergeCell ref="H853:H855"/>
    <mergeCell ref="H856:H857"/>
    <mergeCell ref="H858:H872"/>
    <mergeCell ref="H878:H886"/>
    <mergeCell ref="H887:H890"/>
    <mergeCell ref="H891:H899"/>
    <mergeCell ref="H900:H901"/>
    <mergeCell ref="H902:H908"/>
    <mergeCell ref="H909:H915"/>
    <mergeCell ref="H916:H927"/>
    <mergeCell ref="H928:H931"/>
    <mergeCell ref="H932:H944"/>
    <mergeCell ref="H945:H946"/>
    <mergeCell ref="H947:H955"/>
    <mergeCell ref="H719:H721"/>
    <mergeCell ref="H722:H732"/>
    <mergeCell ref="H733:H738"/>
    <mergeCell ref="H739:H755"/>
    <mergeCell ref="H756:H766"/>
    <mergeCell ref="H767:H768"/>
    <mergeCell ref="H769:H770"/>
    <mergeCell ref="H771:H782"/>
    <mergeCell ref="H783:H788"/>
    <mergeCell ref="H789:H795"/>
    <mergeCell ref="H796:H801"/>
    <mergeCell ref="H802:H803"/>
    <mergeCell ref="H804:H805"/>
    <mergeCell ref="H806:H807"/>
    <mergeCell ref="H808:H819"/>
    <mergeCell ref="H820:H821"/>
    <mergeCell ref="H822:H832"/>
    <mergeCell ref="H1015:H1016"/>
    <mergeCell ref="H1017:H1031"/>
    <mergeCell ref="H1032:H1033"/>
    <mergeCell ref="H1034:H1043"/>
    <mergeCell ref="H1044:H1047"/>
    <mergeCell ref="I1044:I1047"/>
    <mergeCell ref="H1048:H1051"/>
    <mergeCell ref="I1048:I1051"/>
    <mergeCell ref="H1052:H1053"/>
    <mergeCell ref="I1052:I1053"/>
    <mergeCell ref="H1065:H1070"/>
    <mergeCell ref="H1071:H1081"/>
    <mergeCell ref="I1071:I1081"/>
    <mergeCell ref="H1082:H1083"/>
    <mergeCell ref="I1082:I1083"/>
    <mergeCell ref="H1054:H1058"/>
    <mergeCell ref="I1054:I1058"/>
    <mergeCell ref="H1059:H1061"/>
    <mergeCell ref="I1059:I1061"/>
    <mergeCell ref="H1062:H1064"/>
    <mergeCell ref="I1062:I1064"/>
    <mergeCell ref="I1065:I1070"/>
    <mergeCell ref="I1017:I1031"/>
    <mergeCell ref="I956:I960"/>
    <mergeCell ref="I961:I962"/>
    <mergeCell ref="J961:J962"/>
    <mergeCell ref="K961:K962"/>
    <mergeCell ref="J974:J976"/>
    <mergeCell ref="K974:K976"/>
    <mergeCell ref="I965:I968"/>
    <mergeCell ref="J965:J968"/>
    <mergeCell ref="K965:K968"/>
    <mergeCell ref="I969:I973"/>
    <mergeCell ref="J969:J973"/>
    <mergeCell ref="K969:K973"/>
    <mergeCell ref="I974:I976"/>
    <mergeCell ref="H995:H998"/>
    <mergeCell ref="H999:H1003"/>
    <mergeCell ref="H1004:H1012"/>
    <mergeCell ref="H1013:H1014"/>
    <mergeCell ref="H956:H960"/>
    <mergeCell ref="H961:H962"/>
    <mergeCell ref="H965:H968"/>
    <mergeCell ref="H969:H973"/>
    <mergeCell ref="H974:H976"/>
    <mergeCell ref="H977:H980"/>
    <mergeCell ref="H981:H982"/>
    <mergeCell ref="H983:H987"/>
    <mergeCell ref="H988:H990"/>
    <mergeCell ref="H993:H994"/>
    <mergeCell ref="I833:I843"/>
    <mergeCell ref="I844:I850"/>
    <mergeCell ref="I851:I852"/>
    <mergeCell ref="I853:I855"/>
    <mergeCell ref="I856:I857"/>
    <mergeCell ref="I858:I872"/>
    <mergeCell ref="I878:I886"/>
    <mergeCell ref="I887:I890"/>
    <mergeCell ref="I891:I899"/>
    <mergeCell ref="I900:I901"/>
    <mergeCell ref="I902:I908"/>
    <mergeCell ref="I909:I915"/>
    <mergeCell ref="I916:I927"/>
    <mergeCell ref="I928:I931"/>
    <mergeCell ref="I932:I944"/>
    <mergeCell ref="I945:I946"/>
    <mergeCell ref="I947:I955"/>
    <mergeCell ref="I719:I721"/>
    <mergeCell ref="I722:I732"/>
    <mergeCell ref="I733:I738"/>
    <mergeCell ref="I739:I755"/>
    <mergeCell ref="I756:I766"/>
    <mergeCell ref="I767:I768"/>
    <mergeCell ref="I769:I770"/>
    <mergeCell ref="I771:I782"/>
    <mergeCell ref="I783:I788"/>
    <mergeCell ref="I789:I795"/>
    <mergeCell ref="I796:I801"/>
    <mergeCell ref="I802:I803"/>
    <mergeCell ref="I804:I805"/>
    <mergeCell ref="I806:I807"/>
    <mergeCell ref="I808:I819"/>
    <mergeCell ref="I820:I821"/>
    <mergeCell ref="I822:I832"/>
    <mergeCell ref="H659:H665"/>
    <mergeCell ref="H666:H670"/>
    <mergeCell ref="H671:H672"/>
    <mergeCell ref="H673:H678"/>
    <mergeCell ref="H679:H680"/>
    <mergeCell ref="H681:H682"/>
    <mergeCell ref="I659:I665"/>
    <mergeCell ref="I666:I670"/>
    <mergeCell ref="I671:I672"/>
    <mergeCell ref="I673:I678"/>
    <mergeCell ref="I679:I680"/>
    <mergeCell ref="I681:I682"/>
    <mergeCell ref="I685:I687"/>
    <mergeCell ref="I688:I698"/>
    <mergeCell ref="I699:I709"/>
    <mergeCell ref="I710:I712"/>
    <mergeCell ref="I713:I718"/>
    <mergeCell ref="H685:H687"/>
    <mergeCell ref="H688:H698"/>
    <mergeCell ref="H699:H709"/>
    <mergeCell ref="H710:H712"/>
    <mergeCell ref="H713:H718"/>
    <mergeCell ref="H601:H613"/>
    <mergeCell ref="I601:I613"/>
    <mergeCell ref="I614:I617"/>
    <mergeCell ref="H614:H617"/>
    <mergeCell ref="H618:H623"/>
    <mergeCell ref="I618:I623"/>
    <mergeCell ref="H624:H630"/>
    <mergeCell ref="I624:I630"/>
    <mergeCell ref="H631:H637"/>
    <mergeCell ref="I631:I637"/>
    <mergeCell ref="H638:H639"/>
    <mergeCell ref="I638:I639"/>
    <mergeCell ref="H640:H646"/>
    <mergeCell ref="I640:I646"/>
    <mergeCell ref="H647:H648"/>
    <mergeCell ref="I647:I648"/>
    <mergeCell ref="I649:I658"/>
    <mergeCell ref="H649:H658"/>
    <mergeCell ref="H534:H544"/>
    <mergeCell ref="H545:H553"/>
    <mergeCell ref="H554:H562"/>
    <mergeCell ref="I554:I562"/>
    <mergeCell ref="H563:H564"/>
    <mergeCell ref="I563:I564"/>
    <mergeCell ref="H565:H575"/>
    <mergeCell ref="I565:I575"/>
    <mergeCell ref="H576:H577"/>
    <mergeCell ref="I576:I577"/>
    <mergeCell ref="H578:H585"/>
    <mergeCell ref="I578:I585"/>
    <mergeCell ref="I586:I590"/>
    <mergeCell ref="I591:I592"/>
    <mergeCell ref="H586:H590"/>
    <mergeCell ref="H591:H592"/>
    <mergeCell ref="H595:H600"/>
    <mergeCell ref="I595:I600"/>
    <mergeCell ref="H478:H486"/>
    <mergeCell ref="H487:H489"/>
    <mergeCell ref="H490:H495"/>
    <mergeCell ref="I461:I467"/>
    <mergeCell ref="I468:I471"/>
    <mergeCell ref="I472:I477"/>
    <mergeCell ref="I478:I486"/>
    <mergeCell ref="I487:I489"/>
    <mergeCell ref="I490:I495"/>
    <mergeCell ref="I496:I497"/>
    <mergeCell ref="H496:H497"/>
    <mergeCell ref="H498:H503"/>
    <mergeCell ref="H504:H512"/>
    <mergeCell ref="H513:H514"/>
    <mergeCell ref="H515:H517"/>
    <mergeCell ref="H518:H519"/>
    <mergeCell ref="H520:H528"/>
    <mergeCell ref="I498:I503"/>
    <mergeCell ref="I504:I512"/>
    <mergeCell ref="I513:I514"/>
    <mergeCell ref="I515:I517"/>
    <mergeCell ref="I518:I519"/>
    <mergeCell ref="I520:I528"/>
    <mergeCell ref="I529:I533"/>
    <mergeCell ref="H383:H394"/>
    <mergeCell ref="I383:I394"/>
    <mergeCell ref="H395:H404"/>
    <mergeCell ref="I395:I404"/>
    <mergeCell ref="H405:H413"/>
    <mergeCell ref="I405:I413"/>
    <mergeCell ref="I414:I417"/>
    <mergeCell ref="H414:H417"/>
    <mergeCell ref="H418:H421"/>
    <mergeCell ref="H422:H429"/>
    <mergeCell ref="H430:H431"/>
    <mergeCell ref="H432:H438"/>
    <mergeCell ref="H439:H446"/>
    <mergeCell ref="H452:H453"/>
    <mergeCell ref="I418:I421"/>
    <mergeCell ref="I422:I429"/>
    <mergeCell ref="I430:I431"/>
    <mergeCell ref="I432:I438"/>
    <mergeCell ref="I439:I446"/>
    <mergeCell ref="I452:I453"/>
    <mergeCell ref="I454:I460"/>
    <mergeCell ref="H454:H460"/>
    <mergeCell ref="H461:H467"/>
    <mergeCell ref="H468:H471"/>
    <mergeCell ref="H472:H477"/>
    <mergeCell ref="H185:H190"/>
    <mergeCell ref="I185:I190"/>
    <mergeCell ref="H191:H200"/>
    <mergeCell ref="I191:I200"/>
    <mergeCell ref="H201:H214"/>
    <mergeCell ref="I201:I214"/>
    <mergeCell ref="H215:H225"/>
    <mergeCell ref="I215:I225"/>
    <mergeCell ref="I226:I229"/>
    <mergeCell ref="H226:H229"/>
    <mergeCell ref="H230:H231"/>
    <mergeCell ref="H232:H234"/>
    <mergeCell ref="H237:H239"/>
    <mergeCell ref="H240:H247"/>
    <mergeCell ref="H248:H261"/>
    <mergeCell ref="H262:H271"/>
    <mergeCell ref="H358:H365"/>
    <mergeCell ref="H82:H84"/>
    <mergeCell ref="H85:H93"/>
    <mergeCell ref="I85:I93"/>
    <mergeCell ref="H94:H118"/>
    <mergeCell ref="I94:I118"/>
    <mergeCell ref="H119:H121"/>
    <mergeCell ref="I119:I121"/>
    <mergeCell ref="H122:H124"/>
    <mergeCell ref="I122:I124"/>
    <mergeCell ref="H136:H139"/>
    <mergeCell ref="I136:I139"/>
    <mergeCell ref="H140:H144"/>
    <mergeCell ref="I140:I144"/>
    <mergeCell ref="I145:I148"/>
    <mergeCell ref="I149:I151"/>
    <mergeCell ref="H145:H148"/>
    <mergeCell ref="H149:H151"/>
    <mergeCell ref="T956:T960"/>
    <mergeCell ref="U956:U960"/>
    <mergeCell ref="T945:T946"/>
    <mergeCell ref="U945:U946"/>
    <mergeCell ref="S947:S955"/>
    <mergeCell ref="T947:T955"/>
    <mergeCell ref="U947:U955"/>
    <mergeCell ref="V947:V955"/>
    <mergeCell ref="S956:S960"/>
    <mergeCell ref="V956:V960"/>
    <mergeCell ref="H272:H277"/>
    <mergeCell ref="H278:H294"/>
    <mergeCell ref="H295:H297"/>
    <mergeCell ref="H298:H310"/>
    <mergeCell ref="I298:I310"/>
    <mergeCell ref="H311:H322"/>
    <mergeCell ref="I311:I322"/>
    <mergeCell ref="H323:H327"/>
    <mergeCell ref="I323:I327"/>
    <mergeCell ref="H328:H341"/>
    <mergeCell ref="I328:I341"/>
    <mergeCell ref="H342:H357"/>
    <mergeCell ref="I342:I357"/>
    <mergeCell ref="I358:I365"/>
    <mergeCell ref="H366:H374"/>
    <mergeCell ref="I366:I374"/>
    <mergeCell ref="H375:H378"/>
    <mergeCell ref="I375:I378"/>
    <mergeCell ref="H379:H382"/>
    <mergeCell ref="I379:I382"/>
    <mergeCell ref="I534:I544"/>
    <mergeCell ref="I545:I553"/>
    <mergeCell ref="K833:K843"/>
    <mergeCell ref="J844:J850"/>
    <mergeCell ref="K844:K850"/>
    <mergeCell ref="J851:J852"/>
    <mergeCell ref="K851:K852"/>
    <mergeCell ref="J853:J855"/>
    <mergeCell ref="K853:K855"/>
    <mergeCell ref="N858:N872"/>
    <mergeCell ref="N878:N886"/>
    <mergeCell ref="N945:N946"/>
    <mergeCell ref="N947:N955"/>
    <mergeCell ref="N822:N832"/>
    <mergeCell ref="N833:N843"/>
    <mergeCell ref="N844:N850"/>
    <mergeCell ref="N851:N852"/>
    <mergeCell ref="N853:N855"/>
    <mergeCell ref="N856:N857"/>
    <mergeCell ref="M878:M960"/>
    <mergeCell ref="N956:N960"/>
    <mergeCell ref="J887:J890"/>
    <mergeCell ref="K887:K890"/>
    <mergeCell ref="K891:K899"/>
    <mergeCell ref="J945:J946"/>
    <mergeCell ref="J947:J955"/>
    <mergeCell ref="J956:J960"/>
    <mergeCell ref="J891:J899"/>
    <mergeCell ref="J900:J901"/>
    <mergeCell ref="J902:J908"/>
    <mergeCell ref="J909:J915"/>
    <mergeCell ref="J916:J927"/>
    <mergeCell ref="J928:J931"/>
    <mergeCell ref="J932:J944"/>
    <mergeCell ref="K947:K955"/>
    <mergeCell ref="K956:K960"/>
    <mergeCell ref="K900:K901"/>
    <mergeCell ref="K902:K908"/>
    <mergeCell ref="K909:K915"/>
    <mergeCell ref="K916:K927"/>
    <mergeCell ref="K928:K931"/>
    <mergeCell ref="K932:K944"/>
    <mergeCell ref="K945:K946"/>
    <mergeCell ref="J595:J600"/>
    <mergeCell ref="K595:K600"/>
    <mergeCell ref="M595:M678"/>
    <mergeCell ref="J601:J613"/>
    <mergeCell ref="K601:K613"/>
    <mergeCell ref="N685:N687"/>
    <mergeCell ref="N688:N698"/>
    <mergeCell ref="N699:N709"/>
    <mergeCell ref="N710:N712"/>
    <mergeCell ref="N713:N718"/>
    <mergeCell ref="N719:N721"/>
    <mergeCell ref="N722:N732"/>
    <mergeCell ref="J739:J755"/>
    <mergeCell ref="K739:K755"/>
    <mergeCell ref="J856:J857"/>
    <mergeCell ref="K856:K857"/>
    <mergeCell ref="J647:J648"/>
    <mergeCell ref="K647:K648"/>
    <mergeCell ref="M685:M872"/>
    <mergeCell ref="J688:J698"/>
    <mergeCell ref="K688:K698"/>
    <mergeCell ref="J699:J709"/>
    <mergeCell ref="K699:K709"/>
    <mergeCell ref="J858:J872"/>
    <mergeCell ref="K858:K872"/>
    <mergeCell ref="J808:J819"/>
    <mergeCell ref="K808:K819"/>
    <mergeCell ref="J820:J821"/>
    <mergeCell ref="K820:K821"/>
    <mergeCell ref="J822:J832"/>
    <mergeCell ref="K822:K832"/>
    <mergeCell ref="J833:J843"/>
    <mergeCell ref="J733:J738"/>
    <mergeCell ref="K733:K738"/>
    <mergeCell ref="J756:J766"/>
    <mergeCell ref="K756:K766"/>
    <mergeCell ref="J767:J768"/>
    <mergeCell ref="K767:K768"/>
    <mergeCell ref="J769:J770"/>
    <mergeCell ref="K769:K770"/>
    <mergeCell ref="J649:J658"/>
    <mergeCell ref="K649:K658"/>
    <mergeCell ref="J659:J665"/>
    <mergeCell ref="K659:K665"/>
    <mergeCell ref="J666:J670"/>
    <mergeCell ref="K666:K670"/>
    <mergeCell ref="N666:N670"/>
    <mergeCell ref="J671:J672"/>
    <mergeCell ref="K671:K672"/>
    <mergeCell ref="N671:N672"/>
    <mergeCell ref="J673:J678"/>
    <mergeCell ref="K673:K678"/>
    <mergeCell ref="N673:N678"/>
    <mergeCell ref="N679:N680"/>
    <mergeCell ref="N681:N682"/>
    <mergeCell ref="M683:O683"/>
    <mergeCell ref="M684:O684"/>
    <mergeCell ref="S928:S931"/>
    <mergeCell ref="T928:T931"/>
    <mergeCell ref="U928:U931"/>
    <mergeCell ref="V928:V931"/>
    <mergeCell ref="N928:N931"/>
    <mergeCell ref="N932:N944"/>
    <mergeCell ref="S932:S944"/>
    <mergeCell ref="T932:T944"/>
    <mergeCell ref="U932:U944"/>
    <mergeCell ref="V932:V944"/>
    <mergeCell ref="S945:S946"/>
    <mergeCell ref="V945:V946"/>
    <mergeCell ref="J614:J617"/>
    <mergeCell ref="K614:K617"/>
    <mergeCell ref="J618:J623"/>
    <mergeCell ref="K618:K623"/>
    <mergeCell ref="J624:J630"/>
    <mergeCell ref="K624:K630"/>
    <mergeCell ref="J631:J637"/>
    <mergeCell ref="K631:K637"/>
    <mergeCell ref="J638:J639"/>
    <mergeCell ref="K638:K639"/>
    <mergeCell ref="J640:J646"/>
    <mergeCell ref="K640:K646"/>
    <mergeCell ref="J710:J712"/>
    <mergeCell ref="K710:K712"/>
    <mergeCell ref="J713:J718"/>
    <mergeCell ref="K713:K718"/>
    <mergeCell ref="J719:J721"/>
    <mergeCell ref="K719:K721"/>
    <mergeCell ref="J722:J732"/>
    <mergeCell ref="K722:K732"/>
    <mergeCell ref="N733:N738"/>
    <mergeCell ref="N739:N755"/>
    <mergeCell ref="N756:N766"/>
    <mergeCell ref="N767:N768"/>
    <mergeCell ref="N769:N770"/>
    <mergeCell ref="N771:N782"/>
    <mergeCell ref="N783:N788"/>
    <mergeCell ref="N789:N795"/>
    <mergeCell ref="N796:N801"/>
    <mergeCell ref="N802:N803"/>
    <mergeCell ref="N804:N805"/>
    <mergeCell ref="N806:N807"/>
    <mergeCell ref="N808:N819"/>
    <mergeCell ref="N820:N821"/>
    <mergeCell ref="M873:O873"/>
    <mergeCell ref="M874:O874"/>
    <mergeCell ref="M876:O876"/>
    <mergeCell ref="S916:S927"/>
    <mergeCell ref="T916:T927"/>
    <mergeCell ref="U916:U927"/>
    <mergeCell ref="V916:V927"/>
    <mergeCell ref="J771:J782"/>
    <mergeCell ref="K771:K782"/>
    <mergeCell ref="J783:J788"/>
    <mergeCell ref="K783:K788"/>
    <mergeCell ref="J789:J795"/>
    <mergeCell ref="K789:K795"/>
    <mergeCell ref="J796:J801"/>
    <mergeCell ref="K796:K801"/>
    <mergeCell ref="J802:J803"/>
    <mergeCell ref="K802:K803"/>
    <mergeCell ref="J804:J805"/>
    <mergeCell ref="K804:K805"/>
    <mergeCell ref="J806:J807"/>
    <mergeCell ref="K806:K807"/>
    <mergeCell ref="S820:S821"/>
    <mergeCell ref="T820:T821"/>
    <mergeCell ref="U820:U821"/>
    <mergeCell ref="V820:V821"/>
    <mergeCell ref="S822:S832"/>
    <mergeCell ref="V822:V832"/>
    <mergeCell ref="N887:N890"/>
    <mergeCell ref="N891:N899"/>
    <mergeCell ref="N900:N901"/>
    <mergeCell ref="N902:N908"/>
    <mergeCell ref="N909:N915"/>
    <mergeCell ref="N916:N927"/>
    <mergeCell ref="J878:J886"/>
    <mergeCell ref="K878:K886"/>
    <mergeCell ref="T822:T832"/>
    <mergeCell ref="U822:U832"/>
    <mergeCell ref="S833:S843"/>
    <mergeCell ref="T833:T843"/>
    <mergeCell ref="U833:U843"/>
    <mergeCell ref="V833:V843"/>
    <mergeCell ref="V844:V850"/>
    <mergeCell ref="S844:S850"/>
    <mergeCell ref="S851:S852"/>
    <mergeCell ref="S853:S855"/>
    <mergeCell ref="S856:S857"/>
    <mergeCell ref="S858:S872"/>
    <mergeCell ref="T858:T872"/>
    <mergeCell ref="U858:U872"/>
    <mergeCell ref="S878:S886"/>
    <mergeCell ref="T878:T886"/>
    <mergeCell ref="U878:U886"/>
    <mergeCell ref="V878:V886"/>
    <mergeCell ref="S887:S890"/>
    <mergeCell ref="S891:S899"/>
    <mergeCell ref="T891:T899"/>
    <mergeCell ref="U891:U899"/>
    <mergeCell ref="V891:V899"/>
    <mergeCell ref="S900:S901"/>
    <mergeCell ref="T900:T901"/>
    <mergeCell ref="S902:S908"/>
    <mergeCell ref="T902:T908"/>
    <mergeCell ref="U902:U908"/>
    <mergeCell ref="V902:V908"/>
    <mergeCell ref="T909:T915"/>
    <mergeCell ref="U909:U915"/>
    <mergeCell ref="V909:V915"/>
    <mergeCell ref="T844:T850"/>
    <mergeCell ref="U844:U850"/>
    <mergeCell ref="T851:T852"/>
    <mergeCell ref="U851:U852"/>
    <mergeCell ref="T853:T855"/>
    <mergeCell ref="U853:U855"/>
    <mergeCell ref="T856:T857"/>
    <mergeCell ref="U856:U857"/>
    <mergeCell ref="V851:V852"/>
    <mergeCell ref="V853:V855"/>
    <mergeCell ref="V856:V857"/>
    <mergeCell ref="V858:V872"/>
    <mergeCell ref="T887:T890"/>
    <mergeCell ref="U887:U890"/>
    <mergeCell ref="V887:V890"/>
    <mergeCell ref="U900:U901"/>
    <mergeCell ref="V900:V901"/>
    <mergeCell ref="S909:S915"/>
    <mergeCell ref="S783:S788"/>
    <mergeCell ref="T783:T788"/>
    <mergeCell ref="U783:U788"/>
    <mergeCell ref="V783:V788"/>
    <mergeCell ref="S789:S795"/>
    <mergeCell ref="T789:T795"/>
    <mergeCell ref="T802:T803"/>
    <mergeCell ref="U802:U803"/>
    <mergeCell ref="U789:U795"/>
    <mergeCell ref="V789:V795"/>
    <mergeCell ref="S796:S801"/>
    <mergeCell ref="T796:T801"/>
    <mergeCell ref="U796:U801"/>
    <mergeCell ref="V796:V801"/>
    <mergeCell ref="V802:V803"/>
    <mergeCell ref="U806:U807"/>
    <mergeCell ref="V806:V807"/>
    <mergeCell ref="S802:S803"/>
    <mergeCell ref="S804:S805"/>
    <mergeCell ref="T804:T805"/>
    <mergeCell ref="U804:U805"/>
    <mergeCell ref="V804:V805"/>
    <mergeCell ref="S806:S807"/>
    <mergeCell ref="T806:T807"/>
    <mergeCell ref="T722:T732"/>
    <mergeCell ref="U767:U768"/>
    <mergeCell ref="V767:V768"/>
    <mergeCell ref="S739:S755"/>
    <mergeCell ref="S756:S766"/>
    <mergeCell ref="T756:T766"/>
    <mergeCell ref="U756:U766"/>
    <mergeCell ref="V756:V766"/>
    <mergeCell ref="S767:S768"/>
    <mergeCell ref="T767:T768"/>
    <mergeCell ref="S769:S770"/>
    <mergeCell ref="T769:T770"/>
    <mergeCell ref="U769:U770"/>
    <mergeCell ref="V769:V770"/>
    <mergeCell ref="T771:T782"/>
    <mergeCell ref="U771:U782"/>
    <mergeCell ref="V771:V782"/>
    <mergeCell ref="S771:S782"/>
    <mergeCell ref="T119:T121"/>
    <mergeCell ref="U119:U121"/>
    <mergeCell ref="T122:T124"/>
    <mergeCell ref="U122:U124"/>
    <mergeCell ref="U125:U127"/>
    <mergeCell ref="S710:S712"/>
    <mergeCell ref="T710:T712"/>
    <mergeCell ref="U710:U712"/>
    <mergeCell ref="V710:V712"/>
    <mergeCell ref="T713:T718"/>
    <mergeCell ref="U713:U718"/>
    <mergeCell ref="V713:V718"/>
    <mergeCell ref="S713:S718"/>
    <mergeCell ref="S719:S721"/>
    <mergeCell ref="T719:T721"/>
    <mergeCell ref="U719:U721"/>
    <mergeCell ref="V719:V721"/>
    <mergeCell ref="S130:S135"/>
    <mergeCell ref="T130:T135"/>
    <mergeCell ref="U130:U135"/>
    <mergeCell ref="V130:V135"/>
    <mergeCell ref="T136:T139"/>
    <mergeCell ref="U136:U139"/>
    <mergeCell ref="V136:V139"/>
    <mergeCell ref="U145:U148"/>
    <mergeCell ref="V145:V148"/>
    <mergeCell ref="S136:S139"/>
    <mergeCell ref="S140:S144"/>
    <mergeCell ref="T140:T144"/>
    <mergeCell ref="U140:U144"/>
    <mergeCell ref="V140:V144"/>
    <mergeCell ref="S145:S148"/>
    <mergeCell ref="T145:T148"/>
    <mergeCell ref="U165:U166"/>
    <mergeCell ref="V165:V166"/>
    <mergeCell ref="U699:U709"/>
    <mergeCell ref="V699:V709"/>
    <mergeCell ref="S685:S687"/>
    <mergeCell ref="S688:S698"/>
    <mergeCell ref="T688:T698"/>
    <mergeCell ref="U688:U698"/>
    <mergeCell ref="V688:V698"/>
    <mergeCell ref="S699:S709"/>
    <mergeCell ref="T699:T709"/>
    <mergeCell ref="S808:S819"/>
    <mergeCell ref="T808:T819"/>
    <mergeCell ref="U808:U819"/>
    <mergeCell ref="V808:V819"/>
    <mergeCell ref="S149:S151"/>
    <mergeCell ref="T149:T151"/>
    <mergeCell ref="U149:U151"/>
    <mergeCell ref="V149:V151"/>
    <mergeCell ref="T152:T160"/>
    <mergeCell ref="U152:U160"/>
    <mergeCell ref="V152:V160"/>
    <mergeCell ref="S152:S160"/>
    <mergeCell ref="S161:S164"/>
    <mergeCell ref="T161:T164"/>
    <mergeCell ref="U161:U164"/>
    <mergeCell ref="V161:V164"/>
    <mergeCell ref="S165:S166"/>
    <mergeCell ref="T165:T166"/>
    <mergeCell ref="S167:S180"/>
    <mergeCell ref="T167:T180"/>
    <mergeCell ref="U167:U180"/>
    <mergeCell ref="V167:V180"/>
    <mergeCell ref="S722:S732"/>
    <mergeCell ref="T739:T755"/>
    <mergeCell ref="U739:U755"/>
    <mergeCell ref="U722:U732"/>
    <mergeCell ref="V722:V732"/>
    <mergeCell ref="S733:S738"/>
    <mergeCell ref="T733:T738"/>
    <mergeCell ref="U733:U738"/>
    <mergeCell ref="V733:V738"/>
    <mergeCell ref="V739:V755"/>
    <mergeCell ref="S666:S670"/>
    <mergeCell ref="T666:T670"/>
    <mergeCell ref="U666:U670"/>
    <mergeCell ref="V666:V670"/>
    <mergeCell ref="T671:T672"/>
    <mergeCell ref="U671:U672"/>
    <mergeCell ref="V671:V672"/>
    <mergeCell ref="U679:U680"/>
    <mergeCell ref="V679:V680"/>
    <mergeCell ref="S671:S672"/>
    <mergeCell ref="S673:S678"/>
    <mergeCell ref="T673:T678"/>
    <mergeCell ref="U673:U678"/>
    <mergeCell ref="V673:V678"/>
    <mergeCell ref="S679:S680"/>
    <mergeCell ref="T679:T680"/>
    <mergeCell ref="S681:S682"/>
    <mergeCell ref="T681:T682"/>
    <mergeCell ref="U681:U682"/>
    <mergeCell ref="V681:V682"/>
    <mergeCell ref="T685:T687"/>
    <mergeCell ref="U685:U687"/>
    <mergeCell ref="V685:V687"/>
    <mergeCell ref="V578:V585"/>
    <mergeCell ref="T586:T590"/>
    <mergeCell ref="U586:U590"/>
    <mergeCell ref="V586:V590"/>
    <mergeCell ref="S520:S528"/>
    <mergeCell ref="S529:S533"/>
    <mergeCell ref="S534:S544"/>
    <mergeCell ref="S545:S553"/>
    <mergeCell ref="S554:S562"/>
    <mergeCell ref="S563:S564"/>
    <mergeCell ref="S565:S575"/>
    <mergeCell ref="N640:N646"/>
    <mergeCell ref="N647:N648"/>
    <mergeCell ref="N649:N658"/>
    <mergeCell ref="N659:N665"/>
    <mergeCell ref="N595:N600"/>
    <mergeCell ref="N601:N613"/>
    <mergeCell ref="N614:N617"/>
    <mergeCell ref="N618:N623"/>
    <mergeCell ref="N624:N630"/>
    <mergeCell ref="N631:N637"/>
    <mergeCell ref="N638:N639"/>
    <mergeCell ref="V520:V528"/>
    <mergeCell ref="V529:V533"/>
    <mergeCell ref="T529:T533"/>
    <mergeCell ref="U529:U533"/>
    <mergeCell ref="T534:T544"/>
    <mergeCell ref="U534:U544"/>
    <mergeCell ref="V534:V544"/>
    <mergeCell ref="U545:U553"/>
    <mergeCell ref="V545:V553"/>
    <mergeCell ref="T565:T575"/>
    <mergeCell ref="U565:U575"/>
    <mergeCell ref="V565:V575"/>
    <mergeCell ref="T576:T577"/>
    <mergeCell ref="U576:U577"/>
    <mergeCell ref="V576:V577"/>
    <mergeCell ref="T545:T553"/>
    <mergeCell ref="T554:T562"/>
    <mergeCell ref="U554:U562"/>
    <mergeCell ref="V554:V562"/>
    <mergeCell ref="T563:T564"/>
    <mergeCell ref="U563:U564"/>
    <mergeCell ref="V563:V564"/>
    <mergeCell ref="N578:N585"/>
    <mergeCell ref="N586:N590"/>
    <mergeCell ref="N591:N592"/>
    <mergeCell ref="B593:D593"/>
    <mergeCell ref="M593:O593"/>
    <mergeCell ref="B594:D594"/>
    <mergeCell ref="M594:O594"/>
    <mergeCell ref="N529:N533"/>
    <mergeCell ref="N534:N544"/>
    <mergeCell ref="N545:N553"/>
    <mergeCell ref="N554:N562"/>
    <mergeCell ref="N563:N564"/>
    <mergeCell ref="N565:N575"/>
    <mergeCell ref="N576:N577"/>
    <mergeCell ref="T504:T512"/>
    <mergeCell ref="U504:U512"/>
    <mergeCell ref="S513:S514"/>
    <mergeCell ref="T513:T514"/>
    <mergeCell ref="U513:U514"/>
    <mergeCell ref="S515:S517"/>
    <mergeCell ref="T515:T517"/>
    <mergeCell ref="U515:U517"/>
    <mergeCell ref="N520:N528"/>
    <mergeCell ref="T520:T528"/>
    <mergeCell ref="U520:U528"/>
    <mergeCell ref="S576:S577"/>
    <mergeCell ref="S578:S585"/>
    <mergeCell ref="T578:T585"/>
    <mergeCell ref="U578:U585"/>
    <mergeCell ref="J591:J592"/>
    <mergeCell ref="K591:K592"/>
    <mergeCell ref="H529:H533"/>
    <mergeCell ref="T496:T497"/>
    <mergeCell ref="U496:U497"/>
    <mergeCell ref="V496:V497"/>
    <mergeCell ref="N504:N512"/>
    <mergeCell ref="N513:N514"/>
    <mergeCell ref="N515:N517"/>
    <mergeCell ref="N518:N519"/>
    <mergeCell ref="S518:S519"/>
    <mergeCell ref="T518:T519"/>
    <mergeCell ref="U518:U519"/>
    <mergeCell ref="V518:V519"/>
    <mergeCell ref="N468:N471"/>
    <mergeCell ref="N472:N477"/>
    <mergeCell ref="N478:N486"/>
    <mergeCell ref="N487:N489"/>
    <mergeCell ref="N490:N495"/>
    <mergeCell ref="N496:N497"/>
    <mergeCell ref="N498:N503"/>
    <mergeCell ref="V513:V514"/>
    <mergeCell ref="V515:V517"/>
    <mergeCell ref="T490:T495"/>
    <mergeCell ref="U490:U495"/>
    <mergeCell ref="V490:V495"/>
    <mergeCell ref="S490:S495"/>
    <mergeCell ref="S496:S497"/>
    <mergeCell ref="S498:S503"/>
    <mergeCell ref="T498:T503"/>
    <mergeCell ref="U498:U503"/>
    <mergeCell ref="V498:V503"/>
    <mergeCell ref="S504:S512"/>
    <mergeCell ref="V504:V512"/>
    <mergeCell ref="B450:D450"/>
    <mergeCell ref="M450:O450"/>
    <mergeCell ref="N452:N453"/>
    <mergeCell ref="T452:T453"/>
    <mergeCell ref="U452:U453"/>
    <mergeCell ref="V452:V453"/>
    <mergeCell ref="N454:N460"/>
    <mergeCell ref="V454:V460"/>
    <mergeCell ref="T468:T471"/>
    <mergeCell ref="U468:U471"/>
    <mergeCell ref="T472:T477"/>
    <mergeCell ref="U472:U477"/>
    <mergeCell ref="V472:V477"/>
    <mergeCell ref="T454:T460"/>
    <mergeCell ref="U454:U460"/>
    <mergeCell ref="N461:N467"/>
    <mergeCell ref="T461:T467"/>
    <mergeCell ref="U461:U467"/>
    <mergeCell ref="V461:V467"/>
    <mergeCell ref="V468:V471"/>
    <mergeCell ref="S461:S467"/>
    <mergeCell ref="T418:T421"/>
    <mergeCell ref="U418:U421"/>
    <mergeCell ref="V418:V421"/>
    <mergeCell ref="S422:S429"/>
    <mergeCell ref="T422:T429"/>
    <mergeCell ref="S430:S431"/>
    <mergeCell ref="T430:T431"/>
    <mergeCell ref="U430:U431"/>
    <mergeCell ref="V430:V431"/>
    <mergeCell ref="T432:T438"/>
    <mergeCell ref="U432:U438"/>
    <mergeCell ref="V432:V438"/>
    <mergeCell ref="S452:S453"/>
    <mergeCell ref="S454:S460"/>
    <mergeCell ref="S487:S489"/>
    <mergeCell ref="T487:T489"/>
    <mergeCell ref="U487:U489"/>
    <mergeCell ref="V487:V489"/>
    <mergeCell ref="S468:S471"/>
    <mergeCell ref="S472:S477"/>
    <mergeCell ref="S478:S486"/>
    <mergeCell ref="T478:T486"/>
    <mergeCell ref="U478:U486"/>
    <mergeCell ref="V478:V486"/>
    <mergeCell ref="T647:T648"/>
    <mergeCell ref="U647:U648"/>
    <mergeCell ref="V647:V648"/>
    <mergeCell ref="M447:O447"/>
    <mergeCell ref="M448:O448"/>
    <mergeCell ref="S432:S438"/>
    <mergeCell ref="S439:S446"/>
    <mergeCell ref="T439:T446"/>
    <mergeCell ref="U439:U446"/>
    <mergeCell ref="V439:V446"/>
    <mergeCell ref="B447:D447"/>
    <mergeCell ref="B448:D448"/>
    <mergeCell ref="U383:U394"/>
    <mergeCell ref="V383:V394"/>
    <mergeCell ref="S375:S378"/>
    <mergeCell ref="S379:S382"/>
    <mergeCell ref="T379:T382"/>
    <mergeCell ref="U379:U382"/>
    <mergeCell ref="V379:V382"/>
    <mergeCell ref="S383:S394"/>
    <mergeCell ref="T383:T394"/>
    <mergeCell ref="S405:S413"/>
    <mergeCell ref="T405:T413"/>
    <mergeCell ref="U405:U413"/>
    <mergeCell ref="V405:V413"/>
    <mergeCell ref="T414:T417"/>
    <mergeCell ref="U414:U417"/>
    <mergeCell ref="V414:V417"/>
    <mergeCell ref="U422:U429"/>
    <mergeCell ref="V422:V429"/>
    <mergeCell ref="S414:S417"/>
    <mergeCell ref="S418:S421"/>
    <mergeCell ref="S618:S623"/>
    <mergeCell ref="T618:T623"/>
    <mergeCell ref="U618:U623"/>
    <mergeCell ref="V618:V623"/>
    <mergeCell ref="V624:V630"/>
    <mergeCell ref="U638:U639"/>
    <mergeCell ref="V638:V639"/>
    <mergeCell ref="S624:S630"/>
    <mergeCell ref="S631:S637"/>
    <mergeCell ref="T631:T637"/>
    <mergeCell ref="U631:U637"/>
    <mergeCell ref="V631:V637"/>
    <mergeCell ref="S638:S639"/>
    <mergeCell ref="T638:T639"/>
    <mergeCell ref="S640:S646"/>
    <mergeCell ref="T640:T646"/>
    <mergeCell ref="U640:U646"/>
    <mergeCell ref="V640:V646"/>
    <mergeCell ref="S395:S404"/>
    <mergeCell ref="T395:T404"/>
    <mergeCell ref="U395:U404"/>
    <mergeCell ref="V395:V404"/>
    <mergeCell ref="U659:U665"/>
    <mergeCell ref="V659:V665"/>
    <mergeCell ref="S647:S648"/>
    <mergeCell ref="S649:S658"/>
    <mergeCell ref="T649:T658"/>
    <mergeCell ref="U649:U658"/>
    <mergeCell ref="V649:V658"/>
    <mergeCell ref="S659:S665"/>
    <mergeCell ref="T659:T665"/>
    <mergeCell ref="S586:S590"/>
    <mergeCell ref="S591:S592"/>
    <mergeCell ref="T591:T592"/>
    <mergeCell ref="U591:U592"/>
    <mergeCell ref="V591:V592"/>
    <mergeCell ref="S595:S600"/>
    <mergeCell ref="V595:V600"/>
    <mergeCell ref="T595:T600"/>
    <mergeCell ref="U595:U600"/>
    <mergeCell ref="S601:S613"/>
    <mergeCell ref="T601:T613"/>
    <mergeCell ref="U601:U613"/>
    <mergeCell ref="V601:V613"/>
    <mergeCell ref="S614:S617"/>
    <mergeCell ref="V614:V617"/>
    <mergeCell ref="T624:T630"/>
    <mergeCell ref="U624:U630"/>
    <mergeCell ref="T614:T617"/>
    <mergeCell ref="U614:U617"/>
    <mergeCell ref="S328:S341"/>
    <mergeCell ref="V328:V341"/>
    <mergeCell ref="T328:T341"/>
    <mergeCell ref="U328:U341"/>
    <mergeCell ref="S342:S357"/>
    <mergeCell ref="T342:T357"/>
    <mergeCell ref="U342:U357"/>
    <mergeCell ref="V342:V357"/>
    <mergeCell ref="S358:S365"/>
    <mergeCell ref="V358:V365"/>
    <mergeCell ref="T375:T378"/>
    <mergeCell ref="U375:U378"/>
    <mergeCell ref="T358:T365"/>
    <mergeCell ref="U358:U365"/>
    <mergeCell ref="S366:S374"/>
    <mergeCell ref="T366:T374"/>
    <mergeCell ref="U366:U374"/>
    <mergeCell ref="V366:V374"/>
    <mergeCell ref="V375:V378"/>
    <mergeCell ref="I248:I261"/>
    <mergeCell ref="I262:I271"/>
    <mergeCell ref="I272:I277"/>
    <mergeCell ref="I278:I294"/>
    <mergeCell ref="I295:I297"/>
    <mergeCell ref="S298:S310"/>
    <mergeCell ref="T298:T310"/>
    <mergeCell ref="U298:U310"/>
    <mergeCell ref="V298:V310"/>
    <mergeCell ref="S311:S322"/>
    <mergeCell ref="V311:V322"/>
    <mergeCell ref="T311:T322"/>
    <mergeCell ref="U311:U322"/>
    <mergeCell ref="S323:S327"/>
    <mergeCell ref="T323:T327"/>
    <mergeCell ref="U323:U327"/>
    <mergeCell ref="V323:V327"/>
    <mergeCell ref="J262:J271"/>
    <mergeCell ref="K262:K271"/>
    <mergeCell ref="J272:J277"/>
    <mergeCell ref="K272:K277"/>
    <mergeCell ref="J278:J294"/>
    <mergeCell ref="K278:K294"/>
    <mergeCell ref="J295:J297"/>
    <mergeCell ref="K295:K297"/>
    <mergeCell ref="J298:J310"/>
    <mergeCell ref="K298:K310"/>
    <mergeCell ref="J311:J322"/>
    <mergeCell ref="K311:K322"/>
    <mergeCell ref="J323:J327"/>
    <mergeCell ref="K323:K327"/>
    <mergeCell ref="N432:N438"/>
    <mergeCell ref="N439:N446"/>
    <mergeCell ref="N383:N394"/>
    <mergeCell ref="N395:N404"/>
    <mergeCell ref="N405:N413"/>
    <mergeCell ref="N414:N417"/>
    <mergeCell ref="N418:N421"/>
    <mergeCell ref="N422:N429"/>
    <mergeCell ref="N430:N431"/>
    <mergeCell ref="J94:J118"/>
    <mergeCell ref="K94:K118"/>
    <mergeCell ref="N94:N118"/>
    <mergeCell ref="J119:J121"/>
    <mergeCell ref="K119:K121"/>
    <mergeCell ref="N119:N121"/>
    <mergeCell ref="J122:J124"/>
    <mergeCell ref="K122:K124"/>
    <mergeCell ref="N122:N124"/>
    <mergeCell ref="J125:J127"/>
    <mergeCell ref="K125:K127"/>
    <mergeCell ref="N125:N127"/>
    <mergeCell ref="J128:J129"/>
    <mergeCell ref="K128:K129"/>
    <mergeCell ref="N128:N129"/>
    <mergeCell ref="J130:J135"/>
    <mergeCell ref="K130:K135"/>
    <mergeCell ref="N130:N135"/>
    <mergeCell ref="N226:N229"/>
    <mergeCell ref="N230:N231"/>
    <mergeCell ref="N232:N234"/>
    <mergeCell ref="J237:J239"/>
    <mergeCell ref="K237:K239"/>
    <mergeCell ref="N185:N190"/>
    <mergeCell ref="N191:N200"/>
    <mergeCell ref="N201:N214"/>
    <mergeCell ref="N248:N261"/>
    <mergeCell ref="N262:N271"/>
    <mergeCell ref="N272:N277"/>
    <mergeCell ref="N278:N294"/>
    <mergeCell ref="N295:N297"/>
    <mergeCell ref="N298:N310"/>
    <mergeCell ref="N311:N322"/>
    <mergeCell ref="N323:N327"/>
    <mergeCell ref="N328:N341"/>
    <mergeCell ref="N342:N357"/>
    <mergeCell ref="N358:N365"/>
    <mergeCell ref="N366:N374"/>
    <mergeCell ref="N375:N378"/>
    <mergeCell ref="N379:N382"/>
    <mergeCell ref="N237:N239"/>
    <mergeCell ref="N240:N247"/>
    <mergeCell ref="H128:H129"/>
    <mergeCell ref="I128:I129"/>
    <mergeCell ref="H130:H135"/>
    <mergeCell ref="I130:I135"/>
    <mergeCell ref="C125:C127"/>
    <mergeCell ref="C128:C129"/>
    <mergeCell ref="J136:J139"/>
    <mergeCell ref="K136:K139"/>
    <mergeCell ref="N136:N139"/>
    <mergeCell ref="N140:N144"/>
    <mergeCell ref="N145:N148"/>
    <mergeCell ref="N149:N151"/>
    <mergeCell ref="N152:N160"/>
    <mergeCell ref="N161:N164"/>
    <mergeCell ref="N165:N166"/>
    <mergeCell ref="N167:N180"/>
    <mergeCell ref="N181:N184"/>
    <mergeCell ref="H152:H160"/>
    <mergeCell ref="I152:I160"/>
    <mergeCell ref="H161:H164"/>
    <mergeCell ref="I161:I164"/>
    <mergeCell ref="I165:I166"/>
    <mergeCell ref="H165:H166"/>
    <mergeCell ref="H167:H180"/>
    <mergeCell ref="I167:I180"/>
    <mergeCell ref="H181:H184"/>
    <mergeCell ref="I181:I184"/>
    <mergeCell ref="J167:J180"/>
    <mergeCell ref="K167:K180"/>
    <mergeCell ref="K152:K160"/>
    <mergeCell ref="J161:J164"/>
    <mergeCell ref="K161:K164"/>
    <mergeCell ref="S128:S129"/>
    <mergeCell ref="V119:V121"/>
    <mergeCell ref="V122:V124"/>
    <mergeCell ref="V125:V127"/>
    <mergeCell ref="V128:V129"/>
    <mergeCell ref="T125:T127"/>
    <mergeCell ref="T128:T129"/>
    <mergeCell ref="U128:U129"/>
    <mergeCell ref="C39:C46"/>
    <mergeCell ref="H39:H46"/>
    <mergeCell ref="B12:B75"/>
    <mergeCell ref="C47:C52"/>
    <mergeCell ref="C53:C57"/>
    <mergeCell ref="C58:C62"/>
    <mergeCell ref="C63:C66"/>
    <mergeCell ref="C67:C72"/>
    <mergeCell ref="B76:D76"/>
    <mergeCell ref="B77:D77"/>
    <mergeCell ref="I12:I14"/>
    <mergeCell ref="J12:J14"/>
    <mergeCell ref="K12:K14"/>
    <mergeCell ref="K15:K18"/>
    <mergeCell ref="K19:K21"/>
    <mergeCell ref="K26:K27"/>
    <mergeCell ref="K39:K46"/>
    <mergeCell ref="I53:I57"/>
    <mergeCell ref="J53:J57"/>
    <mergeCell ref="H67:H72"/>
    <mergeCell ref="I67:I72"/>
    <mergeCell ref="H78:H81"/>
    <mergeCell ref="I78:I81"/>
    <mergeCell ref="J78:J81"/>
    <mergeCell ref="C73:C75"/>
    <mergeCell ref="H73:H75"/>
    <mergeCell ref="I73:I75"/>
    <mergeCell ref="J73:J75"/>
    <mergeCell ref="K73:K75"/>
    <mergeCell ref="S73:S75"/>
    <mergeCell ref="T73:T75"/>
    <mergeCell ref="S78:S81"/>
    <mergeCell ref="T78:T81"/>
    <mergeCell ref="U78:U81"/>
    <mergeCell ref="V78:V81"/>
    <mergeCell ref="S82:S84"/>
    <mergeCell ref="V82:V84"/>
    <mergeCell ref="S94:S118"/>
    <mergeCell ref="S119:S121"/>
    <mergeCell ref="S122:S124"/>
    <mergeCell ref="S125:S127"/>
    <mergeCell ref="K78:K81"/>
    <mergeCell ref="I82:I84"/>
    <mergeCell ref="C119:C121"/>
    <mergeCell ref="C122:C124"/>
    <mergeCell ref="H125:H127"/>
    <mergeCell ref="I125:I127"/>
    <mergeCell ref="T82:T84"/>
    <mergeCell ref="U82:U84"/>
    <mergeCell ref="S85:S93"/>
    <mergeCell ref="T85:T93"/>
    <mergeCell ref="U85:U93"/>
    <mergeCell ref="V85:V93"/>
    <mergeCell ref="V94:V118"/>
    <mergeCell ref="T94:T118"/>
    <mergeCell ref="U94:U118"/>
    <mergeCell ref="V28:V32"/>
    <mergeCell ref="T33:T38"/>
    <mergeCell ref="S58:S62"/>
    <mergeCell ref="S63:S66"/>
    <mergeCell ref="T63:T66"/>
    <mergeCell ref="U63:U66"/>
    <mergeCell ref="V63:V66"/>
    <mergeCell ref="S67:S72"/>
    <mergeCell ref="T67:T72"/>
    <mergeCell ref="U73:U75"/>
    <mergeCell ref="V73:V75"/>
    <mergeCell ref="M76:O76"/>
    <mergeCell ref="M77:O77"/>
    <mergeCell ref="N78:N81"/>
    <mergeCell ref="N82:N84"/>
    <mergeCell ref="N85:N93"/>
    <mergeCell ref="U67:U72"/>
    <mergeCell ref="V67:V72"/>
    <mergeCell ref="N47:N52"/>
    <mergeCell ref="T39:T46"/>
    <mergeCell ref="U39:U46"/>
    <mergeCell ref="V39:V46"/>
    <mergeCell ref="S47:S52"/>
    <mergeCell ref="T47:T52"/>
    <mergeCell ref="U47:U52"/>
    <mergeCell ref="V47:V52"/>
    <mergeCell ref="S53:S57"/>
    <mergeCell ref="T53:T57"/>
    <mergeCell ref="U53:U57"/>
    <mergeCell ref="V53:V57"/>
    <mergeCell ref="T58:T62"/>
    <mergeCell ref="U58:U62"/>
    <mergeCell ref="S295:S297"/>
    <mergeCell ref="T295:T297"/>
    <mergeCell ref="U295:U297"/>
    <mergeCell ref="V295:V297"/>
    <mergeCell ref="B2:K2"/>
    <mergeCell ref="M2:V2"/>
    <mergeCell ref="B5:B10"/>
    <mergeCell ref="H5:H10"/>
    <mergeCell ref="I5:I10"/>
    <mergeCell ref="J5:J10"/>
    <mergeCell ref="K5:K10"/>
    <mergeCell ref="V5:V10"/>
    <mergeCell ref="M5:M10"/>
    <mergeCell ref="M12:M75"/>
    <mergeCell ref="N53:N57"/>
    <mergeCell ref="N58:N62"/>
    <mergeCell ref="N63:N66"/>
    <mergeCell ref="N67:N72"/>
    <mergeCell ref="N73:N75"/>
    <mergeCell ref="I15:I18"/>
    <mergeCell ref="J15:J18"/>
    <mergeCell ref="H33:H38"/>
    <mergeCell ref="I33:I38"/>
    <mergeCell ref="J67:J72"/>
    <mergeCell ref="K67:K72"/>
    <mergeCell ref="U33:U38"/>
    <mergeCell ref="V33:V38"/>
    <mergeCell ref="T26:T27"/>
    <mergeCell ref="U26:U27"/>
    <mergeCell ref="V26:V27"/>
    <mergeCell ref="T28:T32"/>
    <mergeCell ref="U28:U32"/>
    <mergeCell ref="B235:D235"/>
    <mergeCell ref="M235:O235"/>
    <mergeCell ref="B236:D236"/>
    <mergeCell ref="M236:O236"/>
    <mergeCell ref="T226:T229"/>
    <mergeCell ref="U226:U229"/>
    <mergeCell ref="S230:S231"/>
    <mergeCell ref="T230:T231"/>
    <mergeCell ref="U230:U231"/>
    <mergeCell ref="V230:V231"/>
    <mergeCell ref="V232:V234"/>
    <mergeCell ref="U240:U247"/>
    <mergeCell ref="V240:V247"/>
    <mergeCell ref="S232:S234"/>
    <mergeCell ref="S237:S239"/>
    <mergeCell ref="T237:T239"/>
    <mergeCell ref="U237:U239"/>
    <mergeCell ref="V237:V239"/>
    <mergeCell ref="S240:S247"/>
    <mergeCell ref="T240:T247"/>
    <mergeCell ref="I230:I231"/>
    <mergeCell ref="I232:I234"/>
    <mergeCell ref="I237:I239"/>
    <mergeCell ref="I240:I247"/>
    <mergeCell ref="S248:S261"/>
    <mergeCell ref="T248:T261"/>
    <mergeCell ref="U248:U261"/>
    <mergeCell ref="V248:V261"/>
    <mergeCell ref="T262:T271"/>
    <mergeCell ref="U262:U271"/>
    <mergeCell ref="V262:V271"/>
    <mergeCell ref="S262:S271"/>
    <mergeCell ref="S272:S277"/>
    <mergeCell ref="T272:T277"/>
    <mergeCell ref="U272:U277"/>
    <mergeCell ref="V272:V277"/>
    <mergeCell ref="S278:S294"/>
    <mergeCell ref="T278:T294"/>
    <mergeCell ref="N215:N225"/>
    <mergeCell ref="S215:S225"/>
    <mergeCell ref="T215:T225"/>
    <mergeCell ref="U215:U225"/>
    <mergeCell ref="V215:V225"/>
    <mergeCell ref="S226:S229"/>
    <mergeCell ref="V226:V229"/>
    <mergeCell ref="T232:T234"/>
    <mergeCell ref="U232:U234"/>
    <mergeCell ref="U278:U294"/>
    <mergeCell ref="V278:V294"/>
  </mergeCells>
  <conditionalFormatting sqref="K1 V1 K3:K10 V3:V10 K12:K14 V12:V14 K26:K27 V26:V27">
    <cfRule type="cellIs" dxfId="6" priority="1" operator="between">
      <formula>"50%"</formula>
      <formula>"75%"</formula>
    </cfRule>
    <cfRule type="cellIs" dxfId="5" priority="2" operator="greaterThan">
      <formula>"75%"</formula>
    </cfRule>
    <cfRule type="cellIs" dxfId="4" priority="3" operator="lessThanOrEqual">
      <formula>"50%"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AI1989"/>
  <sheetViews>
    <sheetView tabSelected="1" workbookViewId="0"/>
  </sheetViews>
  <sheetFormatPr baseColWidth="10" defaultColWidth="12.6640625" defaultRowHeight="15.75" customHeight="1"/>
  <cols>
    <col min="1" max="1" width="3.33203125" customWidth="1"/>
    <col min="3" max="3" width="21.1640625" customWidth="1"/>
    <col min="4" max="4" width="19.1640625" customWidth="1"/>
    <col min="5" max="5" width="22.1640625" customWidth="1"/>
    <col min="6" max="7" width="17.6640625" customWidth="1"/>
    <col min="8" max="8" width="25.83203125" customWidth="1"/>
    <col min="9" max="9" width="19.83203125" customWidth="1"/>
    <col min="10" max="10" width="18.33203125" customWidth="1"/>
    <col min="11" max="11" width="16.33203125" customWidth="1"/>
    <col min="12" max="12" width="5.1640625" customWidth="1"/>
    <col min="14" max="14" width="15.6640625" customWidth="1"/>
    <col min="15" max="15" width="36.1640625" customWidth="1"/>
    <col min="16" max="16" width="21.33203125" customWidth="1"/>
    <col min="17" max="17" width="15.33203125" customWidth="1"/>
    <col min="18" max="18" width="17.33203125" customWidth="1"/>
    <col min="19" max="19" width="22.83203125" customWidth="1"/>
    <col min="20" max="20" width="17.6640625" customWidth="1"/>
    <col min="21" max="21" width="15.83203125" customWidth="1"/>
    <col min="22" max="22" width="15" customWidth="1"/>
    <col min="26" max="26" width="15.6640625" customWidth="1"/>
    <col min="27" max="27" width="36.1640625" customWidth="1"/>
    <col min="28" max="28" width="21.33203125" customWidth="1"/>
    <col min="29" max="29" width="15.33203125" customWidth="1"/>
    <col min="30" max="30" width="17.33203125" customWidth="1"/>
    <col min="31" max="31" width="22.83203125" customWidth="1"/>
    <col min="32" max="32" width="17.6640625" customWidth="1"/>
    <col min="33" max="33" width="15.83203125" customWidth="1"/>
    <col min="34" max="34" width="15" customWidth="1"/>
  </cols>
  <sheetData>
    <row r="1" spans="2:34" ht="16">
      <c r="C1" s="1"/>
      <c r="K1" s="2"/>
      <c r="N1" s="1"/>
      <c r="V1" s="2"/>
      <c r="Z1" s="1"/>
      <c r="AH1" s="2"/>
    </row>
    <row r="2" spans="2:34" ht="45">
      <c r="B2" s="260" t="s">
        <v>1293</v>
      </c>
      <c r="C2" s="261"/>
      <c r="D2" s="261"/>
      <c r="E2" s="261"/>
      <c r="F2" s="261"/>
      <c r="G2" s="261"/>
      <c r="H2" s="261"/>
      <c r="I2" s="261"/>
      <c r="J2" s="261"/>
      <c r="K2" s="262"/>
      <c r="M2" s="260" t="s">
        <v>1294</v>
      </c>
      <c r="N2" s="261"/>
      <c r="O2" s="261"/>
      <c r="P2" s="261"/>
      <c r="Q2" s="261"/>
      <c r="R2" s="261"/>
      <c r="S2" s="261"/>
      <c r="T2" s="261"/>
      <c r="U2" s="261"/>
      <c r="V2" s="262"/>
      <c r="Y2" s="260" t="s">
        <v>1295</v>
      </c>
      <c r="Z2" s="261"/>
      <c r="AA2" s="261"/>
      <c r="AB2" s="261"/>
      <c r="AC2" s="261"/>
      <c r="AD2" s="261"/>
      <c r="AE2" s="261"/>
      <c r="AF2" s="261"/>
      <c r="AG2" s="261"/>
      <c r="AH2" s="262"/>
    </row>
    <row r="3" spans="2:34" ht="16">
      <c r="C3" s="1"/>
      <c r="K3" s="2"/>
      <c r="N3" s="1"/>
      <c r="V3" s="2"/>
      <c r="Z3" s="1"/>
      <c r="AH3" s="2"/>
    </row>
    <row r="4" spans="2:34" ht="18">
      <c r="C4" s="3" t="s">
        <v>12</v>
      </c>
      <c r="D4" s="4" t="s">
        <v>13</v>
      </c>
      <c r="E4" s="4" t="s">
        <v>14</v>
      </c>
      <c r="F4" s="4" t="s">
        <v>15</v>
      </c>
      <c r="G4" s="4" t="s">
        <v>1296</v>
      </c>
      <c r="H4" s="4" t="s">
        <v>17</v>
      </c>
      <c r="I4" s="4" t="s">
        <v>18</v>
      </c>
      <c r="J4" s="4" t="s">
        <v>19</v>
      </c>
      <c r="K4" s="5" t="s">
        <v>20</v>
      </c>
      <c r="N4" s="3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5" t="s">
        <v>20</v>
      </c>
      <c r="Z4" s="3" t="s">
        <v>12</v>
      </c>
      <c r="AA4" s="4" t="s">
        <v>13</v>
      </c>
      <c r="AB4" s="4" t="s">
        <v>14</v>
      </c>
      <c r="AC4" s="4" t="s">
        <v>15</v>
      </c>
      <c r="AD4" s="4" t="s">
        <v>16</v>
      </c>
      <c r="AE4" s="4" t="s">
        <v>17</v>
      </c>
      <c r="AF4" s="4" t="s">
        <v>18</v>
      </c>
      <c r="AG4" s="4" t="s">
        <v>19</v>
      </c>
      <c r="AH4" s="5" t="s">
        <v>20</v>
      </c>
    </row>
    <row r="5" spans="2:34" ht="13">
      <c r="B5" s="263" t="s">
        <v>21</v>
      </c>
      <c r="C5" s="6" t="s">
        <v>22</v>
      </c>
      <c r="D5" s="7" t="s">
        <v>1297</v>
      </c>
      <c r="E5" s="8" t="s">
        <v>1298</v>
      </c>
      <c r="F5" s="8" t="s">
        <v>1299</v>
      </c>
      <c r="G5" s="7" t="e">
        <f t="shared" ref="G5:G7" si="0">E5*F5</f>
        <v>#VALUE!</v>
      </c>
      <c r="H5" s="239" t="e">
        <f>SUM(G5:G8)</f>
        <v>#VALUE!</v>
      </c>
      <c r="I5" s="239" t="s">
        <v>1300</v>
      </c>
      <c r="J5" s="239" t="e">
        <f>I5-H5</f>
        <v>#VALUE!</v>
      </c>
      <c r="K5" s="259" t="e">
        <f>J5/I5</f>
        <v>#VALUE!</v>
      </c>
      <c r="M5" s="263" t="s">
        <v>21</v>
      </c>
      <c r="N5" s="6" t="s">
        <v>22</v>
      </c>
      <c r="O5" s="7"/>
      <c r="P5" s="8"/>
      <c r="Q5" s="8"/>
      <c r="R5" s="7"/>
      <c r="S5" s="239">
        <f>SUM(R5:R10)</f>
        <v>0</v>
      </c>
      <c r="T5" s="239">
        <v>0</v>
      </c>
      <c r="U5" s="239">
        <f>T5-S5</f>
        <v>0</v>
      </c>
      <c r="V5" s="259" t="e">
        <f>U5/T5</f>
        <v>#DIV/0!</v>
      </c>
      <c r="Y5" s="263" t="s">
        <v>21</v>
      </c>
      <c r="Z5" s="6" t="s">
        <v>22</v>
      </c>
      <c r="AA5" s="7"/>
      <c r="AB5" s="8"/>
      <c r="AC5" s="8"/>
      <c r="AD5" s="7"/>
      <c r="AE5" s="239">
        <f>SUM(AD5:AD9)</f>
        <v>0</v>
      </c>
      <c r="AF5" s="239">
        <v>0</v>
      </c>
      <c r="AG5" s="239">
        <f>AF5-AE5</f>
        <v>0</v>
      </c>
      <c r="AH5" s="259" t="e">
        <f>AG5/AF5</f>
        <v>#DIV/0!</v>
      </c>
    </row>
    <row r="6" spans="2:34" ht="13">
      <c r="B6" s="264"/>
      <c r="C6" s="1"/>
      <c r="D6" s="24" t="s">
        <v>1301</v>
      </c>
      <c r="E6" s="11" t="s">
        <v>1298</v>
      </c>
      <c r="F6" s="11" t="s">
        <v>1299</v>
      </c>
      <c r="G6" s="24" t="e">
        <f t="shared" si="0"/>
        <v>#VALUE!</v>
      </c>
      <c r="H6" s="236"/>
      <c r="I6" s="236"/>
      <c r="J6" s="236"/>
      <c r="K6" s="242"/>
      <c r="M6" s="264"/>
      <c r="N6" s="1"/>
      <c r="P6" s="8"/>
      <c r="Q6" s="8"/>
      <c r="R6" s="7"/>
      <c r="S6" s="236"/>
      <c r="T6" s="236"/>
      <c r="U6" s="236"/>
      <c r="V6" s="242"/>
      <c r="Y6" s="264"/>
      <c r="Z6" s="1"/>
      <c r="AB6" s="8"/>
      <c r="AC6" s="8"/>
      <c r="AD6" s="7"/>
      <c r="AE6" s="236"/>
      <c r="AF6" s="236"/>
      <c r="AG6" s="236"/>
      <c r="AH6" s="242"/>
    </row>
    <row r="7" spans="2:34" ht="13">
      <c r="B7" s="264"/>
      <c r="C7" s="1"/>
      <c r="D7" s="24" t="s">
        <v>1302</v>
      </c>
      <c r="E7" s="11" t="s">
        <v>1298</v>
      </c>
      <c r="F7" s="11" t="s">
        <v>1299</v>
      </c>
      <c r="G7" s="24" t="e">
        <f t="shared" si="0"/>
        <v>#VALUE!</v>
      </c>
      <c r="H7" s="236"/>
      <c r="I7" s="236"/>
      <c r="J7" s="236"/>
      <c r="K7" s="242"/>
      <c r="M7" s="264"/>
      <c r="N7" s="1"/>
      <c r="P7" s="11"/>
      <c r="Q7" s="11"/>
      <c r="S7" s="236"/>
      <c r="T7" s="236"/>
      <c r="U7" s="236"/>
      <c r="V7" s="242"/>
      <c r="Y7" s="264"/>
      <c r="Z7" s="1"/>
      <c r="AB7" s="11"/>
      <c r="AC7" s="11"/>
      <c r="AE7" s="236"/>
      <c r="AF7" s="236"/>
      <c r="AG7" s="236"/>
      <c r="AH7" s="242"/>
    </row>
    <row r="8" spans="2:34" ht="13">
      <c r="B8" s="265"/>
      <c r="C8" s="12"/>
      <c r="D8" s="13" t="s">
        <v>1303</v>
      </c>
      <c r="E8" s="14"/>
      <c r="F8" s="14"/>
      <c r="G8" s="14" t="s">
        <v>1298</v>
      </c>
      <c r="H8" s="238"/>
      <c r="I8" s="238"/>
      <c r="J8" s="238"/>
      <c r="K8" s="243"/>
      <c r="M8" s="264"/>
      <c r="N8" s="1"/>
      <c r="P8" s="11"/>
      <c r="Q8" s="11"/>
      <c r="S8" s="236"/>
      <c r="T8" s="236"/>
      <c r="U8" s="236"/>
      <c r="V8" s="242"/>
      <c r="Y8" s="264"/>
      <c r="Z8" s="1"/>
      <c r="AB8" s="11"/>
      <c r="AC8" s="11"/>
      <c r="AE8" s="236"/>
      <c r="AF8" s="236"/>
      <c r="AG8" s="236"/>
      <c r="AH8" s="242"/>
    </row>
    <row r="9" spans="2:34" ht="16">
      <c r="B9" s="132"/>
      <c r="C9" s="1"/>
      <c r="D9" s="24"/>
      <c r="E9" s="11"/>
      <c r="F9" s="11"/>
      <c r="G9" s="11"/>
      <c r="H9" s="131"/>
      <c r="I9" s="131"/>
      <c r="J9" s="131"/>
      <c r="K9" s="133"/>
      <c r="M9" s="264"/>
      <c r="N9" s="1"/>
      <c r="P9" s="11"/>
      <c r="Q9" s="11"/>
      <c r="S9" s="236"/>
      <c r="T9" s="236"/>
      <c r="U9" s="236"/>
      <c r="V9" s="242"/>
      <c r="Y9" s="265"/>
      <c r="Z9" s="12"/>
      <c r="AA9" s="13"/>
      <c r="AB9" s="14"/>
      <c r="AC9" s="14"/>
      <c r="AD9" s="14"/>
      <c r="AE9" s="238"/>
      <c r="AF9" s="238"/>
      <c r="AG9" s="238"/>
      <c r="AH9" s="243"/>
    </row>
    <row r="10" spans="2:34" ht="18">
      <c r="B10" s="134"/>
      <c r="C10" s="135" t="s">
        <v>12</v>
      </c>
      <c r="D10" s="136" t="s">
        <v>13</v>
      </c>
      <c r="E10" s="136" t="s">
        <v>14</v>
      </c>
      <c r="F10" s="136" t="s">
        <v>15</v>
      </c>
      <c r="G10" s="136" t="s">
        <v>1296</v>
      </c>
      <c r="H10" s="136" t="s">
        <v>17</v>
      </c>
      <c r="I10" s="136" t="s">
        <v>18</v>
      </c>
      <c r="J10" s="136" t="s">
        <v>19</v>
      </c>
      <c r="K10" s="137" t="s">
        <v>20</v>
      </c>
      <c r="M10" s="265"/>
      <c r="N10" s="12"/>
      <c r="O10" s="13"/>
      <c r="P10" s="14"/>
      <c r="Q10" s="14"/>
      <c r="R10" s="14"/>
      <c r="S10" s="238"/>
      <c r="T10" s="238"/>
      <c r="U10" s="238"/>
      <c r="V10" s="243"/>
    </row>
    <row r="11" spans="2:34" ht="13">
      <c r="B11" s="277" t="s">
        <v>0</v>
      </c>
      <c r="C11" s="138" t="s">
        <v>1304</v>
      </c>
      <c r="D11" s="24" t="s">
        <v>1305</v>
      </c>
      <c r="E11" s="24">
        <v>48</v>
      </c>
      <c r="F11" s="24">
        <v>15</v>
      </c>
      <c r="G11" s="24">
        <v>0</v>
      </c>
      <c r="H11" s="325">
        <f>SUM(G11:G13)</f>
        <v>120</v>
      </c>
      <c r="I11" s="325">
        <v>1600</v>
      </c>
      <c r="J11" s="325">
        <f>I11-H11</f>
        <v>1480</v>
      </c>
      <c r="K11" s="330">
        <f>J11/I11</f>
        <v>0.92500000000000004</v>
      </c>
    </row>
    <row r="12" spans="2:34" ht="13">
      <c r="B12" s="249"/>
      <c r="C12" s="138"/>
      <c r="D12" s="24" t="s">
        <v>1306</v>
      </c>
      <c r="E12" s="24">
        <v>40</v>
      </c>
      <c r="F12" s="24">
        <v>15</v>
      </c>
      <c r="G12" s="24">
        <v>0</v>
      </c>
      <c r="H12" s="236"/>
      <c r="I12" s="236"/>
      <c r="J12" s="236"/>
      <c r="K12" s="242"/>
      <c r="M12" s="290" t="s">
        <v>0</v>
      </c>
      <c r="N12" s="6" t="s">
        <v>1307</v>
      </c>
      <c r="O12" s="7" t="s">
        <v>1308</v>
      </c>
      <c r="P12" s="8">
        <v>3.5</v>
      </c>
      <c r="Q12" s="8">
        <v>14</v>
      </c>
      <c r="R12" s="7">
        <v>88</v>
      </c>
      <c r="S12" s="239">
        <f>SUM(R12:R14)</f>
        <v>123</v>
      </c>
      <c r="T12" s="239">
        <v>2150</v>
      </c>
      <c r="U12" s="239">
        <f>T12-S12</f>
        <v>2027</v>
      </c>
      <c r="V12" s="259">
        <f>U12/T12</f>
        <v>0.94279069767441859</v>
      </c>
      <c r="Y12" s="290" t="s">
        <v>0</v>
      </c>
      <c r="Z12" s="6" t="s">
        <v>1307</v>
      </c>
      <c r="AA12" s="7" t="s">
        <v>1308</v>
      </c>
      <c r="AB12" s="8">
        <v>3.5</v>
      </c>
      <c r="AC12" s="8">
        <v>14</v>
      </c>
      <c r="AD12" s="7">
        <v>88</v>
      </c>
      <c r="AE12" s="239">
        <f>SUM(AD12:AD14)</f>
        <v>123</v>
      </c>
      <c r="AF12" s="239">
        <v>2150</v>
      </c>
      <c r="AG12" s="239">
        <f>AF12-AE12</f>
        <v>2027</v>
      </c>
      <c r="AH12" s="259">
        <f>AG12/AF12</f>
        <v>0.94279069767441859</v>
      </c>
    </row>
    <row r="13" spans="2:34" ht="13">
      <c r="B13" s="249"/>
      <c r="C13" s="138"/>
      <c r="D13" s="24" t="s">
        <v>1309</v>
      </c>
      <c r="E13" s="24">
        <v>8</v>
      </c>
      <c r="F13" s="24">
        <v>15</v>
      </c>
      <c r="G13" s="24">
        <f>E13*F13</f>
        <v>120</v>
      </c>
      <c r="H13" s="238"/>
      <c r="I13" s="238"/>
      <c r="J13" s="238"/>
      <c r="K13" s="243"/>
      <c r="M13" s="270"/>
      <c r="N13" s="1"/>
      <c r="O13" s="24" t="s">
        <v>1310</v>
      </c>
      <c r="P13" s="11">
        <v>1</v>
      </c>
      <c r="Q13" s="11">
        <v>35</v>
      </c>
      <c r="R13" s="24">
        <f t="shared" ref="R13:R14" si="1">P13*Q13</f>
        <v>35</v>
      </c>
      <c r="S13" s="236"/>
      <c r="T13" s="236"/>
      <c r="U13" s="236"/>
      <c r="V13" s="242"/>
      <c r="Y13" s="270"/>
      <c r="Z13" s="1"/>
      <c r="AA13" s="24" t="s">
        <v>1310</v>
      </c>
      <c r="AB13" s="11">
        <v>1</v>
      </c>
      <c r="AC13" s="11">
        <v>35</v>
      </c>
      <c r="AD13" s="24">
        <f>AB13*AC13</f>
        <v>35</v>
      </c>
      <c r="AE13" s="236"/>
      <c r="AF13" s="236"/>
      <c r="AG13" s="236"/>
      <c r="AH13" s="242"/>
    </row>
    <row r="14" spans="2:34" ht="13">
      <c r="B14" s="249"/>
      <c r="C14" s="139" t="s">
        <v>1311</v>
      </c>
      <c r="D14" s="7" t="s">
        <v>1305</v>
      </c>
      <c r="E14" s="8">
        <v>8</v>
      </c>
      <c r="F14" s="8">
        <v>15</v>
      </c>
      <c r="G14" s="7">
        <v>0</v>
      </c>
      <c r="H14" s="239">
        <f>SUM(G14:G16)</f>
        <v>175</v>
      </c>
      <c r="I14" s="239">
        <v>985</v>
      </c>
      <c r="J14" s="239">
        <f>I14-H14</f>
        <v>810</v>
      </c>
      <c r="K14" s="259">
        <f>J14/I14</f>
        <v>0.82233502538071068</v>
      </c>
      <c r="M14" s="270"/>
      <c r="N14" s="140"/>
      <c r="O14" s="44" t="s">
        <v>114</v>
      </c>
      <c r="P14" s="103">
        <v>4</v>
      </c>
      <c r="Q14" s="103">
        <v>0</v>
      </c>
      <c r="R14" s="44">
        <f t="shared" si="1"/>
        <v>0</v>
      </c>
      <c r="S14" s="238"/>
      <c r="T14" s="238"/>
      <c r="U14" s="238"/>
      <c r="V14" s="243"/>
      <c r="Y14" s="270"/>
      <c r="Z14" s="140"/>
      <c r="AA14" s="44" t="s">
        <v>114</v>
      </c>
      <c r="AB14" s="141"/>
      <c r="AC14" s="141"/>
      <c r="AD14" s="142"/>
      <c r="AE14" s="238"/>
      <c r="AF14" s="238"/>
      <c r="AG14" s="238"/>
      <c r="AH14" s="243"/>
    </row>
    <row r="15" spans="2:34" ht="13">
      <c r="B15" s="249"/>
      <c r="C15" s="138"/>
      <c r="D15" s="24" t="s">
        <v>1312</v>
      </c>
      <c r="E15" s="11">
        <v>5</v>
      </c>
      <c r="F15" s="11">
        <v>15</v>
      </c>
      <c r="G15" s="24">
        <f>E15*F15</f>
        <v>75</v>
      </c>
      <c r="H15" s="236"/>
      <c r="I15" s="236"/>
      <c r="J15" s="236"/>
      <c r="K15" s="242"/>
      <c r="M15" s="270"/>
      <c r="N15" s="6" t="s">
        <v>1313</v>
      </c>
      <c r="O15" s="7" t="s">
        <v>1207</v>
      </c>
      <c r="P15" s="8">
        <v>1</v>
      </c>
      <c r="Q15" s="8">
        <v>88</v>
      </c>
      <c r="R15" s="7">
        <v>88</v>
      </c>
      <c r="S15" s="239">
        <f>SUM(R15:R20)</f>
        <v>1556.1</v>
      </c>
      <c r="T15" s="239">
        <v>3698.8</v>
      </c>
      <c r="U15" s="239">
        <f>T15-S15</f>
        <v>2142.7000000000003</v>
      </c>
      <c r="V15" s="259">
        <f>U15/T15</f>
        <v>0.57929598788796366</v>
      </c>
      <c r="Y15" s="270"/>
      <c r="Z15" s="6" t="s">
        <v>1313</v>
      </c>
      <c r="AA15" s="7" t="s">
        <v>1207</v>
      </c>
      <c r="AB15" s="8">
        <v>1</v>
      </c>
      <c r="AC15" s="8">
        <v>88</v>
      </c>
      <c r="AD15" s="7">
        <v>88</v>
      </c>
      <c r="AE15" s="239">
        <f>SUM(AD15:AD20)</f>
        <v>1556.1</v>
      </c>
      <c r="AF15" s="239">
        <v>3698.8</v>
      </c>
      <c r="AG15" s="239">
        <f>AF15-AE15</f>
        <v>2142.7000000000003</v>
      </c>
      <c r="AH15" s="259">
        <f>AG15/AF15</f>
        <v>0.57929598788796366</v>
      </c>
    </row>
    <row r="16" spans="2:34" ht="13">
      <c r="B16" s="249"/>
      <c r="C16" s="143"/>
      <c r="D16" s="13" t="s">
        <v>715</v>
      </c>
      <c r="E16" s="14">
        <v>0</v>
      </c>
      <c r="F16" s="14">
        <v>0</v>
      </c>
      <c r="G16" s="13">
        <v>100</v>
      </c>
      <c r="H16" s="236"/>
      <c r="I16" s="236"/>
      <c r="J16" s="236"/>
      <c r="K16" s="242"/>
      <c r="M16" s="270"/>
      <c r="N16" s="1"/>
      <c r="O16" s="24" t="s">
        <v>259</v>
      </c>
      <c r="P16" s="11">
        <v>4</v>
      </c>
      <c r="Q16" s="11">
        <v>35</v>
      </c>
      <c r="R16" s="24">
        <f t="shared" ref="R16:R19" si="2">P16*Q16</f>
        <v>140</v>
      </c>
      <c r="S16" s="236"/>
      <c r="T16" s="236"/>
      <c r="U16" s="236"/>
      <c r="V16" s="242"/>
      <c r="Y16" s="270"/>
      <c r="Z16" s="1"/>
      <c r="AA16" s="24" t="s">
        <v>259</v>
      </c>
      <c r="AB16" s="11">
        <v>4</v>
      </c>
      <c r="AC16" s="11">
        <v>35</v>
      </c>
      <c r="AD16" s="24">
        <f t="shared" ref="AD16:AD19" si="3">AB16*AC16</f>
        <v>140</v>
      </c>
      <c r="AE16" s="236"/>
      <c r="AF16" s="236"/>
      <c r="AG16" s="236"/>
      <c r="AH16" s="242"/>
    </row>
    <row r="17" spans="2:34" ht="13">
      <c r="B17" s="249"/>
      <c r="C17" s="139" t="s">
        <v>1314</v>
      </c>
      <c r="D17" s="7" t="s">
        <v>1315</v>
      </c>
      <c r="E17" s="7">
        <v>32</v>
      </c>
      <c r="F17" s="7">
        <v>15</v>
      </c>
      <c r="G17" s="7">
        <v>0</v>
      </c>
      <c r="H17" s="239">
        <f>SUM(G17:G20)</f>
        <v>401.2</v>
      </c>
      <c r="I17" s="239">
        <v>1300</v>
      </c>
      <c r="J17" s="239">
        <f>I17-H17</f>
        <v>898.8</v>
      </c>
      <c r="K17" s="259">
        <f>J17/I17</f>
        <v>0.69138461538461538</v>
      </c>
      <c r="M17" s="270"/>
      <c r="N17" s="1"/>
      <c r="O17" s="24" t="s">
        <v>1073</v>
      </c>
      <c r="P17" s="11">
        <v>1</v>
      </c>
      <c r="Q17" s="11">
        <v>394.2</v>
      </c>
      <c r="R17" s="24">
        <f t="shared" si="2"/>
        <v>394.2</v>
      </c>
      <c r="S17" s="236"/>
      <c r="T17" s="236"/>
      <c r="U17" s="236"/>
      <c r="V17" s="242"/>
      <c r="Y17" s="270"/>
      <c r="Z17" s="1"/>
      <c r="AA17" s="24" t="s">
        <v>1073</v>
      </c>
      <c r="AB17" s="11">
        <v>1</v>
      </c>
      <c r="AC17" s="11">
        <v>394.2</v>
      </c>
      <c r="AD17" s="24">
        <f t="shared" si="3"/>
        <v>394.2</v>
      </c>
      <c r="AE17" s="236"/>
      <c r="AF17" s="236"/>
      <c r="AG17" s="236"/>
      <c r="AH17" s="242"/>
    </row>
    <row r="18" spans="2:34" ht="13">
      <c r="B18" s="249"/>
      <c r="C18" s="138"/>
      <c r="D18" s="24" t="s">
        <v>44</v>
      </c>
      <c r="G18" s="24">
        <v>76.2</v>
      </c>
      <c r="H18" s="236"/>
      <c r="I18" s="236"/>
      <c r="J18" s="236"/>
      <c r="K18" s="242"/>
      <c r="M18" s="270"/>
      <c r="N18" s="1"/>
      <c r="O18" s="24" t="s">
        <v>797</v>
      </c>
      <c r="P18" s="11">
        <v>1</v>
      </c>
      <c r="Q18" s="11">
        <v>123.5</v>
      </c>
      <c r="R18" s="24">
        <f t="shared" si="2"/>
        <v>123.5</v>
      </c>
      <c r="S18" s="236"/>
      <c r="T18" s="236"/>
      <c r="U18" s="236"/>
      <c r="V18" s="242"/>
      <c r="Y18" s="270"/>
      <c r="Z18" s="1"/>
      <c r="AA18" s="24" t="s">
        <v>797</v>
      </c>
      <c r="AB18" s="11">
        <v>1</v>
      </c>
      <c r="AC18" s="11">
        <v>123.5</v>
      </c>
      <c r="AD18" s="24">
        <f t="shared" si="3"/>
        <v>123.5</v>
      </c>
      <c r="AE18" s="236"/>
      <c r="AF18" s="236"/>
      <c r="AG18" s="236"/>
      <c r="AH18" s="242"/>
    </row>
    <row r="19" spans="2:34" ht="13">
      <c r="B19" s="249"/>
      <c r="C19" s="138"/>
      <c r="D19" s="24" t="s">
        <v>45</v>
      </c>
      <c r="G19" s="24">
        <v>100</v>
      </c>
      <c r="H19" s="236"/>
      <c r="I19" s="236"/>
      <c r="J19" s="236"/>
      <c r="K19" s="242"/>
      <c r="M19" s="270"/>
      <c r="N19" s="1"/>
      <c r="O19" s="24" t="s">
        <v>449</v>
      </c>
      <c r="P19" s="11">
        <v>1</v>
      </c>
      <c r="Q19" s="11">
        <v>584.4</v>
      </c>
      <c r="R19" s="24">
        <f t="shared" si="2"/>
        <v>584.4</v>
      </c>
      <c r="S19" s="236"/>
      <c r="T19" s="236"/>
      <c r="U19" s="236"/>
      <c r="V19" s="242"/>
      <c r="Y19" s="270"/>
      <c r="Z19" s="1"/>
      <c r="AA19" s="24" t="s">
        <v>449</v>
      </c>
      <c r="AB19" s="11">
        <v>1</v>
      </c>
      <c r="AC19" s="11">
        <v>584.4</v>
      </c>
      <c r="AD19" s="24">
        <f t="shared" si="3"/>
        <v>584.4</v>
      </c>
      <c r="AE19" s="236"/>
      <c r="AF19" s="236"/>
      <c r="AG19" s="236"/>
      <c r="AH19" s="242"/>
    </row>
    <row r="20" spans="2:34" ht="13">
      <c r="B20" s="249"/>
      <c r="C20" s="143"/>
      <c r="D20" s="24" t="s">
        <v>1316</v>
      </c>
      <c r="G20" s="13">
        <v>225</v>
      </c>
      <c r="H20" s="238"/>
      <c r="I20" s="238"/>
      <c r="J20" s="238"/>
      <c r="K20" s="243"/>
      <c r="M20" s="270"/>
      <c r="N20" s="12"/>
      <c r="O20" s="13" t="s">
        <v>254</v>
      </c>
      <c r="P20" s="14">
        <v>1</v>
      </c>
      <c r="Q20" s="14">
        <v>226</v>
      </c>
      <c r="R20" s="14">
        <v>226</v>
      </c>
      <c r="S20" s="238"/>
      <c r="T20" s="238"/>
      <c r="U20" s="238"/>
      <c r="V20" s="243"/>
      <c r="Y20" s="270"/>
      <c r="Z20" s="12"/>
      <c r="AA20" s="13" t="s">
        <v>254</v>
      </c>
      <c r="AB20" s="14">
        <v>1</v>
      </c>
      <c r="AC20" s="14">
        <v>226</v>
      </c>
      <c r="AD20" s="14">
        <v>226</v>
      </c>
      <c r="AE20" s="238"/>
      <c r="AF20" s="238"/>
      <c r="AG20" s="238"/>
      <c r="AH20" s="243"/>
    </row>
    <row r="21" spans="2:34" ht="14">
      <c r="B21" s="249"/>
      <c r="C21" s="139" t="s">
        <v>1317</v>
      </c>
      <c r="D21" s="77" t="s">
        <v>1305</v>
      </c>
      <c r="E21" s="71">
        <f>8*5</f>
        <v>40</v>
      </c>
      <c r="F21" s="71">
        <v>15</v>
      </c>
      <c r="G21" s="7">
        <v>0</v>
      </c>
      <c r="H21" s="239">
        <f>SUM(G21:G25)</f>
        <v>425</v>
      </c>
      <c r="I21" s="239">
        <f>2000</f>
        <v>2000</v>
      </c>
      <c r="J21" s="239">
        <f>I21-H21</f>
        <v>1575</v>
      </c>
      <c r="K21" s="259">
        <f>J21/I21</f>
        <v>0.78749999999999998</v>
      </c>
      <c r="M21" s="270"/>
      <c r="N21" s="144" t="s">
        <v>1318</v>
      </c>
      <c r="O21" s="77" t="s">
        <v>1308</v>
      </c>
      <c r="P21" s="71">
        <v>38.1</v>
      </c>
      <c r="Q21" s="71">
        <v>15</v>
      </c>
      <c r="R21" s="71">
        <f t="shared" ref="R21:R32" si="4">P21*Q21</f>
        <v>571.5</v>
      </c>
      <c r="S21" s="239">
        <f>SUM(R21:R28)</f>
        <v>3684.45</v>
      </c>
      <c r="T21" s="239">
        <v>12500</v>
      </c>
      <c r="U21" s="239">
        <f>T21-S21</f>
        <v>8815.5499999999993</v>
      </c>
      <c r="V21" s="259">
        <f>U21/T21</f>
        <v>0.70524399999999998</v>
      </c>
      <c r="Y21" s="270"/>
      <c r="Z21" s="144" t="s">
        <v>1318</v>
      </c>
      <c r="AA21" s="77" t="s">
        <v>1308</v>
      </c>
      <c r="AB21" s="71">
        <v>38.1</v>
      </c>
      <c r="AC21" s="71">
        <v>15</v>
      </c>
      <c r="AD21" s="71">
        <f>AB21*AC21</f>
        <v>571.5</v>
      </c>
      <c r="AE21" s="239">
        <f>SUM(AD21:AD28)</f>
        <v>3492.45</v>
      </c>
      <c r="AF21" s="239">
        <v>12500</v>
      </c>
      <c r="AG21" s="239">
        <f>AF21-AE21</f>
        <v>9007.5499999999993</v>
      </c>
      <c r="AH21" s="259">
        <f>AG21/AF21</f>
        <v>0.72060399999999991</v>
      </c>
    </row>
    <row r="22" spans="2:34" ht="13">
      <c r="B22" s="249"/>
      <c r="C22" s="138"/>
      <c r="D22" s="19" t="s">
        <v>1319</v>
      </c>
      <c r="E22" s="17">
        <v>5</v>
      </c>
      <c r="F22" s="17">
        <v>13</v>
      </c>
      <c r="G22" s="24">
        <f t="shared" ref="G22:G29" si="5">E22*F22</f>
        <v>65</v>
      </c>
      <c r="H22" s="236"/>
      <c r="I22" s="236"/>
      <c r="J22" s="236"/>
      <c r="K22" s="242"/>
      <c r="M22" s="270"/>
      <c r="N22" s="1"/>
      <c r="O22" s="19" t="s">
        <v>114</v>
      </c>
      <c r="P22" s="17">
        <v>12</v>
      </c>
      <c r="Q22" s="17">
        <v>16</v>
      </c>
      <c r="R22" s="17">
        <f t="shared" si="4"/>
        <v>192</v>
      </c>
      <c r="S22" s="236"/>
      <c r="T22" s="236"/>
      <c r="U22" s="236"/>
      <c r="V22" s="242"/>
      <c r="Y22" s="270"/>
      <c r="Z22" s="1"/>
      <c r="AA22" s="19" t="s">
        <v>114</v>
      </c>
      <c r="AB22" s="18"/>
      <c r="AC22" s="18"/>
      <c r="AD22" s="18"/>
      <c r="AE22" s="236"/>
      <c r="AF22" s="236"/>
      <c r="AG22" s="236"/>
      <c r="AH22" s="242"/>
    </row>
    <row r="23" spans="2:34" ht="13">
      <c r="B23" s="249"/>
      <c r="C23" s="138"/>
      <c r="D23" s="19" t="s">
        <v>1320</v>
      </c>
      <c r="E23" s="17">
        <v>5</v>
      </c>
      <c r="F23" s="17">
        <v>13</v>
      </c>
      <c r="G23" s="24">
        <f t="shared" si="5"/>
        <v>65</v>
      </c>
      <c r="H23" s="236"/>
      <c r="I23" s="236"/>
      <c r="J23" s="236"/>
      <c r="K23" s="242"/>
      <c r="M23" s="270"/>
      <c r="N23" s="1"/>
      <c r="O23" s="19" t="s">
        <v>1235</v>
      </c>
      <c r="P23" s="17">
        <v>76.5</v>
      </c>
      <c r="Q23" s="17">
        <v>15</v>
      </c>
      <c r="R23" s="17">
        <f t="shared" si="4"/>
        <v>1147.5</v>
      </c>
      <c r="S23" s="236"/>
      <c r="T23" s="236"/>
      <c r="U23" s="236"/>
      <c r="V23" s="242"/>
      <c r="Y23" s="270"/>
      <c r="Z23" s="1"/>
      <c r="AA23" s="19" t="s">
        <v>1235</v>
      </c>
      <c r="AB23" s="17">
        <v>76.5</v>
      </c>
      <c r="AC23" s="17">
        <v>15</v>
      </c>
      <c r="AD23" s="17">
        <f t="shared" ref="AD23:AD30" si="6">AB23*AC23</f>
        <v>1147.5</v>
      </c>
      <c r="AE23" s="236"/>
      <c r="AF23" s="236"/>
      <c r="AG23" s="236"/>
      <c r="AH23" s="242"/>
    </row>
    <row r="24" spans="2:34" ht="13">
      <c r="B24" s="249"/>
      <c r="C24" s="138"/>
      <c r="D24" s="19" t="s">
        <v>1312</v>
      </c>
      <c r="E24" s="17">
        <f>5*3</f>
        <v>15</v>
      </c>
      <c r="F24" s="17">
        <v>15</v>
      </c>
      <c r="G24" s="24">
        <f t="shared" si="5"/>
        <v>225</v>
      </c>
      <c r="H24" s="236"/>
      <c r="I24" s="236"/>
      <c r="J24" s="236"/>
      <c r="K24" s="242"/>
      <c r="M24" s="270"/>
      <c r="N24" s="1"/>
      <c r="O24" s="19" t="s">
        <v>1321</v>
      </c>
      <c r="P24" s="17">
        <v>35</v>
      </c>
      <c r="Q24" s="17">
        <v>15</v>
      </c>
      <c r="R24" s="17">
        <f t="shared" si="4"/>
        <v>525</v>
      </c>
      <c r="S24" s="236"/>
      <c r="T24" s="236"/>
      <c r="U24" s="236"/>
      <c r="V24" s="242"/>
      <c r="Y24" s="270"/>
      <c r="Z24" s="1"/>
      <c r="AA24" s="19" t="s">
        <v>1321</v>
      </c>
      <c r="AB24" s="17">
        <v>35</v>
      </c>
      <c r="AC24" s="17">
        <v>15</v>
      </c>
      <c r="AD24" s="17">
        <f t="shared" si="6"/>
        <v>525</v>
      </c>
      <c r="AE24" s="236"/>
      <c r="AF24" s="236"/>
      <c r="AG24" s="236"/>
      <c r="AH24" s="242"/>
    </row>
    <row r="25" spans="2:34" ht="13">
      <c r="B25" s="249"/>
      <c r="C25" s="138"/>
      <c r="D25" s="19" t="s">
        <v>1308</v>
      </c>
      <c r="E25" s="17">
        <v>5</v>
      </c>
      <c r="F25" s="17">
        <v>14</v>
      </c>
      <c r="G25" s="24">
        <f t="shared" si="5"/>
        <v>70</v>
      </c>
      <c r="H25" s="238"/>
      <c r="I25" s="238"/>
      <c r="J25" s="238"/>
      <c r="K25" s="243"/>
      <c r="M25" s="270"/>
      <c r="N25" s="1"/>
      <c r="O25" s="19" t="s">
        <v>1322</v>
      </c>
      <c r="P25" s="17">
        <v>35</v>
      </c>
      <c r="Q25" s="17">
        <v>15</v>
      </c>
      <c r="R25" s="17">
        <f t="shared" si="4"/>
        <v>525</v>
      </c>
      <c r="S25" s="236"/>
      <c r="T25" s="236"/>
      <c r="U25" s="236"/>
      <c r="V25" s="242"/>
      <c r="Y25" s="270"/>
      <c r="Z25" s="1"/>
      <c r="AA25" s="19" t="s">
        <v>1322</v>
      </c>
      <c r="AB25" s="17">
        <v>35</v>
      </c>
      <c r="AC25" s="17">
        <v>15</v>
      </c>
      <c r="AD25" s="17">
        <f t="shared" si="6"/>
        <v>525</v>
      </c>
      <c r="AE25" s="236"/>
      <c r="AF25" s="236"/>
      <c r="AG25" s="236"/>
      <c r="AH25" s="242"/>
    </row>
    <row r="26" spans="2:34" ht="13">
      <c r="B26" s="249"/>
      <c r="C26" s="139" t="s">
        <v>1323</v>
      </c>
      <c r="D26" s="77" t="s">
        <v>1324</v>
      </c>
      <c r="E26" s="71">
        <v>55</v>
      </c>
      <c r="F26" s="71">
        <v>15</v>
      </c>
      <c r="G26" s="7">
        <f t="shared" si="5"/>
        <v>825</v>
      </c>
      <c r="H26" s="239">
        <f>SUM(G26:G30)</f>
        <v>1140</v>
      </c>
      <c r="I26" s="239">
        <v>3000</v>
      </c>
      <c r="J26" s="239">
        <f>I26-H26</f>
        <v>1860</v>
      </c>
      <c r="K26" s="259">
        <f>J26/I26</f>
        <v>0.62</v>
      </c>
      <c r="M26" s="270"/>
      <c r="N26" s="1"/>
      <c r="O26" s="19" t="s">
        <v>715</v>
      </c>
      <c r="P26" s="17">
        <v>8</v>
      </c>
      <c r="Q26" s="17">
        <v>15</v>
      </c>
      <c r="R26" s="17">
        <f t="shared" si="4"/>
        <v>120</v>
      </c>
      <c r="S26" s="236"/>
      <c r="T26" s="236"/>
      <c r="U26" s="236"/>
      <c r="V26" s="242"/>
      <c r="Y26" s="270"/>
      <c r="Z26" s="1"/>
      <c r="AA26" s="19" t="s">
        <v>715</v>
      </c>
      <c r="AB26" s="17">
        <v>8</v>
      </c>
      <c r="AC26" s="17">
        <v>15</v>
      </c>
      <c r="AD26" s="17">
        <f t="shared" si="6"/>
        <v>120</v>
      </c>
      <c r="AE26" s="236"/>
      <c r="AF26" s="236"/>
      <c r="AG26" s="236"/>
      <c r="AH26" s="242"/>
    </row>
    <row r="27" spans="2:34" ht="13">
      <c r="B27" s="249"/>
      <c r="C27" s="138"/>
      <c r="D27" s="19" t="s">
        <v>1325</v>
      </c>
      <c r="E27" s="17">
        <v>7</v>
      </c>
      <c r="F27" s="17">
        <v>15</v>
      </c>
      <c r="G27" s="24">
        <f t="shared" si="5"/>
        <v>105</v>
      </c>
      <c r="H27" s="236"/>
      <c r="I27" s="236"/>
      <c r="J27" s="236"/>
      <c r="K27" s="242"/>
      <c r="M27" s="270"/>
      <c r="N27" s="1"/>
      <c r="O27" s="19" t="s">
        <v>1326</v>
      </c>
      <c r="P27" s="17">
        <v>18.45</v>
      </c>
      <c r="Q27" s="17">
        <v>15</v>
      </c>
      <c r="R27" s="17">
        <f t="shared" si="4"/>
        <v>276.75</v>
      </c>
      <c r="S27" s="236"/>
      <c r="T27" s="236"/>
      <c r="U27" s="236"/>
      <c r="V27" s="242"/>
      <c r="Y27" s="270"/>
      <c r="Z27" s="1"/>
      <c r="AA27" s="19" t="s">
        <v>1326</v>
      </c>
      <c r="AB27" s="17">
        <v>18.45</v>
      </c>
      <c r="AC27" s="17">
        <v>15</v>
      </c>
      <c r="AD27" s="17">
        <f t="shared" si="6"/>
        <v>276.75</v>
      </c>
      <c r="AE27" s="236"/>
      <c r="AF27" s="236"/>
      <c r="AG27" s="236"/>
      <c r="AH27" s="242"/>
    </row>
    <row r="28" spans="2:34" ht="13">
      <c r="B28" s="249"/>
      <c r="C28" s="138"/>
      <c r="D28" s="19" t="s">
        <v>1327</v>
      </c>
      <c r="E28" s="17">
        <v>7</v>
      </c>
      <c r="F28" s="17">
        <v>15</v>
      </c>
      <c r="G28" s="24">
        <f t="shared" si="5"/>
        <v>105</v>
      </c>
      <c r="H28" s="236"/>
      <c r="I28" s="236"/>
      <c r="J28" s="236"/>
      <c r="K28" s="242"/>
      <c r="M28" s="270"/>
      <c r="N28" s="140"/>
      <c r="O28" s="20" t="s">
        <v>1328</v>
      </c>
      <c r="P28" s="20">
        <v>21.78</v>
      </c>
      <c r="Q28" s="20">
        <v>15</v>
      </c>
      <c r="R28" s="20">
        <f t="shared" si="4"/>
        <v>326.70000000000005</v>
      </c>
      <c r="S28" s="248"/>
      <c r="T28" s="248"/>
      <c r="U28" s="248"/>
      <c r="V28" s="303"/>
      <c r="Y28" s="270"/>
      <c r="Z28" s="140"/>
      <c r="AA28" s="20" t="s">
        <v>1328</v>
      </c>
      <c r="AB28" s="20">
        <v>21.78</v>
      </c>
      <c r="AC28" s="20">
        <v>15</v>
      </c>
      <c r="AD28" s="20">
        <f t="shared" si="6"/>
        <v>326.70000000000005</v>
      </c>
      <c r="AE28" s="248"/>
      <c r="AF28" s="248"/>
      <c r="AG28" s="248"/>
      <c r="AH28" s="303"/>
    </row>
    <row r="29" spans="2:34" ht="14">
      <c r="B29" s="249"/>
      <c r="C29" s="138"/>
      <c r="D29" s="19" t="s">
        <v>1329</v>
      </c>
      <c r="E29" s="17">
        <v>7</v>
      </c>
      <c r="F29" s="17">
        <v>15</v>
      </c>
      <c r="G29" s="24">
        <f t="shared" si="5"/>
        <v>105</v>
      </c>
      <c r="H29" s="236"/>
      <c r="I29" s="236"/>
      <c r="J29" s="236"/>
      <c r="K29" s="242"/>
      <c r="M29" s="270"/>
      <c r="N29" s="144" t="s">
        <v>1330</v>
      </c>
      <c r="O29" s="77" t="s">
        <v>1308</v>
      </c>
      <c r="P29" s="71">
        <v>12.2</v>
      </c>
      <c r="Q29" s="71">
        <v>15</v>
      </c>
      <c r="R29" s="71">
        <f t="shared" si="4"/>
        <v>183</v>
      </c>
      <c r="S29" s="239">
        <f>SUM(R29:R30)</f>
        <v>933</v>
      </c>
      <c r="T29" s="239">
        <f>1100+1750</f>
        <v>2850</v>
      </c>
      <c r="U29" s="239">
        <f>T29-S29</f>
        <v>1917</v>
      </c>
      <c r="V29" s="259">
        <f>U29/T29</f>
        <v>0.67263157894736847</v>
      </c>
      <c r="Y29" s="270"/>
      <c r="Z29" s="144" t="s">
        <v>1330</v>
      </c>
      <c r="AA29" s="77" t="s">
        <v>1308</v>
      </c>
      <c r="AB29" s="71">
        <v>12.2</v>
      </c>
      <c r="AC29" s="71">
        <v>15</v>
      </c>
      <c r="AD29" s="71">
        <f t="shared" si="6"/>
        <v>183</v>
      </c>
      <c r="AE29" s="325">
        <f>SUM(AD29:AD30)</f>
        <v>933</v>
      </c>
      <c r="AF29" s="325">
        <f>1100+1750</f>
        <v>2850</v>
      </c>
      <c r="AG29" s="325">
        <f>AF29-AE29</f>
        <v>1917</v>
      </c>
      <c r="AH29" s="330">
        <f>AG29/AF29</f>
        <v>0.67263157894736847</v>
      </c>
    </row>
    <row r="30" spans="2:34" ht="13">
      <c r="B30" s="249"/>
      <c r="C30" s="138"/>
      <c r="D30" s="19" t="s">
        <v>1315</v>
      </c>
      <c r="E30" s="17">
        <v>16</v>
      </c>
      <c r="F30" s="17">
        <v>15</v>
      </c>
      <c r="G30" s="24">
        <v>0</v>
      </c>
      <c r="H30" s="236"/>
      <c r="I30" s="236"/>
      <c r="J30" s="236"/>
      <c r="K30" s="242"/>
      <c r="M30" s="270"/>
      <c r="N30" s="140"/>
      <c r="O30" s="20" t="s">
        <v>1235</v>
      </c>
      <c r="P30" s="21">
        <v>50</v>
      </c>
      <c r="Q30" s="21">
        <v>15</v>
      </c>
      <c r="R30" s="21">
        <f t="shared" si="4"/>
        <v>750</v>
      </c>
      <c r="S30" s="248"/>
      <c r="T30" s="248"/>
      <c r="U30" s="248"/>
      <c r="V30" s="303"/>
      <c r="Y30" s="270"/>
      <c r="Z30" s="140"/>
      <c r="AA30" s="20" t="s">
        <v>1235</v>
      </c>
      <c r="AB30" s="21">
        <v>50</v>
      </c>
      <c r="AC30" s="21">
        <v>15</v>
      </c>
      <c r="AD30" s="21">
        <f t="shared" si="6"/>
        <v>750</v>
      </c>
      <c r="AE30" s="248"/>
      <c r="AF30" s="248"/>
      <c r="AG30" s="248"/>
      <c r="AH30" s="303"/>
    </row>
    <row r="31" spans="2:34" ht="14">
      <c r="B31" s="249"/>
      <c r="C31" s="138"/>
      <c r="D31" s="19" t="s">
        <v>1306</v>
      </c>
      <c r="E31" s="17">
        <f>5*8</f>
        <v>40</v>
      </c>
      <c r="F31" s="17">
        <v>15</v>
      </c>
      <c r="G31" s="24">
        <v>0</v>
      </c>
      <c r="H31" s="236"/>
      <c r="I31" s="236"/>
      <c r="J31" s="236"/>
      <c r="K31" s="242"/>
      <c r="M31" s="270"/>
      <c r="N31" s="144" t="s">
        <v>1331</v>
      </c>
      <c r="O31" s="77" t="s">
        <v>114</v>
      </c>
      <c r="P31" s="71">
        <v>25</v>
      </c>
      <c r="Q31" s="71">
        <v>16</v>
      </c>
      <c r="R31" s="71">
        <f t="shared" si="4"/>
        <v>400</v>
      </c>
      <c r="S31" s="239">
        <f>SUM(R31:R32)</f>
        <v>426.4</v>
      </c>
      <c r="T31" s="239">
        <v>1700</v>
      </c>
      <c r="U31" s="239">
        <f>T31-S31</f>
        <v>1273.5999999999999</v>
      </c>
      <c r="V31" s="259">
        <f>U31/T31</f>
        <v>0.74917647058823522</v>
      </c>
      <c r="Y31" s="270"/>
      <c r="Z31" s="144" t="s">
        <v>1331</v>
      </c>
      <c r="AA31" s="77" t="s">
        <v>114</v>
      </c>
      <c r="AB31" s="104"/>
      <c r="AC31" s="104"/>
      <c r="AD31" s="104"/>
      <c r="AE31" s="325">
        <f>SUM(AD31:AD32)</f>
        <v>0</v>
      </c>
      <c r="AF31" s="325">
        <v>1700</v>
      </c>
      <c r="AG31" s="325">
        <f>AF31-AE31</f>
        <v>1700</v>
      </c>
      <c r="AH31" s="330">
        <f>AG31/AF31</f>
        <v>1</v>
      </c>
    </row>
    <row r="32" spans="2:34" ht="13">
      <c r="B32" s="249"/>
      <c r="C32" s="138"/>
      <c r="D32" s="19" t="s">
        <v>1305</v>
      </c>
      <c r="E32" s="17">
        <f>2*8</f>
        <v>16</v>
      </c>
      <c r="F32" s="17">
        <v>15</v>
      </c>
      <c r="G32" s="24">
        <v>0</v>
      </c>
      <c r="H32" s="236"/>
      <c r="I32" s="236"/>
      <c r="J32" s="236"/>
      <c r="K32" s="242"/>
      <c r="M32" s="270"/>
      <c r="N32" s="140"/>
      <c r="O32" s="20" t="s">
        <v>1332</v>
      </c>
      <c r="P32" s="21">
        <v>3.3</v>
      </c>
      <c r="Q32" s="21">
        <v>8</v>
      </c>
      <c r="R32" s="21">
        <f t="shared" si="4"/>
        <v>26.4</v>
      </c>
      <c r="S32" s="248"/>
      <c r="T32" s="248"/>
      <c r="U32" s="248"/>
      <c r="V32" s="303"/>
      <c r="Y32" s="270"/>
      <c r="Z32" s="140"/>
      <c r="AA32" s="20" t="s">
        <v>1332</v>
      </c>
      <c r="AB32" s="68"/>
      <c r="AC32" s="68"/>
      <c r="AD32" s="68"/>
      <c r="AE32" s="248"/>
      <c r="AF32" s="248"/>
      <c r="AG32" s="248"/>
      <c r="AH32" s="303"/>
    </row>
    <row r="33" spans="2:34" ht="13">
      <c r="B33" s="249"/>
      <c r="C33" s="139" t="s">
        <v>1333</v>
      </c>
      <c r="D33" s="7" t="s">
        <v>1329</v>
      </c>
      <c r="E33" s="71">
        <v>7</v>
      </c>
      <c r="F33" s="71">
        <v>20</v>
      </c>
      <c r="G33" s="7">
        <f t="shared" ref="G33:G36" si="7">E33*F33</f>
        <v>140</v>
      </c>
      <c r="H33" s="239">
        <f>SUM(G33:G34)</f>
        <v>280</v>
      </c>
      <c r="I33" s="239">
        <v>1300</v>
      </c>
      <c r="J33" s="239">
        <f>I33-H33</f>
        <v>1020</v>
      </c>
      <c r="K33" s="259">
        <f>J33/I33</f>
        <v>0.7846153846153846</v>
      </c>
      <c r="M33" s="270"/>
      <c r="N33" s="6" t="s">
        <v>1334</v>
      </c>
      <c r="O33" s="7" t="s">
        <v>1308</v>
      </c>
      <c r="P33" s="8">
        <v>3</v>
      </c>
      <c r="Q33" s="8">
        <v>15</v>
      </c>
      <c r="R33" s="7">
        <v>88</v>
      </c>
      <c r="S33" s="239">
        <f>SUM(R33:R35)</f>
        <v>235</v>
      </c>
      <c r="T33" s="239">
        <v>1440</v>
      </c>
      <c r="U33" s="239">
        <f>T33-S33</f>
        <v>1205</v>
      </c>
      <c r="V33" s="259">
        <f>U33/T33</f>
        <v>0.83680555555555558</v>
      </c>
      <c r="Y33" s="270"/>
      <c r="Z33" s="6" t="s">
        <v>1334</v>
      </c>
      <c r="AA33" s="7" t="s">
        <v>1308</v>
      </c>
      <c r="AB33" s="8">
        <v>3</v>
      </c>
      <c r="AC33" s="8">
        <v>15</v>
      </c>
      <c r="AD33" s="7">
        <v>88</v>
      </c>
      <c r="AE33" s="325">
        <f>SUM(AD33:AD35)</f>
        <v>235</v>
      </c>
      <c r="AF33" s="325">
        <v>1440</v>
      </c>
      <c r="AG33" s="325">
        <f>AF33-AE33</f>
        <v>1205</v>
      </c>
      <c r="AH33" s="330">
        <f>AG33/AF33</f>
        <v>0.83680555555555558</v>
      </c>
    </row>
    <row r="34" spans="2:34" ht="13">
      <c r="B34" s="249"/>
      <c r="C34" s="138"/>
      <c r="D34" s="24" t="s">
        <v>1335</v>
      </c>
      <c r="E34" s="17">
        <v>7</v>
      </c>
      <c r="F34" s="17">
        <v>20</v>
      </c>
      <c r="G34" s="24">
        <f t="shared" si="7"/>
        <v>140</v>
      </c>
      <c r="H34" s="238"/>
      <c r="I34" s="238"/>
      <c r="J34" s="238"/>
      <c r="K34" s="243"/>
      <c r="M34" s="270"/>
      <c r="N34" s="1"/>
      <c r="O34" s="24" t="s">
        <v>715</v>
      </c>
      <c r="P34" s="11">
        <v>3</v>
      </c>
      <c r="Q34" s="11">
        <v>15</v>
      </c>
      <c r="R34" s="24">
        <f t="shared" ref="R34:R50" si="8">P34*Q34</f>
        <v>45</v>
      </c>
      <c r="S34" s="236"/>
      <c r="T34" s="236"/>
      <c r="U34" s="236"/>
      <c r="V34" s="242"/>
      <c r="Y34" s="270"/>
      <c r="Z34" s="1"/>
      <c r="AA34" s="24" t="s">
        <v>715</v>
      </c>
      <c r="AB34" s="11">
        <v>3</v>
      </c>
      <c r="AC34" s="11">
        <v>15</v>
      </c>
      <c r="AD34" s="24">
        <f t="shared" ref="AD34:AD35" si="9">AB34*AC34</f>
        <v>45</v>
      </c>
      <c r="AE34" s="236"/>
      <c r="AF34" s="236"/>
      <c r="AG34" s="236"/>
      <c r="AH34" s="242"/>
    </row>
    <row r="35" spans="2:34" ht="13">
      <c r="B35" s="249"/>
      <c r="C35" s="139" t="s">
        <v>1336</v>
      </c>
      <c r="D35" s="77" t="s">
        <v>1308</v>
      </c>
      <c r="E35" s="71">
        <v>9.5</v>
      </c>
      <c r="F35" s="71">
        <v>14</v>
      </c>
      <c r="G35" s="7">
        <f t="shared" si="7"/>
        <v>133</v>
      </c>
      <c r="H35" s="239">
        <f>SUM(G35:G36)</f>
        <v>283</v>
      </c>
      <c r="I35" s="239">
        <v>500</v>
      </c>
      <c r="J35" s="239">
        <f>I35-H35</f>
        <v>217</v>
      </c>
      <c r="K35" s="259">
        <f>J35/I35</f>
        <v>0.434</v>
      </c>
      <c r="M35" s="270"/>
      <c r="N35" s="140"/>
      <c r="O35" s="44" t="s">
        <v>1235</v>
      </c>
      <c r="P35" s="103">
        <v>6</v>
      </c>
      <c r="Q35" s="103">
        <v>17</v>
      </c>
      <c r="R35" s="44">
        <f t="shared" si="8"/>
        <v>102</v>
      </c>
      <c r="S35" s="238"/>
      <c r="T35" s="238"/>
      <c r="U35" s="238"/>
      <c r="V35" s="243"/>
      <c r="Y35" s="270"/>
      <c r="Z35" s="140"/>
      <c r="AA35" s="44" t="s">
        <v>1235</v>
      </c>
      <c r="AB35" s="103">
        <v>6</v>
      </c>
      <c r="AC35" s="103">
        <v>17</v>
      </c>
      <c r="AD35" s="44">
        <f t="shared" si="9"/>
        <v>102</v>
      </c>
      <c r="AE35" s="238"/>
      <c r="AF35" s="238"/>
      <c r="AG35" s="238"/>
      <c r="AH35" s="243"/>
    </row>
    <row r="36" spans="2:34" ht="14">
      <c r="B36" s="249"/>
      <c r="C36" s="138"/>
      <c r="D36" s="19" t="s">
        <v>95</v>
      </c>
      <c r="E36" s="17">
        <v>10</v>
      </c>
      <c r="F36" s="17">
        <v>15</v>
      </c>
      <c r="G36" s="24">
        <f t="shared" si="7"/>
        <v>150</v>
      </c>
      <c r="H36" s="238"/>
      <c r="I36" s="236"/>
      <c r="J36" s="238"/>
      <c r="K36" s="243"/>
      <c r="M36" s="270"/>
      <c r="N36" s="144" t="s">
        <v>1337</v>
      </c>
      <c r="O36" s="77" t="s">
        <v>114</v>
      </c>
      <c r="P36" s="71">
        <v>9.1</v>
      </c>
      <c r="Q36" s="71">
        <v>0</v>
      </c>
      <c r="R36" s="71">
        <f t="shared" si="8"/>
        <v>0</v>
      </c>
      <c r="S36" s="239">
        <f>SUM(R36:R45)</f>
        <v>1075.6000000000001</v>
      </c>
      <c r="T36" s="239">
        <v>2294</v>
      </c>
      <c r="U36" s="239">
        <f>T36-S36</f>
        <v>1218.3999999999999</v>
      </c>
      <c r="V36" s="259">
        <f>U36/T36</f>
        <v>0.53112467306015687</v>
      </c>
      <c r="Y36" s="270"/>
      <c r="Z36" s="144" t="s">
        <v>1337</v>
      </c>
      <c r="AA36" s="77" t="s">
        <v>114</v>
      </c>
      <c r="AB36" s="104"/>
      <c r="AC36" s="104"/>
      <c r="AD36" s="104"/>
      <c r="AE36" s="239">
        <f>SUM(AD36:AD45)</f>
        <v>1075.6000000000001</v>
      </c>
      <c r="AF36" s="239">
        <v>2294</v>
      </c>
      <c r="AG36" s="239">
        <f>AF36-AE36</f>
        <v>1218.3999999999999</v>
      </c>
      <c r="AH36" s="259">
        <f>AG36/AF36</f>
        <v>0.53112467306015687</v>
      </c>
    </row>
    <row r="37" spans="2:34" ht="13">
      <c r="B37" s="249"/>
      <c r="C37" s="139" t="s">
        <v>1338</v>
      </c>
      <c r="D37" s="77" t="s">
        <v>715</v>
      </c>
      <c r="E37" s="71">
        <v>5.5</v>
      </c>
      <c r="F37" s="71">
        <v>15</v>
      </c>
      <c r="G37" s="71">
        <v>0</v>
      </c>
      <c r="H37" s="239">
        <f>SUM(G37:G44)</f>
        <v>716</v>
      </c>
      <c r="I37" s="239">
        <v>4800</v>
      </c>
      <c r="J37" s="239">
        <f>I37-H37</f>
        <v>4084</v>
      </c>
      <c r="K37" s="259">
        <f>J37/I37</f>
        <v>0.85083333333333333</v>
      </c>
      <c r="M37" s="270"/>
      <c r="N37" s="1"/>
      <c r="O37" s="19" t="s">
        <v>691</v>
      </c>
      <c r="P37" s="17">
        <v>1</v>
      </c>
      <c r="Q37" s="17">
        <v>80</v>
      </c>
      <c r="R37" s="17">
        <f t="shared" si="8"/>
        <v>80</v>
      </c>
      <c r="S37" s="236"/>
      <c r="T37" s="236"/>
      <c r="U37" s="236"/>
      <c r="V37" s="242"/>
      <c r="Y37" s="270"/>
      <c r="Z37" s="1"/>
      <c r="AA37" s="19" t="s">
        <v>691</v>
      </c>
      <c r="AB37" s="17">
        <v>1</v>
      </c>
      <c r="AC37" s="17">
        <v>80</v>
      </c>
      <c r="AD37" s="17">
        <f t="shared" ref="AD37:AD47" si="10">AB37*AC37</f>
        <v>80</v>
      </c>
      <c r="AE37" s="236"/>
      <c r="AF37" s="236"/>
      <c r="AG37" s="236"/>
      <c r="AH37" s="242"/>
    </row>
    <row r="38" spans="2:34" ht="13">
      <c r="B38" s="249"/>
      <c r="C38" s="138"/>
      <c r="D38" s="19" t="s">
        <v>1339</v>
      </c>
      <c r="E38" s="17">
        <v>14</v>
      </c>
      <c r="F38" s="17">
        <v>15</v>
      </c>
      <c r="G38" s="17">
        <f t="shared" ref="G38:G41" si="11">E38*F38</f>
        <v>210</v>
      </c>
      <c r="H38" s="236"/>
      <c r="I38" s="236"/>
      <c r="J38" s="236"/>
      <c r="K38" s="242"/>
      <c r="M38" s="270"/>
      <c r="N38" s="1"/>
      <c r="O38" s="19" t="s">
        <v>1340</v>
      </c>
      <c r="P38" s="17">
        <v>3</v>
      </c>
      <c r="Q38" s="17">
        <v>35</v>
      </c>
      <c r="R38" s="17">
        <f t="shared" si="8"/>
        <v>105</v>
      </c>
      <c r="S38" s="236"/>
      <c r="T38" s="236"/>
      <c r="U38" s="236"/>
      <c r="V38" s="242"/>
      <c r="Y38" s="270"/>
      <c r="Z38" s="1"/>
      <c r="AA38" s="19" t="s">
        <v>1340</v>
      </c>
      <c r="AB38" s="17">
        <v>3</v>
      </c>
      <c r="AC38" s="17">
        <v>35</v>
      </c>
      <c r="AD38" s="17">
        <f t="shared" si="10"/>
        <v>105</v>
      </c>
      <c r="AE38" s="236"/>
      <c r="AF38" s="236"/>
      <c r="AG38" s="236"/>
      <c r="AH38" s="242"/>
    </row>
    <row r="39" spans="2:34" ht="13">
      <c r="B39" s="249"/>
      <c r="C39" s="138"/>
      <c r="D39" s="19" t="s">
        <v>1341</v>
      </c>
      <c r="E39" s="17">
        <v>5.5</v>
      </c>
      <c r="F39" s="17">
        <v>15</v>
      </c>
      <c r="G39" s="17">
        <f t="shared" si="11"/>
        <v>82.5</v>
      </c>
      <c r="H39" s="236"/>
      <c r="I39" s="236"/>
      <c r="J39" s="236"/>
      <c r="K39" s="242"/>
      <c r="M39" s="270"/>
      <c r="N39" s="1"/>
      <c r="O39" s="19" t="s">
        <v>1342</v>
      </c>
      <c r="P39" s="17">
        <v>1</v>
      </c>
      <c r="Q39" s="17">
        <v>60</v>
      </c>
      <c r="R39" s="17">
        <f t="shared" si="8"/>
        <v>60</v>
      </c>
      <c r="S39" s="236"/>
      <c r="T39" s="236"/>
      <c r="U39" s="236"/>
      <c r="V39" s="242"/>
      <c r="Y39" s="270"/>
      <c r="Z39" s="1"/>
      <c r="AA39" s="19" t="s">
        <v>1342</v>
      </c>
      <c r="AB39" s="17">
        <v>1</v>
      </c>
      <c r="AC39" s="17">
        <v>60</v>
      </c>
      <c r="AD39" s="17">
        <f t="shared" si="10"/>
        <v>60</v>
      </c>
      <c r="AE39" s="236"/>
      <c r="AF39" s="236"/>
      <c r="AG39" s="236"/>
      <c r="AH39" s="242"/>
    </row>
    <row r="40" spans="2:34" ht="13">
      <c r="B40" s="249"/>
      <c r="C40" s="138"/>
      <c r="D40" s="19" t="s">
        <v>95</v>
      </c>
      <c r="E40" s="17">
        <v>13</v>
      </c>
      <c r="F40" s="17">
        <v>15</v>
      </c>
      <c r="G40" s="17">
        <f t="shared" si="11"/>
        <v>195</v>
      </c>
      <c r="H40" s="236"/>
      <c r="I40" s="236"/>
      <c r="J40" s="236"/>
      <c r="K40" s="242"/>
      <c r="M40" s="270"/>
      <c r="N40" s="1"/>
      <c r="O40" s="19" t="s">
        <v>1343</v>
      </c>
      <c r="P40" s="17">
        <v>1</v>
      </c>
      <c r="Q40" s="17">
        <v>56.72</v>
      </c>
      <c r="R40" s="17">
        <f t="shared" si="8"/>
        <v>56.72</v>
      </c>
      <c r="S40" s="236"/>
      <c r="T40" s="236"/>
      <c r="U40" s="236"/>
      <c r="V40" s="242"/>
      <c r="Y40" s="270"/>
      <c r="Z40" s="1"/>
      <c r="AA40" s="19" t="s">
        <v>1343</v>
      </c>
      <c r="AB40" s="17">
        <v>1</v>
      </c>
      <c r="AC40" s="17">
        <v>56.72</v>
      </c>
      <c r="AD40" s="17">
        <f t="shared" si="10"/>
        <v>56.72</v>
      </c>
      <c r="AE40" s="236"/>
      <c r="AF40" s="236"/>
      <c r="AG40" s="236"/>
      <c r="AH40" s="242"/>
    </row>
    <row r="41" spans="2:34" ht="13">
      <c r="B41" s="249"/>
      <c r="C41" s="138"/>
      <c r="D41" s="19" t="s">
        <v>1308</v>
      </c>
      <c r="E41" s="17">
        <v>11.5</v>
      </c>
      <c r="F41" s="17">
        <v>14</v>
      </c>
      <c r="G41" s="17">
        <f t="shared" si="11"/>
        <v>161</v>
      </c>
      <c r="H41" s="236"/>
      <c r="I41" s="236"/>
      <c r="J41" s="236"/>
      <c r="K41" s="242"/>
      <c r="M41" s="270"/>
      <c r="N41" s="1"/>
      <c r="O41" s="19" t="s">
        <v>693</v>
      </c>
      <c r="P41" s="17">
        <v>1</v>
      </c>
      <c r="Q41" s="17">
        <v>127.32</v>
      </c>
      <c r="R41" s="17">
        <f t="shared" si="8"/>
        <v>127.32</v>
      </c>
      <c r="S41" s="236"/>
      <c r="T41" s="236"/>
      <c r="U41" s="236"/>
      <c r="V41" s="242"/>
      <c r="Y41" s="270"/>
      <c r="Z41" s="1"/>
      <c r="AA41" s="19" t="s">
        <v>693</v>
      </c>
      <c r="AB41" s="17">
        <v>1</v>
      </c>
      <c r="AC41" s="17">
        <v>127.32</v>
      </c>
      <c r="AD41" s="17">
        <f t="shared" si="10"/>
        <v>127.32</v>
      </c>
      <c r="AE41" s="236"/>
      <c r="AF41" s="236"/>
      <c r="AG41" s="236"/>
      <c r="AH41" s="242"/>
    </row>
    <row r="42" spans="2:34" ht="13">
      <c r="B42" s="249"/>
      <c r="C42" s="138"/>
      <c r="D42" s="19" t="s">
        <v>1315</v>
      </c>
      <c r="E42" s="17">
        <f>8*4</f>
        <v>32</v>
      </c>
      <c r="F42" s="17">
        <v>15</v>
      </c>
      <c r="G42" s="17">
        <v>0</v>
      </c>
      <c r="H42" s="236"/>
      <c r="I42" s="236"/>
      <c r="J42" s="236"/>
      <c r="K42" s="242"/>
      <c r="M42" s="270"/>
      <c r="N42" s="1"/>
      <c r="O42" s="19" t="s">
        <v>1344</v>
      </c>
      <c r="P42" s="17">
        <v>2</v>
      </c>
      <c r="Q42" s="17">
        <v>35</v>
      </c>
      <c r="R42" s="17">
        <f t="shared" si="8"/>
        <v>70</v>
      </c>
      <c r="S42" s="236"/>
      <c r="T42" s="236"/>
      <c r="U42" s="236"/>
      <c r="V42" s="242"/>
      <c r="Y42" s="270"/>
      <c r="Z42" s="1"/>
      <c r="AA42" s="19" t="s">
        <v>1344</v>
      </c>
      <c r="AB42" s="17">
        <v>2</v>
      </c>
      <c r="AC42" s="17">
        <v>35</v>
      </c>
      <c r="AD42" s="17">
        <f t="shared" si="10"/>
        <v>70</v>
      </c>
      <c r="AE42" s="236"/>
      <c r="AF42" s="236"/>
      <c r="AG42" s="236"/>
      <c r="AH42" s="242"/>
    </row>
    <row r="43" spans="2:34" ht="13">
      <c r="B43" s="249"/>
      <c r="C43" s="138"/>
      <c r="D43" s="19" t="s">
        <v>1306</v>
      </c>
      <c r="E43" s="17">
        <f>5*8</f>
        <v>40</v>
      </c>
      <c r="F43" s="17">
        <v>15</v>
      </c>
      <c r="G43" s="17">
        <v>0</v>
      </c>
      <c r="H43" s="236"/>
      <c r="I43" s="236"/>
      <c r="J43" s="236"/>
      <c r="K43" s="242"/>
      <c r="M43" s="270"/>
      <c r="N43" s="1"/>
      <c r="O43" s="19" t="s">
        <v>94</v>
      </c>
      <c r="P43" s="17">
        <v>1</v>
      </c>
      <c r="Q43" s="17">
        <v>205.37</v>
      </c>
      <c r="R43" s="17">
        <f t="shared" si="8"/>
        <v>205.37</v>
      </c>
      <c r="S43" s="236"/>
      <c r="T43" s="236"/>
      <c r="U43" s="236"/>
      <c r="V43" s="242"/>
      <c r="Y43" s="270"/>
      <c r="Z43" s="1"/>
      <c r="AA43" s="19" t="s">
        <v>94</v>
      </c>
      <c r="AB43" s="17">
        <v>1</v>
      </c>
      <c r="AC43" s="17">
        <v>205.37</v>
      </c>
      <c r="AD43" s="17">
        <f t="shared" si="10"/>
        <v>205.37</v>
      </c>
      <c r="AE43" s="236"/>
      <c r="AF43" s="236"/>
      <c r="AG43" s="236"/>
      <c r="AH43" s="242"/>
    </row>
    <row r="44" spans="2:34" ht="13">
      <c r="B44" s="249"/>
      <c r="C44" s="138"/>
      <c r="D44" s="19" t="s">
        <v>1345</v>
      </c>
      <c r="E44" s="17">
        <v>4.5</v>
      </c>
      <c r="F44" s="17">
        <v>15</v>
      </c>
      <c r="G44" s="17">
        <f>E44*F44</f>
        <v>67.5</v>
      </c>
      <c r="H44" s="236"/>
      <c r="I44" s="236"/>
      <c r="J44" s="236"/>
      <c r="K44" s="242"/>
      <c r="M44" s="270"/>
      <c r="N44" s="1"/>
      <c r="O44" s="19" t="s">
        <v>1346</v>
      </c>
      <c r="P44" s="17">
        <v>1</v>
      </c>
      <c r="Q44" s="17">
        <v>283</v>
      </c>
      <c r="R44" s="17">
        <f t="shared" si="8"/>
        <v>283</v>
      </c>
      <c r="S44" s="236"/>
      <c r="T44" s="236"/>
      <c r="U44" s="236"/>
      <c r="V44" s="242"/>
      <c r="Y44" s="270"/>
      <c r="Z44" s="1"/>
      <c r="AA44" s="19" t="s">
        <v>1346</v>
      </c>
      <c r="AB44" s="17">
        <v>1</v>
      </c>
      <c r="AC44" s="17">
        <v>283</v>
      </c>
      <c r="AD44" s="17">
        <f t="shared" si="10"/>
        <v>283</v>
      </c>
      <c r="AE44" s="236"/>
      <c r="AF44" s="236"/>
      <c r="AG44" s="236"/>
      <c r="AH44" s="242"/>
    </row>
    <row r="45" spans="2:34" ht="13">
      <c r="B45" s="249"/>
      <c r="C45" s="139" t="s">
        <v>1347</v>
      </c>
      <c r="D45" s="77" t="s">
        <v>1305</v>
      </c>
      <c r="E45" s="71">
        <f>4*8</f>
        <v>32</v>
      </c>
      <c r="F45" s="71">
        <v>15</v>
      </c>
      <c r="G45" s="71">
        <v>0</v>
      </c>
      <c r="H45" s="239">
        <f>SUM(G45:G47)</f>
        <v>157.5</v>
      </c>
      <c r="I45" s="239">
        <v>1200</v>
      </c>
      <c r="J45" s="239">
        <f>I45-H45</f>
        <v>1042.5</v>
      </c>
      <c r="K45" s="259">
        <f>J45/I45</f>
        <v>0.86875000000000002</v>
      </c>
      <c r="M45" s="270"/>
      <c r="N45" s="140"/>
      <c r="O45" s="20" t="s">
        <v>1348</v>
      </c>
      <c r="P45" s="20">
        <v>1</v>
      </c>
      <c r="Q45" s="20">
        <v>88.19</v>
      </c>
      <c r="R45" s="20">
        <f t="shared" si="8"/>
        <v>88.19</v>
      </c>
      <c r="S45" s="248"/>
      <c r="T45" s="248"/>
      <c r="U45" s="248"/>
      <c r="V45" s="303"/>
      <c r="Y45" s="270"/>
      <c r="Z45" s="140"/>
      <c r="AA45" s="20" t="s">
        <v>1348</v>
      </c>
      <c r="AB45" s="20">
        <v>1</v>
      </c>
      <c r="AC45" s="20">
        <v>88.19</v>
      </c>
      <c r="AD45" s="20">
        <f t="shared" si="10"/>
        <v>88.19</v>
      </c>
      <c r="AE45" s="248"/>
      <c r="AF45" s="248"/>
      <c r="AG45" s="248"/>
      <c r="AH45" s="303"/>
    </row>
    <row r="46" spans="2:34" ht="14">
      <c r="B46" s="249"/>
      <c r="C46" s="138"/>
      <c r="D46" s="19" t="s">
        <v>1349</v>
      </c>
      <c r="E46" s="17">
        <v>4.5</v>
      </c>
      <c r="F46" s="17">
        <v>15</v>
      </c>
      <c r="G46" s="17">
        <f t="shared" ref="G46:G49" si="12">E46*F46</f>
        <v>67.5</v>
      </c>
      <c r="H46" s="236"/>
      <c r="I46" s="236"/>
      <c r="J46" s="236"/>
      <c r="K46" s="242"/>
      <c r="M46" s="270"/>
      <c r="N46" s="144" t="s">
        <v>1350</v>
      </c>
      <c r="O46" s="77" t="s">
        <v>1351</v>
      </c>
      <c r="P46" s="71">
        <v>2</v>
      </c>
      <c r="Q46" s="71">
        <v>15</v>
      </c>
      <c r="R46" s="71">
        <f t="shared" si="8"/>
        <v>30</v>
      </c>
      <c r="S46" s="239">
        <f>SUM(R46:R51)</f>
        <v>872</v>
      </c>
      <c r="T46" s="239">
        <v>3018.75</v>
      </c>
      <c r="U46" s="239">
        <f>T46-S46</f>
        <v>2146.75</v>
      </c>
      <c r="V46" s="259">
        <f>U46/T46</f>
        <v>0.7111387163561077</v>
      </c>
      <c r="Y46" s="270"/>
      <c r="Z46" s="144" t="s">
        <v>1350</v>
      </c>
      <c r="AA46" s="77" t="s">
        <v>1351</v>
      </c>
      <c r="AB46" s="71">
        <v>2</v>
      </c>
      <c r="AC46" s="71">
        <v>15</v>
      </c>
      <c r="AD46" s="71">
        <f t="shared" si="10"/>
        <v>30</v>
      </c>
      <c r="AE46" s="325">
        <f>SUM(AD46:AD51)</f>
        <v>872</v>
      </c>
      <c r="AF46" s="325">
        <v>3018.75</v>
      </c>
      <c r="AG46" s="325">
        <f>AF46-AE46</f>
        <v>2146.75</v>
      </c>
      <c r="AH46" s="330">
        <f>AG46/AF46</f>
        <v>0.7111387163561077</v>
      </c>
    </row>
    <row r="47" spans="2:34" ht="13">
      <c r="B47" s="249"/>
      <c r="C47" s="138"/>
      <c r="D47" s="19" t="s">
        <v>1345</v>
      </c>
      <c r="E47" s="17">
        <v>6</v>
      </c>
      <c r="F47" s="17">
        <v>15</v>
      </c>
      <c r="G47" s="17">
        <f t="shared" si="12"/>
        <v>90</v>
      </c>
      <c r="H47" s="238"/>
      <c r="I47" s="238"/>
      <c r="J47" s="238"/>
      <c r="K47" s="243"/>
      <c r="M47" s="270"/>
      <c r="N47" s="1"/>
      <c r="O47" s="19" t="s">
        <v>310</v>
      </c>
      <c r="P47" s="17">
        <v>24</v>
      </c>
      <c r="Q47" s="17">
        <v>15</v>
      </c>
      <c r="R47" s="17">
        <f t="shared" si="8"/>
        <v>360</v>
      </c>
      <c r="S47" s="236"/>
      <c r="T47" s="236"/>
      <c r="U47" s="236"/>
      <c r="V47" s="242"/>
      <c r="Y47" s="270"/>
      <c r="Z47" s="1"/>
      <c r="AA47" s="19" t="s">
        <v>310</v>
      </c>
      <c r="AB47" s="17">
        <v>24</v>
      </c>
      <c r="AC47" s="17">
        <v>15</v>
      </c>
      <c r="AD47" s="17">
        <f t="shared" si="10"/>
        <v>360</v>
      </c>
      <c r="AE47" s="236"/>
      <c r="AF47" s="236"/>
      <c r="AG47" s="236"/>
      <c r="AH47" s="242"/>
    </row>
    <row r="48" spans="2:34" ht="13">
      <c r="B48" s="249"/>
      <c r="C48" s="139" t="s">
        <v>1352</v>
      </c>
      <c r="D48" s="77" t="s">
        <v>1308</v>
      </c>
      <c r="E48" s="71">
        <v>9</v>
      </c>
      <c r="F48" s="71">
        <v>14</v>
      </c>
      <c r="G48" s="71">
        <f t="shared" si="12"/>
        <v>126</v>
      </c>
      <c r="H48" s="239">
        <f>SUM(G48:G49)</f>
        <v>276</v>
      </c>
      <c r="I48" s="239">
        <v>750</v>
      </c>
      <c r="J48" s="239">
        <f>I48-H48</f>
        <v>474</v>
      </c>
      <c r="K48" s="259">
        <f>J48/I48</f>
        <v>0.63200000000000001</v>
      </c>
      <c r="M48" s="270"/>
      <c r="N48" s="1"/>
      <c r="O48" s="19" t="s">
        <v>1332</v>
      </c>
      <c r="P48" s="17">
        <v>6</v>
      </c>
      <c r="Q48" s="17">
        <v>0</v>
      </c>
      <c r="R48" s="17">
        <f t="shared" si="8"/>
        <v>0</v>
      </c>
      <c r="S48" s="236"/>
      <c r="T48" s="236"/>
      <c r="U48" s="236"/>
      <c r="V48" s="242"/>
      <c r="Y48" s="270"/>
      <c r="Z48" s="1"/>
      <c r="AA48" s="19" t="s">
        <v>1332</v>
      </c>
      <c r="AB48" s="18"/>
      <c r="AC48" s="18"/>
      <c r="AD48" s="18"/>
      <c r="AE48" s="236"/>
      <c r="AF48" s="236"/>
      <c r="AG48" s="236"/>
      <c r="AH48" s="242"/>
    </row>
    <row r="49" spans="2:34" ht="13">
      <c r="B49" s="249"/>
      <c r="C49" s="138"/>
      <c r="D49" s="19" t="s">
        <v>95</v>
      </c>
      <c r="E49" s="17">
        <v>10</v>
      </c>
      <c r="F49" s="17">
        <v>15</v>
      </c>
      <c r="G49" s="17">
        <f t="shared" si="12"/>
        <v>150</v>
      </c>
      <c r="H49" s="238"/>
      <c r="I49" s="238"/>
      <c r="J49" s="238"/>
      <c r="K49" s="243"/>
      <c r="M49" s="270"/>
      <c r="N49" s="1"/>
      <c r="O49" s="19" t="s">
        <v>1353</v>
      </c>
      <c r="P49" s="17">
        <v>12</v>
      </c>
      <c r="Q49" s="17">
        <v>15</v>
      </c>
      <c r="R49" s="17">
        <f t="shared" si="8"/>
        <v>180</v>
      </c>
      <c r="S49" s="236"/>
      <c r="T49" s="236"/>
      <c r="U49" s="236"/>
      <c r="V49" s="242"/>
      <c r="Y49" s="270"/>
      <c r="Z49" s="1"/>
      <c r="AA49" s="19" t="s">
        <v>1353</v>
      </c>
      <c r="AB49" s="17">
        <v>12</v>
      </c>
      <c r="AC49" s="17">
        <v>15</v>
      </c>
      <c r="AD49" s="17">
        <f t="shared" ref="AD49:AD50" si="13">AB49*AC49</f>
        <v>180</v>
      </c>
      <c r="AE49" s="236"/>
      <c r="AF49" s="236"/>
      <c r="AG49" s="236"/>
      <c r="AH49" s="242"/>
    </row>
    <row r="50" spans="2:34" ht="16">
      <c r="B50" s="249"/>
      <c r="C50" s="139" t="s">
        <v>1354</v>
      </c>
      <c r="D50" s="77" t="s">
        <v>1305</v>
      </c>
      <c r="E50" s="71">
        <v>8</v>
      </c>
      <c r="F50" s="71">
        <v>15</v>
      </c>
      <c r="G50" s="71">
        <v>0</v>
      </c>
      <c r="H50" s="9">
        <f>SUM(G50)</f>
        <v>0</v>
      </c>
      <c r="I50" s="9">
        <v>500</v>
      </c>
      <c r="J50" s="9">
        <f t="shared" ref="J50:J51" si="14">I50-H50</f>
        <v>500</v>
      </c>
      <c r="K50" s="10">
        <f t="shared" ref="K50:K51" si="15">J50/I50</f>
        <v>1</v>
      </c>
      <c r="M50" s="270"/>
      <c r="N50" s="1"/>
      <c r="O50" s="19" t="s">
        <v>1355</v>
      </c>
      <c r="P50" s="17">
        <v>6</v>
      </c>
      <c r="Q50" s="17">
        <v>15</v>
      </c>
      <c r="R50" s="17">
        <f t="shared" si="8"/>
        <v>90</v>
      </c>
      <c r="S50" s="236"/>
      <c r="T50" s="236"/>
      <c r="U50" s="236"/>
      <c r="V50" s="242"/>
      <c r="Y50" s="270"/>
      <c r="Z50" s="1"/>
      <c r="AA50" s="19" t="s">
        <v>1355</v>
      </c>
      <c r="AB50" s="17">
        <v>6</v>
      </c>
      <c r="AC50" s="17">
        <v>15</v>
      </c>
      <c r="AD50" s="17">
        <f t="shared" si="13"/>
        <v>90</v>
      </c>
      <c r="AE50" s="236"/>
      <c r="AF50" s="236"/>
      <c r="AG50" s="236"/>
      <c r="AH50" s="242"/>
    </row>
    <row r="51" spans="2:34" ht="13">
      <c r="B51" s="249"/>
      <c r="C51" s="139" t="s">
        <v>1356</v>
      </c>
      <c r="D51" s="77" t="s">
        <v>1308</v>
      </c>
      <c r="E51" s="71">
        <v>9</v>
      </c>
      <c r="F51" s="71">
        <v>14</v>
      </c>
      <c r="G51" s="71">
        <f t="shared" ref="G51:G52" si="16">E51*F51</f>
        <v>126</v>
      </c>
      <c r="H51" s="239">
        <f>SUM(G51:G54)</f>
        <v>275.40000000000003</v>
      </c>
      <c r="I51" s="239">
        <v>1200</v>
      </c>
      <c r="J51" s="239">
        <f t="shared" si="14"/>
        <v>924.59999999999991</v>
      </c>
      <c r="K51" s="259">
        <f t="shared" si="15"/>
        <v>0.77049999999999996</v>
      </c>
      <c r="M51" s="270"/>
      <c r="N51" s="140"/>
      <c r="O51" s="20" t="s">
        <v>33</v>
      </c>
      <c r="P51" s="21">
        <v>1</v>
      </c>
      <c r="Q51" s="21"/>
      <c r="R51" s="21">
        <v>212</v>
      </c>
      <c r="S51" s="248"/>
      <c r="T51" s="248"/>
      <c r="U51" s="248"/>
      <c r="V51" s="303"/>
      <c r="Y51" s="270"/>
      <c r="Z51" s="140"/>
      <c r="AA51" s="20" t="s">
        <v>33</v>
      </c>
      <c r="AB51" s="21">
        <v>1</v>
      </c>
      <c r="AC51" s="21"/>
      <c r="AD51" s="21">
        <v>212</v>
      </c>
      <c r="AE51" s="248"/>
      <c r="AF51" s="248"/>
      <c r="AG51" s="248"/>
      <c r="AH51" s="303"/>
    </row>
    <row r="52" spans="2:34" ht="14">
      <c r="B52" s="249"/>
      <c r="C52" s="138"/>
      <c r="D52" s="19" t="s">
        <v>95</v>
      </c>
      <c r="E52" s="17">
        <v>9</v>
      </c>
      <c r="F52" s="17">
        <v>15</v>
      </c>
      <c r="G52" s="17">
        <f t="shared" si="16"/>
        <v>135</v>
      </c>
      <c r="H52" s="236"/>
      <c r="I52" s="236"/>
      <c r="J52" s="236"/>
      <c r="K52" s="242"/>
      <c r="M52" s="270"/>
      <c r="N52" s="144" t="s">
        <v>1357</v>
      </c>
      <c r="O52" s="77" t="s">
        <v>1308</v>
      </c>
      <c r="P52" s="71">
        <v>7</v>
      </c>
      <c r="Q52" s="71">
        <v>15</v>
      </c>
      <c r="R52" s="71">
        <f t="shared" ref="R52:R53" si="17">P52*Q52</f>
        <v>105</v>
      </c>
      <c r="S52" s="239">
        <f>SUM(R52:R54)</f>
        <v>558.16</v>
      </c>
      <c r="T52" s="239">
        <v>1587.5</v>
      </c>
      <c r="U52" s="239">
        <f>T52-S52</f>
        <v>1029.3400000000001</v>
      </c>
      <c r="V52" s="259">
        <f>U52/T52</f>
        <v>0.6484031496062993</v>
      </c>
      <c r="Y52" s="270"/>
      <c r="Z52" s="144" t="s">
        <v>1357</v>
      </c>
      <c r="AA52" s="77" t="s">
        <v>1308</v>
      </c>
      <c r="AB52" s="71">
        <v>7</v>
      </c>
      <c r="AC52" s="71">
        <v>15</v>
      </c>
      <c r="AD52" s="71">
        <f t="shared" ref="AD52:AD53" si="18">AB52*AC52</f>
        <v>105</v>
      </c>
      <c r="AE52" s="325">
        <f>SUM(AD52:AD54)</f>
        <v>558.16</v>
      </c>
      <c r="AF52" s="325">
        <v>1587.5</v>
      </c>
      <c r="AG52" s="325">
        <f>AF52-AE52</f>
        <v>1029.3400000000001</v>
      </c>
      <c r="AH52" s="330">
        <f>AG52/AF52</f>
        <v>0.6484031496062993</v>
      </c>
    </row>
    <row r="53" spans="2:34" ht="13">
      <c r="B53" s="249"/>
      <c r="C53" s="138"/>
      <c r="D53" s="19" t="s">
        <v>44</v>
      </c>
      <c r="E53" s="19"/>
      <c r="F53" s="19"/>
      <c r="G53" s="17">
        <v>5.8</v>
      </c>
      <c r="H53" s="236"/>
      <c r="I53" s="236"/>
      <c r="J53" s="236"/>
      <c r="K53" s="242"/>
      <c r="M53" s="270"/>
      <c r="N53" s="1"/>
      <c r="O53" s="19" t="s">
        <v>1235</v>
      </c>
      <c r="P53" s="17">
        <v>15</v>
      </c>
      <c r="Q53" s="17">
        <v>17</v>
      </c>
      <c r="R53" s="17">
        <f t="shared" si="17"/>
        <v>255</v>
      </c>
      <c r="S53" s="236"/>
      <c r="T53" s="236"/>
      <c r="U53" s="236"/>
      <c r="V53" s="242"/>
      <c r="Y53" s="270"/>
      <c r="Z53" s="1"/>
      <c r="AA53" s="19" t="s">
        <v>1235</v>
      </c>
      <c r="AB53" s="17">
        <v>15</v>
      </c>
      <c r="AC53" s="17">
        <v>17</v>
      </c>
      <c r="AD53" s="17">
        <f t="shared" si="18"/>
        <v>255</v>
      </c>
      <c r="AE53" s="236"/>
      <c r="AF53" s="236"/>
      <c r="AG53" s="236"/>
      <c r="AH53" s="242"/>
    </row>
    <row r="54" spans="2:34" ht="13">
      <c r="B54" s="249"/>
      <c r="C54" s="138"/>
      <c r="D54" s="19" t="s">
        <v>1358</v>
      </c>
      <c r="E54" s="19"/>
      <c r="F54" s="19"/>
      <c r="G54" s="17">
        <v>8.6</v>
      </c>
      <c r="H54" s="238"/>
      <c r="I54" s="238"/>
      <c r="J54" s="238"/>
      <c r="K54" s="243"/>
      <c r="M54" s="270"/>
      <c r="N54" s="140"/>
      <c r="O54" s="20" t="s">
        <v>33</v>
      </c>
      <c r="P54" s="21">
        <v>1</v>
      </c>
      <c r="Q54" s="21"/>
      <c r="R54" s="21">
        <v>198.16</v>
      </c>
      <c r="S54" s="248"/>
      <c r="T54" s="248"/>
      <c r="U54" s="248"/>
      <c r="V54" s="303"/>
      <c r="Y54" s="270"/>
      <c r="Z54" s="140"/>
      <c r="AA54" s="20" t="s">
        <v>33</v>
      </c>
      <c r="AB54" s="21">
        <v>1</v>
      </c>
      <c r="AC54" s="21"/>
      <c r="AD54" s="21">
        <v>198.16</v>
      </c>
      <c r="AE54" s="248"/>
      <c r="AF54" s="248"/>
      <c r="AG54" s="248"/>
      <c r="AH54" s="303"/>
    </row>
    <row r="55" spans="2:34" ht="14">
      <c r="B55" s="249"/>
      <c r="C55" s="139" t="s">
        <v>1359</v>
      </c>
      <c r="D55" s="77" t="s">
        <v>1308</v>
      </c>
      <c r="E55" s="71">
        <v>6</v>
      </c>
      <c r="F55" s="77"/>
      <c r="G55" s="71">
        <v>165</v>
      </c>
      <c r="H55" s="239">
        <f>SUM(G55:G60)</f>
        <v>330</v>
      </c>
      <c r="I55" s="239">
        <v>750</v>
      </c>
      <c r="J55" s="239">
        <f>I55-H55</f>
        <v>420</v>
      </c>
      <c r="K55" s="259">
        <f>J55/I55</f>
        <v>0.56000000000000005</v>
      </c>
      <c r="M55" s="270"/>
      <c r="N55" s="144" t="s">
        <v>1360</v>
      </c>
      <c r="O55" s="77" t="s">
        <v>1308</v>
      </c>
      <c r="P55" s="71">
        <v>5</v>
      </c>
      <c r="Q55" s="71">
        <v>14</v>
      </c>
      <c r="R55" s="71">
        <f t="shared" ref="R55:R68" si="19">P55*Q55</f>
        <v>70</v>
      </c>
      <c r="S55" s="239">
        <f>SUM(R55:R59)</f>
        <v>470.4</v>
      </c>
      <c r="T55" s="239">
        <v>1400</v>
      </c>
      <c r="U55" s="239">
        <f>T55-S55</f>
        <v>929.6</v>
      </c>
      <c r="V55" s="259">
        <f>U55/T55</f>
        <v>0.66400000000000003</v>
      </c>
      <c r="Y55" s="270"/>
      <c r="Z55" s="144" t="s">
        <v>1360</v>
      </c>
      <c r="AA55" s="77" t="s">
        <v>1308</v>
      </c>
      <c r="AB55" s="71">
        <v>5</v>
      </c>
      <c r="AC55" s="71">
        <v>14</v>
      </c>
      <c r="AD55" s="71">
        <f>AB55*AC55</f>
        <v>70</v>
      </c>
      <c r="AE55" s="325">
        <f>SUM(AD55:AD59)</f>
        <v>470.4</v>
      </c>
      <c r="AF55" s="325">
        <v>1400</v>
      </c>
      <c r="AG55" s="325">
        <f>AF55-AE55</f>
        <v>929.6</v>
      </c>
      <c r="AH55" s="330">
        <f>AG55/AF55</f>
        <v>0.66400000000000003</v>
      </c>
    </row>
    <row r="56" spans="2:34" ht="13">
      <c r="B56" s="249"/>
      <c r="C56" s="138"/>
      <c r="D56" s="19" t="s">
        <v>95</v>
      </c>
      <c r="E56" s="17">
        <v>6</v>
      </c>
      <c r="F56" s="19"/>
      <c r="G56" s="17">
        <v>165</v>
      </c>
      <c r="H56" s="236"/>
      <c r="I56" s="236"/>
      <c r="J56" s="236"/>
      <c r="K56" s="242"/>
      <c r="M56" s="270"/>
      <c r="N56" s="1"/>
      <c r="O56" s="19" t="s">
        <v>1361</v>
      </c>
      <c r="P56" s="17">
        <v>14</v>
      </c>
      <c r="Q56" s="17">
        <v>0</v>
      </c>
      <c r="R56" s="17">
        <f t="shared" si="19"/>
        <v>0</v>
      </c>
      <c r="S56" s="236"/>
      <c r="T56" s="236"/>
      <c r="U56" s="236"/>
      <c r="V56" s="242"/>
      <c r="Y56" s="270"/>
      <c r="Z56" s="1"/>
      <c r="AA56" s="19" t="s">
        <v>1361</v>
      </c>
      <c r="AB56" s="18"/>
      <c r="AC56" s="18"/>
      <c r="AD56" s="18"/>
      <c r="AE56" s="236"/>
      <c r="AF56" s="236"/>
      <c r="AG56" s="236"/>
      <c r="AH56" s="242"/>
    </row>
    <row r="57" spans="2:34" ht="13">
      <c r="B57" s="249"/>
      <c r="C57" s="138"/>
      <c r="D57" s="19" t="s">
        <v>1315</v>
      </c>
      <c r="E57" s="19"/>
      <c r="F57" s="19"/>
      <c r="G57" s="17">
        <v>0</v>
      </c>
      <c r="H57" s="236"/>
      <c r="I57" s="236"/>
      <c r="J57" s="236"/>
      <c r="K57" s="242"/>
      <c r="M57" s="270"/>
      <c r="N57" s="1"/>
      <c r="O57" s="19" t="s">
        <v>1328</v>
      </c>
      <c r="P57" s="17">
        <v>15.5</v>
      </c>
      <c r="Q57" s="17">
        <v>13</v>
      </c>
      <c r="R57" s="17">
        <f t="shared" si="19"/>
        <v>201.5</v>
      </c>
      <c r="S57" s="236"/>
      <c r="T57" s="236"/>
      <c r="U57" s="236"/>
      <c r="V57" s="242"/>
      <c r="Y57" s="270"/>
      <c r="Z57" s="1"/>
      <c r="AA57" s="19" t="s">
        <v>1328</v>
      </c>
      <c r="AB57" s="17">
        <v>15.5</v>
      </c>
      <c r="AC57" s="17">
        <v>13</v>
      </c>
      <c r="AD57" s="17">
        <f t="shared" ref="AD57:AD59" si="20">AB57*AC57</f>
        <v>201.5</v>
      </c>
      <c r="AE57" s="236"/>
      <c r="AF57" s="236"/>
      <c r="AG57" s="236"/>
      <c r="AH57" s="242"/>
    </row>
    <row r="58" spans="2:34" ht="13">
      <c r="B58" s="249"/>
      <c r="C58" s="138"/>
      <c r="D58" s="19" t="s">
        <v>87</v>
      </c>
      <c r="E58" s="19"/>
      <c r="F58" s="19"/>
      <c r="G58" s="17">
        <v>0</v>
      </c>
      <c r="H58" s="236"/>
      <c r="I58" s="236"/>
      <c r="J58" s="236"/>
      <c r="K58" s="242"/>
      <c r="M58" s="270"/>
      <c r="N58" s="1"/>
      <c r="O58" s="19" t="s">
        <v>310</v>
      </c>
      <c r="P58" s="17">
        <v>5</v>
      </c>
      <c r="Q58" s="17">
        <v>13</v>
      </c>
      <c r="R58" s="17">
        <f t="shared" si="19"/>
        <v>65</v>
      </c>
      <c r="S58" s="236"/>
      <c r="T58" s="236"/>
      <c r="U58" s="236"/>
      <c r="V58" s="242"/>
      <c r="Y58" s="270"/>
      <c r="Z58" s="1"/>
      <c r="AA58" s="19" t="s">
        <v>310</v>
      </c>
      <c r="AB58" s="17">
        <v>5</v>
      </c>
      <c r="AC58" s="17">
        <v>13</v>
      </c>
      <c r="AD58" s="17">
        <f t="shared" si="20"/>
        <v>65</v>
      </c>
      <c r="AE58" s="236"/>
      <c r="AF58" s="236"/>
      <c r="AG58" s="236"/>
      <c r="AH58" s="242"/>
    </row>
    <row r="59" spans="2:34" ht="13">
      <c r="B59" s="249"/>
      <c r="C59" s="138"/>
      <c r="D59" s="19" t="s">
        <v>86</v>
      </c>
      <c r="E59" s="19"/>
      <c r="F59" s="19"/>
      <c r="G59" s="17">
        <v>0</v>
      </c>
      <c r="H59" s="236"/>
      <c r="I59" s="236"/>
      <c r="J59" s="236"/>
      <c r="K59" s="242"/>
      <c r="M59" s="270"/>
      <c r="N59" s="140"/>
      <c r="O59" s="20" t="s">
        <v>1326</v>
      </c>
      <c r="P59" s="21">
        <v>10.3</v>
      </c>
      <c r="Q59" s="21">
        <v>13</v>
      </c>
      <c r="R59" s="21">
        <f t="shared" si="19"/>
        <v>133.9</v>
      </c>
      <c r="S59" s="248"/>
      <c r="T59" s="248"/>
      <c r="U59" s="248"/>
      <c r="V59" s="303"/>
      <c r="Y59" s="270"/>
      <c r="Z59" s="140"/>
      <c r="AA59" s="20" t="s">
        <v>1326</v>
      </c>
      <c r="AB59" s="21">
        <v>10.3</v>
      </c>
      <c r="AC59" s="21">
        <v>13</v>
      </c>
      <c r="AD59" s="21">
        <f t="shared" si="20"/>
        <v>133.9</v>
      </c>
      <c r="AE59" s="248"/>
      <c r="AF59" s="248"/>
      <c r="AG59" s="248"/>
      <c r="AH59" s="303"/>
    </row>
    <row r="60" spans="2:34" ht="14">
      <c r="B60" s="249"/>
      <c r="C60" s="138"/>
      <c r="D60" s="19" t="s">
        <v>715</v>
      </c>
      <c r="E60" s="19"/>
      <c r="F60" s="19"/>
      <c r="G60" s="17">
        <v>0</v>
      </c>
      <c r="H60" s="236"/>
      <c r="I60" s="236"/>
      <c r="J60" s="236"/>
      <c r="K60" s="242"/>
      <c r="M60" s="270"/>
      <c r="N60" s="144" t="s">
        <v>1362</v>
      </c>
      <c r="O60" s="77" t="s">
        <v>114</v>
      </c>
      <c r="P60" s="71">
        <v>20</v>
      </c>
      <c r="Q60" s="71">
        <v>0</v>
      </c>
      <c r="R60" s="71">
        <f t="shared" si="19"/>
        <v>0</v>
      </c>
      <c r="S60" s="239">
        <f>SUM(R60:R63)</f>
        <v>435.5</v>
      </c>
      <c r="T60" s="239">
        <v>2625</v>
      </c>
      <c r="U60" s="239">
        <f>T60-S60</f>
        <v>2189.5</v>
      </c>
      <c r="V60" s="259">
        <f>U60/T60</f>
        <v>0.83409523809523811</v>
      </c>
      <c r="Y60" s="270"/>
      <c r="Z60" s="144" t="s">
        <v>1362</v>
      </c>
      <c r="AA60" s="77" t="s">
        <v>114</v>
      </c>
      <c r="AB60" s="104"/>
      <c r="AC60" s="104"/>
      <c r="AD60" s="104"/>
      <c r="AE60" s="325">
        <f>SUM(AD60:AD63)</f>
        <v>435.5</v>
      </c>
      <c r="AF60" s="325">
        <v>2625</v>
      </c>
      <c r="AG60" s="325">
        <f>AF60-AE60</f>
        <v>2189.5</v>
      </c>
      <c r="AH60" s="330">
        <f>AG60/AF60</f>
        <v>0.83409523809523811</v>
      </c>
    </row>
    <row r="61" spans="2:34" ht="14">
      <c r="B61" s="249"/>
      <c r="C61" s="145" t="s">
        <v>1363</v>
      </c>
      <c r="D61" s="77" t="s">
        <v>1308</v>
      </c>
      <c r="E61" s="71">
        <v>20</v>
      </c>
      <c r="F61" s="71">
        <v>15</v>
      </c>
      <c r="G61" s="71">
        <f t="shared" ref="G61:G66" si="21">E61*F61</f>
        <v>300</v>
      </c>
      <c r="H61" s="239">
        <f>SUM(G61:G73)</f>
        <v>3667.5299999999997</v>
      </c>
      <c r="I61" s="239">
        <v>8000</v>
      </c>
      <c r="J61" s="239">
        <f>I61-H61</f>
        <v>4332.47</v>
      </c>
      <c r="K61" s="259">
        <f>J61/I61</f>
        <v>0.54155874999999998</v>
      </c>
      <c r="M61" s="270"/>
      <c r="N61" s="1"/>
      <c r="O61" s="19" t="s">
        <v>1361</v>
      </c>
      <c r="P61" s="17">
        <v>13</v>
      </c>
      <c r="Q61" s="17">
        <v>0</v>
      </c>
      <c r="R61" s="17">
        <f t="shared" si="19"/>
        <v>0</v>
      </c>
      <c r="S61" s="236"/>
      <c r="T61" s="236"/>
      <c r="U61" s="236"/>
      <c r="V61" s="242"/>
      <c r="Y61" s="270"/>
      <c r="Z61" s="1"/>
      <c r="AA61" s="19" t="s">
        <v>1361</v>
      </c>
      <c r="AB61" s="18"/>
      <c r="AC61" s="18"/>
      <c r="AD61" s="18"/>
      <c r="AE61" s="236"/>
      <c r="AF61" s="236"/>
      <c r="AG61" s="236"/>
      <c r="AH61" s="242"/>
    </row>
    <row r="62" spans="2:34" ht="13">
      <c r="B62" s="249"/>
      <c r="C62" s="138"/>
      <c r="D62" s="19" t="s">
        <v>68</v>
      </c>
      <c r="E62" s="17">
        <v>6.5</v>
      </c>
      <c r="F62" s="17">
        <v>20</v>
      </c>
      <c r="G62" s="17">
        <f t="shared" si="21"/>
        <v>130</v>
      </c>
      <c r="H62" s="236"/>
      <c r="I62" s="236"/>
      <c r="J62" s="236"/>
      <c r="K62" s="242"/>
      <c r="M62" s="270"/>
      <c r="N62" s="1"/>
      <c r="O62" s="19" t="s">
        <v>715</v>
      </c>
      <c r="P62" s="17">
        <v>11</v>
      </c>
      <c r="Q62" s="17">
        <v>13</v>
      </c>
      <c r="R62" s="17">
        <f t="shared" si="19"/>
        <v>143</v>
      </c>
      <c r="S62" s="236"/>
      <c r="T62" s="236"/>
      <c r="U62" s="236"/>
      <c r="V62" s="242"/>
      <c r="Y62" s="270"/>
      <c r="Z62" s="1"/>
      <c r="AA62" s="19" t="s">
        <v>715</v>
      </c>
      <c r="AB62" s="17">
        <v>11</v>
      </c>
      <c r="AC62" s="17">
        <v>13</v>
      </c>
      <c r="AD62" s="17">
        <f t="shared" ref="AD62:AD66" si="22">AB62*AC62</f>
        <v>143</v>
      </c>
      <c r="AE62" s="236"/>
      <c r="AF62" s="236"/>
      <c r="AG62" s="236"/>
      <c r="AH62" s="242"/>
    </row>
    <row r="63" spans="2:34" ht="13">
      <c r="B63" s="249"/>
      <c r="C63" s="138"/>
      <c r="D63" s="19" t="s">
        <v>1364</v>
      </c>
      <c r="E63" s="17">
        <v>13.5</v>
      </c>
      <c r="F63" s="17">
        <v>17</v>
      </c>
      <c r="G63" s="17">
        <f t="shared" si="21"/>
        <v>229.5</v>
      </c>
      <c r="H63" s="236"/>
      <c r="I63" s="236"/>
      <c r="J63" s="236"/>
      <c r="K63" s="242"/>
      <c r="M63" s="270"/>
      <c r="N63" s="140"/>
      <c r="O63" s="20" t="s">
        <v>1235</v>
      </c>
      <c r="P63" s="21">
        <v>19.5</v>
      </c>
      <c r="Q63" s="21">
        <v>15</v>
      </c>
      <c r="R63" s="21">
        <f t="shared" si="19"/>
        <v>292.5</v>
      </c>
      <c r="S63" s="248"/>
      <c r="T63" s="248"/>
      <c r="U63" s="248"/>
      <c r="V63" s="303"/>
      <c r="Y63" s="270"/>
      <c r="Z63" s="140"/>
      <c r="AA63" s="20" t="s">
        <v>1235</v>
      </c>
      <c r="AB63" s="21">
        <v>19.5</v>
      </c>
      <c r="AC63" s="21">
        <v>15</v>
      </c>
      <c r="AD63" s="21">
        <f t="shared" si="22"/>
        <v>292.5</v>
      </c>
      <c r="AE63" s="248"/>
      <c r="AF63" s="248"/>
      <c r="AG63" s="248"/>
      <c r="AH63" s="303"/>
    </row>
    <row r="64" spans="2:34" ht="14">
      <c r="B64" s="249"/>
      <c r="C64" s="138"/>
      <c r="D64" s="19" t="s">
        <v>1365</v>
      </c>
      <c r="E64" s="17">
        <v>7.5</v>
      </c>
      <c r="F64" s="17">
        <v>15</v>
      </c>
      <c r="G64" s="17">
        <f t="shared" si="21"/>
        <v>112.5</v>
      </c>
      <c r="H64" s="236"/>
      <c r="I64" s="236"/>
      <c r="J64" s="236"/>
      <c r="K64" s="242"/>
      <c r="M64" s="270"/>
      <c r="N64" s="144" t="s">
        <v>1366</v>
      </c>
      <c r="O64" s="77" t="s">
        <v>1367</v>
      </c>
      <c r="P64" s="71">
        <v>14</v>
      </c>
      <c r="Q64" s="71">
        <v>15.2</v>
      </c>
      <c r="R64" s="71">
        <f t="shared" si="19"/>
        <v>212.79999999999998</v>
      </c>
      <c r="S64" s="239">
        <f>SUM(R64:R65)</f>
        <v>569.79999999999995</v>
      </c>
      <c r="T64" s="239">
        <v>2886.5</v>
      </c>
      <c r="U64" s="239">
        <f>T64-S64</f>
        <v>2316.6999999999998</v>
      </c>
      <c r="V64" s="259">
        <f>U64/T64</f>
        <v>0.80259830244240427</v>
      </c>
      <c r="Y64" s="270"/>
      <c r="Z64" s="144" t="s">
        <v>1366</v>
      </c>
      <c r="AA64" s="77" t="s">
        <v>1367</v>
      </c>
      <c r="AB64" s="71">
        <v>14</v>
      </c>
      <c r="AC64" s="71">
        <v>15.2</v>
      </c>
      <c r="AD64" s="71">
        <f t="shared" si="22"/>
        <v>212.79999999999998</v>
      </c>
      <c r="AE64" s="325">
        <f>SUM(AD64:AD65)</f>
        <v>569.79999999999995</v>
      </c>
      <c r="AF64" s="325">
        <v>2886.5</v>
      </c>
      <c r="AG64" s="325">
        <f>AF64-AE64</f>
        <v>2316.6999999999998</v>
      </c>
      <c r="AH64" s="330">
        <f>AG64/AF64</f>
        <v>0.80259830244240427</v>
      </c>
    </row>
    <row r="65" spans="2:34" ht="13">
      <c r="B65" s="249"/>
      <c r="C65" s="138"/>
      <c r="D65" s="19" t="s">
        <v>95</v>
      </c>
      <c r="E65" s="17">
        <v>21.6</v>
      </c>
      <c r="F65" s="17">
        <v>15</v>
      </c>
      <c r="G65" s="17">
        <f t="shared" si="21"/>
        <v>324</v>
      </c>
      <c r="H65" s="236"/>
      <c r="I65" s="236"/>
      <c r="J65" s="236"/>
      <c r="K65" s="242"/>
      <c r="M65" s="270"/>
      <c r="N65" s="140"/>
      <c r="O65" s="20" t="s">
        <v>1368</v>
      </c>
      <c r="P65" s="21">
        <v>21</v>
      </c>
      <c r="Q65" s="21">
        <v>17</v>
      </c>
      <c r="R65" s="21">
        <f t="shared" si="19"/>
        <v>357</v>
      </c>
      <c r="S65" s="248"/>
      <c r="T65" s="248"/>
      <c r="U65" s="248"/>
      <c r="V65" s="303"/>
      <c r="Y65" s="270"/>
      <c r="Z65" s="140"/>
      <c r="AA65" s="20" t="s">
        <v>1368</v>
      </c>
      <c r="AB65" s="21">
        <v>21</v>
      </c>
      <c r="AC65" s="21">
        <v>17</v>
      </c>
      <c r="AD65" s="21">
        <f t="shared" si="22"/>
        <v>357</v>
      </c>
      <c r="AE65" s="248"/>
      <c r="AF65" s="248"/>
      <c r="AG65" s="248"/>
      <c r="AH65" s="303"/>
    </row>
    <row r="66" spans="2:34" ht="14">
      <c r="B66" s="249"/>
      <c r="C66" s="138"/>
      <c r="D66" s="19" t="s">
        <v>1235</v>
      </c>
      <c r="E66" s="17">
        <v>94</v>
      </c>
      <c r="F66" s="17">
        <v>20</v>
      </c>
      <c r="G66" s="17">
        <f t="shared" si="21"/>
        <v>1880</v>
      </c>
      <c r="H66" s="236"/>
      <c r="I66" s="236"/>
      <c r="J66" s="236"/>
      <c r="K66" s="242"/>
      <c r="M66" s="270"/>
      <c r="N66" s="144" t="s">
        <v>1369</v>
      </c>
      <c r="O66" s="77" t="s">
        <v>1308</v>
      </c>
      <c r="P66" s="71">
        <v>10</v>
      </c>
      <c r="Q66" s="71">
        <v>14</v>
      </c>
      <c r="R66" s="71">
        <f t="shared" si="19"/>
        <v>140</v>
      </c>
      <c r="S66" s="239">
        <f>SUM(R66:R68)</f>
        <v>476</v>
      </c>
      <c r="T66" s="239">
        <v>1105</v>
      </c>
      <c r="U66" s="239">
        <f>T66-S66</f>
        <v>629</v>
      </c>
      <c r="V66" s="259">
        <f>U66/T66</f>
        <v>0.56923076923076921</v>
      </c>
      <c r="Y66" s="270"/>
      <c r="Z66" s="144" t="s">
        <v>1369</v>
      </c>
      <c r="AA66" s="77" t="s">
        <v>1308</v>
      </c>
      <c r="AB66" s="71">
        <v>10</v>
      </c>
      <c r="AC66" s="71">
        <v>14</v>
      </c>
      <c r="AD66" s="71">
        <f t="shared" si="22"/>
        <v>140</v>
      </c>
      <c r="AE66" s="325">
        <f>SUM(AD66:AD68)</f>
        <v>140</v>
      </c>
      <c r="AF66" s="325">
        <v>1105</v>
      </c>
      <c r="AG66" s="325">
        <f>AF66-AE66</f>
        <v>965</v>
      </c>
      <c r="AH66" s="330">
        <f>AG66/AF66</f>
        <v>0.87330316742081449</v>
      </c>
    </row>
    <row r="67" spans="2:34" ht="13">
      <c r="B67" s="249"/>
      <c r="C67" s="138"/>
      <c r="D67" s="19" t="s">
        <v>1370</v>
      </c>
      <c r="E67" s="19"/>
      <c r="F67" s="19"/>
      <c r="G67" s="19"/>
      <c r="H67" s="236"/>
      <c r="I67" s="236"/>
      <c r="J67" s="236"/>
      <c r="K67" s="242"/>
      <c r="M67" s="270"/>
      <c r="N67" s="337" t="s">
        <v>1371</v>
      </c>
      <c r="O67" s="19" t="s">
        <v>114</v>
      </c>
      <c r="P67" s="17">
        <v>3</v>
      </c>
      <c r="Q67" s="17">
        <v>16</v>
      </c>
      <c r="R67" s="17">
        <f t="shared" si="19"/>
        <v>48</v>
      </c>
      <c r="S67" s="236"/>
      <c r="T67" s="236"/>
      <c r="U67" s="236"/>
      <c r="V67" s="242"/>
      <c r="Y67" s="270"/>
      <c r="Z67" s="337" t="s">
        <v>1371</v>
      </c>
      <c r="AA67" s="19" t="s">
        <v>114</v>
      </c>
      <c r="AB67" s="18"/>
      <c r="AC67" s="18"/>
      <c r="AD67" s="18"/>
      <c r="AE67" s="236"/>
      <c r="AF67" s="236"/>
      <c r="AG67" s="236"/>
      <c r="AH67" s="242"/>
    </row>
    <row r="68" spans="2:34" ht="13">
      <c r="B68" s="249"/>
      <c r="C68" s="138"/>
      <c r="D68" s="19" t="s">
        <v>1372</v>
      </c>
      <c r="E68" s="19"/>
      <c r="F68" s="19"/>
      <c r="G68" s="17">
        <v>40</v>
      </c>
      <c r="H68" s="236"/>
      <c r="I68" s="236"/>
      <c r="J68" s="236"/>
      <c r="K68" s="242"/>
      <c r="M68" s="270"/>
      <c r="N68" s="248"/>
      <c r="O68" s="20" t="s">
        <v>1361</v>
      </c>
      <c r="P68" s="21">
        <v>18</v>
      </c>
      <c r="Q68" s="21">
        <v>16</v>
      </c>
      <c r="R68" s="21">
        <f t="shared" si="19"/>
        <v>288</v>
      </c>
      <c r="S68" s="248"/>
      <c r="T68" s="248"/>
      <c r="U68" s="248"/>
      <c r="V68" s="303"/>
      <c r="Y68" s="270"/>
      <c r="Z68" s="248"/>
      <c r="AA68" s="20" t="s">
        <v>1361</v>
      </c>
      <c r="AB68" s="68"/>
      <c r="AC68" s="68"/>
      <c r="AD68" s="68"/>
      <c r="AE68" s="248"/>
      <c r="AF68" s="248"/>
      <c r="AG68" s="248"/>
      <c r="AH68" s="303"/>
    </row>
    <row r="69" spans="2:34" ht="30">
      <c r="B69" s="249"/>
      <c r="C69" s="138"/>
      <c r="D69" s="19" t="s">
        <v>1373</v>
      </c>
      <c r="E69" s="19"/>
      <c r="F69" s="19"/>
      <c r="G69" s="17">
        <v>103.47</v>
      </c>
      <c r="H69" s="236"/>
      <c r="I69" s="236"/>
      <c r="J69" s="236"/>
      <c r="K69" s="242"/>
      <c r="M69" s="251" t="s">
        <v>1374</v>
      </c>
      <c r="N69" s="252"/>
      <c r="O69" s="253"/>
      <c r="P69" s="27">
        <f t="shared" ref="P69:U69" si="23">AVERAGE(P12:P68)</f>
        <v>11.214561403508773</v>
      </c>
      <c r="Q69" s="27">
        <f t="shared" si="23"/>
        <v>53.525454545454537</v>
      </c>
      <c r="R69" s="27">
        <f t="shared" si="23"/>
        <v>200.27035087719295</v>
      </c>
      <c r="S69" s="27">
        <f t="shared" si="23"/>
        <v>878.10846153846137</v>
      </c>
      <c r="T69" s="27">
        <f t="shared" si="23"/>
        <v>3019.6576923076927</v>
      </c>
      <c r="U69" s="27">
        <f t="shared" si="23"/>
        <v>2141.5492307692307</v>
      </c>
      <c r="V69" s="28">
        <f>AVERAGE($V$12:$V$68)</f>
        <v>0.71127193380342435</v>
      </c>
      <c r="Y69" s="251" t="s">
        <v>1374</v>
      </c>
      <c r="Z69" s="252"/>
      <c r="AA69" s="253"/>
      <c r="AB69" s="27">
        <f t="shared" ref="AB69:AG69" si="24">AVERAGE(AB12:AB68)</f>
        <v>11.126739130434782</v>
      </c>
      <c r="AC69" s="27">
        <f t="shared" si="24"/>
        <v>65.270454545454541</v>
      </c>
      <c r="AD69" s="27">
        <f t="shared" si="24"/>
        <v>227.41326086956519</v>
      </c>
      <c r="AE69" s="27">
        <f t="shared" si="24"/>
        <v>804.69307692307677</v>
      </c>
      <c r="AF69" s="27">
        <f t="shared" si="24"/>
        <v>3019.6576923076927</v>
      </c>
      <c r="AG69" s="27">
        <f t="shared" si="24"/>
        <v>2214.9646153846156</v>
      </c>
      <c r="AH69" s="29">
        <f>AVERAGE($V$11:$V$67)</f>
        <v>0.71127193380342435</v>
      </c>
    </row>
    <row r="70" spans="2:34" ht="30">
      <c r="B70" s="249"/>
      <c r="C70" s="138"/>
      <c r="D70" s="19" t="s">
        <v>1375</v>
      </c>
      <c r="E70" s="19"/>
      <c r="F70" s="19"/>
      <c r="G70" s="17">
        <v>121.53</v>
      </c>
      <c r="H70" s="236"/>
      <c r="I70" s="236"/>
      <c r="J70" s="236"/>
      <c r="K70" s="242"/>
      <c r="M70" s="254" t="s">
        <v>1376</v>
      </c>
      <c r="N70" s="255"/>
      <c r="O70" s="256"/>
      <c r="P70" s="27">
        <f t="shared" ref="P70:U70" si="25">SUM(P12:P68)</f>
        <v>639.23</v>
      </c>
      <c r="Q70" s="107">
        <f t="shared" si="25"/>
        <v>2943.8999999999996</v>
      </c>
      <c r="R70" s="27">
        <f t="shared" si="25"/>
        <v>11415.409999999998</v>
      </c>
      <c r="S70" s="27">
        <f t="shared" si="25"/>
        <v>11415.409999999998</v>
      </c>
      <c r="T70" s="27">
        <f t="shared" si="25"/>
        <v>39255.550000000003</v>
      </c>
      <c r="U70" s="27">
        <f t="shared" si="25"/>
        <v>27840.14</v>
      </c>
      <c r="V70" s="29">
        <f t="shared" ref="V70:V71" si="26">U70/T70</f>
        <v>0.70920264777846698</v>
      </c>
      <c r="Y70" s="254" t="s">
        <v>1376</v>
      </c>
      <c r="Z70" s="255"/>
      <c r="AA70" s="256"/>
      <c r="AB70" s="27">
        <f t="shared" ref="AB70:AG70" si="27">SUM(AB12:AB68)</f>
        <v>511.83</v>
      </c>
      <c r="AC70" s="107">
        <f t="shared" si="27"/>
        <v>2871.8999999999996</v>
      </c>
      <c r="AD70" s="27">
        <f t="shared" si="27"/>
        <v>10461.009999999998</v>
      </c>
      <c r="AE70" s="146">
        <f t="shared" si="27"/>
        <v>10461.009999999998</v>
      </c>
      <c r="AF70" s="146">
        <f t="shared" si="27"/>
        <v>39255.550000000003</v>
      </c>
      <c r="AG70" s="146">
        <f t="shared" si="27"/>
        <v>28794.54</v>
      </c>
      <c r="AH70" s="147">
        <f t="shared" ref="AH70:AH71" si="28">AG70/AF70</f>
        <v>0.73351513352888953</v>
      </c>
    </row>
    <row r="71" spans="2:34" ht="14">
      <c r="B71" s="249"/>
      <c r="C71" s="138"/>
      <c r="D71" s="19" t="s">
        <v>1377</v>
      </c>
      <c r="E71" s="19"/>
      <c r="F71" s="19"/>
      <c r="G71" s="17">
        <v>218.73</v>
      </c>
      <c r="H71" s="236"/>
      <c r="I71" s="236"/>
      <c r="J71" s="236"/>
      <c r="K71" s="242"/>
      <c r="M71" s="290" t="s">
        <v>1</v>
      </c>
      <c r="N71" s="144" t="s">
        <v>1378</v>
      </c>
      <c r="O71" s="77" t="s">
        <v>986</v>
      </c>
      <c r="P71" s="71">
        <v>1</v>
      </c>
      <c r="Q71" s="71">
        <v>0</v>
      </c>
      <c r="R71" s="71">
        <v>300</v>
      </c>
      <c r="S71" s="239">
        <f>SUM(R71:R72)</f>
        <v>446.5</v>
      </c>
      <c r="T71" s="239">
        <v>2305.0500000000002</v>
      </c>
      <c r="U71" s="239">
        <f>T71-S71</f>
        <v>1858.5500000000002</v>
      </c>
      <c r="V71" s="259">
        <f t="shared" si="26"/>
        <v>0.80629487429773761</v>
      </c>
      <c r="Y71" s="290" t="s">
        <v>1</v>
      </c>
      <c r="Z71" s="144" t="s">
        <v>1378</v>
      </c>
      <c r="AA71" s="77" t="s">
        <v>986</v>
      </c>
      <c r="AB71" s="71">
        <v>1</v>
      </c>
      <c r="AC71" s="71">
        <v>0</v>
      </c>
      <c r="AD71" s="71">
        <v>300</v>
      </c>
      <c r="AE71" s="239">
        <f>SUM(AD71:AD72)</f>
        <v>446.5</v>
      </c>
      <c r="AF71" s="239">
        <v>2305.0500000000002</v>
      </c>
      <c r="AG71" s="239">
        <f>AF71-AE71</f>
        <v>1858.5500000000002</v>
      </c>
      <c r="AH71" s="259">
        <f t="shared" si="28"/>
        <v>0.80629487429773761</v>
      </c>
    </row>
    <row r="72" spans="2:34" ht="13">
      <c r="B72" s="249"/>
      <c r="C72" s="138"/>
      <c r="D72" s="19" t="s">
        <v>1379</v>
      </c>
      <c r="E72" s="19"/>
      <c r="F72" s="19"/>
      <c r="G72" s="17">
        <v>44.1</v>
      </c>
      <c r="H72" s="236"/>
      <c r="I72" s="236"/>
      <c r="J72" s="236"/>
      <c r="K72" s="242"/>
      <c r="M72" s="270"/>
      <c r="N72" s="140"/>
      <c r="O72" s="20" t="s">
        <v>33</v>
      </c>
      <c r="P72" s="21">
        <v>1</v>
      </c>
      <c r="Q72" s="21">
        <v>0</v>
      </c>
      <c r="R72" s="21">
        <v>146.5</v>
      </c>
      <c r="S72" s="248"/>
      <c r="T72" s="248"/>
      <c r="U72" s="248"/>
      <c r="V72" s="303"/>
      <c r="Y72" s="270"/>
      <c r="Z72" s="140"/>
      <c r="AA72" s="20" t="s">
        <v>33</v>
      </c>
      <c r="AB72" s="21">
        <v>1</v>
      </c>
      <c r="AC72" s="21">
        <v>0</v>
      </c>
      <c r="AD72" s="21">
        <v>146.5</v>
      </c>
      <c r="AE72" s="248"/>
      <c r="AF72" s="248"/>
      <c r="AG72" s="248"/>
      <c r="AH72" s="303"/>
    </row>
    <row r="73" spans="2:34" ht="14">
      <c r="B73" s="249"/>
      <c r="C73" s="138"/>
      <c r="D73" s="19" t="s">
        <v>1380</v>
      </c>
      <c r="E73" s="19"/>
      <c r="F73" s="19"/>
      <c r="G73" s="17">
        <v>163.69999999999999</v>
      </c>
      <c r="H73" s="236"/>
      <c r="I73" s="236"/>
      <c r="J73" s="236"/>
      <c r="K73" s="242"/>
      <c r="M73" s="270"/>
      <c r="N73" s="144" t="s">
        <v>1381</v>
      </c>
      <c r="O73" s="77" t="s">
        <v>986</v>
      </c>
      <c r="P73" s="71">
        <v>1</v>
      </c>
      <c r="Q73" s="71">
        <v>0</v>
      </c>
      <c r="R73" s="71">
        <v>250</v>
      </c>
      <c r="S73" s="239">
        <f>SUM(R73:R74)</f>
        <v>334.62</v>
      </c>
      <c r="T73" s="239">
        <v>1866</v>
      </c>
      <c r="U73" s="239">
        <f>T73-S73</f>
        <v>1531.38</v>
      </c>
      <c r="V73" s="259">
        <f>U73/T73</f>
        <v>0.8206752411575563</v>
      </c>
      <c r="Y73" s="270"/>
      <c r="Z73" s="144" t="s">
        <v>1381</v>
      </c>
      <c r="AA73" s="77" t="s">
        <v>986</v>
      </c>
      <c r="AB73" s="71">
        <v>1</v>
      </c>
      <c r="AC73" s="71">
        <v>0</v>
      </c>
      <c r="AD73" s="71">
        <v>250</v>
      </c>
      <c r="AE73" s="325">
        <f>SUM(AD73:AD74)</f>
        <v>334.62</v>
      </c>
      <c r="AF73" s="325">
        <v>1866</v>
      </c>
      <c r="AG73" s="325">
        <f>AF73-AE73</f>
        <v>1531.38</v>
      </c>
      <c r="AH73" s="330">
        <f>AG73/AF73</f>
        <v>0.8206752411575563</v>
      </c>
    </row>
    <row r="74" spans="2:34" ht="14">
      <c r="B74" s="249"/>
      <c r="C74" s="145" t="s">
        <v>1382</v>
      </c>
      <c r="D74" s="77" t="s">
        <v>1308</v>
      </c>
      <c r="E74" s="77"/>
      <c r="F74" s="77"/>
      <c r="G74" s="71">
        <v>55</v>
      </c>
      <c r="H74" s="239">
        <f>SUM(G74:G81)</f>
        <v>272</v>
      </c>
      <c r="I74" s="239">
        <v>1110</v>
      </c>
      <c r="J74" s="239">
        <f>I74-H74</f>
        <v>838</v>
      </c>
      <c r="K74" s="259">
        <f>J74/I74</f>
        <v>0.7549549549549549</v>
      </c>
      <c r="M74" s="270"/>
      <c r="N74" s="140"/>
      <c r="O74" s="20" t="s">
        <v>33</v>
      </c>
      <c r="P74" s="21">
        <v>1</v>
      </c>
      <c r="Q74" s="21">
        <v>0</v>
      </c>
      <c r="R74" s="21">
        <v>84.62</v>
      </c>
      <c r="S74" s="248"/>
      <c r="T74" s="248"/>
      <c r="U74" s="248"/>
      <c r="V74" s="303"/>
      <c r="Y74" s="270"/>
      <c r="Z74" s="140"/>
      <c r="AA74" s="20" t="s">
        <v>33</v>
      </c>
      <c r="AB74" s="21">
        <v>1</v>
      </c>
      <c r="AC74" s="21">
        <v>0</v>
      </c>
      <c r="AD74" s="21">
        <v>84.62</v>
      </c>
      <c r="AE74" s="248"/>
      <c r="AF74" s="248"/>
      <c r="AG74" s="248"/>
      <c r="AH74" s="303"/>
    </row>
    <row r="75" spans="2:34" ht="14">
      <c r="B75" s="249"/>
      <c r="C75" s="138"/>
      <c r="D75" s="19" t="s">
        <v>95</v>
      </c>
      <c r="E75" s="19"/>
      <c r="F75" s="19"/>
      <c r="G75" s="17">
        <v>55</v>
      </c>
      <c r="H75" s="236"/>
      <c r="I75" s="236"/>
      <c r="J75" s="236"/>
      <c r="K75" s="242"/>
      <c r="M75" s="270"/>
      <c r="N75" s="144" t="s">
        <v>1383</v>
      </c>
      <c r="O75" s="77" t="s">
        <v>1384</v>
      </c>
      <c r="P75" s="71">
        <v>1</v>
      </c>
      <c r="Q75" s="71">
        <v>0</v>
      </c>
      <c r="R75" s="71">
        <v>178</v>
      </c>
      <c r="S75" s="239">
        <f>SUM(R75:R84)</f>
        <v>4972.5200000000004</v>
      </c>
      <c r="T75" s="239">
        <v>7354.75</v>
      </c>
      <c r="U75" s="239">
        <f>T75-S75</f>
        <v>2382.2299999999996</v>
      </c>
      <c r="V75" s="259">
        <f>U75/T75</f>
        <v>0.32390359971447019</v>
      </c>
      <c r="Y75" s="270"/>
      <c r="Z75" s="144" t="s">
        <v>1383</v>
      </c>
      <c r="AA75" s="77" t="s">
        <v>1384</v>
      </c>
      <c r="AB75" s="71">
        <v>1</v>
      </c>
      <c r="AC75" s="71">
        <v>0</v>
      </c>
      <c r="AD75" s="71">
        <v>178</v>
      </c>
      <c r="AE75" s="325">
        <f>SUM(AD75:AD84)</f>
        <v>4396.5200000000004</v>
      </c>
      <c r="AF75" s="325">
        <v>7354.75</v>
      </c>
      <c r="AG75" s="325">
        <f>AF75-AE75</f>
        <v>2958.2299999999996</v>
      </c>
      <c r="AH75" s="330">
        <f>AG75/AF75</f>
        <v>0.40222033379788569</v>
      </c>
    </row>
    <row r="76" spans="2:34" ht="14">
      <c r="B76" s="249"/>
      <c r="C76" s="138"/>
      <c r="D76" s="19" t="s">
        <v>1235</v>
      </c>
      <c r="E76" s="17">
        <v>3</v>
      </c>
      <c r="F76" s="17">
        <v>17</v>
      </c>
      <c r="G76" s="17">
        <f t="shared" ref="G76:G77" si="29">E76*F76</f>
        <v>51</v>
      </c>
      <c r="H76" s="236"/>
      <c r="I76" s="236"/>
      <c r="J76" s="236"/>
      <c r="K76" s="242"/>
      <c r="M76" s="270"/>
      <c r="N76" s="148"/>
      <c r="O76" s="19" t="s">
        <v>1385</v>
      </c>
      <c r="P76" s="17">
        <v>18</v>
      </c>
      <c r="Q76" s="17">
        <v>16</v>
      </c>
      <c r="R76" s="17">
        <f t="shared" ref="R76:R78" si="30">P76*Q76</f>
        <v>288</v>
      </c>
      <c r="S76" s="236"/>
      <c r="T76" s="236"/>
      <c r="U76" s="236"/>
      <c r="V76" s="242"/>
      <c r="Y76" s="270"/>
      <c r="Z76" s="148"/>
      <c r="AA76" s="19" t="s">
        <v>1385</v>
      </c>
      <c r="AB76" s="18"/>
      <c r="AC76" s="18"/>
      <c r="AD76" s="18"/>
      <c r="AE76" s="236"/>
      <c r="AF76" s="236"/>
      <c r="AG76" s="236"/>
      <c r="AH76" s="242"/>
    </row>
    <row r="77" spans="2:34" ht="13">
      <c r="B77" s="249"/>
      <c r="C77" s="138"/>
      <c r="D77" s="19" t="s">
        <v>1235</v>
      </c>
      <c r="E77" s="17">
        <v>3</v>
      </c>
      <c r="F77" s="17">
        <v>17</v>
      </c>
      <c r="G77" s="17">
        <f t="shared" si="29"/>
        <v>51</v>
      </c>
      <c r="H77" s="236"/>
      <c r="I77" s="236"/>
      <c r="J77" s="236"/>
      <c r="K77" s="242"/>
      <c r="M77" s="270"/>
      <c r="N77" s="1"/>
      <c r="O77" s="19" t="s">
        <v>1361</v>
      </c>
      <c r="P77" s="17">
        <v>18</v>
      </c>
      <c r="Q77" s="17">
        <v>16</v>
      </c>
      <c r="R77" s="17">
        <f t="shared" si="30"/>
        <v>288</v>
      </c>
      <c r="S77" s="236"/>
      <c r="T77" s="236"/>
      <c r="U77" s="236"/>
      <c r="V77" s="242"/>
      <c r="Y77" s="270"/>
      <c r="Z77" s="1"/>
      <c r="AA77" s="19" t="s">
        <v>1361</v>
      </c>
      <c r="AB77" s="18"/>
      <c r="AC77" s="18"/>
      <c r="AD77" s="18"/>
      <c r="AE77" s="236"/>
      <c r="AF77" s="236"/>
      <c r="AG77" s="236"/>
      <c r="AH77" s="242"/>
    </row>
    <row r="78" spans="2:34" ht="13">
      <c r="B78" s="249"/>
      <c r="C78" s="138"/>
      <c r="D78" s="19" t="s">
        <v>87</v>
      </c>
      <c r="E78" s="19"/>
      <c r="F78" s="19"/>
      <c r="G78" s="17">
        <v>0</v>
      </c>
      <c r="H78" s="236"/>
      <c r="I78" s="236"/>
      <c r="J78" s="236"/>
      <c r="K78" s="242"/>
      <c r="M78" s="270"/>
      <c r="N78" s="1"/>
      <c r="O78" s="19" t="s">
        <v>1235</v>
      </c>
      <c r="P78" s="17">
        <v>108</v>
      </c>
      <c r="Q78" s="17">
        <v>17</v>
      </c>
      <c r="R78" s="17">
        <f t="shared" si="30"/>
        <v>1836</v>
      </c>
      <c r="S78" s="236"/>
      <c r="T78" s="236"/>
      <c r="U78" s="236"/>
      <c r="V78" s="242"/>
      <c r="Y78" s="270"/>
      <c r="Z78" s="1"/>
      <c r="AA78" s="19" t="s">
        <v>1235</v>
      </c>
      <c r="AB78" s="17">
        <v>108</v>
      </c>
      <c r="AC78" s="17">
        <v>17</v>
      </c>
      <c r="AD78" s="17">
        <f>AB78*AC78</f>
        <v>1836</v>
      </c>
      <c r="AE78" s="236"/>
      <c r="AF78" s="236"/>
      <c r="AG78" s="236"/>
      <c r="AH78" s="242"/>
    </row>
    <row r="79" spans="2:34" ht="13">
      <c r="B79" s="249"/>
      <c r="C79" s="138"/>
      <c r="D79" s="19" t="s">
        <v>86</v>
      </c>
      <c r="E79" s="19"/>
      <c r="F79" s="19"/>
      <c r="G79" s="17">
        <v>0</v>
      </c>
      <c r="H79" s="236"/>
      <c r="I79" s="236"/>
      <c r="J79" s="236"/>
      <c r="K79" s="242"/>
      <c r="M79" s="270"/>
      <c r="N79" s="1"/>
      <c r="O79" s="19" t="s">
        <v>47</v>
      </c>
      <c r="P79" s="17">
        <v>1</v>
      </c>
      <c r="Q79" s="17">
        <v>0</v>
      </c>
      <c r="R79" s="17">
        <v>500</v>
      </c>
      <c r="S79" s="236"/>
      <c r="T79" s="236"/>
      <c r="U79" s="236"/>
      <c r="V79" s="242"/>
      <c r="Y79" s="270"/>
      <c r="Z79" s="1"/>
      <c r="AA79" s="19" t="s">
        <v>47</v>
      </c>
      <c r="AB79" s="17">
        <v>1</v>
      </c>
      <c r="AC79" s="17">
        <v>0</v>
      </c>
      <c r="AD79" s="17">
        <v>500</v>
      </c>
      <c r="AE79" s="236"/>
      <c r="AF79" s="236"/>
      <c r="AG79" s="236"/>
      <c r="AH79" s="242"/>
    </row>
    <row r="80" spans="2:34" ht="13">
      <c r="B80" s="249"/>
      <c r="C80" s="138"/>
      <c r="D80" s="19" t="s">
        <v>715</v>
      </c>
      <c r="E80" s="19"/>
      <c r="F80" s="19"/>
      <c r="G80" s="17">
        <v>0</v>
      </c>
      <c r="H80" s="236"/>
      <c r="I80" s="236"/>
      <c r="J80" s="236"/>
      <c r="K80" s="242"/>
      <c r="M80" s="270"/>
      <c r="N80" s="1"/>
      <c r="O80" s="19" t="s">
        <v>1386</v>
      </c>
      <c r="P80" s="17" t="s">
        <v>1387</v>
      </c>
      <c r="Q80" s="17" t="s">
        <v>1387</v>
      </c>
      <c r="R80" s="17">
        <v>100</v>
      </c>
      <c r="S80" s="236"/>
      <c r="T80" s="236"/>
      <c r="U80" s="236"/>
      <c r="V80" s="242"/>
      <c r="Y80" s="270"/>
      <c r="Z80" s="1"/>
      <c r="AA80" s="19" t="s">
        <v>1386</v>
      </c>
      <c r="AB80" s="17" t="s">
        <v>1387</v>
      </c>
      <c r="AC80" s="17" t="s">
        <v>1387</v>
      </c>
      <c r="AD80" s="17">
        <v>100</v>
      </c>
      <c r="AE80" s="236"/>
      <c r="AF80" s="236"/>
      <c r="AG80" s="236"/>
      <c r="AH80" s="242"/>
    </row>
    <row r="81" spans="2:34" ht="13">
      <c r="B81" s="249"/>
      <c r="C81" s="138"/>
      <c r="D81" s="19" t="s">
        <v>973</v>
      </c>
      <c r="E81" s="17">
        <v>4</v>
      </c>
      <c r="F81" s="17">
        <v>15</v>
      </c>
      <c r="G81" s="17">
        <f t="shared" ref="G81:G83" si="31">E81*F81</f>
        <v>60</v>
      </c>
      <c r="H81" s="236"/>
      <c r="I81" s="236"/>
      <c r="J81" s="236"/>
      <c r="K81" s="242"/>
      <c r="M81" s="270"/>
      <c r="N81" s="1"/>
      <c r="O81" s="19" t="s">
        <v>1388</v>
      </c>
      <c r="P81" s="17">
        <v>16</v>
      </c>
      <c r="Q81" s="17">
        <v>35</v>
      </c>
      <c r="R81" s="17">
        <f>P81*Q81</f>
        <v>560</v>
      </c>
      <c r="S81" s="236"/>
      <c r="T81" s="236"/>
      <c r="U81" s="236"/>
      <c r="V81" s="242"/>
      <c r="Y81" s="270"/>
      <c r="Z81" s="1"/>
      <c r="AA81" s="19" t="s">
        <v>1388</v>
      </c>
      <c r="AB81" s="17">
        <v>16</v>
      </c>
      <c r="AC81" s="17">
        <v>35</v>
      </c>
      <c r="AD81" s="17">
        <f>AB81*AC81</f>
        <v>560</v>
      </c>
      <c r="AE81" s="236"/>
      <c r="AF81" s="236"/>
      <c r="AG81" s="236"/>
      <c r="AH81" s="242"/>
    </row>
    <row r="82" spans="2:34" ht="14">
      <c r="B82" s="249"/>
      <c r="C82" s="145" t="s">
        <v>1389</v>
      </c>
      <c r="D82" s="77" t="s">
        <v>1308</v>
      </c>
      <c r="E82" s="71">
        <v>12</v>
      </c>
      <c r="F82" s="71">
        <v>15</v>
      </c>
      <c r="G82" s="71">
        <f t="shared" si="31"/>
        <v>180</v>
      </c>
      <c r="H82" s="239">
        <f>SUM(G82:G87)</f>
        <v>661.12000000000012</v>
      </c>
      <c r="I82" s="239">
        <f>1200</f>
        <v>1200</v>
      </c>
      <c r="J82" s="239">
        <f>I82-H82</f>
        <v>538.87999999999988</v>
      </c>
      <c r="K82" s="259">
        <f>J82/I82</f>
        <v>0.44906666666666656</v>
      </c>
      <c r="M82" s="270"/>
      <c r="N82" s="1"/>
      <c r="O82" s="19" t="s">
        <v>1390</v>
      </c>
      <c r="P82" s="17" t="s">
        <v>1387</v>
      </c>
      <c r="Q82" s="17" t="s">
        <v>1387</v>
      </c>
      <c r="R82" s="17">
        <v>120</v>
      </c>
      <c r="S82" s="236"/>
      <c r="T82" s="236"/>
      <c r="U82" s="236"/>
      <c r="V82" s="242"/>
      <c r="Y82" s="270"/>
      <c r="Z82" s="1"/>
      <c r="AA82" s="19" t="s">
        <v>1390</v>
      </c>
      <c r="AB82" s="17" t="s">
        <v>1387</v>
      </c>
      <c r="AC82" s="17" t="s">
        <v>1387</v>
      </c>
      <c r="AD82" s="17">
        <v>120</v>
      </c>
      <c r="AE82" s="236"/>
      <c r="AF82" s="236"/>
      <c r="AG82" s="236"/>
      <c r="AH82" s="242"/>
    </row>
    <row r="83" spans="2:34" ht="13">
      <c r="B83" s="249"/>
      <c r="C83" s="138"/>
      <c r="D83" s="19" t="s">
        <v>95</v>
      </c>
      <c r="E83" s="17">
        <v>12</v>
      </c>
      <c r="F83" s="17">
        <v>15</v>
      </c>
      <c r="G83" s="17">
        <f t="shared" si="31"/>
        <v>180</v>
      </c>
      <c r="H83" s="236"/>
      <c r="I83" s="236"/>
      <c r="J83" s="236"/>
      <c r="K83" s="242"/>
      <c r="M83" s="270"/>
      <c r="N83" s="1"/>
      <c r="O83" s="19" t="s">
        <v>1391</v>
      </c>
      <c r="P83" s="17" t="s">
        <v>1387</v>
      </c>
      <c r="Q83" s="17" t="s">
        <v>1387</v>
      </c>
      <c r="R83" s="17">
        <v>210</v>
      </c>
      <c r="S83" s="236"/>
      <c r="T83" s="236"/>
      <c r="U83" s="236"/>
      <c r="V83" s="242"/>
      <c r="Y83" s="270"/>
      <c r="Z83" s="1"/>
      <c r="AA83" s="19" t="s">
        <v>1391</v>
      </c>
      <c r="AB83" s="17" t="s">
        <v>1387</v>
      </c>
      <c r="AC83" s="17" t="s">
        <v>1387</v>
      </c>
      <c r="AD83" s="17">
        <v>210</v>
      </c>
      <c r="AE83" s="236"/>
      <c r="AF83" s="236"/>
      <c r="AG83" s="236"/>
      <c r="AH83" s="242"/>
    </row>
    <row r="84" spans="2:34" ht="13">
      <c r="B84" s="249"/>
      <c r="C84" s="138"/>
      <c r="D84" s="336" t="s">
        <v>1380</v>
      </c>
      <c r="E84" s="236"/>
      <c r="F84" s="236"/>
      <c r="G84" s="17">
        <v>176.94</v>
      </c>
      <c r="H84" s="236"/>
      <c r="I84" s="236"/>
      <c r="J84" s="236"/>
      <c r="K84" s="242"/>
      <c r="M84" s="270"/>
      <c r="N84" s="140"/>
      <c r="O84" s="20" t="s">
        <v>33</v>
      </c>
      <c r="P84" s="21">
        <v>1</v>
      </c>
      <c r="Q84" s="21">
        <v>0</v>
      </c>
      <c r="R84" s="21">
        <v>892.52</v>
      </c>
      <c r="S84" s="248"/>
      <c r="T84" s="248"/>
      <c r="U84" s="248"/>
      <c r="V84" s="303"/>
      <c r="Y84" s="270"/>
      <c r="Z84" s="140"/>
      <c r="AA84" s="20" t="s">
        <v>33</v>
      </c>
      <c r="AB84" s="21">
        <v>1</v>
      </c>
      <c r="AC84" s="21">
        <v>0</v>
      </c>
      <c r="AD84" s="21">
        <v>892.52</v>
      </c>
      <c r="AE84" s="248"/>
      <c r="AF84" s="248"/>
      <c r="AG84" s="248"/>
      <c r="AH84" s="303"/>
    </row>
    <row r="85" spans="2:34" ht="14">
      <c r="B85" s="249"/>
      <c r="C85" s="138"/>
      <c r="D85" s="336" t="s">
        <v>1379</v>
      </c>
      <c r="E85" s="236"/>
      <c r="F85" s="236"/>
      <c r="G85" s="17">
        <v>48.1</v>
      </c>
      <c r="H85" s="236"/>
      <c r="I85" s="236"/>
      <c r="J85" s="236"/>
      <c r="K85" s="242"/>
      <c r="M85" s="270"/>
      <c r="N85" s="144" t="s">
        <v>1392</v>
      </c>
      <c r="O85" s="77" t="s">
        <v>114</v>
      </c>
      <c r="P85" s="71">
        <v>3</v>
      </c>
      <c r="Q85" s="71">
        <v>16</v>
      </c>
      <c r="R85" s="71">
        <f>P85*Q85</f>
        <v>48</v>
      </c>
      <c r="S85" s="239">
        <f>SUM(R85:R86)</f>
        <v>82.5</v>
      </c>
      <c r="T85" s="239">
        <v>1200</v>
      </c>
      <c r="U85" s="239">
        <f>T85-S85</f>
        <v>1117.5</v>
      </c>
      <c r="V85" s="259">
        <f>U85/T85</f>
        <v>0.93125000000000002</v>
      </c>
      <c r="Y85" s="270"/>
      <c r="Z85" s="144" t="s">
        <v>1392</v>
      </c>
      <c r="AA85" s="77" t="s">
        <v>114</v>
      </c>
      <c r="AB85" s="104"/>
      <c r="AC85" s="104"/>
      <c r="AD85" s="104"/>
      <c r="AE85" s="325">
        <f>SUM(AD85:AD86)</f>
        <v>34.5</v>
      </c>
      <c r="AF85" s="325">
        <v>1200</v>
      </c>
      <c r="AG85" s="325">
        <f>AF85-AE85</f>
        <v>1165.5</v>
      </c>
      <c r="AH85" s="330">
        <f>AG85/AF85</f>
        <v>0.97124999999999995</v>
      </c>
    </row>
    <row r="86" spans="2:34" ht="13">
      <c r="B86" s="249"/>
      <c r="C86" s="138"/>
      <c r="D86" s="336" t="s">
        <v>1393</v>
      </c>
      <c r="E86" s="236"/>
      <c r="F86" s="236"/>
      <c r="G86" s="19"/>
      <c r="H86" s="236"/>
      <c r="I86" s="236"/>
      <c r="J86" s="236"/>
      <c r="K86" s="242"/>
      <c r="M86" s="270"/>
      <c r="N86" s="140"/>
      <c r="O86" s="20" t="s">
        <v>33</v>
      </c>
      <c r="P86" s="21">
        <v>1</v>
      </c>
      <c r="Q86" s="21">
        <v>0</v>
      </c>
      <c r="R86" s="21">
        <v>34.5</v>
      </c>
      <c r="S86" s="248"/>
      <c r="T86" s="248"/>
      <c r="U86" s="248"/>
      <c r="V86" s="303"/>
      <c r="Y86" s="270"/>
      <c r="Z86" s="140"/>
      <c r="AA86" s="20" t="s">
        <v>33</v>
      </c>
      <c r="AB86" s="21">
        <v>1</v>
      </c>
      <c r="AC86" s="21">
        <v>0</v>
      </c>
      <c r="AD86" s="21">
        <v>34.5</v>
      </c>
      <c r="AE86" s="248"/>
      <c r="AF86" s="248"/>
      <c r="AG86" s="248"/>
      <c r="AH86" s="303"/>
    </row>
    <row r="87" spans="2:34" ht="14">
      <c r="B87" s="249"/>
      <c r="C87" s="138"/>
      <c r="D87" s="336" t="s">
        <v>1394</v>
      </c>
      <c r="E87" s="236"/>
      <c r="F87" s="236"/>
      <c r="G87" s="17">
        <v>76.08</v>
      </c>
      <c r="H87" s="236"/>
      <c r="I87" s="236"/>
      <c r="J87" s="236"/>
      <c r="K87" s="242"/>
      <c r="M87" s="270"/>
      <c r="N87" s="144" t="s">
        <v>1395</v>
      </c>
      <c r="O87" s="77" t="s">
        <v>114</v>
      </c>
      <c r="P87" s="71">
        <v>7.5</v>
      </c>
      <c r="Q87" s="71">
        <v>16</v>
      </c>
      <c r="R87" s="71">
        <f t="shared" ref="R87:R96" si="32">P87*Q87</f>
        <v>120</v>
      </c>
      <c r="S87" s="239">
        <f>SUM(R87:R92)</f>
        <v>1319.1</v>
      </c>
      <c r="T87" s="239">
        <v>3510</v>
      </c>
      <c r="U87" s="239">
        <f>T87-S87</f>
        <v>2190.9</v>
      </c>
      <c r="V87" s="259">
        <f>U87/T87</f>
        <v>0.62418803418803426</v>
      </c>
      <c r="Y87" s="270"/>
      <c r="Z87" s="144" t="s">
        <v>1395</v>
      </c>
      <c r="AA87" s="77" t="s">
        <v>114</v>
      </c>
      <c r="AB87" s="104"/>
      <c r="AC87" s="104"/>
      <c r="AD87" s="104"/>
      <c r="AE87" s="325">
        <f>SUM(AD87:AD92)</f>
        <v>887.09999999999991</v>
      </c>
      <c r="AF87" s="325">
        <v>3510</v>
      </c>
      <c r="AG87" s="325">
        <f>AF87-AE87</f>
        <v>2622.9</v>
      </c>
      <c r="AH87" s="330">
        <f>AG87/AF87</f>
        <v>0.74726495726495734</v>
      </c>
    </row>
    <row r="88" spans="2:34" ht="16">
      <c r="B88" s="249"/>
      <c r="C88" s="145" t="s">
        <v>1396</v>
      </c>
      <c r="D88" s="77" t="s">
        <v>1235</v>
      </c>
      <c r="E88" s="71">
        <v>14</v>
      </c>
      <c r="F88" s="71">
        <v>20</v>
      </c>
      <c r="G88" s="71">
        <f>E88*F88</f>
        <v>280</v>
      </c>
      <c r="H88" s="9">
        <f>SUM(G88)</f>
        <v>280</v>
      </c>
      <c r="I88" s="9">
        <f>650</f>
        <v>650</v>
      </c>
      <c r="J88" s="9">
        <f t="shared" ref="J88:J89" si="33">I88-H88</f>
        <v>370</v>
      </c>
      <c r="K88" s="10">
        <f t="shared" ref="K88:K89" si="34">J88/I88</f>
        <v>0.56923076923076921</v>
      </c>
      <c r="M88" s="270"/>
      <c r="N88" s="148"/>
      <c r="O88" s="19" t="s">
        <v>1361</v>
      </c>
      <c r="P88" s="17">
        <v>19.5</v>
      </c>
      <c r="Q88" s="17">
        <v>16</v>
      </c>
      <c r="R88" s="17">
        <f t="shared" si="32"/>
        <v>312</v>
      </c>
      <c r="S88" s="236"/>
      <c r="T88" s="236"/>
      <c r="U88" s="236"/>
      <c r="V88" s="242"/>
      <c r="Y88" s="270"/>
      <c r="Z88" s="148"/>
      <c r="AA88" s="19" t="s">
        <v>1361</v>
      </c>
      <c r="AB88" s="18"/>
      <c r="AC88" s="18"/>
      <c r="AD88" s="18"/>
      <c r="AE88" s="236"/>
      <c r="AF88" s="236"/>
      <c r="AG88" s="236"/>
      <c r="AH88" s="242"/>
    </row>
    <row r="89" spans="2:34" ht="14">
      <c r="B89" s="249"/>
      <c r="C89" s="145" t="s">
        <v>1397</v>
      </c>
      <c r="D89" s="77" t="s">
        <v>1305</v>
      </c>
      <c r="E89" s="71">
        <v>8</v>
      </c>
      <c r="F89" s="71">
        <v>15</v>
      </c>
      <c r="G89" s="71">
        <v>0</v>
      </c>
      <c r="H89" s="239">
        <f>SUM(G89:G90)</f>
        <v>0</v>
      </c>
      <c r="I89" s="239">
        <v>600</v>
      </c>
      <c r="J89" s="239">
        <f t="shared" si="33"/>
        <v>600</v>
      </c>
      <c r="K89" s="259">
        <f t="shared" si="34"/>
        <v>1</v>
      </c>
      <c r="M89" s="270"/>
      <c r="N89" s="1"/>
      <c r="O89" s="19" t="s">
        <v>310</v>
      </c>
      <c r="P89" s="17">
        <v>9.75</v>
      </c>
      <c r="Q89" s="17">
        <v>13</v>
      </c>
      <c r="R89" s="17">
        <f t="shared" si="32"/>
        <v>126.75</v>
      </c>
      <c r="S89" s="236"/>
      <c r="T89" s="236"/>
      <c r="U89" s="236"/>
      <c r="V89" s="242"/>
      <c r="Y89" s="270"/>
      <c r="Z89" s="1"/>
      <c r="AA89" s="19" t="s">
        <v>310</v>
      </c>
      <c r="AB89" s="17">
        <v>9.75</v>
      </c>
      <c r="AC89" s="17">
        <v>13</v>
      </c>
      <c r="AD89" s="17">
        <f t="shared" ref="AD89:AD92" si="35">AB89*AC89</f>
        <v>126.75</v>
      </c>
      <c r="AE89" s="236"/>
      <c r="AF89" s="236"/>
      <c r="AG89" s="236"/>
      <c r="AH89" s="242"/>
    </row>
    <row r="90" spans="2:34" ht="13">
      <c r="B90" s="249"/>
      <c r="C90" s="138"/>
      <c r="D90" s="19" t="s">
        <v>715</v>
      </c>
      <c r="E90" s="17">
        <v>4</v>
      </c>
      <c r="F90" s="17">
        <v>15</v>
      </c>
      <c r="G90" s="17">
        <v>0</v>
      </c>
      <c r="H90" s="238"/>
      <c r="I90" s="238"/>
      <c r="J90" s="238"/>
      <c r="K90" s="242"/>
      <c r="M90" s="270"/>
      <c r="N90" s="1"/>
      <c r="O90" s="19" t="s">
        <v>1308</v>
      </c>
      <c r="P90" s="17">
        <v>30.4</v>
      </c>
      <c r="Q90" s="17">
        <v>14</v>
      </c>
      <c r="R90" s="17">
        <f t="shared" si="32"/>
        <v>425.59999999999997</v>
      </c>
      <c r="S90" s="236"/>
      <c r="T90" s="236"/>
      <c r="U90" s="236"/>
      <c r="V90" s="242"/>
      <c r="Y90" s="270"/>
      <c r="Z90" s="1"/>
      <c r="AA90" s="19" t="s">
        <v>1308</v>
      </c>
      <c r="AB90" s="17">
        <v>30.4</v>
      </c>
      <c r="AC90" s="17">
        <v>14</v>
      </c>
      <c r="AD90" s="17">
        <f t="shared" si="35"/>
        <v>425.59999999999997</v>
      </c>
      <c r="AE90" s="236"/>
      <c r="AF90" s="236"/>
      <c r="AG90" s="236"/>
      <c r="AH90" s="242"/>
    </row>
    <row r="91" spans="2:34" ht="14">
      <c r="B91" s="249"/>
      <c r="C91" s="145">
        <v>17535</v>
      </c>
      <c r="D91" s="77" t="s">
        <v>1312</v>
      </c>
      <c r="E91" s="71">
        <v>36</v>
      </c>
      <c r="F91" s="71">
        <v>12.5</v>
      </c>
      <c r="G91" s="71">
        <f t="shared" ref="G91:G93" si="36">E91*F91</f>
        <v>450</v>
      </c>
      <c r="H91" s="239">
        <f>SUM(G91:G96)</f>
        <v>2840.25</v>
      </c>
      <c r="I91" s="239">
        <v>6000</v>
      </c>
      <c r="J91" s="239">
        <f>I91-H91</f>
        <v>3159.75</v>
      </c>
      <c r="K91" s="259">
        <f>J91/I91</f>
        <v>0.52662500000000001</v>
      </c>
      <c r="M91" s="270"/>
      <c r="N91" s="1"/>
      <c r="O91" s="19" t="s">
        <v>1398</v>
      </c>
      <c r="P91" s="17">
        <v>7</v>
      </c>
      <c r="Q91" s="17">
        <v>13</v>
      </c>
      <c r="R91" s="17">
        <f t="shared" si="32"/>
        <v>91</v>
      </c>
      <c r="S91" s="236"/>
      <c r="T91" s="236"/>
      <c r="U91" s="236"/>
      <c r="V91" s="242"/>
      <c r="Y91" s="270"/>
      <c r="Z91" s="1"/>
      <c r="AA91" s="19" t="s">
        <v>1398</v>
      </c>
      <c r="AB91" s="17">
        <v>7</v>
      </c>
      <c r="AC91" s="17">
        <v>13</v>
      </c>
      <c r="AD91" s="17">
        <f t="shared" si="35"/>
        <v>91</v>
      </c>
      <c r="AE91" s="236"/>
      <c r="AF91" s="236"/>
      <c r="AG91" s="236"/>
      <c r="AH91" s="242"/>
    </row>
    <row r="92" spans="2:34" ht="13">
      <c r="B92" s="249"/>
      <c r="C92" s="138"/>
      <c r="D92" s="19" t="s">
        <v>1235</v>
      </c>
      <c r="E92" s="17">
        <v>133</v>
      </c>
      <c r="F92" s="17">
        <v>15</v>
      </c>
      <c r="G92" s="17">
        <f t="shared" si="36"/>
        <v>1995</v>
      </c>
      <c r="H92" s="236"/>
      <c r="I92" s="236"/>
      <c r="J92" s="236"/>
      <c r="K92" s="242"/>
      <c r="M92" s="270"/>
      <c r="N92" s="140"/>
      <c r="O92" s="20" t="s">
        <v>1353</v>
      </c>
      <c r="P92" s="21">
        <v>18.75</v>
      </c>
      <c r="Q92" s="21">
        <v>13</v>
      </c>
      <c r="R92" s="21">
        <f t="shared" si="32"/>
        <v>243.75</v>
      </c>
      <c r="S92" s="248"/>
      <c r="T92" s="248"/>
      <c r="U92" s="248"/>
      <c r="V92" s="303"/>
      <c r="Y92" s="270"/>
      <c r="Z92" s="140"/>
      <c r="AA92" s="20" t="s">
        <v>1353</v>
      </c>
      <c r="AB92" s="21">
        <v>18.75</v>
      </c>
      <c r="AC92" s="21">
        <v>13</v>
      </c>
      <c r="AD92" s="21">
        <f t="shared" si="35"/>
        <v>243.75</v>
      </c>
      <c r="AE92" s="248"/>
      <c r="AF92" s="248"/>
      <c r="AG92" s="248"/>
      <c r="AH92" s="303"/>
    </row>
    <row r="93" spans="2:34" ht="14">
      <c r="B93" s="249"/>
      <c r="C93" s="138"/>
      <c r="D93" s="19" t="s">
        <v>1341</v>
      </c>
      <c r="E93" s="17">
        <v>8.5</v>
      </c>
      <c r="F93" s="17">
        <v>12.5</v>
      </c>
      <c r="G93" s="17">
        <f t="shared" si="36"/>
        <v>106.25</v>
      </c>
      <c r="H93" s="236"/>
      <c r="I93" s="236"/>
      <c r="J93" s="236"/>
      <c r="K93" s="242"/>
      <c r="M93" s="270"/>
      <c r="N93" s="144" t="s">
        <v>1399</v>
      </c>
      <c r="O93" s="77" t="s">
        <v>114</v>
      </c>
      <c r="P93" s="71">
        <v>48.75</v>
      </c>
      <c r="Q93" s="71">
        <v>16</v>
      </c>
      <c r="R93" s="71">
        <f t="shared" si="32"/>
        <v>780</v>
      </c>
      <c r="S93" s="239">
        <f>SUM(R93:R96)</f>
        <v>1564.25</v>
      </c>
      <c r="T93" s="239">
        <v>5520</v>
      </c>
      <c r="U93" s="239">
        <f>T93-S93</f>
        <v>3955.75</v>
      </c>
      <c r="V93" s="259">
        <f>U93/T93</f>
        <v>0.71662137681159421</v>
      </c>
      <c r="Y93" s="270"/>
      <c r="Z93" s="144" t="s">
        <v>1399</v>
      </c>
      <c r="AA93" s="77" t="s">
        <v>114</v>
      </c>
      <c r="AB93" s="104"/>
      <c r="AC93" s="104"/>
      <c r="AD93" s="104"/>
      <c r="AE93" s="325">
        <f>SUM(AD93:AD96)</f>
        <v>596.25</v>
      </c>
      <c r="AF93" s="325">
        <v>5520</v>
      </c>
      <c r="AG93" s="325">
        <f>AF93-AE93</f>
        <v>4923.75</v>
      </c>
      <c r="AH93" s="330">
        <f>AG93/AF93</f>
        <v>0.89198369565217395</v>
      </c>
    </row>
    <row r="94" spans="2:34" ht="14">
      <c r="B94" s="249"/>
      <c r="C94" s="138"/>
      <c r="D94" s="19" t="s">
        <v>1306</v>
      </c>
      <c r="E94" s="17">
        <v>8</v>
      </c>
      <c r="F94" s="17">
        <v>15</v>
      </c>
      <c r="G94" s="17">
        <v>0</v>
      </c>
      <c r="H94" s="236"/>
      <c r="I94" s="236"/>
      <c r="J94" s="236"/>
      <c r="K94" s="242"/>
      <c r="M94" s="270"/>
      <c r="N94" s="148"/>
      <c r="O94" s="19" t="s">
        <v>1361</v>
      </c>
      <c r="P94" s="17">
        <v>11.75</v>
      </c>
      <c r="Q94" s="17">
        <v>16</v>
      </c>
      <c r="R94" s="17">
        <f t="shared" si="32"/>
        <v>188</v>
      </c>
      <c r="S94" s="236"/>
      <c r="T94" s="236"/>
      <c r="U94" s="236"/>
      <c r="V94" s="242"/>
      <c r="Y94" s="270"/>
      <c r="Z94" s="148"/>
      <c r="AA94" s="19" t="s">
        <v>1361</v>
      </c>
      <c r="AB94" s="18"/>
      <c r="AC94" s="18"/>
      <c r="AD94" s="18"/>
      <c r="AE94" s="236"/>
      <c r="AF94" s="236"/>
      <c r="AG94" s="236"/>
      <c r="AH94" s="242"/>
    </row>
    <row r="95" spans="2:34" ht="13">
      <c r="B95" s="249"/>
      <c r="C95" s="138"/>
      <c r="D95" s="19" t="s">
        <v>1308</v>
      </c>
      <c r="E95" s="17">
        <v>11</v>
      </c>
      <c r="F95" s="17">
        <v>14</v>
      </c>
      <c r="G95" s="17">
        <f t="shared" ref="G95:G96" si="37">E95*F95</f>
        <v>154</v>
      </c>
      <c r="H95" s="236"/>
      <c r="I95" s="236"/>
      <c r="J95" s="236"/>
      <c r="K95" s="242"/>
      <c r="M95" s="270"/>
      <c r="N95" s="1"/>
      <c r="O95" s="19" t="s">
        <v>715</v>
      </c>
      <c r="P95" s="17">
        <v>10</v>
      </c>
      <c r="Q95" s="17">
        <v>15</v>
      </c>
      <c r="R95" s="17">
        <f t="shared" si="32"/>
        <v>150</v>
      </c>
      <c r="S95" s="236"/>
      <c r="T95" s="236"/>
      <c r="U95" s="236"/>
      <c r="V95" s="242"/>
      <c r="Y95" s="270"/>
      <c r="Z95" s="1"/>
      <c r="AA95" s="19" t="s">
        <v>715</v>
      </c>
      <c r="AB95" s="17">
        <v>10</v>
      </c>
      <c r="AC95" s="17">
        <v>15</v>
      </c>
      <c r="AD95" s="17">
        <f t="shared" ref="AD95:AD96" si="38">AB95*AC95</f>
        <v>150</v>
      </c>
      <c r="AE95" s="236"/>
      <c r="AF95" s="236"/>
      <c r="AG95" s="236"/>
      <c r="AH95" s="242"/>
    </row>
    <row r="96" spans="2:34" ht="13">
      <c r="B96" s="249"/>
      <c r="C96" s="138"/>
      <c r="D96" s="19" t="s">
        <v>95</v>
      </c>
      <c r="E96" s="17">
        <v>9</v>
      </c>
      <c r="F96" s="17">
        <v>15</v>
      </c>
      <c r="G96" s="17">
        <f t="shared" si="37"/>
        <v>135</v>
      </c>
      <c r="H96" s="236"/>
      <c r="I96" s="236"/>
      <c r="J96" s="236"/>
      <c r="K96" s="242"/>
      <c r="M96" s="270"/>
      <c r="N96" s="140"/>
      <c r="O96" s="20" t="s">
        <v>1235</v>
      </c>
      <c r="P96" s="21">
        <v>29.75</v>
      </c>
      <c r="Q96" s="21">
        <v>15</v>
      </c>
      <c r="R96" s="21">
        <f t="shared" si="32"/>
        <v>446.25</v>
      </c>
      <c r="S96" s="248"/>
      <c r="T96" s="248"/>
      <c r="U96" s="248"/>
      <c r="V96" s="303"/>
      <c r="Y96" s="270"/>
      <c r="Z96" s="140"/>
      <c r="AA96" s="20" t="s">
        <v>1235</v>
      </c>
      <c r="AB96" s="21">
        <v>29.75</v>
      </c>
      <c r="AC96" s="21">
        <v>15</v>
      </c>
      <c r="AD96" s="21">
        <f t="shared" si="38"/>
        <v>446.25</v>
      </c>
      <c r="AE96" s="248"/>
      <c r="AF96" s="248"/>
      <c r="AG96" s="248"/>
      <c r="AH96" s="303"/>
    </row>
    <row r="97" spans="2:34" ht="30">
      <c r="B97" s="249"/>
      <c r="C97" s="145">
        <v>7608</v>
      </c>
      <c r="D97" s="77" t="s">
        <v>1306</v>
      </c>
      <c r="E97" s="71">
        <v>8</v>
      </c>
      <c r="F97" s="71">
        <v>15</v>
      </c>
      <c r="G97" s="71">
        <v>0</v>
      </c>
      <c r="H97" s="239">
        <f>SUM(G97:G101)</f>
        <v>222.5</v>
      </c>
      <c r="I97" s="239">
        <v>1700</v>
      </c>
      <c r="J97" s="239">
        <f>I97-H97</f>
        <v>1477.5</v>
      </c>
      <c r="K97" s="259">
        <f>J97/I97</f>
        <v>0.86911764705882355</v>
      </c>
      <c r="M97" s="278" t="s">
        <v>1400</v>
      </c>
      <c r="N97" s="252"/>
      <c r="O97" s="253"/>
      <c r="P97" s="128">
        <f t="shared" ref="P97:U97" si="39">AVERAGE(P71:P96)</f>
        <v>15.832608695652173</v>
      </c>
      <c r="Q97" s="128">
        <f t="shared" si="39"/>
        <v>10.739130434782609</v>
      </c>
      <c r="R97" s="128">
        <f t="shared" si="39"/>
        <v>335.36500000000001</v>
      </c>
      <c r="S97" s="128">
        <f t="shared" si="39"/>
        <v>1453.2483333333332</v>
      </c>
      <c r="T97" s="128">
        <f t="shared" si="39"/>
        <v>3625.9666666666667</v>
      </c>
      <c r="U97" s="128">
        <f t="shared" si="39"/>
        <v>2172.7183333333332</v>
      </c>
      <c r="V97" s="149"/>
      <c r="Y97" s="278" t="s">
        <v>1400</v>
      </c>
      <c r="Z97" s="252"/>
      <c r="AA97" s="253"/>
      <c r="AB97" s="128">
        <f t="shared" ref="AB97:AG97" si="40">AVERAGE(AB71:AB96)</f>
        <v>14.853125</v>
      </c>
      <c r="AC97" s="128">
        <f t="shared" si="40"/>
        <v>8.4375</v>
      </c>
      <c r="AD97" s="128">
        <f t="shared" si="40"/>
        <v>352.39421052631576</v>
      </c>
      <c r="AE97" s="128">
        <f t="shared" si="40"/>
        <v>1115.915</v>
      </c>
      <c r="AF97" s="128">
        <f t="shared" si="40"/>
        <v>3625.9666666666667</v>
      </c>
      <c r="AG97" s="128">
        <f t="shared" si="40"/>
        <v>2510.0516666666667</v>
      </c>
      <c r="AH97" s="129">
        <f>AVERAGE($V$70:$V$95)</f>
        <v>0.70459082484969415</v>
      </c>
    </row>
    <row r="98" spans="2:34" ht="30">
      <c r="B98" s="249"/>
      <c r="C98" s="138"/>
      <c r="D98" s="19" t="s">
        <v>1315</v>
      </c>
      <c r="E98" s="17">
        <v>8</v>
      </c>
      <c r="F98" s="17">
        <v>15</v>
      </c>
      <c r="G98" s="17">
        <v>0</v>
      </c>
      <c r="H98" s="236"/>
      <c r="I98" s="236"/>
      <c r="J98" s="236"/>
      <c r="K98" s="242"/>
      <c r="M98" s="323" t="s">
        <v>1401</v>
      </c>
      <c r="N98" s="236"/>
      <c r="O98" s="266"/>
      <c r="P98" s="130">
        <f t="shared" ref="P98:U98" si="41">SUM(P71:P96)</f>
        <v>364.15</v>
      </c>
      <c r="Q98" s="130">
        <f t="shared" si="41"/>
        <v>247</v>
      </c>
      <c r="R98" s="130">
        <f t="shared" si="41"/>
        <v>8719.49</v>
      </c>
      <c r="S98" s="130">
        <f t="shared" si="41"/>
        <v>8719.49</v>
      </c>
      <c r="T98" s="130">
        <f t="shared" si="41"/>
        <v>21755.8</v>
      </c>
      <c r="U98" s="130">
        <f t="shared" si="41"/>
        <v>13036.31</v>
      </c>
      <c r="V98" s="129">
        <f t="shared" ref="V98:V99" si="42">U98/T98</f>
        <v>0.59921078516993165</v>
      </c>
      <c r="Y98" s="323" t="s">
        <v>1401</v>
      </c>
      <c r="Z98" s="236"/>
      <c r="AA98" s="266"/>
      <c r="AB98" s="130">
        <f t="shared" ref="AB98:AG98" si="43">SUM(AB71:AB96)</f>
        <v>237.65</v>
      </c>
      <c r="AC98" s="130">
        <f t="shared" si="43"/>
        <v>135</v>
      </c>
      <c r="AD98" s="130">
        <f t="shared" si="43"/>
        <v>6695.49</v>
      </c>
      <c r="AE98" s="150">
        <f t="shared" si="43"/>
        <v>6695.49</v>
      </c>
      <c r="AF98" s="150">
        <f t="shared" si="43"/>
        <v>21755.8</v>
      </c>
      <c r="AG98" s="150">
        <f t="shared" si="43"/>
        <v>15060.31</v>
      </c>
      <c r="AH98" s="151">
        <f t="shared" ref="AH98:AH99" si="44">AG98/AF98</f>
        <v>0.69224344772428503</v>
      </c>
    </row>
    <row r="99" spans="2:34" ht="14">
      <c r="B99" s="249"/>
      <c r="C99" s="138"/>
      <c r="D99" s="19" t="s">
        <v>1305</v>
      </c>
      <c r="E99" s="17">
        <v>8</v>
      </c>
      <c r="F99" s="17">
        <v>15</v>
      </c>
      <c r="G99" s="17">
        <v>0</v>
      </c>
      <c r="H99" s="236"/>
      <c r="I99" s="236"/>
      <c r="J99" s="236"/>
      <c r="K99" s="242"/>
      <c r="M99" s="290" t="s">
        <v>2</v>
      </c>
      <c r="N99" s="144" t="s">
        <v>1402</v>
      </c>
      <c r="O99" s="77" t="s">
        <v>114</v>
      </c>
      <c r="P99" s="71">
        <v>6</v>
      </c>
      <c r="Q99" s="71">
        <v>16</v>
      </c>
      <c r="R99" s="71">
        <f t="shared" ref="R99:R100" si="45">P99*Q99</f>
        <v>96</v>
      </c>
      <c r="S99" s="239">
        <f>SUM(R99:R100)</f>
        <v>291</v>
      </c>
      <c r="T99" s="239">
        <v>500</v>
      </c>
      <c r="U99" s="239">
        <f>T99-S99</f>
        <v>209</v>
      </c>
      <c r="V99" s="259">
        <f t="shared" si="42"/>
        <v>0.41799999999999998</v>
      </c>
      <c r="Y99" s="290" t="s">
        <v>2</v>
      </c>
      <c r="Z99" s="144" t="s">
        <v>1402</v>
      </c>
      <c r="AA99" s="77" t="s">
        <v>114</v>
      </c>
      <c r="AB99" s="104"/>
      <c r="AC99" s="104"/>
      <c r="AD99" s="104"/>
      <c r="AE99" s="239">
        <f>SUM(AD99:AD100)</f>
        <v>195</v>
      </c>
      <c r="AF99" s="239">
        <v>500</v>
      </c>
      <c r="AG99" s="239">
        <f>AF99-AE99</f>
        <v>305</v>
      </c>
      <c r="AH99" s="259">
        <f t="shared" si="44"/>
        <v>0.61</v>
      </c>
    </row>
    <row r="100" spans="2:34" ht="13">
      <c r="B100" s="249"/>
      <c r="C100" s="138"/>
      <c r="D100" s="19" t="s">
        <v>95</v>
      </c>
      <c r="E100" s="17">
        <v>6.5</v>
      </c>
      <c r="F100" s="17">
        <v>15</v>
      </c>
      <c r="G100" s="17">
        <f t="shared" ref="G100:G101" si="46">E100*F100</f>
        <v>97.5</v>
      </c>
      <c r="H100" s="236"/>
      <c r="I100" s="236"/>
      <c r="J100" s="236"/>
      <c r="K100" s="242"/>
      <c r="M100" s="270"/>
      <c r="N100" s="140"/>
      <c r="O100" s="20" t="s">
        <v>1403</v>
      </c>
      <c r="P100" s="21">
        <v>15</v>
      </c>
      <c r="Q100" s="21">
        <v>13</v>
      </c>
      <c r="R100" s="21">
        <f t="shared" si="45"/>
        <v>195</v>
      </c>
      <c r="S100" s="248"/>
      <c r="T100" s="248"/>
      <c r="U100" s="248"/>
      <c r="V100" s="303"/>
      <c r="Y100" s="270"/>
      <c r="Z100" s="140"/>
      <c r="AA100" s="20" t="s">
        <v>1403</v>
      </c>
      <c r="AB100" s="21">
        <v>15</v>
      </c>
      <c r="AC100" s="21">
        <v>13</v>
      </c>
      <c r="AD100" s="21">
        <f>AB100*AC100</f>
        <v>195</v>
      </c>
      <c r="AE100" s="248"/>
      <c r="AF100" s="248"/>
      <c r="AG100" s="248"/>
      <c r="AH100" s="303"/>
    </row>
    <row r="101" spans="2:34" ht="14">
      <c r="B101" s="249"/>
      <c r="C101" s="138"/>
      <c r="D101" s="19" t="s">
        <v>1341</v>
      </c>
      <c r="E101" s="17">
        <v>10</v>
      </c>
      <c r="F101" s="17">
        <v>12.5</v>
      </c>
      <c r="G101" s="17">
        <f t="shared" si="46"/>
        <v>125</v>
      </c>
      <c r="H101" s="236"/>
      <c r="I101" s="236"/>
      <c r="J101" s="236"/>
      <c r="K101" s="242"/>
      <c r="M101" s="270"/>
      <c r="N101" s="144" t="s">
        <v>1404</v>
      </c>
      <c r="O101" s="77" t="s">
        <v>986</v>
      </c>
      <c r="P101" s="71">
        <v>1</v>
      </c>
      <c r="Q101" s="71">
        <v>0</v>
      </c>
      <c r="R101" s="71">
        <v>480</v>
      </c>
      <c r="S101" s="239">
        <f>SUM(R101:R102)</f>
        <v>541.87</v>
      </c>
      <c r="T101" s="239">
        <v>1938</v>
      </c>
      <c r="U101" s="239">
        <f>T101-S101</f>
        <v>1396.13</v>
      </c>
      <c r="V101" s="259">
        <f>U101/T101</f>
        <v>0.72039731682146546</v>
      </c>
      <c r="Y101" s="270"/>
      <c r="Z101" s="144" t="s">
        <v>1404</v>
      </c>
      <c r="AA101" s="77" t="s">
        <v>986</v>
      </c>
      <c r="AB101" s="71">
        <v>1</v>
      </c>
      <c r="AC101" s="71">
        <v>0</v>
      </c>
      <c r="AD101" s="71">
        <v>480</v>
      </c>
      <c r="AE101" s="325">
        <f>SUM(AD101:AD102)</f>
        <v>541.87</v>
      </c>
      <c r="AF101" s="325">
        <v>1938</v>
      </c>
      <c r="AG101" s="325">
        <f>AF101-AE101</f>
        <v>1396.13</v>
      </c>
      <c r="AH101" s="330">
        <f>AG101/AF101</f>
        <v>0.72039731682146546</v>
      </c>
    </row>
    <row r="102" spans="2:34" ht="14">
      <c r="B102" s="249"/>
      <c r="C102" s="145" t="s">
        <v>1405</v>
      </c>
      <c r="D102" s="77" t="s">
        <v>1306</v>
      </c>
      <c r="E102" s="71">
        <v>16</v>
      </c>
      <c r="F102" s="71">
        <v>15</v>
      </c>
      <c r="G102" s="71">
        <v>0</v>
      </c>
      <c r="H102" s="239">
        <f>SUM(G102:G108)</f>
        <v>307.5</v>
      </c>
      <c r="I102" s="239">
        <v>1950</v>
      </c>
      <c r="J102" s="239">
        <f>I102-H102</f>
        <v>1642.5</v>
      </c>
      <c r="K102" s="259">
        <f>J102/I102</f>
        <v>0.84230769230769231</v>
      </c>
      <c r="M102" s="270"/>
      <c r="N102" s="140"/>
      <c r="O102" s="20" t="s">
        <v>33</v>
      </c>
      <c r="P102" s="21">
        <v>1</v>
      </c>
      <c r="Q102" s="21">
        <v>0</v>
      </c>
      <c r="R102" s="21">
        <v>61.87</v>
      </c>
      <c r="S102" s="248"/>
      <c r="T102" s="248"/>
      <c r="U102" s="248"/>
      <c r="V102" s="303"/>
      <c r="Y102" s="270"/>
      <c r="Z102" s="140"/>
      <c r="AA102" s="20" t="s">
        <v>33</v>
      </c>
      <c r="AB102" s="21">
        <v>1</v>
      </c>
      <c r="AC102" s="21">
        <v>0</v>
      </c>
      <c r="AD102" s="21">
        <v>61.87</v>
      </c>
      <c r="AE102" s="248"/>
      <c r="AF102" s="248"/>
      <c r="AG102" s="248"/>
      <c r="AH102" s="303"/>
    </row>
    <row r="103" spans="2:34" ht="14">
      <c r="B103" s="249"/>
      <c r="C103" s="138"/>
      <c r="D103" s="19" t="s">
        <v>1349</v>
      </c>
      <c r="E103" s="17">
        <v>5</v>
      </c>
      <c r="F103" s="17">
        <v>15</v>
      </c>
      <c r="G103" s="17">
        <f>E103*F103</f>
        <v>75</v>
      </c>
      <c r="H103" s="236"/>
      <c r="I103" s="236"/>
      <c r="J103" s="236"/>
      <c r="K103" s="242"/>
      <c r="M103" s="270"/>
      <c r="N103" s="144" t="s">
        <v>1406</v>
      </c>
      <c r="O103" s="77" t="s">
        <v>1332</v>
      </c>
      <c r="P103" s="71">
        <v>8</v>
      </c>
      <c r="Q103" s="71">
        <v>10</v>
      </c>
      <c r="R103" s="71">
        <f>P103*Q103</f>
        <v>80</v>
      </c>
      <c r="S103" s="239">
        <f>SUM(R103:R106)</f>
        <v>463.21000000000004</v>
      </c>
      <c r="T103" s="239">
        <v>2458</v>
      </c>
      <c r="U103" s="239">
        <f>T103-S103</f>
        <v>1994.79</v>
      </c>
      <c r="V103" s="259">
        <f>U103/T103</f>
        <v>0.81155004068348247</v>
      </c>
      <c r="Y103" s="270"/>
      <c r="Z103" s="144" t="s">
        <v>1406</v>
      </c>
      <c r="AA103" s="77" t="s">
        <v>1332</v>
      </c>
      <c r="AB103" s="104"/>
      <c r="AC103" s="104"/>
      <c r="AD103" s="104"/>
      <c r="AE103" s="325">
        <f>SUM(AD103:AD106)</f>
        <v>383.21000000000004</v>
      </c>
      <c r="AF103" s="325">
        <v>2458</v>
      </c>
      <c r="AG103" s="325">
        <f>AF103-AE103</f>
        <v>2074.79</v>
      </c>
      <c r="AH103" s="330">
        <f>AG103/AF103</f>
        <v>0.8440968266883645</v>
      </c>
    </row>
    <row r="104" spans="2:34" ht="14">
      <c r="B104" s="249"/>
      <c r="C104" s="138"/>
      <c r="D104" s="19" t="s">
        <v>1407</v>
      </c>
      <c r="E104" s="17">
        <v>8</v>
      </c>
      <c r="F104" s="17">
        <v>15</v>
      </c>
      <c r="G104" s="17">
        <v>0</v>
      </c>
      <c r="H104" s="236"/>
      <c r="I104" s="236"/>
      <c r="J104" s="236"/>
      <c r="K104" s="242"/>
      <c r="M104" s="270"/>
      <c r="N104" s="148"/>
      <c r="O104" s="19" t="s">
        <v>1408</v>
      </c>
      <c r="P104" s="17">
        <v>1</v>
      </c>
      <c r="Q104" s="17">
        <v>0</v>
      </c>
      <c r="R104" s="17">
        <v>17.649999999999999</v>
      </c>
      <c r="S104" s="236"/>
      <c r="T104" s="236"/>
      <c r="U104" s="236"/>
      <c r="V104" s="242"/>
      <c r="Y104" s="270"/>
      <c r="Z104" s="148"/>
      <c r="AA104" s="19" t="s">
        <v>1408</v>
      </c>
      <c r="AB104" s="17">
        <v>1</v>
      </c>
      <c r="AC104" s="17">
        <v>0</v>
      </c>
      <c r="AD104" s="17">
        <v>17.649999999999999</v>
      </c>
      <c r="AE104" s="236"/>
      <c r="AF104" s="236"/>
      <c r="AG104" s="236"/>
      <c r="AH104" s="242"/>
    </row>
    <row r="105" spans="2:34" ht="14">
      <c r="B105" s="249"/>
      <c r="C105" s="138"/>
      <c r="D105" s="19" t="s">
        <v>1409</v>
      </c>
      <c r="E105" s="17">
        <v>5.5</v>
      </c>
      <c r="F105" s="17">
        <v>15</v>
      </c>
      <c r="G105" s="17">
        <f t="shared" ref="G105:G107" si="47">E105*F105</f>
        <v>82.5</v>
      </c>
      <c r="H105" s="236"/>
      <c r="I105" s="236"/>
      <c r="J105" s="236"/>
      <c r="K105" s="242"/>
      <c r="M105" s="270"/>
      <c r="N105" s="148"/>
      <c r="O105" s="19" t="s">
        <v>33</v>
      </c>
      <c r="P105" s="17">
        <v>1</v>
      </c>
      <c r="Q105" s="17">
        <v>0</v>
      </c>
      <c r="R105" s="17">
        <v>115.56</v>
      </c>
      <c r="S105" s="236"/>
      <c r="T105" s="236"/>
      <c r="U105" s="236"/>
      <c r="V105" s="242"/>
      <c r="Y105" s="270"/>
      <c r="Z105" s="148"/>
      <c r="AA105" s="19" t="s">
        <v>33</v>
      </c>
      <c r="AB105" s="17">
        <v>1</v>
      </c>
      <c r="AC105" s="17">
        <v>0</v>
      </c>
      <c r="AD105" s="17">
        <v>115.56</v>
      </c>
      <c r="AE105" s="236"/>
      <c r="AF105" s="236"/>
      <c r="AG105" s="236"/>
      <c r="AH105" s="242"/>
    </row>
    <row r="106" spans="2:34" ht="13">
      <c r="B106" s="249"/>
      <c r="C106" s="138"/>
      <c r="D106" s="19" t="s">
        <v>1410</v>
      </c>
      <c r="E106" s="17">
        <v>5</v>
      </c>
      <c r="F106" s="17">
        <v>15</v>
      </c>
      <c r="G106" s="17">
        <f t="shared" si="47"/>
        <v>75</v>
      </c>
      <c r="H106" s="236"/>
      <c r="I106" s="236"/>
      <c r="J106" s="236"/>
      <c r="K106" s="242"/>
      <c r="M106" s="270"/>
      <c r="N106" s="140"/>
      <c r="O106" s="20" t="s">
        <v>1411</v>
      </c>
      <c r="P106" s="21">
        <v>1</v>
      </c>
      <c r="Q106" s="21">
        <v>0</v>
      </c>
      <c r="R106" s="21">
        <v>250</v>
      </c>
      <c r="S106" s="248"/>
      <c r="T106" s="248"/>
      <c r="U106" s="248"/>
      <c r="V106" s="303"/>
      <c r="Y106" s="270"/>
      <c r="Z106" s="140"/>
      <c r="AA106" s="20" t="s">
        <v>1411</v>
      </c>
      <c r="AB106" s="21">
        <v>1</v>
      </c>
      <c r="AC106" s="21">
        <v>0</v>
      </c>
      <c r="AD106" s="21">
        <v>250</v>
      </c>
      <c r="AE106" s="248"/>
      <c r="AF106" s="248"/>
      <c r="AG106" s="248"/>
      <c r="AH106" s="303"/>
    </row>
    <row r="107" spans="2:34" ht="13">
      <c r="B107" s="249"/>
      <c r="C107" s="138"/>
      <c r="D107" s="19" t="s">
        <v>1412</v>
      </c>
      <c r="E107" s="17">
        <v>5</v>
      </c>
      <c r="F107" s="17">
        <v>15</v>
      </c>
      <c r="G107" s="17">
        <f t="shared" si="47"/>
        <v>75</v>
      </c>
      <c r="H107" s="236"/>
      <c r="I107" s="236"/>
      <c r="J107" s="236"/>
      <c r="K107" s="242"/>
      <c r="M107" s="270"/>
      <c r="N107" s="1">
        <v>36361</v>
      </c>
      <c r="O107" s="19" t="s">
        <v>114</v>
      </c>
      <c r="P107" s="17">
        <v>46</v>
      </c>
      <c r="Q107" s="17">
        <v>16</v>
      </c>
      <c r="R107" s="17">
        <f t="shared" ref="R107:R112" si="48">P107*Q107</f>
        <v>736</v>
      </c>
      <c r="S107" s="239">
        <f>SUM(R107:R109)</f>
        <v>2309</v>
      </c>
      <c r="T107" s="239">
        <v>15550</v>
      </c>
      <c r="U107" s="239">
        <f>T107-S107</f>
        <v>13241</v>
      </c>
      <c r="V107" s="259">
        <f>U107/T107</f>
        <v>0.85151125401929262</v>
      </c>
      <c r="Y107" s="270"/>
      <c r="Z107" s="1">
        <v>36361</v>
      </c>
      <c r="AA107" s="19" t="s">
        <v>114</v>
      </c>
      <c r="AB107" s="18"/>
      <c r="AC107" s="18"/>
      <c r="AD107" s="18"/>
      <c r="AE107" s="325">
        <f>SUM(AD107:AD109)</f>
        <v>1005</v>
      </c>
      <c r="AF107" s="325">
        <v>15550</v>
      </c>
      <c r="AG107" s="325">
        <f>AF107-AE107</f>
        <v>14545</v>
      </c>
      <c r="AH107" s="330">
        <f>AG107/AF107</f>
        <v>0.93536977491961415</v>
      </c>
    </row>
    <row r="108" spans="2:34" ht="13">
      <c r="B108" s="250"/>
      <c r="C108" s="138"/>
      <c r="D108" s="19" t="s">
        <v>1315</v>
      </c>
      <c r="E108" s="17">
        <v>8</v>
      </c>
      <c r="F108" s="17">
        <v>15</v>
      </c>
      <c r="G108" s="17">
        <v>0</v>
      </c>
      <c r="H108" s="236"/>
      <c r="I108" s="236"/>
      <c r="J108" s="236"/>
      <c r="K108" s="242"/>
      <c r="M108" s="270"/>
      <c r="N108" s="1"/>
      <c r="O108" s="19" t="s">
        <v>1413</v>
      </c>
      <c r="P108" s="17">
        <v>67</v>
      </c>
      <c r="Q108" s="17">
        <v>15</v>
      </c>
      <c r="R108" s="17">
        <f t="shared" si="48"/>
        <v>1005</v>
      </c>
      <c r="S108" s="236"/>
      <c r="T108" s="236"/>
      <c r="U108" s="236"/>
      <c r="V108" s="242"/>
      <c r="Y108" s="270"/>
      <c r="Z108" s="1"/>
      <c r="AA108" s="19" t="s">
        <v>1413</v>
      </c>
      <c r="AB108" s="17">
        <v>67</v>
      </c>
      <c r="AC108" s="17">
        <v>15</v>
      </c>
      <c r="AD108" s="17">
        <f>AB108*AC108</f>
        <v>1005</v>
      </c>
      <c r="AE108" s="236"/>
      <c r="AF108" s="236"/>
      <c r="AG108" s="236"/>
      <c r="AH108" s="242"/>
    </row>
    <row r="109" spans="2:34" ht="30">
      <c r="B109" s="251" t="s">
        <v>1414</v>
      </c>
      <c r="C109" s="252"/>
      <c r="D109" s="253"/>
      <c r="E109" s="27">
        <f t="shared" ref="E109:J109" si="49">AVERAGE(E11:E108)</f>
        <v>15.610958904109587</v>
      </c>
      <c r="F109" s="27">
        <f t="shared" si="49"/>
        <v>14.97887323943662</v>
      </c>
      <c r="G109" s="152">
        <f t="shared" si="49"/>
        <v>133.64583333333334</v>
      </c>
      <c r="H109" s="152">
        <f t="shared" si="49"/>
        <v>610.95238095238096</v>
      </c>
      <c r="I109" s="152">
        <f t="shared" si="49"/>
        <v>1956.9047619047619</v>
      </c>
      <c r="J109" s="152">
        <f t="shared" si="49"/>
        <v>1345.952380952381</v>
      </c>
      <c r="K109" s="153">
        <f>AVERAGE($V$11:$V$108)</f>
        <v>0.70348508630346041</v>
      </c>
      <c r="M109" s="270"/>
      <c r="N109" s="1"/>
      <c r="O109" s="19" t="s">
        <v>1361</v>
      </c>
      <c r="P109" s="17">
        <v>35.5</v>
      </c>
      <c r="Q109" s="17">
        <v>16</v>
      </c>
      <c r="R109" s="17">
        <f t="shared" si="48"/>
        <v>568</v>
      </c>
      <c r="S109" s="248"/>
      <c r="T109" s="248"/>
      <c r="U109" s="248"/>
      <c r="V109" s="303"/>
      <c r="Y109" s="270"/>
      <c r="Z109" s="1"/>
      <c r="AA109" s="19" t="s">
        <v>1361</v>
      </c>
      <c r="AB109" s="18"/>
      <c r="AC109" s="18"/>
      <c r="AD109" s="18"/>
      <c r="AE109" s="248"/>
      <c r="AF109" s="248"/>
      <c r="AG109" s="248"/>
      <c r="AH109" s="303"/>
    </row>
    <row r="110" spans="2:34" ht="30">
      <c r="B110" s="251" t="s">
        <v>1415</v>
      </c>
      <c r="C110" s="252"/>
      <c r="D110" s="253"/>
      <c r="E110" s="27">
        <f t="shared" ref="E110:J110" si="50">SUM(E11:E108)</f>
        <v>1139.5999999999999</v>
      </c>
      <c r="F110" s="27">
        <f t="shared" si="50"/>
        <v>1063.5</v>
      </c>
      <c r="G110" s="152">
        <f t="shared" si="50"/>
        <v>12830.000000000002</v>
      </c>
      <c r="H110" s="152">
        <f t="shared" si="50"/>
        <v>12830</v>
      </c>
      <c r="I110" s="152">
        <f t="shared" si="50"/>
        <v>41095</v>
      </c>
      <c r="J110" s="152">
        <f t="shared" si="50"/>
        <v>28265</v>
      </c>
      <c r="K110" s="154">
        <f t="shared" ref="K110:K111" si="51">J110/I110</f>
        <v>0.6877965689256601</v>
      </c>
      <c r="M110" s="270"/>
      <c r="N110" s="144" t="s">
        <v>1416</v>
      </c>
      <c r="O110" s="77" t="s">
        <v>1361</v>
      </c>
      <c r="P110" s="71">
        <v>6.75</v>
      </c>
      <c r="Q110" s="71">
        <v>16</v>
      </c>
      <c r="R110" s="71">
        <f t="shared" si="48"/>
        <v>108</v>
      </c>
      <c r="S110" s="325">
        <f>SUM(R110:R111)</f>
        <v>211.35000000000002</v>
      </c>
      <c r="T110" s="325">
        <v>400</v>
      </c>
      <c r="U110" s="325">
        <f>T110-S110</f>
        <v>188.64999999999998</v>
      </c>
      <c r="V110" s="330">
        <f>U110/T110</f>
        <v>0.47162499999999996</v>
      </c>
      <c r="Y110" s="270"/>
      <c r="Z110" s="144" t="s">
        <v>1416</v>
      </c>
      <c r="AA110" s="77" t="s">
        <v>1361</v>
      </c>
      <c r="AB110" s="104"/>
      <c r="AC110" s="104"/>
      <c r="AD110" s="104"/>
      <c r="AE110" s="325">
        <f>SUM(AD110:AD111)</f>
        <v>103.35000000000001</v>
      </c>
      <c r="AF110" s="325">
        <v>400</v>
      </c>
      <c r="AG110" s="325">
        <f>AF110-AE110</f>
        <v>296.64999999999998</v>
      </c>
      <c r="AH110" s="330">
        <f>AG110/AF110</f>
        <v>0.74162499999999998</v>
      </c>
    </row>
    <row r="111" spans="2:34" ht="13">
      <c r="B111" s="277" t="s">
        <v>1</v>
      </c>
      <c r="C111" s="155" t="s">
        <v>1417</v>
      </c>
      <c r="D111" s="19" t="s">
        <v>1308</v>
      </c>
      <c r="E111" s="17">
        <v>24.3</v>
      </c>
      <c r="F111" s="17">
        <v>15</v>
      </c>
      <c r="G111" s="24">
        <f t="shared" ref="G111:G112" si="52">E111*F111+20</f>
        <v>384.5</v>
      </c>
      <c r="H111" s="325">
        <f>SUM(G111:G118)</f>
        <v>1523.1200000000003</v>
      </c>
      <c r="I111" s="325">
        <v>2275</v>
      </c>
      <c r="J111" s="325">
        <f>I111-H111</f>
        <v>751.87999999999965</v>
      </c>
      <c r="K111" s="328">
        <f t="shared" si="51"/>
        <v>0.33049670329670316</v>
      </c>
      <c r="M111" s="270"/>
      <c r="N111" s="140"/>
      <c r="O111" s="20" t="s">
        <v>310</v>
      </c>
      <c r="P111" s="21">
        <v>7.95</v>
      </c>
      <c r="Q111" s="21">
        <v>13</v>
      </c>
      <c r="R111" s="21">
        <f t="shared" si="48"/>
        <v>103.35000000000001</v>
      </c>
      <c r="S111" s="248"/>
      <c r="T111" s="248"/>
      <c r="U111" s="248"/>
      <c r="V111" s="303"/>
      <c r="Y111" s="270"/>
      <c r="Z111" s="140"/>
      <c r="AA111" s="20" t="s">
        <v>310</v>
      </c>
      <c r="AB111" s="21">
        <v>7.95</v>
      </c>
      <c r="AC111" s="21">
        <v>13</v>
      </c>
      <c r="AD111" s="21">
        <f t="shared" ref="AD111:AD112" si="53">AB111*AC111</f>
        <v>103.35000000000001</v>
      </c>
      <c r="AE111" s="248"/>
      <c r="AF111" s="248"/>
      <c r="AG111" s="248"/>
      <c r="AH111" s="303"/>
    </row>
    <row r="112" spans="2:34" ht="14">
      <c r="B112" s="249"/>
      <c r="C112" s="156"/>
      <c r="D112" s="19" t="s">
        <v>95</v>
      </c>
      <c r="E112" s="17">
        <v>25.3</v>
      </c>
      <c r="F112" s="17">
        <v>15</v>
      </c>
      <c r="G112" s="24">
        <f t="shared" si="52"/>
        <v>399.5</v>
      </c>
      <c r="H112" s="236"/>
      <c r="I112" s="236"/>
      <c r="J112" s="236"/>
      <c r="K112" s="266"/>
      <c r="M112" s="270"/>
      <c r="N112" s="144" t="s">
        <v>1418</v>
      </c>
      <c r="O112" s="77" t="s">
        <v>715</v>
      </c>
      <c r="P112" s="71">
        <v>1</v>
      </c>
      <c r="Q112" s="71">
        <v>50</v>
      </c>
      <c r="R112" s="71">
        <f t="shared" si="48"/>
        <v>50</v>
      </c>
      <c r="S112" s="239">
        <f>SUM(R112:R113)</f>
        <v>50</v>
      </c>
      <c r="T112" s="239">
        <v>590</v>
      </c>
      <c r="U112" s="239">
        <f>T112-S112</f>
        <v>540</v>
      </c>
      <c r="V112" s="259">
        <f>U112/T112</f>
        <v>0.9152542372881356</v>
      </c>
      <c r="Y112" s="270"/>
      <c r="Z112" s="144" t="s">
        <v>1418</v>
      </c>
      <c r="AA112" s="77" t="s">
        <v>715</v>
      </c>
      <c r="AB112" s="71">
        <v>1</v>
      </c>
      <c r="AC112" s="71">
        <v>50</v>
      </c>
      <c r="AD112" s="71">
        <f t="shared" si="53"/>
        <v>50</v>
      </c>
      <c r="AE112" s="325">
        <f>SUM(AD112:AD113)</f>
        <v>50</v>
      </c>
      <c r="AF112" s="325">
        <v>590</v>
      </c>
      <c r="AG112" s="325">
        <f>AF112-AE112</f>
        <v>540</v>
      </c>
      <c r="AH112" s="330">
        <f>AG112/AF112</f>
        <v>0.9152542372881356</v>
      </c>
    </row>
    <row r="113" spans="2:34" ht="13">
      <c r="B113" s="249"/>
      <c r="C113" s="156"/>
      <c r="D113" s="24" t="s">
        <v>1419</v>
      </c>
      <c r="E113" s="11"/>
      <c r="F113" s="11"/>
      <c r="G113" s="17">
        <v>172.33</v>
      </c>
      <c r="H113" s="236"/>
      <c r="I113" s="236"/>
      <c r="J113" s="236"/>
      <c r="K113" s="266"/>
      <c r="M113" s="270"/>
      <c r="N113" s="140"/>
      <c r="O113" s="20"/>
      <c r="P113" s="21"/>
      <c r="Q113" s="21"/>
      <c r="R113" s="21"/>
      <c r="S113" s="248"/>
      <c r="T113" s="248"/>
      <c r="U113" s="248"/>
      <c r="V113" s="303"/>
      <c r="Y113" s="270"/>
      <c r="Z113" s="140"/>
      <c r="AA113" s="20"/>
      <c r="AB113" s="21"/>
      <c r="AC113" s="21"/>
      <c r="AD113" s="21"/>
      <c r="AE113" s="248"/>
      <c r="AF113" s="248"/>
      <c r="AG113" s="248"/>
      <c r="AH113" s="303"/>
    </row>
    <row r="114" spans="2:34" ht="14">
      <c r="B114" s="249"/>
      <c r="C114" s="156"/>
      <c r="D114" s="24" t="s">
        <v>1420</v>
      </c>
      <c r="E114" s="11"/>
      <c r="F114" s="11"/>
      <c r="G114" s="17">
        <v>135.78</v>
      </c>
      <c r="H114" s="236"/>
      <c r="I114" s="236"/>
      <c r="J114" s="236"/>
      <c r="K114" s="266"/>
      <c r="M114" s="270"/>
      <c r="N114" s="144" t="s">
        <v>1421</v>
      </c>
      <c r="O114" s="77" t="s">
        <v>1361</v>
      </c>
      <c r="P114" s="71">
        <v>9</v>
      </c>
      <c r="Q114" s="71">
        <v>15</v>
      </c>
      <c r="R114" s="71">
        <f t="shared" ref="R114:R119" si="54">P114*Q114</f>
        <v>135</v>
      </c>
      <c r="S114" s="239">
        <f>SUM(R114:R120)</f>
        <v>1005.14</v>
      </c>
      <c r="T114" s="239">
        <v>2676</v>
      </c>
      <c r="U114" s="239">
        <f>T114-S114</f>
        <v>1670.8600000000001</v>
      </c>
      <c r="V114" s="259">
        <f>U114/T114</f>
        <v>0.62438714499252623</v>
      </c>
      <c r="Y114" s="270"/>
      <c r="Z114" s="144" t="s">
        <v>1421</v>
      </c>
      <c r="AA114" s="77" t="s">
        <v>1361</v>
      </c>
      <c r="AB114" s="104"/>
      <c r="AC114" s="104"/>
      <c r="AD114" s="104"/>
      <c r="AE114" s="325">
        <f>SUM(AD114:AD120)</f>
        <v>600.14</v>
      </c>
      <c r="AF114" s="325">
        <v>2676</v>
      </c>
      <c r="AG114" s="325">
        <f>AF114-AE114</f>
        <v>2075.86</v>
      </c>
      <c r="AH114" s="330">
        <f>AG114/AF114</f>
        <v>0.7757324364723468</v>
      </c>
    </row>
    <row r="115" spans="2:34" ht="13">
      <c r="B115" s="249"/>
      <c r="C115" s="156"/>
      <c r="D115" s="24" t="s">
        <v>47</v>
      </c>
      <c r="G115" s="17">
        <v>296.61</v>
      </c>
      <c r="H115" s="236"/>
      <c r="I115" s="236"/>
      <c r="J115" s="236"/>
      <c r="K115" s="266"/>
      <c r="M115" s="270"/>
      <c r="N115" s="1"/>
      <c r="O115" s="19" t="s">
        <v>114</v>
      </c>
      <c r="P115" s="17">
        <v>18</v>
      </c>
      <c r="Q115" s="17">
        <v>15</v>
      </c>
      <c r="R115" s="17">
        <f t="shared" si="54"/>
        <v>270</v>
      </c>
      <c r="S115" s="236"/>
      <c r="T115" s="236"/>
      <c r="U115" s="236"/>
      <c r="V115" s="242"/>
      <c r="Y115" s="270"/>
      <c r="Z115" s="1"/>
      <c r="AA115" s="19" t="s">
        <v>114</v>
      </c>
      <c r="AB115" s="18"/>
      <c r="AC115" s="18"/>
      <c r="AD115" s="18"/>
      <c r="AE115" s="236"/>
      <c r="AF115" s="236"/>
      <c r="AG115" s="236"/>
      <c r="AH115" s="242"/>
    </row>
    <row r="116" spans="2:34" ht="13">
      <c r="B116" s="249"/>
      <c r="C116" s="156"/>
      <c r="D116" s="24" t="s">
        <v>193</v>
      </c>
      <c r="G116" s="17">
        <v>59.4</v>
      </c>
      <c r="H116" s="236"/>
      <c r="I116" s="236"/>
      <c r="J116" s="236"/>
      <c r="K116" s="266"/>
      <c r="M116" s="270"/>
      <c r="N116" s="1"/>
      <c r="O116" s="19" t="s">
        <v>1353</v>
      </c>
      <c r="P116" s="17">
        <v>9</v>
      </c>
      <c r="Q116" s="17">
        <v>15</v>
      </c>
      <c r="R116" s="17">
        <f t="shared" si="54"/>
        <v>135</v>
      </c>
      <c r="S116" s="236"/>
      <c r="T116" s="236"/>
      <c r="U116" s="236"/>
      <c r="V116" s="242"/>
      <c r="Y116" s="270"/>
      <c r="Z116" s="1"/>
      <c r="AA116" s="19" t="s">
        <v>1353</v>
      </c>
      <c r="AB116" s="17">
        <v>9</v>
      </c>
      <c r="AC116" s="17">
        <v>15</v>
      </c>
      <c r="AD116" s="17">
        <f t="shared" ref="AD116:AD119" si="55">AB116*AC116</f>
        <v>135</v>
      </c>
      <c r="AE116" s="236"/>
      <c r="AF116" s="236"/>
      <c r="AG116" s="236"/>
      <c r="AH116" s="242"/>
    </row>
    <row r="117" spans="2:34" ht="13">
      <c r="B117" s="249"/>
      <c r="C117" s="156"/>
      <c r="D117" s="24" t="s">
        <v>1358</v>
      </c>
      <c r="G117" s="17">
        <v>4</v>
      </c>
      <c r="H117" s="236"/>
      <c r="I117" s="236"/>
      <c r="J117" s="236"/>
      <c r="K117" s="266"/>
      <c r="M117" s="270"/>
      <c r="N117" s="1"/>
      <c r="O117" s="19" t="s">
        <v>715</v>
      </c>
      <c r="P117" s="17">
        <v>6</v>
      </c>
      <c r="Q117" s="17">
        <v>15</v>
      </c>
      <c r="R117" s="17">
        <f t="shared" si="54"/>
        <v>90</v>
      </c>
      <c r="S117" s="236"/>
      <c r="T117" s="236"/>
      <c r="U117" s="236"/>
      <c r="V117" s="242"/>
      <c r="Y117" s="270"/>
      <c r="Z117" s="1"/>
      <c r="AA117" s="19" t="s">
        <v>715</v>
      </c>
      <c r="AB117" s="17">
        <v>6</v>
      </c>
      <c r="AC117" s="17">
        <v>15</v>
      </c>
      <c r="AD117" s="17">
        <f t="shared" si="55"/>
        <v>90</v>
      </c>
      <c r="AE117" s="236"/>
      <c r="AF117" s="236"/>
      <c r="AG117" s="236"/>
      <c r="AH117" s="242"/>
    </row>
    <row r="118" spans="2:34" ht="13">
      <c r="B118" s="249"/>
      <c r="C118" s="156"/>
      <c r="D118" s="24" t="s">
        <v>45</v>
      </c>
      <c r="G118" s="17">
        <v>71</v>
      </c>
      <c r="H118" s="236"/>
      <c r="I118" s="236"/>
      <c r="J118" s="236"/>
      <c r="K118" s="266"/>
      <c r="M118" s="270"/>
      <c r="N118" s="1"/>
      <c r="O118" s="19" t="s">
        <v>310</v>
      </c>
      <c r="P118" s="17">
        <v>3</v>
      </c>
      <c r="Q118" s="17">
        <v>15</v>
      </c>
      <c r="R118" s="17">
        <f t="shared" si="54"/>
        <v>45</v>
      </c>
      <c r="S118" s="236"/>
      <c r="T118" s="236"/>
      <c r="U118" s="236"/>
      <c r="V118" s="242"/>
      <c r="Y118" s="270"/>
      <c r="Z118" s="1"/>
      <c r="AA118" s="19" t="s">
        <v>310</v>
      </c>
      <c r="AB118" s="17">
        <v>3</v>
      </c>
      <c r="AC118" s="17">
        <v>15</v>
      </c>
      <c r="AD118" s="17">
        <f t="shared" si="55"/>
        <v>45</v>
      </c>
      <c r="AE118" s="236"/>
      <c r="AF118" s="236"/>
      <c r="AG118" s="236"/>
      <c r="AH118" s="242"/>
    </row>
    <row r="119" spans="2:34" ht="13">
      <c r="B119" s="249"/>
      <c r="C119" s="157" t="s">
        <v>1422</v>
      </c>
      <c r="D119" s="123" t="s">
        <v>1423</v>
      </c>
      <c r="E119" s="158"/>
      <c r="F119" s="158"/>
      <c r="G119" s="124">
        <v>112.5</v>
      </c>
      <c r="H119" s="320">
        <f>SUM(G119:G126)</f>
        <v>1423.31</v>
      </c>
      <c r="I119" s="320">
        <v>2175</v>
      </c>
      <c r="J119" s="320">
        <f>I119-H119</f>
        <v>751.69</v>
      </c>
      <c r="K119" s="321">
        <f>J119/I119</f>
        <v>0.34560459770114943</v>
      </c>
      <c r="M119" s="270"/>
      <c r="N119" s="1"/>
      <c r="O119" s="19" t="s">
        <v>97</v>
      </c>
      <c r="P119" s="17">
        <v>3</v>
      </c>
      <c r="Q119" s="17">
        <v>15</v>
      </c>
      <c r="R119" s="17">
        <f t="shared" si="54"/>
        <v>45</v>
      </c>
      <c r="S119" s="236"/>
      <c r="T119" s="236"/>
      <c r="U119" s="236"/>
      <c r="V119" s="242"/>
      <c r="Y119" s="270"/>
      <c r="Z119" s="1"/>
      <c r="AA119" s="19" t="s">
        <v>97</v>
      </c>
      <c r="AB119" s="17">
        <v>3</v>
      </c>
      <c r="AC119" s="17">
        <v>15</v>
      </c>
      <c r="AD119" s="17">
        <f t="shared" si="55"/>
        <v>45</v>
      </c>
      <c r="AE119" s="236"/>
      <c r="AF119" s="236"/>
      <c r="AG119" s="236"/>
      <c r="AH119" s="242"/>
    </row>
    <row r="120" spans="2:34" ht="13">
      <c r="B120" s="249"/>
      <c r="C120" s="155"/>
      <c r="D120" s="19" t="s">
        <v>1424</v>
      </c>
      <c r="E120" s="11"/>
      <c r="F120" s="11"/>
      <c r="G120" s="17">
        <v>100</v>
      </c>
      <c r="H120" s="236"/>
      <c r="I120" s="236"/>
      <c r="J120" s="236"/>
      <c r="K120" s="266"/>
      <c r="M120" s="270"/>
      <c r="N120" s="140"/>
      <c r="O120" s="20" t="s">
        <v>33</v>
      </c>
      <c r="P120" s="20">
        <v>1</v>
      </c>
      <c r="Q120" s="20">
        <v>0</v>
      </c>
      <c r="R120" s="20">
        <v>285.14</v>
      </c>
      <c r="S120" s="248"/>
      <c r="T120" s="248"/>
      <c r="U120" s="248"/>
      <c r="V120" s="303"/>
      <c r="Y120" s="270"/>
      <c r="Z120" s="140"/>
      <c r="AA120" s="20" t="s">
        <v>33</v>
      </c>
      <c r="AB120" s="20">
        <v>1</v>
      </c>
      <c r="AC120" s="20">
        <v>0</v>
      </c>
      <c r="AD120" s="20">
        <v>285.14</v>
      </c>
      <c r="AE120" s="248"/>
      <c r="AF120" s="248"/>
      <c r="AG120" s="248"/>
      <c r="AH120" s="303"/>
    </row>
    <row r="121" spans="2:34" ht="14">
      <c r="B121" s="249"/>
      <c r="C121" s="155"/>
      <c r="D121" s="19" t="s">
        <v>1425</v>
      </c>
      <c r="E121" s="11"/>
      <c r="F121" s="11"/>
      <c r="G121" s="17">
        <v>250.5</v>
      </c>
      <c r="H121" s="236"/>
      <c r="I121" s="236"/>
      <c r="J121" s="236"/>
      <c r="K121" s="266"/>
      <c r="M121" s="270"/>
      <c r="N121" s="144" t="s">
        <v>1426</v>
      </c>
      <c r="O121" s="77" t="s">
        <v>449</v>
      </c>
      <c r="P121" s="71">
        <v>1</v>
      </c>
      <c r="Q121" s="71">
        <v>0</v>
      </c>
      <c r="R121" s="71">
        <v>110.76</v>
      </c>
      <c r="S121" s="239">
        <f>SUM(R121:R131)</f>
        <v>1448.05</v>
      </c>
      <c r="T121" s="239">
        <v>4503.6000000000004</v>
      </c>
      <c r="U121" s="239">
        <f>T121-S121</f>
        <v>3055.55</v>
      </c>
      <c r="V121" s="259">
        <f>U121/T121</f>
        <v>0.67846833644195748</v>
      </c>
      <c r="Y121" s="270"/>
      <c r="Z121" s="144" t="s">
        <v>1426</v>
      </c>
      <c r="AA121" s="77" t="s">
        <v>449</v>
      </c>
      <c r="AB121" s="71">
        <v>1</v>
      </c>
      <c r="AC121" s="71">
        <v>0</v>
      </c>
      <c r="AD121" s="71">
        <v>110.76</v>
      </c>
      <c r="AE121" s="325">
        <f>SUM(AD121:AD131)</f>
        <v>1313.05</v>
      </c>
      <c r="AF121" s="325">
        <v>4503.6000000000004</v>
      </c>
      <c r="AG121" s="325">
        <f>AF121-AE121</f>
        <v>3190.55</v>
      </c>
      <c r="AH121" s="330">
        <f>AG121/AF121</f>
        <v>0.70844435562660979</v>
      </c>
    </row>
    <row r="122" spans="2:34" ht="14">
      <c r="B122" s="249"/>
      <c r="C122" s="155"/>
      <c r="D122" s="19" t="s">
        <v>32</v>
      </c>
      <c r="E122" s="11"/>
      <c r="F122" s="11"/>
      <c r="G122" s="17">
        <v>250</v>
      </c>
      <c r="H122" s="236"/>
      <c r="I122" s="236"/>
      <c r="J122" s="236"/>
      <c r="K122" s="266"/>
      <c r="M122" s="270"/>
      <c r="N122" s="148"/>
      <c r="O122" s="19" t="s">
        <v>310</v>
      </c>
      <c r="P122" s="17">
        <v>13</v>
      </c>
      <c r="Q122" s="17">
        <v>15</v>
      </c>
      <c r="R122" s="17">
        <f t="shared" ref="R122:R130" si="56">P122*Q122</f>
        <v>195</v>
      </c>
      <c r="S122" s="236"/>
      <c r="T122" s="236"/>
      <c r="U122" s="236"/>
      <c r="V122" s="242"/>
      <c r="Y122" s="270"/>
      <c r="Z122" s="148"/>
      <c r="AA122" s="19" t="s">
        <v>310</v>
      </c>
      <c r="AB122" s="17">
        <v>13</v>
      </c>
      <c r="AC122" s="17">
        <v>15</v>
      </c>
      <c r="AD122" s="17">
        <f>AB122*AC122</f>
        <v>195</v>
      </c>
      <c r="AE122" s="236"/>
      <c r="AF122" s="236"/>
      <c r="AG122" s="236"/>
      <c r="AH122" s="242"/>
    </row>
    <row r="123" spans="2:34" ht="13">
      <c r="B123" s="249"/>
      <c r="C123" s="155"/>
      <c r="D123" s="24" t="s">
        <v>47</v>
      </c>
      <c r="G123" s="17">
        <v>296.31</v>
      </c>
      <c r="H123" s="236"/>
      <c r="I123" s="236"/>
      <c r="J123" s="236"/>
      <c r="K123" s="266"/>
      <c r="M123" s="270"/>
      <c r="N123" s="1"/>
      <c r="O123" s="19" t="s">
        <v>1361</v>
      </c>
      <c r="P123" s="17">
        <v>9</v>
      </c>
      <c r="Q123" s="17">
        <v>15</v>
      </c>
      <c r="R123" s="17">
        <f t="shared" si="56"/>
        <v>135</v>
      </c>
      <c r="S123" s="236"/>
      <c r="T123" s="236"/>
      <c r="U123" s="236"/>
      <c r="V123" s="242"/>
      <c r="Y123" s="270"/>
      <c r="Z123" s="1"/>
      <c r="AA123" s="19" t="s">
        <v>1361</v>
      </c>
      <c r="AB123" s="18"/>
      <c r="AC123" s="18"/>
      <c r="AD123" s="18"/>
      <c r="AE123" s="236"/>
      <c r="AF123" s="236"/>
      <c r="AG123" s="236"/>
      <c r="AH123" s="242"/>
    </row>
    <row r="124" spans="2:34" ht="13">
      <c r="B124" s="249"/>
      <c r="C124" s="155"/>
      <c r="D124" s="24" t="s">
        <v>1427</v>
      </c>
      <c r="G124" s="17">
        <v>205</v>
      </c>
      <c r="H124" s="236"/>
      <c r="I124" s="236"/>
      <c r="J124" s="236"/>
      <c r="K124" s="266"/>
      <c r="M124" s="270"/>
      <c r="N124" s="1"/>
      <c r="O124" s="19" t="s">
        <v>1235</v>
      </c>
      <c r="P124" s="17">
        <v>3</v>
      </c>
      <c r="Q124" s="17">
        <v>17</v>
      </c>
      <c r="R124" s="17">
        <f t="shared" si="56"/>
        <v>51</v>
      </c>
      <c r="S124" s="236"/>
      <c r="T124" s="236"/>
      <c r="U124" s="236"/>
      <c r="V124" s="242"/>
      <c r="Y124" s="270"/>
      <c r="Z124" s="1"/>
      <c r="AA124" s="19" t="s">
        <v>1235</v>
      </c>
      <c r="AB124" s="17">
        <v>3</v>
      </c>
      <c r="AC124" s="17">
        <v>17</v>
      </c>
      <c r="AD124" s="17">
        <f t="shared" ref="AD124:AD130" si="57">AB124*AC124</f>
        <v>51</v>
      </c>
      <c r="AE124" s="236"/>
      <c r="AF124" s="236"/>
      <c r="AG124" s="236"/>
      <c r="AH124" s="242"/>
    </row>
    <row r="125" spans="2:34" ht="13">
      <c r="B125" s="249"/>
      <c r="C125" s="155"/>
      <c r="D125" s="24" t="s">
        <v>1428</v>
      </c>
      <c r="G125" s="17">
        <v>131</v>
      </c>
      <c r="H125" s="236"/>
      <c r="I125" s="236"/>
      <c r="J125" s="236"/>
      <c r="K125" s="266"/>
      <c r="M125" s="270"/>
      <c r="N125" s="1"/>
      <c r="O125" s="19" t="s">
        <v>1242</v>
      </c>
      <c r="P125" s="17">
        <v>3</v>
      </c>
      <c r="Q125" s="17">
        <v>15</v>
      </c>
      <c r="R125" s="17">
        <f t="shared" si="56"/>
        <v>45</v>
      </c>
      <c r="S125" s="236"/>
      <c r="T125" s="236"/>
      <c r="U125" s="236"/>
      <c r="V125" s="242"/>
      <c r="Y125" s="270"/>
      <c r="Z125" s="1"/>
      <c r="AA125" s="19" t="s">
        <v>1242</v>
      </c>
      <c r="AB125" s="17">
        <v>3</v>
      </c>
      <c r="AC125" s="17">
        <v>15</v>
      </c>
      <c r="AD125" s="17">
        <f t="shared" si="57"/>
        <v>45</v>
      </c>
      <c r="AE125" s="236"/>
      <c r="AF125" s="236"/>
      <c r="AG125" s="236"/>
      <c r="AH125" s="242"/>
    </row>
    <row r="126" spans="2:34" ht="13">
      <c r="B126" s="249"/>
      <c r="C126" s="155"/>
      <c r="D126" s="24" t="s">
        <v>732</v>
      </c>
      <c r="G126" s="17">
        <v>78</v>
      </c>
      <c r="H126" s="236"/>
      <c r="I126" s="236"/>
      <c r="J126" s="236"/>
      <c r="K126" s="266"/>
      <c r="M126" s="270"/>
      <c r="N126" s="1"/>
      <c r="O126" s="19" t="s">
        <v>1353</v>
      </c>
      <c r="P126" s="17">
        <v>9</v>
      </c>
      <c r="Q126" s="17">
        <v>15</v>
      </c>
      <c r="R126" s="17">
        <f t="shared" si="56"/>
        <v>135</v>
      </c>
      <c r="S126" s="236"/>
      <c r="T126" s="236"/>
      <c r="U126" s="236"/>
      <c r="V126" s="242"/>
      <c r="Y126" s="270"/>
      <c r="Z126" s="1"/>
      <c r="AA126" s="19" t="s">
        <v>1353</v>
      </c>
      <c r="AB126" s="17">
        <v>9</v>
      </c>
      <c r="AC126" s="17">
        <v>15</v>
      </c>
      <c r="AD126" s="17">
        <f t="shared" si="57"/>
        <v>135</v>
      </c>
      <c r="AE126" s="236"/>
      <c r="AF126" s="236"/>
      <c r="AG126" s="236"/>
      <c r="AH126" s="242"/>
    </row>
    <row r="127" spans="2:34" ht="13">
      <c r="B127" s="249"/>
      <c r="C127" s="157" t="s">
        <v>1429</v>
      </c>
      <c r="D127" s="123" t="s">
        <v>1423</v>
      </c>
      <c r="E127" s="158"/>
      <c r="F127" s="158"/>
      <c r="G127" s="124">
        <v>100</v>
      </c>
      <c r="H127" s="320">
        <f>SUM(G127:G134)</f>
        <v>1043.9099999999999</v>
      </c>
      <c r="I127" s="320">
        <v>2275</v>
      </c>
      <c r="J127" s="320">
        <f>I127-H127</f>
        <v>1231.0900000000001</v>
      </c>
      <c r="K127" s="321">
        <f>J127/I127</f>
        <v>0.54113846153846157</v>
      </c>
      <c r="M127" s="270"/>
      <c r="N127" s="1"/>
      <c r="O127" s="19" t="s">
        <v>1430</v>
      </c>
      <c r="P127" s="17">
        <v>3</v>
      </c>
      <c r="Q127" s="17">
        <v>15</v>
      </c>
      <c r="R127" s="17">
        <f t="shared" si="56"/>
        <v>45</v>
      </c>
      <c r="S127" s="236"/>
      <c r="T127" s="236"/>
      <c r="U127" s="236"/>
      <c r="V127" s="242"/>
      <c r="Y127" s="270"/>
      <c r="Z127" s="1"/>
      <c r="AA127" s="19" t="s">
        <v>1430</v>
      </c>
      <c r="AB127" s="17">
        <v>3</v>
      </c>
      <c r="AC127" s="17">
        <v>15</v>
      </c>
      <c r="AD127" s="17">
        <f t="shared" si="57"/>
        <v>45</v>
      </c>
      <c r="AE127" s="236"/>
      <c r="AF127" s="236"/>
      <c r="AG127" s="236"/>
      <c r="AH127" s="242"/>
    </row>
    <row r="128" spans="2:34" ht="13">
      <c r="B128" s="249"/>
      <c r="C128" s="155"/>
      <c r="D128" s="19" t="s">
        <v>1424</v>
      </c>
      <c r="E128" s="11"/>
      <c r="F128" s="11"/>
      <c r="G128" s="17">
        <v>155</v>
      </c>
      <c r="H128" s="236"/>
      <c r="I128" s="236"/>
      <c r="J128" s="236"/>
      <c r="K128" s="266"/>
      <c r="M128" s="270"/>
      <c r="N128" s="1"/>
      <c r="O128" s="19" t="s">
        <v>97</v>
      </c>
      <c r="P128" s="17">
        <v>6</v>
      </c>
      <c r="Q128" s="17">
        <v>15</v>
      </c>
      <c r="R128" s="17">
        <f t="shared" si="56"/>
        <v>90</v>
      </c>
      <c r="S128" s="236"/>
      <c r="T128" s="236"/>
      <c r="U128" s="236"/>
      <c r="V128" s="242"/>
      <c r="Y128" s="270"/>
      <c r="Z128" s="1"/>
      <c r="AA128" s="19" t="s">
        <v>97</v>
      </c>
      <c r="AB128" s="17">
        <v>6</v>
      </c>
      <c r="AC128" s="17">
        <v>15</v>
      </c>
      <c r="AD128" s="17">
        <f t="shared" si="57"/>
        <v>90</v>
      </c>
      <c r="AE128" s="236"/>
      <c r="AF128" s="236"/>
      <c r="AG128" s="236"/>
      <c r="AH128" s="242"/>
    </row>
    <row r="129" spans="2:34" ht="13">
      <c r="B129" s="249"/>
      <c r="C129" s="155"/>
      <c r="D129" s="19" t="s">
        <v>1425</v>
      </c>
      <c r="E129" s="11"/>
      <c r="F129" s="11"/>
      <c r="G129" s="17">
        <v>175.5</v>
      </c>
      <c r="H129" s="236"/>
      <c r="I129" s="236"/>
      <c r="J129" s="236"/>
      <c r="K129" s="266"/>
      <c r="M129" s="270"/>
      <c r="N129" s="1"/>
      <c r="O129" s="19" t="s">
        <v>973</v>
      </c>
      <c r="P129" s="17">
        <v>12</v>
      </c>
      <c r="Q129" s="17">
        <v>15</v>
      </c>
      <c r="R129" s="17">
        <f t="shared" si="56"/>
        <v>180</v>
      </c>
      <c r="S129" s="236"/>
      <c r="T129" s="236"/>
      <c r="U129" s="236"/>
      <c r="V129" s="242"/>
      <c r="Y129" s="270"/>
      <c r="Z129" s="1"/>
      <c r="AA129" s="19" t="s">
        <v>973</v>
      </c>
      <c r="AB129" s="17">
        <v>12</v>
      </c>
      <c r="AC129" s="17">
        <v>15</v>
      </c>
      <c r="AD129" s="17">
        <f t="shared" si="57"/>
        <v>180</v>
      </c>
      <c r="AE129" s="236"/>
      <c r="AF129" s="236"/>
      <c r="AG129" s="236"/>
      <c r="AH129" s="242"/>
    </row>
    <row r="130" spans="2:34" ht="13">
      <c r="B130" s="249"/>
      <c r="C130" s="155"/>
      <c r="D130" s="19" t="s">
        <v>1431</v>
      </c>
      <c r="E130" s="19"/>
      <c r="F130" s="19"/>
      <c r="G130" s="17">
        <v>50</v>
      </c>
      <c r="H130" s="236"/>
      <c r="I130" s="236"/>
      <c r="J130" s="236"/>
      <c r="K130" s="266"/>
      <c r="M130" s="270"/>
      <c r="N130" s="1"/>
      <c r="O130" s="19" t="s">
        <v>870</v>
      </c>
      <c r="P130" s="17">
        <v>3</v>
      </c>
      <c r="Q130" s="17">
        <v>15</v>
      </c>
      <c r="R130" s="17">
        <f t="shared" si="56"/>
        <v>45</v>
      </c>
      <c r="S130" s="236"/>
      <c r="T130" s="236"/>
      <c r="U130" s="236"/>
      <c r="V130" s="242"/>
      <c r="Y130" s="270"/>
      <c r="Z130" s="1"/>
      <c r="AA130" s="19" t="s">
        <v>870</v>
      </c>
      <c r="AB130" s="17">
        <v>3</v>
      </c>
      <c r="AC130" s="17">
        <v>15</v>
      </c>
      <c r="AD130" s="17">
        <f t="shared" si="57"/>
        <v>45</v>
      </c>
      <c r="AE130" s="236"/>
      <c r="AF130" s="236"/>
      <c r="AG130" s="236"/>
      <c r="AH130" s="242"/>
    </row>
    <row r="131" spans="2:34" ht="13">
      <c r="B131" s="249"/>
      <c r="C131" s="155"/>
      <c r="D131" s="19" t="s">
        <v>47</v>
      </c>
      <c r="E131" s="19"/>
      <c r="F131" s="19"/>
      <c r="G131" s="17">
        <v>250.41</v>
      </c>
      <c r="H131" s="236"/>
      <c r="I131" s="236"/>
      <c r="J131" s="236"/>
      <c r="K131" s="266"/>
      <c r="M131" s="270"/>
      <c r="N131" s="140"/>
      <c r="O131" s="20" t="s">
        <v>33</v>
      </c>
      <c r="P131" s="21">
        <v>1</v>
      </c>
      <c r="Q131" s="21">
        <v>0</v>
      </c>
      <c r="R131" s="21">
        <v>416.29</v>
      </c>
      <c r="S131" s="248"/>
      <c r="T131" s="248"/>
      <c r="U131" s="248"/>
      <c r="V131" s="303"/>
      <c r="Y131" s="270"/>
      <c r="Z131" s="140"/>
      <c r="AA131" s="20" t="s">
        <v>33</v>
      </c>
      <c r="AB131" s="21">
        <v>1</v>
      </c>
      <c r="AC131" s="21">
        <v>0</v>
      </c>
      <c r="AD131" s="21">
        <v>416.29</v>
      </c>
      <c r="AE131" s="248"/>
      <c r="AF131" s="248"/>
      <c r="AG131" s="248"/>
      <c r="AH131" s="303"/>
    </row>
    <row r="132" spans="2:34" ht="14">
      <c r="B132" s="249"/>
      <c r="C132" s="155"/>
      <c r="D132" s="19" t="s">
        <v>1427</v>
      </c>
      <c r="E132" s="19"/>
      <c r="F132" s="19"/>
      <c r="G132" s="17">
        <v>70</v>
      </c>
      <c r="H132" s="236"/>
      <c r="I132" s="236"/>
      <c r="J132" s="236"/>
      <c r="K132" s="266"/>
      <c r="M132" s="270"/>
      <c r="N132" s="144" t="s">
        <v>1432</v>
      </c>
      <c r="O132" s="77" t="s">
        <v>986</v>
      </c>
      <c r="P132" s="71">
        <v>1</v>
      </c>
      <c r="Q132" s="71">
        <v>0</v>
      </c>
      <c r="R132" s="71">
        <v>320</v>
      </c>
      <c r="S132" s="239">
        <f>SUM(R132:R133)</f>
        <v>667.08999999999992</v>
      </c>
      <c r="T132" s="239">
        <v>4657.5</v>
      </c>
      <c r="U132" s="239">
        <f>T132-S132</f>
        <v>3990.41</v>
      </c>
      <c r="V132" s="259">
        <f>U132/T132</f>
        <v>0.85677079978529247</v>
      </c>
      <c r="Y132" s="270"/>
      <c r="Z132" s="144" t="s">
        <v>1432</v>
      </c>
      <c r="AA132" s="77" t="s">
        <v>986</v>
      </c>
      <c r="AB132" s="71">
        <v>1</v>
      </c>
      <c r="AC132" s="71">
        <v>0</v>
      </c>
      <c r="AD132" s="71">
        <v>320</v>
      </c>
      <c r="AE132" s="325">
        <f>SUM(AD132:AD133)</f>
        <v>667.08999999999992</v>
      </c>
      <c r="AF132" s="325">
        <v>4657.5</v>
      </c>
      <c r="AG132" s="325">
        <f>AF132-AE132</f>
        <v>3990.41</v>
      </c>
      <c r="AH132" s="330">
        <f>AG132/AF132</f>
        <v>0.85677079978529247</v>
      </c>
    </row>
    <row r="133" spans="2:34" ht="13">
      <c r="B133" s="249"/>
      <c r="C133" s="155"/>
      <c r="D133" s="19" t="s">
        <v>1428</v>
      </c>
      <c r="E133" s="19"/>
      <c r="F133" s="19"/>
      <c r="G133" s="17">
        <f>118+25</f>
        <v>143</v>
      </c>
      <c r="H133" s="236"/>
      <c r="I133" s="236"/>
      <c r="J133" s="236"/>
      <c r="K133" s="266"/>
      <c r="M133" s="270"/>
      <c r="N133" s="140"/>
      <c r="O133" s="20" t="s">
        <v>33</v>
      </c>
      <c r="P133" s="21">
        <v>1</v>
      </c>
      <c r="Q133" s="21">
        <v>0</v>
      </c>
      <c r="R133" s="21">
        <v>347.09</v>
      </c>
      <c r="S133" s="248"/>
      <c r="T133" s="248"/>
      <c r="U133" s="248"/>
      <c r="V133" s="303"/>
      <c r="Y133" s="270"/>
      <c r="Z133" s="140"/>
      <c r="AA133" s="20" t="s">
        <v>33</v>
      </c>
      <c r="AB133" s="21">
        <v>1</v>
      </c>
      <c r="AC133" s="21">
        <v>0</v>
      </c>
      <c r="AD133" s="21">
        <v>347.09</v>
      </c>
      <c r="AE133" s="248"/>
      <c r="AF133" s="248"/>
      <c r="AG133" s="248"/>
      <c r="AH133" s="303"/>
    </row>
    <row r="134" spans="2:34" ht="14">
      <c r="B134" s="249"/>
      <c r="C134" s="155"/>
      <c r="D134" s="19" t="s">
        <v>732</v>
      </c>
      <c r="E134" s="19"/>
      <c r="F134" s="19"/>
      <c r="G134" s="17">
        <v>100</v>
      </c>
      <c r="H134" s="236"/>
      <c r="I134" s="236"/>
      <c r="J134" s="236"/>
      <c r="K134" s="266"/>
      <c r="M134" s="270"/>
      <c r="N134" s="144" t="s">
        <v>1433</v>
      </c>
      <c r="O134" s="77" t="s">
        <v>33</v>
      </c>
      <c r="P134" s="71">
        <v>1</v>
      </c>
      <c r="Q134" s="71">
        <v>0</v>
      </c>
      <c r="R134" s="71">
        <v>215</v>
      </c>
      <c r="S134" s="239">
        <f>SUM(R134:R141)</f>
        <v>1091.8000000000002</v>
      </c>
      <c r="T134" s="239">
        <v>4392.17</v>
      </c>
      <c r="U134" s="239">
        <f>T134-S134</f>
        <v>3300.37</v>
      </c>
      <c r="V134" s="259">
        <f>U134/T134</f>
        <v>0.75142127923099511</v>
      </c>
      <c r="Y134" s="270"/>
      <c r="Z134" s="144" t="s">
        <v>1433</v>
      </c>
      <c r="AA134" s="77" t="s">
        <v>33</v>
      </c>
      <c r="AB134" s="71">
        <v>1</v>
      </c>
      <c r="AC134" s="71">
        <v>0</v>
      </c>
      <c r="AD134" s="71">
        <v>215</v>
      </c>
      <c r="AE134" s="325">
        <f>SUM(AD134:AD141)</f>
        <v>797.4</v>
      </c>
      <c r="AF134" s="325">
        <v>4392.17</v>
      </c>
      <c r="AG134" s="325">
        <f>AF134-AE134</f>
        <v>3594.77</v>
      </c>
      <c r="AH134" s="330">
        <f>AG134/AF134</f>
        <v>0.81844965017292137</v>
      </c>
    </row>
    <row r="135" spans="2:34" ht="14">
      <c r="B135" s="249"/>
      <c r="C135" s="157" t="s">
        <v>1434</v>
      </c>
      <c r="D135" s="159" t="s">
        <v>1308</v>
      </c>
      <c r="E135" s="158">
        <v>20.9</v>
      </c>
      <c r="F135" s="158">
        <v>15</v>
      </c>
      <c r="G135" s="159">
        <f t="shared" ref="G135:G136" si="58">E135*F135+20</f>
        <v>333.5</v>
      </c>
      <c r="H135" s="320">
        <f>SUM(G135:G145)</f>
        <v>1723.18</v>
      </c>
      <c r="I135" s="320">
        <v>2275</v>
      </c>
      <c r="J135" s="320">
        <f>I135-H135</f>
        <v>551.81999999999994</v>
      </c>
      <c r="K135" s="321">
        <f>J135/I135</f>
        <v>0.24255824175824173</v>
      </c>
      <c r="M135" s="270"/>
      <c r="N135" s="148"/>
      <c r="O135" s="19" t="s">
        <v>1435</v>
      </c>
      <c r="P135" s="17">
        <v>15</v>
      </c>
      <c r="Q135" s="17">
        <v>17</v>
      </c>
      <c r="R135" s="17">
        <f t="shared" ref="R135:R141" si="59">P135*Q135</f>
        <v>255</v>
      </c>
      <c r="S135" s="236"/>
      <c r="T135" s="236"/>
      <c r="U135" s="236"/>
      <c r="V135" s="242"/>
      <c r="Y135" s="270"/>
      <c r="Z135" s="148"/>
      <c r="AA135" s="19" t="s">
        <v>1435</v>
      </c>
      <c r="AB135" s="17">
        <v>15</v>
      </c>
      <c r="AC135" s="17">
        <v>17</v>
      </c>
      <c r="AD135" s="17">
        <f t="shared" ref="AD135:AD137" si="60">AB135*AC135</f>
        <v>255</v>
      </c>
      <c r="AE135" s="236"/>
      <c r="AF135" s="236"/>
      <c r="AG135" s="236"/>
      <c r="AH135" s="242"/>
    </row>
    <row r="136" spans="2:34" ht="13">
      <c r="B136" s="249"/>
      <c r="C136" s="155"/>
      <c r="D136" s="24" t="s">
        <v>95</v>
      </c>
      <c r="E136" s="11">
        <v>23</v>
      </c>
      <c r="F136" s="11">
        <v>15</v>
      </c>
      <c r="G136" s="24">
        <f t="shared" si="58"/>
        <v>365</v>
      </c>
      <c r="H136" s="236"/>
      <c r="I136" s="236"/>
      <c r="J136" s="236"/>
      <c r="K136" s="266"/>
      <c r="M136" s="270"/>
      <c r="N136" s="1"/>
      <c r="O136" s="19" t="s">
        <v>1436</v>
      </c>
      <c r="P136" s="17">
        <v>3</v>
      </c>
      <c r="Q136" s="17">
        <v>15</v>
      </c>
      <c r="R136" s="17">
        <f t="shared" si="59"/>
        <v>45</v>
      </c>
      <c r="S136" s="236"/>
      <c r="T136" s="236"/>
      <c r="U136" s="236"/>
      <c r="V136" s="242"/>
      <c r="Y136" s="270"/>
      <c r="Z136" s="1"/>
      <c r="AA136" s="19" t="s">
        <v>1436</v>
      </c>
      <c r="AB136" s="17">
        <v>3</v>
      </c>
      <c r="AC136" s="17">
        <v>15</v>
      </c>
      <c r="AD136" s="17">
        <f t="shared" si="60"/>
        <v>45</v>
      </c>
      <c r="AE136" s="236"/>
      <c r="AF136" s="236"/>
      <c r="AG136" s="236"/>
      <c r="AH136" s="242"/>
    </row>
    <row r="137" spans="2:34" ht="13">
      <c r="B137" s="249"/>
      <c r="C137" s="155"/>
      <c r="D137" s="160" t="s">
        <v>1419</v>
      </c>
      <c r="E137" s="11"/>
      <c r="F137" s="11"/>
      <c r="G137" s="17">
        <v>163.12</v>
      </c>
      <c r="H137" s="236"/>
      <c r="I137" s="236"/>
      <c r="J137" s="236"/>
      <c r="K137" s="266"/>
      <c r="M137" s="270"/>
      <c r="N137" s="1"/>
      <c r="O137" s="19" t="s">
        <v>1353</v>
      </c>
      <c r="P137" s="17">
        <v>6</v>
      </c>
      <c r="Q137" s="17">
        <v>15</v>
      </c>
      <c r="R137" s="17">
        <f t="shared" si="59"/>
        <v>90</v>
      </c>
      <c r="S137" s="236"/>
      <c r="T137" s="236"/>
      <c r="U137" s="236"/>
      <c r="V137" s="242"/>
      <c r="Y137" s="270"/>
      <c r="Z137" s="1"/>
      <c r="AA137" s="19" t="s">
        <v>1353</v>
      </c>
      <c r="AB137" s="17">
        <v>6</v>
      </c>
      <c r="AC137" s="17">
        <v>15</v>
      </c>
      <c r="AD137" s="17">
        <f t="shared" si="60"/>
        <v>90</v>
      </c>
      <c r="AE137" s="236"/>
      <c r="AF137" s="236"/>
      <c r="AG137" s="236"/>
      <c r="AH137" s="242"/>
    </row>
    <row r="138" spans="2:34" ht="13">
      <c r="B138" s="249"/>
      <c r="C138" s="155"/>
      <c r="D138" s="160" t="s">
        <v>1420</v>
      </c>
      <c r="E138" s="11"/>
      <c r="F138" s="11"/>
      <c r="G138" s="17">
        <v>171.86</v>
      </c>
      <c r="H138" s="236"/>
      <c r="I138" s="236"/>
      <c r="J138" s="236"/>
      <c r="K138" s="266"/>
      <c r="M138" s="270"/>
      <c r="N138" s="1"/>
      <c r="O138" s="19" t="s">
        <v>114</v>
      </c>
      <c r="P138" s="17">
        <v>3</v>
      </c>
      <c r="Q138" s="17">
        <v>16</v>
      </c>
      <c r="R138" s="17">
        <f t="shared" si="59"/>
        <v>48</v>
      </c>
      <c r="S138" s="236"/>
      <c r="T138" s="236"/>
      <c r="U138" s="236"/>
      <c r="V138" s="242"/>
      <c r="Y138" s="270"/>
      <c r="Z138" s="1"/>
      <c r="AA138" s="19" t="s">
        <v>114</v>
      </c>
      <c r="AB138" s="18"/>
      <c r="AC138" s="18"/>
      <c r="AD138" s="18"/>
      <c r="AE138" s="236"/>
      <c r="AF138" s="236"/>
      <c r="AG138" s="236"/>
      <c r="AH138" s="242"/>
    </row>
    <row r="139" spans="2:34" ht="13">
      <c r="B139" s="249"/>
      <c r="C139" s="155"/>
      <c r="D139" s="24" t="s">
        <v>47</v>
      </c>
      <c r="G139" s="17">
        <v>180</v>
      </c>
      <c r="H139" s="236"/>
      <c r="I139" s="236"/>
      <c r="J139" s="236"/>
      <c r="K139" s="266"/>
      <c r="M139" s="270"/>
      <c r="N139" s="1"/>
      <c r="O139" s="19" t="s">
        <v>1361</v>
      </c>
      <c r="P139" s="17">
        <v>15.4</v>
      </c>
      <c r="Q139" s="17">
        <v>16</v>
      </c>
      <c r="R139" s="17">
        <f t="shared" si="59"/>
        <v>246.4</v>
      </c>
      <c r="S139" s="236"/>
      <c r="T139" s="236"/>
      <c r="U139" s="236"/>
      <c r="V139" s="242"/>
      <c r="Y139" s="270"/>
      <c r="Z139" s="1"/>
      <c r="AA139" s="19" t="s">
        <v>1361</v>
      </c>
      <c r="AB139" s="18"/>
      <c r="AC139" s="18"/>
      <c r="AD139" s="18"/>
      <c r="AE139" s="236"/>
      <c r="AF139" s="236"/>
      <c r="AG139" s="236"/>
      <c r="AH139" s="242"/>
    </row>
    <row r="140" spans="2:34" ht="13">
      <c r="B140" s="249"/>
      <c r="C140" s="155"/>
      <c r="D140" s="24" t="s">
        <v>1437</v>
      </c>
      <c r="G140" s="17">
        <v>4.9000000000000004</v>
      </c>
      <c r="H140" s="236"/>
      <c r="I140" s="236"/>
      <c r="J140" s="236"/>
      <c r="K140" s="266"/>
      <c r="M140" s="270"/>
      <c r="N140" s="1"/>
      <c r="O140" s="19" t="s">
        <v>1438</v>
      </c>
      <c r="P140" s="17">
        <v>10</v>
      </c>
      <c r="Q140" s="17">
        <v>13</v>
      </c>
      <c r="R140" s="17">
        <f t="shared" si="59"/>
        <v>130</v>
      </c>
      <c r="S140" s="236"/>
      <c r="T140" s="236"/>
      <c r="U140" s="236"/>
      <c r="V140" s="242"/>
      <c r="Y140" s="270"/>
      <c r="Z140" s="1"/>
      <c r="AA140" s="19" t="s">
        <v>1438</v>
      </c>
      <c r="AB140" s="17">
        <v>10</v>
      </c>
      <c r="AC140" s="17">
        <v>13</v>
      </c>
      <c r="AD140" s="17">
        <f t="shared" ref="AD140:AD141" si="61">AB140*AC140</f>
        <v>130</v>
      </c>
      <c r="AE140" s="236"/>
      <c r="AF140" s="236"/>
      <c r="AG140" s="236"/>
      <c r="AH140" s="242"/>
    </row>
    <row r="141" spans="2:34" ht="13">
      <c r="B141" s="249"/>
      <c r="C141" s="155"/>
      <c r="D141" s="24" t="s">
        <v>1358</v>
      </c>
      <c r="G141" s="17">
        <v>1.8</v>
      </c>
      <c r="H141" s="236"/>
      <c r="I141" s="236"/>
      <c r="J141" s="236"/>
      <c r="K141" s="266"/>
      <c r="M141" s="270"/>
      <c r="N141" s="140"/>
      <c r="O141" s="20" t="s">
        <v>1439</v>
      </c>
      <c r="P141" s="21">
        <v>4.8</v>
      </c>
      <c r="Q141" s="21">
        <v>13</v>
      </c>
      <c r="R141" s="21">
        <f t="shared" si="59"/>
        <v>62.4</v>
      </c>
      <c r="S141" s="248"/>
      <c r="T141" s="248"/>
      <c r="U141" s="248"/>
      <c r="V141" s="303"/>
      <c r="Y141" s="270"/>
      <c r="Z141" s="140"/>
      <c r="AA141" s="20" t="s">
        <v>1439</v>
      </c>
      <c r="AB141" s="21">
        <v>4.8</v>
      </c>
      <c r="AC141" s="21">
        <v>13</v>
      </c>
      <c r="AD141" s="21">
        <f t="shared" si="61"/>
        <v>62.4</v>
      </c>
      <c r="AE141" s="248"/>
      <c r="AF141" s="248"/>
      <c r="AG141" s="248"/>
      <c r="AH141" s="303"/>
    </row>
    <row r="142" spans="2:34" ht="14">
      <c r="B142" s="249"/>
      <c r="C142" s="155"/>
      <c r="D142" s="24" t="s">
        <v>45</v>
      </c>
      <c r="G142" s="17">
        <v>30</v>
      </c>
      <c r="H142" s="236"/>
      <c r="I142" s="236"/>
      <c r="J142" s="236"/>
      <c r="K142" s="266"/>
      <c r="M142" s="270"/>
      <c r="N142" s="144" t="s">
        <v>1440</v>
      </c>
      <c r="O142" s="77" t="s">
        <v>449</v>
      </c>
      <c r="P142" s="71">
        <v>1</v>
      </c>
      <c r="Q142" s="71">
        <v>0</v>
      </c>
      <c r="R142" s="71">
        <v>282.23</v>
      </c>
      <c r="S142" s="239">
        <f>SUM(R142:R150)</f>
        <v>1552.72</v>
      </c>
      <c r="T142" s="239">
        <v>4069.8</v>
      </c>
      <c r="U142" s="239">
        <f>T142-S142</f>
        <v>2517.08</v>
      </c>
      <c r="V142" s="259">
        <f>U142/T142</f>
        <v>0.61847756646518248</v>
      </c>
      <c r="Y142" s="270"/>
      <c r="Z142" s="144" t="s">
        <v>1440</v>
      </c>
      <c r="AA142" s="77" t="s">
        <v>449</v>
      </c>
      <c r="AB142" s="71">
        <v>1</v>
      </c>
      <c r="AC142" s="71">
        <v>0</v>
      </c>
      <c r="AD142" s="71">
        <v>282.23</v>
      </c>
      <c r="AE142" s="325">
        <f>SUM(AD142:AD150)</f>
        <v>1504.72</v>
      </c>
      <c r="AF142" s="325">
        <v>4069.8</v>
      </c>
      <c r="AG142" s="325">
        <f>AF142-AE142</f>
        <v>2565.08</v>
      </c>
      <c r="AH142" s="330">
        <f>AG142/AF142</f>
        <v>0.63027175782593736</v>
      </c>
    </row>
    <row r="143" spans="2:34" ht="14">
      <c r="B143" s="249"/>
      <c r="C143" s="155"/>
      <c r="D143" s="24" t="s">
        <v>1428</v>
      </c>
      <c r="G143" s="17">
        <v>147</v>
      </c>
      <c r="H143" s="236"/>
      <c r="I143" s="236"/>
      <c r="J143" s="236"/>
      <c r="K143" s="266"/>
      <c r="M143" s="270"/>
      <c r="N143" s="148"/>
      <c r="O143" s="19" t="s">
        <v>1441</v>
      </c>
      <c r="P143" s="17">
        <v>1</v>
      </c>
      <c r="Q143" s="17">
        <v>0</v>
      </c>
      <c r="R143" s="17">
        <v>188.1</v>
      </c>
      <c r="S143" s="236"/>
      <c r="T143" s="236"/>
      <c r="U143" s="236"/>
      <c r="V143" s="242"/>
      <c r="Y143" s="270"/>
      <c r="Z143" s="148"/>
      <c r="AA143" s="19" t="s">
        <v>1441</v>
      </c>
      <c r="AB143" s="17">
        <v>1</v>
      </c>
      <c r="AC143" s="17">
        <v>0</v>
      </c>
      <c r="AD143" s="17">
        <v>188.1</v>
      </c>
      <c r="AE143" s="236"/>
      <c r="AF143" s="236"/>
      <c r="AG143" s="236"/>
      <c r="AH143" s="242"/>
    </row>
    <row r="144" spans="2:34" ht="13">
      <c r="B144" s="249"/>
      <c r="C144" s="155"/>
      <c r="D144" s="24" t="s">
        <v>1442</v>
      </c>
      <c r="G144" s="17">
        <v>98</v>
      </c>
      <c r="H144" s="236"/>
      <c r="I144" s="236"/>
      <c r="J144" s="236"/>
      <c r="K144" s="266"/>
      <c r="M144" s="270"/>
      <c r="N144" s="1"/>
      <c r="O144" s="19" t="s">
        <v>1308</v>
      </c>
      <c r="P144" s="17">
        <v>6</v>
      </c>
      <c r="Q144" s="17">
        <v>15</v>
      </c>
      <c r="R144" s="17">
        <f t="shared" ref="R144:R149" si="62">P144*Q144</f>
        <v>90</v>
      </c>
      <c r="S144" s="236"/>
      <c r="T144" s="236"/>
      <c r="U144" s="236"/>
      <c r="V144" s="242"/>
      <c r="Y144" s="270"/>
      <c r="Z144" s="1"/>
      <c r="AA144" s="19" t="s">
        <v>1308</v>
      </c>
      <c r="AB144" s="17">
        <v>6</v>
      </c>
      <c r="AC144" s="17">
        <v>15</v>
      </c>
      <c r="AD144" s="17">
        <f t="shared" ref="AD144:AD147" si="63">AB144*AC144</f>
        <v>90</v>
      </c>
      <c r="AE144" s="236"/>
      <c r="AF144" s="236"/>
      <c r="AG144" s="236"/>
      <c r="AH144" s="242"/>
    </row>
    <row r="145" spans="2:34" ht="13">
      <c r="B145" s="249"/>
      <c r="C145" s="155"/>
      <c r="D145" s="24" t="s">
        <v>732</v>
      </c>
      <c r="G145" s="17">
        <v>228</v>
      </c>
      <c r="H145" s="236"/>
      <c r="I145" s="236"/>
      <c r="J145" s="236"/>
      <c r="K145" s="266"/>
      <c r="M145" s="270"/>
      <c r="N145" s="1"/>
      <c r="O145" s="19" t="s">
        <v>310</v>
      </c>
      <c r="P145" s="17">
        <v>6</v>
      </c>
      <c r="Q145" s="17">
        <v>15</v>
      </c>
      <c r="R145" s="17">
        <f t="shared" si="62"/>
        <v>90</v>
      </c>
      <c r="S145" s="236"/>
      <c r="T145" s="236"/>
      <c r="U145" s="236"/>
      <c r="V145" s="242"/>
      <c r="Y145" s="270"/>
      <c r="Z145" s="1"/>
      <c r="AA145" s="19" t="s">
        <v>310</v>
      </c>
      <c r="AB145" s="17">
        <v>6</v>
      </c>
      <c r="AC145" s="17">
        <v>15</v>
      </c>
      <c r="AD145" s="17">
        <f t="shared" si="63"/>
        <v>90</v>
      </c>
      <c r="AE145" s="236"/>
      <c r="AF145" s="236"/>
      <c r="AG145" s="236"/>
      <c r="AH145" s="242"/>
    </row>
    <row r="146" spans="2:34" ht="13">
      <c r="B146" s="249"/>
      <c r="C146" s="157" t="s">
        <v>1443</v>
      </c>
      <c r="D146" s="123" t="s">
        <v>1305</v>
      </c>
      <c r="E146" s="124">
        <v>12</v>
      </c>
      <c r="F146" s="124">
        <v>15</v>
      </c>
      <c r="G146" s="159">
        <v>0</v>
      </c>
      <c r="H146" s="320">
        <f>SUM(G146:G149)</f>
        <v>240</v>
      </c>
      <c r="I146" s="320">
        <v>960</v>
      </c>
      <c r="J146" s="320">
        <f>I146-H146</f>
        <v>720</v>
      </c>
      <c r="K146" s="321">
        <f>J146/I146</f>
        <v>0.75</v>
      </c>
      <c r="M146" s="270"/>
      <c r="N146" s="1"/>
      <c r="O146" s="19" t="s">
        <v>97</v>
      </c>
      <c r="P146" s="17">
        <v>3</v>
      </c>
      <c r="Q146" s="17">
        <v>15</v>
      </c>
      <c r="R146" s="17">
        <f t="shared" si="62"/>
        <v>45</v>
      </c>
      <c r="S146" s="236"/>
      <c r="T146" s="236"/>
      <c r="U146" s="236"/>
      <c r="V146" s="242"/>
      <c r="Y146" s="270"/>
      <c r="Z146" s="1"/>
      <c r="AA146" s="19" t="s">
        <v>97</v>
      </c>
      <c r="AB146" s="17">
        <v>3</v>
      </c>
      <c r="AC146" s="17">
        <v>15</v>
      </c>
      <c r="AD146" s="17">
        <f t="shared" si="63"/>
        <v>45</v>
      </c>
      <c r="AE146" s="236"/>
      <c r="AF146" s="236"/>
      <c r="AG146" s="236"/>
      <c r="AH146" s="242"/>
    </row>
    <row r="147" spans="2:34" ht="13">
      <c r="B147" s="249"/>
      <c r="C147" s="155"/>
      <c r="D147" s="19" t="s">
        <v>1413</v>
      </c>
      <c r="E147" s="17">
        <v>4</v>
      </c>
      <c r="F147" s="17">
        <v>15</v>
      </c>
      <c r="G147" s="24">
        <f t="shared" ref="G147:G148" si="64">E147*F147</f>
        <v>60</v>
      </c>
      <c r="H147" s="236"/>
      <c r="I147" s="236"/>
      <c r="J147" s="236"/>
      <c r="K147" s="266"/>
      <c r="M147" s="270"/>
      <c r="N147" s="1"/>
      <c r="O147" s="19" t="s">
        <v>1328</v>
      </c>
      <c r="P147" s="17">
        <v>3</v>
      </c>
      <c r="Q147" s="17">
        <v>15</v>
      </c>
      <c r="R147" s="17">
        <f t="shared" si="62"/>
        <v>45</v>
      </c>
      <c r="S147" s="236"/>
      <c r="T147" s="236"/>
      <c r="U147" s="236"/>
      <c r="V147" s="242"/>
      <c r="Y147" s="270"/>
      <c r="Z147" s="1"/>
      <c r="AA147" s="19" t="s">
        <v>1328</v>
      </c>
      <c r="AB147" s="17">
        <v>3</v>
      </c>
      <c r="AC147" s="17">
        <v>15</v>
      </c>
      <c r="AD147" s="17">
        <f t="shared" si="63"/>
        <v>45</v>
      </c>
      <c r="AE147" s="236"/>
      <c r="AF147" s="236"/>
      <c r="AG147" s="236"/>
      <c r="AH147" s="242"/>
    </row>
    <row r="148" spans="2:34" ht="13">
      <c r="B148" s="249"/>
      <c r="C148" s="155"/>
      <c r="D148" s="19" t="s">
        <v>1235</v>
      </c>
      <c r="E148" s="17">
        <v>4</v>
      </c>
      <c r="F148" s="17">
        <v>15</v>
      </c>
      <c r="G148" s="24">
        <f t="shared" si="64"/>
        <v>60</v>
      </c>
      <c r="H148" s="236"/>
      <c r="I148" s="236"/>
      <c r="J148" s="236"/>
      <c r="K148" s="266"/>
      <c r="M148" s="270"/>
      <c r="N148" s="1"/>
      <c r="O148" s="19" t="s">
        <v>1332</v>
      </c>
      <c r="P148" s="17">
        <v>3</v>
      </c>
      <c r="Q148" s="17">
        <v>8</v>
      </c>
      <c r="R148" s="17">
        <f t="shared" si="62"/>
        <v>24</v>
      </c>
      <c r="S148" s="236"/>
      <c r="T148" s="236"/>
      <c r="U148" s="236"/>
      <c r="V148" s="242"/>
      <c r="Y148" s="270"/>
      <c r="Z148" s="1"/>
      <c r="AA148" s="19" t="s">
        <v>1332</v>
      </c>
      <c r="AB148" s="18"/>
      <c r="AC148" s="18"/>
      <c r="AD148" s="18"/>
      <c r="AE148" s="236"/>
      <c r="AF148" s="236"/>
      <c r="AG148" s="236"/>
      <c r="AH148" s="242"/>
    </row>
    <row r="149" spans="2:34" ht="13">
      <c r="B149" s="249"/>
      <c r="C149" s="155"/>
      <c r="D149" s="19" t="s">
        <v>1235</v>
      </c>
      <c r="E149" s="17">
        <v>8</v>
      </c>
      <c r="F149" s="17">
        <v>15</v>
      </c>
      <c r="G149" s="11">
        <v>120</v>
      </c>
      <c r="H149" s="293"/>
      <c r="I149" s="293"/>
      <c r="J149" s="293"/>
      <c r="K149" s="319"/>
      <c r="M149" s="270"/>
      <c r="N149" s="1"/>
      <c r="O149" s="19" t="s">
        <v>739</v>
      </c>
      <c r="P149" s="17">
        <v>3</v>
      </c>
      <c r="Q149" s="17">
        <v>8</v>
      </c>
      <c r="R149" s="17">
        <f t="shared" si="62"/>
        <v>24</v>
      </c>
      <c r="S149" s="236"/>
      <c r="T149" s="236"/>
      <c r="U149" s="236"/>
      <c r="V149" s="242"/>
      <c r="Y149" s="270"/>
      <c r="Z149" s="1"/>
      <c r="AA149" s="19" t="s">
        <v>739</v>
      </c>
      <c r="AB149" s="18"/>
      <c r="AC149" s="18"/>
      <c r="AD149" s="18"/>
      <c r="AE149" s="236"/>
      <c r="AF149" s="236"/>
      <c r="AG149" s="236"/>
      <c r="AH149" s="242"/>
    </row>
    <row r="150" spans="2:34" ht="13">
      <c r="B150" s="249"/>
      <c r="C150" s="157" t="s">
        <v>1444</v>
      </c>
      <c r="D150" s="123" t="s">
        <v>1235</v>
      </c>
      <c r="E150" s="124">
        <v>17.5</v>
      </c>
      <c r="F150" s="124">
        <v>15</v>
      </c>
      <c r="G150" s="159">
        <f t="shared" ref="G150:G157" si="65">E150*F150</f>
        <v>262.5</v>
      </c>
      <c r="H150" s="320">
        <f>SUM(G150:G151)</f>
        <v>525</v>
      </c>
      <c r="I150" s="320">
        <v>1325</v>
      </c>
      <c r="J150" s="320">
        <f>I150-H150</f>
        <v>800</v>
      </c>
      <c r="K150" s="321">
        <f>J150/I150</f>
        <v>0.60377358490566035</v>
      </c>
      <c r="M150" s="270"/>
      <c r="N150" s="140"/>
      <c r="O150" s="20" t="s">
        <v>33</v>
      </c>
      <c r="P150" s="21">
        <v>1</v>
      </c>
      <c r="Q150" s="21">
        <v>0</v>
      </c>
      <c r="R150" s="21">
        <v>764.39</v>
      </c>
      <c r="S150" s="248"/>
      <c r="T150" s="248"/>
      <c r="U150" s="248"/>
      <c r="V150" s="303"/>
      <c r="Y150" s="270"/>
      <c r="Z150" s="140"/>
      <c r="AA150" s="20" t="s">
        <v>33</v>
      </c>
      <c r="AB150" s="21">
        <v>1</v>
      </c>
      <c r="AC150" s="21">
        <v>0</v>
      </c>
      <c r="AD150" s="21">
        <v>764.39</v>
      </c>
      <c r="AE150" s="248"/>
      <c r="AF150" s="248"/>
      <c r="AG150" s="248"/>
      <c r="AH150" s="303"/>
    </row>
    <row r="151" spans="2:34" ht="14">
      <c r="B151" s="249"/>
      <c r="C151" s="155"/>
      <c r="D151" s="19" t="s">
        <v>1235</v>
      </c>
      <c r="E151" s="17">
        <v>17.5</v>
      </c>
      <c r="F151" s="17">
        <v>15</v>
      </c>
      <c r="G151" s="24">
        <f t="shared" si="65"/>
        <v>262.5</v>
      </c>
      <c r="H151" s="293"/>
      <c r="I151" s="293"/>
      <c r="J151" s="293"/>
      <c r="K151" s="319"/>
      <c r="M151" s="270"/>
      <c r="N151" s="144" t="s">
        <v>1445</v>
      </c>
      <c r="O151" s="77" t="s">
        <v>449</v>
      </c>
      <c r="P151" s="71">
        <v>1</v>
      </c>
      <c r="Q151" s="71">
        <v>0</v>
      </c>
      <c r="R151" s="71">
        <v>235.73</v>
      </c>
      <c r="S151" s="239">
        <f>SUM(R151:R157)</f>
        <v>1130.57</v>
      </c>
      <c r="T151" s="239">
        <v>3292.8</v>
      </c>
      <c r="U151" s="239">
        <f>T151-S151</f>
        <v>2162.2300000000005</v>
      </c>
      <c r="V151" s="259">
        <f>U151/T151</f>
        <v>0.65665391156462594</v>
      </c>
      <c r="Y151" s="270"/>
      <c r="Z151" s="144" t="s">
        <v>1445</v>
      </c>
      <c r="AA151" s="77" t="s">
        <v>449</v>
      </c>
      <c r="AB151" s="71">
        <v>1</v>
      </c>
      <c r="AC151" s="71">
        <v>0</v>
      </c>
      <c r="AD151" s="71">
        <v>235.73</v>
      </c>
      <c r="AE151" s="325">
        <f>SUM(AD151:AD157)</f>
        <v>1034.57</v>
      </c>
      <c r="AF151" s="325">
        <v>3292.8</v>
      </c>
      <c r="AG151" s="325">
        <f>AF151-AE151</f>
        <v>2258.2300000000005</v>
      </c>
      <c r="AH151" s="330">
        <f>AG151/AF151</f>
        <v>0.68580843051506324</v>
      </c>
    </row>
    <row r="152" spans="2:34" ht="14">
      <c r="B152" s="249"/>
      <c r="C152" s="157" t="s">
        <v>1446</v>
      </c>
      <c r="D152" s="123" t="s">
        <v>1308</v>
      </c>
      <c r="E152" s="124">
        <v>3</v>
      </c>
      <c r="F152" s="124">
        <v>14</v>
      </c>
      <c r="G152" s="124">
        <f t="shared" si="65"/>
        <v>42</v>
      </c>
      <c r="H152" s="320">
        <f>SUM(G152:G162)</f>
        <v>745.25</v>
      </c>
      <c r="I152" s="320">
        <v>10000</v>
      </c>
      <c r="J152" s="320">
        <f>I152-H152</f>
        <v>9254.75</v>
      </c>
      <c r="K152" s="321">
        <f>J152/I152</f>
        <v>0.92547500000000005</v>
      </c>
      <c r="M152" s="270"/>
      <c r="N152" s="148"/>
      <c r="O152" s="19" t="s">
        <v>1361</v>
      </c>
      <c r="P152" s="17">
        <v>6</v>
      </c>
      <c r="Q152" s="17">
        <v>16</v>
      </c>
      <c r="R152" s="17">
        <f>P152*Q152</f>
        <v>96</v>
      </c>
      <c r="S152" s="236"/>
      <c r="T152" s="236"/>
      <c r="U152" s="236"/>
      <c r="V152" s="242"/>
      <c r="Y152" s="270"/>
      <c r="Z152" s="148"/>
      <c r="AA152" s="19" t="s">
        <v>1361</v>
      </c>
      <c r="AB152" s="18"/>
      <c r="AC152" s="18"/>
      <c r="AD152" s="18"/>
      <c r="AE152" s="236"/>
      <c r="AF152" s="236"/>
      <c r="AG152" s="236"/>
      <c r="AH152" s="242"/>
    </row>
    <row r="153" spans="2:34" ht="13">
      <c r="B153" s="249"/>
      <c r="C153" s="155"/>
      <c r="D153" s="19" t="s">
        <v>95</v>
      </c>
      <c r="E153" s="17">
        <v>6</v>
      </c>
      <c r="F153" s="17">
        <v>15</v>
      </c>
      <c r="G153" s="17">
        <f t="shared" si="65"/>
        <v>90</v>
      </c>
      <c r="H153" s="236"/>
      <c r="I153" s="236"/>
      <c r="J153" s="236"/>
      <c r="K153" s="266"/>
      <c r="M153" s="270"/>
      <c r="N153" s="1"/>
      <c r="O153" s="19" t="s">
        <v>1447</v>
      </c>
      <c r="P153" s="17" t="s">
        <v>1387</v>
      </c>
      <c r="Q153" s="17" t="s">
        <v>1387</v>
      </c>
      <c r="R153" s="17">
        <v>80</v>
      </c>
      <c r="S153" s="236"/>
      <c r="T153" s="236"/>
      <c r="U153" s="236"/>
      <c r="V153" s="242"/>
      <c r="Y153" s="270"/>
      <c r="Z153" s="1"/>
      <c r="AA153" s="19" t="s">
        <v>1447</v>
      </c>
      <c r="AB153" s="17" t="s">
        <v>1387</v>
      </c>
      <c r="AC153" s="17" t="s">
        <v>1387</v>
      </c>
      <c r="AD153" s="17">
        <v>80</v>
      </c>
      <c r="AE153" s="236"/>
      <c r="AF153" s="236"/>
      <c r="AG153" s="236"/>
      <c r="AH153" s="242"/>
    </row>
    <row r="154" spans="2:34" ht="13">
      <c r="B154" s="249"/>
      <c r="C154" s="155"/>
      <c r="D154" s="19" t="s">
        <v>1448</v>
      </c>
      <c r="E154" s="17">
        <v>2</v>
      </c>
      <c r="F154" s="17">
        <v>12.5</v>
      </c>
      <c r="G154" s="17">
        <f t="shared" si="65"/>
        <v>25</v>
      </c>
      <c r="H154" s="236"/>
      <c r="I154" s="236"/>
      <c r="J154" s="236"/>
      <c r="K154" s="266"/>
      <c r="M154" s="270"/>
      <c r="N154" s="1"/>
      <c r="O154" s="19" t="s">
        <v>1235</v>
      </c>
      <c r="P154" s="17">
        <v>18</v>
      </c>
      <c r="Q154" s="17">
        <v>17</v>
      </c>
      <c r="R154" s="17">
        <f>P154*Q154</f>
        <v>306</v>
      </c>
      <c r="S154" s="236"/>
      <c r="T154" s="236"/>
      <c r="U154" s="236"/>
      <c r="V154" s="242"/>
      <c r="Y154" s="270"/>
      <c r="Z154" s="1"/>
      <c r="AA154" s="19" t="s">
        <v>1235</v>
      </c>
      <c r="AB154" s="17">
        <v>18</v>
      </c>
      <c r="AC154" s="17">
        <v>17</v>
      </c>
      <c r="AD154" s="17">
        <f>AB154*AC154</f>
        <v>306</v>
      </c>
      <c r="AE154" s="236"/>
      <c r="AF154" s="236"/>
      <c r="AG154" s="236"/>
      <c r="AH154" s="242"/>
    </row>
    <row r="155" spans="2:34" ht="13">
      <c r="B155" s="249"/>
      <c r="C155" s="155"/>
      <c r="D155" s="19" t="s">
        <v>1449</v>
      </c>
      <c r="E155" s="17">
        <v>27</v>
      </c>
      <c r="F155" s="17">
        <v>15</v>
      </c>
      <c r="G155" s="17">
        <f t="shared" si="65"/>
        <v>405</v>
      </c>
      <c r="H155" s="236"/>
      <c r="I155" s="236"/>
      <c r="J155" s="236"/>
      <c r="K155" s="266"/>
      <c r="M155" s="270"/>
      <c r="N155" s="1"/>
      <c r="O155" s="19" t="s">
        <v>47</v>
      </c>
      <c r="P155" s="17">
        <v>1</v>
      </c>
      <c r="Q155" s="17">
        <v>0</v>
      </c>
      <c r="R155" s="17">
        <v>49</v>
      </c>
      <c r="S155" s="236"/>
      <c r="T155" s="236"/>
      <c r="U155" s="236"/>
      <c r="V155" s="242"/>
      <c r="Y155" s="270"/>
      <c r="Z155" s="1"/>
      <c r="AA155" s="19" t="s">
        <v>47</v>
      </c>
      <c r="AB155" s="17">
        <v>1</v>
      </c>
      <c r="AC155" s="17">
        <v>0</v>
      </c>
      <c r="AD155" s="17">
        <v>49</v>
      </c>
      <c r="AE155" s="236"/>
      <c r="AF155" s="236"/>
      <c r="AG155" s="236"/>
      <c r="AH155" s="242"/>
    </row>
    <row r="156" spans="2:34" ht="13">
      <c r="B156" s="249"/>
      <c r="C156" s="155"/>
      <c r="D156" s="19" t="s">
        <v>1315</v>
      </c>
      <c r="E156" s="17">
        <f>5*8</f>
        <v>40</v>
      </c>
      <c r="F156" s="19"/>
      <c r="G156" s="17">
        <f t="shared" si="65"/>
        <v>0</v>
      </c>
      <c r="H156" s="236"/>
      <c r="I156" s="236"/>
      <c r="J156" s="236"/>
      <c r="K156" s="266"/>
      <c r="M156" s="270"/>
      <c r="N156" s="1"/>
      <c r="O156" s="19" t="s">
        <v>1450</v>
      </c>
      <c r="P156" s="17">
        <v>1</v>
      </c>
      <c r="Q156" s="17">
        <v>0</v>
      </c>
      <c r="R156" s="17">
        <v>150</v>
      </c>
      <c r="S156" s="236"/>
      <c r="T156" s="236"/>
      <c r="U156" s="236"/>
      <c r="V156" s="242"/>
      <c r="Y156" s="270"/>
      <c r="Z156" s="1"/>
      <c r="AA156" s="19" t="s">
        <v>1450</v>
      </c>
      <c r="AB156" s="17">
        <v>1</v>
      </c>
      <c r="AC156" s="17">
        <v>0</v>
      </c>
      <c r="AD156" s="17">
        <v>150</v>
      </c>
      <c r="AE156" s="236"/>
      <c r="AF156" s="236"/>
      <c r="AG156" s="236"/>
      <c r="AH156" s="242"/>
    </row>
    <row r="157" spans="2:34" ht="13">
      <c r="B157" s="249"/>
      <c r="C157" s="155"/>
      <c r="D157" s="19" t="s">
        <v>1341</v>
      </c>
      <c r="E157" s="17">
        <v>10.5</v>
      </c>
      <c r="F157" s="17">
        <v>12.5</v>
      </c>
      <c r="G157" s="17">
        <f t="shared" si="65"/>
        <v>131.25</v>
      </c>
      <c r="H157" s="236"/>
      <c r="I157" s="236"/>
      <c r="J157" s="236"/>
      <c r="K157" s="266"/>
      <c r="M157" s="270"/>
      <c r="N157" s="140"/>
      <c r="O157" s="20" t="s">
        <v>33</v>
      </c>
      <c r="P157" s="21">
        <v>1</v>
      </c>
      <c r="Q157" s="21">
        <v>0</v>
      </c>
      <c r="R157" s="21">
        <v>213.84</v>
      </c>
      <c r="S157" s="248"/>
      <c r="T157" s="248"/>
      <c r="U157" s="248"/>
      <c r="V157" s="303"/>
      <c r="Y157" s="270"/>
      <c r="Z157" s="1"/>
      <c r="AA157" s="20" t="s">
        <v>33</v>
      </c>
      <c r="AB157" s="21">
        <v>1</v>
      </c>
      <c r="AC157" s="21">
        <v>0</v>
      </c>
      <c r="AD157" s="21">
        <v>213.84</v>
      </c>
      <c r="AE157" s="248"/>
      <c r="AF157" s="248"/>
      <c r="AG157" s="248"/>
      <c r="AH157" s="303"/>
    </row>
    <row r="158" spans="2:34" ht="13">
      <c r="B158" s="249"/>
      <c r="C158" s="155"/>
      <c r="D158" s="19" t="s">
        <v>1451</v>
      </c>
      <c r="E158" s="17">
        <v>4</v>
      </c>
      <c r="F158" s="19"/>
      <c r="G158" s="17">
        <v>52</v>
      </c>
      <c r="H158" s="236"/>
      <c r="I158" s="236"/>
      <c r="J158" s="236"/>
      <c r="K158" s="266"/>
      <c r="M158" s="270"/>
      <c r="N158" s="322" t="s">
        <v>1452</v>
      </c>
      <c r="O158" s="77" t="s">
        <v>1361</v>
      </c>
      <c r="P158" s="71">
        <v>12</v>
      </c>
      <c r="Q158" s="71">
        <v>16</v>
      </c>
      <c r="R158" s="71">
        <f t="shared" ref="R158:R163" si="66">P158*Q158</f>
        <v>192</v>
      </c>
      <c r="S158" s="239">
        <f>SUM(R158:R165)</f>
        <v>906.49</v>
      </c>
      <c r="T158" s="239">
        <v>3171</v>
      </c>
      <c r="U158" s="239">
        <f>T158-S158</f>
        <v>2264.5100000000002</v>
      </c>
      <c r="V158" s="259">
        <f>U158/T158</f>
        <v>0.71413118889940086</v>
      </c>
      <c r="Y158" s="270"/>
      <c r="Z158" s="322" t="s">
        <v>1452</v>
      </c>
      <c r="AA158" s="77" t="s">
        <v>1361</v>
      </c>
      <c r="AB158" s="104"/>
      <c r="AC158" s="104"/>
      <c r="AD158" s="104"/>
      <c r="AE158" s="325">
        <f>SUM(AD158:AD165)</f>
        <v>714.49</v>
      </c>
      <c r="AF158" s="325">
        <v>3171</v>
      </c>
      <c r="AG158" s="325">
        <f>AF158-AE158</f>
        <v>2456.5100000000002</v>
      </c>
      <c r="AH158" s="330">
        <f>AG158/AF158</f>
        <v>0.77467991169977934</v>
      </c>
    </row>
    <row r="159" spans="2:34" ht="13">
      <c r="B159" s="249"/>
      <c r="C159" s="155"/>
      <c r="D159" s="19" t="s">
        <v>1453</v>
      </c>
      <c r="E159" s="17">
        <v>6</v>
      </c>
      <c r="F159" s="19"/>
      <c r="G159" s="19" t="s">
        <v>1387</v>
      </c>
      <c r="H159" s="236"/>
      <c r="I159" s="236"/>
      <c r="J159" s="236"/>
      <c r="K159" s="266"/>
      <c r="M159" s="270"/>
      <c r="N159" s="236"/>
      <c r="O159" s="19" t="s">
        <v>715</v>
      </c>
      <c r="P159" s="17">
        <v>3</v>
      </c>
      <c r="Q159" s="17">
        <v>15</v>
      </c>
      <c r="R159" s="17">
        <f t="shared" si="66"/>
        <v>45</v>
      </c>
      <c r="S159" s="236"/>
      <c r="T159" s="236"/>
      <c r="U159" s="236"/>
      <c r="V159" s="242"/>
      <c r="Y159" s="270"/>
      <c r="Z159" s="236"/>
      <c r="AA159" s="19" t="s">
        <v>715</v>
      </c>
      <c r="AB159" s="17">
        <v>3</v>
      </c>
      <c r="AC159" s="17">
        <v>15</v>
      </c>
      <c r="AD159" s="17">
        <f t="shared" ref="AD159:AD163" si="67">AB159*AC159</f>
        <v>45</v>
      </c>
      <c r="AE159" s="236"/>
      <c r="AF159" s="236"/>
      <c r="AG159" s="236"/>
      <c r="AH159" s="242"/>
    </row>
    <row r="160" spans="2:34" ht="13">
      <c r="B160" s="249"/>
      <c r="C160" s="155"/>
      <c r="D160" s="19" t="s">
        <v>1454</v>
      </c>
      <c r="E160" s="19"/>
      <c r="F160" s="19"/>
      <c r="G160" s="19" t="s">
        <v>1387</v>
      </c>
      <c r="H160" s="236"/>
      <c r="I160" s="236"/>
      <c r="J160" s="236"/>
      <c r="K160" s="266"/>
      <c r="M160" s="270"/>
      <c r="N160" s="1"/>
      <c r="O160" s="19" t="s">
        <v>310</v>
      </c>
      <c r="P160" s="17">
        <v>12</v>
      </c>
      <c r="Q160" s="17">
        <v>15</v>
      </c>
      <c r="R160" s="17">
        <f t="shared" si="66"/>
        <v>180</v>
      </c>
      <c r="S160" s="236"/>
      <c r="T160" s="236"/>
      <c r="U160" s="236"/>
      <c r="V160" s="242"/>
      <c r="Y160" s="270"/>
      <c r="Z160" s="1"/>
      <c r="AA160" s="19" t="s">
        <v>310</v>
      </c>
      <c r="AB160" s="17">
        <v>12</v>
      </c>
      <c r="AC160" s="17">
        <v>15</v>
      </c>
      <c r="AD160" s="17">
        <f t="shared" si="67"/>
        <v>180</v>
      </c>
      <c r="AE160" s="236"/>
      <c r="AF160" s="236"/>
      <c r="AG160" s="236"/>
      <c r="AH160" s="242"/>
    </row>
    <row r="161" spans="2:34" ht="13">
      <c r="B161" s="249"/>
      <c r="C161" s="155"/>
      <c r="D161" s="19" t="s">
        <v>715</v>
      </c>
      <c r="E161" s="17">
        <v>8</v>
      </c>
      <c r="F161" s="17">
        <v>15</v>
      </c>
      <c r="G161" s="17">
        <v>0</v>
      </c>
      <c r="H161" s="236"/>
      <c r="I161" s="236"/>
      <c r="J161" s="236"/>
      <c r="K161" s="266"/>
      <c r="M161" s="270"/>
      <c r="N161" s="1"/>
      <c r="O161" s="19" t="s">
        <v>1455</v>
      </c>
      <c r="P161" s="17">
        <v>6</v>
      </c>
      <c r="Q161" s="17">
        <v>15</v>
      </c>
      <c r="R161" s="17">
        <f t="shared" si="66"/>
        <v>90</v>
      </c>
      <c r="S161" s="236"/>
      <c r="T161" s="236"/>
      <c r="U161" s="236"/>
      <c r="V161" s="242"/>
      <c r="Y161" s="270"/>
      <c r="Z161" s="1"/>
      <c r="AA161" s="19" t="s">
        <v>1455</v>
      </c>
      <c r="AB161" s="17">
        <v>6</v>
      </c>
      <c r="AC161" s="17">
        <v>15</v>
      </c>
      <c r="AD161" s="17">
        <f t="shared" si="67"/>
        <v>90</v>
      </c>
      <c r="AE161" s="236"/>
      <c r="AF161" s="236"/>
      <c r="AG161" s="236"/>
      <c r="AH161" s="242"/>
    </row>
    <row r="162" spans="2:34" ht="13">
      <c r="B162" s="249"/>
      <c r="C162" s="155"/>
      <c r="D162" s="126" t="s">
        <v>1456</v>
      </c>
      <c r="E162" s="125">
        <v>6</v>
      </c>
      <c r="F162" s="126"/>
      <c r="G162" s="126" t="s">
        <v>1387</v>
      </c>
      <c r="H162" s="236"/>
      <c r="I162" s="236"/>
      <c r="J162" s="236"/>
      <c r="K162" s="266"/>
      <c r="M162" s="270"/>
      <c r="N162" s="1"/>
      <c r="O162" s="19" t="s">
        <v>97</v>
      </c>
      <c r="P162" s="17">
        <v>12</v>
      </c>
      <c r="Q162" s="17">
        <v>15</v>
      </c>
      <c r="R162" s="17">
        <f t="shared" si="66"/>
        <v>180</v>
      </c>
      <c r="S162" s="236"/>
      <c r="T162" s="236"/>
      <c r="U162" s="236"/>
      <c r="V162" s="242"/>
      <c r="Y162" s="270"/>
      <c r="Z162" s="1"/>
      <c r="AA162" s="19" t="s">
        <v>97</v>
      </c>
      <c r="AB162" s="17">
        <v>12</v>
      </c>
      <c r="AC162" s="17">
        <v>15</v>
      </c>
      <c r="AD162" s="17">
        <f t="shared" si="67"/>
        <v>180</v>
      </c>
      <c r="AE162" s="236"/>
      <c r="AF162" s="236"/>
      <c r="AG162" s="236"/>
      <c r="AH162" s="242"/>
    </row>
    <row r="163" spans="2:34" ht="13">
      <c r="B163" s="249"/>
      <c r="C163" s="157" t="s">
        <v>1457</v>
      </c>
      <c r="D163" s="19" t="s">
        <v>1308</v>
      </c>
      <c r="E163" s="17">
        <v>7.5</v>
      </c>
      <c r="F163" s="17">
        <v>15</v>
      </c>
      <c r="G163" s="24">
        <f t="shared" ref="G163:G164" si="68">E163*F163</f>
        <v>112.5</v>
      </c>
      <c r="H163" s="320">
        <f>SUM(G163:G168)</f>
        <v>374.6</v>
      </c>
      <c r="I163" s="320">
        <v>750</v>
      </c>
      <c r="J163" s="320">
        <f>I163-H163</f>
        <v>375.4</v>
      </c>
      <c r="K163" s="321">
        <f>J163/I163</f>
        <v>0.50053333333333327</v>
      </c>
      <c r="M163" s="270"/>
      <c r="N163" s="1"/>
      <c r="O163" s="19" t="s">
        <v>1353</v>
      </c>
      <c r="P163" s="17">
        <v>3</v>
      </c>
      <c r="Q163" s="17">
        <v>20</v>
      </c>
      <c r="R163" s="17">
        <f t="shared" si="66"/>
        <v>60</v>
      </c>
      <c r="S163" s="236"/>
      <c r="T163" s="236"/>
      <c r="U163" s="236"/>
      <c r="V163" s="242"/>
      <c r="Y163" s="270"/>
      <c r="Z163" s="1"/>
      <c r="AA163" s="19" t="s">
        <v>1353</v>
      </c>
      <c r="AB163" s="17">
        <v>3</v>
      </c>
      <c r="AC163" s="17">
        <v>20</v>
      </c>
      <c r="AD163" s="17">
        <f t="shared" si="67"/>
        <v>60</v>
      </c>
      <c r="AE163" s="236"/>
      <c r="AF163" s="236"/>
      <c r="AG163" s="236"/>
      <c r="AH163" s="242"/>
    </row>
    <row r="164" spans="2:34" ht="13">
      <c r="B164" s="249"/>
      <c r="C164" s="155"/>
      <c r="D164" s="19" t="s">
        <v>95</v>
      </c>
      <c r="E164" s="17">
        <v>7.5</v>
      </c>
      <c r="F164" s="17">
        <v>15</v>
      </c>
      <c r="G164" s="24">
        <f t="shared" si="68"/>
        <v>112.5</v>
      </c>
      <c r="H164" s="236"/>
      <c r="I164" s="236"/>
      <c r="J164" s="236"/>
      <c r="K164" s="266"/>
      <c r="M164" s="270"/>
      <c r="N164" s="1"/>
      <c r="O164" s="19" t="s">
        <v>1458</v>
      </c>
      <c r="P164" s="17">
        <v>1</v>
      </c>
      <c r="Q164" s="17">
        <v>0</v>
      </c>
      <c r="R164" s="17">
        <v>42.67</v>
      </c>
      <c r="S164" s="236"/>
      <c r="T164" s="236"/>
      <c r="U164" s="236"/>
      <c r="V164" s="242"/>
      <c r="Y164" s="270"/>
      <c r="Z164" s="1"/>
      <c r="AA164" s="19" t="s">
        <v>1458</v>
      </c>
      <c r="AB164" s="17">
        <v>1</v>
      </c>
      <c r="AC164" s="17">
        <v>0</v>
      </c>
      <c r="AD164" s="17">
        <v>42.67</v>
      </c>
      <c r="AE164" s="236"/>
      <c r="AF164" s="236"/>
      <c r="AG164" s="236"/>
      <c r="AH164" s="242"/>
    </row>
    <row r="165" spans="2:34" ht="13">
      <c r="B165" s="249"/>
      <c r="C165" s="155"/>
      <c r="D165" s="19" t="s">
        <v>1373</v>
      </c>
      <c r="E165" s="11"/>
      <c r="F165" s="11"/>
      <c r="G165" s="17">
        <v>49.4</v>
      </c>
      <c r="H165" s="236"/>
      <c r="I165" s="236"/>
      <c r="J165" s="236"/>
      <c r="K165" s="266"/>
      <c r="M165" s="270"/>
      <c r="N165" s="140"/>
      <c r="O165" s="20" t="s">
        <v>1459</v>
      </c>
      <c r="P165" s="21">
        <v>1</v>
      </c>
      <c r="Q165" s="21">
        <v>0</v>
      </c>
      <c r="R165" s="21">
        <v>116.82</v>
      </c>
      <c r="S165" s="248"/>
      <c r="T165" s="248"/>
      <c r="U165" s="248"/>
      <c r="V165" s="303"/>
      <c r="Y165" s="270"/>
      <c r="Z165" s="140"/>
      <c r="AA165" s="20" t="s">
        <v>1459</v>
      </c>
      <c r="AB165" s="21">
        <v>1</v>
      </c>
      <c r="AC165" s="21">
        <v>0</v>
      </c>
      <c r="AD165" s="21">
        <v>116.82</v>
      </c>
      <c r="AE165" s="248"/>
      <c r="AF165" s="248"/>
      <c r="AG165" s="248"/>
      <c r="AH165" s="303"/>
    </row>
    <row r="166" spans="2:34" ht="14">
      <c r="B166" s="249"/>
      <c r="C166" s="155"/>
      <c r="D166" s="19" t="s">
        <v>1375</v>
      </c>
      <c r="E166" s="11"/>
      <c r="F166" s="11"/>
      <c r="G166" s="17">
        <v>90.8</v>
      </c>
      <c r="H166" s="236"/>
      <c r="I166" s="236"/>
      <c r="J166" s="236"/>
      <c r="K166" s="266"/>
      <c r="M166" s="270"/>
      <c r="N166" s="144" t="s">
        <v>1460</v>
      </c>
      <c r="O166" s="77" t="s">
        <v>1461</v>
      </c>
      <c r="P166" s="71">
        <v>1</v>
      </c>
      <c r="Q166" s="71">
        <v>0</v>
      </c>
      <c r="R166" s="71">
        <v>110</v>
      </c>
      <c r="S166" s="239">
        <f>SUM(R166:R169)</f>
        <v>1340</v>
      </c>
      <c r="T166" s="239">
        <v>3651.2</v>
      </c>
      <c r="U166" s="239">
        <f>T166-S166</f>
        <v>2311.1999999999998</v>
      </c>
      <c r="V166" s="259">
        <f>U166/T166</f>
        <v>0.63299737072743201</v>
      </c>
      <c r="Y166" s="270"/>
      <c r="Z166" s="144" t="s">
        <v>1460</v>
      </c>
      <c r="AA166" s="77" t="s">
        <v>1461</v>
      </c>
      <c r="AB166" s="71">
        <v>1</v>
      </c>
      <c r="AC166" s="71">
        <v>0</v>
      </c>
      <c r="AD166" s="71">
        <v>110</v>
      </c>
      <c r="AE166" s="325">
        <f>SUM(AD166:AD169)</f>
        <v>1340</v>
      </c>
      <c r="AF166" s="325">
        <v>3651.2</v>
      </c>
      <c r="AG166" s="325">
        <f>AF166-AE166</f>
        <v>2311.1999999999998</v>
      </c>
      <c r="AH166" s="330">
        <f>AG166/AF166</f>
        <v>0.63299737072743201</v>
      </c>
    </row>
    <row r="167" spans="2:34" ht="14">
      <c r="B167" s="249"/>
      <c r="C167" s="155"/>
      <c r="D167" s="19" t="s">
        <v>1462</v>
      </c>
      <c r="G167" s="17">
        <v>2.6</v>
      </c>
      <c r="H167" s="236"/>
      <c r="I167" s="236"/>
      <c r="J167" s="236"/>
      <c r="K167" s="266"/>
      <c r="M167" s="270"/>
      <c r="N167" s="148"/>
      <c r="O167" s="19" t="s">
        <v>1463</v>
      </c>
      <c r="P167" s="17">
        <v>2</v>
      </c>
      <c r="Q167" s="17">
        <v>35</v>
      </c>
      <c r="R167" s="17">
        <f>P167*Q167</f>
        <v>70</v>
      </c>
      <c r="S167" s="236"/>
      <c r="T167" s="236"/>
      <c r="U167" s="236"/>
      <c r="V167" s="242"/>
      <c r="Y167" s="270"/>
      <c r="Z167" s="148"/>
      <c r="AA167" s="19" t="s">
        <v>1463</v>
      </c>
      <c r="AB167" s="17">
        <v>2</v>
      </c>
      <c r="AC167" s="17">
        <v>35</v>
      </c>
      <c r="AD167" s="17">
        <f>AB167*AC167</f>
        <v>70</v>
      </c>
      <c r="AE167" s="236"/>
      <c r="AF167" s="236"/>
      <c r="AG167" s="236"/>
      <c r="AH167" s="242"/>
    </row>
    <row r="168" spans="2:34" ht="13">
      <c r="B168" s="249"/>
      <c r="C168" s="155"/>
      <c r="D168" s="19" t="s">
        <v>1464</v>
      </c>
      <c r="G168" s="17">
        <v>6.8</v>
      </c>
      <c r="H168" s="236"/>
      <c r="I168" s="236"/>
      <c r="J168" s="236"/>
      <c r="K168" s="266"/>
      <c r="M168" s="270"/>
      <c r="N168" s="1"/>
      <c r="O168" s="19" t="s">
        <v>1465</v>
      </c>
      <c r="P168" s="17">
        <v>1</v>
      </c>
      <c r="Q168" s="17">
        <v>0</v>
      </c>
      <c r="R168" s="17">
        <v>1000</v>
      </c>
      <c r="S168" s="236"/>
      <c r="T168" s="236"/>
      <c r="U168" s="236"/>
      <c r="V168" s="242"/>
      <c r="Y168" s="270"/>
      <c r="Z168" s="1"/>
      <c r="AA168" s="19" t="s">
        <v>1465</v>
      </c>
      <c r="AB168" s="17">
        <v>1</v>
      </c>
      <c r="AC168" s="17">
        <v>0</v>
      </c>
      <c r="AD168" s="17">
        <v>1000</v>
      </c>
      <c r="AE168" s="236"/>
      <c r="AF168" s="236"/>
      <c r="AG168" s="236"/>
      <c r="AH168" s="242"/>
    </row>
    <row r="169" spans="2:34" ht="13">
      <c r="B169" s="249"/>
      <c r="C169" s="157" t="s">
        <v>1457</v>
      </c>
      <c r="D169" s="123" t="s">
        <v>1281</v>
      </c>
      <c r="E169" s="124">
        <v>5</v>
      </c>
      <c r="F169" s="124">
        <v>15</v>
      </c>
      <c r="G169" s="159">
        <f>E169*F169</f>
        <v>75</v>
      </c>
      <c r="H169" s="320">
        <f>SUM(G169:G170)</f>
        <v>75</v>
      </c>
      <c r="I169" s="320">
        <v>500</v>
      </c>
      <c r="J169" s="320">
        <f>I169-H169</f>
        <v>425</v>
      </c>
      <c r="K169" s="321">
        <f>J169/I169</f>
        <v>0.85</v>
      </c>
      <c r="M169" s="270"/>
      <c r="N169" s="140"/>
      <c r="O169" s="20" t="s">
        <v>47</v>
      </c>
      <c r="P169" s="21">
        <v>1</v>
      </c>
      <c r="Q169" s="21">
        <v>0</v>
      </c>
      <c r="R169" s="21">
        <v>160</v>
      </c>
      <c r="S169" s="248"/>
      <c r="T169" s="248"/>
      <c r="U169" s="248"/>
      <c r="V169" s="303"/>
      <c r="Y169" s="270"/>
      <c r="Z169" s="140"/>
      <c r="AA169" s="20" t="s">
        <v>47</v>
      </c>
      <c r="AB169" s="21">
        <v>1</v>
      </c>
      <c r="AC169" s="21">
        <v>0</v>
      </c>
      <c r="AD169" s="21">
        <v>160</v>
      </c>
      <c r="AE169" s="248"/>
      <c r="AF169" s="248"/>
      <c r="AG169" s="248"/>
      <c r="AH169" s="303"/>
    </row>
    <row r="170" spans="2:34" ht="30">
      <c r="B170" s="249"/>
      <c r="C170" s="155"/>
      <c r="D170" s="19" t="s">
        <v>1305</v>
      </c>
      <c r="E170" s="17">
        <v>8</v>
      </c>
      <c r="F170" s="17">
        <v>15</v>
      </c>
      <c r="G170" s="24">
        <v>0</v>
      </c>
      <c r="H170" s="293"/>
      <c r="I170" s="293"/>
      <c r="J170" s="293"/>
      <c r="K170" s="319"/>
      <c r="M170" s="278" t="s">
        <v>1466</v>
      </c>
      <c r="N170" s="252"/>
      <c r="O170" s="253"/>
      <c r="P170" s="128">
        <f t="shared" ref="P170:U170" si="69">AVERAGE(P99:P169)</f>
        <v>6.9623188405797096</v>
      </c>
      <c r="Q170" s="128">
        <f t="shared" si="69"/>
        <v>10.681159420289855</v>
      </c>
      <c r="R170" s="128">
        <f t="shared" si="69"/>
        <v>185.83271428571427</v>
      </c>
      <c r="S170" s="128">
        <f t="shared" si="69"/>
        <v>929.16357142857134</v>
      </c>
      <c r="T170" s="128">
        <f t="shared" si="69"/>
        <v>3703.5764285714286</v>
      </c>
      <c r="U170" s="128">
        <f t="shared" si="69"/>
        <v>2774.4128571428569</v>
      </c>
      <c r="V170" s="149">
        <f>AVERAGE($V$99:$V$169)</f>
        <v>0.69440324620855631</v>
      </c>
      <c r="Y170" s="278" t="s">
        <v>1466</v>
      </c>
      <c r="Z170" s="252"/>
      <c r="AA170" s="253"/>
      <c r="AB170" s="128">
        <f t="shared" ref="AB170:AG170" si="70">AVERAGE(AB99:AB169)</f>
        <v>5.45</v>
      </c>
      <c r="AC170" s="128">
        <f t="shared" si="70"/>
        <v>9.7818181818181813</v>
      </c>
      <c r="AD170" s="128">
        <f t="shared" si="70"/>
        <v>183.03375</v>
      </c>
      <c r="AE170" s="128">
        <f t="shared" si="70"/>
        <v>732.13499999999999</v>
      </c>
      <c r="AF170" s="128">
        <f t="shared" si="70"/>
        <v>3703.5764285714286</v>
      </c>
      <c r="AG170" s="128">
        <f t="shared" si="70"/>
        <v>2971.4414285714288</v>
      </c>
      <c r="AH170" s="129">
        <f>AVERAGE($V$98:$V$168)</f>
        <v>0.6880570821393146</v>
      </c>
    </row>
    <row r="171" spans="2:34" ht="30">
      <c r="B171" s="249"/>
      <c r="C171" s="157" t="s">
        <v>1467</v>
      </c>
      <c r="D171" s="123" t="s">
        <v>95</v>
      </c>
      <c r="E171" s="124">
        <v>11.53</v>
      </c>
      <c r="F171" s="124">
        <v>15</v>
      </c>
      <c r="G171" s="159">
        <f t="shared" ref="G171:G173" si="71">E171*F171</f>
        <v>172.95</v>
      </c>
      <c r="H171" s="320">
        <f>SUM(G171:G179)</f>
        <v>838.7</v>
      </c>
      <c r="I171" s="320">
        <v>11700</v>
      </c>
      <c r="J171" s="320">
        <f>I171-H171</f>
        <v>10861.3</v>
      </c>
      <c r="K171" s="321">
        <f>J171/I171</f>
        <v>0.9283162393162393</v>
      </c>
      <c r="M171" s="323" t="s">
        <v>1468</v>
      </c>
      <c r="N171" s="236"/>
      <c r="O171" s="266"/>
      <c r="P171" s="130">
        <f t="shared" ref="P171:U171" si="72">SUM(P99:P169)</f>
        <v>480.4</v>
      </c>
      <c r="Q171" s="130">
        <f t="shared" si="72"/>
        <v>737</v>
      </c>
      <c r="R171" s="130">
        <f t="shared" si="72"/>
        <v>13008.289999999999</v>
      </c>
      <c r="S171" s="130">
        <f t="shared" si="72"/>
        <v>13008.289999999999</v>
      </c>
      <c r="T171" s="130">
        <f t="shared" si="72"/>
        <v>51850.07</v>
      </c>
      <c r="U171" s="130">
        <f t="shared" si="72"/>
        <v>38841.78</v>
      </c>
      <c r="V171" s="129">
        <f t="shared" ref="V171:V172" si="73">U171/T171</f>
        <v>0.74911721430655731</v>
      </c>
      <c r="Y171" s="323" t="s">
        <v>1468</v>
      </c>
      <c r="Z171" s="236"/>
      <c r="AA171" s="266"/>
      <c r="AB171" s="130">
        <f t="shared" ref="AB171:AG171" si="74">SUM(AB99:AB169)</f>
        <v>299.75</v>
      </c>
      <c r="AC171" s="130">
        <f t="shared" si="74"/>
        <v>538</v>
      </c>
      <c r="AD171" s="130">
        <f t="shared" si="74"/>
        <v>10249.89</v>
      </c>
      <c r="AE171" s="150">
        <f t="shared" si="74"/>
        <v>10249.89</v>
      </c>
      <c r="AF171" s="150">
        <f t="shared" si="74"/>
        <v>51850.07</v>
      </c>
      <c r="AG171" s="150">
        <f t="shared" si="74"/>
        <v>41600.18</v>
      </c>
      <c r="AH171" s="151">
        <f t="shared" ref="AH171:AH172" si="75">AG171/AF171</f>
        <v>0.80231675675654823</v>
      </c>
    </row>
    <row r="172" spans="2:34" ht="14">
      <c r="B172" s="249"/>
      <c r="C172" s="155"/>
      <c r="D172" s="19" t="s">
        <v>1308</v>
      </c>
      <c r="E172" s="17">
        <v>11</v>
      </c>
      <c r="F172" s="17">
        <v>14</v>
      </c>
      <c r="G172" s="24">
        <f t="shared" si="71"/>
        <v>154</v>
      </c>
      <c r="H172" s="236"/>
      <c r="I172" s="236"/>
      <c r="J172" s="236"/>
      <c r="K172" s="266"/>
      <c r="M172" s="290" t="s">
        <v>3</v>
      </c>
      <c r="N172" s="144" t="s">
        <v>1469</v>
      </c>
      <c r="O172" s="77" t="s">
        <v>33</v>
      </c>
      <c r="P172" s="71">
        <v>1</v>
      </c>
      <c r="Q172" s="71">
        <v>0</v>
      </c>
      <c r="R172" s="71">
        <v>389.47</v>
      </c>
      <c r="S172" s="239">
        <f>SUM(R172:R174)</f>
        <v>861.47</v>
      </c>
      <c r="T172" s="239">
        <v>2816</v>
      </c>
      <c r="U172" s="239">
        <f>T172-S172</f>
        <v>1954.53</v>
      </c>
      <c r="V172" s="259">
        <f t="shared" si="73"/>
        <v>0.69408025568181819</v>
      </c>
      <c r="Y172" s="290" t="s">
        <v>3</v>
      </c>
      <c r="Z172" s="144" t="s">
        <v>1469</v>
      </c>
      <c r="AA172" s="77" t="s">
        <v>33</v>
      </c>
      <c r="AB172" s="71">
        <v>1</v>
      </c>
      <c r="AC172" s="71">
        <v>0</v>
      </c>
      <c r="AD172" s="71">
        <v>389.47</v>
      </c>
      <c r="AE172" s="239">
        <f>SUM(AD172:AD174)</f>
        <v>389.47</v>
      </c>
      <c r="AF172" s="239">
        <v>2816</v>
      </c>
      <c r="AG172" s="239">
        <f>AF172-AE172</f>
        <v>2426.5299999999997</v>
      </c>
      <c r="AH172" s="259">
        <f t="shared" si="75"/>
        <v>0.86169389204545443</v>
      </c>
    </row>
    <row r="173" spans="2:34" ht="14">
      <c r="B173" s="249"/>
      <c r="C173" s="155"/>
      <c r="D173" s="19" t="s">
        <v>1448</v>
      </c>
      <c r="E173" s="17">
        <v>16.5</v>
      </c>
      <c r="F173" s="17">
        <v>12.5</v>
      </c>
      <c r="G173" s="24">
        <f t="shared" si="71"/>
        <v>206.25</v>
      </c>
      <c r="H173" s="236"/>
      <c r="I173" s="236"/>
      <c r="J173" s="236"/>
      <c r="K173" s="266"/>
      <c r="M173" s="270"/>
      <c r="N173" s="148"/>
      <c r="O173" s="19" t="s">
        <v>114</v>
      </c>
      <c r="P173" s="17">
        <v>18.25</v>
      </c>
      <c r="Q173" s="17">
        <v>16</v>
      </c>
      <c r="R173" s="17">
        <f t="shared" ref="R173:R174" si="76">P173*Q173</f>
        <v>292</v>
      </c>
      <c r="S173" s="236"/>
      <c r="T173" s="236"/>
      <c r="U173" s="236"/>
      <c r="V173" s="242"/>
      <c r="Y173" s="270"/>
      <c r="Z173" s="148"/>
      <c r="AA173" s="19" t="s">
        <v>114</v>
      </c>
      <c r="AB173" s="18"/>
      <c r="AC173" s="18"/>
      <c r="AD173" s="18"/>
      <c r="AE173" s="236"/>
      <c r="AF173" s="236"/>
      <c r="AG173" s="236"/>
      <c r="AH173" s="242"/>
    </row>
    <row r="174" spans="2:34" ht="13">
      <c r="B174" s="249"/>
      <c r="C174" s="155"/>
      <c r="D174" s="19" t="s">
        <v>1315</v>
      </c>
      <c r="E174" s="17">
        <v>24</v>
      </c>
      <c r="F174" s="17">
        <v>15</v>
      </c>
      <c r="G174" s="24">
        <v>0</v>
      </c>
      <c r="H174" s="236"/>
      <c r="I174" s="236"/>
      <c r="J174" s="236"/>
      <c r="K174" s="266"/>
      <c r="M174" s="270"/>
      <c r="N174" s="140"/>
      <c r="O174" s="20" t="s">
        <v>1361</v>
      </c>
      <c r="P174" s="21">
        <v>11.25</v>
      </c>
      <c r="Q174" s="21">
        <v>16</v>
      </c>
      <c r="R174" s="21">
        <f t="shared" si="76"/>
        <v>180</v>
      </c>
      <c r="S174" s="248"/>
      <c r="T174" s="248"/>
      <c r="U174" s="248"/>
      <c r="V174" s="303"/>
      <c r="Y174" s="270"/>
      <c r="Z174" s="140"/>
      <c r="AA174" s="20" t="s">
        <v>1361</v>
      </c>
      <c r="AB174" s="68"/>
      <c r="AC174" s="68"/>
      <c r="AD174" s="68"/>
      <c r="AE174" s="248"/>
      <c r="AF174" s="248"/>
      <c r="AG174" s="248"/>
      <c r="AH174" s="303"/>
    </row>
    <row r="175" spans="2:34" ht="14">
      <c r="B175" s="249"/>
      <c r="C175" s="155"/>
      <c r="D175" s="19" t="s">
        <v>1305</v>
      </c>
      <c r="E175" s="17">
        <v>32</v>
      </c>
      <c r="F175" s="17">
        <v>15</v>
      </c>
      <c r="G175" s="24">
        <v>0</v>
      </c>
      <c r="H175" s="236"/>
      <c r="I175" s="236"/>
      <c r="J175" s="236"/>
      <c r="K175" s="266"/>
      <c r="M175" s="270"/>
      <c r="N175" s="144" t="s">
        <v>1470</v>
      </c>
      <c r="O175" s="77" t="s">
        <v>33</v>
      </c>
      <c r="P175" s="71">
        <v>1</v>
      </c>
      <c r="Q175" s="71">
        <v>0</v>
      </c>
      <c r="R175" s="71">
        <v>97.36</v>
      </c>
      <c r="S175" s="239">
        <f>SUM(R175:R177)</f>
        <v>484.71</v>
      </c>
      <c r="T175" s="239">
        <v>1345.2</v>
      </c>
      <c r="U175" s="239">
        <f>T175-S175</f>
        <v>860.49</v>
      </c>
      <c r="V175" s="259">
        <f>U175/T175</f>
        <v>0.63967439785905444</v>
      </c>
      <c r="Y175" s="270"/>
      <c r="Z175" s="144" t="s">
        <v>1470</v>
      </c>
      <c r="AA175" s="77" t="s">
        <v>33</v>
      </c>
      <c r="AB175" s="71">
        <v>1</v>
      </c>
      <c r="AC175" s="71">
        <v>0</v>
      </c>
      <c r="AD175" s="71">
        <v>97.36</v>
      </c>
      <c r="AE175" s="325">
        <f>SUM(AD175:AD177)</f>
        <v>484.71</v>
      </c>
      <c r="AF175" s="325">
        <v>1345.2</v>
      </c>
      <c r="AG175" s="325">
        <f>AF175-AE175</f>
        <v>860.49</v>
      </c>
      <c r="AH175" s="330">
        <f>AG175/AF175</f>
        <v>0.63967439785905444</v>
      </c>
    </row>
    <row r="176" spans="2:34" ht="13">
      <c r="B176" s="249"/>
      <c r="C176" s="155"/>
      <c r="D176" s="19" t="s">
        <v>1471</v>
      </c>
      <c r="E176" s="17">
        <v>6.5</v>
      </c>
      <c r="F176" s="17">
        <v>13</v>
      </c>
      <c r="G176" s="24">
        <f t="shared" ref="G176:G180" si="77">E176*F176</f>
        <v>84.5</v>
      </c>
      <c r="H176" s="236"/>
      <c r="I176" s="236"/>
      <c r="J176" s="236"/>
      <c r="K176" s="266"/>
      <c r="M176" s="270"/>
      <c r="N176" s="1"/>
      <c r="O176" s="19" t="s">
        <v>1472</v>
      </c>
      <c r="P176" s="17">
        <v>1</v>
      </c>
      <c r="Q176" s="17">
        <v>0</v>
      </c>
      <c r="R176" s="17">
        <v>7.35</v>
      </c>
      <c r="S176" s="236"/>
      <c r="T176" s="236"/>
      <c r="U176" s="236"/>
      <c r="V176" s="242"/>
      <c r="Y176" s="270"/>
      <c r="Z176" s="1"/>
      <c r="AA176" s="19" t="s">
        <v>1472</v>
      </c>
      <c r="AB176" s="17">
        <v>1</v>
      </c>
      <c r="AC176" s="17">
        <v>0</v>
      </c>
      <c r="AD176" s="17">
        <v>7.35</v>
      </c>
      <c r="AE176" s="236"/>
      <c r="AF176" s="236"/>
      <c r="AG176" s="236"/>
      <c r="AH176" s="242"/>
    </row>
    <row r="177" spans="2:34" ht="13">
      <c r="B177" s="249"/>
      <c r="C177" s="155"/>
      <c r="D177" s="19" t="s">
        <v>1473</v>
      </c>
      <c r="E177" s="17">
        <v>6</v>
      </c>
      <c r="F177" s="17">
        <v>13</v>
      </c>
      <c r="G177" s="24">
        <f t="shared" si="77"/>
        <v>78</v>
      </c>
      <c r="H177" s="236"/>
      <c r="I177" s="236"/>
      <c r="J177" s="236"/>
      <c r="K177" s="266"/>
      <c r="M177" s="270"/>
      <c r="N177" s="140"/>
      <c r="O177" s="20" t="s">
        <v>986</v>
      </c>
      <c r="P177" s="21">
        <v>1</v>
      </c>
      <c r="Q177" s="21">
        <v>0</v>
      </c>
      <c r="R177" s="21">
        <v>380</v>
      </c>
      <c r="S177" s="248"/>
      <c r="T177" s="248"/>
      <c r="U177" s="248"/>
      <c r="V177" s="303"/>
      <c r="Y177" s="270"/>
      <c r="Z177" s="140"/>
      <c r="AA177" s="20" t="s">
        <v>986</v>
      </c>
      <c r="AB177" s="21">
        <v>1</v>
      </c>
      <c r="AC177" s="21">
        <v>0</v>
      </c>
      <c r="AD177" s="21">
        <v>380</v>
      </c>
      <c r="AE177" s="248"/>
      <c r="AF177" s="248"/>
      <c r="AG177" s="248"/>
      <c r="AH177" s="303"/>
    </row>
    <row r="178" spans="2:34" ht="14">
      <c r="B178" s="249"/>
      <c r="C178" s="155"/>
      <c r="D178" s="19" t="s">
        <v>1474</v>
      </c>
      <c r="E178" s="17">
        <v>6</v>
      </c>
      <c r="F178" s="17">
        <v>13</v>
      </c>
      <c r="G178" s="24">
        <f t="shared" si="77"/>
        <v>78</v>
      </c>
      <c r="H178" s="236"/>
      <c r="I178" s="236"/>
      <c r="J178" s="236"/>
      <c r="K178" s="266"/>
      <c r="M178" s="270"/>
      <c r="N178" s="144" t="s">
        <v>1475</v>
      </c>
      <c r="O178" s="77" t="s">
        <v>33</v>
      </c>
      <c r="P178" s="71">
        <v>1</v>
      </c>
      <c r="Q178" s="71">
        <v>0</v>
      </c>
      <c r="R178" s="71">
        <v>135.58000000000001</v>
      </c>
      <c r="S178" s="239">
        <f>SUM(R178:R179)</f>
        <v>228.38</v>
      </c>
      <c r="T178" s="239">
        <v>1394.4</v>
      </c>
      <c r="U178" s="239">
        <f>T178-S178</f>
        <v>1166.02</v>
      </c>
      <c r="V178" s="259">
        <f>U178/T178</f>
        <v>0.83621629374641415</v>
      </c>
      <c r="Y178" s="270"/>
      <c r="Z178" s="144" t="s">
        <v>1475</v>
      </c>
      <c r="AA178" s="77" t="s">
        <v>33</v>
      </c>
      <c r="AB178" s="71">
        <v>1</v>
      </c>
      <c r="AC178" s="71">
        <v>0</v>
      </c>
      <c r="AD178" s="71">
        <v>135.58000000000001</v>
      </c>
      <c r="AE178" s="325">
        <f>SUM(AD178:AD179)</f>
        <v>135.58000000000001</v>
      </c>
      <c r="AF178" s="325">
        <v>1394.4</v>
      </c>
      <c r="AG178" s="325">
        <f>AF178-AE178</f>
        <v>1258.8200000000002</v>
      </c>
      <c r="AH178" s="330">
        <f>AG178/AF178</f>
        <v>0.90276821572002297</v>
      </c>
    </row>
    <row r="179" spans="2:34" ht="13">
      <c r="B179" s="249"/>
      <c r="C179" s="155"/>
      <c r="D179" s="19" t="s">
        <v>1453</v>
      </c>
      <c r="E179" s="17">
        <v>5</v>
      </c>
      <c r="F179" s="17">
        <v>13</v>
      </c>
      <c r="G179" s="24">
        <f t="shared" si="77"/>
        <v>65</v>
      </c>
      <c r="H179" s="236"/>
      <c r="I179" s="236"/>
      <c r="J179" s="236"/>
      <c r="K179" s="266"/>
      <c r="M179" s="270"/>
      <c r="N179" s="140"/>
      <c r="O179" s="20" t="s">
        <v>1361</v>
      </c>
      <c r="P179" s="21">
        <v>5.8</v>
      </c>
      <c r="Q179" s="21">
        <v>16</v>
      </c>
      <c r="R179" s="21">
        <f>P179*Q179</f>
        <v>92.8</v>
      </c>
      <c r="S179" s="248"/>
      <c r="T179" s="248"/>
      <c r="U179" s="248"/>
      <c r="V179" s="303"/>
      <c r="Y179" s="270"/>
      <c r="Z179" s="140"/>
      <c r="AA179" s="20" t="s">
        <v>1361</v>
      </c>
      <c r="AB179" s="68"/>
      <c r="AC179" s="68"/>
      <c r="AD179" s="68"/>
      <c r="AE179" s="248"/>
      <c r="AF179" s="248"/>
      <c r="AG179" s="248"/>
      <c r="AH179" s="303"/>
    </row>
    <row r="180" spans="2:34" ht="14">
      <c r="B180" s="249"/>
      <c r="C180" s="157" t="s">
        <v>1476</v>
      </c>
      <c r="D180" s="123" t="s">
        <v>1341</v>
      </c>
      <c r="E180" s="124">
        <v>5</v>
      </c>
      <c r="F180" s="124">
        <v>12.5</v>
      </c>
      <c r="G180" s="159">
        <f t="shared" si="77"/>
        <v>62.5</v>
      </c>
      <c r="H180" s="320">
        <f>SUM(G180:G185)</f>
        <v>225</v>
      </c>
      <c r="I180" s="320">
        <v>1600</v>
      </c>
      <c r="J180" s="320">
        <f>I180-H180</f>
        <v>1375</v>
      </c>
      <c r="K180" s="321">
        <f>J180/I180</f>
        <v>0.859375</v>
      </c>
      <c r="M180" s="270"/>
      <c r="N180" s="144" t="s">
        <v>1477</v>
      </c>
      <c r="O180" s="24" t="s">
        <v>1061</v>
      </c>
      <c r="P180" s="324" t="s">
        <v>1387</v>
      </c>
      <c r="Q180" s="236"/>
      <c r="R180" s="24">
        <v>76</v>
      </c>
      <c r="S180" s="325">
        <f>SUM(R180:R187)</f>
        <v>1506.5</v>
      </c>
      <c r="T180" s="325">
        <v>2832</v>
      </c>
      <c r="U180" s="325">
        <f>T180-S180</f>
        <v>1325.5</v>
      </c>
      <c r="V180" s="259">
        <f>U180/T180</f>
        <v>0.46804378531073448</v>
      </c>
      <c r="Y180" s="270"/>
      <c r="Z180" s="144" t="s">
        <v>1477</v>
      </c>
      <c r="AA180" s="24" t="s">
        <v>1061</v>
      </c>
      <c r="AB180" s="324" t="s">
        <v>1387</v>
      </c>
      <c r="AC180" s="236"/>
      <c r="AD180" s="24">
        <v>76</v>
      </c>
      <c r="AE180" s="325">
        <f>SUM(AD180:AD187)</f>
        <v>1186.5</v>
      </c>
      <c r="AF180" s="325">
        <v>2832</v>
      </c>
      <c r="AG180" s="325">
        <f>AF180-AE180</f>
        <v>1645.5</v>
      </c>
      <c r="AH180" s="330">
        <f>AG180/AF180</f>
        <v>0.58103813559322037</v>
      </c>
    </row>
    <row r="181" spans="2:34" ht="13">
      <c r="B181" s="249"/>
      <c r="C181" s="155"/>
      <c r="D181" s="19" t="s">
        <v>1315</v>
      </c>
      <c r="E181" s="17">
        <v>24</v>
      </c>
      <c r="F181" s="17">
        <v>15</v>
      </c>
      <c r="G181" s="24">
        <v>0</v>
      </c>
      <c r="H181" s="236"/>
      <c r="I181" s="236"/>
      <c r="J181" s="236"/>
      <c r="K181" s="266"/>
      <c r="M181" s="270"/>
      <c r="O181" s="24" t="s">
        <v>1478</v>
      </c>
      <c r="P181" s="324" t="s">
        <v>1387</v>
      </c>
      <c r="Q181" s="236"/>
      <c r="R181" s="24">
        <f>18+18+4+7</f>
        <v>47</v>
      </c>
      <c r="S181" s="236"/>
      <c r="T181" s="236"/>
      <c r="U181" s="236"/>
      <c r="V181" s="242"/>
      <c r="Y181" s="270"/>
      <c r="AA181" s="24" t="s">
        <v>1478</v>
      </c>
      <c r="AB181" s="324" t="s">
        <v>1387</v>
      </c>
      <c r="AC181" s="236"/>
      <c r="AD181" s="24">
        <f>18+18+4+7</f>
        <v>47</v>
      </c>
      <c r="AE181" s="236"/>
      <c r="AF181" s="236"/>
      <c r="AG181" s="236"/>
      <c r="AH181" s="242"/>
    </row>
    <row r="182" spans="2:34" ht="13">
      <c r="B182" s="249"/>
      <c r="C182" s="155"/>
      <c r="D182" s="19" t="s">
        <v>1453</v>
      </c>
      <c r="E182" s="17">
        <v>3.5</v>
      </c>
      <c r="F182" s="17">
        <v>13</v>
      </c>
      <c r="G182" s="24">
        <f t="shared" ref="G182:G183" si="78">E182*F182</f>
        <v>45.5</v>
      </c>
      <c r="H182" s="236"/>
      <c r="I182" s="236"/>
      <c r="J182" s="236"/>
      <c r="K182" s="266"/>
      <c r="M182" s="270"/>
      <c r="O182" s="24" t="s">
        <v>1479</v>
      </c>
      <c r="P182" s="324" t="s">
        <v>1387</v>
      </c>
      <c r="Q182" s="236"/>
      <c r="R182" s="24">
        <v>55</v>
      </c>
      <c r="S182" s="236"/>
      <c r="T182" s="236"/>
      <c r="U182" s="236"/>
      <c r="V182" s="242"/>
      <c r="Y182" s="270"/>
      <c r="AA182" s="24" t="s">
        <v>1479</v>
      </c>
      <c r="AB182" s="324" t="s">
        <v>1387</v>
      </c>
      <c r="AC182" s="236"/>
      <c r="AD182" s="24">
        <v>55</v>
      </c>
      <c r="AE182" s="236"/>
      <c r="AF182" s="236"/>
      <c r="AG182" s="236"/>
      <c r="AH182" s="242"/>
    </row>
    <row r="183" spans="2:34" ht="13">
      <c r="B183" s="249"/>
      <c r="C183" s="155"/>
      <c r="D183" s="19" t="s">
        <v>1454</v>
      </c>
      <c r="E183" s="17">
        <v>5</v>
      </c>
      <c r="F183" s="17">
        <v>13</v>
      </c>
      <c r="G183" s="24">
        <f t="shared" si="78"/>
        <v>65</v>
      </c>
      <c r="H183" s="236"/>
      <c r="I183" s="236"/>
      <c r="J183" s="236"/>
      <c r="K183" s="266"/>
      <c r="M183" s="270"/>
      <c r="O183" s="24" t="s">
        <v>1480</v>
      </c>
      <c r="P183" s="162">
        <v>11</v>
      </c>
      <c r="Q183" s="162">
        <v>19</v>
      </c>
      <c r="R183" s="24">
        <f t="shared" ref="R183:R184" si="79">P183*Q183</f>
        <v>209</v>
      </c>
      <c r="S183" s="236"/>
      <c r="T183" s="236"/>
      <c r="U183" s="236"/>
      <c r="V183" s="242"/>
      <c r="Y183" s="270"/>
      <c r="AA183" s="24" t="s">
        <v>1480</v>
      </c>
      <c r="AB183" s="162">
        <v>11</v>
      </c>
      <c r="AC183" s="162">
        <v>19</v>
      </c>
      <c r="AD183" s="24">
        <f t="shared" ref="AD183:AD184" si="80">AB183*AC183</f>
        <v>209</v>
      </c>
      <c r="AE183" s="236"/>
      <c r="AF183" s="236"/>
      <c r="AG183" s="236"/>
      <c r="AH183" s="242"/>
    </row>
    <row r="184" spans="2:34" ht="13">
      <c r="B184" s="249"/>
      <c r="C184" s="155"/>
      <c r="D184" s="19" t="s">
        <v>715</v>
      </c>
      <c r="E184" s="17">
        <v>8</v>
      </c>
      <c r="F184" s="17">
        <v>15</v>
      </c>
      <c r="G184" s="24">
        <v>0</v>
      </c>
      <c r="H184" s="236"/>
      <c r="I184" s="236"/>
      <c r="J184" s="236"/>
      <c r="K184" s="266"/>
      <c r="M184" s="270"/>
      <c r="O184" s="24" t="s">
        <v>1481</v>
      </c>
      <c r="P184" s="162">
        <v>6</v>
      </c>
      <c r="Q184" s="162">
        <v>19</v>
      </c>
      <c r="R184" s="24">
        <f t="shared" si="79"/>
        <v>114</v>
      </c>
      <c r="S184" s="236"/>
      <c r="T184" s="236"/>
      <c r="U184" s="236"/>
      <c r="V184" s="242"/>
      <c r="Y184" s="270"/>
      <c r="AA184" s="24" t="s">
        <v>1481</v>
      </c>
      <c r="AB184" s="162">
        <v>6</v>
      </c>
      <c r="AC184" s="162">
        <v>19</v>
      </c>
      <c r="AD184" s="24">
        <f t="shared" si="80"/>
        <v>114</v>
      </c>
      <c r="AE184" s="236"/>
      <c r="AF184" s="236"/>
      <c r="AG184" s="236"/>
      <c r="AH184" s="242"/>
    </row>
    <row r="185" spans="2:34" ht="13">
      <c r="B185" s="249"/>
      <c r="C185" s="155"/>
      <c r="D185" s="19" t="s">
        <v>1474</v>
      </c>
      <c r="E185" s="17">
        <v>4</v>
      </c>
      <c r="F185" s="17">
        <v>13</v>
      </c>
      <c r="G185" s="24">
        <f t="shared" ref="G185:G187" si="81">E185*F185</f>
        <v>52</v>
      </c>
      <c r="H185" s="236"/>
      <c r="I185" s="236"/>
      <c r="J185" s="236"/>
      <c r="K185" s="266"/>
      <c r="M185" s="270"/>
      <c r="O185" s="24" t="s">
        <v>986</v>
      </c>
      <c r="P185" s="162" t="s">
        <v>1387</v>
      </c>
      <c r="Q185" s="162"/>
      <c r="R185" s="24">
        <v>600</v>
      </c>
      <c r="S185" s="236"/>
      <c r="T185" s="236"/>
      <c r="U185" s="236"/>
      <c r="V185" s="242"/>
      <c r="Y185" s="270"/>
      <c r="AA185" s="24" t="s">
        <v>986</v>
      </c>
      <c r="AB185" s="162" t="s">
        <v>1387</v>
      </c>
      <c r="AC185" s="162"/>
      <c r="AD185" s="24">
        <v>600</v>
      </c>
      <c r="AE185" s="236"/>
      <c r="AF185" s="236"/>
      <c r="AG185" s="236"/>
      <c r="AH185" s="242"/>
    </row>
    <row r="186" spans="2:34" ht="13">
      <c r="B186" s="249"/>
      <c r="C186" s="157">
        <v>3051</v>
      </c>
      <c r="D186" s="123" t="s">
        <v>1407</v>
      </c>
      <c r="E186" s="124">
        <v>16</v>
      </c>
      <c r="F186" s="124">
        <v>0</v>
      </c>
      <c r="G186" s="159">
        <f t="shared" si="81"/>
        <v>0</v>
      </c>
      <c r="H186" s="320">
        <f>SUM(G186:G188)</f>
        <v>0</v>
      </c>
      <c r="I186" s="320">
        <v>1100</v>
      </c>
      <c r="J186" s="320">
        <f>I186-H186</f>
        <v>1100</v>
      </c>
      <c r="K186" s="321">
        <f>J186/I186</f>
        <v>1</v>
      </c>
      <c r="M186" s="270"/>
      <c r="O186" s="24" t="s">
        <v>1482</v>
      </c>
      <c r="P186" s="162">
        <v>4.5</v>
      </c>
      <c r="Q186" s="162">
        <v>19</v>
      </c>
      <c r="R186" s="24">
        <f t="shared" ref="R186:R191" si="82">P186*Q186</f>
        <v>85.5</v>
      </c>
      <c r="S186" s="236"/>
      <c r="T186" s="236"/>
      <c r="U186" s="236"/>
      <c r="V186" s="242"/>
      <c r="Y186" s="270"/>
      <c r="AA186" s="24" t="s">
        <v>1482</v>
      </c>
      <c r="AB186" s="162">
        <v>4.5</v>
      </c>
      <c r="AC186" s="162">
        <v>19</v>
      </c>
      <c r="AD186" s="24">
        <f>AB186*AC186</f>
        <v>85.5</v>
      </c>
      <c r="AE186" s="236"/>
      <c r="AF186" s="236"/>
      <c r="AG186" s="236"/>
      <c r="AH186" s="242"/>
    </row>
    <row r="187" spans="2:34" ht="13">
      <c r="B187" s="249"/>
      <c r="C187" s="155"/>
      <c r="D187" s="19" t="s">
        <v>1315</v>
      </c>
      <c r="E187" s="17">
        <v>8</v>
      </c>
      <c r="F187" s="17">
        <v>0</v>
      </c>
      <c r="G187" s="24">
        <f t="shared" si="81"/>
        <v>0</v>
      </c>
      <c r="H187" s="236"/>
      <c r="I187" s="236"/>
      <c r="J187" s="236"/>
      <c r="K187" s="266"/>
      <c r="M187" s="270"/>
      <c r="N187" s="44"/>
      <c r="O187" s="44" t="s">
        <v>87</v>
      </c>
      <c r="P187" s="163">
        <v>16</v>
      </c>
      <c r="Q187" s="163">
        <v>20</v>
      </c>
      <c r="R187" s="44">
        <f t="shared" si="82"/>
        <v>320</v>
      </c>
      <c r="S187" s="248"/>
      <c r="T187" s="248"/>
      <c r="U187" s="248"/>
      <c r="V187" s="303"/>
      <c r="Y187" s="270"/>
      <c r="Z187" s="44"/>
      <c r="AA187" s="44" t="s">
        <v>87</v>
      </c>
      <c r="AB187" s="164"/>
      <c r="AC187" s="164"/>
      <c r="AD187" s="142"/>
      <c r="AE187" s="248"/>
      <c r="AF187" s="248"/>
      <c r="AG187" s="248"/>
      <c r="AH187" s="303"/>
    </row>
    <row r="188" spans="2:34" ht="14">
      <c r="B188" s="249"/>
      <c r="C188" s="155"/>
      <c r="D188" s="19" t="s">
        <v>715</v>
      </c>
      <c r="E188" s="17">
        <v>5</v>
      </c>
      <c r="F188" s="17">
        <f>15</f>
        <v>15</v>
      </c>
      <c r="G188" s="165">
        <v>0</v>
      </c>
      <c r="H188" s="293"/>
      <c r="I188" s="293"/>
      <c r="J188" s="293"/>
      <c r="K188" s="319"/>
      <c r="M188" s="270"/>
      <c r="N188" s="166" t="s">
        <v>1483</v>
      </c>
      <c r="O188" s="24" t="s">
        <v>1484</v>
      </c>
      <c r="P188" s="24">
        <v>4</v>
      </c>
      <c r="Q188" s="24">
        <v>68</v>
      </c>
      <c r="R188" s="11">
        <f t="shared" si="82"/>
        <v>272</v>
      </c>
      <c r="S188" s="325">
        <f>SUM(R188:R194)</f>
        <v>3237.64</v>
      </c>
      <c r="T188" s="325">
        <v>6030</v>
      </c>
      <c r="U188" s="325">
        <f>T188-S188</f>
        <v>2792.36</v>
      </c>
      <c r="V188" s="259">
        <f>U188/T188</f>
        <v>0.46307794361525706</v>
      </c>
      <c r="Y188" s="270"/>
      <c r="Z188" s="166" t="s">
        <v>1483</v>
      </c>
      <c r="AA188" s="24" t="s">
        <v>1484</v>
      </c>
      <c r="AB188" s="24">
        <v>4</v>
      </c>
      <c r="AC188" s="24">
        <v>68</v>
      </c>
      <c r="AD188" s="11">
        <f t="shared" ref="AD188:AD190" si="83">AB188*AC188</f>
        <v>272</v>
      </c>
      <c r="AE188" s="325">
        <f>SUM(AD188:AD194)</f>
        <v>3125.64</v>
      </c>
      <c r="AF188" s="325">
        <v>6030</v>
      </c>
      <c r="AG188" s="325">
        <f>AF188-AE188</f>
        <v>2904.36</v>
      </c>
      <c r="AH188" s="330">
        <f>AG188/AF188</f>
        <v>0.48165174129353233</v>
      </c>
    </row>
    <row r="189" spans="2:34" ht="13">
      <c r="B189" s="249"/>
      <c r="C189" s="157" t="s">
        <v>1485</v>
      </c>
      <c r="D189" s="123" t="s">
        <v>1448</v>
      </c>
      <c r="E189" s="124">
        <v>6.9</v>
      </c>
      <c r="F189" s="124">
        <v>12.5</v>
      </c>
      <c r="G189" s="159">
        <f t="shared" ref="G189:G196" si="84">E189*F189</f>
        <v>86.25</v>
      </c>
      <c r="H189" s="320">
        <f>SUM(G189:G196)</f>
        <v>398.25</v>
      </c>
      <c r="I189" s="320">
        <v>1600</v>
      </c>
      <c r="J189" s="320">
        <f>I189-H189</f>
        <v>1201.75</v>
      </c>
      <c r="K189" s="321">
        <f>J189/I189</f>
        <v>0.75109375</v>
      </c>
      <c r="M189" s="270"/>
      <c r="O189" s="24" t="s">
        <v>715</v>
      </c>
      <c r="P189" s="24">
        <v>34</v>
      </c>
      <c r="Q189" s="24">
        <v>22.5</v>
      </c>
      <c r="R189" s="11">
        <f t="shared" si="82"/>
        <v>765</v>
      </c>
      <c r="S189" s="236"/>
      <c r="T189" s="236"/>
      <c r="U189" s="236"/>
      <c r="V189" s="242"/>
      <c r="Y189" s="270"/>
      <c r="AA189" s="24" t="s">
        <v>715</v>
      </c>
      <c r="AB189" s="24">
        <v>34</v>
      </c>
      <c r="AC189" s="24">
        <v>22.5</v>
      </c>
      <c r="AD189" s="11">
        <f t="shared" si="83"/>
        <v>765</v>
      </c>
      <c r="AE189" s="236"/>
      <c r="AF189" s="236"/>
      <c r="AG189" s="236"/>
      <c r="AH189" s="242"/>
    </row>
    <row r="190" spans="2:34" ht="13">
      <c r="B190" s="249"/>
      <c r="C190" s="155"/>
      <c r="D190" s="19" t="s">
        <v>1315</v>
      </c>
      <c r="E190" s="17">
        <v>8</v>
      </c>
      <c r="F190" s="17">
        <v>0</v>
      </c>
      <c r="G190" s="24">
        <f t="shared" si="84"/>
        <v>0</v>
      </c>
      <c r="H190" s="236"/>
      <c r="I190" s="236"/>
      <c r="J190" s="236"/>
      <c r="K190" s="266"/>
      <c r="M190" s="270"/>
      <c r="O190" s="24" t="s">
        <v>1486</v>
      </c>
      <c r="P190" s="24">
        <v>38</v>
      </c>
      <c r="Q190" s="24">
        <v>22.5</v>
      </c>
      <c r="R190" s="11">
        <f t="shared" si="82"/>
        <v>855</v>
      </c>
      <c r="S190" s="236"/>
      <c r="T190" s="236"/>
      <c r="U190" s="236"/>
      <c r="V190" s="242"/>
      <c r="Y190" s="270"/>
      <c r="AA190" s="24" t="s">
        <v>1486</v>
      </c>
      <c r="AB190" s="24">
        <v>38</v>
      </c>
      <c r="AC190" s="24">
        <v>22.5</v>
      </c>
      <c r="AD190" s="11">
        <f t="shared" si="83"/>
        <v>855</v>
      </c>
      <c r="AE190" s="236"/>
      <c r="AF190" s="236"/>
      <c r="AG190" s="236"/>
      <c r="AH190" s="242"/>
    </row>
    <row r="191" spans="2:34" ht="13">
      <c r="B191" s="249"/>
      <c r="C191" s="155"/>
      <c r="D191" s="19" t="s">
        <v>1487</v>
      </c>
      <c r="E191" s="17">
        <v>9</v>
      </c>
      <c r="F191" s="17">
        <v>13</v>
      </c>
      <c r="G191" s="24">
        <f t="shared" si="84"/>
        <v>117</v>
      </c>
      <c r="H191" s="236"/>
      <c r="I191" s="236"/>
      <c r="J191" s="236"/>
      <c r="K191" s="266"/>
      <c r="M191" s="270"/>
      <c r="O191" s="24" t="s">
        <v>114</v>
      </c>
      <c r="P191" s="24">
        <v>7</v>
      </c>
      <c r="Q191" s="24">
        <v>16</v>
      </c>
      <c r="R191" s="11">
        <f t="shared" si="82"/>
        <v>112</v>
      </c>
      <c r="S191" s="236"/>
      <c r="T191" s="236"/>
      <c r="U191" s="236"/>
      <c r="V191" s="242"/>
      <c r="Y191" s="270"/>
      <c r="AA191" s="24" t="s">
        <v>114</v>
      </c>
      <c r="AB191" s="167"/>
      <c r="AC191" s="167"/>
      <c r="AD191" s="168"/>
      <c r="AE191" s="236"/>
      <c r="AF191" s="236"/>
      <c r="AG191" s="236"/>
      <c r="AH191" s="242"/>
    </row>
    <row r="192" spans="2:34" ht="13">
      <c r="B192" s="249"/>
      <c r="C192" s="155"/>
      <c r="D192" s="19" t="s">
        <v>1488</v>
      </c>
      <c r="E192" s="17">
        <v>3</v>
      </c>
      <c r="F192" s="17">
        <v>13</v>
      </c>
      <c r="G192" s="24">
        <f t="shared" si="84"/>
        <v>39</v>
      </c>
      <c r="H192" s="236"/>
      <c r="I192" s="236"/>
      <c r="J192" s="236"/>
      <c r="K192" s="266"/>
      <c r="M192" s="270"/>
      <c r="O192" s="24" t="s">
        <v>33</v>
      </c>
      <c r="P192" s="324" t="s">
        <v>1387</v>
      </c>
      <c r="Q192" s="236"/>
      <c r="R192" s="11">
        <v>933.64</v>
      </c>
      <c r="S192" s="236"/>
      <c r="T192" s="236"/>
      <c r="U192" s="236"/>
      <c r="V192" s="242"/>
      <c r="Y192" s="270"/>
      <c r="AA192" s="24" t="s">
        <v>33</v>
      </c>
      <c r="AB192" s="324" t="s">
        <v>1387</v>
      </c>
      <c r="AC192" s="236"/>
      <c r="AD192" s="11">
        <v>933.64</v>
      </c>
      <c r="AE192" s="236"/>
      <c r="AF192" s="236"/>
      <c r="AG192" s="236"/>
      <c r="AH192" s="242"/>
    </row>
    <row r="193" spans="2:34" ht="13">
      <c r="B193" s="249"/>
      <c r="C193" s="155"/>
      <c r="D193" s="19" t="s">
        <v>1489</v>
      </c>
      <c r="E193" s="17">
        <v>3</v>
      </c>
      <c r="F193" s="17">
        <v>13</v>
      </c>
      <c r="G193" s="24">
        <f t="shared" si="84"/>
        <v>39</v>
      </c>
      <c r="H193" s="236"/>
      <c r="I193" s="236"/>
      <c r="J193" s="236"/>
      <c r="K193" s="266"/>
      <c r="M193" s="270"/>
      <c r="O193" s="24" t="s">
        <v>1490</v>
      </c>
      <c r="R193" s="11">
        <v>250</v>
      </c>
      <c r="S193" s="236"/>
      <c r="T193" s="236"/>
      <c r="U193" s="236"/>
      <c r="V193" s="242"/>
      <c r="Y193" s="270"/>
      <c r="AA193" s="24" t="s">
        <v>1490</v>
      </c>
      <c r="AD193" s="11">
        <v>250</v>
      </c>
      <c r="AE193" s="236"/>
      <c r="AF193" s="236"/>
      <c r="AG193" s="236"/>
      <c r="AH193" s="242"/>
    </row>
    <row r="194" spans="2:34" ht="13">
      <c r="B194" s="249"/>
      <c r="C194" s="155"/>
      <c r="D194" s="19" t="s">
        <v>1491</v>
      </c>
      <c r="E194" s="17">
        <v>3</v>
      </c>
      <c r="F194" s="17">
        <v>13</v>
      </c>
      <c r="G194" s="24">
        <f t="shared" si="84"/>
        <v>39</v>
      </c>
      <c r="H194" s="236"/>
      <c r="I194" s="236"/>
      <c r="J194" s="236"/>
      <c r="K194" s="266"/>
      <c r="M194" s="270"/>
      <c r="N194" s="44"/>
      <c r="O194" s="44" t="s">
        <v>45</v>
      </c>
      <c r="P194" s="326"/>
      <c r="Q194" s="248"/>
      <c r="R194" s="44">
        <v>50</v>
      </c>
      <c r="S194" s="248"/>
      <c r="T194" s="248"/>
      <c r="U194" s="248"/>
      <c r="V194" s="303"/>
      <c r="Y194" s="270"/>
      <c r="Z194" s="44"/>
      <c r="AA194" s="44" t="s">
        <v>45</v>
      </c>
      <c r="AB194" s="326"/>
      <c r="AC194" s="248"/>
      <c r="AD194" s="44">
        <v>50</v>
      </c>
      <c r="AE194" s="248"/>
      <c r="AF194" s="248"/>
      <c r="AG194" s="248"/>
      <c r="AH194" s="303"/>
    </row>
    <row r="195" spans="2:34" ht="13">
      <c r="B195" s="249"/>
      <c r="C195" s="155"/>
      <c r="D195" s="19" t="s">
        <v>1492</v>
      </c>
      <c r="E195" s="17">
        <v>2.5</v>
      </c>
      <c r="F195" s="17">
        <v>13</v>
      </c>
      <c r="G195" s="24">
        <f t="shared" si="84"/>
        <v>32.5</v>
      </c>
      <c r="H195" s="236"/>
      <c r="I195" s="236"/>
      <c r="J195" s="236"/>
      <c r="K195" s="266"/>
      <c r="M195" s="270"/>
      <c r="N195" s="166" t="s">
        <v>1493</v>
      </c>
      <c r="O195" s="24" t="s">
        <v>715</v>
      </c>
      <c r="P195" s="24">
        <v>5</v>
      </c>
      <c r="Q195" s="24">
        <v>75</v>
      </c>
      <c r="R195" s="24">
        <f t="shared" ref="R195:R198" si="85">P195*Q195</f>
        <v>375</v>
      </c>
      <c r="S195" s="325">
        <f>SUM(R195:R197)</f>
        <v>427.4</v>
      </c>
      <c r="T195" s="327">
        <v>1770</v>
      </c>
      <c r="U195" s="327">
        <f>T195-S195</f>
        <v>1342.6</v>
      </c>
      <c r="V195" s="259">
        <f>U195/T195</f>
        <v>0.75853107344632764</v>
      </c>
      <c r="Y195" s="270"/>
      <c r="Z195" s="166" t="s">
        <v>1493</v>
      </c>
      <c r="AA195" s="24" t="s">
        <v>715</v>
      </c>
      <c r="AB195" s="24">
        <v>5</v>
      </c>
      <c r="AC195" s="24">
        <v>75</v>
      </c>
      <c r="AD195" s="24">
        <f t="shared" ref="AD195:AD196" si="86">AB195*AC195</f>
        <v>375</v>
      </c>
      <c r="AE195" s="325">
        <f>SUM(AD195:AD197)</f>
        <v>395.4</v>
      </c>
      <c r="AF195" s="327">
        <v>1770</v>
      </c>
      <c r="AG195" s="327">
        <f>AF195-AE195</f>
        <v>1374.6</v>
      </c>
      <c r="AH195" s="330">
        <f>AG195/AF195</f>
        <v>0.77661016949152539</v>
      </c>
    </row>
    <row r="196" spans="2:34" ht="13">
      <c r="B196" s="249"/>
      <c r="C196" s="155"/>
      <c r="D196" s="19" t="s">
        <v>1453</v>
      </c>
      <c r="E196" s="17">
        <v>3.5</v>
      </c>
      <c r="F196" s="17">
        <v>13</v>
      </c>
      <c r="G196" s="24">
        <f t="shared" si="84"/>
        <v>45.5</v>
      </c>
      <c r="H196" s="236"/>
      <c r="I196" s="236"/>
      <c r="J196" s="236"/>
      <c r="K196" s="266"/>
      <c r="M196" s="270"/>
      <c r="O196" s="24" t="s">
        <v>1484</v>
      </c>
      <c r="P196" s="24">
        <v>0.3</v>
      </c>
      <c r="Q196" s="24">
        <v>68</v>
      </c>
      <c r="R196" s="24">
        <f t="shared" si="85"/>
        <v>20.399999999999999</v>
      </c>
      <c r="S196" s="236"/>
      <c r="T196" s="236"/>
      <c r="U196" s="236"/>
      <c r="V196" s="242"/>
      <c r="Y196" s="270"/>
      <c r="AA196" s="24" t="s">
        <v>1484</v>
      </c>
      <c r="AB196" s="24">
        <v>0.3</v>
      </c>
      <c r="AC196" s="24">
        <v>68</v>
      </c>
      <c r="AD196" s="24">
        <f t="shared" si="86"/>
        <v>20.399999999999999</v>
      </c>
      <c r="AE196" s="236"/>
      <c r="AF196" s="236"/>
      <c r="AG196" s="236"/>
      <c r="AH196" s="242"/>
    </row>
    <row r="197" spans="2:34" ht="13">
      <c r="B197" s="249"/>
      <c r="C197" s="157" t="s">
        <v>1494</v>
      </c>
      <c r="D197" s="123" t="s">
        <v>1305</v>
      </c>
      <c r="E197" s="124">
        <v>16</v>
      </c>
      <c r="F197" s="124">
        <v>15</v>
      </c>
      <c r="G197" s="159">
        <v>0</v>
      </c>
      <c r="H197" s="320">
        <f>SUM(G197:G206)</f>
        <v>667.5</v>
      </c>
      <c r="I197" s="320">
        <v>10800</v>
      </c>
      <c r="J197" s="320">
        <f>I197-H197</f>
        <v>10132.5</v>
      </c>
      <c r="K197" s="321">
        <f>J197/I197</f>
        <v>0.93819444444444444</v>
      </c>
      <c r="M197" s="270"/>
      <c r="N197" s="44"/>
      <c r="O197" s="44" t="s">
        <v>114</v>
      </c>
      <c r="P197" s="44">
        <v>2</v>
      </c>
      <c r="Q197" s="44">
        <v>16</v>
      </c>
      <c r="R197" s="44">
        <f t="shared" si="85"/>
        <v>32</v>
      </c>
      <c r="S197" s="248"/>
      <c r="T197" s="248"/>
      <c r="U197" s="248"/>
      <c r="V197" s="303"/>
      <c r="Y197" s="270"/>
      <c r="AA197" s="44" t="s">
        <v>114</v>
      </c>
      <c r="AB197" s="142"/>
      <c r="AC197" s="142"/>
      <c r="AD197" s="142"/>
      <c r="AE197" s="248"/>
      <c r="AF197" s="248"/>
      <c r="AG197" s="248"/>
      <c r="AH197" s="303"/>
    </row>
    <row r="198" spans="2:34" ht="13">
      <c r="B198" s="249"/>
      <c r="C198" s="155"/>
      <c r="D198" s="19" t="s">
        <v>1315</v>
      </c>
      <c r="E198" s="17">
        <v>16</v>
      </c>
      <c r="F198" s="17">
        <v>15</v>
      </c>
      <c r="G198" s="24">
        <v>0</v>
      </c>
      <c r="H198" s="236"/>
      <c r="I198" s="236"/>
      <c r="J198" s="236"/>
      <c r="K198" s="266"/>
      <c r="M198" s="270"/>
      <c r="N198" s="322" t="s">
        <v>1495</v>
      </c>
      <c r="O198" s="77" t="s">
        <v>114</v>
      </c>
      <c r="P198" s="71">
        <v>14.8</v>
      </c>
      <c r="Q198" s="71">
        <v>16</v>
      </c>
      <c r="R198" s="71">
        <f t="shared" si="85"/>
        <v>236.8</v>
      </c>
      <c r="S198" s="239">
        <f>SUM(R198:R204)</f>
        <v>1035.0999999999999</v>
      </c>
      <c r="T198" s="239">
        <v>5852.8</v>
      </c>
      <c r="U198" s="239">
        <f>T198-S198</f>
        <v>4817.7000000000007</v>
      </c>
      <c r="V198" s="259">
        <f>U198/T198</f>
        <v>0.82314447785675238</v>
      </c>
      <c r="Y198" s="270"/>
      <c r="Z198" s="322" t="s">
        <v>1495</v>
      </c>
      <c r="AA198" s="77" t="s">
        <v>114</v>
      </c>
      <c r="AB198" s="104"/>
      <c r="AC198" s="104"/>
      <c r="AD198" s="104"/>
      <c r="AE198" s="325">
        <f>SUM(AD198:AD204)</f>
        <v>798.30000000000007</v>
      </c>
      <c r="AF198" s="325">
        <v>5852.8</v>
      </c>
      <c r="AG198" s="325">
        <f>AF198-AE198</f>
        <v>5054.5</v>
      </c>
      <c r="AH198" s="330">
        <f>AG198/AF198</f>
        <v>0.86360374521596495</v>
      </c>
    </row>
    <row r="199" spans="2:34" ht="13">
      <c r="B199" s="249"/>
      <c r="C199" s="155"/>
      <c r="D199" s="19" t="s">
        <v>1448</v>
      </c>
      <c r="E199" s="17">
        <v>4</v>
      </c>
      <c r="F199" s="17">
        <v>12.5</v>
      </c>
      <c r="G199" s="24">
        <f t="shared" ref="G199:G207" si="87">E199*F199</f>
        <v>50</v>
      </c>
      <c r="H199" s="236"/>
      <c r="I199" s="236"/>
      <c r="J199" s="236"/>
      <c r="K199" s="266"/>
      <c r="M199" s="270"/>
      <c r="N199" s="236"/>
      <c r="O199" s="19" t="s">
        <v>1061</v>
      </c>
      <c r="P199" s="17" t="s">
        <v>1387</v>
      </c>
      <c r="Q199" s="17" t="s">
        <v>1387</v>
      </c>
      <c r="R199" s="17">
        <v>180</v>
      </c>
      <c r="S199" s="236"/>
      <c r="T199" s="236"/>
      <c r="U199" s="236"/>
      <c r="V199" s="242"/>
      <c r="Y199" s="270"/>
      <c r="Z199" s="236"/>
      <c r="AA199" s="19" t="s">
        <v>1061</v>
      </c>
      <c r="AB199" s="17" t="s">
        <v>1387</v>
      </c>
      <c r="AC199" s="17" t="s">
        <v>1387</v>
      </c>
      <c r="AD199" s="17">
        <v>180</v>
      </c>
      <c r="AE199" s="236"/>
      <c r="AF199" s="236"/>
      <c r="AG199" s="236"/>
      <c r="AH199" s="242"/>
    </row>
    <row r="200" spans="2:34" ht="13">
      <c r="B200" s="249"/>
      <c r="C200" s="155"/>
      <c r="D200" s="19" t="s">
        <v>1349</v>
      </c>
      <c r="E200" s="17">
        <v>15</v>
      </c>
      <c r="F200" s="17">
        <v>13</v>
      </c>
      <c r="G200" s="24">
        <f t="shared" si="87"/>
        <v>195</v>
      </c>
      <c r="H200" s="236"/>
      <c r="I200" s="236"/>
      <c r="J200" s="236"/>
      <c r="K200" s="266"/>
      <c r="M200" s="270"/>
      <c r="N200" s="1"/>
      <c r="O200" s="19" t="s">
        <v>47</v>
      </c>
      <c r="P200" s="17" t="s">
        <v>1387</v>
      </c>
      <c r="Q200" s="17" t="s">
        <v>1387</v>
      </c>
      <c r="R200" s="17">
        <v>124.44</v>
      </c>
      <c r="S200" s="236"/>
      <c r="T200" s="236"/>
      <c r="U200" s="236"/>
      <c r="V200" s="242"/>
      <c r="Y200" s="270"/>
      <c r="Z200" s="1"/>
      <c r="AA200" s="19" t="s">
        <v>47</v>
      </c>
      <c r="AB200" s="17" t="s">
        <v>1387</v>
      </c>
      <c r="AC200" s="17" t="s">
        <v>1387</v>
      </c>
      <c r="AD200" s="17">
        <v>124.44</v>
      </c>
      <c r="AE200" s="236"/>
      <c r="AF200" s="236"/>
      <c r="AG200" s="236"/>
      <c r="AH200" s="242"/>
    </row>
    <row r="201" spans="2:34" ht="13">
      <c r="B201" s="249"/>
      <c r="C201" s="155"/>
      <c r="D201" s="19" t="s">
        <v>1496</v>
      </c>
      <c r="E201" s="17">
        <v>5</v>
      </c>
      <c r="F201" s="17">
        <v>13</v>
      </c>
      <c r="G201" s="24">
        <f t="shared" si="87"/>
        <v>65</v>
      </c>
      <c r="H201" s="236"/>
      <c r="I201" s="236"/>
      <c r="J201" s="236"/>
      <c r="K201" s="266"/>
      <c r="M201" s="270"/>
      <c r="N201" s="1"/>
      <c r="O201" s="19" t="s">
        <v>188</v>
      </c>
      <c r="P201" s="17" t="s">
        <v>1387</v>
      </c>
      <c r="Q201" s="17" t="s">
        <v>1387</v>
      </c>
      <c r="R201" s="17">
        <v>70</v>
      </c>
      <c r="S201" s="236"/>
      <c r="T201" s="236"/>
      <c r="U201" s="236"/>
      <c r="V201" s="242"/>
      <c r="Y201" s="270"/>
      <c r="Z201" s="1"/>
      <c r="AA201" s="19" t="s">
        <v>188</v>
      </c>
      <c r="AB201" s="17" t="s">
        <v>1387</v>
      </c>
      <c r="AC201" s="17" t="s">
        <v>1387</v>
      </c>
      <c r="AD201" s="17">
        <v>70</v>
      </c>
      <c r="AE201" s="236"/>
      <c r="AF201" s="236"/>
      <c r="AG201" s="236"/>
      <c r="AH201" s="242"/>
    </row>
    <row r="202" spans="2:34" ht="13">
      <c r="B202" s="249"/>
      <c r="C202" s="155"/>
      <c r="D202" s="19" t="s">
        <v>1497</v>
      </c>
      <c r="E202" s="17">
        <v>10.5</v>
      </c>
      <c r="F202" s="17">
        <v>13</v>
      </c>
      <c r="G202" s="24">
        <f t="shared" si="87"/>
        <v>136.5</v>
      </c>
      <c r="H202" s="236"/>
      <c r="I202" s="236"/>
      <c r="J202" s="236"/>
      <c r="K202" s="266"/>
      <c r="M202" s="270"/>
      <c r="N202" s="1"/>
      <c r="O202" s="19" t="s">
        <v>45</v>
      </c>
      <c r="P202" s="17" t="s">
        <v>1387</v>
      </c>
      <c r="Q202" s="17" t="s">
        <v>1387</v>
      </c>
      <c r="R202" s="17">
        <v>70</v>
      </c>
      <c r="S202" s="236"/>
      <c r="T202" s="236"/>
      <c r="U202" s="236"/>
      <c r="V202" s="242"/>
      <c r="Y202" s="270"/>
      <c r="Z202" s="1"/>
      <c r="AA202" s="19" t="s">
        <v>45</v>
      </c>
      <c r="AB202" s="17" t="s">
        <v>1387</v>
      </c>
      <c r="AC202" s="17" t="s">
        <v>1387</v>
      </c>
      <c r="AD202" s="17">
        <v>70</v>
      </c>
      <c r="AE202" s="236"/>
      <c r="AF202" s="236"/>
      <c r="AG202" s="236"/>
      <c r="AH202" s="242"/>
    </row>
    <row r="203" spans="2:34" ht="13">
      <c r="B203" s="249"/>
      <c r="C203" s="155"/>
      <c r="D203" s="19" t="s">
        <v>1425</v>
      </c>
      <c r="E203" s="17">
        <v>5</v>
      </c>
      <c r="F203" s="17">
        <v>13</v>
      </c>
      <c r="G203" s="24">
        <f t="shared" si="87"/>
        <v>65</v>
      </c>
      <c r="H203" s="236"/>
      <c r="I203" s="236"/>
      <c r="J203" s="236"/>
      <c r="K203" s="266"/>
      <c r="M203" s="270"/>
      <c r="N203" s="1"/>
      <c r="O203" s="19" t="s">
        <v>155</v>
      </c>
      <c r="P203" s="17" t="s">
        <v>1387</v>
      </c>
      <c r="Q203" s="17" t="s">
        <v>1387</v>
      </c>
      <c r="R203" s="17">
        <v>201</v>
      </c>
      <c r="S203" s="236"/>
      <c r="T203" s="236"/>
      <c r="U203" s="236"/>
      <c r="V203" s="242"/>
      <c r="Y203" s="270"/>
      <c r="Z203" s="1"/>
      <c r="AA203" s="19" t="s">
        <v>155</v>
      </c>
      <c r="AB203" s="17" t="s">
        <v>1387</v>
      </c>
      <c r="AC203" s="17" t="s">
        <v>1387</v>
      </c>
      <c r="AD203" s="17">
        <v>201</v>
      </c>
      <c r="AE203" s="236"/>
      <c r="AF203" s="236"/>
      <c r="AG203" s="236"/>
      <c r="AH203" s="242"/>
    </row>
    <row r="204" spans="2:34" ht="13">
      <c r="B204" s="249"/>
      <c r="C204" s="155"/>
      <c r="D204" s="19" t="s">
        <v>1498</v>
      </c>
      <c r="E204" s="17">
        <v>6</v>
      </c>
      <c r="F204" s="17">
        <v>13</v>
      </c>
      <c r="G204" s="24">
        <f t="shared" si="87"/>
        <v>78</v>
      </c>
      <c r="H204" s="236"/>
      <c r="I204" s="236"/>
      <c r="J204" s="236"/>
      <c r="K204" s="266"/>
      <c r="M204" s="270"/>
      <c r="N204" s="140"/>
      <c r="O204" s="20" t="s">
        <v>33</v>
      </c>
      <c r="P204" s="21" t="s">
        <v>1387</v>
      </c>
      <c r="Q204" s="21" t="s">
        <v>1387</v>
      </c>
      <c r="R204" s="21">
        <v>152.86000000000001</v>
      </c>
      <c r="S204" s="248"/>
      <c r="T204" s="248"/>
      <c r="U204" s="248"/>
      <c r="V204" s="303"/>
      <c r="Y204" s="270"/>
      <c r="Z204" s="1"/>
      <c r="AA204" s="20" t="s">
        <v>33</v>
      </c>
      <c r="AB204" s="21" t="s">
        <v>1387</v>
      </c>
      <c r="AC204" s="21" t="s">
        <v>1387</v>
      </c>
      <c r="AD204" s="21">
        <v>152.86000000000001</v>
      </c>
      <c r="AE204" s="248"/>
      <c r="AF204" s="248"/>
      <c r="AG204" s="248"/>
      <c r="AH204" s="303"/>
    </row>
    <row r="205" spans="2:34" ht="13">
      <c r="B205" s="249"/>
      <c r="C205" s="155"/>
      <c r="D205" s="19" t="s">
        <v>1409</v>
      </c>
      <c r="E205" s="17">
        <v>4</v>
      </c>
      <c r="F205" s="17">
        <v>13</v>
      </c>
      <c r="G205" s="24">
        <f t="shared" si="87"/>
        <v>52</v>
      </c>
      <c r="H205" s="236"/>
      <c r="I205" s="236"/>
      <c r="J205" s="236"/>
      <c r="K205" s="266"/>
      <c r="M205" s="270"/>
      <c r="N205" s="322" t="s">
        <v>1499</v>
      </c>
      <c r="O205" s="77" t="s">
        <v>698</v>
      </c>
      <c r="P205" s="71">
        <v>10</v>
      </c>
      <c r="Q205" s="71">
        <v>15</v>
      </c>
      <c r="R205" s="71">
        <f>P205*Q205</f>
        <v>150</v>
      </c>
      <c r="S205" s="239">
        <f>SUM(R205:R210)</f>
        <v>1229.03</v>
      </c>
      <c r="T205" s="239">
        <v>3254.5</v>
      </c>
      <c r="U205" s="239">
        <f>T205-S205</f>
        <v>2025.47</v>
      </c>
      <c r="V205" s="259">
        <f>U205/T205</f>
        <v>0.62235980949454606</v>
      </c>
      <c r="Y205" s="270"/>
      <c r="Z205" s="322" t="s">
        <v>1499</v>
      </c>
      <c r="AA205" s="77" t="s">
        <v>698</v>
      </c>
      <c r="AB205" s="104"/>
      <c r="AC205" s="104"/>
      <c r="AD205" s="104"/>
      <c r="AE205" s="325">
        <f>SUM(AD205:AD210)</f>
        <v>1079.03</v>
      </c>
      <c r="AF205" s="325">
        <v>3254.5</v>
      </c>
      <c r="AG205" s="325">
        <f>AF205-AE205</f>
        <v>2175.4700000000003</v>
      </c>
      <c r="AH205" s="330">
        <f>AG205/AF205</f>
        <v>0.66844983868489793</v>
      </c>
    </row>
    <row r="206" spans="2:34" ht="13">
      <c r="B206" s="249"/>
      <c r="C206" s="155"/>
      <c r="D206" s="19" t="s">
        <v>1500</v>
      </c>
      <c r="E206" s="17">
        <v>2</v>
      </c>
      <c r="F206" s="17">
        <v>13</v>
      </c>
      <c r="G206" s="24">
        <f t="shared" si="87"/>
        <v>26</v>
      </c>
      <c r="H206" s="236"/>
      <c r="I206" s="236"/>
      <c r="J206" s="236"/>
      <c r="K206" s="266"/>
      <c r="M206" s="270"/>
      <c r="N206" s="236"/>
      <c r="O206" s="19" t="s">
        <v>1061</v>
      </c>
      <c r="P206" s="17" t="s">
        <v>1387</v>
      </c>
      <c r="Q206" s="17" t="s">
        <v>1387</v>
      </c>
      <c r="R206" s="17">
        <v>59</v>
      </c>
      <c r="S206" s="236"/>
      <c r="T206" s="236"/>
      <c r="U206" s="236"/>
      <c r="V206" s="242"/>
      <c r="Y206" s="270"/>
      <c r="Z206" s="236"/>
      <c r="AA206" s="19" t="s">
        <v>1061</v>
      </c>
      <c r="AB206" s="17" t="s">
        <v>1387</v>
      </c>
      <c r="AC206" s="17" t="s">
        <v>1387</v>
      </c>
      <c r="AD206" s="17">
        <v>59</v>
      </c>
      <c r="AE206" s="236"/>
      <c r="AF206" s="236"/>
      <c r="AG206" s="236"/>
      <c r="AH206" s="242"/>
    </row>
    <row r="207" spans="2:34" ht="13">
      <c r="B207" s="249"/>
      <c r="C207" s="157" t="s">
        <v>1501</v>
      </c>
      <c r="D207" s="123" t="s">
        <v>1448</v>
      </c>
      <c r="E207" s="124">
        <v>4</v>
      </c>
      <c r="F207" s="124">
        <v>12.5</v>
      </c>
      <c r="G207" s="159">
        <f t="shared" si="87"/>
        <v>50</v>
      </c>
      <c r="H207" s="320">
        <f>SUM(G207:G211)</f>
        <v>441.5</v>
      </c>
      <c r="I207" s="320">
        <v>1965</v>
      </c>
      <c r="J207" s="320">
        <f>I207-H207</f>
        <v>1523.5</v>
      </c>
      <c r="K207" s="321">
        <f>J207/I207</f>
        <v>0.77531806615776078</v>
      </c>
      <c r="M207" s="270"/>
      <c r="N207" s="1"/>
      <c r="O207" s="19" t="s">
        <v>1502</v>
      </c>
      <c r="P207" s="17" t="s">
        <v>1387</v>
      </c>
      <c r="Q207" s="17" t="s">
        <v>1387</v>
      </c>
      <c r="R207" s="17">
        <v>50.85</v>
      </c>
      <c r="S207" s="236"/>
      <c r="T207" s="236"/>
      <c r="U207" s="236"/>
      <c r="V207" s="242"/>
      <c r="Y207" s="270"/>
      <c r="Z207" s="1"/>
      <c r="AA207" s="19" t="s">
        <v>1502</v>
      </c>
      <c r="AB207" s="17" t="s">
        <v>1387</v>
      </c>
      <c r="AC207" s="17" t="s">
        <v>1387</v>
      </c>
      <c r="AD207" s="17">
        <v>50.85</v>
      </c>
      <c r="AE207" s="236"/>
      <c r="AF207" s="236"/>
      <c r="AG207" s="236"/>
      <c r="AH207" s="242"/>
    </row>
    <row r="208" spans="2:34" ht="13">
      <c r="B208" s="249"/>
      <c r="C208" s="155"/>
      <c r="D208" s="19" t="s">
        <v>1305</v>
      </c>
      <c r="E208" s="17">
        <v>8</v>
      </c>
      <c r="F208" s="17">
        <v>15</v>
      </c>
      <c r="G208" s="24">
        <v>0</v>
      </c>
      <c r="H208" s="236"/>
      <c r="I208" s="236"/>
      <c r="J208" s="236"/>
      <c r="K208" s="266"/>
      <c r="M208" s="270"/>
      <c r="N208" s="1"/>
      <c r="O208" s="19" t="s">
        <v>188</v>
      </c>
      <c r="P208" s="17" t="s">
        <v>1387</v>
      </c>
      <c r="Q208" s="17" t="s">
        <v>1387</v>
      </c>
      <c r="R208" s="17">
        <v>70</v>
      </c>
      <c r="S208" s="236"/>
      <c r="T208" s="236"/>
      <c r="U208" s="236"/>
      <c r="V208" s="242"/>
      <c r="Y208" s="270"/>
      <c r="Z208" s="1"/>
      <c r="AA208" s="19" t="s">
        <v>188</v>
      </c>
      <c r="AB208" s="17" t="s">
        <v>1387</v>
      </c>
      <c r="AC208" s="17" t="s">
        <v>1387</v>
      </c>
      <c r="AD208" s="17">
        <v>70</v>
      </c>
      <c r="AE208" s="236"/>
      <c r="AF208" s="236"/>
      <c r="AG208" s="236"/>
      <c r="AH208" s="242"/>
    </row>
    <row r="209" spans="2:34" ht="13">
      <c r="B209" s="249"/>
      <c r="C209" s="155"/>
      <c r="D209" s="19" t="s">
        <v>1503</v>
      </c>
      <c r="E209" s="17">
        <v>5.5</v>
      </c>
      <c r="F209" s="17">
        <v>13</v>
      </c>
      <c r="G209" s="24">
        <f t="shared" ref="G209:G210" si="88">E209*F209</f>
        <v>71.5</v>
      </c>
      <c r="H209" s="236"/>
      <c r="I209" s="236"/>
      <c r="J209" s="236"/>
      <c r="K209" s="266"/>
      <c r="M209" s="270"/>
      <c r="N209" s="1"/>
      <c r="O209" s="19" t="s">
        <v>449</v>
      </c>
      <c r="P209" s="17" t="s">
        <v>1387</v>
      </c>
      <c r="Q209" s="17" t="s">
        <v>1387</v>
      </c>
      <c r="R209" s="17">
        <v>688.75</v>
      </c>
      <c r="S209" s="236"/>
      <c r="T209" s="236"/>
      <c r="U209" s="236"/>
      <c r="V209" s="242"/>
      <c r="Y209" s="270"/>
      <c r="Z209" s="1"/>
      <c r="AA209" s="19" t="s">
        <v>449</v>
      </c>
      <c r="AB209" s="17" t="s">
        <v>1387</v>
      </c>
      <c r="AC209" s="17" t="s">
        <v>1387</v>
      </c>
      <c r="AD209" s="17">
        <v>688.75</v>
      </c>
      <c r="AE209" s="236"/>
      <c r="AF209" s="236"/>
      <c r="AG209" s="236"/>
      <c r="AH209" s="242"/>
    </row>
    <row r="210" spans="2:34" ht="13">
      <c r="B210" s="249"/>
      <c r="C210" s="155"/>
      <c r="D210" s="19" t="s">
        <v>1454</v>
      </c>
      <c r="E210" s="17">
        <v>5</v>
      </c>
      <c r="F210" s="17">
        <v>13</v>
      </c>
      <c r="G210" s="24">
        <f t="shared" si="88"/>
        <v>65</v>
      </c>
      <c r="H210" s="236"/>
      <c r="I210" s="236"/>
      <c r="J210" s="236"/>
      <c r="K210" s="266"/>
      <c r="M210" s="270"/>
      <c r="N210" s="140"/>
      <c r="O210" s="20" t="s">
        <v>33</v>
      </c>
      <c r="P210" s="21" t="s">
        <v>1387</v>
      </c>
      <c r="Q210" s="21" t="s">
        <v>1387</v>
      </c>
      <c r="R210" s="21">
        <v>210.43</v>
      </c>
      <c r="S210" s="248"/>
      <c r="T210" s="248"/>
      <c r="U210" s="248"/>
      <c r="V210" s="303"/>
      <c r="Y210" s="270"/>
      <c r="Z210" s="140"/>
      <c r="AA210" s="20" t="s">
        <v>33</v>
      </c>
      <c r="AB210" s="21" t="s">
        <v>1387</v>
      </c>
      <c r="AC210" s="21" t="s">
        <v>1387</v>
      </c>
      <c r="AD210" s="21">
        <v>210.43</v>
      </c>
      <c r="AE210" s="248"/>
      <c r="AF210" s="248"/>
      <c r="AG210" s="248"/>
      <c r="AH210" s="303"/>
    </row>
    <row r="211" spans="2:34" ht="13">
      <c r="B211" s="249"/>
      <c r="C211" s="155"/>
      <c r="D211" s="19" t="s">
        <v>1504</v>
      </c>
      <c r="E211" s="19"/>
      <c r="F211" s="19"/>
      <c r="G211" s="24">
        <v>255</v>
      </c>
      <c r="H211" s="236"/>
      <c r="I211" s="236"/>
      <c r="J211" s="236"/>
      <c r="K211" s="266"/>
      <c r="M211" s="270"/>
      <c r="N211" s="166" t="s">
        <v>1505</v>
      </c>
      <c r="O211" s="24" t="s">
        <v>1480</v>
      </c>
      <c r="P211" s="24" t="s">
        <v>1387</v>
      </c>
      <c r="Q211" s="24" t="s">
        <v>1387</v>
      </c>
      <c r="R211" s="24">
        <v>140</v>
      </c>
      <c r="S211" s="325">
        <f>SUM(R211:R213)</f>
        <v>257.8</v>
      </c>
      <c r="T211" s="325">
        <v>2613.6999999999998</v>
      </c>
      <c r="U211" s="325">
        <f>T211-S211</f>
        <v>2355.8999999999996</v>
      </c>
      <c r="V211" s="259">
        <f>U211/T211</f>
        <v>0.90136587978727467</v>
      </c>
      <c r="Y211" s="270"/>
      <c r="Z211" s="166" t="s">
        <v>1505</v>
      </c>
      <c r="AA211" s="24" t="s">
        <v>1480</v>
      </c>
      <c r="AB211" s="24" t="s">
        <v>1387</v>
      </c>
      <c r="AC211" s="24" t="s">
        <v>1387</v>
      </c>
      <c r="AD211" s="24">
        <v>140</v>
      </c>
      <c r="AE211" s="325">
        <f>SUM(AD211:AD213)</f>
        <v>257.8</v>
      </c>
      <c r="AF211" s="325">
        <v>2613.6999999999998</v>
      </c>
      <c r="AG211" s="325">
        <f>AF211-AE211</f>
        <v>2355.8999999999996</v>
      </c>
      <c r="AH211" s="330">
        <f>AG211/AF211</f>
        <v>0.90136587978727467</v>
      </c>
    </row>
    <row r="212" spans="2:34" ht="13">
      <c r="B212" s="249"/>
      <c r="C212" s="157" t="s">
        <v>1506</v>
      </c>
      <c r="D212" s="123" t="s">
        <v>1448</v>
      </c>
      <c r="E212" s="124">
        <v>7</v>
      </c>
      <c r="F212" s="124">
        <v>12.5</v>
      </c>
      <c r="G212" s="159">
        <f>E212*F212</f>
        <v>87.5</v>
      </c>
      <c r="H212" s="320">
        <f>SUM(G212:G214)</f>
        <v>152.5</v>
      </c>
      <c r="I212" s="320">
        <v>500</v>
      </c>
      <c r="J212" s="320">
        <f>I212-H212</f>
        <v>347.5</v>
      </c>
      <c r="K212" s="321">
        <f>J212/I212</f>
        <v>0.69499999999999995</v>
      </c>
      <c r="M212" s="270"/>
      <c r="O212" s="24" t="s">
        <v>33</v>
      </c>
      <c r="P212" s="24" t="s">
        <v>1387</v>
      </c>
      <c r="Q212" s="24" t="s">
        <v>1387</v>
      </c>
      <c r="R212" s="24">
        <v>87.8</v>
      </c>
      <c r="S212" s="236"/>
      <c r="T212" s="236"/>
      <c r="U212" s="236"/>
      <c r="V212" s="242"/>
      <c r="Y212" s="270"/>
      <c r="AA212" s="24" t="s">
        <v>33</v>
      </c>
      <c r="AB212" s="24" t="s">
        <v>1387</v>
      </c>
      <c r="AC212" s="24" t="s">
        <v>1387</v>
      </c>
      <c r="AD212" s="24">
        <v>87.8</v>
      </c>
      <c r="AE212" s="236"/>
      <c r="AF212" s="236"/>
      <c r="AG212" s="236"/>
      <c r="AH212" s="242"/>
    </row>
    <row r="213" spans="2:34" ht="13">
      <c r="B213" s="249"/>
      <c r="C213" s="155"/>
      <c r="D213" s="19" t="s">
        <v>1315</v>
      </c>
      <c r="E213" s="17">
        <v>8</v>
      </c>
      <c r="F213" s="17">
        <v>15</v>
      </c>
      <c r="G213" s="24">
        <v>0</v>
      </c>
      <c r="H213" s="236"/>
      <c r="I213" s="236"/>
      <c r="J213" s="236"/>
      <c r="K213" s="266"/>
      <c r="M213" s="270"/>
      <c r="N213" s="44"/>
      <c r="O213" s="44" t="s">
        <v>1507</v>
      </c>
      <c r="P213" s="44" t="s">
        <v>1387</v>
      </c>
      <c r="Q213" s="44" t="s">
        <v>1387</v>
      </c>
      <c r="R213" s="44">
        <v>30</v>
      </c>
      <c r="S213" s="248"/>
      <c r="T213" s="248"/>
      <c r="U213" s="248"/>
      <c r="V213" s="303"/>
      <c r="Y213" s="270"/>
      <c r="AA213" s="44" t="s">
        <v>1507</v>
      </c>
      <c r="AB213" s="44" t="s">
        <v>1387</v>
      </c>
      <c r="AC213" s="44" t="s">
        <v>1387</v>
      </c>
      <c r="AD213" s="44">
        <v>30</v>
      </c>
      <c r="AE213" s="248"/>
      <c r="AF213" s="248"/>
      <c r="AG213" s="248"/>
      <c r="AH213" s="303"/>
    </row>
    <row r="214" spans="2:34" ht="13">
      <c r="B214" s="249"/>
      <c r="C214" s="155"/>
      <c r="D214" s="19" t="s">
        <v>1496</v>
      </c>
      <c r="E214" s="17">
        <v>5</v>
      </c>
      <c r="F214" s="17">
        <v>13</v>
      </c>
      <c r="G214" s="24">
        <f t="shared" ref="G214:G215" si="89">E214*F214</f>
        <v>65</v>
      </c>
      <c r="H214" s="293"/>
      <c r="I214" s="293"/>
      <c r="J214" s="293"/>
      <c r="K214" s="319"/>
      <c r="M214" s="270"/>
      <c r="N214" s="322" t="s">
        <v>1508</v>
      </c>
      <c r="O214" s="77" t="s">
        <v>986</v>
      </c>
      <c r="P214" s="71" t="s">
        <v>1387</v>
      </c>
      <c r="Q214" s="71" t="s">
        <v>1387</v>
      </c>
      <c r="R214" s="71">
        <v>800</v>
      </c>
      <c r="S214" s="239">
        <f>SUM(R214:R221)</f>
        <v>3314.1800000000003</v>
      </c>
      <c r="T214" s="239">
        <v>6523</v>
      </c>
      <c r="U214" s="239">
        <f>T214-S214</f>
        <v>3208.8199999999997</v>
      </c>
      <c r="V214" s="259">
        <f>U214/T214</f>
        <v>0.49192396136746891</v>
      </c>
      <c r="Y214" s="270"/>
      <c r="Z214" s="322" t="s">
        <v>1508</v>
      </c>
      <c r="AA214" s="77" t="s">
        <v>986</v>
      </c>
      <c r="AB214" s="71" t="s">
        <v>1387</v>
      </c>
      <c r="AC214" s="71" t="s">
        <v>1387</v>
      </c>
      <c r="AD214" s="71">
        <v>800</v>
      </c>
      <c r="AE214" s="325">
        <f>SUM(AD214:AD221)</f>
        <v>2754.1800000000003</v>
      </c>
      <c r="AF214" s="325">
        <v>6523</v>
      </c>
      <c r="AG214" s="325">
        <f>AF214-AE214</f>
        <v>3768.8199999999997</v>
      </c>
      <c r="AH214" s="330">
        <f>AG214/AF214</f>
        <v>0.57777403035413144</v>
      </c>
    </row>
    <row r="215" spans="2:34" ht="13">
      <c r="B215" s="249"/>
      <c r="C215" s="157" t="s">
        <v>1509</v>
      </c>
      <c r="D215" s="123" t="s">
        <v>731</v>
      </c>
      <c r="E215" s="124">
        <v>15</v>
      </c>
      <c r="F215" s="124">
        <v>19.899999999999999</v>
      </c>
      <c r="G215" s="159">
        <f t="shared" si="89"/>
        <v>298.5</v>
      </c>
      <c r="H215" s="320">
        <f>SUM(G215:G217)</f>
        <v>423.5</v>
      </c>
      <c r="I215" s="320">
        <v>1965</v>
      </c>
      <c r="J215" s="320">
        <f>I215-H215</f>
        <v>1541.5</v>
      </c>
      <c r="K215" s="321">
        <f>J215/I215</f>
        <v>0.78447837150127231</v>
      </c>
      <c r="M215" s="270"/>
      <c r="N215" s="236"/>
      <c r="O215" s="19" t="s">
        <v>1510</v>
      </c>
      <c r="P215" s="17" t="s">
        <v>1387</v>
      </c>
      <c r="Q215" s="17" t="s">
        <v>1387</v>
      </c>
      <c r="R215" s="17">
        <v>776</v>
      </c>
      <c r="S215" s="236"/>
      <c r="T215" s="236"/>
      <c r="U215" s="236"/>
      <c r="V215" s="242"/>
      <c r="Y215" s="270"/>
      <c r="Z215" s="236"/>
      <c r="AA215" s="19" t="s">
        <v>1510</v>
      </c>
      <c r="AB215" s="17" t="s">
        <v>1387</v>
      </c>
      <c r="AC215" s="17" t="s">
        <v>1387</v>
      </c>
      <c r="AD215" s="17">
        <v>776</v>
      </c>
      <c r="AE215" s="236"/>
      <c r="AF215" s="236"/>
      <c r="AG215" s="236"/>
      <c r="AH215" s="242"/>
    </row>
    <row r="216" spans="2:34" ht="13">
      <c r="B216" s="249"/>
      <c r="C216" s="155"/>
      <c r="D216" s="19" t="s">
        <v>1305</v>
      </c>
      <c r="E216" s="17">
        <v>16</v>
      </c>
      <c r="F216" s="17">
        <v>15</v>
      </c>
      <c r="G216" s="24">
        <v>0</v>
      </c>
      <c r="H216" s="236"/>
      <c r="I216" s="236"/>
      <c r="J216" s="236"/>
      <c r="K216" s="266"/>
      <c r="M216" s="270"/>
      <c r="N216" s="1"/>
      <c r="O216" s="19" t="s">
        <v>1511</v>
      </c>
      <c r="P216" s="17" t="s">
        <v>1387</v>
      </c>
      <c r="Q216" s="17" t="s">
        <v>1387</v>
      </c>
      <c r="R216" s="17">
        <v>380</v>
      </c>
      <c r="S216" s="236"/>
      <c r="T216" s="236"/>
      <c r="U216" s="236"/>
      <c r="V216" s="242"/>
      <c r="Y216" s="270"/>
      <c r="Z216" s="1"/>
      <c r="AA216" s="19" t="s">
        <v>1511</v>
      </c>
      <c r="AB216" s="17" t="s">
        <v>1387</v>
      </c>
      <c r="AC216" s="17" t="s">
        <v>1387</v>
      </c>
      <c r="AD216" s="17">
        <v>380</v>
      </c>
      <c r="AE216" s="236"/>
      <c r="AF216" s="236"/>
      <c r="AG216" s="236"/>
      <c r="AH216" s="242"/>
    </row>
    <row r="217" spans="2:34" ht="13">
      <c r="B217" s="249"/>
      <c r="C217" s="155"/>
      <c r="D217" s="19" t="s">
        <v>1448</v>
      </c>
      <c r="E217" s="17">
        <v>10</v>
      </c>
      <c r="F217" s="17">
        <v>12.5</v>
      </c>
      <c r="G217" s="24">
        <f t="shared" ref="G217:G223" si="90">E217*F217</f>
        <v>125</v>
      </c>
      <c r="H217" s="293"/>
      <c r="I217" s="293"/>
      <c r="J217" s="293"/>
      <c r="K217" s="319"/>
      <c r="M217" s="270"/>
      <c r="N217" s="1"/>
      <c r="O217" s="19" t="s">
        <v>1361</v>
      </c>
      <c r="P217" s="17">
        <v>35</v>
      </c>
      <c r="Q217" s="17">
        <v>16</v>
      </c>
      <c r="R217" s="17">
        <f>P217*Q217</f>
        <v>560</v>
      </c>
      <c r="S217" s="236"/>
      <c r="T217" s="236"/>
      <c r="U217" s="236"/>
      <c r="V217" s="242"/>
      <c r="Y217" s="270"/>
      <c r="Z217" s="1"/>
      <c r="AA217" s="19" t="s">
        <v>1361</v>
      </c>
      <c r="AB217" s="18"/>
      <c r="AC217" s="18"/>
      <c r="AD217" s="18"/>
      <c r="AE217" s="236"/>
      <c r="AF217" s="236"/>
      <c r="AG217" s="236"/>
      <c r="AH217" s="242"/>
    </row>
    <row r="218" spans="2:34" ht="13">
      <c r="B218" s="249"/>
      <c r="C218" s="157" t="s">
        <v>1512</v>
      </c>
      <c r="D218" s="123" t="s">
        <v>68</v>
      </c>
      <c r="E218" s="124">
        <v>18.5</v>
      </c>
      <c r="F218" s="124">
        <v>20</v>
      </c>
      <c r="G218" s="159">
        <f t="shared" si="90"/>
        <v>370</v>
      </c>
      <c r="H218" s="320">
        <f>SUM(G218:G227)</f>
        <v>3952.17</v>
      </c>
      <c r="I218" s="320">
        <v>6950</v>
      </c>
      <c r="J218" s="320">
        <f>I218-H218</f>
        <v>2997.83</v>
      </c>
      <c r="K218" s="321">
        <f>J218/I218</f>
        <v>0.43134244604316546</v>
      </c>
      <c r="M218" s="270"/>
      <c r="N218" s="1"/>
      <c r="O218" s="19" t="s">
        <v>1513</v>
      </c>
      <c r="P218" s="17" t="s">
        <v>1387</v>
      </c>
      <c r="Q218" s="17" t="s">
        <v>1387</v>
      </c>
      <c r="R218" s="17">
        <v>120</v>
      </c>
      <c r="S218" s="236"/>
      <c r="T218" s="236"/>
      <c r="U218" s="236"/>
      <c r="V218" s="242"/>
      <c r="Y218" s="270"/>
      <c r="Z218" s="1"/>
      <c r="AA218" s="19" t="s">
        <v>1513</v>
      </c>
      <c r="AB218" s="17" t="s">
        <v>1387</v>
      </c>
      <c r="AC218" s="17" t="s">
        <v>1387</v>
      </c>
      <c r="AD218" s="17">
        <v>120</v>
      </c>
      <c r="AE218" s="236"/>
      <c r="AF218" s="236"/>
      <c r="AG218" s="236"/>
      <c r="AH218" s="242"/>
    </row>
    <row r="219" spans="2:34" ht="13">
      <c r="B219" s="249"/>
      <c r="C219" s="155"/>
      <c r="D219" s="19" t="s">
        <v>1514</v>
      </c>
      <c r="E219" s="17">
        <v>25</v>
      </c>
      <c r="F219" s="17">
        <v>17</v>
      </c>
      <c r="G219" s="24">
        <f t="shared" si="90"/>
        <v>425</v>
      </c>
      <c r="H219" s="236"/>
      <c r="I219" s="236"/>
      <c r="J219" s="236"/>
      <c r="K219" s="266"/>
      <c r="M219" s="270"/>
      <c r="N219" s="1"/>
      <c r="O219" s="19" t="s">
        <v>1515</v>
      </c>
      <c r="P219" s="17" t="s">
        <v>1387</v>
      </c>
      <c r="Q219" s="17" t="s">
        <v>1387</v>
      </c>
      <c r="R219" s="17">
        <v>150</v>
      </c>
      <c r="S219" s="236"/>
      <c r="T219" s="236"/>
      <c r="U219" s="236"/>
      <c r="V219" s="242"/>
      <c r="Y219" s="270"/>
      <c r="Z219" s="1"/>
      <c r="AA219" s="19" t="s">
        <v>1515</v>
      </c>
      <c r="AB219" s="17" t="s">
        <v>1387</v>
      </c>
      <c r="AC219" s="17" t="s">
        <v>1387</v>
      </c>
      <c r="AD219" s="17">
        <v>150</v>
      </c>
      <c r="AE219" s="236"/>
      <c r="AF219" s="236"/>
      <c r="AG219" s="236"/>
      <c r="AH219" s="242"/>
    </row>
    <row r="220" spans="2:34" ht="13">
      <c r="B220" s="249"/>
      <c r="C220" s="155"/>
      <c r="D220" s="19" t="s">
        <v>1365</v>
      </c>
      <c r="E220" s="17">
        <v>8.44</v>
      </c>
      <c r="F220" s="17">
        <v>15</v>
      </c>
      <c r="G220" s="24">
        <f t="shared" si="90"/>
        <v>126.6</v>
      </c>
      <c r="H220" s="236"/>
      <c r="I220" s="236"/>
      <c r="J220" s="236"/>
      <c r="K220" s="266"/>
      <c r="M220" s="270"/>
      <c r="N220" s="1"/>
      <c r="O220" s="19" t="s">
        <v>800</v>
      </c>
      <c r="P220" s="17" t="s">
        <v>1387</v>
      </c>
      <c r="Q220" s="17" t="s">
        <v>1387</v>
      </c>
      <c r="R220" s="17">
        <v>338.44</v>
      </c>
      <c r="S220" s="236"/>
      <c r="T220" s="236"/>
      <c r="U220" s="236"/>
      <c r="V220" s="242"/>
      <c r="Y220" s="270"/>
      <c r="Z220" s="1"/>
      <c r="AA220" s="19" t="s">
        <v>800</v>
      </c>
      <c r="AB220" s="17" t="s">
        <v>1387</v>
      </c>
      <c r="AC220" s="17" t="s">
        <v>1387</v>
      </c>
      <c r="AD220" s="17">
        <v>338.44</v>
      </c>
      <c r="AE220" s="236"/>
      <c r="AF220" s="236"/>
      <c r="AG220" s="236"/>
      <c r="AH220" s="242"/>
    </row>
    <row r="221" spans="2:34" ht="13">
      <c r="B221" s="249"/>
      <c r="C221" s="155"/>
      <c r="D221" s="19" t="s">
        <v>1364</v>
      </c>
      <c r="E221" s="17">
        <v>22</v>
      </c>
      <c r="F221" s="17">
        <v>17</v>
      </c>
      <c r="G221" s="24">
        <f t="shared" si="90"/>
        <v>374</v>
      </c>
      <c r="H221" s="236"/>
      <c r="I221" s="236"/>
      <c r="J221" s="236"/>
      <c r="K221" s="266"/>
      <c r="M221" s="270"/>
      <c r="N221" s="140"/>
      <c r="O221" s="20" t="s">
        <v>33</v>
      </c>
      <c r="P221" s="21" t="s">
        <v>1387</v>
      </c>
      <c r="Q221" s="21" t="s">
        <v>1387</v>
      </c>
      <c r="R221" s="21">
        <v>189.74</v>
      </c>
      <c r="S221" s="248"/>
      <c r="T221" s="248"/>
      <c r="U221" s="248"/>
      <c r="V221" s="303"/>
      <c r="Y221" s="270"/>
      <c r="Z221" s="1"/>
      <c r="AA221" s="20" t="s">
        <v>33</v>
      </c>
      <c r="AB221" s="21" t="s">
        <v>1387</v>
      </c>
      <c r="AC221" s="21" t="s">
        <v>1387</v>
      </c>
      <c r="AD221" s="21">
        <v>189.74</v>
      </c>
      <c r="AE221" s="248"/>
      <c r="AF221" s="248"/>
      <c r="AG221" s="248"/>
      <c r="AH221" s="303"/>
    </row>
    <row r="222" spans="2:34" ht="13">
      <c r="B222" s="249"/>
      <c r="C222" s="155"/>
      <c r="D222" s="19" t="s">
        <v>986</v>
      </c>
      <c r="E222" s="17">
        <v>14.5</v>
      </c>
      <c r="F222" s="17">
        <v>17</v>
      </c>
      <c r="G222" s="24">
        <f t="shared" si="90"/>
        <v>246.5</v>
      </c>
      <c r="H222" s="236"/>
      <c r="I222" s="236"/>
      <c r="J222" s="236"/>
      <c r="K222" s="266"/>
      <c r="M222" s="270"/>
      <c r="N222" s="322" t="s">
        <v>1516</v>
      </c>
      <c r="O222" s="77" t="s">
        <v>1361</v>
      </c>
      <c r="P222" s="71">
        <v>13.3</v>
      </c>
      <c r="Q222" s="71">
        <v>16</v>
      </c>
      <c r="R222" s="71">
        <f t="shared" ref="R222:R224" si="91">P222*Q222</f>
        <v>212.8</v>
      </c>
      <c r="S222" s="239">
        <f>SUM(R222:R223)</f>
        <v>360.8</v>
      </c>
      <c r="T222" s="239">
        <v>2300</v>
      </c>
      <c r="U222" s="239">
        <f>T222-S222</f>
        <v>1939.2</v>
      </c>
      <c r="V222" s="259">
        <f>U222/T222</f>
        <v>0.84313043478260874</v>
      </c>
      <c r="Y222" s="270"/>
      <c r="Z222" s="322" t="s">
        <v>1516</v>
      </c>
      <c r="AA222" s="77" t="s">
        <v>1361</v>
      </c>
      <c r="AB222" s="104"/>
      <c r="AC222" s="104"/>
      <c r="AD222" s="104"/>
      <c r="AE222" s="325">
        <f>SUM(AD222:AD223)</f>
        <v>0</v>
      </c>
      <c r="AF222" s="325">
        <v>2300</v>
      </c>
      <c r="AG222" s="325">
        <f>AF222-AE222</f>
        <v>2300</v>
      </c>
      <c r="AH222" s="330">
        <f>AG222/AF222</f>
        <v>1</v>
      </c>
    </row>
    <row r="223" spans="2:34" ht="13">
      <c r="B223" s="249"/>
      <c r="C223" s="155"/>
      <c r="D223" s="19" t="s">
        <v>1491</v>
      </c>
      <c r="E223" s="17">
        <v>72</v>
      </c>
      <c r="F223" s="17">
        <v>20</v>
      </c>
      <c r="G223" s="24">
        <f t="shared" si="90"/>
        <v>1440</v>
      </c>
      <c r="H223" s="236"/>
      <c r="I223" s="236"/>
      <c r="J223" s="236"/>
      <c r="K223" s="266"/>
      <c r="M223" s="270"/>
      <c r="N223" s="248"/>
      <c r="O223" s="20" t="s">
        <v>114</v>
      </c>
      <c r="P223" s="21">
        <v>9.25</v>
      </c>
      <c r="Q223" s="21">
        <v>16</v>
      </c>
      <c r="R223" s="21">
        <f t="shared" si="91"/>
        <v>148</v>
      </c>
      <c r="S223" s="248"/>
      <c r="T223" s="248"/>
      <c r="U223" s="248"/>
      <c r="V223" s="303"/>
      <c r="Y223" s="270"/>
      <c r="Z223" s="248"/>
      <c r="AA223" s="20" t="s">
        <v>114</v>
      </c>
      <c r="AB223" s="68"/>
      <c r="AC223" s="68"/>
      <c r="AD223" s="68"/>
      <c r="AE223" s="248"/>
      <c r="AF223" s="248"/>
      <c r="AG223" s="248"/>
      <c r="AH223" s="303"/>
    </row>
    <row r="224" spans="2:34" ht="13">
      <c r="B224" s="249"/>
      <c r="C224" s="155"/>
      <c r="D224" s="19" t="s">
        <v>1517</v>
      </c>
      <c r="E224" s="19"/>
      <c r="F224" s="19"/>
      <c r="G224" s="17">
        <v>300</v>
      </c>
      <c r="H224" s="236"/>
      <c r="I224" s="236"/>
      <c r="J224" s="236"/>
      <c r="K224" s="266"/>
      <c r="M224" s="270"/>
      <c r="N224" s="322" t="s">
        <v>1518</v>
      </c>
      <c r="O224" s="77" t="s">
        <v>1413</v>
      </c>
      <c r="P224" s="71">
        <v>10</v>
      </c>
      <c r="Q224" s="71">
        <v>15</v>
      </c>
      <c r="R224" s="71">
        <f t="shared" si="91"/>
        <v>150</v>
      </c>
      <c r="S224" s="239">
        <f>SUM(R224:R225)</f>
        <v>150</v>
      </c>
      <c r="T224" s="239">
        <v>1300</v>
      </c>
      <c r="U224" s="239">
        <f>T224-S224</f>
        <v>1150</v>
      </c>
      <c r="V224" s="259">
        <f>U224/T224</f>
        <v>0.88461538461538458</v>
      </c>
      <c r="Y224" s="270"/>
      <c r="Z224" s="343" t="s">
        <v>1518</v>
      </c>
      <c r="AA224" s="77" t="s">
        <v>1413</v>
      </c>
      <c r="AB224" s="71">
        <v>10</v>
      </c>
      <c r="AC224" s="71">
        <v>15</v>
      </c>
      <c r="AD224" s="71">
        <f>AB224*AC224</f>
        <v>150</v>
      </c>
      <c r="AE224" s="325">
        <f>SUM(AD224:AD225)</f>
        <v>150</v>
      </c>
      <c r="AF224" s="325">
        <v>1300</v>
      </c>
      <c r="AG224" s="325">
        <f>AF224-AE224</f>
        <v>1150</v>
      </c>
      <c r="AH224" s="330">
        <f>AG224/AF224</f>
        <v>0.88461538461538458</v>
      </c>
    </row>
    <row r="225" spans="2:34" ht="13">
      <c r="B225" s="249"/>
      <c r="C225" s="155"/>
      <c r="D225" s="19" t="s">
        <v>1519</v>
      </c>
      <c r="E225" s="19"/>
      <c r="F225" s="19"/>
      <c r="G225" s="17">
        <f>360+240</f>
        <v>600</v>
      </c>
      <c r="H225" s="236"/>
      <c r="I225" s="236"/>
      <c r="J225" s="236"/>
      <c r="K225" s="266"/>
      <c r="M225" s="270"/>
      <c r="N225" s="248"/>
      <c r="O225" s="20"/>
      <c r="P225" s="21"/>
      <c r="Q225" s="21"/>
      <c r="R225" s="21"/>
      <c r="S225" s="248"/>
      <c r="T225" s="248"/>
      <c r="U225" s="248"/>
      <c r="V225" s="303"/>
      <c r="Y225" s="270"/>
      <c r="Z225" s="248"/>
      <c r="AA225" s="20"/>
      <c r="AB225" s="21"/>
      <c r="AC225" s="21"/>
      <c r="AD225" s="21"/>
      <c r="AE225" s="248"/>
      <c r="AF225" s="248"/>
      <c r="AG225" s="248"/>
      <c r="AH225" s="303"/>
    </row>
    <row r="226" spans="2:34" ht="13">
      <c r="B226" s="249"/>
      <c r="C226" s="155"/>
      <c r="D226" s="19" t="s">
        <v>1520</v>
      </c>
      <c r="E226" s="19"/>
      <c r="F226" s="19"/>
      <c r="G226" s="17">
        <v>20</v>
      </c>
      <c r="H226" s="236"/>
      <c r="I226" s="236"/>
      <c r="J226" s="236"/>
      <c r="K226" s="266"/>
      <c r="M226" s="270"/>
      <c r="N226" s="322" t="s">
        <v>1521</v>
      </c>
      <c r="O226" s="77"/>
      <c r="P226" s="71"/>
      <c r="Q226" s="71"/>
      <c r="R226" s="71"/>
      <c r="S226" s="239">
        <f>SUM(R226:R227)</f>
        <v>0</v>
      </c>
      <c r="T226" s="239">
        <v>250</v>
      </c>
      <c r="U226" s="239">
        <f>T226-S226</f>
        <v>250</v>
      </c>
      <c r="V226" s="344">
        <f>U226/T226</f>
        <v>1</v>
      </c>
      <c r="Y226" s="270"/>
      <c r="Z226" s="343" t="s">
        <v>1521</v>
      </c>
      <c r="AA226" s="77"/>
      <c r="AB226" s="71"/>
      <c r="AC226" s="71"/>
      <c r="AD226" s="71"/>
      <c r="AE226" s="325">
        <f>SUM(AD226:AD227)</f>
        <v>0</v>
      </c>
      <c r="AF226" s="325">
        <v>250</v>
      </c>
      <c r="AG226" s="325">
        <f>AF226-AE226</f>
        <v>250</v>
      </c>
      <c r="AH226" s="334">
        <f>AG226/AF226</f>
        <v>1</v>
      </c>
    </row>
    <row r="227" spans="2:34" ht="13">
      <c r="B227" s="249"/>
      <c r="C227" s="155"/>
      <c r="D227" s="19" t="s">
        <v>1522</v>
      </c>
      <c r="E227" s="19"/>
      <c r="F227" s="19"/>
      <c r="G227" s="17">
        <v>50.07</v>
      </c>
      <c r="H227" s="236"/>
      <c r="I227" s="236"/>
      <c r="J227" s="236"/>
      <c r="K227" s="266"/>
      <c r="M227" s="270"/>
      <c r="N227" s="248"/>
      <c r="O227" s="20"/>
      <c r="P227" s="21"/>
      <c r="Q227" s="21"/>
      <c r="R227" s="21"/>
      <c r="S227" s="248"/>
      <c r="T227" s="248"/>
      <c r="U227" s="248"/>
      <c r="V227" s="303"/>
      <c r="Y227" s="270"/>
      <c r="Z227" s="248"/>
      <c r="AA227" s="20"/>
      <c r="AB227" s="21"/>
      <c r="AC227" s="21"/>
      <c r="AD227" s="21"/>
      <c r="AE227" s="248"/>
      <c r="AF227" s="248"/>
      <c r="AG227" s="248"/>
      <c r="AH227" s="303"/>
    </row>
    <row r="228" spans="2:34" ht="13">
      <c r="B228" s="249"/>
      <c r="C228" s="157" t="s">
        <v>1523</v>
      </c>
      <c r="D228" s="123" t="s">
        <v>1524</v>
      </c>
      <c r="E228" s="124">
        <v>7.5</v>
      </c>
      <c r="F228" s="124">
        <v>17</v>
      </c>
      <c r="G228" s="159">
        <f t="shared" ref="G228:G230" si="92">E228*F228</f>
        <v>127.5</v>
      </c>
      <c r="H228" s="320">
        <f>SUM(G228:G233)</f>
        <v>961</v>
      </c>
      <c r="I228" s="320">
        <v>2275</v>
      </c>
      <c r="J228" s="320">
        <f>I228-H228</f>
        <v>1314</v>
      </c>
      <c r="K228" s="321">
        <f>J228/I228</f>
        <v>0.57758241758241757</v>
      </c>
      <c r="M228" s="270"/>
      <c r="N228" s="316" t="s">
        <v>1525</v>
      </c>
      <c r="O228" s="19" t="s">
        <v>33</v>
      </c>
      <c r="P228" s="17">
        <v>1</v>
      </c>
      <c r="Q228" s="17">
        <v>1578.51</v>
      </c>
      <c r="R228" s="17">
        <f t="shared" ref="R228:R230" si="93">P228*Q228</f>
        <v>1578.51</v>
      </c>
      <c r="S228" s="284">
        <f>SUM(R228:R248)</f>
        <v>3937.32</v>
      </c>
      <c r="T228" s="284">
        <v>10312.049999999999</v>
      </c>
      <c r="U228" s="284">
        <f>T228-S228</f>
        <v>6374.73</v>
      </c>
      <c r="V228" s="333">
        <f>U228/T228</f>
        <v>0.61818261160486998</v>
      </c>
      <c r="Y228" s="270"/>
      <c r="Z228" s="316" t="s">
        <v>1525</v>
      </c>
      <c r="AA228" s="19" t="s">
        <v>33</v>
      </c>
      <c r="AB228" s="17">
        <v>1</v>
      </c>
      <c r="AC228" s="17">
        <v>1578.51</v>
      </c>
      <c r="AD228" s="17">
        <f t="shared" ref="AD228:AD230" si="94">AB228*AC228</f>
        <v>1578.51</v>
      </c>
      <c r="AE228" s="284">
        <f>SUM(AD228:AD248)</f>
        <v>3588.52</v>
      </c>
      <c r="AF228" s="284">
        <v>10312.049999999999</v>
      </c>
      <c r="AG228" s="284">
        <f>AF228-AE228</f>
        <v>6723.5299999999988</v>
      </c>
      <c r="AH228" s="333">
        <f>AG228/AF228</f>
        <v>0.65200711788635624</v>
      </c>
    </row>
    <row r="229" spans="2:34" ht="13">
      <c r="B229" s="249"/>
      <c r="C229" s="155"/>
      <c r="D229" s="19" t="s">
        <v>1526</v>
      </c>
      <c r="E229" s="17">
        <v>7.5</v>
      </c>
      <c r="F229" s="17">
        <v>17</v>
      </c>
      <c r="G229" s="24">
        <f t="shared" si="92"/>
        <v>127.5</v>
      </c>
      <c r="H229" s="236"/>
      <c r="I229" s="236"/>
      <c r="J229" s="236"/>
      <c r="K229" s="266"/>
      <c r="M229" s="270"/>
      <c r="N229" s="236"/>
      <c r="O229" s="19" t="s">
        <v>1527</v>
      </c>
      <c r="P229" s="17">
        <v>1</v>
      </c>
      <c r="Q229" s="17">
        <v>64.760000000000005</v>
      </c>
      <c r="R229" s="17">
        <f t="shared" si="93"/>
        <v>64.760000000000005</v>
      </c>
      <c r="S229" s="236"/>
      <c r="T229" s="236"/>
      <c r="U229" s="236"/>
      <c r="V229" s="258"/>
      <c r="Y229" s="270"/>
      <c r="Z229" s="236"/>
      <c r="AA229" s="19" t="s">
        <v>1527</v>
      </c>
      <c r="AB229" s="17">
        <v>1</v>
      </c>
      <c r="AC229" s="17">
        <v>64.760000000000005</v>
      </c>
      <c r="AD229" s="17">
        <f t="shared" si="94"/>
        <v>64.760000000000005</v>
      </c>
      <c r="AE229" s="236"/>
      <c r="AF229" s="236"/>
      <c r="AG229" s="236"/>
      <c r="AH229" s="258"/>
    </row>
    <row r="230" spans="2:34" ht="13">
      <c r="B230" s="249"/>
      <c r="C230" s="155"/>
      <c r="D230" s="19" t="s">
        <v>1528</v>
      </c>
      <c r="E230" s="17">
        <v>20</v>
      </c>
      <c r="F230" s="17">
        <v>13</v>
      </c>
      <c r="G230" s="24">
        <f t="shared" si="92"/>
        <v>260</v>
      </c>
      <c r="H230" s="236"/>
      <c r="I230" s="236"/>
      <c r="J230" s="236"/>
      <c r="K230" s="266"/>
      <c r="M230" s="270"/>
      <c r="N230" s="236"/>
      <c r="O230" s="19" t="s">
        <v>1529</v>
      </c>
      <c r="P230" s="17">
        <v>1</v>
      </c>
      <c r="Q230" s="17">
        <v>442.35</v>
      </c>
      <c r="R230" s="17">
        <f t="shared" si="93"/>
        <v>442.35</v>
      </c>
      <c r="S230" s="236"/>
      <c r="T230" s="236"/>
      <c r="U230" s="236"/>
      <c r="V230" s="258"/>
      <c r="Y230" s="270"/>
      <c r="Z230" s="236"/>
      <c r="AA230" s="19" t="s">
        <v>1529</v>
      </c>
      <c r="AB230" s="17">
        <v>1</v>
      </c>
      <c r="AC230" s="17">
        <v>442.35</v>
      </c>
      <c r="AD230" s="17">
        <f t="shared" si="94"/>
        <v>442.35</v>
      </c>
      <c r="AE230" s="236"/>
      <c r="AF230" s="236"/>
      <c r="AG230" s="236"/>
      <c r="AH230" s="258"/>
    </row>
    <row r="231" spans="2:34" ht="13">
      <c r="B231" s="249"/>
      <c r="C231" s="155"/>
      <c r="D231" s="19" t="s">
        <v>47</v>
      </c>
      <c r="E231" s="19"/>
      <c r="F231" s="19"/>
      <c r="G231" s="17">
        <v>260</v>
      </c>
      <c r="H231" s="236"/>
      <c r="I231" s="236"/>
      <c r="J231" s="236"/>
      <c r="K231" s="266"/>
      <c r="M231" s="270"/>
      <c r="N231" s="236"/>
      <c r="O231" s="19" t="s">
        <v>1530</v>
      </c>
      <c r="P231" s="17">
        <v>1</v>
      </c>
      <c r="Q231" s="17">
        <v>126.07</v>
      </c>
      <c r="R231" s="17">
        <f>SUM(P231*Q231)</f>
        <v>126.07</v>
      </c>
      <c r="S231" s="236"/>
      <c r="T231" s="236"/>
      <c r="U231" s="236"/>
      <c r="V231" s="258"/>
      <c r="Y231" s="270"/>
      <c r="Z231" s="236"/>
      <c r="AA231" s="19" t="s">
        <v>1530</v>
      </c>
      <c r="AB231" s="17">
        <v>1</v>
      </c>
      <c r="AC231" s="17">
        <v>126.07</v>
      </c>
      <c r="AD231" s="17">
        <f>SUM(AB231*AC231)</f>
        <v>126.07</v>
      </c>
      <c r="AE231" s="236"/>
      <c r="AF231" s="236"/>
      <c r="AG231" s="236"/>
      <c r="AH231" s="258"/>
    </row>
    <row r="232" spans="2:34" ht="13">
      <c r="B232" s="249"/>
      <c r="C232" s="155"/>
      <c r="D232" s="19" t="s">
        <v>1427</v>
      </c>
      <c r="E232" s="19"/>
      <c r="F232" s="19"/>
      <c r="G232" s="17">
        <v>100</v>
      </c>
      <c r="H232" s="236"/>
      <c r="I232" s="236"/>
      <c r="J232" s="236"/>
      <c r="K232" s="266"/>
      <c r="M232" s="270"/>
      <c r="N232" s="236"/>
      <c r="O232" s="19" t="s">
        <v>1531</v>
      </c>
      <c r="P232" s="17">
        <v>1</v>
      </c>
      <c r="Q232" s="17">
        <v>75.39</v>
      </c>
      <c r="R232" s="17">
        <f t="shared" ref="R232:R248" si="95">P232*Q232</f>
        <v>75.39</v>
      </c>
      <c r="S232" s="236"/>
      <c r="T232" s="236"/>
      <c r="U232" s="236"/>
      <c r="V232" s="258"/>
      <c r="Y232" s="270"/>
      <c r="Z232" s="236"/>
      <c r="AA232" s="19" t="s">
        <v>1531</v>
      </c>
      <c r="AB232" s="17">
        <v>1</v>
      </c>
      <c r="AC232" s="17">
        <v>75.39</v>
      </c>
      <c r="AD232" s="17">
        <f t="shared" ref="AD232:AD239" si="96">AB232*AC232</f>
        <v>75.39</v>
      </c>
      <c r="AE232" s="236"/>
      <c r="AF232" s="236"/>
      <c r="AG232" s="236"/>
      <c r="AH232" s="258"/>
    </row>
    <row r="233" spans="2:34" ht="13">
      <c r="B233" s="249"/>
      <c r="C233" s="155"/>
      <c r="D233" s="19" t="s">
        <v>732</v>
      </c>
      <c r="E233" s="19"/>
      <c r="F233" s="19"/>
      <c r="G233" s="17">
        <v>86</v>
      </c>
      <c r="H233" s="236"/>
      <c r="I233" s="236"/>
      <c r="J233" s="236"/>
      <c r="K233" s="266"/>
      <c r="M233" s="270"/>
      <c r="N233" s="236"/>
      <c r="O233" s="19" t="s">
        <v>1532</v>
      </c>
      <c r="P233" s="17">
        <v>1</v>
      </c>
      <c r="Q233" s="17">
        <v>367</v>
      </c>
      <c r="R233" s="17">
        <f t="shared" si="95"/>
        <v>367</v>
      </c>
      <c r="S233" s="236"/>
      <c r="T233" s="236"/>
      <c r="U233" s="236"/>
      <c r="V233" s="258"/>
      <c r="Y233" s="270"/>
      <c r="Z233" s="236"/>
      <c r="AA233" s="19" t="s">
        <v>1532</v>
      </c>
      <c r="AB233" s="17">
        <v>1</v>
      </c>
      <c r="AC233" s="17">
        <v>367</v>
      </c>
      <c r="AD233" s="17">
        <f t="shared" si="96"/>
        <v>367</v>
      </c>
      <c r="AE233" s="236"/>
      <c r="AF233" s="236"/>
      <c r="AG233" s="236"/>
      <c r="AH233" s="258"/>
    </row>
    <row r="234" spans="2:34" ht="13">
      <c r="B234" s="249"/>
      <c r="C234" s="157" t="s">
        <v>1533</v>
      </c>
      <c r="D234" s="123" t="s">
        <v>1448</v>
      </c>
      <c r="E234" s="124">
        <v>5</v>
      </c>
      <c r="F234" s="124">
        <v>15</v>
      </c>
      <c r="G234" s="159">
        <f t="shared" ref="G234:G236" si="97">E234*F234</f>
        <v>75</v>
      </c>
      <c r="H234" s="320">
        <f>SUM(G234:G237)</f>
        <v>75</v>
      </c>
      <c r="I234" s="320">
        <v>500</v>
      </c>
      <c r="J234" s="320">
        <f>I234-H234</f>
        <v>425</v>
      </c>
      <c r="K234" s="321">
        <f>J234/I234</f>
        <v>0.85</v>
      </c>
      <c r="M234" s="270"/>
      <c r="N234" s="236"/>
      <c r="O234" s="19" t="s">
        <v>1534</v>
      </c>
      <c r="P234" s="17">
        <v>1</v>
      </c>
      <c r="Q234" s="17">
        <v>31.64</v>
      </c>
      <c r="R234" s="17">
        <f t="shared" si="95"/>
        <v>31.64</v>
      </c>
      <c r="S234" s="236"/>
      <c r="T234" s="236"/>
      <c r="U234" s="236"/>
      <c r="V234" s="258"/>
      <c r="Y234" s="270"/>
      <c r="Z234" s="236"/>
      <c r="AA234" s="19" t="s">
        <v>1534</v>
      </c>
      <c r="AB234" s="17">
        <v>1</v>
      </c>
      <c r="AC234" s="17">
        <v>31.64</v>
      </c>
      <c r="AD234" s="17">
        <f t="shared" si="96"/>
        <v>31.64</v>
      </c>
      <c r="AE234" s="236"/>
      <c r="AF234" s="236"/>
      <c r="AG234" s="236"/>
      <c r="AH234" s="258"/>
    </row>
    <row r="235" spans="2:34" ht="13">
      <c r="B235" s="249"/>
      <c r="C235" s="155"/>
      <c r="E235" s="11"/>
      <c r="F235" s="11"/>
      <c r="G235" s="24">
        <f t="shared" si="97"/>
        <v>0</v>
      </c>
      <c r="H235" s="236"/>
      <c r="I235" s="236"/>
      <c r="J235" s="236"/>
      <c r="K235" s="266"/>
      <c r="M235" s="270"/>
      <c r="N235" s="236"/>
      <c r="O235" s="19" t="s">
        <v>1535</v>
      </c>
      <c r="P235" s="17">
        <v>4</v>
      </c>
      <c r="Q235" s="17">
        <v>18</v>
      </c>
      <c r="R235" s="17">
        <f t="shared" si="95"/>
        <v>72</v>
      </c>
      <c r="S235" s="236"/>
      <c r="T235" s="236"/>
      <c r="U235" s="236"/>
      <c r="V235" s="258"/>
      <c r="Y235" s="270"/>
      <c r="Z235" s="236"/>
      <c r="AA235" s="19" t="s">
        <v>1535</v>
      </c>
      <c r="AB235" s="17">
        <v>4</v>
      </c>
      <c r="AC235" s="17">
        <v>18</v>
      </c>
      <c r="AD235" s="17">
        <f t="shared" si="96"/>
        <v>72</v>
      </c>
      <c r="AE235" s="236"/>
      <c r="AF235" s="236"/>
      <c r="AG235" s="236"/>
      <c r="AH235" s="258"/>
    </row>
    <row r="236" spans="2:34" ht="13">
      <c r="B236" s="249"/>
      <c r="C236" s="155"/>
      <c r="E236" s="11"/>
      <c r="F236" s="11"/>
      <c r="G236" s="24">
        <f t="shared" si="97"/>
        <v>0</v>
      </c>
      <c r="H236" s="236"/>
      <c r="I236" s="236"/>
      <c r="J236" s="236"/>
      <c r="K236" s="266"/>
      <c r="M236" s="270"/>
      <c r="N236" s="236"/>
      <c r="O236" s="19" t="s">
        <v>1536</v>
      </c>
      <c r="P236" s="17">
        <v>30</v>
      </c>
      <c r="Q236" s="17">
        <v>2.5</v>
      </c>
      <c r="R236" s="17">
        <f t="shared" si="95"/>
        <v>75</v>
      </c>
      <c r="S236" s="236"/>
      <c r="T236" s="236"/>
      <c r="U236" s="236"/>
      <c r="V236" s="258"/>
      <c r="Y236" s="270"/>
      <c r="Z236" s="236"/>
      <c r="AA236" s="19" t="s">
        <v>1536</v>
      </c>
      <c r="AB236" s="17">
        <v>30</v>
      </c>
      <c r="AC236" s="17">
        <v>2.5</v>
      </c>
      <c r="AD236" s="17">
        <f t="shared" si="96"/>
        <v>75</v>
      </c>
      <c r="AE236" s="236"/>
      <c r="AF236" s="236"/>
      <c r="AG236" s="236"/>
      <c r="AH236" s="258"/>
    </row>
    <row r="237" spans="2:34" ht="13">
      <c r="B237" s="249"/>
      <c r="C237" s="155"/>
      <c r="D237" s="24"/>
      <c r="E237" s="11"/>
      <c r="F237" s="11"/>
      <c r="G237" s="11" t="s">
        <v>1298</v>
      </c>
      <c r="H237" s="293"/>
      <c r="I237" s="293"/>
      <c r="J237" s="293"/>
      <c r="K237" s="319"/>
      <c r="M237" s="270"/>
      <c r="N237" s="236"/>
      <c r="O237" s="19" t="s">
        <v>1537</v>
      </c>
      <c r="P237" s="17">
        <v>3</v>
      </c>
      <c r="Q237" s="17">
        <v>15</v>
      </c>
      <c r="R237" s="17">
        <f t="shared" si="95"/>
        <v>45</v>
      </c>
      <c r="S237" s="236"/>
      <c r="T237" s="236"/>
      <c r="U237" s="236"/>
      <c r="V237" s="258"/>
      <c r="Y237" s="270"/>
      <c r="Z237" s="236"/>
      <c r="AA237" s="19" t="s">
        <v>1537</v>
      </c>
      <c r="AB237" s="17">
        <v>3</v>
      </c>
      <c r="AC237" s="17">
        <v>15</v>
      </c>
      <c r="AD237" s="17">
        <f t="shared" si="96"/>
        <v>45</v>
      </c>
      <c r="AE237" s="236"/>
      <c r="AF237" s="236"/>
      <c r="AG237" s="236"/>
      <c r="AH237" s="258"/>
    </row>
    <row r="238" spans="2:34" ht="13">
      <c r="B238" s="249"/>
      <c r="C238" s="157" t="s">
        <v>1538</v>
      </c>
      <c r="D238" s="123" t="s">
        <v>1539</v>
      </c>
      <c r="E238" s="124">
        <v>36</v>
      </c>
      <c r="F238" s="124">
        <v>20</v>
      </c>
      <c r="G238" s="159">
        <f t="shared" ref="G238:G240" si="98">E238*F238</f>
        <v>720</v>
      </c>
      <c r="H238" s="320">
        <f>SUM(G238:G241)</f>
        <v>720</v>
      </c>
      <c r="I238" s="320">
        <v>1255</v>
      </c>
      <c r="J238" s="320">
        <f>I238-H238</f>
        <v>535</v>
      </c>
      <c r="K238" s="321">
        <f>J238/I238</f>
        <v>0.42629482071713148</v>
      </c>
      <c r="M238" s="270"/>
      <c r="N238" s="236"/>
      <c r="O238" s="19" t="s">
        <v>1540</v>
      </c>
      <c r="P238" s="17">
        <v>1</v>
      </c>
      <c r="Q238" s="17">
        <v>20</v>
      </c>
      <c r="R238" s="17">
        <f t="shared" si="95"/>
        <v>20</v>
      </c>
      <c r="S238" s="236"/>
      <c r="T238" s="236"/>
      <c r="U238" s="236"/>
      <c r="V238" s="258"/>
      <c r="Y238" s="270"/>
      <c r="Z238" s="236"/>
      <c r="AA238" s="19" t="s">
        <v>1540</v>
      </c>
      <c r="AB238" s="17">
        <v>1</v>
      </c>
      <c r="AC238" s="17">
        <v>20</v>
      </c>
      <c r="AD238" s="17">
        <f t="shared" si="96"/>
        <v>20</v>
      </c>
      <c r="AE238" s="236"/>
      <c r="AF238" s="236"/>
      <c r="AG238" s="236"/>
      <c r="AH238" s="258"/>
    </row>
    <row r="239" spans="2:34" ht="13">
      <c r="B239" s="249"/>
      <c r="C239" s="155"/>
      <c r="E239" s="11"/>
      <c r="F239" s="11"/>
      <c r="G239" s="24">
        <f t="shared" si="98"/>
        <v>0</v>
      </c>
      <c r="H239" s="236"/>
      <c r="I239" s="236"/>
      <c r="J239" s="236"/>
      <c r="K239" s="266"/>
      <c r="M239" s="270"/>
      <c r="N239" s="236"/>
      <c r="O239" s="19" t="s">
        <v>1541</v>
      </c>
      <c r="P239" s="17">
        <v>2.8</v>
      </c>
      <c r="Q239" s="17">
        <v>16</v>
      </c>
      <c r="R239" s="17">
        <f t="shared" si="95"/>
        <v>44.8</v>
      </c>
      <c r="S239" s="236"/>
      <c r="T239" s="236"/>
      <c r="U239" s="236"/>
      <c r="V239" s="258"/>
      <c r="Y239" s="270"/>
      <c r="Z239" s="236"/>
      <c r="AA239" s="19" t="s">
        <v>1541</v>
      </c>
      <c r="AB239" s="17">
        <v>2.8</v>
      </c>
      <c r="AC239" s="17">
        <v>16</v>
      </c>
      <c r="AD239" s="17">
        <f t="shared" si="96"/>
        <v>44.8</v>
      </c>
      <c r="AE239" s="236"/>
      <c r="AF239" s="236"/>
      <c r="AG239" s="236"/>
      <c r="AH239" s="258"/>
    </row>
    <row r="240" spans="2:34" ht="13">
      <c r="B240" s="249"/>
      <c r="C240" s="155"/>
      <c r="E240" s="11"/>
      <c r="F240" s="11"/>
      <c r="G240" s="24">
        <f t="shared" si="98"/>
        <v>0</v>
      </c>
      <c r="H240" s="236"/>
      <c r="I240" s="236"/>
      <c r="J240" s="236"/>
      <c r="K240" s="266"/>
      <c r="M240" s="270"/>
      <c r="N240" s="236"/>
      <c r="O240" s="19" t="s">
        <v>1542</v>
      </c>
      <c r="P240" s="17">
        <v>4.8</v>
      </c>
      <c r="Q240" s="17">
        <v>16</v>
      </c>
      <c r="R240" s="17">
        <f t="shared" si="95"/>
        <v>76.8</v>
      </c>
      <c r="S240" s="236"/>
      <c r="T240" s="236"/>
      <c r="U240" s="236"/>
      <c r="V240" s="258"/>
      <c r="Y240" s="270"/>
      <c r="Z240" s="236"/>
      <c r="AA240" s="19" t="s">
        <v>1542</v>
      </c>
      <c r="AB240" s="17">
        <v>4.8</v>
      </c>
      <c r="AC240" s="17">
        <v>16</v>
      </c>
      <c r="AD240" s="17">
        <v>0</v>
      </c>
      <c r="AE240" s="236"/>
      <c r="AF240" s="236"/>
      <c r="AG240" s="236"/>
      <c r="AH240" s="258"/>
    </row>
    <row r="241" spans="2:34" ht="13">
      <c r="B241" s="250"/>
      <c r="C241" s="155"/>
      <c r="D241" s="24"/>
      <c r="E241" s="11"/>
      <c r="F241" s="11"/>
      <c r="G241" s="11" t="s">
        <v>1298</v>
      </c>
      <c r="H241" s="293"/>
      <c r="I241" s="293"/>
      <c r="J241" s="293"/>
      <c r="K241" s="319"/>
      <c r="M241" s="270"/>
      <c r="N241" s="236"/>
      <c r="O241" s="19" t="s">
        <v>1543</v>
      </c>
      <c r="P241" s="17">
        <v>5</v>
      </c>
      <c r="Q241" s="17">
        <v>16</v>
      </c>
      <c r="R241" s="17">
        <f t="shared" si="95"/>
        <v>80</v>
      </c>
      <c r="S241" s="236"/>
      <c r="T241" s="236"/>
      <c r="U241" s="236"/>
      <c r="V241" s="258"/>
      <c r="Y241" s="270"/>
      <c r="Z241" s="236"/>
      <c r="AA241" s="19" t="s">
        <v>1543</v>
      </c>
      <c r="AB241" s="17">
        <v>5</v>
      </c>
      <c r="AC241" s="17">
        <v>16</v>
      </c>
      <c r="AD241" s="17">
        <v>0</v>
      </c>
      <c r="AE241" s="236"/>
      <c r="AF241" s="236"/>
      <c r="AG241" s="236"/>
      <c r="AH241" s="258"/>
    </row>
    <row r="242" spans="2:34" ht="30">
      <c r="B242" s="251" t="s">
        <v>1544</v>
      </c>
      <c r="C242" s="252"/>
      <c r="D242" s="253"/>
      <c r="E242" s="27">
        <f t="shared" ref="E242:J242" si="99">AVERAGE(E111:E241)</f>
        <v>11.560123456790123</v>
      </c>
      <c r="F242" s="27">
        <f t="shared" si="99"/>
        <v>13.862337662337664</v>
      </c>
      <c r="G242" s="152">
        <f t="shared" si="99"/>
        <v>131.17849206349206</v>
      </c>
      <c r="H242" s="152">
        <f t="shared" si="99"/>
        <v>787.07095238095246</v>
      </c>
      <c r="I242" s="152">
        <f t="shared" si="99"/>
        <v>3083.0952380952381</v>
      </c>
      <c r="J242" s="152">
        <f t="shared" si="99"/>
        <v>2296.0242857142857</v>
      </c>
      <c r="K242" s="153">
        <f>AVERAGE($V$111:$V$241)</f>
        <v>0.71745714420316686</v>
      </c>
      <c r="M242" s="270"/>
      <c r="N242" s="236"/>
      <c r="O242" s="19" t="s">
        <v>1545</v>
      </c>
      <c r="P242" s="17">
        <v>7</v>
      </c>
      <c r="Q242" s="17">
        <v>17</v>
      </c>
      <c r="R242" s="17">
        <f t="shared" si="95"/>
        <v>119</v>
      </c>
      <c r="S242" s="236"/>
      <c r="T242" s="236"/>
      <c r="U242" s="236"/>
      <c r="V242" s="258"/>
      <c r="Y242" s="270"/>
      <c r="Z242" s="236"/>
      <c r="AA242" s="19" t="s">
        <v>1545</v>
      </c>
      <c r="AB242" s="17">
        <v>7</v>
      </c>
      <c r="AC242" s="17">
        <v>17</v>
      </c>
      <c r="AD242" s="17">
        <f t="shared" ref="AD242:AD244" si="100">AB242*AC242</f>
        <v>119</v>
      </c>
      <c r="AE242" s="236"/>
      <c r="AF242" s="236"/>
      <c r="AG242" s="236"/>
      <c r="AH242" s="258"/>
    </row>
    <row r="243" spans="2:34" ht="30">
      <c r="B243" s="251" t="s">
        <v>1546</v>
      </c>
      <c r="C243" s="252"/>
      <c r="D243" s="253"/>
      <c r="E243" s="27">
        <f t="shared" ref="E243:J243" si="101">SUM(E111:E241)</f>
        <v>936.37</v>
      </c>
      <c r="F243" s="27">
        <f t="shared" si="101"/>
        <v>1067.4000000000001</v>
      </c>
      <c r="G243" s="152">
        <f t="shared" si="101"/>
        <v>16528.489999999998</v>
      </c>
      <c r="H243" s="152">
        <f t="shared" si="101"/>
        <v>16528.490000000002</v>
      </c>
      <c r="I243" s="152">
        <f t="shared" si="101"/>
        <v>64745</v>
      </c>
      <c r="J243" s="152">
        <f t="shared" si="101"/>
        <v>48216.51</v>
      </c>
      <c r="K243" s="154">
        <f t="shared" ref="K243:K244" si="102">J243/I243</f>
        <v>0.74471403197158081</v>
      </c>
      <c r="M243" s="270"/>
      <c r="N243" s="236"/>
      <c r="O243" s="19" t="s">
        <v>1547</v>
      </c>
      <c r="P243" s="17">
        <v>15</v>
      </c>
      <c r="Q243" s="17">
        <v>15</v>
      </c>
      <c r="R243" s="17">
        <f t="shared" si="95"/>
        <v>225</v>
      </c>
      <c r="S243" s="236"/>
      <c r="T243" s="236"/>
      <c r="U243" s="236"/>
      <c r="V243" s="258"/>
      <c r="Y243" s="270"/>
      <c r="Z243" s="236"/>
      <c r="AA243" s="19" t="s">
        <v>1547</v>
      </c>
      <c r="AB243" s="17">
        <v>15</v>
      </c>
      <c r="AC243" s="17">
        <v>15</v>
      </c>
      <c r="AD243" s="17">
        <f t="shared" si="100"/>
        <v>225</v>
      </c>
      <c r="AE243" s="236"/>
      <c r="AF243" s="236"/>
      <c r="AG243" s="236"/>
      <c r="AH243" s="258"/>
    </row>
    <row r="244" spans="2:34" ht="13">
      <c r="B244" s="277" t="s">
        <v>2</v>
      </c>
      <c r="C244" s="155" t="s">
        <v>1548</v>
      </c>
      <c r="D244" s="19" t="s">
        <v>1448</v>
      </c>
      <c r="E244" s="17">
        <v>5</v>
      </c>
      <c r="F244" s="17">
        <v>12.5</v>
      </c>
      <c r="G244" s="24">
        <f>E244*F244</f>
        <v>62.5</v>
      </c>
      <c r="H244" s="325">
        <f>SUM(G244:G245)</f>
        <v>62.5</v>
      </c>
      <c r="I244" s="325">
        <v>500</v>
      </c>
      <c r="J244" s="325">
        <f>I244-H244</f>
        <v>437.5</v>
      </c>
      <c r="K244" s="328">
        <f t="shared" si="102"/>
        <v>0.875</v>
      </c>
      <c r="M244" s="270"/>
      <c r="N244" s="236"/>
      <c r="O244" s="19" t="s">
        <v>1549</v>
      </c>
      <c r="P244" s="17">
        <v>1</v>
      </c>
      <c r="Q244" s="17">
        <v>20</v>
      </c>
      <c r="R244" s="17">
        <f t="shared" si="95"/>
        <v>20</v>
      </c>
      <c r="S244" s="236"/>
      <c r="T244" s="236"/>
      <c r="U244" s="236"/>
      <c r="V244" s="258"/>
      <c r="Y244" s="270"/>
      <c r="Z244" s="236"/>
      <c r="AA244" s="19" t="s">
        <v>1549</v>
      </c>
      <c r="AB244" s="17">
        <v>1</v>
      </c>
      <c r="AC244" s="17">
        <v>20</v>
      </c>
      <c r="AD244" s="17">
        <f t="shared" si="100"/>
        <v>20</v>
      </c>
      <c r="AE244" s="236"/>
      <c r="AF244" s="236"/>
      <c r="AG244" s="236"/>
      <c r="AH244" s="258"/>
    </row>
    <row r="245" spans="2:34" ht="13">
      <c r="B245" s="249"/>
      <c r="C245" s="155"/>
      <c r="D245" s="19" t="s">
        <v>1305</v>
      </c>
      <c r="E245" s="17">
        <v>8</v>
      </c>
      <c r="F245" s="17">
        <v>15</v>
      </c>
      <c r="G245" s="24">
        <v>0</v>
      </c>
      <c r="H245" s="293"/>
      <c r="I245" s="293"/>
      <c r="J245" s="293"/>
      <c r="K245" s="319"/>
      <c r="M245" s="270"/>
      <c r="N245" s="236"/>
      <c r="O245" s="19" t="s">
        <v>1550</v>
      </c>
      <c r="P245" s="17">
        <v>6</v>
      </c>
      <c r="Q245" s="17">
        <v>16</v>
      </c>
      <c r="R245" s="17">
        <f t="shared" si="95"/>
        <v>96</v>
      </c>
      <c r="S245" s="236"/>
      <c r="T245" s="236"/>
      <c r="U245" s="236"/>
      <c r="V245" s="258"/>
      <c r="Y245" s="270"/>
      <c r="Z245" s="236"/>
      <c r="AA245" s="19" t="s">
        <v>1550</v>
      </c>
      <c r="AB245" s="18"/>
      <c r="AC245" s="18"/>
      <c r="AD245" s="18"/>
      <c r="AE245" s="236"/>
      <c r="AF245" s="236"/>
      <c r="AG245" s="236"/>
      <c r="AH245" s="258"/>
    </row>
    <row r="246" spans="2:34" ht="13">
      <c r="B246" s="249"/>
      <c r="C246" s="157" t="s">
        <v>1551</v>
      </c>
      <c r="D246" s="123" t="s">
        <v>1552</v>
      </c>
      <c r="E246" s="124">
        <v>6</v>
      </c>
      <c r="F246" s="124">
        <v>15</v>
      </c>
      <c r="G246" s="159">
        <f>E246*F246</f>
        <v>90</v>
      </c>
      <c r="H246" s="320">
        <f>SUM(G246:G252)</f>
        <v>414</v>
      </c>
      <c r="I246" s="320">
        <v>1320</v>
      </c>
      <c r="J246" s="320">
        <f>I246-H246</f>
        <v>906</v>
      </c>
      <c r="K246" s="321">
        <f>J246/I246</f>
        <v>0.6863636363636364</v>
      </c>
      <c r="M246" s="270"/>
      <c r="N246" s="236"/>
      <c r="O246" s="19" t="s">
        <v>1553</v>
      </c>
      <c r="P246" s="17">
        <v>6</v>
      </c>
      <c r="Q246" s="17">
        <v>16</v>
      </c>
      <c r="R246" s="17">
        <f t="shared" si="95"/>
        <v>96</v>
      </c>
      <c r="S246" s="236"/>
      <c r="T246" s="236"/>
      <c r="U246" s="236"/>
      <c r="V246" s="258"/>
      <c r="Y246" s="270"/>
      <c r="Z246" s="236"/>
      <c r="AA246" s="19" t="s">
        <v>1553</v>
      </c>
      <c r="AB246" s="18"/>
      <c r="AC246" s="18"/>
      <c r="AD246" s="18"/>
      <c r="AE246" s="236"/>
      <c r="AF246" s="236"/>
      <c r="AG246" s="236"/>
      <c r="AH246" s="258"/>
    </row>
    <row r="247" spans="2:34" ht="13">
      <c r="B247" s="249"/>
      <c r="C247" s="155"/>
      <c r="D247" s="19" t="s">
        <v>1554</v>
      </c>
      <c r="E247" s="17">
        <v>3</v>
      </c>
      <c r="F247" s="17">
        <v>15</v>
      </c>
      <c r="G247" s="24">
        <v>0</v>
      </c>
      <c r="H247" s="236"/>
      <c r="I247" s="236"/>
      <c r="J247" s="236"/>
      <c r="K247" s="266"/>
      <c r="M247" s="270"/>
      <c r="N247" s="236"/>
      <c r="O247" s="19" t="s">
        <v>1555</v>
      </c>
      <c r="P247" s="17">
        <v>2</v>
      </c>
      <c r="Q247" s="17">
        <v>16</v>
      </c>
      <c r="R247" s="17">
        <f t="shared" si="95"/>
        <v>32</v>
      </c>
      <c r="S247" s="236"/>
      <c r="T247" s="236"/>
      <c r="U247" s="236"/>
      <c r="V247" s="258"/>
      <c r="Y247" s="270"/>
      <c r="Z247" s="236"/>
      <c r="AA247" s="19" t="s">
        <v>1555</v>
      </c>
      <c r="AB247" s="17">
        <v>2</v>
      </c>
      <c r="AC247" s="17">
        <v>16</v>
      </c>
      <c r="AD247" s="17">
        <f t="shared" ref="AD247:AD248" si="103">AB247*AC247</f>
        <v>32</v>
      </c>
      <c r="AE247" s="236"/>
      <c r="AF247" s="236"/>
      <c r="AG247" s="236"/>
      <c r="AH247" s="258"/>
    </row>
    <row r="248" spans="2:34" ht="13">
      <c r="B248" s="249"/>
      <c r="C248" s="155"/>
      <c r="D248" s="19" t="s">
        <v>1556</v>
      </c>
      <c r="E248" s="17">
        <v>3</v>
      </c>
      <c r="F248" s="17">
        <v>15</v>
      </c>
      <c r="G248" s="24">
        <v>0</v>
      </c>
      <c r="H248" s="236"/>
      <c r="I248" s="236"/>
      <c r="J248" s="236"/>
      <c r="K248" s="266"/>
      <c r="M248" s="270"/>
      <c r="N248" s="248"/>
      <c r="O248" s="19" t="s">
        <v>1557</v>
      </c>
      <c r="P248" s="17">
        <v>1</v>
      </c>
      <c r="Q248" s="17">
        <v>250</v>
      </c>
      <c r="R248" s="17">
        <f t="shared" si="95"/>
        <v>250</v>
      </c>
      <c r="S248" s="293"/>
      <c r="T248" s="293"/>
      <c r="U248" s="293"/>
      <c r="V248" s="295"/>
      <c r="Y248" s="270"/>
      <c r="Z248" s="248"/>
      <c r="AA248" s="19" t="s">
        <v>1557</v>
      </c>
      <c r="AB248" s="17">
        <v>1</v>
      </c>
      <c r="AC248" s="17">
        <v>250</v>
      </c>
      <c r="AD248" s="17">
        <f t="shared" si="103"/>
        <v>250</v>
      </c>
      <c r="AE248" s="293"/>
      <c r="AF248" s="293"/>
      <c r="AG248" s="293"/>
      <c r="AH248" s="295"/>
    </row>
    <row r="249" spans="2:34" ht="13">
      <c r="B249" s="249"/>
      <c r="C249" s="155"/>
      <c r="D249" s="19" t="s">
        <v>1558</v>
      </c>
      <c r="E249" s="17">
        <v>3</v>
      </c>
      <c r="F249" s="17">
        <v>17</v>
      </c>
      <c r="G249" s="24">
        <f t="shared" ref="G249:G256" si="104">E249*F249</f>
        <v>51</v>
      </c>
      <c r="H249" s="236"/>
      <c r="I249" s="236"/>
      <c r="J249" s="236"/>
      <c r="K249" s="266"/>
      <c r="M249" s="270"/>
      <c r="N249" s="322" t="s">
        <v>1559</v>
      </c>
      <c r="O249" s="77"/>
      <c r="P249" s="71"/>
      <c r="Q249" s="71"/>
      <c r="R249" s="71"/>
      <c r="S249" s="239">
        <f>SUM(R249:R250)</f>
        <v>48</v>
      </c>
      <c r="T249" s="239">
        <v>1100</v>
      </c>
      <c r="U249" s="239">
        <f>T249-S249</f>
        <v>1052</v>
      </c>
      <c r="V249" s="259">
        <f>U249/T249</f>
        <v>0.95636363636363642</v>
      </c>
      <c r="Y249" s="270"/>
      <c r="Z249" s="343" t="s">
        <v>1559</v>
      </c>
      <c r="AA249" s="77"/>
      <c r="AB249" s="71"/>
      <c r="AC249" s="71"/>
      <c r="AD249" s="71"/>
      <c r="AE249" s="325">
        <f>SUM(AD249:AD250)</f>
        <v>0</v>
      </c>
      <c r="AF249" s="325">
        <v>1100</v>
      </c>
      <c r="AG249" s="325">
        <f>AF249-AE249</f>
        <v>1100</v>
      </c>
      <c r="AH249" s="330">
        <f>AG249/AF249</f>
        <v>1</v>
      </c>
    </row>
    <row r="250" spans="2:34" ht="13">
      <c r="B250" s="249"/>
      <c r="C250" s="155"/>
      <c r="D250" s="19" t="s">
        <v>1560</v>
      </c>
      <c r="E250" s="17">
        <v>6</v>
      </c>
      <c r="F250" s="17">
        <v>17</v>
      </c>
      <c r="G250" s="24">
        <f t="shared" si="104"/>
        <v>102</v>
      </c>
      <c r="H250" s="236"/>
      <c r="I250" s="236"/>
      <c r="J250" s="236"/>
      <c r="K250" s="266"/>
      <c r="M250" s="270"/>
      <c r="N250" s="248"/>
      <c r="O250" s="20" t="s">
        <v>114</v>
      </c>
      <c r="P250" s="21">
        <v>3</v>
      </c>
      <c r="Q250" s="21">
        <v>16</v>
      </c>
      <c r="R250" s="21">
        <f>P250*Q250</f>
        <v>48</v>
      </c>
      <c r="S250" s="248"/>
      <c r="T250" s="248"/>
      <c r="U250" s="248"/>
      <c r="V250" s="303"/>
      <c r="Y250" s="270"/>
      <c r="Z250" s="248"/>
      <c r="AA250" s="20" t="s">
        <v>114</v>
      </c>
      <c r="AB250" s="68"/>
      <c r="AC250" s="68"/>
      <c r="AD250" s="68"/>
      <c r="AE250" s="248"/>
      <c r="AF250" s="248"/>
      <c r="AG250" s="248"/>
      <c r="AH250" s="303"/>
    </row>
    <row r="251" spans="2:34" ht="30">
      <c r="B251" s="249"/>
      <c r="C251" s="155"/>
      <c r="D251" s="19" t="s">
        <v>1561</v>
      </c>
      <c r="E251" s="17">
        <v>6</v>
      </c>
      <c r="F251" s="17">
        <v>20</v>
      </c>
      <c r="G251" s="24">
        <f t="shared" si="104"/>
        <v>120</v>
      </c>
      <c r="H251" s="236"/>
      <c r="I251" s="236"/>
      <c r="J251" s="236"/>
      <c r="K251" s="266"/>
      <c r="M251" s="278" t="s">
        <v>1562</v>
      </c>
      <c r="N251" s="252"/>
      <c r="O251" s="253"/>
      <c r="P251" s="128">
        <f t="shared" ref="P251:U251" si="105">AVERAGE(P172:P250)</f>
        <v>7.639361702127661</v>
      </c>
      <c r="Q251" s="128">
        <f t="shared" si="105"/>
        <v>77.919574468085116</v>
      </c>
      <c r="R251" s="128">
        <f t="shared" si="105"/>
        <v>227.7110666666666</v>
      </c>
      <c r="S251" s="128">
        <f t="shared" si="105"/>
        <v>1138.5553333333332</v>
      </c>
      <c r="T251" s="128">
        <f t="shared" si="105"/>
        <v>3312.9100000000008</v>
      </c>
      <c r="U251" s="128">
        <f t="shared" si="105"/>
        <v>2174.3546666666666</v>
      </c>
      <c r="V251" s="149">
        <f>AVERAGE($V$172:$V$250)</f>
        <v>0.73338066303547655</v>
      </c>
      <c r="Y251" s="278" t="s">
        <v>1562</v>
      </c>
      <c r="Z251" s="252"/>
      <c r="AA251" s="253"/>
      <c r="AB251" s="128">
        <f t="shared" ref="AB251:AG251" si="106">AVERAGE(AB172:AB250)</f>
        <v>6.1030303030303044</v>
      </c>
      <c r="AC251" s="128">
        <f t="shared" si="106"/>
        <v>104.09757575757575</v>
      </c>
      <c r="AD251" s="128">
        <f t="shared" si="106"/>
        <v>235.16606557377048</v>
      </c>
      <c r="AE251" s="128">
        <f t="shared" si="106"/>
        <v>956.3420000000001</v>
      </c>
      <c r="AF251" s="128">
        <f t="shared" si="106"/>
        <v>3312.9100000000008</v>
      </c>
      <c r="AG251" s="128">
        <f t="shared" si="106"/>
        <v>2356.5679999999998</v>
      </c>
      <c r="AH251" s="129">
        <f>AVERAGE($V$171:$V$249)</f>
        <v>0.73436419748991921</v>
      </c>
    </row>
    <row r="252" spans="2:34" ht="30">
      <c r="B252" s="249"/>
      <c r="C252" s="155"/>
      <c r="D252" s="19" t="s">
        <v>1563</v>
      </c>
      <c r="E252" s="17">
        <v>3</v>
      </c>
      <c r="F252" s="17">
        <v>17</v>
      </c>
      <c r="G252" s="24">
        <f t="shared" si="104"/>
        <v>51</v>
      </c>
      <c r="H252" s="236"/>
      <c r="I252" s="236"/>
      <c r="J252" s="236"/>
      <c r="K252" s="266"/>
      <c r="M252" s="323" t="s">
        <v>1564</v>
      </c>
      <c r="N252" s="236"/>
      <c r="O252" s="266"/>
      <c r="P252" s="130">
        <f t="shared" ref="P252:U252" si="107">SUM(P172:P250)</f>
        <v>359.05000000000007</v>
      </c>
      <c r="Q252" s="130">
        <f t="shared" si="107"/>
        <v>3662.2200000000003</v>
      </c>
      <c r="R252" s="130">
        <f t="shared" si="107"/>
        <v>17078.329999999994</v>
      </c>
      <c r="S252" s="130">
        <f t="shared" si="107"/>
        <v>17078.329999999998</v>
      </c>
      <c r="T252" s="130">
        <f t="shared" si="107"/>
        <v>49693.650000000009</v>
      </c>
      <c r="U252" s="130">
        <f t="shared" si="107"/>
        <v>32615.32</v>
      </c>
      <c r="V252" s="129">
        <f t="shared" ref="V252:V253" si="108">U252/T252</f>
        <v>0.65632771994007266</v>
      </c>
      <c r="Y252" s="323" t="s">
        <v>1564</v>
      </c>
      <c r="Z252" s="236"/>
      <c r="AA252" s="266"/>
      <c r="AB252" s="130">
        <f t="shared" ref="AB252:AG252" si="109">SUM(AB172:AB250)</f>
        <v>201.40000000000003</v>
      </c>
      <c r="AC252" s="130">
        <f t="shared" si="109"/>
        <v>3435.22</v>
      </c>
      <c r="AD252" s="130">
        <f t="shared" si="109"/>
        <v>14345.13</v>
      </c>
      <c r="AE252" s="130">
        <f t="shared" si="109"/>
        <v>14345.130000000001</v>
      </c>
      <c r="AF252" s="130">
        <f t="shared" si="109"/>
        <v>49693.650000000009</v>
      </c>
      <c r="AG252" s="130">
        <f t="shared" si="109"/>
        <v>35348.519999999997</v>
      </c>
      <c r="AH252" s="151">
        <f t="shared" ref="AH252:AH253" si="110">AG252/AF252</f>
        <v>0.71132871101237261</v>
      </c>
    </row>
    <row r="253" spans="2:34" ht="13">
      <c r="B253" s="249"/>
      <c r="C253" s="157" t="s">
        <v>1565</v>
      </c>
      <c r="D253" s="123" t="s">
        <v>1308</v>
      </c>
      <c r="E253" s="124">
        <v>19.3</v>
      </c>
      <c r="F253" s="124">
        <v>15</v>
      </c>
      <c r="G253" s="159">
        <f t="shared" si="104"/>
        <v>289.5</v>
      </c>
      <c r="H253" s="320">
        <f>SUM(G253:G262)</f>
        <v>1552.28</v>
      </c>
      <c r="I253" s="320">
        <v>3250</v>
      </c>
      <c r="J253" s="320">
        <f>I253-H253</f>
        <v>1697.72</v>
      </c>
      <c r="K253" s="321">
        <f>J253/I253</f>
        <v>0.52237538461538457</v>
      </c>
      <c r="M253" s="290" t="s">
        <v>4</v>
      </c>
      <c r="N253" s="166" t="s">
        <v>1566</v>
      </c>
      <c r="O253" s="24" t="s">
        <v>97</v>
      </c>
      <c r="P253" s="24">
        <v>5</v>
      </c>
      <c r="Q253" s="24">
        <v>13</v>
      </c>
      <c r="R253" s="24">
        <f t="shared" ref="R253:R254" si="111">P253*Q253</f>
        <v>65</v>
      </c>
      <c r="S253" s="325">
        <f>SUM(R253:R254)</f>
        <v>161</v>
      </c>
      <c r="T253" s="325">
        <v>500</v>
      </c>
      <c r="U253" s="325">
        <f>T253-S253</f>
        <v>339</v>
      </c>
      <c r="V253" s="259">
        <f t="shared" si="108"/>
        <v>0.67800000000000005</v>
      </c>
      <c r="Y253" s="290" t="s">
        <v>4</v>
      </c>
      <c r="Z253" s="166" t="s">
        <v>1566</v>
      </c>
      <c r="AA253" s="24" t="s">
        <v>97</v>
      </c>
      <c r="AB253" s="24">
        <v>5</v>
      </c>
      <c r="AC253" s="24">
        <v>13</v>
      </c>
      <c r="AD253" s="24">
        <f>AB253*AC253</f>
        <v>65</v>
      </c>
      <c r="AE253" s="325">
        <f>SUM(AD253:AD254)</f>
        <v>65</v>
      </c>
      <c r="AF253" s="325">
        <v>500</v>
      </c>
      <c r="AG253" s="325">
        <f>AF253-AE253</f>
        <v>435</v>
      </c>
      <c r="AH253" s="259">
        <f t="shared" si="110"/>
        <v>0.87</v>
      </c>
    </row>
    <row r="254" spans="2:34" ht="13">
      <c r="B254" s="249"/>
      <c r="C254" s="155"/>
      <c r="D254" s="19" t="s">
        <v>1567</v>
      </c>
      <c r="E254" s="17">
        <v>7.5</v>
      </c>
      <c r="F254" s="17">
        <v>17</v>
      </c>
      <c r="G254" s="24">
        <f t="shared" si="104"/>
        <v>127.5</v>
      </c>
      <c r="H254" s="236"/>
      <c r="I254" s="236"/>
      <c r="J254" s="236"/>
      <c r="K254" s="266"/>
      <c r="M254" s="270"/>
      <c r="N254" s="44"/>
      <c r="O254" s="44" t="s">
        <v>1361</v>
      </c>
      <c r="P254" s="44">
        <v>6</v>
      </c>
      <c r="Q254" s="44">
        <v>16</v>
      </c>
      <c r="R254" s="44">
        <f t="shared" si="111"/>
        <v>96</v>
      </c>
      <c r="S254" s="248"/>
      <c r="T254" s="248"/>
      <c r="U254" s="248"/>
      <c r="V254" s="303"/>
      <c r="Y254" s="270"/>
      <c r="Z254" s="44"/>
      <c r="AA254" s="44" t="s">
        <v>1361</v>
      </c>
      <c r="AB254" s="142"/>
      <c r="AC254" s="142"/>
      <c r="AD254" s="142"/>
      <c r="AE254" s="248"/>
      <c r="AF254" s="248"/>
      <c r="AG254" s="248"/>
      <c r="AH254" s="303"/>
    </row>
    <row r="255" spans="2:34" ht="13">
      <c r="B255" s="249"/>
      <c r="C255" s="155"/>
      <c r="D255" s="19" t="s">
        <v>1568</v>
      </c>
      <c r="E255" s="17">
        <v>4</v>
      </c>
      <c r="F255" s="17">
        <v>17</v>
      </c>
      <c r="G255" s="24">
        <f t="shared" si="104"/>
        <v>68</v>
      </c>
      <c r="H255" s="236"/>
      <c r="I255" s="236"/>
      <c r="J255" s="236"/>
      <c r="K255" s="266"/>
      <c r="M255" s="270"/>
      <c r="N255" s="166" t="s">
        <v>1569</v>
      </c>
      <c r="O255" s="24" t="s">
        <v>986</v>
      </c>
      <c r="P255" s="24" t="s">
        <v>1387</v>
      </c>
      <c r="Q255" s="24" t="s">
        <v>1387</v>
      </c>
      <c r="R255" s="24">
        <v>120</v>
      </c>
      <c r="S255" s="325">
        <f>SUM(R255:R256)</f>
        <v>233.56</v>
      </c>
      <c r="T255" s="325">
        <v>2268.12</v>
      </c>
      <c r="U255" s="325">
        <f>T255-S255</f>
        <v>2034.56</v>
      </c>
      <c r="V255" s="259">
        <f>U255/T255</f>
        <v>0.89702484877343347</v>
      </c>
      <c r="Y255" s="270"/>
      <c r="Z255" s="166" t="s">
        <v>1569</v>
      </c>
      <c r="AA255" s="24" t="s">
        <v>986</v>
      </c>
      <c r="AB255" s="24" t="s">
        <v>1387</v>
      </c>
      <c r="AC255" s="24" t="s">
        <v>1387</v>
      </c>
      <c r="AD255" s="24">
        <v>120</v>
      </c>
      <c r="AE255" s="325">
        <f>SUM(AD255:AD256)</f>
        <v>233.56</v>
      </c>
      <c r="AF255" s="325">
        <v>2268.12</v>
      </c>
      <c r="AG255" s="325">
        <f>AF255-AE255</f>
        <v>2034.56</v>
      </c>
      <c r="AH255" s="330">
        <f>AG255/AF255</f>
        <v>0.89702484877343347</v>
      </c>
    </row>
    <row r="256" spans="2:34" ht="13">
      <c r="B256" s="249"/>
      <c r="C256" s="155"/>
      <c r="D256" s="19" t="s">
        <v>95</v>
      </c>
      <c r="E256" s="17">
        <v>23</v>
      </c>
      <c r="F256" s="17">
        <v>15</v>
      </c>
      <c r="G256" s="24">
        <f t="shared" si="104"/>
        <v>345</v>
      </c>
      <c r="H256" s="236"/>
      <c r="I256" s="236"/>
      <c r="J256" s="236"/>
      <c r="K256" s="266"/>
      <c r="M256" s="270"/>
      <c r="N256" s="44"/>
      <c r="O256" s="44" t="s">
        <v>33</v>
      </c>
      <c r="P256" s="44" t="s">
        <v>1387</v>
      </c>
      <c r="Q256" s="44" t="s">
        <v>1387</v>
      </c>
      <c r="R256" s="44">
        <v>113.56</v>
      </c>
      <c r="S256" s="248"/>
      <c r="T256" s="248"/>
      <c r="U256" s="248"/>
      <c r="V256" s="303"/>
      <c r="Y256" s="270"/>
      <c r="AA256" s="44" t="s">
        <v>33</v>
      </c>
      <c r="AB256" s="44" t="s">
        <v>1387</v>
      </c>
      <c r="AC256" s="44" t="s">
        <v>1387</v>
      </c>
      <c r="AD256" s="44">
        <v>113.56</v>
      </c>
      <c r="AE256" s="248"/>
      <c r="AF256" s="248"/>
      <c r="AG256" s="248"/>
      <c r="AH256" s="303"/>
    </row>
    <row r="257" spans="2:34" ht="13">
      <c r="B257" s="249"/>
      <c r="C257" s="155"/>
      <c r="D257" s="19" t="s">
        <v>47</v>
      </c>
      <c r="E257" s="19"/>
      <c r="F257" s="19"/>
      <c r="G257" s="17">
        <v>288.2</v>
      </c>
      <c r="H257" s="236"/>
      <c r="I257" s="236"/>
      <c r="J257" s="236"/>
      <c r="K257" s="266"/>
      <c r="M257" s="270"/>
      <c r="N257" s="322" t="s">
        <v>1570</v>
      </c>
      <c r="O257" s="77" t="s">
        <v>1571</v>
      </c>
      <c r="P257" s="71">
        <v>105</v>
      </c>
      <c r="Q257" s="71">
        <v>17</v>
      </c>
      <c r="R257" s="71">
        <f t="shared" ref="R257:R259" si="112">P257*Q257</f>
        <v>1785</v>
      </c>
      <c r="S257" s="239">
        <f>SUM(R257:R265)</f>
        <v>4687.8599999999997</v>
      </c>
      <c r="T257" s="239">
        <v>15044.31</v>
      </c>
      <c r="U257" s="239">
        <f>T257-S257</f>
        <v>10356.450000000001</v>
      </c>
      <c r="V257" s="259">
        <f>U257/T257</f>
        <v>0.6883964768075107</v>
      </c>
      <c r="Y257" s="270"/>
      <c r="Z257" s="322" t="s">
        <v>1570</v>
      </c>
      <c r="AA257" s="77" t="s">
        <v>1571</v>
      </c>
      <c r="AB257" s="71">
        <v>105</v>
      </c>
      <c r="AC257" s="71">
        <v>17</v>
      </c>
      <c r="AD257" s="71">
        <f t="shared" ref="AD257:AD259" si="113">AB257*AC257</f>
        <v>1785</v>
      </c>
      <c r="AE257" s="325">
        <f>SUM(AD257:AD265)</f>
        <v>4291.8599999999997</v>
      </c>
      <c r="AF257" s="325">
        <v>15044.31</v>
      </c>
      <c r="AG257" s="325">
        <f>AF257-AE257</f>
        <v>10752.45</v>
      </c>
      <c r="AH257" s="330">
        <f>AG257/AF257</f>
        <v>0.714718720898466</v>
      </c>
    </row>
    <row r="258" spans="2:34" ht="13">
      <c r="B258" s="249"/>
      <c r="C258" s="155"/>
      <c r="D258" s="19" t="s">
        <v>1572</v>
      </c>
      <c r="E258" s="19"/>
      <c r="F258" s="19"/>
      <c r="G258" s="17">
        <v>99</v>
      </c>
      <c r="H258" s="236"/>
      <c r="I258" s="236"/>
      <c r="J258" s="236"/>
      <c r="K258" s="266"/>
      <c r="M258" s="270"/>
      <c r="N258" s="236"/>
      <c r="O258" s="19" t="s">
        <v>310</v>
      </c>
      <c r="P258" s="17">
        <v>18</v>
      </c>
      <c r="Q258" s="17">
        <v>15</v>
      </c>
      <c r="R258" s="17">
        <f t="shared" si="112"/>
        <v>270</v>
      </c>
      <c r="S258" s="236"/>
      <c r="T258" s="236"/>
      <c r="U258" s="236"/>
      <c r="V258" s="242"/>
      <c r="Y258" s="270"/>
      <c r="Z258" s="236"/>
      <c r="AA258" s="19" t="s">
        <v>310</v>
      </c>
      <c r="AB258" s="17">
        <v>18</v>
      </c>
      <c r="AC258" s="17">
        <v>15</v>
      </c>
      <c r="AD258" s="17">
        <f t="shared" si="113"/>
        <v>270</v>
      </c>
      <c r="AE258" s="236"/>
      <c r="AF258" s="236"/>
      <c r="AG258" s="236"/>
      <c r="AH258" s="242"/>
    </row>
    <row r="259" spans="2:34" ht="13">
      <c r="B259" s="249"/>
      <c r="C259" s="155"/>
      <c r="D259" s="19" t="s">
        <v>1573</v>
      </c>
      <c r="E259" s="19"/>
      <c r="F259" s="19"/>
      <c r="G259" s="17">
        <v>0</v>
      </c>
      <c r="H259" s="236"/>
      <c r="I259" s="236"/>
      <c r="J259" s="236"/>
      <c r="K259" s="266"/>
      <c r="M259" s="270"/>
      <c r="N259" s="1"/>
      <c r="O259" s="19" t="s">
        <v>1574</v>
      </c>
      <c r="P259" s="17">
        <v>18</v>
      </c>
      <c r="Q259" s="17">
        <v>15</v>
      </c>
      <c r="R259" s="17">
        <f t="shared" si="112"/>
        <v>270</v>
      </c>
      <c r="S259" s="236"/>
      <c r="T259" s="236"/>
      <c r="U259" s="236"/>
      <c r="V259" s="242"/>
      <c r="Y259" s="270"/>
      <c r="Z259" s="1"/>
      <c r="AA259" s="19" t="s">
        <v>1574</v>
      </c>
      <c r="AB259" s="17">
        <v>18</v>
      </c>
      <c r="AC259" s="17">
        <v>15</v>
      </c>
      <c r="AD259" s="17">
        <f t="shared" si="113"/>
        <v>270</v>
      </c>
      <c r="AE259" s="236"/>
      <c r="AF259" s="236"/>
      <c r="AG259" s="236"/>
      <c r="AH259" s="242"/>
    </row>
    <row r="260" spans="2:34" ht="13">
      <c r="B260" s="249"/>
      <c r="C260" s="155"/>
      <c r="D260" s="19" t="s">
        <v>1303</v>
      </c>
      <c r="E260" s="19"/>
      <c r="F260" s="19"/>
      <c r="G260" s="17">
        <v>21</v>
      </c>
      <c r="H260" s="236"/>
      <c r="I260" s="236"/>
      <c r="J260" s="236"/>
      <c r="K260" s="266"/>
      <c r="M260" s="270"/>
      <c r="N260" s="1"/>
      <c r="O260" s="19" t="s">
        <v>1575</v>
      </c>
      <c r="P260" s="17" t="s">
        <v>1387</v>
      </c>
      <c r="Q260" s="17" t="s">
        <v>1387</v>
      </c>
      <c r="R260" s="17">
        <v>396</v>
      </c>
      <c r="S260" s="236"/>
      <c r="T260" s="236"/>
      <c r="U260" s="236"/>
      <c r="V260" s="242"/>
      <c r="Y260" s="270"/>
      <c r="Z260" s="1"/>
      <c r="AA260" s="19" t="s">
        <v>1575</v>
      </c>
      <c r="AB260" s="18"/>
      <c r="AC260" s="18"/>
      <c r="AD260" s="18"/>
      <c r="AE260" s="236"/>
      <c r="AF260" s="236"/>
      <c r="AG260" s="236"/>
      <c r="AH260" s="242"/>
    </row>
    <row r="261" spans="2:34" ht="13">
      <c r="B261" s="249"/>
      <c r="C261" s="155"/>
      <c r="D261" s="19" t="s">
        <v>1420</v>
      </c>
      <c r="E261" s="19"/>
      <c r="F261" s="19"/>
      <c r="G261" s="17">
        <v>129.08000000000001</v>
      </c>
      <c r="H261" s="236"/>
      <c r="I261" s="236"/>
      <c r="J261" s="236"/>
      <c r="K261" s="266"/>
      <c r="M261" s="270"/>
      <c r="N261" s="1"/>
      <c r="O261" s="19" t="s">
        <v>1576</v>
      </c>
      <c r="P261" s="17">
        <v>9</v>
      </c>
      <c r="Q261" s="17">
        <v>15</v>
      </c>
      <c r="R261" s="17">
        <f t="shared" ref="R261:R263" si="114">P261*Q261</f>
        <v>135</v>
      </c>
      <c r="S261" s="236"/>
      <c r="T261" s="236"/>
      <c r="U261" s="236"/>
      <c r="V261" s="242"/>
      <c r="Y261" s="270"/>
      <c r="Z261" s="1"/>
      <c r="AA261" s="19" t="s">
        <v>1576</v>
      </c>
      <c r="AB261" s="17">
        <v>9</v>
      </c>
      <c r="AC261" s="17">
        <v>15</v>
      </c>
      <c r="AD261" s="17">
        <f t="shared" ref="AD261:AD263" si="115">AB261*AC261</f>
        <v>135</v>
      </c>
      <c r="AE261" s="236"/>
      <c r="AF261" s="236"/>
      <c r="AG261" s="236"/>
      <c r="AH261" s="242"/>
    </row>
    <row r="262" spans="2:34" ht="13">
      <c r="B262" s="249"/>
      <c r="C262" s="155"/>
      <c r="D262" s="19" t="s">
        <v>1419</v>
      </c>
      <c r="E262" s="19"/>
      <c r="F262" s="19"/>
      <c r="G262" s="17">
        <v>185</v>
      </c>
      <c r="H262" s="236"/>
      <c r="I262" s="236"/>
      <c r="J262" s="236"/>
      <c r="K262" s="266"/>
      <c r="M262" s="270"/>
      <c r="N262" s="1"/>
      <c r="O262" s="19" t="s">
        <v>97</v>
      </c>
      <c r="P262" s="17">
        <v>6</v>
      </c>
      <c r="Q262" s="17">
        <v>15</v>
      </c>
      <c r="R262" s="17">
        <f t="shared" si="114"/>
        <v>90</v>
      </c>
      <c r="S262" s="236"/>
      <c r="T262" s="236"/>
      <c r="U262" s="236"/>
      <c r="V262" s="242"/>
      <c r="Y262" s="270"/>
      <c r="Z262" s="1"/>
      <c r="AA262" s="19" t="s">
        <v>97</v>
      </c>
      <c r="AB262" s="17">
        <v>6</v>
      </c>
      <c r="AC262" s="17">
        <v>15</v>
      </c>
      <c r="AD262" s="17">
        <f t="shared" si="115"/>
        <v>90</v>
      </c>
      <c r="AE262" s="236"/>
      <c r="AF262" s="236"/>
      <c r="AG262" s="236"/>
      <c r="AH262" s="242"/>
    </row>
    <row r="263" spans="2:34" ht="13">
      <c r="B263" s="249"/>
      <c r="C263" s="157" t="s">
        <v>1577</v>
      </c>
      <c r="D263" s="123" t="s">
        <v>1305</v>
      </c>
      <c r="E263" s="124">
        <v>32</v>
      </c>
      <c r="F263" s="124">
        <v>15</v>
      </c>
      <c r="G263" s="159">
        <v>0</v>
      </c>
      <c r="H263" s="320">
        <f>SUM(G263:G270)</f>
        <v>540.91999999999996</v>
      </c>
      <c r="I263" s="320">
        <v>2275</v>
      </c>
      <c r="J263" s="320">
        <f>I263-H263</f>
        <v>1734.08</v>
      </c>
      <c r="K263" s="321">
        <f>J263/I263</f>
        <v>0.76223296703296695</v>
      </c>
      <c r="M263" s="270"/>
      <c r="N263" s="1"/>
      <c r="O263" s="19" t="s">
        <v>1578</v>
      </c>
      <c r="P263" s="17">
        <v>3</v>
      </c>
      <c r="Q263" s="17">
        <v>15</v>
      </c>
      <c r="R263" s="17">
        <f t="shared" si="114"/>
        <v>45</v>
      </c>
      <c r="S263" s="236"/>
      <c r="T263" s="236"/>
      <c r="U263" s="236"/>
      <c r="V263" s="242"/>
      <c r="Y263" s="270"/>
      <c r="Z263" s="1"/>
      <c r="AA263" s="19" t="s">
        <v>1578</v>
      </c>
      <c r="AB263" s="17">
        <v>3</v>
      </c>
      <c r="AC263" s="17">
        <v>15</v>
      </c>
      <c r="AD263" s="17">
        <f t="shared" si="115"/>
        <v>45</v>
      </c>
      <c r="AE263" s="236"/>
      <c r="AF263" s="236"/>
      <c r="AG263" s="236"/>
      <c r="AH263" s="242"/>
    </row>
    <row r="264" spans="2:34" ht="13">
      <c r="B264" s="249"/>
      <c r="C264" s="155"/>
      <c r="D264" s="19" t="s">
        <v>1579</v>
      </c>
      <c r="E264" s="17">
        <v>5</v>
      </c>
      <c r="F264" s="17">
        <v>17</v>
      </c>
      <c r="G264" s="24">
        <f t="shared" ref="G264:G266" si="116">E264*F264</f>
        <v>85</v>
      </c>
      <c r="H264" s="236"/>
      <c r="I264" s="236"/>
      <c r="J264" s="236"/>
      <c r="K264" s="266"/>
      <c r="M264" s="270"/>
      <c r="N264" s="1"/>
      <c r="O264" s="19" t="s">
        <v>1580</v>
      </c>
      <c r="P264" s="17" t="s">
        <v>1387</v>
      </c>
      <c r="Q264" s="17" t="s">
        <v>1387</v>
      </c>
      <c r="R264" s="17">
        <v>66.66</v>
      </c>
      <c r="S264" s="236"/>
      <c r="T264" s="236"/>
      <c r="U264" s="236"/>
      <c r="V264" s="242"/>
      <c r="Y264" s="270"/>
      <c r="Z264" s="1"/>
      <c r="AA264" s="19" t="s">
        <v>1580</v>
      </c>
      <c r="AB264" s="17" t="s">
        <v>1387</v>
      </c>
      <c r="AC264" s="17" t="s">
        <v>1387</v>
      </c>
      <c r="AD264" s="17">
        <v>66.66</v>
      </c>
      <c r="AE264" s="236"/>
      <c r="AF264" s="236"/>
      <c r="AG264" s="236"/>
      <c r="AH264" s="242"/>
    </row>
    <row r="265" spans="2:34" ht="13">
      <c r="B265" s="249"/>
      <c r="C265" s="155"/>
      <c r="D265" s="19" t="s">
        <v>1581</v>
      </c>
      <c r="E265" s="17">
        <v>5</v>
      </c>
      <c r="F265" s="17">
        <v>17</v>
      </c>
      <c r="G265" s="24">
        <f t="shared" si="116"/>
        <v>85</v>
      </c>
      <c r="H265" s="236"/>
      <c r="I265" s="236"/>
      <c r="J265" s="236"/>
      <c r="K265" s="266"/>
      <c r="M265" s="270"/>
      <c r="N265" s="140"/>
      <c r="O265" s="20" t="s">
        <v>1582</v>
      </c>
      <c r="P265" s="21" t="s">
        <v>1387</v>
      </c>
      <c r="Q265" s="21" t="s">
        <v>1387</v>
      </c>
      <c r="R265" s="21">
        <v>1630.2</v>
      </c>
      <c r="S265" s="248"/>
      <c r="T265" s="248"/>
      <c r="U265" s="248"/>
      <c r="V265" s="303"/>
      <c r="Y265" s="270"/>
      <c r="Z265" s="1"/>
      <c r="AA265" s="20" t="s">
        <v>1582</v>
      </c>
      <c r="AB265" s="21" t="s">
        <v>1387</v>
      </c>
      <c r="AC265" s="21" t="s">
        <v>1387</v>
      </c>
      <c r="AD265" s="21">
        <v>1630.2</v>
      </c>
      <c r="AE265" s="248"/>
      <c r="AF265" s="248"/>
      <c r="AG265" s="248"/>
      <c r="AH265" s="303"/>
    </row>
    <row r="266" spans="2:34" ht="13">
      <c r="B266" s="249"/>
      <c r="C266" s="155"/>
      <c r="D266" s="19" t="s">
        <v>1583</v>
      </c>
      <c r="E266" s="17">
        <v>5</v>
      </c>
      <c r="F266" s="17">
        <v>17</v>
      </c>
      <c r="G266" s="24">
        <f t="shared" si="116"/>
        <v>85</v>
      </c>
      <c r="H266" s="236"/>
      <c r="I266" s="236"/>
      <c r="J266" s="236"/>
      <c r="K266" s="266"/>
      <c r="M266" s="270"/>
      <c r="N266" s="322" t="s">
        <v>1584</v>
      </c>
      <c r="O266" s="77" t="s">
        <v>1585</v>
      </c>
      <c r="P266" s="71">
        <v>32</v>
      </c>
      <c r="Q266" s="71">
        <v>20</v>
      </c>
      <c r="R266" s="71">
        <f>P266*Q266</f>
        <v>640</v>
      </c>
      <c r="S266" s="239">
        <f>SUM(R266:R273)</f>
        <v>1829.54</v>
      </c>
      <c r="T266" s="239">
        <v>3094.3</v>
      </c>
      <c r="U266" s="239">
        <f>T266-S266</f>
        <v>1264.7600000000002</v>
      </c>
      <c r="V266" s="259">
        <f>U266/T266</f>
        <v>0.40873864848269403</v>
      </c>
      <c r="Y266" s="270"/>
      <c r="Z266" s="322" t="s">
        <v>1584</v>
      </c>
      <c r="AA266" s="77" t="s">
        <v>1585</v>
      </c>
      <c r="AB266" s="71">
        <v>32</v>
      </c>
      <c r="AC266" s="71">
        <v>20</v>
      </c>
      <c r="AD266" s="71">
        <f>AB266*AC266</f>
        <v>640</v>
      </c>
      <c r="AE266" s="325">
        <f>SUM(AD266:AD273)</f>
        <v>1829.54</v>
      </c>
      <c r="AF266" s="325">
        <v>3094.3</v>
      </c>
      <c r="AG266" s="325">
        <f>AF266-AE266</f>
        <v>1264.7600000000002</v>
      </c>
      <c r="AH266" s="330">
        <f>AG266/AF266</f>
        <v>0.40873864848269403</v>
      </c>
    </row>
    <row r="267" spans="2:34" ht="13">
      <c r="B267" s="249"/>
      <c r="C267" s="155"/>
      <c r="D267" s="19" t="s">
        <v>1586</v>
      </c>
      <c r="E267" s="19"/>
      <c r="F267" s="19"/>
      <c r="G267" s="17">
        <v>154.91999999999999</v>
      </c>
      <c r="H267" s="236"/>
      <c r="I267" s="236"/>
      <c r="J267" s="236"/>
      <c r="K267" s="266"/>
      <c r="M267" s="270"/>
      <c r="N267" s="236"/>
      <c r="O267" s="19" t="s">
        <v>1587</v>
      </c>
      <c r="P267" s="17" t="s">
        <v>1387</v>
      </c>
      <c r="Q267" s="17" t="s">
        <v>1387</v>
      </c>
      <c r="R267" s="17">
        <v>235</v>
      </c>
      <c r="S267" s="236"/>
      <c r="T267" s="236"/>
      <c r="U267" s="236"/>
      <c r="V267" s="242"/>
      <c r="Y267" s="270"/>
      <c r="Z267" s="236"/>
      <c r="AA267" s="19" t="s">
        <v>1587</v>
      </c>
      <c r="AB267" s="17" t="s">
        <v>1387</v>
      </c>
      <c r="AC267" s="17" t="s">
        <v>1387</v>
      </c>
      <c r="AD267" s="17">
        <v>235</v>
      </c>
      <c r="AE267" s="236"/>
      <c r="AF267" s="236"/>
      <c r="AG267" s="236"/>
      <c r="AH267" s="242"/>
    </row>
    <row r="268" spans="2:34" ht="13">
      <c r="B268" s="249"/>
      <c r="C268" s="155"/>
      <c r="D268" s="19" t="s">
        <v>1588</v>
      </c>
      <c r="E268" s="19"/>
      <c r="F268" s="19"/>
      <c r="G268" s="17">
        <v>26</v>
      </c>
      <c r="H268" s="236"/>
      <c r="I268" s="236"/>
      <c r="J268" s="236"/>
      <c r="K268" s="266"/>
      <c r="M268" s="270"/>
      <c r="N268" s="1"/>
      <c r="O268" s="19" t="s">
        <v>1589</v>
      </c>
      <c r="P268" s="17">
        <v>4</v>
      </c>
      <c r="Q268" s="17">
        <v>35</v>
      </c>
      <c r="R268" s="17">
        <f>P268*Q268</f>
        <v>140</v>
      </c>
      <c r="S268" s="236"/>
      <c r="T268" s="236"/>
      <c r="U268" s="236"/>
      <c r="V268" s="242"/>
      <c r="Y268" s="270"/>
      <c r="Z268" s="1"/>
      <c r="AA268" s="19" t="s">
        <v>1589</v>
      </c>
      <c r="AB268" s="17">
        <v>4</v>
      </c>
      <c r="AC268" s="17">
        <v>35</v>
      </c>
      <c r="AD268" s="17">
        <f>AB268*AC268</f>
        <v>140</v>
      </c>
      <c r="AE268" s="236"/>
      <c r="AF268" s="236"/>
      <c r="AG268" s="236"/>
      <c r="AH268" s="242"/>
    </row>
    <row r="269" spans="2:34" ht="13">
      <c r="B269" s="249"/>
      <c r="C269" s="155"/>
      <c r="D269" s="19" t="s">
        <v>1303</v>
      </c>
      <c r="E269" s="19"/>
      <c r="F269" s="19"/>
      <c r="G269" s="17">
        <v>60</v>
      </c>
      <c r="H269" s="236"/>
      <c r="I269" s="236"/>
      <c r="J269" s="236"/>
      <c r="K269" s="266"/>
      <c r="M269" s="270"/>
      <c r="N269" s="1"/>
      <c r="O269" s="19" t="s">
        <v>1590</v>
      </c>
      <c r="P269" s="17" t="s">
        <v>1387</v>
      </c>
      <c r="Q269" s="17" t="s">
        <v>1387</v>
      </c>
      <c r="R269" s="17">
        <v>174.44</v>
      </c>
      <c r="S269" s="236"/>
      <c r="T269" s="236"/>
      <c r="U269" s="236"/>
      <c r="V269" s="242"/>
      <c r="Y269" s="270"/>
      <c r="Z269" s="1"/>
      <c r="AA269" s="19" t="s">
        <v>1590</v>
      </c>
      <c r="AB269" s="17" t="s">
        <v>1387</v>
      </c>
      <c r="AC269" s="17" t="s">
        <v>1387</v>
      </c>
      <c r="AD269" s="17">
        <v>174.44</v>
      </c>
      <c r="AE269" s="236"/>
      <c r="AF269" s="236"/>
      <c r="AG269" s="236"/>
      <c r="AH269" s="242"/>
    </row>
    <row r="270" spans="2:34" ht="13">
      <c r="B270" s="249"/>
      <c r="C270" s="155"/>
      <c r="D270" s="19" t="s">
        <v>1591</v>
      </c>
      <c r="E270" s="19"/>
      <c r="F270" s="19"/>
      <c r="G270" s="17">
        <v>45</v>
      </c>
      <c r="H270" s="236"/>
      <c r="I270" s="236"/>
      <c r="J270" s="236"/>
      <c r="K270" s="266"/>
      <c r="M270" s="270"/>
      <c r="N270" s="1"/>
      <c r="O270" s="19" t="s">
        <v>1592</v>
      </c>
      <c r="P270" s="17"/>
      <c r="Q270" s="17"/>
      <c r="R270" s="17">
        <v>80</v>
      </c>
      <c r="S270" s="236"/>
      <c r="T270" s="236"/>
      <c r="U270" s="236"/>
      <c r="V270" s="242"/>
      <c r="Y270" s="270"/>
      <c r="Z270" s="1"/>
      <c r="AA270" s="19" t="s">
        <v>1592</v>
      </c>
      <c r="AB270" s="17"/>
      <c r="AC270" s="17"/>
      <c r="AD270" s="17">
        <v>80</v>
      </c>
      <c r="AE270" s="236"/>
      <c r="AF270" s="236"/>
      <c r="AG270" s="236"/>
      <c r="AH270" s="242"/>
    </row>
    <row r="271" spans="2:34" ht="13">
      <c r="B271" s="249"/>
      <c r="C271" s="157" t="s">
        <v>1593</v>
      </c>
      <c r="D271" s="123" t="s">
        <v>1308</v>
      </c>
      <c r="E271" s="124">
        <v>19.3</v>
      </c>
      <c r="F271" s="124">
        <v>15</v>
      </c>
      <c r="G271" s="159">
        <f t="shared" ref="G271:G274" si="117">E271*F271</f>
        <v>289.5</v>
      </c>
      <c r="H271" s="320">
        <f>SUM(G271:G280)</f>
        <v>2322.62</v>
      </c>
      <c r="I271" s="320">
        <v>3565</v>
      </c>
      <c r="J271" s="320">
        <f>I271-H271</f>
        <v>1242.3800000000001</v>
      </c>
      <c r="K271" s="321">
        <f>J271/I271</f>
        <v>0.34849368863955121</v>
      </c>
      <c r="M271" s="270"/>
      <c r="N271" s="1"/>
      <c r="O271" s="19" t="s">
        <v>1594</v>
      </c>
      <c r="P271" s="17"/>
      <c r="Q271" s="17"/>
      <c r="R271" s="17">
        <v>30</v>
      </c>
      <c r="S271" s="236"/>
      <c r="T271" s="236"/>
      <c r="U271" s="236"/>
      <c r="V271" s="242"/>
      <c r="Y271" s="270"/>
      <c r="Z271" s="1"/>
      <c r="AA271" s="19" t="s">
        <v>1594</v>
      </c>
      <c r="AB271" s="17"/>
      <c r="AC271" s="17"/>
      <c r="AD271" s="17">
        <v>30</v>
      </c>
      <c r="AE271" s="236"/>
      <c r="AF271" s="236"/>
      <c r="AG271" s="236"/>
      <c r="AH271" s="242"/>
    </row>
    <row r="272" spans="2:34" ht="13">
      <c r="B272" s="249"/>
      <c r="C272" s="155"/>
      <c r="D272" s="19" t="s">
        <v>1595</v>
      </c>
      <c r="E272" s="17">
        <v>7.5</v>
      </c>
      <c r="F272" s="17">
        <v>17</v>
      </c>
      <c r="G272" s="24">
        <f t="shared" si="117"/>
        <v>127.5</v>
      </c>
      <c r="H272" s="236"/>
      <c r="I272" s="236"/>
      <c r="J272" s="236"/>
      <c r="K272" s="266"/>
      <c r="M272" s="270"/>
      <c r="N272" s="1"/>
      <c r="O272" s="19" t="s">
        <v>986</v>
      </c>
      <c r="P272" s="17"/>
      <c r="Q272" s="17"/>
      <c r="R272" s="17">
        <v>420</v>
      </c>
      <c r="S272" s="236"/>
      <c r="T272" s="236"/>
      <c r="U272" s="236"/>
      <c r="V272" s="242"/>
      <c r="Y272" s="270"/>
      <c r="Z272" s="1"/>
      <c r="AA272" s="19" t="s">
        <v>986</v>
      </c>
      <c r="AB272" s="17"/>
      <c r="AC272" s="17"/>
      <c r="AD272" s="17">
        <v>420</v>
      </c>
      <c r="AE272" s="236"/>
      <c r="AF272" s="236"/>
      <c r="AG272" s="236"/>
      <c r="AH272" s="242"/>
    </row>
    <row r="273" spans="2:34" ht="13">
      <c r="B273" s="249"/>
      <c r="C273" s="155"/>
      <c r="D273" s="19" t="s">
        <v>1596</v>
      </c>
      <c r="E273" s="17">
        <v>4</v>
      </c>
      <c r="F273" s="17">
        <v>17</v>
      </c>
      <c r="G273" s="24">
        <f t="shared" si="117"/>
        <v>68</v>
      </c>
      <c r="H273" s="236"/>
      <c r="I273" s="236"/>
      <c r="J273" s="236"/>
      <c r="K273" s="266"/>
      <c r="M273" s="270"/>
      <c r="N273" s="140"/>
      <c r="O273" s="20" t="s">
        <v>33</v>
      </c>
      <c r="P273" s="21" t="s">
        <v>1387</v>
      </c>
      <c r="Q273" s="21" t="s">
        <v>1387</v>
      </c>
      <c r="R273" s="21">
        <v>110.1</v>
      </c>
      <c r="S273" s="248"/>
      <c r="T273" s="248"/>
      <c r="U273" s="248"/>
      <c r="V273" s="303"/>
      <c r="Y273" s="270"/>
      <c r="Z273" s="140"/>
      <c r="AA273" s="20" t="s">
        <v>33</v>
      </c>
      <c r="AB273" s="21" t="s">
        <v>1387</v>
      </c>
      <c r="AC273" s="21" t="s">
        <v>1387</v>
      </c>
      <c r="AD273" s="21">
        <v>110.1</v>
      </c>
      <c r="AE273" s="248"/>
      <c r="AF273" s="248"/>
      <c r="AG273" s="248"/>
      <c r="AH273" s="303"/>
    </row>
    <row r="274" spans="2:34" ht="15">
      <c r="B274" s="249"/>
      <c r="C274" s="155"/>
      <c r="D274" s="19" t="s">
        <v>95</v>
      </c>
      <c r="E274" s="17">
        <v>24.2</v>
      </c>
      <c r="F274" s="17">
        <v>15</v>
      </c>
      <c r="G274" s="24">
        <f t="shared" si="117"/>
        <v>363</v>
      </c>
      <c r="H274" s="236"/>
      <c r="I274" s="236"/>
      <c r="J274" s="236"/>
      <c r="K274" s="266"/>
      <c r="M274" s="270"/>
      <c r="N274" s="161" t="s">
        <v>1597</v>
      </c>
      <c r="O274" s="77" t="s">
        <v>1598</v>
      </c>
      <c r="P274" s="71"/>
      <c r="Q274" s="71"/>
      <c r="R274" s="71">
        <v>325.3</v>
      </c>
      <c r="S274" s="239">
        <f>SUM(R274:R282)</f>
        <v>1480.3</v>
      </c>
      <c r="T274" s="239">
        <v>3945</v>
      </c>
      <c r="U274" s="239">
        <f>T274-S274</f>
        <v>2464.6999999999998</v>
      </c>
      <c r="V274" s="259">
        <f>U274/T274</f>
        <v>0.62476552598225599</v>
      </c>
      <c r="Y274" s="270"/>
      <c r="Z274" s="161" t="s">
        <v>1597</v>
      </c>
      <c r="AA274" s="77" t="s">
        <v>1598</v>
      </c>
      <c r="AB274" s="71"/>
      <c r="AC274" s="71"/>
      <c r="AD274" s="71">
        <v>325.3</v>
      </c>
      <c r="AE274" s="325">
        <f>SUM(AD274:AD282)</f>
        <v>1000.3</v>
      </c>
      <c r="AF274" s="325">
        <v>3945</v>
      </c>
      <c r="AG274" s="325">
        <f>AF274-AE274</f>
        <v>2944.7</v>
      </c>
      <c r="AH274" s="330">
        <f>AG274/AF274</f>
        <v>0.7464385297845374</v>
      </c>
    </row>
    <row r="275" spans="2:34" ht="13">
      <c r="B275" s="249"/>
      <c r="C275" s="155"/>
      <c r="D275" s="19" t="s">
        <v>47</v>
      </c>
      <c r="E275" s="19"/>
      <c r="F275" s="19"/>
      <c r="G275" s="17">
        <v>297.07</v>
      </c>
      <c r="H275" s="236"/>
      <c r="I275" s="236"/>
      <c r="J275" s="236"/>
      <c r="K275" s="266"/>
      <c r="M275" s="270"/>
      <c r="N275" s="1"/>
      <c r="O275" s="19" t="s">
        <v>1235</v>
      </c>
      <c r="P275" s="17">
        <v>15</v>
      </c>
      <c r="Q275" s="17">
        <v>17</v>
      </c>
      <c r="R275" s="17">
        <f t="shared" ref="R275:R282" si="118">P275*Q275</f>
        <v>255</v>
      </c>
      <c r="S275" s="236"/>
      <c r="T275" s="236"/>
      <c r="U275" s="236"/>
      <c r="V275" s="242"/>
      <c r="Y275" s="270"/>
      <c r="Z275" s="1"/>
      <c r="AA275" s="19" t="s">
        <v>1235</v>
      </c>
      <c r="AB275" s="17">
        <v>15</v>
      </c>
      <c r="AC275" s="17">
        <v>17</v>
      </c>
      <c r="AD275" s="17">
        <f t="shared" ref="AD275:AD279" si="119">AB275*AC275</f>
        <v>255</v>
      </c>
      <c r="AE275" s="236"/>
      <c r="AF275" s="236"/>
      <c r="AG275" s="236"/>
      <c r="AH275" s="242"/>
    </row>
    <row r="276" spans="2:34" ht="13">
      <c r="B276" s="249"/>
      <c r="C276" s="155"/>
      <c r="D276" s="19" t="s">
        <v>1572</v>
      </c>
      <c r="E276" s="19"/>
      <c r="F276" s="19"/>
      <c r="G276" s="17">
        <v>339.96</v>
      </c>
      <c r="H276" s="236"/>
      <c r="I276" s="236"/>
      <c r="J276" s="236"/>
      <c r="K276" s="266"/>
      <c r="M276" s="270"/>
      <c r="N276" s="1"/>
      <c r="O276" s="19" t="s">
        <v>1353</v>
      </c>
      <c r="P276" s="17">
        <v>6</v>
      </c>
      <c r="Q276" s="17">
        <v>15</v>
      </c>
      <c r="R276" s="17">
        <f t="shared" si="118"/>
        <v>90</v>
      </c>
      <c r="S276" s="236"/>
      <c r="T276" s="236"/>
      <c r="U276" s="236"/>
      <c r="V276" s="242"/>
      <c r="Y276" s="270"/>
      <c r="Z276" s="1"/>
      <c r="AA276" s="19" t="s">
        <v>1353</v>
      </c>
      <c r="AB276" s="17">
        <v>6</v>
      </c>
      <c r="AC276" s="17">
        <v>15</v>
      </c>
      <c r="AD276" s="17">
        <f t="shared" si="119"/>
        <v>90</v>
      </c>
      <c r="AE276" s="236"/>
      <c r="AF276" s="236"/>
      <c r="AG276" s="236"/>
      <c r="AH276" s="242"/>
    </row>
    <row r="277" spans="2:34" ht="13">
      <c r="B277" s="249"/>
      <c r="C277" s="155"/>
      <c r="D277" s="19" t="s">
        <v>1573</v>
      </c>
      <c r="E277" s="19"/>
      <c r="F277" s="19"/>
      <c r="G277" s="169">
        <v>115.8</v>
      </c>
      <c r="H277" s="236"/>
      <c r="I277" s="236"/>
      <c r="J277" s="236"/>
      <c r="K277" s="266"/>
      <c r="M277" s="270"/>
      <c r="N277" s="1"/>
      <c r="O277" s="19" t="s">
        <v>97</v>
      </c>
      <c r="P277" s="17">
        <v>9</v>
      </c>
      <c r="Q277" s="17">
        <v>15</v>
      </c>
      <c r="R277" s="17">
        <f t="shared" si="118"/>
        <v>135</v>
      </c>
      <c r="S277" s="236"/>
      <c r="T277" s="236"/>
      <c r="U277" s="236"/>
      <c r="V277" s="242"/>
      <c r="Y277" s="270"/>
      <c r="Z277" s="1"/>
      <c r="AA277" s="19" t="s">
        <v>97</v>
      </c>
      <c r="AB277" s="17">
        <v>9</v>
      </c>
      <c r="AC277" s="17">
        <v>15</v>
      </c>
      <c r="AD277" s="17">
        <f t="shared" si="119"/>
        <v>135</v>
      </c>
      <c r="AE277" s="236"/>
      <c r="AF277" s="236"/>
      <c r="AG277" s="236"/>
      <c r="AH277" s="242"/>
    </row>
    <row r="278" spans="2:34" ht="13">
      <c r="B278" s="249"/>
      <c r="C278" s="155"/>
      <c r="D278" s="19" t="s">
        <v>1303</v>
      </c>
      <c r="E278" s="19"/>
      <c r="F278" s="19"/>
      <c r="G278" s="17">
        <v>292.55</v>
      </c>
      <c r="H278" s="236"/>
      <c r="I278" s="236"/>
      <c r="J278" s="236"/>
      <c r="K278" s="266"/>
      <c r="M278" s="270"/>
      <c r="N278" s="1"/>
      <c r="O278" s="19" t="s">
        <v>1576</v>
      </c>
      <c r="P278" s="17">
        <v>4</v>
      </c>
      <c r="Q278" s="17">
        <v>15</v>
      </c>
      <c r="R278" s="17">
        <f t="shared" si="118"/>
        <v>60</v>
      </c>
      <c r="S278" s="236"/>
      <c r="T278" s="236"/>
      <c r="U278" s="236"/>
      <c r="V278" s="242"/>
      <c r="Y278" s="270"/>
      <c r="Z278" s="1"/>
      <c r="AA278" s="19" t="s">
        <v>1576</v>
      </c>
      <c r="AB278" s="17">
        <v>4</v>
      </c>
      <c r="AC278" s="17">
        <v>15</v>
      </c>
      <c r="AD278" s="17">
        <f t="shared" si="119"/>
        <v>60</v>
      </c>
      <c r="AE278" s="236"/>
      <c r="AF278" s="236"/>
      <c r="AG278" s="236"/>
      <c r="AH278" s="242"/>
    </row>
    <row r="279" spans="2:34" ht="13">
      <c r="B279" s="249"/>
      <c r="C279" s="155"/>
      <c r="D279" s="19" t="s">
        <v>1420</v>
      </c>
      <c r="E279" s="19"/>
      <c r="F279" s="19"/>
      <c r="G279" s="17">
        <v>203.35</v>
      </c>
      <c r="H279" s="236"/>
      <c r="I279" s="236"/>
      <c r="J279" s="236"/>
      <c r="K279" s="266"/>
      <c r="M279" s="270"/>
      <c r="N279" s="1"/>
      <c r="O279" s="19" t="s">
        <v>310</v>
      </c>
      <c r="P279" s="17">
        <v>9</v>
      </c>
      <c r="Q279" s="17">
        <v>15</v>
      </c>
      <c r="R279" s="17">
        <f t="shared" si="118"/>
        <v>135</v>
      </c>
      <c r="S279" s="236"/>
      <c r="T279" s="236"/>
      <c r="U279" s="236"/>
      <c r="V279" s="242"/>
      <c r="Y279" s="270"/>
      <c r="Z279" s="1"/>
      <c r="AA279" s="19" t="s">
        <v>310</v>
      </c>
      <c r="AB279" s="17">
        <v>9</v>
      </c>
      <c r="AC279" s="17">
        <v>15</v>
      </c>
      <c r="AD279" s="17">
        <f t="shared" si="119"/>
        <v>135</v>
      </c>
      <c r="AE279" s="236"/>
      <c r="AF279" s="236"/>
      <c r="AG279" s="236"/>
      <c r="AH279" s="242"/>
    </row>
    <row r="280" spans="2:34" ht="13">
      <c r="B280" s="249"/>
      <c r="C280" s="155"/>
      <c r="D280" s="19" t="s">
        <v>1419</v>
      </c>
      <c r="E280" s="19"/>
      <c r="F280" s="19"/>
      <c r="G280" s="17">
        <v>225.89</v>
      </c>
      <c r="H280" s="236"/>
      <c r="I280" s="236"/>
      <c r="J280" s="236"/>
      <c r="K280" s="266"/>
      <c r="M280" s="270"/>
      <c r="N280" s="1"/>
      <c r="O280" s="19" t="s">
        <v>1550</v>
      </c>
      <c r="P280" s="17">
        <v>6</v>
      </c>
      <c r="Q280" s="17">
        <v>16</v>
      </c>
      <c r="R280" s="17">
        <f t="shared" si="118"/>
        <v>96</v>
      </c>
      <c r="S280" s="236"/>
      <c r="T280" s="236"/>
      <c r="U280" s="236"/>
      <c r="V280" s="242"/>
      <c r="Y280" s="270"/>
      <c r="Z280" s="1"/>
      <c r="AA280" s="19" t="s">
        <v>1550</v>
      </c>
      <c r="AB280" s="18"/>
      <c r="AC280" s="18"/>
      <c r="AD280" s="18"/>
      <c r="AE280" s="236"/>
      <c r="AF280" s="236"/>
      <c r="AG280" s="236"/>
      <c r="AH280" s="242"/>
    </row>
    <row r="281" spans="2:34" ht="13">
      <c r="B281" s="249"/>
      <c r="C281" s="157" t="s">
        <v>1599</v>
      </c>
      <c r="D281" s="123" t="s">
        <v>1305</v>
      </c>
      <c r="E281" s="124">
        <v>24</v>
      </c>
      <c r="F281" s="124">
        <v>15</v>
      </c>
      <c r="G281" s="159">
        <v>0</v>
      </c>
      <c r="H281" s="320">
        <f>SUM(G281:G290)</f>
        <v>725</v>
      </c>
      <c r="I281" s="320">
        <v>3565</v>
      </c>
      <c r="J281" s="320">
        <f>I281-H281</f>
        <v>2840</v>
      </c>
      <c r="K281" s="321">
        <f>J281/I281</f>
        <v>0.79663394109396912</v>
      </c>
      <c r="M281" s="270"/>
      <c r="N281" s="1"/>
      <c r="O281" s="19" t="s">
        <v>1600</v>
      </c>
      <c r="P281" s="17">
        <v>8</v>
      </c>
      <c r="Q281" s="17">
        <v>16</v>
      </c>
      <c r="R281" s="17">
        <f t="shared" si="118"/>
        <v>128</v>
      </c>
      <c r="S281" s="236"/>
      <c r="T281" s="236"/>
      <c r="U281" s="236"/>
      <c r="V281" s="242"/>
      <c r="Y281" s="270"/>
      <c r="Z281" s="1"/>
      <c r="AA281" s="19" t="s">
        <v>1600</v>
      </c>
      <c r="AB281" s="18"/>
      <c r="AC281" s="18"/>
      <c r="AD281" s="18"/>
      <c r="AE281" s="236"/>
      <c r="AF281" s="236"/>
      <c r="AG281" s="236"/>
      <c r="AH281" s="242"/>
    </row>
    <row r="282" spans="2:34" ht="13">
      <c r="B282" s="249"/>
      <c r="C282" s="155"/>
      <c r="D282" s="19" t="s">
        <v>1601</v>
      </c>
      <c r="E282" s="17">
        <v>16</v>
      </c>
      <c r="F282" s="17">
        <v>15</v>
      </c>
      <c r="G282" s="24">
        <v>0</v>
      </c>
      <c r="H282" s="236"/>
      <c r="I282" s="236"/>
      <c r="J282" s="236"/>
      <c r="K282" s="266"/>
      <c r="M282" s="270"/>
      <c r="N282" s="140"/>
      <c r="O282" s="20" t="s">
        <v>1555</v>
      </c>
      <c r="P282" s="21">
        <v>16</v>
      </c>
      <c r="Q282" s="21">
        <v>16</v>
      </c>
      <c r="R282" s="21">
        <f t="shared" si="118"/>
        <v>256</v>
      </c>
      <c r="S282" s="248"/>
      <c r="T282" s="248"/>
      <c r="U282" s="248"/>
      <c r="V282" s="303"/>
      <c r="Y282" s="270"/>
      <c r="Z282" s="140"/>
      <c r="AA282" s="20" t="s">
        <v>1555</v>
      </c>
      <c r="AB282" s="68"/>
      <c r="AC282" s="68"/>
      <c r="AD282" s="68"/>
      <c r="AE282" s="248"/>
      <c r="AF282" s="248"/>
      <c r="AG282" s="248"/>
      <c r="AH282" s="303"/>
    </row>
    <row r="283" spans="2:34" ht="13">
      <c r="B283" s="249"/>
      <c r="C283" s="155"/>
      <c r="D283" s="19" t="s">
        <v>1345</v>
      </c>
      <c r="E283" s="17">
        <v>11.5</v>
      </c>
      <c r="F283" s="17">
        <v>15</v>
      </c>
      <c r="G283" s="24">
        <f t="shared" ref="G283:G287" si="120">E283*F283</f>
        <v>172.5</v>
      </c>
      <c r="H283" s="236"/>
      <c r="I283" s="236"/>
      <c r="J283" s="236"/>
      <c r="K283" s="266"/>
      <c r="M283" s="270"/>
      <c r="N283" s="166" t="s">
        <v>1602</v>
      </c>
      <c r="O283" s="24" t="s">
        <v>986</v>
      </c>
      <c r="P283" s="24" t="s">
        <v>1387</v>
      </c>
      <c r="Q283" s="24" t="s">
        <v>1387</v>
      </c>
      <c r="R283" s="24">
        <v>320</v>
      </c>
      <c r="S283" s="325">
        <f>SUM(R283:R284)</f>
        <v>320</v>
      </c>
      <c r="T283" s="325">
        <v>3600</v>
      </c>
      <c r="U283" s="325">
        <f>T283-S283</f>
        <v>3280</v>
      </c>
      <c r="V283" s="259">
        <f>U283/T283</f>
        <v>0.91111111111111109</v>
      </c>
      <c r="Y283" s="270"/>
      <c r="Z283" s="166" t="s">
        <v>1602</v>
      </c>
      <c r="AA283" s="24" t="s">
        <v>986</v>
      </c>
      <c r="AB283" s="24" t="s">
        <v>1387</v>
      </c>
      <c r="AC283" s="24" t="s">
        <v>1387</v>
      </c>
      <c r="AD283" s="24">
        <v>320</v>
      </c>
      <c r="AE283" s="325">
        <f>SUM(AD283:AD284)</f>
        <v>320</v>
      </c>
      <c r="AF283" s="325">
        <v>3600</v>
      </c>
      <c r="AG283" s="325">
        <f>AF283-AE283</f>
        <v>3280</v>
      </c>
      <c r="AH283" s="330">
        <f>AG283/AF283</f>
        <v>0.91111111111111109</v>
      </c>
    </row>
    <row r="284" spans="2:34" ht="13">
      <c r="B284" s="249"/>
      <c r="C284" s="155"/>
      <c r="D284" s="19" t="s">
        <v>1603</v>
      </c>
      <c r="E284" s="17">
        <v>3</v>
      </c>
      <c r="F284" s="17">
        <v>17</v>
      </c>
      <c r="G284" s="24">
        <f t="shared" si="120"/>
        <v>51</v>
      </c>
      <c r="H284" s="236"/>
      <c r="I284" s="236"/>
      <c r="J284" s="236"/>
      <c r="K284" s="266"/>
      <c r="M284" s="270"/>
      <c r="N284" s="44"/>
      <c r="O284" s="44"/>
      <c r="P284" s="44"/>
      <c r="Q284" s="44"/>
      <c r="R284" s="44"/>
      <c r="S284" s="248"/>
      <c r="T284" s="248"/>
      <c r="U284" s="248"/>
      <c r="V284" s="303"/>
      <c r="Y284" s="270"/>
      <c r="Z284" s="44"/>
      <c r="AA284" s="44"/>
      <c r="AB284" s="44"/>
      <c r="AC284" s="44"/>
      <c r="AD284" s="44"/>
      <c r="AE284" s="248"/>
      <c r="AF284" s="248"/>
      <c r="AG284" s="248"/>
      <c r="AH284" s="303"/>
    </row>
    <row r="285" spans="2:34" ht="13">
      <c r="B285" s="249"/>
      <c r="C285" s="155"/>
      <c r="D285" s="19" t="s">
        <v>1558</v>
      </c>
      <c r="E285" s="17">
        <v>3</v>
      </c>
      <c r="F285" s="17">
        <v>17</v>
      </c>
      <c r="G285" s="24">
        <f t="shared" si="120"/>
        <v>51</v>
      </c>
      <c r="H285" s="236"/>
      <c r="I285" s="236"/>
      <c r="J285" s="236"/>
      <c r="K285" s="266"/>
      <c r="M285" s="270"/>
      <c r="N285" s="166" t="s">
        <v>1604</v>
      </c>
      <c r="O285" s="24" t="s">
        <v>114</v>
      </c>
      <c r="P285" s="24">
        <v>4.5</v>
      </c>
      <c r="Q285" s="24">
        <v>16</v>
      </c>
      <c r="R285" s="24">
        <f t="shared" ref="R285:R287" si="121">P285*Q285</f>
        <v>72</v>
      </c>
      <c r="S285" s="325">
        <f>SUM(R285:R286)</f>
        <v>132</v>
      </c>
      <c r="T285" s="325">
        <v>620</v>
      </c>
      <c r="U285" s="325">
        <f>T285-S285</f>
        <v>488</v>
      </c>
      <c r="V285" s="259">
        <f>U285/T285</f>
        <v>0.7870967741935484</v>
      </c>
      <c r="Y285" s="270"/>
      <c r="Z285" s="166" t="s">
        <v>1604</v>
      </c>
      <c r="AA285" s="24" t="s">
        <v>114</v>
      </c>
      <c r="AB285" s="167"/>
      <c r="AC285" s="167"/>
      <c r="AD285" s="167"/>
      <c r="AE285" s="325">
        <f>SUM(AD285:AD286)</f>
        <v>0</v>
      </c>
      <c r="AF285" s="325">
        <v>620</v>
      </c>
      <c r="AG285" s="325">
        <f>AF285-AE285</f>
        <v>620</v>
      </c>
      <c r="AH285" s="330">
        <f>AG285/AF285</f>
        <v>1</v>
      </c>
    </row>
    <row r="286" spans="2:34" ht="13">
      <c r="B286" s="249"/>
      <c r="C286" s="155"/>
      <c r="D286" s="19" t="s">
        <v>1605</v>
      </c>
      <c r="E286" s="17">
        <v>3.5</v>
      </c>
      <c r="F286" s="17">
        <v>17</v>
      </c>
      <c r="G286" s="24">
        <f t="shared" si="120"/>
        <v>59.5</v>
      </c>
      <c r="H286" s="236"/>
      <c r="I286" s="236"/>
      <c r="J286" s="236"/>
      <c r="K286" s="266"/>
      <c r="M286" s="270"/>
      <c r="N286" s="44"/>
      <c r="O286" s="44" t="s">
        <v>1361</v>
      </c>
      <c r="P286" s="44">
        <v>3.75</v>
      </c>
      <c r="Q286" s="44">
        <v>16</v>
      </c>
      <c r="R286" s="44">
        <f t="shared" si="121"/>
        <v>60</v>
      </c>
      <c r="S286" s="248"/>
      <c r="T286" s="248"/>
      <c r="U286" s="248"/>
      <c r="V286" s="303"/>
      <c r="Y286" s="270"/>
      <c r="Z286" s="44"/>
      <c r="AA286" s="44" t="s">
        <v>1361</v>
      </c>
      <c r="AB286" s="142"/>
      <c r="AC286" s="142"/>
      <c r="AD286" s="142"/>
      <c r="AE286" s="248"/>
      <c r="AF286" s="248"/>
      <c r="AG286" s="248"/>
      <c r="AH286" s="303"/>
    </row>
    <row r="287" spans="2:34" ht="13">
      <c r="B287" s="249"/>
      <c r="C287" s="155"/>
      <c r="D287" s="19" t="s">
        <v>1503</v>
      </c>
      <c r="E287" s="17">
        <v>3</v>
      </c>
      <c r="F287" s="17">
        <v>17</v>
      </c>
      <c r="G287" s="24">
        <f t="shared" si="120"/>
        <v>51</v>
      </c>
      <c r="H287" s="236"/>
      <c r="I287" s="236"/>
      <c r="J287" s="236"/>
      <c r="K287" s="266"/>
      <c r="M287" s="270"/>
      <c r="N287" s="166" t="s">
        <v>1606</v>
      </c>
      <c r="O287" s="24" t="s">
        <v>114</v>
      </c>
      <c r="P287" s="24">
        <v>4.5</v>
      </c>
      <c r="Q287" s="24">
        <v>16</v>
      </c>
      <c r="R287" s="24">
        <f t="shared" si="121"/>
        <v>72</v>
      </c>
      <c r="S287" s="325">
        <f>SUM(R287:R288)</f>
        <v>133</v>
      </c>
      <c r="T287" s="325">
        <v>960</v>
      </c>
      <c r="U287" s="325">
        <f>T287-S287</f>
        <v>827</v>
      </c>
      <c r="V287" s="259">
        <f>U287/T287</f>
        <v>0.86145833333333333</v>
      </c>
      <c r="Y287" s="270"/>
      <c r="Z287" s="166" t="s">
        <v>1606</v>
      </c>
      <c r="AA287" s="24" t="s">
        <v>114</v>
      </c>
      <c r="AB287" s="167"/>
      <c r="AC287" s="167"/>
      <c r="AD287" s="167"/>
      <c r="AE287" s="325">
        <f>SUM(AD287:AD288)</f>
        <v>61</v>
      </c>
      <c r="AF287" s="325">
        <v>960</v>
      </c>
      <c r="AG287" s="325">
        <f>AF287-AE287</f>
        <v>899</v>
      </c>
      <c r="AH287" s="330">
        <f>AG287/AF287</f>
        <v>0.93645833333333328</v>
      </c>
    </row>
    <row r="288" spans="2:34" ht="13">
      <c r="B288" s="249"/>
      <c r="C288" s="155"/>
      <c r="D288" s="19" t="s">
        <v>1572</v>
      </c>
      <c r="E288" s="19"/>
      <c r="F288" s="19"/>
      <c r="G288" s="17">
        <v>170</v>
      </c>
      <c r="H288" s="236"/>
      <c r="I288" s="236"/>
      <c r="J288" s="236"/>
      <c r="K288" s="266"/>
      <c r="M288" s="270"/>
      <c r="N288" s="44"/>
      <c r="O288" s="44" t="s">
        <v>33</v>
      </c>
      <c r="P288" s="44"/>
      <c r="Q288" s="44"/>
      <c r="R288" s="44">
        <v>61</v>
      </c>
      <c r="S288" s="248"/>
      <c r="T288" s="248"/>
      <c r="U288" s="248"/>
      <c r="V288" s="303"/>
      <c r="Y288" s="270"/>
      <c r="Z288" s="44"/>
      <c r="AA288" s="44" t="s">
        <v>33</v>
      </c>
      <c r="AB288" s="44"/>
      <c r="AC288" s="44"/>
      <c r="AD288" s="44">
        <v>61</v>
      </c>
      <c r="AE288" s="248"/>
      <c r="AF288" s="248"/>
      <c r="AG288" s="248"/>
      <c r="AH288" s="303"/>
    </row>
    <row r="289" spans="2:34" ht="13">
      <c r="B289" s="249"/>
      <c r="C289" s="155"/>
      <c r="D289" s="19" t="s">
        <v>1431</v>
      </c>
      <c r="E289" s="19"/>
      <c r="F289" s="19"/>
      <c r="G289" s="17">
        <v>150</v>
      </c>
      <c r="H289" s="236"/>
      <c r="I289" s="236"/>
      <c r="J289" s="236"/>
      <c r="K289" s="266"/>
      <c r="M289" s="270"/>
      <c r="N289" s="166" t="s">
        <v>1607</v>
      </c>
      <c r="O289" s="24" t="s">
        <v>698</v>
      </c>
      <c r="P289" s="24">
        <v>2</v>
      </c>
      <c r="Q289" s="24">
        <v>25</v>
      </c>
      <c r="R289" s="24">
        <f t="shared" ref="R289:R291" si="122">P289*Q289</f>
        <v>50</v>
      </c>
      <c r="S289" s="325">
        <f>SUM(R289:R292)</f>
        <v>244.15</v>
      </c>
      <c r="T289" s="325">
        <v>1156.73</v>
      </c>
      <c r="U289" s="325">
        <f>T289-S289</f>
        <v>912.58</v>
      </c>
      <c r="V289" s="259">
        <f>U289/T289</f>
        <v>0.78893086545693469</v>
      </c>
      <c r="Y289" s="270"/>
      <c r="Z289" s="166" t="s">
        <v>1607</v>
      </c>
      <c r="AA289" s="24" t="s">
        <v>698</v>
      </c>
      <c r="AB289" s="24">
        <v>2</v>
      </c>
      <c r="AC289" s="24">
        <v>25</v>
      </c>
      <c r="AD289" s="24">
        <f t="shared" ref="AD289:AD291" si="123">AB289*AC289</f>
        <v>50</v>
      </c>
      <c r="AE289" s="325">
        <f>SUM(AD289:AD292)</f>
        <v>244.15</v>
      </c>
      <c r="AF289" s="325">
        <v>1156.73</v>
      </c>
      <c r="AG289" s="325">
        <f>AF289-AE289</f>
        <v>912.58</v>
      </c>
      <c r="AH289" s="330">
        <f>AG289/AF289</f>
        <v>0.78893086545693469</v>
      </c>
    </row>
    <row r="290" spans="2:34" ht="13">
      <c r="B290" s="249"/>
      <c r="C290" s="155"/>
      <c r="D290" s="19" t="s">
        <v>1303</v>
      </c>
      <c r="E290" s="19"/>
      <c r="F290" s="19"/>
      <c r="G290" s="17">
        <v>20</v>
      </c>
      <c r="H290" s="236"/>
      <c r="I290" s="236"/>
      <c r="J290" s="236"/>
      <c r="K290" s="266"/>
      <c r="M290" s="270"/>
      <c r="O290" s="24" t="s">
        <v>1353</v>
      </c>
      <c r="P290" s="24">
        <v>3</v>
      </c>
      <c r="Q290" s="24">
        <v>25</v>
      </c>
      <c r="R290" s="24">
        <f t="shared" si="122"/>
        <v>75</v>
      </c>
      <c r="S290" s="236"/>
      <c r="T290" s="236"/>
      <c r="U290" s="236"/>
      <c r="V290" s="242"/>
      <c r="Y290" s="270"/>
      <c r="AA290" s="24" t="s">
        <v>1353</v>
      </c>
      <c r="AB290" s="24">
        <v>3</v>
      </c>
      <c r="AC290" s="24">
        <v>25</v>
      </c>
      <c r="AD290" s="24">
        <f t="shared" si="123"/>
        <v>75</v>
      </c>
      <c r="AE290" s="236"/>
      <c r="AF290" s="236"/>
      <c r="AG290" s="236"/>
      <c r="AH290" s="242"/>
    </row>
    <row r="291" spans="2:34" ht="13">
      <c r="B291" s="249"/>
      <c r="C291" s="157" t="s">
        <v>1608</v>
      </c>
      <c r="D291" s="123" t="s">
        <v>1315</v>
      </c>
      <c r="E291" s="124">
        <v>16</v>
      </c>
      <c r="F291" s="124">
        <v>15</v>
      </c>
      <c r="G291" s="159">
        <v>0</v>
      </c>
      <c r="H291" s="320">
        <f>SUM(G291:G296)</f>
        <v>403.75</v>
      </c>
      <c r="I291" s="320">
        <v>1795</v>
      </c>
      <c r="J291" s="320">
        <f>I291-H291</f>
        <v>1391.25</v>
      </c>
      <c r="K291" s="321">
        <f>J291/I291</f>
        <v>0.77506963788300831</v>
      </c>
      <c r="M291" s="270"/>
      <c r="O291" s="24" t="s">
        <v>1609</v>
      </c>
      <c r="P291" s="24">
        <v>2</v>
      </c>
      <c r="Q291" s="24">
        <v>25</v>
      </c>
      <c r="R291" s="24">
        <f t="shared" si="122"/>
        <v>50</v>
      </c>
      <c r="S291" s="236"/>
      <c r="T291" s="236"/>
      <c r="U291" s="236"/>
      <c r="V291" s="242"/>
      <c r="Y291" s="270"/>
      <c r="AA291" s="24" t="s">
        <v>1609</v>
      </c>
      <c r="AB291" s="24">
        <v>2</v>
      </c>
      <c r="AC291" s="24">
        <v>25</v>
      </c>
      <c r="AD291" s="24">
        <f t="shared" si="123"/>
        <v>50</v>
      </c>
      <c r="AE291" s="236"/>
      <c r="AF291" s="236"/>
      <c r="AG291" s="236"/>
      <c r="AH291" s="242"/>
    </row>
    <row r="292" spans="2:34" ht="13">
      <c r="B292" s="249"/>
      <c r="C292" s="155"/>
      <c r="D292" s="19" t="s">
        <v>1448</v>
      </c>
      <c r="E292" s="17">
        <v>5</v>
      </c>
      <c r="F292" s="17">
        <v>12.5</v>
      </c>
      <c r="G292" s="24">
        <f t="shared" ref="G292:G295" si="124">E292*F292</f>
        <v>62.5</v>
      </c>
      <c r="H292" s="236"/>
      <c r="I292" s="236"/>
      <c r="J292" s="236"/>
      <c r="K292" s="266"/>
      <c r="M292" s="270"/>
      <c r="N292" s="44"/>
      <c r="O292" s="44" t="s">
        <v>735</v>
      </c>
      <c r="P292" s="44" t="s">
        <v>1387</v>
      </c>
      <c r="Q292" s="44" t="s">
        <v>1387</v>
      </c>
      <c r="R292" s="44">
        <v>69.150000000000006</v>
      </c>
      <c r="S292" s="248"/>
      <c r="T292" s="248"/>
      <c r="U292" s="248"/>
      <c r="V292" s="303"/>
      <c r="Y292" s="270"/>
      <c r="Z292" s="44"/>
      <c r="AA292" s="44" t="s">
        <v>735</v>
      </c>
      <c r="AB292" s="44" t="s">
        <v>1387</v>
      </c>
      <c r="AC292" s="44" t="s">
        <v>1387</v>
      </c>
      <c r="AD292" s="44">
        <v>69.150000000000006</v>
      </c>
      <c r="AE292" s="248"/>
      <c r="AF292" s="248"/>
      <c r="AG292" s="248"/>
      <c r="AH292" s="303"/>
    </row>
    <row r="293" spans="2:34" ht="13">
      <c r="B293" s="249"/>
      <c r="C293" s="155"/>
      <c r="D293" s="19" t="s">
        <v>99</v>
      </c>
      <c r="E293" s="17">
        <v>6.25</v>
      </c>
      <c r="F293" s="17">
        <v>15</v>
      </c>
      <c r="G293" s="24">
        <f t="shared" si="124"/>
        <v>93.75</v>
      </c>
      <c r="H293" s="236"/>
      <c r="I293" s="236"/>
      <c r="J293" s="236"/>
      <c r="K293" s="266"/>
      <c r="M293" s="270"/>
      <c r="N293" s="166" t="s">
        <v>1610</v>
      </c>
      <c r="O293" s="24" t="s">
        <v>1332</v>
      </c>
      <c r="P293" s="24">
        <v>5</v>
      </c>
      <c r="Q293" s="24">
        <v>10</v>
      </c>
      <c r="R293" s="24">
        <f>P293*Q293</f>
        <v>50</v>
      </c>
      <c r="S293" s="325">
        <f>SUM(R293:R295)</f>
        <v>283.5</v>
      </c>
      <c r="T293" s="325">
        <v>1794.8</v>
      </c>
      <c r="U293" s="325">
        <f>T293-S293</f>
        <v>1511.3</v>
      </c>
      <c r="V293" s="259">
        <f>U293/T293</f>
        <v>0.84204368174726985</v>
      </c>
      <c r="Y293" s="270"/>
      <c r="Z293" s="166" t="s">
        <v>1610</v>
      </c>
      <c r="AA293" s="24" t="s">
        <v>1332</v>
      </c>
      <c r="AB293" s="167"/>
      <c r="AC293" s="167"/>
      <c r="AD293" s="167"/>
      <c r="AE293" s="325">
        <f>SUM(AD293:AD295)</f>
        <v>233.5</v>
      </c>
      <c r="AF293" s="325">
        <v>1794.8</v>
      </c>
      <c r="AG293" s="325">
        <f>AF293-AE293</f>
        <v>1561.3</v>
      </c>
      <c r="AH293" s="330">
        <f>AG293/AF293</f>
        <v>0.86990193893470025</v>
      </c>
    </row>
    <row r="294" spans="2:34" ht="13">
      <c r="B294" s="249"/>
      <c r="C294" s="155"/>
      <c r="D294" s="19" t="s">
        <v>1611</v>
      </c>
      <c r="E294" s="17">
        <v>6.25</v>
      </c>
      <c r="F294" s="17">
        <v>15</v>
      </c>
      <c r="G294" s="24">
        <f t="shared" si="124"/>
        <v>93.75</v>
      </c>
      <c r="H294" s="236"/>
      <c r="I294" s="236"/>
      <c r="J294" s="236"/>
      <c r="K294" s="266"/>
      <c r="M294" s="270"/>
      <c r="O294" s="24" t="s">
        <v>706</v>
      </c>
      <c r="P294" s="24" t="s">
        <v>1387</v>
      </c>
      <c r="Q294" s="24" t="s">
        <v>1387</v>
      </c>
      <c r="R294" s="24">
        <v>67</v>
      </c>
      <c r="S294" s="236"/>
      <c r="T294" s="236"/>
      <c r="U294" s="236"/>
      <c r="V294" s="242"/>
      <c r="Y294" s="270"/>
      <c r="AA294" s="24" t="s">
        <v>706</v>
      </c>
      <c r="AB294" s="24" t="s">
        <v>1387</v>
      </c>
      <c r="AC294" s="24" t="s">
        <v>1387</v>
      </c>
      <c r="AD294" s="24">
        <v>67</v>
      </c>
      <c r="AE294" s="236"/>
      <c r="AF294" s="236"/>
      <c r="AG294" s="236"/>
      <c r="AH294" s="242"/>
    </row>
    <row r="295" spans="2:34" ht="13">
      <c r="B295" s="249"/>
      <c r="C295" s="155"/>
      <c r="D295" s="19" t="s">
        <v>1558</v>
      </c>
      <c r="E295" s="17">
        <v>6.25</v>
      </c>
      <c r="F295" s="17">
        <v>15</v>
      </c>
      <c r="G295" s="24">
        <f t="shared" si="124"/>
        <v>93.75</v>
      </c>
      <c r="H295" s="236"/>
      <c r="I295" s="236"/>
      <c r="J295" s="236"/>
      <c r="K295" s="266"/>
      <c r="M295" s="270"/>
      <c r="N295" s="44"/>
      <c r="O295" s="44" t="s">
        <v>735</v>
      </c>
      <c r="P295" s="44" t="s">
        <v>1387</v>
      </c>
      <c r="Q295" s="44" t="s">
        <v>1387</v>
      </c>
      <c r="R295" s="44">
        <v>166.5</v>
      </c>
      <c r="S295" s="248"/>
      <c r="T295" s="248"/>
      <c r="U295" s="248"/>
      <c r="V295" s="303"/>
      <c r="Y295" s="270"/>
      <c r="Z295" s="44"/>
      <c r="AA295" s="44" t="s">
        <v>735</v>
      </c>
      <c r="AB295" s="44" t="s">
        <v>1387</v>
      </c>
      <c r="AC295" s="44" t="s">
        <v>1387</v>
      </c>
      <c r="AD295" s="44">
        <v>166.5</v>
      </c>
      <c r="AE295" s="248"/>
      <c r="AF295" s="248"/>
      <c r="AG295" s="248"/>
      <c r="AH295" s="303"/>
    </row>
    <row r="296" spans="2:34" ht="16">
      <c r="B296" s="249"/>
      <c r="C296" s="155"/>
      <c r="D296" s="160" t="s">
        <v>1431</v>
      </c>
      <c r="G296" s="24">
        <v>60</v>
      </c>
      <c r="H296" s="236"/>
      <c r="I296" s="236"/>
      <c r="J296" s="236"/>
      <c r="K296" s="266"/>
      <c r="M296" s="270"/>
      <c r="N296" s="170" t="s">
        <v>1612</v>
      </c>
      <c r="O296" s="44" t="s">
        <v>1361</v>
      </c>
      <c r="P296" s="44">
        <v>9</v>
      </c>
      <c r="Q296" s="44">
        <v>16</v>
      </c>
      <c r="R296" s="44">
        <f t="shared" ref="R296:R299" si="125">P296*Q296</f>
        <v>144</v>
      </c>
      <c r="S296" s="44">
        <f t="shared" ref="S296:S297" si="126">R296</f>
        <v>144</v>
      </c>
      <c r="T296" s="44">
        <v>950</v>
      </c>
      <c r="U296" s="44">
        <f t="shared" ref="U296:U298" si="127">T296-S296</f>
        <v>806</v>
      </c>
      <c r="V296" s="171">
        <f t="shared" ref="V296:V298" si="128">U296/T296</f>
        <v>0.84842105263157896</v>
      </c>
      <c r="Y296" s="270"/>
      <c r="Z296" s="170" t="s">
        <v>1612</v>
      </c>
      <c r="AA296" s="44" t="s">
        <v>1361</v>
      </c>
      <c r="AB296" s="142"/>
      <c r="AC296" s="142"/>
      <c r="AD296" s="142"/>
      <c r="AE296" s="44">
        <f t="shared" ref="AE296:AE297" si="129">AD296</f>
        <v>0</v>
      </c>
      <c r="AF296" s="44">
        <v>950</v>
      </c>
      <c r="AG296" s="44">
        <f t="shared" ref="AG296:AG298" si="130">AF296-AE296</f>
        <v>950</v>
      </c>
      <c r="AH296" s="172">
        <f t="shared" ref="AH296:AH298" si="131">AG296/AF296</f>
        <v>1</v>
      </c>
    </row>
    <row r="297" spans="2:34" ht="16">
      <c r="B297" s="249"/>
      <c r="C297" s="157" t="s">
        <v>1613</v>
      </c>
      <c r="D297" s="123" t="s">
        <v>1305</v>
      </c>
      <c r="E297" s="124">
        <v>16</v>
      </c>
      <c r="F297" s="124">
        <v>15</v>
      </c>
      <c r="G297" s="159">
        <v>0</v>
      </c>
      <c r="H297" s="320">
        <f>SUM(G297:G303)</f>
        <v>536</v>
      </c>
      <c r="I297" s="320">
        <v>2323.5</v>
      </c>
      <c r="J297" s="320">
        <f>I297-H297</f>
        <v>1787.5</v>
      </c>
      <c r="K297" s="321">
        <f>J297/I297</f>
        <v>0.76931353561437488</v>
      </c>
      <c r="M297" s="270"/>
      <c r="N297" s="170" t="s">
        <v>1614</v>
      </c>
      <c r="O297" s="44" t="s">
        <v>114</v>
      </c>
      <c r="P297" s="44">
        <v>4</v>
      </c>
      <c r="Q297" s="44">
        <v>16</v>
      </c>
      <c r="R297" s="44">
        <f t="shared" si="125"/>
        <v>64</v>
      </c>
      <c r="S297" s="44">
        <f t="shared" si="126"/>
        <v>64</v>
      </c>
      <c r="T297" s="44">
        <v>600</v>
      </c>
      <c r="U297" s="44">
        <f t="shared" si="127"/>
        <v>536</v>
      </c>
      <c r="V297" s="171">
        <f t="shared" si="128"/>
        <v>0.89333333333333331</v>
      </c>
      <c r="Y297" s="270"/>
      <c r="Z297" s="170" t="s">
        <v>1614</v>
      </c>
      <c r="AA297" s="44" t="s">
        <v>114</v>
      </c>
      <c r="AB297" s="142"/>
      <c r="AC297" s="142"/>
      <c r="AD297" s="142"/>
      <c r="AE297" s="44">
        <f t="shared" si="129"/>
        <v>0</v>
      </c>
      <c r="AF297" s="44">
        <v>600</v>
      </c>
      <c r="AG297" s="44">
        <f t="shared" si="130"/>
        <v>600</v>
      </c>
      <c r="AH297" s="171">
        <f t="shared" si="131"/>
        <v>1</v>
      </c>
    </row>
    <row r="298" spans="2:34" ht="14">
      <c r="B298" s="249"/>
      <c r="C298" s="155"/>
      <c r="D298" s="19" t="s">
        <v>1341</v>
      </c>
      <c r="E298" s="17">
        <v>11</v>
      </c>
      <c r="F298" s="17">
        <v>12.5</v>
      </c>
      <c r="G298" s="24">
        <f t="shared" ref="G298:G303" si="132">E298*F298</f>
        <v>137.5</v>
      </c>
      <c r="H298" s="236"/>
      <c r="I298" s="236"/>
      <c r="J298" s="236"/>
      <c r="K298" s="266"/>
      <c r="M298" s="270"/>
      <c r="N298" s="173" t="s">
        <v>1615</v>
      </c>
      <c r="O298" s="15" t="s">
        <v>310</v>
      </c>
      <c r="P298" s="16">
        <v>3</v>
      </c>
      <c r="Q298" s="16">
        <v>25</v>
      </c>
      <c r="R298" s="16">
        <f t="shared" si="125"/>
        <v>75</v>
      </c>
      <c r="S298" s="292">
        <f>SUM(R298:R302)</f>
        <v>1314</v>
      </c>
      <c r="T298" s="292">
        <v>6200</v>
      </c>
      <c r="U298" s="292">
        <f t="shared" si="127"/>
        <v>4886</v>
      </c>
      <c r="V298" s="313">
        <f t="shared" si="128"/>
        <v>0.78806451612903228</v>
      </c>
      <c r="Y298" s="270"/>
      <c r="Z298" s="173" t="s">
        <v>1615</v>
      </c>
      <c r="AA298" s="15" t="s">
        <v>310</v>
      </c>
      <c r="AB298" s="16">
        <v>3</v>
      </c>
      <c r="AC298" s="16">
        <v>25</v>
      </c>
      <c r="AD298" s="16">
        <f t="shared" ref="AD298:AD299" si="133">AB298*AC298</f>
        <v>75</v>
      </c>
      <c r="AE298" s="292">
        <f>SUM(AD298:AD302)</f>
        <v>1314</v>
      </c>
      <c r="AF298" s="292">
        <v>6200</v>
      </c>
      <c r="AG298" s="292">
        <f t="shared" si="130"/>
        <v>4886</v>
      </c>
      <c r="AH298" s="313">
        <f t="shared" si="131"/>
        <v>0.78806451612903228</v>
      </c>
    </row>
    <row r="299" spans="2:34" ht="13">
      <c r="B299" s="249"/>
      <c r="C299" s="155"/>
      <c r="D299" s="19" t="s">
        <v>95</v>
      </c>
      <c r="E299" s="17">
        <v>6</v>
      </c>
      <c r="F299" s="17">
        <v>15</v>
      </c>
      <c r="G299" s="24">
        <f t="shared" si="132"/>
        <v>90</v>
      </c>
      <c r="H299" s="236"/>
      <c r="I299" s="236"/>
      <c r="J299" s="236"/>
      <c r="K299" s="266"/>
      <c r="M299" s="270"/>
      <c r="N299" s="174"/>
      <c r="O299" s="19" t="s">
        <v>1235</v>
      </c>
      <c r="P299" s="17">
        <v>6</v>
      </c>
      <c r="Q299" s="17">
        <v>17</v>
      </c>
      <c r="R299" s="17">
        <f t="shared" si="125"/>
        <v>102</v>
      </c>
      <c r="S299" s="236"/>
      <c r="T299" s="236"/>
      <c r="U299" s="236"/>
      <c r="V299" s="242"/>
      <c r="Y299" s="270"/>
      <c r="Z299" s="174"/>
      <c r="AA299" s="19" t="s">
        <v>1235</v>
      </c>
      <c r="AB299" s="17">
        <v>6</v>
      </c>
      <c r="AC299" s="17">
        <v>17</v>
      </c>
      <c r="AD299" s="17">
        <f t="shared" si="133"/>
        <v>102</v>
      </c>
      <c r="AE299" s="236"/>
      <c r="AF299" s="236"/>
      <c r="AG299" s="236"/>
      <c r="AH299" s="242"/>
    </row>
    <row r="300" spans="2:34" ht="13">
      <c r="B300" s="249"/>
      <c r="C300" s="155"/>
      <c r="D300" s="19" t="s">
        <v>1448</v>
      </c>
      <c r="E300" s="17">
        <v>5</v>
      </c>
      <c r="F300" s="17">
        <v>12.5</v>
      </c>
      <c r="G300" s="24">
        <f t="shared" si="132"/>
        <v>62.5</v>
      </c>
      <c r="H300" s="236"/>
      <c r="I300" s="236"/>
      <c r="J300" s="236"/>
      <c r="K300" s="266"/>
      <c r="M300" s="270"/>
      <c r="N300" s="174"/>
      <c r="O300" s="19" t="s">
        <v>1616</v>
      </c>
      <c r="P300" s="17"/>
      <c r="Q300" s="17"/>
      <c r="R300" s="17">
        <v>10</v>
      </c>
      <c r="S300" s="236"/>
      <c r="T300" s="236"/>
      <c r="U300" s="236"/>
      <c r="V300" s="242"/>
      <c r="Y300" s="270"/>
      <c r="Z300" s="174"/>
      <c r="AA300" s="19" t="s">
        <v>1616</v>
      </c>
      <c r="AB300" s="17"/>
      <c r="AC300" s="17"/>
      <c r="AD300" s="17">
        <v>10</v>
      </c>
      <c r="AE300" s="236"/>
      <c r="AF300" s="236"/>
      <c r="AG300" s="236"/>
      <c r="AH300" s="242"/>
    </row>
    <row r="301" spans="2:34" ht="13">
      <c r="B301" s="249"/>
      <c r="C301" s="155"/>
      <c r="D301" s="19" t="s">
        <v>1425</v>
      </c>
      <c r="E301" s="17">
        <v>8</v>
      </c>
      <c r="F301" s="17">
        <v>13</v>
      </c>
      <c r="G301" s="24">
        <f t="shared" si="132"/>
        <v>104</v>
      </c>
      <c r="H301" s="236"/>
      <c r="I301" s="236"/>
      <c r="J301" s="236"/>
      <c r="K301" s="266"/>
      <c r="M301" s="270"/>
      <c r="N301" s="174"/>
      <c r="O301" s="19" t="s">
        <v>1617</v>
      </c>
      <c r="P301" s="17"/>
      <c r="Q301" s="17"/>
      <c r="R301" s="17">
        <v>907</v>
      </c>
      <c r="S301" s="236"/>
      <c r="T301" s="236"/>
      <c r="U301" s="236"/>
      <c r="V301" s="242"/>
      <c r="Y301" s="270"/>
      <c r="Z301" s="174"/>
      <c r="AA301" s="19" t="s">
        <v>1617</v>
      </c>
      <c r="AB301" s="17"/>
      <c r="AC301" s="17"/>
      <c r="AD301" s="17">
        <v>907</v>
      </c>
      <c r="AE301" s="236"/>
      <c r="AF301" s="236"/>
      <c r="AG301" s="236"/>
      <c r="AH301" s="242"/>
    </row>
    <row r="302" spans="2:34" ht="13">
      <c r="B302" s="249"/>
      <c r="C302" s="155"/>
      <c r="D302" s="19" t="s">
        <v>1611</v>
      </c>
      <c r="E302" s="17">
        <v>4</v>
      </c>
      <c r="F302" s="17">
        <v>13</v>
      </c>
      <c r="G302" s="24">
        <f t="shared" si="132"/>
        <v>52</v>
      </c>
      <c r="H302" s="236"/>
      <c r="I302" s="236"/>
      <c r="J302" s="236"/>
      <c r="K302" s="266"/>
      <c r="M302" s="270"/>
      <c r="N302" s="175"/>
      <c r="O302" s="20" t="s">
        <v>735</v>
      </c>
      <c r="P302" s="21"/>
      <c r="Q302" s="21"/>
      <c r="R302" s="21">
        <v>220</v>
      </c>
      <c r="S302" s="248"/>
      <c r="T302" s="248"/>
      <c r="U302" s="248"/>
      <c r="V302" s="303"/>
      <c r="Y302" s="270"/>
      <c r="Z302" s="175"/>
      <c r="AA302" s="20" t="s">
        <v>735</v>
      </c>
      <c r="AB302" s="21"/>
      <c r="AC302" s="21"/>
      <c r="AD302" s="21">
        <v>220</v>
      </c>
      <c r="AE302" s="248"/>
      <c r="AF302" s="248"/>
      <c r="AG302" s="248"/>
      <c r="AH302" s="303"/>
    </row>
    <row r="303" spans="2:34" ht="13">
      <c r="B303" s="249"/>
      <c r="C303" s="155"/>
      <c r="D303" s="19" t="s">
        <v>1308</v>
      </c>
      <c r="E303" s="17">
        <v>6</v>
      </c>
      <c r="F303" s="17">
        <v>15</v>
      </c>
      <c r="G303" s="24">
        <f t="shared" si="132"/>
        <v>90</v>
      </c>
      <c r="H303" s="236"/>
      <c r="I303" s="236"/>
      <c r="J303" s="236"/>
      <c r="K303" s="266"/>
      <c r="M303" s="270"/>
      <c r="N303" s="166" t="s">
        <v>1618</v>
      </c>
      <c r="O303" s="24" t="s">
        <v>114</v>
      </c>
      <c r="P303" s="24">
        <v>12</v>
      </c>
      <c r="Q303" s="24">
        <v>16</v>
      </c>
      <c r="R303" s="24">
        <f>P303*Q303</f>
        <v>192</v>
      </c>
      <c r="S303" s="325">
        <f>SUM(R303:R307)</f>
        <v>712.27</v>
      </c>
      <c r="T303" s="325">
        <v>5464.07</v>
      </c>
      <c r="U303" s="325">
        <f>T303-S303</f>
        <v>4751.7999999999993</v>
      </c>
      <c r="V303" s="259">
        <f>U303/T303</f>
        <v>0.86964478859165417</v>
      </c>
      <c r="Y303" s="270"/>
      <c r="Z303" s="166" t="s">
        <v>1618</v>
      </c>
      <c r="AA303" s="24" t="s">
        <v>114</v>
      </c>
      <c r="AB303" s="167"/>
      <c r="AC303" s="167"/>
      <c r="AD303" s="167"/>
      <c r="AE303" s="325">
        <f>SUM(AD303:AD307)</f>
        <v>520.27</v>
      </c>
      <c r="AF303" s="325">
        <v>5464.07</v>
      </c>
      <c r="AG303" s="325">
        <f>AF303-AE303</f>
        <v>4943.7999999999993</v>
      </c>
      <c r="AH303" s="330">
        <f>AG303/AF303</f>
        <v>0.90478343066615174</v>
      </c>
    </row>
    <row r="304" spans="2:34" ht="13">
      <c r="B304" s="249"/>
      <c r="C304" s="157" t="s">
        <v>1619</v>
      </c>
      <c r="D304" s="123" t="s">
        <v>1315</v>
      </c>
      <c r="E304" s="124">
        <v>8</v>
      </c>
      <c r="F304" s="124">
        <v>15</v>
      </c>
      <c r="G304" s="159">
        <v>0</v>
      </c>
      <c r="H304" s="320">
        <f>SUM(G304:G305)</f>
        <v>87.5</v>
      </c>
      <c r="I304" s="320">
        <v>650</v>
      </c>
      <c r="J304" s="320">
        <f>I304-H304</f>
        <v>562.5</v>
      </c>
      <c r="K304" s="321">
        <f>J304/I304</f>
        <v>0.86538461538461542</v>
      </c>
      <c r="M304" s="270"/>
      <c r="O304" s="24" t="s">
        <v>706</v>
      </c>
      <c r="P304" s="24" t="s">
        <v>1387</v>
      </c>
      <c r="Q304" s="24" t="s">
        <v>1387</v>
      </c>
      <c r="R304" s="24">
        <v>68.8</v>
      </c>
      <c r="S304" s="236"/>
      <c r="T304" s="236"/>
      <c r="U304" s="236"/>
      <c r="V304" s="242"/>
      <c r="Y304" s="270"/>
      <c r="AA304" s="24" t="s">
        <v>706</v>
      </c>
      <c r="AB304" s="24" t="s">
        <v>1387</v>
      </c>
      <c r="AC304" s="24" t="s">
        <v>1387</v>
      </c>
      <c r="AD304" s="24">
        <v>68.8</v>
      </c>
      <c r="AE304" s="236"/>
      <c r="AF304" s="236"/>
      <c r="AG304" s="236"/>
      <c r="AH304" s="242"/>
    </row>
    <row r="305" spans="2:34" ht="13">
      <c r="B305" s="249"/>
      <c r="C305" s="155"/>
      <c r="D305" s="19" t="s">
        <v>1448</v>
      </c>
      <c r="E305" s="17">
        <v>7</v>
      </c>
      <c r="F305" s="17">
        <v>12.5</v>
      </c>
      <c r="G305" s="24">
        <f>E305*F305</f>
        <v>87.5</v>
      </c>
      <c r="H305" s="293"/>
      <c r="I305" s="293"/>
      <c r="J305" s="293"/>
      <c r="K305" s="319"/>
      <c r="M305" s="270"/>
      <c r="O305" s="24" t="s">
        <v>1061</v>
      </c>
      <c r="P305" s="24"/>
      <c r="Q305" s="24"/>
      <c r="R305" s="24">
        <v>196</v>
      </c>
      <c r="S305" s="236"/>
      <c r="T305" s="236"/>
      <c r="U305" s="236"/>
      <c r="V305" s="242"/>
      <c r="Y305" s="270"/>
      <c r="AA305" s="24" t="s">
        <v>1061</v>
      </c>
      <c r="AB305" s="24"/>
      <c r="AC305" s="24"/>
      <c r="AD305" s="24">
        <v>196</v>
      </c>
      <c r="AE305" s="236"/>
      <c r="AF305" s="236"/>
      <c r="AG305" s="236"/>
      <c r="AH305" s="242"/>
    </row>
    <row r="306" spans="2:34" ht="14">
      <c r="B306" s="249"/>
      <c r="C306" s="157" t="s">
        <v>1620</v>
      </c>
      <c r="D306" s="123" t="s">
        <v>1305</v>
      </c>
      <c r="E306" s="124">
        <v>32</v>
      </c>
      <c r="F306" s="124">
        <v>15</v>
      </c>
      <c r="G306" s="176">
        <v>0</v>
      </c>
      <c r="H306" s="320">
        <f>SUM(G306:G311)</f>
        <v>906.05</v>
      </c>
      <c r="I306" s="320">
        <v>3400</v>
      </c>
      <c r="J306" s="320">
        <f>I306-H306</f>
        <v>2493.9499999999998</v>
      </c>
      <c r="K306" s="321">
        <f>J306/I306</f>
        <v>0.7335147058823529</v>
      </c>
      <c r="M306" s="270"/>
      <c r="O306" s="24" t="s">
        <v>1621</v>
      </c>
      <c r="P306" s="24"/>
      <c r="Q306" s="24"/>
      <c r="R306" s="24">
        <v>124.44</v>
      </c>
      <c r="S306" s="236"/>
      <c r="T306" s="236"/>
      <c r="U306" s="236"/>
      <c r="V306" s="242"/>
      <c r="Y306" s="270"/>
      <c r="AA306" s="24" t="s">
        <v>1621</v>
      </c>
      <c r="AB306" s="24"/>
      <c r="AC306" s="24"/>
      <c r="AD306" s="24">
        <v>124.44</v>
      </c>
      <c r="AE306" s="236"/>
      <c r="AF306" s="236"/>
      <c r="AG306" s="236"/>
      <c r="AH306" s="242"/>
    </row>
    <row r="307" spans="2:34" ht="13">
      <c r="B307" s="249"/>
      <c r="C307" s="155"/>
      <c r="D307" s="19" t="s">
        <v>1308</v>
      </c>
      <c r="E307" s="17">
        <v>12.2</v>
      </c>
      <c r="F307" s="17">
        <v>14</v>
      </c>
      <c r="G307" s="24">
        <f t="shared" ref="G307:G310" si="134">E307*F307</f>
        <v>170.79999999999998</v>
      </c>
      <c r="H307" s="236"/>
      <c r="I307" s="236"/>
      <c r="J307" s="236"/>
      <c r="K307" s="266"/>
      <c r="M307" s="270"/>
      <c r="N307" s="44"/>
      <c r="O307" s="44" t="s">
        <v>735</v>
      </c>
      <c r="P307" s="44" t="s">
        <v>1387</v>
      </c>
      <c r="Q307" s="44" t="s">
        <v>1387</v>
      </c>
      <c r="R307" s="44">
        <v>131.03</v>
      </c>
      <c r="S307" s="248"/>
      <c r="T307" s="248"/>
      <c r="U307" s="248"/>
      <c r="V307" s="303"/>
      <c r="Y307" s="270"/>
      <c r="Z307" s="44"/>
      <c r="AA307" s="44" t="s">
        <v>735</v>
      </c>
      <c r="AB307" s="44" t="s">
        <v>1387</v>
      </c>
      <c r="AC307" s="44" t="s">
        <v>1387</v>
      </c>
      <c r="AD307" s="44">
        <v>131.03</v>
      </c>
      <c r="AE307" s="248"/>
      <c r="AF307" s="248"/>
      <c r="AG307" s="248"/>
      <c r="AH307" s="303"/>
    </row>
    <row r="308" spans="2:34" ht="13">
      <c r="B308" s="249"/>
      <c r="C308" s="155"/>
      <c r="D308" s="19" t="s">
        <v>95</v>
      </c>
      <c r="E308" s="17">
        <v>12</v>
      </c>
      <c r="F308" s="17">
        <v>14</v>
      </c>
      <c r="G308" s="24">
        <f t="shared" si="134"/>
        <v>168</v>
      </c>
      <c r="H308" s="236"/>
      <c r="I308" s="236"/>
      <c r="J308" s="236"/>
      <c r="K308" s="266"/>
      <c r="M308" s="270"/>
      <c r="N308" s="166" t="s">
        <v>1622</v>
      </c>
      <c r="O308" s="24" t="s">
        <v>986</v>
      </c>
      <c r="R308" s="24">
        <v>325</v>
      </c>
      <c r="S308" s="325">
        <f>SUM(R308:R309)</f>
        <v>363.92</v>
      </c>
      <c r="T308" s="325">
        <v>1309.8</v>
      </c>
      <c r="U308" s="325">
        <f>T308-S308</f>
        <v>945.87999999999988</v>
      </c>
      <c r="V308" s="259">
        <f>U308/T308</f>
        <v>0.72215605435944408</v>
      </c>
      <c r="Y308" s="270"/>
      <c r="Z308" s="166" t="s">
        <v>1622</v>
      </c>
      <c r="AA308" s="24" t="s">
        <v>986</v>
      </c>
      <c r="AD308" s="24">
        <v>325</v>
      </c>
      <c r="AE308" s="325">
        <f>SUM(AD308:AD309)</f>
        <v>363.92</v>
      </c>
      <c r="AF308" s="325">
        <v>1309.8</v>
      </c>
      <c r="AG308" s="325">
        <f>AF308-AE308</f>
        <v>945.87999999999988</v>
      </c>
      <c r="AH308" s="330">
        <f>AG308/AF308</f>
        <v>0.72215605435944408</v>
      </c>
    </row>
    <row r="309" spans="2:34" ht="13">
      <c r="B309" s="249"/>
      <c r="C309" s="155"/>
      <c r="D309" s="19" t="s">
        <v>1315</v>
      </c>
      <c r="E309" s="17">
        <v>32</v>
      </c>
      <c r="F309" s="17">
        <v>15</v>
      </c>
      <c r="G309" s="24">
        <f t="shared" si="134"/>
        <v>480</v>
      </c>
      <c r="H309" s="236"/>
      <c r="I309" s="236"/>
      <c r="J309" s="236"/>
      <c r="K309" s="266"/>
      <c r="M309" s="270"/>
      <c r="N309" s="44"/>
      <c r="O309" s="44" t="s">
        <v>33</v>
      </c>
      <c r="P309" s="44"/>
      <c r="Q309" s="44"/>
      <c r="R309" s="44">
        <v>38.92</v>
      </c>
      <c r="S309" s="248"/>
      <c r="T309" s="248"/>
      <c r="U309" s="248"/>
      <c r="V309" s="303"/>
      <c r="Y309" s="270"/>
      <c r="Z309" s="44"/>
      <c r="AA309" s="44" t="s">
        <v>33</v>
      </c>
      <c r="AB309" s="44"/>
      <c r="AC309" s="44"/>
      <c r="AD309" s="44">
        <v>38.92</v>
      </c>
      <c r="AE309" s="248"/>
      <c r="AF309" s="248"/>
      <c r="AG309" s="248"/>
      <c r="AH309" s="303"/>
    </row>
    <row r="310" spans="2:34" ht="13">
      <c r="B310" s="249"/>
      <c r="C310" s="155"/>
      <c r="D310" s="19" t="s">
        <v>1448</v>
      </c>
      <c r="E310" s="17">
        <v>3.78</v>
      </c>
      <c r="F310" s="17">
        <v>12.5</v>
      </c>
      <c r="G310" s="24">
        <f t="shared" si="134"/>
        <v>47.25</v>
      </c>
      <c r="H310" s="236"/>
      <c r="I310" s="236"/>
      <c r="J310" s="236"/>
      <c r="K310" s="266"/>
      <c r="M310" s="270"/>
      <c r="N310" s="177" t="s">
        <v>1623</v>
      </c>
      <c r="O310" s="15" t="s">
        <v>986</v>
      </c>
      <c r="P310" s="16"/>
      <c r="Q310" s="16"/>
      <c r="R310" s="16">
        <v>325</v>
      </c>
      <c r="S310" s="331">
        <f>SUM(R310:R311)</f>
        <v>407.59000000000003</v>
      </c>
      <c r="T310" s="331">
        <v>1870.3</v>
      </c>
      <c r="U310" s="331">
        <f>T310-S310</f>
        <v>1462.71</v>
      </c>
      <c r="V310" s="332">
        <f>U310/T310</f>
        <v>0.78207239480297286</v>
      </c>
      <c r="Y310" s="270"/>
      <c r="Z310" s="177" t="s">
        <v>1623</v>
      </c>
      <c r="AA310" s="15" t="s">
        <v>986</v>
      </c>
      <c r="AB310" s="16"/>
      <c r="AC310" s="16"/>
      <c r="AD310" s="16">
        <v>325</v>
      </c>
      <c r="AE310" s="331">
        <f>SUM(AD310:AD311)</f>
        <v>407.59000000000003</v>
      </c>
      <c r="AF310" s="331">
        <v>1870.3</v>
      </c>
      <c r="AG310" s="331">
        <f>AF310-AE310</f>
        <v>1462.71</v>
      </c>
      <c r="AH310" s="332">
        <f>AG310/AF310</f>
        <v>0.78207239480297286</v>
      </c>
    </row>
    <row r="311" spans="2:34" ht="13">
      <c r="B311" s="249"/>
      <c r="C311" s="155"/>
      <c r="D311" s="24" t="s">
        <v>1624</v>
      </c>
      <c r="G311" s="24">
        <v>40</v>
      </c>
      <c r="H311" s="236"/>
      <c r="I311" s="236"/>
      <c r="J311" s="236"/>
      <c r="K311" s="266"/>
      <c r="M311" s="270"/>
      <c r="N311" s="175"/>
      <c r="O311" s="20" t="s">
        <v>33</v>
      </c>
      <c r="P311" s="20"/>
      <c r="Q311" s="20"/>
      <c r="R311" s="21">
        <v>82.59</v>
      </c>
      <c r="S311" s="248"/>
      <c r="T311" s="248"/>
      <c r="U311" s="248"/>
      <c r="V311" s="303"/>
      <c r="Y311" s="270"/>
      <c r="Z311" s="175"/>
      <c r="AA311" s="20" t="s">
        <v>33</v>
      </c>
      <c r="AB311" s="20"/>
      <c r="AC311" s="20"/>
      <c r="AD311" s="21">
        <v>82.59</v>
      </c>
      <c r="AE311" s="248"/>
      <c r="AF311" s="248"/>
      <c r="AG311" s="248"/>
      <c r="AH311" s="303"/>
    </row>
    <row r="312" spans="2:34" ht="13">
      <c r="B312" s="249"/>
      <c r="C312" s="157" t="s">
        <v>1625</v>
      </c>
      <c r="D312" s="123" t="s">
        <v>1626</v>
      </c>
      <c r="E312" s="124">
        <v>5</v>
      </c>
      <c r="F312" s="124">
        <v>15</v>
      </c>
      <c r="G312" s="159">
        <f t="shared" ref="G312:G314" si="135">E312*F312</f>
        <v>75</v>
      </c>
      <c r="H312" s="320">
        <f>SUM(G312:G317)</f>
        <v>399.55</v>
      </c>
      <c r="I312" s="320">
        <v>950</v>
      </c>
      <c r="J312" s="320">
        <f>I312-H312</f>
        <v>550.45000000000005</v>
      </c>
      <c r="K312" s="321">
        <f>J312/I312</f>
        <v>0.57942105263157895</v>
      </c>
      <c r="M312" s="270"/>
      <c r="N312" s="166" t="s">
        <v>1627</v>
      </c>
      <c r="O312" s="24" t="s">
        <v>87</v>
      </c>
      <c r="P312" s="24">
        <v>5</v>
      </c>
      <c r="Q312" s="24">
        <v>20</v>
      </c>
      <c r="R312" s="24">
        <f>P312*Q312</f>
        <v>100</v>
      </c>
      <c r="S312" s="325">
        <f>SUM(R312:R314)</f>
        <v>331.66</v>
      </c>
      <c r="T312" s="325">
        <v>1401.2</v>
      </c>
      <c r="U312" s="325">
        <f>T312-S312</f>
        <v>1069.54</v>
      </c>
      <c r="V312" s="259">
        <f>U312/T312</f>
        <v>0.7633028832429346</v>
      </c>
      <c r="Y312" s="270"/>
      <c r="Z312" s="166" t="s">
        <v>1627</v>
      </c>
      <c r="AA312" s="24" t="s">
        <v>87</v>
      </c>
      <c r="AB312" s="167"/>
      <c r="AC312" s="167"/>
      <c r="AD312" s="167"/>
      <c r="AE312" s="325">
        <f>SUM(AD312:AD314)</f>
        <v>231.66</v>
      </c>
      <c r="AF312" s="325">
        <v>1401.2</v>
      </c>
      <c r="AG312" s="325">
        <f>AF312-AE312</f>
        <v>1169.54</v>
      </c>
      <c r="AH312" s="330">
        <f>AG312/AF312</f>
        <v>0.8346702826149015</v>
      </c>
    </row>
    <row r="313" spans="2:34" ht="13">
      <c r="B313" s="249"/>
      <c r="C313" s="155"/>
      <c r="D313" s="19" t="s">
        <v>95</v>
      </c>
      <c r="E313" s="17">
        <v>5</v>
      </c>
      <c r="F313" s="17">
        <v>15</v>
      </c>
      <c r="G313" s="24">
        <f t="shared" si="135"/>
        <v>75</v>
      </c>
      <c r="H313" s="236"/>
      <c r="I313" s="236"/>
      <c r="J313" s="236"/>
      <c r="K313" s="266"/>
      <c r="M313" s="270"/>
      <c r="O313" s="24" t="s">
        <v>1207</v>
      </c>
      <c r="R313" s="24">
        <v>200</v>
      </c>
      <c r="S313" s="236"/>
      <c r="T313" s="236"/>
      <c r="U313" s="236"/>
      <c r="V313" s="242"/>
      <c r="Y313" s="270"/>
      <c r="AA313" s="24" t="s">
        <v>1207</v>
      </c>
      <c r="AD313" s="24">
        <v>200</v>
      </c>
      <c r="AE313" s="236"/>
      <c r="AF313" s="236"/>
      <c r="AG313" s="236"/>
      <c r="AH313" s="242"/>
    </row>
    <row r="314" spans="2:34" ht="13">
      <c r="B314" s="249"/>
      <c r="C314" s="155"/>
      <c r="D314" s="19" t="s">
        <v>97</v>
      </c>
      <c r="E314" s="17">
        <v>5</v>
      </c>
      <c r="F314" s="17">
        <v>17.5</v>
      </c>
      <c r="G314" s="24">
        <f t="shared" si="135"/>
        <v>87.5</v>
      </c>
      <c r="H314" s="236"/>
      <c r="I314" s="236"/>
      <c r="J314" s="236"/>
      <c r="K314" s="266"/>
      <c r="M314" s="270"/>
      <c r="N314" s="44"/>
      <c r="O314" s="44" t="s">
        <v>735</v>
      </c>
      <c r="P314" s="44"/>
      <c r="Q314" s="44"/>
      <c r="R314" s="44">
        <v>31.66</v>
      </c>
      <c r="S314" s="248"/>
      <c r="T314" s="248"/>
      <c r="U314" s="248"/>
      <c r="V314" s="303"/>
      <c r="Y314" s="270"/>
      <c r="Z314" s="44"/>
      <c r="AA314" s="44" t="s">
        <v>735</v>
      </c>
      <c r="AB314" s="44"/>
      <c r="AC314" s="44"/>
      <c r="AD314" s="44">
        <v>31.66</v>
      </c>
      <c r="AE314" s="248"/>
      <c r="AF314" s="248"/>
      <c r="AG314" s="248"/>
      <c r="AH314" s="303"/>
    </row>
    <row r="315" spans="2:34" ht="14">
      <c r="B315" s="249"/>
      <c r="C315" s="155"/>
      <c r="D315" s="19" t="s">
        <v>1628</v>
      </c>
      <c r="E315" s="19"/>
      <c r="F315" s="19"/>
      <c r="G315" s="17">
        <v>40.700000000000003</v>
      </c>
      <c r="H315" s="236"/>
      <c r="I315" s="236"/>
      <c r="J315" s="236"/>
      <c r="K315" s="266"/>
      <c r="M315" s="270"/>
      <c r="N315" s="144" t="s">
        <v>1629</v>
      </c>
      <c r="O315" s="77" t="s">
        <v>1609</v>
      </c>
      <c r="P315" s="71">
        <v>6</v>
      </c>
      <c r="Q315" s="71">
        <v>15</v>
      </c>
      <c r="R315" s="71">
        <f t="shared" ref="R315:R320" si="136">P315*Q315</f>
        <v>90</v>
      </c>
      <c r="S315" s="239">
        <f>SUM(R315:R317)</f>
        <v>1353</v>
      </c>
      <c r="T315" s="239">
        <v>4347</v>
      </c>
      <c r="U315" s="239">
        <f>T315-S315</f>
        <v>2994</v>
      </c>
      <c r="V315" s="259">
        <f>U315/T315</f>
        <v>0.68875086266390617</v>
      </c>
      <c r="Y315" s="270"/>
      <c r="Z315" s="144" t="s">
        <v>1629</v>
      </c>
      <c r="AA315" s="77" t="s">
        <v>1609</v>
      </c>
      <c r="AB315" s="71">
        <v>6</v>
      </c>
      <c r="AC315" s="71">
        <v>15</v>
      </c>
      <c r="AD315" s="71">
        <f t="shared" ref="AD315:AD320" si="137">AB315*AC315</f>
        <v>90</v>
      </c>
      <c r="AE315" s="325">
        <f>SUM(AD315:AD317)</f>
        <v>1353</v>
      </c>
      <c r="AF315" s="325">
        <v>4347</v>
      </c>
      <c r="AG315" s="325">
        <f>AF315-AE315</f>
        <v>2994</v>
      </c>
      <c r="AH315" s="330">
        <f>AG315/AF315</f>
        <v>0.68875086266390617</v>
      </c>
    </row>
    <row r="316" spans="2:34" ht="13">
      <c r="B316" s="249"/>
      <c r="C316" s="155"/>
      <c r="D316" s="19" t="s">
        <v>1630</v>
      </c>
      <c r="E316" s="19"/>
      <c r="F316" s="19"/>
      <c r="G316" s="17">
        <v>36.35</v>
      </c>
      <c r="H316" s="236"/>
      <c r="I316" s="236"/>
      <c r="J316" s="236"/>
      <c r="K316" s="266"/>
      <c r="M316" s="270"/>
      <c r="N316" s="1"/>
      <c r="O316" s="19" t="s">
        <v>310</v>
      </c>
      <c r="P316" s="17">
        <v>6</v>
      </c>
      <c r="Q316" s="17">
        <v>15</v>
      </c>
      <c r="R316" s="17">
        <f t="shared" si="136"/>
        <v>90</v>
      </c>
      <c r="S316" s="236"/>
      <c r="T316" s="236"/>
      <c r="U316" s="236"/>
      <c r="V316" s="242"/>
      <c r="Y316" s="270"/>
      <c r="Z316" s="1"/>
      <c r="AA316" s="19" t="s">
        <v>310</v>
      </c>
      <c r="AB316" s="17">
        <v>6</v>
      </c>
      <c r="AC316" s="17">
        <v>15</v>
      </c>
      <c r="AD316" s="17">
        <f t="shared" si="137"/>
        <v>90</v>
      </c>
      <c r="AE316" s="236"/>
      <c r="AF316" s="236"/>
      <c r="AG316" s="236"/>
      <c r="AH316" s="242"/>
    </row>
    <row r="317" spans="2:34" ht="13">
      <c r="B317" s="249"/>
      <c r="C317" s="155"/>
      <c r="D317" s="19" t="s">
        <v>1061</v>
      </c>
      <c r="E317" s="19"/>
      <c r="F317" s="19"/>
      <c r="G317" s="17">
        <v>85</v>
      </c>
      <c r="H317" s="236"/>
      <c r="I317" s="236"/>
      <c r="J317" s="236"/>
      <c r="K317" s="266"/>
      <c r="M317" s="270"/>
      <c r="N317" s="140"/>
      <c r="O317" s="20" t="s">
        <v>1235</v>
      </c>
      <c r="P317" s="20">
        <v>69</v>
      </c>
      <c r="Q317" s="20">
        <v>17</v>
      </c>
      <c r="R317" s="20">
        <f t="shared" si="136"/>
        <v>1173</v>
      </c>
      <c r="S317" s="248"/>
      <c r="T317" s="248"/>
      <c r="U317" s="248"/>
      <c r="V317" s="303"/>
      <c r="Y317" s="270"/>
      <c r="Z317" s="140"/>
      <c r="AA317" s="20" t="s">
        <v>1235</v>
      </c>
      <c r="AB317" s="20">
        <v>69</v>
      </c>
      <c r="AC317" s="20">
        <v>17</v>
      </c>
      <c r="AD317" s="20">
        <f t="shared" si="137"/>
        <v>1173</v>
      </c>
      <c r="AE317" s="248"/>
      <c r="AF317" s="248"/>
      <c r="AG317" s="248"/>
      <c r="AH317" s="303"/>
    </row>
    <row r="318" spans="2:34" ht="14">
      <c r="B318" s="249"/>
      <c r="C318" s="157" t="s">
        <v>1631</v>
      </c>
      <c r="D318" s="123" t="s">
        <v>1626</v>
      </c>
      <c r="E318" s="124">
        <v>3.4</v>
      </c>
      <c r="F318" s="124">
        <v>14</v>
      </c>
      <c r="G318" s="159">
        <f t="shared" ref="G318:G319" si="138">E318*F318</f>
        <v>47.6</v>
      </c>
      <c r="H318" s="320">
        <f>SUM(G318:G322)</f>
        <v>194.6</v>
      </c>
      <c r="I318" s="320">
        <v>1340</v>
      </c>
      <c r="J318" s="320">
        <f>I318-H318</f>
        <v>1145.4000000000001</v>
      </c>
      <c r="K318" s="321">
        <f>J318/I318</f>
        <v>0.85477611940298515</v>
      </c>
      <c r="M318" s="270"/>
      <c r="N318" s="144" t="s">
        <v>1632</v>
      </c>
      <c r="O318" s="77" t="s">
        <v>1353</v>
      </c>
      <c r="P318" s="71">
        <v>3</v>
      </c>
      <c r="Q318" s="71">
        <v>15</v>
      </c>
      <c r="R318" s="71">
        <f t="shared" si="136"/>
        <v>45</v>
      </c>
      <c r="S318" s="239">
        <f>SUM(R318:R324)</f>
        <v>1339.35</v>
      </c>
      <c r="T318" s="239">
        <v>3651.5</v>
      </c>
      <c r="U318" s="239">
        <f>T318-S318</f>
        <v>2312.15</v>
      </c>
      <c r="V318" s="259">
        <f>U318/T318</f>
        <v>0.63320553197316176</v>
      </c>
      <c r="Y318" s="270"/>
      <c r="Z318" s="144" t="s">
        <v>1632</v>
      </c>
      <c r="AA318" s="77" t="s">
        <v>1353</v>
      </c>
      <c r="AB318" s="71">
        <v>3</v>
      </c>
      <c r="AC318" s="71">
        <v>15</v>
      </c>
      <c r="AD318" s="71">
        <f t="shared" si="137"/>
        <v>45</v>
      </c>
      <c r="AE318" s="325">
        <f>SUM(AD318:AD324)</f>
        <v>1339.35</v>
      </c>
      <c r="AF318" s="325">
        <v>3651.5</v>
      </c>
      <c r="AG318" s="325">
        <f>AF318-AE318</f>
        <v>2312.15</v>
      </c>
      <c r="AH318" s="330">
        <f>AG318/AF318</f>
        <v>0.63320553197316176</v>
      </c>
    </row>
    <row r="319" spans="2:34" ht="13">
      <c r="B319" s="249"/>
      <c r="C319" s="155"/>
      <c r="D319" s="19" t="s">
        <v>1633</v>
      </c>
      <c r="E319" s="17">
        <v>3.2</v>
      </c>
      <c r="F319" s="17">
        <v>14</v>
      </c>
      <c r="G319" s="24">
        <f t="shared" si="138"/>
        <v>44.800000000000004</v>
      </c>
      <c r="H319" s="236"/>
      <c r="I319" s="236"/>
      <c r="J319" s="236"/>
      <c r="K319" s="266"/>
      <c r="M319" s="270"/>
      <c r="N319" s="1"/>
      <c r="O319" s="19" t="s">
        <v>310</v>
      </c>
      <c r="P319" s="17">
        <v>6</v>
      </c>
      <c r="Q319" s="17">
        <v>15</v>
      </c>
      <c r="R319" s="17">
        <f t="shared" si="136"/>
        <v>90</v>
      </c>
      <c r="S319" s="236"/>
      <c r="T319" s="236"/>
      <c r="U319" s="236"/>
      <c r="V319" s="242"/>
      <c r="Y319" s="270"/>
      <c r="Z319" s="1"/>
      <c r="AA319" s="19" t="s">
        <v>310</v>
      </c>
      <c r="AB319" s="17">
        <v>6</v>
      </c>
      <c r="AC319" s="17">
        <v>15</v>
      </c>
      <c r="AD319" s="17">
        <f t="shared" si="137"/>
        <v>90</v>
      </c>
      <c r="AE319" s="236"/>
      <c r="AF319" s="236"/>
      <c r="AG319" s="236"/>
      <c r="AH319" s="242"/>
    </row>
    <row r="320" spans="2:34" ht="13">
      <c r="B320" s="249"/>
      <c r="C320" s="155"/>
      <c r="D320" s="19" t="s">
        <v>1407</v>
      </c>
      <c r="E320" s="17">
        <v>8</v>
      </c>
      <c r="F320" s="17">
        <v>15</v>
      </c>
      <c r="G320" s="24">
        <v>0</v>
      </c>
      <c r="H320" s="236"/>
      <c r="I320" s="236"/>
      <c r="J320" s="236"/>
      <c r="K320" s="266"/>
      <c r="M320" s="270"/>
      <c r="N320" s="1"/>
      <c r="O320" s="19" t="s">
        <v>1235</v>
      </c>
      <c r="P320" s="17">
        <v>39</v>
      </c>
      <c r="Q320" s="17">
        <v>15</v>
      </c>
      <c r="R320" s="17">
        <f t="shared" si="136"/>
        <v>585</v>
      </c>
      <c r="S320" s="236"/>
      <c r="T320" s="236"/>
      <c r="U320" s="236"/>
      <c r="V320" s="242"/>
      <c r="Y320" s="270"/>
      <c r="Z320" s="1"/>
      <c r="AA320" s="19" t="s">
        <v>1235</v>
      </c>
      <c r="AB320" s="17">
        <v>39</v>
      </c>
      <c r="AC320" s="17">
        <v>15</v>
      </c>
      <c r="AD320" s="17">
        <f t="shared" si="137"/>
        <v>585</v>
      </c>
      <c r="AE320" s="236"/>
      <c r="AF320" s="236"/>
      <c r="AG320" s="236"/>
      <c r="AH320" s="242"/>
    </row>
    <row r="321" spans="2:34" ht="13">
      <c r="B321" s="249"/>
      <c r="C321" s="155"/>
      <c r="D321" s="19" t="s">
        <v>1634</v>
      </c>
      <c r="E321" s="17">
        <v>3.4</v>
      </c>
      <c r="F321" s="17">
        <v>14</v>
      </c>
      <c r="G321" s="24">
        <f t="shared" ref="G321:G323" si="139">E321*F321</f>
        <v>47.6</v>
      </c>
      <c r="H321" s="236"/>
      <c r="I321" s="236"/>
      <c r="J321" s="236"/>
      <c r="K321" s="266"/>
      <c r="M321" s="270"/>
      <c r="N321" s="1"/>
      <c r="O321" s="19" t="s">
        <v>1635</v>
      </c>
      <c r="P321" s="17"/>
      <c r="Q321" s="17"/>
      <c r="R321" s="17">
        <v>20</v>
      </c>
      <c r="S321" s="236"/>
      <c r="T321" s="236"/>
      <c r="U321" s="236"/>
      <c r="V321" s="242"/>
      <c r="Y321" s="270"/>
      <c r="Z321" s="1"/>
      <c r="AA321" s="19" t="s">
        <v>1635</v>
      </c>
      <c r="AB321" s="17"/>
      <c r="AC321" s="17"/>
      <c r="AD321" s="17">
        <v>20</v>
      </c>
      <c r="AE321" s="236"/>
      <c r="AF321" s="236"/>
      <c r="AG321" s="236"/>
      <c r="AH321" s="242"/>
    </row>
    <row r="322" spans="2:34" ht="13">
      <c r="B322" s="249"/>
      <c r="C322" s="155"/>
      <c r="D322" s="19" t="s">
        <v>1636</v>
      </c>
      <c r="E322" s="17">
        <v>4.2</v>
      </c>
      <c r="F322" s="17">
        <v>13</v>
      </c>
      <c r="G322" s="24">
        <f t="shared" si="139"/>
        <v>54.6</v>
      </c>
      <c r="H322" s="236"/>
      <c r="I322" s="236"/>
      <c r="J322" s="236"/>
      <c r="K322" s="266"/>
      <c r="M322" s="270"/>
      <c r="N322" s="1"/>
      <c r="O322" s="19" t="s">
        <v>1637</v>
      </c>
      <c r="P322" s="17"/>
      <c r="Q322" s="17"/>
      <c r="R322" s="17">
        <v>20</v>
      </c>
      <c r="S322" s="236"/>
      <c r="T322" s="236"/>
      <c r="U322" s="236"/>
      <c r="V322" s="242"/>
      <c r="Y322" s="270"/>
      <c r="Z322" s="1"/>
      <c r="AA322" s="19" t="s">
        <v>1637</v>
      </c>
      <c r="AB322" s="17"/>
      <c r="AC322" s="17"/>
      <c r="AD322" s="17">
        <v>20</v>
      </c>
      <c r="AE322" s="236"/>
      <c r="AF322" s="236"/>
      <c r="AG322" s="236"/>
      <c r="AH322" s="242"/>
    </row>
    <row r="323" spans="2:34" ht="13">
      <c r="B323" s="249"/>
      <c r="C323" s="157" t="s">
        <v>1638</v>
      </c>
      <c r="D323" s="123" t="s">
        <v>1448</v>
      </c>
      <c r="E323" s="124">
        <v>5</v>
      </c>
      <c r="F323" s="124">
        <v>12.5</v>
      </c>
      <c r="G323" s="159">
        <f t="shared" si="139"/>
        <v>62.5</v>
      </c>
      <c r="H323" s="320">
        <f>SUM(G323:G327)</f>
        <v>431.875</v>
      </c>
      <c r="I323" s="320">
        <v>1765</v>
      </c>
      <c r="J323" s="320">
        <f>I323-H323</f>
        <v>1333.125</v>
      </c>
      <c r="K323" s="321">
        <f>J323/I323</f>
        <v>0.75531161473087816</v>
      </c>
      <c r="M323" s="270"/>
      <c r="N323" s="1"/>
      <c r="O323" s="19" t="s">
        <v>1639</v>
      </c>
      <c r="P323" s="17"/>
      <c r="Q323" s="17"/>
      <c r="R323" s="17">
        <v>50</v>
      </c>
      <c r="S323" s="236"/>
      <c r="T323" s="236"/>
      <c r="U323" s="236"/>
      <c r="V323" s="242"/>
      <c r="Y323" s="270"/>
      <c r="Z323" s="1"/>
      <c r="AA323" s="19" t="s">
        <v>1639</v>
      </c>
      <c r="AB323" s="17"/>
      <c r="AC323" s="17"/>
      <c r="AD323" s="17">
        <v>50</v>
      </c>
      <c r="AE323" s="236"/>
      <c r="AF323" s="236"/>
      <c r="AG323" s="236"/>
      <c r="AH323" s="242"/>
    </row>
    <row r="324" spans="2:34" ht="13">
      <c r="B324" s="249"/>
      <c r="C324" s="155"/>
      <c r="D324" s="19" t="s">
        <v>1407</v>
      </c>
      <c r="E324" s="17">
        <v>16</v>
      </c>
      <c r="F324" s="17">
        <v>15</v>
      </c>
      <c r="G324" s="24">
        <v>0</v>
      </c>
      <c r="H324" s="236"/>
      <c r="I324" s="236"/>
      <c r="J324" s="236"/>
      <c r="K324" s="266"/>
      <c r="M324" s="270"/>
      <c r="N324" s="140"/>
      <c r="O324" s="20" t="s">
        <v>33</v>
      </c>
      <c r="P324" s="20"/>
      <c r="Q324" s="20"/>
      <c r="R324" s="20">
        <v>529.35</v>
      </c>
      <c r="S324" s="248"/>
      <c r="T324" s="248"/>
      <c r="U324" s="248"/>
      <c r="V324" s="303"/>
      <c r="Y324" s="270"/>
      <c r="Z324" s="140"/>
      <c r="AA324" s="20" t="s">
        <v>33</v>
      </c>
      <c r="AB324" s="20"/>
      <c r="AC324" s="20"/>
      <c r="AD324" s="20">
        <v>529.35</v>
      </c>
      <c r="AE324" s="248"/>
      <c r="AF324" s="248"/>
      <c r="AG324" s="248"/>
      <c r="AH324" s="303"/>
    </row>
    <row r="325" spans="2:34" ht="14">
      <c r="B325" s="249"/>
      <c r="C325" s="155"/>
      <c r="D325" s="19" t="s">
        <v>1640</v>
      </c>
      <c r="E325" s="17">
        <v>12.91</v>
      </c>
      <c r="F325" s="17">
        <v>12.5</v>
      </c>
      <c r="G325" s="24">
        <f t="shared" ref="G325:G327" si="140">E325*F325</f>
        <v>161.375</v>
      </c>
      <c r="H325" s="236"/>
      <c r="I325" s="236"/>
      <c r="J325" s="236"/>
      <c r="K325" s="266"/>
      <c r="M325" s="270"/>
      <c r="N325" s="144" t="s">
        <v>1641</v>
      </c>
      <c r="O325" s="77" t="s">
        <v>1642</v>
      </c>
      <c r="P325" s="71">
        <v>30</v>
      </c>
      <c r="Q325" s="71">
        <v>17</v>
      </c>
      <c r="R325" s="71">
        <f t="shared" ref="R325:R328" si="141">P325*Q325</f>
        <v>510</v>
      </c>
      <c r="S325" s="239">
        <f>SUM(R325:R329)</f>
        <v>1375.82</v>
      </c>
      <c r="T325" s="239">
        <v>4749</v>
      </c>
      <c r="U325" s="239">
        <f>T325-S325</f>
        <v>3373.1800000000003</v>
      </c>
      <c r="V325" s="259">
        <f>U325/T325</f>
        <v>0.71029269319856814</v>
      </c>
      <c r="Y325" s="270"/>
      <c r="Z325" s="144" t="s">
        <v>1641</v>
      </c>
      <c r="AA325" s="77" t="s">
        <v>1642</v>
      </c>
      <c r="AB325" s="71">
        <v>30</v>
      </c>
      <c r="AC325" s="71">
        <v>17</v>
      </c>
      <c r="AD325" s="71">
        <f>AB325*AC325</f>
        <v>510</v>
      </c>
      <c r="AE325" s="325">
        <f>SUM(AD325:AD329)</f>
        <v>891.02</v>
      </c>
      <c r="AF325" s="325">
        <v>4749</v>
      </c>
      <c r="AG325" s="325">
        <f>AF325-AE325</f>
        <v>3857.98</v>
      </c>
      <c r="AH325" s="330">
        <f>AG325/AF325</f>
        <v>0.81237734259844174</v>
      </c>
    </row>
    <row r="326" spans="2:34" ht="13">
      <c r="B326" s="249"/>
      <c r="C326" s="155"/>
      <c r="D326" s="19" t="s">
        <v>1643</v>
      </c>
      <c r="E326" s="17">
        <v>8</v>
      </c>
      <c r="F326" s="17">
        <v>13</v>
      </c>
      <c r="G326" s="24">
        <f t="shared" si="140"/>
        <v>104</v>
      </c>
      <c r="H326" s="236"/>
      <c r="I326" s="236"/>
      <c r="J326" s="236"/>
      <c r="K326" s="266"/>
      <c r="M326" s="270"/>
      <c r="N326" s="1"/>
      <c r="O326" s="19" t="s">
        <v>1644</v>
      </c>
      <c r="P326" s="17">
        <v>14.8</v>
      </c>
      <c r="Q326" s="17">
        <v>16</v>
      </c>
      <c r="R326" s="17">
        <f t="shared" si="141"/>
        <v>236.8</v>
      </c>
      <c r="S326" s="236"/>
      <c r="T326" s="236"/>
      <c r="U326" s="236"/>
      <c r="V326" s="242"/>
      <c r="Y326" s="270"/>
      <c r="Z326" s="1"/>
      <c r="AA326" s="19" t="s">
        <v>1644</v>
      </c>
      <c r="AB326" s="18"/>
      <c r="AC326" s="18"/>
      <c r="AD326" s="18"/>
      <c r="AE326" s="236"/>
      <c r="AF326" s="236"/>
      <c r="AG326" s="236"/>
      <c r="AH326" s="242"/>
    </row>
    <row r="327" spans="2:34" ht="13">
      <c r="B327" s="249"/>
      <c r="C327" s="155"/>
      <c r="D327" s="19" t="s">
        <v>1645</v>
      </c>
      <c r="E327" s="17">
        <v>8</v>
      </c>
      <c r="F327" s="17">
        <v>13</v>
      </c>
      <c r="G327" s="24">
        <f t="shared" si="140"/>
        <v>104</v>
      </c>
      <c r="H327" s="236"/>
      <c r="I327" s="236"/>
      <c r="J327" s="236"/>
      <c r="K327" s="266"/>
      <c r="M327" s="270"/>
      <c r="N327" s="1"/>
      <c r="O327" s="19" t="s">
        <v>1646</v>
      </c>
      <c r="P327" s="17">
        <v>15.5</v>
      </c>
      <c r="Q327" s="17">
        <v>16</v>
      </c>
      <c r="R327" s="17">
        <f t="shared" si="141"/>
        <v>248</v>
      </c>
      <c r="S327" s="236"/>
      <c r="T327" s="236"/>
      <c r="U327" s="236"/>
      <c r="V327" s="242"/>
      <c r="Y327" s="270"/>
      <c r="Z327" s="1"/>
      <c r="AA327" s="19" t="s">
        <v>1646</v>
      </c>
      <c r="AB327" s="18"/>
      <c r="AC327" s="18"/>
      <c r="AD327" s="18"/>
      <c r="AE327" s="236"/>
      <c r="AF327" s="236"/>
      <c r="AG327" s="236"/>
      <c r="AH327" s="242"/>
    </row>
    <row r="328" spans="2:34" ht="13">
      <c r="B328" s="249"/>
      <c r="C328" s="157">
        <v>4891</v>
      </c>
      <c r="D328" s="123" t="s">
        <v>1315</v>
      </c>
      <c r="E328" s="124">
        <v>16</v>
      </c>
      <c r="F328" s="124">
        <v>15</v>
      </c>
      <c r="G328" s="124">
        <v>0</v>
      </c>
      <c r="H328" s="320">
        <f>SUM(G328:G331)</f>
        <v>0</v>
      </c>
      <c r="I328" s="320">
        <v>2000</v>
      </c>
      <c r="J328" s="320">
        <f>I328-H328</f>
        <v>2000</v>
      </c>
      <c r="K328" s="321">
        <f>J328/I328</f>
        <v>1</v>
      </c>
      <c r="M328" s="270"/>
      <c r="N328" s="1"/>
      <c r="O328" s="19" t="s">
        <v>1647</v>
      </c>
      <c r="P328" s="17">
        <v>2.5</v>
      </c>
      <c r="Q328" s="17">
        <v>13</v>
      </c>
      <c r="R328" s="17">
        <f t="shared" si="141"/>
        <v>32.5</v>
      </c>
      <c r="S328" s="236"/>
      <c r="T328" s="236"/>
      <c r="U328" s="236"/>
      <c r="V328" s="242"/>
      <c r="Y328" s="270"/>
      <c r="Z328" s="1"/>
      <c r="AA328" s="19" t="s">
        <v>1647</v>
      </c>
      <c r="AB328" s="17">
        <v>2.5</v>
      </c>
      <c r="AC328" s="17">
        <v>13</v>
      </c>
      <c r="AD328" s="17">
        <f>AB328*AC328</f>
        <v>32.5</v>
      </c>
      <c r="AE328" s="236"/>
      <c r="AF328" s="236"/>
      <c r="AG328" s="236"/>
      <c r="AH328" s="242"/>
    </row>
    <row r="329" spans="2:34" ht="13">
      <c r="B329" s="249"/>
      <c r="C329" s="155"/>
      <c r="D329" s="19" t="s">
        <v>1640</v>
      </c>
      <c r="E329" s="19"/>
      <c r="F329" s="19"/>
      <c r="G329" s="17">
        <f t="shared" ref="G329:G332" si="142">E329*F329</f>
        <v>0</v>
      </c>
      <c r="H329" s="236"/>
      <c r="I329" s="236"/>
      <c r="J329" s="236"/>
      <c r="K329" s="266"/>
      <c r="M329" s="270"/>
      <c r="N329" s="140"/>
      <c r="O329" s="20" t="s">
        <v>33</v>
      </c>
      <c r="P329" s="20"/>
      <c r="Q329" s="20"/>
      <c r="R329" s="20">
        <v>348.52</v>
      </c>
      <c r="S329" s="248"/>
      <c r="T329" s="248"/>
      <c r="U329" s="248"/>
      <c r="V329" s="303"/>
      <c r="Y329" s="270"/>
      <c r="Z329" s="140"/>
      <c r="AA329" s="20" t="s">
        <v>33</v>
      </c>
      <c r="AB329" s="20"/>
      <c r="AC329" s="20"/>
      <c r="AD329" s="20">
        <v>348.52</v>
      </c>
      <c r="AE329" s="248"/>
      <c r="AF329" s="248"/>
      <c r="AG329" s="248"/>
      <c r="AH329" s="303"/>
    </row>
    <row r="330" spans="2:34" ht="14">
      <c r="B330" s="249"/>
      <c r="C330" s="155"/>
      <c r="D330" s="19" t="s">
        <v>715</v>
      </c>
      <c r="E330" s="19"/>
      <c r="F330" s="19"/>
      <c r="G330" s="17">
        <f t="shared" si="142"/>
        <v>0</v>
      </c>
      <c r="H330" s="236"/>
      <c r="I330" s="236"/>
      <c r="J330" s="236"/>
      <c r="K330" s="266"/>
      <c r="M330" s="270"/>
      <c r="N330" s="144" t="s">
        <v>1648</v>
      </c>
      <c r="O330" s="77" t="s">
        <v>114</v>
      </c>
      <c r="P330" s="71">
        <v>8</v>
      </c>
      <c r="Q330" s="71">
        <v>16</v>
      </c>
      <c r="R330" s="71">
        <f t="shared" ref="R330:R342" si="143">P330*Q330</f>
        <v>128</v>
      </c>
      <c r="S330" s="239">
        <f>SUM(R330:R334)</f>
        <v>661.75</v>
      </c>
      <c r="T330" s="239">
        <v>5775</v>
      </c>
      <c r="U330" s="239">
        <f>T330-S330</f>
        <v>5113.25</v>
      </c>
      <c r="V330" s="259">
        <f>U330/T330</f>
        <v>0.88541125541125543</v>
      </c>
      <c r="Y330" s="270"/>
      <c r="Z330" s="144" t="s">
        <v>1648</v>
      </c>
      <c r="AA330" s="77" t="s">
        <v>114</v>
      </c>
      <c r="AB330" s="104"/>
      <c r="AC330" s="104"/>
      <c r="AD330" s="104"/>
      <c r="AE330" s="325">
        <f>SUM(AD330:AD334)</f>
        <v>372.25</v>
      </c>
      <c r="AF330" s="325">
        <v>5775</v>
      </c>
      <c r="AG330" s="325">
        <f>AF330-AE330</f>
        <v>5402.75</v>
      </c>
      <c r="AH330" s="330">
        <f>AG330/AF330</f>
        <v>0.93554112554112556</v>
      </c>
    </row>
    <row r="331" spans="2:34" ht="13">
      <c r="B331" s="249"/>
      <c r="C331" s="155"/>
      <c r="D331" s="19" t="s">
        <v>1407</v>
      </c>
      <c r="E331" s="19"/>
      <c r="F331" s="19"/>
      <c r="G331" s="17">
        <f t="shared" si="142"/>
        <v>0</v>
      </c>
      <c r="H331" s="236"/>
      <c r="I331" s="236"/>
      <c r="J331" s="236"/>
      <c r="K331" s="266"/>
      <c r="M331" s="270"/>
      <c r="N331" s="1"/>
      <c r="O331" s="19" t="s">
        <v>1361</v>
      </c>
      <c r="P331" s="17">
        <v>4</v>
      </c>
      <c r="Q331" s="17">
        <v>16</v>
      </c>
      <c r="R331" s="17">
        <f t="shared" si="143"/>
        <v>64</v>
      </c>
      <c r="S331" s="236"/>
      <c r="T331" s="236"/>
      <c r="U331" s="236"/>
      <c r="V331" s="242"/>
      <c r="Y331" s="270"/>
      <c r="Z331" s="1"/>
      <c r="AA331" s="19" t="s">
        <v>1361</v>
      </c>
      <c r="AB331" s="18"/>
      <c r="AC331" s="18"/>
      <c r="AD331" s="18"/>
      <c r="AE331" s="236"/>
      <c r="AF331" s="236"/>
      <c r="AG331" s="236"/>
      <c r="AH331" s="242"/>
    </row>
    <row r="332" spans="2:34" ht="13">
      <c r="B332" s="249"/>
      <c r="C332" s="155"/>
      <c r="D332" s="19" t="s">
        <v>1413</v>
      </c>
      <c r="E332" s="19"/>
      <c r="F332" s="19"/>
      <c r="G332" s="17">
        <f t="shared" si="142"/>
        <v>0</v>
      </c>
      <c r="H332" s="236"/>
      <c r="I332" s="236"/>
      <c r="J332" s="236"/>
      <c r="K332" s="266"/>
      <c r="M332" s="270"/>
      <c r="N332" s="1"/>
      <c r="O332" s="19" t="s">
        <v>715</v>
      </c>
      <c r="P332" s="17">
        <v>17</v>
      </c>
      <c r="Q332" s="17">
        <v>15</v>
      </c>
      <c r="R332" s="17">
        <f t="shared" si="143"/>
        <v>255</v>
      </c>
      <c r="S332" s="236"/>
      <c r="T332" s="236"/>
      <c r="U332" s="236"/>
      <c r="V332" s="242"/>
      <c r="Y332" s="270"/>
      <c r="Z332" s="1"/>
      <c r="AA332" s="19" t="s">
        <v>715</v>
      </c>
      <c r="AB332" s="17">
        <v>63</v>
      </c>
      <c r="AC332" s="17">
        <v>2.5</v>
      </c>
      <c r="AD332" s="17">
        <f t="shared" ref="AD332:AD342" si="144">AB332*AC332</f>
        <v>157.5</v>
      </c>
      <c r="AE332" s="236"/>
      <c r="AF332" s="236"/>
      <c r="AG332" s="236"/>
      <c r="AH332" s="242"/>
    </row>
    <row r="333" spans="2:34" ht="13">
      <c r="B333" s="249"/>
      <c r="C333" s="155"/>
      <c r="D333" s="19" t="s">
        <v>1634</v>
      </c>
      <c r="E333" s="19"/>
      <c r="F333" s="19"/>
      <c r="G333" s="19"/>
      <c r="H333" s="236"/>
      <c r="I333" s="236"/>
      <c r="J333" s="236"/>
      <c r="K333" s="266"/>
      <c r="M333" s="270"/>
      <c r="N333" s="1"/>
      <c r="O333" s="19" t="s">
        <v>1649</v>
      </c>
      <c r="P333" s="17">
        <v>5.25</v>
      </c>
      <c r="Q333" s="17">
        <v>15</v>
      </c>
      <c r="R333" s="17">
        <f t="shared" si="143"/>
        <v>78.75</v>
      </c>
      <c r="S333" s="236"/>
      <c r="T333" s="236"/>
      <c r="U333" s="236"/>
      <c r="V333" s="242"/>
      <c r="Y333" s="270"/>
      <c r="Z333" s="1"/>
      <c r="AA333" s="19" t="s">
        <v>1649</v>
      </c>
      <c r="AB333" s="17">
        <v>5.25</v>
      </c>
      <c r="AC333" s="17">
        <v>15</v>
      </c>
      <c r="AD333" s="17">
        <f t="shared" si="144"/>
        <v>78.75</v>
      </c>
      <c r="AE333" s="236"/>
      <c r="AF333" s="236"/>
      <c r="AG333" s="236"/>
      <c r="AH333" s="242"/>
    </row>
    <row r="334" spans="2:34" ht="13">
      <c r="B334" s="249"/>
      <c r="C334" s="157" t="s">
        <v>1650</v>
      </c>
      <c r="D334" s="123" t="s">
        <v>1315</v>
      </c>
      <c r="E334" s="124">
        <v>16</v>
      </c>
      <c r="F334" s="124">
        <v>15</v>
      </c>
      <c r="G334" s="159">
        <v>0</v>
      </c>
      <c r="H334" s="320">
        <f>SUM(G334:G338)</f>
        <v>348.9</v>
      </c>
      <c r="I334" s="320">
        <v>1950</v>
      </c>
      <c r="J334" s="320">
        <f>I334-H334</f>
        <v>1601.1</v>
      </c>
      <c r="K334" s="321">
        <f>J334/I334</f>
        <v>0.82107692307692304</v>
      </c>
      <c r="M334" s="270"/>
      <c r="N334" s="140"/>
      <c r="O334" s="20" t="s">
        <v>1651</v>
      </c>
      <c r="P334" s="20">
        <v>8</v>
      </c>
      <c r="Q334" s="20">
        <v>17</v>
      </c>
      <c r="R334" s="20">
        <f t="shared" si="143"/>
        <v>136</v>
      </c>
      <c r="S334" s="248"/>
      <c r="T334" s="248"/>
      <c r="U334" s="248"/>
      <c r="V334" s="303"/>
      <c r="Y334" s="270"/>
      <c r="Z334" s="1"/>
      <c r="AA334" s="20" t="s">
        <v>1651</v>
      </c>
      <c r="AB334" s="20">
        <v>8</v>
      </c>
      <c r="AC334" s="20">
        <v>17</v>
      </c>
      <c r="AD334" s="20">
        <f t="shared" si="144"/>
        <v>136</v>
      </c>
      <c r="AE334" s="248"/>
      <c r="AF334" s="248"/>
      <c r="AG334" s="248"/>
      <c r="AH334" s="303"/>
    </row>
    <row r="335" spans="2:34" ht="13">
      <c r="B335" s="249"/>
      <c r="C335" s="155"/>
      <c r="D335" s="19" t="s">
        <v>1308</v>
      </c>
      <c r="E335" s="17">
        <v>4.3</v>
      </c>
      <c r="F335" s="17">
        <v>14</v>
      </c>
      <c r="G335" s="24">
        <f t="shared" ref="G335:G338" si="145">E335*F335</f>
        <v>60.199999999999996</v>
      </c>
      <c r="H335" s="236"/>
      <c r="I335" s="236"/>
      <c r="J335" s="236"/>
      <c r="K335" s="266"/>
      <c r="M335" s="270"/>
      <c r="N335" s="322" t="s">
        <v>1652</v>
      </c>
      <c r="O335" s="77" t="s">
        <v>1235</v>
      </c>
      <c r="P335" s="71">
        <v>266</v>
      </c>
      <c r="Q335" s="71">
        <v>17</v>
      </c>
      <c r="R335" s="71">
        <f t="shared" si="143"/>
        <v>4522</v>
      </c>
      <c r="S335" s="239">
        <f>SUM(R335:R345)</f>
        <v>7587.6</v>
      </c>
      <c r="T335" s="239">
        <v>23826.3</v>
      </c>
      <c r="U335" s="239">
        <f>T335-S335</f>
        <v>16238.699999999999</v>
      </c>
      <c r="V335" s="259">
        <f>U335/T335</f>
        <v>0.68154518326387226</v>
      </c>
      <c r="Y335" s="270"/>
      <c r="Z335" s="322" t="s">
        <v>1652</v>
      </c>
      <c r="AA335" s="77" t="s">
        <v>1235</v>
      </c>
      <c r="AB335" s="71">
        <v>266</v>
      </c>
      <c r="AC335" s="71">
        <v>17</v>
      </c>
      <c r="AD335" s="71">
        <f t="shared" si="144"/>
        <v>4522</v>
      </c>
      <c r="AE335" s="325">
        <f>SUM(AD335:AD345)</f>
        <v>7587.6</v>
      </c>
      <c r="AF335" s="325">
        <v>23826.3</v>
      </c>
      <c r="AG335" s="325">
        <f>AF335-AE335</f>
        <v>16238.699999999999</v>
      </c>
      <c r="AH335" s="330">
        <f>AG335/AF335</f>
        <v>0.68154518326387226</v>
      </c>
    </row>
    <row r="336" spans="2:34" ht="13">
      <c r="B336" s="249"/>
      <c r="C336" s="155"/>
      <c r="D336" s="19" t="s">
        <v>1449</v>
      </c>
      <c r="E336" s="17">
        <v>6.4</v>
      </c>
      <c r="F336" s="17">
        <v>12.5</v>
      </c>
      <c r="G336" s="24">
        <f t="shared" si="145"/>
        <v>80</v>
      </c>
      <c r="H336" s="236"/>
      <c r="I336" s="236"/>
      <c r="J336" s="236"/>
      <c r="K336" s="266"/>
      <c r="M336" s="270"/>
      <c r="N336" s="236"/>
      <c r="O336" s="19" t="s">
        <v>310</v>
      </c>
      <c r="P336" s="17">
        <v>18</v>
      </c>
      <c r="Q336" s="17">
        <v>15</v>
      </c>
      <c r="R336" s="17">
        <f t="shared" si="143"/>
        <v>270</v>
      </c>
      <c r="S336" s="236"/>
      <c r="T336" s="236"/>
      <c r="U336" s="236"/>
      <c r="V336" s="242"/>
      <c r="Y336" s="270"/>
      <c r="Z336" s="236"/>
      <c r="AA336" s="19" t="s">
        <v>310</v>
      </c>
      <c r="AB336" s="17">
        <v>18</v>
      </c>
      <c r="AC336" s="17">
        <v>15</v>
      </c>
      <c r="AD336" s="17">
        <f t="shared" si="144"/>
        <v>270</v>
      </c>
      <c r="AE336" s="236"/>
      <c r="AF336" s="236"/>
      <c r="AG336" s="236"/>
      <c r="AH336" s="242"/>
    </row>
    <row r="337" spans="2:35" ht="13">
      <c r="B337" s="249"/>
      <c r="C337" s="155"/>
      <c r="D337" s="19" t="s">
        <v>95</v>
      </c>
      <c r="E337" s="17">
        <v>4.3</v>
      </c>
      <c r="F337" s="17">
        <v>14</v>
      </c>
      <c r="G337" s="24">
        <f t="shared" si="145"/>
        <v>60.199999999999996</v>
      </c>
      <c r="H337" s="236"/>
      <c r="I337" s="236"/>
      <c r="J337" s="236"/>
      <c r="K337" s="266"/>
      <c r="M337" s="270"/>
      <c r="N337" s="1"/>
      <c r="O337" s="19" t="s">
        <v>419</v>
      </c>
      <c r="P337" s="17">
        <v>9</v>
      </c>
      <c r="Q337" s="17">
        <v>15</v>
      </c>
      <c r="R337" s="17">
        <f t="shared" si="143"/>
        <v>135</v>
      </c>
      <c r="S337" s="236"/>
      <c r="T337" s="236"/>
      <c r="U337" s="236"/>
      <c r="V337" s="242"/>
      <c r="Y337" s="270"/>
      <c r="Z337" s="1"/>
      <c r="AA337" s="19" t="s">
        <v>419</v>
      </c>
      <c r="AB337" s="17">
        <v>9</v>
      </c>
      <c r="AC337" s="17">
        <v>15</v>
      </c>
      <c r="AD337" s="17">
        <f t="shared" si="144"/>
        <v>135</v>
      </c>
      <c r="AE337" s="236"/>
      <c r="AF337" s="236"/>
      <c r="AG337" s="236"/>
      <c r="AH337" s="242"/>
    </row>
    <row r="338" spans="2:35" ht="13">
      <c r="B338" s="250"/>
      <c r="C338" s="155"/>
      <c r="D338" s="19" t="s">
        <v>1448</v>
      </c>
      <c r="E338" s="17">
        <v>11.88</v>
      </c>
      <c r="F338" s="17">
        <v>12.5</v>
      </c>
      <c r="G338" s="24">
        <f t="shared" si="145"/>
        <v>148.5</v>
      </c>
      <c r="H338" s="293"/>
      <c r="I338" s="293"/>
      <c r="J338" s="293"/>
      <c r="K338" s="319"/>
      <c r="M338" s="270"/>
      <c r="N338" s="1"/>
      <c r="O338" s="19" t="s">
        <v>1653</v>
      </c>
      <c r="P338" s="17">
        <v>15</v>
      </c>
      <c r="Q338" s="17">
        <v>17</v>
      </c>
      <c r="R338" s="17">
        <f t="shared" si="143"/>
        <v>255</v>
      </c>
      <c r="S338" s="236"/>
      <c r="T338" s="236"/>
      <c r="U338" s="236"/>
      <c r="V338" s="242"/>
      <c r="Y338" s="270"/>
      <c r="Z338" s="1"/>
      <c r="AA338" s="19" t="s">
        <v>1653</v>
      </c>
      <c r="AB338" s="17">
        <v>15</v>
      </c>
      <c r="AC338" s="17">
        <v>17</v>
      </c>
      <c r="AD338" s="17">
        <f t="shared" si="144"/>
        <v>255</v>
      </c>
      <c r="AE338" s="236"/>
      <c r="AF338" s="236"/>
      <c r="AG338" s="236"/>
      <c r="AH338" s="242"/>
    </row>
    <row r="339" spans="2:35" ht="30">
      <c r="B339" s="251" t="s">
        <v>1654</v>
      </c>
      <c r="C339" s="252"/>
      <c r="D339" s="253"/>
      <c r="E339" s="27">
        <f t="shared" ref="E339:J339" si="146">AVERAGE(E244:E338)</f>
        <v>9.2654545454545421</v>
      </c>
      <c r="F339" s="27">
        <f t="shared" si="146"/>
        <v>14.901515151515152</v>
      </c>
      <c r="G339" s="152">
        <f t="shared" si="146"/>
        <v>94.952606382978757</v>
      </c>
      <c r="H339" s="152">
        <f t="shared" si="146"/>
        <v>595.03633333333335</v>
      </c>
      <c r="I339" s="152">
        <f t="shared" si="146"/>
        <v>2043.2333333333333</v>
      </c>
      <c r="J339" s="152">
        <f t="shared" si="146"/>
        <v>1448.1970000000001</v>
      </c>
      <c r="K339" s="153"/>
      <c r="M339" s="270"/>
      <c r="N339" s="1"/>
      <c r="O339" s="19" t="s">
        <v>1655</v>
      </c>
      <c r="P339" s="17">
        <v>18</v>
      </c>
      <c r="Q339" s="17">
        <v>17</v>
      </c>
      <c r="R339" s="17">
        <f t="shared" si="143"/>
        <v>306</v>
      </c>
      <c r="S339" s="236"/>
      <c r="T339" s="236"/>
      <c r="U339" s="236"/>
      <c r="V339" s="242"/>
      <c r="Y339" s="270"/>
      <c r="Z339" s="1"/>
      <c r="AA339" s="19" t="s">
        <v>1655</v>
      </c>
      <c r="AB339" s="17">
        <v>18</v>
      </c>
      <c r="AC339" s="17">
        <v>17</v>
      </c>
      <c r="AD339" s="17">
        <f t="shared" si="144"/>
        <v>306</v>
      </c>
      <c r="AE339" s="236"/>
      <c r="AF339" s="236"/>
      <c r="AG339" s="236"/>
      <c r="AH339" s="242"/>
    </row>
    <row r="340" spans="2:35" ht="30">
      <c r="B340" s="251" t="s">
        <v>1656</v>
      </c>
      <c r="C340" s="252"/>
      <c r="D340" s="253"/>
      <c r="E340" s="27">
        <f t="shared" ref="E340:J340" si="147">SUM(E244:E338)</f>
        <v>611.51999999999975</v>
      </c>
      <c r="F340" s="27">
        <f t="shared" si="147"/>
        <v>983.5</v>
      </c>
      <c r="G340" s="152">
        <f t="shared" si="147"/>
        <v>8925.5450000000037</v>
      </c>
      <c r="H340" s="152">
        <f t="shared" si="147"/>
        <v>8925.5450000000001</v>
      </c>
      <c r="I340" s="152">
        <f t="shared" si="147"/>
        <v>30648.5</v>
      </c>
      <c r="J340" s="152">
        <f t="shared" si="147"/>
        <v>21722.955000000002</v>
      </c>
      <c r="K340" s="154">
        <f t="shared" ref="K340:K341" si="148">J340/I340</f>
        <v>0.70877710165260943</v>
      </c>
      <c r="M340" s="270"/>
      <c r="N340" s="1"/>
      <c r="O340" s="19" t="s">
        <v>1657</v>
      </c>
      <c r="P340" s="17">
        <v>9</v>
      </c>
      <c r="Q340" s="17">
        <v>17</v>
      </c>
      <c r="R340" s="17">
        <f t="shared" si="143"/>
        <v>153</v>
      </c>
      <c r="S340" s="236"/>
      <c r="T340" s="236"/>
      <c r="U340" s="236"/>
      <c r="V340" s="242"/>
      <c r="Y340" s="270"/>
      <c r="Z340" s="1"/>
      <c r="AA340" s="19" t="s">
        <v>1657</v>
      </c>
      <c r="AB340" s="17">
        <v>9</v>
      </c>
      <c r="AC340" s="17">
        <v>17</v>
      </c>
      <c r="AD340" s="17">
        <f t="shared" si="144"/>
        <v>153</v>
      </c>
      <c r="AE340" s="236"/>
      <c r="AF340" s="236"/>
      <c r="AG340" s="236"/>
      <c r="AH340" s="242"/>
    </row>
    <row r="341" spans="2:35" ht="13">
      <c r="B341" s="277" t="s">
        <v>3</v>
      </c>
      <c r="C341" s="155" t="s">
        <v>1658</v>
      </c>
      <c r="D341" s="19" t="s">
        <v>1315</v>
      </c>
      <c r="E341" s="17">
        <v>8</v>
      </c>
      <c r="F341" s="17">
        <v>15</v>
      </c>
      <c r="G341" s="24">
        <v>0</v>
      </c>
      <c r="H341" s="325">
        <f>SUM(G341:G342)</f>
        <v>0</v>
      </c>
      <c r="I341" s="325">
        <v>1932</v>
      </c>
      <c r="J341" s="325">
        <f>I341-H341</f>
        <v>1932</v>
      </c>
      <c r="K341" s="328">
        <f t="shared" si="148"/>
        <v>1</v>
      </c>
      <c r="M341" s="270"/>
      <c r="N341" s="1"/>
      <c r="O341" s="19" t="s">
        <v>1659</v>
      </c>
      <c r="P341" s="17">
        <v>3</v>
      </c>
      <c r="Q341" s="17">
        <v>17</v>
      </c>
      <c r="R341" s="17">
        <f t="shared" si="143"/>
        <v>51</v>
      </c>
      <c r="S341" s="236"/>
      <c r="T341" s="236"/>
      <c r="U341" s="236"/>
      <c r="V341" s="242"/>
      <c r="Y341" s="270"/>
      <c r="Z341" s="1"/>
      <c r="AA341" s="19" t="s">
        <v>1659</v>
      </c>
      <c r="AB341" s="17">
        <v>3</v>
      </c>
      <c r="AC341" s="17">
        <v>17</v>
      </c>
      <c r="AD341" s="17">
        <f t="shared" si="144"/>
        <v>51</v>
      </c>
      <c r="AE341" s="236"/>
      <c r="AF341" s="236"/>
      <c r="AG341" s="236"/>
      <c r="AH341" s="242"/>
    </row>
    <row r="342" spans="2:35" ht="13">
      <c r="B342" s="249"/>
      <c r="C342" s="155"/>
      <c r="D342" s="19" t="s">
        <v>1305</v>
      </c>
      <c r="E342" s="17">
        <v>8</v>
      </c>
      <c r="F342" s="17">
        <v>15</v>
      </c>
      <c r="G342" s="24">
        <v>0</v>
      </c>
      <c r="H342" s="293"/>
      <c r="I342" s="293"/>
      <c r="J342" s="293"/>
      <c r="K342" s="319"/>
      <c r="M342" s="270"/>
      <c r="N342" s="1"/>
      <c r="O342" s="19" t="s">
        <v>1660</v>
      </c>
      <c r="P342" s="17">
        <v>9</v>
      </c>
      <c r="Q342" s="17">
        <v>17</v>
      </c>
      <c r="R342" s="17">
        <f t="shared" si="143"/>
        <v>153</v>
      </c>
      <c r="S342" s="236"/>
      <c r="T342" s="236"/>
      <c r="U342" s="236"/>
      <c r="V342" s="242"/>
      <c r="Y342" s="270"/>
      <c r="Z342" s="1"/>
      <c r="AA342" s="19" t="s">
        <v>1660</v>
      </c>
      <c r="AB342" s="17">
        <v>9</v>
      </c>
      <c r="AC342" s="17">
        <v>17</v>
      </c>
      <c r="AD342" s="17">
        <f t="shared" si="144"/>
        <v>153</v>
      </c>
      <c r="AE342" s="236"/>
      <c r="AF342" s="236"/>
      <c r="AG342" s="236"/>
      <c r="AH342" s="242"/>
    </row>
    <row r="343" spans="2:35" ht="13">
      <c r="B343" s="249"/>
      <c r="C343" s="157" t="s">
        <v>1661</v>
      </c>
      <c r="D343" s="123" t="s">
        <v>1315</v>
      </c>
      <c r="E343" s="124">
        <v>8</v>
      </c>
      <c r="F343" s="124">
        <v>15</v>
      </c>
      <c r="G343" s="159">
        <v>0</v>
      </c>
      <c r="H343" s="320">
        <f>SUM(G343:G344)</f>
        <v>0</v>
      </c>
      <c r="I343" s="320">
        <v>710.4</v>
      </c>
      <c r="J343" s="320">
        <f>I343-H343</f>
        <v>710.4</v>
      </c>
      <c r="K343" s="321">
        <f>J343/I343</f>
        <v>1</v>
      </c>
      <c r="M343" s="270"/>
      <c r="N343" s="1"/>
      <c r="O343" s="19" t="s">
        <v>1662</v>
      </c>
      <c r="P343" s="17"/>
      <c r="Q343" s="17"/>
      <c r="R343" s="17">
        <v>180</v>
      </c>
      <c r="S343" s="236"/>
      <c r="T343" s="236"/>
      <c r="U343" s="236"/>
      <c r="V343" s="242"/>
      <c r="Y343" s="270"/>
      <c r="Z343" s="1"/>
      <c r="AA343" s="19" t="s">
        <v>1662</v>
      </c>
      <c r="AB343" s="17"/>
      <c r="AC343" s="17"/>
      <c r="AD343" s="17">
        <v>180</v>
      </c>
      <c r="AE343" s="236"/>
      <c r="AF343" s="236"/>
      <c r="AG343" s="236"/>
      <c r="AH343" s="242"/>
    </row>
    <row r="344" spans="2:35" ht="13">
      <c r="B344" s="249"/>
      <c r="C344" s="155"/>
      <c r="D344" s="19" t="s">
        <v>1305</v>
      </c>
      <c r="E344" s="17">
        <v>8</v>
      </c>
      <c r="F344" s="17">
        <v>15</v>
      </c>
      <c r="G344" s="24">
        <v>0</v>
      </c>
      <c r="H344" s="293"/>
      <c r="I344" s="293"/>
      <c r="J344" s="293"/>
      <c r="K344" s="319"/>
      <c r="M344" s="270"/>
      <c r="N344" s="1"/>
      <c r="O344" s="19" t="s">
        <v>1663</v>
      </c>
      <c r="P344" s="17"/>
      <c r="Q344" s="17"/>
      <c r="R344" s="17">
        <v>40</v>
      </c>
      <c r="S344" s="236"/>
      <c r="T344" s="236"/>
      <c r="U344" s="236"/>
      <c r="V344" s="242"/>
      <c r="Y344" s="270"/>
      <c r="Z344" s="1"/>
      <c r="AA344" s="19" t="s">
        <v>1663</v>
      </c>
      <c r="AB344" s="17"/>
      <c r="AC344" s="17"/>
      <c r="AD344" s="17">
        <v>40</v>
      </c>
      <c r="AE344" s="236"/>
      <c r="AF344" s="236"/>
      <c r="AG344" s="236"/>
      <c r="AH344" s="242"/>
    </row>
    <row r="345" spans="2:35" ht="13">
      <c r="B345" s="249"/>
      <c r="C345" s="155" t="s">
        <v>1664</v>
      </c>
      <c r="D345" s="19" t="s">
        <v>1626</v>
      </c>
      <c r="E345" s="17" t="s">
        <v>1665</v>
      </c>
      <c r="F345" s="17">
        <v>14</v>
      </c>
      <c r="G345" s="17">
        <v>32.200000000000003</v>
      </c>
      <c r="H345" s="325">
        <f>SUM(G345:G347)</f>
        <v>32.200000000000003</v>
      </c>
      <c r="I345" s="325">
        <v>830</v>
      </c>
      <c r="J345" s="325">
        <f>I345-H345</f>
        <v>797.8</v>
      </c>
      <c r="K345" s="328">
        <f>J345/I345</f>
        <v>0.96120481927710832</v>
      </c>
      <c r="M345" s="270"/>
      <c r="N345" s="140"/>
      <c r="O345" s="20" t="s">
        <v>1582</v>
      </c>
      <c r="P345" s="21"/>
      <c r="Q345" s="21"/>
      <c r="R345" s="21">
        <v>1522.6</v>
      </c>
      <c r="S345" s="248"/>
      <c r="T345" s="248"/>
      <c r="U345" s="248"/>
      <c r="V345" s="303"/>
      <c r="Y345" s="270"/>
      <c r="Z345" s="140"/>
      <c r="AA345" s="20" t="s">
        <v>1582</v>
      </c>
      <c r="AB345" s="21"/>
      <c r="AC345" s="21"/>
      <c r="AD345" s="21">
        <v>1522.6</v>
      </c>
      <c r="AE345" s="248"/>
      <c r="AF345" s="248"/>
      <c r="AG345" s="248"/>
      <c r="AH345" s="303"/>
      <c r="AI345" s="19"/>
    </row>
    <row r="346" spans="2:35" ht="30">
      <c r="B346" s="249"/>
      <c r="C346" s="155"/>
      <c r="D346" s="19" t="s">
        <v>95</v>
      </c>
      <c r="E346" s="17">
        <v>2</v>
      </c>
      <c r="F346" s="17">
        <v>14</v>
      </c>
      <c r="G346" s="17">
        <v>0</v>
      </c>
      <c r="H346" s="236"/>
      <c r="I346" s="236"/>
      <c r="J346" s="236"/>
      <c r="K346" s="266"/>
      <c r="M346" s="278" t="s">
        <v>1666</v>
      </c>
      <c r="N346" s="252"/>
      <c r="O346" s="253"/>
      <c r="P346" s="128">
        <f t="shared" ref="P346:U346" si="149">AVERAGE(P253:P345)</f>
        <v>17.107407407407408</v>
      </c>
      <c r="Q346" s="128">
        <f t="shared" si="149"/>
        <v>16.833333333333332</v>
      </c>
      <c r="R346" s="128">
        <f t="shared" si="149"/>
        <v>273.47684782608695</v>
      </c>
      <c r="S346" s="128">
        <f t="shared" si="149"/>
        <v>1143.6304545454548</v>
      </c>
      <c r="T346" s="128">
        <f t="shared" si="149"/>
        <v>4233.0650000000005</v>
      </c>
      <c r="U346" s="128">
        <f t="shared" si="149"/>
        <v>3089.4345454545455</v>
      </c>
      <c r="V346" s="149"/>
      <c r="W346" s="19"/>
      <c r="Y346" s="278" t="s">
        <v>1666</v>
      </c>
      <c r="Z346" s="252"/>
      <c r="AA346" s="253"/>
      <c r="AB346" s="128">
        <f t="shared" ref="AB346:AG346" si="150">AVERAGE(AB253:AB345)</f>
        <v>22.203947368421051</v>
      </c>
      <c r="AC346" s="128">
        <f t="shared" si="150"/>
        <v>16.907894736842106</v>
      </c>
      <c r="AD346" s="128">
        <f t="shared" si="150"/>
        <v>302.12759999999997</v>
      </c>
      <c r="AE346" s="128">
        <f t="shared" si="150"/>
        <v>1029.9804545454544</v>
      </c>
      <c r="AF346" s="128">
        <f t="shared" si="150"/>
        <v>4233.0650000000005</v>
      </c>
      <c r="AG346" s="128">
        <f t="shared" si="150"/>
        <v>3203.0845454545456</v>
      </c>
      <c r="AH346" s="129">
        <f>AVERAGE($V$252:$V$344)</f>
        <v>0.75696063197521224</v>
      </c>
      <c r="AI346" s="19"/>
    </row>
    <row r="347" spans="2:35" ht="30">
      <c r="B347" s="249"/>
      <c r="C347" s="155"/>
      <c r="D347" s="19" t="s">
        <v>1667</v>
      </c>
      <c r="E347" s="17" t="s">
        <v>1668</v>
      </c>
      <c r="F347" s="17">
        <v>15</v>
      </c>
      <c r="G347" s="17">
        <v>0</v>
      </c>
      <c r="H347" s="293"/>
      <c r="I347" s="293"/>
      <c r="J347" s="293"/>
      <c r="K347" s="319"/>
      <c r="M347" s="318" t="s">
        <v>1669</v>
      </c>
      <c r="N347" s="293"/>
      <c r="O347" s="319"/>
      <c r="P347" s="130">
        <f t="shared" ref="P347:U347" si="151">SUM(P253:P345)</f>
        <v>923.8</v>
      </c>
      <c r="Q347" s="130">
        <f t="shared" si="151"/>
        <v>909</v>
      </c>
      <c r="R347" s="130">
        <f t="shared" si="151"/>
        <v>25159.87</v>
      </c>
      <c r="S347" s="130">
        <f t="shared" si="151"/>
        <v>25159.870000000003</v>
      </c>
      <c r="T347" s="130">
        <f t="shared" si="151"/>
        <v>93127.430000000008</v>
      </c>
      <c r="U347" s="130">
        <f t="shared" si="151"/>
        <v>67967.56</v>
      </c>
      <c r="V347" s="129">
        <f t="shared" ref="V347:V348" si="152">U347/T347</f>
        <v>0.72983394903091381</v>
      </c>
      <c r="W347" s="19"/>
      <c r="Y347" s="318" t="s">
        <v>1669</v>
      </c>
      <c r="Z347" s="293"/>
      <c r="AA347" s="319"/>
      <c r="AB347" s="130">
        <f t="shared" ref="AB347:AG347" si="153">SUM(AB253:AB345)</f>
        <v>843.75</v>
      </c>
      <c r="AC347" s="130">
        <f t="shared" si="153"/>
        <v>642.5</v>
      </c>
      <c r="AD347" s="130">
        <f t="shared" si="153"/>
        <v>22659.57</v>
      </c>
      <c r="AE347" s="130">
        <f t="shared" si="153"/>
        <v>22659.57</v>
      </c>
      <c r="AF347" s="130">
        <f t="shared" si="153"/>
        <v>93127.430000000008</v>
      </c>
      <c r="AG347" s="130">
        <f t="shared" si="153"/>
        <v>70467.86</v>
      </c>
      <c r="AH347" s="151">
        <f t="shared" ref="AH347:AH348" si="154">AG347/AF347</f>
        <v>0.75668210751655007</v>
      </c>
    </row>
    <row r="348" spans="2:35" ht="13">
      <c r="B348" s="249"/>
      <c r="C348" s="157" t="s">
        <v>1670</v>
      </c>
      <c r="D348" s="123" t="s">
        <v>1308</v>
      </c>
      <c r="E348" s="124">
        <v>8</v>
      </c>
      <c r="F348" s="124">
        <v>14</v>
      </c>
      <c r="G348" s="124">
        <v>112</v>
      </c>
      <c r="H348" s="320">
        <f>SUM(G348:G351)</f>
        <v>247</v>
      </c>
      <c r="I348" s="320">
        <v>660</v>
      </c>
      <c r="J348" s="320">
        <f>I348-H348</f>
        <v>413</v>
      </c>
      <c r="K348" s="321">
        <f>J348/I348</f>
        <v>0.62575757575757573</v>
      </c>
      <c r="M348" s="290" t="s">
        <v>5</v>
      </c>
      <c r="N348" s="166" t="s">
        <v>1671</v>
      </c>
      <c r="O348" s="24" t="s">
        <v>87</v>
      </c>
      <c r="P348" s="24">
        <v>40</v>
      </c>
      <c r="Q348" s="24">
        <v>20</v>
      </c>
      <c r="R348" s="24">
        <f>P348*Q348</f>
        <v>800</v>
      </c>
      <c r="S348" s="325">
        <f>SUM(R348:R352)</f>
        <v>2049</v>
      </c>
      <c r="T348" s="325">
        <v>10444.299999999999</v>
      </c>
      <c r="U348" s="325">
        <f>T348-S348</f>
        <v>8395.2999999999993</v>
      </c>
      <c r="V348" s="259">
        <f t="shared" si="152"/>
        <v>0.80381643575921791</v>
      </c>
      <c r="Y348" s="290" t="s">
        <v>5</v>
      </c>
      <c r="Z348" s="166" t="s">
        <v>1671</v>
      </c>
      <c r="AA348" s="24" t="s">
        <v>87</v>
      </c>
      <c r="AB348" s="167"/>
      <c r="AC348" s="167"/>
      <c r="AD348" s="167"/>
      <c r="AE348" s="325">
        <f>SUM(AD348:AD352)</f>
        <v>1249</v>
      </c>
      <c r="AF348" s="325">
        <v>10444.299999999999</v>
      </c>
      <c r="AG348" s="325">
        <f>AF348-AE348</f>
        <v>9195.2999999999993</v>
      </c>
      <c r="AH348" s="259">
        <f t="shared" si="154"/>
        <v>0.88041323975757113</v>
      </c>
    </row>
    <row r="349" spans="2:35" ht="13">
      <c r="B349" s="249"/>
      <c r="C349" s="155"/>
      <c r="D349" s="19" t="s">
        <v>1633</v>
      </c>
      <c r="E349" s="17">
        <v>9</v>
      </c>
      <c r="F349" s="17">
        <v>15</v>
      </c>
      <c r="G349" s="17">
        <v>135</v>
      </c>
      <c r="H349" s="236"/>
      <c r="I349" s="236"/>
      <c r="J349" s="236"/>
      <c r="K349" s="266"/>
      <c r="M349" s="270"/>
      <c r="O349" s="24" t="s">
        <v>56</v>
      </c>
      <c r="P349" s="327">
        <v>1</v>
      </c>
      <c r="Q349" s="236"/>
      <c r="R349" s="24">
        <v>603</v>
      </c>
      <c r="S349" s="236"/>
      <c r="T349" s="236"/>
      <c r="U349" s="236"/>
      <c r="V349" s="242"/>
      <c r="Y349" s="270"/>
      <c r="AA349" s="24" t="s">
        <v>56</v>
      </c>
      <c r="AB349" s="327">
        <v>1</v>
      </c>
      <c r="AC349" s="236"/>
      <c r="AD349" s="24">
        <v>603</v>
      </c>
      <c r="AE349" s="236"/>
      <c r="AF349" s="236"/>
      <c r="AG349" s="236"/>
      <c r="AH349" s="242"/>
    </row>
    <row r="350" spans="2:35" ht="13">
      <c r="B350" s="249"/>
      <c r="C350" s="155"/>
      <c r="E350" s="11"/>
      <c r="F350" s="11"/>
      <c r="H350" s="236"/>
      <c r="I350" s="236"/>
      <c r="J350" s="236"/>
      <c r="K350" s="266"/>
      <c r="M350" s="270"/>
      <c r="O350" s="24" t="s">
        <v>47</v>
      </c>
      <c r="P350" s="327">
        <v>1</v>
      </c>
      <c r="Q350" s="236"/>
      <c r="R350" s="24">
        <v>231</v>
      </c>
      <c r="S350" s="236"/>
      <c r="T350" s="236"/>
      <c r="U350" s="236"/>
      <c r="V350" s="242"/>
      <c r="Y350" s="270"/>
      <c r="AA350" s="24" t="s">
        <v>47</v>
      </c>
      <c r="AB350" s="327">
        <v>1</v>
      </c>
      <c r="AC350" s="236"/>
      <c r="AD350" s="24">
        <v>231</v>
      </c>
      <c r="AE350" s="236"/>
      <c r="AF350" s="236"/>
      <c r="AG350" s="236"/>
      <c r="AH350" s="242"/>
    </row>
    <row r="351" spans="2:35" ht="13">
      <c r="B351" s="249"/>
      <c r="C351" s="155"/>
      <c r="D351" s="24"/>
      <c r="E351" s="11"/>
      <c r="F351" s="11"/>
      <c r="G351" s="11"/>
      <c r="H351" s="293"/>
      <c r="I351" s="293"/>
      <c r="J351" s="293"/>
      <c r="K351" s="319"/>
      <c r="M351" s="270"/>
      <c r="O351" s="24" t="s">
        <v>1672</v>
      </c>
      <c r="P351" s="327">
        <v>1</v>
      </c>
      <c r="Q351" s="236"/>
      <c r="R351" s="24">
        <v>230</v>
      </c>
      <c r="S351" s="236"/>
      <c r="T351" s="236"/>
      <c r="U351" s="236"/>
      <c r="V351" s="242"/>
      <c r="Y351" s="270"/>
      <c r="AA351" s="24" t="s">
        <v>1672</v>
      </c>
      <c r="AB351" s="327">
        <v>1</v>
      </c>
      <c r="AC351" s="236"/>
      <c r="AD351" s="24">
        <v>230</v>
      </c>
      <c r="AE351" s="236"/>
      <c r="AF351" s="236"/>
      <c r="AG351" s="236"/>
      <c r="AH351" s="242"/>
    </row>
    <row r="352" spans="2:35" ht="13">
      <c r="B352" s="249"/>
      <c r="C352" s="157" t="s">
        <v>1673</v>
      </c>
      <c r="D352" s="123" t="s">
        <v>1601</v>
      </c>
      <c r="E352" s="124">
        <v>8</v>
      </c>
      <c r="F352" s="124">
        <v>15</v>
      </c>
      <c r="G352" s="124">
        <v>0</v>
      </c>
      <c r="H352" s="320">
        <f>SUM(G352:G353)</f>
        <v>125</v>
      </c>
      <c r="I352" s="320">
        <v>730</v>
      </c>
      <c r="J352" s="320">
        <f>I352-H352</f>
        <v>605</v>
      </c>
      <c r="K352" s="321">
        <f>J352/I352</f>
        <v>0.82876712328767121</v>
      </c>
      <c r="M352" s="270"/>
      <c r="N352" s="44"/>
      <c r="O352" s="44" t="s">
        <v>518</v>
      </c>
      <c r="P352" s="326">
        <v>1</v>
      </c>
      <c r="Q352" s="248"/>
      <c r="R352" s="44">
        <v>185</v>
      </c>
      <c r="S352" s="248"/>
      <c r="T352" s="248"/>
      <c r="U352" s="248"/>
      <c r="V352" s="303"/>
      <c r="Y352" s="270"/>
      <c r="Z352" s="44"/>
      <c r="AA352" s="44" t="s">
        <v>518</v>
      </c>
      <c r="AB352" s="326">
        <v>1</v>
      </c>
      <c r="AC352" s="248"/>
      <c r="AD352" s="44">
        <v>185</v>
      </c>
      <c r="AE352" s="248"/>
      <c r="AF352" s="248"/>
      <c r="AG352" s="248"/>
      <c r="AH352" s="303"/>
    </row>
    <row r="353" spans="2:34" ht="14">
      <c r="B353" s="249"/>
      <c r="C353" s="155"/>
      <c r="D353" s="19" t="s">
        <v>1061</v>
      </c>
      <c r="E353" s="19"/>
      <c r="F353" s="17"/>
      <c r="G353" s="17">
        <v>125</v>
      </c>
      <c r="H353" s="293"/>
      <c r="I353" s="293"/>
      <c r="J353" s="293"/>
      <c r="K353" s="319"/>
      <c r="M353" s="270"/>
      <c r="N353" s="144" t="s">
        <v>1674</v>
      </c>
      <c r="O353" s="77" t="s">
        <v>1361</v>
      </c>
      <c r="P353" s="71">
        <v>5.25</v>
      </c>
      <c r="Q353" s="71">
        <v>16</v>
      </c>
      <c r="R353" s="71">
        <f>P353*Q353</f>
        <v>84</v>
      </c>
      <c r="S353" s="239">
        <f>SUM(R353:R355)</f>
        <v>361.5</v>
      </c>
      <c r="T353" s="239">
        <v>2100</v>
      </c>
      <c r="U353" s="239">
        <f>T353-S353</f>
        <v>1738.5</v>
      </c>
      <c r="V353" s="259">
        <f>U353/T353</f>
        <v>0.82785714285714285</v>
      </c>
      <c r="Y353" s="270"/>
      <c r="Z353" s="144" t="s">
        <v>1674</v>
      </c>
      <c r="AA353" s="77" t="s">
        <v>1361</v>
      </c>
      <c r="AB353" s="18"/>
      <c r="AC353" s="18"/>
      <c r="AD353" s="104"/>
      <c r="AE353" s="325">
        <f>SUM(AD353:AD355)</f>
        <v>277.5</v>
      </c>
      <c r="AF353" s="325">
        <v>2100</v>
      </c>
      <c r="AG353" s="325">
        <f>AF353-AE353</f>
        <v>1822.5</v>
      </c>
      <c r="AH353" s="330">
        <f>AG353/AF353</f>
        <v>0.86785714285714288</v>
      </c>
    </row>
    <row r="354" spans="2:34" ht="13">
      <c r="B354" s="249"/>
      <c r="C354" s="157" t="s">
        <v>1675</v>
      </c>
      <c r="D354" s="123" t="s">
        <v>1556</v>
      </c>
      <c r="E354" s="124">
        <v>3</v>
      </c>
      <c r="F354" s="124">
        <v>0</v>
      </c>
      <c r="G354" s="124">
        <v>0</v>
      </c>
      <c r="H354" s="320">
        <f>SUM(G354:G359)</f>
        <v>162</v>
      </c>
      <c r="I354" s="320">
        <v>1242</v>
      </c>
      <c r="J354" s="320">
        <f>I354-H354</f>
        <v>1080</v>
      </c>
      <c r="K354" s="321">
        <f>J354/I354</f>
        <v>0.86956521739130432</v>
      </c>
      <c r="M354" s="270"/>
      <c r="N354" s="1"/>
      <c r="O354" s="19" t="s">
        <v>986</v>
      </c>
      <c r="P354" s="17"/>
      <c r="Q354" s="17"/>
      <c r="R354" s="17">
        <v>180</v>
      </c>
      <c r="S354" s="236"/>
      <c r="T354" s="236"/>
      <c r="U354" s="236"/>
      <c r="V354" s="242"/>
      <c r="Y354" s="270"/>
      <c r="Z354" s="1"/>
      <c r="AA354" s="19" t="s">
        <v>986</v>
      </c>
      <c r="AB354" s="17"/>
      <c r="AC354" s="17"/>
      <c r="AD354" s="17">
        <v>180</v>
      </c>
      <c r="AE354" s="236"/>
      <c r="AF354" s="236"/>
      <c r="AG354" s="236"/>
      <c r="AH354" s="242"/>
    </row>
    <row r="355" spans="2:34" ht="13">
      <c r="B355" s="249"/>
      <c r="C355" s="155"/>
      <c r="D355" s="19" t="s">
        <v>1676</v>
      </c>
      <c r="E355" s="17">
        <v>3</v>
      </c>
      <c r="F355" s="17">
        <v>0</v>
      </c>
      <c r="G355" s="17">
        <v>0</v>
      </c>
      <c r="H355" s="236"/>
      <c r="I355" s="236"/>
      <c r="J355" s="236"/>
      <c r="K355" s="266"/>
      <c r="M355" s="270"/>
      <c r="N355" s="140"/>
      <c r="O355" s="20" t="s">
        <v>1649</v>
      </c>
      <c r="P355" s="20">
        <v>6.5</v>
      </c>
      <c r="Q355" s="20">
        <v>15</v>
      </c>
      <c r="R355" s="20">
        <f t="shared" ref="R355:R357" si="155">P355*Q355</f>
        <v>97.5</v>
      </c>
      <c r="S355" s="248"/>
      <c r="T355" s="248"/>
      <c r="U355" s="248"/>
      <c r="V355" s="303"/>
      <c r="Y355" s="270"/>
      <c r="Z355" s="140"/>
      <c r="AA355" s="20" t="s">
        <v>1649</v>
      </c>
      <c r="AB355" s="20">
        <v>6.5</v>
      </c>
      <c r="AC355" s="20">
        <v>15</v>
      </c>
      <c r="AD355" s="20">
        <f t="shared" ref="AD355:AD356" si="156">AB355*AC355</f>
        <v>97.5</v>
      </c>
      <c r="AE355" s="248"/>
      <c r="AF355" s="248"/>
      <c r="AG355" s="248"/>
      <c r="AH355" s="303"/>
    </row>
    <row r="356" spans="2:34" ht="14">
      <c r="B356" s="249"/>
      <c r="C356" s="155"/>
      <c r="D356" s="19" t="s">
        <v>1315</v>
      </c>
      <c r="E356" s="17">
        <v>8</v>
      </c>
      <c r="F356" s="17">
        <v>15</v>
      </c>
      <c r="G356" s="17">
        <v>0</v>
      </c>
      <c r="H356" s="236"/>
      <c r="I356" s="236"/>
      <c r="J356" s="236"/>
      <c r="K356" s="266"/>
      <c r="M356" s="270"/>
      <c r="N356" s="144" t="s">
        <v>1677</v>
      </c>
      <c r="O356" s="77" t="s">
        <v>1678</v>
      </c>
      <c r="P356" s="71">
        <v>12</v>
      </c>
      <c r="Q356" s="71">
        <v>15</v>
      </c>
      <c r="R356" s="71">
        <f t="shared" si="155"/>
        <v>180</v>
      </c>
      <c r="S356" s="239">
        <f>SUM(R356:R357)</f>
        <v>384</v>
      </c>
      <c r="T356" s="239">
        <v>2500</v>
      </c>
      <c r="U356" s="239">
        <f>T356-S356</f>
        <v>2116</v>
      </c>
      <c r="V356" s="259">
        <f>U356/T356</f>
        <v>0.84640000000000004</v>
      </c>
      <c r="Y356" s="270"/>
      <c r="Z356" s="144" t="s">
        <v>1677</v>
      </c>
      <c r="AA356" s="77" t="s">
        <v>1678</v>
      </c>
      <c r="AB356" s="71">
        <v>12</v>
      </c>
      <c r="AC356" s="71">
        <v>15</v>
      </c>
      <c r="AD356" s="71">
        <f t="shared" si="156"/>
        <v>180</v>
      </c>
      <c r="AE356" s="325">
        <f>SUM(AD356:AD357)</f>
        <v>180</v>
      </c>
      <c r="AF356" s="325">
        <v>2500</v>
      </c>
      <c r="AG356" s="325">
        <f>AF356-AE356</f>
        <v>2320</v>
      </c>
      <c r="AH356" s="330">
        <f>AG356/AF356</f>
        <v>0.92800000000000005</v>
      </c>
    </row>
    <row r="357" spans="2:34" ht="13">
      <c r="B357" s="249"/>
      <c r="C357" s="155"/>
      <c r="D357" s="19" t="s">
        <v>1308</v>
      </c>
      <c r="E357" s="17">
        <v>3</v>
      </c>
      <c r="F357" s="17">
        <v>14</v>
      </c>
      <c r="G357" s="178">
        <v>42</v>
      </c>
      <c r="H357" s="236"/>
      <c r="I357" s="236"/>
      <c r="J357" s="236"/>
      <c r="K357" s="266"/>
      <c r="M357" s="270"/>
      <c r="N357" s="140"/>
      <c r="O357" s="20" t="s">
        <v>1361</v>
      </c>
      <c r="P357" s="20">
        <v>12.75</v>
      </c>
      <c r="Q357" s="20">
        <v>16</v>
      </c>
      <c r="R357" s="20">
        <f t="shared" si="155"/>
        <v>204</v>
      </c>
      <c r="S357" s="248"/>
      <c r="T357" s="248"/>
      <c r="U357" s="248"/>
      <c r="V357" s="303"/>
      <c r="Y357" s="270"/>
      <c r="Z357" s="140"/>
      <c r="AA357" s="20" t="s">
        <v>1361</v>
      </c>
      <c r="AB357" s="179"/>
      <c r="AC357" s="179"/>
      <c r="AD357" s="179"/>
      <c r="AE357" s="248"/>
      <c r="AF357" s="248"/>
      <c r="AG357" s="248"/>
      <c r="AH357" s="303"/>
    </row>
    <row r="358" spans="2:34" ht="14">
      <c r="B358" s="249"/>
      <c r="C358" s="155"/>
      <c r="D358" s="19" t="s">
        <v>95</v>
      </c>
      <c r="E358" s="17">
        <v>2</v>
      </c>
      <c r="F358" s="17">
        <v>15</v>
      </c>
      <c r="G358" s="17">
        <v>45</v>
      </c>
      <c r="H358" s="236"/>
      <c r="I358" s="236"/>
      <c r="J358" s="236"/>
      <c r="K358" s="266"/>
      <c r="M358" s="270"/>
      <c r="N358" s="144" t="s">
        <v>1679</v>
      </c>
      <c r="O358" s="77" t="s">
        <v>986</v>
      </c>
      <c r="P358" s="71"/>
      <c r="Q358" s="71"/>
      <c r="R358" s="71">
        <v>110</v>
      </c>
      <c r="S358" s="239">
        <f>SUM(R358:R362)</f>
        <v>986</v>
      </c>
      <c r="T358" s="239">
        <v>2500</v>
      </c>
      <c r="U358" s="239">
        <f>T358-S358</f>
        <v>1514</v>
      </c>
      <c r="V358" s="259">
        <f>U358/T358</f>
        <v>0.60560000000000003</v>
      </c>
      <c r="Y358" s="270"/>
      <c r="Z358" s="144" t="s">
        <v>1679</v>
      </c>
      <c r="AA358" s="77" t="s">
        <v>986</v>
      </c>
      <c r="AB358" s="71"/>
      <c r="AC358" s="71"/>
      <c r="AD358" s="71">
        <v>110</v>
      </c>
      <c r="AE358" s="325">
        <f>SUM(AD358:AD362)</f>
        <v>410</v>
      </c>
      <c r="AF358" s="325">
        <v>2500</v>
      </c>
      <c r="AG358" s="325">
        <f>AF358-AE358</f>
        <v>2090</v>
      </c>
      <c r="AH358" s="330">
        <f>AG358/AF358</f>
        <v>0.83599999999999997</v>
      </c>
    </row>
    <row r="359" spans="2:34" ht="13">
      <c r="B359" s="249"/>
      <c r="C359" s="155"/>
      <c r="D359" s="19" t="s">
        <v>1235</v>
      </c>
      <c r="E359" s="17">
        <v>5</v>
      </c>
      <c r="F359" s="17">
        <v>15</v>
      </c>
      <c r="G359" s="180">
        <v>75</v>
      </c>
      <c r="H359" s="236"/>
      <c r="I359" s="236"/>
      <c r="J359" s="236"/>
      <c r="K359" s="266"/>
      <c r="M359" s="270"/>
      <c r="N359" s="1"/>
      <c r="O359" s="19" t="s">
        <v>1361</v>
      </c>
      <c r="P359" s="17">
        <v>23</v>
      </c>
      <c r="Q359" s="17">
        <v>16</v>
      </c>
      <c r="R359" s="17">
        <f t="shared" ref="R359:R362" si="157">P359*Q359</f>
        <v>368</v>
      </c>
      <c r="S359" s="236"/>
      <c r="T359" s="236"/>
      <c r="U359" s="236"/>
      <c r="V359" s="242"/>
      <c r="Y359" s="270"/>
      <c r="Z359" s="1"/>
      <c r="AA359" s="19" t="s">
        <v>1361</v>
      </c>
      <c r="AB359" s="18"/>
      <c r="AC359" s="18"/>
      <c r="AD359" s="18"/>
      <c r="AE359" s="236"/>
      <c r="AF359" s="236"/>
      <c r="AG359" s="236"/>
      <c r="AH359" s="242"/>
    </row>
    <row r="360" spans="2:34" ht="13">
      <c r="B360" s="249"/>
      <c r="C360" s="157" t="s">
        <v>1680</v>
      </c>
      <c r="D360" s="123" t="s">
        <v>1601</v>
      </c>
      <c r="E360" s="124">
        <v>8</v>
      </c>
      <c r="F360" s="124">
        <v>15</v>
      </c>
      <c r="G360" s="124">
        <v>0</v>
      </c>
      <c r="H360" s="320">
        <f>SUM(G360:G364)</f>
        <v>709.46</v>
      </c>
      <c r="I360" s="320">
        <v>1890</v>
      </c>
      <c r="J360" s="320">
        <f>I360-H360</f>
        <v>1180.54</v>
      </c>
      <c r="K360" s="321">
        <f>J360/I360</f>
        <v>0.62462433862433864</v>
      </c>
      <c r="M360" s="270"/>
      <c r="N360" s="1"/>
      <c r="O360" s="19" t="s">
        <v>1235</v>
      </c>
      <c r="P360" s="17">
        <v>14</v>
      </c>
      <c r="Q360" s="17">
        <v>15</v>
      </c>
      <c r="R360" s="17">
        <f t="shared" si="157"/>
        <v>210</v>
      </c>
      <c r="S360" s="236"/>
      <c r="T360" s="236"/>
      <c r="U360" s="236"/>
      <c r="V360" s="242"/>
      <c r="Y360" s="270"/>
      <c r="Z360" s="1"/>
      <c r="AA360" s="19" t="s">
        <v>1235</v>
      </c>
      <c r="AB360" s="17">
        <v>14</v>
      </c>
      <c r="AC360" s="17">
        <v>15</v>
      </c>
      <c r="AD360" s="17">
        <f>AB360*AC360</f>
        <v>210</v>
      </c>
      <c r="AE360" s="236"/>
      <c r="AF360" s="236"/>
      <c r="AG360" s="236"/>
      <c r="AH360" s="242"/>
    </row>
    <row r="361" spans="2:34" ht="13">
      <c r="B361" s="249"/>
      <c r="C361" s="155"/>
      <c r="D361" s="19" t="s">
        <v>1308</v>
      </c>
      <c r="E361" s="19"/>
      <c r="F361" s="17" t="s">
        <v>1681</v>
      </c>
      <c r="G361" s="180">
        <v>122.96</v>
      </c>
      <c r="H361" s="236"/>
      <c r="I361" s="236"/>
      <c r="J361" s="236"/>
      <c r="K361" s="266"/>
      <c r="M361" s="270"/>
      <c r="N361" s="1"/>
      <c r="O361" s="19" t="s">
        <v>114</v>
      </c>
      <c r="P361" s="17">
        <v>13</v>
      </c>
      <c r="Q361" s="17">
        <v>16</v>
      </c>
      <c r="R361" s="17">
        <f t="shared" si="157"/>
        <v>208</v>
      </c>
      <c r="S361" s="236"/>
      <c r="T361" s="236"/>
      <c r="U361" s="236"/>
      <c r="V361" s="242"/>
      <c r="Y361" s="270"/>
      <c r="Z361" s="1"/>
      <c r="AA361" s="19" t="s">
        <v>114</v>
      </c>
      <c r="AB361" s="18"/>
      <c r="AC361" s="18"/>
      <c r="AD361" s="18"/>
      <c r="AE361" s="236"/>
      <c r="AF361" s="236"/>
      <c r="AG361" s="236"/>
      <c r="AH361" s="242"/>
    </row>
    <row r="362" spans="2:34" ht="13">
      <c r="B362" s="249"/>
      <c r="C362" s="155"/>
      <c r="D362" s="19" t="s">
        <v>95</v>
      </c>
      <c r="E362" s="17">
        <v>1.5</v>
      </c>
      <c r="F362" s="17">
        <v>15</v>
      </c>
      <c r="G362" s="17">
        <v>30</v>
      </c>
      <c r="H362" s="236"/>
      <c r="I362" s="236"/>
      <c r="J362" s="236"/>
      <c r="K362" s="266"/>
      <c r="M362" s="270"/>
      <c r="N362" s="140"/>
      <c r="O362" s="20" t="s">
        <v>419</v>
      </c>
      <c r="P362" s="20">
        <v>6</v>
      </c>
      <c r="Q362" s="20">
        <v>15</v>
      </c>
      <c r="R362" s="20">
        <f t="shared" si="157"/>
        <v>90</v>
      </c>
      <c r="S362" s="248"/>
      <c r="T362" s="248"/>
      <c r="U362" s="248"/>
      <c r="V362" s="303"/>
      <c r="Y362" s="270"/>
      <c r="Z362" s="140"/>
      <c r="AA362" s="20" t="s">
        <v>419</v>
      </c>
      <c r="AB362" s="20">
        <v>6</v>
      </c>
      <c r="AC362" s="20">
        <v>15</v>
      </c>
      <c r="AD362" s="20">
        <f>AB362*AC362</f>
        <v>90</v>
      </c>
      <c r="AE362" s="248"/>
      <c r="AF362" s="248"/>
      <c r="AG362" s="248"/>
      <c r="AH362" s="303"/>
    </row>
    <row r="363" spans="2:34" ht="13">
      <c r="B363" s="249"/>
      <c r="C363" s="155"/>
      <c r="D363" s="19" t="s">
        <v>1341</v>
      </c>
      <c r="E363" s="17">
        <v>6</v>
      </c>
      <c r="F363" s="17" t="s">
        <v>1682</v>
      </c>
      <c r="G363" s="17">
        <v>97.5</v>
      </c>
      <c r="H363" s="236"/>
      <c r="I363" s="236"/>
      <c r="J363" s="236"/>
      <c r="K363" s="266"/>
      <c r="M363" s="270"/>
      <c r="N363" s="316" t="s">
        <v>1683</v>
      </c>
      <c r="O363" s="19" t="s">
        <v>33</v>
      </c>
      <c r="P363" s="17"/>
      <c r="Q363" s="17"/>
      <c r="R363" s="17">
        <v>149.15</v>
      </c>
      <c r="S363" s="284">
        <f>SUM(R363:R380)</f>
        <v>1782.95</v>
      </c>
      <c r="T363" s="284">
        <v>6888.5</v>
      </c>
      <c r="U363" s="284">
        <f>T363-S363</f>
        <v>5105.55</v>
      </c>
      <c r="V363" s="315">
        <f>U363/T363</f>
        <v>0.74117006605211588</v>
      </c>
      <c r="Y363" s="270"/>
      <c r="Z363" s="316" t="s">
        <v>1683</v>
      </c>
      <c r="AA363" s="19" t="s">
        <v>33</v>
      </c>
      <c r="AB363" s="17"/>
      <c r="AC363" s="17"/>
      <c r="AD363" s="17">
        <v>149.15</v>
      </c>
      <c r="AE363" s="284">
        <f>SUM(AD363:AD380)</f>
        <v>1190.95</v>
      </c>
      <c r="AF363" s="284">
        <v>6888.5</v>
      </c>
      <c r="AG363" s="284">
        <f>AF363-AE363</f>
        <v>5697.55</v>
      </c>
      <c r="AH363" s="315">
        <f>AG363/AF363</f>
        <v>0.82711040139362713</v>
      </c>
    </row>
    <row r="364" spans="2:34" ht="13">
      <c r="B364" s="249"/>
      <c r="C364" s="155"/>
      <c r="D364" s="19" t="s">
        <v>1235</v>
      </c>
      <c r="E364" s="17">
        <v>27</v>
      </c>
      <c r="F364" s="17">
        <v>17</v>
      </c>
      <c r="G364" s="17">
        <v>459</v>
      </c>
      <c r="H364" s="236"/>
      <c r="I364" s="236"/>
      <c r="J364" s="236"/>
      <c r="K364" s="266"/>
      <c r="M364" s="270"/>
      <c r="N364" s="236"/>
      <c r="O364" s="19" t="s">
        <v>1527</v>
      </c>
      <c r="P364" s="17"/>
      <c r="Q364" s="17"/>
      <c r="R364" s="17">
        <v>60</v>
      </c>
      <c r="S364" s="236"/>
      <c r="T364" s="236"/>
      <c r="U364" s="236"/>
      <c r="V364" s="258"/>
      <c r="Y364" s="270"/>
      <c r="Z364" s="236"/>
      <c r="AA364" s="19" t="s">
        <v>1527</v>
      </c>
      <c r="AB364" s="17"/>
      <c r="AC364" s="17"/>
      <c r="AD364" s="17">
        <v>60</v>
      </c>
      <c r="AE364" s="236"/>
      <c r="AF364" s="236"/>
      <c r="AG364" s="236"/>
      <c r="AH364" s="258"/>
    </row>
    <row r="365" spans="2:34" ht="16">
      <c r="B365" s="249"/>
      <c r="C365" s="157" t="s">
        <v>1684</v>
      </c>
      <c r="D365" s="123" t="s">
        <v>1315</v>
      </c>
      <c r="E365" s="124">
        <v>32</v>
      </c>
      <c r="F365" s="124">
        <v>15</v>
      </c>
      <c r="G365" s="124">
        <v>0</v>
      </c>
      <c r="H365" s="181">
        <f t="shared" ref="H365:H366" si="158">SUM(G365)</f>
        <v>0</v>
      </c>
      <c r="I365" s="181">
        <v>700</v>
      </c>
      <c r="J365" s="181">
        <f t="shared" ref="J365:J367" si="159">I365-H365</f>
        <v>700</v>
      </c>
      <c r="K365" s="182">
        <f t="shared" ref="K365:K367" si="160">J365/I365</f>
        <v>1</v>
      </c>
      <c r="M365" s="270"/>
      <c r="N365" s="236"/>
      <c r="O365" s="19" t="s">
        <v>1685</v>
      </c>
      <c r="P365" s="17"/>
      <c r="Q365" s="17"/>
      <c r="R365" s="17">
        <v>102.45</v>
      </c>
      <c r="S365" s="236"/>
      <c r="T365" s="236"/>
      <c r="U365" s="236"/>
      <c r="V365" s="258"/>
      <c r="Y365" s="270"/>
      <c r="Z365" s="236"/>
      <c r="AA365" s="19" t="s">
        <v>1685</v>
      </c>
      <c r="AB365" s="17"/>
      <c r="AC365" s="17"/>
      <c r="AD365" s="17">
        <v>102.45</v>
      </c>
      <c r="AE365" s="236"/>
      <c r="AF365" s="236"/>
      <c r="AG365" s="236"/>
      <c r="AH365" s="258"/>
    </row>
    <row r="366" spans="2:34" ht="16">
      <c r="B366" s="249"/>
      <c r="C366" s="157" t="s">
        <v>1686</v>
      </c>
      <c r="D366" s="123" t="s">
        <v>1667</v>
      </c>
      <c r="E366" s="124">
        <v>32</v>
      </c>
      <c r="F366" s="124">
        <v>15</v>
      </c>
      <c r="G366" s="124">
        <v>0</v>
      </c>
      <c r="H366" s="181">
        <f t="shared" si="158"/>
        <v>0</v>
      </c>
      <c r="I366" s="181">
        <v>1550</v>
      </c>
      <c r="J366" s="181">
        <f t="shared" si="159"/>
        <v>1550</v>
      </c>
      <c r="K366" s="182">
        <f t="shared" si="160"/>
        <v>1</v>
      </c>
      <c r="M366" s="270"/>
      <c r="N366" s="236"/>
      <c r="O366" s="19" t="s">
        <v>1687</v>
      </c>
      <c r="P366" s="17"/>
      <c r="Q366" s="17"/>
      <c r="R366" s="17">
        <v>102.45</v>
      </c>
      <c r="S366" s="236"/>
      <c r="T366" s="236"/>
      <c r="U366" s="236"/>
      <c r="V366" s="258"/>
      <c r="Y366" s="270"/>
      <c r="Z366" s="236"/>
      <c r="AA366" s="19" t="s">
        <v>1687</v>
      </c>
      <c r="AB366" s="17"/>
      <c r="AC366" s="17"/>
      <c r="AD366" s="17">
        <v>102.45</v>
      </c>
      <c r="AE366" s="236"/>
      <c r="AF366" s="236"/>
      <c r="AG366" s="236"/>
      <c r="AH366" s="258"/>
    </row>
    <row r="367" spans="2:34" ht="13">
      <c r="B367" s="249"/>
      <c r="C367" s="157" t="s">
        <v>1688</v>
      </c>
      <c r="D367" s="123" t="s">
        <v>1689</v>
      </c>
      <c r="E367" s="124">
        <v>3</v>
      </c>
      <c r="F367" s="124">
        <v>0</v>
      </c>
      <c r="G367" s="124">
        <v>0</v>
      </c>
      <c r="H367" s="320">
        <f>SUM(G367:G371)</f>
        <v>174</v>
      </c>
      <c r="I367" s="320">
        <v>1320</v>
      </c>
      <c r="J367" s="320">
        <f t="shared" si="159"/>
        <v>1146</v>
      </c>
      <c r="K367" s="321">
        <f t="shared" si="160"/>
        <v>0.86818181818181817</v>
      </c>
      <c r="M367" s="270"/>
      <c r="N367" s="236"/>
      <c r="O367" s="19" t="s">
        <v>1690</v>
      </c>
      <c r="P367" s="17"/>
      <c r="Q367" s="17"/>
      <c r="R367" s="17">
        <v>221.9</v>
      </c>
      <c r="S367" s="236"/>
      <c r="T367" s="236"/>
      <c r="U367" s="236"/>
      <c r="V367" s="258"/>
      <c r="Y367" s="270"/>
      <c r="Z367" s="236"/>
      <c r="AA367" s="19" t="s">
        <v>1690</v>
      </c>
      <c r="AB367" s="17"/>
      <c r="AC367" s="17"/>
      <c r="AD367" s="17">
        <v>221.9</v>
      </c>
      <c r="AE367" s="236"/>
      <c r="AF367" s="236"/>
      <c r="AG367" s="236"/>
      <c r="AH367" s="258"/>
    </row>
    <row r="368" spans="2:34" ht="13">
      <c r="B368" s="249"/>
      <c r="C368" s="155"/>
      <c r="D368" s="19" t="s">
        <v>1667</v>
      </c>
      <c r="E368" s="17">
        <v>8</v>
      </c>
      <c r="F368" s="17">
        <v>15</v>
      </c>
      <c r="G368" s="17">
        <v>0</v>
      </c>
      <c r="H368" s="236"/>
      <c r="I368" s="236"/>
      <c r="J368" s="236"/>
      <c r="K368" s="266"/>
      <c r="M368" s="270"/>
      <c r="N368" s="236"/>
      <c r="O368" s="19" t="s">
        <v>1691</v>
      </c>
      <c r="P368" s="17"/>
      <c r="Q368" s="17"/>
      <c r="R368" s="17">
        <v>100</v>
      </c>
      <c r="S368" s="236"/>
      <c r="T368" s="236"/>
      <c r="U368" s="236"/>
      <c r="V368" s="258"/>
      <c r="Y368" s="270"/>
      <c r="Z368" s="236"/>
      <c r="AA368" s="19" t="s">
        <v>1691</v>
      </c>
      <c r="AB368" s="17"/>
      <c r="AC368" s="17"/>
      <c r="AD368" s="17">
        <v>100</v>
      </c>
      <c r="AE368" s="236"/>
      <c r="AF368" s="236"/>
      <c r="AG368" s="236"/>
      <c r="AH368" s="258"/>
    </row>
    <row r="369" spans="2:34" ht="13">
      <c r="B369" s="249"/>
      <c r="C369" s="155"/>
      <c r="D369" s="19" t="s">
        <v>1692</v>
      </c>
      <c r="E369" s="17">
        <v>3</v>
      </c>
      <c r="F369" s="17">
        <v>0</v>
      </c>
      <c r="G369" s="17">
        <v>0</v>
      </c>
      <c r="H369" s="236"/>
      <c r="I369" s="236"/>
      <c r="J369" s="236"/>
      <c r="K369" s="266"/>
      <c r="M369" s="270"/>
      <c r="N369" s="236"/>
      <c r="O369" s="19" t="s">
        <v>1693</v>
      </c>
      <c r="P369" s="17"/>
      <c r="Q369" s="17"/>
      <c r="R369" s="17">
        <v>120</v>
      </c>
      <c r="S369" s="236"/>
      <c r="T369" s="236"/>
      <c r="U369" s="236"/>
      <c r="V369" s="258"/>
      <c r="Y369" s="270"/>
      <c r="Z369" s="236"/>
      <c r="AA369" s="19" t="s">
        <v>1693</v>
      </c>
      <c r="AB369" s="17"/>
      <c r="AC369" s="17"/>
      <c r="AD369" s="17">
        <v>120</v>
      </c>
      <c r="AE369" s="236"/>
      <c r="AF369" s="236"/>
      <c r="AG369" s="236"/>
      <c r="AH369" s="258"/>
    </row>
    <row r="370" spans="2:34" ht="13">
      <c r="B370" s="249"/>
      <c r="C370" s="155"/>
      <c r="D370" s="19" t="s">
        <v>1308</v>
      </c>
      <c r="E370" s="17">
        <v>6</v>
      </c>
      <c r="F370" s="17">
        <v>14</v>
      </c>
      <c r="G370" s="17">
        <v>84</v>
      </c>
      <c r="H370" s="236"/>
      <c r="I370" s="236"/>
      <c r="J370" s="236"/>
      <c r="K370" s="266"/>
      <c r="M370" s="270"/>
      <c r="N370" s="236"/>
      <c r="O370" s="19" t="s">
        <v>1694</v>
      </c>
      <c r="P370" s="17"/>
      <c r="Q370" s="17"/>
      <c r="R370" s="17">
        <v>100</v>
      </c>
      <c r="S370" s="236"/>
      <c r="T370" s="236"/>
      <c r="U370" s="236"/>
      <c r="V370" s="258"/>
      <c r="Y370" s="270"/>
      <c r="Z370" s="236"/>
      <c r="AA370" s="19" t="s">
        <v>1694</v>
      </c>
      <c r="AB370" s="17"/>
      <c r="AC370" s="17"/>
      <c r="AD370" s="17">
        <v>100</v>
      </c>
      <c r="AE370" s="236"/>
      <c r="AF370" s="236"/>
      <c r="AG370" s="236"/>
      <c r="AH370" s="258"/>
    </row>
    <row r="371" spans="2:34" ht="13">
      <c r="B371" s="250"/>
      <c r="C371" s="155"/>
      <c r="D371" s="19" t="s">
        <v>95</v>
      </c>
      <c r="E371" s="17">
        <v>6</v>
      </c>
      <c r="F371" s="17">
        <v>15</v>
      </c>
      <c r="G371" s="17">
        <v>90</v>
      </c>
      <c r="H371" s="293"/>
      <c r="I371" s="293"/>
      <c r="J371" s="293"/>
      <c r="K371" s="319"/>
      <c r="M371" s="270"/>
      <c r="N371" s="236"/>
      <c r="O371" s="19" t="s">
        <v>1695</v>
      </c>
      <c r="P371" s="17">
        <v>4</v>
      </c>
      <c r="Q371" s="17">
        <v>16</v>
      </c>
      <c r="R371" s="17">
        <f>P371*Q371</f>
        <v>64</v>
      </c>
      <c r="S371" s="236"/>
      <c r="T371" s="236"/>
      <c r="U371" s="236"/>
      <c r="V371" s="258"/>
      <c r="Y371" s="270"/>
      <c r="Z371" s="236"/>
      <c r="AA371" s="19" t="s">
        <v>1695</v>
      </c>
      <c r="AB371" s="18"/>
      <c r="AC371" s="18"/>
      <c r="AD371" s="18"/>
      <c r="AE371" s="236"/>
      <c r="AF371" s="236"/>
      <c r="AG371" s="236"/>
      <c r="AH371" s="258"/>
    </row>
    <row r="372" spans="2:34" ht="30">
      <c r="B372" s="251" t="s">
        <v>1696</v>
      </c>
      <c r="C372" s="252"/>
      <c r="D372" s="253"/>
      <c r="E372" s="27">
        <f t="shared" ref="E372:J372" si="161">AVERAGE(E341:E371)</f>
        <v>8.6199999999999992</v>
      </c>
      <c r="F372" s="27">
        <f t="shared" si="161"/>
        <v>12.576923076923077</v>
      </c>
      <c r="G372" s="152">
        <f t="shared" si="161"/>
        <v>49.988275862068967</v>
      </c>
      <c r="H372" s="152">
        <f t="shared" si="161"/>
        <v>144.96600000000001</v>
      </c>
      <c r="I372" s="152">
        <f t="shared" si="161"/>
        <v>1156.44</v>
      </c>
      <c r="J372" s="152">
        <f t="shared" si="161"/>
        <v>1011.4739999999999</v>
      </c>
      <c r="K372" s="183"/>
      <c r="M372" s="270"/>
      <c r="N372" s="236"/>
      <c r="O372" s="19" t="s">
        <v>1697</v>
      </c>
      <c r="P372" s="17"/>
      <c r="Q372" s="17"/>
      <c r="R372" s="17">
        <v>60</v>
      </c>
      <c r="S372" s="236"/>
      <c r="T372" s="236"/>
      <c r="U372" s="236"/>
      <c r="V372" s="258"/>
      <c r="Y372" s="270"/>
      <c r="Z372" s="236"/>
      <c r="AA372" s="19" t="s">
        <v>1697</v>
      </c>
      <c r="AB372" s="17"/>
      <c r="AC372" s="17"/>
      <c r="AD372" s="17">
        <v>60</v>
      </c>
      <c r="AE372" s="236"/>
      <c r="AF372" s="236"/>
      <c r="AG372" s="236"/>
      <c r="AH372" s="258"/>
    </row>
    <row r="373" spans="2:34" ht="30">
      <c r="B373" s="251" t="s">
        <v>1698</v>
      </c>
      <c r="C373" s="252"/>
      <c r="D373" s="253"/>
      <c r="E373" s="27">
        <f t="shared" ref="E373:I373" si="162">SUM(E341:E371)</f>
        <v>215.5</v>
      </c>
      <c r="F373" s="27">
        <f t="shared" si="162"/>
        <v>327</v>
      </c>
      <c r="G373" s="152">
        <f t="shared" si="162"/>
        <v>1449.66</v>
      </c>
      <c r="H373" s="152">
        <f t="shared" si="162"/>
        <v>1449.66</v>
      </c>
      <c r="I373" s="152">
        <f t="shared" si="162"/>
        <v>11564.4</v>
      </c>
      <c r="J373" s="152">
        <f t="shared" ref="J373:J374" si="163">I373-H373</f>
        <v>10114.74</v>
      </c>
      <c r="K373" s="154">
        <f t="shared" ref="K373:K374" si="164">J373/I373</f>
        <v>0.87464459894157931</v>
      </c>
      <c r="M373" s="270"/>
      <c r="N373" s="236"/>
      <c r="O373" s="19" t="s">
        <v>1699</v>
      </c>
      <c r="P373" s="17">
        <v>7</v>
      </c>
      <c r="Q373" s="17">
        <v>15</v>
      </c>
      <c r="R373" s="17">
        <f>P373*Q373</f>
        <v>105</v>
      </c>
      <c r="S373" s="236"/>
      <c r="T373" s="236"/>
      <c r="U373" s="236"/>
      <c r="V373" s="258"/>
      <c r="Y373" s="270"/>
      <c r="Z373" s="236"/>
      <c r="AA373" s="19" t="s">
        <v>1699</v>
      </c>
      <c r="AB373" s="17">
        <v>7</v>
      </c>
      <c r="AC373" s="17">
        <v>15</v>
      </c>
      <c r="AD373" s="17">
        <f>AB373*AC373</f>
        <v>105</v>
      </c>
      <c r="AE373" s="236"/>
      <c r="AF373" s="236"/>
      <c r="AG373" s="236"/>
      <c r="AH373" s="258"/>
    </row>
    <row r="374" spans="2:34" ht="13">
      <c r="B374" s="277" t="s">
        <v>4</v>
      </c>
      <c r="C374" s="155" t="s">
        <v>1700</v>
      </c>
      <c r="D374" s="19" t="s">
        <v>1315</v>
      </c>
      <c r="E374" s="17">
        <v>20</v>
      </c>
      <c r="F374" s="17">
        <v>15</v>
      </c>
      <c r="G374" s="17">
        <v>0</v>
      </c>
      <c r="H374" s="325">
        <f>SUM(G374:G377)</f>
        <v>201.6</v>
      </c>
      <c r="I374" s="325">
        <v>700</v>
      </c>
      <c r="J374" s="325">
        <f t="shared" si="163"/>
        <v>498.4</v>
      </c>
      <c r="K374" s="328">
        <f t="shared" si="164"/>
        <v>0.71199999999999997</v>
      </c>
      <c r="M374" s="270"/>
      <c r="N374" s="236"/>
      <c r="O374" s="19" t="s">
        <v>1701</v>
      </c>
      <c r="P374" s="17"/>
      <c r="Q374" s="17"/>
      <c r="R374" s="17">
        <v>70</v>
      </c>
      <c r="S374" s="236"/>
      <c r="T374" s="236"/>
      <c r="U374" s="236"/>
      <c r="V374" s="258"/>
      <c r="Y374" s="270"/>
      <c r="Z374" s="236"/>
      <c r="AA374" s="19" t="s">
        <v>1701</v>
      </c>
      <c r="AB374" s="17"/>
      <c r="AC374" s="17"/>
      <c r="AD374" s="17">
        <v>70</v>
      </c>
      <c r="AE374" s="236"/>
      <c r="AF374" s="236"/>
      <c r="AG374" s="236"/>
      <c r="AH374" s="258"/>
    </row>
    <row r="375" spans="2:34" ht="13">
      <c r="B375" s="249"/>
      <c r="C375" s="155"/>
      <c r="D375" s="19" t="s">
        <v>1702</v>
      </c>
      <c r="E375" s="17">
        <v>8</v>
      </c>
      <c r="F375" s="17">
        <v>15</v>
      </c>
      <c r="G375" s="17">
        <v>0</v>
      </c>
      <c r="H375" s="236"/>
      <c r="I375" s="236"/>
      <c r="J375" s="236"/>
      <c r="K375" s="266"/>
      <c r="M375" s="270"/>
      <c r="N375" s="236"/>
      <c r="O375" s="19" t="s">
        <v>1703</v>
      </c>
      <c r="P375" s="17">
        <v>3</v>
      </c>
      <c r="Q375" s="17">
        <v>16</v>
      </c>
      <c r="R375" s="17">
        <f t="shared" ref="R375:R391" si="165">P375*Q375</f>
        <v>48</v>
      </c>
      <c r="S375" s="236"/>
      <c r="T375" s="236"/>
      <c r="U375" s="236"/>
      <c r="V375" s="258"/>
      <c r="Y375" s="270"/>
      <c r="Z375" s="236"/>
      <c r="AA375" s="19" t="s">
        <v>1703</v>
      </c>
      <c r="AB375" s="18"/>
      <c r="AC375" s="18"/>
      <c r="AD375" s="18"/>
      <c r="AE375" s="236"/>
      <c r="AF375" s="236"/>
      <c r="AG375" s="236"/>
      <c r="AH375" s="258"/>
    </row>
    <row r="376" spans="2:34" ht="13">
      <c r="B376" s="249"/>
      <c r="C376" s="155"/>
      <c r="D376" s="19" t="s">
        <v>95</v>
      </c>
      <c r="E376" s="17">
        <v>8</v>
      </c>
      <c r="F376" s="17">
        <v>14</v>
      </c>
      <c r="G376" s="17">
        <v>112</v>
      </c>
      <c r="H376" s="236"/>
      <c r="I376" s="236"/>
      <c r="J376" s="236"/>
      <c r="K376" s="266"/>
      <c r="M376" s="270"/>
      <c r="N376" s="236"/>
      <c r="O376" s="19" t="s">
        <v>1704</v>
      </c>
      <c r="P376" s="17">
        <v>4</v>
      </c>
      <c r="Q376" s="17">
        <v>16</v>
      </c>
      <c r="R376" s="17">
        <f t="shared" si="165"/>
        <v>64</v>
      </c>
      <c r="S376" s="236"/>
      <c r="T376" s="236"/>
      <c r="U376" s="236"/>
      <c r="V376" s="258"/>
      <c r="Y376" s="270"/>
      <c r="Z376" s="236"/>
      <c r="AA376" s="19" t="s">
        <v>1704</v>
      </c>
      <c r="AB376" s="18"/>
      <c r="AC376" s="18"/>
      <c r="AD376" s="18"/>
      <c r="AE376" s="236"/>
      <c r="AF376" s="236"/>
      <c r="AG376" s="236"/>
      <c r="AH376" s="258"/>
    </row>
    <row r="377" spans="2:34" ht="13">
      <c r="B377" s="249"/>
      <c r="C377" s="155"/>
      <c r="D377" s="19" t="s">
        <v>1308</v>
      </c>
      <c r="E377" s="17">
        <v>6.4</v>
      </c>
      <c r="F377" s="17">
        <v>14</v>
      </c>
      <c r="G377" s="17">
        <v>89.6</v>
      </c>
      <c r="H377" s="293"/>
      <c r="I377" s="293"/>
      <c r="J377" s="293"/>
      <c r="K377" s="319"/>
      <c r="M377" s="270"/>
      <c r="N377" s="236"/>
      <c r="O377" s="19" t="s">
        <v>1705</v>
      </c>
      <c r="P377" s="17">
        <v>7</v>
      </c>
      <c r="Q377" s="17">
        <v>16</v>
      </c>
      <c r="R377" s="17">
        <f t="shared" si="165"/>
        <v>112</v>
      </c>
      <c r="S377" s="236"/>
      <c r="T377" s="236"/>
      <c r="U377" s="236"/>
      <c r="V377" s="258"/>
      <c r="Y377" s="270"/>
      <c r="Z377" s="236"/>
      <c r="AA377" s="19" t="s">
        <v>1705</v>
      </c>
      <c r="AB377" s="18"/>
      <c r="AC377" s="18"/>
      <c r="AD377" s="18"/>
      <c r="AE377" s="236"/>
      <c r="AF377" s="236"/>
      <c r="AG377" s="236"/>
      <c r="AH377" s="258"/>
    </row>
    <row r="378" spans="2:34" ht="13">
      <c r="B378" s="249"/>
      <c r="C378" s="157" t="s">
        <v>1706</v>
      </c>
      <c r="D378" s="123" t="s">
        <v>1707</v>
      </c>
      <c r="E378" s="124">
        <v>50.6</v>
      </c>
      <c r="F378" s="124">
        <v>12.5</v>
      </c>
      <c r="G378" s="124">
        <v>636.25</v>
      </c>
      <c r="H378" s="320">
        <f>SUM(G378:G386)</f>
        <v>2831.1149999999998</v>
      </c>
      <c r="I378" s="320">
        <v>7840</v>
      </c>
      <c r="J378" s="320">
        <f>I378-H378</f>
        <v>5008.8850000000002</v>
      </c>
      <c r="K378" s="321">
        <f>J378/I378</f>
        <v>0.63888839285714294</v>
      </c>
      <c r="M378" s="270"/>
      <c r="N378" s="236"/>
      <c r="O378" s="19" t="s">
        <v>1708</v>
      </c>
      <c r="P378" s="17">
        <v>7</v>
      </c>
      <c r="Q378" s="17">
        <v>16</v>
      </c>
      <c r="R378" s="17">
        <f t="shared" si="165"/>
        <v>112</v>
      </c>
      <c r="S378" s="236"/>
      <c r="T378" s="236"/>
      <c r="U378" s="236"/>
      <c r="V378" s="258"/>
      <c r="Y378" s="270"/>
      <c r="Z378" s="236"/>
      <c r="AA378" s="19" t="s">
        <v>1708</v>
      </c>
      <c r="AB378" s="18"/>
      <c r="AC378" s="18"/>
      <c r="AD378" s="18"/>
      <c r="AE378" s="236"/>
      <c r="AF378" s="236"/>
      <c r="AG378" s="236"/>
      <c r="AH378" s="258"/>
    </row>
    <row r="379" spans="2:34" ht="13">
      <c r="B379" s="249"/>
      <c r="C379" s="155"/>
      <c r="D379" s="19" t="s">
        <v>1709</v>
      </c>
      <c r="E379" s="17">
        <v>30.4</v>
      </c>
      <c r="F379" s="17">
        <v>12.5</v>
      </c>
      <c r="G379" s="17">
        <v>380</v>
      </c>
      <c r="H379" s="236"/>
      <c r="I379" s="236"/>
      <c r="J379" s="236"/>
      <c r="K379" s="266"/>
      <c r="M379" s="270"/>
      <c r="N379" s="236"/>
      <c r="O379" s="19" t="s">
        <v>1710</v>
      </c>
      <c r="P379" s="17">
        <v>9</v>
      </c>
      <c r="Q379" s="17">
        <v>16</v>
      </c>
      <c r="R379" s="17">
        <f t="shared" si="165"/>
        <v>144</v>
      </c>
      <c r="S379" s="236"/>
      <c r="T379" s="236"/>
      <c r="U379" s="236"/>
      <c r="V379" s="258"/>
      <c r="Y379" s="270"/>
      <c r="Z379" s="236"/>
      <c r="AA379" s="19" t="s">
        <v>1710</v>
      </c>
      <c r="AB379" s="18"/>
      <c r="AC379" s="18"/>
      <c r="AD379" s="18"/>
      <c r="AE379" s="236"/>
      <c r="AF379" s="236"/>
      <c r="AG379" s="236"/>
      <c r="AH379" s="258"/>
    </row>
    <row r="380" spans="2:34" ht="13">
      <c r="B380" s="249"/>
      <c r="C380" s="155"/>
      <c r="D380" s="19" t="s">
        <v>1711</v>
      </c>
      <c r="E380" s="17">
        <v>25.15</v>
      </c>
      <c r="F380" s="17">
        <v>12.5</v>
      </c>
      <c r="G380" s="17">
        <v>314.37</v>
      </c>
      <c r="H380" s="236"/>
      <c r="I380" s="236"/>
      <c r="J380" s="236"/>
      <c r="K380" s="266"/>
      <c r="M380" s="270"/>
      <c r="N380" s="248"/>
      <c r="O380" s="20" t="s">
        <v>1712</v>
      </c>
      <c r="P380" s="21">
        <v>3</v>
      </c>
      <c r="Q380" s="21">
        <v>16</v>
      </c>
      <c r="R380" s="17">
        <f t="shared" si="165"/>
        <v>48</v>
      </c>
      <c r="S380" s="293"/>
      <c r="T380" s="293"/>
      <c r="U380" s="293"/>
      <c r="V380" s="295"/>
      <c r="Y380" s="270"/>
      <c r="Z380" s="248"/>
      <c r="AA380" s="20" t="s">
        <v>1712</v>
      </c>
      <c r="AB380" s="68"/>
      <c r="AC380" s="68"/>
      <c r="AD380" s="18"/>
      <c r="AE380" s="293"/>
      <c r="AF380" s="293"/>
      <c r="AG380" s="293"/>
      <c r="AH380" s="295"/>
    </row>
    <row r="381" spans="2:34" ht="14">
      <c r="B381" s="249"/>
      <c r="C381" s="155"/>
      <c r="D381" s="19" t="s">
        <v>1496</v>
      </c>
      <c r="E381" s="17">
        <v>27.67</v>
      </c>
      <c r="F381" s="17">
        <v>12.5</v>
      </c>
      <c r="G381" s="17">
        <v>345.62</v>
      </c>
      <c r="H381" s="236"/>
      <c r="I381" s="236"/>
      <c r="J381" s="236"/>
      <c r="K381" s="266"/>
      <c r="M381" s="270"/>
      <c r="N381" s="144" t="s">
        <v>1713</v>
      </c>
      <c r="O381" s="77" t="s">
        <v>1361</v>
      </c>
      <c r="P381" s="71">
        <v>8.6999999999999993</v>
      </c>
      <c r="Q381" s="71">
        <v>16</v>
      </c>
      <c r="R381" s="16">
        <f t="shared" si="165"/>
        <v>139.19999999999999</v>
      </c>
      <c r="S381" s="239">
        <f>SUM(R381:R387)</f>
        <v>666.8</v>
      </c>
      <c r="T381" s="239">
        <v>1344</v>
      </c>
      <c r="U381" s="239">
        <f>T381-S381</f>
        <v>677.2</v>
      </c>
      <c r="V381" s="259">
        <f>U381/T381</f>
        <v>0.50386904761904761</v>
      </c>
      <c r="Y381" s="270"/>
      <c r="Z381" s="148" t="s">
        <v>1713</v>
      </c>
      <c r="AA381" s="77" t="s">
        <v>1361</v>
      </c>
      <c r="AB381" s="104"/>
      <c r="AC381" s="104"/>
      <c r="AD381" s="43"/>
      <c r="AE381" s="325">
        <f>SUM(AD381:AD387)</f>
        <v>431.6</v>
      </c>
      <c r="AF381" s="325">
        <v>1344</v>
      </c>
      <c r="AG381" s="325">
        <f>AF381-AE381</f>
        <v>912.4</v>
      </c>
      <c r="AH381" s="330">
        <f>AG381/AF381</f>
        <v>0.67886904761904765</v>
      </c>
    </row>
    <row r="382" spans="2:34" ht="13">
      <c r="B382" s="249"/>
      <c r="C382" s="155"/>
      <c r="D382" s="19" t="s">
        <v>1626</v>
      </c>
      <c r="E382" s="17">
        <v>31.25</v>
      </c>
      <c r="F382" s="17">
        <v>15</v>
      </c>
      <c r="G382" s="17">
        <v>468.75</v>
      </c>
      <c r="H382" s="236"/>
      <c r="I382" s="236"/>
      <c r="J382" s="236"/>
      <c r="K382" s="266"/>
      <c r="M382" s="270"/>
      <c r="N382" s="1"/>
      <c r="O382" s="19" t="s">
        <v>1714</v>
      </c>
      <c r="P382" s="17">
        <v>4.5</v>
      </c>
      <c r="Q382" s="17">
        <v>13</v>
      </c>
      <c r="R382" s="17">
        <f t="shared" si="165"/>
        <v>58.5</v>
      </c>
      <c r="S382" s="236"/>
      <c r="T382" s="236"/>
      <c r="U382" s="236"/>
      <c r="V382" s="242"/>
      <c r="Y382" s="270"/>
      <c r="Z382" s="1"/>
      <c r="AA382" s="19" t="s">
        <v>1714</v>
      </c>
      <c r="AB382" s="17">
        <v>4.5</v>
      </c>
      <c r="AC382" s="17">
        <v>13</v>
      </c>
      <c r="AD382" s="17">
        <f t="shared" ref="AD382:AD386" si="166">AB382*AC382</f>
        <v>58.5</v>
      </c>
      <c r="AE382" s="236"/>
      <c r="AF382" s="236"/>
      <c r="AG382" s="236"/>
      <c r="AH382" s="242"/>
    </row>
    <row r="383" spans="2:34" ht="13">
      <c r="B383" s="249"/>
      <c r="C383" s="155"/>
      <c r="D383" s="19" t="s">
        <v>95</v>
      </c>
      <c r="E383" s="17">
        <v>25.7</v>
      </c>
      <c r="F383" s="17">
        <v>15</v>
      </c>
      <c r="G383" s="17">
        <v>385.5</v>
      </c>
      <c r="H383" s="236"/>
      <c r="I383" s="236"/>
      <c r="J383" s="236"/>
      <c r="K383" s="266"/>
      <c r="M383" s="270"/>
      <c r="N383" s="1"/>
      <c r="O383" s="19" t="s">
        <v>1609</v>
      </c>
      <c r="P383" s="17">
        <v>4.4000000000000004</v>
      </c>
      <c r="Q383" s="17">
        <v>13</v>
      </c>
      <c r="R383" s="17">
        <f t="shared" si="165"/>
        <v>57.2</v>
      </c>
      <c r="S383" s="236"/>
      <c r="T383" s="236"/>
      <c r="U383" s="236"/>
      <c r="V383" s="242"/>
      <c r="Y383" s="270"/>
      <c r="Z383" s="1"/>
      <c r="AA383" s="19" t="s">
        <v>1609</v>
      </c>
      <c r="AB383" s="17">
        <v>4.4000000000000004</v>
      </c>
      <c r="AC383" s="17">
        <v>13</v>
      </c>
      <c r="AD383" s="17">
        <f t="shared" si="166"/>
        <v>57.2</v>
      </c>
      <c r="AE383" s="236"/>
      <c r="AF383" s="236"/>
      <c r="AG383" s="236"/>
      <c r="AH383" s="242"/>
    </row>
    <row r="384" spans="2:34" ht="13">
      <c r="B384" s="249"/>
      <c r="C384" s="155"/>
      <c r="D384" s="19" t="s">
        <v>1341</v>
      </c>
      <c r="E384" s="17">
        <v>14.6</v>
      </c>
      <c r="F384" s="17">
        <v>12.5</v>
      </c>
      <c r="G384" s="17">
        <v>182.5</v>
      </c>
      <c r="H384" s="236"/>
      <c r="I384" s="236"/>
      <c r="J384" s="236"/>
      <c r="K384" s="266"/>
      <c r="M384" s="270"/>
      <c r="N384" s="1"/>
      <c r="O384" s="19" t="s">
        <v>1715</v>
      </c>
      <c r="P384" s="17">
        <v>8</v>
      </c>
      <c r="Q384" s="17">
        <v>13</v>
      </c>
      <c r="R384" s="17">
        <f t="shared" si="165"/>
        <v>104</v>
      </c>
      <c r="S384" s="236"/>
      <c r="T384" s="236"/>
      <c r="U384" s="236"/>
      <c r="V384" s="242"/>
      <c r="Y384" s="270"/>
      <c r="Z384" s="1"/>
      <c r="AA384" s="19" t="s">
        <v>1715</v>
      </c>
      <c r="AB384" s="17">
        <v>8</v>
      </c>
      <c r="AC384" s="17">
        <v>13</v>
      </c>
      <c r="AD384" s="17">
        <f t="shared" si="166"/>
        <v>104</v>
      </c>
      <c r="AE384" s="236"/>
      <c r="AF384" s="236"/>
      <c r="AG384" s="236"/>
      <c r="AH384" s="242"/>
    </row>
    <row r="385" spans="2:34" ht="13">
      <c r="B385" s="249"/>
      <c r="C385" s="155"/>
      <c r="D385" s="19" t="s">
        <v>1716</v>
      </c>
      <c r="E385" s="17">
        <v>8</v>
      </c>
      <c r="F385" s="17">
        <v>15</v>
      </c>
      <c r="G385" s="17">
        <v>0</v>
      </c>
      <c r="H385" s="236"/>
      <c r="I385" s="236"/>
      <c r="J385" s="236"/>
      <c r="K385" s="266"/>
      <c r="M385" s="270"/>
      <c r="N385" s="1"/>
      <c r="O385" s="19" t="s">
        <v>1649</v>
      </c>
      <c r="P385" s="17">
        <v>3.9</v>
      </c>
      <c r="Q385" s="17">
        <v>13</v>
      </c>
      <c r="R385" s="17">
        <f t="shared" si="165"/>
        <v>50.699999999999996</v>
      </c>
      <c r="S385" s="236"/>
      <c r="T385" s="236"/>
      <c r="U385" s="236"/>
      <c r="V385" s="242"/>
      <c r="Y385" s="270"/>
      <c r="Z385" s="1"/>
      <c r="AA385" s="19" t="s">
        <v>1649</v>
      </c>
      <c r="AB385" s="17">
        <v>3.9</v>
      </c>
      <c r="AC385" s="17">
        <v>13</v>
      </c>
      <c r="AD385" s="17">
        <f t="shared" si="166"/>
        <v>50.699999999999996</v>
      </c>
      <c r="AE385" s="236"/>
      <c r="AF385" s="236"/>
      <c r="AG385" s="236"/>
      <c r="AH385" s="242"/>
    </row>
    <row r="386" spans="2:34" ht="13">
      <c r="B386" s="249"/>
      <c r="C386" s="155"/>
      <c r="D386" s="19" t="s">
        <v>1448</v>
      </c>
      <c r="E386" s="17">
        <v>9.4499999999999993</v>
      </c>
      <c r="F386" s="17">
        <v>12.5</v>
      </c>
      <c r="G386" s="17">
        <v>118.125</v>
      </c>
      <c r="H386" s="236"/>
      <c r="I386" s="236"/>
      <c r="J386" s="236"/>
      <c r="K386" s="266"/>
      <c r="M386" s="270"/>
      <c r="N386" s="1"/>
      <c r="O386" s="19" t="s">
        <v>1243</v>
      </c>
      <c r="P386" s="17">
        <v>12.4</v>
      </c>
      <c r="Q386" s="17">
        <v>13</v>
      </c>
      <c r="R386" s="17">
        <f t="shared" si="165"/>
        <v>161.20000000000002</v>
      </c>
      <c r="S386" s="236"/>
      <c r="T386" s="236"/>
      <c r="U386" s="236"/>
      <c r="V386" s="242"/>
      <c r="Y386" s="270"/>
      <c r="Z386" s="1"/>
      <c r="AA386" s="19" t="s">
        <v>1243</v>
      </c>
      <c r="AB386" s="17">
        <v>12.4</v>
      </c>
      <c r="AC386" s="17">
        <v>13</v>
      </c>
      <c r="AD386" s="17">
        <f t="shared" si="166"/>
        <v>161.20000000000002</v>
      </c>
      <c r="AE386" s="236"/>
      <c r="AF386" s="236"/>
      <c r="AG386" s="236"/>
      <c r="AH386" s="242"/>
    </row>
    <row r="387" spans="2:34" ht="13">
      <c r="B387" s="249"/>
      <c r="C387" s="157" t="s">
        <v>1717</v>
      </c>
      <c r="D387" s="123" t="s">
        <v>1626</v>
      </c>
      <c r="E387" s="124">
        <v>12</v>
      </c>
      <c r="F387" s="124">
        <v>15</v>
      </c>
      <c r="G387" s="124">
        <v>180</v>
      </c>
      <c r="H387" s="320">
        <f>SUM(G387:G393)</f>
        <v>888</v>
      </c>
      <c r="I387" s="320">
        <v>2060</v>
      </c>
      <c r="J387" s="320">
        <f>I387-H387</f>
        <v>1172</v>
      </c>
      <c r="K387" s="321">
        <f>J387/I387</f>
        <v>0.56893203883495147</v>
      </c>
      <c r="M387" s="270"/>
      <c r="N387" s="140"/>
      <c r="O387" s="20" t="s">
        <v>114</v>
      </c>
      <c r="P387" s="20">
        <v>6</v>
      </c>
      <c r="Q387" s="20">
        <v>16</v>
      </c>
      <c r="R387" s="21">
        <f t="shared" si="165"/>
        <v>96</v>
      </c>
      <c r="S387" s="248"/>
      <c r="T387" s="248"/>
      <c r="U387" s="248"/>
      <c r="V387" s="303"/>
      <c r="Y387" s="270"/>
      <c r="Z387" s="140"/>
      <c r="AA387" s="20" t="s">
        <v>114</v>
      </c>
      <c r="AB387" s="179"/>
      <c r="AC387" s="179"/>
      <c r="AD387" s="68"/>
      <c r="AE387" s="248"/>
      <c r="AF387" s="248"/>
      <c r="AG387" s="248"/>
      <c r="AH387" s="303"/>
    </row>
    <row r="388" spans="2:34" ht="14">
      <c r="B388" s="249"/>
      <c r="C388" s="155"/>
      <c r="D388" s="19" t="s">
        <v>1633</v>
      </c>
      <c r="E388" s="17">
        <v>12</v>
      </c>
      <c r="F388" s="17">
        <v>15</v>
      </c>
      <c r="G388" s="17">
        <v>180</v>
      </c>
      <c r="H388" s="236"/>
      <c r="I388" s="236"/>
      <c r="J388" s="236"/>
      <c r="K388" s="266"/>
      <c r="M388" s="270"/>
      <c r="N388" s="144" t="s">
        <v>1718</v>
      </c>
      <c r="O388" s="77" t="s">
        <v>114</v>
      </c>
      <c r="P388" s="71">
        <v>9.25</v>
      </c>
      <c r="Q388" s="71">
        <v>16</v>
      </c>
      <c r="R388" s="16">
        <f t="shared" si="165"/>
        <v>148</v>
      </c>
      <c r="S388" s="239">
        <f>SUM(R388:R391)</f>
        <v>413.20000000000005</v>
      </c>
      <c r="T388" s="239">
        <v>1366.2</v>
      </c>
      <c r="U388" s="239">
        <f>T388-S388</f>
        <v>953</v>
      </c>
      <c r="V388" s="259">
        <f>U388/T388</f>
        <v>0.69755526277265401</v>
      </c>
      <c r="Y388" s="270"/>
      <c r="Z388" s="144" t="s">
        <v>1718</v>
      </c>
      <c r="AA388" s="77" t="s">
        <v>114</v>
      </c>
      <c r="AB388" s="104"/>
      <c r="AC388" s="104"/>
      <c r="AD388" s="43"/>
      <c r="AE388" s="325">
        <f>SUM(AD388:AD391)</f>
        <v>265.2</v>
      </c>
      <c r="AF388" s="325">
        <v>1366.2</v>
      </c>
      <c r="AG388" s="325">
        <f>AF388-AE388</f>
        <v>1101</v>
      </c>
      <c r="AH388" s="330">
        <f>AG388/AF388</f>
        <v>0.80588493631971891</v>
      </c>
    </row>
    <row r="389" spans="2:34" ht="13">
      <c r="B389" s="249"/>
      <c r="C389" s="155"/>
      <c r="D389" s="19" t="s">
        <v>1719</v>
      </c>
      <c r="E389" s="17">
        <v>12</v>
      </c>
      <c r="F389" s="17">
        <v>20</v>
      </c>
      <c r="G389" s="17">
        <v>240</v>
      </c>
      <c r="H389" s="236"/>
      <c r="I389" s="236"/>
      <c r="J389" s="236"/>
      <c r="K389" s="266"/>
      <c r="M389" s="270"/>
      <c r="N389" s="1"/>
      <c r="O389" s="19" t="s">
        <v>1649</v>
      </c>
      <c r="P389" s="17">
        <v>5</v>
      </c>
      <c r="Q389" s="17">
        <v>13</v>
      </c>
      <c r="R389" s="17">
        <f t="shared" si="165"/>
        <v>65</v>
      </c>
      <c r="S389" s="236"/>
      <c r="T389" s="236"/>
      <c r="U389" s="236"/>
      <c r="V389" s="242"/>
      <c r="Y389" s="270"/>
      <c r="Z389" s="1"/>
      <c r="AA389" s="19" t="s">
        <v>1649</v>
      </c>
      <c r="AB389" s="17">
        <v>5</v>
      </c>
      <c r="AC389" s="17">
        <v>13</v>
      </c>
      <c r="AD389" s="17">
        <f t="shared" ref="AD389:AD391" si="167">AB389*AC389</f>
        <v>65</v>
      </c>
      <c r="AE389" s="236"/>
      <c r="AF389" s="236"/>
      <c r="AG389" s="236"/>
      <c r="AH389" s="242"/>
    </row>
    <row r="390" spans="2:34" ht="13">
      <c r="B390" s="249"/>
      <c r="C390" s="155"/>
      <c r="D390" s="19" t="s">
        <v>1720</v>
      </c>
      <c r="E390" s="19"/>
      <c r="F390" s="19"/>
      <c r="G390" s="17">
        <v>30</v>
      </c>
      <c r="H390" s="236"/>
      <c r="I390" s="236"/>
      <c r="J390" s="236"/>
      <c r="K390" s="266"/>
      <c r="M390" s="270"/>
      <c r="N390" s="1"/>
      <c r="O390" s="19" t="s">
        <v>1609</v>
      </c>
      <c r="P390" s="17">
        <v>4.5999999999999996</v>
      </c>
      <c r="Q390" s="17">
        <v>13</v>
      </c>
      <c r="R390" s="17">
        <f t="shared" si="165"/>
        <v>59.8</v>
      </c>
      <c r="S390" s="236"/>
      <c r="T390" s="236"/>
      <c r="U390" s="236"/>
      <c r="V390" s="242"/>
      <c r="Y390" s="270"/>
      <c r="Z390" s="1"/>
      <c r="AA390" s="19" t="s">
        <v>1609</v>
      </c>
      <c r="AB390" s="17">
        <v>4.5999999999999996</v>
      </c>
      <c r="AC390" s="17">
        <v>13</v>
      </c>
      <c r="AD390" s="17">
        <f t="shared" si="167"/>
        <v>59.8</v>
      </c>
      <c r="AE390" s="236"/>
      <c r="AF390" s="236"/>
      <c r="AG390" s="236"/>
      <c r="AH390" s="242"/>
    </row>
    <row r="391" spans="2:34" ht="13">
      <c r="B391" s="249"/>
      <c r="C391" s="155"/>
      <c r="D391" s="19" t="s">
        <v>1721</v>
      </c>
      <c r="E391" s="19"/>
      <c r="F391" s="19"/>
      <c r="G391" s="178">
        <v>30</v>
      </c>
      <c r="H391" s="236"/>
      <c r="I391" s="236"/>
      <c r="J391" s="236"/>
      <c r="K391" s="266"/>
      <c r="M391" s="270"/>
      <c r="N391" s="140"/>
      <c r="O391" s="20" t="s">
        <v>1235</v>
      </c>
      <c r="P391" s="20">
        <v>10.8</v>
      </c>
      <c r="Q391" s="20">
        <v>13</v>
      </c>
      <c r="R391" s="21">
        <f t="shared" si="165"/>
        <v>140.4</v>
      </c>
      <c r="S391" s="248"/>
      <c r="T391" s="248"/>
      <c r="U391" s="248"/>
      <c r="V391" s="303"/>
      <c r="Y391" s="270"/>
      <c r="Z391" s="140"/>
      <c r="AA391" s="20" t="s">
        <v>1235</v>
      </c>
      <c r="AB391" s="20">
        <v>10.8</v>
      </c>
      <c r="AC391" s="20">
        <v>13</v>
      </c>
      <c r="AD391" s="21">
        <f t="shared" si="167"/>
        <v>140.4</v>
      </c>
      <c r="AE391" s="248"/>
      <c r="AF391" s="248"/>
      <c r="AG391" s="248"/>
      <c r="AH391" s="303"/>
    </row>
    <row r="392" spans="2:34" ht="14">
      <c r="B392" s="249"/>
      <c r="C392" s="155"/>
      <c r="D392" s="19" t="s">
        <v>800</v>
      </c>
      <c r="E392" s="19"/>
      <c r="F392" s="19"/>
      <c r="G392" s="178">
        <v>88</v>
      </c>
      <c r="H392" s="236"/>
      <c r="I392" s="236"/>
      <c r="J392" s="236"/>
      <c r="K392" s="266"/>
      <c r="M392" s="270"/>
      <c r="N392" s="144" t="s">
        <v>1722</v>
      </c>
      <c r="O392" s="77" t="s">
        <v>986</v>
      </c>
      <c r="P392" s="71"/>
      <c r="Q392" s="71"/>
      <c r="R392" s="71">
        <v>400</v>
      </c>
      <c r="S392" s="239">
        <f>SUM(R392:R393)</f>
        <v>463.69</v>
      </c>
      <c r="T392" s="239">
        <v>2606.25</v>
      </c>
      <c r="U392" s="239">
        <f>T392-S392</f>
        <v>2142.56</v>
      </c>
      <c r="V392" s="259">
        <f>U392/T392</f>
        <v>0.82208537170263785</v>
      </c>
      <c r="Y392" s="270"/>
      <c r="Z392" s="144" t="s">
        <v>1722</v>
      </c>
      <c r="AA392" s="77" t="s">
        <v>986</v>
      </c>
      <c r="AB392" s="71"/>
      <c r="AC392" s="71"/>
      <c r="AD392" s="71">
        <v>400</v>
      </c>
      <c r="AE392" s="325">
        <f>SUM(AD392:AD393)</f>
        <v>463.69</v>
      </c>
      <c r="AF392" s="325">
        <v>2606.25</v>
      </c>
      <c r="AG392" s="325">
        <f>AF392-AE392</f>
        <v>2142.56</v>
      </c>
      <c r="AH392" s="330">
        <f>AG392/AF392</f>
        <v>0.82208537170263785</v>
      </c>
    </row>
    <row r="393" spans="2:34" ht="13">
      <c r="B393" s="249"/>
      <c r="C393" s="155"/>
      <c r="D393" s="19" t="s">
        <v>1061</v>
      </c>
      <c r="E393" s="19"/>
      <c r="F393" s="19"/>
      <c r="G393" s="178">
        <v>140</v>
      </c>
      <c r="H393" s="236"/>
      <c r="I393" s="236"/>
      <c r="J393" s="236"/>
      <c r="K393" s="266"/>
      <c r="M393" s="270"/>
      <c r="N393" s="140"/>
      <c r="O393" s="20" t="s">
        <v>33</v>
      </c>
      <c r="P393" s="20"/>
      <c r="Q393" s="20"/>
      <c r="R393" s="20">
        <v>63.69</v>
      </c>
      <c r="S393" s="248"/>
      <c r="T393" s="248"/>
      <c r="U393" s="248"/>
      <c r="V393" s="303"/>
      <c r="Y393" s="270"/>
      <c r="Z393" s="140"/>
      <c r="AA393" s="20" t="s">
        <v>33</v>
      </c>
      <c r="AB393" s="20"/>
      <c r="AC393" s="20"/>
      <c r="AD393" s="20">
        <v>63.69</v>
      </c>
      <c r="AE393" s="248"/>
      <c r="AF393" s="248"/>
      <c r="AG393" s="248"/>
      <c r="AH393" s="303"/>
    </row>
    <row r="394" spans="2:34" ht="14">
      <c r="B394" s="249"/>
      <c r="C394" s="157" t="s">
        <v>1723</v>
      </c>
      <c r="D394" s="123" t="s">
        <v>1702</v>
      </c>
      <c r="E394" s="124">
        <v>19</v>
      </c>
      <c r="F394" s="124">
        <v>15</v>
      </c>
      <c r="G394" s="124">
        <v>0</v>
      </c>
      <c r="H394" s="320">
        <f>SUM(G394:G397)</f>
        <v>279.5</v>
      </c>
      <c r="I394" s="320">
        <v>960</v>
      </c>
      <c r="J394" s="320">
        <f>I394-H394</f>
        <v>680.5</v>
      </c>
      <c r="K394" s="321">
        <f>J394/I394</f>
        <v>0.70885416666666667</v>
      </c>
      <c r="M394" s="270"/>
      <c r="N394" s="144" t="s">
        <v>1724</v>
      </c>
      <c r="O394" s="77" t="s">
        <v>986</v>
      </c>
      <c r="P394" s="71"/>
      <c r="Q394" s="71"/>
      <c r="R394" s="71">
        <v>800</v>
      </c>
      <c r="S394" s="239">
        <f>SUM(R394:R395)</f>
        <v>882.58</v>
      </c>
      <c r="T394" s="239">
        <v>3657</v>
      </c>
      <c r="U394" s="239">
        <f>T394-S394</f>
        <v>2774.42</v>
      </c>
      <c r="V394" s="259">
        <f>U394/T394</f>
        <v>0.75866010391030902</v>
      </c>
      <c r="Y394" s="270"/>
      <c r="Z394" s="144" t="s">
        <v>1724</v>
      </c>
      <c r="AA394" s="77" t="s">
        <v>986</v>
      </c>
      <c r="AB394" s="71"/>
      <c r="AC394" s="71"/>
      <c r="AD394" s="71">
        <v>800</v>
      </c>
      <c r="AE394" s="325">
        <f>SUM(AD394:AD395)</f>
        <v>882.58</v>
      </c>
      <c r="AF394" s="325">
        <v>3657</v>
      </c>
      <c r="AG394" s="325">
        <f>AF394-AE394</f>
        <v>2774.42</v>
      </c>
      <c r="AH394" s="330">
        <f>AG394/AF394</f>
        <v>0.75866010391030902</v>
      </c>
    </row>
    <row r="395" spans="2:34" ht="13">
      <c r="B395" s="249"/>
      <c r="C395" s="155"/>
      <c r="D395" s="19" t="s">
        <v>1341</v>
      </c>
      <c r="E395" s="17">
        <v>10</v>
      </c>
      <c r="F395" s="17">
        <v>12.5</v>
      </c>
      <c r="G395" s="17">
        <v>125</v>
      </c>
      <c r="H395" s="236"/>
      <c r="I395" s="236"/>
      <c r="J395" s="236"/>
      <c r="K395" s="266"/>
      <c r="M395" s="270"/>
      <c r="N395" s="140"/>
      <c r="O395" s="20" t="s">
        <v>33</v>
      </c>
      <c r="P395" s="20"/>
      <c r="Q395" s="20"/>
      <c r="R395" s="20">
        <v>82.58</v>
      </c>
      <c r="S395" s="248"/>
      <c r="T395" s="248"/>
      <c r="U395" s="248"/>
      <c r="V395" s="303"/>
      <c r="Y395" s="270"/>
      <c r="Z395" s="140"/>
      <c r="AA395" s="20" t="s">
        <v>33</v>
      </c>
      <c r="AB395" s="20"/>
      <c r="AC395" s="20"/>
      <c r="AD395" s="20">
        <v>82.58</v>
      </c>
      <c r="AE395" s="248"/>
      <c r="AF395" s="248"/>
      <c r="AG395" s="248"/>
      <c r="AH395" s="303"/>
    </row>
    <row r="396" spans="2:34" ht="14">
      <c r="B396" s="249"/>
      <c r="C396" s="155"/>
      <c r="D396" s="19" t="s">
        <v>1626</v>
      </c>
      <c r="E396" s="17">
        <v>5</v>
      </c>
      <c r="F396" s="17">
        <v>15</v>
      </c>
      <c r="G396" s="17">
        <v>75</v>
      </c>
      <c r="H396" s="236"/>
      <c r="I396" s="236"/>
      <c r="J396" s="236"/>
      <c r="K396" s="266"/>
      <c r="M396" s="270"/>
      <c r="N396" s="173" t="s">
        <v>1725</v>
      </c>
      <c r="O396" s="15" t="s">
        <v>1435</v>
      </c>
      <c r="P396" s="16">
        <v>15</v>
      </c>
      <c r="Q396" s="16">
        <v>17</v>
      </c>
      <c r="R396" s="16">
        <f t="shared" ref="R396:R401" si="168">P396*Q396</f>
        <v>255</v>
      </c>
      <c r="S396" s="292">
        <f>SUM(R396:R402)</f>
        <v>1070.3</v>
      </c>
      <c r="T396" s="292">
        <v>2816</v>
      </c>
      <c r="U396" s="292">
        <f>T396-S396</f>
        <v>1745.7</v>
      </c>
      <c r="V396" s="313">
        <f>U396/T396</f>
        <v>0.61992187500000007</v>
      </c>
      <c r="Y396" s="270"/>
      <c r="Z396" s="173" t="s">
        <v>1725</v>
      </c>
      <c r="AA396" s="15" t="s">
        <v>1435</v>
      </c>
      <c r="AB396" s="16">
        <v>15</v>
      </c>
      <c r="AC396" s="16">
        <v>17</v>
      </c>
      <c r="AD396" s="16">
        <f t="shared" ref="AD396:AD401" si="169">AB396*AC396</f>
        <v>255</v>
      </c>
      <c r="AE396" s="292">
        <f>SUM(AD396:AD402)</f>
        <v>1070.3</v>
      </c>
      <c r="AF396" s="292">
        <v>2816</v>
      </c>
      <c r="AG396" s="292">
        <f>AF396-AE396</f>
        <v>1745.7</v>
      </c>
      <c r="AH396" s="313">
        <f>AG396/AF396</f>
        <v>0.61992187500000007</v>
      </c>
    </row>
    <row r="397" spans="2:34" ht="13">
      <c r="B397" s="249"/>
      <c r="C397" s="155"/>
      <c r="D397" s="19" t="s">
        <v>1633</v>
      </c>
      <c r="E397" s="17">
        <v>5.3</v>
      </c>
      <c r="F397" s="17">
        <v>15</v>
      </c>
      <c r="G397" s="17">
        <v>79.5</v>
      </c>
      <c r="H397" s="293"/>
      <c r="I397" s="293"/>
      <c r="J397" s="293"/>
      <c r="K397" s="319"/>
      <c r="M397" s="270"/>
      <c r="N397" s="174"/>
      <c r="O397" s="19" t="s">
        <v>1726</v>
      </c>
      <c r="P397" s="17">
        <v>3</v>
      </c>
      <c r="Q397" s="17">
        <v>15</v>
      </c>
      <c r="R397" s="17">
        <f t="shared" si="168"/>
        <v>45</v>
      </c>
      <c r="S397" s="236"/>
      <c r="T397" s="236"/>
      <c r="U397" s="236"/>
      <c r="V397" s="242"/>
      <c r="Y397" s="270"/>
      <c r="Z397" s="174"/>
      <c r="AA397" s="19" t="s">
        <v>1726</v>
      </c>
      <c r="AB397" s="17">
        <v>3</v>
      </c>
      <c r="AC397" s="17">
        <v>15</v>
      </c>
      <c r="AD397" s="17">
        <f t="shared" si="169"/>
        <v>45</v>
      </c>
      <c r="AE397" s="236"/>
      <c r="AF397" s="236"/>
      <c r="AG397" s="236"/>
      <c r="AH397" s="242"/>
    </row>
    <row r="398" spans="2:34" ht="13">
      <c r="B398" s="249"/>
      <c r="C398" s="157" t="s">
        <v>1727</v>
      </c>
      <c r="D398" s="123" t="s">
        <v>1308</v>
      </c>
      <c r="E398" s="124">
        <v>10.3</v>
      </c>
      <c r="F398" s="124">
        <v>15</v>
      </c>
      <c r="G398" s="124">
        <v>154.5</v>
      </c>
      <c r="H398" s="320">
        <f>SUM(G398:G400)</f>
        <v>278</v>
      </c>
      <c r="I398" s="320">
        <v>1200</v>
      </c>
      <c r="J398" s="320">
        <f>I398-H398</f>
        <v>922</v>
      </c>
      <c r="K398" s="321">
        <f>J398/I398</f>
        <v>0.76833333333333331</v>
      </c>
      <c r="M398" s="270"/>
      <c r="N398" s="174"/>
      <c r="O398" s="19" t="s">
        <v>1728</v>
      </c>
      <c r="P398" s="17">
        <v>8.5</v>
      </c>
      <c r="Q398" s="17">
        <v>13</v>
      </c>
      <c r="R398" s="17">
        <f t="shared" si="168"/>
        <v>110.5</v>
      </c>
      <c r="S398" s="236"/>
      <c r="T398" s="236"/>
      <c r="U398" s="236"/>
      <c r="V398" s="242"/>
      <c r="Y398" s="270"/>
      <c r="Z398" s="174"/>
      <c r="AA398" s="19" t="s">
        <v>1728</v>
      </c>
      <c r="AB398" s="17">
        <v>8.5</v>
      </c>
      <c r="AC398" s="17">
        <v>13</v>
      </c>
      <c r="AD398" s="17">
        <f t="shared" si="169"/>
        <v>110.5</v>
      </c>
      <c r="AE398" s="236"/>
      <c r="AF398" s="236"/>
      <c r="AG398" s="236"/>
      <c r="AH398" s="242"/>
    </row>
    <row r="399" spans="2:34" ht="13">
      <c r="B399" s="249"/>
      <c r="C399" s="155"/>
      <c r="D399" s="19" t="s">
        <v>95</v>
      </c>
      <c r="E399" s="17">
        <v>8.3000000000000007</v>
      </c>
      <c r="F399" s="17">
        <v>15</v>
      </c>
      <c r="G399" s="17">
        <v>123.5</v>
      </c>
      <c r="H399" s="236"/>
      <c r="I399" s="236"/>
      <c r="J399" s="236"/>
      <c r="K399" s="266"/>
      <c r="M399" s="270"/>
      <c r="N399" s="174"/>
      <c r="O399" s="19" t="s">
        <v>1729</v>
      </c>
      <c r="P399" s="17">
        <v>3</v>
      </c>
      <c r="Q399" s="17">
        <v>15</v>
      </c>
      <c r="R399" s="17">
        <f t="shared" si="168"/>
        <v>45</v>
      </c>
      <c r="S399" s="236"/>
      <c r="T399" s="236"/>
      <c r="U399" s="236"/>
      <c r="V399" s="242"/>
      <c r="Y399" s="270"/>
      <c r="Z399" s="174"/>
      <c r="AA399" s="19" t="s">
        <v>1729</v>
      </c>
      <c r="AB399" s="17">
        <v>3</v>
      </c>
      <c r="AC399" s="17">
        <v>15</v>
      </c>
      <c r="AD399" s="17">
        <f t="shared" si="169"/>
        <v>45</v>
      </c>
      <c r="AE399" s="236"/>
      <c r="AF399" s="236"/>
      <c r="AG399" s="236"/>
      <c r="AH399" s="242"/>
    </row>
    <row r="400" spans="2:34" ht="13">
      <c r="B400" s="249"/>
      <c r="C400" s="155"/>
      <c r="D400" s="19" t="s">
        <v>1702</v>
      </c>
      <c r="E400" s="17">
        <v>11</v>
      </c>
      <c r="F400" s="17">
        <v>15</v>
      </c>
      <c r="G400" s="17">
        <v>0</v>
      </c>
      <c r="H400" s="293"/>
      <c r="I400" s="293"/>
      <c r="J400" s="293"/>
      <c r="K400" s="319"/>
      <c r="M400" s="270"/>
      <c r="N400" s="174"/>
      <c r="O400" s="19" t="s">
        <v>1730</v>
      </c>
      <c r="P400" s="17">
        <v>6</v>
      </c>
      <c r="Q400" s="17">
        <v>15</v>
      </c>
      <c r="R400" s="17">
        <f t="shared" si="168"/>
        <v>90</v>
      </c>
      <c r="S400" s="236"/>
      <c r="T400" s="236"/>
      <c r="U400" s="236"/>
      <c r="V400" s="242"/>
      <c r="Y400" s="270"/>
      <c r="Z400" s="174"/>
      <c r="AA400" s="19" t="s">
        <v>1730</v>
      </c>
      <c r="AB400" s="17">
        <v>6</v>
      </c>
      <c r="AC400" s="17">
        <v>15</v>
      </c>
      <c r="AD400" s="17">
        <f t="shared" si="169"/>
        <v>90</v>
      </c>
      <c r="AE400" s="236"/>
      <c r="AF400" s="236"/>
      <c r="AG400" s="236"/>
      <c r="AH400" s="242"/>
    </row>
    <row r="401" spans="2:34" ht="13">
      <c r="B401" s="249"/>
      <c r="C401" s="157" t="s">
        <v>1731</v>
      </c>
      <c r="D401" s="123" t="s">
        <v>1634</v>
      </c>
      <c r="E401" s="124">
        <v>12.2</v>
      </c>
      <c r="F401" s="124">
        <v>15</v>
      </c>
      <c r="G401" s="124">
        <v>183</v>
      </c>
      <c r="H401" s="320">
        <f>SUM(G401:G402)</f>
        <v>183</v>
      </c>
      <c r="I401" s="320">
        <v>1000</v>
      </c>
      <c r="J401" s="320">
        <f>I401-H401</f>
        <v>817</v>
      </c>
      <c r="K401" s="321">
        <f>J401/I401</f>
        <v>0.81699999999999995</v>
      </c>
      <c r="M401" s="270"/>
      <c r="N401" s="174"/>
      <c r="O401" s="19" t="s">
        <v>1732</v>
      </c>
      <c r="P401" s="17">
        <v>9</v>
      </c>
      <c r="Q401" s="17">
        <v>15</v>
      </c>
      <c r="R401" s="17">
        <f t="shared" si="168"/>
        <v>135</v>
      </c>
      <c r="S401" s="236"/>
      <c r="T401" s="236"/>
      <c r="U401" s="236"/>
      <c r="V401" s="242"/>
      <c r="Y401" s="270"/>
      <c r="Z401" s="174"/>
      <c r="AA401" s="19" t="s">
        <v>1732</v>
      </c>
      <c r="AB401" s="17">
        <v>9</v>
      </c>
      <c r="AC401" s="17">
        <v>15</v>
      </c>
      <c r="AD401" s="17">
        <f t="shared" si="169"/>
        <v>135</v>
      </c>
      <c r="AE401" s="236"/>
      <c r="AF401" s="236"/>
      <c r="AG401" s="236"/>
      <c r="AH401" s="242"/>
    </row>
    <row r="402" spans="2:34" ht="13">
      <c r="B402" s="249"/>
      <c r="C402" s="155"/>
      <c r="D402" s="19" t="s">
        <v>1716</v>
      </c>
      <c r="E402" s="17">
        <v>8</v>
      </c>
      <c r="F402" s="17">
        <v>15</v>
      </c>
      <c r="G402" s="17">
        <v>0</v>
      </c>
      <c r="H402" s="293"/>
      <c r="I402" s="293"/>
      <c r="J402" s="293"/>
      <c r="K402" s="319"/>
      <c r="M402" s="270"/>
      <c r="N402" s="175"/>
      <c r="O402" s="20" t="s">
        <v>1733</v>
      </c>
      <c r="P402" s="21"/>
      <c r="Q402" s="21"/>
      <c r="R402" s="21">
        <v>389.8</v>
      </c>
      <c r="S402" s="248"/>
      <c r="T402" s="248"/>
      <c r="U402" s="248"/>
      <c r="V402" s="303"/>
      <c r="Y402" s="270"/>
      <c r="Z402" s="175"/>
      <c r="AA402" s="20" t="s">
        <v>1733</v>
      </c>
      <c r="AB402" s="21"/>
      <c r="AC402" s="21"/>
      <c r="AD402" s="21">
        <v>389.8</v>
      </c>
      <c r="AE402" s="248"/>
      <c r="AF402" s="248"/>
      <c r="AG402" s="248"/>
      <c r="AH402" s="303"/>
    </row>
    <row r="403" spans="2:34" ht="14">
      <c r="B403" s="249"/>
      <c r="C403" s="157" t="s">
        <v>1734</v>
      </c>
      <c r="D403" s="123" t="s">
        <v>1308</v>
      </c>
      <c r="E403" s="124">
        <v>1.5</v>
      </c>
      <c r="F403" s="123"/>
      <c r="G403" s="124">
        <v>40</v>
      </c>
      <c r="H403" s="320">
        <f>SUM(G403:G405)</f>
        <v>80</v>
      </c>
      <c r="I403" s="320">
        <v>555</v>
      </c>
      <c r="J403" s="320">
        <f>I403-H403</f>
        <v>475</v>
      </c>
      <c r="K403" s="321">
        <f>J403/I403</f>
        <v>0.85585585585585588</v>
      </c>
      <c r="M403" s="270"/>
      <c r="N403" s="144" t="s">
        <v>1735</v>
      </c>
      <c r="O403" s="77" t="s">
        <v>1736</v>
      </c>
      <c r="P403" s="71">
        <v>5</v>
      </c>
      <c r="Q403" s="71">
        <v>15</v>
      </c>
      <c r="R403" s="19">
        <f t="shared" ref="R403:R405" si="170">P403*Q403</f>
        <v>75</v>
      </c>
      <c r="S403" s="239">
        <f>SUM(R403:R404)</f>
        <v>292.5</v>
      </c>
      <c r="T403" s="239">
        <v>800</v>
      </c>
      <c r="U403" s="239">
        <f>T403-S403</f>
        <v>507.5</v>
      </c>
      <c r="V403" s="259">
        <f>U403/T403</f>
        <v>0.63437500000000002</v>
      </c>
      <c r="Y403" s="270"/>
      <c r="Z403" s="144" t="s">
        <v>1735</v>
      </c>
      <c r="AA403" s="77" t="s">
        <v>1736</v>
      </c>
      <c r="AB403" s="71">
        <v>5</v>
      </c>
      <c r="AC403" s="71">
        <v>15</v>
      </c>
      <c r="AD403" s="19">
        <f t="shared" ref="AD403:AD404" si="171">AB403*AC403</f>
        <v>75</v>
      </c>
      <c r="AE403" s="325">
        <f>SUM(AD403:AD404)</f>
        <v>292.5</v>
      </c>
      <c r="AF403" s="325">
        <v>800</v>
      </c>
      <c r="AG403" s="325">
        <f>AF403-AE403</f>
        <v>507.5</v>
      </c>
      <c r="AH403" s="330">
        <f>AG403/AF403</f>
        <v>0.63437500000000002</v>
      </c>
    </row>
    <row r="404" spans="2:34" ht="13">
      <c r="B404" s="249"/>
      <c r="C404" s="155"/>
      <c r="D404" s="19" t="s">
        <v>1633</v>
      </c>
      <c r="E404" s="17">
        <v>1.5</v>
      </c>
      <c r="F404" s="19"/>
      <c r="G404" s="17">
        <v>40</v>
      </c>
      <c r="H404" s="236"/>
      <c r="I404" s="236"/>
      <c r="J404" s="236"/>
      <c r="K404" s="266"/>
      <c r="M404" s="270"/>
      <c r="N404" s="140"/>
      <c r="O404" s="20" t="s">
        <v>1235</v>
      </c>
      <c r="P404" s="20">
        <v>14.5</v>
      </c>
      <c r="Q404" s="20">
        <v>15</v>
      </c>
      <c r="R404" s="20">
        <f t="shared" si="170"/>
        <v>217.5</v>
      </c>
      <c r="S404" s="248"/>
      <c r="T404" s="248"/>
      <c r="U404" s="248"/>
      <c r="V404" s="303"/>
      <c r="Y404" s="270"/>
      <c r="Z404" s="140"/>
      <c r="AA404" s="20" t="s">
        <v>1235</v>
      </c>
      <c r="AB404" s="20">
        <v>14.5</v>
      </c>
      <c r="AC404" s="20">
        <v>15</v>
      </c>
      <c r="AD404" s="20">
        <f t="shared" si="171"/>
        <v>217.5</v>
      </c>
      <c r="AE404" s="248"/>
      <c r="AF404" s="248"/>
      <c r="AG404" s="248"/>
      <c r="AH404" s="303"/>
    </row>
    <row r="405" spans="2:34" ht="14">
      <c r="B405" s="249"/>
      <c r="C405" s="155"/>
      <c r="D405" s="19" t="s">
        <v>715</v>
      </c>
      <c r="E405" s="17">
        <v>1.5</v>
      </c>
      <c r="F405" s="19"/>
      <c r="G405" s="184">
        <v>0</v>
      </c>
      <c r="H405" s="293"/>
      <c r="I405" s="293"/>
      <c r="J405" s="293"/>
      <c r="K405" s="319"/>
      <c r="M405" s="270"/>
      <c r="N405" s="144" t="s">
        <v>1737</v>
      </c>
      <c r="O405" s="77" t="s">
        <v>114</v>
      </c>
      <c r="P405" s="71">
        <v>8.5</v>
      </c>
      <c r="Q405" s="71">
        <v>16</v>
      </c>
      <c r="R405" s="19">
        <f t="shared" si="170"/>
        <v>136</v>
      </c>
      <c r="S405" s="239">
        <f>SUM(R405:R406)</f>
        <v>136</v>
      </c>
      <c r="T405" s="239">
        <v>1250</v>
      </c>
      <c r="U405" s="239">
        <f>T405-S405</f>
        <v>1114</v>
      </c>
      <c r="V405" s="259">
        <f>U405/T405</f>
        <v>0.89119999999999999</v>
      </c>
      <c r="Y405" s="270"/>
      <c r="Z405" s="144" t="s">
        <v>1737</v>
      </c>
      <c r="AA405" s="77" t="s">
        <v>114</v>
      </c>
      <c r="AB405" s="104"/>
      <c r="AC405" s="104"/>
      <c r="AD405" s="105"/>
      <c r="AE405" s="325">
        <f>SUM(AD405:AD406)</f>
        <v>0</v>
      </c>
      <c r="AF405" s="325">
        <v>1250</v>
      </c>
      <c r="AG405" s="325">
        <f>AF405-AE405</f>
        <v>1250</v>
      </c>
      <c r="AH405" s="330">
        <f>AG405/AF405</f>
        <v>1</v>
      </c>
    </row>
    <row r="406" spans="2:34" ht="13">
      <c r="B406" s="249"/>
      <c r="C406" s="157" t="s">
        <v>1738</v>
      </c>
      <c r="D406" s="123" t="s">
        <v>1308</v>
      </c>
      <c r="E406" s="124">
        <v>5</v>
      </c>
      <c r="F406" s="124">
        <v>15</v>
      </c>
      <c r="G406" s="124">
        <v>75</v>
      </c>
      <c r="H406" s="320">
        <f>SUM(G406:G407)</f>
        <v>150</v>
      </c>
      <c r="I406" s="320">
        <v>660</v>
      </c>
      <c r="J406" s="320">
        <f>I406-H406</f>
        <v>510</v>
      </c>
      <c r="K406" s="321">
        <f>J406/I406</f>
        <v>0.77272727272727271</v>
      </c>
      <c r="M406" s="270"/>
      <c r="N406" s="140"/>
      <c r="O406" s="20"/>
      <c r="P406" s="20"/>
      <c r="Q406" s="20"/>
      <c r="R406" s="20"/>
      <c r="S406" s="248"/>
      <c r="T406" s="248"/>
      <c r="U406" s="248"/>
      <c r="V406" s="303"/>
      <c r="Y406" s="270"/>
      <c r="Z406" s="140"/>
      <c r="AA406" s="20"/>
      <c r="AB406" s="20"/>
      <c r="AC406" s="20"/>
      <c r="AD406" s="20"/>
      <c r="AE406" s="248"/>
      <c r="AF406" s="248"/>
      <c r="AG406" s="248"/>
      <c r="AH406" s="303"/>
    </row>
    <row r="407" spans="2:34" ht="14">
      <c r="B407" s="250"/>
      <c r="C407" s="155"/>
      <c r="D407" s="19" t="s">
        <v>1633</v>
      </c>
      <c r="E407" s="17">
        <v>5</v>
      </c>
      <c r="F407" s="17">
        <v>15</v>
      </c>
      <c r="G407" s="17">
        <v>75</v>
      </c>
      <c r="H407" s="293"/>
      <c r="I407" s="293"/>
      <c r="J407" s="293"/>
      <c r="K407" s="319"/>
      <c r="M407" s="270"/>
      <c r="N407" s="144" t="s">
        <v>1739</v>
      </c>
      <c r="O407" s="77" t="s">
        <v>114</v>
      </c>
      <c r="P407" s="71">
        <v>7</v>
      </c>
      <c r="Q407" s="71">
        <v>16</v>
      </c>
      <c r="R407" s="19">
        <f>P407*Q407</f>
        <v>112</v>
      </c>
      <c r="S407" s="239">
        <f>SUM(R407:R408)</f>
        <v>112</v>
      </c>
      <c r="T407" s="239">
        <v>2660</v>
      </c>
      <c r="U407" s="239">
        <f>T407-S407</f>
        <v>2548</v>
      </c>
      <c r="V407" s="259">
        <f>U407/T407</f>
        <v>0.95789473684210524</v>
      </c>
      <c r="Y407" s="270"/>
      <c r="Z407" s="144" t="s">
        <v>1739</v>
      </c>
      <c r="AA407" s="77" t="s">
        <v>114</v>
      </c>
      <c r="AB407" s="104"/>
      <c r="AC407" s="104"/>
      <c r="AD407" s="105"/>
      <c r="AE407" s="325">
        <f>SUM(AD407:AD408)</f>
        <v>0</v>
      </c>
      <c r="AF407" s="325">
        <v>2660</v>
      </c>
      <c r="AG407" s="325">
        <f>AF407-AE407</f>
        <v>2660</v>
      </c>
      <c r="AH407" s="330">
        <f>AG407/AF407</f>
        <v>1</v>
      </c>
    </row>
    <row r="408" spans="2:34" ht="30">
      <c r="B408" s="251" t="s">
        <v>1740</v>
      </c>
      <c r="C408" s="252"/>
      <c r="D408" s="253"/>
      <c r="E408" s="27">
        <f t="shared" ref="E408:J408" si="172">AVERAGE(E374:E407)</f>
        <v>13.494000000000002</v>
      </c>
      <c r="F408" s="27">
        <f t="shared" si="172"/>
        <v>14.462962962962964</v>
      </c>
      <c r="G408" s="152">
        <f t="shared" si="172"/>
        <v>143.85926470588237</v>
      </c>
      <c r="H408" s="152">
        <f t="shared" si="172"/>
        <v>611.40187500000002</v>
      </c>
      <c r="I408" s="152">
        <f t="shared" si="172"/>
        <v>1871.875</v>
      </c>
      <c r="J408" s="152">
        <f t="shared" si="172"/>
        <v>1260.473125</v>
      </c>
      <c r="K408" s="183"/>
      <c r="M408" s="270"/>
      <c r="N408" s="140"/>
      <c r="O408" s="20"/>
      <c r="P408" s="20"/>
      <c r="Q408" s="20"/>
      <c r="R408" s="20"/>
      <c r="S408" s="248"/>
      <c r="T408" s="248"/>
      <c r="U408" s="248"/>
      <c r="V408" s="303"/>
      <c r="Y408" s="270"/>
      <c r="Z408" s="140"/>
      <c r="AA408" s="20"/>
      <c r="AB408" s="20"/>
      <c r="AC408" s="20"/>
      <c r="AD408" s="20"/>
      <c r="AE408" s="248"/>
      <c r="AF408" s="248"/>
      <c r="AG408" s="248"/>
      <c r="AH408" s="303"/>
    </row>
    <row r="409" spans="2:34" ht="30">
      <c r="B409" s="251" t="s">
        <v>1741</v>
      </c>
      <c r="C409" s="252"/>
      <c r="D409" s="253"/>
      <c r="E409" s="27">
        <f t="shared" ref="E409:J409" si="173">SUM(E374:E407)</f>
        <v>404.82000000000005</v>
      </c>
      <c r="F409" s="27">
        <f t="shared" si="173"/>
        <v>390.5</v>
      </c>
      <c r="G409" s="152">
        <f t="shared" si="173"/>
        <v>4891.2150000000001</v>
      </c>
      <c r="H409" s="152">
        <f t="shared" si="173"/>
        <v>4891.2150000000001</v>
      </c>
      <c r="I409" s="152">
        <f t="shared" si="173"/>
        <v>14975</v>
      </c>
      <c r="J409" s="152">
        <f t="shared" si="173"/>
        <v>10083.785</v>
      </c>
      <c r="K409" s="154">
        <f t="shared" ref="K409:K410" si="174">J409/I409</f>
        <v>0.67337462437395657</v>
      </c>
      <c r="M409" s="270"/>
      <c r="N409" s="316" t="s">
        <v>1742</v>
      </c>
      <c r="O409" s="19" t="s">
        <v>1743</v>
      </c>
      <c r="P409" s="17">
        <v>7</v>
      </c>
      <c r="Q409" s="17">
        <v>25</v>
      </c>
      <c r="R409" s="17">
        <f t="shared" ref="R409:R416" si="175">P409*Q409</f>
        <v>175</v>
      </c>
      <c r="S409" s="284">
        <f>SUM(R409:R432)</f>
        <v>2253</v>
      </c>
      <c r="T409" s="284">
        <v>8866.5</v>
      </c>
      <c r="U409" s="284">
        <f>T409-S409</f>
        <v>6613.5</v>
      </c>
      <c r="V409" s="315">
        <f>U409/T409</f>
        <v>0.7458974792759262</v>
      </c>
      <c r="Y409" s="270"/>
      <c r="Z409" s="316" t="s">
        <v>1742</v>
      </c>
      <c r="AA409" s="19" t="s">
        <v>1743</v>
      </c>
      <c r="AB409" s="17">
        <v>7</v>
      </c>
      <c r="AC409" s="17">
        <v>25</v>
      </c>
      <c r="AD409" s="17">
        <f t="shared" ref="AD409:AD416" si="176">AB409*AC409</f>
        <v>175</v>
      </c>
      <c r="AE409" s="284">
        <f>SUM(AD409:AD432)</f>
        <v>2315.5</v>
      </c>
      <c r="AF409" s="284">
        <v>8866.5</v>
      </c>
      <c r="AG409" s="284">
        <f>AF409-AE409</f>
        <v>6551</v>
      </c>
      <c r="AH409" s="315">
        <f>AG409/AF409</f>
        <v>0.73884847459538716</v>
      </c>
    </row>
    <row r="410" spans="2:34" ht="13">
      <c r="B410" s="277" t="s">
        <v>5</v>
      </c>
      <c r="C410" s="155" t="s">
        <v>1744</v>
      </c>
      <c r="D410" s="19" t="s">
        <v>1626</v>
      </c>
      <c r="E410" s="17">
        <v>8.65</v>
      </c>
      <c r="F410" s="17">
        <v>15</v>
      </c>
      <c r="G410" s="17">
        <v>129.75</v>
      </c>
      <c r="H410" s="325">
        <f>SUM(G410:G414)</f>
        <v>259.75</v>
      </c>
      <c r="I410" s="325">
        <v>970</v>
      </c>
      <c r="J410" s="325">
        <f>I410-H410</f>
        <v>710.25</v>
      </c>
      <c r="K410" s="328">
        <f t="shared" si="174"/>
        <v>0.73221649484536078</v>
      </c>
      <c r="M410" s="270"/>
      <c r="N410" s="236"/>
      <c r="O410" s="19" t="s">
        <v>1745</v>
      </c>
      <c r="P410" s="17">
        <v>2.5</v>
      </c>
      <c r="Q410" s="17">
        <v>15</v>
      </c>
      <c r="R410" s="17">
        <f t="shared" si="175"/>
        <v>37.5</v>
      </c>
      <c r="S410" s="236"/>
      <c r="T410" s="236"/>
      <c r="U410" s="236"/>
      <c r="V410" s="258"/>
      <c r="Y410" s="270"/>
      <c r="Z410" s="236"/>
      <c r="AA410" s="19" t="s">
        <v>1745</v>
      </c>
      <c r="AB410" s="17">
        <v>2.5</v>
      </c>
      <c r="AC410" s="17">
        <v>15</v>
      </c>
      <c r="AD410" s="17">
        <f t="shared" si="176"/>
        <v>37.5</v>
      </c>
      <c r="AE410" s="236"/>
      <c r="AF410" s="236"/>
      <c r="AG410" s="236"/>
      <c r="AH410" s="258"/>
    </row>
    <row r="411" spans="2:34" ht="13">
      <c r="B411" s="249"/>
      <c r="C411" s="155"/>
      <c r="D411" s="19" t="s">
        <v>1746</v>
      </c>
      <c r="E411" s="17">
        <v>4.0999999999999996</v>
      </c>
      <c r="F411" s="17">
        <v>12.5</v>
      </c>
      <c r="G411" s="17">
        <v>51.25</v>
      </c>
      <c r="H411" s="236"/>
      <c r="I411" s="236"/>
      <c r="J411" s="236"/>
      <c r="K411" s="266"/>
      <c r="M411" s="270"/>
      <c r="N411" s="236"/>
      <c r="O411" s="19" t="s">
        <v>1747</v>
      </c>
      <c r="P411" s="17">
        <v>6.5</v>
      </c>
      <c r="Q411" s="17">
        <v>25</v>
      </c>
      <c r="R411" s="17">
        <f t="shared" si="175"/>
        <v>162.5</v>
      </c>
      <c r="S411" s="236"/>
      <c r="T411" s="236"/>
      <c r="U411" s="236"/>
      <c r="V411" s="258"/>
      <c r="Y411" s="270"/>
      <c r="Z411" s="236"/>
      <c r="AA411" s="19" t="s">
        <v>1747</v>
      </c>
      <c r="AB411" s="17">
        <v>6.5</v>
      </c>
      <c r="AC411" s="17">
        <v>25</v>
      </c>
      <c r="AD411" s="17">
        <f t="shared" si="176"/>
        <v>162.5</v>
      </c>
      <c r="AE411" s="236"/>
      <c r="AF411" s="236"/>
      <c r="AG411" s="236"/>
      <c r="AH411" s="258"/>
    </row>
    <row r="412" spans="2:34" ht="13">
      <c r="B412" s="249"/>
      <c r="C412" s="155"/>
      <c r="D412" s="19" t="s">
        <v>1633</v>
      </c>
      <c r="E412" s="17">
        <v>4</v>
      </c>
      <c r="F412" s="17">
        <v>15</v>
      </c>
      <c r="G412" s="17">
        <v>60</v>
      </c>
      <c r="H412" s="236"/>
      <c r="I412" s="236"/>
      <c r="J412" s="236"/>
      <c r="K412" s="266"/>
      <c r="M412" s="270"/>
      <c r="N412" s="236"/>
      <c r="O412" s="19" t="s">
        <v>1748</v>
      </c>
      <c r="P412" s="17">
        <v>4</v>
      </c>
      <c r="Q412" s="17">
        <v>15</v>
      </c>
      <c r="R412" s="17">
        <f t="shared" si="175"/>
        <v>60</v>
      </c>
      <c r="S412" s="236"/>
      <c r="T412" s="236"/>
      <c r="U412" s="236"/>
      <c r="V412" s="258"/>
      <c r="Y412" s="270"/>
      <c r="Z412" s="236"/>
      <c r="AA412" s="19" t="s">
        <v>1748</v>
      </c>
      <c r="AB412" s="17">
        <v>4</v>
      </c>
      <c r="AC412" s="17">
        <v>15</v>
      </c>
      <c r="AD412" s="17">
        <f t="shared" si="176"/>
        <v>60</v>
      </c>
      <c r="AE412" s="236"/>
      <c r="AF412" s="236"/>
      <c r="AG412" s="236"/>
      <c r="AH412" s="258"/>
    </row>
    <row r="413" spans="2:34" ht="13">
      <c r="B413" s="249"/>
      <c r="C413" s="155"/>
      <c r="D413" s="19" t="s">
        <v>1749</v>
      </c>
      <c r="E413" s="17">
        <v>1.5</v>
      </c>
      <c r="F413" s="17">
        <v>12.5</v>
      </c>
      <c r="G413" s="17">
        <v>18.75</v>
      </c>
      <c r="H413" s="236"/>
      <c r="I413" s="236"/>
      <c r="J413" s="236"/>
      <c r="K413" s="266"/>
      <c r="M413" s="270"/>
      <c r="N413" s="236"/>
      <c r="O413" s="19" t="s">
        <v>1750</v>
      </c>
      <c r="P413" s="17">
        <v>6.5</v>
      </c>
      <c r="Q413" s="17">
        <v>25</v>
      </c>
      <c r="R413" s="17">
        <f t="shared" si="175"/>
        <v>162.5</v>
      </c>
      <c r="S413" s="236"/>
      <c r="T413" s="236"/>
      <c r="U413" s="236"/>
      <c r="V413" s="258"/>
      <c r="Y413" s="270"/>
      <c r="Z413" s="236"/>
      <c r="AA413" s="19" t="s">
        <v>1750</v>
      </c>
      <c r="AB413" s="17">
        <v>6.5</v>
      </c>
      <c r="AC413" s="17">
        <v>25</v>
      </c>
      <c r="AD413" s="17">
        <f t="shared" si="176"/>
        <v>162.5</v>
      </c>
      <c r="AE413" s="236"/>
      <c r="AF413" s="236"/>
      <c r="AG413" s="236"/>
      <c r="AH413" s="258"/>
    </row>
    <row r="414" spans="2:34" ht="13">
      <c r="B414" s="249"/>
      <c r="C414" s="155"/>
      <c r="D414" s="19" t="s">
        <v>1702</v>
      </c>
      <c r="E414" s="17">
        <v>4.4000000000000004</v>
      </c>
      <c r="F414" s="17">
        <v>15</v>
      </c>
      <c r="G414" s="17">
        <v>0</v>
      </c>
      <c r="H414" s="236"/>
      <c r="I414" s="236"/>
      <c r="J414" s="236"/>
      <c r="K414" s="266"/>
      <c r="M414" s="270"/>
      <c r="N414" s="236"/>
      <c r="O414" s="19" t="s">
        <v>1751</v>
      </c>
      <c r="P414" s="17">
        <v>2</v>
      </c>
      <c r="Q414" s="17">
        <v>20</v>
      </c>
      <c r="R414" s="17">
        <f t="shared" si="175"/>
        <v>40</v>
      </c>
      <c r="S414" s="236"/>
      <c r="T414" s="236"/>
      <c r="U414" s="236"/>
      <c r="V414" s="258"/>
      <c r="Y414" s="270"/>
      <c r="Z414" s="236"/>
      <c r="AA414" s="19" t="s">
        <v>1751</v>
      </c>
      <c r="AB414" s="17">
        <v>2</v>
      </c>
      <c r="AC414" s="17">
        <v>20</v>
      </c>
      <c r="AD414" s="17">
        <f t="shared" si="176"/>
        <v>40</v>
      </c>
      <c r="AE414" s="236"/>
      <c r="AF414" s="236"/>
      <c r="AG414" s="236"/>
      <c r="AH414" s="258"/>
    </row>
    <row r="415" spans="2:34" ht="13">
      <c r="B415" s="249"/>
      <c r="C415" s="157" t="s">
        <v>1752</v>
      </c>
      <c r="D415" s="123" t="s">
        <v>1626</v>
      </c>
      <c r="E415" s="124">
        <v>5</v>
      </c>
      <c r="F415" s="124">
        <v>15</v>
      </c>
      <c r="G415" s="124">
        <v>75</v>
      </c>
      <c r="H415" s="320">
        <f>SUM(G415:G418)</f>
        <v>135</v>
      </c>
      <c r="I415" s="320">
        <v>360</v>
      </c>
      <c r="J415" s="320">
        <f>I415-H415</f>
        <v>225</v>
      </c>
      <c r="K415" s="321">
        <f>J415/I415</f>
        <v>0.625</v>
      </c>
      <c r="M415" s="270"/>
      <c r="N415" s="236"/>
      <c r="O415" s="19" t="s">
        <v>1753</v>
      </c>
      <c r="P415" s="17">
        <v>3</v>
      </c>
      <c r="Q415" s="17">
        <v>15</v>
      </c>
      <c r="R415" s="17">
        <f t="shared" si="175"/>
        <v>45</v>
      </c>
      <c r="S415" s="236"/>
      <c r="T415" s="236"/>
      <c r="U415" s="236"/>
      <c r="V415" s="258"/>
      <c r="Y415" s="270"/>
      <c r="Z415" s="236"/>
      <c r="AA415" s="19" t="s">
        <v>1753</v>
      </c>
      <c r="AB415" s="17">
        <v>3</v>
      </c>
      <c r="AC415" s="17">
        <v>15</v>
      </c>
      <c r="AD415" s="17">
        <f t="shared" si="176"/>
        <v>45</v>
      </c>
      <c r="AE415" s="236"/>
      <c r="AF415" s="236"/>
      <c r="AG415" s="236"/>
      <c r="AH415" s="258"/>
    </row>
    <row r="416" spans="2:34" ht="13">
      <c r="B416" s="249"/>
      <c r="C416" s="155"/>
      <c r="D416" s="19" t="s">
        <v>1754</v>
      </c>
      <c r="E416" s="17">
        <v>2.5</v>
      </c>
      <c r="F416" s="17">
        <v>15</v>
      </c>
      <c r="G416" s="17">
        <v>37.5</v>
      </c>
      <c r="H416" s="236"/>
      <c r="I416" s="236"/>
      <c r="J416" s="236"/>
      <c r="K416" s="266"/>
      <c r="M416" s="270"/>
      <c r="N416" s="236"/>
      <c r="O416" s="19" t="s">
        <v>1755</v>
      </c>
      <c r="P416" s="17">
        <v>2.5</v>
      </c>
      <c r="Q416" s="17">
        <v>25</v>
      </c>
      <c r="R416" s="17">
        <f t="shared" si="175"/>
        <v>62.5</v>
      </c>
      <c r="S416" s="236"/>
      <c r="T416" s="236"/>
      <c r="U416" s="236"/>
      <c r="V416" s="258"/>
      <c r="Y416" s="270"/>
      <c r="Z416" s="236"/>
      <c r="AA416" s="19" t="s">
        <v>1755</v>
      </c>
      <c r="AB416" s="17">
        <v>2.5</v>
      </c>
      <c r="AC416" s="17">
        <v>25</v>
      </c>
      <c r="AD416" s="17">
        <f t="shared" si="176"/>
        <v>62.5</v>
      </c>
      <c r="AE416" s="236"/>
      <c r="AF416" s="236"/>
      <c r="AG416" s="236"/>
      <c r="AH416" s="258"/>
    </row>
    <row r="417" spans="2:34" ht="13">
      <c r="B417" s="249"/>
      <c r="C417" s="155"/>
      <c r="D417" s="19" t="s">
        <v>1756</v>
      </c>
      <c r="E417" s="17">
        <v>1.5</v>
      </c>
      <c r="F417" s="17">
        <v>15</v>
      </c>
      <c r="G417" s="17">
        <v>22.5</v>
      </c>
      <c r="H417" s="236"/>
      <c r="I417" s="236"/>
      <c r="J417" s="236"/>
      <c r="K417" s="266"/>
      <c r="M417" s="270"/>
      <c r="N417" s="236"/>
      <c r="O417" s="19" t="s">
        <v>1757</v>
      </c>
      <c r="P417" s="17"/>
      <c r="Q417" s="17"/>
      <c r="R417" s="17">
        <v>20</v>
      </c>
      <c r="S417" s="236"/>
      <c r="T417" s="236"/>
      <c r="U417" s="236"/>
      <c r="V417" s="258"/>
      <c r="Y417" s="270"/>
      <c r="Z417" s="236"/>
      <c r="AA417" s="19" t="s">
        <v>1757</v>
      </c>
      <c r="AB417" s="17"/>
      <c r="AC417" s="17"/>
      <c r="AD417" s="17">
        <v>20</v>
      </c>
      <c r="AE417" s="236"/>
      <c r="AF417" s="236"/>
      <c r="AG417" s="236"/>
      <c r="AH417" s="258"/>
    </row>
    <row r="418" spans="2:34" ht="13">
      <c r="B418" s="249"/>
      <c r="C418" s="155"/>
      <c r="D418" s="24"/>
      <c r="E418" s="11"/>
      <c r="F418" s="11"/>
      <c r="G418" s="11"/>
      <c r="H418" s="293"/>
      <c r="I418" s="293"/>
      <c r="J418" s="293"/>
      <c r="K418" s="319"/>
      <c r="M418" s="270"/>
      <c r="N418" s="236"/>
      <c r="O418" s="19" t="s">
        <v>1758</v>
      </c>
      <c r="P418" s="17">
        <v>4.5</v>
      </c>
      <c r="Q418" s="17">
        <v>25</v>
      </c>
      <c r="R418" s="17">
        <f t="shared" ref="R418:R431" si="177">P418*Q418</f>
        <v>112.5</v>
      </c>
      <c r="S418" s="236"/>
      <c r="T418" s="236"/>
      <c r="U418" s="236"/>
      <c r="V418" s="258"/>
      <c r="Y418" s="270"/>
      <c r="Z418" s="236"/>
      <c r="AA418" s="19" t="s">
        <v>1758</v>
      </c>
      <c r="AB418" s="17">
        <v>4.5</v>
      </c>
      <c r="AC418" s="17">
        <v>25</v>
      </c>
      <c r="AD418" s="17">
        <f t="shared" ref="AD418:AD431" si="178">AB418*AC418</f>
        <v>112.5</v>
      </c>
      <c r="AE418" s="236"/>
      <c r="AF418" s="236"/>
      <c r="AG418" s="236"/>
      <c r="AH418" s="258"/>
    </row>
    <row r="419" spans="2:34" ht="13">
      <c r="B419" s="249"/>
      <c r="C419" s="157" t="s">
        <v>1759</v>
      </c>
      <c r="D419" s="123" t="s">
        <v>1308</v>
      </c>
      <c r="E419" s="124">
        <v>5</v>
      </c>
      <c r="F419" s="124">
        <v>15</v>
      </c>
      <c r="G419" s="124">
        <f t="shared" ref="G419:G421" si="179">E419*F419</f>
        <v>75</v>
      </c>
      <c r="H419" s="320">
        <f>SUM(G419:G421)</f>
        <v>135</v>
      </c>
      <c r="I419" s="320">
        <v>360</v>
      </c>
      <c r="J419" s="320">
        <f>I419-H419</f>
        <v>225</v>
      </c>
      <c r="K419" s="321">
        <f>J419/I419</f>
        <v>0.625</v>
      </c>
      <c r="M419" s="270"/>
      <c r="N419" s="236"/>
      <c r="O419" s="19" t="s">
        <v>1760</v>
      </c>
      <c r="P419" s="17">
        <v>2.5</v>
      </c>
      <c r="Q419" s="17">
        <v>25</v>
      </c>
      <c r="R419" s="17">
        <f t="shared" si="177"/>
        <v>62.5</v>
      </c>
      <c r="S419" s="236"/>
      <c r="T419" s="236"/>
      <c r="U419" s="236"/>
      <c r="V419" s="258"/>
      <c r="Y419" s="270"/>
      <c r="Z419" s="236"/>
      <c r="AA419" s="19" t="s">
        <v>1760</v>
      </c>
      <c r="AB419" s="17">
        <v>2.5</v>
      </c>
      <c r="AC419" s="17">
        <v>25</v>
      </c>
      <c r="AD419" s="17">
        <f t="shared" si="178"/>
        <v>62.5</v>
      </c>
      <c r="AE419" s="236"/>
      <c r="AF419" s="236"/>
      <c r="AG419" s="236"/>
      <c r="AH419" s="258"/>
    </row>
    <row r="420" spans="2:34" ht="13">
      <c r="B420" s="249"/>
      <c r="C420" s="155"/>
      <c r="D420" s="19" t="s">
        <v>1341</v>
      </c>
      <c r="E420" s="17">
        <v>2.5</v>
      </c>
      <c r="F420" s="17">
        <v>15</v>
      </c>
      <c r="G420" s="17">
        <f t="shared" si="179"/>
        <v>37.5</v>
      </c>
      <c r="H420" s="236"/>
      <c r="I420" s="236"/>
      <c r="J420" s="236"/>
      <c r="K420" s="266"/>
      <c r="M420" s="270"/>
      <c r="N420" s="236"/>
      <c r="O420" s="19" t="s">
        <v>1761</v>
      </c>
      <c r="P420" s="17">
        <v>4</v>
      </c>
      <c r="Q420" s="17">
        <v>15</v>
      </c>
      <c r="R420" s="17">
        <f t="shared" si="177"/>
        <v>60</v>
      </c>
      <c r="S420" s="236"/>
      <c r="T420" s="236"/>
      <c r="U420" s="236"/>
      <c r="V420" s="258"/>
      <c r="Y420" s="270"/>
      <c r="Z420" s="236"/>
      <c r="AA420" s="19" t="s">
        <v>1761</v>
      </c>
      <c r="AB420" s="17">
        <v>4</v>
      </c>
      <c r="AC420" s="17">
        <v>15</v>
      </c>
      <c r="AD420" s="17">
        <f t="shared" si="178"/>
        <v>60</v>
      </c>
      <c r="AE420" s="236"/>
      <c r="AF420" s="236"/>
      <c r="AG420" s="236"/>
      <c r="AH420" s="258"/>
    </row>
    <row r="421" spans="2:34" ht="13">
      <c r="B421" s="249"/>
      <c r="C421" s="155"/>
      <c r="D421" s="19" t="s">
        <v>1762</v>
      </c>
      <c r="E421" s="17">
        <v>1.5</v>
      </c>
      <c r="F421" s="17">
        <v>15</v>
      </c>
      <c r="G421" s="17">
        <f t="shared" si="179"/>
        <v>22.5</v>
      </c>
      <c r="H421" s="293"/>
      <c r="I421" s="293"/>
      <c r="J421" s="293"/>
      <c r="K421" s="319"/>
      <c r="M421" s="270"/>
      <c r="N421" s="236"/>
      <c r="O421" s="19" t="s">
        <v>1763</v>
      </c>
      <c r="P421" s="17">
        <v>4</v>
      </c>
      <c r="Q421" s="17">
        <v>25</v>
      </c>
      <c r="R421" s="17">
        <f t="shared" si="177"/>
        <v>100</v>
      </c>
      <c r="S421" s="236"/>
      <c r="T421" s="236"/>
      <c r="U421" s="236"/>
      <c r="V421" s="258"/>
      <c r="Y421" s="270"/>
      <c r="Z421" s="236"/>
      <c r="AA421" s="19" t="s">
        <v>1763</v>
      </c>
      <c r="AB421" s="17">
        <v>4</v>
      </c>
      <c r="AC421" s="17">
        <v>25</v>
      </c>
      <c r="AD421" s="17">
        <f t="shared" si="178"/>
        <v>100</v>
      </c>
      <c r="AE421" s="236"/>
      <c r="AF421" s="236"/>
      <c r="AG421" s="236"/>
      <c r="AH421" s="258"/>
    </row>
    <row r="422" spans="2:34" ht="13">
      <c r="B422" s="249"/>
      <c r="C422" s="157" t="s">
        <v>1764</v>
      </c>
      <c r="D422" s="123" t="s">
        <v>114</v>
      </c>
      <c r="E422" s="124">
        <v>7</v>
      </c>
      <c r="F422" s="124">
        <v>12.5</v>
      </c>
      <c r="G422" s="124">
        <v>0</v>
      </c>
      <c r="H422" s="320">
        <f>SUM(G422:G426)</f>
        <v>240.625</v>
      </c>
      <c r="I422" s="320">
        <v>900</v>
      </c>
      <c r="J422" s="320">
        <f>I422-H422</f>
        <v>659.375</v>
      </c>
      <c r="K422" s="321">
        <f>J422/I422</f>
        <v>0.73263888888888884</v>
      </c>
      <c r="M422" s="270"/>
      <c r="N422" s="236"/>
      <c r="O422" s="19" t="s">
        <v>1765</v>
      </c>
      <c r="P422" s="17">
        <v>4</v>
      </c>
      <c r="Q422" s="17">
        <v>25</v>
      </c>
      <c r="R422" s="17">
        <f t="shared" si="177"/>
        <v>100</v>
      </c>
      <c r="S422" s="236"/>
      <c r="T422" s="236"/>
      <c r="U422" s="236"/>
      <c r="V422" s="258"/>
      <c r="Y422" s="270"/>
      <c r="Z422" s="236"/>
      <c r="AA422" s="19" t="s">
        <v>1765</v>
      </c>
      <c r="AB422" s="17">
        <v>4</v>
      </c>
      <c r="AC422" s="17">
        <v>25</v>
      </c>
      <c r="AD422" s="17">
        <f t="shared" si="178"/>
        <v>100</v>
      </c>
      <c r="AE422" s="236"/>
      <c r="AF422" s="236"/>
      <c r="AG422" s="236"/>
      <c r="AH422" s="258"/>
    </row>
    <row r="423" spans="2:34" ht="13">
      <c r="B423" s="249"/>
      <c r="C423" s="155"/>
      <c r="D423" s="19" t="s">
        <v>1448</v>
      </c>
      <c r="E423" s="17">
        <v>4.5</v>
      </c>
      <c r="F423" s="17">
        <v>12.5</v>
      </c>
      <c r="G423" s="17">
        <f t="shared" ref="G423:G426" si="180">E423*F423</f>
        <v>56.25</v>
      </c>
      <c r="H423" s="236"/>
      <c r="I423" s="236"/>
      <c r="J423" s="236"/>
      <c r="K423" s="266"/>
      <c r="M423" s="270"/>
      <c r="N423" s="236"/>
      <c r="O423" s="19" t="s">
        <v>1766</v>
      </c>
      <c r="P423" s="17">
        <v>4.5</v>
      </c>
      <c r="Q423" s="17">
        <v>25</v>
      </c>
      <c r="R423" s="17">
        <f t="shared" si="177"/>
        <v>112.5</v>
      </c>
      <c r="S423" s="236"/>
      <c r="T423" s="236"/>
      <c r="U423" s="236"/>
      <c r="V423" s="258"/>
      <c r="Y423" s="270"/>
      <c r="Z423" s="236"/>
      <c r="AA423" s="19" t="s">
        <v>1766</v>
      </c>
      <c r="AB423" s="17">
        <v>4.5</v>
      </c>
      <c r="AC423" s="17">
        <v>25</v>
      </c>
      <c r="AD423" s="17">
        <f t="shared" si="178"/>
        <v>112.5</v>
      </c>
      <c r="AE423" s="236"/>
      <c r="AF423" s="236"/>
      <c r="AG423" s="236"/>
      <c r="AH423" s="258"/>
    </row>
    <row r="424" spans="2:34" ht="13">
      <c r="B424" s="249"/>
      <c r="C424" s="155"/>
      <c r="D424" s="19" t="s">
        <v>95</v>
      </c>
      <c r="E424" s="17">
        <v>5</v>
      </c>
      <c r="F424" s="17">
        <v>12.5</v>
      </c>
      <c r="G424" s="17">
        <f t="shared" si="180"/>
        <v>62.5</v>
      </c>
      <c r="H424" s="236"/>
      <c r="I424" s="236"/>
      <c r="J424" s="236"/>
      <c r="K424" s="266"/>
      <c r="M424" s="270"/>
      <c r="N424" s="236"/>
      <c r="O424" s="19" t="s">
        <v>1767</v>
      </c>
      <c r="P424" s="17">
        <v>2.5</v>
      </c>
      <c r="Q424" s="17">
        <v>15</v>
      </c>
      <c r="R424" s="17">
        <f t="shared" si="177"/>
        <v>37.5</v>
      </c>
      <c r="S424" s="236"/>
      <c r="T424" s="236"/>
      <c r="U424" s="236"/>
      <c r="V424" s="258"/>
      <c r="Y424" s="270"/>
      <c r="Z424" s="236"/>
      <c r="AA424" s="19" t="s">
        <v>1767</v>
      </c>
      <c r="AB424" s="17">
        <v>2.5</v>
      </c>
      <c r="AC424" s="17">
        <v>15</v>
      </c>
      <c r="AD424" s="17">
        <f t="shared" si="178"/>
        <v>37.5</v>
      </c>
      <c r="AE424" s="236"/>
      <c r="AF424" s="236"/>
      <c r="AG424" s="236"/>
      <c r="AH424" s="258"/>
    </row>
    <row r="425" spans="2:34" ht="13">
      <c r="B425" s="249"/>
      <c r="C425" s="155"/>
      <c r="D425" s="19" t="s">
        <v>1768</v>
      </c>
      <c r="E425" s="17">
        <v>5</v>
      </c>
      <c r="F425" s="17">
        <v>12.5</v>
      </c>
      <c r="G425" s="17">
        <f t="shared" si="180"/>
        <v>62.5</v>
      </c>
      <c r="H425" s="236"/>
      <c r="I425" s="236"/>
      <c r="J425" s="236"/>
      <c r="K425" s="266"/>
      <c r="M425" s="270"/>
      <c r="N425" s="236"/>
      <c r="O425" s="19" t="s">
        <v>1769</v>
      </c>
      <c r="P425" s="17">
        <v>4.5</v>
      </c>
      <c r="Q425" s="17">
        <v>25</v>
      </c>
      <c r="R425" s="17">
        <f t="shared" si="177"/>
        <v>112.5</v>
      </c>
      <c r="S425" s="236"/>
      <c r="T425" s="236"/>
      <c r="U425" s="236"/>
      <c r="V425" s="258"/>
      <c r="Y425" s="270"/>
      <c r="Z425" s="236"/>
      <c r="AA425" s="19" t="s">
        <v>1769</v>
      </c>
      <c r="AB425" s="17">
        <v>4.5</v>
      </c>
      <c r="AC425" s="17">
        <v>25</v>
      </c>
      <c r="AD425" s="17">
        <f t="shared" si="178"/>
        <v>112.5</v>
      </c>
      <c r="AE425" s="236"/>
      <c r="AF425" s="236"/>
      <c r="AG425" s="236"/>
      <c r="AH425" s="258"/>
    </row>
    <row r="426" spans="2:34" ht="13">
      <c r="B426" s="249"/>
      <c r="C426" s="155"/>
      <c r="D426" s="19" t="s">
        <v>1611</v>
      </c>
      <c r="E426" s="17">
        <v>4.75</v>
      </c>
      <c r="F426" s="17">
        <v>12.5</v>
      </c>
      <c r="G426" s="17">
        <f t="shared" si="180"/>
        <v>59.375</v>
      </c>
      <c r="H426" s="236"/>
      <c r="I426" s="236"/>
      <c r="J426" s="236"/>
      <c r="K426" s="266"/>
      <c r="M426" s="270"/>
      <c r="N426" s="236"/>
      <c r="O426" s="19" t="s">
        <v>1770</v>
      </c>
      <c r="P426" s="17">
        <v>2.5</v>
      </c>
      <c r="Q426" s="17">
        <v>15</v>
      </c>
      <c r="R426" s="17">
        <f t="shared" si="177"/>
        <v>37.5</v>
      </c>
      <c r="S426" s="236"/>
      <c r="T426" s="236"/>
      <c r="U426" s="236"/>
      <c r="V426" s="258"/>
      <c r="Y426" s="270"/>
      <c r="Z426" s="236"/>
      <c r="AA426" s="19" t="s">
        <v>1770</v>
      </c>
      <c r="AB426" s="17">
        <v>2.5</v>
      </c>
      <c r="AC426" s="17">
        <v>15</v>
      </c>
      <c r="AD426" s="17">
        <f t="shared" si="178"/>
        <v>37.5</v>
      </c>
      <c r="AE426" s="236"/>
      <c r="AF426" s="236"/>
      <c r="AG426" s="236"/>
      <c r="AH426" s="258"/>
    </row>
    <row r="427" spans="2:34" ht="13">
      <c r="B427" s="249"/>
      <c r="C427" s="157" t="s">
        <v>1771</v>
      </c>
      <c r="D427" s="123" t="s">
        <v>1772</v>
      </c>
      <c r="E427" s="124">
        <v>3</v>
      </c>
      <c r="F427" s="124">
        <v>15</v>
      </c>
      <c r="G427" s="124">
        <v>45</v>
      </c>
      <c r="H427" s="320">
        <f>SUM(G427:G430)</f>
        <v>135</v>
      </c>
      <c r="I427" s="320">
        <v>850</v>
      </c>
      <c r="J427" s="320">
        <f>I427-H427</f>
        <v>715</v>
      </c>
      <c r="K427" s="321">
        <f>J427/I427</f>
        <v>0.8411764705882353</v>
      </c>
      <c r="M427" s="270"/>
      <c r="N427" s="236"/>
      <c r="O427" s="19" t="s">
        <v>1773</v>
      </c>
      <c r="P427" s="17">
        <v>2.5</v>
      </c>
      <c r="Q427" s="17">
        <v>25</v>
      </c>
      <c r="R427" s="17">
        <f t="shared" si="177"/>
        <v>62.5</v>
      </c>
      <c r="S427" s="236"/>
      <c r="T427" s="236"/>
      <c r="U427" s="236"/>
      <c r="V427" s="258"/>
      <c r="Y427" s="270"/>
      <c r="Z427" s="236"/>
      <c r="AA427" s="19" t="s">
        <v>1773</v>
      </c>
      <c r="AB427" s="17">
        <v>2.5</v>
      </c>
      <c r="AC427" s="17">
        <v>25</v>
      </c>
      <c r="AD427" s="17">
        <f t="shared" si="178"/>
        <v>62.5</v>
      </c>
      <c r="AE427" s="236"/>
      <c r="AF427" s="236"/>
      <c r="AG427" s="236"/>
      <c r="AH427" s="258"/>
    </row>
    <row r="428" spans="2:34" ht="13">
      <c r="B428" s="249"/>
      <c r="C428" s="155"/>
      <c r="D428" s="19" t="s">
        <v>1322</v>
      </c>
      <c r="E428" s="17">
        <v>3</v>
      </c>
      <c r="F428" s="17">
        <v>15</v>
      </c>
      <c r="G428" s="17">
        <v>45</v>
      </c>
      <c r="H428" s="236"/>
      <c r="I428" s="236"/>
      <c r="J428" s="236"/>
      <c r="K428" s="266"/>
      <c r="M428" s="270"/>
      <c r="N428" s="236"/>
      <c r="O428" s="19" t="s">
        <v>1774</v>
      </c>
      <c r="P428" s="17">
        <v>2.5</v>
      </c>
      <c r="Q428" s="17">
        <v>15</v>
      </c>
      <c r="R428" s="17">
        <f t="shared" si="177"/>
        <v>37.5</v>
      </c>
      <c r="S428" s="236"/>
      <c r="T428" s="236"/>
      <c r="U428" s="236"/>
      <c r="V428" s="258"/>
      <c r="Y428" s="270"/>
      <c r="Z428" s="236"/>
      <c r="AA428" s="19" t="s">
        <v>1774</v>
      </c>
      <c r="AB428" s="17">
        <v>2.5</v>
      </c>
      <c r="AC428" s="17">
        <v>15</v>
      </c>
      <c r="AD428" s="17">
        <f t="shared" si="178"/>
        <v>37.5</v>
      </c>
      <c r="AE428" s="236"/>
      <c r="AF428" s="236"/>
      <c r="AG428" s="236"/>
      <c r="AH428" s="258"/>
    </row>
    <row r="429" spans="2:34" ht="13">
      <c r="B429" s="249"/>
      <c r="C429" s="155"/>
      <c r="D429" s="19" t="s">
        <v>715</v>
      </c>
      <c r="E429" s="17">
        <v>3</v>
      </c>
      <c r="F429" s="17">
        <v>15</v>
      </c>
      <c r="G429" s="17">
        <v>0</v>
      </c>
      <c r="H429" s="236"/>
      <c r="I429" s="236"/>
      <c r="J429" s="236"/>
      <c r="K429" s="266"/>
      <c r="M429" s="270"/>
      <c r="N429" s="236"/>
      <c r="O429" s="19" t="s">
        <v>1775</v>
      </c>
      <c r="P429" s="17">
        <v>3</v>
      </c>
      <c r="Q429" s="17">
        <v>25</v>
      </c>
      <c r="R429" s="17">
        <f t="shared" si="177"/>
        <v>75</v>
      </c>
      <c r="S429" s="236"/>
      <c r="T429" s="236"/>
      <c r="U429" s="236"/>
      <c r="V429" s="258"/>
      <c r="Y429" s="270"/>
      <c r="Z429" s="236"/>
      <c r="AA429" s="19" t="s">
        <v>1775</v>
      </c>
      <c r="AB429" s="17">
        <v>3</v>
      </c>
      <c r="AC429" s="17">
        <v>25</v>
      </c>
      <c r="AD429" s="17">
        <f t="shared" si="178"/>
        <v>75</v>
      </c>
      <c r="AE429" s="236"/>
      <c r="AF429" s="236"/>
      <c r="AG429" s="236"/>
      <c r="AH429" s="258"/>
    </row>
    <row r="430" spans="2:34" ht="13">
      <c r="B430" s="249"/>
      <c r="C430" s="155"/>
      <c r="D430" s="19" t="s">
        <v>1341</v>
      </c>
      <c r="E430" s="17">
        <v>3</v>
      </c>
      <c r="F430" s="17">
        <v>15</v>
      </c>
      <c r="G430" s="17">
        <v>45</v>
      </c>
      <c r="H430" s="293"/>
      <c r="I430" s="293"/>
      <c r="J430" s="293"/>
      <c r="K430" s="319"/>
      <c r="M430" s="270"/>
      <c r="N430" s="236"/>
      <c r="O430" s="19" t="s">
        <v>1776</v>
      </c>
      <c r="P430" s="17">
        <v>18</v>
      </c>
      <c r="Q430" s="17">
        <v>17</v>
      </c>
      <c r="R430" s="17">
        <f t="shared" si="177"/>
        <v>306</v>
      </c>
      <c r="S430" s="236"/>
      <c r="T430" s="236"/>
      <c r="U430" s="236"/>
      <c r="V430" s="258"/>
      <c r="Y430" s="270"/>
      <c r="Z430" s="236"/>
      <c r="AA430" s="19" t="s">
        <v>1776</v>
      </c>
      <c r="AB430" s="17">
        <v>18</v>
      </c>
      <c r="AC430" s="17">
        <v>17</v>
      </c>
      <c r="AD430" s="17">
        <f t="shared" si="178"/>
        <v>306</v>
      </c>
      <c r="AE430" s="236"/>
      <c r="AF430" s="236"/>
      <c r="AG430" s="236"/>
      <c r="AH430" s="258"/>
    </row>
    <row r="431" spans="2:34" ht="13">
      <c r="B431" s="249"/>
      <c r="C431" s="157" t="s">
        <v>1777</v>
      </c>
      <c r="D431" s="123" t="s">
        <v>1626</v>
      </c>
      <c r="E431" s="124">
        <v>3</v>
      </c>
      <c r="F431" s="124">
        <v>15</v>
      </c>
      <c r="G431" s="124">
        <v>45</v>
      </c>
      <c r="H431" s="320">
        <f>SUM(G431:G433)</f>
        <v>135</v>
      </c>
      <c r="I431" s="320">
        <v>960</v>
      </c>
      <c r="J431" s="320">
        <f>I431-H431</f>
        <v>825</v>
      </c>
      <c r="K431" s="321">
        <f>J431/I431</f>
        <v>0.859375</v>
      </c>
      <c r="M431" s="270"/>
      <c r="N431" s="236"/>
      <c r="O431" s="19" t="s">
        <v>1778</v>
      </c>
      <c r="P431" s="17">
        <v>2</v>
      </c>
      <c r="Q431" s="17">
        <v>25</v>
      </c>
      <c r="R431" s="17">
        <f t="shared" si="177"/>
        <v>50</v>
      </c>
      <c r="S431" s="236"/>
      <c r="T431" s="236"/>
      <c r="U431" s="236"/>
      <c r="V431" s="258"/>
      <c r="Y431" s="270"/>
      <c r="Z431" s="236"/>
      <c r="AA431" s="19" t="s">
        <v>1778</v>
      </c>
      <c r="AB431" s="17">
        <v>4.5</v>
      </c>
      <c r="AC431" s="17">
        <v>25</v>
      </c>
      <c r="AD431" s="17">
        <f t="shared" si="178"/>
        <v>112.5</v>
      </c>
      <c r="AE431" s="236"/>
      <c r="AF431" s="236"/>
      <c r="AG431" s="236"/>
      <c r="AH431" s="258"/>
    </row>
    <row r="432" spans="2:34" ht="13">
      <c r="B432" s="249"/>
      <c r="C432" s="155"/>
      <c r="D432" s="19" t="s">
        <v>95</v>
      </c>
      <c r="E432" s="17">
        <v>3</v>
      </c>
      <c r="F432" s="17">
        <v>15</v>
      </c>
      <c r="G432" s="17">
        <v>45</v>
      </c>
      <c r="H432" s="236"/>
      <c r="I432" s="236"/>
      <c r="J432" s="236"/>
      <c r="K432" s="266"/>
      <c r="M432" s="270"/>
      <c r="N432" s="248"/>
      <c r="O432" s="20" t="s">
        <v>33</v>
      </c>
      <c r="P432" s="21"/>
      <c r="Q432" s="21"/>
      <c r="R432" s="21">
        <v>222</v>
      </c>
      <c r="S432" s="293"/>
      <c r="T432" s="293"/>
      <c r="U432" s="293"/>
      <c r="V432" s="295"/>
      <c r="Y432" s="270"/>
      <c r="Z432" s="248"/>
      <c r="AA432" s="20" t="s">
        <v>33</v>
      </c>
      <c r="AB432" s="21"/>
      <c r="AC432" s="21"/>
      <c r="AD432" s="21">
        <v>222</v>
      </c>
      <c r="AE432" s="293"/>
      <c r="AF432" s="293"/>
      <c r="AG432" s="293"/>
      <c r="AH432" s="295"/>
    </row>
    <row r="433" spans="2:34" ht="14">
      <c r="B433" s="249"/>
      <c r="C433" s="155"/>
      <c r="D433" s="19" t="s">
        <v>1756</v>
      </c>
      <c r="E433" s="17">
        <v>3</v>
      </c>
      <c r="F433" s="17">
        <v>15</v>
      </c>
      <c r="G433" s="17">
        <v>45</v>
      </c>
      <c r="H433" s="293"/>
      <c r="I433" s="293"/>
      <c r="J433" s="293"/>
      <c r="K433" s="319"/>
      <c r="M433" s="270"/>
      <c r="N433" s="144" t="s">
        <v>1779</v>
      </c>
      <c r="O433" s="77" t="s">
        <v>1736</v>
      </c>
      <c r="P433" s="71">
        <v>18</v>
      </c>
      <c r="Q433" s="71">
        <v>15</v>
      </c>
      <c r="R433" s="71">
        <f>P433*Q433</f>
        <v>270</v>
      </c>
      <c r="S433" s="239">
        <f>SUM(R433:R434)</f>
        <v>394.79</v>
      </c>
      <c r="T433" s="239">
        <v>1287.5</v>
      </c>
      <c r="U433" s="239">
        <f>T433-S433</f>
        <v>892.71</v>
      </c>
      <c r="V433" s="259">
        <f>U433/T433</f>
        <v>0.69336699029126214</v>
      </c>
      <c r="Y433" s="270"/>
      <c r="Z433" s="148" t="s">
        <v>1779</v>
      </c>
      <c r="AA433" s="77" t="s">
        <v>1736</v>
      </c>
      <c r="AB433" s="71">
        <v>18</v>
      </c>
      <c r="AC433" s="71">
        <v>15</v>
      </c>
      <c r="AD433" s="71">
        <f>AB433*AC433</f>
        <v>270</v>
      </c>
      <c r="AE433" s="325">
        <f>SUM(AD433:AD434)</f>
        <v>394.79</v>
      </c>
      <c r="AF433" s="325">
        <v>1287.5</v>
      </c>
      <c r="AG433" s="325">
        <f>AF433-AE433</f>
        <v>892.71</v>
      </c>
      <c r="AH433" s="330">
        <f>AG433/AF433</f>
        <v>0.69336699029126214</v>
      </c>
    </row>
    <row r="434" spans="2:34" ht="13">
      <c r="B434" s="249"/>
      <c r="C434" s="157" t="s">
        <v>1780</v>
      </c>
      <c r="D434" s="123" t="s">
        <v>1716</v>
      </c>
      <c r="E434" s="124">
        <v>7</v>
      </c>
      <c r="F434" s="124">
        <v>12.5</v>
      </c>
      <c r="G434" s="124">
        <v>0</v>
      </c>
      <c r="H434" s="320">
        <f>SUM(G434:G465)</f>
        <v>2226.875</v>
      </c>
      <c r="I434" s="320">
        <v>8750</v>
      </c>
      <c r="J434" s="320">
        <f>I434-H434</f>
        <v>6523.125</v>
      </c>
      <c r="K434" s="321">
        <f>J434/I434</f>
        <v>0.74550000000000005</v>
      </c>
      <c r="M434" s="270"/>
      <c r="N434" s="1"/>
      <c r="O434" s="20" t="s">
        <v>33</v>
      </c>
      <c r="P434" s="21"/>
      <c r="Q434" s="21"/>
      <c r="R434" s="21">
        <v>124.79</v>
      </c>
      <c r="S434" s="248"/>
      <c r="T434" s="248"/>
      <c r="U434" s="248"/>
      <c r="V434" s="303"/>
      <c r="Y434" s="270"/>
      <c r="Z434" s="1"/>
      <c r="AA434" s="20" t="s">
        <v>33</v>
      </c>
      <c r="AB434" s="21"/>
      <c r="AC434" s="21"/>
      <c r="AD434" s="21">
        <v>124.79</v>
      </c>
      <c r="AE434" s="248"/>
      <c r="AF434" s="248"/>
      <c r="AG434" s="248"/>
      <c r="AH434" s="303"/>
    </row>
    <row r="435" spans="2:34" ht="13">
      <c r="B435" s="249"/>
      <c r="C435" s="155"/>
      <c r="D435" s="19" t="s">
        <v>1709</v>
      </c>
      <c r="E435" s="17">
        <v>5</v>
      </c>
      <c r="F435" s="17">
        <v>12.5</v>
      </c>
      <c r="G435" s="17">
        <f t="shared" ref="G435:G438" si="181">E435*F435+20</f>
        <v>82.5</v>
      </c>
      <c r="H435" s="236"/>
      <c r="I435" s="236"/>
      <c r="J435" s="236"/>
      <c r="K435" s="266"/>
      <c r="M435" s="270"/>
      <c r="N435" s="329" t="s">
        <v>1781</v>
      </c>
      <c r="O435" s="15" t="s">
        <v>1235</v>
      </c>
      <c r="P435" s="16">
        <v>147</v>
      </c>
      <c r="Q435" s="16">
        <v>17</v>
      </c>
      <c r="R435" s="16">
        <f t="shared" ref="R435:R436" si="182">P435*Q435</f>
        <v>2499</v>
      </c>
      <c r="S435" s="292">
        <f>SUM(R435:R439)</f>
        <v>9594.17</v>
      </c>
      <c r="T435" s="292">
        <v>25644.75</v>
      </c>
      <c r="U435" s="292">
        <f>T435-S435</f>
        <v>16050.58</v>
      </c>
      <c r="V435" s="313">
        <f>U435/T435</f>
        <v>0.62588171068152354</v>
      </c>
      <c r="Y435" s="270"/>
      <c r="Z435" s="329" t="s">
        <v>1781</v>
      </c>
      <c r="AA435" s="15" t="s">
        <v>1235</v>
      </c>
      <c r="AB435" s="16">
        <v>147</v>
      </c>
      <c r="AC435" s="16">
        <v>17</v>
      </c>
      <c r="AD435" s="16">
        <f t="shared" ref="AD435:AD436" si="183">AB435*AC435</f>
        <v>2499</v>
      </c>
      <c r="AE435" s="292">
        <f>SUM(AD435:AD439)</f>
        <v>9594.17</v>
      </c>
      <c r="AF435" s="292">
        <v>25644.75</v>
      </c>
      <c r="AG435" s="292">
        <f>AF435-AE435</f>
        <v>16050.58</v>
      </c>
      <c r="AH435" s="313">
        <f>AG435/AF435</f>
        <v>0.62588171068152354</v>
      </c>
    </row>
    <row r="436" spans="2:34" ht="13">
      <c r="B436" s="249"/>
      <c r="C436" s="155"/>
      <c r="D436" s="19" t="s">
        <v>1474</v>
      </c>
      <c r="E436" s="17">
        <v>4.75</v>
      </c>
      <c r="F436" s="17">
        <v>12.5</v>
      </c>
      <c r="G436" s="17">
        <f t="shared" si="181"/>
        <v>79.375</v>
      </c>
      <c r="H436" s="236"/>
      <c r="I436" s="236"/>
      <c r="J436" s="236"/>
      <c r="K436" s="266"/>
      <c r="M436" s="270"/>
      <c r="N436" s="236"/>
      <c r="O436" s="19" t="s">
        <v>310</v>
      </c>
      <c r="P436" s="17">
        <v>18</v>
      </c>
      <c r="Q436" s="17">
        <v>15</v>
      </c>
      <c r="R436" s="17">
        <f t="shared" si="182"/>
        <v>270</v>
      </c>
      <c r="S436" s="236"/>
      <c r="T436" s="236"/>
      <c r="U436" s="236"/>
      <c r="V436" s="242"/>
      <c r="Y436" s="270"/>
      <c r="Z436" s="236"/>
      <c r="AA436" s="19" t="s">
        <v>310</v>
      </c>
      <c r="AB436" s="17">
        <v>18</v>
      </c>
      <c r="AC436" s="17">
        <v>15</v>
      </c>
      <c r="AD436" s="17">
        <f t="shared" si="183"/>
        <v>270</v>
      </c>
      <c r="AE436" s="236"/>
      <c r="AF436" s="236"/>
      <c r="AG436" s="236"/>
      <c r="AH436" s="242"/>
    </row>
    <row r="437" spans="2:34" ht="13">
      <c r="B437" s="249"/>
      <c r="C437" s="155"/>
      <c r="D437" s="19" t="s">
        <v>1308</v>
      </c>
      <c r="E437" s="17">
        <v>4.25</v>
      </c>
      <c r="F437" s="17">
        <v>12.5</v>
      </c>
      <c r="G437" s="17">
        <f t="shared" si="181"/>
        <v>73.125</v>
      </c>
      <c r="H437" s="236"/>
      <c r="I437" s="236"/>
      <c r="J437" s="236"/>
      <c r="K437" s="266"/>
      <c r="M437" s="270"/>
      <c r="N437" s="19"/>
      <c r="O437" s="19" t="s">
        <v>449</v>
      </c>
      <c r="P437" s="17"/>
      <c r="Q437" s="17"/>
      <c r="R437" s="17">
        <v>6735.17</v>
      </c>
      <c r="S437" s="236"/>
      <c r="T437" s="236"/>
      <c r="U437" s="236"/>
      <c r="V437" s="242"/>
      <c r="Y437" s="270"/>
      <c r="Z437" s="19"/>
      <c r="AA437" s="19" t="s">
        <v>449</v>
      </c>
      <c r="AB437" s="17"/>
      <c r="AC437" s="17"/>
      <c r="AD437" s="17">
        <v>6735.17</v>
      </c>
      <c r="AE437" s="236"/>
      <c r="AF437" s="236"/>
      <c r="AG437" s="236"/>
      <c r="AH437" s="242"/>
    </row>
    <row r="438" spans="2:34" ht="13">
      <c r="B438" s="249"/>
      <c r="C438" s="155"/>
      <c r="D438" s="19" t="s">
        <v>1341</v>
      </c>
      <c r="E438" s="17">
        <v>3.75</v>
      </c>
      <c r="F438" s="17">
        <v>12.5</v>
      </c>
      <c r="G438" s="17">
        <f t="shared" si="181"/>
        <v>66.875</v>
      </c>
      <c r="H438" s="236"/>
      <c r="I438" s="236"/>
      <c r="J438" s="236"/>
      <c r="K438" s="266"/>
      <c r="M438" s="270"/>
      <c r="N438" s="174"/>
      <c r="O438" s="19" t="s">
        <v>1782</v>
      </c>
      <c r="P438" s="17">
        <v>3</v>
      </c>
      <c r="Q438" s="17">
        <v>15</v>
      </c>
      <c r="R438" s="17">
        <f t="shared" ref="R438:R439" si="184">P438*Q438</f>
        <v>45</v>
      </c>
      <c r="S438" s="236"/>
      <c r="T438" s="236"/>
      <c r="U438" s="236"/>
      <c r="V438" s="242"/>
      <c r="Y438" s="270"/>
      <c r="Z438" s="174"/>
      <c r="AA438" s="19" t="s">
        <v>421</v>
      </c>
      <c r="AB438" s="17">
        <v>3</v>
      </c>
      <c r="AC438" s="17">
        <v>15</v>
      </c>
      <c r="AD438" s="17">
        <f t="shared" ref="AD438:AD439" si="185">AB438*AC438</f>
        <v>45</v>
      </c>
      <c r="AE438" s="236"/>
      <c r="AF438" s="236"/>
      <c r="AG438" s="236"/>
      <c r="AH438" s="242"/>
    </row>
    <row r="439" spans="2:34" ht="13">
      <c r="B439" s="249"/>
      <c r="C439" s="155"/>
      <c r="D439" s="19" t="s">
        <v>1716</v>
      </c>
      <c r="E439" s="17">
        <v>7</v>
      </c>
      <c r="F439" s="17">
        <v>12.5</v>
      </c>
      <c r="G439" s="17">
        <v>0</v>
      </c>
      <c r="H439" s="236"/>
      <c r="I439" s="236"/>
      <c r="J439" s="236"/>
      <c r="K439" s="266"/>
      <c r="M439" s="270"/>
      <c r="N439" s="175"/>
      <c r="O439" s="20" t="s">
        <v>1243</v>
      </c>
      <c r="P439" s="20">
        <v>3</v>
      </c>
      <c r="Q439" s="20">
        <v>15</v>
      </c>
      <c r="R439" s="17">
        <f t="shared" si="184"/>
        <v>45</v>
      </c>
      <c r="S439" s="248"/>
      <c r="T439" s="248"/>
      <c r="U439" s="248"/>
      <c r="V439" s="303"/>
      <c r="Y439" s="270"/>
      <c r="Z439" s="175"/>
      <c r="AA439" s="20" t="s">
        <v>1243</v>
      </c>
      <c r="AB439" s="20">
        <v>3</v>
      </c>
      <c r="AC439" s="20">
        <v>15</v>
      </c>
      <c r="AD439" s="17">
        <f t="shared" si="185"/>
        <v>45</v>
      </c>
      <c r="AE439" s="248"/>
      <c r="AF439" s="248"/>
      <c r="AG439" s="248"/>
      <c r="AH439" s="303"/>
    </row>
    <row r="440" spans="2:34" ht="30">
      <c r="B440" s="249"/>
      <c r="C440" s="155"/>
      <c r="D440" s="19" t="s">
        <v>1783</v>
      </c>
      <c r="E440" s="17">
        <v>6.25</v>
      </c>
      <c r="F440" s="17">
        <v>12.5</v>
      </c>
      <c r="G440" s="17">
        <f t="shared" ref="G440:G445" si="186">E440*F440+20</f>
        <v>98.125</v>
      </c>
      <c r="H440" s="236"/>
      <c r="I440" s="236"/>
      <c r="J440" s="236"/>
      <c r="K440" s="266"/>
      <c r="M440" s="278" t="s">
        <v>1784</v>
      </c>
      <c r="N440" s="252"/>
      <c r="O440" s="253"/>
      <c r="P440" s="128">
        <f t="shared" ref="P440:U440" si="187">AVERAGE(P348:P439)</f>
        <v>9.0079710144927532</v>
      </c>
      <c r="Q440" s="128">
        <f t="shared" si="187"/>
        <v>17.215384615384615</v>
      </c>
      <c r="R440" s="128">
        <f t="shared" si="187"/>
        <v>242.69422222222218</v>
      </c>
      <c r="S440" s="128">
        <f t="shared" si="187"/>
        <v>1365.155</v>
      </c>
      <c r="T440" s="128">
        <f t="shared" si="187"/>
        <v>4795.6875</v>
      </c>
      <c r="U440" s="128">
        <f t="shared" si="187"/>
        <v>3430.5324999999998</v>
      </c>
      <c r="V440" s="149"/>
      <c r="Y440" s="278" t="s">
        <v>1784</v>
      </c>
      <c r="Z440" s="252"/>
      <c r="AA440" s="253"/>
      <c r="AB440" s="128">
        <f t="shared" ref="AB440:AG440" si="188">AVERAGE(AB348:AB439)</f>
        <v>8.7230769230769241</v>
      </c>
      <c r="AC440" s="128">
        <f t="shared" si="188"/>
        <v>17.5625</v>
      </c>
      <c r="AD440" s="128">
        <f t="shared" si="188"/>
        <v>260.51753424657534</v>
      </c>
      <c r="AE440" s="128">
        <f t="shared" si="188"/>
        <v>1188.6112499999999</v>
      </c>
      <c r="AF440" s="128">
        <f t="shared" si="188"/>
        <v>4795.6875</v>
      </c>
      <c r="AG440" s="128">
        <f t="shared" si="188"/>
        <v>3607.0762500000005</v>
      </c>
      <c r="AH440" s="129">
        <f>AVERAGE($V$347:$V$438)</f>
        <v>0.73561089245852096</v>
      </c>
    </row>
    <row r="441" spans="2:34" ht="30">
      <c r="B441" s="249"/>
      <c r="C441" s="155"/>
      <c r="D441" s="19" t="s">
        <v>1636</v>
      </c>
      <c r="E441" s="17">
        <v>5</v>
      </c>
      <c r="F441" s="17">
        <v>12.5</v>
      </c>
      <c r="G441" s="17">
        <f t="shared" si="186"/>
        <v>82.5</v>
      </c>
      <c r="H441" s="236"/>
      <c r="I441" s="236"/>
      <c r="J441" s="236"/>
      <c r="K441" s="266"/>
      <c r="M441" s="318" t="s">
        <v>1785</v>
      </c>
      <c r="N441" s="293"/>
      <c r="O441" s="319"/>
      <c r="P441" s="130">
        <f>SUM(P342:P434)</f>
        <v>1400.4574074074076</v>
      </c>
      <c r="Q441" s="130">
        <f t="shared" ref="Q441:R441" si="189">SUM(Q348:Q434)</f>
        <v>1057</v>
      </c>
      <c r="R441" s="130">
        <f t="shared" si="189"/>
        <v>12248.309999999998</v>
      </c>
      <c r="S441" s="130">
        <f t="shared" ref="S441:U441" si="190">SUM(S348:S439)</f>
        <v>21842.48</v>
      </c>
      <c r="T441" s="130">
        <f t="shared" si="190"/>
        <v>76731</v>
      </c>
      <c r="U441" s="130">
        <f t="shared" si="190"/>
        <v>54888.52</v>
      </c>
      <c r="V441" s="129">
        <f t="shared" ref="V441:V442" si="191">U441/T441</f>
        <v>0.71533695638008099</v>
      </c>
      <c r="Y441" s="318" t="s">
        <v>1785</v>
      </c>
      <c r="Z441" s="293"/>
      <c r="AA441" s="319"/>
      <c r="AB441" s="130">
        <f>SUM(AB342:AB434)</f>
        <v>1157.5539473684209</v>
      </c>
      <c r="AC441" s="130">
        <f t="shared" ref="AC441:AD441" si="192">SUM(AC348:AC434)</f>
        <v>781</v>
      </c>
      <c r="AD441" s="130">
        <f t="shared" si="192"/>
        <v>9423.61</v>
      </c>
      <c r="AE441" s="130">
        <f t="shared" ref="AE441:AG441" si="193">SUM(AE348:AE439)</f>
        <v>19017.78</v>
      </c>
      <c r="AF441" s="130">
        <f t="shared" si="193"/>
        <v>76731</v>
      </c>
      <c r="AG441" s="130">
        <f t="shared" si="193"/>
        <v>57713.220000000008</v>
      </c>
      <c r="AH441" s="185">
        <f t="shared" ref="AH441:AH442" si="194">AG441/AF441</f>
        <v>0.75214997849630538</v>
      </c>
    </row>
    <row r="442" spans="2:34" ht="14">
      <c r="B442" s="249"/>
      <c r="C442" s="155"/>
      <c r="D442" s="19" t="s">
        <v>1786</v>
      </c>
      <c r="E442" s="17">
        <v>5.25</v>
      </c>
      <c r="F442" s="17">
        <v>12.5</v>
      </c>
      <c r="G442" s="17">
        <f t="shared" si="186"/>
        <v>85.625</v>
      </c>
      <c r="H442" s="236"/>
      <c r="I442" s="236"/>
      <c r="J442" s="236"/>
      <c r="K442" s="266"/>
      <c r="M442" s="290" t="s">
        <v>6</v>
      </c>
      <c r="N442" s="173" t="s">
        <v>1787</v>
      </c>
      <c r="O442" s="15" t="s">
        <v>1788</v>
      </c>
      <c r="P442" s="16"/>
      <c r="Q442" s="16"/>
      <c r="R442" s="16">
        <v>20</v>
      </c>
      <c r="S442" s="292">
        <f>SUM(R442:R449)</f>
        <v>1501.13</v>
      </c>
      <c r="T442" s="292">
        <v>3979</v>
      </c>
      <c r="U442" s="292">
        <f>T442-S442</f>
        <v>2477.87</v>
      </c>
      <c r="V442" s="313">
        <f t="shared" si="191"/>
        <v>0.6227368685599397</v>
      </c>
      <c r="Y442" s="290" t="s">
        <v>6</v>
      </c>
      <c r="Z442" s="186" t="s">
        <v>1787</v>
      </c>
      <c r="AA442" s="19" t="s">
        <v>1788</v>
      </c>
      <c r="AB442" s="16"/>
      <c r="AC442" s="16"/>
      <c r="AD442" s="16">
        <v>20</v>
      </c>
      <c r="AE442" s="292">
        <f>SUM(AD442:AD449)</f>
        <v>1501.13</v>
      </c>
      <c r="AF442" s="292">
        <v>3979</v>
      </c>
      <c r="AG442" s="292">
        <f>AF442-AE442</f>
        <v>2477.87</v>
      </c>
      <c r="AH442" s="313">
        <f t="shared" si="194"/>
        <v>0.6227368685599397</v>
      </c>
    </row>
    <row r="443" spans="2:34" ht="13">
      <c r="B443" s="249"/>
      <c r="C443" s="155"/>
      <c r="D443" s="19" t="s">
        <v>1709</v>
      </c>
      <c r="E443" s="17">
        <v>6</v>
      </c>
      <c r="F443" s="17">
        <v>12.5</v>
      </c>
      <c r="G443" s="17">
        <f t="shared" si="186"/>
        <v>95</v>
      </c>
      <c r="H443" s="236"/>
      <c r="I443" s="236"/>
      <c r="J443" s="236"/>
      <c r="K443" s="266"/>
      <c r="M443" s="270"/>
      <c r="N443" s="174"/>
      <c r="O443" s="19" t="s">
        <v>1789</v>
      </c>
      <c r="P443" s="17">
        <v>15</v>
      </c>
      <c r="Q443" s="17">
        <v>15</v>
      </c>
      <c r="R443" s="17">
        <f>P443*Q443</f>
        <v>225</v>
      </c>
      <c r="S443" s="236"/>
      <c r="T443" s="236"/>
      <c r="U443" s="236"/>
      <c r="V443" s="242"/>
      <c r="Y443" s="270"/>
      <c r="Z443" s="174"/>
      <c r="AA443" s="19" t="s">
        <v>1789</v>
      </c>
      <c r="AB443" s="17">
        <v>15</v>
      </c>
      <c r="AC443" s="17">
        <v>15</v>
      </c>
      <c r="AD443" s="17">
        <f>AB443*AC443</f>
        <v>225</v>
      </c>
      <c r="AE443" s="236"/>
      <c r="AF443" s="236"/>
      <c r="AG443" s="236"/>
      <c r="AH443" s="242"/>
    </row>
    <row r="444" spans="2:34" ht="13">
      <c r="B444" s="249"/>
      <c r="C444" s="155"/>
      <c r="D444" s="19" t="s">
        <v>1474</v>
      </c>
      <c r="E444" s="17">
        <v>5</v>
      </c>
      <c r="F444" s="17">
        <v>12.5</v>
      </c>
      <c r="G444" s="17">
        <f t="shared" si="186"/>
        <v>82.5</v>
      </c>
      <c r="H444" s="236"/>
      <c r="I444" s="236"/>
      <c r="J444" s="236"/>
      <c r="K444" s="266"/>
      <c r="M444" s="270"/>
      <c r="N444" s="174"/>
      <c r="O444" s="19" t="s">
        <v>1790</v>
      </c>
      <c r="P444" s="17"/>
      <c r="Q444" s="17"/>
      <c r="R444" s="17">
        <v>20</v>
      </c>
      <c r="S444" s="236"/>
      <c r="T444" s="236"/>
      <c r="U444" s="236"/>
      <c r="V444" s="242"/>
      <c r="Y444" s="270"/>
      <c r="Z444" s="174"/>
      <c r="AA444" s="19" t="s">
        <v>1790</v>
      </c>
      <c r="AB444" s="17"/>
      <c r="AC444" s="17"/>
      <c r="AD444" s="17">
        <v>20</v>
      </c>
      <c r="AE444" s="236"/>
      <c r="AF444" s="236"/>
      <c r="AG444" s="236"/>
      <c r="AH444" s="242"/>
    </row>
    <row r="445" spans="2:34" ht="13">
      <c r="B445" s="249"/>
      <c r="C445" s="155"/>
      <c r="D445" s="19" t="s">
        <v>1791</v>
      </c>
      <c r="E445" s="17">
        <v>6</v>
      </c>
      <c r="F445" s="17">
        <v>12.5</v>
      </c>
      <c r="G445" s="17">
        <f t="shared" si="186"/>
        <v>95</v>
      </c>
      <c r="H445" s="236"/>
      <c r="I445" s="236"/>
      <c r="J445" s="236"/>
      <c r="K445" s="266"/>
      <c r="M445" s="270"/>
      <c r="N445" s="174"/>
      <c r="O445" s="19" t="s">
        <v>1792</v>
      </c>
      <c r="P445" s="17">
        <v>12</v>
      </c>
      <c r="Q445" s="17">
        <v>15</v>
      </c>
      <c r="R445" s="17">
        <f t="shared" ref="R445:R448" si="195">P445*Q445</f>
        <v>180</v>
      </c>
      <c r="S445" s="236"/>
      <c r="T445" s="236"/>
      <c r="U445" s="236"/>
      <c r="V445" s="242"/>
      <c r="Y445" s="270"/>
      <c r="Z445" s="174"/>
      <c r="AA445" s="19" t="s">
        <v>1792</v>
      </c>
      <c r="AB445" s="17">
        <v>12</v>
      </c>
      <c r="AC445" s="17">
        <v>15</v>
      </c>
      <c r="AD445" s="17">
        <f t="shared" ref="AD445:AD448" si="196">AB445*AC445</f>
        <v>180</v>
      </c>
      <c r="AE445" s="236"/>
      <c r="AF445" s="236"/>
      <c r="AG445" s="236"/>
      <c r="AH445" s="242"/>
    </row>
    <row r="446" spans="2:34" ht="13">
      <c r="B446" s="249"/>
      <c r="C446" s="155"/>
      <c r="D446" s="19" t="s">
        <v>1716</v>
      </c>
      <c r="E446" s="17">
        <v>3.25</v>
      </c>
      <c r="F446" s="17">
        <v>12.5</v>
      </c>
      <c r="G446" s="17">
        <v>0</v>
      </c>
      <c r="H446" s="236"/>
      <c r="I446" s="236"/>
      <c r="J446" s="236"/>
      <c r="K446" s="266"/>
      <c r="M446" s="270"/>
      <c r="N446" s="174"/>
      <c r="O446" s="19" t="s">
        <v>421</v>
      </c>
      <c r="P446" s="17">
        <v>24</v>
      </c>
      <c r="Q446" s="17">
        <v>15</v>
      </c>
      <c r="R446" s="17">
        <f t="shared" si="195"/>
        <v>360</v>
      </c>
      <c r="S446" s="236"/>
      <c r="T446" s="236"/>
      <c r="U446" s="236"/>
      <c r="V446" s="242"/>
      <c r="Y446" s="270"/>
      <c r="Z446" s="174"/>
      <c r="AA446" s="19" t="s">
        <v>421</v>
      </c>
      <c r="AB446" s="17">
        <v>24</v>
      </c>
      <c r="AC446" s="17">
        <v>15</v>
      </c>
      <c r="AD446" s="17">
        <f t="shared" si="196"/>
        <v>360</v>
      </c>
      <c r="AE446" s="236"/>
      <c r="AF446" s="236"/>
      <c r="AG446" s="236"/>
      <c r="AH446" s="242"/>
    </row>
    <row r="447" spans="2:34" ht="13">
      <c r="B447" s="249"/>
      <c r="C447" s="155"/>
      <c r="D447" s="19" t="s">
        <v>1341</v>
      </c>
      <c r="E447" s="17">
        <v>5.75</v>
      </c>
      <c r="F447" s="17">
        <v>12.5</v>
      </c>
      <c r="G447" s="17">
        <f>E447*F447+20</f>
        <v>91.875</v>
      </c>
      <c r="H447" s="236"/>
      <c r="I447" s="236"/>
      <c r="J447" s="236"/>
      <c r="K447" s="266"/>
      <c r="M447" s="270"/>
      <c r="N447" s="174"/>
      <c r="O447" s="19" t="s">
        <v>1793</v>
      </c>
      <c r="P447" s="17">
        <v>12</v>
      </c>
      <c r="Q447" s="17">
        <v>17</v>
      </c>
      <c r="R447" s="17">
        <f t="shared" si="195"/>
        <v>204</v>
      </c>
      <c r="S447" s="236"/>
      <c r="T447" s="236"/>
      <c r="U447" s="236"/>
      <c r="V447" s="242"/>
      <c r="Y447" s="270"/>
      <c r="Z447" s="174"/>
      <c r="AA447" s="19" t="s">
        <v>1793</v>
      </c>
      <c r="AB447" s="17">
        <v>12</v>
      </c>
      <c r="AC447" s="17">
        <v>17</v>
      </c>
      <c r="AD447" s="17">
        <f t="shared" si="196"/>
        <v>204</v>
      </c>
      <c r="AE447" s="236"/>
      <c r="AF447" s="236"/>
      <c r="AG447" s="236"/>
      <c r="AH447" s="242"/>
    </row>
    <row r="448" spans="2:34" ht="13">
      <c r="B448" s="249"/>
      <c r="C448" s="155"/>
      <c r="D448" s="19" t="s">
        <v>715</v>
      </c>
      <c r="E448" s="17">
        <v>7</v>
      </c>
      <c r="F448" s="17">
        <v>12.5</v>
      </c>
      <c r="G448" s="17">
        <v>0</v>
      </c>
      <c r="H448" s="236"/>
      <c r="I448" s="236"/>
      <c r="J448" s="236"/>
      <c r="K448" s="266"/>
      <c r="M448" s="270"/>
      <c r="N448" s="174"/>
      <c r="O448" s="19" t="s">
        <v>1235</v>
      </c>
      <c r="P448" s="17">
        <v>9</v>
      </c>
      <c r="Q448" s="17">
        <v>15</v>
      </c>
      <c r="R448" s="17">
        <f t="shared" si="195"/>
        <v>135</v>
      </c>
      <c r="S448" s="236"/>
      <c r="T448" s="236"/>
      <c r="U448" s="236"/>
      <c r="V448" s="242"/>
      <c r="Y448" s="270"/>
      <c r="Z448" s="174"/>
      <c r="AA448" s="19" t="s">
        <v>1235</v>
      </c>
      <c r="AB448" s="17">
        <v>9</v>
      </c>
      <c r="AC448" s="17">
        <v>15</v>
      </c>
      <c r="AD448" s="17">
        <f t="shared" si="196"/>
        <v>135</v>
      </c>
      <c r="AE448" s="236"/>
      <c r="AF448" s="236"/>
      <c r="AG448" s="236"/>
      <c r="AH448" s="242"/>
    </row>
    <row r="449" spans="2:34" ht="13">
      <c r="B449" s="249"/>
      <c r="C449" s="155"/>
      <c r="D449" s="19" t="s">
        <v>1716</v>
      </c>
      <c r="E449" s="17">
        <v>7</v>
      </c>
      <c r="F449" s="17">
        <v>12.5</v>
      </c>
      <c r="G449" s="17">
        <v>0</v>
      </c>
      <c r="H449" s="236"/>
      <c r="I449" s="236"/>
      <c r="J449" s="236"/>
      <c r="K449" s="266"/>
      <c r="M449" s="270"/>
      <c r="N449" s="175"/>
      <c r="O449" s="20" t="s">
        <v>1733</v>
      </c>
      <c r="P449" s="21"/>
      <c r="Q449" s="21"/>
      <c r="R449" s="21">
        <v>357.13</v>
      </c>
      <c r="S449" s="248"/>
      <c r="T449" s="248"/>
      <c r="U449" s="248"/>
      <c r="V449" s="303"/>
      <c r="Y449" s="270"/>
      <c r="Z449" s="175"/>
      <c r="AA449" s="20" t="s">
        <v>1733</v>
      </c>
      <c r="AB449" s="21"/>
      <c r="AC449" s="21"/>
      <c r="AD449" s="21">
        <v>357.13</v>
      </c>
      <c r="AE449" s="248"/>
      <c r="AF449" s="248"/>
      <c r="AG449" s="248"/>
      <c r="AH449" s="303"/>
    </row>
    <row r="450" spans="2:34" ht="14">
      <c r="B450" s="249"/>
      <c r="C450" s="155"/>
      <c r="D450" s="19" t="s">
        <v>114</v>
      </c>
      <c r="E450" s="17">
        <v>7</v>
      </c>
      <c r="F450" s="17">
        <v>12.5</v>
      </c>
      <c r="G450" s="17">
        <v>0</v>
      </c>
      <c r="H450" s="236"/>
      <c r="I450" s="236"/>
      <c r="J450" s="236"/>
      <c r="K450" s="266"/>
      <c r="M450" s="270"/>
      <c r="N450" s="173" t="s">
        <v>1794</v>
      </c>
      <c r="O450" s="15" t="s">
        <v>1736</v>
      </c>
      <c r="P450" s="16">
        <v>3300</v>
      </c>
      <c r="Q450" s="16">
        <v>0.8</v>
      </c>
      <c r="R450" s="16">
        <f t="shared" ref="R450:R453" si="197">P450*Q450</f>
        <v>2640</v>
      </c>
      <c r="S450" s="292">
        <f>SUM(R450:R457)</f>
        <v>6068.0349999999999</v>
      </c>
      <c r="T450" s="292">
        <v>10263.75</v>
      </c>
      <c r="U450" s="292">
        <f>T450-S450</f>
        <v>4195.7150000000001</v>
      </c>
      <c r="V450" s="313">
        <f>U450/T450</f>
        <v>0.40878967239069541</v>
      </c>
      <c r="Y450" s="270"/>
      <c r="Z450" s="173" t="s">
        <v>1794</v>
      </c>
      <c r="AA450" s="15" t="s">
        <v>1736</v>
      </c>
      <c r="AB450" s="16">
        <v>3300</v>
      </c>
      <c r="AC450" s="16">
        <v>0.8</v>
      </c>
      <c r="AD450" s="16">
        <f t="shared" ref="AD450:AD453" si="198">AB450*AC450</f>
        <v>2640</v>
      </c>
      <c r="AE450" s="292">
        <f>SUM(AD450:AD457)</f>
        <v>5869.0349999999999</v>
      </c>
      <c r="AF450" s="292">
        <v>10263.75</v>
      </c>
      <c r="AG450" s="292">
        <f>AF450-AE450</f>
        <v>4394.7150000000001</v>
      </c>
      <c r="AH450" s="313">
        <f>AG450/AF450</f>
        <v>0.4281782974059189</v>
      </c>
    </row>
    <row r="451" spans="2:34" ht="13">
      <c r="B451" s="249"/>
      <c r="C451" s="155"/>
      <c r="D451" s="19" t="s">
        <v>1339</v>
      </c>
      <c r="E451" s="17">
        <v>4.75</v>
      </c>
      <c r="F451" s="17">
        <v>12.5</v>
      </c>
      <c r="G451" s="17">
        <f t="shared" ref="G451:G458" si="199">E451*F451+20</f>
        <v>79.375</v>
      </c>
      <c r="H451" s="236"/>
      <c r="I451" s="236"/>
      <c r="J451" s="236"/>
      <c r="K451" s="266"/>
      <c r="M451" s="270"/>
      <c r="N451" s="174"/>
      <c r="O451" s="19" t="s">
        <v>715</v>
      </c>
      <c r="P451" s="17">
        <v>30</v>
      </c>
      <c r="Q451" s="17">
        <v>22.5</v>
      </c>
      <c r="R451" s="17">
        <f t="shared" si="197"/>
        <v>675</v>
      </c>
      <c r="S451" s="236"/>
      <c r="T451" s="236"/>
      <c r="U451" s="236"/>
      <c r="V451" s="242"/>
      <c r="Y451" s="270"/>
      <c r="Z451" s="174"/>
      <c r="AA451" s="19" t="s">
        <v>715</v>
      </c>
      <c r="AB451" s="17">
        <v>24</v>
      </c>
      <c r="AC451" s="17">
        <v>22.5</v>
      </c>
      <c r="AD451" s="17">
        <f t="shared" si="198"/>
        <v>540</v>
      </c>
      <c r="AE451" s="236"/>
      <c r="AF451" s="236"/>
      <c r="AG451" s="236"/>
      <c r="AH451" s="242"/>
    </row>
    <row r="452" spans="2:34" ht="13">
      <c r="B452" s="249"/>
      <c r="C452" s="155"/>
      <c r="D452" s="19" t="s">
        <v>1341</v>
      </c>
      <c r="E452" s="17">
        <v>5.45</v>
      </c>
      <c r="F452" s="17">
        <v>12.5</v>
      </c>
      <c r="G452" s="17">
        <f t="shared" si="199"/>
        <v>88.125</v>
      </c>
      <c r="H452" s="236"/>
      <c r="I452" s="236"/>
      <c r="J452" s="236"/>
      <c r="K452" s="266"/>
      <c r="M452" s="270"/>
      <c r="N452" s="174"/>
      <c r="O452" s="19" t="s">
        <v>86</v>
      </c>
      <c r="P452" s="17">
        <v>3</v>
      </c>
      <c r="Q452" s="17">
        <v>16</v>
      </c>
      <c r="R452" s="17">
        <f t="shared" si="197"/>
        <v>48</v>
      </c>
      <c r="S452" s="236"/>
      <c r="T452" s="236"/>
      <c r="U452" s="236"/>
      <c r="V452" s="242"/>
      <c r="Y452" s="270"/>
      <c r="Z452" s="174"/>
      <c r="AA452" s="19" t="s">
        <v>86</v>
      </c>
      <c r="AB452" s="17">
        <v>3</v>
      </c>
      <c r="AC452" s="17">
        <v>16</v>
      </c>
      <c r="AD452" s="17">
        <f t="shared" si="198"/>
        <v>48</v>
      </c>
      <c r="AE452" s="236"/>
      <c r="AF452" s="236"/>
      <c r="AG452" s="236"/>
      <c r="AH452" s="242"/>
    </row>
    <row r="453" spans="2:34" ht="13">
      <c r="B453" s="249"/>
      <c r="C453" s="155"/>
      <c r="D453" s="19" t="s">
        <v>1795</v>
      </c>
      <c r="E453" s="17">
        <v>3.5</v>
      </c>
      <c r="F453" s="17">
        <v>12.5</v>
      </c>
      <c r="G453" s="17">
        <f t="shared" si="199"/>
        <v>63.75</v>
      </c>
      <c r="H453" s="236"/>
      <c r="I453" s="236"/>
      <c r="J453" s="236"/>
      <c r="K453" s="266"/>
      <c r="M453" s="270"/>
      <c r="N453" s="174"/>
      <c r="O453" s="19" t="s">
        <v>1556</v>
      </c>
      <c r="P453" s="17">
        <v>3</v>
      </c>
      <c r="Q453" s="17">
        <v>13</v>
      </c>
      <c r="R453" s="17">
        <f t="shared" si="197"/>
        <v>39</v>
      </c>
      <c r="S453" s="236"/>
      <c r="T453" s="236"/>
      <c r="U453" s="236"/>
      <c r="V453" s="242"/>
      <c r="Y453" s="270"/>
      <c r="Z453" s="174"/>
      <c r="AA453" s="19" t="s">
        <v>1556</v>
      </c>
      <c r="AB453" s="17">
        <v>3</v>
      </c>
      <c r="AC453" s="17">
        <v>13</v>
      </c>
      <c r="AD453" s="17">
        <f t="shared" si="198"/>
        <v>39</v>
      </c>
      <c r="AE453" s="236"/>
      <c r="AF453" s="236"/>
      <c r="AG453" s="236"/>
      <c r="AH453" s="242"/>
    </row>
    <row r="454" spans="2:34" ht="13">
      <c r="B454" s="249"/>
      <c r="C454" s="155"/>
      <c r="D454" s="19" t="s">
        <v>1474</v>
      </c>
      <c r="E454" s="17">
        <v>5</v>
      </c>
      <c r="F454" s="17">
        <v>12.5</v>
      </c>
      <c r="G454" s="17">
        <f t="shared" si="199"/>
        <v>82.5</v>
      </c>
      <c r="H454" s="236"/>
      <c r="I454" s="236"/>
      <c r="J454" s="236"/>
      <c r="K454" s="266"/>
      <c r="M454" s="270"/>
      <c r="N454" s="174"/>
      <c r="O454" s="19" t="s">
        <v>1796</v>
      </c>
      <c r="P454" s="17"/>
      <c r="Q454" s="17"/>
      <c r="R454" s="17">
        <v>100</v>
      </c>
      <c r="S454" s="236"/>
      <c r="T454" s="236"/>
      <c r="U454" s="236"/>
      <c r="V454" s="242"/>
      <c r="Y454" s="270"/>
      <c r="Z454" s="174"/>
      <c r="AA454" s="19" t="s">
        <v>1796</v>
      </c>
      <c r="AB454" s="17"/>
      <c r="AC454" s="17"/>
      <c r="AD454" s="17">
        <v>100</v>
      </c>
      <c r="AE454" s="236"/>
      <c r="AF454" s="236"/>
      <c r="AG454" s="236"/>
      <c r="AH454" s="242"/>
    </row>
    <row r="455" spans="2:34" ht="13">
      <c r="B455" s="249"/>
      <c r="C455" s="155"/>
      <c r="D455" s="19" t="s">
        <v>1709</v>
      </c>
      <c r="E455" s="17">
        <v>7</v>
      </c>
      <c r="F455" s="17">
        <v>12.5</v>
      </c>
      <c r="G455" s="17">
        <f t="shared" si="199"/>
        <v>107.5</v>
      </c>
      <c r="H455" s="236"/>
      <c r="I455" s="236"/>
      <c r="J455" s="236"/>
      <c r="K455" s="266"/>
      <c r="M455" s="270"/>
      <c r="N455" s="174"/>
      <c r="O455" s="19" t="s">
        <v>1797</v>
      </c>
      <c r="P455" s="17">
        <v>4</v>
      </c>
      <c r="Q455" s="17">
        <v>16</v>
      </c>
      <c r="R455" s="17">
        <f t="shared" ref="R455:R456" si="200">P455*Q455</f>
        <v>64</v>
      </c>
      <c r="S455" s="236"/>
      <c r="T455" s="236"/>
      <c r="U455" s="236"/>
      <c r="V455" s="242"/>
      <c r="Y455" s="270"/>
      <c r="Z455" s="174"/>
      <c r="AA455" s="19" t="s">
        <v>1797</v>
      </c>
      <c r="AB455" s="18"/>
      <c r="AC455" s="18"/>
      <c r="AD455" s="18"/>
      <c r="AE455" s="236"/>
      <c r="AF455" s="236"/>
      <c r="AG455" s="236"/>
      <c r="AH455" s="242"/>
    </row>
    <row r="456" spans="2:34" ht="13">
      <c r="B456" s="249"/>
      <c r="C456" s="155"/>
      <c r="D456" s="19" t="s">
        <v>1798</v>
      </c>
      <c r="E456" s="17">
        <v>6.25</v>
      </c>
      <c r="F456" s="17">
        <v>12.5</v>
      </c>
      <c r="G456" s="17">
        <f t="shared" si="199"/>
        <v>98.125</v>
      </c>
      <c r="H456" s="236"/>
      <c r="I456" s="236"/>
      <c r="J456" s="236"/>
      <c r="K456" s="266"/>
      <c r="M456" s="270"/>
      <c r="N456" s="174"/>
      <c r="O456" s="19" t="s">
        <v>1486</v>
      </c>
      <c r="P456" s="17">
        <v>28.75</v>
      </c>
      <c r="Q456" s="17">
        <v>22.5</v>
      </c>
      <c r="R456" s="17">
        <f t="shared" si="200"/>
        <v>646.875</v>
      </c>
      <c r="S456" s="236"/>
      <c r="T456" s="236"/>
      <c r="U456" s="236"/>
      <c r="V456" s="242"/>
      <c r="Y456" s="270"/>
      <c r="Z456" s="174"/>
      <c r="AA456" s="19" t="s">
        <v>1486</v>
      </c>
      <c r="AB456" s="17">
        <v>28.75</v>
      </c>
      <c r="AC456" s="17">
        <v>22.5</v>
      </c>
      <c r="AD456" s="17">
        <f>AB456*AC456</f>
        <v>646.875</v>
      </c>
      <c r="AE456" s="236"/>
      <c r="AF456" s="236"/>
      <c r="AG456" s="236"/>
      <c r="AH456" s="242"/>
    </row>
    <row r="457" spans="2:34" ht="13">
      <c r="B457" s="249"/>
      <c r="C457" s="155"/>
      <c r="D457" s="19" t="s">
        <v>1799</v>
      </c>
      <c r="E457" s="17">
        <v>6</v>
      </c>
      <c r="F457" s="17">
        <v>12.5</v>
      </c>
      <c r="G457" s="17">
        <f t="shared" si="199"/>
        <v>95</v>
      </c>
      <c r="H457" s="236"/>
      <c r="I457" s="236"/>
      <c r="J457" s="236"/>
      <c r="K457" s="266"/>
      <c r="M457" s="270"/>
      <c r="N457" s="175"/>
      <c r="O457" s="20" t="s">
        <v>1733</v>
      </c>
      <c r="P457" s="21"/>
      <c r="Q457" s="21"/>
      <c r="R457" s="21">
        <v>1855.16</v>
      </c>
      <c r="S457" s="248"/>
      <c r="T457" s="248"/>
      <c r="U457" s="248"/>
      <c r="V457" s="303"/>
      <c r="Y457" s="270"/>
      <c r="Z457" s="175"/>
      <c r="AA457" s="20" t="s">
        <v>1733</v>
      </c>
      <c r="AB457" s="21"/>
      <c r="AC457" s="21"/>
      <c r="AD457" s="21">
        <v>1855.16</v>
      </c>
      <c r="AE457" s="248"/>
      <c r="AF457" s="248"/>
      <c r="AG457" s="248"/>
      <c r="AH457" s="303"/>
    </row>
    <row r="458" spans="2:34" ht="14">
      <c r="B458" s="249"/>
      <c r="C458" s="155"/>
      <c r="D458" s="19" t="s">
        <v>1791</v>
      </c>
      <c r="E458" s="17">
        <v>4</v>
      </c>
      <c r="F458" s="17">
        <v>12.5</v>
      </c>
      <c r="G458" s="17">
        <f t="shared" si="199"/>
        <v>70</v>
      </c>
      <c r="H458" s="236"/>
      <c r="I458" s="236"/>
      <c r="J458" s="236"/>
      <c r="K458" s="266"/>
      <c r="M458" s="270"/>
      <c r="N458" s="173" t="s">
        <v>1800</v>
      </c>
      <c r="O458" s="15" t="s">
        <v>1736</v>
      </c>
      <c r="P458" s="16">
        <v>52</v>
      </c>
      <c r="Q458" s="16">
        <v>15</v>
      </c>
      <c r="R458" s="16">
        <f t="shared" ref="R458:R462" si="201">P458*Q458</f>
        <v>780</v>
      </c>
      <c r="S458" s="292">
        <f>SUM(R458:R465)</f>
        <v>4184.75</v>
      </c>
      <c r="T458" s="292">
        <v>18500</v>
      </c>
      <c r="U458" s="292">
        <f>T458-S458</f>
        <v>14315.25</v>
      </c>
      <c r="V458" s="313">
        <f>U458/T458</f>
        <v>0.77379729729729729</v>
      </c>
      <c r="Y458" s="270"/>
      <c r="Z458" s="173" t="s">
        <v>1800</v>
      </c>
      <c r="AA458" s="15" t="s">
        <v>1736</v>
      </c>
      <c r="AB458" s="16">
        <v>52</v>
      </c>
      <c r="AC458" s="16">
        <v>15</v>
      </c>
      <c r="AD458" s="16">
        <f t="shared" ref="AD458:AD459" si="202">AB458*AC458</f>
        <v>780</v>
      </c>
      <c r="AE458" s="292">
        <f>SUM(AD458:AD465)</f>
        <v>3888.75</v>
      </c>
      <c r="AF458" s="292">
        <v>18500</v>
      </c>
      <c r="AG458" s="292">
        <f>AF458-AE458</f>
        <v>14611.25</v>
      </c>
      <c r="AH458" s="313">
        <f>AG458/AF458</f>
        <v>0.78979729729729731</v>
      </c>
    </row>
    <row r="459" spans="2:34" ht="13">
      <c r="B459" s="249"/>
      <c r="C459" s="155"/>
      <c r="D459" s="19" t="s">
        <v>114</v>
      </c>
      <c r="E459" s="17">
        <v>7</v>
      </c>
      <c r="F459" s="17">
        <v>12.5</v>
      </c>
      <c r="G459" s="17">
        <v>0</v>
      </c>
      <c r="H459" s="236"/>
      <c r="I459" s="236"/>
      <c r="J459" s="236"/>
      <c r="K459" s="266"/>
      <c r="M459" s="270"/>
      <c r="N459" s="174"/>
      <c r="O459" s="19" t="s">
        <v>1235</v>
      </c>
      <c r="P459" s="17">
        <v>150.5</v>
      </c>
      <c r="Q459" s="17">
        <v>15</v>
      </c>
      <c r="R459" s="17">
        <f t="shared" si="201"/>
        <v>2257.5</v>
      </c>
      <c r="S459" s="236"/>
      <c r="T459" s="236"/>
      <c r="U459" s="236"/>
      <c r="V459" s="242"/>
      <c r="Y459" s="270"/>
      <c r="Z459" s="174"/>
      <c r="AA459" s="19" t="s">
        <v>1235</v>
      </c>
      <c r="AB459" s="17">
        <v>150.5</v>
      </c>
      <c r="AC459" s="17">
        <v>15</v>
      </c>
      <c r="AD459" s="17">
        <f t="shared" si="202"/>
        <v>2257.5</v>
      </c>
      <c r="AE459" s="236"/>
      <c r="AF459" s="236"/>
      <c r="AG459" s="236"/>
      <c r="AH459" s="242"/>
    </row>
    <row r="460" spans="2:34" ht="13">
      <c r="B460" s="249"/>
      <c r="C460" s="155"/>
      <c r="D460" s="19" t="s">
        <v>1341</v>
      </c>
      <c r="E460" s="17">
        <v>9</v>
      </c>
      <c r="F460" s="17">
        <v>12.5</v>
      </c>
      <c r="G460" s="17">
        <f>E460*F460+20</f>
        <v>132.5</v>
      </c>
      <c r="H460" s="236"/>
      <c r="I460" s="236"/>
      <c r="J460" s="236"/>
      <c r="K460" s="266"/>
      <c r="M460" s="270"/>
      <c r="N460" s="174"/>
      <c r="O460" s="19" t="s">
        <v>1221</v>
      </c>
      <c r="P460" s="17">
        <v>18.5</v>
      </c>
      <c r="Q460" s="17">
        <v>16</v>
      </c>
      <c r="R460" s="17">
        <f t="shared" si="201"/>
        <v>296</v>
      </c>
      <c r="S460" s="236"/>
      <c r="T460" s="236"/>
      <c r="U460" s="236"/>
      <c r="V460" s="242"/>
      <c r="Y460" s="270"/>
      <c r="Z460" s="174"/>
      <c r="AA460" s="19" t="s">
        <v>1221</v>
      </c>
      <c r="AB460" s="18"/>
      <c r="AC460" s="18"/>
      <c r="AD460" s="18"/>
      <c r="AE460" s="236"/>
      <c r="AF460" s="236"/>
      <c r="AG460" s="236"/>
      <c r="AH460" s="242"/>
    </row>
    <row r="461" spans="2:34" ht="13">
      <c r="B461" s="249"/>
      <c r="C461" s="155"/>
      <c r="D461" s="19" t="s">
        <v>1716</v>
      </c>
      <c r="E461" s="17">
        <v>7</v>
      </c>
      <c r="F461" s="17">
        <v>12.5</v>
      </c>
      <c r="G461" s="17">
        <v>0</v>
      </c>
      <c r="H461" s="236"/>
      <c r="I461" s="236"/>
      <c r="J461" s="236"/>
      <c r="K461" s="266"/>
      <c r="M461" s="270"/>
      <c r="N461" s="174"/>
      <c r="O461" s="19" t="s">
        <v>1243</v>
      </c>
      <c r="P461" s="17">
        <v>13.25</v>
      </c>
      <c r="Q461" s="17">
        <v>15</v>
      </c>
      <c r="R461" s="17">
        <f t="shared" si="201"/>
        <v>198.75</v>
      </c>
      <c r="S461" s="236"/>
      <c r="T461" s="236"/>
      <c r="U461" s="236"/>
      <c r="V461" s="242"/>
      <c r="Y461" s="270"/>
      <c r="Z461" s="174"/>
      <c r="AA461" s="19" t="s">
        <v>1243</v>
      </c>
      <c r="AB461" s="17">
        <v>13.25</v>
      </c>
      <c r="AC461" s="17">
        <v>15</v>
      </c>
      <c r="AD461" s="17">
        <f t="shared" ref="AD461:AD462" si="203">AB461*AC461</f>
        <v>198.75</v>
      </c>
      <c r="AE461" s="236"/>
      <c r="AF461" s="236"/>
      <c r="AG461" s="236"/>
      <c r="AH461" s="242"/>
    </row>
    <row r="462" spans="2:34" ht="13">
      <c r="B462" s="249"/>
      <c r="C462" s="155"/>
      <c r="D462" s="19" t="s">
        <v>1448</v>
      </c>
      <c r="E462" s="17">
        <v>10.5</v>
      </c>
      <c r="F462" s="17">
        <v>12.5</v>
      </c>
      <c r="G462" s="17">
        <f t="shared" ref="G462:G464" si="204">E462*F462+20</f>
        <v>151.25</v>
      </c>
      <c r="H462" s="236"/>
      <c r="I462" s="236"/>
      <c r="J462" s="236"/>
      <c r="K462" s="266"/>
      <c r="M462" s="270"/>
      <c r="N462" s="174"/>
      <c r="O462" s="19" t="s">
        <v>97</v>
      </c>
      <c r="P462" s="17">
        <v>13.5</v>
      </c>
      <c r="Q462" s="17">
        <v>15</v>
      </c>
      <c r="R462" s="17">
        <f t="shared" si="201"/>
        <v>202.5</v>
      </c>
      <c r="S462" s="236"/>
      <c r="T462" s="236"/>
      <c r="U462" s="236"/>
      <c r="V462" s="242"/>
      <c r="Y462" s="270"/>
      <c r="Z462" s="174"/>
      <c r="AA462" s="19" t="s">
        <v>97</v>
      </c>
      <c r="AB462" s="17">
        <v>13.5</v>
      </c>
      <c r="AC462" s="17">
        <v>15</v>
      </c>
      <c r="AD462" s="17">
        <f t="shared" si="203"/>
        <v>202.5</v>
      </c>
      <c r="AE462" s="236"/>
      <c r="AF462" s="236"/>
      <c r="AG462" s="236"/>
      <c r="AH462" s="242"/>
    </row>
    <row r="463" spans="2:34" ht="13">
      <c r="B463" s="249"/>
      <c r="C463" s="155"/>
      <c r="D463" s="19" t="s">
        <v>1801</v>
      </c>
      <c r="E463" s="17">
        <v>3.45</v>
      </c>
      <c r="F463" s="17">
        <v>12.5</v>
      </c>
      <c r="G463" s="17">
        <f t="shared" si="204"/>
        <v>63.125</v>
      </c>
      <c r="H463" s="236"/>
      <c r="I463" s="236"/>
      <c r="J463" s="236"/>
      <c r="K463" s="266"/>
      <c r="M463" s="270"/>
      <c r="N463" s="174"/>
      <c r="O463" s="19" t="s">
        <v>1802</v>
      </c>
      <c r="P463" s="17"/>
      <c r="Q463" s="17"/>
      <c r="R463" s="17">
        <v>315</v>
      </c>
      <c r="S463" s="236"/>
      <c r="T463" s="236"/>
      <c r="U463" s="236"/>
      <c r="V463" s="242"/>
      <c r="Y463" s="270"/>
      <c r="Z463" s="174"/>
      <c r="AA463" s="19" t="s">
        <v>1802</v>
      </c>
      <c r="AB463" s="17"/>
      <c r="AC463" s="17"/>
      <c r="AD463" s="17">
        <v>315</v>
      </c>
      <c r="AE463" s="236"/>
      <c r="AF463" s="236"/>
      <c r="AG463" s="236"/>
      <c r="AH463" s="242"/>
    </row>
    <row r="464" spans="2:34" ht="13">
      <c r="B464" s="249"/>
      <c r="C464" s="155"/>
      <c r="D464" s="19" t="s">
        <v>1803</v>
      </c>
      <c r="E464" s="17">
        <v>3.45</v>
      </c>
      <c r="F464" s="17">
        <v>12.5</v>
      </c>
      <c r="G464" s="17">
        <f t="shared" si="204"/>
        <v>63.125</v>
      </c>
      <c r="H464" s="236"/>
      <c r="I464" s="236"/>
      <c r="J464" s="236"/>
      <c r="K464" s="266"/>
      <c r="M464" s="270"/>
      <c r="N464" s="174"/>
      <c r="O464" s="19" t="s">
        <v>1511</v>
      </c>
      <c r="P464" s="17">
        <v>4.5</v>
      </c>
      <c r="Q464" s="17">
        <v>15</v>
      </c>
      <c r="R464" s="17">
        <f t="shared" ref="R464:R471" si="205">P464*Q464</f>
        <v>67.5</v>
      </c>
      <c r="S464" s="236"/>
      <c r="T464" s="236"/>
      <c r="U464" s="236"/>
      <c r="V464" s="242"/>
      <c r="Y464" s="270"/>
      <c r="Z464" s="174"/>
      <c r="AA464" s="19" t="s">
        <v>1511</v>
      </c>
      <c r="AB464" s="17">
        <v>4.5</v>
      </c>
      <c r="AC464" s="17">
        <v>15</v>
      </c>
      <c r="AD464" s="17">
        <f t="shared" ref="AD464:AD465" si="206">AB464*AC464</f>
        <v>67.5</v>
      </c>
      <c r="AE464" s="236"/>
      <c r="AF464" s="236"/>
      <c r="AG464" s="236"/>
      <c r="AH464" s="242"/>
    </row>
    <row r="465" spans="2:34" ht="13">
      <c r="B465" s="249"/>
      <c r="C465" s="155"/>
      <c r="D465" s="19" t="s">
        <v>45</v>
      </c>
      <c r="E465" s="19"/>
      <c r="F465" s="19"/>
      <c r="G465" s="17">
        <v>200</v>
      </c>
      <c r="H465" s="236"/>
      <c r="I465" s="236"/>
      <c r="J465" s="236"/>
      <c r="K465" s="266"/>
      <c r="M465" s="270"/>
      <c r="N465" s="175"/>
      <c r="O465" s="20" t="s">
        <v>1804</v>
      </c>
      <c r="P465" s="21">
        <v>4.5</v>
      </c>
      <c r="Q465" s="21">
        <v>15</v>
      </c>
      <c r="R465" s="21">
        <f t="shared" si="205"/>
        <v>67.5</v>
      </c>
      <c r="S465" s="248"/>
      <c r="T465" s="248"/>
      <c r="U465" s="248"/>
      <c r="V465" s="303"/>
      <c r="Y465" s="270"/>
      <c r="Z465" s="175"/>
      <c r="AA465" s="20" t="s">
        <v>1804</v>
      </c>
      <c r="AB465" s="21">
        <v>4.5</v>
      </c>
      <c r="AC465" s="21">
        <v>15</v>
      </c>
      <c r="AD465" s="21">
        <f t="shared" si="206"/>
        <v>67.5</v>
      </c>
      <c r="AE465" s="248"/>
      <c r="AF465" s="248"/>
      <c r="AG465" s="248"/>
      <c r="AH465" s="303"/>
    </row>
    <row r="466" spans="2:34" ht="14">
      <c r="B466" s="249"/>
      <c r="C466" s="187" t="s">
        <v>1805</v>
      </c>
      <c r="D466" s="123" t="s">
        <v>1716</v>
      </c>
      <c r="E466" s="124">
        <v>3</v>
      </c>
      <c r="F466" s="124">
        <v>15</v>
      </c>
      <c r="G466" s="124">
        <v>0</v>
      </c>
      <c r="H466" s="310">
        <f>SUM(G466:G473)</f>
        <v>270</v>
      </c>
      <c r="I466" s="310">
        <v>960</v>
      </c>
      <c r="J466" s="310">
        <f>I466-H466</f>
        <v>690</v>
      </c>
      <c r="K466" s="339">
        <f>J466/I466</f>
        <v>0.71875</v>
      </c>
      <c r="M466" s="270"/>
      <c r="N466" s="173" t="s">
        <v>1806</v>
      </c>
      <c r="O466" s="15" t="s">
        <v>114</v>
      </c>
      <c r="P466" s="16">
        <v>5.2</v>
      </c>
      <c r="Q466" s="16">
        <v>16</v>
      </c>
      <c r="R466" s="16">
        <f t="shared" si="205"/>
        <v>83.2</v>
      </c>
      <c r="S466" s="292">
        <f>SUM(R466:R470)</f>
        <v>580.85</v>
      </c>
      <c r="T466" s="292">
        <v>1400</v>
      </c>
      <c r="U466" s="292">
        <f>T466-S466</f>
        <v>819.15</v>
      </c>
      <c r="V466" s="313">
        <f>U466/T466</f>
        <v>0.58510714285714283</v>
      </c>
      <c r="Y466" s="270"/>
      <c r="Z466" s="173" t="s">
        <v>1806</v>
      </c>
      <c r="AA466" s="15" t="s">
        <v>114</v>
      </c>
      <c r="AB466" s="43"/>
      <c r="AC466" s="43"/>
      <c r="AD466" s="43"/>
      <c r="AE466" s="292">
        <f>SUM(AD466:AD470)</f>
        <v>497.65</v>
      </c>
      <c r="AF466" s="292">
        <v>1400</v>
      </c>
      <c r="AG466" s="292">
        <f>AF466-AE466</f>
        <v>902.35</v>
      </c>
      <c r="AH466" s="313">
        <f>AG466/AF466</f>
        <v>0.64453571428571432</v>
      </c>
    </row>
    <row r="467" spans="2:34" ht="13">
      <c r="B467" s="249"/>
      <c r="C467" s="174"/>
      <c r="D467" s="19" t="s">
        <v>1807</v>
      </c>
      <c r="E467" s="17">
        <v>3</v>
      </c>
      <c r="F467" s="17">
        <v>15</v>
      </c>
      <c r="G467" s="17">
        <v>45</v>
      </c>
      <c r="H467" s="236"/>
      <c r="I467" s="236"/>
      <c r="J467" s="236"/>
      <c r="K467" s="266"/>
      <c r="M467" s="270"/>
      <c r="N467" s="174"/>
      <c r="O467" s="19" t="s">
        <v>1243</v>
      </c>
      <c r="P467" s="17">
        <v>8</v>
      </c>
      <c r="Q467" s="17">
        <v>15</v>
      </c>
      <c r="R467" s="17">
        <f t="shared" si="205"/>
        <v>120</v>
      </c>
      <c r="S467" s="236"/>
      <c r="T467" s="236"/>
      <c r="U467" s="236"/>
      <c r="V467" s="242"/>
      <c r="Y467" s="270"/>
      <c r="Z467" s="174"/>
      <c r="AA467" s="19" t="s">
        <v>1243</v>
      </c>
      <c r="AB467" s="17">
        <v>8</v>
      </c>
      <c r="AC467" s="17">
        <v>15</v>
      </c>
      <c r="AD467" s="17">
        <f t="shared" ref="AD467:AD470" si="207">AB467*AC467</f>
        <v>120</v>
      </c>
      <c r="AE467" s="236"/>
      <c r="AF467" s="236"/>
      <c r="AG467" s="236"/>
      <c r="AH467" s="242"/>
    </row>
    <row r="468" spans="2:34" ht="13">
      <c r="B468" s="249"/>
      <c r="C468" s="174"/>
      <c r="D468" s="19" t="s">
        <v>1308</v>
      </c>
      <c r="E468" s="17">
        <v>3</v>
      </c>
      <c r="F468" s="17">
        <v>15</v>
      </c>
      <c r="G468" s="17">
        <v>45</v>
      </c>
      <c r="H468" s="236"/>
      <c r="I468" s="236"/>
      <c r="J468" s="236"/>
      <c r="K468" s="266"/>
      <c r="M468" s="270"/>
      <c r="N468" s="174"/>
      <c r="O468" s="19" t="s">
        <v>1235</v>
      </c>
      <c r="P468" s="17">
        <v>10</v>
      </c>
      <c r="Q468" s="17">
        <v>13</v>
      </c>
      <c r="R468" s="17">
        <f t="shared" si="205"/>
        <v>130</v>
      </c>
      <c r="S468" s="236"/>
      <c r="T468" s="236"/>
      <c r="U468" s="236"/>
      <c r="V468" s="242"/>
      <c r="Y468" s="270"/>
      <c r="Z468" s="174"/>
      <c r="AA468" s="19" t="s">
        <v>1235</v>
      </c>
      <c r="AB468" s="17">
        <v>10</v>
      </c>
      <c r="AC468" s="17">
        <v>13</v>
      </c>
      <c r="AD468" s="17">
        <f t="shared" si="207"/>
        <v>130</v>
      </c>
      <c r="AE468" s="236"/>
      <c r="AF468" s="236"/>
      <c r="AG468" s="236"/>
      <c r="AH468" s="242"/>
    </row>
    <row r="469" spans="2:34" ht="13">
      <c r="B469" s="249"/>
      <c r="C469" s="174"/>
      <c r="D469" s="19" t="s">
        <v>1807</v>
      </c>
      <c r="E469" s="17">
        <v>3</v>
      </c>
      <c r="F469" s="17">
        <v>15</v>
      </c>
      <c r="G469" s="17">
        <v>45</v>
      </c>
      <c r="H469" s="236"/>
      <c r="I469" s="236"/>
      <c r="J469" s="236"/>
      <c r="K469" s="266"/>
      <c r="M469" s="270"/>
      <c r="N469" s="174"/>
      <c r="O469" s="19" t="s">
        <v>97</v>
      </c>
      <c r="P469" s="17">
        <v>13.25</v>
      </c>
      <c r="Q469" s="17">
        <v>13</v>
      </c>
      <c r="R469" s="17">
        <f t="shared" si="205"/>
        <v>172.25</v>
      </c>
      <c r="S469" s="236"/>
      <c r="T469" s="236"/>
      <c r="U469" s="236"/>
      <c r="V469" s="242"/>
      <c r="Y469" s="270"/>
      <c r="Z469" s="174"/>
      <c r="AA469" s="19" t="s">
        <v>97</v>
      </c>
      <c r="AB469" s="17">
        <v>13.25</v>
      </c>
      <c r="AC469" s="17">
        <v>13</v>
      </c>
      <c r="AD469" s="17">
        <f t="shared" si="207"/>
        <v>172.25</v>
      </c>
      <c r="AE469" s="236"/>
      <c r="AF469" s="236"/>
      <c r="AG469" s="236"/>
      <c r="AH469" s="242"/>
    </row>
    <row r="470" spans="2:34" ht="13">
      <c r="B470" s="249"/>
      <c r="C470" s="155"/>
      <c r="D470" s="19" t="s">
        <v>1308</v>
      </c>
      <c r="E470" s="17">
        <v>3</v>
      </c>
      <c r="F470" s="17">
        <v>15</v>
      </c>
      <c r="G470" s="17">
        <v>45</v>
      </c>
      <c r="H470" s="236"/>
      <c r="I470" s="236"/>
      <c r="J470" s="236"/>
      <c r="K470" s="266"/>
      <c r="M470" s="270"/>
      <c r="N470" s="175"/>
      <c r="O470" s="20" t="s">
        <v>1808</v>
      </c>
      <c r="P470" s="21">
        <v>5.8</v>
      </c>
      <c r="Q470" s="21">
        <v>13</v>
      </c>
      <c r="R470" s="21">
        <f t="shared" si="205"/>
        <v>75.399999999999991</v>
      </c>
      <c r="S470" s="248"/>
      <c r="T470" s="248"/>
      <c r="U470" s="248"/>
      <c r="V470" s="303"/>
      <c r="Y470" s="270"/>
      <c r="Z470" s="175"/>
      <c r="AA470" s="20" t="s">
        <v>1808</v>
      </c>
      <c r="AB470" s="21">
        <v>5.8</v>
      </c>
      <c r="AC470" s="21">
        <v>13</v>
      </c>
      <c r="AD470" s="21">
        <f t="shared" si="207"/>
        <v>75.399999999999991</v>
      </c>
      <c r="AE470" s="248"/>
      <c r="AF470" s="248"/>
      <c r="AG470" s="248"/>
      <c r="AH470" s="303"/>
    </row>
    <row r="471" spans="2:34" ht="14">
      <c r="B471" s="249"/>
      <c r="C471" s="155"/>
      <c r="D471" s="19" t="s">
        <v>1807</v>
      </c>
      <c r="E471" s="17">
        <v>3</v>
      </c>
      <c r="F471" s="17">
        <v>15</v>
      </c>
      <c r="G471" s="17">
        <v>45</v>
      </c>
      <c r="H471" s="236"/>
      <c r="I471" s="236"/>
      <c r="J471" s="236"/>
      <c r="K471" s="266"/>
      <c r="M471" s="270"/>
      <c r="N471" s="173" t="s">
        <v>1809</v>
      </c>
      <c r="O471" s="15" t="s">
        <v>114</v>
      </c>
      <c r="P471" s="16">
        <v>43.2</v>
      </c>
      <c r="Q471" s="16">
        <v>16</v>
      </c>
      <c r="R471" s="16">
        <f t="shared" si="205"/>
        <v>691.2</v>
      </c>
      <c r="S471" s="292">
        <f>SUM(R471:R474)</f>
        <v>1561.2</v>
      </c>
      <c r="T471" s="292">
        <v>6000</v>
      </c>
      <c r="U471" s="292">
        <f>T471-S471</f>
        <v>4438.8</v>
      </c>
      <c r="V471" s="313">
        <f>U471/T471</f>
        <v>0.73980000000000001</v>
      </c>
      <c r="Y471" s="270"/>
      <c r="Z471" s="173" t="s">
        <v>1809</v>
      </c>
      <c r="AA471" s="15" t="s">
        <v>114</v>
      </c>
      <c r="AB471" s="16">
        <v>43.2</v>
      </c>
      <c r="AC471" s="16">
        <v>16</v>
      </c>
      <c r="AD471" s="16">
        <v>0</v>
      </c>
      <c r="AE471" s="292">
        <f>SUM(AD471:AD474)</f>
        <v>870</v>
      </c>
      <c r="AF471" s="292">
        <v>6000</v>
      </c>
      <c r="AG471" s="292">
        <f>AF471-AE471</f>
        <v>5130</v>
      </c>
      <c r="AH471" s="313">
        <f>AG471/AF471</f>
        <v>0.85499999999999998</v>
      </c>
    </row>
    <row r="472" spans="2:34" ht="13">
      <c r="B472" s="249"/>
      <c r="C472" s="155"/>
      <c r="D472" s="19" t="s">
        <v>1308</v>
      </c>
      <c r="E472" s="17">
        <v>3</v>
      </c>
      <c r="F472" s="17">
        <v>15</v>
      </c>
      <c r="G472" s="17">
        <v>45</v>
      </c>
      <c r="H472" s="236"/>
      <c r="I472" s="236"/>
      <c r="J472" s="236"/>
      <c r="K472" s="266"/>
      <c r="M472" s="270"/>
      <c r="N472" s="174"/>
      <c r="O472" s="19" t="s">
        <v>1810</v>
      </c>
      <c r="P472" s="17"/>
      <c r="Q472" s="17"/>
      <c r="R472" s="17">
        <v>315</v>
      </c>
      <c r="S472" s="236"/>
      <c r="T472" s="236"/>
      <c r="U472" s="236"/>
      <c r="V472" s="242"/>
      <c r="Y472" s="270"/>
      <c r="Z472" s="174"/>
      <c r="AA472" s="19" t="s">
        <v>1810</v>
      </c>
      <c r="AB472" s="17"/>
      <c r="AC472" s="17"/>
      <c r="AD472" s="17">
        <v>315</v>
      </c>
      <c r="AE472" s="236"/>
      <c r="AF472" s="236"/>
      <c r="AG472" s="236"/>
      <c r="AH472" s="242"/>
    </row>
    <row r="473" spans="2:34" ht="13">
      <c r="B473" s="249"/>
      <c r="C473" s="155"/>
      <c r="D473" s="19" t="s">
        <v>1811</v>
      </c>
      <c r="E473" s="17">
        <v>3</v>
      </c>
      <c r="F473" s="17">
        <v>15</v>
      </c>
      <c r="G473" s="17">
        <v>0</v>
      </c>
      <c r="H473" s="236"/>
      <c r="I473" s="236"/>
      <c r="J473" s="236"/>
      <c r="K473" s="266"/>
      <c r="M473" s="270"/>
      <c r="N473" s="174"/>
      <c r="O473" s="19" t="s">
        <v>1235</v>
      </c>
      <c r="P473" s="17">
        <v>17</v>
      </c>
      <c r="Q473" s="17">
        <v>15</v>
      </c>
      <c r="R473" s="17">
        <f t="shared" ref="R473:R474" si="208">P473*Q473</f>
        <v>255</v>
      </c>
      <c r="S473" s="236"/>
      <c r="T473" s="236"/>
      <c r="U473" s="236"/>
      <c r="V473" s="242"/>
      <c r="Y473" s="270"/>
      <c r="Z473" s="174"/>
      <c r="AA473" s="19" t="s">
        <v>1235</v>
      </c>
      <c r="AB473" s="17">
        <v>17</v>
      </c>
      <c r="AC473" s="17">
        <v>15</v>
      </c>
      <c r="AD473" s="17">
        <f t="shared" ref="AD473:AD474" si="209">AB473*AC473</f>
        <v>255</v>
      </c>
      <c r="AE473" s="236"/>
      <c r="AF473" s="236"/>
      <c r="AG473" s="236"/>
      <c r="AH473" s="242"/>
    </row>
    <row r="474" spans="2:34" ht="13">
      <c r="B474" s="249"/>
      <c r="C474" s="187" t="s">
        <v>1812</v>
      </c>
      <c r="D474" s="123" t="s">
        <v>1308</v>
      </c>
      <c r="E474" s="124">
        <v>3</v>
      </c>
      <c r="F474" s="124">
        <v>15</v>
      </c>
      <c r="G474" s="124">
        <v>60</v>
      </c>
      <c r="H474" s="310">
        <f>SUM(G474:G493)</f>
        <v>705</v>
      </c>
      <c r="I474" s="338">
        <v>2990</v>
      </c>
      <c r="J474" s="338">
        <f>I474-H474</f>
        <v>2285</v>
      </c>
      <c r="K474" s="339">
        <f>J474/I474</f>
        <v>0.76421404682274252</v>
      </c>
      <c r="M474" s="270"/>
      <c r="N474" s="175"/>
      <c r="O474" s="20" t="s">
        <v>419</v>
      </c>
      <c r="P474" s="21">
        <v>20</v>
      </c>
      <c r="Q474" s="21">
        <v>15</v>
      </c>
      <c r="R474" s="21">
        <f t="shared" si="208"/>
        <v>300</v>
      </c>
      <c r="S474" s="248"/>
      <c r="T474" s="248"/>
      <c r="U474" s="248"/>
      <c r="V474" s="303"/>
      <c r="Y474" s="270"/>
      <c r="Z474" s="175"/>
      <c r="AA474" s="20" t="s">
        <v>419</v>
      </c>
      <c r="AB474" s="21">
        <v>20</v>
      </c>
      <c r="AC474" s="21">
        <v>15</v>
      </c>
      <c r="AD474" s="21">
        <f t="shared" si="209"/>
        <v>300</v>
      </c>
      <c r="AE474" s="248"/>
      <c r="AF474" s="248"/>
      <c r="AG474" s="248"/>
      <c r="AH474" s="303"/>
    </row>
    <row r="475" spans="2:34" ht="14">
      <c r="B475" s="249"/>
      <c r="C475" s="174"/>
      <c r="D475" s="19" t="s">
        <v>1235</v>
      </c>
      <c r="E475" s="17">
        <v>3</v>
      </c>
      <c r="F475" s="17">
        <v>15</v>
      </c>
      <c r="G475" s="17">
        <v>45</v>
      </c>
      <c r="H475" s="236"/>
      <c r="I475" s="236"/>
      <c r="J475" s="236"/>
      <c r="K475" s="266"/>
      <c r="M475" s="270"/>
      <c r="N475" s="144" t="s">
        <v>1813</v>
      </c>
      <c r="O475" s="77" t="s">
        <v>986</v>
      </c>
      <c r="P475" s="71"/>
      <c r="Q475" s="71"/>
      <c r="R475" s="19">
        <v>300</v>
      </c>
      <c r="S475" s="239">
        <f>SUM(R475:R476)</f>
        <v>352.48</v>
      </c>
      <c r="T475" s="239">
        <v>1232</v>
      </c>
      <c r="U475" s="239">
        <f>T475-S475</f>
        <v>879.52</v>
      </c>
      <c r="V475" s="259">
        <f>U475/T475</f>
        <v>0.71389610389610392</v>
      </c>
      <c r="Y475" s="270"/>
      <c r="Z475" s="144" t="s">
        <v>1813</v>
      </c>
      <c r="AA475" s="77" t="s">
        <v>986</v>
      </c>
      <c r="AB475" s="71"/>
      <c r="AC475" s="71"/>
      <c r="AD475" s="19">
        <v>300</v>
      </c>
      <c r="AE475" s="325">
        <f>SUM(AD475:AD476)</f>
        <v>352.48</v>
      </c>
      <c r="AF475" s="325">
        <v>1232</v>
      </c>
      <c r="AG475" s="325">
        <f>AF475-AE475</f>
        <v>879.52</v>
      </c>
      <c r="AH475" s="330">
        <f>AG475/AF475</f>
        <v>0.71389610389610392</v>
      </c>
    </row>
    <row r="476" spans="2:34" ht="13">
      <c r="B476" s="249"/>
      <c r="C476" s="174"/>
      <c r="D476" s="19" t="s">
        <v>1716</v>
      </c>
      <c r="E476" s="17">
        <v>3</v>
      </c>
      <c r="F476" s="17">
        <v>15</v>
      </c>
      <c r="G476" s="17">
        <v>0</v>
      </c>
      <c r="H476" s="236"/>
      <c r="I476" s="236"/>
      <c r="J476" s="236"/>
      <c r="K476" s="266"/>
      <c r="M476" s="270"/>
      <c r="N476" s="140"/>
      <c r="O476" s="20" t="s">
        <v>94</v>
      </c>
      <c r="P476" s="20"/>
      <c r="Q476" s="20"/>
      <c r="R476" s="20">
        <v>52.48</v>
      </c>
      <c r="S476" s="248"/>
      <c r="T476" s="248"/>
      <c r="U476" s="248"/>
      <c r="V476" s="303"/>
      <c r="Y476" s="270"/>
      <c r="Z476" s="140"/>
      <c r="AA476" s="20" t="s">
        <v>94</v>
      </c>
      <c r="AB476" s="20"/>
      <c r="AC476" s="20"/>
      <c r="AD476" s="20">
        <v>52.48</v>
      </c>
      <c r="AE476" s="248"/>
      <c r="AF476" s="248"/>
      <c r="AG476" s="248"/>
      <c r="AH476" s="303"/>
    </row>
    <row r="477" spans="2:34" ht="14">
      <c r="B477" s="249"/>
      <c r="C477" s="174"/>
      <c r="D477" s="19" t="s">
        <v>1235</v>
      </c>
      <c r="E477" s="17">
        <v>3</v>
      </c>
      <c r="F477" s="17">
        <v>15</v>
      </c>
      <c r="G477" s="17">
        <v>45</v>
      </c>
      <c r="H477" s="236"/>
      <c r="I477" s="236"/>
      <c r="J477" s="236"/>
      <c r="K477" s="266"/>
      <c r="M477" s="270"/>
      <c r="N477" s="173" t="s">
        <v>1814</v>
      </c>
      <c r="O477" s="15" t="s">
        <v>114</v>
      </c>
      <c r="P477" s="16">
        <v>12</v>
      </c>
      <c r="Q477" s="16">
        <v>16</v>
      </c>
      <c r="R477" s="16">
        <f t="shared" ref="R477:R481" si="210">P477*Q477</f>
        <v>192</v>
      </c>
      <c r="S477" s="292">
        <f>SUM(R477:R481)</f>
        <v>771.35</v>
      </c>
      <c r="T477" s="292">
        <v>13500</v>
      </c>
      <c r="U477" s="292">
        <f>T477-S477</f>
        <v>12728.65</v>
      </c>
      <c r="V477" s="313">
        <f>U477/T477</f>
        <v>0.9428629629629629</v>
      </c>
      <c r="Y477" s="270"/>
      <c r="Z477" s="173" t="s">
        <v>1814</v>
      </c>
      <c r="AA477" s="15" t="s">
        <v>114</v>
      </c>
      <c r="AB477" s="43"/>
      <c r="AC477" s="43"/>
      <c r="AD477" s="43"/>
      <c r="AE477" s="292">
        <f>SUM(AD477:AD481)</f>
        <v>579.35</v>
      </c>
      <c r="AF477" s="292">
        <v>13500</v>
      </c>
      <c r="AG477" s="292">
        <f>AF477-AE477</f>
        <v>12920.65</v>
      </c>
      <c r="AH477" s="313">
        <f>AG477/AF477</f>
        <v>0.95708518518518515</v>
      </c>
    </row>
    <row r="478" spans="2:34" ht="13">
      <c r="B478" s="249"/>
      <c r="C478" s="155"/>
      <c r="D478" s="19" t="s">
        <v>1235</v>
      </c>
      <c r="E478" s="17">
        <v>3</v>
      </c>
      <c r="F478" s="17">
        <v>15</v>
      </c>
      <c r="G478" s="17">
        <v>45</v>
      </c>
      <c r="H478" s="236"/>
      <c r="I478" s="236"/>
      <c r="J478" s="236"/>
      <c r="K478" s="266"/>
      <c r="M478" s="270"/>
      <c r="N478" s="174"/>
      <c r="O478" s="19" t="s">
        <v>1486</v>
      </c>
      <c r="P478" s="17">
        <v>5.4</v>
      </c>
      <c r="Q478" s="17">
        <v>15</v>
      </c>
      <c r="R478" s="17">
        <f t="shared" si="210"/>
        <v>81</v>
      </c>
      <c r="S478" s="236"/>
      <c r="T478" s="236"/>
      <c r="U478" s="236"/>
      <c r="V478" s="242"/>
      <c r="Y478" s="270"/>
      <c r="Z478" s="174"/>
      <c r="AA478" s="19" t="s">
        <v>1486</v>
      </c>
      <c r="AB478" s="17">
        <v>5.4</v>
      </c>
      <c r="AC478" s="17">
        <v>15</v>
      </c>
      <c r="AD478" s="17">
        <f t="shared" ref="AD478:AD481" si="211">AB478*AC478</f>
        <v>81</v>
      </c>
      <c r="AE478" s="236"/>
      <c r="AF478" s="236"/>
      <c r="AG478" s="236"/>
      <c r="AH478" s="242"/>
    </row>
    <row r="479" spans="2:34" ht="13">
      <c r="B479" s="249"/>
      <c r="C479" s="155"/>
      <c r="D479" s="19" t="s">
        <v>1235</v>
      </c>
      <c r="E479" s="17">
        <v>3</v>
      </c>
      <c r="F479" s="17">
        <v>15</v>
      </c>
      <c r="G479" s="17">
        <v>45</v>
      </c>
      <c r="H479" s="236"/>
      <c r="I479" s="236"/>
      <c r="J479" s="236"/>
      <c r="K479" s="266"/>
      <c r="M479" s="270"/>
      <c r="N479" s="174"/>
      <c r="O479" s="19" t="s">
        <v>1243</v>
      </c>
      <c r="P479" s="17">
        <v>18.25</v>
      </c>
      <c r="Q479" s="17">
        <v>15</v>
      </c>
      <c r="R479" s="17">
        <f t="shared" si="210"/>
        <v>273.75</v>
      </c>
      <c r="S479" s="236"/>
      <c r="T479" s="236"/>
      <c r="U479" s="236"/>
      <c r="V479" s="242"/>
      <c r="Y479" s="270"/>
      <c r="Z479" s="174"/>
      <c r="AA479" s="19" t="s">
        <v>1243</v>
      </c>
      <c r="AB479" s="17">
        <v>18.25</v>
      </c>
      <c r="AC479" s="17">
        <v>15</v>
      </c>
      <c r="AD479" s="17">
        <f t="shared" si="211"/>
        <v>273.75</v>
      </c>
      <c r="AE479" s="236"/>
      <c r="AF479" s="236"/>
      <c r="AG479" s="236"/>
      <c r="AH479" s="242"/>
    </row>
    <row r="480" spans="2:34" ht="13">
      <c r="B480" s="249"/>
      <c r="C480" s="155"/>
      <c r="D480" s="19" t="s">
        <v>1716</v>
      </c>
      <c r="E480" s="17">
        <v>3</v>
      </c>
      <c r="F480" s="17">
        <v>15</v>
      </c>
      <c r="G480" s="17">
        <v>0</v>
      </c>
      <c r="H480" s="236"/>
      <c r="I480" s="236"/>
      <c r="J480" s="236"/>
      <c r="K480" s="266"/>
      <c r="M480" s="270"/>
      <c r="N480" s="174"/>
      <c r="O480" s="19" t="s">
        <v>102</v>
      </c>
      <c r="P480" s="17">
        <v>5</v>
      </c>
      <c r="Q480" s="17">
        <v>8</v>
      </c>
      <c r="R480" s="17">
        <f t="shared" si="210"/>
        <v>40</v>
      </c>
      <c r="S480" s="236"/>
      <c r="T480" s="236"/>
      <c r="U480" s="236"/>
      <c r="V480" s="242"/>
      <c r="Y480" s="270"/>
      <c r="Z480" s="174"/>
      <c r="AA480" s="19" t="s">
        <v>102</v>
      </c>
      <c r="AB480" s="17">
        <v>5</v>
      </c>
      <c r="AC480" s="17">
        <v>8</v>
      </c>
      <c r="AD480" s="17">
        <f t="shared" si="211"/>
        <v>40</v>
      </c>
      <c r="AE480" s="236"/>
      <c r="AF480" s="236"/>
      <c r="AG480" s="236"/>
      <c r="AH480" s="242"/>
    </row>
    <row r="481" spans="2:34" ht="13">
      <c r="B481" s="249"/>
      <c r="C481" s="155"/>
      <c r="D481" s="19" t="s">
        <v>114</v>
      </c>
      <c r="E481" s="17">
        <v>3</v>
      </c>
      <c r="F481" s="17">
        <v>15</v>
      </c>
      <c r="G481" s="17">
        <v>0</v>
      </c>
      <c r="H481" s="236"/>
      <c r="I481" s="236"/>
      <c r="J481" s="236"/>
      <c r="K481" s="266"/>
      <c r="M481" s="270"/>
      <c r="N481" s="175"/>
      <c r="O481" s="20" t="s">
        <v>1815</v>
      </c>
      <c r="P481" s="21">
        <v>14.2</v>
      </c>
      <c r="Q481" s="21">
        <v>13</v>
      </c>
      <c r="R481" s="21">
        <f t="shared" si="210"/>
        <v>184.6</v>
      </c>
      <c r="S481" s="248"/>
      <c r="T481" s="248"/>
      <c r="U481" s="248"/>
      <c r="V481" s="303"/>
      <c r="Y481" s="270"/>
      <c r="Z481" s="175"/>
      <c r="AA481" s="20" t="s">
        <v>1815</v>
      </c>
      <c r="AB481" s="21">
        <v>14.2</v>
      </c>
      <c r="AC481" s="21">
        <v>13</v>
      </c>
      <c r="AD481" s="21">
        <f t="shared" si="211"/>
        <v>184.6</v>
      </c>
      <c r="AE481" s="248"/>
      <c r="AF481" s="248"/>
      <c r="AG481" s="248"/>
      <c r="AH481" s="303"/>
    </row>
    <row r="482" spans="2:34" ht="14">
      <c r="B482" s="249"/>
      <c r="C482" s="155"/>
      <c r="D482" s="19" t="s">
        <v>1235</v>
      </c>
      <c r="E482" s="17">
        <v>3</v>
      </c>
      <c r="F482" s="17">
        <v>15</v>
      </c>
      <c r="G482" s="17">
        <v>45</v>
      </c>
      <c r="H482" s="236"/>
      <c r="I482" s="236"/>
      <c r="J482" s="236"/>
      <c r="K482" s="266"/>
      <c r="M482" s="270"/>
      <c r="N482" s="144" t="s">
        <v>1816</v>
      </c>
      <c r="O482" s="77" t="s">
        <v>986</v>
      </c>
      <c r="P482" s="71"/>
      <c r="Q482" s="71"/>
      <c r="R482" s="19">
        <v>130</v>
      </c>
      <c r="S482" s="239">
        <f>SUM(R482:R483)</f>
        <v>130</v>
      </c>
      <c r="T482" s="239">
        <v>550</v>
      </c>
      <c r="U482" s="239">
        <f>T482-S482</f>
        <v>420</v>
      </c>
      <c r="V482" s="259">
        <f>U482/T482</f>
        <v>0.76363636363636367</v>
      </c>
      <c r="Y482" s="270"/>
      <c r="Z482" s="144" t="s">
        <v>1816</v>
      </c>
      <c r="AA482" s="77" t="s">
        <v>986</v>
      </c>
      <c r="AB482" s="71"/>
      <c r="AC482" s="71"/>
      <c r="AD482" s="19">
        <v>130</v>
      </c>
      <c r="AE482" s="325">
        <f>SUM(AD482:AD483)</f>
        <v>130</v>
      </c>
      <c r="AF482" s="325">
        <v>550</v>
      </c>
      <c r="AG482" s="325">
        <f>AF482-AE482</f>
        <v>420</v>
      </c>
      <c r="AH482" s="330">
        <f>AG482/AF482</f>
        <v>0.76363636363636367</v>
      </c>
    </row>
    <row r="483" spans="2:34" ht="13">
      <c r="B483" s="249"/>
      <c r="C483" s="155"/>
      <c r="D483" s="19" t="s">
        <v>1235</v>
      </c>
      <c r="E483" s="17">
        <v>3</v>
      </c>
      <c r="F483" s="17">
        <v>15</v>
      </c>
      <c r="G483" s="17">
        <v>45</v>
      </c>
      <c r="H483" s="236"/>
      <c r="I483" s="236"/>
      <c r="J483" s="236"/>
      <c r="K483" s="266"/>
      <c r="M483" s="270"/>
      <c r="N483" s="140"/>
      <c r="O483" s="20"/>
      <c r="P483" s="20"/>
      <c r="Q483" s="20"/>
      <c r="R483" s="20"/>
      <c r="S483" s="248"/>
      <c r="T483" s="248"/>
      <c r="U483" s="248"/>
      <c r="V483" s="303"/>
      <c r="Y483" s="270"/>
      <c r="Z483" s="140"/>
      <c r="AA483" s="20"/>
      <c r="AB483" s="20"/>
      <c r="AC483" s="20"/>
      <c r="AD483" s="20"/>
      <c r="AE483" s="248"/>
      <c r="AF483" s="248"/>
      <c r="AG483" s="248"/>
      <c r="AH483" s="303"/>
    </row>
    <row r="484" spans="2:34" ht="14">
      <c r="B484" s="249"/>
      <c r="C484" s="155"/>
      <c r="D484" s="19" t="s">
        <v>1235</v>
      </c>
      <c r="E484" s="17">
        <v>3</v>
      </c>
      <c r="F484" s="17">
        <v>15</v>
      </c>
      <c r="G484" s="17">
        <v>45</v>
      </c>
      <c r="H484" s="236"/>
      <c r="I484" s="236"/>
      <c r="J484" s="236"/>
      <c r="K484" s="266"/>
      <c r="M484" s="270"/>
      <c r="N484" s="173" t="s">
        <v>1817</v>
      </c>
      <c r="O484" s="15" t="s">
        <v>114</v>
      </c>
      <c r="P484" s="16">
        <v>4</v>
      </c>
      <c r="Q484" s="16">
        <v>16</v>
      </c>
      <c r="R484" s="16">
        <f t="shared" ref="R484:R485" si="212">P484*Q484</f>
        <v>64</v>
      </c>
      <c r="S484" s="292">
        <f>SUM(R484:R488)</f>
        <v>631.25</v>
      </c>
      <c r="T484" s="292">
        <v>1550</v>
      </c>
      <c r="U484" s="292">
        <f>T484-S484</f>
        <v>918.75</v>
      </c>
      <c r="V484" s="313">
        <f>U484/T484</f>
        <v>0.592741935483871</v>
      </c>
      <c r="Y484" s="270"/>
      <c r="Z484" s="173" t="s">
        <v>1817</v>
      </c>
      <c r="AA484" s="15" t="s">
        <v>114</v>
      </c>
      <c r="AB484" s="43"/>
      <c r="AC484" s="43"/>
      <c r="AD484" s="43"/>
      <c r="AE484" s="292">
        <f>SUM(AD484:AD488)</f>
        <v>567.25</v>
      </c>
      <c r="AF484" s="292">
        <v>1550</v>
      </c>
      <c r="AG484" s="292">
        <f>AF484-AE484</f>
        <v>982.75</v>
      </c>
      <c r="AH484" s="313">
        <f>AG484/AF484</f>
        <v>0.63403225806451613</v>
      </c>
    </row>
    <row r="485" spans="2:34" ht="13">
      <c r="B485" s="249"/>
      <c r="C485" s="155"/>
      <c r="D485" s="19" t="s">
        <v>114</v>
      </c>
      <c r="E485" s="17">
        <v>3</v>
      </c>
      <c r="F485" s="17">
        <v>15</v>
      </c>
      <c r="G485" s="17">
        <v>0</v>
      </c>
      <c r="H485" s="236"/>
      <c r="I485" s="236"/>
      <c r="J485" s="236"/>
      <c r="K485" s="266"/>
      <c r="M485" s="270"/>
      <c r="N485" s="174"/>
      <c r="O485" s="19" t="s">
        <v>1235</v>
      </c>
      <c r="P485" s="17">
        <v>3.4</v>
      </c>
      <c r="Q485" s="17">
        <v>15</v>
      </c>
      <c r="R485" s="17">
        <f t="shared" si="212"/>
        <v>51</v>
      </c>
      <c r="S485" s="236"/>
      <c r="T485" s="236"/>
      <c r="U485" s="236"/>
      <c r="V485" s="242"/>
      <c r="Y485" s="270"/>
      <c r="Z485" s="174"/>
      <c r="AA485" s="19" t="s">
        <v>1235</v>
      </c>
      <c r="AB485" s="17">
        <v>3.4</v>
      </c>
      <c r="AC485" s="17">
        <v>15</v>
      </c>
      <c r="AD485" s="17">
        <f>AB485*AC485</f>
        <v>51</v>
      </c>
      <c r="AE485" s="236"/>
      <c r="AF485" s="236"/>
      <c r="AG485" s="236"/>
      <c r="AH485" s="242"/>
    </row>
    <row r="486" spans="2:34" ht="13">
      <c r="B486" s="249"/>
      <c r="C486" s="155"/>
      <c r="D486" s="19" t="s">
        <v>1341</v>
      </c>
      <c r="E486" s="17">
        <v>3</v>
      </c>
      <c r="F486" s="17">
        <v>15</v>
      </c>
      <c r="G486" s="17">
        <v>45</v>
      </c>
      <c r="H486" s="236"/>
      <c r="I486" s="236"/>
      <c r="J486" s="236"/>
      <c r="K486" s="266"/>
      <c r="M486" s="270"/>
      <c r="N486" s="174"/>
      <c r="O486" s="19" t="s">
        <v>1818</v>
      </c>
      <c r="P486" s="17"/>
      <c r="Q486" s="17"/>
      <c r="R486" s="17">
        <v>40</v>
      </c>
      <c r="S486" s="236"/>
      <c r="T486" s="236"/>
      <c r="U486" s="236"/>
      <c r="V486" s="242"/>
      <c r="Y486" s="270"/>
      <c r="Z486" s="174"/>
      <c r="AA486" s="19" t="s">
        <v>1818</v>
      </c>
      <c r="AB486" s="17"/>
      <c r="AC486" s="17"/>
      <c r="AD486" s="17">
        <v>40</v>
      </c>
      <c r="AE486" s="236"/>
      <c r="AF486" s="236"/>
      <c r="AG486" s="236"/>
      <c r="AH486" s="242"/>
    </row>
    <row r="487" spans="2:34" ht="13">
      <c r="B487" s="249"/>
      <c r="C487" s="155"/>
      <c r="D487" s="19" t="s">
        <v>1798</v>
      </c>
      <c r="E487" s="17">
        <v>3</v>
      </c>
      <c r="F487" s="17">
        <v>15</v>
      </c>
      <c r="G487" s="17">
        <v>45</v>
      </c>
      <c r="H487" s="236"/>
      <c r="I487" s="236"/>
      <c r="J487" s="236"/>
      <c r="K487" s="266"/>
      <c r="M487" s="270"/>
      <c r="N487" s="174"/>
      <c r="O487" s="19" t="s">
        <v>1819</v>
      </c>
      <c r="P487" s="17">
        <v>21.75</v>
      </c>
      <c r="Q487" s="17">
        <v>15</v>
      </c>
      <c r="R487" s="17">
        <f>P487*Q487</f>
        <v>326.25</v>
      </c>
      <c r="S487" s="236"/>
      <c r="T487" s="236"/>
      <c r="U487" s="236"/>
      <c r="V487" s="242"/>
      <c r="Y487" s="270"/>
      <c r="Z487" s="174"/>
      <c r="AA487" s="19" t="s">
        <v>1819</v>
      </c>
      <c r="AB487" s="17">
        <v>21.75</v>
      </c>
      <c r="AC487" s="17">
        <v>15</v>
      </c>
      <c r="AD487" s="17">
        <f>AB487*AC487</f>
        <v>326.25</v>
      </c>
      <c r="AE487" s="236"/>
      <c r="AF487" s="236"/>
      <c r="AG487" s="236"/>
      <c r="AH487" s="242"/>
    </row>
    <row r="488" spans="2:34" ht="13">
      <c r="B488" s="249"/>
      <c r="C488" s="155"/>
      <c r="D488" s="19" t="s">
        <v>1453</v>
      </c>
      <c r="E488" s="17">
        <v>3</v>
      </c>
      <c r="F488" s="17">
        <v>15</v>
      </c>
      <c r="G488" s="17">
        <v>45</v>
      </c>
      <c r="H488" s="236"/>
      <c r="I488" s="236"/>
      <c r="J488" s="236"/>
      <c r="K488" s="266"/>
      <c r="M488" s="270"/>
      <c r="N488" s="175"/>
      <c r="O488" s="20" t="s">
        <v>986</v>
      </c>
      <c r="P488" s="21"/>
      <c r="Q488" s="21"/>
      <c r="R488" s="21">
        <v>150</v>
      </c>
      <c r="S488" s="248"/>
      <c r="T488" s="248"/>
      <c r="U488" s="248"/>
      <c r="V488" s="303"/>
      <c r="Y488" s="270"/>
      <c r="Z488" s="175"/>
      <c r="AA488" s="20" t="s">
        <v>986</v>
      </c>
      <c r="AB488" s="21"/>
      <c r="AC488" s="21"/>
      <c r="AD488" s="21">
        <v>150</v>
      </c>
      <c r="AE488" s="248"/>
      <c r="AF488" s="248"/>
      <c r="AG488" s="248"/>
      <c r="AH488" s="303"/>
    </row>
    <row r="489" spans="2:34" ht="14">
      <c r="B489" s="249"/>
      <c r="C489" s="155"/>
      <c r="D489" s="19" t="s">
        <v>1709</v>
      </c>
      <c r="E489" s="17">
        <v>3</v>
      </c>
      <c r="F489" s="17">
        <v>15</v>
      </c>
      <c r="G489" s="17">
        <v>45</v>
      </c>
      <c r="H489" s="236"/>
      <c r="I489" s="236"/>
      <c r="J489" s="236"/>
      <c r="K489" s="266"/>
      <c r="M489" s="270"/>
      <c r="N489" s="173" t="s">
        <v>1820</v>
      </c>
      <c r="O489" s="15" t="s">
        <v>1821</v>
      </c>
      <c r="P489" s="16">
        <v>4</v>
      </c>
      <c r="Q489" s="16">
        <v>15</v>
      </c>
      <c r="R489" s="16">
        <f t="shared" ref="R489:R492" si="213">P489*Q489</f>
        <v>60</v>
      </c>
      <c r="S489" s="292">
        <f>SUM(R489:R491)</f>
        <v>616</v>
      </c>
      <c r="T489" s="292">
        <v>3606.4</v>
      </c>
      <c r="U489" s="292">
        <f>T489-S489</f>
        <v>2990.4</v>
      </c>
      <c r="V489" s="313">
        <f>U489/T489</f>
        <v>0.82919254658385089</v>
      </c>
      <c r="Y489" s="270"/>
      <c r="Z489" s="173" t="s">
        <v>1820</v>
      </c>
      <c r="AA489" s="15" t="s">
        <v>1821</v>
      </c>
      <c r="AB489" s="16">
        <v>4</v>
      </c>
      <c r="AC489" s="16">
        <v>15</v>
      </c>
      <c r="AD489" s="16">
        <f>AB489*AC489</f>
        <v>60</v>
      </c>
      <c r="AE489" s="292">
        <f>SUM(AD489:AD491)</f>
        <v>504</v>
      </c>
      <c r="AF489" s="292">
        <v>3606.4</v>
      </c>
      <c r="AG489" s="292">
        <f>AF489-AE489</f>
        <v>3102.4</v>
      </c>
      <c r="AH489" s="313">
        <f>AG489/AF489</f>
        <v>0.86024844720496896</v>
      </c>
    </row>
    <row r="490" spans="2:34" ht="13">
      <c r="B490" s="249"/>
      <c r="C490" s="155"/>
      <c r="D490" s="19" t="s">
        <v>1308</v>
      </c>
      <c r="E490" s="17">
        <v>3</v>
      </c>
      <c r="F490" s="17">
        <v>15</v>
      </c>
      <c r="G490" s="17">
        <v>60</v>
      </c>
      <c r="H490" s="236"/>
      <c r="I490" s="236"/>
      <c r="J490" s="236"/>
      <c r="K490" s="266"/>
      <c r="M490" s="270"/>
      <c r="N490" s="174"/>
      <c r="O490" s="19" t="s">
        <v>102</v>
      </c>
      <c r="P490" s="17">
        <v>14</v>
      </c>
      <c r="Q490" s="17">
        <v>8</v>
      </c>
      <c r="R490" s="17">
        <f t="shared" si="213"/>
        <v>112</v>
      </c>
      <c r="S490" s="236"/>
      <c r="T490" s="236"/>
      <c r="U490" s="236"/>
      <c r="V490" s="242"/>
      <c r="Y490" s="270"/>
      <c r="Z490" s="174"/>
      <c r="AA490" s="19" t="s">
        <v>102</v>
      </c>
      <c r="AB490" s="18"/>
      <c r="AC490" s="18"/>
      <c r="AD490" s="18"/>
      <c r="AE490" s="236"/>
      <c r="AF490" s="236"/>
      <c r="AG490" s="236"/>
      <c r="AH490" s="242"/>
    </row>
    <row r="491" spans="2:34" ht="13">
      <c r="B491" s="249"/>
      <c r="C491" s="155"/>
      <c r="D491" s="19" t="s">
        <v>1341</v>
      </c>
      <c r="E491" s="17">
        <v>3</v>
      </c>
      <c r="F491" s="17">
        <v>15</v>
      </c>
      <c r="G491" s="17">
        <v>45</v>
      </c>
      <c r="H491" s="236"/>
      <c r="I491" s="236"/>
      <c r="J491" s="236"/>
      <c r="K491" s="266"/>
      <c r="M491" s="270"/>
      <c r="N491" s="175"/>
      <c r="O491" s="20" t="s">
        <v>1736</v>
      </c>
      <c r="P491" s="21">
        <v>24</v>
      </c>
      <c r="Q491" s="21">
        <v>18.5</v>
      </c>
      <c r="R491" s="21">
        <f t="shared" si="213"/>
        <v>444</v>
      </c>
      <c r="S491" s="248"/>
      <c r="T491" s="248"/>
      <c r="U491" s="248"/>
      <c r="V491" s="303"/>
      <c r="Y491" s="270"/>
      <c r="Z491" s="175"/>
      <c r="AA491" s="20" t="s">
        <v>1736</v>
      </c>
      <c r="AB491" s="21">
        <v>24</v>
      </c>
      <c r="AC491" s="21">
        <v>18.5</v>
      </c>
      <c r="AD491" s="21">
        <f>AB491*AC491</f>
        <v>444</v>
      </c>
      <c r="AE491" s="248"/>
      <c r="AF491" s="248"/>
      <c r="AG491" s="248"/>
      <c r="AH491" s="303"/>
    </row>
    <row r="492" spans="2:34" ht="14">
      <c r="B492" s="249"/>
      <c r="C492" s="155"/>
      <c r="D492" s="19" t="s">
        <v>1235</v>
      </c>
      <c r="E492" s="17">
        <v>3</v>
      </c>
      <c r="F492" s="17">
        <v>15</v>
      </c>
      <c r="G492" s="17">
        <v>45</v>
      </c>
      <c r="H492" s="236"/>
      <c r="I492" s="236"/>
      <c r="J492" s="236"/>
      <c r="K492" s="266"/>
      <c r="M492" s="270"/>
      <c r="N492" s="173" t="s">
        <v>1822</v>
      </c>
      <c r="O492" s="15" t="s">
        <v>87</v>
      </c>
      <c r="P492" s="16">
        <v>14</v>
      </c>
      <c r="Q492" s="16">
        <v>25</v>
      </c>
      <c r="R492" s="16">
        <f t="shared" si="213"/>
        <v>350</v>
      </c>
      <c r="S492" s="292">
        <f>SUM(R492:R500)</f>
        <v>1125.46</v>
      </c>
      <c r="T492" s="292">
        <v>2771.5</v>
      </c>
      <c r="U492" s="292">
        <f>T492-S492</f>
        <v>1646.04</v>
      </c>
      <c r="V492" s="313">
        <f>U492/T492</f>
        <v>0.59391665163268992</v>
      </c>
      <c r="Y492" s="270"/>
      <c r="Z492" s="173" t="s">
        <v>1822</v>
      </c>
      <c r="AA492" s="15" t="s">
        <v>87</v>
      </c>
      <c r="AB492" s="43"/>
      <c r="AC492" s="43"/>
      <c r="AD492" s="43"/>
      <c r="AE492" s="292">
        <f>SUM(AD492:AD500)</f>
        <v>775.45999999999992</v>
      </c>
      <c r="AF492" s="292">
        <v>2771.5</v>
      </c>
      <c r="AG492" s="292">
        <f>AF492-AE492</f>
        <v>1996.04</v>
      </c>
      <c r="AH492" s="313">
        <f>AG492/AF492</f>
        <v>0.7202020566480245</v>
      </c>
    </row>
    <row r="493" spans="2:34" ht="13">
      <c r="B493" s="249"/>
      <c r="C493" s="155"/>
      <c r="D493" s="19" t="s">
        <v>1823</v>
      </c>
      <c r="E493" s="17">
        <v>3</v>
      </c>
      <c r="F493" s="17">
        <v>15</v>
      </c>
      <c r="G493" s="17">
        <v>0</v>
      </c>
      <c r="H493" s="236"/>
      <c r="I493" s="236"/>
      <c r="J493" s="236"/>
      <c r="K493" s="266"/>
      <c r="M493" s="270"/>
      <c r="N493" s="174"/>
      <c r="O493" s="19" t="s">
        <v>1824</v>
      </c>
      <c r="P493" s="17"/>
      <c r="Q493" s="17"/>
      <c r="R493" s="17">
        <v>126</v>
      </c>
      <c r="S493" s="236"/>
      <c r="T493" s="236"/>
      <c r="U493" s="236"/>
      <c r="V493" s="242"/>
      <c r="Y493" s="270"/>
      <c r="Z493" s="174"/>
      <c r="AA493" s="19" t="s">
        <v>1824</v>
      </c>
      <c r="AB493" s="17"/>
      <c r="AC493" s="17"/>
      <c r="AD493" s="17">
        <v>126</v>
      </c>
      <c r="AE493" s="236"/>
      <c r="AF493" s="236"/>
      <c r="AG493" s="236"/>
      <c r="AH493" s="242"/>
    </row>
    <row r="494" spans="2:34" ht="16">
      <c r="B494" s="249"/>
      <c r="C494" s="187" t="s">
        <v>1825</v>
      </c>
      <c r="D494" s="123" t="s">
        <v>715</v>
      </c>
      <c r="E494" s="124">
        <v>1</v>
      </c>
      <c r="F494" s="124">
        <v>15</v>
      </c>
      <c r="G494" s="124">
        <v>15</v>
      </c>
      <c r="H494" s="188">
        <f>SUM(G494)</f>
        <v>15</v>
      </c>
      <c r="I494" s="188">
        <v>500</v>
      </c>
      <c r="J494" s="188">
        <f t="shared" ref="J494:J495" si="214">I494-H494</f>
        <v>485</v>
      </c>
      <c r="K494" s="189">
        <f t="shared" ref="K494:K495" si="215">J494/I494</f>
        <v>0.97</v>
      </c>
      <c r="M494" s="270"/>
      <c r="N494" s="174"/>
      <c r="O494" s="19" t="s">
        <v>797</v>
      </c>
      <c r="P494" s="17"/>
      <c r="Q494" s="17"/>
      <c r="R494" s="17">
        <f>146+45</f>
        <v>191</v>
      </c>
      <c r="S494" s="236"/>
      <c r="T494" s="236"/>
      <c r="U494" s="236"/>
      <c r="V494" s="242"/>
      <c r="Y494" s="270"/>
      <c r="Z494" s="174"/>
      <c r="AA494" s="19" t="s">
        <v>797</v>
      </c>
      <c r="AB494" s="17"/>
      <c r="AC494" s="17"/>
      <c r="AD494" s="17">
        <f>146+45</f>
        <v>191</v>
      </c>
      <c r="AE494" s="236"/>
      <c r="AF494" s="236"/>
      <c r="AG494" s="236"/>
      <c r="AH494" s="242"/>
    </row>
    <row r="495" spans="2:34" ht="13">
      <c r="B495" s="249"/>
      <c r="C495" s="187" t="s">
        <v>1826</v>
      </c>
      <c r="D495" s="123" t="s">
        <v>87</v>
      </c>
      <c r="E495" s="124" t="s">
        <v>1387</v>
      </c>
      <c r="F495" s="124" t="s">
        <v>1387</v>
      </c>
      <c r="G495" s="124">
        <v>0</v>
      </c>
      <c r="H495" s="310">
        <f>SUM(G495:G507)</f>
        <v>281.25</v>
      </c>
      <c r="I495" s="310">
        <v>2565</v>
      </c>
      <c r="J495" s="310">
        <f t="shared" si="214"/>
        <v>2283.75</v>
      </c>
      <c r="K495" s="339">
        <f t="shared" si="215"/>
        <v>0.89035087719298245</v>
      </c>
      <c r="M495" s="270"/>
      <c r="N495" s="174"/>
      <c r="O495" s="19" t="s">
        <v>188</v>
      </c>
      <c r="P495" s="17"/>
      <c r="Q495" s="17"/>
      <c r="R495" s="17">
        <v>95.23</v>
      </c>
      <c r="S495" s="236"/>
      <c r="T495" s="236"/>
      <c r="U495" s="236"/>
      <c r="V495" s="242"/>
      <c r="Y495" s="270"/>
      <c r="Z495" s="174"/>
      <c r="AA495" s="19" t="s">
        <v>188</v>
      </c>
      <c r="AB495" s="17"/>
      <c r="AC495" s="17"/>
      <c r="AD495" s="17">
        <v>95.23</v>
      </c>
      <c r="AE495" s="236"/>
      <c r="AF495" s="236"/>
      <c r="AG495" s="236"/>
      <c r="AH495" s="242"/>
    </row>
    <row r="496" spans="2:34" ht="13">
      <c r="B496" s="249"/>
      <c r="C496" s="174"/>
      <c r="D496" s="19" t="s">
        <v>715</v>
      </c>
      <c r="E496" s="17" t="s">
        <v>1387</v>
      </c>
      <c r="F496" s="17" t="s">
        <v>1387</v>
      </c>
      <c r="G496" s="17">
        <v>0</v>
      </c>
      <c r="H496" s="236"/>
      <c r="I496" s="236"/>
      <c r="J496" s="236"/>
      <c r="K496" s="266"/>
      <c r="M496" s="270"/>
      <c r="N496" s="174"/>
      <c r="O496" s="19" t="s">
        <v>44</v>
      </c>
      <c r="P496" s="17"/>
      <c r="Q496" s="17"/>
      <c r="R496" s="17">
        <v>4.7</v>
      </c>
      <c r="S496" s="236"/>
      <c r="T496" s="236"/>
      <c r="U496" s="236"/>
      <c r="V496" s="242"/>
      <c r="Y496" s="270"/>
      <c r="Z496" s="174"/>
      <c r="AA496" s="19" t="s">
        <v>44</v>
      </c>
      <c r="AB496" s="17"/>
      <c r="AC496" s="17"/>
      <c r="AD496" s="17">
        <v>4.7</v>
      </c>
      <c r="AE496" s="236"/>
      <c r="AF496" s="236"/>
      <c r="AG496" s="236"/>
      <c r="AH496" s="242"/>
    </row>
    <row r="497" spans="2:34" ht="13">
      <c r="B497" s="249"/>
      <c r="C497" s="174"/>
      <c r="D497" s="19" t="s">
        <v>1308</v>
      </c>
      <c r="E497" s="17">
        <v>6</v>
      </c>
      <c r="F497" s="17" t="s">
        <v>1387</v>
      </c>
      <c r="G497" s="17">
        <v>110</v>
      </c>
      <c r="H497" s="236"/>
      <c r="I497" s="236"/>
      <c r="J497" s="236"/>
      <c r="K497" s="266"/>
      <c r="M497" s="270"/>
      <c r="N497" s="174"/>
      <c r="O497" s="19" t="s">
        <v>1827</v>
      </c>
      <c r="P497" s="17"/>
      <c r="Q497" s="17"/>
      <c r="R497" s="17">
        <v>7.21</v>
      </c>
      <c r="S497" s="236"/>
      <c r="T497" s="236"/>
      <c r="U497" s="236"/>
      <c r="V497" s="242"/>
      <c r="Y497" s="270"/>
      <c r="Z497" s="174"/>
      <c r="AA497" s="19" t="s">
        <v>1827</v>
      </c>
      <c r="AB497" s="17"/>
      <c r="AC497" s="17"/>
      <c r="AD497" s="17">
        <v>7.21</v>
      </c>
      <c r="AE497" s="236"/>
      <c r="AF497" s="236"/>
      <c r="AG497" s="236"/>
      <c r="AH497" s="242"/>
    </row>
    <row r="498" spans="2:34" ht="13">
      <c r="B498" s="249"/>
      <c r="C498" s="174"/>
      <c r="D498" s="19" t="s">
        <v>1554</v>
      </c>
      <c r="E498" s="17" t="s">
        <v>1387</v>
      </c>
      <c r="F498" s="17" t="s">
        <v>1387</v>
      </c>
      <c r="G498" s="17">
        <v>0</v>
      </c>
      <c r="H498" s="236"/>
      <c r="I498" s="236"/>
      <c r="J498" s="236"/>
      <c r="K498" s="266"/>
      <c r="M498" s="270"/>
      <c r="N498" s="174"/>
      <c r="O498" s="19" t="s">
        <v>1479</v>
      </c>
      <c r="P498" s="17"/>
      <c r="Q498" s="17"/>
      <c r="R498" s="17">
        <v>166</v>
      </c>
      <c r="S498" s="236"/>
      <c r="T498" s="236"/>
      <c r="U498" s="236"/>
      <c r="V498" s="242"/>
      <c r="Y498" s="270"/>
      <c r="Z498" s="174"/>
      <c r="AA498" s="19" t="s">
        <v>1479</v>
      </c>
      <c r="AB498" s="17"/>
      <c r="AC498" s="17"/>
      <c r="AD498" s="17">
        <v>166</v>
      </c>
      <c r="AE498" s="236"/>
      <c r="AF498" s="236"/>
      <c r="AG498" s="236"/>
      <c r="AH498" s="242"/>
    </row>
    <row r="499" spans="2:34" ht="13">
      <c r="B499" s="249"/>
      <c r="C499" s="155"/>
      <c r="D499" s="19" t="s">
        <v>1828</v>
      </c>
      <c r="E499" s="17" t="s">
        <v>1387</v>
      </c>
      <c r="F499" s="17" t="s">
        <v>1387</v>
      </c>
      <c r="G499" s="17">
        <v>0</v>
      </c>
      <c r="H499" s="236"/>
      <c r="I499" s="236"/>
      <c r="J499" s="236"/>
      <c r="K499" s="266"/>
      <c r="M499" s="270"/>
      <c r="N499" s="174"/>
      <c r="O499" s="19" t="s">
        <v>1829</v>
      </c>
      <c r="P499" s="17"/>
      <c r="Q499" s="17"/>
      <c r="R499" s="17">
        <v>17.899999999999999</v>
      </c>
      <c r="S499" s="236"/>
      <c r="T499" s="236"/>
      <c r="U499" s="236"/>
      <c r="V499" s="242"/>
      <c r="Y499" s="270"/>
      <c r="Z499" s="174"/>
      <c r="AA499" s="19" t="s">
        <v>1829</v>
      </c>
      <c r="AB499" s="17"/>
      <c r="AC499" s="17"/>
      <c r="AD499" s="17">
        <v>17.899999999999999</v>
      </c>
      <c r="AE499" s="236"/>
      <c r="AF499" s="236"/>
      <c r="AG499" s="236"/>
      <c r="AH499" s="242"/>
    </row>
    <row r="500" spans="2:34" ht="13">
      <c r="B500" s="249"/>
      <c r="C500" s="155"/>
      <c r="D500" s="19" t="s">
        <v>1830</v>
      </c>
      <c r="E500" s="17" t="s">
        <v>1387</v>
      </c>
      <c r="F500" s="17" t="s">
        <v>1387</v>
      </c>
      <c r="G500" s="17">
        <v>0</v>
      </c>
      <c r="H500" s="236"/>
      <c r="I500" s="236"/>
      <c r="J500" s="236"/>
      <c r="K500" s="266"/>
      <c r="M500" s="270"/>
      <c r="N500" s="175"/>
      <c r="O500" s="20" t="s">
        <v>33</v>
      </c>
      <c r="P500" s="21"/>
      <c r="Q500" s="21"/>
      <c r="R500" s="21">
        <v>167.42</v>
      </c>
      <c r="S500" s="248"/>
      <c r="T500" s="248"/>
      <c r="U500" s="248"/>
      <c r="V500" s="303"/>
      <c r="Y500" s="270"/>
      <c r="Z500" s="175"/>
      <c r="AA500" s="20" t="s">
        <v>33</v>
      </c>
      <c r="AB500" s="21"/>
      <c r="AC500" s="21"/>
      <c r="AD500" s="21">
        <v>167.42</v>
      </c>
      <c r="AE500" s="248"/>
      <c r="AF500" s="248"/>
      <c r="AG500" s="248"/>
      <c r="AH500" s="303"/>
    </row>
    <row r="501" spans="2:34" ht="14">
      <c r="B501" s="249"/>
      <c r="C501" s="155"/>
      <c r="D501" s="19" t="s">
        <v>1716</v>
      </c>
      <c r="E501" s="17">
        <v>7</v>
      </c>
      <c r="F501" s="17" t="s">
        <v>1387</v>
      </c>
      <c r="G501" s="17">
        <v>0</v>
      </c>
      <c r="H501" s="236"/>
      <c r="I501" s="236"/>
      <c r="J501" s="236"/>
      <c r="K501" s="266"/>
      <c r="M501" s="270"/>
      <c r="N501" s="173" t="s">
        <v>1831</v>
      </c>
      <c r="O501" s="15" t="s">
        <v>1821</v>
      </c>
      <c r="P501" s="16">
        <v>27</v>
      </c>
      <c r="Q501" s="16">
        <v>17</v>
      </c>
      <c r="R501" s="16">
        <f t="shared" ref="R501:R504" si="216">P501*Q501</f>
        <v>459</v>
      </c>
      <c r="S501" s="292">
        <f>SUM(R501:R505)</f>
        <v>1321</v>
      </c>
      <c r="T501" s="292">
        <v>3550.5</v>
      </c>
      <c r="U501" s="292">
        <f>T501-S501</f>
        <v>2229.5</v>
      </c>
      <c r="V501" s="313">
        <f>U501/T501</f>
        <v>0.62793972679904242</v>
      </c>
      <c r="Y501" s="270"/>
      <c r="Z501" s="173" t="s">
        <v>1831</v>
      </c>
      <c r="AA501" s="15" t="s">
        <v>1821</v>
      </c>
      <c r="AB501" s="16">
        <v>27</v>
      </c>
      <c r="AC501" s="16">
        <v>17</v>
      </c>
      <c r="AD501" s="16">
        <f>AB501*AC501</f>
        <v>459</v>
      </c>
      <c r="AE501" s="292">
        <f>SUM(AD501:AD505)</f>
        <v>1297</v>
      </c>
      <c r="AF501" s="292">
        <v>3550.5</v>
      </c>
      <c r="AG501" s="292">
        <f>AF501-AE501</f>
        <v>2253.5</v>
      </c>
      <c r="AH501" s="313">
        <f>AG501/AF501</f>
        <v>0.63469933812139134</v>
      </c>
    </row>
    <row r="502" spans="2:34" ht="13">
      <c r="B502" s="249"/>
      <c r="C502" s="155"/>
      <c r="D502" s="19" t="s">
        <v>715</v>
      </c>
      <c r="E502" s="17">
        <v>7.5</v>
      </c>
      <c r="F502" s="17" t="s">
        <v>1387</v>
      </c>
      <c r="G502" s="17">
        <v>0</v>
      </c>
      <c r="H502" s="236"/>
      <c r="I502" s="236"/>
      <c r="J502" s="236"/>
      <c r="K502" s="266"/>
      <c r="M502" s="270"/>
      <c r="N502" s="174"/>
      <c r="O502" s="19" t="s">
        <v>1232</v>
      </c>
      <c r="P502" s="17">
        <v>3</v>
      </c>
      <c r="Q502" s="17">
        <v>8</v>
      </c>
      <c r="R502" s="17">
        <f t="shared" si="216"/>
        <v>24</v>
      </c>
      <c r="S502" s="236"/>
      <c r="T502" s="236"/>
      <c r="U502" s="236"/>
      <c r="V502" s="242"/>
      <c r="Y502" s="270"/>
      <c r="Z502" s="174"/>
      <c r="AA502" s="19" t="s">
        <v>1232</v>
      </c>
      <c r="AB502" s="18"/>
      <c r="AC502" s="18"/>
      <c r="AD502" s="18"/>
      <c r="AE502" s="236"/>
      <c r="AF502" s="236"/>
      <c r="AG502" s="236"/>
      <c r="AH502" s="242"/>
    </row>
    <row r="503" spans="2:34" ht="13">
      <c r="B503" s="249"/>
      <c r="C503" s="155"/>
      <c r="D503" s="19" t="s">
        <v>1308</v>
      </c>
      <c r="E503" s="17">
        <v>5</v>
      </c>
      <c r="F503" s="17" t="s">
        <v>1387</v>
      </c>
      <c r="G503" s="17">
        <v>95</v>
      </c>
      <c r="H503" s="236"/>
      <c r="I503" s="236"/>
      <c r="J503" s="236"/>
      <c r="K503" s="266"/>
      <c r="M503" s="270"/>
      <c r="N503" s="174"/>
      <c r="O503" s="19" t="s">
        <v>97</v>
      </c>
      <c r="P503" s="17">
        <v>3</v>
      </c>
      <c r="Q503" s="17">
        <v>15</v>
      </c>
      <c r="R503" s="17">
        <f t="shared" si="216"/>
        <v>45</v>
      </c>
      <c r="S503" s="236"/>
      <c r="T503" s="236"/>
      <c r="U503" s="236"/>
      <c r="V503" s="242"/>
      <c r="Y503" s="270"/>
      <c r="Z503" s="174"/>
      <c r="AA503" s="19" t="s">
        <v>97</v>
      </c>
      <c r="AB503" s="17">
        <v>3</v>
      </c>
      <c r="AC503" s="17">
        <v>15</v>
      </c>
      <c r="AD503" s="17">
        <f t="shared" ref="AD503:AD504" si="217">AB503*AC503</f>
        <v>45</v>
      </c>
      <c r="AE503" s="236"/>
      <c r="AF503" s="236"/>
      <c r="AG503" s="236"/>
      <c r="AH503" s="242"/>
    </row>
    <row r="504" spans="2:34" ht="13">
      <c r="B504" s="249"/>
      <c r="C504" s="155"/>
      <c r="D504" s="19" t="s">
        <v>1716</v>
      </c>
      <c r="E504" s="17">
        <v>7</v>
      </c>
      <c r="F504" s="17" t="s">
        <v>1387</v>
      </c>
      <c r="G504" s="17">
        <v>0</v>
      </c>
      <c r="H504" s="236"/>
      <c r="I504" s="236"/>
      <c r="J504" s="236"/>
      <c r="K504" s="266"/>
      <c r="M504" s="270"/>
      <c r="N504" s="174"/>
      <c r="O504" s="19" t="s">
        <v>310</v>
      </c>
      <c r="P504" s="17">
        <v>15</v>
      </c>
      <c r="Q504" s="17">
        <v>15</v>
      </c>
      <c r="R504" s="17">
        <f t="shared" si="216"/>
        <v>225</v>
      </c>
      <c r="S504" s="236"/>
      <c r="T504" s="236"/>
      <c r="U504" s="236"/>
      <c r="V504" s="242"/>
      <c r="Y504" s="270"/>
      <c r="Z504" s="174"/>
      <c r="AA504" s="19" t="s">
        <v>310</v>
      </c>
      <c r="AB504" s="17">
        <v>15</v>
      </c>
      <c r="AC504" s="17">
        <v>15</v>
      </c>
      <c r="AD504" s="17">
        <f t="shared" si="217"/>
        <v>225</v>
      </c>
      <c r="AE504" s="236"/>
      <c r="AF504" s="236"/>
      <c r="AG504" s="236"/>
      <c r="AH504" s="242"/>
    </row>
    <row r="505" spans="2:34" ht="13">
      <c r="B505" s="249"/>
      <c r="C505" s="155"/>
      <c r="D505" s="19" t="s">
        <v>114</v>
      </c>
      <c r="E505" s="17">
        <v>7</v>
      </c>
      <c r="F505" s="17" t="s">
        <v>1387</v>
      </c>
      <c r="G505" s="17">
        <v>0</v>
      </c>
      <c r="H505" s="236"/>
      <c r="I505" s="236"/>
      <c r="J505" s="236"/>
      <c r="K505" s="266"/>
      <c r="M505" s="270"/>
      <c r="N505" s="175"/>
      <c r="O505" s="20" t="s">
        <v>1832</v>
      </c>
      <c r="P505" s="21"/>
      <c r="Q505" s="21"/>
      <c r="R505" s="21">
        <v>568</v>
      </c>
      <c r="S505" s="248"/>
      <c r="T505" s="248"/>
      <c r="U505" s="248"/>
      <c r="V505" s="303"/>
      <c r="Y505" s="270"/>
      <c r="Z505" s="175"/>
      <c r="AA505" s="20" t="s">
        <v>1832</v>
      </c>
      <c r="AB505" s="21"/>
      <c r="AC505" s="21"/>
      <c r="AD505" s="21">
        <v>568</v>
      </c>
      <c r="AE505" s="248"/>
      <c r="AF505" s="248"/>
      <c r="AG505" s="248"/>
      <c r="AH505" s="303"/>
    </row>
    <row r="506" spans="2:34" ht="14">
      <c r="B506" s="249"/>
      <c r="C506" s="155"/>
      <c r="D506" s="19" t="s">
        <v>1716</v>
      </c>
      <c r="E506" s="17">
        <v>7</v>
      </c>
      <c r="F506" s="17" t="s">
        <v>1387</v>
      </c>
      <c r="G506" s="17">
        <v>0</v>
      </c>
      <c r="H506" s="236"/>
      <c r="I506" s="236"/>
      <c r="J506" s="236"/>
      <c r="K506" s="266"/>
      <c r="M506" s="270"/>
      <c r="N506" s="144" t="s">
        <v>1833</v>
      </c>
      <c r="O506" s="77" t="s">
        <v>986</v>
      </c>
      <c r="P506" s="71"/>
      <c r="Q506" s="71"/>
      <c r="R506" s="19">
        <v>700</v>
      </c>
      <c r="S506" s="239">
        <f>SUM(R506:R507)</f>
        <v>700</v>
      </c>
      <c r="T506" s="239">
        <v>2400</v>
      </c>
      <c r="U506" s="239">
        <f>T506-S506</f>
        <v>1700</v>
      </c>
      <c r="V506" s="259">
        <f>U506/T506</f>
        <v>0.70833333333333337</v>
      </c>
      <c r="Y506" s="270"/>
      <c r="Z506" s="144" t="s">
        <v>1833</v>
      </c>
      <c r="AA506" s="77" t="s">
        <v>986</v>
      </c>
      <c r="AB506" s="71"/>
      <c r="AC506" s="71"/>
      <c r="AD506" s="19">
        <v>700</v>
      </c>
      <c r="AE506" s="325">
        <f>SUM(AD506:AD507)</f>
        <v>700</v>
      </c>
      <c r="AF506" s="325">
        <v>2400</v>
      </c>
      <c r="AG506" s="325">
        <f>AF506-AE506</f>
        <v>1700</v>
      </c>
      <c r="AH506" s="330">
        <f>AG506/AF506</f>
        <v>0.70833333333333337</v>
      </c>
    </row>
    <row r="507" spans="2:34" ht="13">
      <c r="B507" s="249"/>
      <c r="C507" s="155"/>
      <c r="D507" s="19" t="s">
        <v>1308</v>
      </c>
      <c r="E507" s="17">
        <v>3.75</v>
      </c>
      <c r="F507" s="17" t="s">
        <v>1387</v>
      </c>
      <c r="G507" s="17">
        <v>76.25</v>
      </c>
      <c r="H507" s="236"/>
      <c r="I507" s="236"/>
      <c r="J507" s="236"/>
      <c r="K507" s="266"/>
      <c r="M507" s="270"/>
      <c r="N507" s="140"/>
      <c r="O507" s="20"/>
      <c r="P507" s="20"/>
      <c r="Q507" s="20"/>
      <c r="R507" s="20"/>
      <c r="S507" s="248"/>
      <c r="T507" s="248"/>
      <c r="U507" s="248"/>
      <c r="V507" s="303"/>
      <c r="Y507" s="270"/>
      <c r="Z507" s="1"/>
      <c r="AA507" s="20"/>
      <c r="AB507" s="20"/>
      <c r="AC507" s="20"/>
      <c r="AD507" s="20"/>
      <c r="AE507" s="248"/>
      <c r="AF507" s="248"/>
      <c r="AG507" s="248"/>
      <c r="AH507" s="303"/>
    </row>
    <row r="508" spans="2:34" ht="13">
      <c r="B508" s="249"/>
      <c r="C508" s="187" t="s">
        <v>1834</v>
      </c>
      <c r="D508" s="123" t="s">
        <v>1322</v>
      </c>
      <c r="E508" s="124">
        <v>3</v>
      </c>
      <c r="F508" s="124">
        <v>15</v>
      </c>
      <c r="G508" s="124">
        <v>45</v>
      </c>
      <c r="H508" s="310">
        <f>SUM(G508:G515)</f>
        <v>180</v>
      </c>
      <c r="I508" s="338">
        <v>1265</v>
      </c>
      <c r="J508" s="338">
        <f>I508-H508</f>
        <v>1085</v>
      </c>
      <c r="K508" s="339">
        <f>J508/I508</f>
        <v>0.85770750988142297</v>
      </c>
      <c r="M508" s="270"/>
      <c r="N508" s="329" t="s">
        <v>1835</v>
      </c>
      <c r="O508" s="15" t="s">
        <v>1235</v>
      </c>
      <c r="P508" s="16">
        <v>171</v>
      </c>
      <c r="Q508" s="16">
        <v>17</v>
      </c>
      <c r="R508" s="16">
        <f t="shared" ref="R508:R510" si="218">P508*Q508</f>
        <v>2907</v>
      </c>
      <c r="S508" s="292">
        <f>SUM(R508:R511)</f>
        <v>7700.59</v>
      </c>
      <c r="T508" s="292">
        <v>25809.599999999999</v>
      </c>
      <c r="U508" s="292">
        <f>T508-S508</f>
        <v>18109.009999999998</v>
      </c>
      <c r="V508" s="313">
        <f>U508/T508</f>
        <v>0.70163853759841299</v>
      </c>
      <c r="Y508" s="270"/>
      <c r="Z508" s="329" t="s">
        <v>1835</v>
      </c>
      <c r="AA508" s="15" t="s">
        <v>1235</v>
      </c>
      <c r="AB508" s="16">
        <v>171</v>
      </c>
      <c r="AC508" s="16">
        <v>17</v>
      </c>
      <c r="AD508" s="16">
        <f t="shared" ref="AD508:AD510" si="219">AB508*AC508</f>
        <v>2907</v>
      </c>
      <c r="AE508" s="292">
        <f>SUM(AD508:AD511)</f>
        <v>7700.59</v>
      </c>
      <c r="AF508" s="292">
        <v>25809.599999999999</v>
      </c>
      <c r="AG508" s="292">
        <f>AF508-AE508</f>
        <v>18109.009999999998</v>
      </c>
      <c r="AH508" s="313">
        <f>AG508/AF508</f>
        <v>0.70163853759841299</v>
      </c>
    </row>
    <row r="509" spans="2:34" ht="13">
      <c r="B509" s="249"/>
      <c r="C509" s="174"/>
      <c r="D509" s="19" t="s">
        <v>1823</v>
      </c>
      <c r="E509" s="17">
        <v>3</v>
      </c>
      <c r="F509" s="17">
        <v>15</v>
      </c>
      <c r="G509" s="17">
        <v>0</v>
      </c>
      <c r="H509" s="236"/>
      <c r="I509" s="236"/>
      <c r="J509" s="236"/>
      <c r="K509" s="266"/>
      <c r="M509" s="270"/>
      <c r="N509" s="236"/>
      <c r="O509" s="19" t="s">
        <v>1836</v>
      </c>
      <c r="P509" s="17">
        <v>3</v>
      </c>
      <c r="Q509" s="17">
        <v>25</v>
      </c>
      <c r="R509" s="17">
        <f t="shared" si="218"/>
        <v>75</v>
      </c>
      <c r="S509" s="236"/>
      <c r="T509" s="236"/>
      <c r="U509" s="236"/>
      <c r="V509" s="242"/>
      <c r="Y509" s="270"/>
      <c r="Z509" s="236"/>
      <c r="AA509" s="19" t="s">
        <v>1836</v>
      </c>
      <c r="AB509" s="17">
        <v>3</v>
      </c>
      <c r="AC509" s="17">
        <v>25</v>
      </c>
      <c r="AD509" s="17">
        <f t="shared" si="219"/>
        <v>75</v>
      </c>
      <c r="AE509" s="236"/>
      <c r="AF509" s="236"/>
      <c r="AG509" s="236"/>
      <c r="AH509" s="242"/>
    </row>
    <row r="510" spans="2:34" ht="13">
      <c r="B510" s="249"/>
      <c r="C510" s="174"/>
      <c r="D510" s="19" t="s">
        <v>1322</v>
      </c>
      <c r="E510" s="17">
        <v>3</v>
      </c>
      <c r="F510" s="17">
        <v>15</v>
      </c>
      <c r="G510" s="17">
        <v>45</v>
      </c>
      <c r="H510" s="236"/>
      <c r="I510" s="236"/>
      <c r="J510" s="236"/>
      <c r="K510" s="266"/>
      <c r="M510" s="270"/>
      <c r="N510" s="236"/>
      <c r="O510" s="19" t="s">
        <v>310</v>
      </c>
      <c r="P510" s="17">
        <v>12</v>
      </c>
      <c r="Q510" s="17">
        <v>15</v>
      </c>
      <c r="R510" s="17">
        <f t="shared" si="218"/>
        <v>180</v>
      </c>
      <c r="S510" s="236"/>
      <c r="T510" s="236"/>
      <c r="U510" s="236"/>
      <c r="V510" s="242"/>
      <c r="Y510" s="270"/>
      <c r="Z510" s="236"/>
      <c r="AA510" s="19" t="s">
        <v>310</v>
      </c>
      <c r="AB510" s="17">
        <v>12</v>
      </c>
      <c r="AC510" s="17">
        <v>15</v>
      </c>
      <c r="AD510" s="17">
        <f t="shared" si="219"/>
        <v>180</v>
      </c>
      <c r="AE510" s="236"/>
      <c r="AF510" s="236"/>
      <c r="AG510" s="236"/>
      <c r="AH510" s="242"/>
    </row>
    <row r="511" spans="2:34" ht="13">
      <c r="B511" s="249"/>
      <c r="C511" s="174"/>
      <c r="D511" s="19" t="s">
        <v>1823</v>
      </c>
      <c r="E511" s="17">
        <v>3</v>
      </c>
      <c r="F511" s="17">
        <v>15</v>
      </c>
      <c r="G511" s="17">
        <v>0</v>
      </c>
      <c r="H511" s="236"/>
      <c r="I511" s="236"/>
      <c r="J511" s="236"/>
      <c r="K511" s="266"/>
      <c r="M511" s="270"/>
      <c r="N511" s="175"/>
      <c r="O511" s="20" t="s">
        <v>449</v>
      </c>
      <c r="P511" s="20"/>
      <c r="Q511" s="20"/>
      <c r="R511" s="21">
        <v>4538.59</v>
      </c>
      <c r="S511" s="248"/>
      <c r="T511" s="248"/>
      <c r="U511" s="248"/>
      <c r="V511" s="303"/>
      <c r="Y511" s="270"/>
      <c r="Z511" s="175"/>
      <c r="AA511" s="20" t="s">
        <v>449</v>
      </c>
      <c r="AB511" s="20"/>
      <c r="AC511" s="20"/>
      <c r="AD511" s="21">
        <v>4538.59</v>
      </c>
      <c r="AE511" s="248"/>
      <c r="AF511" s="248"/>
      <c r="AG511" s="248"/>
      <c r="AH511" s="303"/>
    </row>
    <row r="512" spans="2:34" ht="30">
      <c r="B512" s="249"/>
      <c r="C512" s="155"/>
      <c r="D512" s="19" t="s">
        <v>1322</v>
      </c>
      <c r="E512" s="17">
        <v>3</v>
      </c>
      <c r="F512" s="17">
        <v>15</v>
      </c>
      <c r="G512" s="17">
        <v>45</v>
      </c>
      <c r="H512" s="236"/>
      <c r="I512" s="236"/>
      <c r="J512" s="236"/>
      <c r="K512" s="266"/>
      <c r="M512" s="278" t="s">
        <v>1837</v>
      </c>
      <c r="N512" s="252"/>
      <c r="O512" s="253"/>
      <c r="P512" s="128">
        <f t="shared" ref="P512:U512" si="220">AVERAGE(P442:P511)</f>
        <v>93.198888888888888</v>
      </c>
      <c r="Q512" s="128">
        <f t="shared" si="220"/>
        <v>15.139999999999999</v>
      </c>
      <c r="R512" s="128">
        <f t="shared" si="220"/>
        <v>400.64845588235295</v>
      </c>
      <c r="S512" s="128">
        <f t="shared" si="220"/>
        <v>1946.0067857142858</v>
      </c>
      <c r="T512" s="128">
        <f t="shared" si="220"/>
        <v>6793.7678571428569</v>
      </c>
      <c r="U512" s="128">
        <f t="shared" si="220"/>
        <v>4847.7610714285711</v>
      </c>
      <c r="V512" s="149"/>
      <c r="Y512" s="278" t="s">
        <v>1837</v>
      </c>
      <c r="Z512" s="252"/>
      <c r="AA512" s="253"/>
      <c r="AB512" s="128">
        <f t="shared" ref="AB512:AG512" si="221">AVERAGE(AB442:AB511)</f>
        <v>111.16891891891892</v>
      </c>
      <c r="AC512" s="128">
        <f t="shared" si="221"/>
        <v>15.143243243243242</v>
      </c>
      <c r="AD512" s="128">
        <f t="shared" si="221"/>
        <v>420.54491666666667</v>
      </c>
      <c r="AE512" s="128">
        <f t="shared" si="221"/>
        <v>1802.3353571428572</v>
      </c>
      <c r="AF512" s="128">
        <f t="shared" si="221"/>
        <v>6793.7678571428569</v>
      </c>
      <c r="AG512" s="128">
        <f t="shared" si="221"/>
        <v>4991.4324999999999</v>
      </c>
      <c r="AH512" s="129">
        <f>AVERAGE($V$441:$V$510)</f>
        <v>0.68798173996078582</v>
      </c>
    </row>
    <row r="513" spans="2:34" ht="30">
      <c r="B513" s="249"/>
      <c r="C513" s="155"/>
      <c r="D513" s="19" t="s">
        <v>1823</v>
      </c>
      <c r="E513" s="17">
        <v>3</v>
      </c>
      <c r="F513" s="17">
        <v>15</v>
      </c>
      <c r="G513" s="17">
        <v>0</v>
      </c>
      <c r="H513" s="236"/>
      <c r="I513" s="236"/>
      <c r="J513" s="236"/>
      <c r="K513" s="266"/>
      <c r="M513" s="318" t="s">
        <v>1838</v>
      </c>
      <c r="N513" s="293"/>
      <c r="O513" s="319"/>
      <c r="P513" s="130">
        <f t="shared" ref="P513:U513" si="222">SUM(P442:P511)</f>
        <v>4193.95</v>
      </c>
      <c r="Q513" s="130">
        <f t="shared" si="222"/>
        <v>681.3</v>
      </c>
      <c r="R513" s="130">
        <f t="shared" si="222"/>
        <v>27244.095000000001</v>
      </c>
      <c r="S513" s="130">
        <f t="shared" si="222"/>
        <v>27244.095000000001</v>
      </c>
      <c r="T513" s="130">
        <f t="shared" si="222"/>
        <v>95112.75</v>
      </c>
      <c r="U513" s="130">
        <f t="shared" si="222"/>
        <v>67868.654999999999</v>
      </c>
      <c r="V513" s="129">
        <f t="shared" ref="V513:V514" si="223">U513/T513</f>
        <v>0.71356001167035965</v>
      </c>
      <c r="Y513" s="318" t="s">
        <v>1838</v>
      </c>
      <c r="Z513" s="293"/>
      <c r="AA513" s="319"/>
      <c r="AB513" s="130">
        <f t="shared" ref="AB513:AG513" si="224">SUM(AB442:AB511)</f>
        <v>4113.25</v>
      </c>
      <c r="AC513" s="130">
        <f t="shared" si="224"/>
        <v>560.29999999999995</v>
      </c>
      <c r="AD513" s="130">
        <f t="shared" si="224"/>
        <v>25232.695</v>
      </c>
      <c r="AE513" s="130">
        <f t="shared" si="224"/>
        <v>25232.695</v>
      </c>
      <c r="AF513" s="130">
        <f t="shared" si="224"/>
        <v>95112.75</v>
      </c>
      <c r="AG513" s="130">
        <f t="shared" si="224"/>
        <v>69880.054999999993</v>
      </c>
      <c r="AH513" s="185">
        <f t="shared" ref="AH513:AH514" si="225">AG513/AF513</f>
        <v>0.73470754446696152</v>
      </c>
    </row>
    <row r="514" spans="2:34" ht="14">
      <c r="B514" s="249"/>
      <c r="C514" s="155"/>
      <c r="D514" s="19" t="s">
        <v>1322</v>
      </c>
      <c r="E514" s="17">
        <v>3</v>
      </c>
      <c r="F514" s="17">
        <v>15</v>
      </c>
      <c r="G514" s="17">
        <v>45</v>
      </c>
      <c r="H514" s="236"/>
      <c r="I514" s="236"/>
      <c r="J514" s="236"/>
      <c r="K514" s="266"/>
      <c r="M514" s="288" t="s">
        <v>1077</v>
      </c>
      <c r="N514" s="173" t="s">
        <v>1839</v>
      </c>
      <c r="O514" s="15" t="s">
        <v>1235</v>
      </c>
      <c r="P514" s="16">
        <v>22</v>
      </c>
      <c r="Q514" s="16">
        <v>15</v>
      </c>
      <c r="R514" s="16">
        <f t="shared" ref="R514:R516" si="226">P514*Q514</f>
        <v>330</v>
      </c>
      <c r="S514" s="292">
        <f>SUM(R514:R516)</f>
        <v>644.75</v>
      </c>
      <c r="T514" s="292">
        <v>2250</v>
      </c>
      <c r="U514" s="292">
        <f>T514-S514</f>
        <v>1605.25</v>
      </c>
      <c r="V514" s="313">
        <f t="shared" si="223"/>
        <v>0.71344444444444444</v>
      </c>
      <c r="Y514" s="288" t="s">
        <v>1077</v>
      </c>
      <c r="Z514" s="186" t="s">
        <v>1839</v>
      </c>
      <c r="AA514" s="19" t="s">
        <v>1235</v>
      </c>
      <c r="AB514" s="16">
        <v>22</v>
      </c>
      <c r="AC514" s="16">
        <v>15</v>
      </c>
      <c r="AD514" s="16">
        <f>AB514*AC514</f>
        <v>330</v>
      </c>
      <c r="AE514" s="292">
        <f>SUM(AD514:AD516)</f>
        <v>588.75</v>
      </c>
      <c r="AF514" s="292">
        <v>2250</v>
      </c>
      <c r="AG514" s="292">
        <f>AF514-AE514</f>
        <v>1661.25</v>
      </c>
      <c r="AH514" s="313">
        <f t="shared" si="225"/>
        <v>0.73833333333333329</v>
      </c>
    </row>
    <row r="515" spans="2:34" ht="13">
      <c r="B515" s="249"/>
      <c r="C515" s="155"/>
      <c r="D515" s="19" t="s">
        <v>1823</v>
      </c>
      <c r="E515" s="17">
        <v>3</v>
      </c>
      <c r="F515" s="17">
        <v>15</v>
      </c>
      <c r="G515" s="17">
        <v>0</v>
      </c>
      <c r="H515" s="236"/>
      <c r="I515" s="236"/>
      <c r="J515" s="236"/>
      <c r="K515" s="266"/>
      <c r="M515" s="270"/>
      <c r="N515" s="174"/>
      <c r="O515" s="19" t="s">
        <v>102</v>
      </c>
      <c r="P515" s="17">
        <v>7</v>
      </c>
      <c r="Q515" s="17">
        <v>8</v>
      </c>
      <c r="R515" s="17">
        <f t="shared" si="226"/>
        <v>56</v>
      </c>
      <c r="S515" s="236"/>
      <c r="T515" s="236"/>
      <c r="U515" s="236"/>
      <c r="V515" s="242"/>
      <c r="Y515" s="270"/>
      <c r="Z515" s="174"/>
      <c r="AA515" s="19" t="s">
        <v>102</v>
      </c>
      <c r="AB515" s="18"/>
      <c r="AC515" s="18"/>
      <c r="AD515" s="18"/>
      <c r="AE515" s="236"/>
      <c r="AF515" s="236"/>
      <c r="AG515" s="236"/>
      <c r="AH515" s="242"/>
    </row>
    <row r="516" spans="2:34" ht="13">
      <c r="B516" s="249"/>
      <c r="C516" s="187" t="s">
        <v>1840</v>
      </c>
      <c r="D516" s="123" t="s">
        <v>1841</v>
      </c>
      <c r="E516" s="124">
        <v>3</v>
      </c>
      <c r="F516" s="124">
        <v>15</v>
      </c>
      <c r="G516" s="124">
        <v>0</v>
      </c>
      <c r="H516" s="310">
        <f>SUM(G516:G529)</f>
        <v>580</v>
      </c>
      <c r="I516" s="338">
        <v>3890</v>
      </c>
      <c r="J516" s="338">
        <f>I516-H516</f>
        <v>3310</v>
      </c>
      <c r="K516" s="339">
        <f>J516/I516</f>
        <v>0.85089974293059123</v>
      </c>
      <c r="M516" s="270"/>
      <c r="N516" s="175"/>
      <c r="O516" s="20" t="s">
        <v>1819</v>
      </c>
      <c r="P516" s="21">
        <v>17.25</v>
      </c>
      <c r="Q516" s="21">
        <v>15</v>
      </c>
      <c r="R516" s="21">
        <f t="shared" si="226"/>
        <v>258.75</v>
      </c>
      <c r="S516" s="248"/>
      <c r="T516" s="248"/>
      <c r="U516" s="248"/>
      <c r="V516" s="303"/>
      <c r="Y516" s="270"/>
      <c r="Z516" s="175"/>
      <c r="AA516" s="20" t="s">
        <v>1819</v>
      </c>
      <c r="AB516" s="21">
        <v>17.25</v>
      </c>
      <c r="AC516" s="21">
        <v>15</v>
      </c>
      <c r="AD516" s="21">
        <f>AB516*AC516</f>
        <v>258.75</v>
      </c>
      <c r="AE516" s="248"/>
      <c r="AF516" s="248"/>
      <c r="AG516" s="248"/>
      <c r="AH516" s="303"/>
    </row>
    <row r="517" spans="2:34" ht="14">
      <c r="B517" s="249"/>
      <c r="C517" s="174"/>
      <c r="D517" s="19" t="s">
        <v>1842</v>
      </c>
      <c r="E517" s="17">
        <v>3</v>
      </c>
      <c r="F517" s="17">
        <v>15</v>
      </c>
      <c r="G517" s="17">
        <v>45</v>
      </c>
      <c r="H517" s="236"/>
      <c r="I517" s="236"/>
      <c r="J517" s="236"/>
      <c r="K517" s="266"/>
      <c r="M517" s="270"/>
      <c r="N517" s="173" t="s">
        <v>1843</v>
      </c>
      <c r="O517" s="15" t="s">
        <v>1332</v>
      </c>
      <c r="P517" s="16"/>
      <c r="Q517" s="16"/>
      <c r="R517" s="16">
        <v>275</v>
      </c>
      <c r="S517" s="292">
        <f>SUM(R517:R519)</f>
        <v>309.21000000000004</v>
      </c>
      <c r="T517" s="292">
        <v>1772.7</v>
      </c>
      <c r="U517" s="292">
        <f>T517-S517</f>
        <v>1463.49</v>
      </c>
      <c r="V517" s="313">
        <f>U517/T517</f>
        <v>0.82557116263327124</v>
      </c>
      <c r="Y517" s="270"/>
      <c r="Z517" s="173" t="s">
        <v>1843</v>
      </c>
      <c r="AA517" s="15" t="s">
        <v>1332</v>
      </c>
      <c r="AB517" s="16"/>
      <c r="AC517" s="16"/>
      <c r="AD517" s="16">
        <v>275</v>
      </c>
      <c r="AE517" s="292">
        <f>SUM(AD517:AD519)</f>
        <v>309.21000000000004</v>
      </c>
      <c r="AF517" s="292">
        <v>1772.7</v>
      </c>
      <c r="AG517" s="292">
        <f>AF517-AE517</f>
        <v>1463.49</v>
      </c>
      <c r="AH517" s="313">
        <f>AG517/AF517</f>
        <v>0.82557116263327124</v>
      </c>
    </row>
    <row r="518" spans="2:34" ht="13">
      <c r="B518" s="249"/>
      <c r="C518" s="174"/>
      <c r="D518" s="19" t="s">
        <v>1844</v>
      </c>
      <c r="E518" s="17">
        <v>3</v>
      </c>
      <c r="F518" s="17">
        <v>15</v>
      </c>
      <c r="G518" s="17">
        <v>45</v>
      </c>
      <c r="H518" s="236"/>
      <c r="I518" s="236"/>
      <c r="J518" s="236"/>
      <c r="K518" s="266"/>
      <c r="M518" s="270"/>
      <c r="N518" s="174"/>
      <c r="O518" s="19" t="s">
        <v>1845</v>
      </c>
      <c r="P518" s="17"/>
      <c r="Q518" s="17"/>
      <c r="R518" s="17">
        <v>9.5500000000000007</v>
      </c>
      <c r="S518" s="236"/>
      <c r="T518" s="236"/>
      <c r="U518" s="236"/>
      <c r="V518" s="242"/>
      <c r="Y518" s="270"/>
      <c r="Z518" s="174"/>
      <c r="AA518" s="19" t="s">
        <v>1845</v>
      </c>
      <c r="AB518" s="17"/>
      <c r="AC518" s="17"/>
      <c r="AD518" s="17">
        <v>9.5500000000000007</v>
      </c>
      <c r="AE518" s="236"/>
      <c r="AF518" s="236"/>
      <c r="AG518" s="236"/>
      <c r="AH518" s="242"/>
    </row>
    <row r="519" spans="2:34" ht="13">
      <c r="B519" s="249"/>
      <c r="C519" s="174"/>
      <c r="D519" s="19" t="s">
        <v>1846</v>
      </c>
      <c r="E519" s="17">
        <v>3</v>
      </c>
      <c r="F519" s="17">
        <v>15</v>
      </c>
      <c r="G519" s="17">
        <v>45</v>
      </c>
      <c r="H519" s="236"/>
      <c r="I519" s="236"/>
      <c r="J519" s="236"/>
      <c r="K519" s="266"/>
      <c r="M519" s="270"/>
      <c r="N519" s="174"/>
      <c r="O519" s="19" t="s">
        <v>735</v>
      </c>
      <c r="P519" s="17"/>
      <c r="Q519" s="17"/>
      <c r="R519" s="17">
        <v>24.66</v>
      </c>
      <c r="S519" s="248"/>
      <c r="T519" s="248"/>
      <c r="U519" s="248"/>
      <c r="V519" s="303"/>
      <c r="Y519" s="270"/>
      <c r="Z519" s="174"/>
      <c r="AA519" s="19" t="s">
        <v>735</v>
      </c>
      <c r="AB519" s="17"/>
      <c r="AC519" s="17"/>
      <c r="AD519" s="17">
        <v>24.66</v>
      </c>
      <c r="AE519" s="248"/>
      <c r="AF519" s="248"/>
      <c r="AG519" s="248"/>
      <c r="AH519" s="303"/>
    </row>
    <row r="520" spans="2:34" ht="14">
      <c r="B520" s="249"/>
      <c r="C520" s="155"/>
      <c r="D520" s="19" t="s">
        <v>1844</v>
      </c>
      <c r="E520" s="17">
        <v>3</v>
      </c>
      <c r="F520" s="17">
        <v>15</v>
      </c>
      <c r="G520" s="17">
        <v>45</v>
      </c>
      <c r="H520" s="236"/>
      <c r="I520" s="236"/>
      <c r="J520" s="236"/>
      <c r="K520" s="266"/>
      <c r="M520" s="270"/>
      <c r="N520" s="190" t="s">
        <v>1227</v>
      </c>
      <c r="O520" s="123" t="s">
        <v>1228</v>
      </c>
      <c r="P520" s="127">
        <v>12.35</v>
      </c>
      <c r="Q520" s="127">
        <v>13</v>
      </c>
      <c r="R520" s="127">
        <f t="shared" ref="R520:R524" si="227">P520*Q520</f>
        <v>160.54999999999998</v>
      </c>
      <c r="S520" s="292">
        <f>SUM(R520:R524)</f>
        <v>365.54999999999995</v>
      </c>
      <c r="T520" s="284">
        <v>712.5</v>
      </c>
      <c r="U520" s="284">
        <f>T520-S520</f>
        <v>346.95000000000005</v>
      </c>
      <c r="V520" s="309">
        <f>U520/T520</f>
        <v>0.48694736842105268</v>
      </c>
      <c r="Y520" s="270"/>
      <c r="Z520" s="190" t="s">
        <v>1227</v>
      </c>
      <c r="AA520" s="123" t="s">
        <v>1228</v>
      </c>
      <c r="AB520" s="127">
        <v>12.35</v>
      </c>
      <c r="AC520" s="127">
        <v>13</v>
      </c>
      <c r="AD520" s="127">
        <f>AB520*AC520</f>
        <v>160.54999999999998</v>
      </c>
      <c r="AE520" s="292">
        <f>SUM(AD520:AD524)</f>
        <v>160.54999999999998</v>
      </c>
      <c r="AF520" s="284">
        <v>712.5</v>
      </c>
      <c r="AG520" s="284">
        <f>AF520-AE520</f>
        <v>551.95000000000005</v>
      </c>
      <c r="AH520" s="309">
        <f>AG520/AF520</f>
        <v>0.77466666666666673</v>
      </c>
    </row>
    <row r="521" spans="2:34" ht="14">
      <c r="B521" s="249"/>
      <c r="C521" s="155"/>
      <c r="D521" s="19" t="s">
        <v>1842</v>
      </c>
      <c r="E521" s="17">
        <v>3</v>
      </c>
      <c r="F521" s="17">
        <v>15</v>
      </c>
      <c r="G521" s="17">
        <v>45</v>
      </c>
      <c r="H521" s="236"/>
      <c r="I521" s="236"/>
      <c r="J521" s="236"/>
      <c r="K521" s="266"/>
      <c r="M521" s="270"/>
      <c r="N521" s="186"/>
      <c r="O521" s="19" t="s">
        <v>1229</v>
      </c>
      <c r="P521" s="31">
        <v>7</v>
      </c>
      <c r="Q521" s="31">
        <v>8</v>
      </c>
      <c r="R521" s="127">
        <f t="shared" si="227"/>
        <v>56</v>
      </c>
      <c r="S521" s="236"/>
      <c r="T521" s="236"/>
      <c r="U521" s="236"/>
      <c r="V521" s="242"/>
      <c r="Y521" s="270"/>
      <c r="Z521" s="186"/>
      <c r="AA521" s="19" t="s">
        <v>1229</v>
      </c>
      <c r="AB521" s="191"/>
      <c r="AC521" s="191"/>
      <c r="AD521" s="192"/>
      <c r="AE521" s="236"/>
      <c r="AF521" s="236"/>
      <c r="AG521" s="236"/>
      <c r="AH521" s="242"/>
    </row>
    <row r="522" spans="2:34" ht="14">
      <c r="B522" s="249"/>
      <c r="C522" s="155"/>
      <c r="D522" s="19" t="s">
        <v>1847</v>
      </c>
      <c r="E522" s="17">
        <v>3</v>
      </c>
      <c r="F522" s="17">
        <v>15</v>
      </c>
      <c r="G522" s="17">
        <v>45</v>
      </c>
      <c r="H522" s="236"/>
      <c r="I522" s="236"/>
      <c r="J522" s="236"/>
      <c r="K522" s="266"/>
      <c r="M522" s="270"/>
      <c r="N522" s="186"/>
      <c r="O522" s="19" t="s">
        <v>1230</v>
      </c>
      <c r="P522" s="31">
        <v>3</v>
      </c>
      <c r="Q522" s="31">
        <v>18</v>
      </c>
      <c r="R522" s="127">
        <f t="shared" si="227"/>
        <v>54</v>
      </c>
      <c r="S522" s="236"/>
      <c r="T522" s="236"/>
      <c r="U522" s="236"/>
      <c r="V522" s="242"/>
      <c r="Y522" s="270"/>
      <c r="Z522" s="186"/>
      <c r="AA522" s="19" t="s">
        <v>1230</v>
      </c>
      <c r="AB522" s="191"/>
      <c r="AC522" s="191"/>
      <c r="AD522" s="192"/>
      <c r="AE522" s="236"/>
      <c r="AF522" s="236"/>
      <c r="AG522" s="236"/>
      <c r="AH522" s="242"/>
    </row>
    <row r="523" spans="2:34" ht="14">
      <c r="B523" s="249"/>
      <c r="C523" s="155"/>
      <c r="D523" s="19" t="s">
        <v>1848</v>
      </c>
      <c r="E523" s="17">
        <v>7</v>
      </c>
      <c r="F523" s="17" t="s">
        <v>1387</v>
      </c>
      <c r="G523" s="17">
        <v>0</v>
      </c>
      <c r="H523" s="236"/>
      <c r="I523" s="236"/>
      <c r="J523" s="236"/>
      <c r="K523" s="266"/>
      <c r="M523" s="270"/>
      <c r="N523" s="186"/>
      <c r="O523" s="19" t="s">
        <v>1231</v>
      </c>
      <c r="P523" s="31">
        <v>3</v>
      </c>
      <c r="Q523" s="31">
        <v>13</v>
      </c>
      <c r="R523" s="127">
        <f t="shared" si="227"/>
        <v>39</v>
      </c>
      <c r="S523" s="236"/>
      <c r="T523" s="236"/>
      <c r="U523" s="236"/>
      <c r="V523" s="242"/>
      <c r="Y523" s="270"/>
      <c r="Z523" s="186"/>
      <c r="AA523" s="19" t="s">
        <v>1231</v>
      </c>
      <c r="AB523" s="191"/>
      <c r="AC523" s="191"/>
      <c r="AD523" s="192"/>
      <c r="AE523" s="236"/>
      <c r="AF523" s="236"/>
      <c r="AG523" s="236"/>
      <c r="AH523" s="242"/>
    </row>
    <row r="524" spans="2:34" ht="14">
      <c r="B524" s="249"/>
      <c r="C524" s="155"/>
      <c r="D524" s="19" t="s">
        <v>1849</v>
      </c>
      <c r="E524" s="17">
        <v>6</v>
      </c>
      <c r="F524" s="17" t="s">
        <v>1387</v>
      </c>
      <c r="G524" s="178">
        <v>110</v>
      </c>
      <c r="H524" s="236"/>
      <c r="I524" s="236"/>
      <c r="J524" s="236"/>
      <c r="K524" s="266"/>
      <c r="M524" s="270"/>
      <c r="N524" s="193"/>
      <c r="O524" s="126" t="s">
        <v>1232</v>
      </c>
      <c r="P524" s="194">
        <v>7</v>
      </c>
      <c r="Q524" s="194">
        <v>8</v>
      </c>
      <c r="R524" s="194">
        <f t="shared" si="227"/>
        <v>56</v>
      </c>
      <c r="S524" s="248"/>
      <c r="T524" s="293"/>
      <c r="U524" s="248"/>
      <c r="V524" s="303"/>
      <c r="Y524" s="270"/>
      <c r="Z524" s="193"/>
      <c r="AA524" s="126" t="s">
        <v>1232</v>
      </c>
      <c r="AB524" s="192"/>
      <c r="AC524" s="192"/>
      <c r="AD524" s="192"/>
      <c r="AE524" s="248"/>
      <c r="AF524" s="293"/>
      <c r="AG524" s="248"/>
      <c r="AH524" s="303"/>
    </row>
    <row r="525" spans="2:34" ht="14">
      <c r="B525" s="249"/>
      <c r="C525" s="155"/>
      <c r="D525" s="19" t="s">
        <v>1850</v>
      </c>
      <c r="E525" s="17" t="s">
        <v>1387</v>
      </c>
      <c r="F525" s="17" t="s">
        <v>1387</v>
      </c>
      <c r="G525" s="178">
        <v>0</v>
      </c>
      <c r="H525" s="236"/>
      <c r="I525" s="236"/>
      <c r="J525" s="236"/>
      <c r="K525" s="266"/>
      <c r="M525" s="270"/>
      <c r="N525" s="186" t="s">
        <v>1851</v>
      </c>
      <c r="O525" s="19" t="s">
        <v>1332</v>
      </c>
      <c r="P525" s="17"/>
      <c r="Q525" s="17"/>
      <c r="R525" s="17">
        <v>300</v>
      </c>
      <c r="S525" s="284">
        <f>SUM(R525:R526)</f>
        <v>417.54</v>
      </c>
      <c r="T525" s="284">
        <v>2503.1999999999998</v>
      </c>
      <c r="U525" s="284">
        <f>T525-S525</f>
        <v>2085.66</v>
      </c>
      <c r="V525" s="309">
        <f>U525/T525</f>
        <v>0.83319750719079577</v>
      </c>
      <c r="Y525" s="270"/>
      <c r="Z525" s="186" t="s">
        <v>1851</v>
      </c>
      <c r="AA525" s="19" t="s">
        <v>1332</v>
      </c>
      <c r="AB525" s="17"/>
      <c r="AC525" s="17"/>
      <c r="AD525" s="17">
        <v>300</v>
      </c>
      <c r="AE525" s="284">
        <f>SUM(AD525:AD526)</f>
        <v>417.54</v>
      </c>
      <c r="AF525" s="284">
        <v>2503.1999999999998</v>
      </c>
      <c r="AG525" s="284">
        <f>AF525-AE525</f>
        <v>2085.66</v>
      </c>
      <c r="AH525" s="309">
        <f>AG525/AF525</f>
        <v>0.83319750719079577</v>
      </c>
    </row>
    <row r="526" spans="2:34" ht="13">
      <c r="B526" s="249"/>
      <c r="C526" s="155"/>
      <c r="D526" s="19" t="s">
        <v>1852</v>
      </c>
      <c r="E526" s="17" t="s">
        <v>1387</v>
      </c>
      <c r="F526" s="17" t="s">
        <v>1387</v>
      </c>
      <c r="G526" s="178">
        <v>0</v>
      </c>
      <c r="H526" s="236"/>
      <c r="I526" s="236"/>
      <c r="J526" s="236"/>
      <c r="K526" s="266"/>
      <c r="M526" s="270"/>
      <c r="N526" s="175"/>
      <c r="O526" s="20" t="s">
        <v>735</v>
      </c>
      <c r="P526" s="21"/>
      <c r="Q526" s="21"/>
      <c r="R526" s="21">
        <v>117.54</v>
      </c>
      <c r="S526" s="248"/>
      <c r="T526" s="248"/>
      <c r="U526" s="248"/>
      <c r="V526" s="303"/>
      <c r="Y526" s="270"/>
      <c r="Z526" s="175"/>
      <c r="AA526" s="20" t="s">
        <v>735</v>
      </c>
      <c r="AB526" s="21"/>
      <c r="AC526" s="21"/>
      <c r="AD526" s="21">
        <v>117.54</v>
      </c>
      <c r="AE526" s="248"/>
      <c r="AF526" s="248"/>
      <c r="AG526" s="248"/>
      <c r="AH526" s="303"/>
    </row>
    <row r="527" spans="2:34" ht="14">
      <c r="B527" s="249"/>
      <c r="C527" s="155"/>
      <c r="D527" s="19" t="s">
        <v>1853</v>
      </c>
      <c r="E527" s="17">
        <v>7</v>
      </c>
      <c r="F527" s="17" t="s">
        <v>1387</v>
      </c>
      <c r="G527" s="17">
        <v>90</v>
      </c>
      <c r="H527" s="236"/>
      <c r="I527" s="236"/>
      <c r="J527" s="236"/>
      <c r="K527" s="266"/>
      <c r="M527" s="270"/>
      <c r="N527" s="173" t="s">
        <v>1854</v>
      </c>
      <c r="O527" s="15" t="s">
        <v>114</v>
      </c>
      <c r="P527" s="16">
        <v>21</v>
      </c>
      <c r="Q527" s="16">
        <v>16</v>
      </c>
      <c r="R527" s="16">
        <f t="shared" ref="R527:R529" si="228">P527*Q527</f>
        <v>336</v>
      </c>
      <c r="S527" s="292">
        <f>SUM(R527:R531)</f>
        <v>1099</v>
      </c>
      <c r="T527" s="292">
        <v>11500</v>
      </c>
      <c r="U527" s="292">
        <f>T527-S527</f>
        <v>10401</v>
      </c>
      <c r="V527" s="313">
        <f>U527/T527</f>
        <v>0.9044347826086957</v>
      </c>
      <c r="Y527" s="270"/>
      <c r="Z527" s="173" t="s">
        <v>1854</v>
      </c>
      <c r="AA527" s="15" t="s">
        <v>114</v>
      </c>
      <c r="AB527" s="43"/>
      <c r="AC527" s="43"/>
      <c r="AD527" s="43"/>
      <c r="AE527" s="292">
        <f>SUM(AD527:AD531)</f>
        <v>595</v>
      </c>
      <c r="AF527" s="292">
        <v>11500</v>
      </c>
      <c r="AG527" s="292">
        <f>AF527-AE527</f>
        <v>10905</v>
      </c>
      <c r="AH527" s="313">
        <f>AG527/AF527</f>
        <v>0.94826086956521738</v>
      </c>
    </row>
    <row r="528" spans="2:34" ht="13">
      <c r="B528" s="249"/>
      <c r="C528" s="155"/>
      <c r="D528" s="19" t="s">
        <v>1848</v>
      </c>
      <c r="E528" s="17">
        <v>7</v>
      </c>
      <c r="F528" s="17" t="s">
        <v>1387</v>
      </c>
      <c r="G528" s="17">
        <v>0</v>
      </c>
      <c r="H528" s="236"/>
      <c r="I528" s="236"/>
      <c r="J528" s="236"/>
      <c r="K528" s="266"/>
      <c r="M528" s="270"/>
      <c r="N528" s="174"/>
      <c r="O528" s="19" t="s">
        <v>102</v>
      </c>
      <c r="P528" s="17">
        <v>21</v>
      </c>
      <c r="Q528" s="17">
        <v>8</v>
      </c>
      <c r="R528" s="17">
        <f t="shared" si="228"/>
        <v>168</v>
      </c>
      <c r="S528" s="236"/>
      <c r="T528" s="236"/>
      <c r="U528" s="236"/>
      <c r="V528" s="242"/>
      <c r="Y528" s="270"/>
      <c r="Z528" s="174"/>
      <c r="AA528" s="19" t="s">
        <v>102</v>
      </c>
      <c r="AB528" s="18"/>
      <c r="AC528" s="18"/>
      <c r="AD528" s="18"/>
      <c r="AE528" s="236"/>
      <c r="AF528" s="236"/>
      <c r="AG528" s="236"/>
      <c r="AH528" s="242"/>
    </row>
    <row r="529" spans="2:34" ht="13">
      <c r="B529" s="249"/>
      <c r="C529" s="155"/>
      <c r="D529" s="19" t="s">
        <v>1849</v>
      </c>
      <c r="E529" s="17">
        <v>6</v>
      </c>
      <c r="F529" s="17" t="s">
        <v>1387</v>
      </c>
      <c r="G529" s="17">
        <v>110</v>
      </c>
      <c r="H529" s="236"/>
      <c r="I529" s="236"/>
      <c r="J529" s="236"/>
      <c r="K529" s="266"/>
      <c r="M529" s="270"/>
      <c r="N529" s="174"/>
      <c r="O529" s="19" t="s">
        <v>715</v>
      </c>
      <c r="P529" s="17">
        <v>5</v>
      </c>
      <c r="Q529" s="17">
        <v>15</v>
      </c>
      <c r="R529" s="17">
        <f t="shared" si="228"/>
        <v>75</v>
      </c>
      <c r="S529" s="236"/>
      <c r="T529" s="236"/>
      <c r="U529" s="236"/>
      <c r="V529" s="242"/>
      <c r="Y529" s="270"/>
      <c r="Z529" s="174"/>
      <c r="AA529" s="19" t="s">
        <v>715</v>
      </c>
      <c r="AB529" s="17">
        <v>5</v>
      </c>
      <c r="AC529" s="17">
        <v>15</v>
      </c>
      <c r="AD529" s="17">
        <f>AB529*AC529</f>
        <v>75</v>
      </c>
      <c r="AE529" s="236"/>
      <c r="AF529" s="236"/>
      <c r="AG529" s="236"/>
      <c r="AH529" s="242"/>
    </row>
    <row r="530" spans="2:34" ht="13">
      <c r="B530" s="249"/>
      <c r="C530" s="187" t="s">
        <v>1855</v>
      </c>
      <c r="D530" s="123" t="s">
        <v>95</v>
      </c>
      <c r="E530" s="124">
        <v>5</v>
      </c>
      <c r="F530" s="124">
        <v>12.5</v>
      </c>
      <c r="G530" s="124">
        <f>E530*F530</f>
        <v>62.5</v>
      </c>
      <c r="H530" s="310">
        <f>SUM(G530:G551)</f>
        <v>1128.125</v>
      </c>
      <c r="I530" s="338">
        <v>2840</v>
      </c>
      <c r="J530" s="338">
        <f>I530-H530</f>
        <v>1711.875</v>
      </c>
      <c r="K530" s="339">
        <f>J530/I530</f>
        <v>0.60277288732394363</v>
      </c>
      <c r="M530" s="270"/>
      <c r="N530" s="174"/>
      <c r="O530" s="19" t="s">
        <v>1856</v>
      </c>
      <c r="P530" s="17"/>
      <c r="Q530" s="17"/>
      <c r="R530" s="17">
        <v>20</v>
      </c>
      <c r="S530" s="236"/>
      <c r="T530" s="236"/>
      <c r="U530" s="236"/>
      <c r="V530" s="242"/>
      <c r="Y530" s="270"/>
      <c r="Z530" s="174"/>
      <c r="AA530" s="19" t="s">
        <v>1856</v>
      </c>
      <c r="AB530" s="17"/>
      <c r="AC530" s="17"/>
      <c r="AD530" s="17">
        <v>20</v>
      </c>
      <c r="AE530" s="236"/>
      <c r="AF530" s="236"/>
      <c r="AG530" s="236"/>
      <c r="AH530" s="242"/>
    </row>
    <row r="531" spans="2:34" ht="13">
      <c r="B531" s="249"/>
      <c r="C531" s="174"/>
      <c r="D531" s="19" t="s">
        <v>1716</v>
      </c>
      <c r="E531" s="17">
        <v>4.5</v>
      </c>
      <c r="F531" s="17" t="s">
        <v>1387</v>
      </c>
      <c r="G531" s="17">
        <v>0</v>
      </c>
      <c r="H531" s="236"/>
      <c r="I531" s="236"/>
      <c r="J531" s="236"/>
      <c r="K531" s="266"/>
      <c r="M531" s="270"/>
      <c r="N531" s="175"/>
      <c r="O531" s="20" t="s">
        <v>1819</v>
      </c>
      <c r="P531" s="21">
        <v>32</v>
      </c>
      <c r="Q531" s="21">
        <v>15</v>
      </c>
      <c r="R531" s="21">
        <f>20+P531*Q531</f>
        <v>500</v>
      </c>
      <c r="S531" s="248"/>
      <c r="T531" s="248"/>
      <c r="U531" s="248"/>
      <c r="V531" s="303"/>
      <c r="Y531" s="270"/>
      <c r="Z531" s="175"/>
      <c r="AA531" s="20" t="s">
        <v>1819</v>
      </c>
      <c r="AB531" s="21">
        <v>32</v>
      </c>
      <c r="AC531" s="21">
        <v>15</v>
      </c>
      <c r="AD531" s="21">
        <f>20+AB531*AC531</f>
        <v>500</v>
      </c>
      <c r="AE531" s="248"/>
      <c r="AF531" s="248"/>
      <c r="AG531" s="248"/>
      <c r="AH531" s="303"/>
    </row>
    <row r="532" spans="2:34" ht="13">
      <c r="B532" s="249"/>
      <c r="C532" s="174"/>
      <c r="D532" s="19" t="s">
        <v>114</v>
      </c>
      <c r="E532" s="17">
        <v>5.75</v>
      </c>
      <c r="F532" s="17" t="s">
        <v>1387</v>
      </c>
      <c r="G532" s="17">
        <v>0</v>
      </c>
      <c r="H532" s="236"/>
      <c r="I532" s="236"/>
      <c r="J532" s="236"/>
      <c r="K532" s="266"/>
      <c r="M532" s="270"/>
      <c r="N532" s="316" t="s">
        <v>1857</v>
      </c>
      <c r="O532" s="19" t="s">
        <v>114</v>
      </c>
      <c r="P532" s="17">
        <v>26</v>
      </c>
      <c r="Q532" s="17">
        <v>16</v>
      </c>
      <c r="R532" s="17">
        <f t="shared" ref="R532:R535" si="229">P532*Q532</f>
        <v>416</v>
      </c>
      <c r="S532" s="284">
        <f>SUM(R532:R547)</f>
        <v>5845.29</v>
      </c>
      <c r="T532" s="284">
        <v>16000</v>
      </c>
      <c r="U532" s="284">
        <f>T532-S532</f>
        <v>10154.709999999999</v>
      </c>
      <c r="V532" s="315">
        <f>U532/T532</f>
        <v>0.63466937499999998</v>
      </c>
      <c r="Y532" s="270"/>
      <c r="Z532" s="316" t="s">
        <v>1857</v>
      </c>
      <c r="AA532" s="19" t="s">
        <v>114</v>
      </c>
      <c r="AB532" s="18"/>
      <c r="AC532" s="18"/>
      <c r="AD532" s="18"/>
      <c r="AE532" s="284">
        <f>SUM(AD532:AD547)</f>
        <v>5207.6900000000005</v>
      </c>
      <c r="AF532" s="284">
        <v>16000</v>
      </c>
      <c r="AG532" s="284">
        <f>AF532-AE532</f>
        <v>10792.31</v>
      </c>
      <c r="AH532" s="315">
        <f>AG532/AF532</f>
        <v>0.67451937499999992</v>
      </c>
    </row>
    <row r="533" spans="2:34" ht="13">
      <c r="B533" s="249"/>
      <c r="C533" s="174"/>
      <c r="D533" s="19" t="s">
        <v>1448</v>
      </c>
      <c r="E533" s="17">
        <v>7</v>
      </c>
      <c r="F533" s="17">
        <v>12.5</v>
      </c>
      <c r="G533" s="17">
        <f>E533*F533</f>
        <v>87.5</v>
      </c>
      <c r="H533" s="236"/>
      <c r="I533" s="236"/>
      <c r="J533" s="236"/>
      <c r="K533" s="266"/>
      <c r="M533" s="270"/>
      <c r="N533" s="236"/>
      <c r="O533" s="19" t="s">
        <v>1232</v>
      </c>
      <c r="P533" s="17">
        <v>27.7</v>
      </c>
      <c r="Q533" s="17">
        <v>8</v>
      </c>
      <c r="R533" s="17">
        <f t="shared" si="229"/>
        <v>221.6</v>
      </c>
      <c r="S533" s="236"/>
      <c r="T533" s="236"/>
      <c r="U533" s="236"/>
      <c r="V533" s="258"/>
      <c r="Y533" s="270"/>
      <c r="Z533" s="236"/>
      <c r="AA533" s="19" t="s">
        <v>1232</v>
      </c>
      <c r="AB533" s="18"/>
      <c r="AC533" s="18"/>
      <c r="AD533" s="18"/>
      <c r="AE533" s="236"/>
      <c r="AF533" s="236"/>
      <c r="AG533" s="236"/>
      <c r="AH533" s="258"/>
    </row>
    <row r="534" spans="2:34" ht="13">
      <c r="B534" s="249"/>
      <c r="C534" s="155"/>
      <c r="D534" s="19" t="s">
        <v>1858</v>
      </c>
      <c r="E534" s="17">
        <v>5</v>
      </c>
      <c r="F534" s="17">
        <v>12.5</v>
      </c>
      <c r="G534" s="17">
        <v>75</v>
      </c>
      <c r="H534" s="236"/>
      <c r="I534" s="236"/>
      <c r="J534" s="236"/>
      <c r="K534" s="266"/>
      <c r="M534" s="270"/>
      <c r="N534" s="236"/>
      <c r="O534" s="19" t="s">
        <v>1235</v>
      </c>
      <c r="P534" s="17">
        <v>110</v>
      </c>
      <c r="Q534" s="17">
        <v>15</v>
      </c>
      <c r="R534" s="17">
        <f t="shared" si="229"/>
        <v>1650</v>
      </c>
      <c r="S534" s="236"/>
      <c r="T534" s="236"/>
      <c r="U534" s="236"/>
      <c r="V534" s="258"/>
      <c r="Y534" s="270"/>
      <c r="Z534" s="236"/>
      <c r="AA534" s="19" t="s">
        <v>1235</v>
      </c>
      <c r="AB534" s="17">
        <v>110</v>
      </c>
      <c r="AC534" s="17">
        <v>15</v>
      </c>
      <c r="AD534" s="17">
        <f t="shared" ref="AD534:AD535" si="230">AB534*AC534</f>
        <v>1650</v>
      </c>
      <c r="AE534" s="236"/>
      <c r="AF534" s="236"/>
      <c r="AG534" s="236"/>
      <c r="AH534" s="258"/>
    </row>
    <row r="535" spans="2:34" ht="13">
      <c r="B535" s="249"/>
      <c r="C535" s="155"/>
      <c r="D535" s="19" t="s">
        <v>1496</v>
      </c>
      <c r="E535" s="17">
        <v>5.25</v>
      </c>
      <c r="F535" s="17">
        <v>12.5</v>
      </c>
      <c r="G535" s="17">
        <f t="shared" ref="G535:G536" si="231">E535*F535</f>
        <v>65.625</v>
      </c>
      <c r="H535" s="236"/>
      <c r="I535" s="236"/>
      <c r="J535" s="236"/>
      <c r="K535" s="266"/>
      <c r="M535" s="270"/>
      <c r="N535" s="236"/>
      <c r="O535" s="19" t="s">
        <v>1736</v>
      </c>
      <c r="P535" s="17">
        <v>51</v>
      </c>
      <c r="Q535" s="17">
        <v>13</v>
      </c>
      <c r="R535" s="17">
        <f t="shared" si="229"/>
        <v>663</v>
      </c>
      <c r="S535" s="236"/>
      <c r="T535" s="236"/>
      <c r="U535" s="236"/>
      <c r="V535" s="258"/>
      <c r="Y535" s="270"/>
      <c r="Z535" s="236"/>
      <c r="AA535" s="19" t="s">
        <v>1736</v>
      </c>
      <c r="AB535" s="17">
        <v>51</v>
      </c>
      <c r="AC535" s="17">
        <v>13</v>
      </c>
      <c r="AD535" s="17">
        <f t="shared" si="230"/>
        <v>663</v>
      </c>
      <c r="AE535" s="236"/>
      <c r="AF535" s="236"/>
      <c r="AG535" s="236"/>
      <c r="AH535" s="258"/>
    </row>
    <row r="536" spans="2:34" ht="13">
      <c r="B536" s="249"/>
      <c r="C536" s="155"/>
      <c r="D536" s="19" t="s">
        <v>1611</v>
      </c>
      <c r="E536" s="17">
        <v>5</v>
      </c>
      <c r="F536" s="17">
        <v>12.5</v>
      </c>
      <c r="G536" s="17">
        <f t="shared" si="231"/>
        <v>62.5</v>
      </c>
      <c r="H536" s="236"/>
      <c r="I536" s="236"/>
      <c r="J536" s="236"/>
      <c r="K536" s="266"/>
      <c r="M536" s="270"/>
      <c r="N536" s="236"/>
      <c r="O536" s="19" t="s">
        <v>1859</v>
      </c>
      <c r="P536" s="17"/>
      <c r="Q536" s="17"/>
      <c r="R536" s="17">
        <v>20</v>
      </c>
      <c r="S536" s="236"/>
      <c r="T536" s="236"/>
      <c r="U536" s="236"/>
      <c r="V536" s="258"/>
      <c r="Y536" s="270"/>
      <c r="Z536" s="236"/>
      <c r="AA536" s="19" t="s">
        <v>1859</v>
      </c>
      <c r="AB536" s="17"/>
      <c r="AC536" s="17"/>
      <c r="AD536" s="17">
        <v>20</v>
      </c>
      <c r="AE536" s="236"/>
      <c r="AF536" s="236"/>
      <c r="AG536" s="236"/>
      <c r="AH536" s="258"/>
    </row>
    <row r="537" spans="2:34" ht="13">
      <c r="B537" s="249"/>
      <c r="C537" s="155"/>
      <c r="D537" s="19" t="s">
        <v>114</v>
      </c>
      <c r="E537" s="17">
        <v>4.75</v>
      </c>
      <c r="F537" s="17" t="s">
        <v>1387</v>
      </c>
      <c r="G537" s="17">
        <v>0</v>
      </c>
      <c r="H537" s="236"/>
      <c r="I537" s="236"/>
      <c r="J537" s="236"/>
      <c r="K537" s="266"/>
      <c r="M537" s="270"/>
      <c r="N537" s="236"/>
      <c r="O537" s="19" t="s">
        <v>310</v>
      </c>
      <c r="P537" s="17">
        <v>41.2</v>
      </c>
      <c r="Q537" s="17">
        <v>13</v>
      </c>
      <c r="R537" s="17">
        <f t="shared" ref="R537:R548" si="232">P537*Q537</f>
        <v>535.6</v>
      </c>
      <c r="S537" s="236"/>
      <c r="T537" s="236"/>
      <c r="U537" s="236"/>
      <c r="V537" s="258"/>
      <c r="Y537" s="270"/>
      <c r="Z537" s="236"/>
      <c r="AA537" s="19" t="s">
        <v>310</v>
      </c>
      <c r="AB537" s="17">
        <v>41.2</v>
      </c>
      <c r="AC537" s="17">
        <v>13</v>
      </c>
      <c r="AD537" s="17">
        <f t="shared" ref="AD537:AD547" si="233">AB537*AC537</f>
        <v>535.6</v>
      </c>
      <c r="AE537" s="236"/>
      <c r="AF537" s="236"/>
      <c r="AG537" s="236"/>
      <c r="AH537" s="258"/>
    </row>
    <row r="538" spans="2:34" ht="13">
      <c r="B538" s="249"/>
      <c r="C538" s="155"/>
      <c r="D538" s="19" t="s">
        <v>1448</v>
      </c>
      <c r="E538" s="17">
        <v>4.5</v>
      </c>
      <c r="F538" s="17">
        <v>12.5</v>
      </c>
      <c r="G538" s="17">
        <f t="shared" ref="G538:G547" si="234">E538*F538</f>
        <v>56.25</v>
      </c>
      <c r="H538" s="236"/>
      <c r="I538" s="236"/>
      <c r="J538" s="236"/>
      <c r="K538" s="266"/>
      <c r="M538" s="270"/>
      <c r="N538" s="236"/>
      <c r="O538" s="19" t="s">
        <v>1239</v>
      </c>
      <c r="P538" s="17">
        <v>55.32</v>
      </c>
      <c r="Q538" s="17">
        <v>13</v>
      </c>
      <c r="R538" s="17">
        <f t="shared" si="232"/>
        <v>719.16</v>
      </c>
      <c r="S538" s="236"/>
      <c r="T538" s="236"/>
      <c r="U538" s="236"/>
      <c r="V538" s="258"/>
      <c r="Y538" s="270"/>
      <c r="Z538" s="236"/>
      <c r="AA538" s="19" t="s">
        <v>1239</v>
      </c>
      <c r="AB538" s="17">
        <v>55.32</v>
      </c>
      <c r="AC538" s="17">
        <v>13</v>
      </c>
      <c r="AD538" s="17">
        <f t="shared" si="233"/>
        <v>719.16</v>
      </c>
      <c r="AE538" s="236"/>
      <c r="AF538" s="236"/>
      <c r="AG538" s="236"/>
      <c r="AH538" s="258"/>
    </row>
    <row r="539" spans="2:34" ht="13">
      <c r="B539" s="249"/>
      <c r="C539" s="155"/>
      <c r="D539" s="19" t="s">
        <v>95</v>
      </c>
      <c r="E539" s="17">
        <v>5</v>
      </c>
      <c r="F539" s="17">
        <v>12.5</v>
      </c>
      <c r="G539" s="17">
        <f t="shared" si="234"/>
        <v>62.5</v>
      </c>
      <c r="H539" s="236"/>
      <c r="I539" s="236"/>
      <c r="J539" s="236"/>
      <c r="K539" s="266"/>
      <c r="M539" s="270"/>
      <c r="N539" s="236"/>
      <c r="O539" s="19" t="s">
        <v>744</v>
      </c>
      <c r="P539" s="17">
        <v>6.5</v>
      </c>
      <c r="Q539" s="17">
        <v>13</v>
      </c>
      <c r="R539" s="17">
        <f t="shared" si="232"/>
        <v>84.5</v>
      </c>
      <c r="S539" s="236"/>
      <c r="T539" s="236"/>
      <c r="U539" s="236"/>
      <c r="V539" s="258"/>
      <c r="Y539" s="270"/>
      <c r="Z539" s="236"/>
      <c r="AA539" s="19" t="s">
        <v>744</v>
      </c>
      <c r="AB539" s="17">
        <v>6.5</v>
      </c>
      <c r="AC539" s="17">
        <v>13</v>
      </c>
      <c r="AD539" s="17">
        <f t="shared" si="233"/>
        <v>84.5</v>
      </c>
      <c r="AE539" s="236"/>
      <c r="AF539" s="236"/>
      <c r="AG539" s="236"/>
      <c r="AH539" s="258"/>
    </row>
    <row r="540" spans="2:34" ht="13">
      <c r="B540" s="249"/>
      <c r="C540" s="155"/>
      <c r="D540" s="19" t="s">
        <v>1611</v>
      </c>
      <c r="E540" s="17">
        <v>5</v>
      </c>
      <c r="F540" s="17">
        <v>12.5</v>
      </c>
      <c r="G540" s="17">
        <f t="shared" si="234"/>
        <v>62.5</v>
      </c>
      <c r="H540" s="236"/>
      <c r="I540" s="236"/>
      <c r="J540" s="236"/>
      <c r="K540" s="266"/>
      <c r="M540" s="270"/>
      <c r="N540" s="236"/>
      <c r="O540" s="19" t="s">
        <v>53</v>
      </c>
      <c r="P540" s="17">
        <v>45.5</v>
      </c>
      <c r="Q540" s="17">
        <v>13</v>
      </c>
      <c r="R540" s="17">
        <f t="shared" si="232"/>
        <v>591.5</v>
      </c>
      <c r="S540" s="236"/>
      <c r="T540" s="236"/>
      <c r="U540" s="236"/>
      <c r="V540" s="258"/>
      <c r="Y540" s="270"/>
      <c r="Z540" s="236"/>
      <c r="AA540" s="19" t="s">
        <v>53</v>
      </c>
      <c r="AB540" s="17">
        <v>45.5</v>
      </c>
      <c r="AC540" s="17">
        <v>13</v>
      </c>
      <c r="AD540" s="17">
        <f t="shared" si="233"/>
        <v>591.5</v>
      </c>
      <c r="AE540" s="236"/>
      <c r="AF540" s="236"/>
      <c r="AG540" s="236"/>
      <c r="AH540" s="258"/>
    </row>
    <row r="541" spans="2:34" ht="13">
      <c r="B541" s="249"/>
      <c r="C541" s="155"/>
      <c r="D541" s="19" t="s">
        <v>1496</v>
      </c>
      <c r="E541" s="17">
        <v>4.5</v>
      </c>
      <c r="F541" s="17">
        <v>12.5</v>
      </c>
      <c r="G541" s="17">
        <f t="shared" si="234"/>
        <v>56.25</v>
      </c>
      <c r="H541" s="236"/>
      <c r="I541" s="236"/>
      <c r="J541" s="236"/>
      <c r="K541" s="266"/>
      <c r="M541" s="270"/>
      <c r="N541" s="236"/>
      <c r="O541" s="19" t="s">
        <v>377</v>
      </c>
      <c r="P541" s="17">
        <v>11</v>
      </c>
      <c r="Q541" s="17">
        <v>13</v>
      </c>
      <c r="R541" s="17">
        <f t="shared" si="232"/>
        <v>143</v>
      </c>
      <c r="S541" s="236"/>
      <c r="T541" s="236"/>
      <c r="U541" s="236"/>
      <c r="V541" s="258"/>
      <c r="Y541" s="270"/>
      <c r="Z541" s="236"/>
      <c r="AA541" s="19" t="s">
        <v>377</v>
      </c>
      <c r="AB541" s="17">
        <v>11</v>
      </c>
      <c r="AC541" s="17">
        <v>13</v>
      </c>
      <c r="AD541" s="17">
        <f t="shared" si="233"/>
        <v>143</v>
      </c>
      <c r="AE541" s="236"/>
      <c r="AF541" s="236"/>
      <c r="AG541" s="236"/>
      <c r="AH541" s="258"/>
    </row>
    <row r="542" spans="2:34" ht="13">
      <c r="B542" s="249"/>
      <c r="C542" s="155"/>
      <c r="D542" s="19" t="s">
        <v>1496</v>
      </c>
      <c r="E542" s="17">
        <v>6.25</v>
      </c>
      <c r="F542" s="17">
        <v>12.5</v>
      </c>
      <c r="G542" s="17">
        <f t="shared" si="234"/>
        <v>78.125</v>
      </c>
      <c r="H542" s="236"/>
      <c r="I542" s="236"/>
      <c r="J542" s="236"/>
      <c r="K542" s="266"/>
      <c r="M542" s="270"/>
      <c r="N542" s="236"/>
      <c r="O542" s="19" t="s">
        <v>1353</v>
      </c>
      <c r="P542" s="17">
        <v>4</v>
      </c>
      <c r="Q542" s="17">
        <v>13</v>
      </c>
      <c r="R542" s="17">
        <f t="shared" si="232"/>
        <v>52</v>
      </c>
      <c r="S542" s="236"/>
      <c r="T542" s="236"/>
      <c r="U542" s="236"/>
      <c r="V542" s="258"/>
      <c r="Y542" s="270"/>
      <c r="Z542" s="236"/>
      <c r="AA542" s="19" t="s">
        <v>1353</v>
      </c>
      <c r="AB542" s="17">
        <v>4</v>
      </c>
      <c r="AC542" s="17">
        <v>13</v>
      </c>
      <c r="AD542" s="17">
        <f t="shared" si="233"/>
        <v>52</v>
      </c>
      <c r="AE542" s="236"/>
      <c r="AF542" s="236"/>
      <c r="AG542" s="236"/>
      <c r="AH542" s="258"/>
    </row>
    <row r="543" spans="2:34" ht="13">
      <c r="B543" s="249"/>
      <c r="C543" s="155"/>
      <c r="D543" s="19" t="s">
        <v>95</v>
      </c>
      <c r="E543" s="17">
        <v>5.25</v>
      </c>
      <c r="F543" s="17">
        <v>12.5</v>
      </c>
      <c r="G543" s="17">
        <f t="shared" si="234"/>
        <v>65.625</v>
      </c>
      <c r="H543" s="236"/>
      <c r="I543" s="236"/>
      <c r="J543" s="236"/>
      <c r="K543" s="266"/>
      <c r="M543" s="270"/>
      <c r="N543" s="236"/>
      <c r="O543" s="19" t="s">
        <v>1245</v>
      </c>
      <c r="P543" s="17">
        <v>13</v>
      </c>
      <c r="Q543" s="17">
        <v>13</v>
      </c>
      <c r="R543" s="17">
        <f t="shared" si="232"/>
        <v>169</v>
      </c>
      <c r="S543" s="236"/>
      <c r="T543" s="236"/>
      <c r="U543" s="236"/>
      <c r="V543" s="258"/>
      <c r="Y543" s="270"/>
      <c r="Z543" s="236"/>
      <c r="AA543" s="19" t="s">
        <v>1245</v>
      </c>
      <c r="AB543" s="17">
        <v>13</v>
      </c>
      <c r="AC543" s="17">
        <v>13</v>
      </c>
      <c r="AD543" s="17">
        <f t="shared" si="233"/>
        <v>169</v>
      </c>
      <c r="AE543" s="236"/>
      <c r="AF543" s="236"/>
      <c r="AG543" s="236"/>
      <c r="AH543" s="258"/>
    </row>
    <row r="544" spans="2:34" ht="13">
      <c r="B544" s="249"/>
      <c r="C544" s="155"/>
      <c r="D544" s="19" t="s">
        <v>1409</v>
      </c>
      <c r="E544" s="17">
        <v>6</v>
      </c>
      <c r="F544" s="17">
        <v>12.5</v>
      </c>
      <c r="G544" s="17">
        <f t="shared" si="234"/>
        <v>75</v>
      </c>
      <c r="H544" s="236"/>
      <c r="I544" s="236"/>
      <c r="J544" s="236"/>
      <c r="K544" s="266"/>
      <c r="M544" s="270"/>
      <c r="N544" s="236"/>
      <c r="O544" s="19" t="s">
        <v>770</v>
      </c>
      <c r="P544" s="17">
        <v>4.41</v>
      </c>
      <c r="Q544" s="17">
        <v>13</v>
      </c>
      <c r="R544" s="17">
        <f t="shared" si="232"/>
        <v>57.33</v>
      </c>
      <c r="S544" s="236"/>
      <c r="T544" s="236"/>
      <c r="U544" s="236"/>
      <c r="V544" s="258"/>
      <c r="Y544" s="270"/>
      <c r="Z544" s="236"/>
      <c r="AA544" s="19" t="s">
        <v>770</v>
      </c>
      <c r="AB544" s="17">
        <v>4.41</v>
      </c>
      <c r="AC544" s="17">
        <v>13</v>
      </c>
      <c r="AD544" s="17">
        <f t="shared" si="233"/>
        <v>57.33</v>
      </c>
      <c r="AE544" s="236"/>
      <c r="AF544" s="236"/>
      <c r="AG544" s="236"/>
      <c r="AH544" s="258"/>
    </row>
    <row r="545" spans="2:34" ht="13">
      <c r="B545" s="249"/>
      <c r="C545" s="155"/>
      <c r="D545" s="19" t="s">
        <v>1448</v>
      </c>
      <c r="E545" s="17">
        <v>6.5</v>
      </c>
      <c r="F545" s="17">
        <v>12.5</v>
      </c>
      <c r="G545" s="17">
        <f t="shared" si="234"/>
        <v>81.25</v>
      </c>
      <c r="H545" s="236"/>
      <c r="I545" s="236"/>
      <c r="J545" s="236"/>
      <c r="K545" s="266"/>
      <c r="M545" s="270"/>
      <c r="N545" s="236"/>
      <c r="O545" s="19" t="s">
        <v>1860</v>
      </c>
      <c r="P545" s="17">
        <v>4</v>
      </c>
      <c r="Q545" s="17">
        <v>13</v>
      </c>
      <c r="R545" s="17">
        <f t="shared" si="232"/>
        <v>52</v>
      </c>
      <c r="S545" s="236"/>
      <c r="T545" s="236"/>
      <c r="U545" s="236"/>
      <c r="V545" s="258"/>
      <c r="Y545" s="270"/>
      <c r="Z545" s="236"/>
      <c r="AA545" s="19" t="s">
        <v>1860</v>
      </c>
      <c r="AB545" s="17">
        <v>4</v>
      </c>
      <c r="AC545" s="17">
        <v>13</v>
      </c>
      <c r="AD545" s="17">
        <f t="shared" si="233"/>
        <v>52</v>
      </c>
      <c r="AE545" s="236"/>
      <c r="AF545" s="236"/>
      <c r="AG545" s="236"/>
      <c r="AH545" s="258"/>
    </row>
    <row r="546" spans="2:34" ht="13">
      <c r="B546" s="249"/>
      <c r="C546" s="155"/>
      <c r="D546" s="19" t="s">
        <v>95</v>
      </c>
      <c r="E546" s="17">
        <v>4.25</v>
      </c>
      <c r="F546" s="17">
        <v>12.5</v>
      </c>
      <c r="G546" s="17">
        <f t="shared" si="234"/>
        <v>53.125</v>
      </c>
      <c r="H546" s="236"/>
      <c r="I546" s="236"/>
      <c r="J546" s="236"/>
      <c r="K546" s="266"/>
      <c r="M546" s="270"/>
      <c r="N546" s="236"/>
      <c r="O546" s="19" t="s">
        <v>1861</v>
      </c>
      <c r="P546" s="17">
        <v>12.2</v>
      </c>
      <c r="Q546" s="17">
        <v>13</v>
      </c>
      <c r="R546" s="17">
        <f t="shared" si="232"/>
        <v>158.6</v>
      </c>
      <c r="S546" s="236"/>
      <c r="T546" s="236"/>
      <c r="U546" s="236"/>
      <c r="V546" s="258"/>
      <c r="Y546" s="270"/>
      <c r="Z546" s="236"/>
      <c r="AA546" s="19" t="s">
        <v>1861</v>
      </c>
      <c r="AB546" s="17">
        <v>12.2</v>
      </c>
      <c r="AC546" s="17">
        <v>13</v>
      </c>
      <c r="AD546" s="17">
        <f t="shared" si="233"/>
        <v>158.6</v>
      </c>
      <c r="AE546" s="236"/>
      <c r="AF546" s="236"/>
      <c r="AG546" s="236"/>
      <c r="AH546" s="258"/>
    </row>
    <row r="547" spans="2:34" ht="13">
      <c r="B547" s="249"/>
      <c r="C547" s="155"/>
      <c r="D547" s="19" t="s">
        <v>1448</v>
      </c>
      <c r="E547" s="17">
        <v>5.5</v>
      </c>
      <c r="F547" s="17">
        <v>12.5</v>
      </c>
      <c r="G547" s="17">
        <f t="shared" si="234"/>
        <v>68.75</v>
      </c>
      <c r="H547" s="236"/>
      <c r="I547" s="236"/>
      <c r="J547" s="236"/>
      <c r="K547" s="266"/>
      <c r="M547" s="270"/>
      <c r="N547" s="248"/>
      <c r="O547" s="20" t="s">
        <v>1862</v>
      </c>
      <c r="P547" s="21">
        <v>24</v>
      </c>
      <c r="Q547" s="21">
        <v>13</v>
      </c>
      <c r="R547" s="21">
        <f t="shared" si="232"/>
        <v>312</v>
      </c>
      <c r="S547" s="293"/>
      <c r="T547" s="293"/>
      <c r="U547" s="293"/>
      <c r="V547" s="295"/>
      <c r="Y547" s="270"/>
      <c r="Z547" s="248"/>
      <c r="AA547" s="20" t="s">
        <v>1862</v>
      </c>
      <c r="AB547" s="21">
        <v>24</v>
      </c>
      <c r="AC547" s="21">
        <v>13</v>
      </c>
      <c r="AD547" s="21">
        <f t="shared" si="233"/>
        <v>312</v>
      </c>
      <c r="AE547" s="293"/>
      <c r="AF547" s="293"/>
      <c r="AG547" s="293"/>
      <c r="AH547" s="295"/>
    </row>
    <row r="548" spans="2:34" ht="14">
      <c r="B548" s="249"/>
      <c r="C548" s="155"/>
      <c r="D548" s="19" t="s">
        <v>114</v>
      </c>
      <c r="E548" s="17">
        <v>2.25</v>
      </c>
      <c r="F548" s="17" t="s">
        <v>1387</v>
      </c>
      <c r="G548" s="17">
        <v>0</v>
      </c>
      <c r="H548" s="236"/>
      <c r="I548" s="236"/>
      <c r="J548" s="236"/>
      <c r="K548" s="266"/>
      <c r="M548" s="270"/>
      <c r="N548" s="173" t="s">
        <v>1863</v>
      </c>
      <c r="O548" s="15" t="s">
        <v>114</v>
      </c>
      <c r="P548" s="16">
        <v>14</v>
      </c>
      <c r="Q548" s="16">
        <v>16</v>
      </c>
      <c r="R548" s="16">
        <f t="shared" si="232"/>
        <v>224</v>
      </c>
      <c r="S548" s="292">
        <f>SUM(R548:R552)</f>
        <v>785.81</v>
      </c>
      <c r="T548" s="292">
        <v>2555</v>
      </c>
      <c r="U548" s="292">
        <f>T548-S548</f>
        <v>1769.19</v>
      </c>
      <c r="V548" s="313">
        <f>U548/T548</f>
        <v>0.6924422700587084</v>
      </c>
      <c r="Y548" s="270"/>
      <c r="Z548" s="173" t="s">
        <v>1864</v>
      </c>
      <c r="AA548" s="15" t="s">
        <v>114</v>
      </c>
      <c r="AB548" s="43"/>
      <c r="AC548" s="43"/>
      <c r="AD548" s="43"/>
      <c r="AE548" s="284">
        <f>SUM(AD548:AD552)</f>
        <v>561.80999999999995</v>
      </c>
      <c r="AF548" s="284">
        <v>2555</v>
      </c>
      <c r="AG548" s="284">
        <f>AF548-AE548</f>
        <v>1993.19</v>
      </c>
      <c r="AH548" s="309">
        <f>AG548/AF548</f>
        <v>0.78011350293542081</v>
      </c>
    </row>
    <row r="549" spans="2:34" ht="13">
      <c r="B549" s="249"/>
      <c r="C549" s="155"/>
      <c r="D549" s="19" t="s">
        <v>114</v>
      </c>
      <c r="E549" s="17">
        <v>7</v>
      </c>
      <c r="F549" s="17" t="s">
        <v>1387</v>
      </c>
      <c r="G549" s="17">
        <v>0</v>
      </c>
      <c r="H549" s="236"/>
      <c r="I549" s="236"/>
      <c r="J549" s="236"/>
      <c r="K549" s="266"/>
      <c r="M549" s="270"/>
      <c r="N549" s="174"/>
      <c r="O549" s="19" t="s">
        <v>1865</v>
      </c>
      <c r="P549" s="17"/>
      <c r="Q549" s="17"/>
      <c r="R549" s="17">
        <v>72</v>
      </c>
      <c r="S549" s="236"/>
      <c r="T549" s="236"/>
      <c r="U549" s="236"/>
      <c r="V549" s="242"/>
      <c r="Y549" s="270"/>
      <c r="Z549" s="174"/>
      <c r="AA549" s="19" t="s">
        <v>1865</v>
      </c>
      <c r="AB549" s="17"/>
      <c r="AC549" s="17"/>
      <c r="AD549" s="17">
        <v>72</v>
      </c>
      <c r="AE549" s="236"/>
      <c r="AF549" s="236"/>
      <c r="AG549" s="236"/>
      <c r="AH549" s="242"/>
    </row>
    <row r="550" spans="2:34" ht="13">
      <c r="B550" s="249"/>
      <c r="C550" s="155"/>
      <c r="D550" s="19" t="s">
        <v>1448</v>
      </c>
      <c r="E550" s="17">
        <v>4.5</v>
      </c>
      <c r="F550" s="17">
        <v>12.5</v>
      </c>
      <c r="G550" s="17">
        <f t="shared" ref="G550:G551" si="235">E550*F550</f>
        <v>56.25</v>
      </c>
      <c r="H550" s="236"/>
      <c r="I550" s="236"/>
      <c r="J550" s="236"/>
      <c r="K550" s="266"/>
      <c r="M550" s="270"/>
      <c r="N550" s="174"/>
      <c r="O550" s="19" t="s">
        <v>735</v>
      </c>
      <c r="P550" s="17"/>
      <c r="Q550" s="17"/>
      <c r="R550" s="17">
        <v>193.81</v>
      </c>
      <c r="S550" s="236"/>
      <c r="T550" s="236"/>
      <c r="U550" s="236"/>
      <c r="V550" s="242"/>
      <c r="Y550" s="270"/>
      <c r="Z550" s="174"/>
      <c r="AA550" s="19" t="s">
        <v>735</v>
      </c>
      <c r="AB550" s="17"/>
      <c r="AC550" s="17"/>
      <c r="AD550" s="17">
        <v>193.81</v>
      </c>
      <c r="AE550" s="236"/>
      <c r="AF550" s="236"/>
      <c r="AG550" s="236"/>
      <c r="AH550" s="242"/>
    </row>
    <row r="551" spans="2:34" ht="13">
      <c r="B551" s="249"/>
      <c r="C551" s="155"/>
      <c r="D551" s="19" t="s">
        <v>1709</v>
      </c>
      <c r="E551" s="17">
        <v>4.75</v>
      </c>
      <c r="F551" s="17">
        <v>12.5</v>
      </c>
      <c r="G551" s="17">
        <f t="shared" si="235"/>
        <v>59.375</v>
      </c>
      <c r="H551" s="236"/>
      <c r="I551" s="236"/>
      <c r="J551" s="236"/>
      <c r="K551" s="266"/>
      <c r="M551" s="270"/>
      <c r="N551" s="174"/>
      <c r="O551" s="19" t="s">
        <v>1866</v>
      </c>
      <c r="P551" s="17"/>
      <c r="Q551" s="17"/>
      <c r="R551" s="17">
        <v>66</v>
      </c>
      <c r="S551" s="236"/>
      <c r="T551" s="236"/>
      <c r="U551" s="236"/>
      <c r="V551" s="242"/>
      <c r="Y551" s="270"/>
      <c r="Z551" s="174"/>
      <c r="AA551" s="19" t="s">
        <v>1866</v>
      </c>
      <c r="AB551" s="17"/>
      <c r="AC551" s="17"/>
      <c r="AD551" s="17">
        <v>66</v>
      </c>
      <c r="AE551" s="236"/>
      <c r="AF551" s="236"/>
      <c r="AG551" s="236"/>
      <c r="AH551" s="242"/>
    </row>
    <row r="552" spans="2:34" ht="13">
      <c r="B552" s="249"/>
      <c r="C552" s="157" t="s">
        <v>1867</v>
      </c>
      <c r="D552" s="195" t="s">
        <v>1308</v>
      </c>
      <c r="E552" s="196">
        <v>3</v>
      </c>
      <c r="F552" s="196">
        <v>15</v>
      </c>
      <c r="G552" s="197">
        <v>45</v>
      </c>
      <c r="H552" s="340">
        <f>SUM(G552:G560)</f>
        <v>660</v>
      </c>
      <c r="I552" s="338">
        <v>2475</v>
      </c>
      <c r="J552" s="340">
        <f>I552-H552</f>
        <v>1815</v>
      </c>
      <c r="K552" s="321">
        <f>J552/I552</f>
        <v>0.73333333333333328</v>
      </c>
      <c r="M552" s="270"/>
      <c r="N552" s="175"/>
      <c r="O552" s="20" t="s">
        <v>1868</v>
      </c>
      <c r="P552" s="21"/>
      <c r="Q552" s="21"/>
      <c r="R552" s="21">
        <v>230</v>
      </c>
      <c r="S552" s="248"/>
      <c r="T552" s="248"/>
      <c r="U552" s="248"/>
      <c r="V552" s="303"/>
      <c r="Y552" s="270"/>
      <c r="Z552" s="175"/>
      <c r="AA552" s="20" t="s">
        <v>1868</v>
      </c>
      <c r="AB552" s="21"/>
      <c r="AC552" s="21"/>
      <c r="AD552" s="21">
        <v>230</v>
      </c>
      <c r="AE552" s="248"/>
      <c r="AF552" s="248"/>
      <c r="AG552" s="248"/>
      <c r="AH552" s="303"/>
    </row>
    <row r="553" spans="2:34" ht="14">
      <c r="B553" s="249"/>
      <c r="C553" s="155"/>
      <c r="D553" s="110" t="s">
        <v>1341</v>
      </c>
      <c r="E553" s="180">
        <v>3</v>
      </c>
      <c r="F553" s="180">
        <v>15</v>
      </c>
      <c r="G553" s="198">
        <v>45</v>
      </c>
      <c r="H553" s="236"/>
      <c r="I553" s="236"/>
      <c r="J553" s="236"/>
      <c r="K553" s="266"/>
      <c r="M553" s="270"/>
      <c r="N553" s="173" t="s">
        <v>1869</v>
      </c>
      <c r="O553" s="15" t="s">
        <v>114</v>
      </c>
      <c r="P553" s="16">
        <v>9</v>
      </c>
      <c r="Q553" s="16">
        <v>16</v>
      </c>
      <c r="R553" s="16">
        <f t="shared" ref="R553:R557" si="236">P553*Q553</f>
        <v>144</v>
      </c>
      <c r="S553" s="292">
        <f>SUM(R553:R557)</f>
        <v>468.5</v>
      </c>
      <c r="T553" s="292">
        <v>3600</v>
      </c>
      <c r="U553" s="292">
        <f>T553-S553</f>
        <v>3131.5</v>
      </c>
      <c r="V553" s="313">
        <f>U553/T553</f>
        <v>0.86986111111111108</v>
      </c>
      <c r="Y553" s="270"/>
      <c r="Z553" s="173" t="s">
        <v>1869</v>
      </c>
      <c r="AA553" s="15" t="s">
        <v>114</v>
      </c>
      <c r="AB553" s="43"/>
      <c r="AC553" s="43"/>
      <c r="AD553" s="43"/>
      <c r="AE553" s="292">
        <f>SUM(AD553:AD557)</f>
        <v>260.25</v>
      </c>
      <c r="AF553" s="292">
        <v>3600</v>
      </c>
      <c r="AG553" s="292">
        <f>AF553-AE553</f>
        <v>3339.75</v>
      </c>
      <c r="AH553" s="313">
        <f>AG553/AF553</f>
        <v>0.92770833333333336</v>
      </c>
    </row>
    <row r="554" spans="2:34" ht="13">
      <c r="B554" s="249"/>
      <c r="C554" s="155"/>
      <c r="D554" s="19" t="s">
        <v>1235</v>
      </c>
      <c r="E554" s="17">
        <v>3</v>
      </c>
      <c r="F554" s="180">
        <v>15</v>
      </c>
      <c r="G554" s="198">
        <v>45</v>
      </c>
      <c r="H554" s="236"/>
      <c r="I554" s="236"/>
      <c r="J554" s="236"/>
      <c r="K554" s="266"/>
      <c r="M554" s="270"/>
      <c r="N554" s="174"/>
      <c r="O554" s="19" t="s">
        <v>1232</v>
      </c>
      <c r="P554" s="17">
        <v>7</v>
      </c>
      <c r="Q554" s="17">
        <v>8</v>
      </c>
      <c r="R554" s="17">
        <f t="shared" si="236"/>
        <v>56</v>
      </c>
      <c r="S554" s="236"/>
      <c r="T554" s="236"/>
      <c r="U554" s="236"/>
      <c r="V554" s="242"/>
      <c r="Y554" s="270"/>
      <c r="Z554" s="174"/>
      <c r="AA554" s="19" t="s">
        <v>1232</v>
      </c>
      <c r="AB554" s="18"/>
      <c r="AC554" s="18"/>
      <c r="AD554" s="18"/>
      <c r="AE554" s="236"/>
      <c r="AF554" s="236"/>
      <c r="AG554" s="236"/>
      <c r="AH554" s="242"/>
    </row>
    <row r="555" spans="2:34" ht="13">
      <c r="B555" s="249"/>
      <c r="C555" s="155"/>
      <c r="D555" s="19" t="s">
        <v>1339</v>
      </c>
      <c r="E555" s="17">
        <v>3</v>
      </c>
      <c r="F555" s="180">
        <v>15</v>
      </c>
      <c r="G555" s="198">
        <v>45</v>
      </c>
      <c r="H555" s="236"/>
      <c r="I555" s="236"/>
      <c r="J555" s="236"/>
      <c r="K555" s="266"/>
      <c r="M555" s="270"/>
      <c r="N555" s="174"/>
      <c r="O555" s="19" t="s">
        <v>1235</v>
      </c>
      <c r="P555" s="17">
        <v>7.4</v>
      </c>
      <c r="Q555" s="17">
        <v>15</v>
      </c>
      <c r="R555" s="17">
        <f t="shared" si="236"/>
        <v>111</v>
      </c>
      <c r="S555" s="236"/>
      <c r="T555" s="236"/>
      <c r="U555" s="236"/>
      <c r="V555" s="242"/>
      <c r="Y555" s="270"/>
      <c r="Z555" s="174"/>
      <c r="AA555" s="19" t="s">
        <v>1235</v>
      </c>
      <c r="AB555" s="17">
        <v>7.4</v>
      </c>
      <c r="AC555" s="17">
        <v>15</v>
      </c>
      <c r="AD555" s="17">
        <f t="shared" ref="AD555:AD557" si="237">AB555*AC555</f>
        <v>111</v>
      </c>
      <c r="AE555" s="236"/>
      <c r="AF555" s="236"/>
      <c r="AG555" s="236"/>
      <c r="AH555" s="242"/>
    </row>
    <row r="556" spans="2:34" ht="13">
      <c r="B556" s="249"/>
      <c r="C556" s="155"/>
      <c r="D556" s="19" t="s">
        <v>1308</v>
      </c>
      <c r="E556" s="17">
        <v>3</v>
      </c>
      <c r="F556" s="180">
        <v>15</v>
      </c>
      <c r="G556" s="198">
        <v>45</v>
      </c>
      <c r="H556" s="236"/>
      <c r="I556" s="236"/>
      <c r="J556" s="236"/>
      <c r="K556" s="266"/>
      <c r="M556" s="270"/>
      <c r="N556" s="174"/>
      <c r="O556" s="19" t="s">
        <v>715</v>
      </c>
      <c r="P556" s="17">
        <v>5.5</v>
      </c>
      <c r="Q556" s="17">
        <v>15</v>
      </c>
      <c r="R556" s="17">
        <f t="shared" si="236"/>
        <v>82.5</v>
      </c>
      <c r="S556" s="236"/>
      <c r="T556" s="236"/>
      <c r="U556" s="236"/>
      <c r="V556" s="242"/>
      <c r="Y556" s="270"/>
      <c r="Z556" s="174"/>
      <c r="AA556" s="19" t="s">
        <v>715</v>
      </c>
      <c r="AB556" s="17">
        <v>5.2</v>
      </c>
      <c r="AC556" s="17">
        <v>15</v>
      </c>
      <c r="AD556" s="17">
        <f t="shared" si="237"/>
        <v>78</v>
      </c>
      <c r="AE556" s="236"/>
      <c r="AF556" s="236"/>
      <c r="AG556" s="236"/>
      <c r="AH556" s="242"/>
    </row>
    <row r="557" spans="2:34" ht="13">
      <c r="B557" s="249"/>
      <c r="C557" s="155"/>
      <c r="D557" s="19" t="s">
        <v>1341</v>
      </c>
      <c r="E557" s="17">
        <v>3</v>
      </c>
      <c r="F557" s="180">
        <v>15</v>
      </c>
      <c r="G557" s="198">
        <v>45</v>
      </c>
      <c r="H557" s="236"/>
      <c r="I557" s="236"/>
      <c r="J557" s="236"/>
      <c r="K557" s="266"/>
      <c r="M557" s="270"/>
      <c r="N557" s="175"/>
      <c r="O557" s="20" t="s">
        <v>1289</v>
      </c>
      <c r="P557" s="21">
        <v>5</v>
      </c>
      <c r="Q557" s="21">
        <v>15</v>
      </c>
      <c r="R557" s="21">
        <f t="shared" si="236"/>
        <v>75</v>
      </c>
      <c r="S557" s="248"/>
      <c r="T557" s="248"/>
      <c r="U557" s="248"/>
      <c r="V557" s="303"/>
      <c r="Y557" s="270"/>
      <c r="Z557" s="175"/>
      <c r="AA557" s="20" t="s">
        <v>1289</v>
      </c>
      <c r="AB557" s="21">
        <v>4.75</v>
      </c>
      <c r="AC557" s="21">
        <v>15</v>
      </c>
      <c r="AD557" s="21">
        <f t="shared" si="237"/>
        <v>71.25</v>
      </c>
      <c r="AE557" s="248"/>
      <c r="AF557" s="248"/>
      <c r="AG557" s="248"/>
      <c r="AH557" s="303"/>
    </row>
    <row r="558" spans="2:34" ht="30">
      <c r="B558" s="249"/>
      <c r="C558" s="155"/>
      <c r="D558" s="19" t="s">
        <v>1235</v>
      </c>
      <c r="E558" s="17">
        <v>3</v>
      </c>
      <c r="F558" s="180">
        <v>15</v>
      </c>
      <c r="G558" s="198">
        <v>45</v>
      </c>
      <c r="H558" s="236"/>
      <c r="I558" s="236"/>
      <c r="J558" s="236"/>
      <c r="K558" s="266"/>
      <c r="M558" s="278" t="s">
        <v>1870</v>
      </c>
      <c r="N558" s="252"/>
      <c r="O558" s="253"/>
      <c r="P558" s="128">
        <f t="shared" ref="P558:U558" si="238">AVERAGE(P514:P557)</f>
        <v>19.434242424242424</v>
      </c>
      <c r="Q558" s="128">
        <f t="shared" si="238"/>
        <v>13.090909090909092</v>
      </c>
      <c r="R558" s="128">
        <f t="shared" si="238"/>
        <v>225.81022727272727</v>
      </c>
      <c r="S558" s="128">
        <f t="shared" si="238"/>
        <v>1241.95625</v>
      </c>
      <c r="T558" s="128">
        <f t="shared" si="238"/>
        <v>5111.6750000000002</v>
      </c>
      <c r="U558" s="128">
        <f t="shared" si="238"/>
        <v>3869.7187499999995</v>
      </c>
      <c r="V558" s="149"/>
      <c r="Y558" s="278" t="s">
        <v>1870</v>
      </c>
      <c r="Z558" s="252"/>
      <c r="AA558" s="253"/>
      <c r="AB558" s="128">
        <f t="shared" ref="AB558:AG558" si="239">AVERAGE(AB514:AB557)</f>
        <v>23.24190476190476</v>
      </c>
      <c r="AC558" s="128">
        <f t="shared" si="239"/>
        <v>13.761904761904763</v>
      </c>
      <c r="AD558" s="128">
        <f t="shared" si="239"/>
        <v>253.15000000000003</v>
      </c>
      <c r="AE558" s="128">
        <f t="shared" si="239"/>
        <v>1012.6000000000001</v>
      </c>
      <c r="AF558" s="128">
        <f t="shared" si="239"/>
        <v>5111.6750000000002</v>
      </c>
      <c r="AG558" s="128">
        <f t="shared" si="239"/>
        <v>4099.0749999999989</v>
      </c>
      <c r="AH558" s="129">
        <f>AVERAGE($V$513:$V$556)</f>
        <v>0.74156978145982644</v>
      </c>
    </row>
    <row r="559" spans="2:34" ht="30">
      <c r="B559" s="249"/>
      <c r="C559" s="155"/>
      <c r="D559" s="19" t="s">
        <v>1235</v>
      </c>
      <c r="E559" s="17">
        <v>3</v>
      </c>
      <c r="F559" s="180">
        <v>15</v>
      </c>
      <c r="G559" s="198">
        <v>45</v>
      </c>
      <c r="H559" s="236"/>
      <c r="I559" s="236"/>
      <c r="J559" s="236"/>
      <c r="K559" s="266"/>
      <c r="M559" s="318" t="s">
        <v>1871</v>
      </c>
      <c r="N559" s="293"/>
      <c r="O559" s="319"/>
      <c r="P559" s="130">
        <f t="shared" ref="P559:U559" si="240">SUM(P514:P557)</f>
        <v>641.32999999999993</v>
      </c>
      <c r="Q559" s="130">
        <f t="shared" si="240"/>
        <v>432</v>
      </c>
      <c r="R559" s="130">
        <f t="shared" si="240"/>
        <v>9935.65</v>
      </c>
      <c r="S559" s="130">
        <f t="shared" si="240"/>
        <v>9935.65</v>
      </c>
      <c r="T559" s="130">
        <f t="shared" si="240"/>
        <v>40893.4</v>
      </c>
      <c r="U559" s="130">
        <f t="shared" si="240"/>
        <v>30957.749999999996</v>
      </c>
      <c r="V559" s="129">
        <f t="shared" ref="V559:V560" si="241">U559/T559</f>
        <v>0.75703536512004366</v>
      </c>
      <c r="Y559" s="318" t="s">
        <v>1871</v>
      </c>
      <c r="Z559" s="293"/>
      <c r="AA559" s="319"/>
      <c r="AB559" s="130">
        <f t="shared" ref="AB559:AG559" si="242">SUM(AB514:AB557)</f>
        <v>488.08</v>
      </c>
      <c r="AC559" s="130">
        <f t="shared" si="242"/>
        <v>289</v>
      </c>
      <c r="AD559" s="130">
        <f t="shared" si="242"/>
        <v>8100.8000000000011</v>
      </c>
      <c r="AE559" s="130">
        <f t="shared" si="242"/>
        <v>8100.8000000000011</v>
      </c>
      <c r="AF559" s="130">
        <f t="shared" si="242"/>
        <v>40893.4</v>
      </c>
      <c r="AG559" s="130">
        <f t="shared" si="242"/>
        <v>32792.599999999991</v>
      </c>
      <c r="AH559" s="185">
        <f t="shared" ref="AH559:AH560" si="243">AG559/AF559</f>
        <v>0.80190446380100433</v>
      </c>
    </row>
    <row r="560" spans="2:34" ht="14">
      <c r="B560" s="249"/>
      <c r="C560" s="155"/>
      <c r="D560" s="19" t="s">
        <v>1872</v>
      </c>
      <c r="E560" s="17">
        <v>20</v>
      </c>
      <c r="F560" s="180">
        <v>15</v>
      </c>
      <c r="G560" s="17">
        <f t="shared" ref="G560:G564" si="244">E560*F560</f>
        <v>300</v>
      </c>
      <c r="H560" s="236"/>
      <c r="I560" s="236"/>
      <c r="J560" s="236"/>
      <c r="K560" s="266"/>
      <c r="M560" s="288" t="s">
        <v>1089</v>
      </c>
      <c r="N560" s="173" t="s">
        <v>1873</v>
      </c>
      <c r="O560" s="15" t="s">
        <v>1353</v>
      </c>
      <c r="P560" s="16">
        <v>10</v>
      </c>
      <c r="Q560" s="16">
        <v>13</v>
      </c>
      <c r="R560" s="16">
        <f t="shared" ref="R560:R568" si="245">P560*Q560</f>
        <v>130</v>
      </c>
      <c r="S560" s="292">
        <f>SUM(R560:R564)</f>
        <v>570.04999999999995</v>
      </c>
      <c r="T560" s="292">
        <v>2079</v>
      </c>
      <c r="U560" s="292">
        <f>T560-S560</f>
        <v>1508.95</v>
      </c>
      <c r="V560" s="313">
        <f t="shared" si="241"/>
        <v>0.72580567580567579</v>
      </c>
      <c r="Y560" s="288" t="s">
        <v>1089</v>
      </c>
      <c r="Z560" s="186" t="s">
        <v>1873</v>
      </c>
      <c r="AA560" s="19" t="s">
        <v>1353</v>
      </c>
      <c r="AB560" s="16">
        <v>10</v>
      </c>
      <c r="AC560" s="16">
        <v>13</v>
      </c>
      <c r="AD560" s="16">
        <f t="shared" ref="AD560:AD568" si="246">AB560*AC560</f>
        <v>130</v>
      </c>
      <c r="AE560" s="292">
        <f>SUM(AD560:AD564)</f>
        <v>570.04999999999995</v>
      </c>
      <c r="AF560" s="292">
        <v>2079</v>
      </c>
      <c r="AG560" s="292">
        <f>AF560-AE560</f>
        <v>1508.95</v>
      </c>
      <c r="AH560" s="313">
        <f t="shared" si="243"/>
        <v>0.72580567580567579</v>
      </c>
    </row>
    <row r="561" spans="2:34" ht="13">
      <c r="B561" s="249"/>
      <c r="C561" s="157" t="s">
        <v>1874</v>
      </c>
      <c r="D561" s="123" t="s">
        <v>1448</v>
      </c>
      <c r="E561" s="124">
        <v>5.25</v>
      </c>
      <c r="F561" s="124">
        <v>12.5</v>
      </c>
      <c r="G561" s="124">
        <f t="shared" si="244"/>
        <v>65.625</v>
      </c>
      <c r="H561" s="320">
        <f>SUM(G561:G564)</f>
        <v>253.125</v>
      </c>
      <c r="I561" s="320">
        <v>700</v>
      </c>
      <c r="J561" s="320">
        <f>I561-H561</f>
        <v>446.875</v>
      </c>
      <c r="K561" s="321">
        <f>J561/I561</f>
        <v>0.6383928571428571</v>
      </c>
      <c r="M561" s="270"/>
      <c r="N561" s="174"/>
      <c r="O561" s="19" t="s">
        <v>53</v>
      </c>
      <c r="P561" s="17">
        <v>8.5</v>
      </c>
      <c r="Q561" s="17">
        <v>13</v>
      </c>
      <c r="R561" s="17">
        <f t="shared" si="245"/>
        <v>110.5</v>
      </c>
      <c r="S561" s="236"/>
      <c r="T561" s="236"/>
      <c r="U561" s="236"/>
      <c r="V561" s="242"/>
      <c r="Y561" s="270"/>
      <c r="Z561" s="174"/>
      <c r="AA561" s="19" t="s">
        <v>53</v>
      </c>
      <c r="AB561" s="17">
        <v>8.5</v>
      </c>
      <c r="AC561" s="17">
        <v>13</v>
      </c>
      <c r="AD561" s="17">
        <f t="shared" si="246"/>
        <v>110.5</v>
      </c>
      <c r="AE561" s="236"/>
      <c r="AF561" s="236"/>
      <c r="AG561" s="236"/>
      <c r="AH561" s="242"/>
    </row>
    <row r="562" spans="2:34" ht="13">
      <c r="B562" s="249"/>
      <c r="C562" s="155"/>
      <c r="D562" s="19" t="s">
        <v>1486</v>
      </c>
      <c r="E562" s="17">
        <v>5</v>
      </c>
      <c r="F562" s="17">
        <v>12.5</v>
      </c>
      <c r="G562" s="17">
        <f t="shared" si="244"/>
        <v>62.5</v>
      </c>
      <c r="H562" s="236"/>
      <c r="I562" s="236"/>
      <c r="J562" s="236"/>
      <c r="K562" s="266"/>
      <c r="M562" s="270"/>
      <c r="N562" s="174"/>
      <c r="O562" s="19" t="s">
        <v>1239</v>
      </c>
      <c r="P562" s="17">
        <v>11.3</v>
      </c>
      <c r="Q562" s="17">
        <v>13</v>
      </c>
      <c r="R562" s="17">
        <f t="shared" si="245"/>
        <v>146.9</v>
      </c>
      <c r="S562" s="236"/>
      <c r="T562" s="236"/>
      <c r="U562" s="236"/>
      <c r="V562" s="242"/>
      <c r="Y562" s="270"/>
      <c r="Z562" s="174"/>
      <c r="AA562" s="19" t="s">
        <v>1239</v>
      </c>
      <c r="AB562" s="17">
        <v>11.3</v>
      </c>
      <c r="AC562" s="17">
        <v>13</v>
      </c>
      <c r="AD562" s="17">
        <f t="shared" si="246"/>
        <v>146.9</v>
      </c>
      <c r="AE562" s="236"/>
      <c r="AF562" s="236"/>
      <c r="AG562" s="236"/>
      <c r="AH562" s="242"/>
    </row>
    <row r="563" spans="2:34" ht="13">
      <c r="B563" s="249"/>
      <c r="C563" s="155"/>
      <c r="D563" s="19" t="s">
        <v>1341</v>
      </c>
      <c r="E563" s="17">
        <v>6</v>
      </c>
      <c r="F563" s="17">
        <v>12.5</v>
      </c>
      <c r="G563" s="17">
        <f t="shared" si="244"/>
        <v>75</v>
      </c>
      <c r="H563" s="236"/>
      <c r="I563" s="236"/>
      <c r="J563" s="236"/>
      <c r="K563" s="266"/>
      <c r="M563" s="270"/>
      <c r="N563" s="174"/>
      <c r="O563" s="19" t="s">
        <v>1245</v>
      </c>
      <c r="P563" s="17">
        <v>3.8</v>
      </c>
      <c r="Q563" s="17">
        <v>13</v>
      </c>
      <c r="R563" s="17">
        <f t="shared" si="245"/>
        <v>49.4</v>
      </c>
      <c r="S563" s="236"/>
      <c r="T563" s="236"/>
      <c r="U563" s="236"/>
      <c r="V563" s="242"/>
      <c r="Y563" s="270"/>
      <c r="Z563" s="174"/>
      <c r="AA563" s="19" t="s">
        <v>1245</v>
      </c>
      <c r="AB563" s="17">
        <v>3.8</v>
      </c>
      <c r="AC563" s="17">
        <v>13</v>
      </c>
      <c r="AD563" s="17">
        <f t="shared" si="246"/>
        <v>49.4</v>
      </c>
      <c r="AE563" s="236"/>
      <c r="AF563" s="236"/>
      <c r="AG563" s="236"/>
      <c r="AH563" s="242"/>
    </row>
    <row r="564" spans="2:34" ht="13">
      <c r="B564" s="249"/>
      <c r="C564" s="155"/>
      <c r="D564" s="19" t="s">
        <v>1486</v>
      </c>
      <c r="E564" s="17">
        <v>4</v>
      </c>
      <c r="F564" s="17">
        <v>12.5</v>
      </c>
      <c r="G564" s="17">
        <f t="shared" si="244"/>
        <v>50</v>
      </c>
      <c r="H564" s="293"/>
      <c r="I564" s="293"/>
      <c r="J564" s="293"/>
      <c r="K564" s="319"/>
      <c r="M564" s="270"/>
      <c r="N564" s="199"/>
      <c r="O564" s="101" t="s">
        <v>770</v>
      </c>
      <c r="P564" s="200">
        <v>10.25</v>
      </c>
      <c r="Q564" s="200">
        <v>13</v>
      </c>
      <c r="R564" s="200">
        <f t="shared" si="245"/>
        <v>133.25</v>
      </c>
      <c r="S564" s="248"/>
      <c r="T564" s="248"/>
      <c r="U564" s="248"/>
      <c r="V564" s="303"/>
      <c r="Y564" s="270"/>
      <c r="Z564" s="199"/>
      <c r="AA564" s="101" t="s">
        <v>770</v>
      </c>
      <c r="AB564" s="200">
        <v>10.25</v>
      </c>
      <c r="AC564" s="200">
        <v>13</v>
      </c>
      <c r="AD564" s="200">
        <f t="shared" si="246"/>
        <v>133.25</v>
      </c>
      <c r="AE564" s="248"/>
      <c r="AF564" s="248"/>
      <c r="AG564" s="248"/>
      <c r="AH564" s="303"/>
    </row>
    <row r="565" spans="2:34" ht="14">
      <c r="B565" s="249"/>
      <c r="C565" s="157" t="s">
        <v>1875</v>
      </c>
      <c r="D565" s="123" t="s">
        <v>698</v>
      </c>
      <c r="E565" s="124">
        <v>4.75</v>
      </c>
      <c r="F565" s="124">
        <v>15</v>
      </c>
      <c r="G565" s="124">
        <v>0</v>
      </c>
      <c r="H565" s="320">
        <f>SUM(G565:G566)</f>
        <v>0</v>
      </c>
      <c r="I565" s="320">
        <v>600</v>
      </c>
      <c r="J565" s="320">
        <f>I565-H565</f>
        <v>600</v>
      </c>
      <c r="K565" s="321">
        <f>J565/I565</f>
        <v>1</v>
      </c>
      <c r="M565" s="270"/>
      <c r="N565" s="173" t="s">
        <v>1876</v>
      </c>
      <c r="O565" s="15" t="s">
        <v>1877</v>
      </c>
      <c r="P565" s="16">
        <v>18</v>
      </c>
      <c r="Q565" s="16">
        <v>17</v>
      </c>
      <c r="R565" s="16">
        <f t="shared" si="245"/>
        <v>306</v>
      </c>
      <c r="S565" s="292">
        <f>SUM(R565:R569)</f>
        <v>1108.0999999999999</v>
      </c>
      <c r="T565" s="292">
        <v>3624</v>
      </c>
      <c r="U565" s="292">
        <f>T565-S565</f>
        <v>2515.9</v>
      </c>
      <c r="V565" s="313">
        <f>U565/T565</f>
        <v>0.69423289183222958</v>
      </c>
      <c r="Y565" s="270"/>
      <c r="Z565" s="173" t="s">
        <v>1876</v>
      </c>
      <c r="AA565" s="15" t="s">
        <v>1877</v>
      </c>
      <c r="AB565" s="16">
        <v>18</v>
      </c>
      <c r="AC565" s="16">
        <v>17</v>
      </c>
      <c r="AD565" s="16">
        <f t="shared" si="246"/>
        <v>306</v>
      </c>
      <c r="AE565" s="292">
        <f>SUM(AD565:AD569)</f>
        <v>1108.0999999999999</v>
      </c>
      <c r="AF565" s="292">
        <v>3624</v>
      </c>
      <c r="AG565" s="292">
        <f>AF565-AE565</f>
        <v>2515.9</v>
      </c>
      <c r="AH565" s="313">
        <f>AG565/AF565</f>
        <v>0.69423289183222958</v>
      </c>
    </row>
    <row r="566" spans="2:34" ht="13">
      <c r="B566" s="249"/>
      <c r="C566" s="155"/>
      <c r="D566" s="19" t="s">
        <v>1830</v>
      </c>
      <c r="E566" s="17">
        <v>4.75</v>
      </c>
      <c r="F566" s="17">
        <v>15</v>
      </c>
      <c r="G566" s="17">
        <v>0</v>
      </c>
      <c r="H566" s="293"/>
      <c r="I566" s="293"/>
      <c r="J566" s="293"/>
      <c r="K566" s="319"/>
      <c r="M566" s="270"/>
      <c r="N566" s="174"/>
      <c r="O566" s="19" t="s">
        <v>1878</v>
      </c>
      <c r="P566" s="17">
        <v>6</v>
      </c>
      <c r="Q566" s="17">
        <v>15</v>
      </c>
      <c r="R566" s="17">
        <f t="shared" si="245"/>
        <v>90</v>
      </c>
      <c r="S566" s="236"/>
      <c r="T566" s="236"/>
      <c r="U566" s="236"/>
      <c r="V566" s="242"/>
      <c r="Y566" s="270"/>
      <c r="Z566" s="174"/>
      <c r="AA566" s="19" t="s">
        <v>1878</v>
      </c>
      <c r="AB566" s="17">
        <v>6</v>
      </c>
      <c r="AC566" s="17">
        <v>15</v>
      </c>
      <c r="AD566" s="17">
        <f t="shared" si="246"/>
        <v>90</v>
      </c>
      <c r="AE566" s="236"/>
      <c r="AF566" s="236"/>
      <c r="AG566" s="236"/>
      <c r="AH566" s="242"/>
    </row>
    <row r="567" spans="2:34" ht="13">
      <c r="B567" s="249"/>
      <c r="C567" s="157" t="s">
        <v>1879</v>
      </c>
      <c r="D567" s="123" t="s">
        <v>1308</v>
      </c>
      <c r="E567" s="124">
        <v>2</v>
      </c>
      <c r="F567" s="124">
        <v>25</v>
      </c>
      <c r="G567" s="124">
        <v>50</v>
      </c>
      <c r="H567" s="320">
        <f>SUM(G567:G570)</f>
        <v>200</v>
      </c>
      <c r="I567" s="320">
        <v>950</v>
      </c>
      <c r="J567" s="320">
        <f>I567-H567</f>
        <v>750</v>
      </c>
      <c r="K567" s="321">
        <f>J567/I567</f>
        <v>0.78947368421052633</v>
      </c>
      <c r="M567" s="270"/>
      <c r="N567" s="174"/>
      <c r="O567" s="19" t="s">
        <v>1880</v>
      </c>
      <c r="P567" s="17">
        <v>15</v>
      </c>
      <c r="Q567" s="17">
        <v>15</v>
      </c>
      <c r="R567" s="17">
        <f t="shared" si="245"/>
        <v>225</v>
      </c>
      <c r="S567" s="236"/>
      <c r="T567" s="236"/>
      <c r="U567" s="236"/>
      <c r="V567" s="242"/>
      <c r="Y567" s="270"/>
      <c r="Z567" s="174"/>
      <c r="AA567" s="19" t="s">
        <v>1880</v>
      </c>
      <c r="AB567" s="17">
        <v>15</v>
      </c>
      <c r="AC567" s="17">
        <v>15</v>
      </c>
      <c r="AD567" s="17">
        <f t="shared" si="246"/>
        <v>225</v>
      </c>
      <c r="AE567" s="236"/>
      <c r="AF567" s="236"/>
      <c r="AG567" s="236"/>
      <c r="AH567" s="242"/>
    </row>
    <row r="568" spans="2:34" ht="13">
      <c r="B568" s="249"/>
      <c r="C568" s="155"/>
      <c r="D568" s="19" t="s">
        <v>95</v>
      </c>
      <c r="E568" s="17">
        <v>2</v>
      </c>
      <c r="F568" s="17">
        <v>25</v>
      </c>
      <c r="G568" s="17">
        <v>50</v>
      </c>
      <c r="H568" s="236"/>
      <c r="I568" s="236"/>
      <c r="J568" s="236"/>
      <c r="K568" s="266"/>
      <c r="M568" s="270"/>
      <c r="N568" s="174"/>
      <c r="O568" s="19" t="s">
        <v>1881</v>
      </c>
      <c r="P568" s="17">
        <v>9</v>
      </c>
      <c r="Q568" s="17">
        <v>15</v>
      </c>
      <c r="R568" s="17">
        <f t="shared" si="245"/>
        <v>135</v>
      </c>
      <c r="S568" s="236"/>
      <c r="T568" s="236"/>
      <c r="U568" s="236"/>
      <c r="V568" s="242"/>
      <c r="Y568" s="270"/>
      <c r="Z568" s="174"/>
      <c r="AA568" s="19" t="s">
        <v>1881</v>
      </c>
      <c r="AB568" s="17">
        <v>9</v>
      </c>
      <c r="AC568" s="17">
        <v>15</v>
      </c>
      <c r="AD568" s="17">
        <f t="shared" si="246"/>
        <v>135</v>
      </c>
      <c r="AE568" s="236"/>
      <c r="AF568" s="236"/>
      <c r="AG568" s="236"/>
      <c r="AH568" s="242"/>
    </row>
    <row r="569" spans="2:34" ht="13">
      <c r="B569" s="249"/>
      <c r="C569" s="155"/>
      <c r="D569" s="19" t="s">
        <v>1235</v>
      </c>
      <c r="E569" s="17">
        <v>2</v>
      </c>
      <c r="F569" s="17">
        <v>25</v>
      </c>
      <c r="G569" s="17">
        <v>50</v>
      </c>
      <c r="H569" s="236"/>
      <c r="I569" s="236"/>
      <c r="J569" s="236"/>
      <c r="K569" s="266"/>
      <c r="M569" s="270"/>
      <c r="N569" s="175"/>
      <c r="O569" s="20" t="s">
        <v>33</v>
      </c>
      <c r="P569" s="21"/>
      <c r="Q569" s="21"/>
      <c r="R569" s="21">
        <v>352.1</v>
      </c>
      <c r="S569" s="248"/>
      <c r="T569" s="248"/>
      <c r="U569" s="248"/>
      <c r="V569" s="303"/>
      <c r="Y569" s="270"/>
      <c r="Z569" s="175"/>
      <c r="AA569" s="20" t="s">
        <v>33</v>
      </c>
      <c r="AB569" s="21"/>
      <c r="AC569" s="21"/>
      <c r="AD569" s="21">
        <v>352.1</v>
      </c>
      <c r="AE569" s="248"/>
      <c r="AF569" s="248"/>
      <c r="AG569" s="248"/>
      <c r="AH569" s="303"/>
    </row>
    <row r="570" spans="2:34" ht="13">
      <c r="B570" s="249"/>
      <c r="C570" s="155"/>
      <c r="D570" s="19" t="s">
        <v>1341</v>
      </c>
      <c r="E570" s="17">
        <v>2</v>
      </c>
      <c r="F570" s="17">
        <v>25</v>
      </c>
      <c r="G570" s="17">
        <v>50</v>
      </c>
      <c r="H570" s="293"/>
      <c r="I570" s="293"/>
      <c r="J570" s="293"/>
      <c r="K570" s="319"/>
      <c r="M570" s="270"/>
      <c r="N570" s="316" t="s">
        <v>1233</v>
      </c>
      <c r="O570" s="19" t="s">
        <v>114</v>
      </c>
      <c r="P570" s="17">
        <v>21</v>
      </c>
      <c r="Q570" s="17">
        <v>16</v>
      </c>
      <c r="R570" s="17">
        <f t="shared" ref="R570:R572" si="247">P570*Q570</f>
        <v>336</v>
      </c>
      <c r="S570" s="284">
        <f>SUM(R570:R588)</f>
        <v>2790.65</v>
      </c>
      <c r="T570" s="284">
        <v>2427</v>
      </c>
      <c r="U570" s="284">
        <f>T570-S570</f>
        <v>-363.65000000000009</v>
      </c>
      <c r="V570" s="315">
        <f>U570/T570</f>
        <v>-0.14983518747424809</v>
      </c>
      <c r="Y570" s="270"/>
      <c r="Z570" s="316" t="s">
        <v>1233</v>
      </c>
      <c r="AA570" s="19" t="s">
        <v>114</v>
      </c>
      <c r="AB570" s="18"/>
      <c r="AC570" s="18"/>
      <c r="AD570" s="18"/>
      <c r="AE570" s="284">
        <f>SUM(AD570:AD588)</f>
        <v>2191</v>
      </c>
      <c r="AF570" s="284">
        <v>2427</v>
      </c>
      <c r="AG570" s="284">
        <f>AF570-AE570</f>
        <v>236</v>
      </c>
      <c r="AH570" s="315">
        <f>AG570/AF570</f>
        <v>9.7239390193654712E-2</v>
      </c>
    </row>
    <row r="571" spans="2:34" ht="13">
      <c r="B571" s="249"/>
      <c r="C571" s="157" t="s">
        <v>1882</v>
      </c>
      <c r="D571" s="123" t="s">
        <v>1308</v>
      </c>
      <c r="E571" s="124">
        <v>4.25</v>
      </c>
      <c r="F571" s="124">
        <v>12.5</v>
      </c>
      <c r="G571" s="124">
        <f>E571*F571</f>
        <v>53.125</v>
      </c>
      <c r="H571" s="320">
        <f>SUM(G571:G579)</f>
        <v>328.125</v>
      </c>
      <c r="I571" s="320">
        <v>1200</v>
      </c>
      <c r="J571" s="320">
        <f>I571-H571</f>
        <v>871.875</v>
      </c>
      <c r="K571" s="321">
        <f>J571/I571</f>
        <v>0.7265625</v>
      </c>
      <c r="M571" s="270"/>
      <c r="N571" s="236"/>
      <c r="O571" s="19" t="s">
        <v>1232</v>
      </c>
      <c r="P571" s="17">
        <v>7</v>
      </c>
      <c r="Q571" s="17">
        <v>8</v>
      </c>
      <c r="R571" s="17">
        <f t="shared" si="247"/>
        <v>56</v>
      </c>
      <c r="S571" s="236"/>
      <c r="T571" s="236"/>
      <c r="U571" s="236"/>
      <c r="V571" s="258"/>
      <c r="Y571" s="270"/>
      <c r="Z571" s="236"/>
      <c r="AA571" s="19" t="s">
        <v>1232</v>
      </c>
      <c r="AB571" s="18"/>
      <c r="AC571" s="18"/>
      <c r="AD571" s="18"/>
      <c r="AE571" s="236"/>
      <c r="AF571" s="236"/>
      <c r="AG571" s="236"/>
      <c r="AH571" s="258"/>
    </row>
    <row r="572" spans="2:34" ht="13">
      <c r="B572" s="249"/>
      <c r="C572" s="155"/>
      <c r="D572" s="19" t="s">
        <v>114</v>
      </c>
      <c r="E572" s="17">
        <v>7</v>
      </c>
      <c r="F572" s="17">
        <v>12.5</v>
      </c>
      <c r="G572" s="17">
        <v>0</v>
      </c>
      <c r="H572" s="236"/>
      <c r="I572" s="236"/>
      <c r="J572" s="236"/>
      <c r="K572" s="266"/>
      <c r="M572" s="270"/>
      <c r="N572" s="236"/>
      <c r="O572" s="19" t="s">
        <v>701</v>
      </c>
      <c r="P572" s="17">
        <v>14</v>
      </c>
      <c r="Q572" s="17">
        <v>16</v>
      </c>
      <c r="R572" s="17">
        <f t="shared" si="247"/>
        <v>224</v>
      </c>
      <c r="S572" s="236"/>
      <c r="T572" s="236"/>
      <c r="U572" s="236"/>
      <c r="V572" s="258"/>
      <c r="Y572" s="270"/>
      <c r="Z572" s="236"/>
      <c r="AA572" s="19" t="s">
        <v>701</v>
      </c>
      <c r="AB572" s="18"/>
      <c r="AC572" s="18"/>
      <c r="AD572" s="18"/>
      <c r="AE572" s="236"/>
      <c r="AF572" s="236"/>
      <c r="AG572" s="236"/>
      <c r="AH572" s="258"/>
    </row>
    <row r="573" spans="2:34" ht="13">
      <c r="B573" s="249"/>
      <c r="C573" s="155"/>
      <c r="D573" s="19" t="s">
        <v>1341</v>
      </c>
      <c r="E573" s="17">
        <v>4.25</v>
      </c>
      <c r="F573" s="17">
        <v>12.5</v>
      </c>
      <c r="G573" s="17">
        <f t="shared" ref="G573:G574" si="248">E573*F573</f>
        <v>53.125</v>
      </c>
      <c r="H573" s="236"/>
      <c r="I573" s="236"/>
      <c r="J573" s="236"/>
      <c r="K573" s="266"/>
      <c r="M573" s="270"/>
      <c r="N573" s="236"/>
      <c r="O573" s="19" t="s">
        <v>1234</v>
      </c>
      <c r="P573" s="17"/>
      <c r="Q573" s="17"/>
      <c r="R573" s="17">
        <v>50</v>
      </c>
      <c r="S573" s="236"/>
      <c r="T573" s="236"/>
      <c r="U573" s="236"/>
      <c r="V573" s="258"/>
      <c r="Y573" s="270"/>
      <c r="Z573" s="236"/>
      <c r="AA573" s="19" t="s">
        <v>1234</v>
      </c>
      <c r="AB573" s="17"/>
      <c r="AC573" s="17"/>
      <c r="AD573" s="17">
        <v>50</v>
      </c>
      <c r="AE573" s="236"/>
      <c r="AF573" s="236"/>
      <c r="AG573" s="236"/>
      <c r="AH573" s="258"/>
    </row>
    <row r="574" spans="2:34" ht="13">
      <c r="B574" s="249"/>
      <c r="C574" s="155"/>
      <c r="D574" s="19" t="s">
        <v>1308</v>
      </c>
      <c r="E574" s="17">
        <v>2.5</v>
      </c>
      <c r="F574" s="17">
        <v>12.5</v>
      </c>
      <c r="G574" s="17">
        <f t="shared" si="248"/>
        <v>31.25</v>
      </c>
      <c r="H574" s="236"/>
      <c r="I574" s="236"/>
      <c r="J574" s="236"/>
      <c r="K574" s="266"/>
      <c r="M574" s="270"/>
      <c r="N574" s="236"/>
      <c r="O574" s="19" t="s">
        <v>1235</v>
      </c>
      <c r="P574" s="17">
        <v>11</v>
      </c>
      <c r="Q574" s="17">
        <v>13</v>
      </c>
      <c r="R574" s="17">
        <f t="shared" ref="R574:R588" si="249">P574*Q574</f>
        <v>143</v>
      </c>
      <c r="S574" s="236"/>
      <c r="T574" s="236"/>
      <c r="U574" s="236"/>
      <c r="V574" s="258"/>
      <c r="Y574" s="270"/>
      <c r="Z574" s="236"/>
      <c r="AA574" s="19" t="s">
        <v>1235</v>
      </c>
      <c r="AB574" s="17">
        <v>11</v>
      </c>
      <c r="AC574" s="17">
        <v>13</v>
      </c>
      <c r="AD574" s="17">
        <f t="shared" ref="AD574:AD588" si="250">AB574*AC574</f>
        <v>143</v>
      </c>
      <c r="AE574" s="236"/>
      <c r="AF574" s="236"/>
      <c r="AG574" s="236"/>
      <c r="AH574" s="258"/>
    </row>
    <row r="575" spans="2:34" ht="13">
      <c r="B575" s="249"/>
      <c r="C575" s="155"/>
      <c r="D575" s="19" t="s">
        <v>114</v>
      </c>
      <c r="E575" s="17">
        <v>7</v>
      </c>
      <c r="F575" s="17">
        <v>12.5</v>
      </c>
      <c r="G575" s="17">
        <v>0</v>
      </c>
      <c r="H575" s="236"/>
      <c r="I575" s="236"/>
      <c r="J575" s="236"/>
      <c r="K575" s="266"/>
      <c r="M575" s="270"/>
      <c r="N575" s="236"/>
      <c r="O575" s="19" t="s">
        <v>1236</v>
      </c>
      <c r="P575" s="17">
        <v>9.5</v>
      </c>
      <c r="Q575" s="17">
        <v>15</v>
      </c>
      <c r="R575" s="17">
        <f t="shared" si="249"/>
        <v>142.5</v>
      </c>
      <c r="S575" s="236"/>
      <c r="T575" s="236"/>
      <c r="U575" s="236"/>
      <c r="V575" s="258"/>
      <c r="Y575" s="270"/>
      <c r="Z575" s="236"/>
      <c r="AA575" s="19" t="s">
        <v>1236</v>
      </c>
      <c r="AB575" s="17">
        <v>9.5</v>
      </c>
      <c r="AC575" s="17">
        <v>15</v>
      </c>
      <c r="AD575" s="17">
        <f t="shared" si="250"/>
        <v>142.5</v>
      </c>
      <c r="AE575" s="236"/>
      <c r="AF575" s="236"/>
      <c r="AG575" s="236"/>
      <c r="AH575" s="258"/>
    </row>
    <row r="576" spans="2:34" ht="13">
      <c r="B576" s="249"/>
      <c r="C576" s="155"/>
      <c r="D576" s="19" t="s">
        <v>1341</v>
      </c>
      <c r="E576" s="17">
        <v>3.75</v>
      </c>
      <c r="F576" s="17">
        <v>12.5</v>
      </c>
      <c r="G576" s="17">
        <f t="shared" ref="G576:G577" si="251">E576*F576</f>
        <v>46.875</v>
      </c>
      <c r="H576" s="236"/>
      <c r="I576" s="236"/>
      <c r="J576" s="236"/>
      <c r="K576" s="266"/>
      <c r="M576" s="270"/>
      <c r="N576" s="236"/>
      <c r="O576" s="19" t="s">
        <v>1237</v>
      </c>
      <c r="P576" s="17">
        <v>2</v>
      </c>
      <c r="Q576" s="17">
        <v>15</v>
      </c>
      <c r="R576" s="17">
        <f t="shared" si="249"/>
        <v>30</v>
      </c>
      <c r="S576" s="236"/>
      <c r="T576" s="236"/>
      <c r="U576" s="236"/>
      <c r="V576" s="258"/>
      <c r="Y576" s="270"/>
      <c r="Z576" s="236"/>
      <c r="AA576" s="19" t="s">
        <v>1237</v>
      </c>
      <c r="AB576" s="17">
        <v>2</v>
      </c>
      <c r="AC576" s="17">
        <v>15</v>
      </c>
      <c r="AD576" s="17">
        <f t="shared" si="250"/>
        <v>30</v>
      </c>
      <c r="AE576" s="236"/>
      <c r="AF576" s="236"/>
      <c r="AG576" s="236"/>
      <c r="AH576" s="258"/>
    </row>
    <row r="577" spans="2:34" ht="13">
      <c r="B577" s="249"/>
      <c r="C577" s="155"/>
      <c r="D577" s="19" t="s">
        <v>1308</v>
      </c>
      <c r="E577" s="17">
        <v>6</v>
      </c>
      <c r="F577" s="17">
        <v>12.5</v>
      </c>
      <c r="G577" s="17">
        <f t="shared" si="251"/>
        <v>75</v>
      </c>
      <c r="H577" s="236"/>
      <c r="I577" s="236"/>
      <c r="J577" s="236"/>
      <c r="K577" s="266"/>
      <c r="M577" s="270"/>
      <c r="N577" s="236"/>
      <c r="O577" s="106" t="s">
        <v>1238</v>
      </c>
      <c r="P577" s="17">
        <v>2.5</v>
      </c>
      <c r="Q577" s="17">
        <v>15</v>
      </c>
      <c r="R577" s="17">
        <f t="shared" si="249"/>
        <v>37.5</v>
      </c>
      <c r="S577" s="236"/>
      <c r="T577" s="236"/>
      <c r="U577" s="236"/>
      <c r="V577" s="258"/>
      <c r="Y577" s="270"/>
      <c r="Z577" s="236"/>
      <c r="AA577" s="106" t="s">
        <v>1238</v>
      </c>
      <c r="AB577" s="17">
        <v>2.5</v>
      </c>
      <c r="AC577" s="17">
        <v>15</v>
      </c>
      <c r="AD577" s="17">
        <f t="shared" si="250"/>
        <v>37.5</v>
      </c>
      <c r="AE577" s="236"/>
      <c r="AF577" s="236"/>
      <c r="AG577" s="236"/>
      <c r="AH577" s="258"/>
    </row>
    <row r="578" spans="2:34" ht="13">
      <c r="B578" s="249"/>
      <c r="C578" s="155"/>
      <c r="D578" s="19" t="s">
        <v>114</v>
      </c>
      <c r="E578" s="17">
        <v>7</v>
      </c>
      <c r="F578" s="17">
        <v>12.5</v>
      </c>
      <c r="G578" s="17">
        <v>0</v>
      </c>
      <c r="H578" s="236"/>
      <c r="I578" s="236"/>
      <c r="J578" s="236"/>
      <c r="K578" s="266"/>
      <c r="M578" s="270"/>
      <c r="N578" s="236"/>
      <c r="O578" s="19" t="s">
        <v>310</v>
      </c>
      <c r="P578" s="17">
        <v>8.41</v>
      </c>
      <c r="Q578" s="17">
        <v>15</v>
      </c>
      <c r="R578" s="17">
        <f t="shared" si="249"/>
        <v>126.15</v>
      </c>
      <c r="S578" s="236"/>
      <c r="T578" s="236"/>
      <c r="U578" s="236"/>
      <c r="V578" s="258"/>
      <c r="Y578" s="270"/>
      <c r="Z578" s="236"/>
      <c r="AA578" s="19" t="s">
        <v>310</v>
      </c>
      <c r="AB578" s="17">
        <v>9.5</v>
      </c>
      <c r="AC578" s="17">
        <v>15</v>
      </c>
      <c r="AD578" s="17">
        <f t="shared" si="250"/>
        <v>142.5</v>
      </c>
      <c r="AE578" s="236"/>
      <c r="AF578" s="236"/>
      <c r="AG578" s="236"/>
      <c r="AH578" s="258"/>
    </row>
    <row r="579" spans="2:34" ht="13">
      <c r="B579" s="249"/>
      <c r="C579" s="155"/>
      <c r="D579" s="19" t="s">
        <v>1341</v>
      </c>
      <c r="E579" s="17">
        <v>5.5</v>
      </c>
      <c r="F579" s="17">
        <v>12.5</v>
      </c>
      <c r="G579" s="17">
        <f>E579*F579</f>
        <v>68.75</v>
      </c>
      <c r="H579" s="236"/>
      <c r="I579" s="236"/>
      <c r="J579" s="236"/>
      <c r="K579" s="266"/>
      <c r="M579" s="270"/>
      <c r="N579" s="236"/>
      <c r="O579" s="19" t="s">
        <v>1239</v>
      </c>
      <c r="P579" s="17">
        <v>22.2</v>
      </c>
      <c r="Q579" s="17">
        <v>15</v>
      </c>
      <c r="R579" s="17">
        <f t="shared" si="249"/>
        <v>333</v>
      </c>
      <c r="S579" s="236"/>
      <c r="T579" s="236"/>
      <c r="U579" s="236"/>
      <c r="V579" s="258"/>
      <c r="Y579" s="270"/>
      <c r="Z579" s="236"/>
      <c r="AA579" s="19" t="s">
        <v>1239</v>
      </c>
      <c r="AB579" s="17">
        <v>22.2</v>
      </c>
      <c r="AC579" s="17">
        <v>15</v>
      </c>
      <c r="AD579" s="17">
        <f t="shared" si="250"/>
        <v>333</v>
      </c>
      <c r="AE579" s="236"/>
      <c r="AF579" s="236"/>
      <c r="AG579" s="236"/>
      <c r="AH579" s="258"/>
    </row>
    <row r="580" spans="2:34" ht="13">
      <c r="B580" s="249"/>
      <c r="C580" s="157" t="s">
        <v>1883</v>
      </c>
      <c r="D580" s="123" t="s">
        <v>1716</v>
      </c>
      <c r="E580" s="124">
        <v>24</v>
      </c>
      <c r="F580" s="124">
        <v>15</v>
      </c>
      <c r="G580" s="124">
        <v>0</v>
      </c>
      <c r="H580" s="320">
        <f>SUM(G580:G586)</f>
        <v>808</v>
      </c>
      <c r="I580" s="320">
        <v>900</v>
      </c>
      <c r="J580" s="320">
        <f>I580-H580</f>
        <v>92</v>
      </c>
      <c r="K580" s="321">
        <f>J580/I580</f>
        <v>0.10222222222222223</v>
      </c>
      <c r="M580" s="270"/>
      <c r="N580" s="236"/>
      <c r="O580" s="19" t="s">
        <v>1240</v>
      </c>
      <c r="P580" s="17">
        <v>2</v>
      </c>
      <c r="Q580" s="17">
        <v>15</v>
      </c>
      <c r="R580" s="17">
        <f t="shared" si="249"/>
        <v>30</v>
      </c>
      <c r="S580" s="236"/>
      <c r="T580" s="236"/>
      <c r="U580" s="236"/>
      <c r="V580" s="258"/>
      <c r="Y580" s="270"/>
      <c r="Z580" s="236"/>
      <c r="AA580" s="19" t="s">
        <v>1240</v>
      </c>
      <c r="AB580" s="17">
        <v>2</v>
      </c>
      <c r="AC580" s="17">
        <v>15</v>
      </c>
      <c r="AD580" s="17">
        <f t="shared" si="250"/>
        <v>30</v>
      </c>
      <c r="AE580" s="236"/>
      <c r="AF580" s="236"/>
      <c r="AG580" s="236"/>
      <c r="AH580" s="258"/>
    </row>
    <row r="581" spans="2:34" ht="13">
      <c r="B581" s="249"/>
      <c r="C581" s="155"/>
      <c r="D581" s="19" t="s">
        <v>1884</v>
      </c>
      <c r="E581" s="17">
        <v>4</v>
      </c>
      <c r="F581" s="17">
        <v>20</v>
      </c>
      <c r="G581" s="17">
        <f t="shared" ref="G581:G582" si="252">E581*F581</f>
        <v>80</v>
      </c>
      <c r="H581" s="236"/>
      <c r="I581" s="236"/>
      <c r="J581" s="236"/>
      <c r="K581" s="266"/>
      <c r="M581" s="270"/>
      <c r="N581" s="236"/>
      <c r="O581" s="19" t="s">
        <v>419</v>
      </c>
      <c r="P581" s="17">
        <v>16</v>
      </c>
      <c r="Q581" s="17">
        <v>15</v>
      </c>
      <c r="R581" s="17">
        <f t="shared" si="249"/>
        <v>240</v>
      </c>
      <c r="S581" s="236"/>
      <c r="T581" s="236"/>
      <c r="U581" s="236"/>
      <c r="V581" s="258"/>
      <c r="Y581" s="270"/>
      <c r="Z581" s="236"/>
      <c r="AA581" s="19" t="s">
        <v>419</v>
      </c>
      <c r="AB581" s="17">
        <v>16</v>
      </c>
      <c r="AC581" s="17">
        <v>15</v>
      </c>
      <c r="AD581" s="17">
        <f t="shared" si="250"/>
        <v>240</v>
      </c>
      <c r="AE581" s="236"/>
      <c r="AF581" s="236"/>
      <c r="AG581" s="236"/>
      <c r="AH581" s="258"/>
    </row>
    <row r="582" spans="2:34" ht="13">
      <c r="B582" s="249"/>
      <c r="C582" s="155"/>
      <c r="D582" s="19" t="s">
        <v>1885</v>
      </c>
      <c r="E582" s="17">
        <v>4</v>
      </c>
      <c r="F582" s="17">
        <v>20</v>
      </c>
      <c r="G582" s="17">
        <f t="shared" si="252"/>
        <v>80</v>
      </c>
      <c r="H582" s="236"/>
      <c r="I582" s="236"/>
      <c r="J582" s="236"/>
      <c r="K582" s="266"/>
      <c r="M582" s="270"/>
      <c r="N582" s="236"/>
      <c r="O582" s="19" t="s">
        <v>53</v>
      </c>
      <c r="P582" s="17">
        <v>17.5</v>
      </c>
      <c r="Q582" s="17">
        <v>15</v>
      </c>
      <c r="R582" s="17">
        <f t="shared" si="249"/>
        <v>262.5</v>
      </c>
      <c r="S582" s="236"/>
      <c r="T582" s="236"/>
      <c r="U582" s="236"/>
      <c r="V582" s="258"/>
      <c r="Y582" s="270"/>
      <c r="Z582" s="236"/>
      <c r="AA582" s="19" t="s">
        <v>53</v>
      </c>
      <c r="AB582" s="17">
        <v>17.5</v>
      </c>
      <c r="AC582" s="17">
        <v>15</v>
      </c>
      <c r="AD582" s="17">
        <f t="shared" si="250"/>
        <v>262.5</v>
      </c>
      <c r="AE582" s="236"/>
      <c r="AF582" s="236"/>
      <c r="AG582" s="236"/>
      <c r="AH582" s="258"/>
    </row>
    <row r="583" spans="2:34" ht="13">
      <c r="B583" s="249"/>
      <c r="C583" s="155"/>
      <c r="D583" s="19" t="s">
        <v>1061</v>
      </c>
      <c r="E583" s="19"/>
      <c r="F583" s="19"/>
      <c r="G583" s="17">
        <v>160</v>
      </c>
      <c r="H583" s="236"/>
      <c r="I583" s="236"/>
      <c r="J583" s="236"/>
      <c r="K583" s="266"/>
      <c r="M583" s="270"/>
      <c r="N583" s="236"/>
      <c r="O583" s="19" t="s">
        <v>1241</v>
      </c>
      <c r="P583" s="17">
        <v>2</v>
      </c>
      <c r="Q583" s="17">
        <v>15</v>
      </c>
      <c r="R583" s="17">
        <f t="shared" si="249"/>
        <v>30</v>
      </c>
      <c r="S583" s="236"/>
      <c r="T583" s="236"/>
      <c r="U583" s="236"/>
      <c r="V583" s="258"/>
      <c r="Y583" s="270"/>
      <c r="Z583" s="236"/>
      <c r="AA583" s="19" t="s">
        <v>1241</v>
      </c>
      <c r="AB583" s="17">
        <v>2</v>
      </c>
      <c r="AC583" s="17">
        <v>15</v>
      </c>
      <c r="AD583" s="17">
        <f t="shared" si="250"/>
        <v>30</v>
      </c>
      <c r="AE583" s="236"/>
      <c r="AF583" s="236"/>
      <c r="AG583" s="236"/>
      <c r="AH583" s="258"/>
    </row>
    <row r="584" spans="2:34" ht="13">
      <c r="B584" s="249"/>
      <c r="C584" s="155"/>
      <c r="D584" s="19" t="s">
        <v>1886</v>
      </c>
      <c r="E584" s="19"/>
      <c r="F584" s="19"/>
      <c r="G584" s="17">
        <v>170</v>
      </c>
      <c r="H584" s="236"/>
      <c r="I584" s="236"/>
      <c r="J584" s="236"/>
      <c r="K584" s="266"/>
      <c r="M584" s="270"/>
      <c r="N584" s="236"/>
      <c r="O584" s="19" t="s">
        <v>1242</v>
      </c>
      <c r="P584" s="17">
        <v>15.75</v>
      </c>
      <c r="Q584" s="17">
        <v>15</v>
      </c>
      <c r="R584" s="17">
        <f t="shared" si="249"/>
        <v>236.25</v>
      </c>
      <c r="S584" s="236"/>
      <c r="T584" s="236"/>
      <c r="U584" s="236"/>
      <c r="V584" s="258"/>
      <c r="Y584" s="270"/>
      <c r="Z584" s="236"/>
      <c r="AA584" s="19" t="s">
        <v>1242</v>
      </c>
      <c r="AB584" s="17">
        <v>15.75</v>
      </c>
      <c r="AC584" s="17">
        <v>15</v>
      </c>
      <c r="AD584" s="17">
        <f t="shared" si="250"/>
        <v>236.25</v>
      </c>
      <c r="AE584" s="236"/>
      <c r="AF584" s="236"/>
      <c r="AG584" s="236"/>
      <c r="AH584" s="258"/>
    </row>
    <row r="585" spans="2:34" ht="13">
      <c r="B585" s="249"/>
      <c r="C585" s="155"/>
      <c r="D585" s="19" t="s">
        <v>188</v>
      </c>
      <c r="E585" s="19"/>
      <c r="F585" s="19"/>
      <c r="G585" s="17">
        <v>100</v>
      </c>
      <c r="H585" s="236"/>
      <c r="I585" s="236"/>
      <c r="J585" s="236"/>
      <c r="K585" s="266"/>
      <c r="M585" s="270"/>
      <c r="N585" s="236"/>
      <c r="O585" s="19" t="s">
        <v>1243</v>
      </c>
      <c r="P585" s="17">
        <v>4.75</v>
      </c>
      <c r="Q585" s="17">
        <v>15</v>
      </c>
      <c r="R585" s="17">
        <f t="shared" si="249"/>
        <v>71.25</v>
      </c>
      <c r="S585" s="236"/>
      <c r="T585" s="236"/>
      <c r="U585" s="236"/>
      <c r="V585" s="258"/>
      <c r="Y585" s="270"/>
      <c r="Z585" s="236"/>
      <c r="AA585" s="19" t="s">
        <v>1243</v>
      </c>
      <c r="AB585" s="17">
        <v>4.75</v>
      </c>
      <c r="AC585" s="17">
        <v>15</v>
      </c>
      <c r="AD585" s="17">
        <f t="shared" si="250"/>
        <v>71.25</v>
      </c>
      <c r="AE585" s="236"/>
      <c r="AF585" s="236"/>
      <c r="AG585" s="236"/>
      <c r="AH585" s="258"/>
    </row>
    <row r="586" spans="2:34" ht="13">
      <c r="B586" s="250"/>
      <c r="C586" s="155"/>
      <c r="D586" s="19" t="s">
        <v>47</v>
      </c>
      <c r="E586" s="19"/>
      <c r="F586" s="19"/>
      <c r="G586" s="17">
        <v>218</v>
      </c>
      <c r="H586" s="293"/>
      <c r="I586" s="293"/>
      <c r="J586" s="293"/>
      <c r="K586" s="319"/>
      <c r="M586" s="270"/>
      <c r="N586" s="236"/>
      <c r="O586" s="19" t="s">
        <v>770</v>
      </c>
      <c r="P586" s="17">
        <v>21</v>
      </c>
      <c r="Q586" s="17">
        <v>15</v>
      </c>
      <c r="R586" s="17">
        <f t="shared" si="249"/>
        <v>315</v>
      </c>
      <c r="S586" s="236"/>
      <c r="T586" s="236"/>
      <c r="U586" s="236"/>
      <c r="V586" s="258"/>
      <c r="Y586" s="270"/>
      <c r="Z586" s="236"/>
      <c r="AA586" s="19" t="s">
        <v>770</v>
      </c>
      <c r="AB586" s="17">
        <v>21</v>
      </c>
      <c r="AC586" s="17">
        <v>15</v>
      </c>
      <c r="AD586" s="17">
        <f t="shared" si="250"/>
        <v>315</v>
      </c>
      <c r="AE586" s="236"/>
      <c r="AF586" s="236"/>
      <c r="AG586" s="236"/>
      <c r="AH586" s="258"/>
    </row>
    <row r="587" spans="2:34" ht="30">
      <c r="B587" s="251" t="s">
        <v>1887</v>
      </c>
      <c r="C587" s="252"/>
      <c r="D587" s="253"/>
      <c r="E587" s="27">
        <f t="shared" ref="E587:J587" si="253">AVERAGE(E410:E586)</f>
        <v>4.5929878048780486</v>
      </c>
      <c r="F587" s="27">
        <f t="shared" si="253"/>
        <v>14.178082191780822</v>
      </c>
      <c r="G587" s="152">
        <f t="shared" si="253"/>
        <v>49.29474431818182</v>
      </c>
      <c r="H587" s="152">
        <f t="shared" si="253"/>
        <v>433.79374999999999</v>
      </c>
      <c r="I587" s="152">
        <f t="shared" si="253"/>
        <v>1749.25</v>
      </c>
      <c r="J587" s="152">
        <f t="shared" si="253"/>
        <v>1315.45625</v>
      </c>
      <c r="K587" s="183"/>
      <c r="M587" s="270"/>
      <c r="N587" s="236"/>
      <c r="O587" s="19" t="s">
        <v>1244</v>
      </c>
      <c r="P587" s="17">
        <v>2</v>
      </c>
      <c r="Q587" s="17">
        <v>15</v>
      </c>
      <c r="R587" s="17">
        <f t="shared" si="249"/>
        <v>30</v>
      </c>
      <c r="S587" s="236"/>
      <c r="T587" s="236"/>
      <c r="U587" s="236"/>
      <c r="V587" s="258"/>
      <c r="Y587" s="270"/>
      <c r="Z587" s="236"/>
      <c r="AA587" s="19" t="s">
        <v>1244</v>
      </c>
      <c r="AB587" s="17">
        <v>2</v>
      </c>
      <c r="AC587" s="17">
        <v>15</v>
      </c>
      <c r="AD587" s="17">
        <f t="shared" si="250"/>
        <v>30</v>
      </c>
      <c r="AE587" s="236"/>
      <c r="AF587" s="236"/>
      <c r="AG587" s="236"/>
      <c r="AH587" s="258"/>
    </row>
    <row r="588" spans="2:34" ht="30">
      <c r="B588" s="251" t="s">
        <v>1888</v>
      </c>
      <c r="C588" s="252"/>
      <c r="D588" s="253"/>
      <c r="E588" s="27">
        <f t="shared" ref="E588:J588" si="254">SUM(E410:E586)</f>
        <v>753.25</v>
      </c>
      <c r="F588" s="27">
        <f t="shared" si="254"/>
        <v>2070</v>
      </c>
      <c r="G588" s="152">
        <f t="shared" si="254"/>
        <v>8675.875</v>
      </c>
      <c r="H588" s="152">
        <f t="shared" si="254"/>
        <v>8675.875</v>
      </c>
      <c r="I588" s="152">
        <f t="shared" si="254"/>
        <v>34985</v>
      </c>
      <c r="J588" s="152">
        <f t="shared" si="254"/>
        <v>26309.125</v>
      </c>
      <c r="K588" s="154">
        <f t="shared" ref="K588:K589" si="255">J588/I588</f>
        <v>0.75201157638988136</v>
      </c>
      <c r="M588" s="270"/>
      <c r="N588" s="248"/>
      <c r="O588" s="20" t="s">
        <v>1245</v>
      </c>
      <c r="P588" s="21">
        <v>6.5</v>
      </c>
      <c r="Q588" s="21">
        <v>15</v>
      </c>
      <c r="R588" s="21">
        <f t="shared" si="249"/>
        <v>97.5</v>
      </c>
      <c r="S588" s="293"/>
      <c r="T588" s="293"/>
      <c r="U588" s="293"/>
      <c r="V588" s="295"/>
      <c r="Y588" s="270"/>
      <c r="Z588" s="248"/>
      <c r="AA588" s="20" t="s">
        <v>1245</v>
      </c>
      <c r="AB588" s="21">
        <v>6.5</v>
      </c>
      <c r="AC588" s="21">
        <v>15</v>
      </c>
      <c r="AD588" s="21">
        <f t="shared" si="250"/>
        <v>97.5</v>
      </c>
      <c r="AE588" s="293"/>
      <c r="AF588" s="293"/>
      <c r="AG588" s="293"/>
      <c r="AH588" s="295"/>
    </row>
    <row r="589" spans="2:34" ht="13">
      <c r="B589" s="277" t="s">
        <v>6</v>
      </c>
      <c r="C589" s="155" t="s">
        <v>1889</v>
      </c>
      <c r="D589" s="19" t="s">
        <v>1890</v>
      </c>
      <c r="E589" s="17">
        <v>8</v>
      </c>
      <c r="F589" s="17">
        <v>17</v>
      </c>
      <c r="G589" s="17">
        <f>E589*F589</f>
        <v>136</v>
      </c>
      <c r="H589" s="325">
        <f>SUM(G589:G594)</f>
        <v>496</v>
      </c>
      <c r="I589" s="325">
        <v>2030</v>
      </c>
      <c r="J589" s="325">
        <f>I589-H589</f>
        <v>1534</v>
      </c>
      <c r="K589" s="328">
        <f t="shared" si="255"/>
        <v>0.75566502463054186</v>
      </c>
      <c r="M589" s="270"/>
      <c r="N589" s="345" t="s">
        <v>1891</v>
      </c>
      <c r="O589" s="15" t="s">
        <v>986</v>
      </c>
      <c r="P589" s="16"/>
      <c r="Q589" s="16"/>
      <c r="R589" s="16">
        <v>700</v>
      </c>
      <c r="S589" s="292">
        <f>SUM(R589:R591)</f>
        <v>895.94</v>
      </c>
      <c r="T589" s="292">
        <v>3008.32</v>
      </c>
      <c r="U589" s="292">
        <f>T589-S589</f>
        <v>2112.38</v>
      </c>
      <c r="V589" s="313">
        <f>U589/T589</f>
        <v>0.70217928943729391</v>
      </c>
      <c r="Y589" s="270"/>
      <c r="Z589" s="342" t="s">
        <v>1891</v>
      </c>
      <c r="AA589" s="15" t="s">
        <v>986</v>
      </c>
      <c r="AB589" s="16"/>
      <c r="AC589" s="16"/>
      <c r="AD589" s="16">
        <v>700</v>
      </c>
      <c r="AE589" s="284">
        <f>SUM(AD589:AD591)</f>
        <v>895.94</v>
      </c>
      <c r="AF589" s="284">
        <v>3008.32</v>
      </c>
      <c r="AG589" s="284">
        <f>AF589-AE589</f>
        <v>2112.38</v>
      </c>
      <c r="AH589" s="309">
        <f>AG589/AF589</f>
        <v>0.70217928943729391</v>
      </c>
    </row>
    <row r="590" spans="2:34" ht="13">
      <c r="B590" s="249"/>
      <c r="C590" s="155"/>
      <c r="D590" s="19" t="s">
        <v>715</v>
      </c>
      <c r="E590" s="17">
        <v>4</v>
      </c>
      <c r="F590" s="17">
        <v>15</v>
      </c>
      <c r="G590" s="17">
        <v>0</v>
      </c>
      <c r="H590" s="236"/>
      <c r="I590" s="236"/>
      <c r="J590" s="236"/>
      <c r="K590" s="266"/>
      <c r="M590" s="270"/>
      <c r="N590" s="236"/>
      <c r="O590" s="19" t="s">
        <v>735</v>
      </c>
      <c r="P590" s="17"/>
      <c r="Q590" s="17"/>
      <c r="R590" s="17">
        <v>134.94</v>
      </c>
      <c r="S590" s="236"/>
      <c r="T590" s="236"/>
      <c r="U590" s="236"/>
      <c r="V590" s="242"/>
      <c r="Y590" s="270"/>
      <c r="Z590" s="236"/>
      <c r="AA590" s="19" t="s">
        <v>735</v>
      </c>
      <c r="AB590" s="17"/>
      <c r="AC590" s="17"/>
      <c r="AD590" s="17">
        <v>134.94</v>
      </c>
      <c r="AE590" s="236"/>
      <c r="AF590" s="236"/>
      <c r="AG590" s="236"/>
      <c r="AH590" s="242"/>
    </row>
    <row r="591" spans="2:34" ht="13">
      <c r="B591" s="249"/>
      <c r="C591" s="155"/>
      <c r="D591" s="19" t="s">
        <v>1308</v>
      </c>
      <c r="E591" s="17">
        <v>12</v>
      </c>
      <c r="F591" s="17">
        <v>15</v>
      </c>
      <c r="G591" s="17">
        <f t="shared" ref="G591:G592" si="256">E591*F591</f>
        <v>180</v>
      </c>
      <c r="H591" s="236"/>
      <c r="I591" s="236"/>
      <c r="J591" s="236"/>
      <c r="K591" s="266"/>
      <c r="M591" s="270"/>
      <c r="N591" s="248"/>
      <c r="O591" s="20" t="s">
        <v>1892</v>
      </c>
      <c r="P591" s="20"/>
      <c r="Q591" s="20"/>
      <c r="R591" s="21">
        <v>61</v>
      </c>
      <c r="S591" s="248"/>
      <c r="T591" s="248"/>
      <c r="U591" s="248"/>
      <c r="V591" s="303"/>
      <c r="Y591" s="270"/>
      <c r="Z591" s="248"/>
      <c r="AA591" s="20" t="s">
        <v>1892</v>
      </c>
      <c r="AB591" s="20"/>
      <c r="AC591" s="20"/>
      <c r="AD591" s="21">
        <v>61</v>
      </c>
      <c r="AE591" s="248"/>
      <c r="AF591" s="248"/>
      <c r="AG591" s="248"/>
      <c r="AH591" s="303"/>
    </row>
    <row r="592" spans="2:34" ht="14">
      <c r="B592" s="249"/>
      <c r="C592" s="155"/>
      <c r="D592" s="19" t="s">
        <v>1341</v>
      </c>
      <c r="E592" s="17">
        <v>8</v>
      </c>
      <c r="F592" s="17">
        <v>15</v>
      </c>
      <c r="G592" s="17">
        <f t="shared" si="256"/>
        <v>120</v>
      </c>
      <c r="H592" s="236"/>
      <c r="I592" s="236"/>
      <c r="J592" s="236"/>
      <c r="K592" s="266"/>
      <c r="M592" s="270"/>
      <c r="N592" s="173" t="s">
        <v>1893</v>
      </c>
      <c r="O592" s="15" t="s">
        <v>114</v>
      </c>
      <c r="P592" s="16">
        <v>7</v>
      </c>
      <c r="Q592" s="16">
        <v>16</v>
      </c>
      <c r="R592" s="16">
        <f t="shared" ref="R592:R596" si="257">P592*Q592</f>
        <v>112</v>
      </c>
      <c r="S592" s="292">
        <f>SUM(R592:R597)</f>
        <v>909.93000000000006</v>
      </c>
      <c r="T592" s="292">
        <v>2794.5</v>
      </c>
      <c r="U592" s="292">
        <f>T592-S592</f>
        <v>1884.57</v>
      </c>
      <c r="V592" s="313">
        <f>U592/T592</f>
        <v>0.67438539989264623</v>
      </c>
      <c r="Y592" s="270"/>
      <c r="Z592" s="173" t="s">
        <v>1893</v>
      </c>
      <c r="AA592" s="15" t="s">
        <v>114</v>
      </c>
      <c r="AB592" s="43"/>
      <c r="AC592" s="43"/>
      <c r="AD592" s="43"/>
      <c r="AE592" s="292">
        <f>SUM(AD592:AD597)</f>
        <v>654.93000000000006</v>
      </c>
      <c r="AF592" s="292">
        <v>2794.5</v>
      </c>
      <c r="AG592" s="292">
        <f>AF592-AE592</f>
        <v>2139.5699999999997</v>
      </c>
      <c r="AH592" s="313">
        <f>AG592/AF592</f>
        <v>0.76563607085346208</v>
      </c>
    </row>
    <row r="593" spans="2:34" ht="13">
      <c r="B593" s="249"/>
      <c r="C593" s="155"/>
      <c r="D593" s="19" t="s">
        <v>1716</v>
      </c>
      <c r="E593" s="17">
        <v>12</v>
      </c>
      <c r="F593" s="17">
        <v>15</v>
      </c>
      <c r="G593" s="17">
        <v>0</v>
      </c>
      <c r="H593" s="236"/>
      <c r="I593" s="236"/>
      <c r="J593" s="236"/>
      <c r="K593" s="266"/>
      <c r="M593" s="270"/>
      <c r="N593" s="174"/>
      <c r="O593" s="19" t="s">
        <v>1239</v>
      </c>
      <c r="P593" s="17">
        <v>6.5</v>
      </c>
      <c r="Q593" s="17">
        <v>13</v>
      </c>
      <c r="R593" s="17">
        <f t="shared" si="257"/>
        <v>84.5</v>
      </c>
      <c r="S593" s="236"/>
      <c r="T593" s="236"/>
      <c r="U593" s="236"/>
      <c r="V593" s="242"/>
      <c r="Y593" s="270"/>
      <c r="Z593" s="174"/>
      <c r="AA593" s="19" t="s">
        <v>1239</v>
      </c>
      <c r="AB593" s="17">
        <v>6.5</v>
      </c>
      <c r="AC593" s="17">
        <v>13</v>
      </c>
      <c r="AD593" s="17">
        <f t="shared" ref="AD593:AD596" si="258">AB593*AC593</f>
        <v>84.5</v>
      </c>
      <c r="AE593" s="236"/>
      <c r="AF593" s="236"/>
      <c r="AG593" s="236"/>
      <c r="AH593" s="242"/>
    </row>
    <row r="594" spans="2:34" ht="13">
      <c r="B594" s="249"/>
      <c r="C594" s="155"/>
      <c r="D594" s="19" t="s">
        <v>1894</v>
      </c>
      <c r="E594" s="17">
        <v>4</v>
      </c>
      <c r="F594" s="17">
        <v>15</v>
      </c>
      <c r="G594" s="17">
        <f>E594*F594</f>
        <v>60</v>
      </c>
      <c r="H594" s="236"/>
      <c r="I594" s="236"/>
      <c r="J594" s="236"/>
      <c r="K594" s="266"/>
      <c r="M594" s="270"/>
      <c r="N594" s="174"/>
      <c r="O594" s="19" t="s">
        <v>1353</v>
      </c>
      <c r="P594" s="17">
        <v>5</v>
      </c>
      <c r="Q594" s="17">
        <v>13</v>
      </c>
      <c r="R594" s="17">
        <f t="shared" si="257"/>
        <v>65</v>
      </c>
      <c r="S594" s="236"/>
      <c r="T594" s="236"/>
      <c r="U594" s="236"/>
      <c r="V594" s="242"/>
      <c r="Y594" s="270"/>
      <c r="Z594" s="174"/>
      <c r="AA594" s="19" t="s">
        <v>1353</v>
      </c>
      <c r="AB594" s="17">
        <v>5</v>
      </c>
      <c r="AC594" s="17">
        <v>13</v>
      </c>
      <c r="AD594" s="17">
        <f t="shared" si="258"/>
        <v>65</v>
      </c>
      <c r="AE594" s="236"/>
      <c r="AF594" s="236"/>
      <c r="AG594" s="236"/>
      <c r="AH594" s="242"/>
    </row>
    <row r="595" spans="2:34" ht="13">
      <c r="B595" s="249"/>
      <c r="C595" s="157" t="s">
        <v>1895</v>
      </c>
      <c r="D595" s="123" t="s">
        <v>114</v>
      </c>
      <c r="E595" s="124">
        <v>8</v>
      </c>
      <c r="F595" s="124">
        <v>17</v>
      </c>
      <c r="G595" s="124">
        <v>0</v>
      </c>
      <c r="H595" s="320">
        <f>SUM(G595:G598)</f>
        <v>67.5</v>
      </c>
      <c r="I595" s="320">
        <v>750</v>
      </c>
      <c r="J595" s="320">
        <f>I595-H595</f>
        <v>682.5</v>
      </c>
      <c r="K595" s="321">
        <f>J595/I595</f>
        <v>0.91</v>
      </c>
      <c r="M595" s="270"/>
      <c r="N595" s="174"/>
      <c r="O595" s="19" t="s">
        <v>53</v>
      </c>
      <c r="P595" s="17">
        <v>7.75</v>
      </c>
      <c r="Q595" s="17">
        <v>13</v>
      </c>
      <c r="R595" s="17">
        <f t="shared" si="257"/>
        <v>100.75</v>
      </c>
      <c r="S595" s="236"/>
      <c r="T595" s="236"/>
      <c r="U595" s="236"/>
      <c r="V595" s="242"/>
      <c r="Y595" s="270"/>
      <c r="Z595" s="174"/>
      <c r="AA595" s="19" t="s">
        <v>53</v>
      </c>
      <c r="AB595" s="17">
        <v>7.75</v>
      </c>
      <c r="AC595" s="17">
        <v>13</v>
      </c>
      <c r="AD595" s="17">
        <f t="shared" si="258"/>
        <v>100.75</v>
      </c>
      <c r="AE595" s="236"/>
      <c r="AF595" s="236"/>
      <c r="AG595" s="236"/>
      <c r="AH595" s="242"/>
    </row>
    <row r="596" spans="2:34" ht="13">
      <c r="B596" s="249"/>
      <c r="C596" s="155"/>
      <c r="D596" s="19" t="s">
        <v>1716</v>
      </c>
      <c r="E596" s="17">
        <v>16</v>
      </c>
      <c r="F596" s="17">
        <v>15</v>
      </c>
      <c r="G596" s="17">
        <v>0</v>
      </c>
      <c r="H596" s="236"/>
      <c r="I596" s="236"/>
      <c r="J596" s="236"/>
      <c r="K596" s="266"/>
      <c r="M596" s="270"/>
      <c r="N596" s="174"/>
      <c r="O596" s="19" t="s">
        <v>310</v>
      </c>
      <c r="P596" s="17">
        <v>17</v>
      </c>
      <c r="Q596" s="17">
        <v>13</v>
      </c>
      <c r="R596" s="17">
        <f t="shared" si="257"/>
        <v>221</v>
      </c>
      <c r="S596" s="236"/>
      <c r="T596" s="236"/>
      <c r="U596" s="236"/>
      <c r="V596" s="242"/>
      <c r="Y596" s="270"/>
      <c r="Z596" s="174"/>
      <c r="AA596" s="19" t="s">
        <v>310</v>
      </c>
      <c r="AB596" s="17">
        <v>5.2</v>
      </c>
      <c r="AC596" s="17">
        <v>15</v>
      </c>
      <c r="AD596" s="17">
        <f t="shared" si="258"/>
        <v>78</v>
      </c>
      <c r="AE596" s="236"/>
      <c r="AF596" s="236"/>
      <c r="AG596" s="236"/>
      <c r="AH596" s="242"/>
    </row>
    <row r="597" spans="2:34" ht="13">
      <c r="B597" s="249"/>
      <c r="C597" s="155"/>
      <c r="D597" s="19" t="s">
        <v>1308</v>
      </c>
      <c r="E597" s="17">
        <v>4.5</v>
      </c>
      <c r="F597" s="17">
        <v>15</v>
      </c>
      <c r="G597" s="17">
        <f>E597*F597</f>
        <v>67.5</v>
      </c>
      <c r="H597" s="236"/>
      <c r="I597" s="236"/>
      <c r="J597" s="236"/>
      <c r="K597" s="266"/>
      <c r="M597" s="270"/>
      <c r="N597" s="175"/>
      <c r="O597" s="20" t="s">
        <v>33</v>
      </c>
      <c r="P597" s="21"/>
      <c r="Q597" s="21"/>
      <c r="R597" s="21">
        <v>326.68</v>
      </c>
      <c r="S597" s="248"/>
      <c r="T597" s="248"/>
      <c r="U597" s="248"/>
      <c r="V597" s="303"/>
      <c r="Y597" s="270"/>
      <c r="Z597" s="175"/>
      <c r="AA597" s="20" t="s">
        <v>33</v>
      </c>
      <c r="AB597" s="21"/>
      <c r="AC597" s="21"/>
      <c r="AD597" s="21">
        <v>326.68</v>
      </c>
      <c r="AE597" s="248"/>
      <c r="AF597" s="248"/>
      <c r="AG597" s="248"/>
      <c r="AH597" s="303"/>
    </row>
    <row r="598" spans="2:34" ht="14">
      <c r="B598" s="249"/>
      <c r="C598" s="155"/>
      <c r="D598" s="24"/>
      <c r="E598" s="11"/>
      <c r="F598" s="11"/>
      <c r="G598" s="11"/>
      <c r="H598" s="293"/>
      <c r="I598" s="293"/>
      <c r="J598" s="293"/>
      <c r="K598" s="319"/>
      <c r="M598" s="270"/>
      <c r="N598" s="173" t="s">
        <v>1896</v>
      </c>
      <c r="O598" s="15" t="s">
        <v>744</v>
      </c>
      <c r="P598" s="16">
        <v>9</v>
      </c>
      <c r="Q598" s="16">
        <v>15</v>
      </c>
      <c r="R598" s="16">
        <f t="shared" ref="R598:R600" si="259">P598*Q598</f>
        <v>135</v>
      </c>
      <c r="S598" s="292">
        <f>SUM(R598:R601)</f>
        <v>720</v>
      </c>
      <c r="T598" s="292">
        <v>2484</v>
      </c>
      <c r="U598" s="292">
        <f>T598-S598</f>
        <v>1764</v>
      </c>
      <c r="V598" s="313">
        <f>U598/T598</f>
        <v>0.71014492753623193</v>
      </c>
      <c r="Y598" s="270"/>
      <c r="Z598" s="173" t="s">
        <v>1896</v>
      </c>
      <c r="AA598" s="15" t="s">
        <v>744</v>
      </c>
      <c r="AB598" s="16">
        <v>9</v>
      </c>
      <c r="AC598" s="16">
        <v>15</v>
      </c>
      <c r="AD598" s="16">
        <f t="shared" ref="AD598:AD600" si="260">AB598*AC598</f>
        <v>135</v>
      </c>
      <c r="AE598" s="292">
        <f>SUM(AD598:AD601)</f>
        <v>720</v>
      </c>
      <c r="AF598" s="292">
        <v>2484</v>
      </c>
      <c r="AG598" s="292">
        <f>AF598-AE598</f>
        <v>1764</v>
      </c>
      <c r="AH598" s="313">
        <f>AG598/AF598</f>
        <v>0.71014492753623193</v>
      </c>
    </row>
    <row r="599" spans="2:34" ht="13">
      <c r="B599" s="249"/>
      <c r="C599" s="157" t="s">
        <v>1897</v>
      </c>
      <c r="D599" s="123" t="s">
        <v>1308</v>
      </c>
      <c r="E599" s="124">
        <v>15</v>
      </c>
      <c r="F599" s="124">
        <v>14</v>
      </c>
      <c r="G599" s="124">
        <f>E599*F599</f>
        <v>210</v>
      </c>
      <c r="H599" s="320">
        <f>SUM(G599:G602)</f>
        <v>381</v>
      </c>
      <c r="I599" s="320">
        <v>2470</v>
      </c>
      <c r="J599" s="320">
        <f>I599-H599</f>
        <v>2089</v>
      </c>
      <c r="K599" s="321">
        <f>J599/I599</f>
        <v>0.84574898785425101</v>
      </c>
      <c r="M599" s="270"/>
      <c r="N599" s="174"/>
      <c r="O599" s="19" t="s">
        <v>1793</v>
      </c>
      <c r="P599" s="17">
        <v>33</v>
      </c>
      <c r="Q599" s="17">
        <v>15</v>
      </c>
      <c r="R599" s="17">
        <f t="shared" si="259"/>
        <v>495</v>
      </c>
      <c r="S599" s="236"/>
      <c r="T599" s="236"/>
      <c r="U599" s="236"/>
      <c r="V599" s="242"/>
      <c r="Y599" s="270"/>
      <c r="Z599" s="174"/>
      <c r="AA599" s="19" t="s">
        <v>1793</v>
      </c>
      <c r="AB599" s="17">
        <v>33</v>
      </c>
      <c r="AC599" s="17">
        <v>15</v>
      </c>
      <c r="AD599" s="17">
        <f t="shared" si="260"/>
        <v>495</v>
      </c>
      <c r="AE599" s="236"/>
      <c r="AF599" s="236"/>
      <c r="AG599" s="236"/>
      <c r="AH599" s="242"/>
    </row>
    <row r="600" spans="2:34" ht="13">
      <c r="B600" s="249"/>
      <c r="C600" s="155"/>
      <c r="D600" s="19" t="s">
        <v>1716</v>
      </c>
      <c r="E600" s="17">
        <v>3</v>
      </c>
      <c r="F600" s="17">
        <v>15</v>
      </c>
      <c r="G600" s="17">
        <v>0</v>
      </c>
      <c r="H600" s="236"/>
      <c r="I600" s="236"/>
      <c r="J600" s="236"/>
      <c r="K600" s="266"/>
      <c r="M600" s="270"/>
      <c r="N600" s="174"/>
      <c r="O600" s="19" t="s">
        <v>310</v>
      </c>
      <c r="P600" s="17">
        <v>6</v>
      </c>
      <c r="Q600" s="17">
        <v>15</v>
      </c>
      <c r="R600" s="17">
        <f t="shared" si="259"/>
        <v>90</v>
      </c>
      <c r="S600" s="236"/>
      <c r="T600" s="236"/>
      <c r="U600" s="236"/>
      <c r="V600" s="242"/>
      <c r="Y600" s="270"/>
      <c r="Z600" s="174"/>
      <c r="AA600" s="19" t="s">
        <v>310</v>
      </c>
      <c r="AB600" s="17">
        <v>6</v>
      </c>
      <c r="AC600" s="17">
        <v>15</v>
      </c>
      <c r="AD600" s="17">
        <f t="shared" si="260"/>
        <v>90</v>
      </c>
      <c r="AE600" s="236"/>
      <c r="AF600" s="236"/>
      <c r="AG600" s="236"/>
      <c r="AH600" s="242"/>
    </row>
    <row r="601" spans="2:34" ht="13">
      <c r="B601" s="249"/>
      <c r="C601" s="155"/>
      <c r="D601" s="19" t="s">
        <v>715</v>
      </c>
      <c r="E601" s="17">
        <v>3</v>
      </c>
      <c r="F601" s="17">
        <v>15</v>
      </c>
      <c r="G601" s="17">
        <f t="shared" ref="G601:G603" si="261">E601*F601</f>
        <v>45</v>
      </c>
      <c r="H601" s="236"/>
      <c r="I601" s="236"/>
      <c r="J601" s="236"/>
      <c r="K601" s="266"/>
      <c r="M601" s="270"/>
      <c r="N601" s="175"/>
      <c r="O601" s="20" t="s">
        <v>33</v>
      </c>
      <c r="P601" s="21"/>
      <c r="Q601" s="21"/>
      <c r="R601" s="21">
        <v>0</v>
      </c>
      <c r="S601" s="248"/>
      <c r="T601" s="248"/>
      <c r="U601" s="248"/>
      <c r="V601" s="303"/>
      <c r="Y601" s="270"/>
      <c r="Z601" s="175"/>
      <c r="AA601" s="20" t="s">
        <v>33</v>
      </c>
      <c r="AB601" s="21"/>
      <c r="AC601" s="21"/>
      <c r="AD601" s="21">
        <v>0</v>
      </c>
      <c r="AE601" s="248"/>
      <c r="AF601" s="248"/>
      <c r="AG601" s="248"/>
      <c r="AH601" s="303"/>
    </row>
    <row r="602" spans="2:34" ht="14">
      <c r="B602" s="249"/>
      <c r="C602" s="155"/>
      <c r="D602" s="19" t="s">
        <v>1235</v>
      </c>
      <c r="E602" s="17">
        <v>9</v>
      </c>
      <c r="F602" s="17">
        <v>14</v>
      </c>
      <c r="G602" s="17">
        <f t="shared" si="261"/>
        <v>126</v>
      </c>
      <c r="H602" s="293"/>
      <c r="I602" s="293"/>
      <c r="J602" s="293"/>
      <c r="K602" s="319"/>
      <c r="M602" s="270"/>
      <c r="N602" s="186" t="s">
        <v>1246</v>
      </c>
      <c r="O602" s="19" t="s">
        <v>114</v>
      </c>
      <c r="P602" s="17">
        <v>7</v>
      </c>
      <c r="Q602" s="17">
        <v>16</v>
      </c>
      <c r="R602" s="17">
        <f>P602*Q602</f>
        <v>112</v>
      </c>
      <c r="S602" s="284">
        <f>SUM(R602:R603)</f>
        <v>112</v>
      </c>
      <c r="T602" s="284">
        <v>484.5</v>
      </c>
      <c r="U602" s="284">
        <f>T602-S602</f>
        <v>372.5</v>
      </c>
      <c r="V602" s="309">
        <f>U602/T602</f>
        <v>0.7688338493292054</v>
      </c>
      <c r="Y602" s="270"/>
      <c r="Z602" s="186" t="s">
        <v>1246</v>
      </c>
      <c r="AA602" s="19" t="s">
        <v>114</v>
      </c>
      <c r="AB602" s="18"/>
      <c r="AC602" s="18"/>
      <c r="AD602" s="18"/>
      <c r="AE602" s="284">
        <f>SUM(AD602:AD603)</f>
        <v>0</v>
      </c>
      <c r="AF602" s="284">
        <v>484.5</v>
      </c>
      <c r="AG602" s="284">
        <f>AF602-AE602</f>
        <v>484.5</v>
      </c>
      <c r="AH602" s="309">
        <f>AG602/AF602</f>
        <v>1</v>
      </c>
    </row>
    <row r="603" spans="2:34" ht="16">
      <c r="B603" s="249"/>
      <c r="C603" s="157" t="s">
        <v>1898</v>
      </c>
      <c r="D603" s="123" t="s">
        <v>1716</v>
      </c>
      <c r="E603" s="124">
        <v>8</v>
      </c>
      <c r="F603" s="124">
        <v>0</v>
      </c>
      <c r="G603" s="124">
        <f t="shared" si="261"/>
        <v>0</v>
      </c>
      <c r="H603" s="181">
        <f>SUM(G603)</f>
        <v>0</v>
      </c>
      <c r="I603" s="181">
        <v>300</v>
      </c>
      <c r="J603" s="181">
        <f t="shared" ref="J603:J604" si="262">I603-H603</f>
        <v>300</v>
      </c>
      <c r="K603" s="182">
        <f t="shared" ref="K603:K604" si="263">J603/I603</f>
        <v>1</v>
      </c>
      <c r="M603" s="270"/>
      <c r="N603" s="175"/>
      <c r="O603" s="20"/>
      <c r="P603" s="21"/>
      <c r="Q603" s="21"/>
      <c r="R603" s="21"/>
      <c r="S603" s="248"/>
      <c r="T603" s="248"/>
      <c r="U603" s="248"/>
      <c r="V603" s="303"/>
      <c r="Y603" s="270"/>
      <c r="Z603" s="175"/>
      <c r="AA603" s="20"/>
      <c r="AB603" s="21"/>
      <c r="AC603" s="21"/>
      <c r="AD603" s="21"/>
      <c r="AE603" s="248"/>
      <c r="AF603" s="248"/>
      <c r="AG603" s="248"/>
      <c r="AH603" s="303"/>
    </row>
    <row r="604" spans="2:34" ht="14">
      <c r="B604" s="249"/>
      <c r="C604" s="157" t="s">
        <v>1899</v>
      </c>
      <c r="D604" s="123" t="s">
        <v>715</v>
      </c>
      <c r="E604" s="123">
        <v>0</v>
      </c>
      <c r="F604" s="123">
        <v>0</v>
      </c>
      <c r="G604" s="123">
        <v>0</v>
      </c>
      <c r="H604" s="320">
        <f>SUM(G604:G605)</f>
        <v>0</v>
      </c>
      <c r="I604" s="320">
        <v>300</v>
      </c>
      <c r="J604" s="320">
        <f t="shared" si="262"/>
        <v>300</v>
      </c>
      <c r="K604" s="321">
        <f t="shared" si="263"/>
        <v>1</v>
      </c>
      <c r="M604" s="270"/>
      <c r="N604" s="173" t="s">
        <v>1247</v>
      </c>
      <c r="O604" s="15" t="s">
        <v>114</v>
      </c>
      <c r="P604" s="16">
        <v>7</v>
      </c>
      <c r="Q604" s="16">
        <v>16</v>
      </c>
      <c r="R604" s="16">
        <f>P604*Q604</f>
        <v>112</v>
      </c>
      <c r="S604" s="292">
        <f>SUM(R604:R607)</f>
        <v>184</v>
      </c>
      <c r="T604" s="292">
        <v>768.55</v>
      </c>
      <c r="U604" s="292">
        <f>T604-S604</f>
        <v>584.54999999999995</v>
      </c>
      <c r="V604" s="313">
        <f>U604/T604</f>
        <v>0.7605881204866306</v>
      </c>
      <c r="Y604" s="270"/>
      <c r="Z604" s="173" t="s">
        <v>1247</v>
      </c>
      <c r="AA604" s="15" t="s">
        <v>114</v>
      </c>
      <c r="AB604" s="43"/>
      <c r="AC604" s="43"/>
      <c r="AD604" s="43"/>
      <c r="AE604" s="292">
        <f>SUM(AD604:AD607)</f>
        <v>0</v>
      </c>
      <c r="AF604" s="292">
        <v>768.55</v>
      </c>
      <c r="AG604" s="292">
        <f>AF604-AE604</f>
        <v>768.55</v>
      </c>
      <c r="AH604" s="313">
        <f>AG604/AF604</f>
        <v>1</v>
      </c>
    </row>
    <row r="605" spans="2:34" ht="13">
      <c r="B605" s="249"/>
      <c r="C605" s="155"/>
      <c r="D605" s="19" t="s">
        <v>1716</v>
      </c>
      <c r="E605" s="17">
        <v>8</v>
      </c>
      <c r="F605" s="17">
        <v>0</v>
      </c>
      <c r="G605" s="17">
        <f>E605*F605</f>
        <v>0</v>
      </c>
      <c r="H605" s="293"/>
      <c r="I605" s="293"/>
      <c r="J605" s="293"/>
      <c r="K605" s="319"/>
      <c r="M605" s="270"/>
      <c r="N605" s="174"/>
      <c r="O605" s="19" t="s">
        <v>1248</v>
      </c>
      <c r="P605" s="17"/>
      <c r="Q605" s="17"/>
      <c r="R605" s="17"/>
      <c r="S605" s="236"/>
      <c r="T605" s="236"/>
      <c r="U605" s="236"/>
      <c r="V605" s="242"/>
      <c r="Y605" s="270"/>
      <c r="Z605" s="174"/>
      <c r="AA605" s="19" t="s">
        <v>1248</v>
      </c>
      <c r="AB605" s="17"/>
      <c r="AC605" s="17"/>
      <c r="AD605" s="17"/>
      <c r="AE605" s="236"/>
      <c r="AF605" s="236"/>
      <c r="AG605" s="236"/>
      <c r="AH605" s="242"/>
    </row>
    <row r="606" spans="2:34" ht="13">
      <c r="B606" s="249"/>
      <c r="C606" s="157" t="s">
        <v>1900</v>
      </c>
      <c r="D606" s="123" t="s">
        <v>1716</v>
      </c>
      <c r="E606" s="124">
        <v>67.75</v>
      </c>
      <c r="F606" s="124">
        <v>15</v>
      </c>
      <c r="G606" s="124">
        <v>0</v>
      </c>
      <c r="H606" s="320">
        <f>SUM(G606:G609)</f>
        <v>405</v>
      </c>
      <c r="I606" s="320">
        <v>6300</v>
      </c>
      <c r="J606" s="320">
        <f>I606-H606</f>
        <v>5895</v>
      </c>
      <c r="K606" s="321">
        <f>J606/I606</f>
        <v>0.93571428571428572</v>
      </c>
      <c r="M606" s="270"/>
      <c r="N606" s="174"/>
      <c r="O606" s="19" t="s">
        <v>1249</v>
      </c>
      <c r="P606" s="17"/>
      <c r="Q606" s="17"/>
      <c r="R606" s="17"/>
      <c r="S606" s="236"/>
      <c r="T606" s="236"/>
      <c r="U606" s="236"/>
      <c r="V606" s="242"/>
      <c r="Y606" s="270"/>
      <c r="Z606" s="174"/>
      <c r="AA606" s="19" t="s">
        <v>1249</v>
      </c>
      <c r="AB606" s="17"/>
      <c r="AC606" s="17"/>
      <c r="AD606" s="17"/>
      <c r="AE606" s="236"/>
      <c r="AF606" s="236"/>
      <c r="AG606" s="236"/>
      <c r="AH606" s="242"/>
    </row>
    <row r="607" spans="2:34" ht="13">
      <c r="B607" s="249"/>
      <c r="C607" s="155"/>
      <c r="D607" s="19" t="s">
        <v>114</v>
      </c>
      <c r="E607" s="17">
        <v>89</v>
      </c>
      <c r="F607" s="17">
        <v>15</v>
      </c>
      <c r="G607" s="17">
        <v>0</v>
      </c>
      <c r="H607" s="236"/>
      <c r="I607" s="236"/>
      <c r="J607" s="236"/>
      <c r="K607" s="266"/>
      <c r="M607" s="270"/>
      <c r="N607" s="175"/>
      <c r="O607" s="20" t="s">
        <v>1250</v>
      </c>
      <c r="P607" s="21">
        <v>4</v>
      </c>
      <c r="Q607" s="21">
        <v>18</v>
      </c>
      <c r="R607" s="21">
        <f>P607*Q607</f>
        <v>72</v>
      </c>
      <c r="S607" s="248"/>
      <c r="T607" s="248"/>
      <c r="U607" s="248"/>
      <c r="V607" s="303"/>
      <c r="Y607" s="270"/>
      <c r="Z607" s="175"/>
      <c r="AA607" s="20" t="s">
        <v>1250</v>
      </c>
      <c r="AB607" s="68"/>
      <c r="AC607" s="68"/>
      <c r="AD607" s="68"/>
      <c r="AE607" s="248"/>
      <c r="AF607" s="248"/>
      <c r="AG607" s="248"/>
      <c r="AH607" s="303"/>
    </row>
    <row r="608" spans="2:34" ht="14">
      <c r="B608" s="249"/>
      <c r="C608" s="155"/>
      <c r="D608" s="19" t="s">
        <v>1308</v>
      </c>
      <c r="E608" s="17">
        <v>21.5</v>
      </c>
      <c r="F608" s="17">
        <v>14</v>
      </c>
      <c r="G608" s="17">
        <f t="shared" ref="G608:G609" si="264">E608*F608</f>
        <v>301</v>
      </c>
      <c r="H608" s="236"/>
      <c r="I608" s="236"/>
      <c r="J608" s="236"/>
      <c r="K608" s="266"/>
      <c r="M608" s="270"/>
      <c r="N608" s="173" t="s">
        <v>1901</v>
      </c>
      <c r="O608" s="15" t="s">
        <v>731</v>
      </c>
      <c r="P608" s="16"/>
      <c r="Q608" s="16"/>
      <c r="R608" s="16">
        <v>1003.2</v>
      </c>
      <c r="S608" s="292">
        <f>SUM(R608:R610)</f>
        <v>1596.62</v>
      </c>
      <c r="T608" s="292">
        <v>3749</v>
      </c>
      <c r="U608" s="292">
        <f>T608-S608</f>
        <v>2152.38</v>
      </c>
      <c r="V608" s="313">
        <f>U608/T608</f>
        <v>0.57412109895972263</v>
      </c>
      <c r="Y608" s="270"/>
      <c r="Z608" s="173" t="s">
        <v>1901</v>
      </c>
      <c r="AA608" s="15" t="s">
        <v>731</v>
      </c>
      <c r="AB608" s="16"/>
      <c r="AC608" s="16"/>
      <c r="AD608" s="16">
        <v>1003.2</v>
      </c>
      <c r="AE608" s="292">
        <f>SUM(AD608:AD610)</f>
        <v>1596.62</v>
      </c>
      <c r="AF608" s="292">
        <v>3749</v>
      </c>
      <c r="AG608" s="292">
        <f>AF608-AE608</f>
        <v>2152.38</v>
      </c>
      <c r="AH608" s="313">
        <f>AG608/AF608</f>
        <v>0.57412109895972263</v>
      </c>
    </row>
    <row r="609" spans="2:34" ht="13">
      <c r="B609" s="250"/>
      <c r="C609" s="155"/>
      <c r="D609" s="19" t="s">
        <v>1341</v>
      </c>
      <c r="E609" s="17">
        <v>8</v>
      </c>
      <c r="F609" s="17">
        <v>13</v>
      </c>
      <c r="G609" s="17">
        <f t="shared" si="264"/>
        <v>104</v>
      </c>
      <c r="H609" s="293"/>
      <c r="I609" s="293"/>
      <c r="J609" s="293"/>
      <c r="K609" s="319"/>
      <c r="M609" s="270"/>
      <c r="N609" s="174"/>
      <c r="O609" s="19" t="s">
        <v>1902</v>
      </c>
      <c r="P609" s="17"/>
      <c r="Q609" s="17"/>
      <c r="R609" s="17">
        <v>261.27</v>
      </c>
      <c r="S609" s="236"/>
      <c r="T609" s="236"/>
      <c r="U609" s="236"/>
      <c r="V609" s="242"/>
      <c r="Y609" s="270"/>
      <c r="Z609" s="174"/>
      <c r="AA609" s="19" t="s">
        <v>1902</v>
      </c>
      <c r="AB609" s="17"/>
      <c r="AC609" s="17"/>
      <c r="AD609" s="17">
        <v>261.27</v>
      </c>
      <c r="AE609" s="236"/>
      <c r="AF609" s="236"/>
      <c r="AG609" s="236"/>
      <c r="AH609" s="242"/>
    </row>
    <row r="610" spans="2:34" ht="30">
      <c r="B610" s="251" t="s">
        <v>1903</v>
      </c>
      <c r="C610" s="252"/>
      <c r="D610" s="253"/>
      <c r="E610" s="27">
        <f t="shared" ref="E610:J610" si="265">AVERAGE(E589:E609)</f>
        <v>15.4375</v>
      </c>
      <c r="F610" s="27">
        <f t="shared" si="265"/>
        <v>12.7</v>
      </c>
      <c r="G610" s="152">
        <f t="shared" si="265"/>
        <v>67.474999999999994</v>
      </c>
      <c r="H610" s="152">
        <f t="shared" si="265"/>
        <v>224.91666666666666</v>
      </c>
      <c r="I610" s="152">
        <f t="shared" si="265"/>
        <v>2025</v>
      </c>
      <c r="J610" s="152">
        <f t="shared" si="265"/>
        <v>1800.0833333333333</v>
      </c>
      <c r="K610" s="183"/>
      <c r="M610" s="270"/>
      <c r="N610" s="175"/>
      <c r="O610" s="20" t="s">
        <v>1461</v>
      </c>
      <c r="P610" s="21"/>
      <c r="Q610" s="21"/>
      <c r="R610" s="21">
        <v>332.15</v>
      </c>
      <c r="S610" s="248"/>
      <c r="T610" s="248"/>
      <c r="U610" s="248"/>
      <c r="V610" s="303"/>
      <c r="Y610" s="270"/>
      <c r="Z610" s="175"/>
      <c r="AA610" s="20" t="s">
        <v>1461</v>
      </c>
      <c r="AB610" s="21"/>
      <c r="AC610" s="21"/>
      <c r="AD610" s="21">
        <v>332.15</v>
      </c>
      <c r="AE610" s="248"/>
      <c r="AF610" s="248"/>
      <c r="AG610" s="248"/>
      <c r="AH610" s="303"/>
    </row>
    <row r="611" spans="2:34" ht="30">
      <c r="B611" s="251" t="s">
        <v>1904</v>
      </c>
      <c r="C611" s="252"/>
      <c r="D611" s="253"/>
      <c r="E611" s="27">
        <f t="shared" ref="E611:J611" si="266">SUM(E589:E609)</f>
        <v>308.75</v>
      </c>
      <c r="F611" s="27">
        <f t="shared" si="266"/>
        <v>254</v>
      </c>
      <c r="G611" s="152">
        <f t="shared" si="266"/>
        <v>1349.5</v>
      </c>
      <c r="H611" s="152">
        <f t="shared" si="266"/>
        <v>1349.5</v>
      </c>
      <c r="I611" s="152">
        <f t="shared" si="266"/>
        <v>12150</v>
      </c>
      <c r="J611" s="152">
        <f t="shared" si="266"/>
        <v>10800.5</v>
      </c>
      <c r="K611" s="154">
        <f t="shared" ref="K611:K612" si="267">J611/I611</f>
        <v>0.88893004115226337</v>
      </c>
      <c r="M611" s="270"/>
      <c r="N611" s="144" t="s">
        <v>1905</v>
      </c>
      <c r="O611" s="77" t="s">
        <v>310</v>
      </c>
      <c r="P611" s="71">
        <v>15</v>
      </c>
      <c r="Q611" s="71">
        <v>15</v>
      </c>
      <c r="R611" s="71">
        <f t="shared" ref="R611:R616" si="268">P611*Q611</f>
        <v>225</v>
      </c>
      <c r="S611" s="239">
        <f>SUM(R611:R617)</f>
        <v>2640.2200000000003</v>
      </c>
      <c r="T611" s="239">
        <v>8051.85</v>
      </c>
      <c r="U611" s="239">
        <f>T611-S611</f>
        <v>5411.63</v>
      </c>
      <c r="V611" s="259">
        <f>U611/T611</f>
        <v>0.67209771667380791</v>
      </c>
      <c r="Y611" s="270"/>
      <c r="Z611" s="144" t="s">
        <v>1905</v>
      </c>
      <c r="AA611" s="77" t="s">
        <v>310</v>
      </c>
      <c r="AB611" s="71">
        <v>15</v>
      </c>
      <c r="AC611" s="71">
        <v>15</v>
      </c>
      <c r="AD611" s="71">
        <f t="shared" ref="AD611:AD615" si="269">AB611*AC611</f>
        <v>225</v>
      </c>
      <c r="AE611" s="325">
        <f>SUM(AD611:AD617)</f>
        <v>3773.54</v>
      </c>
      <c r="AF611" s="325">
        <v>10616</v>
      </c>
      <c r="AG611" s="325">
        <f>AF611-AE611</f>
        <v>6842.46</v>
      </c>
      <c r="AH611" s="330">
        <f>AG611/AF611</f>
        <v>0.64454220045214772</v>
      </c>
    </row>
    <row r="612" spans="2:34" ht="14">
      <c r="B612" s="277" t="s">
        <v>7</v>
      </c>
      <c r="C612" s="155" t="s">
        <v>1906</v>
      </c>
      <c r="D612" s="19" t="s">
        <v>114</v>
      </c>
      <c r="E612" s="17">
        <v>21</v>
      </c>
      <c r="F612" s="17">
        <v>15</v>
      </c>
      <c r="G612" s="17">
        <v>0</v>
      </c>
      <c r="H612" s="325">
        <f>SUM(G612:G616)</f>
        <v>475.1</v>
      </c>
      <c r="I612" s="325">
        <v>1200</v>
      </c>
      <c r="J612" s="325">
        <f>I612-H612</f>
        <v>724.9</v>
      </c>
      <c r="K612" s="328">
        <f t="shared" si="267"/>
        <v>0.60408333333333331</v>
      </c>
      <c r="M612" s="270"/>
      <c r="N612" s="148"/>
      <c r="O612" s="19" t="s">
        <v>1907</v>
      </c>
      <c r="P612" s="17">
        <v>63</v>
      </c>
      <c r="Q612" s="17">
        <v>17</v>
      </c>
      <c r="R612" s="17">
        <f t="shared" si="268"/>
        <v>1071</v>
      </c>
      <c r="S612" s="236"/>
      <c r="T612" s="236"/>
      <c r="U612" s="236"/>
      <c r="V612" s="242"/>
      <c r="Y612" s="270"/>
      <c r="Z612" s="148"/>
      <c r="AA612" s="19" t="s">
        <v>1907</v>
      </c>
      <c r="AB612" s="17">
        <v>63</v>
      </c>
      <c r="AC612" s="17">
        <v>17</v>
      </c>
      <c r="AD612" s="17">
        <f t="shared" si="269"/>
        <v>1071</v>
      </c>
      <c r="AE612" s="236"/>
      <c r="AF612" s="236"/>
      <c r="AG612" s="236"/>
      <c r="AH612" s="242"/>
    </row>
    <row r="613" spans="2:34" ht="13">
      <c r="B613" s="249"/>
      <c r="C613" s="155"/>
      <c r="D613" s="19" t="s">
        <v>1716</v>
      </c>
      <c r="E613" s="17">
        <v>21</v>
      </c>
      <c r="F613" s="17">
        <v>15</v>
      </c>
      <c r="G613" s="17">
        <v>0</v>
      </c>
      <c r="H613" s="236"/>
      <c r="I613" s="236"/>
      <c r="J613" s="236"/>
      <c r="K613" s="266"/>
      <c r="M613" s="270"/>
      <c r="N613" s="1"/>
      <c r="O613" s="19" t="s">
        <v>78</v>
      </c>
      <c r="P613" s="17">
        <v>24</v>
      </c>
      <c r="Q613" s="17">
        <v>15</v>
      </c>
      <c r="R613" s="17">
        <f t="shared" si="268"/>
        <v>360</v>
      </c>
      <c r="S613" s="236"/>
      <c r="T613" s="236"/>
      <c r="U613" s="236"/>
      <c r="V613" s="242"/>
      <c r="Y613" s="270"/>
      <c r="Z613" s="1"/>
      <c r="AA613" s="19" t="s">
        <v>78</v>
      </c>
      <c r="AB613" s="17">
        <v>24</v>
      </c>
      <c r="AC613" s="17">
        <v>15</v>
      </c>
      <c r="AD613" s="17">
        <f t="shared" si="269"/>
        <v>360</v>
      </c>
      <c r="AE613" s="236"/>
      <c r="AF613" s="236"/>
      <c r="AG613" s="236"/>
      <c r="AH613" s="242"/>
    </row>
    <row r="614" spans="2:34" ht="13">
      <c r="B614" s="249"/>
      <c r="C614" s="155"/>
      <c r="D614" s="19" t="s">
        <v>1908</v>
      </c>
      <c r="E614" s="11"/>
      <c r="F614" s="11"/>
      <c r="G614" s="17">
        <v>180</v>
      </c>
      <c r="H614" s="236"/>
      <c r="I614" s="236"/>
      <c r="J614" s="236"/>
      <c r="K614" s="266"/>
      <c r="M614" s="270"/>
      <c r="N614" s="1"/>
      <c r="O614" s="19" t="s">
        <v>741</v>
      </c>
      <c r="P614" s="17">
        <v>7</v>
      </c>
      <c r="Q614" s="17">
        <v>13</v>
      </c>
      <c r="R614" s="17">
        <f t="shared" si="268"/>
        <v>91</v>
      </c>
      <c r="S614" s="236"/>
      <c r="T614" s="236"/>
      <c r="U614" s="236"/>
      <c r="V614" s="242"/>
      <c r="Y614" s="270"/>
      <c r="Z614" s="1"/>
      <c r="AA614" s="19" t="s">
        <v>741</v>
      </c>
      <c r="AB614" s="17">
        <v>7</v>
      </c>
      <c r="AC614" s="17">
        <v>13</v>
      </c>
      <c r="AD614" s="17">
        <f t="shared" si="269"/>
        <v>91</v>
      </c>
      <c r="AE614" s="236"/>
      <c r="AF614" s="236"/>
      <c r="AG614" s="236"/>
      <c r="AH614" s="242"/>
    </row>
    <row r="615" spans="2:34" ht="13">
      <c r="B615" s="249"/>
      <c r="C615" s="155"/>
      <c r="D615" s="19" t="s">
        <v>47</v>
      </c>
      <c r="E615" s="11"/>
      <c r="F615" s="11"/>
      <c r="G615" s="17">
        <v>195.1</v>
      </c>
      <c r="H615" s="236"/>
      <c r="I615" s="236"/>
      <c r="J615" s="236"/>
      <c r="K615" s="266"/>
      <c r="M615" s="270"/>
      <c r="N615" s="1"/>
      <c r="O615" s="19" t="s">
        <v>1242</v>
      </c>
      <c r="P615" s="17">
        <v>6</v>
      </c>
      <c r="Q615" s="17">
        <v>15</v>
      </c>
      <c r="R615" s="17">
        <f t="shared" si="268"/>
        <v>90</v>
      </c>
      <c r="S615" s="236"/>
      <c r="T615" s="236"/>
      <c r="U615" s="236"/>
      <c r="V615" s="242"/>
      <c r="Y615" s="270"/>
      <c r="Z615" s="1"/>
      <c r="AA615" s="19" t="s">
        <v>1242</v>
      </c>
      <c r="AB615" s="17">
        <v>6</v>
      </c>
      <c r="AC615" s="17">
        <v>15</v>
      </c>
      <c r="AD615" s="17">
        <f t="shared" si="269"/>
        <v>90</v>
      </c>
      <c r="AE615" s="236"/>
      <c r="AF615" s="236"/>
      <c r="AG615" s="236"/>
      <c r="AH615" s="242"/>
    </row>
    <row r="616" spans="2:34" ht="13">
      <c r="B616" s="249"/>
      <c r="C616" s="155"/>
      <c r="D616" s="19" t="s">
        <v>45</v>
      </c>
      <c r="E616" s="11"/>
      <c r="F616" s="11"/>
      <c r="G616" s="17">
        <v>100</v>
      </c>
      <c r="H616" s="236"/>
      <c r="I616" s="236"/>
      <c r="J616" s="236"/>
      <c r="K616" s="266"/>
      <c r="M616" s="270"/>
      <c r="N616" s="1"/>
      <c r="O616" s="19" t="s">
        <v>701</v>
      </c>
      <c r="P616" s="17">
        <v>6</v>
      </c>
      <c r="Q616" s="17">
        <v>16</v>
      </c>
      <c r="R616" s="17">
        <f t="shared" si="268"/>
        <v>96</v>
      </c>
      <c r="S616" s="236"/>
      <c r="T616" s="236"/>
      <c r="U616" s="236"/>
      <c r="V616" s="242"/>
      <c r="Y616" s="270"/>
      <c r="Z616" s="1"/>
      <c r="AA616" s="19" t="s">
        <v>701</v>
      </c>
      <c r="AB616" s="18"/>
      <c r="AC616" s="18"/>
      <c r="AD616" s="18"/>
      <c r="AE616" s="236"/>
      <c r="AF616" s="236"/>
      <c r="AG616" s="236"/>
      <c r="AH616" s="242"/>
    </row>
    <row r="617" spans="2:34" ht="13">
      <c r="B617" s="249"/>
      <c r="C617" s="157" t="s">
        <v>1909</v>
      </c>
      <c r="D617" s="123" t="s">
        <v>740</v>
      </c>
      <c r="E617" s="124">
        <v>6</v>
      </c>
      <c r="F617" s="124">
        <v>15</v>
      </c>
      <c r="G617" s="124">
        <v>0</v>
      </c>
      <c r="H617" s="320">
        <f>SUM(G617:G621)</f>
        <v>112</v>
      </c>
      <c r="I617" s="320">
        <v>1200</v>
      </c>
      <c r="J617" s="320">
        <f>I617-H617</f>
        <v>1088</v>
      </c>
      <c r="K617" s="321">
        <f>J617/I617</f>
        <v>0.90666666666666662</v>
      </c>
      <c r="M617" s="270"/>
      <c r="N617" s="140"/>
      <c r="O617" s="20" t="s">
        <v>954</v>
      </c>
      <c r="P617" s="21"/>
      <c r="Q617" s="21"/>
      <c r="R617" s="21">
        <v>707.22</v>
      </c>
      <c r="S617" s="248"/>
      <c r="T617" s="248"/>
      <c r="U617" s="248"/>
      <c r="V617" s="303"/>
      <c r="Y617" s="270"/>
      <c r="Z617" s="140"/>
      <c r="AA617" s="20" t="s">
        <v>954</v>
      </c>
      <c r="AB617" s="21"/>
      <c r="AC617" s="21"/>
      <c r="AD617" s="21">
        <v>1936.54</v>
      </c>
      <c r="AE617" s="248"/>
      <c r="AF617" s="248"/>
      <c r="AG617" s="248"/>
      <c r="AH617" s="303"/>
    </row>
    <row r="618" spans="2:34" ht="13">
      <c r="B618" s="249"/>
      <c r="C618" s="155"/>
      <c r="D618" s="19" t="s">
        <v>1910</v>
      </c>
      <c r="E618" s="17">
        <v>2</v>
      </c>
      <c r="F618" s="17">
        <v>5</v>
      </c>
      <c r="G618" s="17">
        <v>0</v>
      </c>
      <c r="H618" s="236"/>
      <c r="I618" s="236"/>
      <c r="J618" s="236"/>
      <c r="K618" s="266"/>
      <c r="M618" s="270"/>
      <c r="N618" s="316" t="s">
        <v>1911</v>
      </c>
      <c r="O618" s="19" t="s">
        <v>114</v>
      </c>
      <c r="P618" s="17">
        <v>49</v>
      </c>
      <c r="Q618" s="17">
        <v>16</v>
      </c>
      <c r="R618" s="17">
        <f t="shared" ref="R618:R636" si="270">P618*Q618</f>
        <v>784</v>
      </c>
      <c r="S618" s="284">
        <f>SUM(R618:R630)</f>
        <v>4212.1499999999996</v>
      </c>
      <c r="T618" s="284">
        <v>10500</v>
      </c>
      <c r="U618" s="284">
        <f>T618-S618</f>
        <v>6287.85</v>
      </c>
      <c r="V618" s="315">
        <f>U618/T618</f>
        <v>0.59884285714285723</v>
      </c>
      <c r="Y618" s="270"/>
      <c r="Z618" s="316" t="s">
        <v>1911</v>
      </c>
      <c r="AA618" s="19" t="s">
        <v>114</v>
      </c>
      <c r="AB618" s="18"/>
      <c r="AC618" s="18"/>
      <c r="AD618" s="18"/>
      <c r="AE618" s="284">
        <f>SUM(AD618:AD630)</f>
        <v>2643.55</v>
      </c>
      <c r="AF618" s="284">
        <v>10500</v>
      </c>
      <c r="AG618" s="284">
        <f>AF618-AE618</f>
        <v>7856.45</v>
      </c>
      <c r="AH618" s="315">
        <f>AG618/AF618</f>
        <v>0.74823333333333331</v>
      </c>
    </row>
    <row r="619" spans="2:34" ht="13">
      <c r="B619" s="249"/>
      <c r="C619" s="155"/>
      <c r="D619" s="19" t="s">
        <v>1830</v>
      </c>
      <c r="E619" s="17">
        <v>2</v>
      </c>
      <c r="F619" s="17">
        <v>5</v>
      </c>
      <c r="G619" s="17">
        <v>0</v>
      </c>
      <c r="H619" s="236"/>
      <c r="I619" s="236"/>
      <c r="J619" s="236"/>
      <c r="K619" s="266"/>
      <c r="M619" s="270"/>
      <c r="N619" s="236"/>
      <c r="O619" s="19" t="s">
        <v>701</v>
      </c>
      <c r="P619" s="17">
        <v>44</v>
      </c>
      <c r="Q619" s="17">
        <v>16</v>
      </c>
      <c r="R619" s="17">
        <f t="shared" si="270"/>
        <v>704</v>
      </c>
      <c r="S619" s="236"/>
      <c r="T619" s="236"/>
      <c r="U619" s="236"/>
      <c r="V619" s="258"/>
      <c r="Y619" s="270"/>
      <c r="Z619" s="236"/>
      <c r="AA619" s="19" t="s">
        <v>701</v>
      </c>
      <c r="AB619" s="18"/>
      <c r="AC619" s="18"/>
      <c r="AD619" s="18"/>
      <c r="AE619" s="236"/>
      <c r="AF619" s="236"/>
      <c r="AG619" s="236"/>
      <c r="AH619" s="258"/>
    </row>
    <row r="620" spans="2:34" ht="13">
      <c r="B620" s="249"/>
      <c r="C620" s="155"/>
      <c r="D620" s="19" t="s">
        <v>1308</v>
      </c>
      <c r="E620" s="17">
        <v>8</v>
      </c>
      <c r="F620" s="17">
        <v>14</v>
      </c>
      <c r="G620" s="17">
        <f>E620*F620</f>
        <v>112</v>
      </c>
      <c r="H620" s="236"/>
      <c r="I620" s="236"/>
      <c r="J620" s="236"/>
      <c r="K620" s="266"/>
      <c r="M620" s="270"/>
      <c r="N620" s="236"/>
      <c r="O620" s="19" t="s">
        <v>75</v>
      </c>
      <c r="P620" s="17">
        <v>10.199999999999999</v>
      </c>
      <c r="Q620" s="17">
        <v>13</v>
      </c>
      <c r="R620" s="17">
        <f t="shared" si="270"/>
        <v>132.6</v>
      </c>
      <c r="S620" s="236"/>
      <c r="T620" s="236"/>
      <c r="U620" s="236"/>
      <c r="V620" s="258"/>
      <c r="Y620" s="270"/>
      <c r="Z620" s="236"/>
      <c r="AA620" s="19" t="s">
        <v>75</v>
      </c>
      <c r="AB620" s="17">
        <v>10.199999999999999</v>
      </c>
      <c r="AC620" s="17">
        <v>13</v>
      </c>
      <c r="AD620" s="17">
        <f t="shared" ref="AD620:AD630" si="271">AB620*AC620</f>
        <v>132.6</v>
      </c>
      <c r="AE620" s="236"/>
      <c r="AF620" s="236"/>
      <c r="AG620" s="236"/>
      <c r="AH620" s="258"/>
    </row>
    <row r="621" spans="2:34" ht="13">
      <c r="B621" s="249"/>
      <c r="C621" s="155"/>
      <c r="D621" s="19" t="s">
        <v>114</v>
      </c>
      <c r="E621" s="17">
        <v>8</v>
      </c>
      <c r="F621" s="17">
        <v>15</v>
      </c>
      <c r="G621" s="17">
        <v>0</v>
      </c>
      <c r="H621" s="236"/>
      <c r="I621" s="236"/>
      <c r="J621" s="236"/>
      <c r="K621" s="266"/>
      <c r="M621" s="270"/>
      <c r="N621" s="236"/>
      <c r="O621" s="19" t="s">
        <v>325</v>
      </c>
      <c r="P621" s="17">
        <v>10.82</v>
      </c>
      <c r="Q621" s="17">
        <v>13</v>
      </c>
      <c r="R621" s="17">
        <f t="shared" si="270"/>
        <v>140.66</v>
      </c>
      <c r="S621" s="236"/>
      <c r="T621" s="236"/>
      <c r="U621" s="236"/>
      <c r="V621" s="258"/>
      <c r="Y621" s="270"/>
      <c r="Z621" s="236"/>
      <c r="AA621" s="19" t="s">
        <v>325</v>
      </c>
      <c r="AB621" s="17">
        <v>9.8000000000000007</v>
      </c>
      <c r="AC621" s="17">
        <v>13</v>
      </c>
      <c r="AD621" s="17">
        <f t="shared" si="271"/>
        <v>127.4</v>
      </c>
      <c r="AE621" s="236"/>
      <c r="AF621" s="236"/>
      <c r="AG621" s="236"/>
      <c r="AH621" s="258"/>
    </row>
    <row r="622" spans="2:34" ht="13">
      <c r="B622" s="249"/>
      <c r="C622" s="157">
        <v>25006</v>
      </c>
      <c r="D622" s="123" t="s">
        <v>114</v>
      </c>
      <c r="E622" s="124">
        <v>21.75</v>
      </c>
      <c r="F622" s="124">
        <v>15</v>
      </c>
      <c r="G622" s="124">
        <v>0</v>
      </c>
      <c r="H622" s="320">
        <f>SUM(G622:G623)</f>
        <v>0</v>
      </c>
      <c r="I622" s="320">
        <v>4600</v>
      </c>
      <c r="J622" s="320">
        <f>I622-H622</f>
        <v>4600</v>
      </c>
      <c r="K622" s="321">
        <f>J622/I622</f>
        <v>1</v>
      </c>
      <c r="M622" s="270"/>
      <c r="N622" s="236"/>
      <c r="O622" s="19" t="s">
        <v>23</v>
      </c>
      <c r="P622" s="17">
        <v>5.5</v>
      </c>
      <c r="Q622" s="17">
        <v>13</v>
      </c>
      <c r="R622" s="17">
        <f t="shared" si="270"/>
        <v>71.5</v>
      </c>
      <c r="S622" s="236"/>
      <c r="T622" s="236"/>
      <c r="U622" s="236"/>
      <c r="V622" s="258"/>
      <c r="Y622" s="270"/>
      <c r="Z622" s="236"/>
      <c r="AA622" s="19" t="s">
        <v>23</v>
      </c>
      <c r="AB622" s="17">
        <v>5.5</v>
      </c>
      <c r="AC622" s="17">
        <v>13</v>
      </c>
      <c r="AD622" s="17">
        <f t="shared" si="271"/>
        <v>71.5</v>
      </c>
      <c r="AE622" s="236"/>
      <c r="AF622" s="236"/>
      <c r="AG622" s="236"/>
      <c r="AH622" s="258"/>
    </row>
    <row r="623" spans="2:34" ht="13">
      <c r="B623" s="249"/>
      <c r="C623" s="155"/>
      <c r="D623" s="19" t="s">
        <v>1716</v>
      </c>
      <c r="E623" s="17">
        <v>16.75</v>
      </c>
      <c r="F623" s="17">
        <v>15</v>
      </c>
      <c r="G623" s="17">
        <v>0</v>
      </c>
      <c r="H623" s="293"/>
      <c r="I623" s="293"/>
      <c r="J623" s="293"/>
      <c r="K623" s="319"/>
      <c r="M623" s="270"/>
      <c r="N623" s="236"/>
      <c r="O623" s="19" t="s">
        <v>310</v>
      </c>
      <c r="P623" s="17">
        <v>27.4</v>
      </c>
      <c r="Q623" s="17">
        <v>13</v>
      </c>
      <c r="R623" s="17">
        <f t="shared" si="270"/>
        <v>356.2</v>
      </c>
      <c r="S623" s="236"/>
      <c r="T623" s="236"/>
      <c r="U623" s="236"/>
      <c r="V623" s="258"/>
      <c r="Y623" s="270"/>
      <c r="Z623" s="236"/>
      <c r="AA623" s="19" t="s">
        <v>310</v>
      </c>
      <c r="AB623" s="17">
        <v>28.4</v>
      </c>
      <c r="AC623" s="17">
        <v>13</v>
      </c>
      <c r="AD623" s="17">
        <f t="shared" si="271"/>
        <v>369.2</v>
      </c>
      <c r="AE623" s="236"/>
      <c r="AF623" s="236"/>
      <c r="AG623" s="236"/>
      <c r="AH623" s="258"/>
    </row>
    <row r="624" spans="2:34" ht="13">
      <c r="B624" s="249"/>
      <c r="C624" s="157" t="s">
        <v>1912</v>
      </c>
      <c r="D624" s="123" t="s">
        <v>1913</v>
      </c>
      <c r="E624" s="124">
        <v>13.25</v>
      </c>
      <c r="F624" s="124">
        <v>15</v>
      </c>
      <c r="G624" s="124">
        <f t="shared" ref="G624:G627" si="272">E624*F624</f>
        <v>198.75</v>
      </c>
      <c r="H624" s="320">
        <f>SUM(G624:G625)</f>
        <v>296.25</v>
      </c>
      <c r="I624" s="320">
        <v>1050</v>
      </c>
      <c r="J624" s="320">
        <f>I624-H624</f>
        <v>753.75</v>
      </c>
      <c r="K624" s="321">
        <f>J624/I624</f>
        <v>0.71785714285714286</v>
      </c>
      <c r="M624" s="270"/>
      <c r="N624" s="236"/>
      <c r="O624" s="19" t="s">
        <v>1239</v>
      </c>
      <c r="P624" s="17">
        <v>25.65</v>
      </c>
      <c r="Q624" s="17">
        <v>13</v>
      </c>
      <c r="R624" s="17">
        <f t="shared" si="270"/>
        <v>333.45</v>
      </c>
      <c r="S624" s="236"/>
      <c r="T624" s="236"/>
      <c r="U624" s="236"/>
      <c r="V624" s="258"/>
      <c r="Y624" s="270"/>
      <c r="Z624" s="236"/>
      <c r="AA624" s="19" t="s">
        <v>1239</v>
      </c>
      <c r="AB624" s="17">
        <v>25.65</v>
      </c>
      <c r="AC624" s="17">
        <v>13</v>
      </c>
      <c r="AD624" s="17">
        <f t="shared" si="271"/>
        <v>333.45</v>
      </c>
      <c r="AE624" s="236"/>
      <c r="AF624" s="236"/>
      <c r="AG624" s="236"/>
      <c r="AH624" s="258"/>
    </row>
    <row r="625" spans="2:34" ht="13">
      <c r="B625" s="249"/>
      <c r="C625" s="155"/>
      <c r="D625" s="19" t="s">
        <v>1914</v>
      </c>
      <c r="E625" s="17">
        <v>6.5</v>
      </c>
      <c r="F625" s="17">
        <v>15</v>
      </c>
      <c r="G625" s="17">
        <f t="shared" si="272"/>
        <v>97.5</v>
      </c>
      <c r="H625" s="293"/>
      <c r="I625" s="293"/>
      <c r="J625" s="293"/>
      <c r="K625" s="319"/>
      <c r="M625" s="270"/>
      <c r="N625" s="236"/>
      <c r="O625" s="19" t="s">
        <v>744</v>
      </c>
      <c r="P625" s="17">
        <v>7.5</v>
      </c>
      <c r="Q625" s="17">
        <v>13</v>
      </c>
      <c r="R625" s="17">
        <f t="shared" si="270"/>
        <v>97.5</v>
      </c>
      <c r="S625" s="236"/>
      <c r="T625" s="236"/>
      <c r="U625" s="236"/>
      <c r="V625" s="258"/>
      <c r="Y625" s="270"/>
      <c r="Z625" s="236"/>
      <c r="AA625" s="19" t="s">
        <v>744</v>
      </c>
      <c r="AB625" s="17">
        <v>7.5</v>
      </c>
      <c r="AC625" s="17">
        <v>13</v>
      </c>
      <c r="AD625" s="17">
        <f t="shared" si="271"/>
        <v>97.5</v>
      </c>
      <c r="AE625" s="236"/>
      <c r="AF625" s="236"/>
      <c r="AG625" s="236"/>
      <c r="AH625" s="258"/>
    </row>
    <row r="626" spans="2:34" ht="13">
      <c r="B626" s="249"/>
      <c r="C626" s="157" t="s">
        <v>1915</v>
      </c>
      <c r="D626" s="123" t="s">
        <v>114</v>
      </c>
      <c r="E626" s="124">
        <v>24</v>
      </c>
      <c r="F626" s="124">
        <v>0</v>
      </c>
      <c r="G626" s="124">
        <f t="shared" si="272"/>
        <v>0</v>
      </c>
      <c r="H626" s="320">
        <f>SUM(G626:G630)</f>
        <v>565</v>
      </c>
      <c r="I626" s="320">
        <v>3150</v>
      </c>
      <c r="J626" s="320">
        <f>I626-H626</f>
        <v>2585</v>
      </c>
      <c r="K626" s="321">
        <f>J626/I626</f>
        <v>0.82063492063492061</v>
      </c>
      <c r="M626" s="270"/>
      <c r="N626" s="236"/>
      <c r="O626" s="19" t="s">
        <v>53</v>
      </c>
      <c r="P626" s="17">
        <v>41.5</v>
      </c>
      <c r="Q626" s="17">
        <v>13</v>
      </c>
      <c r="R626" s="17">
        <f t="shared" si="270"/>
        <v>539.5</v>
      </c>
      <c r="S626" s="236"/>
      <c r="T626" s="236"/>
      <c r="U626" s="236"/>
      <c r="V626" s="258"/>
      <c r="Y626" s="270"/>
      <c r="Z626" s="236"/>
      <c r="AA626" s="19" t="s">
        <v>53</v>
      </c>
      <c r="AB626" s="17">
        <v>41.5</v>
      </c>
      <c r="AC626" s="17">
        <v>13</v>
      </c>
      <c r="AD626" s="17">
        <f t="shared" si="271"/>
        <v>539.5</v>
      </c>
      <c r="AE626" s="236"/>
      <c r="AF626" s="236"/>
      <c r="AG626" s="236"/>
      <c r="AH626" s="258"/>
    </row>
    <row r="627" spans="2:34" ht="13">
      <c r="B627" s="249"/>
      <c r="C627" s="155"/>
      <c r="D627" s="19" t="s">
        <v>740</v>
      </c>
      <c r="E627" s="17">
        <v>24</v>
      </c>
      <c r="F627" s="17">
        <v>0</v>
      </c>
      <c r="G627" s="17">
        <f t="shared" si="272"/>
        <v>0</v>
      </c>
      <c r="H627" s="236"/>
      <c r="I627" s="236"/>
      <c r="J627" s="236"/>
      <c r="K627" s="266"/>
      <c r="M627" s="270"/>
      <c r="N627" s="236"/>
      <c r="O627" s="19" t="s">
        <v>78</v>
      </c>
      <c r="P627" s="17">
        <v>11.4</v>
      </c>
      <c r="Q627" s="17">
        <v>13</v>
      </c>
      <c r="R627" s="17">
        <f t="shared" si="270"/>
        <v>148.20000000000002</v>
      </c>
      <c r="S627" s="236"/>
      <c r="T627" s="236"/>
      <c r="U627" s="236"/>
      <c r="V627" s="258"/>
      <c r="Y627" s="270"/>
      <c r="Z627" s="236"/>
      <c r="AA627" s="19" t="s">
        <v>78</v>
      </c>
      <c r="AB627" s="17">
        <v>11.4</v>
      </c>
      <c r="AC627" s="17">
        <v>13</v>
      </c>
      <c r="AD627" s="17">
        <f t="shared" si="271"/>
        <v>148.20000000000002</v>
      </c>
      <c r="AE627" s="236"/>
      <c r="AF627" s="236"/>
      <c r="AG627" s="236"/>
      <c r="AH627" s="258"/>
    </row>
    <row r="628" spans="2:34" ht="13">
      <c r="B628" s="249"/>
      <c r="C628" s="155"/>
      <c r="D628" s="19" t="s">
        <v>47</v>
      </c>
      <c r="E628" s="19"/>
      <c r="F628" s="19"/>
      <c r="G628" s="17">
        <v>441</v>
      </c>
      <c r="H628" s="236"/>
      <c r="I628" s="236"/>
      <c r="J628" s="236"/>
      <c r="K628" s="266"/>
      <c r="M628" s="270"/>
      <c r="N628" s="236"/>
      <c r="O628" s="19" t="s">
        <v>1353</v>
      </c>
      <c r="P628" s="17">
        <v>7</v>
      </c>
      <c r="Q628" s="17">
        <v>13</v>
      </c>
      <c r="R628" s="17">
        <f t="shared" si="270"/>
        <v>91</v>
      </c>
      <c r="S628" s="236"/>
      <c r="T628" s="236"/>
      <c r="U628" s="236"/>
      <c r="V628" s="258"/>
      <c r="Y628" s="270"/>
      <c r="Z628" s="236"/>
      <c r="AA628" s="19" t="s">
        <v>1353</v>
      </c>
      <c r="AB628" s="17">
        <v>7</v>
      </c>
      <c r="AC628" s="17">
        <v>13</v>
      </c>
      <c r="AD628" s="17">
        <f t="shared" si="271"/>
        <v>91</v>
      </c>
      <c r="AE628" s="236"/>
      <c r="AF628" s="236"/>
      <c r="AG628" s="236"/>
      <c r="AH628" s="258"/>
    </row>
    <row r="629" spans="2:34" ht="13">
      <c r="B629" s="249"/>
      <c r="C629" s="155"/>
      <c r="D629" s="19" t="s">
        <v>45</v>
      </c>
      <c r="E629" s="19"/>
      <c r="F629" s="19"/>
      <c r="G629" s="17">
        <v>60</v>
      </c>
      <c r="H629" s="236"/>
      <c r="I629" s="236"/>
      <c r="J629" s="236"/>
      <c r="K629" s="266"/>
      <c r="M629" s="270"/>
      <c r="N629" s="236"/>
      <c r="O629" s="19" t="s">
        <v>770</v>
      </c>
      <c r="P629" s="17">
        <v>51.58</v>
      </c>
      <c r="Q629" s="17">
        <v>13</v>
      </c>
      <c r="R629" s="17">
        <f t="shared" si="270"/>
        <v>670.54</v>
      </c>
      <c r="S629" s="236"/>
      <c r="T629" s="236"/>
      <c r="U629" s="236"/>
      <c r="V629" s="258"/>
      <c r="Y629" s="270"/>
      <c r="Z629" s="236"/>
      <c r="AA629" s="19" t="s">
        <v>770</v>
      </c>
      <c r="AB629" s="17">
        <v>45.4</v>
      </c>
      <c r="AC629" s="17">
        <v>13</v>
      </c>
      <c r="AD629" s="17">
        <f t="shared" si="271"/>
        <v>590.19999999999993</v>
      </c>
      <c r="AE629" s="236"/>
      <c r="AF629" s="236"/>
      <c r="AG629" s="236"/>
      <c r="AH629" s="258"/>
    </row>
    <row r="630" spans="2:34" ht="13">
      <c r="B630" s="249"/>
      <c r="C630" s="155"/>
      <c r="D630" s="19" t="s">
        <v>44</v>
      </c>
      <c r="E630" s="19"/>
      <c r="F630" s="19"/>
      <c r="G630" s="178">
        <v>64</v>
      </c>
      <c r="H630" s="236"/>
      <c r="I630" s="236"/>
      <c r="J630" s="236"/>
      <c r="K630" s="266"/>
      <c r="M630" s="270"/>
      <c r="N630" s="248"/>
      <c r="O630" s="20" t="s">
        <v>70</v>
      </c>
      <c r="P630" s="21">
        <v>11</v>
      </c>
      <c r="Q630" s="21">
        <v>13</v>
      </c>
      <c r="R630" s="21">
        <f t="shared" si="270"/>
        <v>143</v>
      </c>
      <c r="S630" s="293"/>
      <c r="T630" s="293"/>
      <c r="U630" s="293"/>
      <c r="V630" s="295"/>
      <c r="Y630" s="270"/>
      <c r="Z630" s="248"/>
      <c r="AA630" s="20" t="s">
        <v>70</v>
      </c>
      <c r="AB630" s="21">
        <v>11</v>
      </c>
      <c r="AC630" s="21">
        <v>13</v>
      </c>
      <c r="AD630" s="21">
        <f t="shared" si="271"/>
        <v>143</v>
      </c>
      <c r="AE630" s="293"/>
      <c r="AF630" s="293"/>
      <c r="AG630" s="293"/>
      <c r="AH630" s="295"/>
    </row>
    <row r="631" spans="2:34" ht="13">
      <c r="B631" s="250"/>
      <c r="C631" s="155"/>
      <c r="D631" s="19" t="s">
        <v>188</v>
      </c>
      <c r="E631" s="19"/>
      <c r="F631" s="19"/>
      <c r="G631" s="201"/>
      <c r="H631" s="293"/>
      <c r="I631" s="293"/>
      <c r="J631" s="293"/>
      <c r="K631" s="319"/>
      <c r="M631" s="270"/>
      <c r="N631" s="352" t="s">
        <v>1916</v>
      </c>
      <c r="O631" s="77" t="s">
        <v>114</v>
      </c>
      <c r="P631" s="71"/>
      <c r="Q631" s="71"/>
      <c r="R631" s="71">
        <f t="shared" si="270"/>
        <v>0</v>
      </c>
      <c r="S631" s="239">
        <f>SUM(R631:R636)</f>
        <v>960</v>
      </c>
      <c r="T631" s="239">
        <v>15000</v>
      </c>
      <c r="U631" s="239">
        <f>T631-S631</f>
        <v>14040</v>
      </c>
      <c r="V631" s="259">
        <f>U631/T631</f>
        <v>0.93600000000000005</v>
      </c>
      <c r="Y631" s="270"/>
      <c r="Z631" s="341" t="s">
        <v>1916</v>
      </c>
      <c r="AA631" s="77" t="s">
        <v>114</v>
      </c>
      <c r="AB631" s="104"/>
      <c r="AC631" s="104"/>
      <c r="AD631" s="104"/>
      <c r="AE631" s="325">
        <f>SUM(AD631:AD636)</f>
        <v>960</v>
      </c>
      <c r="AF631" s="325">
        <v>15000</v>
      </c>
      <c r="AG631" s="325">
        <f>AF631-AE631</f>
        <v>14040</v>
      </c>
      <c r="AH631" s="330">
        <f>AG631/AF631</f>
        <v>0.93600000000000005</v>
      </c>
    </row>
    <row r="632" spans="2:34" ht="30">
      <c r="B632" s="251" t="s">
        <v>1917</v>
      </c>
      <c r="C632" s="252"/>
      <c r="D632" s="253"/>
      <c r="E632" s="27">
        <f t="shared" ref="E632:J632" si="273">AVERAGE(E612:E631)</f>
        <v>13.403846153846153</v>
      </c>
      <c r="F632" s="27">
        <f t="shared" si="273"/>
        <v>11.076923076923077</v>
      </c>
      <c r="G632" s="152">
        <f t="shared" si="273"/>
        <v>76.228947368421046</v>
      </c>
      <c r="H632" s="152">
        <f t="shared" si="273"/>
        <v>289.66999999999996</v>
      </c>
      <c r="I632" s="152">
        <f t="shared" si="273"/>
        <v>2240</v>
      </c>
      <c r="J632" s="152">
        <f t="shared" si="273"/>
        <v>1950.33</v>
      </c>
      <c r="K632" s="183"/>
      <c r="M632" s="270"/>
      <c r="N632" s="236"/>
      <c r="O632" s="19" t="s">
        <v>1413</v>
      </c>
      <c r="P632" s="17">
        <v>56</v>
      </c>
      <c r="Q632" s="17">
        <v>15</v>
      </c>
      <c r="R632" s="17">
        <f t="shared" si="270"/>
        <v>840</v>
      </c>
      <c r="S632" s="236"/>
      <c r="T632" s="236"/>
      <c r="U632" s="236"/>
      <c r="V632" s="242"/>
      <c r="Y632" s="270"/>
      <c r="Z632" s="236"/>
      <c r="AA632" s="19" t="s">
        <v>1413</v>
      </c>
      <c r="AB632" s="17">
        <v>56</v>
      </c>
      <c r="AC632" s="17">
        <v>15</v>
      </c>
      <c r="AD632" s="17">
        <f t="shared" ref="AD632:AD634" si="274">AB632*AC632</f>
        <v>840</v>
      </c>
      <c r="AE632" s="236"/>
      <c r="AF632" s="236"/>
      <c r="AG632" s="236"/>
      <c r="AH632" s="242"/>
    </row>
    <row r="633" spans="2:34" ht="30">
      <c r="B633" s="251" t="s">
        <v>1918</v>
      </c>
      <c r="C633" s="252"/>
      <c r="D633" s="253"/>
      <c r="E633" s="27">
        <f t="shared" ref="E633:J633" si="275">SUM(E612:E631)</f>
        <v>174.25</v>
      </c>
      <c r="F633" s="27">
        <f t="shared" si="275"/>
        <v>144</v>
      </c>
      <c r="G633" s="152">
        <f t="shared" si="275"/>
        <v>1448.35</v>
      </c>
      <c r="H633" s="152">
        <f t="shared" si="275"/>
        <v>1448.35</v>
      </c>
      <c r="I633" s="152">
        <f t="shared" si="275"/>
        <v>11200</v>
      </c>
      <c r="J633" s="152">
        <f t="shared" si="275"/>
        <v>9751.65</v>
      </c>
      <c r="K633" s="154">
        <f t="shared" ref="K633:K634" si="276">J633/I633</f>
        <v>0.87068303571428574</v>
      </c>
      <c r="M633" s="270"/>
      <c r="N633" s="236"/>
      <c r="O633" s="19" t="s">
        <v>715</v>
      </c>
      <c r="P633" s="17">
        <v>8</v>
      </c>
      <c r="Q633" s="17">
        <v>15</v>
      </c>
      <c r="R633" s="17">
        <f t="shared" si="270"/>
        <v>120</v>
      </c>
      <c r="S633" s="236"/>
      <c r="T633" s="236"/>
      <c r="U633" s="236"/>
      <c r="V633" s="242"/>
      <c r="Y633" s="270"/>
      <c r="Z633" s="236"/>
      <c r="AA633" s="19" t="s">
        <v>715</v>
      </c>
      <c r="AB633" s="17">
        <v>8</v>
      </c>
      <c r="AC633" s="17">
        <v>15</v>
      </c>
      <c r="AD633" s="17">
        <f t="shared" si="274"/>
        <v>120</v>
      </c>
      <c r="AE633" s="236"/>
      <c r="AF633" s="236"/>
      <c r="AG633" s="236"/>
      <c r="AH633" s="242"/>
    </row>
    <row r="634" spans="2:34" ht="13">
      <c r="B634" s="277" t="s">
        <v>8</v>
      </c>
      <c r="C634" s="1" t="s">
        <v>1915</v>
      </c>
      <c r="D634" s="19" t="s">
        <v>114</v>
      </c>
      <c r="E634" s="17">
        <v>24</v>
      </c>
      <c r="F634" s="17">
        <v>0</v>
      </c>
      <c r="G634" s="17">
        <f t="shared" ref="G634:G635" si="277">E634*F634</f>
        <v>0</v>
      </c>
      <c r="H634" s="325">
        <f>SUM(G634:G639)</f>
        <v>565</v>
      </c>
      <c r="I634" s="325">
        <v>3150</v>
      </c>
      <c r="J634" s="325">
        <f>I634-H634</f>
        <v>2585</v>
      </c>
      <c r="K634" s="328">
        <f t="shared" si="276"/>
        <v>0.82063492063492061</v>
      </c>
      <c r="M634" s="270"/>
      <c r="N634" s="236"/>
      <c r="O634" s="19" t="s">
        <v>1919</v>
      </c>
      <c r="P634" s="17"/>
      <c r="Q634" s="17"/>
      <c r="R634" s="17">
        <f t="shared" si="270"/>
        <v>0</v>
      </c>
      <c r="S634" s="236"/>
      <c r="T634" s="236"/>
      <c r="U634" s="236"/>
      <c r="V634" s="242"/>
      <c r="Y634" s="270"/>
      <c r="Z634" s="236"/>
      <c r="AA634" s="19" t="s">
        <v>1919</v>
      </c>
      <c r="AB634" s="17"/>
      <c r="AC634" s="17"/>
      <c r="AD634" s="17">
        <f t="shared" si="274"/>
        <v>0</v>
      </c>
      <c r="AE634" s="236"/>
      <c r="AF634" s="236"/>
      <c r="AG634" s="236"/>
      <c r="AH634" s="242"/>
    </row>
    <row r="635" spans="2:34" ht="13">
      <c r="B635" s="249"/>
      <c r="C635" s="1"/>
      <c r="D635" s="19" t="s">
        <v>740</v>
      </c>
      <c r="E635" s="17">
        <v>24</v>
      </c>
      <c r="F635" s="17">
        <v>0</v>
      </c>
      <c r="G635" s="17">
        <f t="shared" si="277"/>
        <v>0</v>
      </c>
      <c r="H635" s="236"/>
      <c r="I635" s="236"/>
      <c r="J635" s="236"/>
      <c r="K635" s="266"/>
      <c r="M635" s="270"/>
      <c r="N635" s="236"/>
      <c r="O635" s="19" t="s">
        <v>701</v>
      </c>
      <c r="P635" s="17"/>
      <c r="Q635" s="17"/>
      <c r="R635" s="17">
        <f t="shared" si="270"/>
        <v>0</v>
      </c>
      <c r="S635" s="236"/>
      <c r="T635" s="236"/>
      <c r="U635" s="236"/>
      <c r="V635" s="242"/>
      <c r="Y635" s="270"/>
      <c r="Z635" s="236"/>
      <c r="AA635" s="19" t="s">
        <v>701</v>
      </c>
      <c r="AB635" s="18"/>
      <c r="AC635" s="18"/>
      <c r="AD635" s="18"/>
      <c r="AE635" s="236"/>
      <c r="AF635" s="236"/>
      <c r="AG635" s="236"/>
      <c r="AH635" s="242"/>
    </row>
    <row r="636" spans="2:34" ht="13">
      <c r="B636" s="249"/>
      <c r="C636" s="1"/>
      <c r="D636" s="19" t="s">
        <v>47</v>
      </c>
      <c r="E636" s="19"/>
      <c r="F636" s="19"/>
      <c r="G636" s="17">
        <v>441</v>
      </c>
      <c r="H636" s="236"/>
      <c r="I636" s="236"/>
      <c r="J636" s="236"/>
      <c r="K636" s="266"/>
      <c r="M636" s="270"/>
      <c r="N636" s="248"/>
      <c r="O636" s="20" t="s">
        <v>1736</v>
      </c>
      <c r="P636" s="21"/>
      <c r="Q636" s="21"/>
      <c r="R636" s="21">
        <f t="shared" si="270"/>
        <v>0</v>
      </c>
      <c r="S636" s="248"/>
      <c r="T636" s="248"/>
      <c r="U636" s="248"/>
      <c r="V636" s="303"/>
      <c r="Y636" s="270"/>
      <c r="Z636" s="248"/>
      <c r="AA636" s="20" t="s">
        <v>1736</v>
      </c>
      <c r="AB636" s="21"/>
      <c r="AC636" s="21"/>
      <c r="AD636" s="21">
        <f>AB636*AC636</f>
        <v>0</v>
      </c>
      <c r="AE636" s="248"/>
      <c r="AF636" s="248"/>
      <c r="AG636" s="248"/>
      <c r="AH636" s="303"/>
    </row>
    <row r="637" spans="2:34" ht="14">
      <c r="B637" s="249"/>
      <c r="C637" s="1"/>
      <c r="D637" s="19" t="s">
        <v>45</v>
      </c>
      <c r="E637" s="19"/>
      <c r="F637" s="19"/>
      <c r="G637" s="17">
        <v>60</v>
      </c>
      <c r="H637" s="236"/>
      <c r="I637" s="236"/>
      <c r="J637" s="236"/>
      <c r="K637" s="266"/>
      <c r="M637" s="270"/>
      <c r="N637" s="186" t="s">
        <v>1920</v>
      </c>
      <c r="O637" s="19" t="s">
        <v>986</v>
      </c>
      <c r="P637" s="17"/>
      <c r="Q637" s="17"/>
      <c r="R637" s="17">
        <v>330</v>
      </c>
      <c r="S637" s="284">
        <f>SUM(R637:R638)</f>
        <v>394.96</v>
      </c>
      <c r="T637" s="284">
        <v>1713.6</v>
      </c>
      <c r="U637" s="284">
        <f>T637-S637</f>
        <v>1318.6399999999999</v>
      </c>
      <c r="V637" s="309">
        <f>U637/T637</f>
        <v>0.76951447245564886</v>
      </c>
      <c r="Y637" s="270"/>
      <c r="Z637" s="186" t="s">
        <v>1920</v>
      </c>
      <c r="AA637" s="19" t="s">
        <v>986</v>
      </c>
      <c r="AB637" s="17"/>
      <c r="AC637" s="17"/>
      <c r="AD637" s="17">
        <v>330</v>
      </c>
      <c r="AE637" s="284">
        <f>SUM(AD637:AD638)</f>
        <v>394.96</v>
      </c>
      <c r="AF637" s="284">
        <v>1713.6</v>
      </c>
      <c r="AG637" s="284">
        <f>AF637-AE637</f>
        <v>1318.6399999999999</v>
      </c>
      <c r="AH637" s="309">
        <f>AG637/AF637</f>
        <v>0.76951447245564886</v>
      </c>
    </row>
    <row r="638" spans="2:34" ht="13">
      <c r="B638" s="249"/>
      <c r="C638" s="1"/>
      <c r="D638" s="19" t="s">
        <v>44</v>
      </c>
      <c r="E638" s="19"/>
      <c r="F638" s="19"/>
      <c r="G638" s="178">
        <v>64</v>
      </c>
      <c r="H638" s="236"/>
      <c r="I638" s="236"/>
      <c r="J638" s="236"/>
      <c r="K638" s="266"/>
      <c r="M638" s="270"/>
      <c r="N638" s="175"/>
      <c r="O638" s="20" t="s">
        <v>94</v>
      </c>
      <c r="P638" s="21"/>
      <c r="Q638" s="21"/>
      <c r="R638" s="21">
        <v>64.959999999999994</v>
      </c>
      <c r="S638" s="248"/>
      <c r="T638" s="248"/>
      <c r="U638" s="248"/>
      <c r="V638" s="303"/>
      <c r="Y638" s="270"/>
      <c r="Z638" s="175"/>
      <c r="AA638" s="20" t="s">
        <v>94</v>
      </c>
      <c r="AB638" s="21"/>
      <c r="AC638" s="21"/>
      <c r="AD638" s="21">
        <v>64.959999999999994</v>
      </c>
      <c r="AE638" s="248"/>
      <c r="AF638" s="248"/>
      <c r="AG638" s="248"/>
      <c r="AH638" s="303"/>
    </row>
    <row r="639" spans="2:34" ht="14">
      <c r="B639" s="249"/>
      <c r="C639" s="1"/>
      <c r="D639" s="19" t="s">
        <v>188</v>
      </c>
      <c r="E639" s="19"/>
      <c r="F639" s="19"/>
      <c r="G639" s="201"/>
      <c r="H639" s="236"/>
      <c r="I639" s="236"/>
      <c r="J639" s="236"/>
      <c r="K639" s="266"/>
      <c r="M639" s="270"/>
      <c r="N639" s="173" t="s">
        <v>1921</v>
      </c>
      <c r="O639" s="15" t="s">
        <v>114</v>
      </c>
      <c r="P639" s="16">
        <v>7</v>
      </c>
      <c r="Q639" s="16">
        <v>16</v>
      </c>
      <c r="R639" s="16">
        <f>P639*Q639</f>
        <v>112</v>
      </c>
      <c r="S639" s="292">
        <f>SUM(R639:R641)</f>
        <v>332.59000000000003</v>
      </c>
      <c r="T639" s="292">
        <v>2392.5</v>
      </c>
      <c r="U639" s="292">
        <f>T639-S639</f>
        <v>2059.91</v>
      </c>
      <c r="V639" s="313">
        <f>U639/T639</f>
        <v>0.86098641588296754</v>
      </c>
      <c r="Y639" s="270"/>
      <c r="Z639" s="173" t="s">
        <v>1921</v>
      </c>
      <c r="AA639" s="15" t="s">
        <v>114</v>
      </c>
      <c r="AB639" s="43"/>
      <c r="AC639" s="43"/>
      <c r="AD639" s="43"/>
      <c r="AE639" s="292">
        <f>SUM(AD639:AD641)</f>
        <v>220.59</v>
      </c>
      <c r="AF639" s="292">
        <v>2392.5</v>
      </c>
      <c r="AG639" s="292">
        <f>AF639-AE639</f>
        <v>2171.91</v>
      </c>
      <c r="AH639" s="313">
        <f>AG639/AF639</f>
        <v>0.90779937304075231</v>
      </c>
    </row>
    <row r="640" spans="2:34" ht="13">
      <c r="B640" s="249"/>
      <c r="C640" s="202" t="s">
        <v>1922</v>
      </c>
      <c r="D640" s="123" t="s">
        <v>114</v>
      </c>
      <c r="E640" s="124">
        <v>24</v>
      </c>
      <c r="F640" s="124">
        <v>0</v>
      </c>
      <c r="G640" s="124">
        <f>E640*F640</f>
        <v>0</v>
      </c>
      <c r="H640" s="325">
        <f>SUM(G640:G646)</f>
        <v>922.6</v>
      </c>
      <c r="I640" s="325">
        <v>1990</v>
      </c>
      <c r="J640" s="325">
        <f>I640-H640</f>
        <v>1067.4000000000001</v>
      </c>
      <c r="K640" s="353">
        <f>J640/I640</f>
        <v>0.53638190954773879</v>
      </c>
      <c r="M640" s="270"/>
      <c r="N640" s="174"/>
      <c r="O640" s="19" t="s">
        <v>797</v>
      </c>
      <c r="P640" s="17"/>
      <c r="Q640" s="17"/>
      <c r="R640" s="17">
        <v>93.59</v>
      </c>
      <c r="S640" s="236"/>
      <c r="T640" s="236"/>
      <c r="U640" s="236"/>
      <c r="V640" s="242"/>
      <c r="Y640" s="270"/>
      <c r="Z640" s="174"/>
      <c r="AA640" s="19" t="s">
        <v>797</v>
      </c>
      <c r="AB640" s="17"/>
      <c r="AC640" s="17"/>
      <c r="AD640" s="17">
        <v>93.59</v>
      </c>
      <c r="AE640" s="236"/>
      <c r="AF640" s="236"/>
      <c r="AG640" s="236"/>
      <c r="AH640" s="242"/>
    </row>
    <row r="641" spans="2:34" ht="13">
      <c r="B641" s="249"/>
      <c r="C641" s="1"/>
      <c r="D641" s="19" t="s">
        <v>731</v>
      </c>
      <c r="E641" s="17">
        <v>24</v>
      </c>
      <c r="F641" s="17">
        <v>0</v>
      </c>
      <c r="G641" s="17">
        <v>278.60000000000002</v>
      </c>
      <c r="H641" s="236"/>
      <c r="I641" s="236"/>
      <c r="J641" s="236"/>
      <c r="K641" s="258"/>
      <c r="M641" s="270"/>
      <c r="N641" s="175"/>
      <c r="O641" s="20" t="s">
        <v>1923</v>
      </c>
      <c r="P641" s="21"/>
      <c r="Q641" s="21"/>
      <c r="R641" s="21">
        <v>127</v>
      </c>
      <c r="S641" s="248"/>
      <c r="T641" s="248"/>
      <c r="U641" s="248"/>
      <c r="V641" s="303"/>
      <c r="Y641" s="270"/>
      <c r="Z641" s="175"/>
      <c r="AA641" s="20" t="s">
        <v>1923</v>
      </c>
      <c r="AB641" s="21"/>
      <c r="AC641" s="21"/>
      <c r="AD641" s="21">
        <v>127</v>
      </c>
      <c r="AE641" s="248"/>
      <c r="AF641" s="248"/>
      <c r="AG641" s="248"/>
      <c r="AH641" s="303"/>
    </row>
    <row r="642" spans="2:34" ht="14">
      <c r="B642" s="249"/>
      <c r="C642" s="1"/>
      <c r="D642" s="336" t="s">
        <v>47</v>
      </c>
      <c r="E642" s="236"/>
      <c r="F642" s="236"/>
      <c r="G642" s="17">
        <v>90</v>
      </c>
      <c r="H642" s="236"/>
      <c r="I642" s="236"/>
      <c r="J642" s="236"/>
      <c r="K642" s="258"/>
      <c r="M642" s="270"/>
      <c r="N642" s="186" t="s">
        <v>1924</v>
      </c>
      <c r="O642" s="19" t="s">
        <v>986</v>
      </c>
      <c r="P642" s="17"/>
      <c r="Q642" s="17"/>
      <c r="R642" s="17">
        <v>280</v>
      </c>
      <c r="S642" s="284">
        <f>SUM(R642:R643)</f>
        <v>339.51</v>
      </c>
      <c r="T642" s="284">
        <v>2720.25</v>
      </c>
      <c r="U642" s="284">
        <f>T642-S642</f>
        <v>2380.7399999999998</v>
      </c>
      <c r="V642" s="309">
        <f>U642/T642</f>
        <v>0.87519161841742477</v>
      </c>
      <c r="Y642" s="270"/>
      <c r="Z642" s="186" t="s">
        <v>1924</v>
      </c>
      <c r="AA642" s="19" t="s">
        <v>986</v>
      </c>
      <c r="AB642" s="17"/>
      <c r="AC642" s="17"/>
      <c r="AD642" s="17">
        <v>280</v>
      </c>
      <c r="AE642" s="284">
        <f>SUM(AD642:AD643)</f>
        <v>339.51</v>
      </c>
      <c r="AF642" s="284">
        <v>2720.25</v>
      </c>
      <c r="AG642" s="284">
        <f>AF642-AE642</f>
        <v>2380.7399999999998</v>
      </c>
      <c r="AH642" s="309">
        <f>AG642/AF642</f>
        <v>0.87519161841742477</v>
      </c>
    </row>
    <row r="643" spans="2:34" ht="13">
      <c r="B643" s="249"/>
      <c r="C643" s="1"/>
      <c r="D643" s="336" t="s">
        <v>45</v>
      </c>
      <c r="E643" s="236"/>
      <c r="F643" s="236"/>
      <c r="G643" s="17">
        <v>140</v>
      </c>
      <c r="H643" s="236"/>
      <c r="I643" s="236"/>
      <c r="J643" s="236"/>
      <c r="K643" s="258"/>
      <c r="M643" s="270"/>
      <c r="N643" s="175"/>
      <c r="O643" s="20" t="s">
        <v>94</v>
      </c>
      <c r="P643" s="21"/>
      <c r="Q643" s="21"/>
      <c r="R643" s="21">
        <v>59.51</v>
      </c>
      <c r="S643" s="248"/>
      <c r="T643" s="248"/>
      <c r="U643" s="248"/>
      <c r="V643" s="303"/>
      <c r="Y643" s="270"/>
      <c r="Z643" s="175"/>
      <c r="AA643" s="20" t="s">
        <v>94</v>
      </c>
      <c r="AB643" s="21"/>
      <c r="AC643" s="21"/>
      <c r="AD643" s="21">
        <v>59.51</v>
      </c>
      <c r="AE643" s="248"/>
      <c r="AF643" s="248"/>
      <c r="AG643" s="248"/>
      <c r="AH643" s="303"/>
    </row>
    <row r="644" spans="2:34" ht="14">
      <c r="B644" s="249"/>
      <c r="C644" s="1"/>
      <c r="D644" s="336" t="s">
        <v>44</v>
      </c>
      <c r="E644" s="236"/>
      <c r="F644" s="236"/>
      <c r="G644" s="178">
        <v>114</v>
      </c>
      <c r="H644" s="236"/>
      <c r="I644" s="236"/>
      <c r="J644" s="236"/>
      <c r="K644" s="258"/>
      <c r="M644" s="270"/>
      <c r="N644" s="186" t="s">
        <v>1925</v>
      </c>
      <c r="O644" s="19" t="s">
        <v>310</v>
      </c>
      <c r="P644" s="17">
        <v>6</v>
      </c>
      <c r="Q644" s="17">
        <v>15</v>
      </c>
      <c r="R644" s="17">
        <f>P644*Q644</f>
        <v>90</v>
      </c>
      <c r="S644" s="284">
        <f>SUM(R644:R645)</f>
        <v>90</v>
      </c>
      <c r="T644" s="284">
        <v>1035</v>
      </c>
      <c r="U644" s="284">
        <f>T644-S644</f>
        <v>945</v>
      </c>
      <c r="V644" s="309">
        <f>U644/T644</f>
        <v>0.91304347826086951</v>
      </c>
      <c r="Y644" s="270"/>
      <c r="Z644" s="186" t="s">
        <v>1925</v>
      </c>
      <c r="AA644" s="19" t="s">
        <v>310</v>
      </c>
      <c r="AB644" s="17">
        <v>6</v>
      </c>
      <c r="AC644" s="17">
        <v>15</v>
      </c>
      <c r="AD644" s="17">
        <f>AB644*AC644</f>
        <v>90</v>
      </c>
      <c r="AE644" s="284">
        <f>SUM(AD644:AD645)</f>
        <v>90</v>
      </c>
      <c r="AF644" s="284">
        <v>1035</v>
      </c>
      <c r="AG644" s="284">
        <f>AF644-AE644</f>
        <v>945</v>
      </c>
      <c r="AH644" s="309">
        <f>AG644/AF644</f>
        <v>0.91304347826086951</v>
      </c>
    </row>
    <row r="645" spans="2:34" ht="13">
      <c r="B645" s="249"/>
      <c r="C645" s="1"/>
      <c r="D645" s="336" t="s">
        <v>188</v>
      </c>
      <c r="E645" s="236"/>
      <c r="F645" s="236"/>
      <c r="G645" s="201"/>
      <c r="H645" s="236"/>
      <c r="I645" s="236"/>
      <c r="J645" s="236"/>
      <c r="K645" s="258"/>
      <c r="M645" s="270"/>
      <c r="N645" s="175"/>
      <c r="O645" s="20"/>
      <c r="P645" s="21"/>
      <c r="Q645" s="21"/>
      <c r="R645" s="21"/>
      <c r="S645" s="248"/>
      <c r="T645" s="248"/>
      <c r="U645" s="248"/>
      <c r="V645" s="303"/>
      <c r="Y645" s="270"/>
      <c r="Z645" s="175"/>
      <c r="AA645" s="20"/>
      <c r="AB645" s="21"/>
      <c r="AC645" s="21"/>
      <c r="AD645" s="21"/>
      <c r="AE645" s="248"/>
      <c r="AF645" s="248"/>
      <c r="AG645" s="248"/>
      <c r="AH645" s="303"/>
    </row>
    <row r="646" spans="2:34" ht="16">
      <c r="B646" s="249"/>
      <c r="C646" s="1"/>
      <c r="D646" s="336" t="s">
        <v>1926</v>
      </c>
      <c r="E646" s="236"/>
      <c r="F646" s="236"/>
      <c r="G646" s="201">
        <v>300</v>
      </c>
      <c r="H646" s="131"/>
      <c r="I646" s="131"/>
      <c r="J646" s="131"/>
      <c r="K646" s="203"/>
      <c r="M646" s="270"/>
      <c r="N646" s="316" t="s">
        <v>1927</v>
      </c>
      <c r="O646" s="19" t="s">
        <v>114</v>
      </c>
      <c r="P646" s="17">
        <v>21</v>
      </c>
      <c r="Q646" s="17">
        <v>16</v>
      </c>
      <c r="R646" s="17">
        <f t="shared" ref="R646:R656" si="278">P646*Q646</f>
        <v>336</v>
      </c>
      <c r="S646" s="284">
        <f>SUM(R646:R656)</f>
        <v>3670.69</v>
      </c>
      <c r="T646" s="284">
        <v>7360</v>
      </c>
      <c r="U646" s="284">
        <f>T646-S646</f>
        <v>3689.31</v>
      </c>
      <c r="V646" s="315">
        <f>U646/T646</f>
        <v>0.50126494565217394</v>
      </c>
      <c r="Y646" s="270"/>
      <c r="Z646" s="316" t="s">
        <v>1927</v>
      </c>
      <c r="AA646" s="19" t="s">
        <v>114</v>
      </c>
      <c r="AB646" s="18"/>
      <c r="AC646" s="18"/>
      <c r="AD646" s="18"/>
      <c r="AE646" s="284">
        <f>SUM(AD646:AD656)</f>
        <v>2594.8000000000002</v>
      </c>
      <c r="AF646" s="284">
        <v>7360</v>
      </c>
      <c r="AG646" s="284">
        <f>AF646-AE646</f>
        <v>4765.2</v>
      </c>
      <c r="AH646" s="315">
        <f>AG646/AF646</f>
        <v>0.64744565217391303</v>
      </c>
    </row>
    <row r="647" spans="2:34" ht="13">
      <c r="B647" s="249"/>
      <c r="C647" s="202" t="s">
        <v>1928</v>
      </c>
      <c r="D647" s="159" t="s">
        <v>1454</v>
      </c>
      <c r="E647" s="158">
        <v>25</v>
      </c>
      <c r="F647" s="158">
        <v>17</v>
      </c>
      <c r="G647" s="159">
        <f>E647*F647</f>
        <v>425</v>
      </c>
      <c r="H647" s="320">
        <f>SUM(G647:G654)</f>
        <v>1585</v>
      </c>
      <c r="I647" s="320">
        <v>1990</v>
      </c>
      <c r="J647" s="320">
        <f>I647-H647</f>
        <v>405</v>
      </c>
      <c r="K647" s="346">
        <f>J647/I647</f>
        <v>0.20351758793969849</v>
      </c>
      <c r="M647" s="270"/>
      <c r="N647" s="236"/>
      <c r="O647" s="19" t="s">
        <v>701</v>
      </c>
      <c r="P647" s="17">
        <v>38.5</v>
      </c>
      <c r="Q647" s="17">
        <v>16</v>
      </c>
      <c r="R647" s="17">
        <f t="shared" si="278"/>
        <v>616</v>
      </c>
      <c r="S647" s="236"/>
      <c r="T647" s="236"/>
      <c r="U647" s="236"/>
      <c r="V647" s="258"/>
      <c r="Y647" s="270"/>
      <c r="Z647" s="236"/>
      <c r="AA647" s="19" t="s">
        <v>701</v>
      </c>
      <c r="AB647" s="18"/>
      <c r="AC647" s="18"/>
      <c r="AD647" s="18"/>
      <c r="AE647" s="236"/>
      <c r="AF647" s="236"/>
      <c r="AG647" s="236"/>
      <c r="AH647" s="258"/>
    </row>
    <row r="648" spans="2:34" ht="13">
      <c r="B648" s="249"/>
      <c r="C648" s="1"/>
      <c r="D648" s="24" t="s">
        <v>1929</v>
      </c>
      <c r="E648" s="131"/>
      <c r="F648" s="131"/>
      <c r="G648" s="325">
        <v>700</v>
      </c>
      <c r="H648" s="236"/>
      <c r="I648" s="236"/>
      <c r="J648" s="236"/>
      <c r="K648" s="258"/>
      <c r="M648" s="270"/>
      <c r="N648" s="236"/>
      <c r="O648" s="19" t="s">
        <v>75</v>
      </c>
      <c r="P648" s="17">
        <v>8.8000000000000007</v>
      </c>
      <c r="Q648" s="17">
        <v>13</v>
      </c>
      <c r="R648" s="17">
        <f t="shared" si="278"/>
        <v>114.4</v>
      </c>
      <c r="S648" s="236"/>
      <c r="T648" s="236"/>
      <c r="U648" s="236"/>
      <c r="V648" s="258"/>
      <c r="Y648" s="270"/>
      <c r="Z648" s="236"/>
      <c r="AA648" s="19" t="s">
        <v>75</v>
      </c>
      <c r="AB648" s="17">
        <v>8.8000000000000007</v>
      </c>
      <c r="AC648" s="17">
        <v>13</v>
      </c>
      <c r="AD648" s="17">
        <f t="shared" ref="AD648:AD656" si="279">AB648*AC648</f>
        <v>114.4</v>
      </c>
      <c r="AE648" s="236"/>
      <c r="AF648" s="236"/>
      <c r="AG648" s="236"/>
      <c r="AH648" s="258"/>
    </row>
    <row r="649" spans="2:34" ht="13">
      <c r="B649" s="249"/>
      <c r="C649" s="1"/>
      <c r="D649" s="24" t="s">
        <v>1930</v>
      </c>
      <c r="E649" s="131"/>
      <c r="F649" s="131"/>
      <c r="G649" s="236"/>
      <c r="H649" s="236"/>
      <c r="I649" s="236"/>
      <c r="J649" s="236"/>
      <c r="K649" s="258"/>
      <c r="M649" s="270"/>
      <c r="N649" s="236"/>
      <c r="O649" s="19" t="s">
        <v>325</v>
      </c>
      <c r="P649" s="17">
        <v>12.4</v>
      </c>
      <c r="Q649" s="17">
        <v>13</v>
      </c>
      <c r="R649" s="17">
        <f t="shared" si="278"/>
        <v>161.20000000000002</v>
      </c>
      <c r="S649" s="236"/>
      <c r="T649" s="236"/>
      <c r="U649" s="236"/>
      <c r="V649" s="258"/>
      <c r="Y649" s="270"/>
      <c r="Z649" s="236"/>
      <c r="AA649" s="19" t="s">
        <v>325</v>
      </c>
      <c r="AB649" s="17">
        <v>11.4</v>
      </c>
      <c r="AC649" s="17">
        <v>13</v>
      </c>
      <c r="AD649" s="17">
        <f t="shared" si="279"/>
        <v>148.20000000000002</v>
      </c>
      <c r="AE649" s="236"/>
      <c r="AF649" s="236"/>
      <c r="AG649" s="236"/>
      <c r="AH649" s="258"/>
    </row>
    <row r="650" spans="2:34" ht="13">
      <c r="B650" s="249"/>
      <c r="C650" s="1"/>
      <c r="D650" s="24" t="s">
        <v>1931</v>
      </c>
      <c r="E650" s="131"/>
      <c r="F650" s="131"/>
      <c r="G650" s="236"/>
      <c r="H650" s="236"/>
      <c r="I650" s="236"/>
      <c r="J650" s="236"/>
      <c r="K650" s="258"/>
      <c r="M650" s="270"/>
      <c r="N650" s="236"/>
      <c r="O650" s="19" t="s">
        <v>23</v>
      </c>
      <c r="P650" s="17">
        <v>22.15</v>
      </c>
      <c r="Q650" s="17">
        <v>13</v>
      </c>
      <c r="R650" s="17">
        <f t="shared" si="278"/>
        <v>287.95</v>
      </c>
      <c r="S650" s="236"/>
      <c r="T650" s="236"/>
      <c r="U650" s="236"/>
      <c r="V650" s="258"/>
      <c r="Y650" s="270"/>
      <c r="Z650" s="236"/>
      <c r="AA650" s="19" t="s">
        <v>23</v>
      </c>
      <c r="AB650" s="17">
        <v>15.4</v>
      </c>
      <c r="AC650" s="17">
        <v>13</v>
      </c>
      <c r="AD650" s="17">
        <f t="shared" si="279"/>
        <v>200.20000000000002</v>
      </c>
      <c r="AE650" s="236"/>
      <c r="AF650" s="236"/>
      <c r="AG650" s="236"/>
      <c r="AH650" s="258"/>
    </row>
    <row r="651" spans="2:34" ht="13">
      <c r="B651" s="249"/>
      <c r="C651" s="1"/>
      <c r="D651" s="24" t="s">
        <v>1932</v>
      </c>
      <c r="G651" s="24">
        <v>120</v>
      </c>
      <c r="H651" s="236"/>
      <c r="I651" s="236"/>
      <c r="J651" s="236"/>
      <c r="K651" s="258"/>
      <c r="M651" s="270"/>
      <c r="N651" s="236"/>
      <c r="O651" s="19" t="s">
        <v>310</v>
      </c>
      <c r="P651" s="17">
        <v>8.1999999999999993</v>
      </c>
      <c r="Q651" s="17">
        <v>13</v>
      </c>
      <c r="R651" s="17">
        <f t="shared" si="278"/>
        <v>106.6</v>
      </c>
      <c r="S651" s="236"/>
      <c r="T651" s="236"/>
      <c r="U651" s="236"/>
      <c r="V651" s="258"/>
      <c r="Y651" s="270"/>
      <c r="Z651" s="236"/>
      <c r="AA651" s="19" t="s">
        <v>310</v>
      </c>
      <c r="AB651" s="17">
        <v>8.1999999999999993</v>
      </c>
      <c r="AC651" s="17">
        <v>13</v>
      </c>
      <c r="AD651" s="17">
        <f t="shared" si="279"/>
        <v>106.6</v>
      </c>
      <c r="AE651" s="236"/>
      <c r="AF651" s="236"/>
      <c r="AG651" s="236"/>
      <c r="AH651" s="258"/>
    </row>
    <row r="652" spans="2:34" ht="13">
      <c r="B652" s="249"/>
      <c r="C652" s="1"/>
      <c r="D652" s="24" t="s">
        <v>45</v>
      </c>
      <c r="G652" s="24">
        <v>120</v>
      </c>
      <c r="H652" s="236"/>
      <c r="I652" s="236"/>
      <c r="J652" s="236"/>
      <c r="K652" s="258"/>
      <c r="M652" s="270"/>
      <c r="N652" s="236"/>
      <c r="O652" s="19" t="s">
        <v>1239</v>
      </c>
      <c r="P652" s="17">
        <v>46</v>
      </c>
      <c r="Q652" s="17">
        <v>13</v>
      </c>
      <c r="R652" s="17">
        <f t="shared" si="278"/>
        <v>598</v>
      </c>
      <c r="S652" s="236"/>
      <c r="T652" s="236"/>
      <c r="U652" s="236"/>
      <c r="V652" s="258"/>
      <c r="Y652" s="270"/>
      <c r="Z652" s="236"/>
      <c r="AA652" s="19" t="s">
        <v>1239</v>
      </c>
      <c r="AB652" s="17">
        <v>46</v>
      </c>
      <c r="AC652" s="17">
        <v>13</v>
      </c>
      <c r="AD652" s="17">
        <f t="shared" si="279"/>
        <v>598</v>
      </c>
      <c r="AE652" s="236"/>
      <c r="AF652" s="236"/>
      <c r="AG652" s="236"/>
      <c r="AH652" s="258"/>
    </row>
    <row r="653" spans="2:34" ht="13">
      <c r="B653" s="249"/>
      <c r="C653" s="1"/>
      <c r="D653" s="24" t="s">
        <v>44</v>
      </c>
      <c r="G653" s="24">
        <v>130</v>
      </c>
      <c r="H653" s="236"/>
      <c r="I653" s="236"/>
      <c r="J653" s="236"/>
      <c r="K653" s="258"/>
      <c r="M653" s="270"/>
      <c r="N653" s="236"/>
      <c r="O653" s="19" t="s">
        <v>53</v>
      </c>
      <c r="P653" s="17">
        <v>23.45</v>
      </c>
      <c r="Q653" s="17">
        <v>13</v>
      </c>
      <c r="R653" s="17">
        <f t="shared" si="278"/>
        <v>304.84999999999997</v>
      </c>
      <c r="S653" s="236"/>
      <c r="T653" s="236"/>
      <c r="U653" s="236"/>
      <c r="V653" s="258"/>
      <c r="Y653" s="270"/>
      <c r="Z653" s="236"/>
      <c r="AA653" s="19" t="s">
        <v>53</v>
      </c>
      <c r="AB653" s="17">
        <v>23.45</v>
      </c>
      <c r="AC653" s="17">
        <v>13</v>
      </c>
      <c r="AD653" s="17">
        <f t="shared" si="279"/>
        <v>304.84999999999997</v>
      </c>
      <c r="AE653" s="236"/>
      <c r="AF653" s="236"/>
      <c r="AG653" s="236"/>
      <c r="AH653" s="258"/>
    </row>
    <row r="654" spans="2:34" ht="13">
      <c r="B654" s="249"/>
      <c r="C654" s="204"/>
      <c r="D654" s="205" t="s">
        <v>47</v>
      </c>
      <c r="E654" s="205"/>
      <c r="F654" s="205"/>
      <c r="G654" s="205">
        <v>90</v>
      </c>
      <c r="H654" s="293"/>
      <c r="I654" s="293"/>
      <c r="J654" s="293"/>
      <c r="K654" s="295"/>
      <c r="M654" s="270"/>
      <c r="N654" s="236"/>
      <c r="O654" s="19" t="s">
        <v>78</v>
      </c>
      <c r="P654" s="17">
        <v>28.33</v>
      </c>
      <c r="Q654" s="17">
        <v>13</v>
      </c>
      <c r="R654" s="17">
        <f t="shared" si="278"/>
        <v>368.28999999999996</v>
      </c>
      <c r="S654" s="236"/>
      <c r="T654" s="236"/>
      <c r="U654" s="236"/>
      <c r="V654" s="258"/>
      <c r="Y654" s="270"/>
      <c r="Z654" s="236"/>
      <c r="AA654" s="19" t="s">
        <v>78</v>
      </c>
      <c r="AB654" s="17">
        <v>27</v>
      </c>
      <c r="AC654" s="17">
        <v>13</v>
      </c>
      <c r="AD654" s="17">
        <f t="shared" si="279"/>
        <v>351</v>
      </c>
      <c r="AE654" s="236"/>
      <c r="AF654" s="236"/>
      <c r="AG654" s="236"/>
      <c r="AH654" s="258"/>
    </row>
    <row r="655" spans="2:34" ht="13">
      <c r="B655" s="249"/>
      <c r="C655" s="6" t="s">
        <v>1933</v>
      </c>
      <c r="D655" s="7" t="s">
        <v>1308</v>
      </c>
      <c r="E655" s="8">
        <v>3</v>
      </c>
      <c r="F655" s="8">
        <v>14</v>
      </c>
      <c r="G655" s="7">
        <f t="shared" ref="G655:G668" si="280">E655*F655</f>
        <v>42</v>
      </c>
      <c r="H655" s="239">
        <f>SUM(G655:G658)</f>
        <v>172</v>
      </c>
      <c r="I655" s="239">
        <v>1290</v>
      </c>
      <c r="J655" s="239">
        <f>I655-H655</f>
        <v>1118</v>
      </c>
      <c r="K655" s="259">
        <f>J655/I655</f>
        <v>0.8666666666666667</v>
      </c>
      <c r="M655" s="270"/>
      <c r="N655" s="236"/>
      <c r="O655" s="19" t="s">
        <v>70</v>
      </c>
      <c r="P655" s="17">
        <v>27</v>
      </c>
      <c r="Q655" s="17">
        <v>13</v>
      </c>
      <c r="R655" s="17">
        <f t="shared" si="278"/>
        <v>351</v>
      </c>
      <c r="S655" s="236"/>
      <c r="T655" s="236"/>
      <c r="U655" s="236"/>
      <c r="V655" s="258"/>
      <c r="Y655" s="270"/>
      <c r="Z655" s="236"/>
      <c r="AA655" s="19" t="s">
        <v>70</v>
      </c>
      <c r="AB655" s="17">
        <v>27</v>
      </c>
      <c r="AC655" s="17">
        <v>13</v>
      </c>
      <c r="AD655" s="17">
        <f t="shared" si="279"/>
        <v>351</v>
      </c>
      <c r="AE655" s="236"/>
      <c r="AF655" s="236"/>
      <c r="AG655" s="236"/>
      <c r="AH655" s="258"/>
    </row>
    <row r="656" spans="2:34" ht="13">
      <c r="B656" s="249"/>
      <c r="C656" s="1"/>
      <c r="D656" s="24" t="s">
        <v>1341</v>
      </c>
      <c r="E656" s="11">
        <v>3</v>
      </c>
      <c r="F656" s="11">
        <v>15</v>
      </c>
      <c r="G656" s="24">
        <f t="shared" si="280"/>
        <v>45</v>
      </c>
      <c r="H656" s="236"/>
      <c r="I656" s="236"/>
      <c r="J656" s="236"/>
      <c r="K656" s="242"/>
      <c r="M656" s="270"/>
      <c r="N656" s="248"/>
      <c r="O656" s="20" t="s">
        <v>770</v>
      </c>
      <c r="P656" s="21">
        <v>32.799999999999997</v>
      </c>
      <c r="Q656" s="21">
        <v>13</v>
      </c>
      <c r="R656" s="21">
        <f t="shared" si="278"/>
        <v>426.4</v>
      </c>
      <c r="S656" s="293"/>
      <c r="T656" s="293"/>
      <c r="U656" s="293"/>
      <c r="V656" s="295"/>
      <c r="Y656" s="270"/>
      <c r="Z656" s="248"/>
      <c r="AA656" s="20" t="s">
        <v>770</v>
      </c>
      <c r="AB656" s="21">
        <v>32.35</v>
      </c>
      <c r="AC656" s="21">
        <v>13</v>
      </c>
      <c r="AD656" s="21">
        <f t="shared" si="279"/>
        <v>420.55</v>
      </c>
      <c r="AE656" s="293"/>
      <c r="AF656" s="293"/>
      <c r="AG656" s="293"/>
      <c r="AH656" s="295"/>
    </row>
    <row r="657" spans="2:34" ht="14">
      <c r="B657" s="249"/>
      <c r="C657" s="1"/>
      <c r="D657" s="24" t="s">
        <v>1235</v>
      </c>
      <c r="E657" s="11">
        <v>2</v>
      </c>
      <c r="F657" s="11">
        <v>17</v>
      </c>
      <c r="G657" s="24">
        <f t="shared" si="280"/>
        <v>34</v>
      </c>
      <c r="H657" s="236"/>
      <c r="I657" s="236"/>
      <c r="J657" s="236"/>
      <c r="K657" s="242"/>
      <c r="M657" s="270"/>
      <c r="N657" s="173" t="s">
        <v>1934</v>
      </c>
      <c r="O657" s="15" t="s">
        <v>715</v>
      </c>
      <c r="P657" s="16"/>
      <c r="Q657" s="16"/>
      <c r="R657" s="16">
        <v>120</v>
      </c>
      <c r="S657" s="292">
        <f>SUM(R657:R659)</f>
        <v>901.3</v>
      </c>
      <c r="T657" s="292">
        <v>2598.4</v>
      </c>
      <c r="U657" s="292">
        <f>T657-S657</f>
        <v>1697.1000000000001</v>
      </c>
      <c r="V657" s="313">
        <f>U657/T657</f>
        <v>0.65313269704433496</v>
      </c>
      <c r="Y657" s="270"/>
      <c r="Z657" s="173" t="s">
        <v>1934</v>
      </c>
      <c r="AA657" s="15" t="s">
        <v>715</v>
      </c>
      <c r="AB657" s="16"/>
      <c r="AC657" s="16"/>
      <c r="AD657" s="16">
        <v>120</v>
      </c>
      <c r="AE657" s="284">
        <f>SUM(AD657:AD659)</f>
        <v>901.3</v>
      </c>
      <c r="AF657" s="284">
        <v>2598.4</v>
      </c>
      <c r="AG657" s="284">
        <f>AF657-AE657</f>
        <v>1697.1000000000001</v>
      </c>
      <c r="AH657" s="309">
        <f>AG657/AF657</f>
        <v>0.65313269704433496</v>
      </c>
    </row>
    <row r="658" spans="2:34" ht="13">
      <c r="B658" s="249"/>
      <c r="C658" s="12"/>
      <c r="D658" s="13" t="s">
        <v>1935</v>
      </c>
      <c r="E658" s="14">
        <v>3</v>
      </c>
      <c r="F658" s="14">
        <v>17</v>
      </c>
      <c r="G658" s="14">
        <f t="shared" si="280"/>
        <v>51</v>
      </c>
      <c r="H658" s="238"/>
      <c r="I658" s="238"/>
      <c r="J658" s="238"/>
      <c r="K658" s="243"/>
      <c r="M658" s="270"/>
      <c r="N658" s="174"/>
      <c r="O658" s="19" t="s">
        <v>1736</v>
      </c>
      <c r="P658" s="17">
        <v>600</v>
      </c>
      <c r="Q658" s="17">
        <v>0.8</v>
      </c>
      <c r="R658" s="17">
        <f>P658*Q658</f>
        <v>480</v>
      </c>
      <c r="S658" s="236"/>
      <c r="T658" s="236"/>
      <c r="U658" s="236"/>
      <c r="V658" s="242"/>
      <c r="Y658" s="270"/>
      <c r="Z658" s="174"/>
      <c r="AA658" s="19" t="s">
        <v>1736</v>
      </c>
      <c r="AB658" s="17">
        <v>600</v>
      </c>
      <c r="AC658" s="17">
        <v>0.8</v>
      </c>
      <c r="AD658" s="17">
        <f>AB658*AC658</f>
        <v>480</v>
      </c>
      <c r="AE658" s="236"/>
      <c r="AF658" s="236"/>
      <c r="AG658" s="236"/>
      <c r="AH658" s="242"/>
    </row>
    <row r="659" spans="2:34" ht="13">
      <c r="B659" s="249"/>
      <c r="C659" s="6" t="s">
        <v>1936</v>
      </c>
      <c r="D659" s="7" t="s">
        <v>1937</v>
      </c>
      <c r="E659" s="8">
        <v>7</v>
      </c>
      <c r="F659" s="8">
        <v>13</v>
      </c>
      <c r="G659" s="7">
        <f t="shared" si="280"/>
        <v>91</v>
      </c>
      <c r="H659" s="239">
        <f>SUM(G659:G661)</f>
        <v>273</v>
      </c>
      <c r="I659" s="239">
        <v>1460</v>
      </c>
      <c r="J659" s="239">
        <f>I659-H659</f>
        <v>1187</v>
      </c>
      <c r="K659" s="259">
        <f>J659/I659</f>
        <v>0.81301369863013695</v>
      </c>
      <c r="M659" s="270"/>
      <c r="N659" s="175"/>
      <c r="O659" s="20" t="s">
        <v>33</v>
      </c>
      <c r="P659" s="21"/>
      <c r="Q659" s="21"/>
      <c r="R659" s="21">
        <v>301.3</v>
      </c>
      <c r="S659" s="248"/>
      <c r="T659" s="248"/>
      <c r="U659" s="248"/>
      <c r="V659" s="303"/>
      <c r="Y659" s="270"/>
      <c r="Z659" s="175"/>
      <c r="AA659" s="20" t="s">
        <v>33</v>
      </c>
      <c r="AB659" s="21"/>
      <c r="AC659" s="21"/>
      <c r="AD659" s="21">
        <v>301.3</v>
      </c>
      <c r="AE659" s="248"/>
      <c r="AF659" s="248"/>
      <c r="AG659" s="248"/>
      <c r="AH659" s="303"/>
    </row>
    <row r="660" spans="2:34" ht="13">
      <c r="B660" s="249"/>
      <c r="C660" s="1"/>
      <c r="D660" s="24" t="s">
        <v>1308</v>
      </c>
      <c r="E660" s="11">
        <v>7</v>
      </c>
      <c r="F660" s="11">
        <v>13</v>
      </c>
      <c r="G660" s="24">
        <f t="shared" si="280"/>
        <v>91</v>
      </c>
      <c r="H660" s="236"/>
      <c r="I660" s="236"/>
      <c r="J660" s="236"/>
      <c r="K660" s="242"/>
      <c r="M660" s="270"/>
      <c r="N660" s="314" t="s">
        <v>1938</v>
      </c>
      <c r="O660" s="15" t="s">
        <v>701</v>
      </c>
      <c r="P660" s="16">
        <v>7</v>
      </c>
      <c r="Q660" s="16">
        <v>16</v>
      </c>
      <c r="R660" s="16">
        <f t="shared" ref="R660:R663" si="281">P660*Q660</f>
        <v>112</v>
      </c>
      <c r="S660" s="292">
        <f>SUM(R660:R663)</f>
        <v>385.75</v>
      </c>
      <c r="T660" s="292">
        <v>3100</v>
      </c>
      <c r="U660" s="292">
        <f>T660-S660</f>
        <v>2714.25</v>
      </c>
      <c r="V660" s="313">
        <f>U660/T660</f>
        <v>0.8755645161290323</v>
      </c>
      <c r="Y660" s="270"/>
      <c r="Z660" s="314" t="s">
        <v>1938</v>
      </c>
      <c r="AA660" s="15" t="s">
        <v>701</v>
      </c>
      <c r="AB660" s="43"/>
      <c r="AC660" s="43"/>
      <c r="AD660" s="43"/>
      <c r="AE660" s="292">
        <f>SUM(AD660:AD663)</f>
        <v>269.25</v>
      </c>
      <c r="AF660" s="292">
        <v>3100</v>
      </c>
      <c r="AG660" s="292">
        <f>AF660-AE660</f>
        <v>2830.75</v>
      </c>
      <c r="AH660" s="313">
        <f>AG660/AF660</f>
        <v>0.91314516129032253</v>
      </c>
    </row>
    <row r="661" spans="2:34" ht="13">
      <c r="B661" s="249"/>
      <c r="C661" s="140"/>
      <c r="D661" s="44" t="s">
        <v>1341</v>
      </c>
      <c r="E661" s="103">
        <v>7</v>
      </c>
      <c r="F661" s="103">
        <v>13</v>
      </c>
      <c r="G661" s="44">
        <f t="shared" si="280"/>
        <v>91</v>
      </c>
      <c r="H661" s="248"/>
      <c r="I661" s="248"/>
      <c r="J661" s="248"/>
      <c r="K661" s="303"/>
      <c r="M661" s="270"/>
      <c r="N661" s="245"/>
      <c r="O661" s="19" t="s">
        <v>78</v>
      </c>
      <c r="P661" s="17">
        <v>6.25</v>
      </c>
      <c r="Q661" s="17">
        <v>15</v>
      </c>
      <c r="R661" s="17">
        <f t="shared" si="281"/>
        <v>93.75</v>
      </c>
      <c r="S661" s="236"/>
      <c r="T661" s="236"/>
      <c r="U661" s="236"/>
      <c r="V661" s="242"/>
      <c r="Y661" s="270"/>
      <c r="Z661" s="245"/>
      <c r="AA661" s="19" t="s">
        <v>78</v>
      </c>
      <c r="AB661" s="17">
        <v>6.25</v>
      </c>
      <c r="AC661" s="17">
        <v>15</v>
      </c>
      <c r="AD661" s="17">
        <f t="shared" ref="AD661:AD663" si="282">AB661*AC661</f>
        <v>93.75</v>
      </c>
      <c r="AE661" s="236"/>
      <c r="AF661" s="236"/>
      <c r="AG661" s="236"/>
      <c r="AH661" s="242"/>
    </row>
    <row r="662" spans="2:34" ht="13">
      <c r="B662" s="249"/>
      <c r="C662" s="6" t="s">
        <v>1939</v>
      </c>
      <c r="D662" s="7" t="s">
        <v>1716</v>
      </c>
      <c r="E662" s="8">
        <v>4</v>
      </c>
      <c r="F662" s="8">
        <v>0</v>
      </c>
      <c r="G662" s="7">
        <f t="shared" si="280"/>
        <v>0</v>
      </c>
      <c r="H662" s="239">
        <f>SUM(G662:G664)</f>
        <v>169</v>
      </c>
      <c r="I662" s="239">
        <v>575</v>
      </c>
      <c r="J662" s="239">
        <f>I662-H662</f>
        <v>406</v>
      </c>
      <c r="K662" s="259">
        <f>J662/I662</f>
        <v>0.70608695652173914</v>
      </c>
      <c r="M662" s="270"/>
      <c r="N662" s="245"/>
      <c r="O662" s="19" t="s">
        <v>70</v>
      </c>
      <c r="P662" s="17">
        <v>5.5</v>
      </c>
      <c r="Q662" s="17">
        <v>15</v>
      </c>
      <c r="R662" s="17">
        <f t="shared" si="281"/>
        <v>82.5</v>
      </c>
      <c r="S662" s="236"/>
      <c r="T662" s="236"/>
      <c r="U662" s="236"/>
      <c r="V662" s="242"/>
      <c r="Y662" s="270"/>
      <c r="Z662" s="245"/>
      <c r="AA662" s="19" t="s">
        <v>70</v>
      </c>
      <c r="AB662" s="17">
        <v>5.5</v>
      </c>
      <c r="AC662" s="17">
        <v>15</v>
      </c>
      <c r="AD662" s="17">
        <f t="shared" si="282"/>
        <v>82.5</v>
      </c>
      <c r="AE662" s="236"/>
      <c r="AF662" s="236"/>
      <c r="AG662" s="236"/>
      <c r="AH662" s="242"/>
    </row>
    <row r="663" spans="2:34" ht="13">
      <c r="B663" s="249"/>
      <c r="C663" s="1"/>
      <c r="D663" s="24" t="s">
        <v>1937</v>
      </c>
      <c r="E663" s="11">
        <v>4</v>
      </c>
      <c r="F663" s="11">
        <v>13</v>
      </c>
      <c r="G663" s="24">
        <f t="shared" si="280"/>
        <v>52</v>
      </c>
      <c r="H663" s="236"/>
      <c r="I663" s="236"/>
      <c r="J663" s="236"/>
      <c r="K663" s="242"/>
      <c r="M663" s="270"/>
      <c r="N663" s="246"/>
      <c r="O663" s="20" t="s">
        <v>23</v>
      </c>
      <c r="P663" s="21">
        <v>6.5</v>
      </c>
      <c r="Q663" s="21">
        <v>15</v>
      </c>
      <c r="R663" s="21">
        <f t="shared" si="281"/>
        <v>97.5</v>
      </c>
      <c r="S663" s="248"/>
      <c r="T663" s="248"/>
      <c r="U663" s="248"/>
      <c r="V663" s="303"/>
      <c r="Y663" s="270"/>
      <c r="Z663" s="246"/>
      <c r="AA663" s="20" t="s">
        <v>23</v>
      </c>
      <c r="AB663" s="21">
        <v>6.2</v>
      </c>
      <c r="AC663" s="21">
        <v>15</v>
      </c>
      <c r="AD663" s="21">
        <f t="shared" si="282"/>
        <v>93</v>
      </c>
      <c r="AE663" s="248"/>
      <c r="AF663" s="248"/>
      <c r="AG663" s="248"/>
      <c r="AH663" s="303"/>
    </row>
    <row r="664" spans="2:34" ht="13">
      <c r="B664" s="249"/>
      <c r="C664" s="140"/>
      <c r="D664" s="44" t="s">
        <v>1940</v>
      </c>
      <c r="E664" s="103">
        <v>9</v>
      </c>
      <c r="F664" s="103">
        <v>13</v>
      </c>
      <c r="G664" s="44">
        <f t="shared" si="280"/>
        <v>117</v>
      </c>
      <c r="H664" s="248"/>
      <c r="I664" s="238"/>
      <c r="J664" s="238"/>
      <c r="K664" s="243"/>
      <c r="M664" s="270"/>
      <c r="N664" s="177" t="s">
        <v>1941</v>
      </c>
      <c r="O664" s="15" t="s">
        <v>1235</v>
      </c>
      <c r="P664" s="16"/>
      <c r="Q664" s="16"/>
      <c r="R664" s="16">
        <v>750</v>
      </c>
      <c r="S664" s="292">
        <f>SUM(R664:R665)</f>
        <v>846.4</v>
      </c>
      <c r="T664" s="292">
        <v>2153.0500000000002</v>
      </c>
      <c r="U664" s="292">
        <f>T664-S664</f>
        <v>1306.6500000000001</v>
      </c>
      <c r="V664" s="302">
        <f>U664/T664</f>
        <v>0.60688325863310189</v>
      </c>
      <c r="Y664" s="270"/>
      <c r="Z664" s="177" t="s">
        <v>1941</v>
      </c>
      <c r="AA664" s="15" t="s">
        <v>1235</v>
      </c>
      <c r="AB664" s="16"/>
      <c r="AC664" s="16"/>
      <c r="AD664" s="16">
        <v>750</v>
      </c>
      <c r="AE664" s="292">
        <f>SUM(AD664:AD665)</f>
        <v>846.4</v>
      </c>
      <c r="AF664" s="292">
        <v>2153.0500000000002</v>
      </c>
      <c r="AG664" s="292">
        <f>AF664-AE664</f>
        <v>1306.6500000000001</v>
      </c>
      <c r="AH664" s="302">
        <f>AG664/AF664</f>
        <v>0.60688325863310189</v>
      </c>
    </row>
    <row r="665" spans="2:34" ht="13">
      <c r="B665" s="249"/>
      <c r="C665" s="6" t="s">
        <v>1942</v>
      </c>
      <c r="D665" s="7" t="s">
        <v>1321</v>
      </c>
      <c r="E665" s="8">
        <v>6</v>
      </c>
      <c r="F665" s="8">
        <v>15</v>
      </c>
      <c r="G665" s="7">
        <f t="shared" si="280"/>
        <v>90</v>
      </c>
      <c r="H665" s="239">
        <f>SUM(G665:G669)</f>
        <v>355.68</v>
      </c>
      <c r="I665" s="239">
        <v>2470</v>
      </c>
      <c r="J665" s="239">
        <f>I665-H665</f>
        <v>2114.3200000000002</v>
      </c>
      <c r="K665" s="259">
        <f>J665/I665</f>
        <v>0.85600000000000009</v>
      </c>
      <c r="M665" s="270"/>
      <c r="N665" s="175"/>
      <c r="O665" s="20" t="s">
        <v>33</v>
      </c>
      <c r="P665" s="20"/>
      <c r="Q665" s="20"/>
      <c r="R665" s="21">
        <v>96.4</v>
      </c>
      <c r="S665" s="248"/>
      <c r="T665" s="248"/>
      <c r="U665" s="248"/>
      <c r="V665" s="303"/>
      <c r="Y665" s="270"/>
      <c r="Z665" s="175"/>
      <c r="AA665" s="20" t="s">
        <v>33</v>
      </c>
      <c r="AB665" s="20"/>
      <c r="AC665" s="20"/>
      <c r="AD665" s="21">
        <v>96.4</v>
      </c>
      <c r="AE665" s="248"/>
      <c r="AF665" s="248"/>
      <c r="AG665" s="248"/>
      <c r="AH665" s="303"/>
    </row>
    <row r="666" spans="2:34" ht="13">
      <c r="B666" s="249"/>
      <c r="C666" s="1"/>
      <c r="D666" s="24" t="s">
        <v>1943</v>
      </c>
      <c r="E666" s="11">
        <v>6</v>
      </c>
      <c r="F666" s="11">
        <v>15</v>
      </c>
      <c r="G666" s="24">
        <f t="shared" si="280"/>
        <v>90</v>
      </c>
      <c r="H666" s="236"/>
      <c r="I666" s="236"/>
      <c r="J666" s="236"/>
      <c r="K666" s="242"/>
      <c r="M666" s="270"/>
      <c r="N666" s="177" t="s">
        <v>1944</v>
      </c>
      <c r="O666" s="15" t="s">
        <v>1511</v>
      </c>
      <c r="P666" s="16">
        <v>11.5</v>
      </c>
      <c r="Q666" s="16">
        <v>20</v>
      </c>
      <c r="R666" s="206">
        <f>P666*Q666</f>
        <v>230</v>
      </c>
      <c r="S666" s="292">
        <f>SUM(R666:R667)</f>
        <v>452.53</v>
      </c>
      <c r="T666" s="292">
        <v>4238</v>
      </c>
      <c r="U666" s="292">
        <f>T666-S666</f>
        <v>3785.4700000000003</v>
      </c>
      <c r="V666" s="302">
        <f>U666/T666</f>
        <v>0.89322085889570557</v>
      </c>
      <c r="Y666" s="270"/>
      <c r="Z666" s="177" t="s">
        <v>1944</v>
      </c>
      <c r="AA666" s="15" t="s">
        <v>1511</v>
      </c>
      <c r="AB666" s="16">
        <v>11.5</v>
      </c>
      <c r="AC666" s="16">
        <v>20</v>
      </c>
      <c r="AD666" s="206">
        <f>AB666*AC666</f>
        <v>230</v>
      </c>
      <c r="AE666" s="292">
        <f>SUM(AD666:AD667)</f>
        <v>452.53</v>
      </c>
      <c r="AF666" s="292">
        <v>4238</v>
      </c>
      <c r="AG666" s="292">
        <f>AF666-AE666</f>
        <v>3785.4700000000003</v>
      </c>
      <c r="AH666" s="302">
        <f>AG666/AF666</f>
        <v>0.89322085889570557</v>
      </c>
    </row>
    <row r="667" spans="2:34" ht="13">
      <c r="B667" s="249"/>
      <c r="C667" s="1"/>
      <c r="D667" s="24" t="s">
        <v>1937</v>
      </c>
      <c r="E667" s="11">
        <v>3</v>
      </c>
      <c r="F667" s="11">
        <v>15</v>
      </c>
      <c r="G667" s="24">
        <f t="shared" si="280"/>
        <v>45</v>
      </c>
      <c r="H667" s="236"/>
      <c r="I667" s="236"/>
      <c r="J667" s="236"/>
      <c r="K667" s="242"/>
      <c r="M667" s="270"/>
      <c r="N667" s="175"/>
      <c r="O667" s="20" t="s">
        <v>33</v>
      </c>
      <c r="P667" s="20"/>
      <c r="Q667" s="20"/>
      <c r="R667" s="21">
        <v>222.53</v>
      </c>
      <c r="S667" s="248"/>
      <c r="T667" s="248"/>
      <c r="U667" s="248"/>
      <c r="V667" s="303"/>
      <c r="Y667" s="270"/>
      <c r="Z667" s="175"/>
      <c r="AA667" s="20" t="s">
        <v>33</v>
      </c>
      <c r="AB667" s="20"/>
      <c r="AC667" s="20"/>
      <c r="AD667" s="21">
        <v>222.53</v>
      </c>
      <c r="AE667" s="248"/>
      <c r="AF667" s="248"/>
      <c r="AG667" s="248"/>
      <c r="AH667" s="303"/>
    </row>
    <row r="668" spans="2:34" ht="30">
      <c r="B668" s="249"/>
      <c r="C668" s="1"/>
      <c r="D668" s="24" t="s">
        <v>1830</v>
      </c>
      <c r="E668" s="11">
        <v>3</v>
      </c>
      <c r="F668" s="11">
        <v>15</v>
      </c>
      <c r="G668" s="24">
        <f t="shared" si="280"/>
        <v>45</v>
      </c>
      <c r="H668" s="236"/>
      <c r="I668" s="236"/>
      <c r="J668" s="236"/>
      <c r="K668" s="242"/>
      <c r="M668" s="278" t="s">
        <v>1945</v>
      </c>
      <c r="N668" s="252"/>
      <c r="O668" s="253"/>
      <c r="P668" s="128">
        <f t="shared" ref="P668:U668" si="283">AVERAGE(P560:P667)</f>
        <v>22.976153846153846</v>
      </c>
      <c r="Q668" s="128">
        <f t="shared" si="283"/>
        <v>14.24102564102564</v>
      </c>
      <c r="R668" s="128">
        <f t="shared" si="283"/>
        <v>231.85951923076925</v>
      </c>
      <c r="S668" s="128">
        <f t="shared" si="283"/>
        <v>1148.2566666666667</v>
      </c>
      <c r="T668" s="128">
        <f t="shared" si="283"/>
        <v>3918.1676190476192</v>
      </c>
      <c r="U668" s="128">
        <f t="shared" si="283"/>
        <v>2769.910952380952</v>
      </c>
      <c r="V668" s="149"/>
      <c r="Y668" s="278" t="s">
        <v>1945</v>
      </c>
      <c r="Z668" s="252"/>
      <c r="AA668" s="253"/>
      <c r="AB668" s="128">
        <f t="shared" ref="AB668:AG668" si="284">AVERAGE(AB560:AB667)</f>
        <v>23.842187499999998</v>
      </c>
      <c r="AC668" s="128">
        <f t="shared" si="284"/>
        <v>13.981249999999999</v>
      </c>
      <c r="AD668" s="128">
        <f t="shared" si="284"/>
        <v>241.17124999999999</v>
      </c>
      <c r="AE668" s="128">
        <f t="shared" si="284"/>
        <v>1010.6223809523809</v>
      </c>
      <c r="AF668" s="128">
        <f t="shared" si="284"/>
        <v>4040.27</v>
      </c>
      <c r="AG668" s="128">
        <f t="shared" si="284"/>
        <v>3029.6476190476192</v>
      </c>
      <c r="AH668" s="129">
        <f>AVERAGE($V$559:$V$666)</f>
        <v>0.69878337573242533</v>
      </c>
    </row>
    <row r="669" spans="2:34" ht="30">
      <c r="B669" s="249"/>
      <c r="C669" s="12"/>
      <c r="D669" s="13" t="s">
        <v>1946</v>
      </c>
      <c r="E669" s="14">
        <v>0</v>
      </c>
      <c r="F669" s="14">
        <v>85.68</v>
      </c>
      <c r="G669" s="207">
        <f>SUM(E669,F669)</f>
        <v>85.68</v>
      </c>
      <c r="H669" s="238"/>
      <c r="I669" s="238"/>
      <c r="J669" s="238"/>
      <c r="K669" s="243"/>
      <c r="M669" s="318" t="s">
        <v>1947</v>
      </c>
      <c r="N669" s="293"/>
      <c r="O669" s="319"/>
      <c r="P669" s="130">
        <f t="shared" ref="P669:U669" si="285">SUM(P560:P667)</f>
        <v>1792.1399999999999</v>
      </c>
      <c r="Q669" s="130">
        <f t="shared" si="285"/>
        <v>1110.8</v>
      </c>
      <c r="R669" s="130">
        <f t="shared" si="285"/>
        <v>24113.390000000003</v>
      </c>
      <c r="S669" s="130">
        <f t="shared" si="285"/>
        <v>24113.39</v>
      </c>
      <c r="T669" s="130">
        <f t="shared" si="285"/>
        <v>82281.52</v>
      </c>
      <c r="U669" s="130">
        <f t="shared" si="285"/>
        <v>58168.13</v>
      </c>
      <c r="V669" s="129">
        <f t="shared" ref="V669:V670" si="286">U669/T669</f>
        <v>0.70694039196164571</v>
      </c>
      <c r="Y669" s="318" t="s">
        <v>1947</v>
      </c>
      <c r="Z669" s="293"/>
      <c r="AA669" s="319"/>
      <c r="AB669" s="130">
        <f t="shared" ref="AB669:AG669" si="287">SUM(AB560:AB667)</f>
        <v>1525.8999999999999</v>
      </c>
      <c r="AC669" s="130">
        <f t="shared" si="287"/>
        <v>894.8</v>
      </c>
      <c r="AD669" s="130">
        <f t="shared" si="287"/>
        <v>21223.07</v>
      </c>
      <c r="AE669" s="130">
        <f t="shared" si="287"/>
        <v>21223.07</v>
      </c>
      <c r="AF669" s="130">
        <f t="shared" si="287"/>
        <v>84845.67</v>
      </c>
      <c r="AG669" s="130">
        <f t="shared" si="287"/>
        <v>63622.6</v>
      </c>
      <c r="AH669" s="185">
        <f t="shared" ref="AH669:AH670" si="288">AG669/AF669</f>
        <v>0.74986266240811106</v>
      </c>
    </row>
    <row r="670" spans="2:34" ht="13">
      <c r="B670" s="249"/>
      <c r="C670" s="202" t="s">
        <v>1948</v>
      </c>
      <c r="D670" s="159" t="s">
        <v>1235</v>
      </c>
      <c r="E670" s="158">
        <v>91.5</v>
      </c>
      <c r="F670" s="158">
        <v>13</v>
      </c>
      <c r="G670" s="159">
        <f>E670*F670</f>
        <v>1189.5</v>
      </c>
      <c r="H670" s="320">
        <f>SUM(G670:G675)</f>
        <v>2188</v>
      </c>
      <c r="I670" s="320">
        <v>26000</v>
      </c>
      <c r="J670" s="320">
        <f>I670-H670</f>
        <v>23812</v>
      </c>
      <c r="K670" s="346">
        <f>J670/I670</f>
        <v>0.91584615384615387</v>
      </c>
      <c r="M670" s="288" t="s">
        <v>1122</v>
      </c>
      <c r="N670" s="316" t="s">
        <v>1251</v>
      </c>
      <c r="O670" s="19" t="s">
        <v>114</v>
      </c>
      <c r="P670" s="17">
        <v>28</v>
      </c>
      <c r="Q670" s="17">
        <v>16</v>
      </c>
      <c r="R670" s="17">
        <f t="shared" ref="R670:R688" si="289">P670*Q670</f>
        <v>448</v>
      </c>
      <c r="S670" s="284">
        <f>SUM(R670:R689)</f>
        <v>3626.7099999999996</v>
      </c>
      <c r="T670" s="284">
        <v>4367</v>
      </c>
      <c r="U670" s="284">
        <f>T670-S670</f>
        <v>740.29000000000042</v>
      </c>
      <c r="V670" s="315">
        <f t="shared" si="286"/>
        <v>0.16951912067781094</v>
      </c>
      <c r="Y670" s="288" t="s">
        <v>1122</v>
      </c>
      <c r="Z670" s="316" t="s">
        <v>1251</v>
      </c>
      <c r="AA670" s="19" t="s">
        <v>114</v>
      </c>
      <c r="AB670" s="18"/>
      <c r="AC670" s="18"/>
      <c r="AD670" s="18"/>
      <c r="AE670" s="284">
        <f>SUM(AD670:AD689)</f>
        <v>2451.9199999999996</v>
      </c>
      <c r="AF670" s="284">
        <v>4367</v>
      </c>
      <c r="AG670" s="284">
        <f>AF670-AE670</f>
        <v>1915.0800000000004</v>
      </c>
      <c r="AH670" s="315">
        <f t="shared" si="288"/>
        <v>0.43853446301809029</v>
      </c>
    </row>
    <row r="671" spans="2:34" ht="13">
      <c r="B671" s="249"/>
      <c r="C671" s="1"/>
      <c r="D671" s="24" t="s">
        <v>114</v>
      </c>
      <c r="E671" s="208">
        <v>53</v>
      </c>
      <c r="F671" s="208">
        <v>0</v>
      </c>
      <c r="G671" s="209">
        <f t="shared" ref="G671:G673" si="290">SUM(E671*F671)</f>
        <v>0</v>
      </c>
      <c r="H671" s="236"/>
      <c r="I671" s="236"/>
      <c r="J671" s="236"/>
      <c r="K671" s="258"/>
      <c r="M671" s="270"/>
      <c r="N671" s="236"/>
      <c r="O671" s="19" t="s">
        <v>1252</v>
      </c>
      <c r="P671" s="17">
        <v>18.579999999999998</v>
      </c>
      <c r="Q671" s="17">
        <v>13</v>
      </c>
      <c r="R671" s="17">
        <f t="shared" si="289"/>
        <v>241.53999999999996</v>
      </c>
      <c r="S671" s="236"/>
      <c r="T671" s="236"/>
      <c r="U671" s="236"/>
      <c r="V671" s="258"/>
      <c r="Y671" s="270"/>
      <c r="Z671" s="236"/>
      <c r="AA671" s="19" t="s">
        <v>1252</v>
      </c>
      <c r="AB671" s="17">
        <v>18.579999999999998</v>
      </c>
      <c r="AC671" s="17">
        <v>13</v>
      </c>
      <c r="AD671" s="17">
        <f>AB671*AC671</f>
        <v>241.53999999999996</v>
      </c>
      <c r="AE671" s="236"/>
      <c r="AF671" s="236"/>
      <c r="AG671" s="236"/>
      <c r="AH671" s="258"/>
    </row>
    <row r="672" spans="2:34" ht="13">
      <c r="B672" s="249"/>
      <c r="C672" s="1"/>
      <c r="D672" s="24" t="s">
        <v>1308</v>
      </c>
      <c r="E672" s="209">
        <v>30</v>
      </c>
      <c r="F672" s="209">
        <v>14</v>
      </c>
      <c r="G672" s="209">
        <f t="shared" si="290"/>
        <v>420</v>
      </c>
      <c r="H672" s="236"/>
      <c r="I672" s="236"/>
      <c r="J672" s="236"/>
      <c r="K672" s="258"/>
      <c r="M672" s="270"/>
      <c r="N672" s="236"/>
      <c r="O672" s="19" t="s">
        <v>1253</v>
      </c>
      <c r="P672" s="17">
        <v>7</v>
      </c>
      <c r="Q672" s="17">
        <v>16</v>
      </c>
      <c r="R672" s="17">
        <f t="shared" si="289"/>
        <v>112</v>
      </c>
      <c r="S672" s="236"/>
      <c r="T672" s="236"/>
      <c r="U672" s="236"/>
      <c r="V672" s="258"/>
      <c r="Y672" s="270"/>
      <c r="Z672" s="236"/>
      <c r="AA672" s="19" t="s">
        <v>1253</v>
      </c>
      <c r="AB672" s="18"/>
      <c r="AC672" s="18"/>
      <c r="AD672" s="18"/>
      <c r="AE672" s="236"/>
      <c r="AF672" s="236"/>
      <c r="AG672" s="236"/>
      <c r="AH672" s="258"/>
    </row>
    <row r="673" spans="2:34" ht="13">
      <c r="B673" s="249"/>
      <c r="C673" s="1"/>
      <c r="D673" s="24" t="s">
        <v>1341</v>
      </c>
      <c r="E673" s="209">
        <v>26</v>
      </c>
      <c r="F673" s="209">
        <v>14</v>
      </c>
      <c r="G673" s="209">
        <f t="shared" si="290"/>
        <v>364</v>
      </c>
      <c r="H673" s="236"/>
      <c r="I673" s="236"/>
      <c r="J673" s="236"/>
      <c r="K673" s="258"/>
      <c r="M673" s="270"/>
      <c r="N673" s="236"/>
      <c r="O673" s="19" t="s">
        <v>1254</v>
      </c>
      <c r="P673" s="17">
        <v>28</v>
      </c>
      <c r="Q673" s="17">
        <v>16</v>
      </c>
      <c r="R673" s="17">
        <f t="shared" si="289"/>
        <v>448</v>
      </c>
      <c r="S673" s="236"/>
      <c r="T673" s="236"/>
      <c r="U673" s="236"/>
      <c r="V673" s="258"/>
      <c r="Y673" s="270"/>
      <c r="Z673" s="236"/>
      <c r="AA673" s="19" t="s">
        <v>1254</v>
      </c>
      <c r="AB673" s="18"/>
      <c r="AC673" s="18"/>
      <c r="AD673" s="18"/>
      <c r="AE673" s="236"/>
      <c r="AF673" s="236"/>
      <c r="AG673" s="236"/>
      <c r="AH673" s="258"/>
    </row>
    <row r="674" spans="2:34" ht="13">
      <c r="B674" s="249"/>
      <c r="C674" s="1"/>
      <c r="D674" s="205" t="s">
        <v>1937</v>
      </c>
      <c r="E674" s="205">
        <v>6.5</v>
      </c>
      <c r="F674" s="205">
        <v>13</v>
      </c>
      <c r="G674" s="205">
        <f t="shared" ref="G674:G691" si="291">E674*F674</f>
        <v>84.5</v>
      </c>
      <c r="H674" s="236"/>
      <c r="I674" s="236"/>
      <c r="J674" s="236"/>
      <c r="K674" s="258"/>
      <c r="M674" s="270"/>
      <c r="N674" s="236"/>
      <c r="O674" s="19" t="s">
        <v>1255</v>
      </c>
      <c r="P674" s="17">
        <v>7</v>
      </c>
      <c r="Q674" s="17">
        <v>13</v>
      </c>
      <c r="R674" s="17">
        <f t="shared" si="289"/>
        <v>91</v>
      </c>
      <c r="S674" s="236"/>
      <c r="T674" s="236"/>
      <c r="U674" s="236"/>
      <c r="V674" s="258"/>
      <c r="Y674" s="270"/>
      <c r="Z674" s="236"/>
      <c r="AA674" s="19" t="s">
        <v>1255</v>
      </c>
      <c r="AB674" s="17">
        <v>6</v>
      </c>
      <c r="AC674" s="17">
        <v>13</v>
      </c>
      <c r="AD674" s="17">
        <f t="shared" ref="AD674:AD688" si="292">AB674*AC674</f>
        <v>78</v>
      </c>
      <c r="AE674" s="236"/>
      <c r="AF674" s="236"/>
      <c r="AG674" s="236"/>
      <c r="AH674" s="258"/>
    </row>
    <row r="675" spans="2:34" ht="13">
      <c r="B675" s="249"/>
      <c r="C675" s="204"/>
      <c r="D675" s="210" t="s">
        <v>1949</v>
      </c>
      <c r="E675" s="210">
        <v>10</v>
      </c>
      <c r="F675" s="210">
        <v>13</v>
      </c>
      <c r="G675" s="205">
        <f t="shared" si="291"/>
        <v>130</v>
      </c>
      <c r="H675" s="293"/>
      <c r="I675" s="293"/>
      <c r="J675" s="293"/>
      <c r="K675" s="295"/>
      <c r="M675" s="270"/>
      <c r="N675" s="236"/>
      <c r="O675" s="19" t="s">
        <v>1256</v>
      </c>
      <c r="P675" s="17">
        <v>16</v>
      </c>
      <c r="Q675" s="17">
        <v>13</v>
      </c>
      <c r="R675" s="17">
        <f t="shared" si="289"/>
        <v>208</v>
      </c>
      <c r="S675" s="236"/>
      <c r="T675" s="236"/>
      <c r="U675" s="236"/>
      <c r="V675" s="258"/>
      <c r="Y675" s="270"/>
      <c r="Z675" s="236"/>
      <c r="AA675" s="19" t="s">
        <v>1256</v>
      </c>
      <c r="AB675" s="17">
        <v>11.75</v>
      </c>
      <c r="AC675" s="17">
        <v>13</v>
      </c>
      <c r="AD675" s="17">
        <f t="shared" si="292"/>
        <v>152.75</v>
      </c>
      <c r="AE675" s="236"/>
      <c r="AF675" s="236"/>
      <c r="AG675" s="236"/>
      <c r="AH675" s="258"/>
    </row>
    <row r="676" spans="2:34" ht="13">
      <c r="B676" s="249"/>
      <c r="C676" s="6" t="s">
        <v>1950</v>
      </c>
      <c r="D676" s="7" t="s">
        <v>1308</v>
      </c>
      <c r="E676" s="8">
        <v>4</v>
      </c>
      <c r="F676" s="8">
        <v>14</v>
      </c>
      <c r="G676" s="7">
        <f t="shared" si="291"/>
        <v>56</v>
      </c>
      <c r="H676" s="239">
        <f>SUM(G676:G679)</f>
        <v>186</v>
      </c>
      <c r="I676" s="239">
        <v>600</v>
      </c>
      <c r="J676" s="239">
        <f>I676-H676</f>
        <v>414</v>
      </c>
      <c r="K676" s="259">
        <f>J676/I676</f>
        <v>0.69</v>
      </c>
      <c r="M676" s="270"/>
      <c r="N676" s="236"/>
      <c r="O676" s="19" t="s">
        <v>75</v>
      </c>
      <c r="P676" s="17">
        <v>8</v>
      </c>
      <c r="Q676" s="17">
        <v>13</v>
      </c>
      <c r="R676" s="17">
        <f t="shared" si="289"/>
        <v>104</v>
      </c>
      <c r="S676" s="236"/>
      <c r="T676" s="236"/>
      <c r="U676" s="236"/>
      <c r="V676" s="258"/>
      <c r="Y676" s="270"/>
      <c r="Z676" s="236"/>
      <c r="AA676" s="19" t="s">
        <v>75</v>
      </c>
      <c r="AB676" s="17">
        <v>8</v>
      </c>
      <c r="AC676" s="17">
        <v>13</v>
      </c>
      <c r="AD676" s="17">
        <f t="shared" si="292"/>
        <v>104</v>
      </c>
      <c r="AE676" s="236"/>
      <c r="AF676" s="236"/>
      <c r="AG676" s="236"/>
      <c r="AH676" s="258"/>
    </row>
    <row r="677" spans="2:34" ht="13">
      <c r="B677" s="249"/>
      <c r="C677" s="1"/>
      <c r="D677" s="24" t="s">
        <v>1321</v>
      </c>
      <c r="E677" s="11">
        <v>4</v>
      </c>
      <c r="F677" s="11">
        <v>13</v>
      </c>
      <c r="G677" s="24">
        <f t="shared" si="291"/>
        <v>52</v>
      </c>
      <c r="H677" s="236"/>
      <c r="I677" s="236"/>
      <c r="J677" s="236"/>
      <c r="K677" s="242"/>
      <c r="M677" s="270"/>
      <c r="N677" s="236"/>
      <c r="O677" s="19" t="s">
        <v>325</v>
      </c>
      <c r="P677" s="17">
        <v>10.43</v>
      </c>
      <c r="Q677" s="17">
        <v>13</v>
      </c>
      <c r="R677" s="17">
        <f t="shared" si="289"/>
        <v>135.59</v>
      </c>
      <c r="S677" s="236"/>
      <c r="T677" s="236"/>
      <c r="U677" s="236"/>
      <c r="V677" s="258"/>
      <c r="Y677" s="270"/>
      <c r="Z677" s="236"/>
      <c r="AA677" s="19" t="s">
        <v>325</v>
      </c>
      <c r="AB677" s="17">
        <v>9.5</v>
      </c>
      <c r="AC677" s="17">
        <v>13</v>
      </c>
      <c r="AD677" s="17">
        <f t="shared" si="292"/>
        <v>123.5</v>
      </c>
      <c r="AE677" s="236"/>
      <c r="AF677" s="236"/>
      <c r="AG677" s="236"/>
      <c r="AH677" s="258"/>
    </row>
    <row r="678" spans="2:34" ht="13">
      <c r="B678" s="249"/>
      <c r="C678" s="1"/>
      <c r="D678" s="24" t="s">
        <v>1943</v>
      </c>
      <c r="E678" s="11">
        <v>4</v>
      </c>
      <c r="F678" s="11">
        <v>13</v>
      </c>
      <c r="G678" s="24">
        <f t="shared" si="291"/>
        <v>52</v>
      </c>
      <c r="H678" s="236"/>
      <c r="I678" s="236"/>
      <c r="J678" s="236"/>
      <c r="K678" s="242"/>
      <c r="M678" s="270"/>
      <c r="N678" s="236"/>
      <c r="O678" s="19" t="s">
        <v>1257</v>
      </c>
      <c r="P678" s="17">
        <v>5</v>
      </c>
      <c r="Q678" s="17">
        <v>13</v>
      </c>
      <c r="R678" s="17">
        <f t="shared" si="289"/>
        <v>65</v>
      </c>
      <c r="S678" s="236"/>
      <c r="T678" s="236"/>
      <c r="U678" s="236"/>
      <c r="V678" s="258"/>
      <c r="Y678" s="270"/>
      <c r="Z678" s="236"/>
      <c r="AA678" s="19" t="s">
        <v>1257</v>
      </c>
      <c r="AB678" s="17">
        <v>4.75</v>
      </c>
      <c r="AC678" s="17">
        <v>13</v>
      </c>
      <c r="AD678" s="17">
        <f t="shared" si="292"/>
        <v>61.75</v>
      </c>
      <c r="AE678" s="236"/>
      <c r="AF678" s="236"/>
      <c r="AG678" s="236"/>
      <c r="AH678" s="258"/>
    </row>
    <row r="679" spans="2:34" ht="13">
      <c r="B679" s="249"/>
      <c r="C679" s="12"/>
      <c r="D679" s="13" t="s">
        <v>1951</v>
      </c>
      <c r="E679" s="14">
        <v>2</v>
      </c>
      <c r="F679" s="14">
        <v>13</v>
      </c>
      <c r="G679" s="14">
        <f t="shared" si="291"/>
        <v>26</v>
      </c>
      <c r="H679" s="238"/>
      <c r="I679" s="238"/>
      <c r="J679" s="238"/>
      <c r="K679" s="243"/>
      <c r="M679" s="270"/>
      <c r="N679" s="236"/>
      <c r="O679" s="19" t="s">
        <v>1258</v>
      </c>
      <c r="P679" s="17">
        <v>16</v>
      </c>
      <c r="Q679" s="17">
        <v>13</v>
      </c>
      <c r="R679" s="17">
        <f t="shared" si="289"/>
        <v>208</v>
      </c>
      <c r="S679" s="236"/>
      <c r="T679" s="236"/>
      <c r="U679" s="236"/>
      <c r="V679" s="258"/>
      <c r="Y679" s="270"/>
      <c r="Z679" s="236"/>
      <c r="AA679" s="19" t="s">
        <v>1258</v>
      </c>
      <c r="AB679" s="17">
        <v>14.3</v>
      </c>
      <c r="AC679" s="17">
        <v>13</v>
      </c>
      <c r="AD679" s="17">
        <f t="shared" si="292"/>
        <v>185.9</v>
      </c>
      <c r="AE679" s="236"/>
      <c r="AF679" s="236"/>
      <c r="AG679" s="236"/>
      <c r="AH679" s="258"/>
    </row>
    <row r="680" spans="2:34" ht="13">
      <c r="B680" s="249"/>
      <c r="C680" s="6" t="s">
        <v>1952</v>
      </c>
      <c r="D680" s="7" t="s">
        <v>114</v>
      </c>
      <c r="E680" s="8">
        <v>0</v>
      </c>
      <c r="F680" s="8">
        <v>0</v>
      </c>
      <c r="G680" s="7">
        <f t="shared" si="291"/>
        <v>0</v>
      </c>
      <c r="H680" s="239">
        <f>SUM(G680:G681)</f>
        <v>209.3</v>
      </c>
      <c r="I680" s="239">
        <v>600</v>
      </c>
      <c r="J680" s="239">
        <f>I680-H680</f>
        <v>390.7</v>
      </c>
      <c r="K680" s="259">
        <f>J680/I680</f>
        <v>0.65116666666666667</v>
      </c>
      <c r="M680" s="270"/>
      <c r="N680" s="236"/>
      <c r="O680" s="106" t="s">
        <v>1259</v>
      </c>
      <c r="P680" s="17">
        <v>4.5999999999999996</v>
      </c>
      <c r="Q680" s="17">
        <v>13</v>
      </c>
      <c r="R680" s="17">
        <f t="shared" si="289"/>
        <v>59.8</v>
      </c>
      <c r="S680" s="236"/>
      <c r="T680" s="236"/>
      <c r="U680" s="236"/>
      <c r="V680" s="258"/>
      <c r="Y680" s="270"/>
      <c r="Z680" s="236"/>
      <c r="AA680" s="106" t="s">
        <v>1259</v>
      </c>
      <c r="AB680" s="17">
        <v>4.5999999999999996</v>
      </c>
      <c r="AC680" s="17">
        <v>13</v>
      </c>
      <c r="AD680" s="17">
        <f t="shared" si="292"/>
        <v>59.8</v>
      </c>
      <c r="AE680" s="236"/>
      <c r="AF680" s="236"/>
      <c r="AG680" s="236"/>
      <c r="AH680" s="258"/>
    </row>
    <row r="681" spans="2:34" ht="13">
      <c r="B681" s="249"/>
      <c r="C681" s="204"/>
      <c r="D681" s="205" t="s">
        <v>1235</v>
      </c>
      <c r="E681" s="211">
        <v>16.100000000000001</v>
      </c>
      <c r="F681" s="211">
        <v>13</v>
      </c>
      <c r="G681" s="205">
        <f t="shared" si="291"/>
        <v>209.3</v>
      </c>
      <c r="H681" s="238"/>
      <c r="I681" s="238"/>
      <c r="J681" s="238"/>
      <c r="K681" s="243"/>
      <c r="M681" s="270"/>
      <c r="N681" s="236"/>
      <c r="O681" s="106" t="s">
        <v>1260</v>
      </c>
      <c r="P681" s="17">
        <v>23.56</v>
      </c>
      <c r="Q681" s="17">
        <v>13</v>
      </c>
      <c r="R681" s="17">
        <f t="shared" si="289"/>
        <v>306.27999999999997</v>
      </c>
      <c r="S681" s="236"/>
      <c r="T681" s="236"/>
      <c r="U681" s="236"/>
      <c r="V681" s="258"/>
      <c r="Y681" s="270"/>
      <c r="Z681" s="236"/>
      <c r="AA681" s="106" t="s">
        <v>1260</v>
      </c>
      <c r="AB681" s="17">
        <v>18.36</v>
      </c>
      <c r="AC681" s="17">
        <v>13</v>
      </c>
      <c r="AD681" s="17">
        <f t="shared" si="292"/>
        <v>238.68</v>
      </c>
      <c r="AE681" s="236"/>
      <c r="AF681" s="236"/>
      <c r="AG681" s="236"/>
      <c r="AH681" s="258"/>
    </row>
    <row r="682" spans="2:34" ht="13">
      <c r="B682" s="249"/>
      <c r="C682" s="6" t="s">
        <v>1953</v>
      </c>
      <c r="D682" s="7" t="s">
        <v>114</v>
      </c>
      <c r="E682" s="8">
        <v>14</v>
      </c>
      <c r="F682" s="8">
        <v>0</v>
      </c>
      <c r="G682" s="7">
        <f t="shared" si="291"/>
        <v>0</v>
      </c>
      <c r="H682" s="239">
        <f>SUM(G682:G687)</f>
        <v>2037.1</v>
      </c>
      <c r="I682" s="239">
        <v>5000</v>
      </c>
      <c r="J682" s="239">
        <f>I682-H682</f>
        <v>2962.9</v>
      </c>
      <c r="K682" s="259">
        <f>J682/I682</f>
        <v>0.59258</v>
      </c>
      <c r="M682" s="270"/>
      <c r="N682" s="236"/>
      <c r="O682" s="19" t="s">
        <v>1261</v>
      </c>
      <c r="P682" s="17">
        <v>7.25</v>
      </c>
      <c r="Q682" s="17">
        <v>13</v>
      </c>
      <c r="R682" s="17">
        <f t="shared" si="289"/>
        <v>94.25</v>
      </c>
      <c r="S682" s="236"/>
      <c r="T682" s="236"/>
      <c r="U682" s="236"/>
      <c r="V682" s="258"/>
      <c r="Y682" s="270"/>
      <c r="Z682" s="236"/>
      <c r="AA682" s="19" t="s">
        <v>1261</v>
      </c>
      <c r="AB682" s="17">
        <v>7.25</v>
      </c>
      <c r="AC682" s="17">
        <v>13</v>
      </c>
      <c r="AD682" s="17">
        <f t="shared" si="292"/>
        <v>94.25</v>
      </c>
      <c r="AE682" s="236"/>
      <c r="AF682" s="236"/>
      <c r="AG682" s="236"/>
      <c r="AH682" s="258"/>
    </row>
    <row r="683" spans="2:34" ht="13">
      <c r="B683" s="249"/>
      <c r="C683" s="1"/>
      <c r="D683" s="24" t="s">
        <v>1341</v>
      </c>
      <c r="E683" s="11">
        <v>17</v>
      </c>
      <c r="F683" s="11">
        <v>13</v>
      </c>
      <c r="G683" s="24">
        <f t="shared" si="291"/>
        <v>221</v>
      </c>
      <c r="H683" s="236"/>
      <c r="I683" s="236"/>
      <c r="J683" s="236"/>
      <c r="K683" s="242"/>
      <c r="M683" s="270"/>
      <c r="N683" s="236"/>
      <c r="O683" s="19" t="s">
        <v>1262</v>
      </c>
      <c r="P683" s="17">
        <v>27.15</v>
      </c>
      <c r="Q683" s="17">
        <v>13</v>
      </c>
      <c r="R683" s="17">
        <f t="shared" si="289"/>
        <v>352.95</v>
      </c>
      <c r="S683" s="236"/>
      <c r="T683" s="236"/>
      <c r="U683" s="236"/>
      <c r="V683" s="258"/>
      <c r="Y683" s="270"/>
      <c r="Z683" s="236"/>
      <c r="AA683" s="19" t="s">
        <v>1262</v>
      </c>
      <c r="AB683" s="17">
        <v>27.15</v>
      </c>
      <c r="AC683" s="17">
        <v>13</v>
      </c>
      <c r="AD683" s="17">
        <f t="shared" si="292"/>
        <v>352.95</v>
      </c>
      <c r="AE683" s="236"/>
      <c r="AF683" s="236"/>
      <c r="AG683" s="236"/>
      <c r="AH683" s="258"/>
    </row>
    <row r="684" spans="2:34" ht="13">
      <c r="B684" s="249"/>
      <c r="C684" s="1"/>
      <c r="D684" s="24" t="s">
        <v>1308</v>
      </c>
      <c r="E684" s="11">
        <v>16.2</v>
      </c>
      <c r="F684" s="11">
        <v>13</v>
      </c>
      <c r="G684" s="24">
        <f t="shared" si="291"/>
        <v>210.6</v>
      </c>
      <c r="H684" s="236"/>
      <c r="I684" s="236"/>
      <c r="J684" s="236"/>
      <c r="K684" s="242"/>
      <c r="M684" s="270"/>
      <c r="N684" s="236"/>
      <c r="O684" s="19" t="s">
        <v>1263</v>
      </c>
      <c r="P684" s="17">
        <v>3.7</v>
      </c>
      <c r="Q684" s="17">
        <v>13</v>
      </c>
      <c r="R684" s="17">
        <f t="shared" si="289"/>
        <v>48.1</v>
      </c>
      <c r="S684" s="236"/>
      <c r="T684" s="236"/>
      <c r="U684" s="236"/>
      <c r="V684" s="258"/>
      <c r="Y684" s="270"/>
      <c r="Z684" s="236"/>
      <c r="AA684" s="19" t="s">
        <v>1263</v>
      </c>
      <c r="AB684" s="17">
        <v>3.7</v>
      </c>
      <c r="AC684" s="17">
        <v>13</v>
      </c>
      <c r="AD684" s="17">
        <f t="shared" si="292"/>
        <v>48.1</v>
      </c>
      <c r="AE684" s="236"/>
      <c r="AF684" s="236"/>
      <c r="AG684" s="236"/>
      <c r="AH684" s="258"/>
    </row>
    <row r="685" spans="2:34" ht="13">
      <c r="B685" s="249"/>
      <c r="C685" s="1"/>
      <c r="D685" s="24" t="s">
        <v>1321</v>
      </c>
      <c r="E685" s="11">
        <v>5.5</v>
      </c>
      <c r="F685" s="11">
        <v>13</v>
      </c>
      <c r="G685" s="24">
        <f t="shared" si="291"/>
        <v>71.5</v>
      </c>
      <c r="H685" s="236"/>
      <c r="I685" s="236"/>
      <c r="J685" s="236"/>
      <c r="K685" s="242"/>
      <c r="M685" s="270"/>
      <c r="N685" s="236"/>
      <c r="O685" s="19" t="s">
        <v>1264</v>
      </c>
      <c r="P685" s="17">
        <v>16.399999999999999</v>
      </c>
      <c r="Q685" s="17">
        <v>13</v>
      </c>
      <c r="R685" s="17">
        <f t="shared" si="289"/>
        <v>213.2</v>
      </c>
      <c r="S685" s="236"/>
      <c r="T685" s="236"/>
      <c r="U685" s="236"/>
      <c r="V685" s="258"/>
      <c r="Y685" s="270"/>
      <c r="Z685" s="236"/>
      <c r="AA685" s="19" t="s">
        <v>1264</v>
      </c>
      <c r="AB685" s="17">
        <v>16.399999999999999</v>
      </c>
      <c r="AC685" s="17">
        <v>13</v>
      </c>
      <c r="AD685" s="17">
        <f t="shared" si="292"/>
        <v>213.2</v>
      </c>
      <c r="AE685" s="236"/>
      <c r="AF685" s="236"/>
      <c r="AG685" s="236"/>
      <c r="AH685" s="258"/>
    </row>
    <row r="686" spans="2:34" ht="13">
      <c r="B686" s="249"/>
      <c r="C686" s="1"/>
      <c r="D686" s="24" t="s">
        <v>1943</v>
      </c>
      <c r="E686" s="11">
        <v>5.5</v>
      </c>
      <c r="F686" s="11">
        <v>13</v>
      </c>
      <c r="G686" s="24">
        <f t="shared" si="291"/>
        <v>71.5</v>
      </c>
      <c r="H686" s="236"/>
      <c r="I686" s="236"/>
      <c r="J686" s="236"/>
      <c r="K686" s="242"/>
      <c r="M686" s="270"/>
      <c r="N686" s="236"/>
      <c r="O686" s="19" t="s">
        <v>1265</v>
      </c>
      <c r="P686" s="17">
        <v>3.5</v>
      </c>
      <c r="Q686" s="17">
        <v>13</v>
      </c>
      <c r="R686" s="17">
        <f t="shared" si="289"/>
        <v>45.5</v>
      </c>
      <c r="S686" s="236"/>
      <c r="T686" s="236"/>
      <c r="U686" s="236"/>
      <c r="V686" s="258"/>
      <c r="Y686" s="270"/>
      <c r="Z686" s="236"/>
      <c r="AA686" s="19" t="s">
        <v>1265</v>
      </c>
      <c r="AB686" s="17">
        <v>3.5</v>
      </c>
      <c r="AC686" s="17">
        <v>13</v>
      </c>
      <c r="AD686" s="17">
        <f t="shared" si="292"/>
        <v>45.5</v>
      </c>
      <c r="AE686" s="236"/>
      <c r="AF686" s="236"/>
      <c r="AG686" s="236"/>
      <c r="AH686" s="258"/>
    </row>
    <row r="687" spans="2:34" ht="13">
      <c r="B687" s="249"/>
      <c r="C687" s="12"/>
      <c r="D687" s="13" t="s">
        <v>1235</v>
      </c>
      <c r="E687" s="14">
        <v>112.5</v>
      </c>
      <c r="F687" s="14">
        <v>13</v>
      </c>
      <c r="G687" s="14">
        <f t="shared" si="291"/>
        <v>1462.5</v>
      </c>
      <c r="H687" s="238"/>
      <c r="I687" s="238"/>
      <c r="J687" s="238"/>
      <c r="K687" s="243"/>
      <c r="M687" s="270"/>
      <c r="N687" s="236"/>
      <c r="O687" s="19" t="s">
        <v>1266</v>
      </c>
      <c r="P687" s="17">
        <v>17.8</v>
      </c>
      <c r="Q687" s="17">
        <v>13</v>
      </c>
      <c r="R687" s="17">
        <f t="shared" si="289"/>
        <v>231.4</v>
      </c>
      <c r="S687" s="236"/>
      <c r="T687" s="236"/>
      <c r="U687" s="236"/>
      <c r="V687" s="258"/>
      <c r="Y687" s="270"/>
      <c r="Z687" s="236"/>
      <c r="AA687" s="19" t="s">
        <v>1266</v>
      </c>
      <c r="AB687" s="17">
        <v>17.8</v>
      </c>
      <c r="AC687" s="17">
        <v>13</v>
      </c>
      <c r="AD687" s="17">
        <f t="shared" si="292"/>
        <v>231.4</v>
      </c>
      <c r="AE687" s="236"/>
      <c r="AF687" s="236"/>
      <c r="AG687" s="236"/>
      <c r="AH687" s="258"/>
    </row>
    <row r="688" spans="2:34" ht="16">
      <c r="B688" s="249"/>
      <c r="C688" s="212" t="s">
        <v>1954</v>
      </c>
      <c r="D688" s="213" t="s">
        <v>1341</v>
      </c>
      <c r="E688" s="214">
        <v>8</v>
      </c>
      <c r="F688" s="214">
        <v>13</v>
      </c>
      <c r="G688" s="213">
        <f t="shared" si="291"/>
        <v>104</v>
      </c>
      <c r="H688" s="215">
        <f>SUM(G688)</f>
        <v>104</v>
      </c>
      <c r="I688" s="215">
        <v>1200</v>
      </c>
      <c r="J688" s="215">
        <f t="shared" ref="J688:J689" si="293">I688-H688</f>
        <v>1096</v>
      </c>
      <c r="K688" s="216">
        <f t="shared" ref="K688:K689" si="294">J688/I688</f>
        <v>0.91333333333333333</v>
      </c>
      <c r="M688" s="270"/>
      <c r="N688" s="236"/>
      <c r="O688" s="19" t="s">
        <v>310</v>
      </c>
      <c r="P688" s="17">
        <v>7.7</v>
      </c>
      <c r="Q688" s="17">
        <v>13</v>
      </c>
      <c r="R688" s="17">
        <f t="shared" si="289"/>
        <v>100.10000000000001</v>
      </c>
      <c r="S688" s="236"/>
      <c r="T688" s="236"/>
      <c r="U688" s="236"/>
      <c r="V688" s="258"/>
      <c r="Y688" s="270"/>
      <c r="Z688" s="236"/>
      <c r="AA688" s="19" t="s">
        <v>310</v>
      </c>
      <c r="AB688" s="17">
        <v>8.1999999999999993</v>
      </c>
      <c r="AC688" s="17">
        <v>13</v>
      </c>
      <c r="AD688" s="17">
        <f t="shared" si="292"/>
        <v>106.6</v>
      </c>
      <c r="AE688" s="236"/>
      <c r="AF688" s="236"/>
      <c r="AG688" s="236"/>
      <c r="AH688" s="258"/>
    </row>
    <row r="689" spans="2:34" ht="13">
      <c r="B689" s="249"/>
      <c r="C689" s="6" t="s">
        <v>1955</v>
      </c>
      <c r="D689" s="7" t="s">
        <v>114</v>
      </c>
      <c r="E689" s="8">
        <v>4</v>
      </c>
      <c r="F689" s="8">
        <v>0</v>
      </c>
      <c r="G689" s="7">
        <f t="shared" si="291"/>
        <v>0</v>
      </c>
      <c r="H689" s="239">
        <f>SUM(G689:G691)</f>
        <v>227.5</v>
      </c>
      <c r="I689" s="239">
        <v>1250</v>
      </c>
      <c r="J689" s="239">
        <f t="shared" si="293"/>
        <v>1022.5</v>
      </c>
      <c r="K689" s="259">
        <f t="shared" si="294"/>
        <v>0.81799999999999995</v>
      </c>
      <c r="M689" s="270"/>
      <c r="N689" s="248"/>
      <c r="O689" s="20" t="s">
        <v>1267</v>
      </c>
      <c r="P689" s="21"/>
      <c r="Q689" s="21"/>
      <c r="R689" s="21">
        <v>114</v>
      </c>
      <c r="S689" s="293"/>
      <c r="T689" s="293"/>
      <c r="U689" s="293"/>
      <c r="V689" s="295"/>
      <c r="Y689" s="270"/>
      <c r="Z689" s="248"/>
      <c r="AA689" s="20" t="s">
        <v>1267</v>
      </c>
      <c r="AB689" s="21"/>
      <c r="AC689" s="21"/>
      <c r="AD689" s="21">
        <v>114</v>
      </c>
      <c r="AE689" s="293"/>
      <c r="AF689" s="293"/>
      <c r="AG689" s="293"/>
      <c r="AH689" s="295"/>
    </row>
    <row r="690" spans="2:34" ht="13">
      <c r="B690" s="249"/>
      <c r="C690" s="1"/>
      <c r="D690" s="24" t="s">
        <v>1308</v>
      </c>
      <c r="E690" s="11">
        <v>11</v>
      </c>
      <c r="F690" s="11">
        <v>13</v>
      </c>
      <c r="G690" s="24">
        <f t="shared" si="291"/>
        <v>143</v>
      </c>
      <c r="H690" s="236"/>
      <c r="I690" s="236"/>
      <c r="J690" s="236"/>
      <c r="K690" s="242"/>
      <c r="M690" s="270"/>
      <c r="N690" s="177" t="s">
        <v>1956</v>
      </c>
      <c r="O690" s="15" t="s">
        <v>114</v>
      </c>
      <c r="P690" s="16">
        <v>3.5</v>
      </c>
      <c r="Q690" s="16">
        <v>16</v>
      </c>
      <c r="R690" s="16">
        <f>P690*Q690</f>
        <v>56</v>
      </c>
      <c r="S690" s="292">
        <f>SUM(R690:R691)</f>
        <v>124.38</v>
      </c>
      <c r="T690" s="292">
        <v>1048.75</v>
      </c>
      <c r="U690" s="292">
        <f>T690-S690</f>
        <v>924.37</v>
      </c>
      <c r="V690" s="302">
        <f>U690/T690</f>
        <v>0.8814016686531585</v>
      </c>
      <c r="Y690" s="270"/>
      <c r="Z690" s="177" t="s">
        <v>1956</v>
      </c>
      <c r="AA690" s="15" t="s">
        <v>114</v>
      </c>
      <c r="AB690" s="43"/>
      <c r="AC690" s="43"/>
      <c r="AD690" s="43"/>
      <c r="AE690" s="284">
        <f>SUM(AD690:AD691)</f>
        <v>68.38</v>
      </c>
      <c r="AF690" s="284">
        <v>1048.75</v>
      </c>
      <c r="AG690" s="284">
        <f>AF690-AE690</f>
        <v>980.37</v>
      </c>
      <c r="AH690" s="311">
        <f>AG690/AF690</f>
        <v>0.93479856972586417</v>
      </c>
    </row>
    <row r="691" spans="2:34" ht="13">
      <c r="B691" s="249"/>
      <c r="C691" s="140"/>
      <c r="D691" s="44" t="s">
        <v>1321</v>
      </c>
      <c r="E691" s="103">
        <v>6.5</v>
      </c>
      <c r="F691" s="103">
        <v>13</v>
      </c>
      <c r="G691" s="44">
        <f t="shared" si="291"/>
        <v>84.5</v>
      </c>
      <c r="H691" s="248"/>
      <c r="I691" s="238"/>
      <c r="J691" s="238"/>
      <c r="K691" s="243"/>
      <c r="M691" s="270"/>
      <c r="N691" s="175"/>
      <c r="O691" s="20" t="s">
        <v>33</v>
      </c>
      <c r="P691" s="20"/>
      <c r="Q691" s="20"/>
      <c r="R691" s="21">
        <v>68.38</v>
      </c>
      <c r="S691" s="248"/>
      <c r="T691" s="248"/>
      <c r="U691" s="248"/>
      <c r="V691" s="303"/>
      <c r="Y691" s="270"/>
      <c r="Z691" s="175"/>
      <c r="AA691" s="20" t="s">
        <v>33</v>
      </c>
      <c r="AB691" s="20"/>
      <c r="AC691" s="20"/>
      <c r="AD691" s="21">
        <v>68.38</v>
      </c>
      <c r="AE691" s="248"/>
      <c r="AF691" s="248"/>
      <c r="AG691" s="248"/>
      <c r="AH691" s="303"/>
    </row>
    <row r="692" spans="2:34" ht="30">
      <c r="B692" s="251" t="s">
        <v>1957</v>
      </c>
      <c r="C692" s="252"/>
      <c r="D692" s="253"/>
      <c r="E692" s="27">
        <f t="shared" ref="E692:J692" si="295">AVERAGE(E672:E691)</f>
        <v>15.139999999999997</v>
      </c>
      <c r="F692" s="27">
        <f t="shared" si="295"/>
        <v>11.2</v>
      </c>
      <c r="G692" s="152">
        <f t="shared" si="295"/>
        <v>188.11999999999998</v>
      </c>
      <c r="H692" s="152">
        <f t="shared" si="295"/>
        <v>552.78</v>
      </c>
      <c r="I692" s="152">
        <f t="shared" si="295"/>
        <v>1730</v>
      </c>
      <c r="J692" s="152">
        <f t="shared" si="295"/>
        <v>1177.22</v>
      </c>
      <c r="K692" s="183"/>
      <c r="M692" s="270"/>
      <c r="N692" s="314" t="s">
        <v>1958</v>
      </c>
      <c r="O692" s="15" t="s">
        <v>698</v>
      </c>
      <c r="P692" s="16">
        <v>27.3</v>
      </c>
      <c r="Q692" s="16">
        <v>18</v>
      </c>
      <c r="R692" s="16">
        <f t="shared" ref="R692:R696" si="296">P692*Q692</f>
        <v>491.40000000000003</v>
      </c>
      <c r="S692" s="292">
        <f>SUM(R692:R695)</f>
        <v>1325.4</v>
      </c>
      <c r="T692" s="292">
        <v>6524</v>
      </c>
      <c r="U692" s="292">
        <f>T692-S692</f>
        <v>5198.6000000000004</v>
      </c>
      <c r="V692" s="313">
        <f>U692/T692</f>
        <v>0.79684242795830784</v>
      </c>
      <c r="Y692" s="270"/>
      <c r="Z692" s="314" t="s">
        <v>1958</v>
      </c>
      <c r="AA692" s="15" t="s">
        <v>698</v>
      </c>
      <c r="AB692" s="16">
        <v>34.299999999999997</v>
      </c>
      <c r="AC692" s="16">
        <v>18</v>
      </c>
      <c r="AD692" s="16">
        <f t="shared" ref="AD692:AD694" si="297">AB692*AC692</f>
        <v>617.4</v>
      </c>
      <c r="AE692" s="292">
        <f>SUM(AD692:AD695)</f>
        <v>1389.3000000000002</v>
      </c>
      <c r="AF692" s="292">
        <v>6524</v>
      </c>
      <c r="AG692" s="292">
        <f>AF692-AE692</f>
        <v>5134.7</v>
      </c>
      <c r="AH692" s="313">
        <f>AG692/AF692</f>
        <v>0.78704782342121393</v>
      </c>
    </row>
    <row r="693" spans="2:34" ht="30">
      <c r="B693" s="251" t="s">
        <v>1959</v>
      </c>
      <c r="C693" s="252"/>
      <c r="D693" s="253"/>
      <c r="E693" s="27">
        <f t="shared" ref="E693:J693" si="298">SUM(E672:E691)</f>
        <v>302.79999999999995</v>
      </c>
      <c r="F693" s="27">
        <f t="shared" si="298"/>
        <v>224</v>
      </c>
      <c r="G693" s="152">
        <f t="shared" si="298"/>
        <v>3762.3999999999996</v>
      </c>
      <c r="H693" s="152">
        <f t="shared" si="298"/>
        <v>2763.9</v>
      </c>
      <c r="I693" s="152">
        <f t="shared" si="298"/>
        <v>8650</v>
      </c>
      <c r="J693" s="152">
        <f t="shared" si="298"/>
        <v>5886.1</v>
      </c>
      <c r="K693" s="154">
        <f t="shared" ref="K693:K695" si="299">J693/I693</f>
        <v>0.6804739884393064</v>
      </c>
      <c r="M693" s="270"/>
      <c r="N693" s="245"/>
      <c r="O693" s="19" t="s">
        <v>1736</v>
      </c>
      <c r="P693" s="17">
        <v>24</v>
      </c>
      <c r="Q693" s="17">
        <v>18</v>
      </c>
      <c r="R693" s="17">
        <f t="shared" si="296"/>
        <v>432</v>
      </c>
      <c r="S693" s="236"/>
      <c r="T693" s="236"/>
      <c r="U693" s="236"/>
      <c r="V693" s="242"/>
      <c r="Y693" s="270"/>
      <c r="Z693" s="245"/>
      <c r="AA693" s="19" t="s">
        <v>1736</v>
      </c>
      <c r="AB693" s="17">
        <v>24</v>
      </c>
      <c r="AC693" s="17">
        <v>18</v>
      </c>
      <c r="AD693" s="17">
        <f t="shared" si="297"/>
        <v>432</v>
      </c>
      <c r="AE693" s="236"/>
      <c r="AF693" s="236"/>
      <c r="AG693" s="236"/>
      <c r="AH693" s="242"/>
    </row>
    <row r="694" spans="2:34" ht="30" customHeight="1">
      <c r="B694" s="277" t="s">
        <v>9</v>
      </c>
      <c r="C694" s="212" t="s">
        <v>1960</v>
      </c>
      <c r="D694" s="213" t="s">
        <v>1235</v>
      </c>
      <c r="E694" s="214">
        <v>7</v>
      </c>
      <c r="F694" s="214">
        <v>15</v>
      </c>
      <c r="G694" s="213">
        <v>155</v>
      </c>
      <c r="H694" s="215">
        <f>SUM(G694)</f>
        <v>155</v>
      </c>
      <c r="I694" s="215">
        <v>1340</v>
      </c>
      <c r="J694" s="215">
        <f t="shared" ref="J694:J695" si="300">I694-H694</f>
        <v>1185</v>
      </c>
      <c r="K694" s="216">
        <f t="shared" si="299"/>
        <v>0.88432835820895528</v>
      </c>
      <c r="M694" s="270"/>
      <c r="N694" s="245"/>
      <c r="O694" s="19" t="s">
        <v>310</v>
      </c>
      <c r="P694" s="17">
        <v>21.2</v>
      </c>
      <c r="Q694" s="17">
        <v>15</v>
      </c>
      <c r="R694" s="17">
        <f t="shared" si="296"/>
        <v>318</v>
      </c>
      <c r="S694" s="236"/>
      <c r="T694" s="236"/>
      <c r="U694" s="236"/>
      <c r="V694" s="242"/>
      <c r="Y694" s="270"/>
      <c r="Z694" s="245"/>
      <c r="AA694" s="19" t="s">
        <v>310</v>
      </c>
      <c r="AB694" s="17">
        <v>22.66</v>
      </c>
      <c r="AC694" s="17">
        <v>15</v>
      </c>
      <c r="AD694" s="17">
        <f t="shared" si="297"/>
        <v>339.9</v>
      </c>
      <c r="AE694" s="236"/>
      <c r="AF694" s="236"/>
      <c r="AG694" s="236"/>
      <c r="AH694" s="242"/>
    </row>
    <row r="695" spans="2:34" ht="13">
      <c r="B695" s="249"/>
      <c r="C695" s="202" t="s">
        <v>1961</v>
      </c>
      <c r="D695" s="159" t="s">
        <v>1235</v>
      </c>
      <c r="E695" s="158">
        <v>30</v>
      </c>
      <c r="F695" s="158">
        <v>13</v>
      </c>
      <c r="G695" s="159">
        <f>E695*F695</f>
        <v>390</v>
      </c>
      <c r="H695" s="320">
        <f>SUM(G695:G700)</f>
        <v>924.30000000000007</v>
      </c>
      <c r="I695" s="320">
        <v>2210</v>
      </c>
      <c r="J695" s="320">
        <f t="shared" si="300"/>
        <v>1285.6999999999998</v>
      </c>
      <c r="K695" s="346">
        <f t="shared" si="299"/>
        <v>0.58176470588235285</v>
      </c>
      <c r="M695" s="270"/>
      <c r="N695" s="246"/>
      <c r="O695" s="20" t="s">
        <v>741</v>
      </c>
      <c r="P695" s="21">
        <v>7</v>
      </c>
      <c r="Q695" s="21">
        <v>12</v>
      </c>
      <c r="R695" s="21">
        <f t="shared" si="296"/>
        <v>84</v>
      </c>
      <c r="S695" s="248"/>
      <c r="T695" s="248"/>
      <c r="U695" s="248"/>
      <c r="V695" s="303"/>
      <c r="Y695" s="270"/>
      <c r="Z695" s="246"/>
      <c r="AA695" s="20" t="s">
        <v>741</v>
      </c>
      <c r="AB695" s="68"/>
      <c r="AC695" s="68"/>
      <c r="AD695" s="68"/>
      <c r="AE695" s="248"/>
      <c r="AF695" s="248"/>
      <c r="AG695" s="248"/>
      <c r="AH695" s="303"/>
    </row>
    <row r="696" spans="2:34" ht="13">
      <c r="B696" s="249"/>
      <c r="C696" s="1"/>
      <c r="D696" s="24" t="s">
        <v>114</v>
      </c>
      <c r="E696" s="208">
        <v>8.4</v>
      </c>
      <c r="F696" s="208">
        <v>0</v>
      </c>
      <c r="G696" s="209">
        <f t="shared" ref="G696:G698" si="301">SUM(E696*F696)</f>
        <v>0</v>
      </c>
      <c r="H696" s="236"/>
      <c r="I696" s="236"/>
      <c r="J696" s="236"/>
      <c r="K696" s="258"/>
      <c r="M696" s="270"/>
      <c r="N696" s="177" t="s">
        <v>1268</v>
      </c>
      <c r="O696" s="15" t="s">
        <v>114</v>
      </c>
      <c r="P696" s="16">
        <v>3.5</v>
      </c>
      <c r="Q696" s="16">
        <v>16</v>
      </c>
      <c r="R696" s="16">
        <f t="shared" si="296"/>
        <v>56</v>
      </c>
      <c r="S696" s="292">
        <f>SUM(R696:R697)</f>
        <v>56</v>
      </c>
      <c r="T696" s="292">
        <v>484.5</v>
      </c>
      <c r="U696" s="292">
        <f>T696-S696</f>
        <v>428.5</v>
      </c>
      <c r="V696" s="302">
        <f>U696/T696</f>
        <v>0.88441692466460264</v>
      </c>
      <c r="Y696" s="270"/>
      <c r="Z696" s="177" t="s">
        <v>1268</v>
      </c>
      <c r="AA696" s="15" t="s">
        <v>114</v>
      </c>
      <c r="AB696" s="43"/>
      <c r="AC696" s="43"/>
      <c r="AD696" s="43"/>
      <c r="AE696" s="292">
        <f>SUM(AD696:AD697)</f>
        <v>0</v>
      </c>
      <c r="AF696" s="292">
        <v>484.5</v>
      </c>
      <c r="AG696" s="292">
        <f>AF696-AE696</f>
        <v>484.5</v>
      </c>
      <c r="AH696" s="302">
        <f>AG696/AF696</f>
        <v>1</v>
      </c>
    </row>
    <row r="697" spans="2:34" ht="13">
      <c r="B697" s="249"/>
      <c r="C697" s="1"/>
      <c r="D697" s="24" t="s">
        <v>986</v>
      </c>
      <c r="E697" s="209">
        <v>4.2</v>
      </c>
      <c r="F697" s="209">
        <v>13</v>
      </c>
      <c r="G697" s="209">
        <f t="shared" si="301"/>
        <v>54.6</v>
      </c>
      <c r="H697" s="236"/>
      <c r="I697" s="236"/>
      <c r="J697" s="236"/>
      <c r="K697" s="258"/>
      <c r="M697" s="270"/>
      <c r="N697" s="175"/>
      <c r="O697" s="20"/>
      <c r="P697" s="20"/>
      <c r="Q697" s="20"/>
      <c r="R697" s="21"/>
      <c r="S697" s="248"/>
      <c r="T697" s="248"/>
      <c r="U697" s="248"/>
      <c r="V697" s="303"/>
      <c r="Y697" s="270"/>
      <c r="Z697" s="175"/>
      <c r="AA697" s="20"/>
      <c r="AB697" s="20"/>
      <c r="AC697" s="20"/>
      <c r="AD697" s="21"/>
      <c r="AE697" s="248"/>
      <c r="AF697" s="248"/>
      <c r="AG697" s="248"/>
      <c r="AH697" s="303"/>
    </row>
    <row r="698" spans="2:34" ht="13">
      <c r="B698" s="249"/>
      <c r="C698" s="1"/>
      <c r="D698" s="24" t="s">
        <v>1962</v>
      </c>
      <c r="E698" s="209">
        <v>6</v>
      </c>
      <c r="F698" s="209">
        <v>13</v>
      </c>
      <c r="G698" s="209">
        <f t="shared" si="301"/>
        <v>78</v>
      </c>
      <c r="H698" s="236"/>
      <c r="I698" s="236"/>
      <c r="J698" s="236"/>
      <c r="K698" s="258"/>
      <c r="M698" s="270"/>
      <c r="N698" s="177" t="s">
        <v>1269</v>
      </c>
      <c r="O698" s="15" t="s">
        <v>114</v>
      </c>
      <c r="P698" s="16">
        <v>3.5</v>
      </c>
      <c r="Q698" s="16">
        <v>16</v>
      </c>
      <c r="R698" s="16">
        <f t="shared" ref="R698:R699" si="302">P698*Q698</f>
        <v>56</v>
      </c>
      <c r="S698" s="292">
        <f>SUM(R698:R699)</f>
        <v>134</v>
      </c>
      <c r="T698" s="292">
        <v>712.5</v>
      </c>
      <c r="U698" s="292">
        <f>T698-S698</f>
        <v>578.5</v>
      </c>
      <c r="V698" s="302">
        <f>U698/T698</f>
        <v>0.8119298245614035</v>
      </c>
      <c r="Y698" s="270"/>
      <c r="Z698" s="177" t="s">
        <v>1269</v>
      </c>
      <c r="AA698" s="15" t="s">
        <v>114</v>
      </c>
      <c r="AB698" s="43"/>
      <c r="AC698" s="43"/>
      <c r="AD698" s="43"/>
      <c r="AE698" s="292">
        <f>SUM(AD698:AD699)</f>
        <v>78</v>
      </c>
      <c r="AF698" s="292">
        <v>712.5</v>
      </c>
      <c r="AG698" s="292">
        <f>AF698-AE698</f>
        <v>634.5</v>
      </c>
      <c r="AH698" s="302">
        <f>AG698/AF698</f>
        <v>0.89052631578947372</v>
      </c>
    </row>
    <row r="699" spans="2:34" ht="13">
      <c r="B699" s="249"/>
      <c r="C699" s="1"/>
      <c r="D699" s="24" t="s">
        <v>1398</v>
      </c>
      <c r="E699" s="24">
        <v>25</v>
      </c>
      <c r="F699" s="24">
        <v>13</v>
      </c>
      <c r="G699" s="24">
        <f t="shared" ref="G699:G714" si="303">E699*F699</f>
        <v>325</v>
      </c>
      <c r="H699" s="236"/>
      <c r="I699" s="236"/>
      <c r="J699" s="236"/>
      <c r="K699" s="258"/>
      <c r="M699" s="270"/>
      <c r="N699" s="175"/>
      <c r="O699" s="20" t="s">
        <v>1239</v>
      </c>
      <c r="P699" s="20">
        <v>6</v>
      </c>
      <c r="Q699" s="20">
        <v>13</v>
      </c>
      <c r="R699" s="21">
        <f t="shared" si="302"/>
        <v>78</v>
      </c>
      <c r="S699" s="248"/>
      <c r="T699" s="248"/>
      <c r="U699" s="248"/>
      <c r="V699" s="303"/>
      <c r="Y699" s="270"/>
      <c r="Z699" s="175"/>
      <c r="AA699" s="20" t="s">
        <v>1239</v>
      </c>
      <c r="AB699" s="20">
        <v>6</v>
      </c>
      <c r="AC699" s="20">
        <v>13</v>
      </c>
      <c r="AD699" s="21">
        <f>AB699*AC699</f>
        <v>78</v>
      </c>
      <c r="AE699" s="248"/>
      <c r="AF699" s="248"/>
      <c r="AG699" s="248"/>
      <c r="AH699" s="303"/>
    </row>
    <row r="700" spans="2:34" ht="13">
      <c r="B700" s="249"/>
      <c r="C700" s="204"/>
      <c r="D700" s="205" t="s">
        <v>1963</v>
      </c>
      <c r="E700" s="205">
        <v>5.9</v>
      </c>
      <c r="F700" s="205">
        <v>13</v>
      </c>
      <c r="G700" s="205">
        <f t="shared" si="303"/>
        <v>76.7</v>
      </c>
      <c r="H700" s="293"/>
      <c r="I700" s="293"/>
      <c r="J700" s="293"/>
      <c r="K700" s="295"/>
      <c r="M700" s="270"/>
      <c r="N700" s="177" t="s">
        <v>1964</v>
      </c>
      <c r="O700" s="15" t="s">
        <v>1250</v>
      </c>
      <c r="P700" s="16"/>
      <c r="Q700" s="16"/>
      <c r="R700" s="16">
        <v>260</v>
      </c>
      <c r="S700" s="292">
        <f>SUM(R700:R702)</f>
        <v>350.15</v>
      </c>
      <c r="T700" s="292">
        <v>2067</v>
      </c>
      <c r="U700" s="292">
        <f>T700-S700</f>
        <v>1716.85</v>
      </c>
      <c r="V700" s="302">
        <f>U700/T700</f>
        <v>0.83059990324141264</v>
      </c>
      <c r="Y700" s="270"/>
      <c r="Z700" s="177" t="s">
        <v>1964</v>
      </c>
      <c r="AA700" s="15" t="s">
        <v>1250</v>
      </c>
      <c r="AB700" s="16"/>
      <c r="AC700" s="16"/>
      <c r="AD700" s="16">
        <v>260</v>
      </c>
      <c r="AE700" s="292">
        <f>SUM(AD700:AD702)</f>
        <v>350.15</v>
      </c>
      <c r="AF700" s="292">
        <v>2067</v>
      </c>
      <c r="AG700" s="292">
        <f>AF700-AE700</f>
        <v>1716.85</v>
      </c>
      <c r="AH700" s="302">
        <f>AG700/AF700</f>
        <v>0.83059990324141264</v>
      </c>
    </row>
    <row r="701" spans="2:34" ht="13">
      <c r="B701" s="249"/>
      <c r="C701" s="6" t="s">
        <v>1965</v>
      </c>
      <c r="D701" s="7" t="s">
        <v>114</v>
      </c>
      <c r="E701" s="8">
        <v>3</v>
      </c>
      <c r="F701" s="8">
        <v>0</v>
      </c>
      <c r="G701" s="7">
        <f t="shared" si="303"/>
        <v>0</v>
      </c>
      <c r="H701" s="239">
        <f>SUM(G701:G703)</f>
        <v>416</v>
      </c>
      <c r="I701" s="239">
        <v>2180</v>
      </c>
      <c r="J701" s="239">
        <f>I701-H701</f>
        <v>1764</v>
      </c>
      <c r="K701" s="259">
        <f>J701/I701</f>
        <v>0.80917431192660549</v>
      </c>
      <c r="M701" s="270"/>
      <c r="N701" s="174"/>
      <c r="O701" s="19" t="s">
        <v>1966</v>
      </c>
      <c r="P701" s="19"/>
      <c r="Q701" s="19"/>
      <c r="R701" s="17">
        <v>27</v>
      </c>
      <c r="S701" s="236"/>
      <c r="T701" s="236"/>
      <c r="U701" s="236"/>
      <c r="V701" s="242"/>
      <c r="Y701" s="270"/>
      <c r="Z701" s="174"/>
      <c r="AA701" s="19" t="s">
        <v>1966</v>
      </c>
      <c r="AB701" s="19"/>
      <c r="AC701" s="19"/>
      <c r="AD701" s="17">
        <v>27</v>
      </c>
      <c r="AE701" s="236"/>
      <c r="AF701" s="236"/>
      <c r="AG701" s="236"/>
      <c r="AH701" s="242"/>
    </row>
    <row r="702" spans="2:34" ht="13">
      <c r="B702" s="249"/>
      <c r="C702" s="1"/>
      <c r="D702" s="24" t="s">
        <v>1398</v>
      </c>
      <c r="E702" s="11">
        <v>8</v>
      </c>
      <c r="F702" s="11">
        <v>13</v>
      </c>
      <c r="G702" s="24">
        <f t="shared" si="303"/>
        <v>104</v>
      </c>
      <c r="H702" s="236"/>
      <c r="I702" s="236"/>
      <c r="J702" s="236"/>
      <c r="K702" s="242"/>
      <c r="M702" s="270"/>
      <c r="N702" s="175"/>
      <c r="O702" s="20" t="s">
        <v>33</v>
      </c>
      <c r="P702" s="20"/>
      <c r="Q702" s="20"/>
      <c r="R702" s="21">
        <v>63.15</v>
      </c>
      <c r="S702" s="248"/>
      <c r="T702" s="248"/>
      <c r="U702" s="248"/>
      <c r="V702" s="303"/>
      <c r="Y702" s="270"/>
      <c r="Z702" s="175"/>
      <c r="AA702" s="20" t="s">
        <v>33</v>
      </c>
      <c r="AB702" s="20"/>
      <c r="AC702" s="20"/>
      <c r="AD702" s="21">
        <v>63.15</v>
      </c>
      <c r="AE702" s="248"/>
      <c r="AF702" s="248"/>
      <c r="AG702" s="248"/>
      <c r="AH702" s="303"/>
    </row>
    <row r="703" spans="2:34" ht="13">
      <c r="B703" s="249"/>
      <c r="C703" s="140"/>
      <c r="D703" s="44" t="s">
        <v>1235</v>
      </c>
      <c r="E703" s="103">
        <v>24</v>
      </c>
      <c r="F703" s="103">
        <v>13</v>
      </c>
      <c r="G703" s="44">
        <f t="shared" si="303"/>
        <v>312</v>
      </c>
      <c r="H703" s="248"/>
      <c r="I703" s="238"/>
      <c r="J703" s="238"/>
      <c r="K703" s="243"/>
      <c r="M703" s="270"/>
      <c r="N703" s="316" t="s">
        <v>1967</v>
      </c>
      <c r="O703" s="19" t="s">
        <v>114</v>
      </c>
      <c r="P703" s="17">
        <v>35</v>
      </c>
      <c r="Q703" s="17">
        <v>16</v>
      </c>
      <c r="R703" s="17">
        <f t="shared" ref="R703:R718" si="304">P703*Q703</f>
        <v>560</v>
      </c>
      <c r="S703" s="284">
        <f>SUM(R703:R713)</f>
        <v>2264.15</v>
      </c>
      <c r="T703" s="284">
        <v>4750</v>
      </c>
      <c r="U703" s="284">
        <f>T703-S703</f>
        <v>2485.85</v>
      </c>
      <c r="V703" s="315">
        <f>U703/T703</f>
        <v>0.5233368421052631</v>
      </c>
      <c r="Y703" s="270"/>
      <c r="Z703" s="316" t="s">
        <v>1967</v>
      </c>
      <c r="AA703" s="19" t="s">
        <v>114</v>
      </c>
      <c r="AB703" s="18"/>
      <c r="AC703" s="18"/>
      <c r="AD703" s="18"/>
      <c r="AE703" s="284">
        <f>SUM(AD703:AD713)</f>
        <v>1287.6500000000001</v>
      </c>
      <c r="AF703" s="284">
        <v>4750</v>
      </c>
      <c r="AG703" s="284">
        <f>AF703-AE703</f>
        <v>3462.35</v>
      </c>
      <c r="AH703" s="315">
        <f>AG703/AF703</f>
        <v>0.72891578947368418</v>
      </c>
    </row>
    <row r="704" spans="2:34" ht="13">
      <c r="B704" s="249"/>
      <c r="C704" s="6" t="s">
        <v>1968</v>
      </c>
      <c r="D704" s="7" t="s">
        <v>114</v>
      </c>
      <c r="E704" s="8">
        <v>7.15</v>
      </c>
      <c r="F704" s="8">
        <v>0</v>
      </c>
      <c r="G704" s="7">
        <f t="shared" si="303"/>
        <v>0</v>
      </c>
      <c r="H704" s="239">
        <f>SUM(G704:G705)</f>
        <v>131.95000000000002</v>
      </c>
      <c r="I704" s="239">
        <v>1400</v>
      </c>
      <c r="J704" s="239">
        <f>I704-H704</f>
        <v>1268.05</v>
      </c>
      <c r="K704" s="259">
        <f>J704/I704</f>
        <v>0.90574999999999994</v>
      </c>
      <c r="M704" s="270"/>
      <c r="N704" s="236"/>
      <c r="O704" s="19" t="s">
        <v>701</v>
      </c>
      <c r="P704" s="17">
        <v>24</v>
      </c>
      <c r="Q704" s="17">
        <v>16</v>
      </c>
      <c r="R704" s="17">
        <f t="shared" si="304"/>
        <v>384</v>
      </c>
      <c r="S704" s="236"/>
      <c r="T704" s="236"/>
      <c r="U704" s="236"/>
      <c r="V704" s="258"/>
      <c r="Y704" s="270"/>
      <c r="Z704" s="236"/>
      <c r="AA704" s="19" t="s">
        <v>701</v>
      </c>
      <c r="AB704" s="18"/>
      <c r="AC704" s="18"/>
      <c r="AD704" s="18"/>
      <c r="AE704" s="236"/>
      <c r="AF704" s="236"/>
      <c r="AG704" s="236"/>
      <c r="AH704" s="258"/>
    </row>
    <row r="705" spans="2:34" ht="13">
      <c r="B705" s="249"/>
      <c r="C705" s="140"/>
      <c r="D705" s="44" t="s">
        <v>1398</v>
      </c>
      <c r="E705" s="103">
        <v>10.15</v>
      </c>
      <c r="F705" s="103">
        <v>13</v>
      </c>
      <c r="G705" s="44">
        <f t="shared" si="303"/>
        <v>131.95000000000002</v>
      </c>
      <c r="H705" s="248"/>
      <c r="I705" s="238"/>
      <c r="J705" s="238"/>
      <c r="K705" s="243"/>
      <c r="M705" s="270"/>
      <c r="N705" s="236"/>
      <c r="O705" s="19" t="s">
        <v>75</v>
      </c>
      <c r="P705" s="17">
        <v>19.25</v>
      </c>
      <c r="Q705" s="17">
        <v>13</v>
      </c>
      <c r="R705" s="17">
        <f t="shared" si="304"/>
        <v>250.25</v>
      </c>
      <c r="S705" s="236"/>
      <c r="T705" s="236"/>
      <c r="U705" s="236"/>
      <c r="V705" s="258"/>
      <c r="Y705" s="270"/>
      <c r="Z705" s="236"/>
      <c r="AA705" s="19" t="s">
        <v>75</v>
      </c>
      <c r="AB705" s="17">
        <v>19.25</v>
      </c>
      <c r="AC705" s="17">
        <v>13</v>
      </c>
      <c r="AD705" s="17">
        <f t="shared" ref="AD705:AD715" si="305">AB705*AC705</f>
        <v>250.25</v>
      </c>
      <c r="AE705" s="236"/>
      <c r="AF705" s="236"/>
      <c r="AG705" s="236"/>
      <c r="AH705" s="258"/>
    </row>
    <row r="706" spans="2:34" ht="13">
      <c r="B706" s="249"/>
      <c r="C706" s="6" t="s">
        <v>1969</v>
      </c>
      <c r="D706" s="7" t="s">
        <v>1308</v>
      </c>
      <c r="E706" s="8">
        <v>54.45</v>
      </c>
      <c r="F706" s="8">
        <v>15</v>
      </c>
      <c r="G706" s="7">
        <f t="shared" si="303"/>
        <v>816.75</v>
      </c>
      <c r="H706" s="239">
        <f>SUM(G706:G709)</f>
        <v>2074.5</v>
      </c>
      <c r="I706" s="239">
        <v>13300</v>
      </c>
      <c r="J706" s="239">
        <f>I706-H706</f>
        <v>11225.5</v>
      </c>
      <c r="K706" s="259">
        <f>J706/I706</f>
        <v>0.84402255639097745</v>
      </c>
      <c r="M706" s="270"/>
      <c r="N706" s="236"/>
      <c r="O706" s="19" t="s">
        <v>325</v>
      </c>
      <c r="P706" s="17">
        <v>21.5</v>
      </c>
      <c r="Q706" s="17">
        <v>13</v>
      </c>
      <c r="R706" s="17">
        <f t="shared" si="304"/>
        <v>279.5</v>
      </c>
      <c r="S706" s="236"/>
      <c r="T706" s="236"/>
      <c r="U706" s="236"/>
      <c r="V706" s="258"/>
      <c r="Y706" s="270"/>
      <c r="Z706" s="236"/>
      <c r="AA706" s="19" t="s">
        <v>325</v>
      </c>
      <c r="AB706" s="17">
        <v>19</v>
      </c>
      <c r="AC706" s="17">
        <v>13</v>
      </c>
      <c r="AD706" s="17">
        <f t="shared" si="305"/>
        <v>247</v>
      </c>
      <c r="AE706" s="236"/>
      <c r="AF706" s="236"/>
      <c r="AG706" s="236"/>
      <c r="AH706" s="258"/>
    </row>
    <row r="707" spans="2:34" ht="13">
      <c r="B707" s="249"/>
      <c r="C707" s="1"/>
      <c r="D707" s="24" t="s">
        <v>1321</v>
      </c>
      <c r="E707" s="11">
        <v>48.1</v>
      </c>
      <c r="F707" s="11">
        <v>15</v>
      </c>
      <c r="G707" s="24">
        <f t="shared" si="303"/>
        <v>721.5</v>
      </c>
      <c r="H707" s="236"/>
      <c r="I707" s="236"/>
      <c r="J707" s="236"/>
      <c r="K707" s="242"/>
      <c r="M707" s="270"/>
      <c r="N707" s="236"/>
      <c r="O707" s="19" t="s">
        <v>23</v>
      </c>
      <c r="P707" s="17">
        <v>9.5</v>
      </c>
      <c r="Q707" s="17">
        <v>13</v>
      </c>
      <c r="R707" s="17">
        <f t="shared" si="304"/>
        <v>123.5</v>
      </c>
      <c r="S707" s="236"/>
      <c r="T707" s="236"/>
      <c r="U707" s="236"/>
      <c r="V707" s="258"/>
      <c r="Y707" s="270"/>
      <c r="Z707" s="236"/>
      <c r="AA707" s="19" t="s">
        <v>23</v>
      </c>
      <c r="AB707" s="17">
        <v>9.5</v>
      </c>
      <c r="AC707" s="17">
        <v>13</v>
      </c>
      <c r="AD707" s="17">
        <f t="shared" si="305"/>
        <v>123.5</v>
      </c>
      <c r="AE707" s="236"/>
      <c r="AF707" s="236"/>
      <c r="AG707" s="236"/>
      <c r="AH707" s="258"/>
    </row>
    <row r="708" spans="2:34" ht="13">
      <c r="B708" s="249"/>
      <c r="C708" s="1"/>
      <c r="D708" s="24" t="s">
        <v>1943</v>
      </c>
      <c r="E708" s="11">
        <v>29.15</v>
      </c>
      <c r="F708" s="11">
        <v>15</v>
      </c>
      <c r="G708" s="24">
        <f t="shared" si="303"/>
        <v>437.25</v>
      </c>
      <c r="H708" s="236"/>
      <c r="I708" s="236"/>
      <c r="J708" s="236"/>
      <c r="K708" s="242"/>
      <c r="M708" s="270"/>
      <c r="N708" s="236"/>
      <c r="O708" s="19" t="s">
        <v>310</v>
      </c>
      <c r="P708" s="17">
        <v>3.5</v>
      </c>
      <c r="Q708" s="17">
        <v>13</v>
      </c>
      <c r="R708" s="17">
        <f t="shared" si="304"/>
        <v>45.5</v>
      </c>
      <c r="S708" s="236"/>
      <c r="T708" s="236"/>
      <c r="U708" s="236"/>
      <c r="V708" s="258"/>
      <c r="Y708" s="270"/>
      <c r="Z708" s="236"/>
      <c r="AA708" s="19" t="s">
        <v>310</v>
      </c>
      <c r="AB708" s="17">
        <v>3.5</v>
      </c>
      <c r="AC708" s="17">
        <v>13</v>
      </c>
      <c r="AD708" s="17">
        <f t="shared" si="305"/>
        <v>45.5</v>
      </c>
      <c r="AE708" s="236"/>
      <c r="AF708" s="236"/>
      <c r="AG708" s="236"/>
      <c r="AH708" s="258"/>
    </row>
    <row r="709" spans="2:34" ht="13">
      <c r="B709" s="249"/>
      <c r="C709" s="12"/>
      <c r="D709" s="13" t="s">
        <v>1937</v>
      </c>
      <c r="E709" s="14">
        <v>6.6</v>
      </c>
      <c r="F709" s="14">
        <v>15</v>
      </c>
      <c r="G709" s="14">
        <f t="shared" si="303"/>
        <v>99</v>
      </c>
      <c r="H709" s="238"/>
      <c r="I709" s="238"/>
      <c r="J709" s="238"/>
      <c r="K709" s="243"/>
      <c r="M709" s="270"/>
      <c r="N709" s="236"/>
      <c r="O709" s="19" t="s">
        <v>1239</v>
      </c>
      <c r="P709" s="17">
        <v>11.75</v>
      </c>
      <c r="Q709" s="17">
        <v>13</v>
      </c>
      <c r="R709" s="17">
        <f t="shared" si="304"/>
        <v>152.75</v>
      </c>
      <c r="S709" s="236"/>
      <c r="T709" s="236"/>
      <c r="U709" s="236"/>
      <c r="V709" s="258"/>
      <c r="Y709" s="270"/>
      <c r="Z709" s="236"/>
      <c r="AA709" s="19" t="s">
        <v>1239</v>
      </c>
      <c r="AB709" s="17">
        <v>11.75</v>
      </c>
      <c r="AC709" s="17">
        <v>13</v>
      </c>
      <c r="AD709" s="17">
        <f t="shared" si="305"/>
        <v>152.75</v>
      </c>
      <c r="AE709" s="236"/>
      <c r="AF709" s="236"/>
      <c r="AG709" s="236"/>
      <c r="AH709" s="258"/>
    </row>
    <row r="710" spans="2:34" ht="13">
      <c r="B710" s="249"/>
      <c r="C710" s="6" t="s">
        <v>1970</v>
      </c>
      <c r="D710" s="7" t="s">
        <v>1235</v>
      </c>
      <c r="E710" s="8">
        <v>1</v>
      </c>
      <c r="F710" s="8">
        <v>250</v>
      </c>
      <c r="G710" s="7">
        <f t="shared" si="303"/>
        <v>250</v>
      </c>
      <c r="H710" s="239">
        <f>SUM(G710:G711)</f>
        <v>330</v>
      </c>
      <c r="I710" s="239">
        <v>1170</v>
      </c>
      <c r="J710" s="239">
        <f>I710-H710</f>
        <v>840</v>
      </c>
      <c r="K710" s="259">
        <f>J710/I710</f>
        <v>0.71794871794871795</v>
      </c>
      <c r="M710" s="270"/>
      <c r="N710" s="236"/>
      <c r="O710" s="19" t="s">
        <v>53</v>
      </c>
      <c r="P710" s="17">
        <v>5.75</v>
      </c>
      <c r="Q710" s="17">
        <v>13</v>
      </c>
      <c r="R710" s="17">
        <f t="shared" si="304"/>
        <v>74.75</v>
      </c>
      <c r="S710" s="236"/>
      <c r="T710" s="236"/>
      <c r="U710" s="236"/>
      <c r="V710" s="258"/>
      <c r="Y710" s="270"/>
      <c r="Z710" s="236"/>
      <c r="AA710" s="19" t="s">
        <v>53</v>
      </c>
      <c r="AB710" s="17">
        <v>5.75</v>
      </c>
      <c r="AC710" s="17">
        <v>13</v>
      </c>
      <c r="AD710" s="17">
        <f t="shared" si="305"/>
        <v>74.75</v>
      </c>
      <c r="AE710" s="236"/>
      <c r="AF710" s="236"/>
      <c r="AG710" s="236"/>
      <c r="AH710" s="258"/>
    </row>
    <row r="711" spans="2:34" ht="13">
      <c r="B711" s="249"/>
      <c r="C711" s="140"/>
      <c r="D711" s="44" t="s">
        <v>44</v>
      </c>
      <c r="E711" s="103">
        <v>1</v>
      </c>
      <c r="F711" s="103">
        <v>80</v>
      </c>
      <c r="G711" s="44">
        <f t="shared" si="303"/>
        <v>80</v>
      </c>
      <c r="H711" s="248"/>
      <c r="I711" s="238"/>
      <c r="J711" s="238"/>
      <c r="K711" s="243"/>
      <c r="M711" s="270"/>
      <c r="N711" s="236"/>
      <c r="O711" s="19" t="s">
        <v>78</v>
      </c>
      <c r="P711" s="17">
        <v>14.3</v>
      </c>
      <c r="Q711" s="17">
        <v>13</v>
      </c>
      <c r="R711" s="17">
        <f t="shared" si="304"/>
        <v>185.9</v>
      </c>
      <c r="S711" s="236"/>
      <c r="T711" s="236"/>
      <c r="U711" s="236"/>
      <c r="V711" s="258"/>
      <c r="Y711" s="270"/>
      <c r="Z711" s="236"/>
      <c r="AA711" s="19" t="s">
        <v>78</v>
      </c>
      <c r="AB711" s="17">
        <v>14.3</v>
      </c>
      <c r="AC711" s="17">
        <v>13</v>
      </c>
      <c r="AD711" s="17">
        <f t="shared" si="305"/>
        <v>185.9</v>
      </c>
      <c r="AE711" s="236"/>
      <c r="AF711" s="236"/>
      <c r="AG711" s="236"/>
      <c r="AH711" s="258"/>
    </row>
    <row r="712" spans="2:34" ht="13">
      <c r="B712" s="249"/>
      <c r="C712" s="6" t="s">
        <v>1971</v>
      </c>
      <c r="D712" s="7" t="s">
        <v>114</v>
      </c>
      <c r="E712" s="8">
        <v>12</v>
      </c>
      <c r="F712" s="8">
        <v>0</v>
      </c>
      <c r="G712" s="7">
        <f t="shared" si="303"/>
        <v>0</v>
      </c>
      <c r="H712" s="239">
        <f>SUM(G712:G713)</f>
        <v>193.70000000000002</v>
      </c>
      <c r="I712" s="239">
        <v>1400</v>
      </c>
      <c r="J712" s="239">
        <f>I712-H712</f>
        <v>1206.3</v>
      </c>
      <c r="K712" s="259">
        <f>J712/I712</f>
        <v>0.86164285714285715</v>
      </c>
      <c r="M712" s="270"/>
      <c r="N712" s="236"/>
      <c r="O712" s="19" t="s">
        <v>70</v>
      </c>
      <c r="P712" s="17">
        <v>12</v>
      </c>
      <c r="Q712" s="17">
        <v>13</v>
      </c>
      <c r="R712" s="17">
        <f t="shared" si="304"/>
        <v>156</v>
      </c>
      <c r="S712" s="236"/>
      <c r="T712" s="236"/>
      <c r="U712" s="236"/>
      <c r="V712" s="258"/>
      <c r="Y712" s="270"/>
      <c r="Z712" s="236"/>
      <c r="AA712" s="19" t="s">
        <v>70</v>
      </c>
      <c r="AB712" s="17">
        <v>12</v>
      </c>
      <c r="AC712" s="17">
        <v>13</v>
      </c>
      <c r="AD712" s="17">
        <f t="shared" si="305"/>
        <v>156</v>
      </c>
      <c r="AE712" s="236"/>
      <c r="AF712" s="236"/>
      <c r="AG712" s="236"/>
      <c r="AH712" s="258"/>
    </row>
    <row r="713" spans="2:34" ht="13">
      <c r="B713" s="249"/>
      <c r="C713" s="140"/>
      <c r="D713" s="44" t="s">
        <v>1398</v>
      </c>
      <c r="E713" s="103">
        <v>14.9</v>
      </c>
      <c r="F713" s="103">
        <v>13</v>
      </c>
      <c r="G713" s="44">
        <f t="shared" si="303"/>
        <v>193.70000000000002</v>
      </c>
      <c r="H713" s="248"/>
      <c r="I713" s="238"/>
      <c r="J713" s="238"/>
      <c r="K713" s="243"/>
      <c r="M713" s="270"/>
      <c r="N713" s="248"/>
      <c r="O713" s="20" t="s">
        <v>1353</v>
      </c>
      <c r="P713" s="21">
        <v>4</v>
      </c>
      <c r="Q713" s="21">
        <v>13</v>
      </c>
      <c r="R713" s="21">
        <f t="shared" si="304"/>
        <v>52</v>
      </c>
      <c r="S713" s="293"/>
      <c r="T713" s="293"/>
      <c r="U713" s="293"/>
      <c r="V713" s="295"/>
      <c r="Y713" s="270"/>
      <c r="Z713" s="248"/>
      <c r="AA713" s="20" t="s">
        <v>1353</v>
      </c>
      <c r="AB713" s="21">
        <v>4</v>
      </c>
      <c r="AC713" s="21">
        <v>13</v>
      </c>
      <c r="AD713" s="21">
        <f t="shared" si="305"/>
        <v>52</v>
      </c>
      <c r="AE713" s="293"/>
      <c r="AF713" s="293"/>
      <c r="AG713" s="293"/>
      <c r="AH713" s="295"/>
    </row>
    <row r="714" spans="2:34" ht="13">
      <c r="B714" s="249"/>
      <c r="C714" s="202" t="s">
        <v>1972</v>
      </c>
      <c r="D714" s="159" t="s">
        <v>1235</v>
      </c>
      <c r="E714" s="158">
        <v>90</v>
      </c>
      <c r="F714" s="158">
        <v>17</v>
      </c>
      <c r="G714" s="159">
        <f t="shared" si="303"/>
        <v>1530</v>
      </c>
      <c r="H714" s="320">
        <f>SUM(G714:G718)</f>
        <v>1665</v>
      </c>
      <c r="I714" s="320">
        <v>4460</v>
      </c>
      <c r="J714" s="320">
        <f>I714-H714</f>
        <v>2795</v>
      </c>
      <c r="K714" s="346">
        <f>J714/I714</f>
        <v>0.62668161434977576</v>
      </c>
      <c r="M714" s="270"/>
      <c r="N714" s="177" t="s">
        <v>1973</v>
      </c>
      <c r="O714" s="15" t="s">
        <v>698</v>
      </c>
      <c r="P714" s="16">
        <v>6</v>
      </c>
      <c r="Q714" s="16">
        <v>25</v>
      </c>
      <c r="R714" s="16">
        <f t="shared" si="304"/>
        <v>150</v>
      </c>
      <c r="S714" s="292">
        <f>SUM(R714:R715)</f>
        <v>300</v>
      </c>
      <c r="T714" s="292">
        <v>1380</v>
      </c>
      <c r="U714" s="292">
        <f>T714-S714</f>
        <v>1080</v>
      </c>
      <c r="V714" s="302">
        <f>U714/T714</f>
        <v>0.78260869565217395</v>
      </c>
      <c r="Y714" s="270"/>
      <c r="Z714" s="177" t="s">
        <v>1973</v>
      </c>
      <c r="AA714" s="15" t="s">
        <v>698</v>
      </c>
      <c r="AB714" s="16">
        <v>6</v>
      </c>
      <c r="AC714" s="16">
        <v>25</v>
      </c>
      <c r="AD714" s="16">
        <f t="shared" si="305"/>
        <v>150</v>
      </c>
      <c r="AE714" s="284">
        <f>SUM(AD714:AD715)</f>
        <v>300</v>
      </c>
      <c r="AF714" s="284">
        <v>1380</v>
      </c>
      <c r="AG714" s="284">
        <f>AF714-AE714</f>
        <v>1080</v>
      </c>
      <c r="AH714" s="311">
        <f>AG714/AF714</f>
        <v>0.78260869565217395</v>
      </c>
    </row>
    <row r="715" spans="2:34" ht="13">
      <c r="B715" s="249"/>
      <c r="C715" s="1"/>
      <c r="D715" s="24" t="s">
        <v>114</v>
      </c>
      <c r="E715" s="208">
        <v>3</v>
      </c>
      <c r="F715" s="208">
        <v>0</v>
      </c>
      <c r="G715" s="209">
        <f t="shared" ref="G715:G717" si="306">SUM(E715*F715)</f>
        <v>0</v>
      </c>
      <c r="H715" s="236"/>
      <c r="I715" s="236"/>
      <c r="J715" s="236"/>
      <c r="K715" s="258"/>
      <c r="M715" s="270"/>
      <c r="N715" s="175"/>
      <c r="O715" s="20" t="s">
        <v>1511</v>
      </c>
      <c r="P715" s="20">
        <v>6</v>
      </c>
      <c r="Q715" s="20">
        <v>25</v>
      </c>
      <c r="R715" s="21">
        <f t="shared" si="304"/>
        <v>150</v>
      </c>
      <c r="S715" s="248"/>
      <c r="T715" s="248"/>
      <c r="U715" s="248"/>
      <c r="V715" s="303"/>
      <c r="Y715" s="270"/>
      <c r="Z715" s="175"/>
      <c r="AA715" s="20" t="s">
        <v>1511</v>
      </c>
      <c r="AB715" s="20">
        <v>6</v>
      </c>
      <c r="AC715" s="20">
        <v>25</v>
      </c>
      <c r="AD715" s="21">
        <f t="shared" si="305"/>
        <v>150</v>
      </c>
      <c r="AE715" s="248"/>
      <c r="AF715" s="248"/>
      <c r="AG715" s="248"/>
      <c r="AH715" s="303"/>
    </row>
    <row r="716" spans="2:34" ht="13">
      <c r="B716" s="249"/>
      <c r="C716" s="1"/>
      <c r="D716" s="24" t="s">
        <v>86</v>
      </c>
      <c r="E716" s="209">
        <v>3</v>
      </c>
      <c r="F716" s="209">
        <v>0</v>
      </c>
      <c r="G716" s="209">
        <f t="shared" si="306"/>
        <v>0</v>
      </c>
      <c r="H716" s="236"/>
      <c r="I716" s="236"/>
      <c r="J716" s="236"/>
      <c r="K716" s="258"/>
      <c r="M716" s="270"/>
      <c r="N716" s="316" t="s">
        <v>1974</v>
      </c>
      <c r="O716" s="19" t="s">
        <v>114</v>
      </c>
      <c r="P716" s="17">
        <v>17</v>
      </c>
      <c r="Q716" s="17">
        <v>16</v>
      </c>
      <c r="R716" s="17">
        <f t="shared" si="304"/>
        <v>272</v>
      </c>
      <c r="S716" s="284">
        <f>SUM(R716:R723)</f>
        <v>1519.1</v>
      </c>
      <c r="T716" s="284">
        <v>4500</v>
      </c>
      <c r="U716" s="284">
        <f>T716-S716</f>
        <v>2980.9</v>
      </c>
      <c r="V716" s="315">
        <f>U716/T716</f>
        <v>0.66242222222222225</v>
      </c>
      <c r="Y716" s="270"/>
      <c r="Z716" s="316" t="s">
        <v>1974</v>
      </c>
      <c r="AA716" s="19" t="s">
        <v>114</v>
      </c>
      <c r="AB716" s="18"/>
      <c r="AC716" s="18"/>
      <c r="AD716" s="18"/>
      <c r="AE716" s="284">
        <f>SUM(AD716:AD723)</f>
        <v>693.5</v>
      </c>
      <c r="AF716" s="284">
        <v>4500</v>
      </c>
      <c r="AG716" s="284">
        <f>AF716-AE716</f>
        <v>3806.5</v>
      </c>
      <c r="AH716" s="315">
        <f>AG716/AF716</f>
        <v>0.84588888888888891</v>
      </c>
    </row>
    <row r="717" spans="2:34" ht="13">
      <c r="B717" s="249"/>
      <c r="C717" s="1"/>
      <c r="D717" s="24" t="s">
        <v>1322</v>
      </c>
      <c r="E717" s="209">
        <v>6</v>
      </c>
      <c r="F717" s="209">
        <v>15</v>
      </c>
      <c r="G717" s="209">
        <f t="shared" si="306"/>
        <v>90</v>
      </c>
      <c r="H717" s="236"/>
      <c r="I717" s="236"/>
      <c r="J717" s="236"/>
      <c r="K717" s="258"/>
      <c r="M717" s="270"/>
      <c r="N717" s="236"/>
      <c r="O717" s="19" t="s">
        <v>701</v>
      </c>
      <c r="P717" s="17">
        <v>37</v>
      </c>
      <c r="Q717" s="17">
        <v>16</v>
      </c>
      <c r="R717" s="17">
        <f t="shared" si="304"/>
        <v>592</v>
      </c>
      <c r="S717" s="236"/>
      <c r="T717" s="236"/>
      <c r="U717" s="236"/>
      <c r="V717" s="258"/>
      <c r="Y717" s="270"/>
      <c r="Z717" s="236"/>
      <c r="AA717" s="19" t="s">
        <v>701</v>
      </c>
      <c r="AB717" s="18"/>
      <c r="AC717" s="18"/>
      <c r="AD717" s="18"/>
      <c r="AE717" s="236"/>
      <c r="AF717" s="236"/>
      <c r="AG717" s="236"/>
      <c r="AH717" s="258"/>
    </row>
    <row r="718" spans="2:34" ht="13">
      <c r="B718" s="249"/>
      <c r="C718" s="140"/>
      <c r="D718" s="44" t="s">
        <v>1975</v>
      </c>
      <c r="E718" s="44">
        <v>3</v>
      </c>
      <c r="F718" s="44">
        <v>15</v>
      </c>
      <c r="G718" s="44">
        <f t="shared" ref="G718:G722" si="307">E718*F718</f>
        <v>45</v>
      </c>
      <c r="H718" s="293"/>
      <c r="I718" s="293"/>
      <c r="J718" s="293"/>
      <c r="K718" s="295"/>
      <c r="M718" s="270"/>
      <c r="N718" s="236"/>
      <c r="O718" s="19" t="s">
        <v>1976</v>
      </c>
      <c r="P718" s="17">
        <v>10.199999999999999</v>
      </c>
      <c r="Q718" s="17">
        <v>15</v>
      </c>
      <c r="R718" s="17">
        <f t="shared" si="304"/>
        <v>153</v>
      </c>
      <c r="S718" s="236"/>
      <c r="T718" s="236"/>
      <c r="U718" s="236"/>
      <c r="V718" s="258"/>
      <c r="Y718" s="270"/>
      <c r="Z718" s="236"/>
      <c r="AA718" s="19" t="s">
        <v>1976</v>
      </c>
      <c r="AB718" s="17">
        <v>12</v>
      </c>
      <c r="AC718" s="17">
        <v>15</v>
      </c>
      <c r="AD718" s="17">
        <f>AB718*AC718</f>
        <v>180</v>
      </c>
      <c r="AE718" s="236"/>
      <c r="AF718" s="236"/>
      <c r="AG718" s="236"/>
      <c r="AH718" s="258"/>
    </row>
    <row r="719" spans="2:34" ht="13">
      <c r="B719" s="249"/>
      <c r="C719" s="6" t="s">
        <v>1977</v>
      </c>
      <c r="D719" s="7" t="s">
        <v>1308</v>
      </c>
      <c r="E719" s="8">
        <v>9</v>
      </c>
      <c r="F719" s="8">
        <v>15</v>
      </c>
      <c r="G719" s="7">
        <f t="shared" si="307"/>
        <v>135</v>
      </c>
      <c r="H719" s="239">
        <f>SUM(G719:G721)</f>
        <v>678</v>
      </c>
      <c r="I719" s="239">
        <v>1860</v>
      </c>
      <c r="J719" s="239">
        <f>I719-H719</f>
        <v>1182</v>
      </c>
      <c r="K719" s="259">
        <f>J719/I719</f>
        <v>0.63548387096774195</v>
      </c>
      <c r="M719" s="270"/>
      <c r="N719" s="236"/>
      <c r="O719" s="19" t="s">
        <v>1978</v>
      </c>
      <c r="P719" s="17"/>
      <c r="Q719" s="17"/>
      <c r="R719" s="17">
        <v>50</v>
      </c>
      <c r="S719" s="236"/>
      <c r="T719" s="236"/>
      <c r="U719" s="236"/>
      <c r="V719" s="258"/>
      <c r="Y719" s="270"/>
      <c r="Z719" s="236"/>
      <c r="AA719" s="19" t="s">
        <v>1978</v>
      </c>
      <c r="AB719" s="17"/>
      <c r="AC719" s="17"/>
      <c r="AD719" s="17">
        <v>50</v>
      </c>
      <c r="AE719" s="236"/>
      <c r="AF719" s="236"/>
      <c r="AG719" s="236"/>
      <c r="AH719" s="258"/>
    </row>
    <row r="720" spans="2:34" ht="13">
      <c r="B720" s="249"/>
      <c r="C720" s="1"/>
      <c r="D720" s="24" t="s">
        <v>1321</v>
      </c>
      <c r="E720" s="11">
        <v>9</v>
      </c>
      <c r="F720" s="11">
        <v>15</v>
      </c>
      <c r="G720" s="24">
        <f t="shared" si="307"/>
        <v>135</v>
      </c>
      <c r="H720" s="236"/>
      <c r="I720" s="236"/>
      <c r="J720" s="236"/>
      <c r="K720" s="242"/>
      <c r="M720" s="270"/>
      <c r="N720" s="236"/>
      <c r="O720" s="19" t="s">
        <v>1919</v>
      </c>
      <c r="P720" s="17">
        <v>9</v>
      </c>
      <c r="Q720" s="17">
        <v>15</v>
      </c>
      <c r="R720" s="17">
        <f t="shared" ref="R720:R723" si="308">P720*Q720</f>
        <v>135</v>
      </c>
      <c r="S720" s="236"/>
      <c r="T720" s="236"/>
      <c r="U720" s="236"/>
      <c r="V720" s="258"/>
      <c r="Y720" s="270"/>
      <c r="Z720" s="236"/>
      <c r="AA720" s="19" t="s">
        <v>1919</v>
      </c>
      <c r="AB720" s="17">
        <v>9</v>
      </c>
      <c r="AC720" s="17">
        <v>15</v>
      </c>
      <c r="AD720" s="17">
        <f t="shared" ref="AD720:AD723" si="309">AB720*AC720</f>
        <v>135</v>
      </c>
      <c r="AE720" s="236"/>
      <c r="AF720" s="236"/>
      <c r="AG720" s="236"/>
      <c r="AH720" s="258"/>
    </row>
    <row r="721" spans="2:34" ht="13">
      <c r="B721" s="249"/>
      <c r="C721" s="140"/>
      <c r="D721" s="44" t="s">
        <v>1235</v>
      </c>
      <c r="E721" s="103">
        <v>24</v>
      </c>
      <c r="F721" s="103">
        <v>17</v>
      </c>
      <c r="G721" s="44">
        <f t="shared" si="307"/>
        <v>408</v>
      </c>
      <c r="H721" s="248"/>
      <c r="I721" s="238"/>
      <c r="J721" s="238"/>
      <c r="K721" s="243"/>
      <c r="M721" s="270"/>
      <c r="N721" s="236"/>
      <c r="O721" s="19" t="s">
        <v>1609</v>
      </c>
      <c r="P721" s="17">
        <v>6.1</v>
      </c>
      <c r="Q721" s="17">
        <v>15</v>
      </c>
      <c r="R721" s="17">
        <f t="shared" si="308"/>
        <v>91.5</v>
      </c>
      <c r="S721" s="236"/>
      <c r="T721" s="236"/>
      <c r="U721" s="236"/>
      <c r="V721" s="258"/>
      <c r="Y721" s="270"/>
      <c r="Z721" s="236"/>
      <c r="AA721" s="19" t="s">
        <v>1609</v>
      </c>
      <c r="AB721" s="17">
        <v>6.1</v>
      </c>
      <c r="AC721" s="17">
        <v>15</v>
      </c>
      <c r="AD721" s="17">
        <f t="shared" si="309"/>
        <v>91.5</v>
      </c>
      <c r="AE721" s="236"/>
      <c r="AF721" s="236"/>
      <c r="AG721" s="236"/>
      <c r="AH721" s="258"/>
    </row>
    <row r="722" spans="2:34" ht="13">
      <c r="B722" s="249"/>
      <c r="C722" s="202" t="s">
        <v>1979</v>
      </c>
      <c r="D722" s="159" t="s">
        <v>1308</v>
      </c>
      <c r="E722" s="158">
        <v>24</v>
      </c>
      <c r="F722" s="158">
        <v>14</v>
      </c>
      <c r="G722" s="159">
        <f t="shared" si="307"/>
        <v>336</v>
      </c>
      <c r="H722" s="320">
        <f>SUM(G722:G727)</f>
        <v>1551.5</v>
      </c>
      <c r="I722" s="320">
        <v>6500</v>
      </c>
      <c r="J722" s="320">
        <f>I722-H722</f>
        <v>4948.5</v>
      </c>
      <c r="K722" s="346">
        <f>J722/I722</f>
        <v>0.76130769230769235</v>
      </c>
      <c r="M722" s="270"/>
      <c r="N722" s="236"/>
      <c r="O722" s="19" t="s">
        <v>1980</v>
      </c>
      <c r="P722" s="17">
        <v>6.8</v>
      </c>
      <c r="Q722" s="17">
        <v>15</v>
      </c>
      <c r="R722" s="17">
        <f t="shared" si="308"/>
        <v>102</v>
      </c>
      <c r="S722" s="236"/>
      <c r="T722" s="236"/>
      <c r="U722" s="236"/>
      <c r="V722" s="258"/>
      <c r="Y722" s="270"/>
      <c r="Z722" s="236"/>
      <c r="AA722" s="19" t="s">
        <v>1980</v>
      </c>
      <c r="AB722" s="17">
        <v>6.8</v>
      </c>
      <c r="AC722" s="17">
        <v>15</v>
      </c>
      <c r="AD722" s="17">
        <f t="shared" si="309"/>
        <v>102</v>
      </c>
      <c r="AE722" s="236"/>
      <c r="AF722" s="236"/>
      <c r="AG722" s="236"/>
      <c r="AH722" s="258"/>
    </row>
    <row r="723" spans="2:34" ht="13">
      <c r="B723" s="249"/>
      <c r="C723" s="1"/>
      <c r="D723" s="24" t="s">
        <v>1321</v>
      </c>
      <c r="E723" s="208">
        <v>15</v>
      </c>
      <c r="F723" s="208">
        <v>13</v>
      </c>
      <c r="G723" s="209">
        <f t="shared" ref="G723:G725" si="310">SUM(E723*F723)</f>
        <v>195</v>
      </c>
      <c r="H723" s="236"/>
      <c r="I723" s="236"/>
      <c r="J723" s="236"/>
      <c r="K723" s="258"/>
      <c r="M723" s="270"/>
      <c r="N723" s="248"/>
      <c r="O723" s="20" t="s">
        <v>698</v>
      </c>
      <c r="P723" s="21">
        <v>8.24</v>
      </c>
      <c r="Q723" s="21">
        <v>15</v>
      </c>
      <c r="R723" s="21">
        <f t="shared" si="308"/>
        <v>123.60000000000001</v>
      </c>
      <c r="S723" s="293"/>
      <c r="T723" s="293"/>
      <c r="U723" s="293"/>
      <c r="V723" s="295"/>
      <c r="Y723" s="270"/>
      <c r="Z723" s="248"/>
      <c r="AA723" s="20" t="s">
        <v>698</v>
      </c>
      <c r="AB723" s="21">
        <v>9</v>
      </c>
      <c r="AC723" s="21">
        <v>15</v>
      </c>
      <c r="AD723" s="21">
        <f t="shared" si="309"/>
        <v>135</v>
      </c>
      <c r="AE723" s="293"/>
      <c r="AF723" s="293"/>
      <c r="AG723" s="293"/>
      <c r="AH723" s="295"/>
    </row>
    <row r="724" spans="2:34" ht="13">
      <c r="B724" s="249"/>
      <c r="C724" s="1"/>
      <c r="D724" s="24" t="s">
        <v>1943</v>
      </c>
      <c r="E724" s="209">
        <v>13.5</v>
      </c>
      <c r="F724" s="209">
        <v>13</v>
      </c>
      <c r="G724" s="209">
        <f t="shared" si="310"/>
        <v>175.5</v>
      </c>
      <c r="H724" s="236"/>
      <c r="I724" s="236"/>
      <c r="J724" s="236"/>
      <c r="K724" s="258"/>
      <c r="M724" s="270"/>
      <c r="N724" s="316" t="s">
        <v>1981</v>
      </c>
      <c r="O724" s="19" t="s">
        <v>449</v>
      </c>
      <c r="P724" s="17"/>
      <c r="Q724" s="17"/>
      <c r="R724" s="17">
        <v>637.26</v>
      </c>
      <c r="S724" s="284">
        <f>SUM(R724:R730)</f>
        <v>1381.41</v>
      </c>
      <c r="T724" s="284">
        <v>2978.5</v>
      </c>
      <c r="U724" s="284">
        <f>T724-S724</f>
        <v>1597.09</v>
      </c>
      <c r="V724" s="315">
        <f>U724/T724</f>
        <v>0.53620614403223099</v>
      </c>
      <c r="Y724" s="270"/>
      <c r="Z724" s="316" t="s">
        <v>1981</v>
      </c>
      <c r="AA724" s="19" t="s">
        <v>449</v>
      </c>
      <c r="AB724" s="17"/>
      <c r="AC724" s="17"/>
      <c r="AD724" s="17">
        <v>637.26</v>
      </c>
      <c r="AE724" s="284">
        <f>SUM(AD724:AD730)</f>
        <v>1218.26</v>
      </c>
      <c r="AF724" s="284">
        <v>2978.5</v>
      </c>
      <c r="AG724" s="284">
        <f>AF724-AE724</f>
        <v>1760.24</v>
      </c>
      <c r="AH724" s="315">
        <f>AG724/AF724</f>
        <v>0.59098203793855963</v>
      </c>
    </row>
    <row r="725" spans="2:34" ht="13">
      <c r="B725" s="249"/>
      <c r="C725" s="1"/>
      <c r="D725" s="24" t="s">
        <v>1322</v>
      </c>
      <c r="E725" s="209">
        <v>7</v>
      </c>
      <c r="F725" s="209">
        <v>13</v>
      </c>
      <c r="G725" s="209">
        <f t="shared" si="310"/>
        <v>91</v>
      </c>
      <c r="H725" s="236"/>
      <c r="I725" s="236"/>
      <c r="J725" s="236"/>
      <c r="K725" s="258"/>
      <c r="M725" s="270"/>
      <c r="N725" s="236"/>
      <c r="O725" s="19" t="s">
        <v>1441</v>
      </c>
      <c r="P725" s="17"/>
      <c r="Q725" s="17"/>
      <c r="R725" s="17">
        <v>315</v>
      </c>
      <c r="S725" s="236"/>
      <c r="T725" s="236"/>
      <c r="U725" s="236"/>
      <c r="V725" s="258"/>
      <c r="Y725" s="270"/>
      <c r="Z725" s="236"/>
      <c r="AA725" s="19" t="s">
        <v>1441</v>
      </c>
      <c r="AB725" s="17"/>
      <c r="AC725" s="17"/>
      <c r="AD725" s="17">
        <v>315</v>
      </c>
      <c r="AE725" s="236"/>
      <c r="AF725" s="236"/>
      <c r="AG725" s="236"/>
      <c r="AH725" s="258"/>
    </row>
    <row r="726" spans="2:34" ht="13">
      <c r="B726" s="249"/>
      <c r="C726" s="217"/>
      <c r="D726" s="218" t="s">
        <v>986</v>
      </c>
      <c r="E726" s="218">
        <v>1</v>
      </c>
      <c r="F726" s="218">
        <v>650</v>
      </c>
      <c r="G726" s="218">
        <f t="shared" ref="G726:G728" si="311">E726*F726</f>
        <v>650</v>
      </c>
      <c r="H726" s="236"/>
      <c r="I726" s="236"/>
      <c r="J726" s="236"/>
      <c r="K726" s="258"/>
      <c r="M726" s="270"/>
      <c r="N726" s="236"/>
      <c r="O726" s="19" t="s">
        <v>1829</v>
      </c>
      <c r="P726" s="17"/>
      <c r="Q726" s="17"/>
      <c r="R726" s="17">
        <v>20</v>
      </c>
      <c r="S726" s="236"/>
      <c r="T726" s="236"/>
      <c r="U726" s="236"/>
      <c r="V726" s="258"/>
      <c r="Y726" s="270"/>
      <c r="Z726" s="236"/>
      <c r="AA726" s="19" t="s">
        <v>1829</v>
      </c>
      <c r="AB726" s="17"/>
      <c r="AC726" s="17"/>
      <c r="AD726" s="17">
        <v>20</v>
      </c>
      <c r="AE726" s="236"/>
      <c r="AF726" s="236"/>
      <c r="AG726" s="236"/>
      <c r="AH726" s="258"/>
    </row>
    <row r="727" spans="2:34" ht="13">
      <c r="B727" s="249"/>
      <c r="C727" s="140"/>
      <c r="D727" s="44" t="s">
        <v>1398</v>
      </c>
      <c r="E727" s="44">
        <v>8</v>
      </c>
      <c r="F727" s="44">
        <v>13</v>
      </c>
      <c r="G727" s="44">
        <f t="shared" si="311"/>
        <v>104</v>
      </c>
      <c r="H727" s="293"/>
      <c r="I727" s="293"/>
      <c r="J727" s="293"/>
      <c r="K727" s="295"/>
      <c r="M727" s="270"/>
      <c r="N727" s="236"/>
      <c r="O727" s="19" t="s">
        <v>1982</v>
      </c>
      <c r="P727" s="17"/>
      <c r="Q727" s="17"/>
      <c r="R727" s="17">
        <v>95</v>
      </c>
      <c r="S727" s="236"/>
      <c r="T727" s="236"/>
      <c r="U727" s="236"/>
      <c r="V727" s="258"/>
      <c r="Y727" s="270"/>
      <c r="Z727" s="236"/>
      <c r="AA727" s="19" t="s">
        <v>1982</v>
      </c>
      <c r="AB727" s="17"/>
      <c r="AC727" s="17"/>
      <c r="AD727" s="17">
        <v>95</v>
      </c>
      <c r="AE727" s="236"/>
      <c r="AF727" s="236"/>
      <c r="AG727" s="236"/>
      <c r="AH727" s="258"/>
    </row>
    <row r="728" spans="2:34" ht="13">
      <c r="B728" s="249"/>
      <c r="C728" s="202" t="s">
        <v>1983</v>
      </c>
      <c r="D728" s="159" t="s">
        <v>1308</v>
      </c>
      <c r="E728" s="158">
        <v>9</v>
      </c>
      <c r="F728" s="158">
        <v>15</v>
      </c>
      <c r="G728" s="159">
        <f t="shared" si="311"/>
        <v>135</v>
      </c>
      <c r="H728" s="320">
        <f>SUM(G728:G731)</f>
        <v>720</v>
      </c>
      <c r="I728" s="320">
        <v>2904</v>
      </c>
      <c r="J728" s="320">
        <f>I728-H728</f>
        <v>2184</v>
      </c>
      <c r="K728" s="346">
        <f>J728/I728</f>
        <v>0.75206611570247939</v>
      </c>
      <c r="M728" s="270"/>
      <c r="N728" s="236"/>
      <c r="O728" s="19" t="s">
        <v>45</v>
      </c>
      <c r="P728" s="17"/>
      <c r="Q728" s="17"/>
      <c r="R728" s="17">
        <v>15.15</v>
      </c>
      <c r="S728" s="236"/>
      <c r="T728" s="236"/>
      <c r="U728" s="236"/>
      <c r="V728" s="258"/>
      <c r="Y728" s="270"/>
      <c r="Z728" s="236"/>
      <c r="AA728" s="19" t="s">
        <v>45</v>
      </c>
      <c r="AB728" s="17"/>
      <c r="AC728" s="17"/>
      <c r="AD728" s="17">
        <v>15.15</v>
      </c>
      <c r="AE728" s="236"/>
      <c r="AF728" s="236"/>
      <c r="AG728" s="236"/>
      <c r="AH728" s="258"/>
    </row>
    <row r="729" spans="2:34" ht="13">
      <c r="B729" s="249"/>
      <c r="C729" s="1"/>
      <c r="D729" s="24" t="s">
        <v>1321</v>
      </c>
      <c r="E729" s="208">
        <v>24</v>
      </c>
      <c r="F729" s="208">
        <v>15</v>
      </c>
      <c r="G729" s="209">
        <f t="shared" ref="G729:G731" si="312">SUM(E729*F729)</f>
        <v>360</v>
      </c>
      <c r="H729" s="236"/>
      <c r="I729" s="236"/>
      <c r="J729" s="236"/>
      <c r="K729" s="258"/>
      <c r="M729" s="270"/>
      <c r="N729" s="236"/>
      <c r="O729" s="19" t="s">
        <v>1984</v>
      </c>
      <c r="P729" s="17"/>
      <c r="Q729" s="17"/>
      <c r="R729" s="17">
        <v>50.85</v>
      </c>
      <c r="S729" s="236"/>
      <c r="T729" s="236"/>
      <c r="U729" s="236"/>
      <c r="V729" s="258"/>
      <c r="Y729" s="270"/>
      <c r="Z729" s="236"/>
      <c r="AA729" s="19" t="s">
        <v>1984</v>
      </c>
      <c r="AB729" s="17"/>
      <c r="AC729" s="17"/>
      <c r="AD729" s="17">
        <v>50.85</v>
      </c>
      <c r="AE729" s="236"/>
      <c r="AF729" s="236"/>
      <c r="AG729" s="236"/>
      <c r="AH729" s="258"/>
    </row>
    <row r="730" spans="2:34" ht="13">
      <c r="B730" s="249"/>
      <c r="C730" s="1"/>
      <c r="D730" s="24" t="s">
        <v>1943</v>
      </c>
      <c r="E730" s="209">
        <v>12</v>
      </c>
      <c r="F730" s="209">
        <v>15</v>
      </c>
      <c r="G730" s="209">
        <f t="shared" si="312"/>
        <v>180</v>
      </c>
      <c r="H730" s="236"/>
      <c r="I730" s="236"/>
      <c r="J730" s="236"/>
      <c r="K730" s="258"/>
      <c r="M730" s="270"/>
      <c r="N730" s="248"/>
      <c r="O730" s="20" t="s">
        <v>1985</v>
      </c>
      <c r="P730" s="21"/>
      <c r="Q730" s="21"/>
      <c r="R730" s="21">
        <f>85+163.15</f>
        <v>248.15</v>
      </c>
      <c r="S730" s="293"/>
      <c r="T730" s="293"/>
      <c r="U730" s="293"/>
      <c r="V730" s="295"/>
      <c r="Y730" s="270"/>
      <c r="Z730" s="248"/>
      <c r="AA730" s="20" t="s">
        <v>1061</v>
      </c>
      <c r="AB730" s="21"/>
      <c r="AC730" s="21"/>
      <c r="AD730" s="21">
        <v>85</v>
      </c>
      <c r="AE730" s="293"/>
      <c r="AF730" s="293"/>
      <c r="AG730" s="293"/>
      <c r="AH730" s="295"/>
    </row>
    <row r="731" spans="2:34" ht="13">
      <c r="B731" s="249"/>
      <c r="C731" s="140"/>
      <c r="D731" s="44" t="s">
        <v>1322</v>
      </c>
      <c r="E731" s="219">
        <v>3</v>
      </c>
      <c r="F731" s="219">
        <v>15</v>
      </c>
      <c r="G731" s="219">
        <f t="shared" si="312"/>
        <v>45</v>
      </c>
      <c r="H731" s="293"/>
      <c r="I731" s="293"/>
      <c r="J731" s="293"/>
      <c r="K731" s="295"/>
      <c r="M731" s="270"/>
      <c r="N731" s="316" t="s">
        <v>1986</v>
      </c>
      <c r="O731" s="19" t="s">
        <v>701</v>
      </c>
      <c r="P731" s="17">
        <v>14</v>
      </c>
      <c r="Q731" s="17">
        <v>16</v>
      </c>
      <c r="R731" s="17">
        <f>P731*Q731</f>
        <v>224</v>
      </c>
      <c r="S731" s="284">
        <f>SUM(R731:R742)</f>
        <v>3711.4700000000003</v>
      </c>
      <c r="T731" s="284">
        <v>7257</v>
      </c>
      <c r="U731" s="284">
        <f>T731-S731</f>
        <v>3545.5299999999997</v>
      </c>
      <c r="V731" s="315">
        <f>U731/T731</f>
        <v>0.48856690092324651</v>
      </c>
      <c r="Y731" s="270"/>
      <c r="Z731" s="316" t="s">
        <v>1986</v>
      </c>
      <c r="AA731" s="19" t="s">
        <v>701</v>
      </c>
      <c r="AB731" s="18"/>
      <c r="AC731" s="18"/>
      <c r="AD731" s="18"/>
      <c r="AE731" s="284">
        <f>SUM(AD731:AD742)</f>
        <v>3487.4700000000003</v>
      </c>
      <c r="AF731" s="284">
        <v>7257</v>
      </c>
      <c r="AG731" s="284">
        <f>AF731-AE731</f>
        <v>3769.5299999999997</v>
      </c>
      <c r="AH731" s="315">
        <f>AG731/AF731</f>
        <v>0.51943365026870603</v>
      </c>
    </row>
    <row r="732" spans="2:34" ht="13">
      <c r="B732" s="249"/>
      <c r="C732" s="6" t="s">
        <v>1987</v>
      </c>
      <c r="D732" s="7" t="s">
        <v>114</v>
      </c>
      <c r="E732" s="8">
        <v>17.899999999999999</v>
      </c>
      <c r="F732" s="8">
        <v>0</v>
      </c>
      <c r="G732" s="7">
        <f t="shared" ref="G732:G734" si="313">E732*F732</f>
        <v>0</v>
      </c>
      <c r="H732" s="239">
        <f>SUM(G732:G733)</f>
        <v>63.05</v>
      </c>
      <c r="I732" s="239">
        <v>1250</v>
      </c>
      <c r="J732" s="239">
        <f>I732-H732</f>
        <v>1186.95</v>
      </c>
      <c r="K732" s="349">
        <f>J732/I732</f>
        <v>0.94956000000000007</v>
      </c>
      <c r="M732" s="270"/>
      <c r="N732" s="236"/>
      <c r="O732" s="19" t="s">
        <v>1511</v>
      </c>
      <c r="P732" s="17"/>
      <c r="Q732" s="17"/>
      <c r="R732" s="17">
        <v>360</v>
      </c>
      <c r="S732" s="236"/>
      <c r="T732" s="236"/>
      <c r="U732" s="236"/>
      <c r="V732" s="258"/>
      <c r="Y732" s="270"/>
      <c r="Z732" s="236"/>
      <c r="AA732" s="19" t="s">
        <v>1511</v>
      </c>
      <c r="AB732" s="17"/>
      <c r="AC732" s="17"/>
      <c r="AD732" s="17">
        <v>360</v>
      </c>
      <c r="AE732" s="236"/>
      <c r="AF732" s="236"/>
      <c r="AG732" s="236"/>
      <c r="AH732" s="258"/>
    </row>
    <row r="733" spans="2:34" ht="13">
      <c r="B733" s="249"/>
      <c r="C733" s="140"/>
      <c r="D733" s="44" t="s">
        <v>1398</v>
      </c>
      <c r="E733" s="103">
        <v>4.8499999999999996</v>
      </c>
      <c r="F733" s="103">
        <v>13</v>
      </c>
      <c r="G733" s="44">
        <f t="shared" si="313"/>
        <v>63.05</v>
      </c>
      <c r="H733" s="248"/>
      <c r="I733" s="238"/>
      <c r="J733" s="238"/>
      <c r="K733" s="268"/>
      <c r="M733" s="270"/>
      <c r="N733" s="236"/>
      <c r="O733" s="19" t="s">
        <v>1988</v>
      </c>
      <c r="P733" s="17"/>
      <c r="Q733" s="17"/>
      <c r="R733" s="17">
        <v>200</v>
      </c>
      <c r="S733" s="236"/>
      <c r="T733" s="236"/>
      <c r="U733" s="236"/>
      <c r="V733" s="258"/>
      <c r="Y733" s="270"/>
      <c r="Z733" s="236"/>
      <c r="AA733" s="19" t="s">
        <v>1988</v>
      </c>
      <c r="AB733" s="17"/>
      <c r="AC733" s="17"/>
      <c r="AD733" s="17">
        <v>200</v>
      </c>
      <c r="AE733" s="236"/>
      <c r="AF733" s="236"/>
      <c r="AG733" s="236"/>
      <c r="AH733" s="258"/>
    </row>
    <row r="734" spans="2:34" ht="13">
      <c r="B734" s="249"/>
      <c r="C734" s="202" t="s">
        <v>1989</v>
      </c>
      <c r="D734" s="159" t="s">
        <v>114</v>
      </c>
      <c r="E734" s="158">
        <v>1.9</v>
      </c>
      <c r="F734" s="158">
        <v>0</v>
      </c>
      <c r="G734" s="159">
        <f t="shared" si="313"/>
        <v>0</v>
      </c>
      <c r="H734" s="320">
        <f>SUM(G734:G737)</f>
        <v>294.03999999999996</v>
      </c>
      <c r="I734" s="320">
        <v>1030</v>
      </c>
      <c r="J734" s="320">
        <f>I734-H734</f>
        <v>735.96</v>
      </c>
      <c r="K734" s="321">
        <f>J734/I734</f>
        <v>0.71452427184466027</v>
      </c>
      <c r="M734" s="270"/>
      <c r="N734" s="236"/>
      <c r="O734" s="19" t="s">
        <v>1250</v>
      </c>
      <c r="P734" s="17"/>
      <c r="Q734" s="17"/>
      <c r="R734" s="17">
        <v>350</v>
      </c>
      <c r="S734" s="236"/>
      <c r="T734" s="236"/>
      <c r="U734" s="236"/>
      <c r="V734" s="258"/>
      <c r="Y734" s="270"/>
      <c r="Z734" s="236"/>
      <c r="AA734" s="19" t="s">
        <v>1250</v>
      </c>
      <c r="AB734" s="17"/>
      <c r="AC734" s="17"/>
      <c r="AD734" s="17">
        <v>350</v>
      </c>
      <c r="AE734" s="236"/>
      <c r="AF734" s="236"/>
      <c r="AG734" s="236"/>
      <c r="AH734" s="258"/>
    </row>
    <row r="735" spans="2:34" ht="13">
      <c r="B735" s="249"/>
      <c r="C735" s="1"/>
      <c r="D735" s="24" t="s">
        <v>1990</v>
      </c>
      <c r="E735" s="208">
        <v>1</v>
      </c>
      <c r="F735" s="208">
        <v>65.52</v>
      </c>
      <c r="G735" s="209">
        <f t="shared" ref="G735:G737" si="314">SUM(E735*F735)</f>
        <v>65.52</v>
      </c>
      <c r="H735" s="236"/>
      <c r="I735" s="236"/>
      <c r="J735" s="236"/>
      <c r="K735" s="266"/>
      <c r="M735" s="270"/>
      <c r="N735" s="236"/>
      <c r="O735" s="19" t="s">
        <v>1991</v>
      </c>
      <c r="P735" s="17"/>
      <c r="Q735" s="17"/>
      <c r="R735" s="17">
        <v>128.5</v>
      </c>
      <c r="S735" s="236"/>
      <c r="T735" s="236"/>
      <c r="U735" s="236"/>
      <c r="V735" s="258"/>
      <c r="Y735" s="270"/>
      <c r="Z735" s="236"/>
      <c r="AA735" s="19" t="s">
        <v>1991</v>
      </c>
      <c r="AB735" s="17"/>
      <c r="AC735" s="17"/>
      <c r="AD735" s="17">
        <v>128.5</v>
      </c>
      <c r="AE735" s="236"/>
      <c r="AF735" s="236"/>
      <c r="AG735" s="236"/>
      <c r="AH735" s="258"/>
    </row>
    <row r="736" spans="2:34" ht="13">
      <c r="B736" s="249"/>
      <c r="C736" s="1"/>
      <c r="D736" s="24" t="s">
        <v>1992</v>
      </c>
      <c r="E736" s="209">
        <v>1</v>
      </c>
      <c r="F736" s="209">
        <v>65.52</v>
      </c>
      <c r="G736" s="209">
        <f t="shared" si="314"/>
        <v>65.52</v>
      </c>
      <c r="H736" s="236"/>
      <c r="I736" s="236"/>
      <c r="J736" s="236"/>
      <c r="K736" s="266"/>
      <c r="M736" s="270"/>
      <c r="N736" s="236"/>
      <c r="O736" s="19" t="s">
        <v>47</v>
      </c>
      <c r="P736" s="17"/>
      <c r="Q736" s="17"/>
      <c r="R736" s="17">
        <v>287.73</v>
      </c>
      <c r="S736" s="236"/>
      <c r="T736" s="236"/>
      <c r="U736" s="236"/>
      <c r="V736" s="258"/>
      <c r="Y736" s="270"/>
      <c r="Z736" s="236"/>
      <c r="AA736" s="19" t="s">
        <v>47</v>
      </c>
      <c r="AB736" s="17"/>
      <c r="AC736" s="17"/>
      <c r="AD736" s="17">
        <v>287.73</v>
      </c>
      <c r="AE736" s="236"/>
      <c r="AF736" s="236"/>
      <c r="AG736" s="236"/>
      <c r="AH736" s="258"/>
    </row>
    <row r="737" spans="2:34" ht="13">
      <c r="B737" s="249"/>
      <c r="C737" s="140"/>
      <c r="D737" s="44" t="s">
        <v>1993</v>
      </c>
      <c r="E737" s="219">
        <v>1</v>
      </c>
      <c r="F737" s="219">
        <v>163</v>
      </c>
      <c r="G737" s="219">
        <f t="shared" si="314"/>
        <v>163</v>
      </c>
      <c r="H737" s="293"/>
      <c r="I737" s="293"/>
      <c r="J737" s="293"/>
      <c r="K737" s="319"/>
      <c r="M737" s="270"/>
      <c r="N737" s="236"/>
      <c r="O737" s="19" t="s">
        <v>1994</v>
      </c>
      <c r="P737" s="17"/>
      <c r="Q737" s="17"/>
      <c r="R737" s="17">
        <v>281</v>
      </c>
      <c r="S737" s="236"/>
      <c r="T737" s="236"/>
      <c r="U737" s="236"/>
      <c r="V737" s="258"/>
      <c r="Y737" s="270"/>
      <c r="Z737" s="236"/>
      <c r="AA737" s="19" t="s">
        <v>1994</v>
      </c>
      <c r="AB737" s="17"/>
      <c r="AC737" s="17"/>
      <c r="AD737" s="17">
        <v>281</v>
      </c>
      <c r="AE737" s="236"/>
      <c r="AF737" s="236"/>
      <c r="AG737" s="236"/>
      <c r="AH737" s="258"/>
    </row>
    <row r="738" spans="2:34" ht="13">
      <c r="B738" s="249"/>
      <c r="C738" s="6" t="s">
        <v>1995</v>
      </c>
      <c r="D738" s="7" t="s">
        <v>1235</v>
      </c>
      <c r="E738" s="8">
        <v>144</v>
      </c>
      <c r="F738" s="8">
        <v>17</v>
      </c>
      <c r="G738" s="7">
        <f>E738*F738</f>
        <v>2448</v>
      </c>
      <c r="H738" s="239">
        <f>SUM(G738+G739)</f>
        <v>3127.2</v>
      </c>
      <c r="I738" s="239">
        <v>7170</v>
      </c>
      <c r="J738" s="239">
        <f>I738-H738</f>
        <v>4042.8</v>
      </c>
      <c r="K738" s="349">
        <f>J738/I738</f>
        <v>0.56384937238493726</v>
      </c>
      <c r="M738" s="270"/>
      <c r="N738" s="236"/>
      <c r="O738" s="19" t="s">
        <v>1996</v>
      </c>
      <c r="P738" s="17"/>
      <c r="Q738" s="17"/>
      <c r="R738" s="17">
        <v>414.15</v>
      </c>
      <c r="S738" s="236"/>
      <c r="T738" s="236"/>
      <c r="U738" s="236"/>
      <c r="V738" s="258"/>
      <c r="Y738" s="270"/>
      <c r="Z738" s="236"/>
      <c r="AA738" s="19" t="s">
        <v>1996</v>
      </c>
      <c r="AB738" s="17"/>
      <c r="AC738" s="17"/>
      <c r="AD738" s="17">
        <v>414.15</v>
      </c>
      <c r="AE738" s="236"/>
      <c r="AF738" s="236"/>
      <c r="AG738" s="236"/>
      <c r="AH738" s="258"/>
    </row>
    <row r="739" spans="2:34" ht="13">
      <c r="B739" s="249"/>
      <c r="C739" s="220"/>
      <c r="D739" s="24" t="s">
        <v>33</v>
      </c>
      <c r="E739" s="11" t="s">
        <v>1387</v>
      </c>
      <c r="F739" s="11" t="s">
        <v>1387</v>
      </c>
      <c r="G739" s="24">
        <f>679.2</f>
        <v>679.2</v>
      </c>
      <c r="H739" s="236"/>
      <c r="I739" s="236"/>
      <c r="J739" s="236"/>
      <c r="K739" s="266"/>
      <c r="M739" s="270"/>
      <c r="N739" s="236"/>
      <c r="O739" s="19" t="s">
        <v>1997</v>
      </c>
      <c r="P739" s="17"/>
      <c r="Q739" s="17"/>
      <c r="R739" s="17">
        <v>152</v>
      </c>
      <c r="S739" s="236"/>
      <c r="T739" s="236"/>
      <c r="U739" s="236"/>
      <c r="V739" s="258"/>
      <c r="Y739" s="270"/>
      <c r="Z739" s="236"/>
      <c r="AA739" s="19" t="s">
        <v>1997</v>
      </c>
      <c r="AB739" s="17"/>
      <c r="AC739" s="17"/>
      <c r="AD739" s="17">
        <v>152</v>
      </c>
      <c r="AE739" s="236"/>
      <c r="AF739" s="236"/>
      <c r="AG739" s="236"/>
      <c r="AH739" s="258"/>
    </row>
    <row r="740" spans="2:34" ht="13">
      <c r="B740" s="249"/>
      <c r="C740" s="6">
        <v>20452</v>
      </c>
      <c r="D740" s="7" t="s">
        <v>1235</v>
      </c>
      <c r="E740" s="8">
        <v>101</v>
      </c>
      <c r="F740" s="8">
        <v>15</v>
      </c>
      <c r="G740" s="7">
        <f t="shared" ref="G740:G746" si="315">E740*F740</f>
        <v>1515</v>
      </c>
      <c r="H740" s="239">
        <f>SUM(G740:G741)</f>
        <v>1515</v>
      </c>
      <c r="I740" s="239">
        <v>5250</v>
      </c>
      <c r="J740" s="239">
        <f>I740-H740</f>
        <v>3735</v>
      </c>
      <c r="K740" s="349">
        <f>J740/I740</f>
        <v>0.71142857142857141</v>
      </c>
      <c r="M740" s="270"/>
      <c r="N740" s="236"/>
      <c r="O740" s="19" t="s">
        <v>1998</v>
      </c>
      <c r="P740" s="17"/>
      <c r="Q740" s="17"/>
      <c r="R740" s="17">
        <v>314.17</v>
      </c>
      <c r="S740" s="236"/>
      <c r="T740" s="236"/>
      <c r="U740" s="236"/>
      <c r="V740" s="258"/>
      <c r="Y740" s="270"/>
      <c r="Z740" s="236"/>
      <c r="AA740" s="19" t="s">
        <v>1998</v>
      </c>
      <c r="AB740" s="17"/>
      <c r="AC740" s="17"/>
      <c r="AD740" s="17">
        <v>314.17</v>
      </c>
      <c r="AE740" s="236"/>
      <c r="AF740" s="236"/>
      <c r="AG740" s="236"/>
      <c r="AH740" s="258"/>
    </row>
    <row r="741" spans="2:34" ht="13">
      <c r="B741" s="249"/>
      <c r="C741" s="140"/>
      <c r="D741" s="44" t="s">
        <v>114</v>
      </c>
      <c r="E741" s="103">
        <v>21</v>
      </c>
      <c r="F741" s="103">
        <v>0</v>
      </c>
      <c r="G741" s="44">
        <f t="shared" si="315"/>
        <v>0</v>
      </c>
      <c r="H741" s="248"/>
      <c r="I741" s="248"/>
      <c r="J741" s="248"/>
      <c r="K741" s="267"/>
      <c r="M741" s="270"/>
      <c r="N741" s="236"/>
      <c r="O741" s="106" t="s">
        <v>1999</v>
      </c>
      <c r="P741" s="17"/>
      <c r="Q741" s="17"/>
      <c r="R741" s="17">
        <v>331.36</v>
      </c>
      <c r="S741" s="236"/>
      <c r="T741" s="236"/>
      <c r="U741" s="236"/>
      <c r="V741" s="258"/>
      <c r="Y741" s="270"/>
      <c r="Z741" s="236"/>
      <c r="AA741" s="106" t="s">
        <v>1999</v>
      </c>
      <c r="AB741" s="17"/>
      <c r="AC741" s="17"/>
      <c r="AD741" s="17">
        <v>331.36</v>
      </c>
      <c r="AE741" s="236"/>
      <c r="AF741" s="236"/>
      <c r="AG741" s="236"/>
      <c r="AH741" s="258"/>
    </row>
    <row r="742" spans="2:34" ht="13">
      <c r="B742" s="249"/>
      <c r="C742" s="1" t="s">
        <v>2000</v>
      </c>
      <c r="D742" s="24" t="s">
        <v>1235</v>
      </c>
      <c r="E742" s="11">
        <v>101</v>
      </c>
      <c r="F742" s="11">
        <v>15</v>
      </c>
      <c r="G742" s="24">
        <f t="shared" si="315"/>
        <v>1515</v>
      </c>
      <c r="H742" s="325">
        <f>SUM(G742:G745)</f>
        <v>1675.8</v>
      </c>
      <c r="I742" s="325">
        <v>5000</v>
      </c>
      <c r="J742" s="325">
        <f>I742-H742</f>
        <v>3324.2</v>
      </c>
      <c r="K742" s="328">
        <f>J742/I742</f>
        <v>0.66483999999999999</v>
      </c>
      <c r="M742" s="270"/>
      <c r="N742" s="248"/>
      <c r="O742" s="20" t="s">
        <v>33</v>
      </c>
      <c r="P742" s="21"/>
      <c r="Q742" s="21"/>
      <c r="R742" s="21">
        <v>668.56</v>
      </c>
      <c r="S742" s="293"/>
      <c r="T742" s="293"/>
      <c r="U742" s="293"/>
      <c r="V742" s="295"/>
      <c r="Y742" s="270"/>
      <c r="Z742" s="248"/>
      <c r="AA742" s="20" t="s">
        <v>33</v>
      </c>
      <c r="AB742" s="21"/>
      <c r="AC742" s="21"/>
      <c r="AD742" s="21">
        <v>668.56</v>
      </c>
      <c r="AE742" s="293"/>
      <c r="AF742" s="293"/>
      <c r="AG742" s="293"/>
      <c r="AH742" s="295"/>
    </row>
    <row r="743" spans="2:34" ht="13">
      <c r="B743" s="249"/>
      <c r="C743" s="1"/>
      <c r="D743" s="24" t="s">
        <v>114</v>
      </c>
      <c r="E743" s="11">
        <v>7</v>
      </c>
      <c r="F743" s="11">
        <v>0</v>
      </c>
      <c r="G743" s="24">
        <f t="shared" si="315"/>
        <v>0</v>
      </c>
      <c r="H743" s="236"/>
      <c r="I743" s="236"/>
      <c r="J743" s="236"/>
      <c r="K743" s="266"/>
      <c r="M743" s="270"/>
      <c r="N743" s="316" t="s">
        <v>2001</v>
      </c>
      <c r="O743" s="19" t="s">
        <v>114</v>
      </c>
      <c r="P743" s="17">
        <v>3.5</v>
      </c>
      <c r="Q743" s="17">
        <v>16</v>
      </c>
      <c r="R743" s="17">
        <f t="shared" ref="R743:R744" si="316">P743*Q743</f>
        <v>56</v>
      </c>
      <c r="S743" s="284">
        <f>SUM(R743:R753)</f>
        <v>1398.75</v>
      </c>
      <c r="T743" s="284">
        <v>3800</v>
      </c>
      <c r="U743" s="284">
        <f>T743-S743</f>
        <v>2401.25</v>
      </c>
      <c r="V743" s="315">
        <f>U743/T743</f>
        <v>0.63190789473684206</v>
      </c>
      <c r="Y743" s="270"/>
      <c r="Z743" s="316" t="s">
        <v>1974</v>
      </c>
      <c r="AA743" s="19" t="s">
        <v>114</v>
      </c>
      <c r="AB743" s="18"/>
      <c r="AC743" s="18"/>
      <c r="AD743" s="18"/>
      <c r="AE743" s="284">
        <f>SUM(AD743:AD753)</f>
        <v>1245.7</v>
      </c>
      <c r="AF743" s="284">
        <v>3800</v>
      </c>
      <c r="AG743" s="284">
        <f>AF743-AE743</f>
        <v>2554.3000000000002</v>
      </c>
      <c r="AH743" s="315">
        <f>AG743/AF743</f>
        <v>0.67218421052631583</v>
      </c>
    </row>
    <row r="744" spans="2:34" ht="13">
      <c r="B744" s="249"/>
      <c r="C744" s="1"/>
      <c r="D744" s="24" t="s">
        <v>1321</v>
      </c>
      <c r="E744" s="24">
        <v>6.6</v>
      </c>
      <c r="F744" s="24">
        <v>13</v>
      </c>
      <c r="G744" s="24">
        <f t="shared" si="315"/>
        <v>85.8</v>
      </c>
      <c r="H744" s="236"/>
      <c r="I744" s="236"/>
      <c r="J744" s="236"/>
      <c r="K744" s="266"/>
      <c r="M744" s="270"/>
      <c r="N744" s="236"/>
      <c r="O744" s="19" t="s">
        <v>701</v>
      </c>
      <c r="P744" s="17">
        <v>7</v>
      </c>
      <c r="Q744" s="17">
        <v>16</v>
      </c>
      <c r="R744" s="17">
        <f t="shared" si="316"/>
        <v>112</v>
      </c>
      <c r="S744" s="236"/>
      <c r="T744" s="236"/>
      <c r="U744" s="236"/>
      <c r="V744" s="258"/>
      <c r="Y744" s="270"/>
      <c r="Z744" s="236"/>
      <c r="AA744" s="19" t="s">
        <v>701</v>
      </c>
      <c r="AB744" s="18"/>
      <c r="AC744" s="18"/>
      <c r="AD744" s="18"/>
      <c r="AE744" s="236"/>
      <c r="AF744" s="236"/>
      <c r="AG744" s="236"/>
      <c r="AH744" s="258"/>
    </row>
    <row r="745" spans="2:34" ht="13">
      <c r="B745" s="249"/>
      <c r="C745" s="140"/>
      <c r="D745" s="44" t="s">
        <v>1943</v>
      </c>
      <c r="E745" s="44">
        <v>5</v>
      </c>
      <c r="F745" s="44">
        <v>15</v>
      </c>
      <c r="G745" s="44">
        <f t="shared" si="315"/>
        <v>75</v>
      </c>
      <c r="H745" s="248"/>
      <c r="I745" s="248"/>
      <c r="J745" s="248"/>
      <c r="K745" s="267"/>
      <c r="M745" s="270"/>
      <c r="N745" s="236"/>
      <c r="O745" s="19" t="s">
        <v>2002</v>
      </c>
      <c r="P745" s="17"/>
      <c r="Q745" s="17"/>
      <c r="R745" s="17">
        <v>558</v>
      </c>
      <c r="S745" s="236"/>
      <c r="T745" s="236"/>
      <c r="U745" s="236"/>
      <c r="V745" s="258"/>
      <c r="Y745" s="270"/>
      <c r="Z745" s="236"/>
      <c r="AA745" s="19" t="s">
        <v>2002</v>
      </c>
      <c r="AB745" s="17"/>
      <c r="AC745" s="17"/>
      <c r="AD745" s="17">
        <v>558</v>
      </c>
      <c r="AE745" s="236"/>
      <c r="AF745" s="236"/>
      <c r="AG745" s="236"/>
      <c r="AH745" s="258"/>
    </row>
    <row r="746" spans="2:34" ht="13">
      <c r="B746" s="249"/>
      <c r="C746" s="202" t="s">
        <v>2003</v>
      </c>
      <c r="D746" s="159" t="s">
        <v>1308</v>
      </c>
      <c r="E746" s="158">
        <v>38.200000000000003</v>
      </c>
      <c r="F746" s="158">
        <v>15</v>
      </c>
      <c r="G746" s="159">
        <f t="shared" si="315"/>
        <v>573</v>
      </c>
      <c r="H746" s="320">
        <f>SUM(G746:G752)</f>
        <v>1883.25</v>
      </c>
      <c r="I746" s="320">
        <v>13300</v>
      </c>
      <c r="J746" s="320">
        <f>I746-H746</f>
        <v>11416.75</v>
      </c>
      <c r="K746" s="321">
        <f>J746/I746</f>
        <v>0.85840225563909778</v>
      </c>
      <c r="M746" s="270"/>
      <c r="N746" s="236"/>
      <c r="O746" s="19" t="s">
        <v>1252</v>
      </c>
      <c r="P746" s="17">
        <v>5</v>
      </c>
      <c r="Q746" s="17">
        <v>13</v>
      </c>
      <c r="R746" s="17">
        <f t="shared" ref="R746:R753" si="317">P746*Q746</f>
        <v>65</v>
      </c>
      <c r="S746" s="236"/>
      <c r="T746" s="236"/>
      <c r="U746" s="236"/>
      <c r="V746" s="258"/>
      <c r="Y746" s="270"/>
      <c r="Z746" s="236"/>
      <c r="AA746" s="19" t="s">
        <v>1252</v>
      </c>
      <c r="AB746" s="17">
        <v>7.25</v>
      </c>
      <c r="AC746" s="17">
        <v>13</v>
      </c>
      <c r="AD746" s="17">
        <f t="shared" ref="AD746:AD753" si="318">AB746*AC746</f>
        <v>94.25</v>
      </c>
      <c r="AE746" s="236"/>
      <c r="AF746" s="236"/>
      <c r="AG746" s="236"/>
      <c r="AH746" s="258"/>
    </row>
    <row r="747" spans="2:34" ht="13">
      <c r="B747" s="249"/>
      <c r="C747" s="1"/>
      <c r="D747" s="24" t="s">
        <v>114</v>
      </c>
      <c r="E747" s="208">
        <v>8.4</v>
      </c>
      <c r="F747" s="208">
        <v>0</v>
      </c>
      <c r="G747" s="209">
        <f t="shared" ref="G747:G751" si="319">SUM(E747*F747)</f>
        <v>0</v>
      </c>
      <c r="H747" s="236"/>
      <c r="I747" s="236"/>
      <c r="J747" s="236"/>
      <c r="K747" s="266"/>
      <c r="M747" s="270"/>
      <c r="N747" s="236"/>
      <c r="O747" s="19" t="s">
        <v>53</v>
      </c>
      <c r="P747" s="17">
        <v>6</v>
      </c>
      <c r="Q747" s="17">
        <v>13</v>
      </c>
      <c r="R747" s="17">
        <f t="shared" si="317"/>
        <v>78</v>
      </c>
      <c r="S747" s="236"/>
      <c r="T747" s="236"/>
      <c r="U747" s="236"/>
      <c r="V747" s="258"/>
      <c r="Y747" s="270"/>
      <c r="Z747" s="236"/>
      <c r="AA747" s="19" t="s">
        <v>53</v>
      </c>
      <c r="AB747" s="17">
        <v>6</v>
      </c>
      <c r="AC747" s="17">
        <v>13</v>
      </c>
      <c r="AD747" s="17">
        <f t="shared" si="318"/>
        <v>78</v>
      </c>
      <c r="AE747" s="236"/>
      <c r="AF747" s="236"/>
      <c r="AG747" s="236"/>
      <c r="AH747" s="258"/>
    </row>
    <row r="748" spans="2:34" ht="13">
      <c r="B748" s="249"/>
      <c r="C748" s="1"/>
      <c r="D748" s="24" t="s">
        <v>1321</v>
      </c>
      <c r="E748" s="209">
        <v>22.5</v>
      </c>
      <c r="F748" s="209">
        <v>15</v>
      </c>
      <c r="G748" s="209">
        <f t="shared" si="319"/>
        <v>337.5</v>
      </c>
      <c r="H748" s="236"/>
      <c r="I748" s="236"/>
      <c r="J748" s="236"/>
      <c r="K748" s="266"/>
      <c r="M748" s="270"/>
      <c r="N748" s="236"/>
      <c r="O748" s="19" t="s">
        <v>75</v>
      </c>
      <c r="P748" s="17">
        <v>9</v>
      </c>
      <c r="Q748" s="17">
        <v>13</v>
      </c>
      <c r="R748" s="17">
        <f t="shared" si="317"/>
        <v>117</v>
      </c>
      <c r="S748" s="236"/>
      <c r="T748" s="236"/>
      <c r="U748" s="236"/>
      <c r="V748" s="258"/>
      <c r="Y748" s="270"/>
      <c r="Z748" s="236"/>
      <c r="AA748" s="19" t="s">
        <v>75</v>
      </c>
      <c r="AB748" s="17">
        <v>9</v>
      </c>
      <c r="AC748" s="17">
        <v>13</v>
      </c>
      <c r="AD748" s="17">
        <f t="shared" si="318"/>
        <v>117</v>
      </c>
      <c r="AE748" s="236"/>
      <c r="AF748" s="236"/>
      <c r="AG748" s="236"/>
      <c r="AH748" s="258"/>
    </row>
    <row r="749" spans="2:34" ht="13">
      <c r="B749" s="249"/>
      <c r="C749" s="1"/>
      <c r="D749" s="24" t="s">
        <v>1943</v>
      </c>
      <c r="E749" s="209">
        <v>22.6</v>
      </c>
      <c r="F749" s="209">
        <v>15</v>
      </c>
      <c r="G749" s="209">
        <f t="shared" si="319"/>
        <v>339</v>
      </c>
      <c r="H749" s="236"/>
      <c r="I749" s="236"/>
      <c r="J749" s="236"/>
      <c r="K749" s="266"/>
      <c r="M749" s="270"/>
      <c r="N749" s="236"/>
      <c r="O749" s="19" t="s">
        <v>325</v>
      </c>
      <c r="P749" s="17">
        <v>9.25</v>
      </c>
      <c r="Q749" s="17">
        <v>13</v>
      </c>
      <c r="R749" s="17">
        <f t="shared" si="317"/>
        <v>120.25</v>
      </c>
      <c r="S749" s="236"/>
      <c r="T749" s="236"/>
      <c r="U749" s="236"/>
      <c r="V749" s="258"/>
      <c r="Y749" s="270"/>
      <c r="Z749" s="236"/>
      <c r="AA749" s="19" t="s">
        <v>325</v>
      </c>
      <c r="AB749" s="17">
        <v>8.25</v>
      </c>
      <c r="AC749" s="17">
        <v>13</v>
      </c>
      <c r="AD749" s="17">
        <f t="shared" si="318"/>
        <v>107.25</v>
      </c>
      <c r="AE749" s="236"/>
      <c r="AF749" s="236"/>
      <c r="AG749" s="236"/>
      <c r="AH749" s="258"/>
    </row>
    <row r="750" spans="2:34" ht="13">
      <c r="B750" s="249"/>
      <c r="C750" s="1"/>
      <c r="D750" s="24" t="s">
        <v>1398</v>
      </c>
      <c r="E750" s="209">
        <v>14.5</v>
      </c>
      <c r="F750" s="209">
        <v>0</v>
      </c>
      <c r="G750" s="209">
        <f t="shared" si="319"/>
        <v>0</v>
      </c>
      <c r="H750" s="236"/>
      <c r="I750" s="236"/>
      <c r="J750" s="236"/>
      <c r="K750" s="266"/>
      <c r="M750" s="270"/>
      <c r="N750" s="236"/>
      <c r="O750" s="19" t="s">
        <v>70</v>
      </c>
      <c r="P750" s="17">
        <v>5.5</v>
      </c>
      <c r="Q750" s="17">
        <v>13</v>
      </c>
      <c r="R750" s="17">
        <f t="shared" si="317"/>
        <v>71.5</v>
      </c>
      <c r="S750" s="236"/>
      <c r="T750" s="236"/>
      <c r="U750" s="236"/>
      <c r="V750" s="258"/>
      <c r="Y750" s="270"/>
      <c r="Z750" s="236"/>
      <c r="AA750" s="19" t="s">
        <v>70</v>
      </c>
      <c r="AB750" s="17">
        <v>5.4</v>
      </c>
      <c r="AC750" s="17">
        <v>13</v>
      </c>
      <c r="AD750" s="17">
        <f t="shared" si="318"/>
        <v>70.2</v>
      </c>
      <c r="AE750" s="236"/>
      <c r="AF750" s="236"/>
      <c r="AG750" s="236"/>
      <c r="AH750" s="258"/>
    </row>
    <row r="751" spans="2:34" ht="13">
      <c r="B751" s="249"/>
      <c r="C751" s="1"/>
      <c r="D751" s="24" t="s">
        <v>1322</v>
      </c>
      <c r="E751" s="209">
        <v>32.75</v>
      </c>
      <c r="F751" s="209">
        <v>15</v>
      </c>
      <c r="G751" s="209">
        <f t="shared" si="319"/>
        <v>491.25</v>
      </c>
      <c r="H751" s="236"/>
      <c r="I751" s="236"/>
      <c r="J751" s="236"/>
      <c r="K751" s="266"/>
      <c r="M751" s="270"/>
      <c r="N751" s="236"/>
      <c r="O751" s="19" t="s">
        <v>2004</v>
      </c>
      <c r="P751" s="17">
        <v>6</v>
      </c>
      <c r="Q751" s="17">
        <v>13</v>
      </c>
      <c r="R751" s="17">
        <f t="shared" si="317"/>
        <v>78</v>
      </c>
      <c r="S751" s="236"/>
      <c r="T751" s="236"/>
      <c r="U751" s="236"/>
      <c r="V751" s="258"/>
      <c r="Y751" s="270"/>
      <c r="Z751" s="236"/>
      <c r="AA751" s="19" t="s">
        <v>2004</v>
      </c>
      <c r="AB751" s="17">
        <v>6</v>
      </c>
      <c r="AC751" s="17">
        <v>13</v>
      </c>
      <c r="AD751" s="17">
        <f t="shared" si="318"/>
        <v>78</v>
      </c>
      <c r="AE751" s="236"/>
      <c r="AF751" s="236"/>
      <c r="AG751" s="236"/>
      <c r="AH751" s="258"/>
    </row>
    <row r="752" spans="2:34" ht="13">
      <c r="B752" s="249"/>
      <c r="C752" s="140"/>
      <c r="D752" s="44" t="s">
        <v>1326</v>
      </c>
      <c r="E752" s="44">
        <v>9.5</v>
      </c>
      <c r="F752" s="44">
        <v>15</v>
      </c>
      <c r="G752" s="44">
        <f>E752*F752</f>
        <v>142.5</v>
      </c>
      <c r="H752" s="248"/>
      <c r="I752" s="248"/>
      <c r="J752" s="248"/>
      <c r="K752" s="267"/>
      <c r="M752" s="270"/>
      <c r="N752" s="236"/>
      <c r="O752" s="19" t="s">
        <v>78</v>
      </c>
      <c r="P752" s="17">
        <v>5.5</v>
      </c>
      <c r="Q752" s="17">
        <v>13</v>
      </c>
      <c r="R752" s="17">
        <f t="shared" si="317"/>
        <v>71.5</v>
      </c>
      <c r="S752" s="236"/>
      <c r="T752" s="236"/>
      <c r="U752" s="236"/>
      <c r="V752" s="258"/>
      <c r="Y752" s="270"/>
      <c r="Z752" s="236"/>
      <c r="AA752" s="19" t="s">
        <v>78</v>
      </c>
      <c r="AB752" s="17">
        <v>5.5</v>
      </c>
      <c r="AC752" s="17">
        <v>13</v>
      </c>
      <c r="AD752" s="17">
        <f t="shared" si="318"/>
        <v>71.5</v>
      </c>
      <c r="AE752" s="236"/>
      <c r="AF752" s="236"/>
      <c r="AG752" s="236"/>
      <c r="AH752" s="258"/>
    </row>
    <row r="753" spans="2:34" ht="30">
      <c r="B753" s="251" t="s">
        <v>2005</v>
      </c>
      <c r="C753" s="252"/>
      <c r="D753" s="253"/>
      <c r="E753" s="27">
        <f t="shared" ref="E753:J753" si="320">AVERAGE(E694:E752)</f>
        <v>19.50344827586207</v>
      </c>
      <c r="F753" s="27">
        <f t="shared" si="320"/>
        <v>31.88</v>
      </c>
      <c r="G753" s="27">
        <f t="shared" si="320"/>
        <v>294.88627118644069</v>
      </c>
      <c r="H753" s="27">
        <f t="shared" si="320"/>
        <v>1023.4288235294118</v>
      </c>
      <c r="I753" s="27">
        <f t="shared" si="320"/>
        <v>4219.0588235294117</v>
      </c>
      <c r="J753" s="27">
        <f t="shared" si="320"/>
        <v>3195.63</v>
      </c>
      <c r="K753" s="28"/>
      <c r="M753" s="270"/>
      <c r="N753" s="248"/>
      <c r="O753" s="20" t="s">
        <v>310</v>
      </c>
      <c r="P753" s="21">
        <v>5.5</v>
      </c>
      <c r="Q753" s="21">
        <v>13</v>
      </c>
      <c r="R753" s="21">
        <f t="shared" si="317"/>
        <v>71.5</v>
      </c>
      <c r="S753" s="293"/>
      <c r="T753" s="293"/>
      <c r="U753" s="293"/>
      <c r="V753" s="295"/>
      <c r="Y753" s="270"/>
      <c r="Z753" s="248"/>
      <c r="AA753" s="20" t="s">
        <v>310</v>
      </c>
      <c r="AB753" s="21">
        <v>5.5</v>
      </c>
      <c r="AC753" s="21">
        <v>13</v>
      </c>
      <c r="AD753" s="21">
        <f t="shared" si="318"/>
        <v>71.5</v>
      </c>
      <c r="AE753" s="293"/>
      <c r="AF753" s="293"/>
      <c r="AG753" s="293"/>
      <c r="AH753" s="295"/>
    </row>
    <row r="754" spans="2:34" ht="30">
      <c r="B754" s="251" t="s">
        <v>2006</v>
      </c>
      <c r="C754" s="252"/>
      <c r="D754" s="253"/>
      <c r="E754" s="27">
        <f t="shared" ref="E754:J754" si="321">SUM(E694:E752)</f>
        <v>1131.2</v>
      </c>
      <c r="F754" s="27">
        <f t="shared" si="321"/>
        <v>1849.04</v>
      </c>
      <c r="G754" s="27">
        <f t="shared" si="321"/>
        <v>17398.29</v>
      </c>
      <c r="H754" s="27">
        <f t="shared" si="321"/>
        <v>17398.29</v>
      </c>
      <c r="I754" s="27">
        <f t="shared" si="321"/>
        <v>71724</v>
      </c>
      <c r="J754" s="27">
        <f t="shared" si="321"/>
        <v>54325.71</v>
      </c>
      <c r="K754" s="154">
        <f t="shared" ref="K754:K755" si="322">J754/I754</f>
        <v>0.7574272210138866</v>
      </c>
      <c r="M754" s="270"/>
      <c r="N754" s="316" t="s">
        <v>2007</v>
      </c>
      <c r="O754" s="19" t="s">
        <v>1413</v>
      </c>
      <c r="P754" s="17"/>
      <c r="Q754" s="17"/>
      <c r="R754" s="17">
        <v>1000</v>
      </c>
      <c r="S754" s="284">
        <f>SUM(R754:R760)</f>
        <v>2601.0899999999997</v>
      </c>
      <c r="T754" s="284">
        <v>9338</v>
      </c>
      <c r="U754" s="284">
        <f>T754-S754</f>
        <v>6736.91</v>
      </c>
      <c r="V754" s="315">
        <f>U754/T754</f>
        <v>0.72145106018419358</v>
      </c>
      <c r="Y754" s="270"/>
      <c r="Z754" s="316" t="s">
        <v>2007</v>
      </c>
      <c r="AA754" s="19" t="s">
        <v>1413</v>
      </c>
      <c r="AB754" s="17"/>
      <c r="AC754" s="17"/>
      <c r="AD754" s="17">
        <v>1000</v>
      </c>
      <c r="AE754" s="284">
        <f>SUM(AD754:AD760)</f>
        <v>2651.0899999999997</v>
      </c>
      <c r="AF754" s="284">
        <v>9338</v>
      </c>
      <c r="AG754" s="284">
        <f>AF754-AE754</f>
        <v>6686.91</v>
      </c>
      <c r="AH754" s="315">
        <f>AG754/AF754</f>
        <v>0.71609659455986296</v>
      </c>
    </row>
    <row r="755" spans="2:34" ht="13">
      <c r="B755" s="277" t="s">
        <v>10</v>
      </c>
      <c r="C755" s="6" t="s">
        <v>2008</v>
      </c>
      <c r="D755" s="7" t="s">
        <v>1321</v>
      </c>
      <c r="E755" s="8">
        <v>3</v>
      </c>
      <c r="F755" s="8">
        <v>25</v>
      </c>
      <c r="G755" s="7">
        <f t="shared" ref="G755:G764" si="323">E755*F755</f>
        <v>75</v>
      </c>
      <c r="H755" s="239">
        <f>SUM(G755:G757)</f>
        <v>303</v>
      </c>
      <c r="I755" s="239">
        <v>2045</v>
      </c>
      <c r="J755" s="239">
        <f>I755-H755</f>
        <v>1742</v>
      </c>
      <c r="K755" s="259">
        <f t="shared" si="322"/>
        <v>0.85183374083129582</v>
      </c>
      <c r="M755" s="270"/>
      <c r="N755" s="236"/>
      <c r="O755" s="19" t="s">
        <v>1808</v>
      </c>
      <c r="P755" s="17"/>
      <c r="Q755" s="17"/>
      <c r="R755" s="17">
        <v>250</v>
      </c>
      <c r="S755" s="236"/>
      <c r="T755" s="236"/>
      <c r="U755" s="236"/>
      <c r="V755" s="258"/>
      <c r="Y755" s="270"/>
      <c r="Z755" s="236"/>
      <c r="AA755" s="19" t="s">
        <v>1808</v>
      </c>
      <c r="AB755" s="17"/>
      <c r="AC755" s="17"/>
      <c r="AD755" s="17">
        <v>250</v>
      </c>
      <c r="AE755" s="236"/>
      <c r="AF755" s="236"/>
      <c r="AG755" s="236"/>
      <c r="AH755" s="258"/>
    </row>
    <row r="756" spans="2:34" ht="13">
      <c r="B756" s="249"/>
      <c r="C756" s="1"/>
      <c r="D756" s="24" t="s">
        <v>1943</v>
      </c>
      <c r="E756" s="11">
        <v>3</v>
      </c>
      <c r="F756" s="11">
        <v>25</v>
      </c>
      <c r="G756" s="24">
        <f t="shared" si="323"/>
        <v>75</v>
      </c>
      <c r="H756" s="236"/>
      <c r="I756" s="236"/>
      <c r="J756" s="236"/>
      <c r="K756" s="242"/>
      <c r="M756" s="270"/>
      <c r="N756" s="236"/>
      <c r="O756" s="19" t="s">
        <v>2009</v>
      </c>
      <c r="P756" s="17"/>
      <c r="Q756" s="17"/>
      <c r="R756" s="17">
        <v>110.36</v>
      </c>
      <c r="S756" s="236"/>
      <c r="T756" s="236"/>
      <c r="U756" s="236"/>
      <c r="V756" s="258"/>
      <c r="Y756" s="270"/>
      <c r="Z756" s="236"/>
      <c r="AA756" s="19" t="s">
        <v>2009</v>
      </c>
      <c r="AB756" s="17"/>
      <c r="AC756" s="17"/>
      <c r="AD756" s="17">
        <v>110.36</v>
      </c>
      <c r="AE756" s="236"/>
      <c r="AF756" s="236"/>
      <c r="AG756" s="236"/>
      <c r="AH756" s="258"/>
    </row>
    <row r="757" spans="2:34" ht="13">
      <c r="B757" s="249"/>
      <c r="C757" s="140"/>
      <c r="D757" s="44" t="s">
        <v>1235</v>
      </c>
      <c r="E757" s="103">
        <v>9</v>
      </c>
      <c r="F757" s="103">
        <v>17</v>
      </c>
      <c r="G757" s="44">
        <f t="shared" si="323"/>
        <v>153</v>
      </c>
      <c r="H757" s="248"/>
      <c r="I757" s="238"/>
      <c r="J757" s="238"/>
      <c r="K757" s="243"/>
      <c r="M757" s="270"/>
      <c r="N757" s="236"/>
      <c r="O757" s="19" t="s">
        <v>1250</v>
      </c>
      <c r="P757" s="17"/>
      <c r="Q757" s="17"/>
      <c r="R757" s="17">
        <v>500</v>
      </c>
      <c r="S757" s="236"/>
      <c r="T757" s="236"/>
      <c r="U757" s="236"/>
      <c r="V757" s="258"/>
      <c r="Y757" s="270"/>
      <c r="Z757" s="236"/>
      <c r="AA757" s="19" t="s">
        <v>1250</v>
      </c>
      <c r="AB757" s="17"/>
      <c r="AC757" s="17"/>
      <c r="AD757" s="17">
        <v>550</v>
      </c>
      <c r="AE757" s="236"/>
      <c r="AF757" s="236"/>
      <c r="AG757" s="236"/>
      <c r="AH757" s="258"/>
    </row>
    <row r="758" spans="2:34" ht="16">
      <c r="B758" s="249"/>
      <c r="C758" s="212" t="s">
        <v>2010</v>
      </c>
      <c r="D758" s="213" t="s">
        <v>1235</v>
      </c>
      <c r="E758" s="214">
        <v>24</v>
      </c>
      <c r="F758" s="214">
        <v>17</v>
      </c>
      <c r="G758" s="213">
        <f t="shared" si="323"/>
        <v>408</v>
      </c>
      <c r="H758" s="215">
        <f t="shared" ref="H758:H759" si="324">SUM(G758)</f>
        <v>408</v>
      </c>
      <c r="I758" s="215">
        <v>1400</v>
      </c>
      <c r="J758" s="215">
        <f t="shared" ref="J758:J760" si="325">I758-H758</f>
        <v>992</v>
      </c>
      <c r="K758" s="216">
        <f t="shared" ref="K758:K760" si="326">J758/I758</f>
        <v>0.70857142857142852</v>
      </c>
      <c r="M758" s="270"/>
      <c r="N758" s="236"/>
      <c r="O758" s="19" t="s">
        <v>2011</v>
      </c>
      <c r="P758" s="17"/>
      <c r="Q758" s="17"/>
      <c r="R758" s="17">
        <v>80</v>
      </c>
      <c r="S758" s="236"/>
      <c r="T758" s="236"/>
      <c r="U758" s="236"/>
      <c r="V758" s="258"/>
      <c r="Y758" s="270"/>
      <c r="Z758" s="236"/>
      <c r="AA758" s="19" t="s">
        <v>2011</v>
      </c>
      <c r="AB758" s="17"/>
      <c r="AC758" s="17"/>
      <c r="AD758" s="17">
        <v>80</v>
      </c>
      <c r="AE758" s="236"/>
      <c r="AF758" s="236"/>
      <c r="AG758" s="236"/>
      <c r="AH758" s="258"/>
    </row>
    <row r="759" spans="2:34" ht="16">
      <c r="B759" s="249"/>
      <c r="C759" s="212" t="s">
        <v>2012</v>
      </c>
      <c r="D759" s="213" t="s">
        <v>1235</v>
      </c>
      <c r="E759" s="214">
        <v>6</v>
      </c>
      <c r="F759" s="214">
        <v>17</v>
      </c>
      <c r="G759" s="213">
        <f t="shared" si="323"/>
        <v>102</v>
      </c>
      <c r="H759" s="215">
        <f t="shared" si="324"/>
        <v>102</v>
      </c>
      <c r="I759" s="215">
        <v>700</v>
      </c>
      <c r="J759" s="215">
        <f t="shared" si="325"/>
        <v>598</v>
      </c>
      <c r="K759" s="216">
        <f t="shared" si="326"/>
        <v>0.85428571428571431</v>
      </c>
      <c r="M759" s="270"/>
      <c r="N759" s="236"/>
      <c r="O759" s="19" t="s">
        <v>2013</v>
      </c>
      <c r="P759" s="17"/>
      <c r="Q759" s="17"/>
      <c r="R759" s="17">
        <v>120</v>
      </c>
      <c r="S759" s="236"/>
      <c r="T759" s="236"/>
      <c r="U759" s="236"/>
      <c r="V759" s="258"/>
      <c r="Y759" s="270"/>
      <c r="Z759" s="236"/>
      <c r="AA759" s="19" t="s">
        <v>2013</v>
      </c>
      <c r="AB759" s="17"/>
      <c r="AC759" s="17"/>
      <c r="AD759" s="17">
        <v>120</v>
      </c>
      <c r="AE759" s="236"/>
      <c r="AF759" s="236"/>
      <c r="AG759" s="236"/>
      <c r="AH759" s="258"/>
    </row>
    <row r="760" spans="2:34" ht="13">
      <c r="B760" s="249"/>
      <c r="C760" s="1" t="s">
        <v>2014</v>
      </c>
      <c r="D760" s="24" t="s">
        <v>1235</v>
      </c>
      <c r="E760" s="11">
        <v>37</v>
      </c>
      <c r="F760" s="11">
        <v>17</v>
      </c>
      <c r="G760" s="24">
        <f t="shared" si="323"/>
        <v>629</v>
      </c>
      <c r="H760" s="325">
        <f>SUM(G760:G763)</f>
        <v>809</v>
      </c>
      <c r="I760" s="325">
        <v>2875</v>
      </c>
      <c r="J760" s="325">
        <f t="shared" si="325"/>
        <v>2066</v>
      </c>
      <c r="K760" s="348">
        <f t="shared" si="326"/>
        <v>0.71860869565217389</v>
      </c>
      <c r="M760" s="270"/>
      <c r="N760" s="248"/>
      <c r="O760" s="20" t="s">
        <v>2015</v>
      </c>
      <c r="P760" s="21"/>
      <c r="Q760" s="21"/>
      <c r="R760" s="21">
        <v>540.73</v>
      </c>
      <c r="S760" s="293"/>
      <c r="T760" s="293"/>
      <c r="U760" s="293"/>
      <c r="V760" s="295"/>
      <c r="Y760" s="270"/>
      <c r="Z760" s="248"/>
      <c r="AA760" s="20" t="s">
        <v>2015</v>
      </c>
      <c r="AB760" s="21"/>
      <c r="AC760" s="21"/>
      <c r="AD760" s="21">
        <v>540.73</v>
      </c>
      <c r="AE760" s="293"/>
      <c r="AF760" s="293"/>
      <c r="AG760" s="293"/>
      <c r="AH760" s="295"/>
    </row>
    <row r="761" spans="2:34" ht="14">
      <c r="B761" s="249"/>
      <c r="C761" s="1"/>
      <c r="D761" s="24" t="s">
        <v>1322</v>
      </c>
      <c r="E761" s="11">
        <v>12</v>
      </c>
      <c r="F761" s="11">
        <v>15</v>
      </c>
      <c r="G761" s="24">
        <f t="shared" si="323"/>
        <v>180</v>
      </c>
      <c r="H761" s="236"/>
      <c r="I761" s="236"/>
      <c r="J761" s="236"/>
      <c r="K761" s="266"/>
      <c r="M761" s="270"/>
      <c r="N761" s="186" t="s">
        <v>1270</v>
      </c>
      <c r="O761" s="19" t="s">
        <v>114</v>
      </c>
      <c r="P761" s="17">
        <v>3.5</v>
      </c>
      <c r="Q761" s="17">
        <v>16</v>
      </c>
      <c r="R761" s="17">
        <f>P761*Q761</f>
        <v>56</v>
      </c>
      <c r="S761" s="284">
        <f>SUM(R761:R762)</f>
        <v>56</v>
      </c>
      <c r="T761" s="284">
        <v>484.5</v>
      </c>
      <c r="U761" s="284">
        <f>T761-S761</f>
        <v>428.5</v>
      </c>
      <c r="V761" s="309">
        <f>U761/T761</f>
        <v>0.88441692466460264</v>
      </c>
      <c r="Y761" s="270"/>
      <c r="Z761" s="186" t="s">
        <v>1270</v>
      </c>
      <c r="AA761" s="19" t="s">
        <v>114</v>
      </c>
      <c r="AB761" s="18"/>
      <c r="AC761" s="18"/>
      <c r="AD761" s="18"/>
      <c r="AE761" s="284">
        <f>SUM(AD761:AD762)</f>
        <v>0</v>
      </c>
      <c r="AF761" s="284">
        <v>484.5</v>
      </c>
      <c r="AG761" s="284">
        <f>AF761-AE761</f>
        <v>484.5</v>
      </c>
      <c r="AH761" s="309">
        <f>AG761/AF761</f>
        <v>1</v>
      </c>
    </row>
    <row r="762" spans="2:34" ht="13">
      <c r="B762" s="249"/>
      <c r="C762" s="1"/>
      <c r="D762" s="24" t="s">
        <v>739</v>
      </c>
      <c r="E762" s="24">
        <v>3</v>
      </c>
      <c r="F762" s="24">
        <v>0</v>
      </c>
      <c r="G762" s="24">
        <f t="shared" si="323"/>
        <v>0</v>
      </c>
      <c r="H762" s="236"/>
      <c r="I762" s="236"/>
      <c r="J762" s="236"/>
      <c r="K762" s="266"/>
      <c r="M762" s="270"/>
      <c r="N762" s="175"/>
      <c r="O762" s="20"/>
      <c r="P762" s="21"/>
      <c r="Q762" s="21"/>
      <c r="R762" s="21"/>
      <c r="S762" s="248"/>
      <c r="T762" s="248"/>
      <c r="U762" s="248"/>
      <c r="V762" s="303"/>
      <c r="Y762" s="270"/>
      <c r="Z762" s="175"/>
      <c r="AA762" s="20"/>
      <c r="AB762" s="21"/>
      <c r="AC762" s="21"/>
      <c r="AD762" s="21"/>
      <c r="AE762" s="248"/>
      <c r="AF762" s="248"/>
      <c r="AG762" s="248"/>
      <c r="AH762" s="303"/>
    </row>
    <row r="763" spans="2:34" ht="14">
      <c r="B763" s="249"/>
      <c r="C763" s="140"/>
      <c r="D763" s="44" t="s">
        <v>2016</v>
      </c>
      <c r="E763" s="44">
        <v>3</v>
      </c>
      <c r="F763" s="44">
        <v>0</v>
      </c>
      <c r="G763" s="44">
        <f t="shared" si="323"/>
        <v>0</v>
      </c>
      <c r="H763" s="248"/>
      <c r="I763" s="248"/>
      <c r="J763" s="248"/>
      <c r="K763" s="267"/>
      <c r="M763" s="270"/>
      <c r="N763" s="186" t="s">
        <v>1271</v>
      </c>
      <c r="O763" s="19" t="s">
        <v>114</v>
      </c>
      <c r="P763" s="17">
        <v>3.5</v>
      </c>
      <c r="Q763" s="17">
        <v>16</v>
      </c>
      <c r="R763" s="17">
        <f t="shared" ref="R763:R765" si="327">P763*Q763</f>
        <v>56</v>
      </c>
      <c r="S763" s="284">
        <f>SUM(R763:R764)</f>
        <v>100.19999999999999</v>
      </c>
      <c r="T763" s="284">
        <v>712.5</v>
      </c>
      <c r="U763" s="284">
        <f>T763-S763</f>
        <v>612.29999999999995</v>
      </c>
      <c r="V763" s="309">
        <f>U763/T763</f>
        <v>0.85936842105263156</v>
      </c>
      <c r="Y763" s="270"/>
      <c r="Z763" s="186" t="s">
        <v>1271</v>
      </c>
      <c r="AA763" s="19" t="s">
        <v>114</v>
      </c>
      <c r="AB763" s="18"/>
      <c r="AC763" s="18"/>
      <c r="AD763" s="18"/>
      <c r="AE763" s="284">
        <f>SUM(AD763:AD764)</f>
        <v>44.199999999999996</v>
      </c>
      <c r="AF763" s="284">
        <v>712.5</v>
      </c>
      <c r="AG763" s="284">
        <f>AF763-AE763</f>
        <v>668.3</v>
      </c>
      <c r="AH763" s="309">
        <f>AG763/AF763</f>
        <v>0.93796491228070167</v>
      </c>
    </row>
    <row r="764" spans="2:34" ht="13">
      <c r="B764" s="249"/>
      <c r="C764" s="202" t="s">
        <v>2017</v>
      </c>
      <c r="D764" s="159" t="s">
        <v>1328</v>
      </c>
      <c r="E764" s="158">
        <v>11.1</v>
      </c>
      <c r="F764" s="158">
        <v>15</v>
      </c>
      <c r="G764" s="159">
        <f t="shared" si="323"/>
        <v>166.5</v>
      </c>
      <c r="H764" s="320">
        <f>SUM(G764:G770)</f>
        <v>1533</v>
      </c>
      <c r="I764" s="320">
        <v>4900</v>
      </c>
      <c r="J764" s="320">
        <f>I764-H764</f>
        <v>3367</v>
      </c>
      <c r="K764" s="346">
        <f>J764/I764</f>
        <v>0.68714285714285717</v>
      </c>
      <c r="M764" s="270"/>
      <c r="N764" s="175"/>
      <c r="O764" s="20" t="s">
        <v>419</v>
      </c>
      <c r="P764" s="21">
        <v>3.4</v>
      </c>
      <c r="Q764" s="21">
        <v>13</v>
      </c>
      <c r="R764" s="21">
        <f t="shared" si="327"/>
        <v>44.199999999999996</v>
      </c>
      <c r="S764" s="248"/>
      <c r="T764" s="248"/>
      <c r="U764" s="248"/>
      <c r="V764" s="303"/>
      <c r="Y764" s="270"/>
      <c r="Z764" s="175"/>
      <c r="AA764" s="20" t="s">
        <v>419</v>
      </c>
      <c r="AB764" s="21">
        <v>3.4</v>
      </c>
      <c r="AC764" s="21">
        <v>13</v>
      </c>
      <c r="AD764" s="21">
        <f>AB764*AC764</f>
        <v>44.199999999999996</v>
      </c>
      <c r="AE764" s="248"/>
      <c r="AF764" s="248"/>
      <c r="AG764" s="248"/>
      <c r="AH764" s="303"/>
    </row>
    <row r="765" spans="2:34" ht="14">
      <c r="B765" s="249"/>
      <c r="C765" s="1"/>
      <c r="D765" s="24" t="s">
        <v>114</v>
      </c>
      <c r="E765" s="208">
        <v>7</v>
      </c>
      <c r="F765" s="208">
        <v>0</v>
      </c>
      <c r="G765" s="209">
        <f t="shared" ref="G765:G767" si="328">SUM(E765*F765)</f>
        <v>0</v>
      </c>
      <c r="H765" s="236"/>
      <c r="I765" s="236"/>
      <c r="J765" s="236"/>
      <c r="K765" s="258"/>
      <c r="M765" s="270"/>
      <c r="N765" s="186" t="s">
        <v>2018</v>
      </c>
      <c r="O765" s="19" t="s">
        <v>114</v>
      </c>
      <c r="P765" s="17">
        <v>3.5</v>
      </c>
      <c r="Q765" s="17">
        <v>16</v>
      </c>
      <c r="R765" s="17">
        <f t="shared" si="327"/>
        <v>56</v>
      </c>
      <c r="S765" s="284">
        <f>SUM(R765:R766)</f>
        <v>150.75</v>
      </c>
      <c r="T765" s="284">
        <v>1331.25</v>
      </c>
      <c r="U765" s="284">
        <f>T765-S765</f>
        <v>1180.5</v>
      </c>
      <c r="V765" s="309">
        <f>U765/T765</f>
        <v>0.88676056338028164</v>
      </c>
      <c r="Y765" s="270"/>
      <c r="Z765" s="186" t="s">
        <v>2018</v>
      </c>
      <c r="AA765" s="19" t="s">
        <v>114</v>
      </c>
      <c r="AB765" s="18"/>
      <c r="AC765" s="18"/>
      <c r="AD765" s="18"/>
      <c r="AE765" s="284">
        <f>SUM(AD765:AD766)</f>
        <v>94.75</v>
      </c>
      <c r="AF765" s="284">
        <v>1331.25</v>
      </c>
      <c r="AG765" s="284">
        <f>AF765-AE765</f>
        <v>1236.5</v>
      </c>
      <c r="AH765" s="309">
        <f>AG765/AF765</f>
        <v>0.92882629107981218</v>
      </c>
    </row>
    <row r="766" spans="2:34" ht="13">
      <c r="B766" s="249"/>
      <c r="C766" s="1"/>
      <c r="D766" s="24" t="s">
        <v>1326</v>
      </c>
      <c r="E766" s="209">
        <v>6.2</v>
      </c>
      <c r="F766" s="209">
        <v>15</v>
      </c>
      <c r="G766" s="209">
        <f t="shared" si="328"/>
        <v>93</v>
      </c>
      <c r="H766" s="236"/>
      <c r="I766" s="236"/>
      <c r="J766" s="236"/>
      <c r="K766" s="258"/>
      <c r="M766" s="270"/>
      <c r="N766" s="175"/>
      <c r="O766" s="20" t="s">
        <v>33</v>
      </c>
      <c r="P766" s="21"/>
      <c r="Q766" s="21"/>
      <c r="R766" s="21">
        <v>94.75</v>
      </c>
      <c r="S766" s="248"/>
      <c r="T766" s="248"/>
      <c r="U766" s="248"/>
      <c r="V766" s="303"/>
      <c r="Y766" s="270"/>
      <c r="Z766" s="175"/>
      <c r="AA766" s="20" t="s">
        <v>33</v>
      </c>
      <c r="AB766" s="21"/>
      <c r="AC766" s="21"/>
      <c r="AD766" s="21">
        <v>94.75</v>
      </c>
      <c r="AE766" s="248"/>
      <c r="AF766" s="248"/>
      <c r="AG766" s="248"/>
      <c r="AH766" s="303"/>
    </row>
    <row r="767" spans="2:34" ht="13">
      <c r="B767" s="249"/>
      <c r="C767" s="1"/>
      <c r="D767" s="24" t="s">
        <v>1308</v>
      </c>
      <c r="E767" s="209">
        <v>33.5</v>
      </c>
      <c r="F767" s="209">
        <v>15</v>
      </c>
      <c r="G767" s="209">
        <f t="shared" si="328"/>
        <v>502.5</v>
      </c>
      <c r="H767" s="236"/>
      <c r="I767" s="236"/>
      <c r="J767" s="236"/>
      <c r="K767" s="258"/>
      <c r="M767" s="270"/>
      <c r="N767" s="314" t="s">
        <v>2019</v>
      </c>
      <c r="O767" s="15" t="s">
        <v>698</v>
      </c>
      <c r="P767" s="16">
        <v>8.74</v>
      </c>
      <c r="Q767" s="16">
        <v>15</v>
      </c>
      <c r="R767" s="16">
        <f t="shared" ref="R767:R768" si="329">P767*Q767</f>
        <v>131.1</v>
      </c>
      <c r="S767" s="292">
        <f>SUM(R767:R770)</f>
        <v>662.1</v>
      </c>
      <c r="T767" s="292">
        <v>1450</v>
      </c>
      <c r="U767" s="292">
        <f>T767-S767</f>
        <v>787.9</v>
      </c>
      <c r="V767" s="313">
        <f>U767/T767</f>
        <v>0.54337931034482756</v>
      </c>
      <c r="Y767" s="270"/>
      <c r="Z767" s="314" t="s">
        <v>2019</v>
      </c>
      <c r="AA767" s="15" t="s">
        <v>698</v>
      </c>
      <c r="AB767" s="16">
        <v>8.74</v>
      </c>
      <c r="AC767" s="16">
        <v>15</v>
      </c>
      <c r="AD767" s="16">
        <f>AB767*AC767</f>
        <v>131.1</v>
      </c>
      <c r="AE767" s="292">
        <f>SUM(AD767:AD770)</f>
        <v>362.1</v>
      </c>
      <c r="AF767" s="292">
        <v>1450</v>
      </c>
      <c r="AG767" s="292">
        <f>AF767-AE767</f>
        <v>1087.9000000000001</v>
      </c>
      <c r="AH767" s="313">
        <f>AG767/AF767</f>
        <v>0.75027586206896557</v>
      </c>
    </row>
    <row r="768" spans="2:34" ht="13">
      <c r="B768" s="249"/>
      <c r="C768" s="1"/>
      <c r="D768" s="24" t="s">
        <v>1398</v>
      </c>
      <c r="E768" s="24">
        <v>6.9</v>
      </c>
      <c r="F768" s="24">
        <v>15</v>
      </c>
      <c r="G768" s="24">
        <f t="shared" ref="G768:G772" si="330">E768*F768</f>
        <v>103.5</v>
      </c>
      <c r="H768" s="236"/>
      <c r="I768" s="236"/>
      <c r="J768" s="236"/>
      <c r="K768" s="258"/>
      <c r="M768" s="270"/>
      <c r="N768" s="245"/>
      <c r="O768" s="19" t="s">
        <v>114</v>
      </c>
      <c r="P768" s="17">
        <v>18.75</v>
      </c>
      <c r="Q768" s="17">
        <v>16</v>
      </c>
      <c r="R768" s="17">
        <f t="shared" si="329"/>
        <v>300</v>
      </c>
      <c r="S768" s="236"/>
      <c r="T768" s="236"/>
      <c r="U768" s="236"/>
      <c r="V768" s="242"/>
      <c r="Y768" s="270"/>
      <c r="Z768" s="245"/>
      <c r="AA768" s="19" t="s">
        <v>114</v>
      </c>
      <c r="AB768" s="18"/>
      <c r="AC768" s="18"/>
      <c r="AD768" s="18"/>
      <c r="AE768" s="236"/>
      <c r="AF768" s="236"/>
      <c r="AG768" s="236"/>
      <c r="AH768" s="242"/>
    </row>
    <row r="769" spans="2:34" ht="13">
      <c r="B769" s="249"/>
      <c r="C769" s="1"/>
      <c r="D769" s="24" t="s">
        <v>1943</v>
      </c>
      <c r="E769" s="24">
        <v>21.5</v>
      </c>
      <c r="F769" s="24">
        <v>15</v>
      </c>
      <c r="G769" s="24">
        <f t="shared" si="330"/>
        <v>322.5</v>
      </c>
      <c r="H769" s="236"/>
      <c r="I769" s="236"/>
      <c r="J769" s="236"/>
      <c r="K769" s="258"/>
      <c r="M769" s="270"/>
      <c r="N769" s="245"/>
      <c r="O769" s="19" t="s">
        <v>1430</v>
      </c>
      <c r="P769" s="17"/>
      <c r="Q769" s="17"/>
      <c r="R769" s="17">
        <v>180</v>
      </c>
      <c r="S769" s="236"/>
      <c r="T769" s="236"/>
      <c r="U769" s="236"/>
      <c r="V769" s="242"/>
      <c r="Y769" s="270"/>
      <c r="Z769" s="245"/>
      <c r="AA769" s="19" t="s">
        <v>1430</v>
      </c>
      <c r="AB769" s="17"/>
      <c r="AC769" s="17"/>
      <c r="AD769" s="17">
        <v>180</v>
      </c>
      <c r="AE769" s="236"/>
      <c r="AF769" s="236"/>
      <c r="AG769" s="236"/>
      <c r="AH769" s="242"/>
    </row>
    <row r="770" spans="2:34" ht="13">
      <c r="B770" s="249"/>
      <c r="C770" s="204"/>
      <c r="D770" s="205" t="s">
        <v>1321</v>
      </c>
      <c r="E770" s="205">
        <v>23</v>
      </c>
      <c r="F770" s="205">
        <v>15</v>
      </c>
      <c r="G770" s="205">
        <f t="shared" si="330"/>
        <v>345</v>
      </c>
      <c r="H770" s="293"/>
      <c r="I770" s="293"/>
      <c r="J770" s="293"/>
      <c r="K770" s="295"/>
      <c r="M770" s="270"/>
      <c r="N770" s="246"/>
      <c r="O770" s="20" t="s">
        <v>1609</v>
      </c>
      <c r="P770" s="21">
        <v>3.4</v>
      </c>
      <c r="Q770" s="21">
        <v>15</v>
      </c>
      <c r="R770" s="21">
        <f t="shared" ref="R770:R772" si="331">P770*Q770</f>
        <v>51</v>
      </c>
      <c r="S770" s="248"/>
      <c r="T770" s="248"/>
      <c r="U770" s="248"/>
      <c r="V770" s="303"/>
      <c r="Y770" s="270"/>
      <c r="Z770" s="246"/>
      <c r="AA770" s="20" t="s">
        <v>1609</v>
      </c>
      <c r="AB770" s="21">
        <v>3.4</v>
      </c>
      <c r="AC770" s="21">
        <v>15</v>
      </c>
      <c r="AD770" s="21">
        <f t="shared" ref="AD770:AD772" si="332">AB770*AC770</f>
        <v>51</v>
      </c>
      <c r="AE770" s="248"/>
      <c r="AF770" s="248"/>
      <c r="AG770" s="248"/>
      <c r="AH770" s="303"/>
    </row>
    <row r="771" spans="2:34" ht="13">
      <c r="B771" s="249"/>
      <c r="C771" s="6" t="s">
        <v>2020</v>
      </c>
      <c r="D771" s="7" t="s">
        <v>1308</v>
      </c>
      <c r="E771" s="8">
        <v>7.2</v>
      </c>
      <c r="F771" s="8">
        <v>13</v>
      </c>
      <c r="G771" s="7">
        <f t="shared" si="330"/>
        <v>93.600000000000009</v>
      </c>
      <c r="H771" s="239" t="e">
        <f ca="1">SUM(G771:G773)</f>
        <v>#NAME?</v>
      </c>
      <c r="I771" s="239">
        <v>2000</v>
      </c>
      <c r="J771" s="239" t="e">
        <f ca="1">I771-H771</f>
        <v>#NAME?</v>
      </c>
      <c r="K771" s="349" t="e">
        <f ca="1">J771/I771</f>
        <v>#NAME?</v>
      </c>
      <c r="M771" s="270"/>
      <c r="N771" s="177" t="s">
        <v>2021</v>
      </c>
      <c r="O771" s="15" t="s">
        <v>698</v>
      </c>
      <c r="P771" s="16">
        <v>8</v>
      </c>
      <c r="Q771" s="16">
        <v>15</v>
      </c>
      <c r="R771" s="16">
        <f t="shared" si="331"/>
        <v>120</v>
      </c>
      <c r="S771" s="292">
        <f>SUM(R771:R772)</f>
        <v>318</v>
      </c>
      <c r="T771" s="292">
        <v>2538.4</v>
      </c>
      <c r="U771" s="292">
        <f>T771-S771</f>
        <v>2220.4</v>
      </c>
      <c r="V771" s="302">
        <f>U771/T771</f>
        <v>0.87472423573904823</v>
      </c>
      <c r="Y771" s="270"/>
      <c r="Z771" s="177" t="s">
        <v>2021</v>
      </c>
      <c r="AA771" s="15" t="s">
        <v>698</v>
      </c>
      <c r="AB771" s="16">
        <v>8</v>
      </c>
      <c r="AC771" s="16">
        <v>15</v>
      </c>
      <c r="AD771" s="16">
        <f t="shared" si="332"/>
        <v>120</v>
      </c>
      <c r="AE771" s="292">
        <f>SUM(AD771:AD772)</f>
        <v>318</v>
      </c>
      <c r="AF771" s="292">
        <v>2538.4</v>
      </c>
      <c r="AG771" s="292">
        <f>AF771-AE771</f>
        <v>2220.4</v>
      </c>
      <c r="AH771" s="302">
        <f>AG771/AF771</f>
        <v>0.87472423573904823</v>
      </c>
    </row>
    <row r="772" spans="2:34" ht="13">
      <c r="B772" s="249"/>
      <c r="C772" s="1"/>
      <c r="D772" s="24" t="s">
        <v>33</v>
      </c>
      <c r="E772" s="11">
        <v>1</v>
      </c>
      <c r="F772" s="11">
        <v>234</v>
      </c>
      <c r="G772" s="24">
        <f t="shared" si="330"/>
        <v>234</v>
      </c>
      <c r="H772" s="236"/>
      <c r="I772" s="236"/>
      <c r="J772" s="236"/>
      <c r="K772" s="266"/>
      <c r="M772" s="270"/>
      <c r="N772" s="175"/>
      <c r="O772" s="20" t="s">
        <v>1609</v>
      </c>
      <c r="P772" s="20">
        <v>13.2</v>
      </c>
      <c r="Q772" s="20">
        <v>15</v>
      </c>
      <c r="R772" s="21">
        <f t="shared" si="331"/>
        <v>198</v>
      </c>
      <c r="S772" s="248"/>
      <c r="T772" s="248"/>
      <c r="U772" s="248"/>
      <c r="V772" s="303"/>
      <c r="Y772" s="270"/>
      <c r="Z772" s="175"/>
      <c r="AA772" s="20" t="s">
        <v>1609</v>
      </c>
      <c r="AB772" s="20">
        <v>13.2</v>
      </c>
      <c r="AC772" s="20">
        <v>15</v>
      </c>
      <c r="AD772" s="21">
        <f t="shared" si="332"/>
        <v>198</v>
      </c>
      <c r="AE772" s="248"/>
      <c r="AF772" s="248"/>
      <c r="AG772" s="248"/>
      <c r="AH772" s="303"/>
    </row>
    <row r="773" spans="2:34" ht="14">
      <c r="B773" s="249"/>
      <c r="C773" s="140"/>
      <c r="D773" s="44" t="s">
        <v>1235</v>
      </c>
      <c r="E773" s="103">
        <v>9</v>
      </c>
      <c r="F773" s="103">
        <v>13</v>
      </c>
      <c r="G773" s="44" t="e">
        <f ca="1">MULTIPLY(E773,F773)</f>
        <v>#NAME?</v>
      </c>
      <c r="H773" s="248"/>
      <c r="I773" s="248"/>
      <c r="J773" s="248"/>
      <c r="K773" s="267"/>
      <c r="M773" s="270"/>
      <c r="N773" s="144" t="s">
        <v>2022</v>
      </c>
      <c r="O773" s="77" t="s">
        <v>1430</v>
      </c>
      <c r="P773" s="71"/>
      <c r="Q773" s="71"/>
      <c r="R773" s="71">
        <v>690</v>
      </c>
      <c r="S773" s="325">
        <f>SUM(R773:R774)</f>
        <v>764.69</v>
      </c>
      <c r="T773" s="325">
        <v>3312</v>
      </c>
      <c r="U773" s="325">
        <f>T773-S773</f>
        <v>2547.31</v>
      </c>
      <c r="V773" s="330">
        <f>U773/T773</f>
        <v>0.76911533816425115</v>
      </c>
      <c r="Y773" s="270"/>
      <c r="Z773" s="144" t="s">
        <v>2022</v>
      </c>
      <c r="AA773" s="77" t="s">
        <v>1430</v>
      </c>
      <c r="AB773" s="71"/>
      <c r="AC773" s="71"/>
      <c r="AD773" s="71">
        <v>690</v>
      </c>
      <c r="AE773" s="325">
        <f>SUM(AD773:AD774)</f>
        <v>764.69</v>
      </c>
      <c r="AF773" s="325">
        <v>3312</v>
      </c>
      <c r="AG773" s="325">
        <f>AF773-AE773</f>
        <v>2547.31</v>
      </c>
      <c r="AH773" s="330">
        <f>AG773/AF773</f>
        <v>0.76911533816425115</v>
      </c>
    </row>
    <row r="774" spans="2:34" ht="13">
      <c r="B774" s="249"/>
      <c r="C774" s="1" t="s">
        <v>2023</v>
      </c>
      <c r="D774" s="24" t="s">
        <v>1398</v>
      </c>
      <c r="E774" s="11">
        <v>3.5</v>
      </c>
      <c r="F774" s="11">
        <v>13</v>
      </c>
      <c r="G774" s="24">
        <f t="shared" ref="G774:G786" si="333">E774*F774</f>
        <v>45.5</v>
      </c>
      <c r="H774" s="325">
        <f>SUM(G774:G778)</f>
        <v>565.4</v>
      </c>
      <c r="I774" s="325">
        <v>2800</v>
      </c>
      <c r="J774" s="325">
        <f>I774-H774</f>
        <v>2234.6</v>
      </c>
      <c r="K774" s="328">
        <f>J774/I774</f>
        <v>0.79807142857142854</v>
      </c>
      <c r="M774" s="270"/>
      <c r="N774" s="140"/>
      <c r="O774" s="20" t="s">
        <v>33</v>
      </c>
      <c r="P774" s="21"/>
      <c r="Q774" s="21"/>
      <c r="R774" s="21">
        <v>74.69</v>
      </c>
      <c r="S774" s="248"/>
      <c r="T774" s="248"/>
      <c r="U774" s="248"/>
      <c r="V774" s="303"/>
      <c r="Y774" s="270"/>
      <c r="Z774" s="140"/>
      <c r="AA774" s="20" t="s">
        <v>33</v>
      </c>
      <c r="AB774" s="21"/>
      <c r="AC774" s="21"/>
      <c r="AD774" s="21">
        <v>74.69</v>
      </c>
      <c r="AE774" s="248"/>
      <c r="AF774" s="248"/>
      <c r="AG774" s="248"/>
      <c r="AH774" s="303"/>
    </row>
    <row r="775" spans="2:34" ht="13">
      <c r="B775" s="249"/>
      <c r="C775" s="1"/>
      <c r="D775" s="24" t="s">
        <v>114</v>
      </c>
      <c r="E775" s="11">
        <v>20</v>
      </c>
      <c r="F775" s="11">
        <v>0</v>
      </c>
      <c r="G775" s="24">
        <f t="shared" si="333"/>
        <v>0</v>
      </c>
      <c r="H775" s="236"/>
      <c r="I775" s="236"/>
      <c r="J775" s="236"/>
      <c r="K775" s="266"/>
      <c r="M775" s="270"/>
      <c r="N775" s="314" t="s">
        <v>2024</v>
      </c>
      <c r="O775" s="15" t="s">
        <v>1332</v>
      </c>
      <c r="P775" s="16"/>
      <c r="Q775" s="16"/>
      <c r="R775" s="16">
        <v>750</v>
      </c>
      <c r="S775" s="292">
        <f>SUM(R775:R777)</f>
        <v>885.96</v>
      </c>
      <c r="T775" s="292">
        <v>7837.5</v>
      </c>
      <c r="U775" s="292">
        <f>T775-S775</f>
        <v>6951.54</v>
      </c>
      <c r="V775" s="313">
        <f>U775/T775</f>
        <v>0.88695885167464117</v>
      </c>
      <c r="Y775" s="270"/>
      <c r="Z775" s="314" t="s">
        <v>2024</v>
      </c>
      <c r="AA775" s="15" t="s">
        <v>1332</v>
      </c>
      <c r="AB775" s="16"/>
      <c r="AC775" s="16"/>
      <c r="AD775" s="16">
        <v>750</v>
      </c>
      <c r="AE775" s="292">
        <f>SUM(AD775:AD777)</f>
        <v>885.96</v>
      </c>
      <c r="AF775" s="292">
        <v>7837.5</v>
      </c>
      <c r="AG775" s="292">
        <f>AF775-AE775</f>
        <v>6951.54</v>
      </c>
      <c r="AH775" s="313">
        <f>AG775/AF775</f>
        <v>0.88695885167464117</v>
      </c>
    </row>
    <row r="776" spans="2:34" ht="13">
      <c r="B776" s="249"/>
      <c r="C776" s="1"/>
      <c r="D776" s="24" t="s">
        <v>1326</v>
      </c>
      <c r="E776" s="24">
        <v>15.1</v>
      </c>
      <c r="F776" s="24">
        <v>13</v>
      </c>
      <c r="G776" s="24">
        <f t="shared" si="333"/>
        <v>196.29999999999998</v>
      </c>
      <c r="H776" s="236"/>
      <c r="I776" s="236"/>
      <c r="J776" s="236"/>
      <c r="K776" s="266"/>
      <c r="M776" s="270"/>
      <c r="N776" s="245"/>
      <c r="O776" s="19" t="s">
        <v>2025</v>
      </c>
      <c r="P776" s="17"/>
      <c r="Q776" s="17"/>
      <c r="R776" s="17">
        <v>29.85</v>
      </c>
      <c r="S776" s="236"/>
      <c r="T776" s="236"/>
      <c r="U776" s="236"/>
      <c r="V776" s="242"/>
      <c r="Y776" s="270"/>
      <c r="Z776" s="245"/>
      <c r="AA776" s="19" t="s">
        <v>2025</v>
      </c>
      <c r="AB776" s="17"/>
      <c r="AC776" s="17"/>
      <c r="AD776" s="17">
        <v>29.85</v>
      </c>
      <c r="AE776" s="236"/>
      <c r="AF776" s="236"/>
      <c r="AG776" s="236"/>
      <c r="AH776" s="242"/>
    </row>
    <row r="777" spans="2:34" ht="13">
      <c r="B777" s="249"/>
      <c r="C777" s="1"/>
      <c r="D777" s="24" t="s">
        <v>1308</v>
      </c>
      <c r="E777" s="24">
        <v>9</v>
      </c>
      <c r="F777" s="24">
        <v>14</v>
      </c>
      <c r="G777" s="24">
        <f t="shared" si="333"/>
        <v>126</v>
      </c>
      <c r="H777" s="236"/>
      <c r="I777" s="236"/>
      <c r="J777" s="236"/>
      <c r="K777" s="266"/>
      <c r="M777" s="270"/>
      <c r="N777" s="246"/>
      <c r="O777" s="20" t="s">
        <v>33</v>
      </c>
      <c r="P777" s="21"/>
      <c r="Q777" s="21"/>
      <c r="R777" s="21">
        <v>106.11</v>
      </c>
      <c r="S777" s="248"/>
      <c r="T777" s="248"/>
      <c r="U777" s="248"/>
      <c r="V777" s="303"/>
      <c r="Y777" s="270"/>
      <c r="Z777" s="246"/>
      <c r="AA777" s="20" t="s">
        <v>33</v>
      </c>
      <c r="AB777" s="21"/>
      <c r="AC777" s="21"/>
      <c r="AD777" s="21">
        <v>106.11</v>
      </c>
      <c r="AE777" s="248"/>
      <c r="AF777" s="248"/>
      <c r="AG777" s="248"/>
      <c r="AH777" s="303"/>
    </row>
    <row r="778" spans="2:34" ht="30">
      <c r="B778" s="249"/>
      <c r="C778" s="140"/>
      <c r="D778" s="44" t="s">
        <v>1328</v>
      </c>
      <c r="E778" s="44">
        <v>15.2</v>
      </c>
      <c r="F778" s="44">
        <v>13</v>
      </c>
      <c r="G778" s="44">
        <f t="shared" si="333"/>
        <v>197.6</v>
      </c>
      <c r="H778" s="248"/>
      <c r="I778" s="248"/>
      <c r="J778" s="248"/>
      <c r="K778" s="267"/>
      <c r="M778" s="278" t="s">
        <v>2026</v>
      </c>
      <c r="N778" s="252"/>
      <c r="O778" s="253"/>
      <c r="P778" s="128">
        <f t="shared" ref="P778:U778" si="334">AVERAGE(P670:P777)</f>
        <v>11.355223880597016</v>
      </c>
      <c r="Q778" s="128">
        <f t="shared" si="334"/>
        <v>14.552238805970148</v>
      </c>
      <c r="R778" s="128">
        <f t="shared" si="334"/>
        <v>205.00292452830183</v>
      </c>
      <c r="S778" s="128">
        <f t="shared" si="334"/>
        <v>1086.5155</v>
      </c>
      <c r="T778" s="128">
        <f t="shared" si="334"/>
        <v>3343.6699999999996</v>
      </c>
      <c r="U778" s="128">
        <f t="shared" si="334"/>
        <v>2257.1544999999996</v>
      </c>
      <c r="V778" s="149"/>
      <c r="Y778" s="278" t="s">
        <v>2026</v>
      </c>
      <c r="Z778" s="252"/>
      <c r="AA778" s="253"/>
      <c r="AB778" s="128">
        <f t="shared" ref="AB778:AG778" si="335">AVERAGE(AB670:AB777)</f>
        <v>10.416122448979591</v>
      </c>
      <c r="AC778" s="128">
        <f t="shared" si="335"/>
        <v>14.102040816326531</v>
      </c>
      <c r="AD778" s="128">
        <f t="shared" si="335"/>
        <v>201.03545454545454</v>
      </c>
      <c r="AE778" s="128">
        <f t="shared" si="335"/>
        <v>884.55600000000015</v>
      </c>
      <c r="AF778" s="128">
        <f t="shared" si="335"/>
        <v>3343.6699999999996</v>
      </c>
      <c r="AG778" s="128">
        <f t="shared" si="335"/>
        <v>2459.1140000000005</v>
      </c>
      <c r="AH778" s="149"/>
    </row>
    <row r="779" spans="2:34" ht="30">
      <c r="B779" s="249"/>
      <c r="C779" s="1" t="s">
        <v>2027</v>
      </c>
      <c r="D779" s="24" t="s">
        <v>1398</v>
      </c>
      <c r="E779" s="11">
        <v>4.0999999999999996</v>
      </c>
      <c r="F779" s="11">
        <v>13</v>
      </c>
      <c r="G779" s="24">
        <f t="shared" si="333"/>
        <v>53.3</v>
      </c>
      <c r="H779" s="325">
        <f>SUM(G779:G783)</f>
        <v>1004.2</v>
      </c>
      <c r="I779" s="325">
        <v>4500</v>
      </c>
      <c r="J779" s="325">
        <f>I779-H779</f>
        <v>3495.8</v>
      </c>
      <c r="K779" s="328">
        <f>J779/I779</f>
        <v>0.77684444444444445</v>
      </c>
      <c r="M779" s="318" t="s">
        <v>2028</v>
      </c>
      <c r="N779" s="293"/>
      <c r="O779" s="319"/>
      <c r="P779" s="130">
        <f t="shared" ref="P779:U779" si="336">SUM(P670:P777)</f>
        <v>760.80000000000007</v>
      </c>
      <c r="Q779" s="130">
        <f t="shared" si="336"/>
        <v>975</v>
      </c>
      <c r="R779" s="130">
        <f t="shared" si="336"/>
        <v>21730.309999999994</v>
      </c>
      <c r="S779" s="130">
        <f t="shared" si="336"/>
        <v>21730.309999999998</v>
      </c>
      <c r="T779" s="130">
        <f t="shared" si="336"/>
        <v>66873.399999999994</v>
      </c>
      <c r="U779" s="130">
        <f t="shared" si="336"/>
        <v>45143.09</v>
      </c>
      <c r="V779" s="129">
        <f t="shared" ref="V779:V780" si="337">U779/T779</f>
        <v>0.67505301061408574</v>
      </c>
      <c r="Y779" s="318" t="s">
        <v>2028</v>
      </c>
      <c r="Z779" s="293"/>
      <c r="AA779" s="319"/>
      <c r="AB779" s="130">
        <f t="shared" ref="AB779:AG779" si="338">SUM(AB670:AB777)</f>
        <v>510.39</v>
      </c>
      <c r="AC779" s="130">
        <f t="shared" si="338"/>
        <v>691</v>
      </c>
      <c r="AD779" s="130">
        <f t="shared" si="338"/>
        <v>17691.12</v>
      </c>
      <c r="AE779" s="130">
        <f t="shared" si="338"/>
        <v>17691.120000000003</v>
      </c>
      <c r="AF779" s="130">
        <f t="shared" si="338"/>
        <v>66873.399999999994</v>
      </c>
      <c r="AG779" s="130">
        <f t="shared" si="338"/>
        <v>49182.280000000006</v>
      </c>
      <c r="AH779" s="129">
        <f t="shared" ref="AH779:AH780" si="339">AG779/AF779</f>
        <v>0.73545355851504501</v>
      </c>
    </row>
    <row r="780" spans="2:34" ht="13">
      <c r="B780" s="249"/>
      <c r="C780" s="1"/>
      <c r="D780" s="24" t="s">
        <v>114</v>
      </c>
      <c r="E780" s="11">
        <v>13</v>
      </c>
      <c r="F780" s="11">
        <v>0</v>
      </c>
      <c r="G780" s="24">
        <f t="shared" si="333"/>
        <v>0</v>
      </c>
      <c r="H780" s="236"/>
      <c r="I780" s="236"/>
      <c r="J780" s="236"/>
      <c r="K780" s="266"/>
      <c r="M780" s="288" t="s">
        <v>650</v>
      </c>
      <c r="N780" s="316" t="s">
        <v>2029</v>
      </c>
      <c r="O780" s="19" t="s">
        <v>114</v>
      </c>
      <c r="P780" s="17">
        <v>7</v>
      </c>
      <c r="Q780" s="17">
        <v>16</v>
      </c>
      <c r="R780" s="17">
        <f t="shared" ref="R780:R790" si="340">P780*Q780</f>
        <v>112</v>
      </c>
      <c r="S780" s="284">
        <f>SUM(R780:R789)</f>
        <v>2241.1999999999998</v>
      </c>
      <c r="T780" s="284">
        <v>5400</v>
      </c>
      <c r="U780" s="284">
        <f>T780-S780</f>
        <v>3158.8</v>
      </c>
      <c r="V780" s="315">
        <f t="shared" si="337"/>
        <v>0.58496296296296302</v>
      </c>
      <c r="Y780" s="288" t="s">
        <v>650</v>
      </c>
      <c r="Z780" s="316" t="s">
        <v>2029</v>
      </c>
      <c r="AA780" s="19" t="s">
        <v>114</v>
      </c>
      <c r="AB780" s="18"/>
      <c r="AC780" s="18"/>
      <c r="AD780" s="18"/>
      <c r="AE780" s="284">
        <f>SUM(AD780:AD789)</f>
        <v>1659.6</v>
      </c>
      <c r="AF780" s="284">
        <v>5400</v>
      </c>
      <c r="AG780" s="284">
        <f>AF780-AE780</f>
        <v>3740.4</v>
      </c>
      <c r="AH780" s="315">
        <f t="shared" si="339"/>
        <v>0.69266666666666665</v>
      </c>
    </row>
    <row r="781" spans="2:34" ht="13">
      <c r="B781" s="249"/>
      <c r="C781" s="1"/>
      <c r="D781" s="24" t="s">
        <v>1326</v>
      </c>
      <c r="E781" s="24">
        <v>26.5</v>
      </c>
      <c r="F781" s="24">
        <v>13</v>
      </c>
      <c r="G781" s="24">
        <f t="shared" si="333"/>
        <v>344.5</v>
      </c>
      <c r="H781" s="236"/>
      <c r="I781" s="236"/>
      <c r="J781" s="236"/>
      <c r="K781" s="266"/>
      <c r="M781" s="270"/>
      <c r="N781" s="236"/>
      <c r="O781" s="19" t="s">
        <v>701</v>
      </c>
      <c r="P781" s="17">
        <v>29.35</v>
      </c>
      <c r="Q781" s="17">
        <v>16</v>
      </c>
      <c r="R781" s="17">
        <f t="shared" si="340"/>
        <v>469.6</v>
      </c>
      <c r="S781" s="236"/>
      <c r="T781" s="236"/>
      <c r="U781" s="236"/>
      <c r="V781" s="258"/>
      <c r="Y781" s="270"/>
      <c r="Z781" s="236"/>
      <c r="AA781" s="19" t="s">
        <v>701</v>
      </c>
      <c r="AB781" s="18"/>
      <c r="AC781" s="18"/>
      <c r="AD781" s="18"/>
      <c r="AE781" s="236"/>
      <c r="AF781" s="236"/>
      <c r="AG781" s="236"/>
      <c r="AH781" s="258"/>
    </row>
    <row r="782" spans="2:34" ht="13">
      <c r="B782" s="249"/>
      <c r="C782" s="1"/>
      <c r="D782" s="24" t="s">
        <v>1308</v>
      </c>
      <c r="E782" s="24">
        <v>13.6</v>
      </c>
      <c r="F782" s="24">
        <v>14</v>
      </c>
      <c r="G782" s="24">
        <f t="shared" si="333"/>
        <v>190.4</v>
      </c>
      <c r="H782" s="236"/>
      <c r="I782" s="236"/>
      <c r="J782" s="236"/>
      <c r="K782" s="266"/>
      <c r="M782" s="270"/>
      <c r="N782" s="236"/>
      <c r="O782" s="19" t="s">
        <v>1252</v>
      </c>
      <c r="P782" s="17">
        <v>17</v>
      </c>
      <c r="Q782" s="17">
        <v>15</v>
      </c>
      <c r="R782" s="17">
        <f t="shared" si="340"/>
        <v>255</v>
      </c>
      <c r="S782" s="236"/>
      <c r="T782" s="236"/>
      <c r="U782" s="236"/>
      <c r="V782" s="258"/>
      <c r="Y782" s="270"/>
      <c r="Z782" s="236"/>
      <c r="AA782" s="19" t="s">
        <v>1252</v>
      </c>
      <c r="AB782" s="17">
        <v>17</v>
      </c>
      <c r="AC782" s="17">
        <v>15</v>
      </c>
      <c r="AD782" s="17">
        <f t="shared" ref="AD782:AD790" si="341">AB782*AC782</f>
        <v>255</v>
      </c>
      <c r="AE782" s="236"/>
      <c r="AF782" s="236"/>
      <c r="AG782" s="236"/>
      <c r="AH782" s="258"/>
    </row>
    <row r="783" spans="2:34" ht="13">
      <c r="B783" s="249"/>
      <c r="C783" s="140"/>
      <c r="D783" s="44" t="s">
        <v>1328</v>
      </c>
      <c r="E783" s="44">
        <v>32</v>
      </c>
      <c r="F783" s="44">
        <v>13</v>
      </c>
      <c r="G783" s="44">
        <f t="shared" si="333"/>
        <v>416</v>
      </c>
      <c r="H783" s="248"/>
      <c r="I783" s="248"/>
      <c r="J783" s="248"/>
      <c r="K783" s="267"/>
      <c r="M783" s="270"/>
      <c r="N783" s="236"/>
      <c r="O783" s="19" t="s">
        <v>53</v>
      </c>
      <c r="P783" s="17">
        <v>18.5</v>
      </c>
      <c r="Q783" s="17">
        <v>15</v>
      </c>
      <c r="R783" s="17">
        <f t="shared" si="340"/>
        <v>277.5</v>
      </c>
      <c r="S783" s="236"/>
      <c r="T783" s="236"/>
      <c r="U783" s="236"/>
      <c r="V783" s="258"/>
      <c r="Y783" s="270"/>
      <c r="Z783" s="236"/>
      <c r="AA783" s="19" t="s">
        <v>53</v>
      </c>
      <c r="AB783" s="17">
        <v>18.5</v>
      </c>
      <c r="AC783" s="17">
        <v>15</v>
      </c>
      <c r="AD783" s="17">
        <f t="shared" si="341"/>
        <v>277.5</v>
      </c>
      <c r="AE783" s="236"/>
      <c r="AF783" s="236"/>
      <c r="AG783" s="236"/>
      <c r="AH783" s="258"/>
    </row>
    <row r="784" spans="2:34" ht="16">
      <c r="B784" s="249"/>
      <c r="C784" s="212" t="s">
        <v>2030</v>
      </c>
      <c r="D784" s="213" t="s">
        <v>1235</v>
      </c>
      <c r="E784" s="214">
        <v>24</v>
      </c>
      <c r="F784" s="214">
        <v>17</v>
      </c>
      <c r="G784" s="213">
        <f t="shared" si="333"/>
        <v>408</v>
      </c>
      <c r="H784" s="215">
        <f>SUM(G784)</f>
        <v>408</v>
      </c>
      <c r="I784" s="215">
        <v>1300</v>
      </c>
      <c r="J784" s="215">
        <f t="shared" ref="J784:J785" si="342">I784-H784</f>
        <v>892</v>
      </c>
      <c r="K784" s="216">
        <f t="shared" ref="K784:K785" si="343">J784/I784</f>
        <v>0.68615384615384611</v>
      </c>
      <c r="M784" s="270"/>
      <c r="N784" s="236"/>
      <c r="O784" s="19" t="s">
        <v>1609</v>
      </c>
      <c r="P784" s="17">
        <v>7.42</v>
      </c>
      <c r="Q784" s="17">
        <v>15</v>
      </c>
      <c r="R784" s="17">
        <f t="shared" si="340"/>
        <v>111.3</v>
      </c>
      <c r="S784" s="236"/>
      <c r="T784" s="236"/>
      <c r="U784" s="236"/>
      <c r="V784" s="258"/>
      <c r="Y784" s="270"/>
      <c r="Z784" s="236"/>
      <c r="AA784" s="19" t="s">
        <v>1609</v>
      </c>
      <c r="AB784" s="17">
        <v>7.42</v>
      </c>
      <c r="AC784" s="17">
        <v>15</v>
      </c>
      <c r="AD784" s="17">
        <f t="shared" si="341"/>
        <v>111.3</v>
      </c>
      <c r="AE784" s="236"/>
      <c r="AF784" s="236"/>
      <c r="AG784" s="236"/>
      <c r="AH784" s="258"/>
    </row>
    <row r="785" spans="2:34" ht="13">
      <c r="B785" s="249"/>
      <c r="C785" s="6" t="s">
        <v>2031</v>
      </c>
      <c r="D785" s="7" t="s">
        <v>1322</v>
      </c>
      <c r="E785" s="8">
        <v>9</v>
      </c>
      <c r="F785" s="8">
        <v>15</v>
      </c>
      <c r="G785" s="7">
        <f t="shared" si="333"/>
        <v>135</v>
      </c>
      <c r="H785" s="239" t="e">
        <f ca="1">SUM(G785:G787)</f>
        <v>#NAME?</v>
      </c>
      <c r="I785" s="239">
        <v>1460</v>
      </c>
      <c r="J785" s="239" t="e">
        <f t="shared" ca="1" si="342"/>
        <v>#NAME?</v>
      </c>
      <c r="K785" s="349" t="e">
        <f t="shared" ca="1" si="343"/>
        <v>#NAME?</v>
      </c>
      <c r="M785" s="270"/>
      <c r="N785" s="236"/>
      <c r="O785" s="19" t="s">
        <v>698</v>
      </c>
      <c r="P785" s="17">
        <v>8.4</v>
      </c>
      <c r="Q785" s="17">
        <v>15</v>
      </c>
      <c r="R785" s="17">
        <f t="shared" si="340"/>
        <v>126</v>
      </c>
      <c r="S785" s="236"/>
      <c r="T785" s="236"/>
      <c r="U785" s="236"/>
      <c r="V785" s="258"/>
      <c r="Y785" s="270"/>
      <c r="Z785" s="236"/>
      <c r="AA785" s="19" t="s">
        <v>698</v>
      </c>
      <c r="AB785" s="17">
        <v>8.4</v>
      </c>
      <c r="AC785" s="17">
        <v>15</v>
      </c>
      <c r="AD785" s="17">
        <f t="shared" si="341"/>
        <v>126</v>
      </c>
      <c r="AE785" s="236"/>
      <c r="AF785" s="236"/>
      <c r="AG785" s="236"/>
      <c r="AH785" s="258"/>
    </row>
    <row r="786" spans="2:34" ht="13">
      <c r="B786" s="249"/>
      <c r="C786" s="1"/>
      <c r="D786" s="24" t="s">
        <v>1975</v>
      </c>
      <c r="E786" s="11">
        <v>5</v>
      </c>
      <c r="F786" s="11">
        <v>15</v>
      </c>
      <c r="G786" s="24">
        <f t="shared" si="333"/>
        <v>75</v>
      </c>
      <c r="H786" s="236"/>
      <c r="I786" s="236"/>
      <c r="J786" s="236"/>
      <c r="K786" s="266"/>
      <c r="M786" s="270"/>
      <c r="N786" s="236"/>
      <c r="O786" s="19" t="s">
        <v>70</v>
      </c>
      <c r="P786" s="17">
        <v>20.75</v>
      </c>
      <c r="Q786" s="17">
        <v>15</v>
      </c>
      <c r="R786" s="17">
        <f t="shared" si="340"/>
        <v>311.25</v>
      </c>
      <c r="S786" s="236"/>
      <c r="T786" s="236"/>
      <c r="U786" s="236"/>
      <c r="V786" s="258"/>
      <c r="Y786" s="270"/>
      <c r="Z786" s="236"/>
      <c r="AA786" s="19" t="s">
        <v>70</v>
      </c>
      <c r="AB786" s="17">
        <v>20.75</v>
      </c>
      <c r="AC786" s="17">
        <v>15</v>
      </c>
      <c r="AD786" s="17">
        <f t="shared" si="341"/>
        <v>311.25</v>
      </c>
      <c r="AE786" s="236"/>
      <c r="AF786" s="236"/>
      <c r="AG786" s="236"/>
      <c r="AH786" s="258"/>
    </row>
    <row r="787" spans="2:34" ht="13">
      <c r="B787" s="249"/>
      <c r="C787" s="140"/>
      <c r="D787" s="44" t="s">
        <v>1235</v>
      </c>
      <c r="E787" s="103">
        <v>6</v>
      </c>
      <c r="F787" s="103">
        <v>17</v>
      </c>
      <c r="G787" s="44" t="e">
        <f ca="1">MULTIPLY(E787,F787)</f>
        <v>#NAME?</v>
      </c>
      <c r="H787" s="248"/>
      <c r="I787" s="248"/>
      <c r="J787" s="248"/>
      <c r="K787" s="267"/>
      <c r="M787" s="270"/>
      <c r="N787" s="236"/>
      <c r="O787" s="19" t="s">
        <v>2004</v>
      </c>
      <c r="P787" s="17">
        <v>15.9</v>
      </c>
      <c r="Q787" s="17">
        <v>15</v>
      </c>
      <c r="R787" s="17">
        <f t="shared" si="340"/>
        <v>238.5</v>
      </c>
      <c r="S787" s="236"/>
      <c r="T787" s="236"/>
      <c r="U787" s="236"/>
      <c r="V787" s="258"/>
      <c r="Y787" s="270"/>
      <c r="Z787" s="236"/>
      <c r="AA787" s="19" t="s">
        <v>2004</v>
      </c>
      <c r="AB787" s="17">
        <v>15.9</v>
      </c>
      <c r="AC787" s="17">
        <v>15</v>
      </c>
      <c r="AD787" s="17">
        <f t="shared" si="341"/>
        <v>238.5</v>
      </c>
      <c r="AE787" s="236"/>
      <c r="AF787" s="236"/>
      <c r="AG787" s="236"/>
      <c r="AH787" s="258"/>
    </row>
    <row r="788" spans="2:34" ht="30">
      <c r="B788" s="251" t="s">
        <v>2032</v>
      </c>
      <c r="C788" s="252"/>
      <c r="D788" s="253"/>
      <c r="E788" s="27">
        <f t="shared" ref="E788:J788" si="344">AVERAGE(E729:E787)</f>
        <v>37.479369797859682</v>
      </c>
      <c r="F788" s="27">
        <f t="shared" si="344"/>
        <v>52.344137931034481</v>
      </c>
      <c r="G788" s="27" t="e">
        <f t="shared" ca="1" si="344"/>
        <v>#NAME?</v>
      </c>
      <c r="H788" s="27" t="e">
        <f t="shared" ca="1" si="344"/>
        <v>#NAME?</v>
      </c>
      <c r="I788" s="27">
        <f t="shared" si="344"/>
        <v>7384.6143790849665</v>
      </c>
      <c r="J788" s="27" t="e">
        <f t="shared" ca="1" si="344"/>
        <v>#NAME?</v>
      </c>
      <c r="K788" s="28"/>
      <c r="M788" s="270"/>
      <c r="N788" s="236"/>
      <c r="O788" s="19" t="s">
        <v>78</v>
      </c>
      <c r="P788" s="17">
        <v>14</v>
      </c>
      <c r="Q788" s="17">
        <v>15</v>
      </c>
      <c r="R788" s="17">
        <f t="shared" si="340"/>
        <v>210</v>
      </c>
      <c r="S788" s="236"/>
      <c r="T788" s="236"/>
      <c r="U788" s="236"/>
      <c r="V788" s="258"/>
      <c r="Y788" s="270"/>
      <c r="Z788" s="236"/>
      <c r="AA788" s="19" t="s">
        <v>78</v>
      </c>
      <c r="AB788" s="17">
        <v>14</v>
      </c>
      <c r="AC788" s="17">
        <v>15</v>
      </c>
      <c r="AD788" s="17">
        <f t="shared" si="341"/>
        <v>210</v>
      </c>
      <c r="AE788" s="236"/>
      <c r="AF788" s="236"/>
      <c r="AG788" s="236"/>
      <c r="AH788" s="258"/>
    </row>
    <row r="789" spans="2:34" ht="30">
      <c r="B789" s="251" t="s">
        <v>2033</v>
      </c>
      <c r="C789" s="252"/>
      <c r="D789" s="253"/>
      <c r="E789" s="27">
        <f t="shared" ref="E789:H789" si="345">SUM(E729:E787)</f>
        <v>2173.8034482758617</v>
      </c>
      <c r="F789" s="27">
        <f t="shared" si="345"/>
        <v>3035.96</v>
      </c>
      <c r="G789" s="27" t="e">
        <f t="shared" ca="1" si="345"/>
        <v>#NAME?</v>
      </c>
      <c r="H789" s="27" t="e">
        <f t="shared" ca="1" si="345"/>
        <v>#NAME?</v>
      </c>
      <c r="I789" s="27">
        <f t="shared" ref="I789:J789" si="346">SUM(I755:I787)</f>
        <v>23980</v>
      </c>
      <c r="J789" s="27" t="e">
        <f t="shared" ca="1" si="346"/>
        <v>#NAME?</v>
      </c>
      <c r="K789" s="154" t="e">
        <f t="shared" ref="K789:K790" ca="1" si="347">J789/I789</f>
        <v>#NAME?</v>
      </c>
      <c r="M789" s="270"/>
      <c r="N789" s="248"/>
      <c r="O789" s="20" t="s">
        <v>310</v>
      </c>
      <c r="P789" s="21">
        <v>8.67</v>
      </c>
      <c r="Q789" s="21">
        <v>15</v>
      </c>
      <c r="R789" s="21">
        <f t="shared" si="340"/>
        <v>130.05000000000001</v>
      </c>
      <c r="S789" s="293"/>
      <c r="T789" s="293"/>
      <c r="U789" s="293"/>
      <c r="V789" s="295"/>
      <c r="Y789" s="270"/>
      <c r="Z789" s="248"/>
      <c r="AA789" s="20" t="s">
        <v>310</v>
      </c>
      <c r="AB789" s="21">
        <v>8.67</v>
      </c>
      <c r="AC789" s="21">
        <v>15</v>
      </c>
      <c r="AD789" s="21">
        <f t="shared" si="341"/>
        <v>130.05000000000001</v>
      </c>
      <c r="AE789" s="293"/>
      <c r="AF789" s="293"/>
      <c r="AG789" s="293"/>
      <c r="AH789" s="295"/>
    </row>
    <row r="790" spans="2:34" ht="14">
      <c r="B790" s="277" t="s">
        <v>11</v>
      </c>
      <c r="C790" s="202" t="s">
        <v>2034</v>
      </c>
      <c r="D790" s="159" t="s">
        <v>1328</v>
      </c>
      <c r="E790" s="158">
        <v>9.5</v>
      </c>
      <c r="F790" s="158">
        <v>13</v>
      </c>
      <c r="G790" s="159">
        <f>E790*F790</f>
        <v>123.5</v>
      </c>
      <c r="H790" s="320">
        <f>SUM(G790:G795)</f>
        <v>425.2</v>
      </c>
      <c r="I790" s="320">
        <v>1500</v>
      </c>
      <c r="J790" s="320">
        <f>I790-H790</f>
        <v>1074.8</v>
      </c>
      <c r="K790" s="346">
        <f t="shared" si="347"/>
        <v>0.71653333333333336</v>
      </c>
      <c r="M790" s="270"/>
      <c r="N790" s="148" t="s">
        <v>2035</v>
      </c>
      <c r="O790" s="77" t="s">
        <v>698</v>
      </c>
      <c r="P790" s="71">
        <v>3</v>
      </c>
      <c r="Q790" s="71">
        <v>13</v>
      </c>
      <c r="R790" s="71">
        <f t="shared" si="340"/>
        <v>39</v>
      </c>
      <c r="S790" s="325">
        <f>SUM(R790:R791)</f>
        <v>191</v>
      </c>
      <c r="T790" s="325">
        <v>1274</v>
      </c>
      <c r="U790" s="325">
        <f>T790-S790</f>
        <v>1083</v>
      </c>
      <c r="V790" s="330">
        <f>U790/T790</f>
        <v>0.85007849293563575</v>
      </c>
      <c r="Y790" s="270"/>
      <c r="Z790" s="148" t="s">
        <v>2035</v>
      </c>
      <c r="AA790" s="77" t="s">
        <v>698</v>
      </c>
      <c r="AB790" s="71">
        <v>3</v>
      </c>
      <c r="AC790" s="71">
        <v>13</v>
      </c>
      <c r="AD790" s="71">
        <f t="shared" si="341"/>
        <v>39</v>
      </c>
      <c r="AE790" s="325">
        <f>SUM(AD790:AD791)</f>
        <v>191</v>
      </c>
      <c r="AF790" s="325">
        <v>1274</v>
      </c>
      <c r="AG790" s="325">
        <f>AF790-AE790</f>
        <v>1083</v>
      </c>
      <c r="AH790" s="330">
        <f>AG790/AF790</f>
        <v>0.85007849293563575</v>
      </c>
    </row>
    <row r="791" spans="2:34" ht="13">
      <c r="B791" s="249"/>
      <c r="C791" s="1"/>
      <c r="D791" s="24" t="s">
        <v>114</v>
      </c>
      <c r="E791" s="208">
        <v>2.5</v>
      </c>
      <c r="F791" s="208">
        <v>0</v>
      </c>
      <c r="G791" s="209">
        <f t="shared" ref="G791:G793" si="348">SUM(E791*F791)</f>
        <v>0</v>
      </c>
      <c r="H791" s="236"/>
      <c r="I791" s="236"/>
      <c r="J791" s="236"/>
      <c r="K791" s="258"/>
      <c r="M791" s="270"/>
      <c r="N791" s="140"/>
      <c r="O791" s="20" t="s">
        <v>33</v>
      </c>
      <c r="P791" s="21"/>
      <c r="Q791" s="21"/>
      <c r="R791" s="21">
        <v>152</v>
      </c>
      <c r="S791" s="248"/>
      <c r="T791" s="248"/>
      <c r="U791" s="248"/>
      <c r="V791" s="303"/>
      <c r="Y791" s="270"/>
      <c r="Z791" s="140"/>
      <c r="AA791" s="20" t="s">
        <v>33</v>
      </c>
      <c r="AB791" s="21"/>
      <c r="AC791" s="21"/>
      <c r="AD791" s="21">
        <v>152</v>
      </c>
      <c r="AE791" s="248"/>
      <c r="AF791" s="248"/>
      <c r="AG791" s="248"/>
      <c r="AH791" s="303"/>
    </row>
    <row r="792" spans="2:34" ht="13">
      <c r="B792" s="249"/>
      <c r="C792" s="1"/>
      <c r="D792" s="24" t="s">
        <v>1326</v>
      </c>
      <c r="E792" s="209">
        <v>4</v>
      </c>
      <c r="F792" s="209">
        <v>13</v>
      </c>
      <c r="G792" s="209">
        <f t="shared" si="348"/>
        <v>52</v>
      </c>
      <c r="H792" s="236"/>
      <c r="I792" s="236"/>
      <c r="J792" s="236"/>
      <c r="K792" s="258"/>
      <c r="M792" s="270"/>
      <c r="N792" s="316" t="s">
        <v>1272</v>
      </c>
      <c r="O792" s="19" t="s">
        <v>114</v>
      </c>
      <c r="P792" s="17">
        <v>21</v>
      </c>
      <c r="Q792" s="17">
        <v>16</v>
      </c>
      <c r="R792" s="17">
        <f t="shared" ref="R792:R805" si="349">P792*Q792</f>
        <v>336</v>
      </c>
      <c r="S792" s="284">
        <f>SUM(R792:R806)</f>
        <v>2766.1699999999996</v>
      </c>
      <c r="T792" s="284">
        <v>2427</v>
      </c>
      <c r="U792" s="284">
        <f>T792-S792</f>
        <v>-339.16999999999962</v>
      </c>
      <c r="V792" s="315">
        <f>U792/T792</f>
        <v>-0.1397486608982281</v>
      </c>
      <c r="Y792" s="270"/>
      <c r="Z792" s="316" t="s">
        <v>1272</v>
      </c>
      <c r="AA792" s="19" t="s">
        <v>114</v>
      </c>
      <c r="AB792" s="18"/>
      <c r="AC792" s="18"/>
      <c r="AD792" s="18"/>
      <c r="AE792" s="284">
        <f>SUM(AD792:AD806)</f>
        <v>2094.17</v>
      </c>
      <c r="AF792" s="284">
        <v>2427</v>
      </c>
      <c r="AG792" s="284">
        <f>AF792-AE792</f>
        <v>332.82999999999993</v>
      </c>
      <c r="AH792" s="315">
        <f>AG792/AF792</f>
        <v>0.13713638236505971</v>
      </c>
    </row>
    <row r="793" spans="2:34" ht="13">
      <c r="B793" s="249"/>
      <c r="C793" s="1"/>
      <c r="D793" s="24" t="s">
        <v>1308</v>
      </c>
      <c r="E793" s="209">
        <v>4</v>
      </c>
      <c r="F793" s="209">
        <v>14</v>
      </c>
      <c r="G793" s="209">
        <f t="shared" si="348"/>
        <v>56</v>
      </c>
      <c r="H793" s="236"/>
      <c r="I793" s="236"/>
      <c r="J793" s="236"/>
      <c r="K793" s="258"/>
      <c r="M793" s="270"/>
      <c r="N793" s="236"/>
      <c r="O793" s="19" t="s">
        <v>744</v>
      </c>
      <c r="P793" s="17">
        <v>18.25</v>
      </c>
      <c r="Q793" s="17">
        <v>13</v>
      </c>
      <c r="R793" s="17">
        <f t="shared" si="349"/>
        <v>237.25</v>
      </c>
      <c r="S793" s="236"/>
      <c r="T793" s="236"/>
      <c r="U793" s="236"/>
      <c r="V793" s="258"/>
      <c r="Y793" s="270"/>
      <c r="Z793" s="236"/>
      <c r="AA793" s="19" t="s">
        <v>744</v>
      </c>
      <c r="AB793" s="17">
        <v>18.25</v>
      </c>
      <c r="AC793" s="17">
        <v>13</v>
      </c>
      <c r="AD793" s="17">
        <f>AB793*AC793</f>
        <v>237.25</v>
      </c>
      <c r="AE793" s="236"/>
      <c r="AF793" s="236"/>
      <c r="AG793" s="236"/>
      <c r="AH793" s="258"/>
    </row>
    <row r="794" spans="2:34" ht="13">
      <c r="B794" s="249"/>
      <c r="C794" s="1"/>
      <c r="D794" s="24" t="s">
        <v>97</v>
      </c>
      <c r="E794" s="24">
        <v>7.4</v>
      </c>
      <c r="F794" s="24">
        <v>13</v>
      </c>
      <c r="G794" s="24">
        <f t="shared" ref="G794:G796" si="350">E794*F794</f>
        <v>96.2</v>
      </c>
      <c r="H794" s="236"/>
      <c r="I794" s="236"/>
      <c r="J794" s="236"/>
      <c r="K794" s="258"/>
      <c r="M794" s="270"/>
      <c r="N794" s="236"/>
      <c r="O794" s="19" t="s">
        <v>815</v>
      </c>
      <c r="P794" s="17">
        <v>21</v>
      </c>
      <c r="Q794" s="17">
        <v>16</v>
      </c>
      <c r="R794" s="17">
        <f t="shared" si="349"/>
        <v>336</v>
      </c>
      <c r="S794" s="236"/>
      <c r="T794" s="236"/>
      <c r="U794" s="236"/>
      <c r="V794" s="258"/>
      <c r="Y794" s="270"/>
      <c r="Z794" s="236"/>
      <c r="AA794" s="19" t="s">
        <v>815</v>
      </c>
      <c r="AB794" s="18"/>
      <c r="AC794" s="18"/>
      <c r="AD794" s="18"/>
      <c r="AE794" s="236"/>
      <c r="AF794" s="236"/>
      <c r="AG794" s="236"/>
      <c r="AH794" s="258"/>
    </row>
    <row r="795" spans="2:34" ht="13">
      <c r="B795" s="249"/>
      <c r="C795" s="204"/>
      <c r="D795" s="205" t="s">
        <v>1398</v>
      </c>
      <c r="E795" s="205">
        <v>7.5</v>
      </c>
      <c r="F795" s="205">
        <v>13</v>
      </c>
      <c r="G795" s="205">
        <f t="shared" si="350"/>
        <v>97.5</v>
      </c>
      <c r="H795" s="293"/>
      <c r="I795" s="293"/>
      <c r="J795" s="293"/>
      <c r="K795" s="295"/>
      <c r="M795" s="270"/>
      <c r="N795" s="236"/>
      <c r="O795" s="19" t="s">
        <v>1273</v>
      </c>
      <c r="P795" s="17">
        <v>5.25</v>
      </c>
      <c r="Q795" s="17">
        <v>13</v>
      </c>
      <c r="R795" s="17">
        <f t="shared" si="349"/>
        <v>68.25</v>
      </c>
      <c r="S795" s="236"/>
      <c r="T795" s="236"/>
      <c r="U795" s="236"/>
      <c r="V795" s="258"/>
      <c r="Y795" s="270"/>
      <c r="Z795" s="236"/>
      <c r="AA795" s="19" t="s">
        <v>1273</v>
      </c>
      <c r="AB795" s="17">
        <v>5.25</v>
      </c>
      <c r="AC795" s="17">
        <v>13</v>
      </c>
      <c r="AD795" s="17">
        <f t="shared" ref="AD795:AD805" si="351">AB795*AC795</f>
        <v>68.25</v>
      </c>
      <c r="AE795" s="236"/>
      <c r="AF795" s="236"/>
      <c r="AG795" s="236"/>
      <c r="AH795" s="258"/>
    </row>
    <row r="796" spans="2:34" ht="13">
      <c r="B796" s="249"/>
      <c r="C796" s="202" t="s">
        <v>2036</v>
      </c>
      <c r="D796" s="159" t="s">
        <v>1308</v>
      </c>
      <c r="E796" s="159">
        <v>14</v>
      </c>
      <c r="F796" s="159">
        <v>15</v>
      </c>
      <c r="G796" s="159">
        <f t="shared" si="350"/>
        <v>210</v>
      </c>
      <c r="H796" s="320">
        <f>SUM(G796:G799)</f>
        <v>1267.5</v>
      </c>
      <c r="I796" s="320">
        <v>3650</v>
      </c>
      <c r="J796" s="320">
        <f>I796-H796</f>
        <v>2382.5</v>
      </c>
      <c r="K796" s="346">
        <f>J796/I796</f>
        <v>0.65273972602739727</v>
      </c>
      <c r="M796" s="270"/>
      <c r="N796" s="236"/>
      <c r="O796" s="19" t="s">
        <v>75</v>
      </c>
      <c r="P796" s="17">
        <v>7.75</v>
      </c>
      <c r="Q796" s="17">
        <v>13</v>
      </c>
      <c r="R796" s="17">
        <f t="shared" si="349"/>
        <v>100.75</v>
      </c>
      <c r="S796" s="236"/>
      <c r="T796" s="236"/>
      <c r="U796" s="236"/>
      <c r="V796" s="258"/>
      <c r="Y796" s="270"/>
      <c r="Z796" s="236"/>
      <c r="AA796" s="19" t="s">
        <v>75</v>
      </c>
      <c r="AB796" s="17">
        <v>7.75</v>
      </c>
      <c r="AC796" s="17">
        <v>13</v>
      </c>
      <c r="AD796" s="17">
        <f t="shared" si="351"/>
        <v>100.75</v>
      </c>
      <c r="AE796" s="236"/>
      <c r="AF796" s="236"/>
      <c r="AG796" s="236"/>
      <c r="AH796" s="258"/>
    </row>
    <row r="797" spans="2:34" ht="13">
      <c r="B797" s="249"/>
      <c r="C797" s="1"/>
      <c r="D797" s="24" t="s">
        <v>1235</v>
      </c>
      <c r="E797" s="24">
        <v>49</v>
      </c>
      <c r="F797" s="24">
        <v>15</v>
      </c>
      <c r="G797" s="209">
        <f t="shared" ref="G797:G799" si="352">SUM(E797*F797)</f>
        <v>735</v>
      </c>
      <c r="H797" s="236"/>
      <c r="I797" s="236"/>
      <c r="J797" s="236"/>
      <c r="K797" s="258"/>
      <c r="M797" s="270"/>
      <c r="N797" s="236"/>
      <c r="O797" s="19" t="s">
        <v>325</v>
      </c>
      <c r="P797" s="17">
        <v>9.66</v>
      </c>
      <c r="Q797" s="17">
        <v>13</v>
      </c>
      <c r="R797" s="17">
        <f t="shared" si="349"/>
        <v>125.58</v>
      </c>
      <c r="S797" s="236"/>
      <c r="T797" s="236"/>
      <c r="U797" s="236"/>
      <c r="V797" s="258"/>
      <c r="Y797" s="270"/>
      <c r="Z797" s="236"/>
      <c r="AA797" s="19" t="s">
        <v>325</v>
      </c>
      <c r="AB797" s="17">
        <v>9.66</v>
      </c>
      <c r="AC797" s="17">
        <v>13</v>
      </c>
      <c r="AD797" s="17">
        <f t="shared" si="351"/>
        <v>125.58</v>
      </c>
      <c r="AE797" s="236"/>
      <c r="AF797" s="236"/>
      <c r="AG797" s="236"/>
      <c r="AH797" s="258"/>
    </row>
    <row r="798" spans="2:34" ht="13">
      <c r="B798" s="249"/>
      <c r="C798" s="1"/>
      <c r="D798" s="24" t="s">
        <v>1321</v>
      </c>
      <c r="E798" s="24">
        <v>5.5</v>
      </c>
      <c r="F798" s="24">
        <v>15</v>
      </c>
      <c r="G798" s="209">
        <f t="shared" si="352"/>
        <v>82.5</v>
      </c>
      <c r="H798" s="236"/>
      <c r="I798" s="236"/>
      <c r="J798" s="236"/>
      <c r="K798" s="258"/>
      <c r="M798" s="270"/>
      <c r="N798" s="236"/>
      <c r="O798" s="19" t="s">
        <v>70</v>
      </c>
      <c r="P798" s="17">
        <v>15.1</v>
      </c>
      <c r="Q798" s="17">
        <v>13</v>
      </c>
      <c r="R798" s="17">
        <f t="shared" si="349"/>
        <v>196.29999999999998</v>
      </c>
      <c r="S798" s="236"/>
      <c r="T798" s="236"/>
      <c r="U798" s="236"/>
      <c r="V798" s="258"/>
      <c r="Y798" s="270"/>
      <c r="Z798" s="236"/>
      <c r="AA798" s="19" t="s">
        <v>70</v>
      </c>
      <c r="AB798" s="17">
        <v>15.1</v>
      </c>
      <c r="AC798" s="17">
        <v>13</v>
      </c>
      <c r="AD798" s="17">
        <f t="shared" si="351"/>
        <v>196.29999999999998</v>
      </c>
      <c r="AE798" s="236"/>
      <c r="AF798" s="236"/>
      <c r="AG798" s="236"/>
      <c r="AH798" s="258"/>
    </row>
    <row r="799" spans="2:34" ht="13">
      <c r="B799" s="249"/>
      <c r="C799" s="204"/>
      <c r="D799" s="205" t="s">
        <v>1322</v>
      </c>
      <c r="E799" s="205">
        <v>16</v>
      </c>
      <c r="F799" s="205">
        <v>15</v>
      </c>
      <c r="G799" s="221">
        <f t="shared" si="352"/>
        <v>240</v>
      </c>
      <c r="H799" s="293"/>
      <c r="I799" s="293"/>
      <c r="J799" s="293"/>
      <c r="K799" s="295"/>
      <c r="M799" s="270"/>
      <c r="N799" s="236"/>
      <c r="O799" s="106" t="s">
        <v>78</v>
      </c>
      <c r="P799" s="17">
        <v>21</v>
      </c>
      <c r="Q799" s="17">
        <v>13</v>
      </c>
      <c r="R799" s="17">
        <f t="shared" si="349"/>
        <v>273</v>
      </c>
      <c r="S799" s="236"/>
      <c r="T799" s="236"/>
      <c r="U799" s="236"/>
      <c r="V799" s="258"/>
      <c r="Y799" s="270"/>
      <c r="Z799" s="236"/>
      <c r="AA799" s="106" t="s">
        <v>78</v>
      </c>
      <c r="AB799" s="17">
        <v>21</v>
      </c>
      <c r="AC799" s="17">
        <v>13</v>
      </c>
      <c r="AD799" s="17">
        <f t="shared" si="351"/>
        <v>273</v>
      </c>
      <c r="AE799" s="236"/>
      <c r="AF799" s="236"/>
      <c r="AG799" s="236"/>
      <c r="AH799" s="258"/>
    </row>
    <row r="800" spans="2:34" ht="13">
      <c r="B800" s="249"/>
      <c r="C800" s="222" t="s">
        <v>2037</v>
      </c>
      <c r="D800" s="15" t="s">
        <v>1235</v>
      </c>
      <c r="E800" s="16">
        <v>24</v>
      </c>
      <c r="F800" s="16">
        <v>17</v>
      </c>
      <c r="G800" s="16">
        <f>E800*F800</f>
        <v>408</v>
      </c>
      <c r="H800" s="292">
        <f>SUM(G800:G805)</f>
        <v>948</v>
      </c>
      <c r="I800" s="292">
        <v>2910</v>
      </c>
      <c r="J800" s="292">
        <f>I800-H800</f>
        <v>1962</v>
      </c>
      <c r="K800" s="347">
        <f>J800/I800</f>
        <v>0.67422680412371139</v>
      </c>
      <c r="M800" s="270"/>
      <c r="N800" s="236"/>
      <c r="O800" s="19" t="s">
        <v>1239</v>
      </c>
      <c r="P800" s="17">
        <v>24.55</v>
      </c>
      <c r="Q800" s="17">
        <v>13</v>
      </c>
      <c r="R800" s="17">
        <f t="shared" si="349"/>
        <v>319.15000000000003</v>
      </c>
      <c r="S800" s="236"/>
      <c r="T800" s="236"/>
      <c r="U800" s="236"/>
      <c r="V800" s="258"/>
      <c r="Y800" s="270"/>
      <c r="Z800" s="236"/>
      <c r="AA800" s="19" t="s">
        <v>1239</v>
      </c>
      <c r="AB800" s="17">
        <v>24.55</v>
      </c>
      <c r="AC800" s="17">
        <v>13</v>
      </c>
      <c r="AD800" s="17">
        <f t="shared" si="351"/>
        <v>319.15000000000003</v>
      </c>
      <c r="AE800" s="236"/>
      <c r="AF800" s="236"/>
      <c r="AG800" s="236"/>
      <c r="AH800" s="258"/>
    </row>
    <row r="801" spans="2:34" ht="13">
      <c r="B801" s="249"/>
      <c r="C801" s="223"/>
      <c r="D801" s="19" t="s">
        <v>1308</v>
      </c>
      <c r="E801" s="180">
        <v>12</v>
      </c>
      <c r="F801" s="180">
        <v>15</v>
      </c>
      <c r="G801" s="17">
        <f t="shared" ref="G801:G803" si="353">SUM(E801*F801)</f>
        <v>180</v>
      </c>
      <c r="H801" s="236"/>
      <c r="I801" s="236"/>
      <c r="J801" s="236"/>
      <c r="K801" s="258"/>
      <c r="M801" s="270"/>
      <c r="N801" s="236"/>
      <c r="O801" s="19" t="s">
        <v>1274</v>
      </c>
      <c r="P801" s="17">
        <v>5</v>
      </c>
      <c r="Q801" s="17">
        <v>13</v>
      </c>
      <c r="R801" s="17">
        <f t="shared" si="349"/>
        <v>65</v>
      </c>
      <c r="S801" s="236"/>
      <c r="T801" s="236"/>
      <c r="U801" s="236"/>
      <c r="V801" s="258"/>
      <c r="Y801" s="270"/>
      <c r="Z801" s="236"/>
      <c r="AA801" s="19" t="s">
        <v>1274</v>
      </c>
      <c r="AB801" s="17">
        <v>5</v>
      </c>
      <c r="AC801" s="17">
        <v>13</v>
      </c>
      <c r="AD801" s="17">
        <f t="shared" si="351"/>
        <v>65</v>
      </c>
      <c r="AE801" s="236"/>
      <c r="AF801" s="236"/>
      <c r="AG801" s="236"/>
      <c r="AH801" s="258"/>
    </row>
    <row r="802" spans="2:34" ht="13">
      <c r="B802" s="249"/>
      <c r="C802" s="223"/>
      <c r="D802" s="19" t="s">
        <v>1322</v>
      </c>
      <c r="E802" s="17">
        <v>12</v>
      </c>
      <c r="F802" s="17">
        <v>15</v>
      </c>
      <c r="G802" s="17">
        <f t="shared" si="353"/>
        <v>180</v>
      </c>
      <c r="H802" s="236"/>
      <c r="I802" s="236"/>
      <c r="J802" s="236"/>
      <c r="K802" s="258"/>
      <c r="M802" s="270"/>
      <c r="N802" s="236"/>
      <c r="O802" s="19" t="s">
        <v>421</v>
      </c>
      <c r="P802" s="17">
        <v>2.83</v>
      </c>
      <c r="Q802" s="17">
        <v>13</v>
      </c>
      <c r="R802" s="17">
        <f t="shared" si="349"/>
        <v>36.79</v>
      </c>
      <c r="S802" s="236"/>
      <c r="T802" s="236"/>
      <c r="U802" s="236"/>
      <c r="V802" s="258"/>
      <c r="Y802" s="270"/>
      <c r="Z802" s="236"/>
      <c r="AA802" s="19" t="s">
        <v>421</v>
      </c>
      <c r="AB802" s="17">
        <v>2.83</v>
      </c>
      <c r="AC802" s="17">
        <v>13</v>
      </c>
      <c r="AD802" s="17">
        <f t="shared" si="351"/>
        <v>36.79</v>
      </c>
      <c r="AE802" s="236"/>
      <c r="AF802" s="236"/>
      <c r="AG802" s="236"/>
      <c r="AH802" s="258"/>
    </row>
    <row r="803" spans="2:34" ht="13">
      <c r="B803" s="249"/>
      <c r="C803" s="223"/>
      <c r="D803" s="19" t="s">
        <v>1398</v>
      </c>
      <c r="E803" s="17">
        <v>6</v>
      </c>
      <c r="F803" s="17">
        <v>15</v>
      </c>
      <c r="G803" s="17">
        <f t="shared" si="353"/>
        <v>90</v>
      </c>
      <c r="H803" s="236"/>
      <c r="I803" s="236"/>
      <c r="J803" s="236"/>
      <c r="K803" s="258"/>
      <c r="M803" s="270"/>
      <c r="N803" s="236"/>
      <c r="O803" s="19" t="s">
        <v>53</v>
      </c>
      <c r="P803" s="17">
        <v>19.649999999999999</v>
      </c>
      <c r="Q803" s="17">
        <v>13</v>
      </c>
      <c r="R803" s="17">
        <f t="shared" si="349"/>
        <v>255.45</v>
      </c>
      <c r="S803" s="236"/>
      <c r="T803" s="236"/>
      <c r="U803" s="236"/>
      <c r="V803" s="258"/>
      <c r="Y803" s="270"/>
      <c r="Z803" s="236"/>
      <c r="AA803" s="19" t="s">
        <v>53</v>
      </c>
      <c r="AB803" s="17">
        <v>19.649999999999999</v>
      </c>
      <c r="AC803" s="17">
        <v>13</v>
      </c>
      <c r="AD803" s="17">
        <f t="shared" si="351"/>
        <v>255.45</v>
      </c>
      <c r="AE803" s="236"/>
      <c r="AF803" s="236"/>
      <c r="AG803" s="236"/>
      <c r="AH803" s="258"/>
    </row>
    <row r="804" spans="2:34" ht="13">
      <c r="B804" s="249"/>
      <c r="C804" s="223"/>
      <c r="D804" s="19" t="s">
        <v>2038</v>
      </c>
      <c r="E804" s="17">
        <v>3</v>
      </c>
      <c r="F804" s="17">
        <v>15</v>
      </c>
      <c r="G804" s="17">
        <f t="shared" ref="G804:G806" si="354">E804*F804</f>
        <v>45</v>
      </c>
      <c r="H804" s="236"/>
      <c r="I804" s="236"/>
      <c r="J804" s="236"/>
      <c r="K804" s="258"/>
      <c r="M804" s="270"/>
      <c r="N804" s="236"/>
      <c r="O804" s="19" t="s">
        <v>1275</v>
      </c>
      <c r="P804" s="17">
        <v>11.25</v>
      </c>
      <c r="Q804" s="17">
        <v>13</v>
      </c>
      <c r="R804" s="17">
        <f t="shared" si="349"/>
        <v>146.25</v>
      </c>
      <c r="S804" s="236"/>
      <c r="T804" s="236"/>
      <c r="U804" s="236"/>
      <c r="V804" s="258"/>
      <c r="Y804" s="270"/>
      <c r="Z804" s="236"/>
      <c r="AA804" s="19" t="s">
        <v>1275</v>
      </c>
      <c r="AB804" s="17">
        <v>11.25</v>
      </c>
      <c r="AC804" s="17">
        <v>13</v>
      </c>
      <c r="AD804" s="17">
        <f t="shared" si="351"/>
        <v>146.25</v>
      </c>
      <c r="AE804" s="236"/>
      <c r="AF804" s="236"/>
      <c r="AG804" s="236"/>
      <c r="AH804" s="258"/>
    </row>
    <row r="805" spans="2:34" ht="13">
      <c r="B805" s="249"/>
      <c r="C805" s="224"/>
      <c r="D805" s="126" t="s">
        <v>1355</v>
      </c>
      <c r="E805" s="125">
        <v>3</v>
      </c>
      <c r="F805" s="125">
        <v>15</v>
      </c>
      <c r="G805" s="125">
        <f t="shared" si="354"/>
        <v>45</v>
      </c>
      <c r="H805" s="293"/>
      <c r="I805" s="293"/>
      <c r="J805" s="293"/>
      <c r="K805" s="295"/>
      <c r="M805" s="270"/>
      <c r="N805" s="236"/>
      <c r="O805" s="19" t="s">
        <v>310</v>
      </c>
      <c r="P805" s="17">
        <v>6.8</v>
      </c>
      <c r="Q805" s="17">
        <v>13</v>
      </c>
      <c r="R805" s="17">
        <f t="shared" si="349"/>
        <v>88.399999999999991</v>
      </c>
      <c r="S805" s="236"/>
      <c r="T805" s="236"/>
      <c r="U805" s="236"/>
      <c r="V805" s="258"/>
      <c r="Y805" s="270"/>
      <c r="Z805" s="236"/>
      <c r="AA805" s="19" t="s">
        <v>310</v>
      </c>
      <c r="AB805" s="17">
        <v>6.8</v>
      </c>
      <c r="AC805" s="17">
        <v>13</v>
      </c>
      <c r="AD805" s="17">
        <f t="shared" si="351"/>
        <v>88.399999999999991</v>
      </c>
      <c r="AE805" s="236"/>
      <c r="AF805" s="236"/>
      <c r="AG805" s="236"/>
      <c r="AH805" s="258"/>
    </row>
    <row r="806" spans="2:34" ht="13">
      <c r="B806" s="249"/>
      <c r="C806" s="222" t="s">
        <v>2039</v>
      </c>
      <c r="D806" s="15" t="s">
        <v>33</v>
      </c>
      <c r="E806" s="16">
        <v>1</v>
      </c>
      <c r="F806" s="16">
        <v>92.39</v>
      </c>
      <c r="G806" s="16">
        <f t="shared" si="354"/>
        <v>92.39</v>
      </c>
      <c r="H806" s="292">
        <f>SUM(G806:G810)</f>
        <v>769.49</v>
      </c>
      <c r="I806" s="292">
        <v>2630</v>
      </c>
      <c r="J806" s="292">
        <f>I806-H806</f>
        <v>1860.51</v>
      </c>
      <c r="K806" s="347">
        <f>J806/I806</f>
        <v>0.70741825095057032</v>
      </c>
      <c r="M806" s="270"/>
      <c r="N806" s="248"/>
      <c r="O806" s="20" t="s">
        <v>1267</v>
      </c>
      <c r="P806" s="21"/>
      <c r="Q806" s="21"/>
      <c r="R806" s="21">
        <v>182</v>
      </c>
      <c r="S806" s="293"/>
      <c r="T806" s="293"/>
      <c r="U806" s="293"/>
      <c r="V806" s="295"/>
      <c r="Y806" s="270"/>
      <c r="Z806" s="248"/>
      <c r="AA806" s="20" t="s">
        <v>1267</v>
      </c>
      <c r="AB806" s="21"/>
      <c r="AC806" s="21"/>
      <c r="AD806" s="21">
        <v>182</v>
      </c>
      <c r="AE806" s="293"/>
      <c r="AF806" s="293"/>
      <c r="AG806" s="293"/>
      <c r="AH806" s="295"/>
    </row>
    <row r="807" spans="2:34" ht="13">
      <c r="B807" s="249"/>
      <c r="C807" s="223"/>
      <c r="D807" s="19" t="s">
        <v>114</v>
      </c>
      <c r="E807" s="17">
        <v>12.5</v>
      </c>
      <c r="F807" s="17">
        <v>0</v>
      </c>
      <c r="G807" s="17">
        <f>SUM(E807*F807)</f>
        <v>0</v>
      </c>
      <c r="H807" s="236"/>
      <c r="I807" s="236"/>
      <c r="J807" s="236"/>
      <c r="K807" s="258"/>
      <c r="M807" s="270"/>
      <c r="N807" s="314" t="s">
        <v>2040</v>
      </c>
      <c r="O807" s="15" t="s">
        <v>1239</v>
      </c>
      <c r="P807" s="16">
        <v>10.98</v>
      </c>
      <c r="Q807" s="16">
        <v>15</v>
      </c>
      <c r="R807" s="16">
        <f t="shared" ref="R807:R810" si="355">P807*Q807</f>
        <v>164.70000000000002</v>
      </c>
      <c r="S807" s="284">
        <f>SUM(R807:R809)</f>
        <v>720.7</v>
      </c>
      <c r="T807" s="284">
        <v>1600</v>
      </c>
      <c r="U807" s="284">
        <f>T807-S807</f>
        <v>879.3</v>
      </c>
      <c r="V807" s="309">
        <f>U807/T807</f>
        <v>0.54956249999999995</v>
      </c>
      <c r="Y807" s="270"/>
      <c r="Z807" s="314" t="s">
        <v>2040</v>
      </c>
      <c r="AA807" s="15" t="s">
        <v>1239</v>
      </c>
      <c r="AB807" s="16">
        <v>10.98</v>
      </c>
      <c r="AC807" s="16">
        <v>15</v>
      </c>
      <c r="AD807" s="16">
        <f t="shared" ref="AD807:AD808" si="356">AB807*AC807</f>
        <v>164.70000000000002</v>
      </c>
      <c r="AE807" s="284">
        <f>SUM(AD807:AD809)</f>
        <v>384.70000000000005</v>
      </c>
      <c r="AF807" s="284">
        <v>1600</v>
      </c>
      <c r="AG807" s="284">
        <f>AF807-AE807</f>
        <v>1215.3</v>
      </c>
      <c r="AH807" s="309">
        <f>AG807/AF807</f>
        <v>0.75956249999999992</v>
      </c>
    </row>
    <row r="808" spans="2:34" ht="13">
      <c r="B808" s="249"/>
      <c r="C808" s="223"/>
      <c r="D808" s="19" t="s">
        <v>731</v>
      </c>
      <c r="E808" s="17">
        <v>1</v>
      </c>
      <c r="F808" s="17">
        <v>287.10000000000002</v>
      </c>
      <c r="G808" s="17">
        <f t="shared" ref="G808:G811" si="357">E808*F808</f>
        <v>287.10000000000002</v>
      </c>
      <c r="H808" s="236"/>
      <c r="I808" s="236"/>
      <c r="J808" s="236"/>
      <c r="K808" s="258"/>
      <c r="M808" s="270"/>
      <c r="N808" s="245"/>
      <c r="O808" s="19" t="s">
        <v>114</v>
      </c>
      <c r="P808" s="17">
        <v>13.75</v>
      </c>
      <c r="Q808" s="17">
        <v>16</v>
      </c>
      <c r="R808" s="17">
        <f t="shared" si="355"/>
        <v>220</v>
      </c>
      <c r="S808" s="236"/>
      <c r="T808" s="236"/>
      <c r="U808" s="236"/>
      <c r="V808" s="242"/>
      <c r="Y808" s="270"/>
      <c r="Z808" s="245"/>
      <c r="AA808" s="19" t="s">
        <v>114</v>
      </c>
      <c r="AB808" s="17">
        <v>13.75</v>
      </c>
      <c r="AC808" s="17">
        <v>16</v>
      </c>
      <c r="AD808" s="17">
        <f t="shared" si="356"/>
        <v>220</v>
      </c>
      <c r="AE808" s="236"/>
      <c r="AF808" s="236"/>
      <c r="AG808" s="236"/>
      <c r="AH808" s="242"/>
    </row>
    <row r="809" spans="2:34" ht="13">
      <c r="B809" s="249"/>
      <c r="C809" s="223"/>
      <c r="D809" s="19" t="s">
        <v>254</v>
      </c>
      <c r="E809" s="17">
        <v>1</v>
      </c>
      <c r="F809" s="17">
        <v>170</v>
      </c>
      <c r="G809" s="17">
        <f t="shared" si="357"/>
        <v>170</v>
      </c>
      <c r="H809" s="236"/>
      <c r="I809" s="236"/>
      <c r="J809" s="236"/>
      <c r="K809" s="258"/>
      <c r="M809" s="270"/>
      <c r="N809" s="246"/>
      <c r="O809" s="20" t="s">
        <v>701</v>
      </c>
      <c r="P809" s="21">
        <v>21</v>
      </c>
      <c r="Q809" s="21">
        <v>16</v>
      </c>
      <c r="R809" s="21">
        <f t="shared" si="355"/>
        <v>336</v>
      </c>
      <c r="S809" s="248"/>
      <c r="T809" s="248"/>
      <c r="U809" s="248"/>
      <c r="V809" s="303"/>
      <c r="Y809" s="270"/>
      <c r="Z809" s="246"/>
      <c r="AA809" s="20" t="s">
        <v>701</v>
      </c>
      <c r="AB809" s="68"/>
      <c r="AC809" s="68"/>
      <c r="AD809" s="68"/>
      <c r="AE809" s="248"/>
      <c r="AF809" s="248"/>
      <c r="AG809" s="248"/>
      <c r="AH809" s="303"/>
    </row>
    <row r="810" spans="2:34" ht="13">
      <c r="B810" s="249"/>
      <c r="C810" s="224"/>
      <c r="D810" s="126" t="s">
        <v>1984</v>
      </c>
      <c r="E810" s="125">
        <v>1</v>
      </c>
      <c r="F810" s="125">
        <v>220</v>
      </c>
      <c r="G810" s="125">
        <f t="shared" si="357"/>
        <v>220</v>
      </c>
      <c r="H810" s="293"/>
      <c r="I810" s="293"/>
      <c r="J810" s="293"/>
      <c r="K810" s="295"/>
      <c r="M810" s="270"/>
      <c r="N810" s="314" t="s">
        <v>2041</v>
      </c>
      <c r="O810" s="15" t="s">
        <v>701</v>
      </c>
      <c r="P810" s="16">
        <v>14</v>
      </c>
      <c r="Q810" s="16">
        <v>16</v>
      </c>
      <c r="R810" s="16">
        <f t="shared" si="355"/>
        <v>224</v>
      </c>
      <c r="S810" s="292">
        <f>SUM(R810:R814)</f>
        <v>671.98</v>
      </c>
      <c r="T810" s="312">
        <v>2687.55</v>
      </c>
      <c r="U810" s="312">
        <f>T810-S810</f>
        <v>2015.5700000000002</v>
      </c>
      <c r="V810" s="313">
        <f>U810/T810</f>
        <v>0.74996558203568309</v>
      </c>
      <c r="Y810" s="270"/>
      <c r="Z810" s="314" t="s">
        <v>2041</v>
      </c>
      <c r="AA810" s="15" t="s">
        <v>701</v>
      </c>
      <c r="AB810" s="43"/>
      <c r="AC810" s="43"/>
      <c r="AD810" s="43"/>
      <c r="AE810" s="292">
        <f>SUM(AD810:AD814)</f>
        <v>447.98</v>
      </c>
      <c r="AF810" s="312">
        <v>2687.55</v>
      </c>
      <c r="AG810" s="312">
        <f>AF810-AE810</f>
        <v>2239.5700000000002</v>
      </c>
      <c r="AH810" s="313">
        <f>AG810/AF810</f>
        <v>0.83331286859779352</v>
      </c>
    </row>
    <row r="811" spans="2:34" ht="13">
      <c r="B811" s="249"/>
      <c r="C811" s="222" t="s">
        <v>2042</v>
      </c>
      <c r="D811" s="15" t="s">
        <v>33</v>
      </c>
      <c r="E811" s="16">
        <v>1</v>
      </c>
      <c r="F811" s="16">
        <v>68.5</v>
      </c>
      <c r="G811" s="16">
        <f t="shared" si="357"/>
        <v>68.5</v>
      </c>
      <c r="H811" s="292">
        <f>SUM(G811:G815)</f>
        <v>926.6</v>
      </c>
      <c r="I811" s="292">
        <v>2480</v>
      </c>
      <c r="J811" s="292">
        <f>I811-H811</f>
        <v>1553.4</v>
      </c>
      <c r="K811" s="347">
        <f>J811/I811</f>
        <v>0.62637096774193557</v>
      </c>
      <c r="M811" s="270"/>
      <c r="N811" s="245"/>
      <c r="O811" s="19" t="s">
        <v>768</v>
      </c>
      <c r="P811" s="17"/>
      <c r="Q811" s="17"/>
      <c r="R811" s="17">
        <v>260</v>
      </c>
      <c r="S811" s="236"/>
      <c r="T811" s="236"/>
      <c r="U811" s="236"/>
      <c r="V811" s="242"/>
      <c r="Y811" s="270"/>
      <c r="Z811" s="245"/>
      <c r="AA811" s="19" t="s">
        <v>768</v>
      </c>
      <c r="AB811" s="17"/>
      <c r="AC811" s="17"/>
      <c r="AD811" s="17">
        <v>260</v>
      </c>
      <c r="AE811" s="236"/>
      <c r="AF811" s="236"/>
      <c r="AG811" s="236"/>
      <c r="AH811" s="242"/>
    </row>
    <row r="812" spans="2:34" ht="13">
      <c r="B812" s="249"/>
      <c r="C812" s="223"/>
      <c r="D812" s="19" t="s">
        <v>1235</v>
      </c>
      <c r="E812" s="17">
        <v>1</v>
      </c>
      <c r="F812" s="17">
        <v>450</v>
      </c>
      <c r="G812" s="17">
        <f>SUM(E812*F812)</f>
        <v>450</v>
      </c>
      <c r="H812" s="236"/>
      <c r="I812" s="236"/>
      <c r="J812" s="236"/>
      <c r="K812" s="258"/>
      <c r="M812" s="270"/>
      <c r="N812" s="245"/>
      <c r="O812" s="19" t="s">
        <v>2043</v>
      </c>
      <c r="P812" s="17"/>
      <c r="Q812" s="17"/>
      <c r="R812" s="17">
        <v>14</v>
      </c>
      <c r="S812" s="236"/>
      <c r="T812" s="236"/>
      <c r="U812" s="236"/>
      <c r="V812" s="242"/>
      <c r="Y812" s="270"/>
      <c r="Z812" s="245"/>
      <c r="AA812" s="19" t="s">
        <v>2043</v>
      </c>
      <c r="AB812" s="17"/>
      <c r="AC812" s="17"/>
      <c r="AD812" s="17">
        <v>14</v>
      </c>
      <c r="AE812" s="236"/>
      <c r="AF812" s="236"/>
      <c r="AG812" s="236"/>
      <c r="AH812" s="242"/>
    </row>
    <row r="813" spans="2:34" ht="13">
      <c r="B813" s="249"/>
      <c r="C813" s="223"/>
      <c r="D813" s="19" t="s">
        <v>449</v>
      </c>
      <c r="E813" s="17">
        <v>1</v>
      </c>
      <c r="F813" s="17">
        <v>287.10000000000002</v>
      </c>
      <c r="G813" s="17">
        <f t="shared" ref="G813:G817" si="358">E813*F813</f>
        <v>287.10000000000002</v>
      </c>
      <c r="H813" s="236"/>
      <c r="I813" s="236"/>
      <c r="J813" s="236"/>
      <c r="K813" s="258"/>
      <c r="M813" s="270"/>
      <c r="N813" s="245"/>
      <c r="O813" s="19" t="s">
        <v>2044</v>
      </c>
      <c r="P813" s="17"/>
      <c r="Q813" s="17"/>
      <c r="R813" s="17">
        <v>125</v>
      </c>
      <c r="S813" s="236"/>
      <c r="T813" s="236"/>
      <c r="U813" s="236"/>
      <c r="V813" s="242"/>
      <c r="Y813" s="270"/>
      <c r="Z813" s="245"/>
      <c r="AA813" s="19" t="s">
        <v>2044</v>
      </c>
      <c r="AB813" s="17"/>
      <c r="AC813" s="17"/>
      <c r="AD813" s="17">
        <v>125</v>
      </c>
      <c r="AE813" s="236"/>
      <c r="AF813" s="236"/>
      <c r="AG813" s="236"/>
      <c r="AH813" s="242"/>
    </row>
    <row r="814" spans="2:34" ht="13">
      <c r="B814" s="249"/>
      <c r="C814" s="223"/>
      <c r="D814" s="19" t="s">
        <v>2045</v>
      </c>
      <c r="E814" s="17">
        <v>3</v>
      </c>
      <c r="F814" s="17">
        <v>17</v>
      </c>
      <c r="G814" s="17">
        <f t="shared" si="358"/>
        <v>51</v>
      </c>
      <c r="H814" s="236"/>
      <c r="I814" s="236"/>
      <c r="J814" s="236"/>
      <c r="K814" s="258"/>
      <c r="M814" s="270"/>
      <c r="N814" s="246"/>
      <c r="O814" s="20" t="s">
        <v>47</v>
      </c>
      <c r="P814" s="21"/>
      <c r="Q814" s="21"/>
      <c r="R814" s="21">
        <v>48.98</v>
      </c>
      <c r="S814" s="248"/>
      <c r="T814" s="248"/>
      <c r="U814" s="248"/>
      <c r="V814" s="303"/>
      <c r="Y814" s="270"/>
      <c r="Z814" s="246"/>
      <c r="AA814" s="20" t="s">
        <v>47</v>
      </c>
      <c r="AB814" s="21"/>
      <c r="AC814" s="21"/>
      <c r="AD814" s="21">
        <v>48.98</v>
      </c>
      <c r="AE814" s="248"/>
      <c r="AF814" s="248"/>
      <c r="AG814" s="248"/>
      <c r="AH814" s="303"/>
    </row>
    <row r="815" spans="2:34" ht="13">
      <c r="B815" s="249"/>
      <c r="C815" s="224"/>
      <c r="D815" s="126" t="s">
        <v>254</v>
      </c>
      <c r="E815" s="125">
        <v>1</v>
      </c>
      <c r="F815" s="125">
        <v>70</v>
      </c>
      <c r="G815" s="125">
        <f t="shared" si="358"/>
        <v>70</v>
      </c>
      <c r="H815" s="293"/>
      <c r="I815" s="293"/>
      <c r="J815" s="293"/>
      <c r="K815" s="295"/>
      <c r="M815" s="270"/>
      <c r="N815" s="314" t="s">
        <v>2046</v>
      </c>
      <c r="O815" s="15" t="s">
        <v>1250</v>
      </c>
      <c r="P815" s="16"/>
      <c r="Q815" s="16"/>
      <c r="R815" s="16">
        <v>450</v>
      </c>
      <c r="S815" s="292">
        <f>SUM(R815:R817)</f>
        <v>666.63</v>
      </c>
      <c r="T815" s="292">
        <v>3693.75</v>
      </c>
      <c r="U815" s="292">
        <f>T815-S815</f>
        <v>3027.12</v>
      </c>
      <c r="V815" s="313">
        <f>U815/T815</f>
        <v>0.81952487309644662</v>
      </c>
      <c r="Y815" s="270"/>
      <c r="Z815" s="314" t="s">
        <v>2046</v>
      </c>
      <c r="AA815" s="15" t="s">
        <v>1250</v>
      </c>
      <c r="AB815" s="16"/>
      <c r="AC815" s="16"/>
      <c r="AD815" s="16">
        <v>450</v>
      </c>
      <c r="AE815" s="292">
        <f>SUM(AD815:AD817)</f>
        <v>666.63</v>
      </c>
      <c r="AF815" s="292">
        <v>3693.75</v>
      </c>
      <c r="AG815" s="292">
        <f>AF815-AE815</f>
        <v>3027.12</v>
      </c>
      <c r="AH815" s="313">
        <f>AG815/AF815</f>
        <v>0.81952487309644662</v>
      </c>
    </row>
    <row r="816" spans="2:34" ht="16">
      <c r="B816" s="249"/>
      <c r="C816" s="225" t="s">
        <v>2047</v>
      </c>
      <c r="D816" s="226" t="s">
        <v>1235</v>
      </c>
      <c r="E816" s="227">
        <v>1</v>
      </c>
      <c r="F816" s="227">
        <v>410</v>
      </c>
      <c r="G816" s="227">
        <f t="shared" si="358"/>
        <v>410</v>
      </c>
      <c r="H816" s="228">
        <f>SUM(G816)</f>
        <v>410</v>
      </c>
      <c r="I816" s="228">
        <v>2150</v>
      </c>
      <c r="J816" s="228">
        <f t="shared" ref="J816:J817" si="359">I816-H816</f>
        <v>1740</v>
      </c>
      <c r="K816" s="229">
        <f t="shared" ref="K816:K817" si="360">J816/I816</f>
        <v>0.80930232558139537</v>
      </c>
      <c r="M816" s="270"/>
      <c r="N816" s="245"/>
      <c r="O816" s="19" t="s">
        <v>2048</v>
      </c>
      <c r="P816" s="17"/>
      <c r="Q816" s="17"/>
      <c r="R816" s="17">
        <v>117.65</v>
      </c>
      <c r="S816" s="236"/>
      <c r="T816" s="236"/>
      <c r="U816" s="236"/>
      <c r="V816" s="242"/>
      <c r="Y816" s="270"/>
      <c r="Z816" s="245"/>
      <c r="AA816" s="19" t="s">
        <v>2048</v>
      </c>
      <c r="AB816" s="17"/>
      <c r="AC816" s="17"/>
      <c r="AD816" s="17">
        <v>117.65</v>
      </c>
      <c r="AE816" s="236"/>
      <c r="AF816" s="236"/>
      <c r="AG816" s="236"/>
      <c r="AH816" s="242"/>
    </row>
    <row r="817" spans="2:34" ht="13">
      <c r="B817" s="249"/>
      <c r="C817" s="222" t="s">
        <v>2049</v>
      </c>
      <c r="D817" s="15" t="s">
        <v>1308</v>
      </c>
      <c r="E817" s="16">
        <v>1</v>
      </c>
      <c r="F817" s="16">
        <v>50</v>
      </c>
      <c r="G817" s="16">
        <f t="shared" si="358"/>
        <v>50</v>
      </c>
      <c r="H817" s="292">
        <f>SUM(G817:G821)</f>
        <v>305</v>
      </c>
      <c r="I817" s="292">
        <v>3140</v>
      </c>
      <c r="J817" s="292">
        <f t="shared" si="359"/>
        <v>2835</v>
      </c>
      <c r="K817" s="347">
        <f t="shared" si="360"/>
        <v>0.90286624203821653</v>
      </c>
      <c r="M817" s="270"/>
      <c r="N817" s="246"/>
      <c r="O817" s="20" t="s">
        <v>33</v>
      </c>
      <c r="P817" s="21"/>
      <c r="Q817" s="21"/>
      <c r="R817" s="21">
        <v>98.98</v>
      </c>
      <c r="S817" s="248"/>
      <c r="T817" s="248"/>
      <c r="U817" s="248"/>
      <c r="V817" s="303"/>
      <c r="Y817" s="270"/>
      <c r="Z817" s="246"/>
      <c r="AA817" s="20" t="s">
        <v>33</v>
      </c>
      <c r="AB817" s="21"/>
      <c r="AC817" s="21"/>
      <c r="AD817" s="21">
        <v>98.98</v>
      </c>
      <c r="AE817" s="248"/>
      <c r="AF817" s="248"/>
      <c r="AG817" s="248"/>
      <c r="AH817" s="303"/>
    </row>
    <row r="818" spans="2:34" ht="13">
      <c r="B818" s="249"/>
      <c r="C818" s="223"/>
      <c r="D818" s="19" t="s">
        <v>715</v>
      </c>
      <c r="E818" s="17">
        <v>3</v>
      </c>
      <c r="F818" s="17">
        <v>75</v>
      </c>
      <c r="G818" s="17">
        <f>SUM(E818*F818)</f>
        <v>225</v>
      </c>
      <c r="H818" s="236"/>
      <c r="I818" s="236"/>
      <c r="J818" s="236"/>
      <c r="K818" s="258"/>
      <c r="M818" s="270"/>
      <c r="N818" s="314" t="s">
        <v>2050</v>
      </c>
      <c r="O818" s="15" t="s">
        <v>1250</v>
      </c>
      <c r="P818" s="16"/>
      <c r="Q818" s="16"/>
      <c r="R818" s="16">
        <v>400</v>
      </c>
      <c r="S818" s="292">
        <f>SUM(R818:R820)</f>
        <v>610.24</v>
      </c>
      <c r="T818" s="292">
        <v>2438</v>
      </c>
      <c r="U818" s="292">
        <f>T818-S818</f>
        <v>1827.76</v>
      </c>
      <c r="V818" s="313">
        <f>U818/T818</f>
        <v>0.74969647251845772</v>
      </c>
      <c r="Y818" s="270"/>
      <c r="Z818" s="314" t="s">
        <v>2050</v>
      </c>
      <c r="AA818" s="15" t="s">
        <v>1250</v>
      </c>
      <c r="AB818" s="16"/>
      <c r="AC818" s="16"/>
      <c r="AD818" s="16">
        <v>400</v>
      </c>
      <c r="AE818" s="292">
        <f>SUM(AD818:AD820)</f>
        <v>610.24</v>
      </c>
      <c r="AF818" s="292">
        <v>2438</v>
      </c>
      <c r="AG818" s="292">
        <f>AF818-AE818</f>
        <v>1827.76</v>
      </c>
      <c r="AH818" s="313">
        <f>AG818/AF818</f>
        <v>0.74969647251845772</v>
      </c>
    </row>
    <row r="819" spans="2:34" ht="13">
      <c r="B819" s="249"/>
      <c r="C819" s="223"/>
      <c r="D819" s="19" t="s">
        <v>2051</v>
      </c>
      <c r="E819" s="17">
        <v>1</v>
      </c>
      <c r="F819" s="17">
        <v>15</v>
      </c>
      <c r="G819" s="17">
        <f t="shared" ref="G819:G824" si="361">E819*F819</f>
        <v>15</v>
      </c>
      <c r="H819" s="236"/>
      <c r="I819" s="236"/>
      <c r="J819" s="236"/>
      <c r="K819" s="258"/>
      <c r="M819" s="270"/>
      <c r="N819" s="245"/>
      <c r="O819" s="19" t="s">
        <v>2048</v>
      </c>
      <c r="P819" s="17"/>
      <c r="Q819" s="17"/>
      <c r="R819" s="17">
        <v>55.34</v>
      </c>
      <c r="S819" s="236"/>
      <c r="T819" s="236"/>
      <c r="U819" s="236"/>
      <c r="V819" s="242"/>
      <c r="Y819" s="270"/>
      <c r="Z819" s="245"/>
      <c r="AA819" s="19" t="s">
        <v>2048</v>
      </c>
      <c r="AB819" s="17"/>
      <c r="AC819" s="17"/>
      <c r="AD819" s="17">
        <v>55.34</v>
      </c>
      <c r="AE819" s="236"/>
      <c r="AF819" s="236"/>
      <c r="AG819" s="236"/>
      <c r="AH819" s="242"/>
    </row>
    <row r="820" spans="2:34" ht="13">
      <c r="B820" s="249"/>
      <c r="C820" s="223"/>
      <c r="D820" s="106" t="s">
        <v>2052</v>
      </c>
      <c r="E820" s="17">
        <v>1</v>
      </c>
      <c r="F820" s="17">
        <v>15</v>
      </c>
      <c r="G820" s="17">
        <f t="shared" si="361"/>
        <v>15</v>
      </c>
      <c r="H820" s="236"/>
      <c r="I820" s="236"/>
      <c r="J820" s="236"/>
      <c r="K820" s="258"/>
      <c r="M820" s="270"/>
      <c r="N820" s="246"/>
      <c r="O820" s="20" t="s">
        <v>33</v>
      </c>
      <c r="P820" s="21"/>
      <c r="Q820" s="21"/>
      <c r="R820" s="21">
        <v>154.9</v>
      </c>
      <c r="S820" s="248"/>
      <c r="T820" s="248"/>
      <c r="U820" s="248"/>
      <c r="V820" s="303"/>
      <c r="Y820" s="270"/>
      <c r="Z820" s="246"/>
      <c r="AA820" s="20" t="s">
        <v>33</v>
      </c>
      <c r="AB820" s="21"/>
      <c r="AC820" s="21"/>
      <c r="AD820" s="21">
        <v>154.9</v>
      </c>
      <c r="AE820" s="248"/>
      <c r="AF820" s="248"/>
      <c r="AG820" s="248"/>
      <c r="AH820" s="303"/>
    </row>
    <row r="821" spans="2:34" ht="13">
      <c r="B821" s="249"/>
      <c r="C821" s="223"/>
      <c r="D821" s="19" t="s">
        <v>2053</v>
      </c>
      <c r="E821" s="17">
        <v>5</v>
      </c>
      <c r="F821" s="17">
        <v>0</v>
      </c>
      <c r="G821" s="17">
        <f t="shared" si="361"/>
        <v>0</v>
      </c>
      <c r="H821" s="293"/>
      <c r="I821" s="293"/>
      <c r="J821" s="293"/>
      <c r="K821" s="295"/>
      <c r="M821" s="270"/>
      <c r="N821" s="314" t="s">
        <v>2054</v>
      </c>
      <c r="O821" s="15" t="s">
        <v>701</v>
      </c>
      <c r="P821" s="16">
        <v>3.5</v>
      </c>
      <c r="Q821" s="16">
        <v>16</v>
      </c>
      <c r="R821" s="16">
        <f>P821*Q821</f>
        <v>56</v>
      </c>
      <c r="S821" s="292">
        <f>SUM(R821:R822)</f>
        <v>346</v>
      </c>
      <c r="T821" s="292">
        <v>1769</v>
      </c>
      <c r="U821" s="292">
        <f>T821-S821</f>
        <v>1423</v>
      </c>
      <c r="V821" s="313">
        <f>U821/T821</f>
        <v>0.80440927077444879</v>
      </c>
      <c r="Y821" s="270"/>
      <c r="Z821" s="314" t="s">
        <v>2054</v>
      </c>
      <c r="AA821" s="15" t="s">
        <v>701</v>
      </c>
      <c r="AB821" s="43"/>
      <c r="AC821" s="43"/>
      <c r="AD821" s="43"/>
      <c r="AE821" s="292">
        <f>SUM(AD821:AD822)</f>
        <v>290</v>
      </c>
      <c r="AF821" s="292">
        <v>1769</v>
      </c>
      <c r="AG821" s="292">
        <f>AF821-AE821</f>
        <v>1479</v>
      </c>
      <c r="AH821" s="313">
        <f>AG821/AF821</f>
        <v>0.83606557377049184</v>
      </c>
    </row>
    <row r="822" spans="2:34" ht="13">
      <c r="B822" s="249"/>
      <c r="C822" s="230" t="s">
        <v>2055</v>
      </c>
      <c r="D822" s="231" t="s">
        <v>33</v>
      </c>
      <c r="E822" s="232">
        <v>1</v>
      </c>
      <c r="F822" s="232">
        <v>231.15</v>
      </c>
      <c r="G822" s="231">
        <f t="shared" si="361"/>
        <v>231.15</v>
      </c>
      <c r="H822" s="350">
        <f>SUM(G822:G824)</f>
        <v>231.15</v>
      </c>
      <c r="I822" s="350">
        <v>1915</v>
      </c>
      <c r="J822" s="350">
        <f>I822-H822</f>
        <v>1683.85</v>
      </c>
      <c r="K822" s="351">
        <f>J822/I822</f>
        <v>0.87929503916449081</v>
      </c>
      <c r="M822" s="270"/>
      <c r="N822" s="246"/>
      <c r="O822" s="20" t="s">
        <v>33</v>
      </c>
      <c r="P822" s="21"/>
      <c r="Q822" s="21"/>
      <c r="R822" s="21">
        <v>290</v>
      </c>
      <c r="S822" s="248"/>
      <c r="T822" s="248"/>
      <c r="U822" s="248"/>
      <c r="V822" s="303"/>
      <c r="Y822" s="270"/>
      <c r="Z822" s="246"/>
      <c r="AA822" s="20" t="s">
        <v>33</v>
      </c>
      <c r="AB822" s="21"/>
      <c r="AC822" s="21"/>
      <c r="AD822" s="21">
        <v>290</v>
      </c>
      <c r="AE822" s="248"/>
      <c r="AF822" s="248"/>
      <c r="AG822" s="248"/>
      <c r="AH822" s="303"/>
    </row>
    <row r="823" spans="2:34" ht="13">
      <c r="B823" s="249"/>
      <c r="C823" s="233"/>
      <c r="D823" s="24" t="s">
        <v>114</v>
      </c>
      <c r="E823" s="11">
        <v>9.1199999999999992</v>
      </c>
      <c r="F823" s="11">
        <v>0</v>
      </c>
      <c r="G823" s="24">
        <f t="shared" si="361"/>
        <v>0</v>
      </c>
      <c r="H823" s="236"/>
      <c r="I823" s="236"/>
      <c r="J823" s="236"/>
      <c r="K823" s="266"/>
      <c r="M823" s="270"/>
      <c r="N823" s="314" t="s">
        <v>2056</v>
      </c>
      <c r="O823" s="15" t="s">
        <v>53</v>
      </c>
      <c r="P823" s="16">
        <v>10</v>
      </c>
      <c r="Q823" s="16">
        <v>15</v>
      </c>
      <c r="R823" s="16">
        <f>P823*Q823</f>
        <v>150</v>
      </c>
      <c r="S823" s="292">
        <f>SUM(R823:R824)</f>
        <v>150</v>
      </c>
      <c r="T823" s="292">
        <v>400</v>
      </c>
      <c r="U823" s="292">
        <f>T823-S823</f>
        <v>250</v>
      </c>
      <c r="V823" s="313">
        <f>U823/T823</f>
        <v>0.625</v>
      </c>
      <c r="Y823" s="270"/>
      <c r="Z823" s="314" t="s">
        <v>2056</v>
      </c>
      <c r="AA823" s="15" t="s">
        <v>53</v>
      </c>
      <c r="AB823" s="16">
        <v>10</v>
      </c>
      <c r="AC823" s="16">
        <v>15</v>
      </c>
      <c r="AD823" s="16">
        <f>AB823*AC823</f>
        <v>150</v>
      </c>
      <c r="AE823" s="292">
        <f>SUM(AD823:AD824)</f>
        <v>150</v>
      </c>
      <c r="AF823" s="292">
        <v>400</v>
      </c>
      <c r="AG823" s="292">
        <f>AF823-AE823</f>
        <v>250</v>
      </c>
      <c r="AH823" s="313">
        <f>AG823/AF823</f>
        <v>0.625</v>
      </c>
    </row>
    <row r="824" spans="2:34" ht="13">
      <c r="B824" s="249"/>
      <c r="C824" s="234"/>
      <c r="D824" s="44" t="s">
        <v>1361</v>
      </c>
      <c r="E824" s="103">
        <v>4.8</v>
      </c>
      <c r="F824" s="103">
        <v>0</v>
      </c>
      <c r="G824" s="44">
        <f t="shared" si="361"/>
        <v>0</v>
      </c>
      <c r="H824" s="248"/>
      <c r="I824" s="248"/>
      <c r="J824" s="248"/>
      <c r="K824" s="267"/>
      <c r="M824" s="270"/>
      <c r="N824" s="246"/>
      <c r="O824" s="20" t="s">
        <v>2057</v>
      </c>
      <c r="P824" s="21"/>
      <c r="Q824" s="21"/>
      <c r="R824" s="21"/>
      <c r="S824" s="248"/>
      <c r="T824" s="248"/>
      <c r="U824" s="248"/>
      <c r="V824" s="303"/>
      <c r="Y824" s="270"/>
      <c r="Z824" s="246"/>
      <c r="AA824" s="20" t="s">
        <v>2057</v>
      </c>
      <c r="AB824" s="21"/>
      <c r="AC824" s="21"/>
      <c r="AD824" s="21"/>
      <c r="AE824" s="248"/>
      <c r="AF824" s="248"/>
      <c r="AG824" s="248"/>
      <c r="AH824" s="303"/>
    </row>
    <row r="825" spans="2:34" ht="30">
      <c r="B825" s="249"/>
      <c r="C825" s="251" t="s">
        <v>2058</v>
      </c>
      <c r="D825" s="252"/>
      <c r="E825" s="253"/>
      <c r="F825" s="27">
        <f t="shared" ref="F825:H825" si="362">AVERAGE(F766:F824)</f>
        <v>106.26345996493278</v>
      </c>
      <c r="G825" s="27" t="e">
        <f t="shared" ca="1" si="362"/>
        <v>#NAME?</v>
      </c>
      <c r="H825" s="27" t="e">
        <f t="shared" ca="1" si="362"/>
        <v>#NAME?</v>
      </c>
      <c r="I825" s="27">
        <f t="shared" ref="I825:J825" si="363">AVERAGE(I790:I824)</f>
        <v>2546.875</v>
      </c>
      <c r="J825" s="27">
        <f t="shared" si="363"/>
        <v>1886.5075000000002</v>
      </c>
      <c r="K825" s="107"/>
      <c r="M825" s="270"/>
      <c r="N825" s="314" t="s">
        <v>2059</v>
      </c>
      <c r="O825" s="15" t="s">
        <v>701</v>
      </c>
      <c r="P825" s="16">
        <v>7</v>
      </c>
      <c r="Q825" s="16">
        <v>16</v>
      </c>
      <c r="R825" s="16">
        <f>P825*Q825</f>
        <v>112</v>
      </c>
      <c r="S825" s="292">
        <f>SUM(R825:R826)</f>
        <v>187</v>
      </c>
      <c r="T825" s="292">
        <v>1857.52</v>
      </c>
      <c r="U825" s="292">
        <f>T825-S825</f>
        <v>1670.52</v>
      </c>
      <c r="V825" s="313">
        <f>U825/T825</f>
        <v>0.89932813643998455</v>
      </c>
      <c r="Y825" s="270"/>
      <c r="Z825" s="314" t="s">
        <v>2059</v>
      </c>
      <c r="AA825" s="15" t="s">
        <v>701</v>
      </c>
      <c r="AB825" s="43"/>
      <c r="AC825" s="43"/>
      <c r="AD825" s="43"/>
      <c r="AE825" s="292">
        <f>SUM(AD825:AD826)</f>
        <v>75</v>
      </c>
      <c r="AF825" s="292">
        <v>1857.52</v>
      </c>
      <c r="AG825" s="292">
        <f>AF825-AE825</f>
        <v>1782.52</v>
      </c>
      <c r="AH825" s="313">
        <f>AG825/AF825</f>
        <v>0.95962358413368365</v>
      </c>
    </row>
    <row r="826" spans="2:34" ht="30">
      <c r="B826" s="249"/>
      <c r="C826" s="251" t="s">
        <v>2060</v>
      </c>
      <c r="D826" s="252"/>
      <c r="E826" s="253"/>
      <c r="F826" s="27">
        <f t="shared" ref="F826:H826" si="364">SUM(F766:F824)</f>
        <v>6269.5441379310341</v>
      </c>
      <c r="G826" s="27" t="e">
        <f t="shared" ca="1" si="364"/>
        <v>#NAME?</v>
      </c>
      <c r="H826" s="27" t="e">
        <f t="shared" ca="1" si="364"/>
        <v>#NAME?</v>
      </c>
      <c r="I826" s="27">
        <f t="shared" ref="I826:J826" si="365">SUM(I790:I824)</f>
        <v>20375</v>
      </c>
      <c r="J826" s="27">
        <f t="shared" si="365"/>
        <v>15092.060000000001</v>
      </c>
      <c r="K826" s="29">
        <f>J826/I826</f>
        <v>0.74071460122699395</v>
      </c>
      <c r="M826" s="270"/>
      <c r="N826" s="246"/>
      <c r="O826" s="20" t="s">
        <v>373</v>
      </c>
      <c r="P826" s="21"/>
      <c r="Q826" s="21"/>
      <c r="R826" s="21">
        <v>75</v>
      </c>
      <c r="S826" s="248"/>
      <c r="T826" s="248"/>
      <c r="U826" s="248"/>
      <c r="V826" s="303"/>
      <c r="Y826" s="270"/>
      <c r="Z826" s="246"/>
      <c r="AA826" s="20" t="s">
        <v>373</v>
      </c>
      <c r="AB826" s="21"/>
      <c r="AC826" s="21"/>
      <c r="AD826" s="21">
        <v>75</v>
      </c>
      <c r="AE826" s="248"/>
      <c r="AF826" s="248"/>
      <c r="AG826" s="248"/>
      <c r="AH826" s="303"/>
    </row>
    <row r="827" spans="2:34" ht="16">
      <c r="B827" s="249"/>
      <c r="C827" s="1"/>
      <c r="K827" s="2"/>
      <c r="M827" s="270"/>
      <c r="N827" s="314" t="s">
        <v>2061</v>
      </c>
      <c r="O827" s="15" t="s">
        <v>701</v>
      </c>
      <c r="P827" s="16">
        <v>7</v>
      </c>
      <c r="Q827" s="16">
        <v>16</v>
      </c>
      <c r="R827" s="16">
        <f>P827*Q827</f>
        <v>112</v>
      </c>
      <c r="S827" s="292">
        <f>SUM(R827:R828)</f>
        <v>187</v>
      </c>
      <c r="T827" s="292">
        <v>1920.5</v>
      </c>
      <c r="U827" s="292">
        <f>T827-S827</f>
        <v>1733.5</v>
      </c>
      <c r="V827" s="313">
        <f>U827/T827</f>
        <v>0.90262952356157256</v>
      </c>
      <c r="Y827" s="270"/>
      <c r="Z827" s="314" t="s">
        <v>2061</v>
      </c>
      <c r="AA827" s="15" t="s">
        <v>701</v>
      </c>
      <c r="AB827" s="43"/>
      <c r="AC827" s="43"/>
      <c r="AD827" s="43"/>
      <c r="AE827" s="292">
        <f>SUM(AD827:AD828)</f>
        <v>75</v>
      </c>
      <c r="AF827" s="292">
        <v>1920.5</v>
      </c>
      <c r="AG827" s="292">
        <f>AF827-AE827</f>
        <v>1845.5</v>
      </c>
      <c r="AH827" s="313">
        <f>AG827/AF827</f>
        <v>0.96094766987763602</v>
      </c>
    </row>
    <row r="828" spans="2:34" ht="16">
      <c r="B828" s="249"/>
      <c r="C828" s="1"/>
      <c r="K828" s="2"/>
      <c r="M828" s="270"/>
      <c r="N828" s="246"/>
      <c r="O828" s="20" t="s">
        <v>373</v>
      </c>
      <c r="P828" s="21"/>
      <c r="Q828" s="21"/>
      <c r="R828" s="21">
        <v>75</v>
      </c>
      <c r="S828" s="248"/>
      <c r="T828" s="248"/>
      <c r="U828" s="248"/>
      <c r="V828" s="303"/>
      <c r="Y828" s="270"/>
      <c r="Z828" s="246"/>
      <c r="AA828" s="20" t="s">
        <v>373</v>
      </c>
      <c r="AB828" s="21"/>
      <c r="AC828" s="21"/>
      <c r="AD828" s="21">
        <v>75</v>
      </c>
      <c r="AE828" s="248"/>
      <c r="AF828" s="248"/>
      <c r="AG828" s="248"/>
      <c r="AH828" s="303"/>
    </row>
    <row r="829" spans="2:34" ht="16">
      <c r="B829" s="249"/>
      <c r="C829" s="1"/>
      <c r="K829" s="2"/>
      <c r="M829" s="270"/>
      <c r="N829" s="314" t="s">
        <v>1276</v>
      </c>
      <c r="O829" s="15" t="s">
        <v>1277</v>
      </c>
      <c r="P829" s="16">
        <v>2</v>
      </c>
      <c r="Q829" s="16">
        <v>16</v>
      </c>
      <c r="R829" s="16">
        <f t="shared" ref="R829:R832" si="366">P829*Q829</f>
        <v>32</v>
      </c>
      <c r="S829" s="292">
        <f>SUM(R829:R832)</f>
        <v>194.89</v>
      </c>
      <c r="T829" s="312">
        <v>712.5</v>
      </c>
      <c r="U829" s="312">
        <f>T829-S829</f>
        <v>517.61</v>
      </c>
      <c r="V829" s="313">
        <f>U829/T829</f>
        <v>0.72647017543859649</v>
      </c>
      <c r="Y829" s="270"/>
      <c r="Z829" s="314" t="s">
        <v>1276</v>
      </c>
      <c r="AA829" s="15" t="s">
        <v>1277</v>
      </c>
      <c r="AB829" s="43"/>
      <c r="AC829" s="43"/>
      <c r="AD829" s="43"/>
      <c r="AE829" s="292">
        <f>SUM(AD829:AD832)</f>
        <v>162.88999999999999</v>
      </c>
      <c r="AF829" s="312">
        <v>712.5</v>
      </c>
      <c r="AG829" s="312">
        <f>AF829-AE829</f>
        <v>549.61</v>
      </c>
      <c r="AH829" s="313">
        <f>AG829/AF829</f>
        <v>0.77138245614035095</v>
      </c>
    </row>
    <row r="830" spans="2:34" ht="16">
      <c r="B830" s="249"/>
      <c r="C830" s="1"/>
      <c r="K830" s="2"/>
      <c r="M830" s="270"/>
      <c r="N830" s="245"/>
      <c r="O830" s="19" t="s">
        <v>53</v>
      </c>
      <c r="P830" s="17">
        <v>4.03</v>
      </c>
      <c r="Q830" s="17">
        <v>13</v>
      </c>
      <c r="R830" s="17">
        <f t="shared" si="366"/>
        <v>52.39</v>
      </c>
      <c r="S830" s="236"/>
      <c r="T830" s="236"/>
      <c r="U830" s="236"/>
      <c r="V830" s="242"/>
      <c r="Y830" s="270"/>
      <c r="Z830" s="245"/>
      <c r="AA830" s="19" t="s">
        <v>53</v>
      </c>
      <c r="AB830" s="17">
        <v>4.03</v>
      </c>
      <c r="AC830" s="17">
        <v>13</v>
      </c>
      <c r="AD830" s="17">
        <f t="shared" ref="AD830:AD832" si="367">AB830*AC830</f>
        <v>52.39</v>
      </c>
      <c r="AE830" s="236"/>
      <c r="AF830" s="236"/>
      <c r="AG830" s="236"/>
      <c r="AH830" s="242"/>
    </row>
    <row r="831" spans="2:34" ht="16">
      <c r="B831" s="249"/>
      <c r="C831" s="1"/>
      <c r="K831" s="2"/>
      <c r="M831" s="270"/>
      <c r="N831" s="245"/>
      <c r="O831" s="19" t="s">
        <v>78</v>
      </c>
      <c r="P831" s="17">
        <v>4.5</v>
      </c>
      <c r="Q831" s="17">
        <v>13</v>
      </c>
      <c r="R831" s="17">
        <f t="shared" si="366"/>
        <v>58.5</v>
      </c>
      <c r="S831" s="236"/>
      <c r="T831" s="236"/>
      <c r="U831" s="236"/>
      <c r="V831" s="242"/>
      <c r="Y831" s="270"/>
      <c r="Z831" s="245"/>
      <c r="AA831" s="19" t="s">
        <v>78</v>
      </c>
      <c r="AB831" s="17">
        <v>4.5</v>
      </c>
      <c r="AC831" s="17">
        <v>13</v>
      </c>
      <c r="AD831" s="17">
        <f t="shared" si="367"/>
        <v>58.5</v>
      </c>
      <c r="AE831" s="236"/>
      <c r="AF831" s="236"/>
      <c r="AG831" s="236"/>
      <c r="AH831" s="242"/>
    </row>
    <row r="832" spans="2:34" ht="16">
      <c r="B832" s="249"/>
      <c r="C832" s="1"/>
      <c r="K832" s="2"/>
      <c r="M832" s="270"/>
      <c r="N832" s="246"/>
      <c r="O832" s="20" t="s">
        <v>70</v>
      </c>
      <c r="P832" s="21">
        <v>4</v>
      </c>
      <c r="Q832" s="21">
        <v>13</v>
      </c>
      <c r="R832" s="21">
        <f t="shared" si="366"/>
        <v>52</v>
      </c>
      <c r="S832" s="248"/>
      <c r="T832" s="248"/>
      <c r="U832" s="248"/>
      <c r="V832" s="303"/>
      <c r="Y832" s="270"/>
      <c r="Z832" s="246"/>
      <c r="AA832" s="20" t="s">
        <v>70</v>
      </c>
      <c r="AB832" s="21">
        <v>4</v>
      </c>
      <c r="AC832" s="21">
        <v>13</v>
      </c>
      <c r="AD832" s="21">
        <f t="shared" si="367"/>
        <v>52</v>
      </c>
      <c r="AE832" s="248"/>
      <c r="AF832" s="248"/>
      <c r="AG832" s="248"/>
      <c r="AH832" s="303"/>
    </row>
    <row r="833" spans="2:34" ht="16">
      <c r="B833" s="249"/>
      <c r="C833" s="1"/>
      <c r="K833" s="2"/>
      <c r="M833" s="270"/>
      <c r="N833" s="314" t="s">
        <v>2062</v>
      </c>
      <c r="O833" s="15" t="s">
        <v>1332</v>
      </c>
      <c r="P833" s="16"/>
      <c r="Q833" s="16"/>
      <c r="R833" s="16">
        <v>300</v>
      </c>
      <c r="S833" s="292">
        <f>SUM(R833:R836)</f>
        <v>427.44</v>
      </c>
      <c r="T833" s="312">
        <v>2882.25</v>
      </c>
      <c r="U833" s="312">
        <f>T833-S833</f>
        <v>2454.81</v>
      </c>
      <c r="V833" s="313">
        <f>U833/T833</f>
        <v>0.85169919333853761</v>
      </c>
      <c r="Y833" s="270"/>
      <c r="Z833" s="314" t="s">
        <v>2062</v>
      </c>
      <c r="AA833" s="15" t="s">
        <v>1332</v>
      </c>
      <c r="AB833" s="16"/>
      <c r="AC833" s="16"/>
      <c r="AD833" s="16">
        <v>300</v>
      </c>
      <c r="AE833" s="292">
        <f>SUM(AD833:AD836)</f>
        <v>427.44</v>
      </c>
      <c r="AF833" s="312">
        <v>2882.25</v>
      </c>
      <c r="AG833" s="312">
        <f>AF833-AE833</f>
        <v>2454.81</v>
      </c>
      <c r="AH833" s="313">
        <f>AG833/AF833</f>
        <v>0.85169919333853761</v>
      </c>
    </row>
    <row r="834" spans="2:34" ht="16">
      <c r="C834" s="1"/>
      <c r="K834" s="2"/>
      <c r="M834" s="270"/>
      <c r="N834" s="245"/>
      <c r="O834" s="19" t="s">
        <v>699</v>
      </c>
      <c r="P834" s="17"/>
      <c r="Q834" s="17"/>
      <c r="R834" s="17">
        <v>68</v>
      </c>
      <c r="S834" s="236"/>
      <c r="T834" s="236"/>
      <c r="U834" s="236"/>
      <c r="V834" s="242"/>
      <c r="Y834" s="270"/>
      <c r="Z834" s="245"/>
      <c r="AA834" s="19" t="s">
        <v>699</v>
      </c>
      <c r="AB834" s="17"/>
      <c r="AC834" s="17"/>
      <c r="AD834" s="17">
        <v>68</v>
      </c>
      <c r="AE834" s="236"/>
      <c r="AF834" s="236"/>
      <c r="AG834" s="236"/>
      <c r="AH834" s="242"/>
    </row>
    <row r="835" spans="2:34" ht="16">
      <c r="C835" s="1"/>
      <c r="K835" s="2"/>
      <c r="M835" s="270"/>
      <c r="N835" s="245"/>
      <c r="O835" s="19" t="s">
        <v>2063</v>
      </c>
      <c r="P835" s="17"/>
      <c r="Q835" s="17"/>
      <c r="R835" s="17">
        <v>11</v>
      </c>
      <c r="S835" s="236"/>
      <c r="T835" s="236"/>
      <c r="U835" s="236"/>
      <c r="V835" s="242"/>
      <c r="Y835" s="270"/>
      <c r="Z835" s="245"/>
      <c r="AA835" s="19" t="s">
        <v>2063</v>
      </c>
      <c r="AB835" s="17"/>
      <c r="AC835" s="17"/>
      <c r="AD835" s="17">
        <v>11</v>
      </c>
      <c r="AE835" s="236"/>
      <c r="AF835" s="236"/>
      <c r="AG835" s="236"/>
      <c r="AH835" s="242"/>
    </row>
    <row r="836" spans="2:34" ht="16">
      <c r="C836" s="1"/>
      <c r="K836" s="2"/>
      <c r="M836" s="270"/>
      <c r="N836" s="246"/>
      <c r="O836" s="20" t="s">
        <v>33</v>
      </c>
      <c r="P836" s="21"/>
      <c r="Q836" s="21"/>
      <c r="R836" s="21">
        <v>48.44</v>
      </c>
      <c r="S836" s="248"/>
      <c r="T836" s="248"/>
      <c r="U836" s="248"/>
      <c r="V836" s="303"/>
      <c r="Y836" s="270"/>
      <c r="Z836" s="246"/>
      <c r="AA836" s="20" t="s">
        <v>33</v>
      </c>
      <c r="AB836" s="21"/>
      <c r="AC836" s="21"/>
      <c r="AD836" s="21">
        <v>48.44</v>
      </c>
      <c r="AE836" s="248"/>
      <c r="AF836" s="248"/>
      <c r="AG836" s="248"/>
      <c r="AH836" s="303"/>
    </row>
    <row r="837" spans="2:34" ht="16">
      <c r="C837" s="1"/>
      <c r="K837" s="2"/>
      <c r="M837" s="270"/>
      <c r="N837" s="314" t="s">
        <v>2064</v>
      </c>
      <c r="O837" s="15" t="s">
        <v>1736</v>
      </c>
      <c r="P837" s="16">
        <v>1946</v>
      </c>
      <c r="Q837" s="16">
        <v>0.8</v>
      </c>
      <c r="R837" s="16">
        <f t="shared" ref="R837:R839" si="368">P837*Q837</f>
        <v>1556.8000000000002</v>
      </c>
      <c r="S837" s="292">
        <f>SUM(R837:R840)</f>
        <v>2103.7800000000002</v>
      </c>
      <c r="T837" s="312">
        <v>4068.5</v>
      </c>
      <c r="U837" s="312">
        <f>T837-S837</f>
        <v>1964.7199999999998</v>
      </c>
      <c r="V837" s="313">
        <f>U837/T837</f>
        <v>0.48291016345090321</v>
      </c>
      <c r="Y837" s="270"/>
      <c r="Z837" s="314" t="s">
        <v>2064</v>
      </c>
      <c r="AA837" s="15" t="s">
        <v>1736</v>
      </c>
      <c r="AB837" s="16">
        <v>1946</v>
      </c>
      <c r="AC837" s="16">
        <v>0.8</v>
      </c>
      <c r="AD837" s="16">
        <f>AB837*AC837</f>
        <v>1556.8000000000002</v>
      </c>
      <c r="AE837" s="292">
        <f>SUM(AD837:AD840)</f>
        <v>1975.7800000000002</v>
      </c>
      <c r="AF837" s="312">
        <v>4068.5</v>
      </c>
      <c r="AG837" s="312">
        <f>AF837-AE837</f>
        <v>2092.7199999999998</v>
      </c>
      <c r="AH837" s="313">
        <f>AG837/AF837</f>
        <v>0.51437138994715492</v>
      </c>
    </row>
    <row r="838" spans="2:34" ht="16">
      <c r="C838" s="1"/>
      <c r="K838" s="2"/>
      <c r="M838" s="270"/>
      <c r="N838" s="245"/>
      <c r="O838" s="19" t="s">
        <v>114</v>
      </c>
      <c r="P838" s="17">
        <v>4</v>
      </c>
      <c r="Q838" s="17">
        <v>16</v>
      </c>
      <c r="R838" s="17">
        <f t="shared" si="368"/>
        <v>64</v>
      </c>
      <c r="S838" s="236"/>
      <c r="T838" s="236"/>
      <c r="U838" s="236"/>
      <c r="V838" s="242"/>
      <c r="Y838" s="270"/>
      <c r="Z838" s="245"/>
      <c r="AA838" s="19" t="s">
        <v>114</v>
      </c>
      <c r="AB838" s="18"/>
      <c r="AC838" s="18"/>
      <c r="AD838" s="18"/>
      <c r="AE838" s="236"/>
      <c r="AF838" s="236"/>
      <c r="AG838" s="236"/>
      <c r="AH838" s="242"/>
    </row>
    <row r="839" spans="2:34" ht="16">
      <c r="C839" s="1"/>
      <c r="K839" s="2"/>
      <c r="M839" s="270"/>
      <c r="N839" s="245"/>
      <c r="O839" s="19" t="s">
        <v>701</v>
      </c>
      <c r="P839" s="17">
        <v>4</v>
      </c>
      <c r="Q839" s="17">
        <v>16</v>
      </c>
      <c r="R839" s="17">
        <f t="shared" si="368"/>
        <v>64</v>
      </c>
      <c r="S839" s="236"/>
      <c r="T839" s="236"/>
      <c r="U839" s="236"/>
      <c r="V839" s="242"/>
      <c r="Y839" s="270"/>
      <c r="Z839" s="245"/>
      <c r="AA839" s="19" t="s">
        <v>701</v>
      </c>
      <c r="AB839" s="18"/>
      <c r="AC839" s="18"/>
      <c r="AD839" s="18"/>
      <c r="AE839" s="236"/>
      <c r="AF839" s="236"/>
      <c r="AG839" s="236"/>
      <c r="AH839" s="242"/>
    </row>
    <row r="840" spans="2:34" ht="16">
      <c r="C840" s="1"/>
      <c r="K840" s="2"/>
      <c r="M840" s="270"/>
      <c r="N840" s="246"/>
      <c r="O840" s="20" t="s">
        <v>33</v>
      </c>
      <c r="P840" s="21"/>
      <c r="Q840" s="21"/>
      <c r="R840" s="21">
        <v>418.98</v>
      </c>
      <c r="S840" s="248"/>
      <c r="T840" s="248"/>
      <c r="U840" s="248"/>
      <c r="V840" s="303"/>
      <c r="Y840" s="270"/>
      <c r="Z840" s="246"/>
      <c r="AA840" s="20" t="s">
        <v>33</v>
      </c>
      <c r="AB840" s="21"/>
      <c r="AC840" s="21"/>
      <c r="AD840" s="21">
        <v>418.98</v>
      </c>
      <c r="AE840" s="248"/>
      <c r="AF840" s="248"/>
      <c r="AG840" s="248"/>
      <c r="AH840" s="303"/>
    </row>
    <row r="841" spans="2:34" ht="16">
      <c r="C841" s="1"/>
      <c r="K841" s="2"/>
      <c r="M841" s="270"/>
      <c r="N841" s="314" t="s">
        <v>2065</v>
      </c>
      <c r="O841" s="15" t="s">
        <v>698</v>
      </c>
      <c r="P841" s="16">
        <v>11</v>
      </c>
      <c r="Q841" s="16">
        <v>20</v>
      </c>
      <c r="R841" s="16">
        <f t="shared" ref="R841:R843" si="369">P841*Q841</f>
        <v>220</v>
      </c>
      <c r="S841" s="292">
        <f>SUM(R841:R844)</f>
        <v>989</v>
      </c>
      <c r="T841" s="312">
        <v>2500</v>
      </c>
      <c r="U841" s="312">
        <f>T841-S841</f>
        <v>1511</v>
      </c>
      <c r="V841" s="313">
        <f>U841/T841</f>
        <v>0.60440000000000005</v>
      </c>
      <c r="Y841" s="270"/>
      <c r="Z841" s="314" t="s">
        <v>2065</v>
      </c>
      <c r="AA841" s="15" t="s">
        <v>698</v>
      </c>
      <c r="AB841" s="16">
        <v>11</v>
      </c>
      <c r="AC841" s="16">
        <v>20</v>
      </c>
      <c r="AD841" s="16">
        <f t="shared" ref="AD841:AD843" si="370">AB841*AC841</f>
        <v>220</v>
      </c>
      <c r="AE841" s="292">
        <f>SUM(AD841:AD844)</f>
        <v>989</v>
      </c>
      <c r="AF841" s="312">
        <v>2500</v>
      </c>
      <c r="AG841" s="312">
        <f>AF841-AE841</f>
        <v>1511</v>
      </c>
      <c r="AH841" s="313">
        <f>AG841/AF841</f>
        <v>0.60440000000000005</v>
      </c>
    </row>
    <row r="842" spans="2:34" ht="16">
      <c r="C842" s="1"/>
      <c r="K842" s="2"/>
      <c r="M842" s="270"/>
      <c r="N842" s="245"/>
      <c r="O842" s="19" t="s">
        <v>2066</v>
      </c>
      <c r="P842" s="17">
        <v>16.5</v>
      </c>
      <c r="Q842" s="17">
        <v>20</v>
      </c>
      <c r="R842" s="17">
        <f t="shared" si="369"/>
        <v>330</v>
      </c>
      <c r="S842" s="236"/>
      <c r="T842" s="236"/>
      <c r="U842" s="236"/>
      <c r="V842" s="242"/>
      <c r="Y842" s="270"/>
      <c r="Z842" s="245"/>
      <c r="AA842" s="19" t="s">
        <v>2066</v>
      </c>
      <c r="AB842" s="17">
        <v>16.5</v>
      </c>
      <c r="AC842" s="17">
        <v>20</v>
      </c>
      <c r="AD842" s="17">
        <f t="shared" si="370"/>
        <v>330</v>
      </c>
      <c r="AE842" s="236"/>
      <c r="AF842" s="236"/>
      <c r="AG842" s="236"/>
      <c r="AH842" s="242"/>
    </row>
    <row r="843" spans="2:34" ht="16">
      <c r="C843" s="1"/>
      <c r="K843" s="2"/>
      <c r="M843" s="270"/>
      <c r="N843" s="245"/>
      <c r="O843" s="19" t="s">
        <v>1609</v>
      </c>
      <c r="P843" s="17">
        <v>14.45</v>
      </c>
      <c r="Q843" s="17">
        <v>20</v>
      </c>
      <c r="R843" s="17">
        <f t="shared" si="369"/>
        <v>289</v>
      </c>
      <c r="S843" s="236"/>
      <c r="T843" s="236"/>
      <c r="U843" s="236"/>
      <c r="V843" s="242"/>
      <c r="Y843" s="270"/>
      <c r="Z843" s="245"/>
      <c r="AA843" s="19" t="s">
        <v>1609</v>
      </c>
      <c r="AB843" s="17">
        <v>14.45</v>
      </c>
      <c r="AC843" s="17">
        <v>20</v>
      </c>
      <c r="AD843" s="17">
        <f t="shared" si="370"/>
        <v>289</v>
      </c>
      <c r="AE843" s="236"/>
      <c r="AF843" s="236"/>
      <c r="AG843" s="236"/>
      <c r="AH843" s="242"/>
    </row>
    <row r="844" spans="2:34" ht="16">
      <c r="C844" s="1"/>
      <c r="K844" s="2"/>
      <c r="M844" s="270"/>
      <c r="N844" s="246"/>
      <c r="O844" s="20" t="s">
        <v>732</v>
      </c>
      <c r="P844" s="21"/>
      <c r="Q844" s="21"/>
      <c r="R844" s="21">
        <v>150</v>
      </c>
      <c r="S844" s="248"/>
      <c r="T844" s="248"/>
      <c r="U844" s="248"/>
      <c r="V844" s="303"/>
      <c r="Y844" s="270"/>
      <c r="Z844" s="246"/>
      <c r="AA844" s="20" t="s">
        <v>732</v>
      </c>
      <c r="AB844" s="21"/>
      <c r="AC844" s="21"/>
      <c r="AD844" s="21">
        <v>150</v>
      </c>
      <c r="AE844" s="248"/>
      <c r="AF844" s="248"/>
      <c r="AG844" s="248"/>
      <c r="AH844" s="303"/>
    </row>
    <row r="845" spans="2:34" ht="16">
      <c r="C845" s="1"/>
      <c r="K845" s="2"/>
      <c r="M845" s="270"/>
      <c r="N845" s="314" t="s">
        <v>2067</v>
      </c>
      <c r="O845" s="15" t="s">
        <v>114</v>
      </c>
      <c r="P845" s="16">
        <v>7</v>
      </c>
      <c r="Q845" s="16">
        <v>16</v>
      </c>
      <c r="R845" s="16">
        <f>P845*Q845</f>
        <v>112</v>
      </c>
      <c r="S845" s="292">
        <f>SUM(R845:R847)</f>
        <v>291.75</v>
      </c>
      <c r="T845" s="292">
        <v>1836.8</v>
      </c>
      <c r="U845" s="292">
        <f>T845-S845</f>
        <v>1545.05</v>
      </c>
      <c r="V845" s="313">
        <f>U845/T845</f>
        <v>0.84116398083623689</v>
      </c>
      <c r="Y845" s="270"/>
      <c r="Z845" s="314" t="s">
        <v>2067</v>
      </c>
      <c r="AA845" s="15" t="s">
        <v>114</v>
      </c>
      <c r="AB845" s="43"/>
      <c r="AC845" s="43"/>
      <c r="AD845" s="43"/>
      <c r="AE845" s="292">
        <f>SUM(AD845:AD847)</f>
        <v>179.75</v>
      </c>
      <c r="AF845" s="292">
        <v>1836.8</v>
      </c>
      <c r="AG845" s="292">
        <f>AF845-AE845</f>
        <v>1657.05</v>
      </c>
      <c r="AH845" s="313">
        <f>AG845/AF845</f>
        <v>0.90213959059233451</v>
      </c>
    </row>
    <row r="846" spans="2:34" ht="16">
      <c r="C846" s="1"/>
      <c r="K846" s="2"/>
      <c r="M846" s="270"/>
      <c r="N846" s="245"/>
      <c r="O846" s="19" t="s">
        <v>2068</v>
      </c>
      <c r="P846" s="17"/>
      <c r="Q846" s="17"/>
      <c r="R846" s="17">
        <v>90</v>
      </c>
      <c r="S846" s="236"/>
      <c r="T846" s="236"/>
      <c r="U846" s="236"/>
      <c r="V846" s="242"/>
      <c r="Y846" s="270"/>
      <c r="Z846" s="245"/>
      <c r="AA846" s="19" t="s">
        <v>2068</v>
      </c>
      <c r="AB846" s="17"/>
      <c r="AC846" s="17"/>
      <c r="AD846" s="17">
        <v>90</v>
      </c>
      <c r="AE846" s="236"/>
      <c r="AF846" s="236"/>
      <c r="AG846" s="236"/>
      <c r="AH846" s="242"/>
    </row>
    <row r="847" spans="2:34" ht="16">
      <c r="C847" s="1"/>
      <c r="K847" s="2"/>
      <c r="M847" s="270"/>
      <c r="N847" s="246"/>
      <c r="O847" s="20" t="s">
        <v>33</v>
      </c>
      <c r="P847" s="21"/>
      <c r="Q847" s="21"/>
      <c r="R847" s="21">
        <v>89.75</v>
      </c>
      <c r="S847" s="248"/>
      <c r="T847" s="248"/>
      <c r="U847" s="248"/>
      <c r="V847" s="303"/>
      <c r="Y847" s="270"/>
      <c r="Z847" s="246"/>
      <c r="AA847" s="20" t="s">
        <v>33</v>
      </c>
      <c r="AB847" s="21"/>
      <c r="AC847" s="21"/>
      <c r="AD847" s="21">
        <v>89.75</v>
      </c>
      <c r="AE847" s="248"/>
      <c r="AF847" s="248"/>
      <c r="AG847" s="248"/>
      <c r="AH847" s="303"/>
    </row>
    <row r="848" spans="2:34" ht="16">
      <c r="C848" s="1"/>
      <c r="K848" s="2"/>
      <c r="M848" s="270"/>
      <c r="N848" s="314" t="s">
        <v>1278</v>
      </c>
      <c r="O848" s="15" t="s">
        <v>419</v>
      </c>
      <c r="P848" s="16">
        <v>4.25</v>
      </c>
      <c r="Q848" s="16">
        <v>13</v>
      </c>
      <c r="R848" s="16">
        <f>P848*Q848</f>
        <v>55.25</v>
      </c>
      <c r="S848" s="292">
        <f>SUM(R848:R849)</f>
        <v>55.25</v>
      </c>
      <c r="T848" s="292">
        <v>484.5</v>
      </c>
      <c r="U848" s="292">
        <f>T848-S848</f>
        <v>429.25</v>
      </c>
      <c r="V848" s="313">
        <f>U848/T848</f>
        <v>0.88596491228070173</v>
      </c>
      <c r="Y848" s="270"/>
      <c r="Z848" s="314" t="s">
        <v>1278</v>
      </c>
      <c r="AA848" s="15" t="s">
        <v>419</v>
      </c>
      <c r="AB848" s="16">
        <v>4.25</v>
      </c>
      <c r="AC848" s="16">
        <v>13</v>
      </c>
      <c r="AD848" s="16">
        <f>AB848*AC848</f>
        <v>55.25</v>
      </c>
      <c r="AE848" s="292">
        <f>SUM(AD848:AD849)</f>
        <v>55.25</v>
      </c>
      <c r="AF848" s="292">
        <v>484.5</v>
      </c>
      <c r="AG848" s="292">
        <f>AF848-AE848</f>
        <v>429.25</v>
      </c>
      <c r="AH848" s="313">
        <f>AG848/AF848</f>
        <v>0.88596491228070173</v>
      </c>
    </row>
    <row r="849" spans="3:34" ht="16">
      <c r="C849" s="1"/>
      <c r="K849" s="2"/>
      <c r="M849" s="270"/>
      <c r="N849" s="246"/>
      <c r="O849" s="20"/>
      <c r="P849" s="21"/>
      <c r="Q849" s="21"/>
      <c r="R849" s="21"/>
      <c r="S849" s="248"/>
      <c r="T849" s="248"/>
      <c r="U849" s="248"/>
      <c r="V849" s="303"/>
      <c r="Y849" s="270"/>
      <c r="Z849" s="246"/>
      <c r="AA849" s="20"/>
      <c r="AB849" s="21"/>
      <c r="AC849" s="21"/>
      <c r="AD849" s="21"/>
      <c r="AE849" s="248"/>
      <c r="AF849" s="248"/>
      <c r="AG849" s="248"/>
      <c r="AH849" s="303"/>
    </row>
    <row r="850" spans="3:34" ht="16">
      <c r="C850" s="1"/>
      <c r="K850" s="2"/>
      <c r="M850" s="270"/>
      <c r="N850" s="314" t="s">
        <v>1279</v>
      </c>
      <c r="O850" s="15" t="s">
        <v>419</v>
      </c>
      <c r="P850" s="16">
        <v>4.0199999999999996</v>
      </c>
      <c r="Q850" s="16">
        <v>13</v>
      </c>
      <c r="R850" s="16">
        <f>P850*Q850</f>
        <v>52.259999999999991</v>
      </c>
      <c r="S850" s="292">
        <f>SUM(R850:R851)</f>
        <v>52.259999999999991</v>
      </c>
      <c r="T850" s="292">
        <v>275.5</v>
      </c>
      <c r="U850" s="292">
        <f>T850-S850</f>
        <v>223.24</v>
      </c>
      <c r="V850" s="313">
        <f>U850/T850</f>
        <v>0.81030852994555358</v>
      </c>
      <c r="Y850" s="270"/>
      <c r="Z850" s="314" t="s">
        <v>1279</v>
      </c>
      <c r="AA850" s="15" t="s">
        <v>419</v>
      </c>
      <c r="AB850" s="16">
        <v>4.0199999999999996</v>
      </c>
      <c r="AC850" s="16">
        <v>13</v>
      </c>
      <c r="AD850" s="16">
        <f>AB850*AC850</f>
        <v>52.259999999999991</v>
      </c>
      <c r="AE850" s="292">
        <f>SUM(AD850:AD851)</f>
        <v>52.259999999999991</v>
      </c>
      <c r="AF850" s="292">
        <v>275.5</v>
      </c>
      <c r="AG850" s="292">
        <f>AF850-AE850</f>
        <v>223.24</v>
      </c>
      <c r="AH850" s="313">
        <f>AG850/AF850</f>
        <v>0.81030852994555358</v>
      </c>
    </row>
    <row r="851" spans="3:34" ht="16">
      <c r="C851" s="1"/>
      <c r="K851" s="2"/>
      <c r="M851" s="270"/>
      <c r="N851" s="246"/>
      <c r="O851" s="20"/>
      <c r="P851" s="21"/>
      <c r="Q851" s="21"/>
      <c r="R851" s="21"/>
      <c r="S851" s="248"/>
      <c r="T851" s="248"/>
      <c r="U851" s="248"/>
      <c r="V851" s="303"/>
      <c r="Y851" s="270"/>
      <c r="Z851" s="246"/>
      <c r="AA851" s="20"/>
      <c r="AB851" s="21"/>
      <c r="AC851" s="21"/>
      <c r="AD851" s="21"/>
      <c r="AE851" s="248"/>
      <c r="AF851" s="248"/>
      <c r="AG851" s="248"/>
      <c r="AH851" s="303"/>
    </row>
    <row r="852" spans="3:34" ht="16">
      <c r="C852" s="1"/>
      <c r="K852" s="2"/>
      <c r="M852" s="270"/>
      <c r="N852" s="314" t="s">
        <v>2069</v>
      </c>
      <c r="O852" s="15" t="s">
        <v>114</v>
      </c>
      <c r="P852" s="16">
        <v>14</v>
      </c>
      <c r="Q852" s="16">
        <v>16</v>
      </c>
      <c r="R852" s="16">
        <f>P852*Q852</f>
        <v>224</v>
      </c>
      <c r="S852" s="292">
        <f>SUM(R852:R856)</f>
        <v>467.22</v>
      </c>
      <c r="T852" s="312">
        <v>2668</v>
      </c>
      <c r="U852" s="312">
        <f>T852-S852</f>
        <v>2200.7799999999997</v>
      </c>
      <c r="V852" s="313">
        <f>U852/T852</f>
        <v>0.8248800599700149</v>
      </c>
      <c r="Y852" s="270"/>
      <c r="Z852" s="314" t="s">
        <v>2069</v>
      </c>
      <c r="AA852" s="15" t="s">
        <v>114</v>
      </c>
      <c r="AB852" s="43"/>
      <c r="AC852" s="43"/>
      <c r="AD852" s="43"/>
      <c r="AE852" s="292">
        <f>SUM(AD852:AD856)</f>
        <v>243.22</v>
      </c>
      <c r="AF852" s="312">
        <v>2668</v>
      </c>
      <c r="AG852" s="312">
        <f>AF852-AE852</f>
        <v>2424.7800000000002</v>
      </c>
      <c r="AH852" s="313">
        <f>AG852/AF852</f>
        <v>0.90883808095952034</v>
      </c>
    </row>
    <row r="853" spans="3:34" ht="16">
      <c r="C853" s="1"/>
      <c r="K853" s="2"/>
      <c r="M853" s="270"/>
      <c r="N853" s="245"/>
      <c r="O853" s="19" t="s">
        <v>2070</v>
      </c>
      <c r="P853" s="17"/>
      <c r="Q853" s="17"/>
      <c r="R853" s="17">
        <v>36.72</v>
      </c>
      <c r="S853" s="236"/>
      <c r="T853" s="236"/>
      <c r="U853" s="236"/>
      <c r="V853" s="242"/>
      <c r="Y853" s="270"/>
      <c r="Z853" s="245"/>
      <c r="AA853" s="19" t="s">
        <v>2070</v>
      </c>
      <c r="AB853" s="17"/>
      <c r="AC853" s="17"/>
      <c r="AD853" s="17">
        <v>36.72</v>
      </c>
      <c r="AE853" s="236"/>
      <c r="AF853" s="236"/>
      <c r="AG853" s="236"/>
      <c r="AH853" s="242"/>
    </row>
    <row r="854" spans="3:34" ht="16">
      <c r="C854" s="1"/>
      <c r="K854" s="2"/>
      <c r="M854" s="270"/>
      <c r="N854" s="245"/>
      <c r="O854" s="19" t="s">
        <v>2071</v>
      </c>
      <c r="P854" s="17"/>
      <c r="Q854" s="17"/>
      <c r="R854" s="17">
        <v>45</v>
      </c>
      <c r="S854" s="236"/>
      <c r="T854" s="236"/>
      <c r="U854" s="236"/>
      <c r="V854" s="242"/>
      <c r="Y854" s="270"/>
      <c r="Z854" s="245"/>
      <c r="AA854" s="19" t="s">
        <v>2071</v>
      </c>
      <c r="AB854" s="17"/>
      <c r="AC854" s="17"/>
      <c r="AD854" s="17">
        <v>45</v>
      </c>
      <c r="AE854" s="236"/>
      <c r="AF854" s="236"/>
      <c r="AG854" s="236"/>
      <c r="AH854" s="242"/>
    </row>
    <row r="855" spans="3:34" ht="16">
      <c r="C855" s="1"/>
      <c r="K855" s="2"/>
      <c r="M855" s="270"/>
      <c r="N855" s="245"/>
      <c r="O855" s="19" t="s">
        <v>47</v>
      </c>
      <c r="P855" s="17"/>
      <c r="Q855" s="17"/>
      <c r="R855" s="17">
        <v>38</v>
      </c>
      <c r="S855" s="236"/>
      <c r="T855" s="236"/>
      <c r="U855" s="236"/>
      <c r="V855" s="242"/>
      <c r="Y855" s="270"/>
      <c r="Z855" s="245"/>
      <c r="AA855" s="19" t="s">
        <v>47</v>
      </c>
      <c r="AB855" s="17"/>
      <c r="AC855" s="17"/>
      <c r="AD855" s="17">
        <v>38</v>
      </c>
      <c r="AE855" s="236"/>
      <c r="AF855" s="236"/>
      <c r="AG855" s="236"/>
      <c r="AH855" s="242"/>
    </row>
    <row r="856" spans="3:34" ht="16">
      <c r="C856" s="1"/>
      <c r="K856" s="2"/>
      <c r="M856" s="270"/>
      <c r="N856" s="246"/>
      <c r="O856" s="20" t="s">
        <v>732</v>
      </c>
      <c r="P856" s="21"/>
      <c r="Q856" s="21"/>
      <c r="R856" s="21">
        <v>123.5</v>
      </c>
      <c r="S856" s="248"/>
      <c r="T856" s="248"/>
      <c r="U856" s="248"/>
      <c r="V856" s="303"/>
      <c r="Y856" s="270"/>
      <c r="Z856" s="246"/>
      <c r="AA856" s="20" t="s">
        <v>732</v>
      </c>
      <c r="AB856" s="21"/>
      <c r="AC856" s="21"/>
      <c r="AD856" s="21">
        <v>123.5</v>
      </c>
      <c r="AE856" s="248"/>
      <c r="AF856" s="248"/>
      <c r="AG856" s="248"/>
      <c r="AH856" s="303"/>
    </row>
    <row r="857" spans="3:34" ht="16">
      <c r="C857" s="1"/>
      <c r="K857" s="2"/>
      <c r="M857" s="270"/>
      <c r="N857" s="314" t="s">
        <v>2072</v>
      </c>
      <c r="O857" s="15" t="s">
        <v>698</v>
      </c>
      <c r="P857" s="16"/>
      <c r="Q857" s="16"/>
      <c r="R857" s="16">
        <v>250</v>
      </c>
      <c r="S857" s="292">
        <f>SUM(R857:R858)</f>
        <v>250</v>
      </c>
      <c r="T857" s="292">
        <v>2139</v>
      </c>
      <c r="U857" s="292">
        <f>T857-S857</f>
        <v>1889</v>
      </c>
      <c r="V857" s="313">
        <f>U857/T857</f>
        <v>0.88312295465170643</v>
      </c>
      <c r="Y857" s="270"/>
      <c r="Z857" s="314" t="s">
        <v>2072</v>
      </c>
      <c r="AA857" s="15" t="s">
        <v>698</v>
      </c>
      <c r="AB857" s="16"/>
      <c r="AC857" s="16"/>
      <c r="AD857" s="16">
        <v>250</v>
      </c>
      <c r="AE857" s="292">
        <f>SUM(AD857:AD858)</f>
        <v>250</v>
      </c>
      <c r="AF857" s="292">
        <v>2139</v>
      </c>
      <c r="AG857" s="292">
        <f>AF857-AE857</f>
        <v>1889</v>
      </c>
      <c r="AH857" s="313">
        <f>AG857/AF857</f>
        <v>0.88312295465170643</v>
      </c>
    </row>
    <row r="858" spans="3:34" ht="16">
      <c r="C858" s="1"/>
      <c r="K858" s="2"/>
      <c r="M858" s="270"/>
      <c r="N858" s="246"/>
      <c r="O858" s="20"/>
      <c r="P858" s="21"/>
      <c r="Q858" s="21"/>
      <c r="R858" s="21"/>
      <c r="S858" s="248"/>
      <c r="T858" s="248"/>
      <c r="U858" s="248"/>
      <c r="V858" s="303"/>
      <c r="Y858" s="270"/>
      <c r="Z858" s="246"/>
      <c r="AA858" s="20"/>
      <c r="AB858" s="21"/>
      <c r="AC858" s="21"/>
      <c r="AD858" s="21"/>
      <c r="AE858" s="248"/>
      <c r="AF858" s="248"/>
      <c r="AG858" s="248"/>
      <c r="AH858" s="303"/>
    </row>
    <row r="859" spans="3:34" ht="16">
      <c r="C859" s="1"/>
      <c r="K859" s="2"/>
      <c r="M859" s="270"/>
      <c r="N859" s="314" t="s">
        <v>1280</v>
      </c>
      <c r="O859" s="15" t="s">
        <v>1281</v>
      </c>
      <c r="P859" s="16">
        <v>7</v>
      </c>
      <c r="Q859" s="16">
        <v>8</v>
      </c>
      <c r="R859" s="16">
        <f>P859*Q859</f>
        <v>56</v>
      </c>
      <c r="S859" s="292">
        <f>SUM(R859:R860)</f>
        <v>56</v>
      </c>
      <c r="T859" s="292">
        <v>712.5</v>
      </c>
      <c r="U859" s="292">
        <f>T859-S859</f>
        <v>656.5</v>
      </c>
      <c r="V859" s="313">
        <f>U859/T859</f>
        <v>0.92140350877192978</v>
      </c>
      <c r="Y859" s="270"/>
      <c r="Z859" s="314" t="s">
        <v>1280</v>
      </c>
      <c r="AA859" s="15" t="s">
        <v>1281</v>
      </c>
      <c r="AB859" s="43"/>
      <c r="AC859" s="43"/>
      <c r="AD859" s="43"/>
      <c r="AE859" s="292">
        <f>SUM(AD859:AD860)</f>
        <v>0</v>
      </c>
      <c r="AF859" s="292">
        <v>712.5</v>
      </c>
      <c r="AG859" s="292">
        <f>AF859-AE859</f>
        <v>712.5</v>
      </c>
      <c r="AH859" s="313">
        <f>AG859/AF859</f>
        <v>1</v>
      </c>
    </row>
    <row r="860" spans="3:34" ht="16">
      <c r="C860" s="1"/>
      <c r="K860" s="2"/>
      <c r="M860" s="270"/>
      <c r="N860" s="246"/>
      <c r="O860" s="20"/>
      <c r="P860" s="21"/>
      <c r="Q860" s="21"/>
      <c r="R860" s="21"/>
      <c r="S860" s="248"/>
      <c r="T860" s="248"/>
      <c r="U860" s="248"/>
      <c r="V860" s="303"/>
      <c r="Y860" s="270"/>
      <c r="Z860" s="246"/>
      <c r="AA860" s="20"/>
      <c r="AB860" s="21"/>
      <c r="AC860" s="21"/>
      <c r="AD860" s="21"/>
      <c r="AE860" s="248"/>
      <c r="AF860" s="248"/>
      <c r="AG860" s="248"/>
      <c r="AH860" s="303"/>
    </row>
    <row r="861" spans="3:34" ht="16">
      <c r="C861" s="1"/>
      <c r="K861" s="2"/>
      <c r="M861" s="270"/>
      <c r="N861" s="314" t="s">
        <v>2073</v>
      </c>
      <c r="O861" s="15" t="s">
        <v>114</v>
      </c>
      <c r="P861" s="16">
        <v>7</v>
      </c>
      <c r="Q861" s="16">
        <v>16</v>
      </c>
      <c r="R861" s="16">
        <f t="shared" ref="R861:R870" si="371">P861*Q861</f>
        <v>112</v>
      </c>
      <c r="S861" s="292">
        <f>SUM(R861:R872)</f>
        <v>3721.6499999999996</v>
      </c>
      <c r="T861" s="312">
        <v>9250</v>
      </c>
      <c r="U861" s="312">
        <f>T861-S861</f>
        <v>5528.35</v>
      </c>
      <c r="V861" s="313">
        <f>U861/T861</f>
        <v>0.59765945945945953</v>
      </c>
      <c r="Y861" s="270"/>
      <c r="Z861" s="314" t="s">
        <v>2073</v>
      </c>
      <c r="AA861" s="15" t="s">
        <v>114</v>
      </c>
      <c r="AB861" s="43"/>
      <c r="AC861" s="43"/>
      <c r="AD861" s="43"/>
      <c r="AE861" s="292">
        <f>SUM(AD861:AD872)</f>
        <v>3217.6499999999996</v>
      </c>
      <c r="AF861" s="312">
        <v>9250</v>
      </c>
      <c r="AG861" s="312">
        <f>AF861-AE861</f>
        <v>6032.35</v>
      </c>
      <c r="AH861" s="313">
        <f>AG861/AF861</f>
        <v>0.65214594594594599</v>
      </c>
    </row>
    <row r="862" spans="3:34" ht="16">
      <c r="C862" s="1"/>
      <c r="K862" s="2"/>
      <c r="M862" s="270"/>
      <c r="N862" s="245"/>
      <c r="O862" s="19" t="s">
        <v>701</v>
      </c>
      <c r="P862" s="17">
        <v>24.5</v>
      </c>
      <c r="Q862" s="17">
        <v>16</v>
      </c>
      <c r="R862" s="17">
        <f t="shared" si="371"/>
        <v>392</v>
      </c>
      <c r="S862" s="236"/>
      <c r="T862" s="236"/>
      <c r="U862" s="236"/>
      <c r="V862" s="242"/>
      <c r="Y862" s="270"/>
      <c r="Z862" s="245"/>
      <c r="AA862" s="19" t="s">
        <v>701</v>
      </c>
      <c r="AB862" s="18"/>
      <c r="AC862" s="18"/>
      <c r="AD862" s="18"/>
      <c r="AE862" s="236"/>
      <c r="AF862" s="236"/>
      <c r="AG862" s="236"/>
      <c r="AH862" s="242"/>
    </row>
    <row r="863" spans="3:34" ht="16">
      <c r="C863" s="1"/>
      <c r="K863" s="2"/>
      <c r="M863" s="270"/>
      <c r="N863" s="245"/>
      <c r="O863" s="19" t="s">
        <v>1239</v>
      </c>
      <c r="P863" s="17">
        <v>60.48</v>
      </c>
      <c r="Q863" s="17">
        <v>15</v>
      </c>
      <c r="R863" s="17">
        <f t="shared" si="371"/>
        <v>907.19999999999993</v>
      </c>
      <c r="S863" s="236"/>
      <c r="T863" s="236"/>
      <c r="U863" s="236"/>
      <c r="V863" s="242"/>
      <c r="Y863" s="270"/>
      <c r="Z863" s="245"/>
      <c r="AA863" s="19" t="s">
        <v>1239</v>
      </c>
      <c r="AB863" s="17">
        <v>60.48</v>
      </c>
      <c r="AC863" s="17">
        <v>15</v>
      </c>
      <c r="AD863" s="17">
        <f t="shared" ref="AD863:AD870" si="372">AB863*AC863</f>
        <v>907.19999999999993</v>
      </c>
      <c r="AE863" s="236"/>
      <c r="AF863" s="236"/>
      <c r="AG863" s="236"/>
      <c r="AH863" s="242"/>
    </row>
    <row r="864" spans="3:34" ht="16">
      <c r="C864" s="1"/>
      <c r="K864" s="2"/>
      <c r="M864" s="270"/>
      <c r="N864" s="245"/>
      <c r="O864" s="19" t="s">
        <v>698</v>
      </c>
      <c r="P864" s="17">
        <v>18.2</v>
      </c>
      <c r="Q864" s="17">
        <v>15</v>
      </c>
      <c r="R864" s="17">
        <f t="shared" si="371"/>
        <v>273</v>
      </c>
      <c r="S864" s="236"/>
      <c r="T864" s="236"/>
      <c r="U864" s="236"/>
      <c r="V864" s="242"/>
      <c r="Y864" s="270"/>
      <c r="Z864" s="245"/>
      <c r="AA864" s="19" t="s">
        <v>698</v>
      </c>
      <c r="AB864" s="17">
        <v>18.2</v>
      </c>
      <c r="AC864" s="17">
        <v>15</v>
      </c>
      <c r="AD864" s="17">
        <f t="shared" si="372"/>
        <v>273</v>
      </c>
      <c r="AE864" s="236"/>
      <c r="AF864" s="236"/>
      <c r="AG864" s="236"/>
      <c r="AH864" s="242"/>
    </row>
    <row r="865" spans="3:34" ht="16">
      <c r="C865" s="1"/>
      <c r="K865" s="2"/>
      <c r="M865" s="270"/>
      <c r="N865" s="245"/>
      <c r="O865" s="19" t="s">
        <v>78</v>
      </c>
      <c r="P865" s="17">
        <v>33.4</v>
      </c>
      <c r="Q865" s="17">
        <v>15</v>
      </c>
      <c r="R865" s="17">
        <f t="shared" si="371"/>
        <v>501</v>
      </c>
      <c r="S865" s="236"/>
      <c r="T865" s="236"/>
      <c r="U865" s="236"/>
      <c r="V865" s="242"/>
      <c r="Y865" s="270"/>
      <c r="Z865" s="245"/>
      <c r="AA865" s="19" t="s">
        <v>78</v>
      </c>
      <c r="AB865" s="17">
        <v>33.4</v>
      </c>
      <c r="AC865" s="17">
        <v>15</v>
      </c>
      <c r="AD865" s="17">
        <f t="shared" si="372"/>
        <v>501</v>
      </c>
      <c r="AE865" s="236"/>
      <c r="AF865" s="236"/>
      <c r="AG865" s="236"/>
      <c r="AH865" s="242"/>
    </row>
    <row r="866" spans="3:34" ht="16">
      <c r="C866" s="1"/>
      <c r="K866" s="2"/>
      <c r="M866" s="270"/>
      <c r="N866" s="245"/>
      <c r="O866" s="19" t="s">
        <v>687</v>
      </c>
      <c r="P866" s="17">
        <v>45.85</v>
      </c>
      <c r="Q866" s="17">
        <v>15</v>
      </c>
      <c r="R866" s="17">
        <f t="shared" si="371"/>
        <v>687.75</v>
      </c>
      <c r="S866" s="236"/>
      <c r="T866" s="236"/>
      <c r="U866" s="236"/>
      <c r="V866" s="242"/>
      <c r="Y866" s="270"/>
      <c r="Z866" s="245"/>
      <c r="AA866" s="19" t="s">
        <v>687</v>
      </c>
      <c r="AB866" s="17">
        <v>45.85</v>
      </c>
      <c r="AC866" s="17">
        <v>15</v>
      </c>
      <c r="AD866" s="17">
        <f t="shared" si="372"/>
        <v>687.75</v>
      </c>
      <c r="AE866" s="236"/>
      <c r="AF866" s="236"/>
      <c r="AG866" s="236"/>
      <c r="AH866" s="242"/>
    </row>
    <row r="867" spans="3:34" ht="16">
      <c r="C867" s="1"/>
      <c r="K867" s="2"/>
      <c r="M867" s="270"/>
      <c r="N867" s="245"/>
      <c r="O867" s="19" t="s">
        <v>703</v>
      </c>
      <c r="P867" s="17">
        <v>13.23</v>
      </c>
      <c r="Q867" s="17">
        <v>15</v>
      </c>
      <c r="R867" s="17">
        <f t="shared" si="371"/>
        <v>198.45000000000002</v>
      </c>
      <c r="S867" s="236"/>
      <c r="T867" s="236"/>
      <c r="U867" s="236"/>
      <c r="V867" s="242"/>
      <c r="Y867" s="270"/>
      <c r="Z867" s="245"/>
      <c r="AA867" s="19" t="s">
        <v>703</v>
      </c>
      <c r="AB867" s="17">
        <v>13.23</v>
      </c>
      <c r="AC867" s="17">
        <v>15</v>
      </c>
      <c r="AD867" s="17">
        <f t="shared" si="372"/>
        <v>198.45000000000002</v>
      </c>
      <c r="AE867" s="236"/>
      <c r="AF867" s="236"/>
      <c r="AG867" s="236"/>
      <c r="AH867" s="242"/>
    </row>
    <row r="868" spans="3:34" ht="16">
      <c r="C868" s="1"/>
      <c r="K868" s="2"/>
      <c r="M868" s="270"/>
      <c r="N868" s="245"/>
      <c r="O868" s="19" t="s">
        <v>70</v>
      </c>
      <c r="P868" s="17">
        <v>15.7</v>
      </c>
      <c r="Q868" s="17">
        <v>15</v>
      </c>
      <c r="R868" s="17">
        <f t="shared" si="371"/>
        <v>235.5</v>
      </c>
      <c r="S868" s="236"/>
      <c r="T868" s="236"/>
      <c r="U868" s="236"/>
      <c r="V868" s="242"/>
      <c r="Y868" s="270"/>
      <c r="Z868" s="245"/>
      <c r="AA868" s="19" t="s">
        <v>70</v>
      </c>
      <c r="AB868" s="17">
        <v>15.7</v>
      </c>
      <c r="AC868" s="17">
        <v>15</v>
      </c>
      <c r="AD868" s="17">
        <f t="shared" si="372"/>
        <v>235.5</v>
      </c>
      <c r="AE868" s="236"/>
      <c r="AF868" s="236"/>
      <c r="AG868" s="236"/>
      <c r="AH868" s="242"/>
    </row>
    <row r="869" spans="3:34" ht="16">
      <c r="C869" s="1"/>
      <c r="K869" s="2"/>
      <c r="M869" s="270"/>
      <c r="N869" s="245"/>
      <c r="O869" s="19" t="s">
        <v>2074</v>
      </c>
      <c r="P869" s="17">
        <v>4.5</v>
      </c>
      <c r="Q869" s="17">
        <v>15</v>
      </c>
      <c r="R869" s="17">
        <f t="shared" si="371"/>
        <v>67.5</v>
      </c>
      <c r="S869" s="236"/>
      <c r="T869" s="236"/>
      <c r="U869" s="236"/>
      <c r="V869" s="242"/>
      <c r="Y869" s="270"/>
      <c r="Z869" s="245"/>
      <c r="AA869" s="19" t="s">
        <v>2074</v>
      </c>
      <c r="AB869" s="17">
        <v>4.5</v>
      </c>
      <c r="AC869" s="17">
        <v>15</v>
      </c>
      <c r="AD869" s="17">
        <f t="shared" si="372"/>
        <v>67.5</v>
      </c>
      <c r="AE869" s="236"/>
      <c r="AF869" s="236"/>
      <c r="AG869" s="236"/>
      <c r="AH869" s="242"/>
    </row>
    <row r="870" spans="3:34" ht="16">
      <c r="C870" s="1"/>
      <c r="K870" s="2"/>
      <c r="M870" s="270"/>
      <c r="N870" s="245"/>
      <c r="O870" s="19" t="s">
        <v>754</v>
      </c>
      <c r="P870" s="17">
        <v>13.85</v>
      </c>
      <c r="Q870" s="17">
        <v>15</v>
      </c>
      <c r="R870" s="17">
        <f t="shared" si="371"/>
        <v>207.75</v>
      </c>
      <c r="S870" s="236"/>
      <c r="T870" s="236"/>
      <c r="U870" s="236"/>
      <c r="V870" s="242"/>
      <c r="Y870" s="270"/>
      <c r="Z870" s="245"/>
      <c r="AA870" s="19" t="s">
        <v>754</v>
      </c>
      <c r="AB870" s="17">
        <v>13.85</v>
      </c>
      <c r="AC870" s="17">
        <v>15</v>
      </c>
      <c r="AD870" s="17">
        <f t="shared" si="372"/>
        <v>207.75</v>
      </c>
      <c r="AE870" s="236"/>
      <c r="AF870" s="236"/>
      <c r="AG870" s="236"/>
      <c r="AH870" s="242"/>
    </row>
    <row r="871" spans="3:34" ht="16">
      <c r="C871" s="1"/>
      <c r="K871" s="2"/>
      <c r="M871" s="270"/>
      <c r="N871" s="245"/>
      <c r="O871" s="19" t="s">
        <v>2075</v>
      </c>
      <c r="P871" s="17"/>
      <c r="Q871" s="17"/>
      <c r="R871" s="17">
        <v>42</v>
      </c>
      <c r="S871" s="236"/>
      <c r="T871" s="236"/>
      <c r="U871" s="236"/>
      <c r="V871" s="242"/>
      <c r="Y871" s="270"/>
      <c r="Z871" s="245"/>
      <c r="AA871" s="19" t="s">
        <v>2075</v>
      </c>
      <c r="AB871" s="17"/>
      <c r="AC871" s="17"/>
      <c r="AD871" s="17">
        <v>42</v>
      </c>
      <c r="AE871" s="236"/>
      <c r="AF871" s="236"/>
      <c r="AG871" s="236"/>
      <c r="AH871" s="242"/>
    </row>
    <row r="872" spans="3:34" ht="16">
      <c r="C872" s="1"/>
      <c r="K872" s="2"/>
      <c r="M872" s="270"/>
      <c r="N872" s="246"/>
      <c r="O872" s="20" t="s">
        <v>419</v>
      </c>
      <c r="P872" s="21">
        <v>6.5</v>
      </c>
      <c r="Q872" s="21">
        <v>15</v>
      </c>
      <c r="R872" s="21">
        <f t="shared" ref="R872:R880" si="373">P872*Q872</f>
        <v>97.5</v>
      </c>
      <c r="S872" s="248"/>
      <c r="T872" s="248"/>
      <c r="U872" s="248"/>
      <c r="V872" s="303"/>
      <c r="Y872" s="270"/>
      <c r="Z872" s="246"/>
      <c r="AA872" s="20" t="s">
        <v>419</v>
      </c>
      <c r="AB872" s="21">
        <v>6.5</v>
      </c>
      <c r="AC872" s="21">
        <v>15</v>
      </c>
      <c r="AD872" s="21">
        <f>AB872*AC872</f>
        <v>97.5</v>
      </c>
      <c r="AE872" s="248"/>
      <c r="AF872" s="248"/>
      <c r="AG872" s="248"/>
      <c r="AH872" s="303"/>
    </row>
    <row r="873" spans="3:34" ht="16">
      <c r="C873" s="1"/>
      <c r="K873" s="2"/>
      <c r="M873" s="270"/>
      <c r="N873" s="314" t="s">
        <v>2076</v>
      </c>
      <c r="O873" s="15" t="s">
        <v>114</v>
      </c>
      <c r="P873" s="16">
        <v>50.3</v>
      </c>
      <c r="Q873" s="16">
        <v>16</v>
      </c>
      <c r="R873" s="16">
        <f t="shared" si="373"/>
        <v>804.8</v>
      </c>
      <c r="S873" s="292">
        <f>SUM(R873:R880)</f>
        <v>2789.95</v>
      </c>
      <c r="T873" s="312">
        <v>9250</v>
      </c>
      <c r="U873" s="312">
        <f>T873-S873</f>
        <v>6460.05</v>
      </c>
      <c r="V873" s="313">
        <f>U873/T873</f>
        <v>0.69838378378378385</v>
      </c>
      <c r="Y873" s="270"/>
      <c r="Z873" s="314" t="s">
        <v>2076</v>
      </c>
      <c r="AA873" s="15" t="s">
        <v>114</v>
      </c>
      <c r="AB873" s="43"/>
      <c r="AC873" s="43"/>
      <c r="AD873" s="43"/>
      <c r="AE873" s="292">
        <f>SUM(AD873:AD880)</f>
        <v>1761.15</v>
      </c>
      <c r="AF873" s="312">
        <v>9250</v>
      </c>
      <c r="AG873" s="312">
        <f>AF873-AE873</f>
        <v>7488.85</v>
      </c>
      <c r="AH873" s="313">
        <f>AG873/AF873</f>
        <v>0.80960540540540549</v>
      </c>
    </row>
    <row r="874" spans="3:34" ht="16">
      <c r="C874" s="1"/>
      <c r="K874" s="2"/>
      <c r="M874" s="270"/>
      <c r="N874" s="245"/>
      <c r="O874" s="19" t="s">
        <v>701</v>
      </c>
      <c r="P874" s="17">
        <v>14</v>
      </c>
      <c r="Q874" s="17">
        <v>16</v>
      </c>
      <c r="R874" s="17">
        <f t="shared" si="373"/>
        <v>224</v>
      </c>
      <c r="S874" s="236"/>
      <c r="T874" s="236"/>
      <c r="U874" s="236"/>
      <c r="V874" s="242"/>
      <c r="Y874" s="270"/>
      <c r="Z874" s="245"/>
      <c r="AA874" s="19" t="s">
        <v>701</v>
      </c>
      <c r="AB874" s="18"/>
      <c r="AC874" s="18"/>
      <c r="AD874" s="18"/>
      <c r="AE874" s="236"/>
      <c r="AF874" s="236"/>
      <c r="AG874" s="236"/>
      <c r="AH874" s="242"/>
    </row>
    <row r="875" spans="3:34" ht="16">
      <c r="C875" s="1"/>
      <c r="K875" s="2"/>
      <c r="M875" s="270"/>
      <c r="N875" s="245"/>
      <c r="O875" s="19" t="s">
        <v>310</v>
      </c>
      <c r="P875" s="17">
        <v>24.61</v>
      </c>
      <c r="Q875" s="17">
        <v>15</v>
      </c>
      <c r="R875" s="17">
        <f t="shared" si="373"/>
        <v>369.15</v>
      </c>
      <c r="S875" s="236"/>
      <c r="T875" s="236"/>
      <c r="U875" s="236"/>
      <c r="V875" s="242"/>
      <c r="Y875" s="270"/>
      <c r="Z875" s="245"/>
      <c r="AA875" s="19" t="s">
        <v>310</v>
      </c>
      <c r="AB875" s="17">
        <v>24.61</v>
      </c>
      <c r="AC875" s="17">
        <v>15</v>
      </c>
      <c r="AD875" s="17">
        <f t="shared" ref="AD875:AD880" si="374">AB875*AC875</f>
        <v>369.15</v>
      </c>
      <c r="AE875" s="236"/>
      <c r="AF875" s="236"/>
      <c r="AG875" s="236"/>
      <c r="AH875" s="242"/>
    </row>
    <row r="876" spans="3:34" ht="16">
      <c r="C876" s="1"/>
      <c r="K876" s="2"/>
      <c r="M876" s="270"/>
      <c r="N876" s="245"/>
      <c r="O876" s="19" t="s">
        <v>698</v>
      </c>
      <c r="P876" s="17">
        <v>11</v>
      </c>
      <c r="Q876" s="17">
        <v>15</v>
      </c>
      <c r="R876" s="17">
        <f t="shared" si="373"/>
        <v>165</v>
      </c>
      <c r="S876" s="236"/>
      <c r="T876" s="236"/>
      <c r="U876" s="236"/>
      <c r="V876" s="242"/>
      <c r="Y876" s="270"/>
      <c r="Z876" s="245"/>
      <c r="AA876" s="19" t="s">
        <v>698</v>
      </c>
      <c r="AB876" s="17">
        <v>11</v>
      </c>
      <c r="AC876" s="17">
        <v>15</v>
      </c>
      <c r="AD876" s="17">
        <f t="shared" si="374"/>
        <v>165</v>
      </c>
      <c r="AE876" s="236"/>
      <c r="AF876" s="236"/>
      <c r="AG876" s="236"/>
      <c r="AH876" s="242"/>
    </row>
    <row r="877" spans="3:34" ht="16">
      <c r="C877" s="1"/>
      <c r="K877" s="2"/>
      <c r="M877" s="270"/>
      <c r="N877" s="245"/>
      <c r="O877" s="19" t="s">
        <v>78</v>
      </c>
      <c r="P877" s="17">
        <v>16.739999999999998</v>
      </c>
      <c r="Q877" s="17">
        <v>15</v>
      </c>
      <c r="R877" s="17">
        <f t="shared" si="373"/>
        <v>251.09999999999997</v>
      </c>
      <c r="S877" s="236"/>
      <c r="T877" s="236"/>
      <c r="U877" s="236"/>
      <c r="V877" s="242"/>
      <c r="Y877" s="270"/>
      <c r="Z877" s="245"/>
      <c r="AA877" s="19" t="s">
        <v>78</v>
      </c>
      <c r="AB877" s="17">
        <v>16.739999999999998</v>
      </c>
      <c r="AC877" s="17">
        <v>15</v>
      </c>
      <c r="AD877" s="17">
        <f t="shared" si="374"/>
        <v>251.09999999999997</v>
      </c>
      <c r="AE877" s="236"/>
      <c r="AF877" s="236"/>
      <c r="AG877" s="236"/>
      <c r="AH877" s="242"/>
    </row>
    <row r="878" spans="3:34" ht="16">
      <c r="C878" s="1"/>
      <c r="K878" s="2"/>
      <c r="M878" s="270"/>
      <c r="N878" s="245"/>
      <c r="O878" s="19" t="s">
        <v>703</v>
      </c>
      <c r="P878" s="17">
        <v>26.66</v>
      </c>
      <c r="Q878" s="17">
        <v>15</v>
      </c>
      <c r="R878" s="17">
        <f t="shared" si="373"/>
        <v>399.9</v>
      </c>
      <c r="S878" s="236"/>
      <c r="T878" s="236"/>
      <c r="U878" s="236"/>
      <c r="V878" s="242"/>
      <c r="Y878" s="270"/>
      <c r="Z878" s="245"/>
      <c r="AA878" s="19" t="s">
        <v>703</v>
      </c>
      <c r="AB878" s="17">
        <v>26.66</v>
      </c>
      <c r="AC878" s="17">
        <v>15</v>
      </c>
      <c r="AD878" s="17">
        <f t="shared" si="374"/>
        <v>399.9</v>
      </c>
      <c r="AE878" s="236"/>
      <c r="AF878" s="236"/>
      <c r="AG878" s="236"/>
      <c r="AH878" s="242"/>
    </row>
    <row r="879" spans="3:34" ht="16">
      <c r="C879" s="1"/>
      <c r="K879" s="2"/>
      <c r="M879" s="270"/>
      <c r="N879" s="245"/>
      <c r="O879" s="19" t="s">
        <v>70</v>
      </c>
      <c r="P879" s="17">
        <v>30.8</v>
      </c>
      <c r="Q879" s="17">
        <v>15</v>
      </c>
      <c r="R879" s="17">
        <f t="shared" si="373"/>
        <v>462</v>
      </c>
      <c r="S879" s="236"/>
      <c r="T879" s="236"/>
      <c r="U879" s="236"/>
      <c r="V879" s="242"/>
      <c r="Y879" s="270"/>
      <c r="Z879" s="245"/>
      <c r="AA879" s="19" t="s">
        <v>70</v>
      </c>
      <c r="AB879" s="17">
        <v>30.8</v>
      </c>
      <c r="AC879" s="17">
        <v>15</v>
      </c>
      <c r="AD879" s="17">
        <f t="shared" si="374"/>
        <v>462</v>
      </c>
      <c r="AE879" s="236"/>
      <c r="AF879" s="236"/>
      <c r="AG879" s="236"/>
      <c r="AH879" s="242"/>
    </row>
    <row r="880" spans="3:34" ht="16">
      <c r="C880" s="1"/>
      <c r="K880" s="2"/>
      <c r="M880" s="270"/>
      <c r="N880" s="246"/>
      <c r="O880" s="20" t="s">
        <v>1292</v>
      </c>
      <c r="P880" s="21">
        <v>7.6</v>
      </c>
      <c r="Q880" s="21">
        <v>15</v>
      </c>
      <c r="R880" s="21">
        <f t="shared" si="373"/>
        <v>114</v>
      </c>
      <c r="S880" s="248"/>
      <c r="T880" s="248"/>
      <c r="U880" s="248"/>
      <c r="V880" s="303"/>
      <c r="Y880" s="270"/>
      <c r="Z880" s="246"/>
      <c r="AA880" s="20" t="s">
        <v>1292</v>
      </c>
      <c r="AB880" s="21">
        <v>7.6</v>
      </c>
      <c r="AC880" s="21">
        <v>15</v>
      </c>
      <c r="AD880" s="21">
        <f t="shared" si="374"/>
        <v>114</v>
      </c>
      <c r="AE880" s="248"/>
      <c r="AF880" s="248"/>
      <c r="AG880" s="248"/>
      <c r="AH880" s="303"/>
    </row>
    <row r="881" spans="3:34" ht="30">
      <c r="C881" s="1"/>
      <c r="K881" s="2"/>
      <c r="M881" s="278" t="s">
        <v>2077</v>
      </c>
      <c r="N881" s="252"/>
      <c r="O881" s="253"/>
      <c r="P881" s="128">
        <f t="shared" ref="P881:U881" si="375">AVERAGE(P780:P880)</f>
        <v>43.253432835820888</v>
      </c>
      <c r="Q881" s="128">
        <f t="shared" si="375"/>
        <v>14.653731343283582</v>
      </c>
      <c r="R881" s="128">
        <f t="shared" si="375"/>
        <v>209.7615625</v>
      </c>
      <c r="S881" s="128">
        <f t="shared" si="375"/>
        <v>875.52652173913032</v>
      </c>
      <c r="T881" s="128">
        <f t="shared" si="375"/>
        <v>2706.3856521739131</v>
      </c>
      <c r="U881" s="128">
        <f t="shared" si="375"/>
        <v>1830.8591304347831</v>
      </c>
      <c r="V881" s="149"/>
      <c r="Y881" s="278" t="s">
        <v>2077</v>
      </c>
      <c r="Z881" s="252"/>
      <c r="AA881" s="253"/>
      <c r="AB881" s="128">
        <f t="shared" ref="AB881:AG881" si="376">AVERAGE(AB780:AB880)</f>
        <v>54.861041666666644</v>
      </c>
      <c r="AC881" s="128">
        <f t="shared" si="376"/>
        <v>14.2875</v>
      </c>
      <c r="AD881" s="128">
        <f t="shared" si="376"/>
        <v>207.25597402597401</v>
      </c>
      <c r="AE881" s="128">
        <f t="shared" si="376"/>
        <v>693.85695652173911</v>
      </c>
      <c r="AF881" s="128">
        <f t="shared" si="376"/>
        <v>2706.3856521739131</v>
      </c>
      <c r="AG881" s="128">
        <f t="shared" si="376"/>
        <v>2012.5286956521741</v>
      </c>
      <c r="AH881" s="149"/>
    </row>
    <row r="882" spans="3:34" ht="30">
      <c r="C882" s="1"/>
      <c r="K882" s="2"/>
      <c r="M882" s="318" t="s">
        <v>2078</v>
      </c>
      <c r="N882" s="293"/>
      <c r="O882" s="319"/>
      <c r="P882" s="130">
        <f t="shared" ref="P882:U882" si="377">SUM(P780:P880)</f>
        <v>2897.9799999999996</v>
      </c>
      <c r="Q882" s="130">
        <f t="shared" si="377"/>
        <v>981.8</v>
      </c>
      <c r="R882" s="130">
        <f t="shared" si="377"/>
        <v>20137.11</v>
      </c>
      <c r="S882" s="130">
        <f t="shared" si="377"/>
        <v>20137.109999999997</v>
      </c>
      <c r="T882" s="130">
        <f t="shared" si="377"/>
        <v>62246.87</v>
      </c>
      <c r="U882" s="130">
        <f t="shared" si="377"/>
        <v>42109.760000000009</v>
      </c>
      <c r="V882" s="129">
        <f t="shared" ref="V882:V883" si="378">U882/T882</f>
        <v>0.67649602301288414</v>
      </c>
      <c r="Y882" s="318" t="s">
        <v>2078</v>
      </c>
      <c r="Z882" s="293"/>
      <c r="AA882" s="319"/>
      <c r="AB882" s="130">
        <f t="shared" ref="AB882:AG882" si="379">SUM(AB780:AB880)</f>
        <v>2633.329999999999</v>
      </c>
      <c r="AC882" s="130">
        <f t="shared" si="379"/>
        <v>685.8</v>
      </c>
      <c r="AD882" s="130">
        <f t="shared" si="379"/>
        <v>15958.71</v>
      </c>
      <c r="AE882" s="130">
        <f t="shared" si="379"/>
        <v>15958.71</v>
      </c>
      <c r="AF882" s="130">
        <f t="shared" si="379"/>
        <v>62246.87</v>
      </c>
      <c r="AG882" s="130">
        <f t="shared" si="379"/>
        <v>46288.160000000003</v>
      </c>
      <c r="AH882" s="129">
        <f t="shared" ref="AH882:AH883" si="380">AG882/AF882</f>
        <v>0.74362228976332467</v>
      </c>
    </row>
    <row r="883" spans="3:34" ht="16">
      <c r="C883" s="1"/>
      <c r="K883" s="2"/>
      <c r="M883" s="288" t="s">
        <v>659</v>
      </c>
      <c r="N883" s="317" t="s">
        <v>2079</v>
      </c>
      <c r="O883" s="19" t="s">
        <v>87</v>
      </c>
      <c r="P883" s="16">
        <v>14</v>
      </c>
      <c r="Q883" s="16">
        <v>25</v>
      </c>
      <c r="R883" s="16">
        <f>P883*Q883</f>
        <v>350</v>
      </c>
      <c r="S883" s="292">
        <f>SUM(R883:R888)</f>
        <v>948.9</v>
      </c>
      <c r="T883" s="312">
        <v>3812.25</v>
      </c>
      <c r="U883" s="312">
        <f>T883-S883</f>
        <v>2863.35</v>
      </c>
      <c r="V883" s="313">
        <f t="shared" si="378"/>
        <v>0.7510918748770411</v>
      </c>
      <c r="Y883" s="288" t="s">
        <v>659</v>
      </c>
      <c r="Z883" s="317" t="s">
        <v>2079</v>
      </c>
      <c r="AA883" s="19" t="s">
        <v>87</v>
      </c>
      <c r="AB883" s="43"/>
      <c r="AC883" s="43"/>
      <c r="AD883" s="43"/>
      <c r="AE883" s="292">
        <f>SUM(AD883:AD888)</f>
        <v>598.9</v>
      </c>
      <c r="AF883" s="312">
        <v>3812.25</v>
      </c>
      <c r="AG883" s="312">
        <f>AF883-AE883</f>
        <v>3213.35</v>
      </c>
      <c r="AH883" s="313">
        <f t="shared" si="380"/>
        <v>0.84290117384746543</v>
      </c>
    </row>
    <row r="884" spans="3:34" ht="16">
      <c r="C884" s="1"/>
      <c r="K884" s="2"/>
      <c r="M884" s="270"/>
      <c r="N884" s="245"/>
      <c r="O884" s="19" t="s">
        <v>2080</v>
      </c>
      <c r="P884" s="17"/>
      <c r="Q884" s="17"/>
      <c r="R884" s="17">
        <v>216</v>
      </c>
      <c r="S884" s="236"/>
      <c r="T884" s="236"/>
      <c r="U884" s="236"/>
      <c r="V884" s="242"/>
      <c r="Y884" s="270"/>
      <c r="Z884" s="245"/>
      <c r="AA884" s="19" t="s">
        <v>2080</v>
      </c>
      <c r="AB884" s="17"/>
      <c r="AC884" s="17"/>
      <c r="AD884" s="17">
        <v>216</v>
      </c>
      <c r="AE884" s="236"/>
      <c r="AF884" s="236"/>
      <c r="AG884" s="236"/>
      <c r="AH884" s="242"/>
    </row>
    <row r="885" spans="3:34" ht="16">
      <c r="C885" s="1"/>
      <c r="K885" s="2"/>
      <c r="M885" s="270"/>
      <c r="N885" s="245"/>
      <c r="O885" s="19" t="s">
        <v>47</v>
      </c>
      <c r="P885" s="17"/>
      <c r="Q885" s="17"/>
      <c r="R885" s="17">
        <v>167.9</v>
      </c>
      <c r="S885" s="236"/>
      <c r="T885" s="236"/>
      <c r="U885" s="236"/>
      <c r="V885" s="242"/>
      <c r="Y885" s="270"/>
      <c r="Z885" s="245"/>
      <c r="AA885" s="19" t="s">
        <v>47</v>
      </c>
      <c r="AB885" s="17"/>
      <c r="AC885" s="17"/>
      <c r="AD885" s="17">
        <v>167.9</v>
      </c>
      <c r="AE885" s="236"/>
      <c r="AF885" s="236"/>
      <c r="AG885" s="236"/>
      <c r="AH885" s="242"/>
    </row>
    <row r="886" spans="3:34" ht="16">
      <c r="C886" s="1"/>
      <c r="K886" s="2"/>
      <c r="M886" s="270"/>
      <c r="N886" s="245"/>
      <c r="O886" s="19" t="s">
        <v>188</v>
      </c>
      <c r="P886" s="17"/>
      <c r="Q886" s="17"/>
      <c r="R886" s="17">
        <v>100</v>
      </c>
      <c r="S886" s="236"/>
      <c r="T886" s="236"/>
      <c r="U886" s="236"/>
      <c r="V886" s="242"/>
      <c r="Y886" s="270"/>
      <c r="Z886" s="245"/>
      <c r="AA886" s="19" t="s">
        <v>188</v>
      </c>
      <c r="AB886" s="17"/>
      <c r="AC886" s="17"/>
      <c r="AD886" s="17">
        <v>100</v>
      </c>
      <c r="AE886" s="236"/>
      <c r="AF886" s="236"/>
      <c r="AG886" s="236"/>
      <c r="AH886" s="242"/>
    </row>
    <row r="887" spans="3:34" ht="16">
      <c r="C887" s="1"/>
      <c r="K887" s="2"/>
      <c r="M887" s="270"/>
      <c r="N887" s="245"/>
      <c r="O887" s="19" t="s">
        <v>2081</v>
      </c>
      <c r="P887" s="17"/>
      <c r="Q887" s="17"/>
      <c r="R887" s="17">
        <v>14</v>
      </c>
      <c r="S887" s="236"/>
      <c r="T887" s="236"/>
      <c r="U887" s="236"/>
      <c r="V887" s="242"/>
      <c r="Y887" s="270"/>
      <c r="Z887" s="245"/>
      <c r="AA887" s="19" t="s">
        <v>2081</v>
      </c>
      <c r="AB887" s="17"/>
      <c r="AC887" s="17"/>
      <c r="AD887" s="17">
        <v>14</v>
      </c>
      <c r="AE887" s="236"/>
      <c r="AF887" s="236"/>
      <c r="AG887" s="236"/>
      <c r="AH887" s="242"/>
    </row>
    <row r="888" spans="3:34" ht="16">
      <c r="C888" s="1"/>
      <c r="K888" s="2"/>
      <c r="M888" s="270"/>
      <c r="N888" s="246"/>
      <c r="O888" s="20" t="s">
        <v>732</v>
      </c>
      <c r="P888" s="21"/>
      <c r="Q888" s="21"/>
      <c r="R888" s="21">
        <v>101</v>
      </c>
      <c r="S888" s="248"/>
      <c r="T888" s="248"/>
      <c r="U888" s="248"/>
      <c r="V888" s="303"/>
      <c r="Y888" s="270"/>
      <c r="Z888" s="246"/>
      <c r="AA888" s="20" t="s">
        <v>732</v>
      </c>
      <c r="AB888" s="21"/>
      <c r="AC888" s="21"/>
      <c r="AD888" s="21">
        <v>101</v>
      </c>
      <c r="AE888" s="248"/>
      <c r="AF888" s="248"/>
      <c r="AG888" s="248"/>
      <c r="AH888" s="303"/>
    </row>
    <row r="889" spans="3:34" ht="16">
      <c r="C889" s="1"/>
      <c r="K889" s="2"/>
      <c r="M889" s="270"/>
      <c r="N889" s="314" t="s">
        <v>2082</v>
      </c>
      <c r="O889" s="15" t="s">
        <v>698</v>
      </c>
      <c r="P889" s="16"/>
      <c r="Q889" s="16"/>
      <c r="R889" s="16">
        <v>1300</v>
      </c>
      <c r="S889" s="292">
        <f>SUM(R889:R894)</f>
        <v>3247.64</v>
      </c>
      <c r="T889" s="312">
        <v>14742</v>
      </c>
      <c r="U889" s="312">
        <f>T889-S889</f>
        <v>11494.36</v>
      </c>
      <c r="V889" s="313">
        <f>U889/T889</f>
        <v>0.77970153303486645</v>
      </c>
      <c r="Y889" s="270"/>
      <c r="Z889" s="314" t="s">
        <v>2082</v>
      </c>
      <c r="AA889" s="15" t="s">
        <v>698</v>
      </c>
      <c r="AB889" s="16"/>
      <c r="AC889" s="16"/>
      <c r="AD889" s="16">
        <v>1300</v>
      </c>
      <c r="AE889" s="292">
        <f>SUM(AD889:AD894)</f>
        <v>3247.64</v>
      </c>
      <c r="AF889" s="312">
        <v>14742</v>
      </c>
      <c r="AG889" s="312">
        <f>AF889-AE889</f>
        <v>11494.36</v>
      </c>
      <c r="AH889" s="313">
        <f>AG889/AF889</f>
        <v>0.77970153303486645</v>
      </c>
    </row>
    <row r="890" spans="3:34" ht="16">
      <c r="C890" s="1"/>
      <c r="K890" s="2"/>
      <c r="M890" s="270"/>
      <c r="N890" s="245"/>
      <c r="O890" s="19" t="s">
        <v>2083</v>
      </c>
      <c r="P890" s="17"/>
      <c r="Q890" s="17"/>
      <c r="R890" s="17">
        <v>791.95</v>
      </c>
      <c r="S890" s="236"/>
      <c r="T890" s="236"/>
      <c r="U890" s="236"/>
      <c r="V890" s="242"/>
      <c r="Y890" s="270"/>
      <c r="Z890" s="245"/>
      <c r="AA890" s="19" t="s">
        <v>2083</v>
      </c>
      <c r="AB890" s="17"/>
      <c r="AC890" s="17"/>
      <c r="AD890" s="17">
        <v>791.95</v>
      </c>
      <c r="AE890" s="236"/>
      <c r="AF890" s="236"/>
      <c r="AG890" s="236"/>
      <c r="AH890" s="242"/>
    </row>
    <row r="891" spans="3:34" ht="16">
      <c r="C891" s="1"/>
      <c r="K891" s="2"/>
      <c r="M891" s="270"/>
      <c r="N891" s="245"/>
      <c r="O891" s="19" t="s">
        <v>1609</v>
      </c>
      <c r="P891" s="17">
        <v>29.23</v>
      </c>
      <c r="Q891" s="17">
        <v>20</v>
      </c>
      <c r="R891" s="17">
        <f>P891*Q891</f>
        <v>584.6</v>
      </c>
      <c r="S891" s="236"/>
      <c r="T891" s="236"/>
      <c r="U891" s="236"/>
      <c r="V891" s="242"/>
      <c r="Y891" s="270"/>
      <c r="Z891" s="245"/>
      <c r="AA891" s="19" t="s">
        <v>1609</v>
      </c>
      <c r="AB891" s="17">
        <v>29.23</v>
      </c>
      <c r="AC891" s="17">
        <v>20</v>
      </c>
      <c r="AD891" s="17">
        <f>AB891*AC891</f>
        <v>584.6</v>
      </c>
      <c r="AE891" s="236"/>
      <c r="AF891" s="236"/>
      <c r="AG891" s="236"/>
      <c r="AH891" s="242"/>
    </row>
    <row r="892" spans="3:34" ht="16">
      <c r="C892" s="1"/>
      <c r="K892" s="2"/>
      <c r="M892" s="270"/>
      <c r="N892" s="245"/>
      <c r="O892" s="19" t="s">
        <v>2084</v>
      </c>
      <c r="P892" s="17"/>
      <c r="Q892" s="17"/>
      <c r="R892" s="17">
        <v>100</v>
      </c>
      <c r="S892" s="236"/>
      <c r="T892" s="236"/>
      <c r="U892" s="236"/>
      <c r="V892" s="242"/>
      <c r="Y892" s="270"/>
      <c r="Z892" s="245"/>
      <c r="AA892" s="19" t="s">
        <v>2084</v>
      </c>
      <c r="AB892" s="17"/>
      <c r="AC892" s="17"/>
      <c r="AD892" s="17">
        <v>100</v>
      </c>
      <c r="AE892" s="236"/>
      <c r="AF892" s="236"/>
      <c r="AG892" s="236"/>
      <c r="AH892" s="242"/>
    </row>
    <row r="893" spans="3:34" ht="16">
      <c r="C893" s="1"/>
      <c r="K893" s="2"/>
      <c r="M893" s="270"/>
      <c r="N893" s="245"/>
      <c r="O893" s="19" t="s">
        <v>2085</v>
      </c>
      <c r="P893" s="17"/>
      <c r="Q893" s="17"/>
      <c r="R893" s="17">
        <v>303.11</v>
      </c>
      <c r="S893" s="236"/>
      <c r="T893" s="236"/>
      <c r="U893" s="236"/>
      <c r="V893" s="242"/>
      <c r="Y893" s="270"/>
      <c r="Z893" s="245"/>
      <c r="AA893" s="19" t="s">
        <v>2085</v>
      </c>
      <c r="AB893" s="17"/>
      <c r="AC893" s="17"/>
      <c r="AD893" s="17">
        <v>303.11</v>
      </c>
      <c r="AE893" s="236"/>
      <c r="AF893" s="236"/>
      <c r="AG893" s="236"/>
      <c r="AH893" s="242"/>
    </row>
    <row r="894" spans="3:34" ht="16">
      <c r="C894" s="1"/>
      <c r="K894" s="2"/>
      <c r="M894" s="270"/>
      <c r="N894" s="246"/>
      <c r="O894" s="20" t="s">
        <v>33</v>
      </c>
      <c r="P894" s="21"/>
      <c r="Q894" s="21"/>
      <c r="R894" s="21">
        <v>167.98</v>
      </c>
      <c r="S894" s="248"/>
      <c r="T894" s="248"/>
      <c r="U894" s="248"/>
      <c r="V894" s="303"/>
      <c r="Y894" s="270"/>
      <c r="Z894" s="246"/>
      <c r="AA894" s="20" t="s">
        <v>33</v>
      </c>
      <c r="AB894" s="21"/>
      <c r="AC894" s="21"/>
      <c r="AD894" s="21">
        <v>167.98</v>
      </c>
      <c r="AE894" s="248"/>
      <c r="AF894" s="248"/>
      <c r="AG894" s="248"/>
      <c r="AH894" s="303"/>
    </row>
    <row r="895" spans="3:34" ht="16">
      <c r="C895" s="1"/>
      <c r="K895" s="2"/>
      <c r="M895" s="270"/>
      <c r="N895" s="314" t="s">
        <v>2086</v>
      </c>
      <c r="O895" s="15" t="s">
        <v>2087</v>
      </c>
      <c r="P895" s="16">
        <v>11.5</v>
      </c>
      <c r="Q895" s="16">
        <v>15</v>
      </c>
      <c r="R895" s="16">
        <f t="shared" ref="R895:R900" si="381">P895*Q895</f>
        <v>172.5</v>
      </c>
      <c r="S895" s="292">
        <f>SUM(R895:R899)</f>
        <v>1276</v>
      </c>
      <c r="T895" s="312">
        <v>4950</v>
      </c>
      <c r="U895" s="312">
        <f>T895-S895</f>
        <v>3674</v>
      </c>
      <c r="V895" s="313">
        <f>U895/T895</f>
        <v>0.74222222222222223</v>
      </c>
      <c r="Y895" s="270"/>
      <c r="Z895" s="314" t="s">
        <v>2086</v>
      </c>
      <c r="AA895" s="15" t="s">
        <v>2087</v>
      </c>
      <c r="AB895" s="16">
        <v>11.5</v>
      </c>
      <c r="AC895" s="16">
        <v>15</v>
      </c>
      <c r="AD895" s="16">
        <f t="shared" ref="AD895:AD896" si="382">AB895*AC895</f>
        <v>172.5</v>
      </c>
      <c r="AE895" s="292">
        <f>SUM(AD895:AD899)</f>
        <v>324</v>
      </c>
      <c r="AF895" s="312">
        <v>4950</v>
      </c>
      <c r="AG895" s="312">
        <f>AF895-AE895</f>
        <v>4626</v>
      </c>
      <c r="AH895" s="313">
        <f>AG895/AF895</f>
        <v>0.93454545454545457</v>
      </c>
    </row>
    <row r="896" spans="3:34" ht="16">
      <c r="C896" s="1"/>
      <c r="K896" s="2"/>
      <c r="M896" s="270"/>
      <c r="N896" s="245"/>
      <c r="O896" s="19" t="s">
        <v>687</v>
      </c>
      <c r="P896" s="17">
        <v>10.1</v>
      </c>
      <c r="Q896" s="17">
        <v>15</v>
      </c>
      <c r="R896" s="17">
        <f t="shared" si="381"/>
        <v>151.5</v>
      </c>
      <c r="S896" s="236"/>
      <c r="T896" s="236"/>
      <c r="U896" s="236"/>
      <c r="V896" s="242"/>
      <c r="Y896" s="270"/>
      <c r="Z896" s="245"/>
      <c r="AA896" s="19" t="s">
        <v>687</v>
      </c>
      <c r="AB896" s="17">
        <v>10.1</v>
      </c>
      <c r="AC896" s="17">
        <v>15</v>
      </c>
      <c r="AD896" s="17">
        <f t="shared" si="382"/>
        <v>151.5</v>
      </c>
      <c r="AE896" s="236"/>
      <c r="AF896" s="236"/>
      <c r="AG896" s="236"/>
      <c r="AH896" s="242"/>
    </row>
    <row r="897" spans="3:34" ht="16">
      <c r="C897" s="1"/>
      <c r="K897" s="2"/>
      <c r="M897" s="270"/>
      <c r="N897" s="245"/>
      <c r="O897" s="19" t="s">
        <v>114</v>
      </c>
      <c r="P897" s="17">
        <v>21</v>
      </c>
      <c r="Q897" s="17">
        <v>16</v>
      </c>
      <c r="R897" s="17">
        <f t="shared" si="381"/>
        <v>336</v>
      </c>
      <c r="S897" s="236"/>
      <c r="T897" s="236"/>
      <c r="U897" s="236"/>
      <c r="V897" s="242"/>
      <c r="Y897" s="270"/>
      <c r="Z897" s="245"/>
      <c r="AA897" s="19" t="s">
        <v>114</v>
      </c>
      <c r="AB897" s="18"/>
      <c r="AC897" s="18"/>
      <c r="AD897" s="18"/>
      <c r="AE897" s="236"/>
      <c r="AF897" s="236"/>
      <c r="AG897" s="236"/>
      <c r="AH897" s="242"/>
    </row>
    <row r="898" spans="3:34" ht="16">
      <c r="C898" s="1"/>
      <c r="K898" s="2"/>
      <c r="M898" s="270"/>
      <c r="N898" s="245"/>
      <c r="O898" s="19" t="s">
        <v>701</v>
      </c>
      <c r="P898" s="17">
        <v>35</v>
      </c>
      <c r="Q898" s="17">
        <v>16</v>
      </c>
      <c r="R898" s="17">
        <f t="shared" si="381"/>
        <v>560</v>
      </c>
      <c r="S898" s="236"/>
      <c r="T898" s="236"/>
      <c r="U898" s="236"/>
      <c r="V898" s="242"/>
      <c r="Y898" s="270"/>
      <c r="Z898" s="245"/>
      <c r="AA898" s="19" t="s">
        <v>701</v>
      </c>
      <c r="AB898" s="18"/>
      <c r="AC898" s="18"/>
      <c r="AD898" s="18"/>
      <c r="AE898" s="236"/>
      <c r="AF898" s="236"/>
      <c r="AG898" s="236"/>
      <c r="AH898" s="242"/>
    </row>
    <row r="899" spans="3:34" ht="16">
      <c r="C899" s="1"/>
      <c r="K899" s="2"/>
      <c r="M899" s="270"/>
      <c r="N899" s="246"/>
      <c r="O899" s="20" t="s">
        <v>1281</v>
      </c>
      <c r="P899" s="21">
        <v>7</v>
      </c>
      <c r="Q899" s="21">
        <v>8</v>
      </c>
      <c r="R899" s="21">
        <f t="shared" si="381"/>
        <v>56</v>
      </c>
      <c r="S899" s="248"/>
      <c r="T899" s="248"/>
      <c r="U899" s="248"/>
      <c r="V899" s="303"/>
      <c r="Y899" s="270"/>
      <c r="Z899" s="246"/>
      <c r="AA899" s="20" t="s">
        <v>1281</v>
      </c>
      <c r="AB899" s="68"/>
      <c r="AC899" s="68"/>
      <c r="AD899" s="68"/>
      <c r="AE899" s="248"/>
      <c r="AF899" s="248"/>
      <c r="AG899" s="248"/>
      <c r="AH899" s="303"/>
    </row>
    <row r="900" spans="3:34" ht="16">
      <c r="C900" s="1"/>
      <c r="K900" s="2"/>
      <c r="M900" s="270"/>
      <c r="N900" s="314" t="s">
        <v>2088</v>
      </c>
      <c r="O900" s="15" t="s">
        <v>114</v>
      </c>
      <c r="P900" s="16">
        <v>1.5</v>
      </c>
      <c r="Q900" s="16">
        <v>16</v>
      </c>
      <c r="R900" s="16">
        <f t="shared" si="381"/>
        <v>24</v>
      </c>
      <c r="S900" s="292">
        <f>SUM(R900:R901)</f>
        <v>57.05</v>
      </c>
      <c r="T900" s="292">
        <v>803.26</v>
      </c>
      <c r="U900" s="292">
        <f>T900-S900</f>
        <v>746.21</v>
      </c>
      <c r="V900" s="313">
        <f>U900/T900</f>
        <v>0.92897691905485158</v>
      </c>
      <c r="Y900" s="270"/>
      <c r="Z900" s="314" t="s">
        <v>2088</v>
      </c>
      <c r="AA900" s="15" t="s">
        <v>114</v>
      </c>
      <c r="AB900" s="43"/>
      <c r="AC900" s="43"/>
      <c r="AD900" s="43"/>
      <c r="AE900" s="292">
        <f>SUM(AD900:AD901)</f>
        <v>33.049999999999997</v>
      </c>
      <c r="AF900" s="292">
        <v>803.26</v>
      </c>
      <c r="AG900" s="292">
        <f>AF900-AE900</f>
        <v>770.21</v>
      </c>
      <c r="AH900" s="313">
        <f>AG900/AF900</f>
        <v>0.95885516520180269</v>
      </c>
    </row>
    <row r="901" spans="3:34" ht="16">
      <c r="C901" s="1"/>
      <c r="K901" s="2"/>
      <c r="M901" s="270"/>
      <c r="N901" s="246"/>
      <c r="O901" s="20" t="s">
        <v>33</v>
      </c>
      <c r="P901" s="21"/>
      <c r="Q901" s="21"/>
      <c r="R901" s="21">
        <v>33.049999999999997</v>
      </c>
      <c r="S901" s="248"/>
      <c r="T901" s="248"/>
      <c r="U901" s="248"/>
      <c r="V901" s="303"/>
      <c r="Y901" s="270"/>
      <c r="Z901" s="246"/>
      <c r="AA901" s="20" t="s">
        <v>33</v>
      </c>
      <c r="AB901" s="21"/>
      <c r="AC901" s="21"/>
      <c r="AD901" s="21">
        <v>33.049999999999997</v>
      </c>
      <c r="AE901" s="248"/>
      <c r="AF901" s="248"/>
      <c r="AG901" s="248"/>
      <c r="AH901" s="303"/>
    </row>
    <row r="902" spans="3:34" ht="16">
      <c r="C902" s="1"/>
      <c r="K902" s="2"/>
      <c r="M902" s="270"/>
      <c r="N902" s="316" t="s">
        <v>1282</v>
      </c>
      <c r="O902" s="19" t="s">
        <v>114</v>
      </c>
      <c r="P902" s="17">
        <v>24.5</v>
      </c>
      <c r="Q902" s="17">
        <v>16</v>
      </c>
      <c r="R902" s="17">
        <f t="shared" ref="R902:R915" si="383">P902*Q902</f>
        <v>392</v>
      </c>
      <c r="S902" s="284">
        <f>SUM(R902:R917)</f>
        <v>2923.75</v>
      </c>
      <c r="T902" s="284">
        <v>2427</v>
      </c>
      <c r="U902" s="284">
        <f>T902-S902</f>
        <v>-496.75</v>
      </c>
      <c r="V902" s="315">
        <f>U902/T902</f>
        <v>-0.20467655541821178</v>
      </c>
      <c r="Y902" s="270"/>
      <c r="Z902" s="316" t="s">
        <v>1282</v>
      </c>
      <c r="AA902" s="19" t="s">
        <v>114</v>
      </c>
      <c r="AB902" s="18"/>
      <c r="AC902" s="18"/>
      <c r="AD902" s="18"/>
      <c r="AE902" s="284">
        <f>SUM(AD902:AD917)</f>
        <v>2195.75</v>
      </c>
      <c r="AF902" s="284">
        <v>2427</v>
      </c>
      <c r="AG902" s="284">
        <f>AF902-AE902</f>
        <v>231.25</v>
      </c>
      <c r="AH902" s="315">
        <f>AG902/AF902</f>
        <v>9.5282241450350233E-2</v>
      </c>
    </row>
    <row r="903" spans="3:34" ht="16">
      <c r="C903" s="1"/>
      <c r="K903" s="2"/>
      <c r="M903" s="270"/>
      <c r="N903" s="236"/>
      <c r="O903" s="19" t="s">
        <v>744</v>
      </c>
      <c r="P903" s="17">
        <v>16.48</v>
      </c>
      <c r="Q903" s="17">
        <v>13</v>
      </c>
      <c r="R903" s="17">
        <f t="shared" si="383"/>
        <v>214.24</v>
      </c>
      <c r="S903" s="236"/>
      <c r="T903" s="236"/>
      <c r="U903" s="236"/>
      <c r="V903" s="258"/>
      <c r="Y903" s="270"/>
      <c r="Z903" s="236"/>
      <c r="AA903" s="19" t="s">
        <v>744</v>
      </c>
      <c r="AB903" s="17">
        <v>16.48</v>
      </c>
      <c r="AC903" s="17">
        <v>13</v>
      </c>
      <c r="AD903" s="17">
        <f t="shared" ref="AD903:AD904" si="384">AB903*AC903</f>
        <v>214.24</v>
      </c>
      <c r="AE903" s="236"/>
      <c r="AF903" s="236"/>
      <c r="AG903" s="236"/>
      <c r="AH903" s="258"/>
    </row>
    <row r="904" spans="3:34" ht="16">
      <c r="C904" s="1"/>
      <c r="K904" s="2"/>
      <c r="M904" s="270"/>
      <c r="N904" s="236"/>
      <c r="O904" s="19" t="s">
        <v>537</v>
      </c>
      <c r="P904" s="17">
        <v>12.27</v>
      </c>
      <c r="Q904" s="17">
        <v>13</v>
      </c>
      <c r="R904" s="17">
        <f t="shared" si="383"/>
        <v>159.51</v>
      </c>
      <c r="S904" s="236"/>
      <c r="T904" s="236"/>
      <c r="U904" s="236"/>
      <c r="V904" s="258"/>
      <c r="Y904" s="270"/>
      <c r="Z904" s="236"/>
      <c r="AA904" s="19" t="s">
        <v>537</v>
      </c>
      <c r="AB904" s="17">
        <v>12.27</v>
      </c>
      <c r="AC904" s="17">
        <v>13</v>
      </c>
      <c r="AD904" s="17">
        <f t="shared" si="384"/>
        <v>159.51</v>
      </c>
      <c r="AE904" s="236"/>
      <c r="AF904" s="236"/>
      <c r="AG904" s="236"/>
      <c r="AH904" s="258"/>
    </row>
    <row r="905" spans="3:34" ht="16">
      <c r="C905" s="1"/>
      <c r="K905" s="2"/>
      <c r="M905" s="270"/>
      <c r="N905" s="236"/>
      <c r="O905" s="19" t="s">
        <v>701</v>
      </c>
      <c r="P905" s="17">
        <v>21</v>
      </c>
      <c r="Q905" s="17">
        <v>16</v>
      </c>
      <c r="R905" s="17">
        <f t="shared" si="383"/>
        <v>336</v>
      </c>
      <c r="S905" s="236"/>
      <c r="T905" s="236"/>
      <c r="U905" s="236"/>
      <c r="V905" s="258"/>
      <c r="Y905" s="270"/>
      <c r="Z905" s="236"/>
      <c r="AA905" s="19" t="s">
        <v>701</v>
      </c>
      <c r="AB905" s="18"/>
      <c r="AC905" s="18"/>
      <c r="AD905" s="18"/>
      <c r="AE905" s="236"/>
      <c r="AF905" s="236"/>
      <c r="AG905" s="236"/>
      <c r="AH905" s="258"/>
    </row>
    <row r="906" spans="3:34" ht="16">
      <c r="C906" s="1"/>
      <c r="K906" s="2"/>
      <c r="M906" s="270"/>
      <c r="N906" s="236"/>
      <c r="O906" s="19" t="s">
        <v>809</v>
      </c>
      <c r="P906" s="17">
        <v>4.25</v>
      </c>
      <c r="Q906" s="17">
        <v>8</v>
      </c>
      <c r="R906" s="17">
        <f t="shared" si="383"/>
        <v>34</v>
      </c>
      <c r="S906" s="236"/>
      <c r="T906" s="236"/>
      <c r="U906" s="236"/>
      <c r="V906" s="258"/>
      <c r="Y906" s="270"/>
      <c r="Z906" s="236"/>
      <c r="AA906" s="19" t="s">
        <v>809</v>
      </c>
      <c r="AB906" s="17">
        <v>4.25</v>
      </c>
      <c r="AC906" s="17">
        <v>8</v>
      </c>
      <c r="AD906" s="17">
        <f t="shared" ref="AD906:AD915" si="385">AB906*AC906</f>
        <v>34</v>
      </c>
      <c r="AE906" s="236"/>
      <c r="AF906" s="236"/>
      <c r="AG906" s="236"/>
      <c r="AH906" s="258"/>
    </row>
    <row r="907" spans="3:34" ht="16">
      <c r="C907" s="1"/>
      <c r="K907" s="2"/>
      <c r="M907" s="270"/>
      <c r="N907" s="236"/>
      <c r="O907" s="19" t="s">
        <v>419</v>
      </c>
      <c r="P907" s="17">
        <v>13.78</v>
      </c>
      <c r="Q907" s="17">
        <v>13</v>
      </c>
      <c r="R907" s="17">
        <f t="shared" si="383"/>
        <v>179.14</v>
      </c>
      <c r="S907" s="236"/>
      <c r="T907" s="236"/>
      <c r="U907" s="236"/>
      <c r="V907" s="258"/>
      <c r="Y907" s="270"/>
      <c r="Z907" s="236"/>
      <c r="AA907" s="19" t="s">
        <v>419</v>
      </c>
      <c r="AB907" s="17">
        <v>13.78</v>
      </c>
      <c r="AC907" s="17">
        <v>13</v>
      </c>
      <c r="AD907" s="17">
        <f t="shared" si="385"/>
        <v>179.14</v>
      </c>
      <c r="AE907" s="236"/>
      <c r="AF907" s="236"/>
      <c r="AG907" s="236"/>
      <c r="AH907" s="258"/>
    </row>
    <row r="908" spans="3:34" ht="16">
      <c r="C908" s="1"/>
      <c r="K908" s="2"/>
      <c r="M908" s="270"/>
      <c r="N908" s="236"/>
      <c r="O908" s="19" t="s">
        <v>70</v>
      </c>
      <c r="P908" s="17">
        <v>14.8</v>
      </c>
      <c r="Q908" s="17">
        <v>13</v>
      </c>
      <c r="R908" s="17">
        <f t="shared" si="383"/>
        <v>192.4</v>
      </c>
      <c r="S908" s="236"/>
      <c r="T908" s="236"/>
      <c r="U908" s="236"/>
      <c r="V908" s="258"/>
      <c r="Y908" s="270"/>
      <c r="Z908" s="236"/>
      <c r="AA908" s="19" t="s">
        <v>70</v>
      </c>
      <c r="AB908" s="17">
        <v>14.8</v>
      </c>
      <c r="AC908" s="17">
        <v>13</v>
      </c>
      <c r="AD908" s="17">
        <f t="shared" si="385"/>
        <v>192.4</v>
      </c>
      <c r="AE908" s="236"/>
      <c r="AF908" s="236"/>
      <c r="AG908" s="236"/>
      <c r="AH908" s="258"/>
    </row>
    <row r="909" spans="3:34" ht="16">
      <c r="C909" s="1"/>
      <c r="K909" s="2"/>
      <c r="M909" s="270"/>
      <c r="N909" s="236"/>
      <c r="O909" s="106" t="s">
        <v>78</v>
      </c>
      <c r="P909" s="17">
        <v>18.38</v>
      </c>
      <c r="Q909" s="17">
        <v>13</v>
      </c>
      <c r="R909" s="17">
        <f t="shared" si="383"/>
        <v>238.94</v>
      </c>
      <c r="S909" s="236"/>
      <c r="T909" s="236"/>
      <c r="U909" s="236"/>
      <c r="V909" s="258"/>
      <c r="Y909" s="270"/>
      <c r="Z909" s="236"/>
      <c r="AA909" s="106" t="s">
        <v>78</v>
      </c>
      <c r="AB909" s="17">
        <v>18.38</v>
      </c>
      <c r="AC909" s="17">
        <v>13</v>
      </c>
      <c r="AD909" s="17">
        <f t="shared" si="385"/>
        <v>238.94</v>
      </c>
      <c r="AE909" s="236"/>
      <c r="AF909" s="236"/>
      <c r="AG909" s="236"/>
      <c r="AH909" s="258"/>
    </row>
    <row r="910" spans="3:34" ht="16">
      <c r="C910" s="1"/>
      <c r="K910" s="2"/>
      <c r="M910" s="270"/>
      <c r="N910" s="236"/>
      <c r="O910" s="19" t="s">
        <v>1283</v>
      </c>
      <c r="P910" s="17">
        <v>14.4</v>
      </c>
      <c r="Q910" s="17">
        <v>13</v>
      </c>
      <c r="R910" s="17">
        <f t="shared" si="383"/>
        <v>187.20000000000002</v>
      </c>
      <c r="S910" s="236"/>
      <c r="T910" s="236"/>
      <c r="U910" s="236"/>
      <c r="V910" s="258"/>
      <c r="Y910" s="270"/>
      <c r="Z910" s="236"/>
      <c r="AA910" s="19" t="s">
        <v>1283</v>
      </c>
      <c r="AB910" s="17">
        <v>14.4</v>
      </c>
      <c r="AC910" s="17">
        <v>13</v>
      </c>
      <c r="AD910" s="17">
        <f t="shared" si="385"/>
        <v>187.20000000000002</v>
      </c>
      <c r="AE910" s="236"/>
      <c r="AF910" s="236"/>
      <c r="AG910" s="236"/>
      <c r="AH910" s="258"/>
    </row>
    <row r="911" spans="3:34" ht="16">
      <c r="C911" s="1"/>
      <c r="K911" s="2"/>
      <c r="M911" s="270"/>
      <c r="N911" s="236"/>
      <c r="O911" s="19" t="s">
        <v>754</v>
      </c>
      <c r="P911" s="17">
        <v>8.1999999999999993</v>
      </c>
      <c r="Q911" s="17">
        <v>13</v>
      </c>
      <c r="R911" s="17">
        <f t="shared" si="383"/>
        <v>106.6</v>
      </c>
      <c r="S911" s="236"/>
      <c r="T911" s="236"/>
      <c r="U911" s="236"/>
      <c r="V911" s="258"/>
      <c r="Y911" s="270"/>
      <c r="Z911" s="236"/>
      <c r="AA911" s="19" t="s">
        <v>754</v>
      </c>
      <c r="AB911" s="17">
        <v>8.1999999999999993</v>
      </c>
      <c r="AC911" s="17">
        <v>13</v>
      </c>
      <c r="AD911" s="17">
        <f t="shared" si="385"/>
        <v>106.6</v>
      </c>
      <c r="AE911" s="236"/>
      <c r="AF911" s="236"/>
      <c r="AG911" s="236"/>
      <c r="AH911" s="258"/>
    </row>
    <row r="912" spans="3:34" ht="16">
      <c r="C912" s="1"/>
      <c r="K912" s="2"/>
      <c r="M912" s="270"/>
      <c r="N912" s="236"/>
      <c r="O912" s="19" t="s">
        <v>52</v>
      </c>
      <c r="P912" s="17">
        <v>9.76</v>
      </c>
      <c r="Q912" s="17">
        <v>13</v>
      </c>
      <c r="R912" s="17">
        <f t="shared" si="383"/>
        <v>126.88</v>
      </c>
      <c r="S912" s="236"/>
      <c r="T912" s="236"/>
      <c r="U912" s="236"/>
      <c r="V912" s="258"/>
      <c r="Y912" s="270"/>
      <c r="Z912" s="236"/>
      <c r="AA912" s="19" t="s">
        <v>52</v>
      </c>
      <c r="AB912" s="17">
        <v>9.76</v>
      </c>
      <c r="AC912" s="17">
        <v>13</v>
      </c>
      <c r="AD912" s="17">
        <f t="shared" si="385"/>
        <v>126.88</v>
      </c>
      <c r="AE912" s="236"/>
      <c r="AF912" s="236"/>
      <c r="AG912" s="236"/>
      <c r="AH912" s="258"/>
    </row>
    <row r="913" spans="3:34" ht="16">
      <c r="C913" s="1"/>
      <c r="K913" s="2"/>
      <c r="M913" s="270"/>
      <c r="N913" s="236"/>
      <c r="O913" s="19" t="s">
        <v>1284</v>
      </c>
      <c r="P913" s="17">
        <v>18.5</v>
      </c>
      <c r="Q913" s="17">
        <v>13</v>
      </c>
      <c r="R913" s="17">
        <f t="shared" si="383"/>
        <v>240.5</v>
      </c>
      <c r="S913" s="236"/>
      <c r="T913" s="236"/>
      <c r="U913" s="236"/>
      <c r="V913" s="258"/>
      <c r="Y913" s="270"/>
      <c r="Z913" s="236"/>
      <c r="AA913" s="19" t="s">
        <v>1284</v>
      </c>
      <c r="AB913" s="17">
        <v>18.5</v>
      </c>
      <c r="AC913" s="17">
        <v>13</v>
      </c>
      <c r="AD913" s="17">
        <f t="shared" si="385"/>
        <v>240.5</v>
      </c>
      <c r="AE913" s="236"/>
      <c r="AF913" s="236"/>
      <c r="AG913" s="236"/>
      <c r="AH913" s="258"/>
    </row>
    <row r="914" spans="3:34" ht="16">
      <c r="C914" s="1"/>
      <c r="K914" s="2"/>
      <c r="M914" s="270"/>
      <c r="N914" s="236"/>
      <c r="O914" s="19" t="s">
        <v>770</v>
      </c>
      <c r="P914" s="17">
        <v>16.75</v>
      </c>
      <c r="Q914" s="17">
        <v>13</v>
      </c>
      <c r="R914" s="17">
        <f t="shared" si="383"/>
        <v>217.75</v>
      </c>
      <c r="S914" s="236"/>
      <c r="T914" s="236"/>
      <c r="U914" s="236"/>
      <c r="V914" s="258"/>
      <c r="Y914" s="270"/>
      <c r="Z914" s="236"/>
      <c r="AA914" s="19" t="s">
        <v>770</v>
      </c>
      <c r="AB914" s="17">
        <v>16.75</v>
      </c>
      <c r="AC914" s="17">
        <v>13</v>
      </c>
      <c r="AD914" s="17">
        <f t="shared" si="385"/>
        <v>217.75</v>
      </c>
      <c r="AE914" s="236"/>
      <c r="AF914" s="236"/>
      <c r="AG914" s="236"/>
      <c r="AH914" s="258"/>
    </row>
    <row r="915" spans="3:34" ht="16">
      <c r="C915" s="1"/>
      <c r="K915" s="2"/>
      <c r="M915" s="270"/>
      <c r="N915" s="236"/>
      <c r="O915" s="19" t="s">
        <v>310</v>
      </c>
      <c r="P915" s="17">
        <v>9.43</v>
      </c>
      <c r="Q915" s="17">
        <v>13</v>
      </c>
      <c r="R915" s="17">
        <f t="shared" si="383"/>
        <v>122.59</v>
      </c>
      <c r="S915" s="236"/>
      <c r="T915" s="236"/>
      <c r="U915" s="236"/>
      <c r="V915" s="258"/>
      <c r="Y915" s="270"/>
      <c r="Z915" s="236"/>
      <c r="AA915" s="19" t="s">
        <v>310</v>
      </c>
      <c r="AB915" s="17">
        <v>9.43</v>
      </c>
      <c r="AC915" s="17">
        <v>13</v>
      </c>
      <c r="AD915" s="17">
        <f t="shared" si="385"/>
        <v>122.59</v>
      </c>
      <c r="AE915" s="236"/>
      <c r="AF915" s="236"/>
      <c r="AG915" s="236"/>
      <c r="AH915" s="258"/>
    </row>
    <row r="916" spans="3:34" ht="16">
      <c r="C916" s="1"/>
      <c r="K916" s="2"/>
      <c r="M916" s="270"/>
      <c r="N916" s="236"/>
      <c r="O916" s="19" t="s">
        <v>826</v>
      </c>
      <c r="P916" s="17"/>
      <c r="Q916" s="17"/>
      <c r="R916" s="17">
        <v>28</v>
      </c>
      <c r="S916" s="236"/>
      <c r="T916" s="236"/>
      <c r="U916" s="236"/>
      <c r="V916" s="258"/>
      <c r="Y916" s="270"/>
      <c r="Z916" s="236"/>
      <c r="AA916" s="19" t="s">
        <v>826</v>
      </c>
      <c r="AB916" s="17"/>
      <c r="AC916" s="17"/>
      <c r="AD916" s="17">
        <v>28</v>
      </c>
      <c r="AE916" s="236"/>
      <c r="AF916" s="236"/>
      <c r="AG916" s="236"/>
      <c r="AH916" s="258"/>
    </row>
    <row r="917" spans="3:34" ht="16">
      <c r="C917" s="1"/>
      <c r="K917" s="2"/>
      <c r="M917" s="270"/>
      <c r="N917" s="248"/>
      <c r="O917" s="20" t="s">
        <v>1267</v>
      </c>
      <c r="P917" s="21"/>
      <c r="Q917" s="21"/>
      <c r="R917" s="21">
        <v>148</v>
      </c>
      <c r="S917" s="293"/>
      <c r="T917" s="293"/>
      <c r="U917" s="293"/>
      <c r="V917" s="295"/>
      <c r="Y917" s="270"/>
      <c r="Z917" s="248"/>
      <c r="AA917" s="20" t="s">
        <v>1267</v>
      </c>
      <c r="AB917" s="21"/>
      <c r="AC917" s="21"/>
      <c r="AD917" s="21">
        <v>148</v>
      </c>
      <c r="AE917" s="293"/>
      <c r="AF917" s="293"/>
      <c r="AG917" s="293"/>
      <c r="AH917" s="295"/>
    </row>
    <row r="918" spans="3:34" ht="16">
      <c r="C918" s="1"/>
      <c r="K918" s="2"/>
      <c r="M918" s="270"/>
      <c r="N918" s="314" t="s">
        <v>2089</v>
      </c>
      <c r="O918" s="15" t="s">
        <v>114</v>
      </c>
      <c r="P918" s="16">
        <v>14</v>
      </c>
      <c r="Q918" s="16">
        <v>16</v>
      </c>
      <c r="R918" s="16">
        <f>P918*Q918</f>
        <v>224</v>
      </c>
      <c r="S918" s="284">
        <f>SUM(R918:R923)</f>
        <v>515.02</v>
      </c>
      <c r="T918" s="335">
        <v>1888</v>
      </c>
      <c r="U918" s="335">
        <f>T918-S918</f>
        <v>1372.98</v>
      </c>
      <c r="V918" s="309">
        <f>U918/T918</f>
        <v>0.7272139830508475</v>
      </c>
      <c r="Y918" s="270"/>
      <c r="Z918" s="314" t="s">
        <v>2089</v>
      </c>
      <c r="AA918" s="15" t="s">
        <v>114</v>
      </c>
      <c r="AB918" s="43"/>
      <c r="AC918" s="43"/>
      <c r="AD918" s="43"/>
      <c r="AE918" s="284">
        <f>SUM(AD918:AD923)</f>
        <v>291.02</v>
      </c>
      <c r="AF918" s="335">
        <v>1888</v>
      </c>
      <c r="AG918" s="335">
        <f>AF918-AE918</f>
        <v>1596.98</v>
      </c>
      <c r="AH918" s="309">
        <f>AG918/AF918</f>
        <v>0.84585805084745769</v>
      </c>
    </row>
    <row r="919" spans="3:34" ht="16">
      <c r="C919" s="1"/>
      <c r="K919" s="2"/>
      <c r="M919" s="270"/>
      <c r="N919" s="245"/>
      <c r="O919" s="19" t="s">
        <v>817</v>
      </c>
      <c r="P919" s="17"/>
      <c r="Q919" s="17"/>
      <c r="R919" s="17">
        <v>107</v>
      </c>
      <c r="S919" s="236"/>
      <c r="T919" s="236"/>
      <c r="U919" s="236"/>
      <c r="V919" s="242"/>
      <c r="Y919" s="270"/>
      <c r="Z919" s="245"/>
      <c r="AA919" s="19" t="s">
        <v>817</v>
      </c>
      <c r="AB919" s="17"/>
      <c r="AC919" s="17"/>
      <c r="AD919" s="17">
        <v>107</v>
      </c>
      <c r="AE919" s="236"/>
      <c r="AF919" s="236"/>
      <c r="AG919" s="236"/>
      <c r="AH919" s="242"/>
    </row>
    <row r="920" spans="3:34" ht="16">
      <c r="K920" s="2"/>
      <c r="M920" s="270"/>
      <c r="N920" s="245"/>
      <c r="O920" s="19" t="s">
        <v>2090</v>
      </c>
      <c r="P920" s="17"/>
      <c r="Q920" s="17"/>
      <c r="R920" s="17">
        <v>49</v>
      </c>
      <c r="S920" s="236"/>
      <c r="T920" s="236"/>
      <c r="U920" s="236"/>
      <c r="V920" s="242"/>
      <c r="Y920" s="270"/>
      <c r="Z920" s="245"/>
      <c r="AA920" s="19" t="s">
        <v>2090</v>
      </c>
      <c r="AB920" s="17"/>
      <c r="AC920" s="17"/>
      <c r="AD920" s="17">
        <v>49</v>
      </c>
      <c r="AE920" s="236"/>
      <c r="AF920" s="236"/>
      <c r="AG920" s="236"/>
      <c r="AH920" s="242"/>
    </row>
    <row r="921" spans="3:34" ht="16">
      <c r="K921" s="2"/>
      <c r="M921" s="270"/>
      <c r="N921" s="245"/>
      <c r="O921" s="19" t="s">
        <v>47</v>
      </c>
      <c r="P921" s="17"/>
      <c r="Q921" s="17"/>
      <c r="R921" s="17">
        <v>51.96</v>
      </c>
      <c r="S921" s="236"/>
      <c r="T921" s="236"/>
      <c r="U921" s="236"/>
      <c r="V921" s="242"/>
      <c r="Y921" s="270"/>
      <c r="Z921" s="245"/>
      <c r="AA921" s="19" t="s">
        <v>47</v>
      </c>
      <c r="AB921" s="17"/>
      <c r="AC921" s="17"/>
      <c r="AD921" s="17">
        <v>51.96</v>
      </c>
      <c r="AE921" s="236"/>
      <c r="AF921" s="236"/>
      <c r="AG921" s="236"/>
      <c r="AH921" s="242"/>
    </row>
    <row r="922" spans="3:34" ht="13">
      <c r="M922" s="270"/>
      <c r="N922" s="245"/>
      <c r="O922" s="19" t="s">
        <v>45</v>
      </c>
      <c r="P922" s="17"/>
      <c r="Q922" s="17"/>
      <c r="R922" s="17">
        <v>20.37</v>
      </c>
      <c r="S922" s="236"/>
      <c r="T922" s="236"/>
      <c r="U922" s="236"/>
      <c r="V922" s="242"/>
      <c r="Y922" s="270"/>
      <c r="Z922" s="245"/>
      <c r="AA922" s="19" t="s">
        <v>45</v>
      </c>
      <c r="AB922" s="17"/>
      <c r="AC922" s="17"/>
      <c r="AD922" s="17">
        <v>20.37</v>
      </c>
      <c r="AE922" s="236"/>
      <c r="AF922" s="236"/>
      <c r="AG922" s="236"/>
      <c r="AH922" s="242"/>
    </row>
    <row r="923" spans="3:34" ht="13">
      <c r="M923" s="270"/>
      <c r="N923" s="246"/>
      <c r="O923" s="20" t="s">
        <v>33</v>
      </c>
      <c r="P923" s="21"/>
      <c r="Q923" s="21"/>
      <c r="R923" s="21">
        <v>62.69</v>
      </c>
      <c r="S923" s="248"/>
      <c r="T923" s="248"/>
      <c r="U923" s="248"/>
      <c r="V923" s="303"/>
      <c r="Y923" s="270"/>
      <c r="Z923" s="246"/>
      <c r="AA923" s="20" t="s">
        <v>33</v>
      </c>
      <c r="AB923" s="21"/>
      <c r="AC923" s="21"/>
      <c r="AD923" s="21">
        <v>62.69</v>
      </c>
      <c r="AE923" s="248"/>
      <c r="AF923" s="248"/>
      <c r="AG923" s="248"/>
      <c r="AH923" s="303"/>
    </row>
    <row r="924" spans="3:34" ht="13">
      <c r="M924" s="270"/>
      <c r="N924" s="314" t="s">
        <v>2091</v>
      </c>
      <c r="O924" s="15" t="s">
        <v>701</v>
      </c>
      <c r="P924" s="16">
        <v>21</v>
      </c>
      <c r="Q924" s="16">
        <v>16</v>
      </c>
      <c r="R924" s="16">
        <f>P924*Q924</f>
        <v>336</v>
      </c>
      <c r="S924" s="292">
        <f>SUM(R924:R929)</f>
        <v>907.81000000000006</v>
      </c>
      <c r="T924" s="312">
        <v>5447</v>
      </c>
      <c r="U924" s="312">
        <f>T924-S924</f>
        <v>4539.1899999999996</v>
      </c>
      <c r="V924" s="313">
        <f>U924/T924</f>
        <v>0.83333761703690101</v>
      </c>
      <c r="Y924" s="270"/>
      <c r="Z924" s="314" t="s">
        <v>2091</v>
      </c>
      <c r="AA924" s="15" t="s">
        <v>701</v>
      </c>
      <c r="AB924" s="43"/>
      <c r="AC924" s="43"/>
      <c r="AD924" s="43"/>
      <c r="AE924" s="292">
        <f>SUM(AD924:AD929)</f>
        <v>571.80999999999995</v>
      </c>
      <c r="AF924" s="312">
        <v>5447</v>
      </c>
      <c r="AG924" s="312">
        <f>AF924-AE924</f>
        <v>4875.1900000000005</v>
      </c>
      <c r="AH924" s="313">
        <f>AG924/AF924</f>
        <v>0.89502294841196994</v>
      </c>
    </row>
    <row r="925" spans="3:34" ht="13">
      <c r="M925" s="270"/>
      <c r="N925" s="245"/>
      <c r="O925" s="19" t="s">
        <v>817</v>
      </c>
      <c r="P925" s="17"/>
      <c r="Q925" s="17"/>
      <c r="R925" s="17">
        <v>102.2</v>
      </c>
      <c r="S925" s="236"/>
      <c r="T925" s="236"/>
      <c r="U925" s="236"/>
      <c r="V925" s="242"/>
      <c r="Y925" s="270"/>
      <c r="Z925" s="245"/>
      <c r="AA925" s="19" t="s">
        <v>817</v>
      </c>
      <c r="AB925" s="17"/>
      <c r="AC925" s="17"/>
      <c r="AD925" s="17">
        <v>102.2</v>
      </c>
      <c r="AE925" s="236"/>
      <c r="AF925" s="236"/>
      <c r="AG925" s="236"/>
      <c r="AH925" s="242"/>
    </row>
    <row r="926" spans="3:34" ht="13">
      <c r="M926" s="270"/>
      <c r="N926" s="245"/>
      <c r="O926" s="19" t="s">
        <v>2090</v>
      </c>
      <c r="P926" s="17"/>
      <c r="Q926" s="17"/>
      <c r="R926" s="17">
        <v>187</v>
      </c>
      <c r="S926" s="236"/>
      <c r="T926" s="236"/>
      <c r="U926" s="236"/>
      <c r="V926" s="242"/>
      <c r="Y926" s="270"/>
      <c r="Z926" s="245"/>
      <c r="AA926" s="19" t="s">
        <v>2090</v>
      </c>
      <c r="AB926" s="17"/>
      <c r="AC926" s="17"/>
      <c r="AD926" s="17">
        <v>187</v>
      </c>
      <c r="AE926" s="236"/>
      <c r="AF926" s="236"/>
      <c r="AG926" s="236"/>
      <c r="AH926" s="242"/>
    </row>
    <row r="927" spans="3:34" ht="13">
      <c r="M927" s="270"/>
      <c r="N927" s="245"/>
      <c r="O927" s="19" t="s">
        <v>47</v>
      </c>
      <c r="P927" s="17"/>
      <c r="Q927" s="17"/>
      <c r="R927" s="17">
        <v>109.61</v>
      </c>
      <c r="S927" s="236"/>
      <c r="T927" s="236"/>
      <c r="U927" s="236"/>
      <c r="V927" s="242"/>
      <c r="Y927" s="270"/>
      <c r="Z927" s="245"/>
      <c r="AA927" s="19" t="s">
        <v>47</v>
      </c>
      <c r="AB927" s="17"/>
      <c r="AC927" s="17"/>
      <c r="AD927" s="17">
        <v>109.61</v>
      </c>
      <c r="AE927" s="236"/>
      <c r="AF927" s="236"/>
      <c r="AG927" s="236"/>
      <c r="AH927" s="242"/>
    </row>
    <row r="928" spans="3:34" ht="13">
      <c r="M928" s="270"/>
      <c r="N928" s="245"/>
      <c r="O928" s="19" t="s">
        <v>45</v>
      </c>
      <c r="P928" s="17"/>
      <c r="Q928" s="17"/>
      <c r="R928" s="17">
        <v>70</v>
      </c>
      <c r="S928" s="236"/>
      <c r="T928" s="236"/>
      <c r="U928" s="236"/>
      <c r="V928" s="242"/>
      <c r="Y928" s="270"/>
      <c r="Z928" s="245"/>
      <c r="AA928" s="19" t="s">
        <v>45</v>
      </c>
      <c r="AB928" s="17"/>
      <c r="AC928" s="17"/>
      <c r="AD928" s="17">
        <v>70</v>
      </c>
      <c r="AE928" s="236"/>
      <c r="AF928" s="236"/>
      <c r="AG928" s="236"/>
      <c r="AH928" s="242"/>
    </row>
    <row r="929" spans="13:34" ht="13">
      <c r="M929" s="270"/>
      <c r="N929" s="246"/>
      <c r="O929" s="20" t="s">
        <v>449</v>
      </c>
      <c r="P929" s="21"/>
      <c r="Q929" s="21"/>
      <c r="R929" s="21">
        <v>103</v>
      </c>
      <c r="S929" s="248"/>
      <c r="T929" s="248"/>
      <c r="U929" s="248"/>
      <c r="V929" s="303"/>
      <c r="Y929" s="270"/>
      <c r="Z929" s="246"/>
      <c r="AA929" s="20" t="s">
        <v>449</v>
      </c>
      <c r="AB929" s="21"/>
      <c r="AC929" s="21"/>
      <c r="AD929" s="21">
        <v>103</v>
      </c>
      <c r="AE929" s="248"/>
      <c r="AF929" s="248"/>
      <c r="AG929" s="248"/>
      <c r="AH929" s="303"/>
    </row>
    <row r="930" spans="13:34" ht="13">
      <c r="M930" s="270"/>
      <c r="N930" s="314" t="s">
        <v>2092</v>
      </c>
      <c r="O930" s="15" t="s">
        <v>114</v>
      </c>
      <c r="P930" s="16">
        <v>14</v>
      </c>
      <c r="Q930" s="16">
        <v>16</v>
      </c>
      <c r="R930" s="16">
        <f>P930*Q930</f>
        <v>224</v>
      </c>
      <c r="S930" s="292">
        <f>SUM(R930:R935)</f>
        <v>564.16999999999996</v>
      </c>
      <c r="T930" s="312">
        <v>3419.5</v>
      </c>
      <c r="U930" s="312">
        <f>T930-S930</f>
        <v>2855.33</v>
      </c>
      <c r="V930" s="313">
        <f>U930/T930</f>
        <v>0.83501389091972511</v>
      </c>
      <c r="Y930" s="270"/>
      <c r="Z930" s="314" t="s">
        <v>2092</v>
      </c>
      <c r="AA930" s="15" t="s">
        <v>114</v>
      </c>
      <c r="AB930" s="43"/>
      <c r="AC930" s="43"/>
      <c r="AD930" s="43"/>
      <c r="AE930" s="292">
        <f>SUM(AD930:AD935)</f>
        <v>340.17</v>
      </c>
      <c r="AF930" s="312">
        <v>3419.5</v>
      </c>
      <c r="AG930" s="312">
        <f>AF930-AE930</f>
        <v>3079.33</v>
      </c>
      <c r="AH930" s="313">
        <f>AG930/AF930</f>
        <v>0.90052054393917236</v>
      </c>
    </row>
    <row r="931" spans="13:34" ht="13">
      <c r="M931" s="270"/>
      <c r="N931" s="245"/>
      <c r="O931" s="19" t="s">
        <v>817</v>
      </c>
      <c r="P931" s="17"/>
      <c r="Q931" s="17"/>
      <c r="R931" s="17">
        <v>82.4</v>
      </c>
      <c r="S931" s="236"/>
      <c r="T931" s="236"/>
      <c r="U931" s="236"/>
      <c r="V931" s="242"/>
      <c r="Y931" s="270"/>
      <c r="Z931" s="245"/>
      <c r="AA931" s="19" t="s">
        <v>817</v>
      </c>
      <c r="AB931" s="17"/>
      <c r="AC931" s="17"/>
      <c r="AD931" s="17">
        <v>82.4</v>
      </c>
      <c r="AE931" s="236"/>
      <c r="AF931" s="236"/>
      <c r="AG931" s="236"/>
      <c r="AH931" s="242"/>
    </row>
    <row r="932" spans="13:34" ht="13">
      <c r="M932" s="270"/>
      <c r="N932" s="245"/>
      <c r="O932" s="19" t="s">
        <v>2090</v>
      </c>
      <c r="P932" s="17"/>
      <c r="Q932" s="17"/>
      <c r="R932" s="17">
        <v>60.56</v>
      </c>
      <c r="S932" s="236"/>
      <c r="T932" s="236"/>
      <c r="U932" s="236"/>
      <c r="V932" s="242"/>
      <c r="Y932" s="270"/>
      <c r="Z932" s="245"/>
      <c r="AA932" s="19" t="s">
        <v>2090</v>
      </c>
      <c r="AB932" s="17"/>
      <c r="AC932" s="17"/>
      <c r="AD932" s="17">
        <v>60.56</v>
      </c>
      <c r="AE932" s="236"/>
      <c r="AF932" s="236"/>
      <c r="AG932" s="236"/>
      <c r="AH932" s="242"/>
    </row>
    <row r="933" spans="13:34" ht="13">
      <c r="M933" s="270"/>
      <c r="N933" s="245"/>
      <c r="O933" s="19" t="s">
        <v>47</v>
      </c>
      <c r="P933" s="17"/>
      <c r="Q933" s="17"/>
      <c r="R933" s="17">
        <v>45.14</v>
      </c>
      <c r="S933" s="236"/>
      <c r="T933" s="236"/>
      <c r="U933" s="236"/>
      <c r="V933" s="242"/>
      <c r="Y933" s="270"/>
      <c r="Z933" s="245"/>
      <c r="AA933" s="19" t="s">
        <v>47</v>
      </c>
      <c r="AB933" s="17"/>
      <c r="AC933" s="17"/>
      <c r="AD933" s="17">
        <v>45.14</v>
      </c>
      <c r="AE933" s="236"/>
      <c r="AF933" s="236"/>
      <c r="AG933" s="236"/>
      <c r="AH933" s="242"/>
    </row>
    <row r="934" spans="13:34" ht="13">
      <c r="M934" s="270"/>
      <c r="N934" s="245"/>
      <c r="O934" s="19" t="s">
        <v>45</v>
      </c>
      <c r="P934" s="17"/>
      <c r="Q934" s="17"/>
      <c r="R934" s="17">
        <v>68</v>
      </c>
      <c r="S934" s="236"/>
      <c r="T934" s="236"/>
      <c r="U934" s="236"/>
      <c r="V934" s="242"/>
      <c r="Y934" s="270"/>
      <c r="Z934" s="245"/>
      <c r="AA934" s="19" t="s">
        <v>45</v>
      </c>
      <c r="AB934" s="17"/>
      <c r="AC934" s="17"/>
      <c r="AD934" s="17">
        <v>68</v>
      </c>
      <c r="AE934" s="236"/>
      <c r="AF934" s="236"/>
      <c r="AG934" s="236"/>
      <c r="AH934" s="242"/>
    </row>
    <row r="935" spans="13:34" ht="13">
      <c r="M935" s="270"/>
      <c r="N935" s="246"/>
      <c r="O935" s="20" t="s">
        <v>33</v>
      </c>
      <c r="P935" s="21"/>
      <c r="Q935" s="21"/>
      <c r="R935" s="21">
        <v>84.07</v>
      </c>
      <c r="S935" s="248"/>
      <c r="T935" s="248"/>
      <c r="U935" s="248"/>
      <c r="V935" s="303"/>
      <c r="Y935" s="270"/>
      <c r="Z935" s="246"/>
      <c r="AA935" s="20" t="s">
        <v>33</v>
      </c>
      <c r="AB935" s="21"/>
      <c r="AC935" s="21"/>
      <c r="AD935" s="21">
        <v>84.07</v>
      </c>
      <c r="AE935" s="248"/>
      <c r="AF935" s="248"/>
      <c r="AG935" s="248"/>
      <c r="AH935" s="303"/>
    </row>
    <row r="936" spans="13:34" ht="13">
      <c r="M936" s="270"/>
      <c r="N936" s="314" t="s">
        <v>2093</v>
      </c>
      <c r="O936" s="15" t="s">
        <v>701</v>
      </c>
      <c r="P936" s="16">
        <v>14</v>
      </c>
      <c r="Q936" s="16">
        <v>16</v>
      </c>
      <c r="R936" s="16">
        <f>P936*Q936</f>
        <v>224</v>
      </c>
      <c r="S936" s="292">
        <f>SUM(R936:R941)</f>
        <v>590.79999999999995</v>
      </c>
      <c r="T936" s="312">
        <v>2668</v>
      </c>
      <c r="U936" s="312">
        <f>T936-S936</f>
        <v>2077.1999999999998</v>
      </c>
      <c r="V936" s="313">
        <f>U936/T936</f>
        <v>0.77856071964017981</v>
      </c>
      <c r="Y936" s="270"/>
      <c r="Z936" s="314" t="s">
        <v>2093</v>
      </c>
      <c r="AA936" s="15" t="s">
        <v>701</v>
      </c>
      <c r="AB936" s="43"/>
      <c r="AC936" s="43"/>
      <c r="AD936" s="43"/>
      <c r="AE936" s="292">
        <f>SUM(AD936:AD941)</f>
        <v>366.8</v>
      </c>
      <c r="AF936" s="312">
        <v>2668</v>
      </c>
      <c r="AG936" s="312">
        <f>AF936-AE936</f>
        <v>2301.1999999999998</v>
      </c>
      <c r="AH936" s="313">
        <f>AG936/AF936</f>
        <v>0.86251874062968514</v>
      </c>
    </row>
    <row r="937" spans="13:34" ht="13">
      <c r="M937" s="270"/>
      <c r="N937" s="245"/>
      <c r="O937" s="19" t="s">
        <v>45</v>
      </c>
      <c r="P937" s="17"/>
      <c r="Q937" s="17"/>
      <c r="R937" s="17">
        <v>40</v>
      </c>
      <c r="S937" s="236"/>
      <c r="T937" s="236"/>
      <c r="U937" s="236"/>
      <c r="V937" s="242"/>
      <c r="Y937" s="270"/>
      <c r="Z937" s="245"/>
      <c r="AA937" s="19" t="s">
        <v>45</v>
      </c>
      <c r="AB937" s="17"/>
      <c r="AC937" s="17"/>
      <c r="AD937" s="17">
        <v>40</v>
      </c>
      <c r="AE937" s="236"/>
      <c r="AF937" s="236"/>
      <c r="AG937" s="236"/>
      <c r="AH937" s="242"/>
    </row>
    <row r="938" spans="13:34" ht="13">
      <c r="M938" s="270"/>
      <c r="N938" s="245"/>
      <c r="O938" s="19" t="s">
        <v>2094</v>
      </c>
      <c r="P938" s="17"/>
      <c r="Q938" s="17"/>
      <c r="R938" s="17">
        <v>70</v>
      </c>
      <c r="S938" s="236"/>
      <c r="T938" s="236"/>
      <c r="U938" s="236"/>
      <c r="V938" s="242"/>
      <c r="Y938" s="270"/>
      <c r="Z938" s="245"/>
      <c r="AA938" s="19" t="s">
        <v>2094</v>
      </c>
      <c r="AB938" s="17"/>
      <c r="AC938" s="17"/>
      <c r="AD938" s="17">
        <v>70</v>
      </c>
      <c r="AE938" s="236"/>
      <c r="AF938" s="236"/>
      <c r="AG938" s="236"/>
      <c r="AH938" s="242"/>
    </row>
    <row r="939" spans="13:34" ht="13">
      <c r="M939" s="270"/>
      <c r="N939" s="245"/>
      <c r="O939" s="19" t="s">
        <v>2095</v>
      </c>
      <c r="P939" s="17"/>
      <c r="Q939" s="17"/>
      <c r="R939" s="17">
        <v>0</v>
      </c>
      <c r="S939" s="236"/>
      <c r="T939" s="236"/>
      <c r="U939" s="236"/>
      <c r="V939" s="242"/>
      <c r="Y939" s="270"/>
      <c r="Z939" s="245"/>
      <c r="AA939" s="19" t="s">
        <v>2095</v>
      </c>
      <c r="AB939" s="17"/>
      <c r="AC939" s="17"/>
      <c r="AD939" s="17">
        <v>0</v>
      </c>
      <c r="AE939" s="236"/>
      <c r="AF939" s="236"/>
      <c r="AG939" s="236"/>
      <c r="AH939" s="242"/>
    </row>
    <row r="940" spans="13:34" ht="13">
      <c r="M940" s="270"/>
      <c r="N940" s="245"/>
      <c r="O940" s="19" t="s">
        <v>2096</v>
      </c>
      <c r="P940" s="17"/>
      <c r="Q940" s="17"/>
      <c r="R940" s="17"/>
      <c r="S940" s="236"/>
      <c r="T940" s="236"/>
      <c r="U940" s="236"/>
      <c r="V940" s="242"/>
      <c r="Y940" s="270"/>
      <c r="Z940" s="245"/>
      <c r="AA940" s="19" t="s">
        <v>2096</v>
      </c>
      <c r="AB940" s="17"/>
      <c r="AC940" s="17"/>
      <c r="AD940" s="17"/>
      <c r="AE940" s="236"/>
      <c r="AF940" s="236"/>
      <c r="AG940" s="236"/>
      <c r="AH940" s="242"/>
    </row>
    <row r="941" spans="13:34" ht="13">
      <c r="M941" s="270"/>
      <c r="N941" s="246"/>
      <c r="O941" s="20" t="s">
        <v>732</v>
      </c>
      <c r="P941" s="21"/>
      <c r="Q941" s="21"/>
      <c r="R941" s="21">
        <v>256.8</v>
      </c>
      <c r="S941" s="248"/>
      <c r="T941" s="248"/>
      <c r="U941" s="248"/>
      <c r="V941" s="303"/>
      <c r="Y941" s="270"/>
      <c r="Z941" s="246"/>
      <c r="AA941" s="20" t="s">
        <v>732</v>
      </c>
      <c r="AB941" s="21"/>
      <c r="AC941" s="21"/>
      <c r="AD941" s="21">
        <v>256.8</v>
      </c>
      <c r="AE941" s="248"/>
      <c r="AF941" s="248"/>
      <c r="AG941" s="248"/>
      <c r="AH941" s="303"/>
    </row>
    <row r="942" spans="13:34" ht="13">
      <c r="M942" s="270"/>
      <c r="N942" s="314" t="s">
        <v>2097</v>
      </c>
      <c r="O942" s="15" t="s">
        <v>114</v>
      </c>
      <c r="P942" s="16">
        <v>13</v>
      </c>
      <c r="Q942" s="16">
        <v>16</v>
      </c>
      <c r="R942" s="16">
        <f t="shared" ref="R942:R943" si="386">P942*Q942</f>
        <v>208</v>
      </c>
      <c r="S942" s="292">
        <f>SUM(R942:R944)</f>
        <v>569.72</v>
      </c>
      <c r="T942" s="292">
        <v>1900</v>
      </c>
      <c r="U942" s="292">
        <f>T942-S942</f>
        <v>1330.28</v>
      </c>
      <c r="V942" s="313">
        <f>U942/T942</f>
        <v>0.70014736842105263</v>
      </c>
      <c r="Y942" s="270"/>
      <c r="Z942" s="314" t="s">
        <v>2097</v>
      </c>
      <c r="AA942" s="15" t="s">
        <v>114</v>
      </c>
      <c r="AB942" s="43"/>
      <c r="AC942" s="43"/>
      <c r="AD942" s="43"/>
      <c r="AE942" s="292">
        <f>SUM(AD942:AD944)</f>
        <v>73.72</v>
      </c>
      <c r="AF942" s="292">
        <v>1900</v>
      </c>
      <c r="AG942" s="292">
        <f>AF942-AE942</f>
        <v>1826.28</v>
      </c>
      <c r="AH942" s="313">
        <f>AG942/AF942</f>
        <v>0.96119999999999994</v>
      </c>
    </row>
    <row r="943" spans="13:34" ht="13">
      <c r="M943" s="270"/>
      <c r="N943" s="245"/>
      <c r="O943" s="19" t="s">
        <v>701</v>
      </c>
      <c r="P943" s="17">
        <v>18</v>
      </c>
      <c r="Q943" s="17">
        <v>16</v>
      </c>
      <c r="R943" s="17">
        <f t="shared" si="386"/>
        <v>288</v>
      </c>
      <c r="S943" s="236"/>
      <c r="T943" s="236"/>
      <c r="U943" s="236"/>
      <c r="V943" s="242"/>
      <c r="Y943" s="270"/>
      <c r="Z943" s="245"/>
      <c r="AA943" s="19" t="s">
        <v>701</v>
      </c>
      <c r="AB943" s="18"/>
      <c r="AC943" s="18"/>
      <c r="AD943" s="18"/>
      <c r="AE943" s="236"/>
      <c r="AF943" s="236"/>
      <c r="AG943" s="236"/>
      <c r="AH943" s="242"/>
    </row>
    <row r="944" spans="13:34" ht="13">
      <c r="M944" s="270"/>
      <c r="N944" s="246"/>
      <c r="O944" s="20" t="s">
        <v>826</v>
      </c>
      <c r="P944" s="21"/>
      <c r="Q944" s="21"/>
      <c r="R944" s="21">
        <v>73.72</v>
      </c>
      <c r="S944" s="248"/>
      <c r="T944" s="248"/>
      <c r="U944" s="248"/>
      <c r="V944" s="303"/>
      <c r="Y944" s="270"/>
      <c r="Z944" s="246"/>
      <c r="AA944" s="20" t="s">
        <v>826</v>
      </c>
      <c r="AB944" s="21"/>
      <c r="AC944" s="21"/>
      <c r="AD944" s="21">
        <v>73.72</v>
      </c>
      <c r="AE944" s="248"/>
      <c r="AF944" s="248"/>
      <c r="AG944" s="248"/>
      <c r="AH944" s="303"/>
    </row>
    <row r="945" spans="13:34" ht="13">
      <c r="M945" s="270"/>
      <c r="N945" s="314" t="s">
        <v>2098</v>
      </c>
      <c r="O945" s="15" t="s">
        <v>147</v>
      </c>
      <c r="P945" s="16">
        <v>15</v>
      </c>
      <c r="Q945" s="16">
        <v>15</v>
      </c>
      <c r="R945" s="16">
        <f t="shared" ref="R945:R951" si="387">P945*Q945</f>
        <v>225</v>
      </c>
      <c r="S945" s="292">
        <f>SUM(R945:R952)</f>
        <v>990.98</v>
      </c>
      <c r="T945" s="312">
        <v>2910</v>
      </c>
      <c r="U945" s="312">
        <f>T945-S945</f>
        <v>1919.02</v>
      </c>
      <c r="V945" s="313">
        <f>U945/T945</f>
        <v>0.65945704467353949</v>
      </c>
      <c r="Y945" s="270"/>
      <c r="Z945" s="314" t="s">
        <v>2098</v>
      </c>
      <c r="AA945" s="15" t="s">
        <v>147</v>
      </c>
      <c r="AB945" s="16">
        <v>15</v>
      </c>
      <c r="AC945" s="16">
        <v>15</v>
      </c>
      <c r="AD945" s="16">
        <f>AB945*AC945</f>
        <v>225</v>
      </c>
      <c r="AE945" s="292">
        <f>SUM(AD945:AD952)</f>
        <v>900.98</v>
      </c>
      <c r="AF945" s="312">
        <v>2910</v>
      </c>
      <c r="AG945" s="312">
        <f>AF945-AE945</f>
        <v>2009.02</v>
      </c>
      <c r="AH945" s="313">
        <f>AG945/AF945</f>
        <v>0.69038487972508589</v>
      </c>
    </row>
    <row r="946" spans="13:34" ht="13">
      <c r="M946" s="270"/>
      <c r="N946" s="245"/>
      <c r="O946" s="19" t="s">
        <v>741</v>
      </c>
      <c r="P946" s="17">
        <v>3</v>
      </c>
      <c r="Q946" s="17">
        <v>10</v>
      </c>
      <c r="R946" s="17">
        <f t="shared" si="387"/>
        <v>30</v>
      </c>
      <c r="S946" s="236"/>
      <c r="T946" s="236"/>
      <c r="U946" s="236"/>
      <c r="V946" s="242"/>
      <c r="Y946" s="270"/>
      <c r="Z946" s="245"/>
      <c r="AA946" s="19" t="s">
        <v>741</v>
      </c>
      <c r="AB946" s="18"/>
      <c r="AC946" s="18"/>
      <c r="AD946" s="18"/>
      <c r="AE946" s="236"/>
      <c r="AF946" s="236"/>
      <c r="AG946" s="236"/>
      <c r="AH946" s="242"/>
    </row>
    <row r="947" spans="13:34" ht="13">
      <c r="M947" s="270"/>
      <c r="N947" s="245"/>
      <c r="O947" s="19" t="s">
        <v>2099</v>
      </c>
      <c r="P947" s="17">
        <v>3</v>
      </c>
      <c r="Q947" s="17">
        <v>10</v>
      </c>
      <c r="R947" s="17">
        <f t="shared" si="387"/>
        <v>30</v>
      </c>
      <c r="S947" s="236"/>
      <c r="T947" s="236"/>
      <c r="U947" s="236"/>
      <c r="V947" s="242"/>
      <c r="Y947" s="270"/>
      <c r="Z947" s="245"/>
      <c r="AA947" s="19" t="s">
        <v>2099</v>
      </c>
      <c r="AB947" s="18"/>
      <c r="AC947" s="18"/>
      <c r="AD947" s="18"/>
      <c r="AE947" s="236"/>
      <c r="AF947" s="236"/>
      <c r="AG947" s="236"/>
      <c r="AH947" s="242"/>
    </row>
    <row r="948" spans="13:34" ht="13">
      <c r="M948" s="270"/>
      <c r="N948" s="245"/>
      <c r="O948" s="19" t="s">
        <v>1281</v>
      </c>
      <c r="P948" s="17">
        <v>3</v>
      </c>
      <c r="Q948" s="17">
        <v>10</v>
      </c>
      <c r="R948" s="17">
        <f t="shared" si="387"/>
        <v>30</v>
      </c>
      <c r="S948" s="236"/>
      <c r="T948" s="236"/>
      <c r="U948" s="236"/>
      <c r="V948" s="242"/>
      <c r="Y948" s="270"/>
      <c r="Z948" s="245"/>
      <c r="AA948" s="19" t="s">
        <v>1281</v>
      </c>
      <c r="AB948" s="18"/>
      <c r="AC948" s="18"/>
      <c r="AD948" s="18"/>
      <c r="AE948" s="236"/>
      <c r="AF948" s="236"/>
      <c r="AG948" s="236"/>
      <c r="AH948" s="242"/>
    </row>
    <row r="949" spans="13:34" ht="13">
      <c r="M949" s="270"/>
      <c r="N949" s="245"/>
      <c r="O949" s="19" t="s">
        <v>703</v>
      </c>
      <c r="P949" s="17">
        <v>9</v>
      </c>
      <c r="Q949" s="17">
        <v>15</v>
      </c>
      <c r="R949" s="17">
        <f t="shared" si="387"/>
        <v>135</v>
      </c>
      <c r="S949" s="236"/>
      <c r="T949" s="236"/>
      <c r="U949" s="236"/>
      <c r="V949" s="242"/>
      <c r="Y949" s="270"/>
      <c r="Z949" s="245"/>
      <c r="AA949" s="19" t="s">
        <v>703</v>
      </c>
      <c r="AB949" s="17">
        <v>9</v>
      </c>
      <c r="AC949" s="17">
        <v>15</v>
      </c>
      <c r="AD949" s="17">
        <f t="shared" ref="AD949:AD951" si="388">AB949*AC949</f>
        <v>135</v>
      </c>
      <c r="AE949" s="236"/>
      <c r="AF949" s="236"/>
      <c r="AG949" s="236"/>
      <c r="AH949" s="242"/>
    </row>
    <row r="950" spans="13:34" ht="13">
      <c r="M950" s="270"/>
      <c r="N950" s="245"/>
      <c r="O950" s="19" t="s">
        <v>70</v>
      </c>
      <c r="P950" s="17">
        <v>12</v>
      </c>
      <c r="Q950" s="17">
        <v>15</v>
      </c>
      <c r="R950" s="17">
        <f t="shared" si="387"/>
        <v>180</v>
      </c>
      <c r="S950" s="236"/>
      <c r="T950" s="236"/>
      <c r="U950" s="236"/>
      <c r="V950" s="242"/>
      <c r="Y950" s="270"/>
      <c r="Z950" s="245"/>
      <c r="AA950" s="19" t="s">
        <v>70</v>
      </c>
      <c r="AB950" s="17">
        <v>12</v>
      </c>
      <c r="AC950" s="17">
        <v>15</v>
      </c>
      <c r="AD950" s="17">
        <f t="shared" si="388"/>
        <v>180</v>
      </c>
      <c r="AE950" s="236"/>
      <c r="AF950" s="236"/>
      <c r="AG950" s="236"/>
      <c r="AH950" s="242"/>
    </row>
    <row r="951" spans="13:34" ht="13">
      <c r="M951" s="270"/>
      <c r="N951" s="245"/>
      <c r="O951" s="19" t="s">
        <v>2100</v>
      </c>
      <c r="P951" s="17">
        <v>3</v>
      </c>
      <c r="Q951" s="17">
        <v>15</v>
      </c>
      <c r="R951" s="17">
        <f t="shared" si="387"/>
        <v>45</v>
      </c>
      <c r="S951" s="236"/>
      <c r="T951" s="236"/>
      <c r="U951" s="236"/>
      <c r="V951" s="242"/>
      <c r="Y951" s="270"/>
      <c r="Z951" s="245"/>
      <c r="AA951" s="19" t="s">
        <v>2100</v>
      </c>
      <c r="AB951" s="17">
        <v>3</v>
      </c>
      <c r="AC951" s="17">
        <v>15</v>
      </c>
      <c r="AD951" s="17">
        <f t="shared" si="388"/>
        <v>45</v>
      </c>
      <c r="AE951" s="236"/>
      <c r="AF951" s="236"/>
      <c r="AG951" s="236"/>
      <c r="AH951" s="242"/>
    </row>
    <row r="952" spans="13:34" ht="13">
      <c r="M952" s="270"/>
      <c r="N952" s="246"/>
      <c r="O952" s="20" t="s">
        <v>33</v>
      </c>
      <c r="P952" s="21"/>
      <c r="Q952" s="21"/>
      <c r="R952" s="21">
        <v>315.98</v>
      </c>
      <c r="S952" s="248"/>
      <c r="T952" s="248"/>
      <c r="U952" s="248"/>
      <c r="V952" s="303"/>
      <c r="Y952" s="270"/>
      <c r="Z952" s="246"/>
      <c r="AA952" s="20" t="s">
        <v>33</v>
      </c>
      <c r="AB952" s="21"/>
      <c r="AC952" s="21"/>
      <c r="AD952" s="21">
        <v>315.98</v>
      </c>
      <c r="AE952" s="248"/>
      <c r="AF952" s="248"/>
      <c r="AG952" s="248"/>
      <c r="AH952" s="303"/>
    </row>
    <row r="953" spans="13:34" ht="13">
      <c r="M953" s="270"/>
      <c r="N953" s="314" t="s">
        <v>2101</v>
      </c>
      <c r="O953" s="15" t="s">
        <v>986</v>
      </c>
      <c r="P953" s="16"/>
      <c r="Q953" s="16"/>
      <c r="R953" s="16">
        <v>500</v>
      </c>
      <c r="S953" s="292">
        <f>SUM(R953:R954)</f>
        <v>500</v>
      </c>
      <c r="T953" s="292">
        <v>3323</v>
      </c>
      <c r="U953" s="292">
        <f>T953-S953</f>
        <v>2823</v>
      </c>
      <c r="V953" s="313">
        <f>U953/T953</f>
        <v>0.84953355401745412</v>
      </c>
      <c r="Y953" s="270"/>
      <c r="Z953" s="314" t="s">
        <v>2101</v>
      </c>
      <c r="AA953" s="15" t="s">
        <v>986</v>
      </c>
      <c r="AB953" s="16"/>
      <c r="AC953" s="16"/>
      <c r="AD953" s="16">
        <v>500</v>
      </c>
      <c r="AE953" s="292">
        <f>SUM(AD953:AD954)</f>
        <v>500</v>
      </c>
      <c r="AF953" s="292">
        <v>3323</v>
      </c>
      <c r="AG953" s="292">
        <f>AF953-AE953</f>
        <v>2823</v>
      </c>
      <c r="AH953" s="313">
        <f>AG953/AF953</f>
        <v>0.84953355401745412</v>
      </c>
    </row>
    <row r="954" spans="13:34" ht="13">
      <c r="M954" s="270"/>
      <c r="N954" s="246"/>
      <c r="O954" s="20"/>
      <c r="P954" s="21"/>
      <c r="Q954" s="21"/>
      <c r="R954" s="21"/>
      <c r="S954" s="248"/>
      <c r="T954" s="248"/>
      <c r="U954" s="248"/>
      <c r="V954" s="303"/>
      <c r="Y954" s="270"/>
      <c r="Z954" s="246"/>
      <c r="AA954" s="20"/>
      <c r="AB954" s="21"/>
      <c r="AC954" s="21"/>
      <c r="AD954" s="21"/>
      <c r="AE954" s="248"/>
      <c r="AF954" s="248"/>
      <c r="AG954" s="248"/>
      <c r="AH954" s="303"/>
    </row>
    <row r="955" spans="13:34" ht="13">
      <c r="M955" s="270"/>
      <c r="N955" s="314" t="s">
        <v>2102</v>
      </c>
      <c r="O955" s="15" t="s">
        <v>986</v>
      </c>
      <c r="P955" s="16"/>
      <c r="Q955" s="16"/>
      <c r="R955" s="16">
        <v>200</v>
      </c>
      <c r="S955" s="292">
        <f>SUM(R955:R956)</f>
        <v>200</v>
      </c>
      <c r="T955" s="292">
        <v>1963</v>
      </c>
      <c r="U955" s="292">
        <f>T955-S955</f>
        <v>1763</v>
      </c>
      <c r="V955" s="313">
        <f>U955/T955</f>
        <v>0.89811512990320941</v>
      </c>
      <c r="Y955" s="270"/>
      <c r="Z955" s="314" t="s">
        <v>2102</v>
      </c>
      <c r="AA955" s="15" t="s">
        <v>986</v>
      </c>
      <c r="AB955" s="16"/>
      <c r="AC955" s="16"/>
      <c r="AD955" s="16">
        <v>200</v>
      </c>
      <c r="AE955" s="292">
        <f>SUM(AD955:AD956)</f>
        <v>200</v>
      </c>
      <c r="AF955" s="292">
        <v>1963</v>
      </c>
      <c r="AG955" s="292">
        <f>AF955-AE955</f>
        <v>1763</v>
      </c>
      <c r="AH955" s="313">
        <f>AG955/AF955</f>
        <v>0.89811512990320941</v>
      </c>
    </row>
    <row r="956" spans="13:34" ht="13">
      <c r="M956" s="270"/>
      <c r="N956" s="246"/>
      <c r="O956" s="20"/>
      <c r="P956" s="21"/>
      <c r="Q956" s="21"/>
      <c r="R956" s="21"/>
      <c r="S956" s="248"/>
      <c r="T956" s="248"/>
      <c r="U956" s="248"/>
      <c r="V956" s="303"/>
      <c r="Y956" s="270"/>
      <c r="Z956" s="246"/>
      <c r="AA956" s="20"/>
      <c r="AB956" s="21"/>
      <c r="AC956" s="21"/>
      <c r="AD956" s="21"/>
      <c r="AE956" s="248"/>
      <c r="AF956" s="248"/>
      <c r="AG956" s="248"/>
      <c r="AH956" s="303"/>
    </row>
    <row r="957" spans="13:34" ht="13">
      <c r="M957" s="270"/>
      <c r="N957" s="314" t="s">
        <v>2103</v>
      </c>
      <c r="O957" s="15" t="s">
        <v>744</v>
      </c>
      <c r="P957" s="16">
        <v>3</v>
      </c>
      <c r="Q957" s="16">
        <v>15</v>
      </c>
      <c r="R957" s="16">
        <f t="shared" ref="R957:R963" si="389">P957*Q957</f>
        <v>45</v>
      </c>
      <c r="S957" s="292">
        <f>SUM(R957:R964)</f>
        <v>924.55</v>
      </c>
      <c r="T957" s="312">
        <v>2932.5</v>
      </c>
      <c r="U957" s="312">
        <f>T957-S957</f>
        <v>2007.95</v>
      </c>
      <c r="V957" s="313">
        <f>U957/T957</f>
        <v>0.68472293265132145</v>
      </c>
      <c r="Y957" s="270"/>
      <c r="Z957" s="314" t="s">
        <v>2103</v>
      </c>
      <c r="AA957" s="15" t="s">
        <v>744</v>
      </c>
      <c r="AB957" s="16">
        <v>3</v>
      </c>
      <c r="AC957" s="16">
        <v>15</v>
      </c>
      <c r="AD957" s="16">
        <f t="shared" ref="AD957:AD963" si="390">AB957*AC957</f>
        <v>45</v>
      </c>
      <c r="AE957" s="292">
        <f>SUM(AD957:AD964)</f>
        <v>924.55</v>
      </c>
      <c r="AF957" s="312">
        <v>2932.5</v>
      </c>
      <c r="AG957" s="312">
        <f>AF957-AE957</f>
        <v>2007.95</v>
      </c>
      <c r="AH957" s="313">
        <f>AG957/AF957</f>
        <v>0.68472293265132145</v>
      </c>
    </row>
    <row r="958" spans="13:34" ht="13">
      <c r="M958" s="270"/>
      <c r="N958" s="245"/>
      <c r="O958" s="19" t="s">
        <v>2104</v>
      </c>
      <c r="P958" s="17">
        <v>9</v>
      </c>
      <c r="Q958" s="17">
        <v>15</v>
      </c>
      <c r="R958" s="17">
        <f t="shared" si="389"/>
        <v>135</v>
      </c>
      <c r="S958" s="236"/>
      <c r="T958" s="236"/>
      <c r="U958" s="236"/>
      <c r="V958" s="242"/>
      <c r="Y958" s="270"/>
      <c r="Z958" s="245"/>
      <c r="AA958" s="19" t="s">
        <v>2104</v>
      </c>
      <c r="AB958" s="17">
        <v>9</v>
      </c>
      <c r="AC958" s="17">
        <v>15</v>
      </c>
      <c r="AD958" s="17">
        <f t="shared" si="390"/>
        <v>135</v>
      </c>
      <c r="AE958" s="236"/>
      <c r="AF958" s="236"/>
      <c r="AG958" s="236"/>
      <c r="AH958" s="242"/>
    </row>
    <row r="959" spans="13:34" ht="13">
      <c r="M959" s="270"/>
      <c r="N959" s="245"/>
      <c r="O959" s="19" t="s">
        <v>1291</v>
      </c>
      <c r="P959" s="17">
        <v>3</v>
      </c>
      <c r="Q959" s="17">
        <v>15</v>
      </c>
      <c r="R959" s="17">
        <f t="shared" si="389"/>
        <v>45</v>
      </c>
      <c r="S959" s="236"/>
      <c r="T959" s="236"/>
      <c r="U959" s="236"/>
      <c r="V959" s="242"/>
      <c r="Y959" s="270"/>
      <c r="Z959" s="245"/>
      <c r="AA959" s="19" t="s">
        <v>1291</v>
      </c>
      <c r="AB959" s="17">
        <v>3</v>
      </c>
      <c r="AC959" s="17">
        <v>15</v>
      </c>
      <c r="AD959" s="17">
        <f t="shared" si="390"/>
        <v>45</v>
      </c>
      <c r="AE959" s="236"/>
      <c r="AF959" s="236"/>
      <c r="AG959" s="236"/>
      <c r="AH959" s="242"/>
    </row>
    <row r="960" spans="13:34" ht="13">
      <c r="M960" s="270"/>
      <c r="N960" s="245"/>
      <c r="O960" s="19" t="s">
        <v>639</v>
      </c>
      <c r="P960" s="17">
        <v>3</v>
      </c>
      <c r="Q960" s="17">
        <v>15</v>
      </c>
      <c r="R960" s="17">
        <f t="shared" si="389"/>
        <v>45</v>
      </c>
      <c r="S960" s="236"/>
      <c r="T960" s="236"/>
      <c r="U960" s="236"/>
      <c r="V960" s="242"/>
      <c r="Y960" s="270"/>
      <c r="Z960" s="245"/>
      <c r="AA960" s="19" t="s">
        <v>639</v>
      </c>
      <c r="AB960" s="17">
        <v>3</v>
      </c>
      <c r="AC960" s="17">
        <v>15</v>
      </c>
      <c r="AD960" s="17">
        <f t="shared" si="390"/>
        <v>45</v>
      </c>
      <c r="AE960" s="236"/>
      <c r="AF960" s="236"/>
      <c r="AG960" s="236"/>
      <c r="AH960" s="242"/>
    </row>
    <row r="961" spans="13:34" ht="13">
      <c r="M961" s="270"/>
      <c r="N961" s="245"/>
      <c r="O961" s="19" t="s">
        <v>310</v>
      </c>
      <c r="P961" s="17">
        <v>21</v>
      </c>
      <c r="Q961" s="17">
        <v>15</v>
      </c>
      <c r="R961" s="17">
        <f t="shared" si="389"/>
        <v>315</v>
      </c>
      <c r="S961" s="236"/>
      <c r="T961" s="236"/>
      <c r="U961" s="236"/>
      <c r="V961" s="242"/>
      <c r="Y961" s="270"/>
      <c r="Z961" s="245"/>
      <c r="AA961" s="19" t="s">
        <v>310</v>
      </c>
      <c r="AB961" s="17">
        <v>21</v>
      </c>
      <c r="AC961" s="17">
        <v>15</v>
      </c>
      <c r="AD961" s="17">
        <f t="shared" si="390"/>
        <v>315</v>
      </c>
      <c r="AE961" s="236"/>
      <c r="AF961" s="236"/>
      <c r="AG961" s="236"/>
      <c r="AH961" s="242"/>
    </row>
    <row r="962" spans="13:34" ht="13">
      <c r="M962" s="270"/>
      <c r="N962" s="245"/>
      <c r="O962" s="19" t="s">
        <v>770</v>
      </c>
      <c r="P962" s="17">
        <v>6</v>
      </c>
      <c r="Q962" s="17">
        <v>15</v>
      </c>
      <c r="R962" s="17">
        <f t="shared" si="389"/>
        <v>90</v>
      </c>
      <c r="S962" s="236"/>
      <c r="T962" s="236"/>
      <c r="U962" s="236"/>
      <c r="V962" s="242"/>
      <c r="Y962" s="270"/>
      <c r="Z962" s="245"/>
      <c r="AA962" s="19" t="s">
        <v>770</v>
      </c>
      <c r="AB962" s="17">
        <v>6</v>
      </c>
      <c r="AC962" s="17">
        <v>15</v>
      </c>
      <c r="AD962" s="17">
        <f t="shared" si="390"/>
        <v>90</v>
      </c>
      <c r="AE962" s="236"/>
      <c r="AF962" s="236"/>
      <c r="AG962" s="236"/>
      <c r="AH962" s="242"/>
    </row>
    <row r="963" spans="13:34" ht="13">
      <c r="M963" s="270"/>
      <c r="N963" s="245"/>
      <c r="O963" s="19" t="s">
        <v>147</v>
      </c>
      <c r="P963" s="17">
        <v>3</v>
      </c>
      <c r="Q963" s="17">
        <v>15</v>
      </c>
      <c r="R963" s="17">
        <f t="shared" si="389"/>
        <v>45</v>
      </c>
      <c r="S963" s="236"/>
      <c r="T963" s="236"/>
      <c r="U963" s="236"/>
      <c r="V963" s="242"/>
      <c r="Y963" s="270"/>
      <c r="Z963" s="245"/>
      <c r="AA963" s="19" t="s">
        <v>147</v>
      </c>
      <c r="AB963" s="17">
        <v>3</v>
      </c>
      <c r="AC963" s="17">
        <v>15</v>
      </c>
      <c r="AD963" s="17">
        <f t="shared" si="390"/>
        <v>45</v>
      </c>
      <c r="AE963" s="236"/>
      <c r="AF963" s="236"/>
      <c r="AG963" s="236"/>
      <c r="AH963" s="242"/>
    </row>
    <row r="964" spans="13:34" ht="13">
      <c r="M964" s="270"/>
      <c r="N964" s="246"/>
      <c r="O964" s="20" t="s">
        <v>33</v>
      </c>
      <c r="P964" s="21"/>
      <c r="Q964" s="21"/>
      <c r="R964" s="21">
        <v>204.55</v>
      </c>
      <c r="S964" s="248"/>
      <c r="T964" s="248"/>
      <c r="U964" s="248"/>
      <c r="V964" s="303"/>
      <c r="Y964" s="270"/>
      <c r="Z964" s="246"/>
      <c r="AA964" s="20" t="s">
        <v>33</v>
      </c>
      <c r="AB964" s="21"/>
      <c r="AC964" s="21"/>
      <c r="AD964" s="21">
        <v>204.55</v>
      </c>
      <c r="AE964" s="248"/>
      <c r="AF964" s="248"/>
      <c r="AG964" s="248"/>
      <c r="AH964" s="303"/>
    </row>
    <row r="965" spans="13:34" ht="13">
      <c r="M965" s="270"/>
      <c r="N965" s="314" t="s">
        <v>2105</v>
      </c>
      <c r="O965" s="15" t="s">
        <v>701</v>
      </c>
      <c r="P965" s="16">
        <v>21</v>
      </c>
      <c r="Q965" s="16">
        <v>16</v>
      </c>
      <c r="R965" s="16">
        <f t="shared" ref="R965:R969" si="391">P965*Q965</f>
        <v>336</v>
      </c>
      <c r="S965" s="292">
        <f>SUM(R965:R973)</f>
        <v>1156.5</v>
      </c>
      <c r="T965" s="312">
        <v>2600</v>
      </c>
      <c r="U965" s="312">
        <f>T965-S965</f>
        <v>1443.5</v>
      </c>
      <c r="V965" s="313">
        <f>U965/T965</f>
        <v>0.55519230769230765</v>
      </c>
      <c r="Y965" s="270"/>
      <c r="Z965" s="314" t="s">
        <v>2105</v>
      </c>
      <c r="AA965" s="15" t="s">
        <v>701</v>
      </c>
      <c r="AB965" s="43"/>
      <c r="AC965" s="43"/>
      <c r="AD965" s="43"/>
      <c r="AE965" s="292">
        <f>SUM(AD965:AD973)</f>
        <v>712.5</v>
      </c>
      <c r="AF965" s="312">
        <v>2600</v>
      </c>
      <c r="AG965" s="312">
        <f>AF965-AE965</f>
        <v>1887.5</v>
      </c>
      <c r="AH965" s="313">
        <f>AG965/AF965</f>
        <v>0.72596153846153844</v>
      </c>
    </row>
    <row r="966" spans="13:34" ht="13">
      <c r="M966" s="270"/>
      <c r="N966" s="245"/>
      <c r="O966" s="19" t="s">
        <v>102</v>
      </c>
      <c r="P966" s="17">
        <v>6</v>
      </c>
      <c r="Q966" s="17">
        <v>8</v>
      </c>
      <c r="R966" s="17">
        <f t="shared" si="391"/>
        <v>48</v>
      </c>
      <c r="S966" s="236"/>
      <c r="T966" s="236"/>
      <c r="U966" s="236"/>
      <c r="V966" s="242"/>
      <c r="Y966" s="270"/>
      <c r="Z966" s="245"/>
      <c r="AA966" s="19" t="s">
        <v>102</v>
      </c>
      <c r="AB966" s="18"/>
      <c r="AC966" s="18"/>
      <c r="AD966" s="18"/>
      <c r="AE966" s="236"/>
      <c r="AF966" s="236"/>
      <c r="AG966" s="236"/>
      <c r="AH966" s="242"/>
    </row>
    <row r="967" spans="13:34" ht="13">
      <c r="M967" s="270"/>
      <c r="N967" s="245"/>
      <c r="O967" s="19" t="s">
        <v>2106</v>
      </c>
      <c r="P967" s="17">
        <v>5</v>
      </c>
      <c r="Q967" s="17">
        <v>12</v>
      </c>
      <c r="R967" s="17">
        <f t="shared" si="391"/>
        <v>60</v>
      </c>
      <c r="S967" s="236"/>
      <c r="T967" s="236"/>
      <c r="U967" s="236"/>
      <c r="V967" s="242"/>
      <c r="Y967" s="270"/>
      <c r="Z967" s="245"/>
      <c r="AA967" s="19" t="s">
        <v>2106</v>
      </c>
      <c r="AB967" s="18"/>
      <c r="AC967" s="18"/>
      <c r="AD967" s="18"/>
      <c r="AE967" s="236"/>
      <c r="AF967" s="236"/>
      <c r="AG967" s="236"/>
      <c r="AH967" s="242"/>
    </row>
    <row r="968" spans="13:34" ht="13">
      <c r="M968" s="270"/>
      <c r="N968" s="245"/>
      <c r="O968" s="19" t="s">
        <v>1286</v>
      </c>
      <c r="P968" s="17">
        <v>4.5</v>
      </c>
      <c r="Q968" s="17">
        <v>15</v>
      </c>
      <c r="R968" s="17">
        <f t="shared" si="391"/>
        <v>67.5</v>
      </c>
      <c r="S968" s="236"/>
      <c r="T968" s="236"/>
      <c r="U968" s="236"/>
      <c r="V968" s="242"/>
      <c r="Y968" s="270"/>
      <c r="Z968" s="245"/>
      <c r="AA968" s="19" t="s">
        <v>1286</v>
      </c>
      <c r="AB968" s="17">
        <v>4.5</v>
      </c>
      <c r="AC968" s="17">
        <v>15</v>
      </c>
      <c r="AD968" s="17">
        <f t="shared" ref="AD968:AD969" si="392">AB968*AC968</f>
        <v>67.5</v>
      </c>
      <c r="AE968" s="236"/>
      <c r="AF968" s="236"/>
      <c r="AG968" s="236"/>
      <c r="AH968" s="242"/>
    </row>
    <row r="969" spans="13:34" ht="13">
      <c r="M969" s="270"/>
      <c r="N969" s="245"/>
      <c r="O969" s="19" t="s">
        <v>2107</v>
      </c>
      <c r="P969" s="17">
        <v>14</v>
      </c>
      <c r="Q969" s="17">
        <v>15</v>
      </c>
      <c r="R969" s="17">
        <f t="shared" si="391"/>
        <v>210</v>
      </c>
      <c r="S969" s="236"/>
      <c r="T969" s="236"/>
      <c r="U969" s="236"/>
      <c r="V969" s="242"/>
      <c r="Y969" s="270"/>
      <c r="Z969" s="245"/>
      <c r="AA969" s="19" t="s">
        <v>2107</v>
      </c>
      <c r="AB969" s="17">
        <v>14</v>
      </c>
      <c r="AC969" s="17">
        <v>15</v>
      </c>
      <c r="AD969" s="17">
        <f t="shared" si="392"/>
        <v>210</v>
      </c>
      <c r="AE969" s="236"/>
      <c r="AF969" s="236"/>
      <c r="AG969" s="236"/>
      <c r="AH969" s="242"/>
    </row>
    <row r="970" spans="13:34" ht="13">
      <c r="M970" s="270"/>
      <c r="N970" s="245"/>
      <c r="O970" s="19" t="s">
        <v>2108</v>
      </c>
      <c r="Q970" s="17"/>
      <c r="R970" s="17">
        <v>20</v>
      </c>
      <c r="S970" s="236"/>
      <c r="T970" s="236"/>
      <c r="U970" s="236"/>
      <c r="V970" s="242"/>
      <c r="Y970" s="270"/>
      <c r="Z970" s="245"/>
      <c r="AA970" s="19" t="s">
        <v>2108</v>
      </c>
      <c r="AC970" s="17"/>
      <c r="AD970" s="17">
        <v>20</v>
      </c>
      <c r="AE970" s="236"/>
      <c r="AF970" s="236"/>
      <c r="AG970" s="236"/>
      <c r="AH970" s="242"/>
    </row>
    <row r="971" spans="13:34" ht="13">
      <c r="M971" s="270"/>
      <c r="N971" s="245"/>
      <c r="O971" s="19" t="s">
        <v>2109</v>
      </c>
      <c r="P971" s="17"/>
      <c r="Q971" s="17"/>
      <c r="R971" s="17">
        <v>253</v>
      </c>
      <c r="S971" s="236"/>
      <c r="T971" s="236"/>
      <c r="U971" s="236"/>
      <c r="V971" s="242"/>
      <c r="Y971" s="270"/>
      <c r="Z971" s="245"/>
      <c r="AA971" s="19" t="s">
        <v>2109</v>
      </c>
      <c r="AB971" s="17"/>
      <c r="AC971" s="17"/>
      <c r="AD971" s="17">
        <v>253</v>
      </c>
      <c r="AE971" s="236"/>
      <c r="AF971" s="236"/>
      <c r="AG971" s="236"/>
      <c r="AH971" s="242"/>
    </row>
    <row r="972" spans="13:34" ht="13">
      <c r="M972" s="270"/>
      <c r="N972" s="245"/>
      <c r="O972" s="19" t="s">
        <v>738</v>
      </c>
      <c r="P972" s="17">
        <v>5.3</v>
      </c>
      <c r="Q972" s="17">
        <v>15</v>
      </c>
      <c r="R972" s="17">
        <f t="shared" ref="R972:R988" si="393">P972*Q972</f>
        <v>79.5</v>
      </c>
      <c r="S972" s="236"/>
      <c r="T972" s="236"/>
      <c r="U972" s="236"/>
      <c r="V972" s="242"/>
      <c r="Y972" s="270"/>
      <c r="Z972" s="245"/>
      <c r="AA972" s="19" t="s">
        <v>738</v>
      </c>
      <c r="AB972" s="17">
        <v>5.3</v>
      </c>
      <c r="AC972" s="17">
        <v>15</v>
      </c>
      <c r="AD972" s="17">
        <f t="shared" ref="AD972:AD973" si="394">AB972*AC972</f>
        <v>79.5</v>
      </c>
      <c r="AE972" s="236"/>
      <c r="AF972" s="236"/>
      <c r="AG972" s="236"/>
      <c r="AH972" s="242"/>
    </row>
    <row r="973" spans="13:34" ht="13">
      <c r="M973" s="270"/>
      <c r="N973" s="246"/>
      <c r="O973" s="20" t="s">
        <v>715</v>
      </c>
      <c r="P973" s="21">
        <v>5.5</v>
      </c>
      <c r="Q973" s="21">
        <v>15</v>
      </c>
      <c r="R973" s="21">
        <f t="shared" si="393"/>
        <v>82.5</v>
      </c>
      <c r="S973" s="248"/>
      <c r="T973" s="248"/>
      <c r="U973" s="248"/>
      <c r="V973" s="303"/>
      <c r="Y973" s="270"/>
      <c r="Z973" s="246"/>
      <c r="AA973" s="20" t="s">
        <v>715</v>
      </c>
      <c r="AB973" s="21">
        <v>5.5</v>
      </c>
      <c r="AC973" s="21">
        <v>15</v>
      </c>
      <c r="AD973" s="21">
        <f t="shared" si="394"/>
        <v>82.5</v>
      </c>
      <c r="AE973" s="248"/>
      <c r="AF973" s="248"/>
      <c r="AG973" s="248"/>
      <c r="AH973" s="303"/>
    </row>
    <row r="974" spans="13:34" ht="13">
      <c r="M974" s="270"/>
      <c r="N974" s="316" t="s">
        <v>1285</v>
      </c>
      <c r="O974" s="19" t="s">
        <v>701</v>
      </c>
      <c r="P974" s="17">
        <v>21</v>
      </c>
      <c r="Q974" s="17">
        <v>16</v>
      </c>
      <c r="R974" s="17">
        <f t="shared" si="393"/>
        <v>336</v>
      </c>
      <c r="S974" s="284">
        <f>SUM(R974:R988)</f>
        <v>2065.7199999999998</v>
      </c>
      <c r="T974" s="284">
        <v>2110</v>
      </c>
      <c r="U974" s="284">
        <f>T974-S974</f>
        <v>44.2800000000002</v>
      </c>
      <c r="V974" s="315">
        <f>U974/T974</f>
        <v>2.098578199052142E-2</v>
      </c>
      <c r="Y974" s="270"/>
      <c r="Z974" s="316" t="s">
        <v>1285</v>
      </c>
      <c r="AA974" s="19" t="s">
        <v>701</v>
      </c>
      <c r="AB974" s="18"/>
      <c r="AC974" s="18"/>
      <c r="AD974" s="18"/>
      <c r="AE974" s="284">
        <f>SUM(AD974:AD988)</f>
        <v>1617.72</v>
      </c>
      <c r="AF974" s="284">
        <v>2110</v>
      </c>
      <c r="AG974" s="284">
        <f>AF974-AE974</f>
        <v>492.28</v>
      </c>
      <c r="AH974" s="315">
        <f>AG974/AF974</f>
        <v>0.2333080568720379</v>
      </c>
    </row>
    <row r="975" spans="13:34" ht="13">
      <c r="M975" s="270"/>
      <c r="N975" s="236"/>
      <c r="O975" s="19" t="s">
        <v>102</v>
      </c>
      <c r="P975" s="17">
        <v>14</v>
      </c>
      <c r="Q975" s="17">
        <v>8</v>
      </c>
      <c r="R975" s="17">
        <f t="shared" si="393"/>
        <v>112</v>
      </c>
      <c r="S975" s="236"/>
      <c r="T975" s="236"/>
      <c r="U975" s="236"/>
      <c r="V975" s="258"/>
      <c r="Y975" s="270"/>
      <c r="Z975" s="236"/>
      <c r="AA975" s="19" t="s">
        <v>102</v>
      </c>
      <c r="AB975" s="18"/>
      <c r="AC975" s="18"/>
      <c r="AD975" s="18"/>
      <c r="AE975" s="236"/>
      <c r="AF975" s="236"/>
      <c r="AG975" s="236"/>
      <c r="AH975" s="258"/>
    </row>
    <row r="976" spans="13:34" ht="13">
      <c r="M976" s="270"/>
      <c r="N976" s="236"/>
      <c r="O976" s="19" t="s">
        <v>703</v>
      </c>
      <c r="P976" s="17">
        <v>10.16</v>
      </c>
      <c r="Q976" s="17">
        <v>13</v>
      </c>
      <c r="R976" s="17">
        <f t="shared" si="393"/>
        <v>132.08000000000001</v>
      </c>
      <c r="S976" s="236"/>
      <c r="T976" s="236"/>
      <c r="U976" s="236"/>
      <c r="V976" s="258"/>
      <c r="Y976" s="270"/>
      <c r="Z976" s="236"/>
      <c r="AA976" s="19" t="s">
        <v>703</v>
      </c>
      <c r="AB976" s="17">
        <v>10.16</v>
      </c>
      <c r="AC976" s="17">
        <v>13</v>
      </c>
      <c r="AD976" s="17">
        <f t="shared" ref="AD976:AD988" si="395">AB976*AC976</f>
        <v>132.08000000000001</v>
      </c>
      <c r="AE976" s="236"/>
      <c r="AF976" s="236"/>
      <c r="AG976" s="236"/>
      <c r="AH976" s="258"/>
    </row>
    <row r="977" spans="13:34" ht="13">
      <c r="M977" s="270"/>
      <c r="N977" s="236"/>
      <c r="O977" s="19" t="s">
        <v>1286</v>
      </c>
      <c r="P977" s="17">
        <v>4</v>
      </c>
      <c r="Q977" s="17">
        <v>13</v>
      </c>
      <c r="R977" s="17">
        <f t="shared" si="393"/>
        <v>52</v>
      </c>
      <c r="S977" s="236"/>
      <c r="T977" s="236"/>
      <c r="U977" s="236"/>
      <c r="V977" s="258"/>
      <c r="Y977" s="270"/>
      <c r="Z977" s="236"/>
      <c r="AA977" s="19" t="s">
        <v>1286</v>
      </c>
      <c r="AB977" s="17">
        <v>4</v>
      </c>
      <c r="AC977" s="17">
        <v>13</v>
      </c>
      <c r="AD977" s="17">
        <f t="shared" si="395"/>
        <v>52</v>
      </c>
      <c r="AE977" s="236"/>
      <c r="AF977" s="236"/>
      <c r="AG977" s="236"/>
      <c r="AH977" s="258"/>
    </row>
    <row r="978" spans="13:34" ht="13">
      <c r="M978" s="270"/>
      <c r="N978" s="236"/>
      <c r="O978" s="19" t="s">
        <v>1287</v>
      </c>
      <c r="P978" s="17">
        <v>5.5</v>
      </c>
      <c r="Q978" s="17">
        <v>13</v>
      </c>
      <c r="R978" s="17">
        <f t="shared" si="393"/>
        <v>71.5</v>
      </c>
      <c r="S978" s="236"/>
      <c r="T978" s="236"/>
      <c r="U978" s="236"/>
      <c r="V978" s="258"/>
      <c r="Y978" s="270"/>
      <c r="Z978" s="236"/>
      <c r="AA978" s="19" t="s">
        <v>1287</v>
      </c>
      <c r="AB978" s="17">
        <v>5.5</v>
      </c>
      <c r="AC978" s="17">
        <v>13</v>
      </c>
      <c r="AD978" s="17">
        <f t="shared" si="395"/>
        <v>71.5</v>
      </c>
      <c r="AE978" s="236"/>
      <c r="AF978" s="236"/>
      <c r="AG978" s="236"/>
      <c r="AH978" s="258"/>
    </row>
    <row r="979" spans="13:34" ht="13">
      <c r="M979" s="270"/>
      <c r="N979" s="236"/>
      <c r="O979" s="19" t="s">
        <v>79</v>
      </c>
      <c r="P979" s="17">
        <v>4.5</v>
      </c>
      <c r="Q979" s="17">
        <v>13</v>
      </c>
      <c r="R979" s="17">
        <f t="shared" si="393"/>
        <v>58.5</v>
      </c>
      <c r="S979" s="236"/>
      <c r="T979" s="236"/>
      <c r="U979" s="236"/>
      <c r="V979" s="258"/>
      <c r="Y979" s="270"/>
      <c r="Z979" s="236"/>
      <c r="AA979" s="19" t="s">
        <v>79</v>
      </c>
      <c r="AB979" s="17">
        <v>4.5</v>
      </c>
      <c r="AC979" s="17">
        <v>13</v>
      </c>
      <c r="AD979" s="17">
        <f t="shared" si="395"/>
        <v>58.5</v>
      </c>
      <c r="AE979" s="236"/>
      <c r="AF979" s="236"/>
      <c r="AG979" s="236"/>
      <c r="AH979" s="258"/>
    </row>
    <row r="980" spans="13:34" ht="13">
      <c r="M980" s="270"/>
      <c r="N980" s="236"/>
      <c r="O980" s="19" t="s">
        <v>771</v>
      </c>
      <c r="P980" s="17">
        <v>17.13</v>
      </c>
      <c r="Q980" s="17">
        <v>13</v>
      </c>
      <c r="R980" s="17">
        <f t="shared" si="393"/>
        <v>222.69</v>
      </c>
      <c r="S980" s="236"/>
      <c r="T980" s="236"/>
      <c r="U980" s="236"/>
      <c r="V980" s="258"/>
      <c r="Y980" s="270"/>
      <c r="Z980" s="236"/>
      <c r="AA980" s="19" t="s">
        <v>771</v>
      </c>
      <c r="AB980" s="17">
        <v>17.13</v>
      </c>
      <c r="AC980" s="17">
        <v>13</v>
      </c>
      <c r="AD980" s="17">
        <f t="shared" si="395"/>
        <v>222.69</v>
      </c>
      <c r="AE980" s="236"/>
      <c r="AF980" s="236"/>
      <c r="AG980" s="236"/>
      <c r="AH980" s="258"/>
    </row>
    <row r="981" spans="13:34" ht="13">
      <c r="M981" s="270"/>
      <c r="N981" s="236"/>
      <c r="O981" s="106" t="s">
        <v>770</v>
      </c>
      <c r="P981" s="17">
        <v>10.5</v>
      </c>
      <c r="Q981" s="17">
        <v>13</v>
      </c>
      <c r="R981" s="17">
        <f t="shared" si="393"/>
        <v>136.5</v>
      </c>
      <c r="S981" s="236"/>
      <c r="T981" s="236"/>
      <c r="U981" s="236"/>
      <c r="V981" s="258"/>
      <c r="Y981" s="270"/>
      <c r="Z981" s="236"/>
      <c r="AA981" s="106" t="s">
        <v>770</v>
      </c>
      <c r="AB981" s="17">
        <v>10.5</v>
      </c>
      <c r="AC981" s="17">
        <v>13</v>
      </c>
      <c r="AD981" s="17">
        <f t="shared" si="395"/>
        <v>136.5</v>
      </c>
      <c r="AE981" s="236"/>
      <c r="AF981" s="236"/>
      <c r="AG981" s="236"/>
      <c r="AH981" s="258"/>
    </row>
    <row r="982" spans="13:34" ht="13">
      <c r="M982" s="270"/>
      <c r="N982" s="236"/>
      <c r="O982" s="19" t="s">
        <v>70</v>
      </c>
      <c r="P982" s="17">
        <v>8</v>
      </c>
      <c r="Q982" s="17">
        <v>13</v>
      </c>
      <c r="R982" s="17">
        <f t="shared" si="393"/>
        <v>104</v>
      </c>
      <c r="S982" s="236"/>
      <c r="T982" s="236"/>
      <c r="U982" s="236"/>
      <c r="V982" s="258"/>
      <c r="Y982" s="270"/>
      <c r="Z982" s="236"/>
      <c r="AA982" s="19" t="s">
        <v>70</v>
      </c>
      <c r="AB982" s="17">
        <v>8</v>
      </c>
      <c r="AC982" s="17">
        <v>13</v>
      </c>
      <c r="AD982" s="17">
        <f t="shared" si="395"/>
        <v>104</v>
      </c>
      <c r="AE982" s="236"/>
      <c r="AF982" s="236"/>
      <c r="AG982" s="236"/>
      <c r="AH982" s="258"/>
    </row>
    <row r="983" spans="13:34" ht="13">
      <c r="M983" s="270"/>
      <c r="N983" s="236"/>
      <c r="O983" s="19" t="s">
        <v>1288</v>
      </c>
      <c r="P983" s="17">
        <v>12</v>
      </c>
      <c r="Q983" s="17">
        <v>13</v>
      </c>
      <c r="R983" s="17">
        <f t="shared" si="393"/>
        <v>156</v>
      </c>
      <c r="S983" s="236"/>
      <c r="T983" s="236"/>
      <c r="U983" s="236"/>
      <c r="V983" s="258"/>
      <c r="Y983" s="270"/>
      <c r="Z983" s="236"/>
      <c r="AA983" s="19" t="s">
        <v>1288</v>
      </c>
      <c r="AB983" s="17">
        <v>12</v>
      </c>
      <c r="AC983" s="17">
        <v>13</v>
      </c>
      <c r="AD983" s="17">
        <f t="shared" si="395"/>
        <v>156</v>
      </c>
      <c r="AE983" s="236"/>
      <c r="AF983" s="236"/>
      <c r="AG983" s="236"/>
      <c r="AH983" s="258"/>
    </row>
    <row r="984" spans="13:34" ht="13">
      <c r="M984" s="270"/>
      <c r="N984" s="236"/>
      <c r="O984" s="19" t="s">
        <v>74</v>
      </c>
      <c r="P984" s="17">
        <v>8</v>
      </c>
      <c r="Q984" s="17">
        <v>13</v>
      </c>
      <c r="R984" s="17">
        <f t="shared" si="393"/>
        <v>104</v>
      </c>
      <c r="S984" s="236"/>
      <c r="T984" s="236"/>
      <c r="U984" s="236"/>
      <c r="V984" s="258"/>
      <c r="Y984" s="270"/>
      <c r="Z984" s="236"/>
      <c r="AA984" s="19" t="s">
        <v>74</v>
      </c>
      <c r="AB984" s="17">
        <v>8</v>
      </c>
      <c r="AC984" s="17">
        <v>13</v>
      </c>
      <c r="AD984" s="17">
        <f t="shared" si="395"/>
        <v>104</v>
      </c>
      <c r="AE984" s="236"/>
      <c r="AF984" s="236"/>
      <c r="AG984" s="236"/>
      <c r="AH984" s="258"/>
    </row>
    <row r="985" spans="13:34" ht="13">
      <c r="M985" s="270"/>
      <c r="N985" s="236"/>
      <c r="O985" s="19" t="s">
        <v>1289</v>
      </c>
      <c r="P985" s="17">
        <v>11.5</v>
      </c>
      <c r="Q985" s="17">
        <v>13</v>
      </c>
      <c r="R985" s="17">
        <f t="shared" si="393"/>
        <v>149.5</v>
      </c>
      <c r="S985" s="236"/>
      <c r="T985" s="236"/>
      <c r="U985" s="236"/>
      <c r="V985" s="258"/>
      <c r="Y985" s="270"/>
      <c r="Z985" s="236"/>
      <c r="AA985" s="19" t="s">
        <v>1289</v>
      </c>
      <c r="AB985" s="17">
        <v>11.5</v>
      </c>
      <c r="AC985" s="17">
        <v>13</v>
      </c>
      <c r="AD985" s="17">
        <f t="shared" si="395"/>
        <v>149.5</v>
      </c>
      <c r="AE985" s="236"/>
      <c r="AF985" s="236"/>
      <c r="AG985" s="236"/>
      <c r="AH985" s="258"/>
    </row>
    <row r="986" spans="13:34" ht="13">
      <c r="M986" s="270"/>
      <c r="N986" s="236"/>
      <c r="O986" s="19" t="s">
        <v>1290</v>
      </c>
      <c r="P986" s="17">
        <v>3</v>
      </c>
      <c r="Q986" s="17">
        <v>13</v>
      </c>
      <c r="R986" s="17">
        <f t="shared" si="393"/>
        <v>39</v>
      </c>
      <c r="S986" s="236"/>
      <c r="T986" s="236"/>
      <c r="U986" s="236"/>
      <c r="V986" s="258"/>
      <c r="Y986" s="270"/>
      <c r="Z986" s="236"/>
      <c r="AA986" s="19" t="s">
        <v>1290</v>
      </c>
      <c r="AB986" s="17">
        <v>3</v>
      </c>
      <c r="AC986" s="17">
        <v>13</v>
      </c>
      <c r="AD986" s="17">
        <f t="shared" si="395"/>
        <v>39</v>
      </c>
      <c r="AE986" s="236"/>
      <c r="AF986" s="236"/>
      <c r="AG986" s="236"/>
      <c r="AH986" s="258"/>
    </row>
    <row r="987" spans="13:34" ht="13">
      <c r="M987" s="270"/>
      <c r="N987" s="236"/>
      <c r="O987" s="19" t="s">
        <v>639</v>
      </c>
      <c r="P987" s="17">
        <v>15.73</v>
      </c>
      <c r="Q987" s="17">
        <v>13</v>
      </c>
      <c r="R987" s="17">
        <f t="shared" si="393"/>
        <v>204.49</v>
      </c>
      <c r="S987" s="236"/>
      <c r="T987" s="236"/>
      <c r="U987" s="236"/>
      <c r="V987" s="258"/>
      <c r="Y987" s="270"/>
      <c r="Z987" s="236"/>
      <c r="AA987" s="19" t="s">
        <v>639</v>
      </c>
      <c r="AB987" s="17">
        <v>15.73</v>
      </c>
      <c r="AC987" s="17">
        <v>13</v>
      </c>
      <c r="AD987" s="17">
        <f t="shared" si="395"/>
        <v>204.49</v>
      </c>
      <c r="AE987" s="236"/>
      <c r="AF987" s="236"/>
      <c r="AG987" s="236"/>
      <c r="AH987" s="258"/>
    </row>
    <row r="988" spans="13:34" ht="13">
      <c r="M988" s="270"/>
      <c r="N988" s="248"/>
      <c r="O988" s="20" t="s">
        <v>1291</v>
      </c>
      <c r="P988" s="21">
        <v>14.42</v>
      </c>
      <c r="Q988" s="21">
        <v>13</v>
      </c>
      <c r="R988" s="21">
        <f t="shared" si="393"/>
        <v>187.46</v>
      </c>
      <c r="S988" s="293"/>
      <c r="T988" s="293"/>
      <c r="U988" s="293"/>
      <c r="V988" s="295"/>
      <c r="Y988" s="270"/>
      <c r="Z988" s="248"/>
      <c r="AA988" s="20" t="s">
        <v>1291</v>
      </c>
      <c r="AB988" s="21">
        <v>14.42</v>
      </c>
      <c r="AC988" s="21">
        <v>13</v>
      </c>
      <c r="AD988" s="21">
        <f t="shared" si="395"/>
        <v>187.46</v>
      </c>
      <c r="AE988" s="293"/>
      <c r="AF988" s="293"/>
      <c r="AG988" s="293"/>
      <c r="AH988" s="295"/>
    </row>
    <row r="989" spans="13:34" ht="30">
      <c r="M989" s="278" t="s">
        <v>2110</v>
      </c>
      <c r="N989" s="252"/>
      <c r="O989" s="253"/>
      <c r="P989" s="128">
        <f t="shared" ref="P989:U989" si="396">AVERAGE(P883:P988)</f>
        <v>11.602656249999997</v>
      </c>
      <c r="Q989" s="128">
        <f t="shared" si="396"/>
        <v>13.96875</v>
      </c>
      <c r="R989" s="128">
        <f t="shared" si="396"/>
        <v>169.30689320388348</v>
      </c>
      <c r="S989" s="130">
        <f t="shared" si="396"/>
        <v>1089.9131249999998</v>
      </c>
      <c r="T989" s="130">
        <f t="shared" si="396"/>
        <v>3618.4693749999997</v>
      </c>
      <c r="U989" s="130">
        <f t="shared" si="396"/>
        <v>2528.5562499999996</v>
      </c>
      <c r="V989" s="235"/>
      <c r="Y989" s="278" t="s">
        <v>2110</v>
      </c>
      <c r="Z989" s="252"/>
      <c r="AA989" s="253"/>
      <c r="AB989" s="128">
        <f t="shared" ref="AB989:AG989" si="397">AVERAGE(AB883:AB988)</f>
        <v>10.43186046511628</v>
      </c>
      <c r="AC989" s="128">
        <f t="shared" si="397"/>
        <v>13.837209302325581</v>
      </c>
      <c r="AD989" s="128">
        <f t="shared" si="397"/>
        <v>157.3001219512195</v>
      </c>
      <c r="AE989" s="130">
        <f t="shared" si="397"/>
        <v>806.16312499999992</v>
      </c>
      <c r="AF989" s="130">
        <f t="shared" si="397"/>
        <v>3618.4693749999997</v>
      </c>
      <c r="AG989" s="130">
        <f t="shared" si="397"/>
        <v>2812.3062499999996</v>
      </c>
      <c r="AH989" s="235"/>
    </row>
    <row r="990" spans="13:34" ht="30">
      <c r="M990" s="318" t="s">
        <v>2111</v>
      </c>
      <c r="N990" s="293"/>
      <c r="O990" s="319"/>
      <c r="P990" s="130">
        <f t="shared" ref="P990:U990" si="398">SUM(P883:P988)</f>
        <v>742.56999999999982</v>
      </c>
      <c r="Q990" s="130">
        <f t="shared" si="398"/>
        <v>894</v>
      </c>
      <c r="R990" s="130">
        <f t="shared" si="398"/>
        <v>17438.609999999997</v>
      </c>
      <c r="S990" s="130">
        <f t="shared" si="398"/>
        <v>17438.609999999997</v>
      </c>
      <c r="T990" s="130">
        <f t="shared" si="398"/>
        <v>57895.509999999995</v>
      </c>
      <c r="U990" s="130">
        <f t="shared" si="398"/>
        <v>40456.899999999994</v>
      </c>
      <c r="V990" s="129">
        <f>U990/T990</f>
        <v>0.69879166795490699</v>
      </c>
      <c r="Y990" s="318" t="s">
        <v>2111</v>
      </c>
      <c r="Z990" s="293"/>
      <c r="AA990" s="319"/>
      <c r="AB990" s="130">
        <f t="shared" ref="AB990:AG990" si="399">SUM(AB883:AB988)</f>
        <v>448.57000000000005</v>
      </c>
      <c r="AC990" s="130">
        <f t="shared" si="399"/>
        <v>595</v>
      </c>
      <c r="AD990" s="130">
        <f t="shared" si="399"/>
        <v>12898.609999999999</v>
      </c>
      <c r="AE990" s="130">
        <f t="shared" si="399"/>
        <v>12898.609999999999</v>
      </c>
      <c r="AF990" s="130">
        <f t="shared" si="399"/>
        <v>57895.509999999995</v>
      </c>
      <c r="AG990" s="130">
        <f t="shared" si="399"/>
        <v>44996.899999999994</v>
      </c>
      <c r="AH990" s="129">
        <f>AG990/AF990</f>
        <v>0.77720880254790048</v>
      </c>
    </row>
    <row r="991" spans="13:34" ht="13">
      <c r="M991" s="119"/>
    </row>
    <row r="992" spans="13:34" ht="13">
      <c r="M992" s="119"/>
    </row>
    <row r="993" spans="13:13" ht="13">
      <c r="M993" s="119"/>
    </row>
    <row r="994" spans="13:13" ht="13">
      <c r="M994" s="119"/>
    </row>
    <row r="995" spans="13:13" ht="13">
      <c r="M995" s="119"/>
    </row>
    <row r="996" spans="13:13" ht="13">
      <c r="M996" s="119"/>
    </row>
    <row r="997" spans="13:13" ht="13">
      <c r="M997" s="119"/>
    </row>
    <row r="998" spans="13:13" ht="13">
      <c r="M998" s="119"/>
    </row>
    <row r="999" spans="13:13" ht="13">
      <c r="M999" s="119"/>
    </row>
    <row r="1000" spans="13:13" ht="13">
      <c r="M1000" s="119"/>
    </row>
    <row r="1001" spans="13:13" ht="13">
      <c r="M1001" s="119"/>
    </row>
    <row r="1002" spans="13:13" ht="13">
      <c r="M1002" s="119"/>
    </row>
    <row r="1003" spans="13:13" ht="13">
      <c r="M1003" s="119"/>
    </row>
    <row r="1004" spans="13:13" ht="13">
      <c r="M1004" s="119"/>
    </row>
    <row r="1005" spans="13:13" ht="13">
      <c r="M1005" s="119"/>
    </row>
    <row r="1006" spans="13:13" ht="13">
      <c r="M1006" s="119"/>
    </row>
    <row r="1007" spans="13:13" ht="13">
      <c r="M1007" s="119"/>
    </row>
    <row r="1008" spans="13:13" ht="13">
      <c r="M1008" s="119"/>
    </row>
    <row r="1009" spans="13:13" ht="13">
      <c r="M1009" s="119"/>
    </row>
    <row r="1010" spans="13:13" ht="13">
      <c r="M1010" s="119"/>
    </row>
    <row r="1011" spans="13:13" ht="13">
      <c r="M1011" s="119"/>
    </row>
    <row r="1012" spans="13:13" ht="13">
      <c r="M1012" s="119"/>
    </row>
    <row r="1013" spans="13:13" ht="13">
      <c r="M1013" s="119"/>
    </row>
    <row r="1014" spans="13:13" ht="13">
      <c r="M1014" s="119"/>
    </row>
    <row r="1015" spans="13:13" ht="13">
      <c r="M1015" s="119"/>
    </row>
    <row r="1016" spans="13:13" ht="13">
      <c r="M1016" s="119"/>
    </row>
    <row r="1017" spans="13:13" ht="13">
      <c r="M1017" s="119"/>
    </row>
    <row r="1018" spans="13:13" ht="13">
      <c r="M1018" s="119"/>
    </row>
    <row r="1019" spans="13:13" ht="13">
      <c r="M1019" s="119"/>
    </row>
    <row r="1020" spans="13:13" ht="13">
      <c r="M1020" s="119"/>
    </row>
    <row r="1021" spans="13:13" ht="13">
      <c r="M1021" s="119"/>
    </row>
    <row r="1022" spans="13:13" ht="13">
      <c r="M1022" s="119"/>
    </row>
    <row r="1023" spans="13:13" ht="13">
      <c r="M1023" s="119"/>
    </row>
    <row r="1024" spans="13:13" ht="13">
      <c r="M1024" s="119"/>
    </row>
    <row r="1025" spans="13:13" ht="13">
      <c r="M1025" s="119"/>
    </row>
    <row r="1026" spans="13:13" ht="13">
      <c r="M1026" s="119"/>
    </row>
    <row r="1027" spans="13:13" ht="13">
      <c r="M1027" s="119"/>
    </row>
    <row r="1028" spans="13:13" ht="13">
      <c r="M1028" s="119"/>
    </row>
    <row r="1029" spans="13:13" ht="13">
      <c r="M1029" s="119"/>
    </row>
    <row r="1030" spans="13:13" ht="13">
      <c r="M1030" s="119"/>
    </row>
    <row r="1031" spans="13:13" ht="13">
      <c r="M1031" s="119"/>
    </row>
    <row r="1032" spans="13:13" ht="13">
      <c r="M1032" s="119"/>
    </row>
    <row r="1033" spans="13:13" ht="13">
      <c r="M1033" s="119"/>
    </row>
    <row r="1034" spans="13:13" ht="13">
      <c r="M1034" s="119"/>
    </row>
    <row r="1035" spans="13:13" ht="13">
      <c r="M1035" s="119"/>
    </row>
    <row r="1036" spans="13:13" ht="13">
      <c r="M1036" s="119"/>
    </row>
    <row r="1037" spans="13:13" ht="13">
      <c r="M1037" s="119"/>
    </row>
    <row r="1038" spans="13:13" ht="13">
      <c r="M1038" s="119"/>
    </row>
    <row r="1039" spans="13:13" ht="13">
      <c r="M1039" s="119"/>
    </row>
    <row r="1040" spans="13:13" ht="13">
      <c r="M1040" s="119"/>
    </row>
    <row r="1041" spans="13:13" ht="13">
      <c r="M1041" s="119"/>
    </row>
    <row r="1042" spans="13:13" ht="13">
      <c r="M1042" s="119"/>
    </row>
    <row r="1043" spans="13:13" ht="13">
      <c r="M1043" s="119"/>
    </row>
    <row r="1044" spans="13:13" ht="13">
      <c r="M1044" s="119"/>
    </row>
    <row r="1045" spans="13:13" ht="13">
      <c r="M1045" s="119"/>
    </row>
    <row r="1046" spans="13:13" ht="13">
      <c r="M1046" s="119"/>
    </row>
    <row r="1047" spans="13:13" ht="13">
      <c r="M1047" s="119"/>
    </row>
    <row r="1048" spans="13:13" ht="13">
      <c r="M1048" s="119"/>
    </row>
    <row r="1049" spans="13:13" ht="13">
      <c r="M1049" s="119"/>
    </row>
    <row r="1050" spans="13:13" ht="13">
      <c r="M1050" s="119"/>
    </row>
    <row r="1051" spans="13:13" ht="13">
      <c r="M1051" s="119"/>
    </row>
    <row r="1052" spans="13:13" ht="13">
      <c r="M1052" s="119"/>
    </row>
    <row r="1053" spans="13:13" ht="13">
      <c r="M1053" s="119"/>
    </row>
    <row r="1054" spans="13:13" ht="13">
      <c r="M1054" s="119"/>
    </row>
    <row r="1055" spans="13:13" ht="13">
      <c r="M1055" s="119"/>
    </row>
    <row r="1056" spans="13:13" ht="13">
      <c r="M1056" s="119"/>
    </row>
    <row r="1057" spans="13:13" ht="13">
      <c r="M1057" s="119"/>
    </row>
    <row r="1058" spans="13:13" ht="13">
      <c r="M1058" s="119"/>
    </row>
    <row r="1059" spans="13:13" ht="13">
      <c r="M1059" s="119"/>
    </row>
    <row r="1060" spans="13:13" ht="13">
      <c r="M1060" s="119"/>
    </row>
    <row r="1061" spans="13:13" ht="13">
      <c r="M1061" s="119"/>
    </row>
    <row r="1062" spans="13:13" ht="13">
      <c r="M1062" s="119"/>
    </row>
    <row r="1063" spans="13:13" ht="13">
      <c r="M1063" s="119"/>
    </row>
    <row r="1064" spans="13:13" ht="13">
      <c r="M1064" s="119"/>
    </row>
    <row r="1065" spans="13:13" ht="13">
      <c r="M1065" s="119"/>
    </row>
    <row r="1066" spans="13:13" ht="13">
      <c r="M1066" s="119"/>
    </row>
    <row r="1067" spans="13:13" ht="13">
      <c r="M1067" s="119"/>
    </row>
    <row r="1068" spans="13:13" ht="13">
      <c r="M1068" s="119"/>
    </row>
    <row r="1069" spans="13:13" ht="13">
      <c r="M1069" s="119"/>
    </row>
    <row r="1070" spans="13:13" ht="13">
      <c r="M1070" s="119"/>
    </row>
    <row r="1071" spans="13:13" ht="13">
      <c r="M1071" s="119"/>
    </row>
    <row r="1072" spans="13:13" ht="13">
      <c r="M1072" s="119"/>
    </row>
    <row r="1073" spans="13:13" ht="13">
      <c r="M1073" s="119"/>
    </row>
    <row r="1074" spans="13:13" ht="13">
      <c r="M1074" s="119"/>
    </row>
    <row r="1075" spans="13:13" ht="13">
      <c r="M1075" s="119"/>
    </row>
    <row r="1076" spans="13:13" ht="13">
      <c r="M1076" s="119"/>
    </row>
    <row r="1077" spans="13:13" ht="13">
      <c r="M1077" s="119"/>
    </row>
    <row r="1078" spans="13:13" ht="13">
      <c r="M1078" s="119"/>
    </row>
    <row r="1079" spans="13:13" ht="13">
      <c r="M1079" s="119"/>
    </row>
    <row r="1080" spans="13:13" ht="13">
      <c r="M1080" s="119"/>
    </row>
    <row r="1081" spans="13:13" ht="13">
      <c r="M1081" s="119"/>
    </row>
    <row r="1082" spans="13:13" ht="13">
      <c r="M1082" s="119"/>
    </row>
    <row r="1083" spans="13:13" ht="13">
      <c r="M1083" s="119"/>
    </row>
    <row r="1084" spans="13:13" ht="13">
      <c r="M1084" s="119"/>
    </row>
    <row r="1085" spans="13:13" ht="13">
      <c r="M1085" s="119"/>
    </row>
    <row r="1086" spans="13:13" ht="13">
      <c r="M1086" s="119"/>
    </row>
    <row r="1087" spans="13:13" ht="13">
      <c r="M1087" s="119"/>
    </row>
    <row r="1088" spans="13:13" ht="13">
      <c r="M1088" s="119"/>
    </row>
    <row r="1089" spans="13:13" ht="13">
      <c r="M1089" s="119"/>
    </row>
    <row r="1090" spans="13:13" ht="13">
      <c r="M1090" s="119"/>
    </row>
    <row r="1091" spans="13:13" ht="13">
      <c r="M1091" s="119"/>
    </row>
    <row r="1092" spans="13:13" ht="13">
      <c r="M1092" s="119"/>
    </row>
    <row r="1093" spans="13:13" ht="13">
      <c r="M1093" s="119"/>
    </row>
    <row r="1094" spans="13:13" ht="13">
      <c r="M1094" s="119"/>
    </row>
    <row r="1095" spans="13:13" ht="13">
      <c r="M1095" s="119"/>
    </row>
    <row r="1096" spans="13:13" ht="13">
      <c r="M1096" s="119"/>
    </row>
    <row r="1097" spans="13:13" ht="13">
      <c r="M1097" s="119"/>
    </row>
    <row r="1098" spans="13:13" ht="13">
      <c r="M1098" s="119"/>
    </row>
    <row r="1099" spans="13:13" ht="13">
      <c r="M1099" s="119"/>
    </row>
    <row r="1100" spans="13:13" ht="13">
      <c r="M1100" s="119"/>
    </row>
    <row r="1101" spans="13:13" ht="13">
      <c r="M1101" s="119"/>
    </row>
    <row r="1102" spans="13:13" ht="13">
      <c r="M1102" s="119"/>
    </row>
    <row r="1103" spans="13:13" ht="13">
      <c r="M1103" s="119"/>
    </row>
    <row r="1104" spans="13:13" ht="13">
      <c r="M1104" s="119"/>
    </row>
    <row r="1105" spans="13:13" ht="13">
      <c r="M1105" s="119"/>
    </row>
    <row r="1106" spans="13:13" ht="13">
      <c r="M1106" s="119"/>
    </row>
    <row r="1107" spans="13:13" ht="13">
      <c r="M1107" s="119"/>
    </row>
    <row r="1108" spans="13:13" ht="13">
      <c r="M1108" s="119"/>
    </row>
    <row r="1109" spans="13:13" ht="13">
      <c r="M1109" s="119"/>
    </row>
    <row r="1110" spans="13:13" ht="13">
      <c r="M1110" s="119"/>
    </row>
    <row r="1111" spans="13:13" ht="13">
      <c r="M1111" s="119"/>
    </row>
    <row r="1112" spans="13:13" ht="13">
      <c r="M1112" s="119"/>
    </row>
    <row r="1113" spans="13:13" ht="13">
      <c r="M1113" s="119"/>
    </row>
    <row r="1114" spans="13:13" ht="13">
      <c r="M1114" s="119"/>
    </row>
    <row r="1115" spans="13:13" ht="13">
      <c r="M1115" s="119"/>
    </row>
    <row r="1116" spans="13:13" ht="13">
      <c r="M1116" s="119"/>
    </row>
    <row r="1117" spans="13:13" ht="13">
      <c r="M1117" s="119"/>
    </row>
    <row r="1118" spans="13:13" ht="13">
      <c r="M1118" s="119"/>
    </row>
    <row r="1119" spans="13:13" ht="13">
      <c r="M1119" s="119"/>
    </row>
    <row r="1120" spans="13:13" ht="13">
      <c r="M1120" s="119"/>
    </row>
    <row r="1121" spans="13:13" ht="13">
      <c r="M1121" s="119"/>
    </row>
    <row r="1122" spans="13:13" ht="13">
      <c r="M1122" s="119"/>
    </row>
    <row r="1123" spans="13:13" ht="13">
      <c r="M1123" s="119"/>
    </row>
    <row r="1124" spans="13:13" ht="13">
      <c r="M1124" s="119"/>
    </row>
    <row r="1125" spans="13:13" ht="13">
      <c r="M1125" s="119"/>
    </row>
    <row r="1126" spans="13:13" ht="13">
      <c r="M1126" s="119"/>
    </row>
    <row r="1127" spans="13:13" ht="13">
      <c r="M1127" s="119"/>
    </row>
    <row r="1128" spans="13:13" ht="13">
      <c r="M1128" s="119"/>
    </row>
    <row r="1129" spans="13:13" ht="13">
      <c r="M1129" s="119"/>
    </row>
    <row r="1130" spans="13:13" ht="13">
      <c r="M1130" s="119"/>
    </row>
    <row r="1131" spans="13:13" ht="13">
      <c r="M1131" s="119"/>
    </row>
    <row r="1132" spans="13:13" ht="13">
      <c r="M1132" s="119"/>
    </row>
    <row r="1133" spans="13:13" ht="13">
      <c r="M1133" s="119"/>
    </row>
    <row r="1134" spans="13:13" ht="13">
      <c r="M1134" s="119"/>
    </row>
    <row r="1135" spans="13:13" ht="13">
      <c r="M1135" s="119"/>
    </row>
    <row r="1136" spans="13:13" ht="13">
      <c r="M1136" s="119"/>
    </row>
    <row r="1137" spans="13:13" ht="13">
      <c r="M1137" s="119"/>
    </row>
    <row r="1138" spans="13:13" ht="13">
      <c r="M1138" s="119"/>
    </row>
    <row r="1139" spans="13:13" ht="13">
      <c r="M1139" s="119"/>
    </row>
    <row r="1140" spans="13:13" ht="13">
      <c r="M1140" s="119"/>
    </row>
    <row r="1141" spans="13:13" ht="13">
      <c r="M1141" s="119"/>
    </row>
    <row r="1142" spans="13:13" ht="13">
      <c r="M1142" s="119"/>
    </row>
    <row r="1143" spans="13:13" ht="13">
      <c r="M1143" s="119"/>
    </row>
    <row r="1144" spans="13:13" ht="13">
      <c r="M1144" s="119"/>
    </row>
    <row r="1145" spans="13:13" ht="13">
      <c r="M1145" s="119"/>
    </row>
    <row r="1146" spans="13:13" ht="13">
      <c r="M1146" s="119"/>
    </row>
    <row r="1147" spans="13:13" ht="13">
      <c r="M1147" s="119"/>
    </row>
    <row r="1148" spans="13:13" ht="13">
      <c r="M1148" s="119"/>
    </row>
    <row r="1149" spans="13:13" ht="13">
      <c r="M1149" s="119"/>
    </row>
    <row r="1150" spans="13:13" ht="13">
      <c r="M1150" s="119"/>
    </row>
    <row r="1151" spans="13:13" ht="13">
      <c r="M1151" s="119"/>
    </row>
    <row r="1152" spans="13:13" ht="13">
      <c r="M1152" s="119"/>
    </row>
    <row r="1153" spans="13:13" ht="13">
      <c r="M1153" s="119"/>
    </row>
    <row r="1154" spans="13:13" ht="13">
      <c r="M1154" s="119"/>
    </row>
    <row r="1155" spans="13:13" ht="13">
      <c r="M1155" s="119"/>
    </row>
    <row r="1156" spans="13:13" ht="13">
      <c r="M1156" s="119"/>
    </row>
    <row r="1157" spans="13:13" ht="13">
      <c r="M1157" s="119"/>
    </row>
    <row r="1158" spans="13:13" ht="13">
      <c r="M1158" s="119"/>
    </row>
    <row r="1159" spans="13:13" ht="13">
      <c r="M1159" s="119"/>
    </row>
    <row r="1160" spans="13:13" ht="13">
      <c r="M1160" s="119"/>
    </row>
    <row r="1161" spans="13:13" ht="13">
      <c r="M1161" s="119"/>
    </row>
    <row r="1162" spans="13:13" ht="13">
      <c r="M1162" s="119"/>
    </row>
    <row r="1163" spans="13:13" ht="13">
      <c r="M1163" s="119"/>
    </row>
    <row r="1164" spans="13:13" ht="13">
      <c r="M1164" s="119"/>
    </row>
    <row r="1165" spans="13:13" ht="13">
      <c r="M1165" s="119"/>
    </row>
    <row r="1166" spans="13:13" ht="13">
      <c r="M1166" s="119"/>
    </row>
    <row r="1167" spans="13:13" ht="13">
      <c r="M1167" s="119"/>
    </row>
    <row r="1168" spans="13:13" ht="13">
      <c r="M1168" s="119"/>
    </row>
    <row r="1169" spans="13:13" ht="13">
      <c r="M1169" s="119"/>
    </row>
    <row r="1170" spans="13:13" ht="13">
      <c r="M1170" s="119"/>
    </row>
    <row r="1171" spans="13:13" ht="13">
      <c r="M1171" s="119"/>
    </row>
    <row r="1172" spans="13:13" ht="13">
      <c r="M1172" s="119"/>
    </row>
    <row r="1173" spans="13:13" ht="13">
      <c r="M1173" s="119"/>
    </row>
    <row r="1174" spans="13:13" ht="13">
      <c r="M1174" s="119"/>
    </row>
    <row r="1175" spans="13:13" ht="13">
      <c r="M1175" s="119"/>
    </row>
    <row r="1176" spans="13:13" ht="13">
      <c r="M1176" s="119"/>
    </row>
    <row r="1177" spans="13:13" ht="13">
      <c r="M1177" s="119"/>
    </row>
    <row r="1178" spans="13:13" ht="13">
      <c r="M1178" s="119"/>
    </row>
    <row r="1179" spans="13:13" ht="13">
      <c r="M1179" s="119"/>
    </row>
    <row r="1180" spans="13:13" ht="13">
      <c r="M1180" s="119"/>
    </row>
    <row r="1181" spans="13:13" ht="13">
      <c r="M1181" s="119"/>
    </row>
    <row r="1182" spans="13:13" ht="13">
      <c r="M1182" s="119"/>
    </row>
    <row r="1183" spans="13:13" ht="13">
      <c r="M1183" s="119"/>
    </row>
    <row r="1184" spans="13:13" ht="13">
      <c r="M1184" s="119"/>
    </row>
    <row r="1185" spans="13:13" ht="13">
      <c r="M1185" s="119"/>
    </row>
    <row r="1186" spans="13:13" ht="13">
      <c r="M1186" s="119"/>
    </row>
    <row r="1187" spans="13:13" ht="13">
      <c r="M1187" s="119"/>
    </row>
    <row r="1188" spans="13:13" ht="13">
      <c r="M1188" s="119"/>
    </row>
    <row r="1189" spans="13:13" ht="13">
      <c r="M1189" s="119"/>
    </row>
    <row r="1190" spans="13:13" ht="13">
      <c r="M1190" s="119"/>
    </row>
    <row r="1191" spans="13:13" ht="13">
      <c r="M1191" s="119"/>
    </row>
    <row r="1192" spans="13:13" ht="13">
      <c r="M1192" s="119"/>
    </row>
    <row r="1193" spans="13:13" ht="13">
      <c r="M1193" s="119"/>
    </row>
    <row r="1194" spans="13:13" ht="13">
      <c r="M1194" s="119"/>
    </row>
    <row r="1195" spans="13:13" ht="13">
      <c r="M1195" s="119"/>
    </row>
    <row r="1196" spans="13:13" ht="13">
      <c r="M1196" s="119"/>
    </row>
    <row r="1197" spans="13:13" ht="13">
      <c r="M1197" s="119"/>
    </row>
    <row r="1198" spans="13:13" ht="13">
      <c r="M1198" s="119"/>
    </row>
    <row r="1199" spans="13:13" ht="13">
      <c r="M1199" s="119"/>
    </row>
    <row r="1200" spans="13:13" ht="13">
      <c r="M1200" s="119"/>
    </row>
    <row r="1201" spans="13:13" ht="13">
      <c r="M1201" s="119"/>
    </row>
    <row r="1202" spans="13:13" ht="13">
      <c r="M1202" s="119"/>
    </row>
    <row r="1203" spans="13:13" ht="13">
      <c r="M1203" s="119"/>
    </row>
    <row r="1204" spans="13:13" ht="13">
      <c r="M1204" s="119"/>
    </row>
    <row r="1205" spans="13:13" ht="13">
      <c r="M1205" s="119"/>
    </row>
    <row r="1206" spans="13:13" ht="13">
      <c r="M1206" s="119"/>
    </row>
    <row r="1207" spans="13:13" ht="13">
      <c r="M1207" s="119"/>
    </row>
    <row r="1208" spans="13:13" ht="13">
      <c r="M1208" s="119"/>
    </row>
    <row r="1209" spans="13:13" ht="13">
      <c r="M1209" s="119"/>
    </row>
    <row r="1210" spans="13:13" ht="13">
      <c r="M1210" s="119"/>
    </row>
    <row r="1211" spans="13:13" ht="13">
      <c r="M1211" s="119"/>
    </row>
    <row r="1212" spans="13:13" ht="13">
      <c r="M1212" s="119"/>
    </row>
    <row r="1213" spans="13:13" ht="13">
      <c r="M1213" s="119"/>
    </row>
    <row r="1214" spans="13:13" ht="13">
      <c r="M1214" s="119"/>
    </row>
    <row r="1215" spans="13:13" ht="13">
      <c r="M1215" s="119"/>
    </row>
    <row r="1216" spans="13:13" ht="13">
      <c r="M1216" s="119"/>
    </row>
    <row r="1217" spans="13:13" ht="13">
      <c r="M1217" s="119"/>
    </row>
    <row r="1218" spans="13:13" ht="13">
      <c r="M1218" s="119"/>
    </row>
    <row r="1219" spans="13:13" ht="13">
      <c r="M1219" s="119"/>
    </row>
    <row r="1220" spans="13:13" ht="13">
      <c r="M1220" s="119"/>
    </row>
    <row r="1221" spans="13:13" ht="13">
      <c r="M1221" s="119"/>
    </row>
    <row r="1222" spans="13:13" ht="13">
      <c r="M1222" s="119"/>
    </row>
    <row r="1223" spans="13:13" ht="13">
      <c r="M1223" s="119"/>
    </row>
    <row r="1224" spans="13:13" ht="13">
      <c r="M1224" s="119"/>
    </row>
    <row r="1225" spans="13:13" ht="13">
      <c r="M1225" s="119"/>
    </row>
    <row r="1226" spans="13:13" ht="13">
      <c r="M1226" s="119"/>
    </row>
    <row r="1227" spans="13:13" ht="13">
      <c r="M1227" s="119"/>
    </row>
    <row r="1228" spans="13:13" ht="13">
      <c r="M1228" s="119"/>
    </row>
    <row r="1229" spans="13:13" ht="13">
      <c r="M1229" s="119"/>
    </row>
    <row r="1230" spans="13:13" ht="13">
      <c r="M1230" s="119"/>
    </row>
    <row r="1231" spans="13:13" ht="13">
      <c r="M1231" s="119"/>
    </row>
    <row r="1232" spans="13:13" ht="13">
      <c r="M1232" s="119"/>
    </row>
    <row r="1233" spans="13:13" ht="13">
      <c r="M1233" s="119"/>
    </row>
    <row r="1234" spans="13:13" ht="13">
      <c r="M1234" s="119"/>
    </row>
    <row r="1235" spans="13:13" ht="13">
      <c r="M1235" s="119"/>
    </row>
    <row r="1236" spans="13:13" ht="13">
      <c r="M1236" s="119"/>
    </row>
    <row r="1237" spans="13:13" ht="13">
      <c r="M1237" s="119"/>
    </row>
    <row r="1238" spans="13:13" ht="13">
      <c r="M1238" s="119"/>
    </row>
    <row r="1239" spans="13:13" ht="13">
      <c r="M1239" s="119"/>
    </row>
    <row r="1240" spans="13:13" ht="13">
      <c r="M1240" s="119"/>
    </row>
    <row r="1241" spans="13:13" ht="13">
      <c r="M1241" s="119"/>
    </row>
    <row r="1242" spans="13:13" ht="13">
      <c r="M1242" s="119"/>
    </row>
    <row r="1243" spans="13:13" ht="13">
      <c r="M1243" s="119"/>
    </row>
    <row r="1244" spans="13:13" ht="13">
      <c r="M1244" s="119"/>
    </row>
    <row r="1245" spans="13:13" ht="13">
      <c r="M1245" s="119"/>
    </row>
    <row r="1246" spans="13:13" ht="13">
      <c r="M1246" s="119"/>
    </row>
    <row r="1247" spans="13:13" ht="13">
      <c r="M1247" s="119"/>
    </row>
    <row r="1248" spans="13:13" ht="13">
      <c r="M1248" s="119"/>
    </row>
    <row r="1249" spans="13:13" ht="13">
      <c r="M1249" s="119"/>
    </row>
    <row r="1250" spans="13:13" ht="13">
      <c r="M1250" s="119"/>
    </row>
    <row r="1251" spans="13:13" ht="13">
      <c r="M1251" s="119"/>
    </row>
    <row r="1252" spans="13:13" ht="13">
      <c r="M1252" s="119"/>
    </row>
    <row r="1253" spans="13:13" ht="13">
      <c r="M1253" s="119"/>
    </row>
    <row r="1254" spans="13:13" ht="13">
      <c r="M1254" s="119"/>
    </row>
    <row r="1255" spans="13:13" ht="13">
      <c r="M1255" s="119"/>
    </row>
    <row r="1256" spans="13:13" ht="13">
      <c r="M1256" s="119"/>
    </row>
    <row r="1257" spans="13:13" ht="13">
      <c r="M1257" s="119"/>
    </row>
    <row r="1258" spans="13:13" ht="13">
      <c r="M1258" s="119"/>
    </row>
    <row r="1259" spans="13:13" ht="13">
      <c r="M1259" s="119"/>
    </row>
    <row r="1260" spans="13:13" ht="13">
      <c r="M1260" s="119"/>
    </row>
    <row r="1261" spans="13:13" ht="13">
      <c r="M1261" s="119"/>
    </row>
    <row r="1262" spans="13:13" ht="13">
      <c r="M1262" s="119"/>
    </row>
    <row r="1263" spans="13:13" ht="13">
      <c r="M1263" s="119"/>
    </row>
    <row r="1264" spans="13:13" ht="13">
      <c r="M1264" s="119"/>
    </row>
    <row r="1265" spans="13:13" ht="13">
      <c r="M1265" s="119"/>
    </row>
    <row r="1266" spans="13:13" ht="13">
      <c r="M1266" s="119"/>
    </row>
    <row r="1267" spans="13:13" ht="13">
      <c r="M1267" s="119"/>
    </row>
    <row r="1268" spans="13:13" ht="13">
      <c r="M1268" s="119"/>
    </row>
    <row r="1269" spans="13:13" ht="13">
      <c r="M1269" s="119"/>
    </row>
    <row r="1270" spans="13:13" ht="13">
      <c r="M1270" s="119"/>
    </row>
    <row r="1271" spans="13:13" ht="13">
      <c r="M1271" s="119"/>
    </row>
    <row r="1272" spans="13:13" ht="13">
      <c r="M1272" s="119"/>
    </row>
    <row r="1273" spans="13:13" ht="13">
      <c r="M1273" s="119"/>
    </row>
    <row r="1274" spans="13:13" ht="13">
      <c r="M1274" s="119"/>
    </row>
    <row r="1275" spans="13:13" ht="13">
      <c r="M1275" s="119"/>
    </row>
    <row r="1276" spans="13:13" ht="13">
      <c r="M1276" s="119"/>
    </row>
    <row r="1277" spans="13:13" ht="13">
      <c r="M1277" s="119"/>
    </row>
    <row r="1278" spans="13:13" ht="13">
      <c r="M1278" s="119"/>
    </row>
    <row r="1279" spans="13:13" ht="13">
      <c r="M1279" s="119"/>
    </row>
    <row r="1280" spans="13:13" ht="13">
      <c r="M1280" s="119"/>
    </row>
    <row r="1281" spans="13:13" ht="13">
      <c r="M1281" s="119"/>
    </row>
    <row r="1282" spans="13:13" ht="13">
      <c r="M1282" s="119"/>
    </row>
    <row r="1283" spans="13:13" ht="13">
      <c r="M1283" s="119"/>
    </row>
    <row r="1284" spans="13:13" ht="13">
      <c r="M1284" s="119"/>
    </row>
    <row r="1285" spans="13:13" ht="13">
      <c r="M1285" s="119"/>
    </row>
    <row r="1286" spans="13:13" ht="13">
      <c r="M1286" s="119"/>
    </row>
    <row r="1287" spans="13:13" ht="13">
      <c r="M1287" s="119"/>
    </row>
    <row r="1288" spans="13:13" ht="13">
      <c r="M1288" s="119"/>
    </row>
    <row r="1289" spans="13:13" ht="13">
      <c r="M1289" s="119"/>
    </row>
    <row r="1290" spans="13:13" ht="13">
      <c r="M1290" s="119"/>
    </row>
    <row r="1291" spans="13:13" ht="13">
      <c r="M1291" s="119"/>
    </row>
    <row r="1292" spans="13:13" ht="13">
      <c r="M1292" s="119"/>
    </row>
    <row r="1293" spans="13:13" ht="13">
      <c r="M1293" s="119"/>
    </row>
    <row r="1294" spans="13:13" ht="13">
      <c r="M1294" s="119"/>
    </row>
    <row r="1295" spans="13:13" ht="13">
      <c r="M1295" s="119"/>
    </row>
    <row r="1296" spans="13:13" ht="13">
      <c r="M1296" s="119"/>
    </row>
    <row r="1297" spans="13:13" ht="13">
      <c r="M1297" s="119"/>
    </row>
    <row r="1298" spans="13:13" ht="13">
      <c r="M1298" s="119"/>
    </row>
    <row r="1299" spans="13:13" ht="13">
      <c r="M1299" s="119"/>
    </row>
    <row r="1300" spans="13:13" ht="13">
      <c r="M1300" s="119"/>
    </row>
    <row r="1301" spans="13:13" ht="13">
      <c r="M1301" s="119"/>
    </row>
    <row r="1302" spans="13:13" ht="13">
      <c r="M1302" s="119"/>
    </row>
    <row r="1303" spans="13:13" ht="13">
      <c r="M1303" s="119"/>
    </row>
    <row r="1304" spans="13:13" ht="13">
      <c r="M1304" s="119"/>
    </row>
    <row r="1305" spans="13:13" ht="13">
      <c r="M1305" s="119"/>
    </row>
    <row r="1306" spans="13:13" ht="13">
      <c r="M1306" s="119"/>
    </row>
    <row r="1307" spans="13:13" ht="13">
      <c r="M1307" s="119"/>
    </row>
    <row r="1308" spans="13:13" ht="13">
      <c r="M1308" s="119"/>
    </row>
    <row r="1309" spans="13:13" ht="13">
      <c r="M1309" s="119"/>
    </row>
    <row r="1310" spans="13:13" ht="13">
      <c r="M1310" s="119"/>
    </row>
    <row r="1311" spans="13:13" ht="13">
      <c r="M1311" s="119"/>
    </row>
    <row r="1312" spans="13:13" ht="13">
      <c r="M1312" s="119"/>
    </row>
    <row r="1313" spans="13:13" ht="13">
      <c r="M1313" s="119"/>
    </row>
    <row r="1314" spans="13:13" ht="13">
      <c r="M1314" s="119"/>
    </row>
    <row r="1315" spans="13:13" ht="13">
      <c r="M1315" s="119"/>
    </row>
    <row r="1316" spans="13:13" ht="13">
      <c r="M1316" s="119"/>
    </row>
    <row r="1317" spans="13:13" ht="13">
      <c r="M1317" s="119"/>
    </row>
    <row r="1318" spans="13:13" ht="13">
      <c r="M1318" s="119"/>
    </row>
    <row r="1319" spans="13:13" ht="13">
      <c r="M1319" s="119"/>
    </row>
    <row r="1320" spans="13:13" ht="13">
      <c r="M1320" s="119"/>
    </row>
    <row r="1321" spans="13:13" ht="13">
      <c r="M1321" s="119"/>
    </row>
    <row r="1322" spans="13:13" ht="13">
      <c r="M1322" s="119"/>
    </row>
    <row r="1323" spans="13:13" ht="13">
      <c r="M1323" s="119"/>
    </row>
    <row r="1324" spans="13:13" ht="13">
      <c r="M1324" s="119"/>
    </row>
    <row r="1325" spans="13:13" ht="13">
      <c r="M1325" s="119"/>
    </row>
    <row r="1326" spans="13:13" ht="13">
      <c r="M1326" s="119"/>
    </row>
    <row r="1327" spans="13:13" ht="13">
      <c r="M1327" s="119"/>
    </row>
    <row r="1328" spans="13:13" ht="13">
      <c r="M1328" s="119"/>
    </row>
    <row r="1329" spans="13:13" ht="13">
      <c r="M1329" s="119"/>
    </row>
    <row r="1330" spans="13:13" ht="13">
      <c r="M1330" s="119"/>
    </row>
    <row r="1331" spans="13:13" ht="13">
      <c r="M1331" s="119"/>
    </row>
    <row r="1332" spans="13:13" ht="13">
      <c r="M1332" s="119"/>
    </row>
    <row r="1333" spans="13:13" ht="13">
      <c r="M1333" s="119"/>
    </row>
    <row r="1334" spans="13:13" ht="13">
      <c r="M1334" s="119"/>
    </row>
    <row r="1335" spans="13:13" ht="13">
      <c r="M1335" s="119"/>
    </row>
    <row r="1336" spans="13:13" ht="13">
      <c r="M1336" s="119"/>
    </row>
    <row r="1337" spans="13:13" ht="13">
      <c r="M1337" s="119"/>
    </row>
    <row r="1338" spans="13:13" ht="13">
      <c r="M1338" s="119"/>
    </row>
    <row r="1339" spans="13:13" ht="13">
      <c r="M1339" s="119"/>
    </row>
    <row r="1340" spans="13:13" ht="13">
      <c r="M1340" s="119"/>
    </row>
    <row r="1341" spans="13:13" ht="13">
      <c r="M1341" s="119"/>
    </row>
    <row r="1342" spans="13:13" ht="13">
      <c r="M1342" s="119"/>
    </row>
    <row r="1343" spans="13:13" ht="13">
      <c r="M1343" s="119"/>
    </row>
    <row r="1344" spans="13:13" ht="13">
      <c r="M1344" s="119"/>
    </row>
    <row r="1345" spans="13:13" ht="13">
      <c r="M1345" s="119"/>
    </row>
    <row r="1346" spans="13:13" ht="13">
      <c r="M1346" s="119"/>
    </row>
    <row r="1347" spans="13:13" ht="13">
      <c r="M1347" s="119"/>
    </row>
    <row r="1348" spans="13:13" ht="13">
      <c r="M1348" s="119"/>
    </row>
    <row r="1349" spans="13:13" ht="13">
      <c r="M1349" s="119"/>
    </row>
    <row r="1350" spans="13:13" ht="13">
      <c r="M1350" s="119"/>
    </row>
    <row r="1351" spans="13:13" ht="13">
      <c r="M1351" s="119"/>
    </row>
    <row r="1352" spans="13:13" ht="13">
      <c r="M1352" s="119"/>
    </row>
    <row r="1353" spans="13:13" ht="13">
      <c r="M1353" s="119"/>
    </row>
    <row r="1354" spans="13:13" ht="13">
      <c r="M1354" s="119"/>
    </row>
    <row r="1355" spans="13:13" ht="13">
      <c r="M1355" s="119"/>
    </row>
    <row r="1356" spans="13:13" ht="13">
      <c r="M1356" s="119"/>
    </row>
    <row r="1357" spans="13:13" ht="13">
      <c r="M1357" s="119"/>
    </row>
    <row r="1358" spans="13:13" ht="13">
      <c r="M1358" s="119"/>
    </row>
    <row r="1359" spans="13:13" ht="13">
      <c r="M1359" s="119"/>
    </row>
    <row r="1360" spans="13:13" ht="13">
      <c r="M1360" s="119"/>
    </row>
    <row r="1361" spans="13:13" ht="13">
      <c r="M1361" s="119"/>
    </row>
    <row r="1362" spans="13:13" ht="13">
      <c r="M1362" s="119"/>
    </row>
    <row r="1363" spans="13:13" ht="13">
      <c r="M1363" s="119"/>
    </row>
    <row r="1364" spans="13:13" ht="13">
      <c r="M1364" s="119"/>
    </row>
    <row r="1365" spans="13:13" ht="13">
      <c r="M1365" s="119"/>
    </row>
    <row r="1366" spans="13:13" ht="13">
      <c r="M1366" s="119"/>
    </row>
    <row r="1367" spans="13:13" ht="13">
      <c r="M1367" s="119"/>
    </row>
    <row r="1368" spans="13:13" ht="13">
      <c r="M1368" s="119"/>
    </row>
    <row r="1369" spans="13:13" ht="13">
      <c r="M1369" s="119"/>
    </row>
    <row r="1370" spans="13:13" ht="13">
      <c r="M1370" s="119"/>
    </row>
    <row r="1371" spans="13:13" ht="13">
      <c r="M1371" s="119"/>
    </row>
    <row r="1372" spans="13:13" ht="13">
      <c r="M1372" s="119"/>
    </row>
    <row r="1373" spans="13:13" ht="13">
      <c r="M1373" s="119"/>
    </row>
    <row r="1374" spans="13:13" ht="13">
      <c r="M1374" s="119"/>
    </row>
    <row r="1375" spans="13:13" ht="13">
      <c r="M1375" s="119"/>
    </row>
    <row r="1376" spans="13:13" ht="13">
      <c r="M1376" s="119"/>
    </row>
    <row r="1377" spans="13:13" ht="13">
      <c r="M1377" s="119"/>
    </row>
    <row r="1378" spans="13:13" ht="13">
      <c r="M1378" s="119"/>
    </row>
    <row r="1379" spans="13:13" ht="13">
      <c r="M1379" s="119"/>
    </row>
    <row r="1380" spans="13:13" ht="13">
      <c r="M1380" s="119"/>
    </row>
    <row r="1381" spans="13:13" ht="13">
      <c r="M1381" s="119"/>
    </row>
    <row r="1382" spans="13:13" ht="13">
      <c r="M1382" s="119"/>
    </row>
    <row r="1383" spans="13:13" ht="13">
      <c r="M1383" s="119"/>
    </row>
    <row r="1384" spans="13:13" ht="13">
      <c r="M1384" s="119"/>
    </row>
    <row r="1385" spans="13:13" ht="13">
      <c r="M1385" s="119"/>
    </row>
    <row r="1386" spans="13:13" ht="13">
      <c r="M1386" s="119"/>
    </row>
    <row r="1387" spans="13:13" ht="13">
      <c r="M1387" s="119"/>
    </row>
    <row r="1388" spans="13:13" ht="13">
      <c r="M1388" s="119"/>
    </row>
    <row r="1389" spans="13:13" ht="13">
      <c r="M1389" s="119"/>
    </row>
    <row r="1390" spans="13:13" ht="13">
      <c r="M1390" s="119"/>
    </row>
    <row r="1391" spans="13:13" ht="13">
      <c r="M1391" s="119"/>
    </row>
    <row r="1392" spans="13:13" ht="13">
      <c r="M1392" s="119"/>
    </row>
    <row r="1393" spans="13:13" ht="13">
      <c r="M1393" s="119"/>
    </row>
    <row r="1394" spans="13:13" ht="13">
      <c r="M1394" s="119"/>
    </row>
    <row r="1395" spans="13:13" ht="13">
      <c r="M1395" s="119"/>
    </row>
    <row r="1396" spans="13:13" ht="13">
      <c r="M1396" s="119"/>
    </row>
    <row r="1397" spans="13:13" ht="13">
      <c r="M1397" s="119"/>
    </row>
    <row r="1398" spans="13:13" ht="13">
      <c r="M1398" s="119"/>
    </row>
    <row r="1399" spans="13:13" ht="13">
      <c r="M1399" s="119"/>
    </row>
    <row r="1400" spans="13:13" ht="13">
      <c r="M1400" s="119"/>
    </row>
    <row r="1401" spans="13:13" ht="13">
      <c r="M1401" s="119"/>
    </row>
    <row r="1402" spans="13:13" ht="13">
      <c r="M1402" s="119"/>
    </row>
    <row r="1403" spans="13:13" ht="13">
      <c r="M1403" s="119"/>
    </row>
    <row r="1404" spans="13:13" ht="13">
      <c r="M1404" s="119"/>
    </row>
    <row r="1405" spans="13:13" ht="13">
      <c r="M1405" s="119"/>
    </row>
    <row r="1406" spans="13:13" ht="13">
      <c r="M1406" s="119"/>
    </row>
    <row r="1407" spans="13:13" ht="13">
      <c r="M1407" s="119"/>
    </row>
    <row r="1408" spans="13:13" ht="13">
      <c r="M1408" s="119"/>
    </row>
    <row r="1409" spans="13:13" ht="13">
      <c r="M1409" s="119"/>
    </row>
    <row r="1410" spans="13:13" ht="13">
      <c r="M1410" s="119"/>
    </row>
    <row r="1411" spans="13:13" ht="13">
      <c r="M1411" s="119"/>
    </row>
    <row r="1412" spans="13:13" ht="13">
      <c r="M1412" s="119"/>
    </row>
    <row r="1413" spans="13:13" ht="13">
      <c r="M1413" s="119"/>
    </row>
    <row r="1414" spans="13:13" ht="13">
      <c r="M1414" s="119"/>
    </row>
    <row r="1415" spans="13:13" ht="13">
      <c r="M1415" s="119"/>
    </row>
    <row r="1416" spans="13:13" ht="13">
      <c r="M1416" s="119"/>
    </row>
    <row r="1417" spans="13:13" ht="13">
      <c r="M1417" s="119"/>
    </row>
    <row r="1418" spans="13:13" ht="13">
      <c r="M1418" s="119"/>
    </row>
    <row r="1419" spans="13:13" ht="13">
      <c r="M1419" s="119"/>
    </row>
    <row r="1420" spans="13:13" ht="13">
      <c r="M1420" s="119"/>
    </row>
    <row r="1421" spans="13:13" ht="13">
      <c r="M1421" s="119"/>
    </row>
    <row r="1422" spans="13:13" ht="13">
      <c r="M1422" s="119"/>
    </row>
    <row r="1423" spans="13:13" ht="13">
      <c r="M1423" s="119"/>
    </row>
    <row r="1424" spans="13:13" ht="13">
      <c r="M1424" s="119"/>
    </row>
    <row r="1425" spans="13:13" ht="13">
      <c r="M1425" s="119"/>
    </row>
    <row r="1426" spans="13:13" ht="13">
      <c r="M1426" s="119"/>
    </row>
    <row r="1427" spans="13:13" ht="13">
      <c r="M1427" s="119"/>
    </row>
    <row r="1428" spans="13:13" ht="13">
      <c r="M1428" s="119"/>
    </row>
    <row r="1429" spans="13:13" ht="13">
      <c r="M1429" s="119"/>
    </row>
    <row r="1430" spans="13:13" ht="13">
      <c r="M1430" s="119"/>
    </row>
    <row r="1431" spans="13:13" ht="13">
      <c r="M1431" s="119"/>
    </row>
    <row r="1432" spans="13:13" ht="13">
      <c r="M1432" s="119"/>
    </row>
    <row r="1433" spans="13:13" ht="13">
      <c r="M1433" s="119"/>
    </row>
    <row r="1434" spans="13:13" ht="13">
      <c r="M1434" s="119"/>
    </row>
    <row r="1435" spans="13:13" ht="13">
      <c r="M1435" s="119"/>
    </row>
    <row r="1436" spans="13:13" ht="13">
      <c r="M1436" s="119"/>
    </row>
    <row r="1437" spans="13:13" ht="13">
      <c r="M1437" s="119"/>
    </row>
    <row r="1438" spans="13:13" ht="13">
      <c r="M1438" s="119"/>
    </row>
    <row r="1439" spans="13:13" ht="13">
      <c r="M1439" s="119"/>
    </row>
    <row r="1440" spans="13:13" ht="13">
      <c r="M1440" s="119"/>
    </row>
    <row r="1441" spans="13:13" ht="13">
      <c r="M1441" s="119"/>
    </row>
    <row r="1442" spans="13:13" ht="13">
      <c r="M1442" s="119"/>
    </row>
    <row r="1443" spans="13:13" ht="13">
      <c r="M1443" s="119"/>
    </row>
    <row r="1444" spans="13:13" ht="13">
      <c r="M1444" s="119"/>
    </row>
    <row r="1445" spans="13:13" ht="13">
      <c r="M1445" s="119"/>
    </row>
    <row r="1446" spans="13:13" ht="13">
      <c r="M1446" s="119"/>
    </row>
    <row r="1447" spans="13:13" ht="13">
      <c r="M1447" s="119"/>
    </row>
    <row r="1448" spans="13:13" ht="13">
      <c r="M1448" s="119"/>
    </row>
    <row r="1449" spans="13:13" ht="13">
      <c r="M1449" s="119"/>
    </row>
    <row r="1450" spans="13:13" ht="13">
      <c r="M1450" s="119"/>
    </row>
    <row r="1451" spans="13:13" ht="13">
      <c r="M1451" s="119"/>
    </row>
    <row r="1452" spans="13:13" ht="13">
      <c r="M1452" s="119"/>
    </row>
    <row r="1453" spans="13:13" ht="13">
      <c r="M1453" s="119"/>
    </row>
    <row r="1454" spans="13:13" ht="13">
      <c r="M1454" s="119"/>
    </row>
    <row r="1455" spans="13:13" ht="13">
      <c r="M1455" s="119"/>
    </row>
    <row r="1456" spans="13:13" ht="13">
      <c r="M1456" s="119"/>
    </row>
    <row r="1457" spans="13:13" ht="13">
      <c r="M1457" s="119"/>
    </row>
    <row r="1458" spans="13:13" ht="13">
      <c r="M1458" s="119"/>
    </row>
    <row r="1459" spans="13:13" ht="13">
      <c r="M1459" s="119"/>
    </row>
    <row r="1460" spans="13:13" ht="13">
      <c r="M1460" s="119"/>
    </row>
    <row r="1461" spans="13:13" ht="13">
      <c r="M1461" s="119"/>
    </row>
    <row r="1462" spans="13:13" ht="13">
      <c r="M1462" s="119"/>
    </row>
    <row r="1463" spans="13:13" ht="13">
      <c r="M1463" s="119"/>
    </row>
    <row r="1464" spans="13:13" ht="13">
      <c r="M1464" s="119"/>
    </row>
    <row r="1465" spans="13:13" ht="13">
      <c r="M1465" s="119"/>
    </row>
    <row r="1466" spans="13:13" ht="13">
      <c r="M1466" s="119"/>
    </row>
    <row r="1467" spans="13:13" ht="13">
      <c r="M1467" s="119"/>
    </row>
    <row r="1468" spans="13:13" ht="13">
      <c r="M1468" s="119"/>
    </row>
    <row r="1469" spans="13:13" ht="13">
      <c r="M1469" s="119"/>
    </row>
    <row r="1470" spans="13:13" ht="13">
      <c r="M1470" s="119"/>
    </row>
    <row r="1471" spans="13:13" ht="13">
      <c r="M1471" s="119"/>
    </row>
    <row r="1472" spans="13:13" ht="13">
      <c r="M1472" s="119"/>
    </row>
    <row r="1473" spans="13:13" ht="13">
      <c r="M1473" s="119"/>
    </row>
    <row r="1474" spans="13:13" ht="13">
      <c r="M1474" s="119"/>
    </row>
    <row r="1475" spans="13:13" ht="13">
      <c r="M1475" s="119"/>
    </row>
    <row r="1476" spans="13:13" ht="13">
      <c r="M1476" s="119"/>
    </row>
    <row r="1477" spans="13:13" ht="13">
      <c r="M1477" s="119"/>
    </row>
    <row r="1478" spans="13:13" ht="13">
      <c r="M1478" s="119"/>
    </row>
    <row r="1479" spans="13:13" ht="13">
      <c r="M1479" s="119"/>
    </row>
    <row r="1480" spans="13:13" ht="13">
      <c r="M1480" s="119"/>
    </row>
    <row r="1481" spans="13:13" ht="13">
      <c r="M1481" s="119"/>
    </row>
    <row r="1482" spans="13:13" ht="13">
      <c r="M1482" s="119"/>
    </row>
    <row r="1483" spans="13:13" ht="13">
      <c r="M1483" s="119"/>
    </row>
    <row r="1484" spans="13:13" ht="13">
      <c r="M1484" s="119"/>
    </row>
    <row r="1485" spans="13:13" ht="13">
      <c r="M1485" s="119"/>
    </row>
    <row r="1486" spans="13:13" ht="13">
      <c r="M1486" s="119"/>
    </row>
    <row r="1487" spans="13:13" ht="13">
      <c r="M1487" s="119"/>
    </row>
    <row r="1488" spans="13:13" ht="13">
      <c r="M1488" s="119"/>
    </row>
    <row r="1489" spans="13:13" ht="13">
      <c r="M1489" s="119"/>
    </row>
    <row r="1490" spans="13:13" ht="13">
      <c r="M1490" s="119"/>
    </row>
    <row r="1491" spans="13:13" ht="13">
      <c r="M1491" s="119"/>
    </row>
    <row r="1492" spans="13:13" ht="13">
      <c r="M1492" s="119"/>
    </row>
    <row r="1493" spans="13:13" ht="13">
      <c r="M1493" s="119"/>
    </row>
    <row r="1494" spans="13:13" ht="13">
      <c r="M1494" s="119"/>
    </row>
    <row r="1495" spans="13:13" ht="13">
      <c r="M1495" s="119"/>
    </row>
    <row r="1496" spans="13:13" ht="13">
      <c r="M1496" s="119"/>
    </row>
    <row r="1497" spans="13:13" ht="13">
      <c r="M1497" s="119"/>
    </row>
    <row r="1498" spans="13:13" ht="13">
      <c r="M1498" s="119"/>
    </row>
    <row r="1499" spans="13:13" ht="13">
      <c r="M1499" s="119"/>
    </row>
    <row r="1500" spans="13:13" ht="13">
      <c r="M1500" s="119"/>
    </row>
    <row r="1501" spans="13:13" ht="13">
      <c r="M1501" s="119"/>
    </row>
    <row r="1502" spans="13:13" ht="13">
      <c r="M1502" s="119"/>
    </row>
    <row r="1503" spans="13:13" ht="13">
      <c r="M1503" s="119"/>
    </row>
    <row r="1504" spans="13:13" ht="13">
      <c r="M1504" s="119"/>
    </row>
    <row r="1505" spans="13:13" ht="13">
      <c r="M1505" s="119"/>
    </row>
    <row r="1506" spans="13:13" ht="13">
      <c r="M1506" s="119"/>
    </row>
    <row r="1507" spans="13:13" ht="13">
      <c r="M1507" s="119"/>
    </row>
    <row r="1508" spans="13:13" ht="13">
      <c r="M1508" s="119"/>
    </row>
    <row r="1509" spans="13:13" ht="13">
      <c r="M1509" s="119"/>
    </row>
    <row r="1510" spans="13:13" ht="13">
      <c r="M1510" s="119"/>
    </row>
    <row r="1511" spans="13:13" ht="13">
      <c r="M1511" s="119"/>
    </row>
    <row r="1512" spans="13:13" ht="13">
      <c r="M1512" s="119"/>
    </row>
    <row r="1513" spans="13:13" ht="13">
      <c r="M1513" s="119"/>
    </row>
    <row r="1514" spans="13:13" ht="13">
      <c r="M1514" s="119"/>
    </row>
    <row r="1515" spans="13:13" ht="13">
      <c r="M1515" s="119"/>
    </row>
    <row r="1516" spans="13:13" ht="13">
      <c r="M1516" s="119"/>
    </row>
    <row r="1517" spans="13:13" ht="13">
      <c r="M1517" s="119"/>
    </row>
    <row r="1518" spans="13:13" ht="13">
      <c r="M1518" s="119"/>
    </row>
    <row r="1519" spans="13:13" ht="13">
      <c r="M1519" s="119"/>
    </row>
    <row r="1520" spans="13:13" ht="13">
      <c r="M1520" s="119"/>
    </row>
    <row r="1521" spans="13:13" ht="13">
      <c r="M1521" s="119"/>
    </row>
    <row r="1522" spans="13:13" ht="13">
      <c r="M1522" s="119"/>
    </row>
    <row r="1523" spans="13:13" ht="13">
      <c r="M1523" s="119"/>
    </row>
    <row r="1524" spans="13:13" ht="13">
      <c r="M1524" s="119"/>
    </row>
    <row r="1525" spans="13:13" ht="13">
      <c r="M1525" s="119"/>
    </row>
    <row r="1526" spans="13:13" ht="13">
      <c r="M1526" s="119"/>
    </row>
    <row r="1527" spans="13:13" ht="13">
      <c r="M1527" s="119"/>
    </row>
    <row r="1528" spans="13:13" ht="13">
      <c r="M1528" s="119"/>
    </row>
    <row r="1529" spans="13:13" ht="13">
      <c r="M1529" s="119"/>
    </row>
    <row r="1530" spans="13:13" ht="13">
      <c r="M1530" s="119"/>
    </row>
    <row r="1531" spans="13:13" ht="13">
      <c r="M1531" s="119"/>
    </row>
    <row r="1532" spans="13:13" ht="13">
      <c r="M1532" s="119"/>
    </row>
    <row r="1533" spans="13:13" ht="13">
      <c r="M1533" s="119"/>
    </row>
    <row r="1534" spans="13:13" ht="13">
      <c r="M1534" s="119"/>
    </row>
    <row r="1535" spans="13:13" ht="13">
      <c r="M1535" s="119"/>
    </row>
    <row r="1536" spans="13:13" ht="13">
      <c r="M1536" s="119"/>
    </row>
    <row r="1537" spans="13:13" ht="13">
      <c r="M1537" s="119"/>
    </row>
    <row r="1538" spans="13:13" ht="13">
      <c r="M1538" s="119"/>
    </row>
    <row r="1539" spans="13:13" ht="13">
      <c r="M1539" s="119"/>
    </row>
    <row r="1540" spans="13:13" ht="13">
      <c r="M1540" s="119"/>
    </row>
    <row r="1541" spans="13:13" ht="13">
      <c r="M1541" s="119"/>
    </row>
    <row r="1542" spans="13:13" ht="13">
      <c r="M1542" s="119"/>
    </row>
    <row r="1543" spans="13:13" ht="13">
      <c r="M1543" s="119"/>
    </row>
    <row r="1544" spans="13:13" ht="13">
      <c r="M1544" s="119"/>
    </row>
    <row r="1545" spans="13:13" ht="13">
      <c r="M1545" s="119"/>
    </row>
    <row r="1546" spans="13:13" ht="13">
      <c r="M1546" s="119"/>
    </row>
    <row r="1547" spans="13:13" ht="13">
      <c r="M1547" s="119"/>
    </row>
    <row r="1548" spans="13:13" ht="13">
      <c r="M1548" s="119"/>
    </row>
    <row r="1549" spans="13:13" ht="13">
      <c r="M1549" s="119"/>
    </row>
    <row r="1550" spans="13:13" ht="13">
      <c r="M1550" s="119"/>
    </row>
    <row r="1551" spans="13:13" ht="13">
      <c r="M1551" s="119"/>
    </row>
    <row r="1552" spans="13:13" ht="13">
      <c r="M1552" s="119"/>
    </row>
    <row r="1553" spans="13:13" ht="13">
      <c r="M1553" s="119"/>
    </row>
    <row r="1554" spans="13:13" ht="13">
      <c r="M1554" s="119"/>
    </row>
    <row r="1555" spans="13:13" ht="13">
      <c r="M1555" s="119"/>
    </row>
    <row r="1556" spans="13:13" ht="13">
      <c r="M1556" s="119"/>
    </row>
    <row r="1557" spans="13:13" ht="13">
      <c r="M1557" s="119"/>
    </row>
    <row r="1558" spans="13:13" ht="13">
      <c r="M1558" s="119"/>
    </row>
    <row r="1559" spans="13:13" ht="13">
      <c r="M1559" s="119"/>
    </row>
    <row r="1560" spans="13:13" ht="13">
      <c r="M1560" s="119"/>
    </row>
    <row r="1561" spans="13:13" ht="13">
      <c r="M1561" s="119"/>
    </row>
    <row r="1562" spans="13:13" ht="13">
      <c r="M1562" s="119"/>
    </row>
    <row r="1563" spans="13:13" ht="13">
      <c r="M1563" s="119"/>
    </row>
    <row r="1564" spans="13:13" ht="13">
      <c r="M1564" s="119"/>
    </row>
    <row r="1565" spans="13:13" ht="13">
      <c r="M1565" s="119"/>
    </row>
    <row r="1566" spans="13:13" ht="13">
      <c r="M1566" s="119"/>
    </row>
    <row r="1567" spans="13:13" ht="13">
      <c r="M1567" s="119"/>
    </row>
    <row r="1568" spans="13:13" ht="13">
      <c r="M1568" s="119"/>
    </row>
    <row r="1569" spans="13:13" ht="13">
      <c r="M1569" s="119"/>
    </row>
    <row r="1570" spans="13:13" ht="13">
      <c r="M1570" s="119"/>
    </row>
    <row r="1571" spans="13:13" ht="13">
      <c r="M1571" s="119"/>
    </row>
    <row r="1572" spans="13:13" ht="13">
      <c r="M1572" s="119"/>
    </row>
    <row r="1573" spans="13:13" ht="13">
      <c r="M1573" s="119"/>
    </row>
    <row r="1574" spans="13:13" ht="13">
      <c r="M1574" s="119"/>
    </row>
    <row r="1575" spans="13:13" ht="13">
      <c r="M1575" s="119"/>
    </row>
    <row r="1576" spans="13:13" ht="13">
      <c r="M1576" s="119"/>
    </row>
    <row r="1577" spans="13:13" ht="13">
      <c r="M1577" s="119"/>
    </row>
    <row r="1578" spans="13:13" ht="13">
      <c r="M1578" s="119"/>
    </row>
    <row r="1579" spans="13:13" ht="13">
      <c r="M1579" s="119"/>
    </row>
    <row r="1580" spans="13:13" ht="13">
      <c r="M1580" s="119"/>
    </row>
    <row r="1581" spans="13:13" ht="13">
      <c r="M1581" s="119"/>
    </row>
    <row r="1582" spans="13:13" ht="13">
      <c r="M1582" s="119"/>
    </row>
    <row r="1583" spans="13:13" ht="13">
      <c r="M1583" s="119"/>
    </row>
    <row r="1584" spans="13:13" ht="13">
      <c r="M1584" s="119"/>
    </row>
    <row r="1585" spans="13:13" ht="13">
      <c r="M1585" s="119"/>
    </row>
    <row r="1586" spans="13:13" ht="13">
      <c r="M1586" s="119"/>
    </row>
    <row r="1587" spans="13:13" ht="13">
      <c r="M1587" s="119"/>
    </row>
    <row r="1588" spans="13:13" ht="13">
      <c r="M1588" s="119"/>
    </row>
    <row r="1589" spans="13:13" ht="13">
      <c r="M1589" s="119"/>
    </row>
    <row r="1590" spans="13:13" ht="13">
      <c r="M1590" s="119"/>
    </row>
    <row r="1591" spans="13:13" ht="13">
      <c r="M1591" s="119"/>
    </row>
    <row r="1592" spans="13:13" ht="13">
      <c r="M1592" s="119"/>
    </row>
    <row r="1593" spans="13:13" ht="13">
      <c r="M1593" s="119"/>
    </row>
    <row r="1594" spans="13:13" ht="13">
      <c r="M1594" s="119"/>
    </row>
    <row r="1595" spans="13:13" ht="13">
      <c r="M1595" s="119"/>
    </row>
    <row r="1596" spans="13:13" ht="13">
      <c r="M1596" s="119"/>
    </row>
    <row r="1597" spans="13:13" ht="13">
      <c r="M1597" s="119"/>
    </row>
    <row r="1598" spans="13:13" ht="13">
      <c r="M1598" s="119"/>
    </row>
    <row r="1599" spans="13:13" ht="13">
      <c r="M1599" s="119"/>
    </row>
    <row r="1600" spans="13:13" ht="13">
      <c r="M1600" s="119"/>
    </row>
    <row r="1601" spans="13:13" ht="13">
      <c r="M1601" s="119"/>
    </row>
    <row r="1602" spans="13:13" ht="13">
      <c r="M1602" s="119"/>
    </row>
    <row r="1603" spans="13:13" ht="13">
      <c r="M1603" s="119"/>
    </row>
    <row r="1604" spans="13:13" ht="13">
      <c r="M1604" s="119"/>
    </row>
    <row r="1605" spans="13:13" ht="13">
      <c r="M1605" s="119"/>
    </row>
    <row r="1606" spans="13:13" ht="13">
      <c r="M1606" s="119"/>
    </row>
    <row r="1607" spans="13:13" ht="13">
      <c r="M1607" s="119"/>
    </row>
    <row r="1608" spans="13:13" ht="13">
      <c r="M1608" s="119"/>
    </row>
    <row r="1609" spans="13:13" ht="13">
      <c r="M1609" s="119"/>
    </row>
    <row r="1610" spans="13:13" ht="13">
      <c r="M1610" s="119"/>
    </row>
    <row r="1611" spans="13:13" ht="13">
      <c r="M1611" s="119"/>
    </row>
    <row r="1612" spans="13:13" ht="13">
      <c r="M1612" s="119"/>
    </row>
    <row r="1613" spans="13:13" ht="13">
      <c r="M1613" s="119"/>
    </row>
    <row r="1614" spans="13:13" ht="13">
      <c r="M1614" s="119"/>
    </row>
    <row r="1615" spans="13:13" ht="13">
      <c r="M1615" s="119"/>
    </row>
    <row r="1616" spans="13:13" ht="13">
      <c r="M1616" s="119"/>
    </row>
    <row r="1617" spans="13:13" ht="13">
      <c r="M1617" s="119"/>
    </row>
    <row r="1618" spans="13:13" ht="13">
      <c r="M1618" s="119"/>
    </row>
    <row r="1619" spans="13:13" ht="13">
      <c r="M1619" s="119"/>
    </row>
    <row r="1620" spans="13:13" ht="13">
      <c r="M1620" s="119"/>
    </row>
    <row r="1621" spans="13:13" ht="13">
      <c r="M1621" s="119"/>
    </row>
    <row r="1622" spans="13:13" ht="13">
      <c r="M1622" s="119"/>
    </row>
    <row r="1623" spans="13:13" ht="13">
      <c r="M1623" s="119"/>
    </row>
    <row r="1624" spans="13:13" ht="13">
      <c r="M1624" s="119"/>
    </row>
    <row r="1625" spans="13:13" ht="13">
      <c r="M1625" s="119"/>
    </row>
    <row r="1626" spans="13:13" ht="13">
      <c r="M1626" s="119"/>
    </row>
    <row r="1627" spans="13:13" ht="13">
      <c r="M1627" s="119"/>
    </row>
    <row r="1628" spans="13:13" ht="13">
      <c r="M1628" s="119"/>
    </row>
    <row r="1629" spans="13:13" ht="13">
      <c r="M1629" s="119"/>
    </row>
    <row r="1630" spans="13:13" ht="13">
      <c r="M1630" s="119"/>
    </row>
    <row r="1631" spans="13:13" ht="13">
      <c r="M1631" s="119"/>
    </row>
    <row r="1632" spans="13:13" ht="13">
      <c r="M1632" s="119"/>
    </row>
    <row r="1633" spans="13:13" ht="13">
      <c r="M1633" s="119"/>
    </row>
    <row r="1634" spans="13:13" ht="13">
      <c r="M1634" s="119"/>
    </row>
    <row r="1635" spans="13:13" ht="13">
      <c r="M1635" s="119"/>
    </row>
    <row r="1636" spans="13:13" ht="13">
      <c r="M1636" s="119"/>
    </row>
    <row r="1637" spans="13:13" ht="13">
      <c r="M1637" s="119"/>
    </row>
    <row r="1638" spans="13:13" ht="13">
      <c r="M1638" s="119"/>
    </row>
    <row r="1639" spans="13:13" ht="13">
      <c r="M1639" s="119"/>
    </row>
    <row r="1640" spans="13:13" ht="13">
      <c r="M1640" s="119"/>
    </row>
    <row r="1641" spans="13:13" ht="13">
      <c r="M1641" s="119"/>
    </row>
    <row r="1642" spans="13:13" ht="13">
      <c r="M1642" s="119"/>
    </row>
    <row r="1643" spans="13:13" ht="13">
      <c r="M1643" s="119"/>
    </row>
    <row r="1644" spans="13:13" ht="13">
      <c r="M1644" s="119"/>
    </row>
    <row r="1645" spans="13:13" ht="13">
      <c r="M1645" s="119"/>
    </row>
    <row r="1646" spans="13:13" ht="13">
      <c r="M1646" s="119"/>
    </row>
    <row r="1647" spans="13:13" ht="13">
      <c r="M1647" s="119"/>
    </row>
    <row r="1648" spans="13:13" ht="13">
      <c r="M1648" s="119"/>
    </row>
    <row r="1649" spans="13:13" ht="13">
      <c r="M1649" s="119"/>
    </row>
    <row r="1650" spans="13:13" ht="13">
      <c r="M1650" s="119"/>
    </row>
    <row r="1651" spans="13:13" ht="13">
      <c r="M1651" s="119"/>
    </row>
    <row r="1652" spans="13:13" ht="13">
      <c r="M1652" s="119"/>
    </row>
    <row r="1653" spans="13:13" ht="13">
      <c r="M1653" s="119"/>
    </row>
    <row r="1654" spans="13:13" ht="13">
      <c r="M1654" s="119"/>
    </row>
    <row r="1655" spans="13:13" ht="13">
      <c r="M1655" s="119"/>
    </row>
    <row r="1656" spans="13:13" ht="13">
      <c r="M1656" s="119"/>
    </row>
    <row r="1657" spans="13:13" ht="13">
      <c r="M1657" s="119"/>
    </row>
    <row r="1658" spans="13:13" ht="13">
      <c r="M1658" s="119"/>
    </row>
    <row r="1659" spans="13:13" ht="13">
      <c r="M1659" s="119"/>
    </row>
    <row r="1660" spans="13:13" ht="13">
      <c r="M1660" s="119"/>
    </row>
    <row r="1661" spans="13:13" ht="13">
      <c r="M1661" s="119"/>
    </row>
    <row r="1662" spans="13:13" ht="13">
      <c r="M1662" s="119"/>
    </row>
    <row r="1663" spans="13:13" ht="13">
      <c r="M1663" s="119"/>
    </row>
    <row r="1664" spans="13:13" ht="13">
      <c r="M1664" s="119"/>
    </row>
    <row r="1665" spans="13:13" ht="13">
      <c r="M1665" s="119"/>
    </row>
    <row r="1666" spans="13:13" ht="13">
      <c r="M1666" s="119"/>
    </row>
    <row r="1667" spans="13:13" ht="13">
      <c r="M1667" s="119"/>
    </row>
    <row r="1668" spans="13:13" ht="13">
      <c r="M1668" s="119"/>
    </row>
    <row r="1669" spans="13:13" ht="13">
      <c r="M1669" s="119"/>
    </row>
    <row r="1670" spans="13:13" ht="13">
      <c r="M1670" s="119"/>
    </row>
    <row r="1671" spans="13:13" ht="13">
      <c r="M1671" s="119"/>
    </row>
    <row r="1672" spans="13:13" ht="13">
      <c r="M1672" s="119"/>
    </row>
    <row r="1673" spans="13:13" ht="13">
      <c r="M1673" s="119"/>
    </row>
    <row r="1674" spans="13:13" ht="13">
      <c r="M1674" s="119"/>
    </row>
    <row r="1675" spans="13:13" ht="13">
      <c r="M1675" s="119"/>
    </row>
    <row r="1676" spans="13:13" ht="13">
      <c r="M1676" s="119"/>
    </row>
    <row r="1677" spans="13:13" ht="13">
      <c r="M1677" s="119"/>
    </row>
    <row r="1678" spans="13:13" ht="13">
      <c r="M1678" s="119"/>
    </row>
    <row r="1679" spans="13:13" ht="13">
      <c r="M1679" s="119"/>
    </row>
    <row r="1680" spans="13:13" ht="13">
      <c r="M1680" s="119"/>
    </row>
    <row r="1681" spans="13:13" ht="13">
      <c r="M1681" s="119"/>
    </row>
    <row r="1682" spans="13:13" ht="13">
      <c r="M1682" s="119"/>
    </row>
    <row r="1683" spans="13:13" ht="13">
      <c r="M1683" s="119"/>
    </row>
    <row r="1684" spans="13:13" ht="13">
      <c r="M1684" s="119"/>
    </row>
    <row r="1685" spans="13:13" ht="13">
      <c r="M1685" s="119"/>
    </row>
    <row r="1686" spans="13:13" ht="13">
      <c r="M1686" s="119"/>
    </row>
    <row r="1687" spans="13:13" ht="13">
      <c r="M1687" s="119"/>
    </row>
    <row r="1688" spans="13:13" ht="13">
      <c r="M1688" s="119"/>
    </row>
    <row r="1689" spans="13:13" ht="13">
      <c r="M1689" s="119"/>
    </row>
    <row r="1690" spans="13:13" ht="13">
      <c r="M1690" s="119"/>
    </row>
    <row r="1691" spans="13:13" ht="13">
      <c r="M1691" s="119"/>
    </row>
    <row r="1692" spans="13:13" ht="13">
      <c r="M1692" s="119"/>
    </row>
    <row r="1693" spans="13:13" ht="13">
      <c r="M1693" s="119"/>
    </row>
    <row r="1694" spans="13:13" ht="13">
      <c r="M1694" s="119"/>
    </row>
    <row r="1695" spans="13:13" ht="13">
      <c r="M1695" s="119"/>
    </row>
    <row r="1696" spans="13:13" ht="13">
      <c r="M1696" s="119"/>
    </row>
    <row r="1697" spans="13:13" ht="13">
      <c r="M1697" s="119"/>
    </row>
    <row r="1698" spans="13:13" ht="13">
      <c r="M1698" s="119"/>
    </row>
    <row r="1699" spans="13:13" ht="13">
      <c r="M1699" s="119"/>
    </row>
    <row r="1700" spans="13:13" ht="13">
      <c r="M1700" s="119"/>
    </row>
    <row r="1701" spans="13:13" ht="13">
      <c r="M1701" s="119"/>
    </row>
    <row r="1702" spans="13:13" ht="13">
      <c r="M1702" s="119"/>
    </row>
    <row r="1703" spans="13:13" ht="13">
      <c r="M1703" s="119"/>
    </row>
    <row r="1704" spans="13:13" ht="13">
      <c r="M1704" s="119"/>
    </row>
    <row r="1705" spans="13:13" ht="13">
      <c r="M1705" s="119"/>
    </row>
    <row r="1706" spans="13:13" ht="13">
      <c r="M1706" s="119"/>
    </row>
    <row r="1707" spans="13:13" ht="13">
      <c r="M1707" s="119"/>
    </row>
    <row r="1708" spans="13:13" ht="13">
      <c r="M1708" s="119"/>
    </row>
    <row r="1709" spans="13:13" ht="13">
      <c r="M1709" s="119"/>
    </row>
    <row r="1710" spans="13:13" ht="13">
      <c r="M1710" s="119"/>
    </row>
    <row r="1711" spans="13:13" ht="13">
      <c r="M1711" s="119"/>
    </row>
    <row r="1712" spans="13:13" ht="13">
      <c r="M1712" s="119"/>
    </row>
    <row r="1713" spans="13:13" ht="13">
      <c r="M1713" s="119"/>
    </row>
    <row r="1714" spans="13:13" ht="13">
      <c r="M1714" s="119"/>
    </row>
    <row r="1715" spans="13:13" ht="13">
      <c r="M1715" s="119"/>
    </row>
    <row r="1716" spans="13:13" ht="13">
      <c r="M1716" s="119"/>
    </row>
    <row r="1717" spans="13:13" ht="13">
      <c r="M1717" s="119"/>
    </row>
    <row r="1718" spans="13:13" ht="13">
      <c r="M1718" s="119"/>
    </row>
    <row r="1719" spans="13:13" ht="13">
      <c r="M1719" s="119"/>
    </row>
    <row r="1720" spans="13:13" ht="13">
      <c r="M1720" s="119"/>
    </row>
    <row r="1721" spans="13:13" ht="13">
      <c r="M1721" s="119"/>
    </row>
    <row r="1722" spans="13:13" ht="13">
      <c r="M1722" s="119"/>
    </row>
    <row r="1723" spans="13:13" ht="13">
      <c r="M1723" s="119"/>
    </row>
    <row r="1724" spans="13:13" ht="13">
      <c r="M1724" s="119"/>
    </row>
    <row r="1725" spans="13:13" ht="13">
      <c r="M1725" s="119"/>
    </row>
    <row r="1726" spans="13:13" ht="13">
      <c r="M1726" s="119"/>
    </row>
    <row r="1727" spans="13:13" ht="13">
      <c r="M1727" s="119"/>
    </row>
    <row r="1728" spans="13:13" ht="13">
      <c r="M1728" s="119"/>
    </row>
    <row r="1729" spans="13:13" ht="13">
      <c r="M1729" s="119"/>
    </row>
    <row r="1730" spans="13:13" ht="13">
      <c r="M1730" s="119"/>
    </row>
    <row r="1731" spans="13:13" ht="13">
      <c r="M1731" s="119"/>
    </row>
    <row r="1732" spans="13:13" ht="13">
      <c r="M1732" s="119"/>
    </row>
    <row r="1733" spans="13:13" ht="13">
      <c r="M1733" s="119"/>
    </row>
    <row r="1734" spans="13:13" ht="13">
      <c r="M1734" s="119"/>
    </row>
    <row r="1735" spans="13:13" ht="13">
      <c r="M1735" s="119"/>
    </row>
    <row r="1736" spans="13:13" ht="13">
      <c r="M1736" s="119"/>
    </row>
    <row r="1737" spans="13:13" ht="13">
      <c r="M1737" s="119"/>
    </row>
    <row r="1738" spans="13:13" ht="13">
      <c r="M1738" s="119"/>
    </row>
    <row r="1739" spans="13:13" ht="13">
      <c r="M1739" s="119"/>
    </row>
    <row r="1740" spans="13:13" ht="13">
      <c r="M1740" s="119"/>
    </row>
    <row r="1741" spans="13:13" ht="13">
      <c r="M1741" s="119"/>
    </row>
    <row r="1742" spans="13:13" ht="13">
      <c r="M1742" s="119"/>
    </row>
    <row r="1743" spans="13:13" ht="13">
      <c r="M1743" s="119"/>
    </row>
    <row r="1744" spans="13:13" ht="13">
      <c r="M1744" s="119"/>
    </row>
    <row r="1745" spans="13:13" ht="13">
      <c r="M1745" s="119"/>
    </row>
    <row r="1746" spans="13:13" ht="13">
      <c r="M1746" s="119"/>
    </row>
    <row r="1747" spans="13:13" ht="13">
      <c r="M1747" s="119"/>
    </row>
    <row r="1748" spans="13:13" ht="13">
      <c r="M1748" s="119"/>
    </row>
    <row r="1749" spans="13:13" ht="13">
      <c r="M1749" s="119"/>
    </row>
    <row r="1750" spans="13:13" ht="13">
      <c r="M1750" s="119"/>
    </row>
    <row r="1751" spans="13:13" ht="13">
      <c r="M1751" s="119"/>
    </row>
    <row r="1752" spans="13:13" ht="13">
      <c r="M1752" s="119"/>
    </row>
    <row r="1753" spans="13:13" ht="13">
      <c r="M1753" s="119"/>
    </row>
    <row r="1754" spans="13:13" ht="13">
      <c r="M1754" s="119"/>
    </row>
    <row r="1755" spans="13:13" ht="13">
      <c r="M1755" s="119"/>
    </row>
    <row r="1756" spans="13:13" ht="13">
      <c r="M1756" s="119"/>
    </row>
    <row r="1757" spans="13:13" ht="13">
      <c r="M1757" s="119"/>
    </row>
    <row r="1758" spans="13:13" ht="13">
      <c r="M1758" s="119"/>
    </row>
    <row r="1759" spans="13:13" ht="13">
      <c r="M1759" s="119"/>
    </row>
    <row r="1760" spans="13:13" ht="13">
      <c r="M1760" s="119"/>
    </row>
    <row r="1761" spans="13:13" ht="13">
      <c r="M1761" s="119"/>
    </row>
    <row r="1762" spans="13:13" ht="13">
      <c r="M1762" s="119"/>
    </row>
    <row r="1763" spans="13:13" ht="13">
      <c r="M1763" s="119"/>
    </row>
    <row r="1764" spans="13:13" ht="13">
      <c r="M1764" s="119"/>
    </row>
    <row r="1765" spans="13:13" ht="13">
      <c r="M1765" s="119"/>
    </row>
    <row r="1766" spans="13:13" ht="13">
      <c r="M1766" s="119"/>
    </row>
    <row r="1767" spans="13:13" ht="13">
      <c r="M1767" s="119"/>
    </row>
    <row r="1768" spans="13:13" ht="13">
      <c r="M1768" s="119"/>
    </row>
    <row r="1769" spans="13:13" ht="13">
      <c r="M1769" s="119"/>
    </row>
    <row r="1770" spans="13:13" ht="13">
      <c r="M1770" s="119"/>
    </row>
    <row r="1771" spans="13:13" ht="13">
      <c r="M1771" s="119"/>
    </row>
    <row r="1772" spans="13:13" ht="13">
      <c r="M1772" s="119"/>
    </row>
    <row r="1773" spans="13:13" ht="13">
      <c r="M1773" s="119"/>
    </row>
    <row r="1774" spans="13:13" ht="13">
      <c r="M1774" s="119"/>
    </row>
    <row r="1775" spans="13:13" ht="13">
      <c r="M1775" s="119"/>
    </row>
    <row r="1776" spans="13:13" ht="13">
      <c r="M1776" s="119"/>
    </row>
    <row r="1777" spans="13:13" ht="13">
      <c r="M1777" s="119"/>
    </row>
    <row r="1778" spans="13:13" ht="13">
      <c r="M1778" s="119"/>
    </row>
    <row r="1779" spans="13:13" ht="13">
      <c r="M1779" s="119"/>
    </row>
    <row r="1780" spans="13:13" ht="13">
      <c r="M1780" s="119"/>
    </row>
    <row r="1781" spans="13:13" ht="13">
      <c r="M1781" s="119"/>
    </row>
    <row r="1782" spans="13:13" ht="13">
      <c r="M1782" s="119"/>
    </row>
    <row r="1783" spans="13:13" ht="13">
      <c r="M1783" s="119"/>
    </row>
    <row r="1784" spans="13:13" ht="13">
      <c r="M1784" s="119"/>
    </row>
    <row r="1785" spans="13:13" ht="13">
      <c r="M1785" s="119"/>
    </row>
    <row r="1786" spans="13:13" ht="13">
      <c r="M1786" s="119"/>
    </row>
    <row r="1787" spans="13:13" ht="13">
      <c r="M1787" s="119"/>
    </row>
    <row r="1788" spans="13:13" ht="13">
      <c r="M1788" s="119"/>
    </row>
    <row r="1789" spans="13:13" ht="13">
      <c r="M1789" s="119"/>
    </row>
    <row r="1790" spans="13:13" ht="13">
      <c r="M1790" s="119"/>
    </row>
    <row r="1791" spans="13:13" ht="13">
      <c r="M1791" s="119"/>
    </row>
    <row r="1792" spans="13:13" ht="13">
      <c r="M1792" s="119"/>
    </row>
    <row r="1793" spans="13:13" ht="13">
      <c r="M1793" s="119"/>
    </row>
    <row r="1794" spans="13:13" ht="13">
      <c r="M1794" s="119"/>
    </row>
    <row r="1795" spans="13:13" ht="13">
      <c r="M1795" s="119"/>
    </row>
    <row r="1796" spans="13:13" ht="13">
      <c r="M1796" s="119"/>
    </row>
    <row r="1797" spans="13:13" ht="13">
      <c r="M1797" s="119"/>
    </row>
    <row r="1798" spans="13:13" ht="13">
      <c r="M1798" s="119"/>
    </row>
    <row r="1799" spans="13:13" ht="13">
      <c r="M1799" s="119"/>
    </row>
    <row r="1800" spans="13:13" ht="13">
      <c r="M1800" s="119"/>
    </row>
    <row r="1801" spans="13:13" ht="13">
      <c r="M1801" s="119"/>
    </row>
    <row r="1802" spans="13:13" ht="13">
      <c r="M1802" s="119"/>
    </row>
    <row r="1803" spans="13:13" ht="13">
      <c r="M1803" s="119"/>
    </row>
    <row r="1804" spans="13:13" ht="13">
      <c r="M1804" s="119"/>
    </row>
    <row r="1805" spans="13:13" ht="13">
      <c r="M1805" s="119"/>
    </row>
    <row r="1806" spans="13:13" ht="13">
      <c r="M1806" s="119"/>
    </row>
    <row r="1807" spans="13:13" ht="13">
      <c r="M1807" s="119"/>
    </row>
    <row r="1808" spans="13:13" ht="13">
      <c r="M1808" s="119"/>
    </row>
    <row r="1809" spans="13:13" ht="13">
      <c r="M1809" s="119"/>
    </row>
    <row r="1810" spans="13:13" ht="13">
      <c r="M1810" s="119"/>
    </row>
    <row r="1811" spans="13:13" ht="13">
      <c r="M1811" s="119"/>
    </row>
    <row r="1812" spans="13:13" ht="13">
      <c r="M1812" s="119"/>
    </row>
    <row r="1813" spans="13:13" ht="13">
      <c r="M1813" s="119"/>
    </row>
    <row r="1814" spans="13:13" ht="13">
      <c r="M1814" s="119"/>
    </row>
    <row r="1815" spans="13:13" ht="13">
      <c r="M1815" s="119"/>
    </row>
    <row r="1816" spans="13:13" ht="13">
      <c r="M1816" s="119"/>
    </row>
    <row r="1817" spans="13:13" ht="13">
      <c r="M1817" s="119"/>
    </row>
    <row r="1818" spans="13:13" ht="13">
      <c r="M1818" s="119"/>
    </row>
    <row r="1819" spans="13:13" ht="13">
      <c r="M1819" s="119"/>
    </row>
    <row r="1820" spans="13:13" ht="13">
      <c r="M1820" s="119"/>
    </row>
    <row r="1821" spans="13:13" ht="13">
      <c r="M1821" s="119"/>
    </row>
    <row r="1822" spans="13:13" ht="13">
      <c r="M1822" s="119"/>
    </row>
    <row r="1823" spans="13:13" ht="13">
      <c r="M1823" s="119"/>
    </row>
    <row r="1824" spans="13:13" ht="13">
      <c r="M1824" s="119"/>
    </row>
    <row r="1825" spans="13:13" ht="13">
      <c r="M1825" s="119"/>
    </row>
    <row r="1826" spans="13:13" ht="13">
      <c r="M1826" s="119"/>
    </row>
    <row r="1827" spans="13:13" ht="13">
      <c r="M1827" s="119"/>
    </row>
    <row r="1828" spans="13:13" ht="13">
      <c r="M1828" s="119"/>
    </row>
    <row r="1829" spans="13:13" ht="13">
      <c r="M1829" s="119"/>
    </row>
    <row r="1830" spans="13:13" ht="13">
      <c r="M1830" s="119"/>
    </row>
    <row r="1831" spans="13:13" ht="13">
      <c r="M1831" s="119"/>
    </row>
    <row r="1832" spans="13:13" ht="13">
      <c r="M1832" s="119"/>
    </row>
    <row r="1833" spans="13:13" ht="13">
      <c r="M1833" s="119"/>
    </row>
    <row r="1834" spans="13:13" ht="13">
      <c r="M1834" s="119"/>
    </row>
    <row r="1835" spans="13:13" ht="13">
      <c r="M1835" s="119"/>
    </row>
    <row r="1836" spans="13:13" ht="13">
      <c r="M1836" s="119"/>
    </row>
    <row r="1837" spans="13:13" ht="13">
      <c r="M1837" s="119"/>
    </row>
    <row r="1838" spans="13:13" ht="13">
      <c r="M1838" s="119"/>
    </row>
    <row r="1839" spans="13:13" ht="13">
      <c r="M1839" s="119"/>
    </row>
    <row r="1840" spans="13:13" ht="13">
      <c r="M1840" s="119"/>
    </row>
    <row r="1841" spans="13:13" ht="13">
      <c r="M1841" s="119"/>
    </row>
    <row r="1842" spans="13:13" ht="13">
      <c r="M1842" s="119"/>
    </row>
    <row r="1843" spans="13:13" ht="13">
      <c r="M1843" s="119"/>
    </row>
    <row r="1844" spans="13:13" ht="13">
      <c r="M1844" s="119"/>
    </row>
    <row r="1845" spans="13:13" ht="13">
      <c r="M1845" s="119"/>
    </row>
    <row r="1846" spans="13:13" ht="13">
      <c r="M1846" s="119"/>
    </row>
    <row r="1847" spans="13:13" ht="13">
      <c r="M1847" s="119"/>
    </row>
    <row r="1848" spans="13:13" ht="13">
      <c r="M1848" s="119"/>
    </row>
    <row r="1849" spans="13:13" ht="13">
      <c r="M1849" s="119"/>
    </row>
    <row r="1850" spans="13:13" ht="13">
      <c r="M1850" s="119"/>
    </row>
    <row r="1851" spans="13:13" ht="13">
      <c r="M1851" s="119"/>
    </row>
    <row r="1852" spans="13:13" ht="13">
      <c r="M1852" s="119"/>
    </row>
    <row r="1853" spans="13:13" ht="13">
      <c r="M1853" s="119"/>
    </row>
    <row r="1854" spans="13:13" ht="13">
      <c r="M1854" s="119"/>
    </row>
    <row r="1855" spans="13:13" ht="13">
      <c r="M1855" s="119"/>
    </row>
    <row r="1856" spans="13:13" ht="13">
      <c r="M1856" s="119"/>
    </row>
    <row r="1857" spans="13:13" ht="13">
      <c r="M1857" s="119"/>
    </row>
    <row r="1858" spans="13:13" ht="13">
      <c r="M1858" s="119"/>
    </row>
    <row r="1859" spans="13:13" ht="13">
      <c r="M1859" s="119"/>
    </row>
    <row r="1860" spans="13:13" ht="13">
      <c r="M1860" s="119"/>
    </row>
    <row r="1861" spans="13:13" ht="13">
      <c r="M1861" s="119"/>
    </row>
    <row r="1862" spans="13:13" ht="13">
      <c r="M1862" s="119"/>
    </row>
    <row r="1863" spans="13:13" ht="13">
      <c r="M1863" s="119"/>
    </row>
    <row r="1864" spans="13:13" ht="13">
      <c r="M1864" s="119"/>
    </row>
    <row r="1865" spans="13:13" ht="13">
      <c r="M1865" s="119"/>
    </row>
    <row r="1866" spans="13:13" ht="13">
      <c r="M1866" s="119"/>
    </row>
    <row r="1867" spans="13:13" ht="13">
      <c r="M1867" s="119"/>
    </row>
    <row r="1868" spans="13:13" ht="13">
      <c r="M1868" s="119"/>
    </row>
    <row r="1869" spans="13:13" ht="13">
      <c r="M1869" s="119"/>
    </row>
    <row r="1870" spans="13:13" ht="13">
      <c r="M1870" s="119"/>
    </row>
    <row r="1871" spans="13:13" ht="13">
      <c r="M1871" s="119"/>
    </row>
    <row r="1872" spans="13:13" ht="13">
      <c r="M1872" s="119"/>
    </row>
    <row r="1873" spans="13:13" ht="13">
      <c r="M1873" s="119"/>
    </row>
    <row r="1874" spans="13:13" ht="13">
      <c r="M1874" s="119"/>
    </row>
    <row r="1875" spans="13:13" ht="13">
      <c r="M1875" s="119"/>
    </row>
    <row r="1876" spans="13:13" ht="13">
      <c r="M1876" s="119"/>
    </row>
    <row r="1877" spans="13:13" ht="13">
      <c r="M1877" s="119"/>
    </row>
    <row r="1878" spans="13:13" ht="13">
      <c r="M1878" s="119"/>
    </row>
    <row r="1879" spans="13:13" ht="13">
      <c r="M1879" s="119"/>
    </row>
    <row r="1880" spans="13:13" ht="13">
      <c r="M1880" s="119"/>
    </row>
    <row r="1881" spans="13:13" ht="13">
      <c r="M1881" s="119"/>
    </row>
    <row r="1882" spans="13:13" ht="13">
      <c r="M1882" s="119"/>
    </row>
    <row r="1883" spans="13:13" ht="13">
      <c r="M1883" s="119"/>
    </row>
    <row r="1884" spans="13:13" ht="13">
      <c r="M1884" s="119"/>
    </row>
    <row r="1885" spans="13:13" ht="13">
      <c r="M1885" s="119"/>
    </row>
    <row r="1886" spans="13:13" ht="13">
      <c r="M1886" s="119"/>
    </row>
    <row r="1887" spans="13:13" ht="13">
      <c r="M1887" s="119"/>
    </row>
    <row r="1888" spans="13:13" ht="13">
      <c r="M1888" s="119"/>
    </row>
    <row r="1889" spans="13:13" ht="13">
      <c r="M1889" s="119"/>
    </row>
    <row r="1890" spans="13:13" ht="13">
      <c r="M1890" s="119"/>
    </row>
    <row r="1891" spans="13:13" ht="13">
      <c r="M1891" s="119"/>
    </row>
    <row r="1892" spans="13:13" ht="13">
      <c r="M1892" s="119"/>
    </row>
    <row r="1893" spans="13:13" ht="13">
      <c r="M1893" s="119"/>
    </row>
    <row r="1894" spans="13:13" ht="13">
      <c r="M1894" s="119"/>
    </row>
    <row r="1895" spans="13:13" ht="13">
      <c r="M1895" s="119"/>
    </row>
    <row r="1896" spans="13:13" ht="13">
      <c r="M1896" s="119"/>
    </row>
    <row r="1897" spans="13:13" ht="13">
      <c r="M1897" s="119"/>
    </row>
    <row r="1898" spans="13:13" ht="13">
      <c r="M1898" s="119"/>
    </row>
    <row r="1899" spans="13:13" ht="13">
      <c r="M1899" s="119"/>
    </row>
    <row r="1900" spans="13:13" ht="13">
      <c r="M1900" s="119"/>
    </row>
    <row r="1901" spans="13:13" ht="13">
      <c r="M1901" s="119"/>
    </row>
    <row r="1902" spans="13:13" ht="13">
      <c r="M1902" s="119"/>
    </row>
    <row r="1903" spans="13:13" ht="13">
      <c r="M1903" s="119"/>
    </row>
    <row r="1904" spans="13:13" ht="13">
      <c r="M1904" s="119"/>
    </row>
    <row r="1905" spans="13:13" ht="13">
      <c r="M1905" s="119"/>
    </row>
    <row r="1906" spans="13:13" ht="13">
      <c r="M1906" s="119"/>
    </row>
    <row r="1907" spans="13:13" ht="13">
      <c r="M1907" s="119"/>
    </row>
    <row r="1908" spans="13:13" ht="13">
      <c r="M1908" s="119"/>
    </row>
    <row r="1909" spans="13:13" ht="13">
      <c r="M1909" s="119"/>
    </row>
    <row r="1910" spans="13:13" ht="13">
      <c r="M1910" s="119"/>
    </row>
    <row r="1911" spans="13:13" ht="13">
      <c r="M1911" s="119"/>
    </row>
    <row r="1912" spans="13:13" ht="13">
      <c r="M1912" s="119"/>
    </row>
    <row r="1913" spans="13:13" ht="13">
      <c r="M1913" s="119"/>
    </row>
    <row r="1914" spans="13:13" ht="13">
      <c r="M1914" s="119"/>
    </row>
    <row r="1915" spans="13:13" ht="13">
      <c r="M1915" s="119"/>
    </row>
    <row r="1916" spans="13:13" ht="13">
      <c r="M1916" s="119"/>
    </row>
    <row r="1917" spans="13:13" ht="13">
      <c r="M1917" s="119"/>
    </row>
    <row r="1918" spans="13:13" ht="13">
      <c r="M1918" s="119"/>
    </row>
    <row r="1919" spans="13:13" ht="13">
      <c r="M1919" s="119"/>
    </row>
    <row r="1920" spans="13:13" ht="13">
      <c r="M1920" s="119"/>
    </row>
    <row r="1921" spans="13:13" ht="13">
      <c r="M1921" s="119"/>
    </row>
    <row r="1922" spans="13:13" ht="13">
      <c r="M1922" s="119"/>
    </row>
    <row r="1923" spans="13:13" ht="13">
      <c r="M1923" s="119"/>
    </row>
    <row r="1924" spans="13:13" ht="13">
      <c r="M1924" s="119"/>
    </row>
    <row r="1925" spans="13:13" ht="13">
      <c r="M1925" s="119"/>
    </row>
    <row r="1926" spans="13:13" ht="13">
      <c r="M1926" s="119"/>
    </row>
    <row r="1927" spans="13:13" ht="13">
      <c r="M1927" s="119"/>
    </row>
    <row r="1928" spans="13:13" ht="13">
      <c r="M1928" s="119"/>
    </row>
    <row r="1929" spans="13:13" ht="13">
      <c r="M1929" s="119"/>
    </row>
    <row r="1930" spans="13:13" ht="13">
      <c r="M1930" s="119"/>
    </row>
    <row r="1931" spans="13:13" ht="13">
      <c r="M1931" s="119"/>
    </row>
    <row r="1932" spans="13:13" ht="13">
      <c r="M1932" s="119"/>
    </row>
    <row r="1933" spans="13:13" ht="13">
      <c r="M1933" s="119"/>
    </row>
    <row r="1934" spans="13:13" ht="13">
      <c r="M1934" s="119"/>
    </row>
    <row r="1935" spans="13:13" ht="13">
      <c r="M1935" s="119"/>
    </row>
    <row r="1936" spans="13:13" ht="13">
      <c r="M1936" s="119"/>
    </row>
    <row r="1937" spans="13:13" ht="13">
      <c r="M1937" s="119"/>
    </row>
    <row r="1938" spans="13:13" ht="13">
      <c r="M1938" s="119"/>
    </row>
    <row r="1939" spans="13:13" ht="13">
      <c r="M1939" s="119"/>
    </row>
    <row r="1940" spans="13:13" ht="13">
      <c r="M1940" s="119"/>
    </row>
    <row r="1941" spans="13:13" ht="13">
      <c r="M1941" s="119"/>
    </row>
    <row r="1942" spans="13:13" ht="13">
      <c r="M1942" s="119"/>
    </row>
    <row r="1943" spans="13:13" ht="13">
      <c r="M1943" s="119"/>
    </row>
    <row r="1944" spans="13:13" ht="13">
      <c r="M1944" s="119"/>
    </row>
    <row r="1945" spans="13:13" ht="13">
      <c r="M1945" s="119"/>
    </row>
    <row r="1946" spans="13:13" ht="13">
      <c r="M1946" s="119"/>
    </row>
    <row r="1947" spans="13:13" ht="13">
      <c r="M1947" s="119"/>
    </row>
    <row r="1948" spans="13:13" ht="13">
      <c r="M1948" s="119"/>
    </row>
    <row r="1949" spans="13:13" ht="13">
      <c r="M1949" s="119"/>
    </row>
    <row r="1950" spans="13:13" ht="13">
      <c r="M1950" s="119"/>
    </row>
    <row r="1951" spans="13:13" ht="13">
      <c r="M1951" s="119"/>
    </row>
    <row r="1952" spans="13:13" ht="13">
      <c r="M1952" s="119"/>
    </row>
    <row r="1953" spans="13:13" ht="13">
      <c r="M1953" s="119"/>
    </row>
    <row r="1954" spans="13:13" ht="13">
      <c r="M1954" s="119"/>
    </row>
    <row r="1955" spans="13:13" ht="13">
      <c r="M1955" s="119"/>
    </row>
    <row r="1956" spans="13:13" ht="13">
      <c r="M1956" s="119"/>
    </row>
    <row r="1957" spans="13:13" ht="13">
      <c r="M1957" s="119"/>
    </row>
    <row r="1958" spans="13:13" ht="13">
      <c r="M1958" s="119"/>
    </row>
    <row r="1959" spans="13:13" ht="13">
      <c r="M1959" s="119"/>
    </row>
    <row r="1960" spans="13:13" ht="13">
      <c r="M1960" s="119"/>
    </row>
    <row r="1961" spans="13:13" ht="13">
      <c r="M1961" s="119"/>
    </row>
    <row r="1962" spans="13:13" ht="13">
      <c r="M1962" s="119"/>
    </row>
    <row r="1963" spans="13:13" ht="13">
      <c r="M1963" s="119"/>
    </row>
    <row r="1964" spans="13:13" ht="13">
      <c r="M1964" s="119"/>
    </row>
    <row r="1965" spans="13:13" ht="13">
      <c r="M1965" s="119"/>
    </row>
    <row r="1966" spans="13:13" ht="13">
      <c r="M1966" s="119"/>
    </row>
    <row r="1967" spans="13:13" ht="13">
      <c r="M1967" s="119"/>
    </row>
    <row r="1968" spans="13:13" ht="13">
      <c r="M1968" s="119"/>
    </row>
    <row r="1969" spans="13:13" ht="13">
      <c r="M1969" s="119"/>
    </row>
    <row r="1970" spans="13:13" ht="13">
      <c r="M1970" s="119"/>
    </row>
    <row r="1971" spans="13:13" ht="13">
      <c r="M1971" s="119"/>
    </row>
    <row r="1972" spans="13:13" ht="13">
      <c r="M1972" s="119"/>
    </row>
    <row r="1973" spans="13:13" ht="13">
      <c r="M1973" s="119"/>
    </row>
    <row r="1974" spans="13:13" ht="13">
      <c r="M1974" s="119"/>
    </row>
    <row r="1975" spans="13:13" ht="13">
      <c r="M1975" s="119"/>
    </row>
    <row r="1976" spans="13:13" ht="13">
      <c r="M1976" s="119"/>
    </row>
    <row r="1977" spans="13:13" ht="13">
      <c r="M1977" s="119"/>
    </row>
    <row r="1978" spans="13:13" ht="13">
      <c r="M1978" s="119"/>
    </row>
    <row r="1979" spans="13:13" ht="13">
      <c r="M1979" s="119"/>
    </row>
    <row r="1980" spans="13:13" ht="13">
      <c r="M1980" s="119"/>
    </row>
    <row r="1981" spans="13:13" ht="13">
      <c r="M1981" s="119"/>
    </row>
    <row r="1982" spans="13:13" ht="13">
      <c r="M1982" s="119"/>
    </row>
    <row r="1983" spans="13:13" ht="13">
      <c r="M1983" s="119"/>
    </row>
    <row r="1984" spans="13:13" ht="13">
      <c r="M1984" s="119"/>
    </row>
    <row r="1985" spans="13:13" ht="13">
      <c r="M1985" s="119"/>
    </row>
    <row r="1986" spans="13:13" ht="13">
      <c r="M1986" s="119"/>
    </row>
    <row r="1987" spans="13:13" ht="13">
      <c r="M1987" s="119"/>
    </row>
    <row r="1988" spans="13:13" ht="13">
      <c r="M1988" s="119"/>
    </row>
    <row r="1989" spans="13:13" ht="13">
      <c r="M1989" s="119"/>
    </row>
  </sheetData>
  <mergeCells count="2354">
    <mergeCell ref="T965:T973"/>
    <mergeCell ref="U965:U973"/>
    <mergeCell ref="Y989:AA989"/>
    <mergeCell ref="Y990:AA990"/>
    <mergeCell ref="T955:T956"/>
    <mergeCell ref="U955:U956"/>
    <mergeCell ref="S957:S964"/>
    <mergeCell ref="T957:T964"/>
    <mergeCell ref="U957:U964"/>
    <mergeCell ref="V957:V964"/>
    <mergeCell ref="S965:S973"/>
    <mergeCell ref="U821:U822"/>
    <mergeCell ref="V821:V822"/>
    <mergeCell ref="U823:U824"/>
    <mergeCell ref="V823:V824"/>
    <mergeCell ref="U825:U826"/>
    <mergeCell ref="V825:V826"/>
    <mergeCell ref="U827:U828"/>
    <mergeCell ref="V827:V828"/>
    <mergeCell ref="U829:U832"/>
    <mergeCell ref="V829:V832"/>
    <mergeCell ref="U833:U836"/>
    <mergeCell ref="V833:V836"/>
    <mergeCell ref="U889:U894"/>
    <mergeCell ref="V889:V894"/>
    <mergeCell ref="S953:S954"/>
    <mergeCell ref="T953:T954"/>
    <mergeCell ref="U953:U954"/>
    <mergeCell ref="V953:V954"/>
    <mergeCell ref="S955:S956"/>
    <mergeCell ref="V955:V956"/>
    <mergeCell ref="T900:T901"/>
    <mergeCell ref="U900:U901"/>
    <mergeCell ref="V900:V901"/>
    <mergeCell ref="U918:U923"/>
    <mergeCell ref="V918:V923"/>
    <mergeCell ref="S900:S901"/>
    <mergeCell ref="S902:S917"/>
    <mergeCell ref="T902:T917"/>
    <mergeCell ref="U902:U917"/>
    <mergeCell ref="V902:V917"/>
    <mergeCell ref="S918:S923"/>
    <mergeCell ref="T918:T923"/>
    <mergeCell ref="U942:U944"/>
    <mergeCell ref="V942:V944"/>
    <mergeCell ref="S945:S952"/>
    <mergeCell ref="T945:T952"/>
    <mergeCell ref="U945:U952"/>
    <mergeCell ref="V945:V952"/>
    <mergeCell ref="S924:S929"/>
    <mergeCell ref="T924:T929"/>
    <mergeCell ref="U924:U929"/>
    <mergeCell ref="V924:V929"/>
    <mergeCell ref="T930:T935"/>
    <mergeCell ref="U930:U935"/>
    <mergeCell ref="V930:V935"/>
    <mergeCell ref="S930:S935"/>
    <mergeCell ref="S936:S941"/>
    <mergeCell ref="T936:T941"/>
    <mergeCell ref="U936:U941"/>
    <mergeCell ref="V936:V941"/>
    <mergeCell ref="S942:S944"/>
    <mergeCell ref="T942:T944"/>
    <mergeCell ref="U837:U840"/>
    <mergeCell ref="V837:V840"/>
    <mergeCell ref="S859:S860"/>
    <mergeCell ref="T859:T860"/>
    <mergeCell ref="S861:S872"/>
    <mergeCell ref="T861:T872"/>
    <mergeCell ref="T873:T880"/>
    <mergeCell ref="S873:S880"/>
    <mergeCell ref="S883:S888"/>
    <mergeCell ref="T883:T888"/>
    <mergeCell ref="U883:U888"/>
    <mergeCell ref="V883:V888"/>
    <mergeCell ref="S889:S894"/>
    <mergeCell ref="T889:T894"/>
    <mergeCell ref="S895:S899"/>
    <mergeCell ref="T895:T899"/>
    <mergeCell ref="U895:U899"/>
    <mergeCell ref="V895:V899"/>
    <mergeCell ref="V845:V847"/>
    <mergeCell ref="T848:T849"/>
    <mergeCell ref="U848:U849"/>
    <mergeCell ref="V848:V849"/>
    <mergeCell ref="Z848:Z849"/>
    <mergeCell ref="Z850:Z851"/>
    <mergeCell ref="Z852:Z856"/>
    <mergeCell ref="Z857:Z858"/>
    <mergeCell ref="Z825:Z826"/>
    <mergeCell ref="Z827:Z828"/>
    <mergeCell ref="Z829:Z832"/>
    <mergeCell ref="Z833:Z836"/>
    <mergeCell ref="Z837:Z840"/>
    <mergeCell ref="Z841:Z844"/>
    <mergeCell ref="Z845:Z847"/>
    <mergeCell ref="S857:S858"/>
    <mergeCell ref="T857:T858"/>
    <mergeCell ref="U857:U858"/>
    <mergeCell ref="V857:V858"/>
    <mergeCell ref="N850:N851"/>
    <mergeCell ref="N852:N856"/>
    <mergeCell ref="N857:N858"/>
    <mergeCell ref="U852:U856"/>
    <mergeCell ref="V852:V856"/>
    <mergeCell ref="S848:S849"/>
    <mergeCell ref="S850:S851"/>
    <mergeCell ref="T850:T851"/>
    <mergeCell ref="U850:U851"/>
    <mergeCell ref="V850:V851"/>
    <mergeCell ref="S852:S856"/>
    <mergeCell ref="T852:T856"/>
    <mergeCell ref="S823:S824"/>
    <mergeCell ref="T823:T824"/>
    <mergeCell ref="Z823:Z824"/>
    <mergeCell ref="S825:S826"/>
    <mergeCell ref="T825:T826"/>
    <mergeCell ref="S827:S828"/>
    <mergeCell ref="T827:T828"/>
    <mergeCell ref="T841:T844"/>
    <mergeCell ref="U841:U844"/>
    <mergeCell ref="V841:V844"/>
    <mergeCell ref="S829:S832"/>
    <mergeCell ref="T829:T832"/>
    <mergeCell ref="S833:S836"/>
    <mergeCell ref="T833:T836"/>
    <mergeCell ref="S837:S840"/>
    <mergeCell ref="T837:T840"/>
    <mergeCell ref="S841:S844"/>
    <mergeCell ref="S845:S847"/>
    <mergeCell ref="T845:T847"/>
    <mergeCell ref="U845:U847"/>
    <mergeCell ref="B753:D753"/>
    <mergeCell ref="B754:D754"/>
    <mergeCell ref="B755:B787"/>
    <mergeCell ref="B788:D788"/>
    <mergeCell ref="B789:D789"/>
    <mergeCell ref="B790:B833"/>
    <mergeCell ref="H817:H821"/>
    <mergeCell ref="H822:H824"/>
    <mergeCell ref="C825:E825"/>
    <mergeCell ref="C826:E826"/>
    <mergeCell ref="N833:N836"/>
    <mergeCell ref="N837:N840"/>
    <mergeCell ref="N859:N860"/>
    <mergeCell ref="N861:N872"/>
    <mergeCell ref="M881:O881"/>
    <mergeCell ref="M882:O882"/>
    <mergeCell ref="N767:N770"/>
    <mergeCell ref="N775:N777"/>
    <mergeCell ref="M780:M880"/>
    <mergeCell ref="N780:N789"/>
    <mergeCell ref="N792:N806"/>
    <mergeCell ref="N810:N814"/>
    <mergeCell ref="N815:N817"/>
    <mergeCell ref="N873:N880"/>
    <mergeCell ref="M670:M777"/>
    <mergeCell ref="N821:N822"/>
    <mergeCell ref="N825:N826"/>
    <mergeCell ref="N827:N828"/>
    <mergeCell ref="N829:N832"/>
    <mergeCell ref="N841:N844"/>
    <mergeCell ref="N845:N847"/>
    <mergeCell ref="N848:N849"/>
    <mergeCell ref="H755:H757"/>
    <mergeCell ref="H760:H763"/>
    <mergeCell ref="H764:H770"/>
    <mergeCell ref="H771:H773"/>
    <mergeCell ref="H774:H778"/>
    <mergeCell ref="H779:H783"/>
    <mergeCell ref="H785:H787"/>
    <mergeCell ref="H790:H795"/>
    <mergeCell ref="H796:H799"/>
    <mergeCell ref="H800:H805"/>
    <mergeCell ref="H806:H810"/>
    <mergeCell ref="H811:H815"/>
    <mergeCell ref="H647:H654"/>
    <mergeCell ref="G648:G650"/>
    <mergeCell ref="H655:H658"/>
    <mergeCell ref="H659:H661"/>
    <mergeCell ref="H662:H664"/>
    <mergeCell ref="H676:H679"/>
    <mergeCell ref="H680:H681"/>
    <mergeCell ref="H710:H711"/>
    <mergeCell ref="H712:H713"/>
    <mergeCell ref="H714:H718"/>
    <mergeCell ref="H719:H721"/>
    <mergeCell ref="H722:H727"/>
    <mergeCell ref="H728:H731"/>
    <mergeCell ref="H732:H733"/>
    <mergeCell ref="H734:H737"/>
    <mergeCell ref="J676:J679"/>
    <mergeCell ref="K676:K679"/>
    <mergeCell ref="J634:J639"/>
    <mergeCell ref="J680:J681"/>
    <mergeCell ref="K680:K681"/>
    <mergeCell ref="J682:J687"/>
    <mergeCell ref="J689:J691"/>
    <mergeCell ref="K689:K691"/>
    <mergeCell ref="N692:N695"/>
    <mergeCell ref="J695:J700"/>
    <mergeCell ref="K695:K700"/>
    <mergeCell ref="N716:N723"/>
    <mergeCell ref="N724:N730"/>
    <mergeCell ref="N731:N742"/>
    <mergeCell ref="N743:N753"/>
    <mergeCell ref="N754:N760"/>
    <mergeCell ref="J764:J770"/>
    <mergeCell ref="K764:K770"/>
    <mergeCell ref="K634:K639"/>
    <mergeCell ref="K640:K645"/>
    <mergeCell ref="N646:N656"/>
    <mergeCell ref="N660:N663"/>
    <mergeCell ref="N670:N689"/>
    <mergeCell ref="K682:K687"/>
    <mergeCell ref="J647:J654"/>
    <mergeCell ref="K647:K654"/>
    <mergeCell ref="J655:J658"/>
    <mergeCell ref="K655:K658"/>
    <mergeCell ref="J659:J661"/>
    <mergeCell ref="K659:K661"/>
    <mergeCell ref="J722:J727"/>
    <mergeCell ref="K722:K727"/>
    <mergeCell ref="J734:J737"/>
    <mergeCell ref="K734:K737"/>
    <mergeCell ref="I728:I731"/>
    <mergeCell ref="J728:J731"/>
    <mergeCell ref="K728:K731"/>
    <mergeCell ref="I732:I733"/>
    <mergeCell ref="J732:J733"/>
    <mergeCell ref="K732:K733"/>
    <mergeCell ref="I734:I737"/>
    <mergeCell ref="J742:J745"/>
    <mergeCell ref="K742:K745"/>
    <mergeCell ref="I738:I739"/>
    <mergeCell ref="J738:J739"/>
    <mergeCell ref="K738:K739"/>
    <mergeCell ref="I740:I741"/>
    <mergeCell ref="J740:J741"/>
    <mergeCell ref="K740:K741"/>
    <mergeCell ref="I742:I745"/>
    <mergeCell ref="J701:J703"/>
    <mergeCell ref="K701:K703"/>
    <mergeCell ref="N703:N713"/>
    <mergeCell ref="J704:J705"/>
    <mergeCell ref="K704:K705"/>
    <mergeCell ref="J706:J709"/>
    <mergeCell ref="K706:K709"/>
    <mergeCell ref="J710:J711"/>
    <mergeCell ref="K710:K711"/>
    <mergeCell ref="I712:I713"/>
    <mergeCell ref="J712:J713"/>
    <mergeCell ref="K712:K713"/>
    <mergeCell ref="J714:J718"/>
    <mergeCell ref="K714:K718"/>
    <mergeCell ref="I714:I718"/>
    <mergeCell ref="I719:I721"/>
    <mergeCell ref="J719:J721"/>
    <mergeCell ref="K719:K721"/>
    <mergeCell ref="I704:I705"/>
    <mergeCell ref="I706:I709"/>
    <mergeCell ref="I710:I711"/>
    <mergeCell ref="I662:I664"/>
    <mergeCell ref="I676:I679"/>
    <mergeCell ref="I680:I681"/>
    <mergeCell ref="I682:I687"/>
    <mergeCell ref="I689:I691"/>
    <mergeCell ref="I695:I700"/>
    <mergeCell ref="I701:I703"/>
    <mergeCell ref="H742:H745"/>
    <mergeCell ref="H746:H752"/>
    <mergeCell ref="H682:H687"/>
    <mergeCell ref="H689:H691"/>
    <mergeCell ref="B694:B752"/>
    <mergeCell ref="H695:H700"/>
    <mergeCell ref="H701:H703"/>
    <mergeCell ref="H704:H705"/>
    <mergeCell ref="H706:H709"/>
    <mergeCell ref="I722:I727"/>
    <mergeCell ref="H738:H739"/>
    <mergeCell ref="H740:H741"/>
    <mergeCell ref="I800:I805"/>
    <mergeCell ref="I822:I824"/>
    <mergeCell ref="J822:J824"/>
    <mergeCell ref="K822:K824"/>
    <mergeCell ref="N823:N824"/>
    <mergeCell ref="I624:I625"/>
    <mergeCell ref="J624:J625"/>
    <mergeCell ref="H612:H616"/>
    <mergeCell ref="H617:H621"/>
    <mergeCell ref="J617:J621"/>
    <mergeCell ref="K617:K621"/>
    <mergeCell ref="N618:N630"/>
    <mergeCell ref="K622:K623"/>
    <mergeCell ref="K624:K625"/>
    <mergeCell ref="N631:N636"/>
    <mergeCell ref="D644:F644"/>
    <mergeCell ref="D645:F645"/>
    <mergeCell ref="D646:F646"/>
    <mergeCell ref="H622:H623"/>
    <mergeCell ref="H624:H625"/>
    <mergeCell ref="H626:H631"/>
    <mergeCell ref="H634:H639"/>
    <mergeCell ref="H640:H645"/>
    <mergeCell ref="D642:F642"/>
    <mergeCell ref="D643:F643"/>
    <mergeCell ref="J640:J645"/>
    <mergeCell ref="J662:J664"/>
    <mergeCell ref="K662:K664"/>
    <mergeCell ref="I617:I621"/>
    <mergeCell ref="I626:I631"/>
    <mergeCell ref="I634:I639"/>
    <mergeCell ref="I640:I645"/>
    <mergeCell ref="M989:O989"/>
    <mergeCell ref="M990:O990"/>
    <mergeCell ref="N924:N929"/>
    <mergeCell ref="N930:N935"/>
    <mergeCell ref="N936:N941"/>
    <mergeCell ref="N942:N944"/>
    <mergeCell ref="N945:N952"/>
    <mergeCell ref="N953:N954"/>
    <mergeCell ref="N955:N956"/>
    <mergeCell ref="J760:J763"/>
    <mergeCell ref="K760:K763"/>
    <mergeCell ref="I746:I752"/>
    <mergeCell ref="J746:J752"/>
    <mergeCell ref="K746:K752"/>
    <mergeCell ref="I755:I757"/>
    <mergeCell ref="J755:J757"/>
    <mergeCell ref="K755:K757"/>
    <mergeCell ref="I760:I763"/>
    <mergeCell ref="I764:I770"/>
    <mergeCell ref="I771:I773"/>
    <mergeCell ref="J771:J773"/>
    <mergeCell ref="K771:K773"/>
    <mergeCell ref="J774:J778"/>
    <mergeCell ref="K774:K778"/>
    <mergeCell ref="M778:O778"/>
    <mergeCell ref="M779:O779"/>
    <mergeCell ref="I774:I778"/>
    <mergeCell ref="I779:I783"/>
    <mergeCell ref="J779:J783"/>
    <mergeCell ref="K779:K783"/>
    <mergeCell ref="I785:I787"/>
    <mergeCell ref="J785:J787"/>
    <mergeCell ref="M668:O668"/>
    <mergeCell ref="M669:O669"/>
    <mergeCell ref="I806:I810"/>
    <mergeCell ref="J806:J810"/>
    <mergeCell ref="K806:K810"/>
    <mergeCell ref="N807:N809"/>
    <mergeCell ref="I811:I815"/>
    <mergeCell ref="J811:J815"/>
    <mergeCell ref="K811:K815"/>
    <mergeCell ref="I817:I821"/>
    <mergeCell ref="J817:J821"/>
    <mergeCell ref="K817:K821"/>
    <mergeCell ref="M883:M988"/>
    <mergeCell ref="N818:N820"/>
    <mergeCell ref="N883:N888"/>
    <mergeCell ref="N889:N894"/>
    <mergeCell ref="N895:N899"/>
    <mergeCell ref="N900:N901"/>
    <mergeCell ref="N902:N917"/>
    <mergeCell ref="N918:N923"/>
    <mergeCell ref="N957:N964"/>
    <mergeCell ref="N965:N973"/>
    <mergeCell ref="N974:N988"/>
    <mergeCell ref="K785:K787"/>
    <mergeCell ref="J800:J805"/>
    <mergeCell ref="K800:K805"/>
    <mergeCell ref="I790:I795"/>
    <mergeCell ref="J790:J795"/>
    <mergeCell ref="K790:K795"/>
    <mergeCell ref="I796:I799"/>
    <mergeCell ref="J796:J799"/>
    <mergeCell ref="K796:K799"/>
    <mergeCell ref="H606:H609"/>
    <mergeCell ref="I606:I609"/>
    <mergeCell ref="J606:J609"/>
    <mergeCell ref="K606:K609"/>
    <mergeCell ref="I612:I616"/>
    <mergeCell ref="J612:J616"/>
    <mergeCell ref="K612:K616"/>
    <mergeCell ref="H665:H669"/>
    <mergeCell ref="H670:H675"/>
    <mergeCell ref="I670:I675"/>
    <mergeCell ref="J670:J675"/>
    <mergeCell ref="K670:K675"/>
    <mergeCell ref="I622:I623"/>
    <mergeCell ref="J622:J623"/>
    <mergeCell ref="I665:I669"/>
    <mergeCell ref="J665:J669"/>
    <mergeCell ref="K665:K669"/>
    <mergeCell ref="I647:I654"/>
    <mergeCell ref="I655:I658"/>
    <mergeCell ref="I659:I661"/>
    <mergeCell ref="J626:J631"/>
    <mergeCell ref="K626:K631"/>
    <mergeCell ref="I595:I598"/>
    <mergeCell ref="J595:J598"/>
    <mergeCell ref="J580:J586"/>
    <mergeCell ref="K580:K586"/>
    <mergeCell ref="H589:H594"/>
    <mergeCell ref="I589:I594"/>
    <mergeCell ref="J589:J594"/>
    <mergeCell ref="K589:K594"/>
    <mergeCell ref="K595:K598"/>
    <mergeCell ref="J604:J605"/>
    <mergeCell ref="K604:K605"/>
    <mergeCell ref="H595:H598"/>
    <mergeCell ref="H599:H602"/>
    <mergeCell ref="I599:I602"/>
    <mergeCell ref="J599:J602"/>
    <mergeCell ref="K599:K602"/>
    <mergeCell ref="H604:H605"/>
    <mergeCell ref="I604:I605"/>
    <mergeCell ref="T501:T505"/>
    <mergeCell ref="S598:S601"/>
    <mergeCell ref="S602:S603"/>
    <mergeCell ref="S670:S689"/>
    <mergeCell ref="T670:T689"/>
    <mergeCell ref="U670:U689"/>
    <mergeCell ref="V670:V689"/>
    <mergeCell ref="T602:T603"/>
    <mergeCell ref="U602:U603"/>
    <mergeCell ref="Y668:AA668"/>
    <mergeCell ref="Y669:AA669"/>
    <mergeCell ref="T589:T591"/>
    <mergeCell ref="U589:U591"/>
    <mergeCell ref="S592:S597"/>
    <mergeCell ref="T592:T597"/>
    <mergeCell ref="U592:U597"/>
    <mergeCell ref="T598:T601"/>
    <mergeCell ref="U598:U601"/>
    <mergeCell ref="B111:B241"/>
    <mergeCell ref="M172:M250"/>
    <mergeCell ref="V172:V174"/>
    <mergeCell ref="U255:U256"/>
    <mergeCell ref="V255:V256"/>
    <mergeCell ref="H318:H322"/>
    <mergeCell ref="I318:I322"/>
    <mergeCell ref="J318:J322"/>
    <mergeCell ref="K318:K322"/>
    <mergeCell ref="S318:S324"/>
    <mergeCell ref="T318:T324"/>
    <mergeCell ref="U318:U324"/>
    <mergeCell ref="V318:V324"/>
    <mergeCell ref="B408:D408"/>
    <mergeCell ref="B409:D409"/>
    <mergeCell ref="S466:S470"/>
    <mergeCell ref="S471:S474"/>
    <mergeCell ref="T458:T465"/>
    <mergeCell ref="S450:S457"/>
    <mergeCell ref="T450:T457"/>
    <mergeCell ref="U450:U457"/>
    <mergeCell ref="V450:V457"/>
    <mergeCell ref="Y346:AA346"/>
    <mergeCell ref="Y347:AA347"/>
    <mergeCell ref="Y440:AA440"/>
    <mergeCell ref="S442:S449"/>
    <mergeCell ref="T442:T449"/>
    <mergeCell ref="U442:U449"/>
    <mergeCell ref="V442:V449"/>
    <mergeCell ref="U103:U106"/>
    <mergeCell ref="S172:S174"/>
    <mergeCell ref="T172:T174"/>
    <mergeCell ref="U172:U174"/>
    <mergeCell ref="M251:O251"/>
    <mergeCell ref="M252:O252"/>
    <mergeCell ref="M253:M345"/>
    <mergeCell ref="N257:N258"/>
    <mergeCell ref="N266:N267"/>
    <mergeCell ref="M346:O346"/>
    <mergeCell ref="M99:M169"/>
    <mergeCell ref="V103:V106"/>
    <mergeCell ref="V107:V109"/>
    <mergeCell ref="B242:D242"/>
    <mergeCell ref="B243:D243"/>
    <mergeCell ref="B244:B338"/>
    <mergeCell ref="B339:D339"/>
    <mergeCell ref="B340:D340"/>
    <mergeCell ref="B372:D372"/>
    <mergeCell ref="B373:D373"/>
    <mergeCell ref="B589:B609"/>
    <mergeCell ref="B612:B631"/>
    <mergeCell ref="B634:B691"/>
    <mergeCell ref="B632:D632"/>
    <mergeCell ref="B633:D633"/>
    <mergeCell ref="B692:D692"/>
    <mergeCell ref="B693:D693"/>
    <mergeCell ref="B341:B371"/>
    <mergeCell ref="B374:B407"/>
    <mergeCell ref="B410:B586"/>
    <mergeCell ref="B587:D587"/>
    <mergeCell ref="B588:D588"/>
    <mergeCell ref="B610:D610"/>
    <mergeCell ref="B611:D611"/>
    <mergeCell ref="Z228:Z248"/>
    <mergeCell ref="Z249:Z250"/>
    <mergeCell ref="T228:T248"/>
    <mergeCell ref="U228:U248"/>
    <mergeCell ref="N249:N250"/>
    <mergeCell ref="S249:S250"/>
    <mergeCell ref="T249:T250"/>
    <mergeCell ref="U249:U250"/>
    <mergeCell ref="V249:V250"/>
    <mergeCell ref="S121:S131"/>
    <mergeCell ref="T121:T131"/>
    <mergeCell ref="U121:U131"/>
    <mergeCell ref="V121:V131"/>
    <mergeCell ref="H127:H134"/>
    <mergeCell ref="I127:I134"/>
    <mergeCell ref="J127:J134"/>
    <mergeCell ref="K127:K134"/>
    <mergeCell ref="S132:S133"/>
    <mergeCell ref="T132:T133"/>
    <mergeCell ref="U132:U133"/>
    <mergeCell ref="V132:V133"/>
    <mergeCell ref="S134:S141"/>
    <mergeCell ref="T134:T141"/>
    <mergeCell ref="N228:N248"/>
    <mergeCell ref="M98:O98"/>
    <mergeCell ref="H111:H118"/>
    <mergeCell ref="I111:I118"/>
    <mergeCell ref="J111:J118"/>
    <mergeCell ref="K111:K118"/>
    <mergeCell ref="K171:K179"/>
    <mergeCell ref="M171:O171"/>
    <mergeCell ref="Y99:Y169"/>
    <mergeCell ref="Y172:Y250"/>
    <mergeCell ref="S175:S177"/>
    <mergeCell ref="T175:T177"/>
    <mergeCell ref="I171:I179"/>
    <mergeCell ref="J171:J179"/>
    <mergeCell ref="H189:H196"/>
    <mergeCell ref="I189:I196"/>
    <mergeCell ref="J189:J196"/>
    <mergeCell ref="K189:K196"/>
    <mergeCell ref="K197:K206"/>
    <mergeCell ref="U222:U223"/>
    <mergeCell ref="V222:V223"/>
    <mergeCell ref="U224:U225"/>
    <mergeCell ref="V224:V225"/>
    <mergeCell ref="U226:U227"/>
    <mergeCell ref="V226:V227"/>
    <mergeCell ref="S228:S248"/>
    <mergeCell ref="V228:V248"/>
    <mergeCell ref="H234:H237"/>
    <mergeCell ref="I234:I237"/>
    <mergeCell ref="J234:J237"/>
    <mergeCell ref="K234:K237"/>
    <mergeCell ref="H238:H241"/>
    <mergeCell ref="I238:I241"/>
    <mergeCell ref="J238:J241"/>
    <mergeCell ref="K238:K241"/>
    <mergeCell ref="H244:H245"/>
    <mergeCell ref="I244:I245"/>
    <mergeCell ref="J244:J245"/>
    <mergeCell ref="K244:K245"/>
    <mergeCell ref="J215:J217"/>
    <mergeCell ref="K215:K217"/>
    <mergeCell ref="H228:H233"/>
    <mergeCell ref="I228:I233"/>
    <mergeCell ref="J228:J233"/>
    <mergeCell ref="K228:K233"/>
    <mergeCell ref="H197:H206"/>
    <mergeCell ref="H212:H214"/>
    <mergeCell ref="I212:I214"/>
    <mergeCell ref="J212:J214"/>
    <mergeCell ref="K212:K214"/>
    <mergeCell ref="H215:H217"/>
    <mergeCell ref="I215:I217"/>
    <mergeCell ref="S222:S223"/>
    <mergeCell ref="S224:S225"/>
    <mergeCell ref="N224:N225"/>
    <mergeCell ref="N226:N227"/>
    <mergeCell ref="S226:S227"/>
    <mergeCell ref="T226:T227"/>
    <mergeCell ref="H218:H227"/>
    <mergeCell ref="I218:I227"/>
    <mergeCell ref="J218:J227"/>
    <mergeCell ref="K218:K227"/>
    <mergeCell ref="N222:N223"/>
    <mergeCell ref="T222:T223"/>
    <mergeCell ref="T224:T225"/>
    <mergeCell ref="Z873:Z880"/>
    <mergeCell ref="Z883:Z888"/>
    <mergeCell ref="Z889:Z894"/>
    <mergeCell ref="Z895:Z899"/>
    <mergeCell ref="Z918:Z923"/>
    <mergeCell ref="Z924:Z929"/>
    <mergeCell ref="Z930:Z935"/>
    <mergeCell ref="Z936:Z941"/>
    <mergeCell ref="Z942:Z944"/>
    <mergeCell ref="Z945:Z952"/>
    <mergeCell ref="Z953:Z954"/>
    <mergeCell ref="Z955:Z956"/>
    <mergeCell ref="T198:T204"/>
    <mergeCell ref="U198:U204"/>
    <mergeCell ref="V198:V204"/>
    <mergeCell ref="N205:N206"/>
    <mergeCell ref="S205:S210"/>
    <mergeCell ref="T205:T210"/>
    <mergeCell ref="U205:U210"/>
    <mergeCell ref="V205:V210"/>
    <mergeCell ref="S211:S213"/>
    <mergeCell ref="T211:T213"/>
    <mergeCell ref="U214:U221"/>
    <mergeCell ref="V214:V221"/>
    <mergeCell ref="Z214:Z215"/>
    <mergeCell ref="Z222:Z223"/>
    <mergeCell ref="Z224:Z225"/>
    <mergeCell ref="Z226:Z227"/>
    <mergeCell ref="S198:S204"/>
    <mergeCell ref="Z205:Z206"/>
    <mergeCell ref="U211:U213"/>
    <mergeCell ref="V211:V213"/>
    <mergeCell ref="U859:U860"/>
    <mergeCell ref="V859:V860"/>
    <mergeCell ref="U861:U872"/>
    <mergeCell ref="V861:V872"/>
    <mergeCell ref="U873:U880"/>
    <mergeCell ref="V873:V880"/>
    <mergeCell ref="U508:U511"/>
    <mergeCell ref="V508:V511"/>
    <mergeCell ref="V517:V519"/>
    <mergeCell ref="V520:V524"/>
    <mergeCell ref="Y560:Y667"/>
    <mergeCell ref="Y670:Y777"/>
    <mergeCell ref="Y780:Y880"/>
    <mergeCell ref="Z900:Z901"/>
    <mergeCell ref="Z902:Z917"/>
    <mergeCell ref="Z957:Z964"/>
    <mergeCell ref="Z965:Z973"/>
    <mergeCell ref="Z815:Z817"/>
    <mergeCell ref="Z818:Z820"/>
    <mergeCell ref="Z859:Z860"/>
    <mergeCell ref="Z861:Z872"/>
    <mergeCell ref="Y881:AA881"/>
    <mergeCell ref="Y882:AA882"/>
    <mergeCell ref="Y883:Y988"/>
    <mergeCell ref="Z974:Z988"/>
    <mergeCell ref="Z775:Z777"/>
    <mergeCell ref="Y778:AA778"/>
    <mergeCell ref="Y779:AA779"/>
    <mergeCell ref="Z780:Z789"/>
    <mergeCell ref="Z792:Z806"/>
    <mergeCell ref="Z807:Z809"/>
    <mergeCell ref="Z810:Z814"/>
    <mergeCell ref="U815:U817"/>
    <mergeCell ref="V815:V817"/>
    <mergeCell ref="S790:S791"/>
    <mergeCell ref="T790:T791"/>
    <mergeCell ref="S792:S806"/>
    <mergeCell ref="T792:T806"/>
    <mergeCell ref="S807:S809"/>
    <mergeCell ref="T807:T809"/>
    <mergeCell ref="S810:S814"/>
    <mergeCell ref="S818:S820"/>
    <mergeCell ref="T818:T820"/>
    <mergeCell ref="U818:U820"/>
    <mergeCell ref="V818:V820"/>
    <mergeCell ref="S821:S822"/>
    <mergeCell ref="T821:T822"/>
    <mergeCell ref="Z821:Z822"/>
    <mergeCell ref="U517:U519"/>
    <mergeCell ref="U790:U791"/>
    <mergeCell ref="U807:U809"/>
    <mergeCell ref="V807:V809"/>
    <mergeCell ref="V965:V973"/>
    <mergeCell ref="S974:S988"/>
    <mergeCell ref="T974:T988"/>
    <mergeCell ref="U974:U988"/>
    <mergeCell ref="V974:V988"/>
    <mergeCell ref="S763:S764"/>
    <mergeCell ref="T763:T764"/>
    <mergeCell ref="U763:U764"/>
    <mergeCell ref="V763:V764"/>
    <mergeCell ref="T765:T766"/>
    <mergeCell ref="U765:U766"/>
    <mergeCell ref="V765:V766"/>
    <mergeCell ref="S765:S766"/>
    <mergeCell ref="S767:S770"/>
    <mergeCell ref="T767:T770"/>
    <mergeCell ref="S771:S772"/>
    <mergeCell ref="T771:T772"/>
    <mergeCell ref="T773:T774"/>
    <mergeCell ref="S773:S774"/>
    <mergeCell ref="S775:S777"/>
    <mergeCell ref="T775:T777"/>
    <mergeCell ref="S780:S789"/>
    <mergeCell ref="T780:T789"/>
    <mergeCell ref="U780:U789"/>
    <mergeCell ref="V780:V789"/>
    <mergeCell ref="T810:T814"/>
    <mergeCell ref="U810:U814"/>
    <mergeCell ref="V810:V814"/>
    <mergeCell ref="S815:S817"/>
    <mergeCell ref="T815:T817"/>
    <mergeCell ref="S754:S760"/>
    <mergeCell ref="T754:T760"/>
    <mergeCell ref="Z754:Z760"/>
    <mergeCell ref="S761:S762"/>
    <mergeCell ref="T761:T762"/>
    <mergeCell ref="U520:U524"/>
    <mergeCell ref="U690:U691"/>
    <mergeCell ref="U767:U770"/>
    <mergeCell ref="V767:V770"/>
    <mergeCell ref="U771:U772"/>
    <mergeCell ref="V771:V772"/>
    <mergeCell ref="U773:U774"/>
    <mergeCell ref="V773:V774"/>
    <mergeCell ref="U775:U777"/>
    <mergeCell ref="V775:V777"/>
    <mergeCell ref="V790:V791"/>
    <mergeCell ref="U792:U806"/>
    <mergeCell ref="V792:V806"/>
    <mergeCell ref="Z767:Z770"/>
    <mergeCell ref="U754:U760"/>
    <mergeCell ref="V754:V760"/>
    <mergeCell ref="U761:U762"/>
    <mergeCell ref="V761:V762"/>
    <mergeCell ref="U506:U507"/>
    <mergeCell ref="V506:V507"/>
    <mergeCell ref="Y558:AA558"/>
    <mergeCell ref="Y559:AA559"/>
    <mergeCell ref="S560:S564"/>
    <mergeCell ref="T560:T564"/>
    <mergeCell ref="U560:U564"/>
    <mergeCell ref="V560:V564"/>
    <mergeCell ref="S565:S569"/>
    <mergeCell ref="T565:T569"/>
    <mergeCell ref="U565:U569"/>
    <mergeCell ref="S570:S588"/>
    <mergeCell ref="T570:T588"/>
    <mergeCell ref="U570:U588"/>
    <mergeCell ref="Z570:Z588"/>
    <mergeCell ref="S589:S591"/>
    <mergeCell ref="Z589:Z591"/>
    <mergeCell ref="V570:V588"/>
    <mergeCell ref="V589:V591"/>
    <mergeCell ref="V592:V597"/>
    <mergeCell ref="V598:V601"/>
    <mergeCell ref="S604:S607"/>
    <mergeCell ref="T604:T607"/>
    <mergeCell ref="U604:U607"/>
    <mergeCell ref="V604:V607"/>
    <mergeCell ref="S608:S610"/>
    <mergeCell ref="V602:V603"/>
    <mergeCell ref="V608:V610"/>
    <mergeCell ref="S724:S730"/>
    <mergeCell ref="S731:S742"/>
    <mergeCell ref="T731:T742"/>
    <mergeCell ref="S743:S753"/>
    <mergeCell ref="T743:T753"/>
    <mergeCell ref="S714:S715"/>
    <mergeCell ref="T714:T715"/>
    <mergeCell ref="S716:S723"/>
    <mergeCell ref="T716:T723"/>
    <mergeCell ref="Z716:Z723"/>
    <mergeCell ref="T724:T730"/>
    <mergeCell ref="Z724:Z730"/>
    <mergeCell ref="U714:U715"/>
    <mergeCell ref="V714:V715"/>
    <mergeCell ref="U716:U723"/>
    <mergeCell ref="V716:V723"/>
    <mergeCell ref="U724:U730"/>
    <mergeCell ref="V724:V730"/>
    <mergeCell ref="U731:U742"/>
    <mergeCell ref="V731:V742"/>
    <mergeCell ref="U743:U753"/>
    <mergeCell ref="V743:V753"/>
    <mergeCell ref="Z731:Z742"/>
    <mergeCell ref="Z743:Z753"/>
    <mergeCell ref="U696:U697"/>
    <mergeCell ref="V696:V697"/>
    <mergeCell ref="S696:S697"/>
    <mergeCell ref="T696:T697"/>
    <mergeCell ref="S698:S699"/>
    <mergeCell ref="T698:T699"/>
    <mergeCell ref="U698:U699"/>
    <mergeCell ref="V698:V699"/>
    <mergeCell ref="S700:S702"/>
    <mergeCell ref="V700:V702"/>
    <mergeCell ref="T700:T702"/>
    <mergeCell ref="U700:U702"/>
    <mergeCell ref="S703:S713"/>
    <mergeCell ref="T703:T713"/>
    <mergeCell ref="U703:U713"/>
    <mergeCell ref="V703:V713"/>
    <mergeCell ref="Z703:Z713"/>
    <mergeCell ref="Z670:Z689"/>
    <mergeCell ref="Z692:Z695"/>
    <mergeCell ref="V646:V656"/>
    <mergeCell ref="Z646:Z656"/>
    <mergeCell ref="Z660:Z663"/>
    <mergeCell ref="S690:S691"/>
    <mergeCell ref="T690:T691"/>
    <mergeCell ref="S692:S695"/>
    <mergeCell ref="T692:T695"/>
    <mergeCell ref="V525:V526"/>
    <mergeCell ref="V565:V569"/>
    <mergeCell ref="U657:U659"/>
    <mergeCell ref="V657:V659"/>
    <mergeCell ref="U660:U663"/>
    <mergeCell ref="V660:V663"/>
    <mergeCell ref="U664:U665"/>
    <mergeCell ref="V664:V665"/>
    <mergeCell ref="U666:U667"/>
    <mergeCell ref="V666:V667"/>
    <mergeCell ref="V690:V691"/>
    <mergeCell ref="U692:U695"/>
    <mergeCell ref="V692:V695"/>
    <mergeCell ref="V639:V641"/>
    <mergeCell ref="U642:U643"/>
    <mergeCell ref="V642:V643"/>
    <mergeCell ref="U644:U645"/>
    <mergeCell ref="V644:V645"/>
    <mergeCell ref="S657:S659"/>
    <mergeCell ref="T657:T659"/>
    <mergeCell ref="S660:S663"/>
    <mergeCell ref="T660:T663"/>
    <mergeCell ref="S664:S665"/>
    <mergeCell ref="T664:T665"/>
    <mergeCell ref="S666:S667"/>
    <mergeCell ref="T666:T667"/>
    <mergeCell ref="S642:S643"/>
    <mergeCell ref="T642:T643"/>
    <mergeCell ref="S644:S645"/>
    <mergeCell ref="T644:T645"/>
    <mergeCell ref="S646:S656"/>
    <mergeCell ref="T646:T656"/>
    <mergeCell ref="U646:U656"/>
    <mergeCell ref="AG660:AG663"/>
    <mergeCell ref="AH660:AH663"/>
    <mergeCell ref="AE646:AE656"/>
    <mergeCell ref="AE657:AE659"/>
    <mergeCell ref="AF657:AF659"/>
    <mergeCell ref="AG657:AG659"/>
    <mergeCell ref="AH657:AH659"/>
    <mergeCell ref="AE660:AE663"/>
    <mergeCell ref="AF660:AF663"/>
    <mergeCell ref="T608:T610"/>
    <mergeCell ref="U608:U610"/>
    <mergeCell ref="S611:S617"/>
    <mergeCell ref="T611:T617"/>
    <mergeCell ref="S618:S630"/>
    <mergeCell ref="T618:T630"/>
    <mergeCell ref="Z618:Z630"/>
    <mergeCell ref="S631:S636"/>
    <mergeCell ref="T631:T636"/>
    <mergeCell ref="Z631:Z636"/>
    <mergeCell ref="S637:S638"/>
    <mergeCell ref="T637:T638"/>
    <mergeCell ref="S639:S641"/>
    <mergeCell ref="T639:T641"/>
    <mergeCell ref="U611:U617"/>
    <mergeCell ref="V611:V617"/>
    <mergeCell ref="U618:U630"/>
    <mergeCell ref="V618:V630"/>
    <mergeCell ref="U631:U636"/>
    <mergeCell ref="V631:V636"/>
    <mergeCell ref="U637:U638"/>
    <mergeCell ref="V637:V638"/>
    <mergeCell ref="U639:U641"/>
    <mergeCell ref="AE631:AE636"/>
    <mergeCell ref="AF631:AF636"/>
    <mergeCell ref="AG631:AG636"/>
    <mergeCell ref="AH631:AH636"/>
    <mergeCell ref="AF637:AF638"/>
    <mergeCell ref="AG637:AG638"/>
    <mergeCell ref="AH637:AH638"/>
    <mergeCell ref="AE637:AE638"/>
    <mergeCell ref="AE639:AE641"/>
    <mergeCell ref="AF639:AF641"/>
    <mergeCell ref="AG639:AG641"/>
    <mergeCell ref="AH639:AH641"/>
    <mergeCell ref="AE642:AE643"/>
    <mergeCell ref="AF642:AF643"/>
    <mergeCell ref="AF646:AF656"/>
    <mergeCell ref="AG646:AG656"/>
    <mergeCell ref="AG642:AG643"/>
    <mergeCell ref="AH642:AH643"/>
    <mergeCell ref="AE644:AE645"/>
    <mergeCell ref="AF644:AF645"/>
    <mergeCell ref="AG644:AG645"/>
    <mergeCell ref="AH644:AH645"/>
    <mergeCell ref="AH646:AH656"/>
    <mergeCell ref="AG548:AG552"/>
    <mergeCell ref="AH548:AH552"/>
    <mergeCell ref="AE553:AE557"/>
    <mergeCell ref="AF553:AF557"/>
    <mergeCell ref="AG553:AG557"/>
    <mergeCell ref="AH553:AH557"/>
    <mergeCell ref="AF560:AF564"/>
    <mergeCell ref="AG560:AG564"/>
    <mergeCell ref="AH560:AH564"/>
    <mergeCell ref="AG618:AG630"/>
    <mergeCell ref="AH618:AH630"/>
    <mergeCell ref="AE608:AE610"/>
    <mergeCell ref="AE611:AE617"/>
    <mergeCell ref="AF611:AF617"/>
    <mergeCell ref="AG611:AG617"/>
    <mergeCell ref="AH611:AH617"/>
    <mergeCell ref="AE618:AE630"/>
    <mergeCell ref="AF618:AF630"/>
    <mergeCell ref="AF527:AF531"/>
    <mergeCell ref="AG527:AG531"/>
    <mergeCell ref="AH527:AH531"/>
    <mergeCell ref="AE527:AE531"/>
    <mergeCell ref="AE532:AE547"/>
    <mergeCell ref="AF532:AF547"/>
    <mergeCell ref="AG532:AG547"/>
    <mergeCell ref="AH532:AH547"/>
    <mergeCell ref="AE548:AE552"/>
    <mergeCell ref="AF548:AF552"/>
    <mergeCell ref="AF489:AF491"/>
    <mergeCell ref="AG489:AG491"/>
    <mergeCell ref="AH489:AH491"/>
    <mergeCell ref="AF492:AF500"/>
    <mergeCell ref="AG492:AG500"/>
    <mergeCell ref="AH492:AH500"/>
    <mergeCell ref="AF501:AF505"/>
    <mergeCell ref="AF514:AF516"/>
    <mergeCell ref="AG514:AG516"/>
    <mergeCell ref="AG501:AG505"/>
    <mergeCell ref="AH501:AH505"/>
    <mergeCell ref="AE508:AE511"/>
    <mergeCell ref="AF508:AF511"/>
    <mergeCell ref="AG508:AG511"/>
    <mergeCell ref="AH508:AH511"/>
    <mergeCell ref="AH514:AH516"/>
    <mergeCell ref="AG520:AG524"/>
    <mergeCell ref="AH520:AH524"/>
    <mergeCell ref="AE514:AE516"/>
    <mergeCell ref="AE517:AE519"/>
    <mergeCell ref="AF517:AF519"/>
    <mergeCell ref="AG517:AG519"/>
    <mergeCell ref="AG450:AG457"/>
    <mergeCell ref="AH450:AH457"/>
    <mergeCell ref="AF458:AF465"/>
    <mergeCell ref="AG475:AG476"/>
    <mergeCell ref="AH475:AH476"/>
    <mergeCell ref="AF466:AF470"/>
    <mergeCell ref="AG466:AG470"/>
    <mergeCell ref="AH466:AH470"/>
    <mergeCell ref="AF471:AF474"/>
    <mergeCell ref="AG471:AG474"/>
    <mergeCell ref="AH471:AH474"/>
    <mergeCell ref="AF475:AF476"/>
    <mergeCell ref="AF506:AF507"/>
    <mergeCell ref="AG506:AG507"/>
    <mergeCell ref="AE525:AE526"/>
    <mergeCell ref="AF525:AF526"/>
    <mergeCell ref="AG525:AG526"/>
    <mergeCell ref="AH525:AH526"/>
    <mergeCell ref="AH517:AH519"/>
    <mergeCell ref="AE520:AE524"/>
    <mergeCell ref="AF520:AF524"/>
    <mergeCell ref="H561:H564"/>
    <mergeCell ref="I561:I564"/>
    <mergeCell ref="J561:J564"/>
    <mergeCell ref="H530:H551"/>
    <mergeCell ref="H565:H566"/>
    <mergeCell ref="K565:K566"/>
    <mergeCell ref="H567:H570"/>
    <mergeCell ref="I567:I570"/>
    <mergeCell ref="J567:J570"/>
    <mergeCell ref="K567:K570"/>
    <mergeCell ref="H571:H579"/>
    <mergeCell ref="H580:H586"/>
    <mergeCell ref="H516:H529"/>
    <mergeCell ref="I530:I551"/>
    <mergeCell ref="J530:J551"/>
    <mergeCell ref="K530:K551"/>
    <mergeCell ref="I552:I560"/>
    <mergeCell ref="K561:K564"/>
    <mergeCell ref="I565:I566"/>
    <mergeCell ref="J565:J566"/>
    <mergeCell ref="I571:I579"/>
    <mergeCell ref="J571:J579"/>
    <mergeCell ref="K571:K579"/>
    <mergeCell ref="I580:I586"/>
    <mergeCell ref="J466:J473"/>
    <mergeCell ref="H474:H493"/>
    <mergeCell ref="I474:I493"/>
    <mergeCell ref="J474:J493"/>
    <mergeCell ref="H495:H507"/>
    <mergeCell ref="N508:N510"/>
    <mergeCell ref="M512:O512"/>
    <mergeCell ref="M513:O513"/>
    <mergeCell ref="M514:M557"/>
    <mergeCell ref="N532:N547"/>
    <mergeCell ref="M558:O558"/>
    <mergeCell ref="M559:O559"/>
    <mergeCell ref="K434:K465"/>
    <mergeCell ref="M440:O440"/>
    <mergeCell ref="M441:O441"/>
    <mergeCell ref="M442:M511"/>
    <mergeCell ref="K466:K473"/>
    <mergeCell ref="K474:K493"/>
    <mergeCell ref="K495:K507"/>
    <mergeCell ref="J552:J560"/>
    <mergeCell ref="K552:K560"/>
    <mergeCell ref="H508:H515"/>
    <mergeCell ref="I508:I515"/>
    <mergeCell ref="J508:J515"/>
    <mergeCell ref="K508:K515"/>
    <mergeCell ref="I516:I529"/>
    <mergeCell ref="J516:J529"/>
    <mergeCell ref="K516:K529"/>
    <mergeCell ref="H552:H560"/>
    <mergeCell ref="M560:M667"/>
    <mergeCell ref="N570:N588"/>
    <mergeCell ref="N589:N591"/>
    <mergeCell ref="S458:S465"/>
    <mergeCell ref="S475:S476"/>
    <mergeCell ref="S477:S481"/>
    <mergeCell ref="S482:S483"/>
    <mergeCell ref="S484:S488"/>
    <mergeCell ref="S489:S491"/>
    <mergeCell ref="S492:S500"/>
    <mergeCell ref="S501:S505"/>
    <mergeCell ref="S506:S507"/>
    <mergeCell ref="S508:S511"/>
    <mergeCell ref="S514:S516"/>
    <mergeCell ref="T514:T516"/>
    <mergeCell ref="U514:U516"/>
    <mergeCell ref="V514:V516"/>
    <mergeCell ref="H323:H327"/>
    <mergeCell ref="I323:I327"/>
    <mergeCell ref="H345:H347"/>
    <mergeCell ref="I345:I347"/>
    <mergeCell ref="J345:J347"/>
    <mergeCell ref="K345:K347"/>
    <mergeCell ref="M347:O347"/>
    <mergeCell ref="H348:H351"/>
    <mergeCell ref="I348:I351"/>
    <mergeCell ref="J348:J351"/>
    <mergeCell ref="K348:K351"/>
    <mergeCell ref="H434:H465"/>
    <mergeCell ref="I434:I465"/>
    <mergeCell ref="J434:J465"/>
    <mergeCell ref="I495:I507"/>
    <mergeCell ref="J495:J507"/>
    <mergeCell ref="H466:H473"/>
    <mergeCell ref="I466:I473"/>
    <mergeCell ref="T527:T531"/>
    <mergeCell ref="V527:V531"/>
    <mergeCell ref="S532:S547"/>
    <mergeCell ref="T532:T547"/>
    <mergeCell ref="S548:S552"/>
    <mergeCell ref="T548:T552"/>
    <mergeCell ref="S553:S557"/>
    <mergeCell ref="T553:T557"/>
    <mergeCell ref="S517:S519"/>
    <mergeCell ref="T517:T519"/>
    <mergeCell ref="S520:S524"/>
    <mergeCell ref="T520:T524"/>
    <mergeCell ref="S525:S526"/>
    <mergeCell ref="T525:T526"/>
    <mergeCell ref="S527:S531"/>
    <mergeCell ref="T466:T470"/>
    <mergeCell ref="U466:U470"/>
    <mergeCell ref="T471:T474"/>
    <mergeCell ref="U471:U474"/>
    <mergeCell ref="T475:T476"/>
    <mergeCell ref="U475:U476"/>
    <mergeCell ref="U477:U481"/>
    <mergeCell ref="V477:V481"/>
    <mergeCell ref="U482:U483"/>
    <mergeCell ref="V482:V483"/>
    <mergeCell ref="T506:T507"/>
    <mergeCell ref="T508:T511"/>
    <mergeCell ref="T477:T481"/>
    <mergeCell ref="T482:T483"/>
    <mergeCell ref="T484:T488"/>
    <mergeCell ref="T489:T491"/>
    <mergeCell ref="T492:T500"/>
    <mergeCell ref="Y512:AA512"/>
    <mergeCell ref="Y513:AA513"/>
    <mergeCell ref="Y514:Y557"/>
    <mergeCell ref="Z532:Z547"/>
    <mergeCell ref="Y441:AA441"/>
    <mergeCell ref="Y442:Y511"/>
    <mergeCell ref="U458:U465"/>
    <mergeCell ref="V458:V465"/>
    <mergeCell ref="V466:V470"/>
    <mergeCell ref="V471:V474"/>
    <mergeCell ref="V475:V476"/>
    <mergeCell ref="U525:U526"/>
    <mergeCell ref="U527:U531"/>
    <mergeCell ref="U532:U547"/>
    <mergeCell ref="V532:V547"/>
    <mergeCell ref="U548:U552"/>
    <mergeCell ref="V548:V552"/>
    <mergeCell ref="U553:U557"/>
    <mergeCell ref="V553:V557"/>
    <mergeCell ref="AH358:AH362"/>
    <mergeCell ref="AF363:AF380"/>
    <mergeCell ref="AG363:AG380"/>
    <mergeCell ref="AH363:AH380"/>
    <mergeCell ref="AF381:AF387"/>
    <mergeCell ref="AF407:AF408"/>
    <mergeCell ref="AG407:AG408"/>
    <mergeCell ref="AH407:AH408"/>
    <mergeCell ref="U484:U488"/>
    <mergeCell ref="V484:V488"/>
    <mergeCell ref="U489:U491"/>
    <mergeCell ref="V489:V491"/>
    <mergeCell ref="U492:U500"/>
    <mergeCell ref="V492:V500"/>
    <mergeCell ref="U501:U505"/>
    <mergeCell ref="V501:V505"/>
    <mergeCell ref="Z508:Z510"/>
    <mergeCell ref="AG394:AG395"/>
    <mergeCell ref="AH394:AH395"/>
    <mergeCell ref="AF388:AF391"/>
    <mergeCell ref="AG388:AG391"/>
    <mergeCell ref="AH388:AH391"/>
    <mergeCell ref="AF392:AF393"/>
    <mergeCell ref="AG392:AG393"/>
    <mergeCell ref="AH392:AH393"/>
    <mergeCell ref="AF394:AF395"/>
    <mergeCell ref="AG458:AG465"/>
    <mergeCell ref="AH458:AH465"/>
    <mergeCell ref="AF442:AF449"/>
    <mergeCell ref="AG442:AG449"/>
    <mergeCell ref="AH442:AH449"/>
    <mergeCell ref="AF450:AF457"/>
    <mergeCell ref="U114:U120"/>
    <mergeCell ref="V114:V120"/>
    <mergeCell ref="H119:H126"/>
    <mergeCell ref="I119:I126"/>
    <mergeCell ref="J119:J126"/>
    <mergeCell ref="K119:K126"/>
    <mergeCell ref="AG405:AG406"/>
    <mergeCell ref="AH405:AH406"/>
    <mergeCell ref="AF396:AF402"/>
    <mergeCell ref="AG396:AG402"/>
    <mergeCell ref="AH396:AH402"/>
    <mergeCell ref="AF403:AF404"/>
    <mergeCell ref="AG403:AG404"/>
    <mergeCell ref="AH403:AH404"/>
    <mergeCell ref="AF405:AF406"/>
    <mergeCell ref="AG335:AG345"/>
    <mergeCell ref="AH335:AH345"/>
    <mergeCell ref="AF325:AF329"/>
    <mergeCell ref="AG325:AG329"/>
    <mergeCell ref="AH325:AH329"/>
    <mergeCell ref="AF330:AF334"/>
    <mergeCell ref="AG330:AG334"/>
    <mergeCell ref="AH330:AH334"/>
    <mergeCell ref="AF335:AF345"/>
    <mergeCell ref="AG356:AG357"/>
    <mergeCell ref="AH356:AH357"/>
    <mergeCell ref="AF348:AF352"/>
    <mergeCell ref="AG348:AG352"/>
    <mergeCell ref="AH348:AH352"/>
    <mergeCell ref="AF353:AF355"/>
    <mergeCell ref="AG353:AG355"/>
    <mergeCell ref="AH353:AH355"/>
    <mergeCell ref="V99:V100"/>
    <mergeCell ref="S101:S102"/>
    <mergeCell ref="T101:T102"/>
    <mergeCell ref="U101:U102"/>
    <mergeCell ref="V101:V102"/>
    <mergeCell ref="H102:H108"/>
    <mergeCell ref="I102:I108"/>
    <mergeCell ref="J102:J108"/>
    <mergeCell ref="K102:K108"/>
    <mergeCell ref="S103:S106"/>
    <mergeCell ref="T103:T106"/>
    <mergeCell ref="AG112:AG113"/>
    <mergeCell ref="AH112:AH113"/>
    <mergeCell ref="AE121:AE131"/>
    <mergeCell ref="AF121:AF131"/>
    <mergeCell ref="AG121:AG131"/>
    <mergeCell ref="AH121:AH131"/>
    <mergeCell ref="AE107:AE109"/>
    <mergeCell ref="AE110:AE111"/>
    <mergeCell ref="AF110:AF111"/>
    <mergeCell ref="AG110:AG111"/>
    <mergeCell ref="AH110:AH111"/>
    <mergeCell ref="AE112:AE113"/>
    <mergeCell ref="AF112:AF113"/>
    <mergeCell ref="T107:T109"/>
    <mergeCell ref="U107:U109"/>
    <mergeCell ref="S112:S113"/>
    <mergeCell ref="T112:T113"/>
    <mergeCell ref="U112:U113"/>
    <mergeCell ref="V112:V113"/>
    <mergeCell ref="S114:S120"/>
    <mergeCell ref="T114:T120"/>
    <mergeCell ref="Y97:AA97"/>
    <mergeCell ref="Y98:AA98"/>
    <mergeCell ref="U71:U72"/>
    <mergeCell ref="V71:V72"/>
    <mergeCell ref="Y71:Y96"/>
    <mergeCell ref="U85:U86"/>
    <mergeCell ref="V85:V86"/>
    <mergeCell ref="U87:U92"/>
    <mergeCell ref="V87:V92"/>
    <mergeCell ref="S73:S74"/>
    <mergeCell ref="T73:T74"/>
    <mergeCell ref="U73:U74"/>
    <mergeCell ref="V73:V74"/>
    <mergeCell ref="H74:H81"/>
    <mergeCell ref="I74:I81"/>
    <mergeCell ref="J74:J81"/>
    <mergeCell ref="K74:K81"/>
    <mergeCell ref="S75:S84"/>
    <mergeCell ref="T75:T84"/>
    <mergeCell ref="U75:U84"/>
    <mergeCell ref="V75:V84"/>
    <mergeCell ref="H82:H87"/>
    <mergeCell ref="I82:I87"/>
    <mergeCell ref="M97:O97"/>
    <mergeCell ref="AE66:AE68"/>
    <mergeCell ref="Z67:Z68"/>
    <mergeCell ref="Y69:AA69"/>
    <mergeCell ref="Y70:AA70"/>
    <mergeCell ref="S64:S65"/>
    <mergeCell ref="T64:T65"/>
    <mergeCell ref="U64:U65"/>
    <mergeCell ref="V64:V65"/>
    <mergeCell ref="AF66:AF68"/>
    <mergeCell ref="AG66:AG68"/>
    <mergeCell ref="AH66:AH68"/>
    <mergeCell ref="J61:J73"/>
    <mergeCell ref="K61:K73"/>
    <mergeCell ref="J82:J87"/>
    <mergeCell ref="K82:K87"/>
    <mergeCell ref="J89:J90"/>
    <mergeCell ref="K89:K90"/>
    <mergeCell ref="S66:S68"/>
    <mergeCell ref="T66:T68"/>
    <mergeCell ref="U66:U68"/>
    <mergeCell ref="V66:V68"/>
    <mergeCell ref="N67:N68"/>
    <mergeCell ref="M69:O69"/>
    <mergeCell ref="M12:M68"/>
    <mergeCell ref="M71:M96"/>
    <mergeCell ref="S71:S72"/>
    <mergeCell ref="T71:T72"/>
    <mergeCell ref="S85:S86"/>
    <mergeCell ref="T85:T86"/>
    <mergeCell ref="S87:S92"/>
    <mergeCell ref="T87:T92"/>
    <mergeCell ref="S93:S96"/>
    <mergeCell ref="B2:K2"/>
    <mergeCell ref="M2:V2"/>
    <mergeCell ref="Y2:AH2"/>
    <mergeCell ref="B5:B8"/>
    <mergeCell ref="H5:H8"/>
    <mergeCell ref="I5:I8"/>
    <mergeCell ref="J5:J8"/>
    <mergeCell ref="T12:T14"/>
    <mergeCell ref="U12:U14"/>
    <mergeCell ref="U21:U28"/>
    <mergeCell ref="V21:V28"/>
    <mergeCell ref="T33:T35"/>
    <mergeCell ref="U33:U35"/>
    <mergeCell ref="V33:V35"/>
    <mergeCell ref="Y5:Y9"/>
    <mergeCell ref="Y12:Y68"/>
    <mergeCell ref="H14:H16"/>
    <mergeCell ref="I14:I16"/>
    <mergeCell ref="H48:H49"/>
    <mergeCell ref="I48:I49"/>
    <mergeCell ref="H51:H54"/>
    <mergeCell ref="I51:I54"/>
    <mergeCell ref="AE5:AE9"/>
    <mergeCell ref="AF5:AF9"/>
    <mergeCell ref="AG5:AG9"/>
    <mergeCell ref="AH5:AH9"/>
    <mergeCell ref="AF12:AF14"/>
    <mergeCell ref="AG12:AG14"/>
    <mergeCell ref="AH12:AH14"/>
    <mergeCell ref="S5:S10"/>
    <mergeCell ref="S12:S14"/>
    <mergeCell ref="S33:S35"/>
    <mergeCell ref="K97:K101"/>
    <mergeCell ref="S107:S109"/>
    <mergeCell ref="S110:S111"/>
    <mergeCell ref="K5:K8"/>
    <mergeCell ref="H11:H13"/>
    <mergeCell ref="I11:I13"/>
    <mergeCell ref="J11:J13"/>
    <mergeCell ref="K11:K13"/>
    <mergeCell ref="K51:K54"/>
    <mergeCell ref="S52:S54"/>
    <mergeCell ref="T52:T54"/>
    <mergeCell ref="U52:U54"/>
    <mergeCell ref="U55:U59"/>
    <mergeCell ref="V55:V59"/>
    <mergeCell ref="S60:S63"/>
    <mergeCell ref="T60:T63"/>
    <mergeCell ref="U60:U63"/>
    <mergeCell ref="V60:V63"/>
    <mergeCell ref="H61:H73"/>
    <mergeCell ref="I61:I73"/>
    <mergeCell ref="S46:S51"/>
    <mergeCell ref="T46:T51"/>
    <mergeCell ref="U46:U51"/>
    <mergeCell ref="V46:V51"/>
    <mergeCell ref="J91:J96"/>
    <mergeCell ref="K91:K96"/>
    <mergeCell ref="T93:T96"/>
    <mergeCell ref="U93:U96"/>
    <mergeCell ref="V93:V96"/>
    <mergeCell ref="S99:S100"/>
    <mergeCell ref="T99:T100"/>
    <mergeCell ref="U99:U100"/>
    <mergeCell ref="AE55:AE59"/>
    <mergeCell ref="AF55:AF59"/>
    <mergeCell ref="V52:V54"/>
    <mergeCell ref="H55:H60"/>
    <mergeCell ref="I55:I60"/>
    <mergeCell ref="J55:J60"/>
    <mergeCell ref="K55:K60"/>
    <mergeCell ref="S55:S59"/>
    <mergeCell ref="T55:T59"/>
    <mergeCell ref="B109:D109"/>
    <mergeCell ref="B110:D110"/>
    <mergeCell ref="T110:T111"/>
    <mergeCell ref="U110:U111"/>
    <mergeCell ref="V110:V111"/>
    <mergeCell ref="M5:M10"/>
    <mergeCell ref="T5:T10"/>
    <mergeCell ref="U5:U10"/>
    <mergeCell ref="V5:V10"/>
    <mergeCell ref="B11:B108"/>
    <mergeCell ref="V12:V14"/>
    <mergeCell ref="M70:O70"/>
    <mergeCell ref="D84:F84"/>
    <mergeCell ref="D85:F85"/>
    <mergeCell ref="D86:F86"/>
    <mergeCell ref="D87:F87"/>
    <mergeCell ref="H89:H90"/>
    <mergeCell ref="I89:I90"/>
    <mergeCell ref="H91:H96"/>
    <mergeCell ref="I91:I96"/>
    <mergeCell ref="H97:H101"/>
    <mergeCell ref="I97:I101"/>
    <mergeCell ref="J97:J101"/>
    <mergeCell ref="J48:J49"/>
    <mergeCell ref="J51:J54"/>
    <mergeCell ref="J14:J16"/>
    <mergeCell ref="K14:K16"/>
    <mergeCell ref="J33:J34"/>
    <mergeCell ref="K33:K34"/>
    <mergeCell ref="J45:J47"/>
    <mergeCell ref="K45:K47"/>
    <mergeCell ref="K48:K49"/>
    <mergeCell ref="AE36:AE45"/>
    <mergeCell ref="AF36:AF45"/>
    <mergeCell ref="AG36:AG45"/>
    <mergeCell ref="AH36:AH45"/>
    <mergeCell ref="AF46:AF51"/>
    <mergeCell ref="AG46:AG51"/>
    <mergeCell ref="AH46:AH51"/>
    <mergeCell ref="AE46:AE51"/>
    <mergeCell ref="AE52:AE54"/>
    <mergeCell ref="AF52:AF54"/>
    <mergeCell ref="AG52:AG54"/>
    <mergeCell ref="AH52:AH54"/>
    <mergeCell ref="T31:T32"/>
    <mergeCell ref="U31:U32"/>
    <mergeCell ref="V31:V32"/>
    <mergeCell ref="H33:H34"/>
    <mergeCell ref="I33:I34"/>
    <mergeCell ref="AE31:AE32"/>
    <mergeCell ref="AE33:AE35"/>
    <mergeCell ref="AF33:AF35"/>
    <mergeCell ref="AG33:AG35"/>
    <mergeCell ref="AH33:AH35"/>
    <mergeCell ref="AE29:AE30"/>
    <mergeCell ref="AF29:AF30"/>
    <mergeCell ref="AG29:AG30"/>
    <mergeCell ref="AH29:AH30"/>
    <mergeCell ref="AF31:AF32"/>
    <mergeCell ref="AG31:AG32"/>
    <mergeCell ref="AH31:AH32"/>
    <mergeCell ref="H35:H36"/>
    <mergeCell ref="I35:I36"/>
    <mergeCell ref="J35:J36"/>
    <mergeCell ref="K35:K36"/>
    <mergeCell ref="S36:S45"/>
    <mergeCell ref="T36:T45"/>
    <mergeCell ref="U36:U45"/>
    <mergeCell ref="V36:V45"/>
    <mergeCell ref="H37:H44"/>
    <mergeCell ref="I37:I44"/>
    <mergeCell ref="J37:J44"/>
    <mergeCell ref="K37:K44"/>
    <mergeCell ref="H45:H47"/>
    <mergeCell ref="I45:I47"/>
    <mergeCell ref="S15:S20"/>
    <mergeCell ref="T15:T20"/>
    <mergeCell ref="U15:U20"/>
    <mergeCell ref="V15:V20"/>
    <mergeCell ref="H17:H20"/>
    <mergeCell ref="I17:I20"/>
    <mergeCell ref="J17:J20"/>
    <mergeCell ref="K17:K20"/>
    <mergeCell ref="H21:H25"/>
    <mergeCell ref="I21:I25"/>
    <mergeCell ref="J21:J25"/>
    <mergeCell ref="K21:K25"/>
    <mergeCell ref="S21:S28"/>
    <mergeCell ref="T21:T28"/>
    <mergeCell ref="AG21:AG28"/>
    <mergeCell ref="AH21:AH28"/>
    <mergeCell ref="AE12:AE14"/>
    <mergeCell ref="AE15:AE20"/>
    <mergeCell ref="AF15:AF20"/>
    <mergeCell ref="AG15:AG20"/>
    <mergeCell ref="AH15:AH20"/>
    <mergeCell ref="AE21:AE28"/>
    <mergeCell ref="AF21:AF28"/>
    <mergeCell ref="H26:H32"/>
    <mergeCell ref="I26:I32"/>
    <mergeCell ref="J26:J32"/>
    <mergeCell ref="K26:K32"/>
    <mergeCell ref="S29:S30"/>
    <mergeCell ref="T29:T30"/>
    <mergeCell ref="U29:U30"/>
    <mergeCell ref="V29:V30"/>
    <mergeCell ref="S31:S32"/>
    <mergeCell ref="AE953:AE954"/>
    <mergeCell ref="AF953:AF954"/>
    <mergeCell ref="AG953:AG954"/>
    <mergeCell ref="AH953:AH954"/>
    <mergeCell ref="AF955:AF956"/>
    <mergeCell ref="AG955:AG956"/>
    <mergeCell ref="AH955:AH956"/>
    <mergeCell ref="AG965:AG973"/>
    <mergeCell ref="AH965:AH973"/>
    <mergeCell ref="AE974:AE988"/>
    <mergeCell ref="AF974:AF988"/>
    <mergeCell ref="AG974:AG988"/>
    <mergeCell ref="AH974:AH988"/>
    <mergeCell ref="AE955:AE956"/>
    <mergeCell ref="AE957:AE964"/>
    <mergeCell ref="AF957:AF964"/>
    <mergeCell ref="AG957:AG964"/>
    <mergeCell ref="AH957:AH964"/>
    <mergeCell ref="AE965:AE973"/>
    <mergeCell ref="AF965:AF973"/>
    <mergeCell ref="AF857:AF858"/>
    <mergeCell ref="AG857:AG858"/>
    <mergeCell ref="AH857:AH858"/>
    <mergeCell ref="AE930:AE935"/>
    <mergeCell ref="AF930:AF935"/>
    <mergeCell ref="AG930:AG935"/>
    <mergeCell ref="AH930:AH935"/>
    <mergeCell ref="AF936:AF941"/>
    <mergeCell ref="AG936:AG941"/>
    <mergeCell ref="AH936:AH941"/>
    <mergeCell ref="AE936:AE941"/>
    <mergeCell ref="AE942:AE944"/>
    <mergeCell ref="AF942:AF944"/>
    <mergeCell ref="AG942:AG944"/>
    <mergeCell ref="AH942:AH944"/>
    <mergeCell ref="AE945:AE952"/>
    <mergeCell ref="AF945:AF952"/>
    <mergeCell ref="AF743:AF753"/>
    <mergeCell ref="AG743:AG753"/>
    <mergeCell ref="AH743:AH753"/>
    <mergeCell ref="AG761:AG762"/>
    <mergeCell ref="AH761:AH762"/>
    <mergeCell ref="AE743:AE753"/>
    <mergeCell ref="AE754:AE760"/>
    <mergeCell ref="AF754:AF760"/>
    <mergeCell ref="AG754:AG760"/>
    <mergeCell ref="AH754:AH760"/>
    <mergeCell ref="AE761:AE762"/>
    <mergeCell ref="AF761:AF762"/>
    <mergeCell ref="AG771:AG772"/>
    <mergeCell ref="AH771:AH772"/>
    <mergeCell ref="AE852:AE856"/>
    <mergeCell ref="AF852:AF856"/>
    <mergeCell ref="AG852:AG856"/>
    <mergeCell ref="AH852:AH856"/>
    <mergeCell ref="AF845:AF847"/>
    <mergeCell ref="AG845:AG847"/>
    <mergeCell ref="AG837:AG840"/>
    <mergeCell ref="AH837:AH840"/>
    <mergeCell ref="AE841:AE844"/>
    <mergeCell ref="AF841:AF844"/>
    <mergeCell ref="AG841:AG844"/>
    <mergeCell ref="AH841:AH844"/>
    <mergeCell ref="AH845:AH847"/>
    <mergeCell ref="AG850:AG851"/>
    <mergeCell ref="AH850:AH851"/>
    <mergeCell ref="AE845:AE847"/>
    <mergeCell ref="AE848:AE849"/>
    <mergeCell ref="AF848:AF849"/>
    <mergeCell ref="AG848:AG849"/>
    <mergeCell ref="AH848:AH849"/>
    <mergeCell ref="AE850:AE851"/>
    <mergeCell ref="AF850:AF851"/>
    <mergeCell ref="AG823:AG824"/>
    <mergeCell ref="AH823:AH824"/>
    <mergeCell ref="AE825:AE826"/>
    <mergeCell ref="AF825:AF826"/>
    <mergeCell ref="AE827:AE828"/>
    <mergeCell ref="AF827:AF828"/>
    <mergeCell ref="AG827:AG828"/>
    <mergeCell ref="AH827:AH828"/>
    <mergeCell ref="AF829:AF832"/>
    <mergeCell ref="AG829:AG832"/>
    <mergeCell ref="AH829:AH832"/>
    <mergeCell ref="AE829:AE832"/>
    <mergeCell ref="AE833:AE836"/>
    <mergeCell ref="AF833:AF836"/>
    <mergeCell ref="AG833:AG836"/>
    <mergeCell ref="AH833:AH836"/>
    <mergeCell ref="AE837:AE840"/>
    <mergeCell ref="AF837:AF840"/>
    <mergeCell ref="AE883:AE888"/>
    <mergeCell ref="AE889:AE894"/>
    <mergeCell ref="AF889:AF894"/>
    <mergeCell ref="AG889:AG894"/>
    <mergeCell ref="AH889:AH894"/>
    <mergeCell ref="AE895:AE899"/>
    <mergeCell ref="AF895:AF899"/>
    <mergeCell ref="AG924:AG929"/>
    <mergeCell ref="AH924:AH929"/>
    <mergeCell ref="AG945:AG952"/>
    <mergeCell ref="AH945:AH952"/>
    <mergeCell ref="AG790:AG791"/>
    <mergeCell ref="AH790:AH791"/>
    <mergeCell ref="AE792:AE806"/>
    <mergeCell ref="AF792:AF806"/>
    <mergeCell ref="AG792:AG806"/>
    <mergeCell ref="AH792:AH806"/>
    <mergeCell ref="AE807:AE809"/>
    <mergeCell ref="AH807:AH809"/>
    <mergeCell ref="AF807:AF809"/>
    <mergeCell ref="AG807:AG809"/>
    <mergeCell ref="AE810:AE814"/>
    <mergeCell ref="AF810:AF814"/>
    <mergeCell ref="AG810:AG814"/>
    <mergeCell ref="AH810:AH814"/>
    <mergeCell ref="AE815:AE817"/>
    <mergeCell ref="AH815:AH817"/>
    <mergeCell ref="AG825:AG826"/>
    <mergeCell ref="AH825:AH826"/>
    <mergeCell ref="AE821:AE822"/>
    <mergeCell ref="AE823:AE824"/>
    <mergeCell ref="AF823:AF824"/>
    <mergeCell ref="AE900:AE901"/>
    <mergeCell ref="AF900:AF901"/>
    <mergeCell ref="AG900:AG901"/>
    <mergeCell ref="AH900:AH901"/>
    <mergeCell ref="AF902:AF917"/>
    <mergeCell ref="AG902:AG917"/>
    <mergeCell ref="AH902:AH917"/>
    <mergeCell ref="AE902:AE917"/>
    <mergeCell ref="AE918:AE923"/>
    <mergeCell ref="AF918:AF923"/>
    <mergeCell ref="AG918:AG923"/>
    <mergeCell ref="AH918:AH923"/>
    <mergeCell ref="AE924:AE929"/>
    <mergeCell ref="AF924:AF929"/>
    <mergeCell ref="AG861:AG872"/>
    <mergeCell ref="AH861:AH872"/>
    <mergeCell ref="AE857:AE858"/>
    <mergeCell ref="AE859:AE860"/>
    <mergeCell ref="AF859:AF860"/>
    <mergeCell ref="AG859:AG860"/>
    <mergeCell ref="AH859:AH860"/>
    <mergeCell ref="AE861:AE872"/>
    <mergeCell ref="AF861:AF872"/>
    <mergeCell ref="AE873:AE880"/>
    <mergeCell ref="AF873:AF880"/>
    <mergeCell ref="AG873:AG880"/>
    <mergeCell ref="AH873:AH880"/>
    <mergeCell ref="AF883:AF888"/>
    <mergeCell ref="AG883:AG888"/>
    <mergeCell ref="AH883:AH888"/>
    <mergeCell ref="AG895:AG899"/>
    <mergeCell ref="AH895:AH899"/>
    <mergeCell ref="AE771:AE772"/>
    <mergeCell ref="AF771:AF772"/>
    <mergeCell ref="AE773:AE774"/>
    <mergeCell ref="AF773:AF774"/>
    <mergeCell ref="AG773:AG774"/>
    <mergeCell ref="AH773:AH774"/>
    <mergeCell ref="AF775:AF777"/>
    <mergeCell ref="AG775:AG777"/>
    <mergeCell ref="AH775:AH777"/>
    <mergeCell ref="AE775:AE777"/>
    <mergeCell ref="AE780:AE789"/>
    <mergeCell ref="AF780:AF789"/>
    <mergeCell ref="AG780:AG789"/>
    <mergeCell ref="AH780:AH789"/>
    <mergeCell ref="AE790:AE791"/>
    <mergeCell ref="AF790:AF791"/>
    <mergeCell ref="AF821:AF822"/>
    <mergeCell ref="AG821:AG822"/>
    <mergeCell ref="AF815:AF817"/>
    <mergeCell ref="AG815:AG817"/>
    <mergeCell ref="AE818:AE820"/>
    <mergeCell ref="AF818:AF820"/>
    <mergeCell ref="AG818:AG820"/>
    <mergeCell ref="AH818:AH820"/>
    <mergeCell ref="AH821:AH822"/>
    <mergeCell ref="AE703:AE713"/>
    <mergeCell ref="AF703:AF713"/>
    <mergeCell ref="AG703:AG713"/>
    <mergeCell ref="AH703:AH713"/>
    <mergeCell ref="AF714:AF715"/>
    <mergeCell ref="AG714:AG715"/>
    <mergeCell ref="AH714:AH715"/>
    <mergeCell ref="AE763:AE764"/>
    <mergeCell ref="AF763:AF764"/>
    <mergeCell ref="AG763:AG764"/>
    <mergeCell ref="AH763:AH764"/>
    <mergeCell ref="AF765:AF766"/>
    <mergeCell ref="AG765:AG766"/>
    <mergeCell ref="AH765:AH766"/>
    <mergeCell ref="AE765:AE766"/>
    <mergeCell ref="AE767:AE770"/>
    <mergeCell ref="AF767:AF770"/>
    <mergeCell ref="AG767:AG770"/>
    <mergeCell ref="AH767:AH770"/>
    <mergeCell ref="AG724:AG730"/>
    <mergeCell ref="AH724:AH730"/>
    <mergeCell ref="AE714:AE715"/>
    <mergeCell ref="AE716:AE723"/>
    <mergeCell ref="AF716:AF723"/>
    <mergeCell ref="AG716:AG723"/>
    <mergeCell ref="AH716:AH723"/>
    <mergeCell ref="AE724:AE730"/>
    <mergeCell ref="AF724:AF730"/>
    <mergeCell ref="AE731:AE742"/>
    <mergeCell ref="AF731:AF742"/>
    <mergeCell ref="AG731:AG742"/>
    <mergeCell ref="AH731:AH742"/>
    <mergeCell ref="AG700:AG702"/>
    <mergeCell ref="AH700:AH702"/>
    <mergeCell ref="AE696:AE697"/>
    <mergeCell ref="AE698:AE699"/>
    <mergeCell ref="AF698:AF699"/>
    <mergeCell ref="AG698:AG699"/>
    <mergeCell ref="AH698:AH699"/>
    <mergeCell ref="AE700:AE702"/>
    <mergeCell ref="AF700:AF702"/>
    <mergeCell ref="AG570:AG588"/>
    <mergeCell ref="AH570:AH588"/>
    <mergeCell ref="AE560:AE564"/>
    <mergeCell ref="AE565:AE569"/>
    <mergeCell ref="AF565:AF569"/>
    <mergeCell ref="AG565:AG569"/>
    <mergeCell ref="AH565:AH569"/>
    <mergeCell ref="AE570:AE588"/>
    <mergeCell ref="AF570:AF588"/>
    <mergeCell ref="AE589:AE591"/>
    <mergeCell ref="AF589:AF591"/>
    <mergeCell ref="AG589:AG591"/>
    <mergeCell ref="AH589:AH591"/>
    <mergeCell ref="AF592:AF597"/>
    <mergeCell ref="AG592:AG597"/>
    <mergeCell ref="AH592:AH597"/>
    <mergeCell ref="AG602:AG603"/>
    <mergeCell ref="AH602:AH603"/>
    <mergeCell ref="AE592:AE597"/>
    <mergeCell ref="AE598:AE601"/>
    <mergeCell ref="AF598:AF601"/>
    <mergeCell ref="AG598:AG601"/>
    <mergeCell ref="AH598:AH601"/>
    <mergeCell ref="AF666:AF667"/>
    <mergeCell ref="AG666:AG667"/>
    <mergeCell ref="AH666:AH667"/>
    <mergeCell ref="AE666:AE667"/>
    <mergeCell ref="AE670:AE689"/>
    <mergeCell ref="AF670:AF689"/>
    <mergeCell ref="AG670:AG689"/>
    <mergeCell ref="AH670:AH689"/>
    <mergeCell ref="AE690:AE691"/>
    <mergeCell ref="AF690:AF691"/>
    <mergeCell ref="AF696:AF697"/>
    <mergeCell ref="AG696:AG697"/>
    <mergeCell ref="AG690:AG691"/>
    <mergeCell ref="AH690:AH691"/>
    <mergeCell ref="AE692:AE695"/>
    <mergeCell ref="AF692:AF695"/>
    <mergeCell ref="AG692:AG695"/>
    <mergeCell ref="AH692:AH695"/>
    <mergeCell ref="AH696:AH697"/>
    <mergeCell ref="AH315:AH317"/>
    <mergeCell ref="AF318:AF324"/>
    <mergeCell ref="AG318:AG324"/>
    <mergeCell ref="AH318:AH324"/>
    <mergeCell ref="AG484:AG488"/>
    <mergeCell ref="AH484:AH488"/>
    <mergeCell ref="AH506:AH507"/>
    <mergeCell ref="AF477:AF481"/>
    <mergeCell ref="AG477:AG481"/>
    <mergeCell ref="AH477:AH481"/>
    <mergeCell ref="AF482:AF483"/>
    <mergeCell ref="AG482:AG483"/>
    <mergeCell ref="AH482:AH483"/>
    <mergeCell ref="AF484:AF488"/>
    <mergeCell ref="AE664:AE665"/>
    <mergeCell ref="AF664:AF665"/>
    <mergeCell ref="AG664:AG665"/>
    <mergeCell ref="AH664:AH665"/>
    <mergeCell ref="AE602:AE603"/>
    <mergeCell ref="AF602:AF603"/>
    <mergeCell ref="AE604:AE607"/>
    <mergeCell ref="AF604:AF607"/>
    <mergeCell ref="AG604:AG607"/>
    <mergeCell ref="AH604:AH607"/>
    <mergeCell ref="AF608:AF610"/>
    <mergeCell ref="AG608:AG610"/>
    <mergeCell ref="AH608:AH610"/>
    <mergeCell ref="AF356:AF357"/>
    <mergeCell ref="AG381:AG387"/>
    <mergeCell ref="AH381:AH387"/>
    <mergeCell ref="AF358:AF362"/>
    <mergeCell ref="AG358:AG362"/>
    <mergeCell ref="AE450:AE457"/>
    <mergeCell ref="AE458:AE465"/>
    <mergeCell ref="AE466:AE470"/>
    <mergeCell ref="AE501:AE505"/>
    <mergeCell ref="AE506:AE507"/>
    <mergeCell ref="AE471:AE474"/>
    <mergeCell ref="AE475:AE476"/>
    <mergeCell ref="AE477:AE481"/>
    <mergeCell ref="AE482:AE483"/>
    <mergeCell ref="AE484:AE488"/>
    <mergeCell ref="AE489:AE491"/>
    <mergeCell ref="AE492:AE500"/>
    <mergeCell ref="AG257:AG265"/>
    <mergeCell ref="AH257:AH265"/>
    <mergeCell ref="AE253:AE254"/>
    <mergeCell ref="AE255:AE256"/>
    <mergeCell ref="AF255:AF256"/>
    <mergeCell ref="AG255:AG256"/>
    <mergeCell ref="AH255:AH256"/>
    <mergeCell ref="AE257:AE265"/>
    <mergeCell ref="AF257:AF265"/>
    <mergeCell ref="AE266:AE273"/>
    <mergeCell ref="AF266:AF273"/>
    <mergeCell ref="AG266:AG273"/>
    <mergeCell ref="AH266:AH273"/>
    <mergeCell ref="AF274:AF282"/>
    <mergeCell ref="AG274:AG282"/>
    <mergeCell ref="AH274:AH282"/>
    <mergeCell ref="AG287:AG288"/>
    <mergeCell ref="AH287:AH288"/>
    <mergeCell ref="AF283:AF284"/>
    <mergeCell ref="AG283:AG284"/>
    <mergeCell ref="AE325:AE329"/>
    <mergeCell ref="AE330:AE334"/>
    <mergeCell ref="AE335:AE345"/>
    <mergeCell ref="AE348:AE352"/>
    <mergeCell ref="AE353:AE355"/>
    <mergeCell ref="AE356:AE357"/>
    <mergeCell ref="AE358:AE362"/>
    <mergeCell ref="AE363:AE380"/>
    <mergeCell ref="AE381:AE387"/>
    <mergeCell ref="AE388:AE391"/>
    <mergeCell ref="AE392:AE393"/>
    <mergeCell ref="AE394:AE395"/>
    <mergeCell ref="AE396:AE402"/>
    <mergeCell ref="AE403:AE404"/>
    <mergeCell ref="AE405:AE406"/>
    <mergeCell ref="AE407:AE408"/>
    <mergeCell ref="AE442:AE449"/>
    <mergeCell ref="AG310:AG311"/>
    <mergeCell ref="AH310:AH311"/>
    <mergeCell ref="AF303:AF307"/>
    <mergeCell ref="AG303:AG307"/>
    <mergeCell ref="AH303:AH307"/>
    <mergeCell ref="AF308:AF309"/>
    <mergeCell ref="AG308:AG309"/>
    <mergeCell ref="AH308:AH309"/>
    <mergeCell ref="AF310:AF311"/>
    <mergeCell ref="AE274:AE282"/>
    <mergeCell ref="AE283:AE284"/>
    <mergeCell ref="AE285:AE286"/>
    <mergeCell ref="AE287:AE288"/>
    <mergeCell ref="AE289:AE292"/>
    <mergeCell ref="AE293:AE295"/>
    <mergeCell ref="AE298:AE302"/>
    <mergeCell ref="AE318:AE324"/>
    <mergeCell ref="AH283:AH284"/>
    <mergeCell ref="AF285:AF286"/>
    <mergeCell ref="AG285:AG286"/>
    <mergeCell ref="AH285:AH286"/>
    <mergeCell ref="AF287:AF288"/>
    <mergeCell ref="AE303:AE307"/>
    <mergeCell ref="AE308:AE309"/>
    <mergeCell ref="AE310:AE311"/>
    <mergeCell ref="AE312:AE314"/>
    <mergeCell ref="AF312:AF314"/>
    <mergeCell ref="AG312:AG314"/>
    <mergeCell ref="AH312:AH314"/>
    <mergeCell ref="AE315:AE317"/>
    <mergeCell ref="AF315:AF317"/>
    <mergeCell ref="AG315:AG317"/>
    <mergeCell ref="AG87:AG92"/>
    <mergeCell ref="AH87:AH92"/>
    <mergeCell ref="AH93:AH96"/>
    <mergeCell ref="AG101:AG102"/>
    <mergeCell ref="AH101:AH102"/>
    <mergeCell ref="AE249:AE250"/>
    <mergeCell ref="AF249:AF250"/>
    <mergeCell ref="AG249:AG250"/>
    <mergeCell ref="AH249:AH250"/>
    <mergeCell ref="AF253:AF254"/>
    <mergeCell ref="AG253:AG254"/>
    <mergeCell ref="AH253:AH254"/>
    <mergeCell ref="AG298:AG302"/>
    <mergeCell ref="AH298:AH302"/>
    <mergeCell ref="AF289:AF292"/>
    <mergeCell ref="AG289:AG292"/>
    <mergeCell ref="AH289:AH292"/>
    <mergeCell ref="AF293:AF295"/>
    <mergeCell ref="AG293:AG295"/>
    <mergeCell ref="AH293:AH295"/>
    <mergeCell ref="AF298:AF302"/>
    <mergeCell ref="AE132:AE133"/>
    <mergeCell ref="AF132:AF133"/>
    <mergeCell ref="AG132:AG133"/>
    <mergeCell ref="AH132:AH133"/>
    <mergeCell ref="AE151:AE157"/>
    <mergeCell ref="AF151:AF157"/>
    <mergeCell ref="AG55:AG59"/>
    <mergeCell ref="AH55:AH59"/>
    <mergeCell ref="AE60:AE63"/>
    <mergeCell ref="AF60:AF63"/>
    <mergeCell ref="AG60:AG63"/>
    <mergeCell ref="AH60:AH63"/>
    <mergeCell ref="AE64:AE65"/>
    <mergeCell ref="AH64:AH65"/>
    <mergeCell ref="AF64:AF65"/>
    <mergeCell ref="AG64:AG65"/>
    <mergeCell ref="AE71:AE72"/>
    <mergeCell ref="AF71:AF72"/>
    <mergeCell ref="AG71:AG72"/>
    <mergeCell ref="AH71:AH72"/>
    <mergeCell ref="AE73:AE74"/>
    <mergeCell ref="AH73:AH74"/>
    <mergeCell ref="AF73:AF74"/>
    <mergeCell ref="AG73:AG74"/>
    <mergeCell ref="AE75:AE84"/>
    <mergeCell ref="AF75:AF84"/>
    <mergeCell ref="AG75:AG84"/>
    <mergeCell ref="AH75:AH84"/>
    <mergeCell ref="AE85:AE86"/>
    <mergeCell ref="AH85:AH86"/>
    <mergeCell ref="AF93:AF96"/>
    <mergeCell ref="AG93:AG96"/>
    <mergeCell ref="AF85:AF86"/>
    <mergeCell ref="AG85:AG86"/>
    <mergeCell ref="AE87:AE92"/>
    <mergeCell ref="AF87:AF92"/>
    <mergeCell ref="AE211:AE213"/>
    <mergeCell ref="AF211:AF213"/>
    <mergeCell ref="AG211:AG213"/>
    <mergeCell ref="AH211:AH213"/>
    <mergeCell ref="AE214:AE221"/>
    <mergeCell ref="AF214:AF221"/>
    <mergeCell ref="AF224:AF225"/>
    <mergeCell ref="AG224:AG225"/>
    <mergeCell ref="AG214:AG221"/>
    <mergeCell ref="AH214:AH221"/>
    <mergeCell ref="AE222:AE223"/>
    <mergeCell ref="AF222:AF223"/>
    <mergeCell ref="AG222:AG223"/>
    <mergeCell ref="AH222:AH223"/>
    <mergeCell ref="AH224:AH225"/>
    <mergeCell ref="AG228:AG248"/>
    <mergeCell ref="AH228:AH248"/>
    <mergeCell ref="AE224:AE225"/>
    <mergeCell ref="AE226:AE227"/>
    <mergeCell ref="AF226:AF227"/>
    <mergeCell ref="AG226:AG227"/>
    <mergeCell ref="AH226:AH227"/>
    <mergeCell ref="AE228:AE248"/>
    <mergeCell ref="AF228:AF248"/>
    <mergeCell ref="AG195:AG197"/>
    <mergeCell ref="AH195:AH197"/>
    <mergeCell ref="AE180:AE187"/>
    <mergeCell ref="AE188:AE194"/>
    <mergeCell ref="AF188:AF194"/>
    <mergeCell ref="AG188:AG194"/>
    <mergeCell ref="AH188:AH194"/>
    <mergeCell ref="AE195:AE197"/>
    <mergeCell ref="AF195:AF197"/>
    <mergeCell ref="AE198:AE204"/>
    <mergeCell ref="AF198:AF204"/>
    <mergeCell ref="AG198:AG204"/>
    <mergeCell ref="AH198:AH204"/>
    <mergeCell ref="AF205:AF210"/>
    <mergeCell ref="AG205:AG210"/>
    <mergeCell ref="AH205:AH210"/>
    <mergeCell ref="AE205:AE210"/>
    <mergeCell ref="AE166:AE169"/>
    <mergeCell ref="AH166:AH169"/>
    <mergeCell ref="AF166:AF169"/>
    <mergeCell ref="AG166:AG169"/>
    <mergeCell ref="AE172:AE174"/>
    <mergeCell ref="AF172:AF174"/>
    <mergeCell ref="AG172:AG174"/>
    <mergeCell ref="AH172:AH174"/>
    <mergeCell ref="AE175:AE177"/>
    <mergeCell ref="AH175:AH177"/>
    <mergeCell ref="AF180:AF187"/>
    <mergeCell ref="AG180:AG187"/>
    <mergeCell ref="AF175:AF177"/>
    <mergeCell ref="AG175:AG177"/>
    <mergeCell ref="AE178:AE179"/>
    <mergeCell ref="AF178:AF179"/>
    <mergeCell ref="AG178:AG179"/>
    <mergeCell ref="AH178:AH179"/>
    <mergeCell ref="AH180:AH187"/>
    <mergeCell ref="AE93:AE96"/>
    <mergeCell ref="AE99:AE100"/>
    <mergeCell ref="AF99:AF100"/>
    <mergeCell ref="AG99:AG100"/>
    <mergeCell ref="AH99:AH100"/>
    <mergeCell ref="AE101:AE102"/>
    <mergeCell ref="AF101:AF102"/>
    <mergeCell ref="AE103:AE106"/>
    <mergeCell ref="AF103:AF106"/>
    <mergeCell ref="AG103:AG106"/>
    <mergeCell ref="AH103:AH106"/>
    <mergeCell ref="AF107:AF109"/>
    <mergeCell ref="AG107:AG109"/>
    <mergeCell ref="AH107:AH109"/>
    <mergeCell ref="AG151:AG157"/>
    <mergeCell ref="AH151:AH157"/>
    <mergeCell ref="AE158:AE165"/>
    <mergeCell ref="AF158:AF165"/>
    <mergeCell ref="AG158:AG165"/>
    <mergeCell ref="AH158:AH165"/>
    <mergeCell ref="AE114:AE120"/>
    <mergeCell ref="AF114:AF120"/>
    <mergeCell ref="AG114:AG120"/>
    <mergeCell ref="AH114:AH120"/>
    <mergeCell ref="AF134:AF141"/>
    <mergeCell ref="AG134:AG141"/>
    <mergeCell ref="AH134:AH141"/>
    <mergeCell ref="AE134:AE141"/>
    <mergeCell ref="AE142:AE150"/>
    <mergeCell ref="AF142:AF150"/>
    <mergeCell ref="AG142:AG150"/>
    <mergeCell ref="AH142:AH150"/>
    <mergeCell ref="I352:I353"/>
    <mergeCell ref="J352:J353"/>
    <mergeCell ref="K352:K353"/>
    <mergeCell ref="H354:H359"/>
    <mergeCell ref="I354:I359"/>
    <mergeCell ref="J354:J359"/>
    <mergeCell ref="K354:K359"/>
    <mergeCell ref="H360:H364"/>
    <mergeCell ref="I360:I364"/>
    <mergeCell ref="J360:J364"/>
    <mergeCell ref="K360:K364"/>
    <mergeCell ref="N363:N380"/>
    <mergeCell ref="J367:J371"/>
    <mergeCell ref="K367:K371"/>
    <mergeCell ref="H367:H371"/>
    <mergeCell ref="I367:I371"/>
    <mergeCell ref="H374:H377"/>
    <mergeCell ref="I374:I377"/>
    <mergeCell ref="I297:I303"/>
    <mergeCell ref="J297:J303"/>
    <mergeCell ref="K297:K303"/>
    <mergeCell ref="S303:S307"/>
    <mergeCell ref="T315:T317"/>
    <mergeCell ref="U315:U317"/>
    <mergeCell ref="J312:J317"/>
    <mergeCell ref="K312:K317"/>
    <mergeCell ref="S312:S314"/>
    <mergeCell ref="T312:T314"/>
    <mergeCell ref="U312:U314"/>
    <mergeCell ref="V312:V314"/>
    <mergeCell ref="S315:S317"/>
    <mergeCell ref="V315:V317"/>
    <mergeCell ref="J271:J280"/>
    <mergeCell ref="K271:K280"/>
    <mergeCell ref="H281:H290"/>
    <mergeCell ref="I281:I290"/>
    <mergeCell ref="J281:J290"/>
    <mergeCell ref="K281:K290"/>
    <mergeCell ref="K291:K296"/>
    <mergeCell ref="S283:S284"/>
    <mergeCell ref="S285:S286"/>
    <mergeCell ref="T285:T286"/>
    <mergeCell ref="U285:U286"/>
    <mergeCell ref="V285:V286"/>
    <mergeCell ref="S287:S288"/>
    <mergeCell ref="T287:T288"/>
    <mergeCell ref="S289:S292"/>
    <mergeCell ref="T289:T292"/>
    <mergeCell ref="U289:U292"/>
    <mergeCell ref="V289:V292"/>
    <mergeCell ref="T293:T295"/>
    <mergeCell ref="U293:U295"/>
    <mergeCell ref="V293:V295"/>
    <mergeCell ref="P351:Q351"/>
    <mergeCell ref="P352:Q352"/>
    <mergeCell ref="S293:S295"/>
    <mergeCell ref="S298:S302"/>
    <mergeCell ref="T298:T302"/>
    <mergeCell ref="U298:U302"/>
    <mergeCell ref="V298:V302"/>
    <mergeCell ref="P349:Q349"/>
    <mergeCell ref="P350:Q350"/>
    <mergeCell ref="T353:T355"/>
    <mergeCell ref="U353:U355"/>
    <mergeCell ref="S356:S357"/>
    <mergeCell ref="T356:T357"/>
    <mergeCell ref="U356:U357"/>
    <mergeCell ref="S358:S362"/>
    <mergeCell ref="S363:S380"/>
    <mergeCell ref="T363:T380"/>
    <mergeCell ref="U363:U380"/>
    <mergeCell ref="Z363:Z380"/>
    <mergeCell ref="S381:S387"/>
    <mergeCell ref="T381:T387"/>
    <mergeCell ref="U381:U387"/>
    <mergeCell ref="T403:T404"/>
    <mergeCell ref="U403:U404"/>
    <mergeCell ref="V388:V391"/>
    <mergeCell ref="V392:V393"/>
    <mergeCell ref="S396:S402"/>
    <mergeCell ref="T396:T402"/>
    <mergeCell ref="U396:U402"/>
    <mergeCell ref="V396:V402"/>
    <mergeCell ref="S403:S404"/>
    <mergeCell ref="T394:T395"/>
    <mergeCell ref="U394:U395"/>
    <mergeCell ref="S388:S391"/>
    <mergeCell ref="T388:T391"/>
    <mergeCell ref="U388:U391"/>
    <mergeCell ref="S392:S393"/>
    <mergeCell ref="T392:T393"/>
    <mergeCell ref="U392:U393"/>
    <mergeCell ref="S394:S395"/>
    <mergeCell ref="AE409:AE432"/>
    <mergeCell ref="AF409:AF432"/>
    <mergeCell ref="AG409:AG432"/>
    <mergeCell ref="AH409:AH432"/>
    <mergeCell ref="S433:S434"/>
    <mergeCell ref="T433:T434"/>
    <mergeCell ref="U433:U434"/>
    <mergeCell ref="AE433:AE434"/>
    <mergeCell ref="AF433:AF434"/>
    <mergeCell ref="AG433:AG434"/>
    <mergeCell ref="AH433:AH434"/>
    <mergeCell ref="S435:S439"/>
    <mergeCell ref="T435:T439"/>
    <mergeCell ref="U435:U439"/>
    <mergeCell ref="AE435:AE439"/>
    <mergeCell ref="AF435:AF439"/>
    <mergeCell ref="AG435:AG439"/>
    <mergeCell ref="AH435:AH439"/>
    <mergeCell ref="S409:S432"/>
    <mergeCell ref="H431:H433"/>
    <mergeCell ref="I431:I433"/>
    <mergeCell ref="V394:V395"/>
    <mergeCell ref="V403:V404"/>
    <mergeCell ref="V405:V406"/>
    <mergeCell ref="V407:V408"/>
    <mergeCell ref="Y348:Y439"/>
    <mergeCell ref="Z409:Z432"/>
    <mergeCell ref="Z435:Z436"/>
    <mergeCell ref="V433:V434"/>
    <mergeCell ref="V435:V439"/>
    <mergeCell ref="V348:V352"/>
    <mergeCell ref="V353:V355"/>
    <mergeCell ref="V356:V357"/>
    <mergeCell ref="V358:V362"/>
    <mergeCell ref="V363:V380"/>
    <mergeCell ref="V381:V387"/>
    <mergeCell ref="V409:V432"/>
    <mergeCell ref="T409:T432"/>
    <mergeCell ref="U409:U432"/>
    <mergeCell ref="S405:S406"/>
    <mergeCell ref="T405:T406"/>
    <mergeCell ref="U405:U406"/>
    <mergeCell ref="S407:S408"/>
    <mergeCell ref="T407:T408"/>
    <mergeCell ref="U407:U408"/>
    <mergeCell ref="S348:S352"/>
    <mergeCell ref="T348:T352"/>
    <mergeCell ref="U348:U352"/>
    <mergeCell ref="T358:T362"/>
    <mergeCell ref="U358:U362"/>
    <mergeCell ref="S353:S355"/>
    <mergeCell ref="H406:H407"/>
    <mergeCell ref="I406:I407"/>
    <mergeCell ref="J422:J426"/>
    <mergeCell ref="K422:K426"/>
    <mergeCell ref="J427:J430"/>
    <mergeCell ref="K427:K430"/>
    <mergeCell ref="J406:J407"/>
    <mergeCell ref="K406:K407"/>
    <mergeCell ref="N409:N432"/>
    <mergeCell ref="J410:J414"/>
    <mergeCell ref="K410:K414"/>
    <mergeCell ref="J415:J418"/>
    <mergeCell ref="K415:K418"/>
    <mergeCell ref="N435:N436"/>
    <mergeCell ref="H312:H317"/>
    <mergeCell ref="H352:H353"/>
    <mergeCell ref="J431:J433"/>
    <mergeCell ref="K431:K433"/>
    <mergeCell ref="I312:I317"/>
    <mergeCell ref="M348:M439"/>
    <mergeCell ref="H410:H414"/>
    <mergeCell ref="I410:I414"/>
    <mergeCell ref="H415:H418"/>
    <mergeCell ref="I415:I418"/>
    <mergeCell ref="H419:H421"/>
    <mergeCell ref="I419:I421"/>
    <mergeCell ref="J419:J421"/>
    <mergeCell ref="K419:K421"/>
    <mergeCell ref="H422:H426"/>
    <mergeCell ref="I422:I426"/>
    <mergeCell ref="H427:H430"/>
    <mergeCell ref="I427:I430"/>
    <mergeCell ref="H387:H393"/>
    <mergeCell ref="I387:I393"/>
    <mergeCell ref="J387:J393"/>
    <mergeCell ref="K387:K393"/>
    <mergeCell ref="H394:H397"/>
    <mergeCell ref="I394:I397"/>
    <mergeCell ref="J394:J397"/>
    <mergeCell ref="K394:K397"/>
    <mergeCell ref="H398:H400"/>
    <mergeCell ref="I398:I400"/>
    <mergeCell ref="J398:J400"/>
    <mergeCell ref="K398:K400"/>
    <mergeCell ref="H401:H402"/>
    <mergeCell ref="I401:I402"/>
    <mergeCell ref="J401:J402"/>
    <mergeCell ref="K401:K402"/>
    <mergeCell ref="H403:H405"/>
    <mergeCell ref="I403:I405"/>
    <mergeCell ref="J403:J405"/>
    <mergeCell ref="K403:K405"/>
    <mergeCell ref="Z266:Z267"/>
    <mergeCell ref="S325:S329"/>
    <mergeCell ref="T325:T329"/>
    <mergeCell ref="U325:U329"/>
    <mergeCell ref="V325:V329"/>
    <mergeCell ref="S330:S334"/>
    <mergeCell ref="T330:T334"/>
    <mergeCell ref="U330:U334"/>
    <mergeCell ref="V330:V334"/>
    <mergeCell ref="Z335:Z336"/>
    <mergeCell ref="AB349:AC349"/>
    <mergeCell ref="AB350:AC350"/>
    <mergeCell ref="AB351:AC351"/>
    <mergeCell ref="AB352:AC352"/>
    <mergeCell ref="J374:J377"/>
    <mergeCell ref="K374:K377"/>
    <mergeCell ref="H378:H386"/>
    <mergeCell ref="I378:I386"/>
    <mergeCell ref="J378:J386"/>
    <mergeCell ref="K378:K386"/>
    <mergeCell ref="H291:H296"/>
    <mergeCell ref="H306:H311"/>
    <mergeCell ref="I306:I311"/>
    <mergeCell ref="J306:J311"/>
    <mergeCell ref="K306:K311"/>
    <mergeCell ref="T303:T307"/>
    <mergeCell ref="U303:U307"/>
    <mergeCell ref="V303:V307"/>
    <mergeCell ref="S308:S309"/>
    <mergeCell ref="T308:T309"/>
    <mergeCell ref="U308:U309"/>
    <mergeCell ref="V308:V309"/>
    <mergeCell ref="S335:S345"/>
    <mergeCell ref="T335:T345"/>
    <mergeCell ref="U335:U345"/>
    <mergeCell ref="V335:V345"/>
    <mergeCell ref="S253:S254"/>
    <mergeCell ref="T253:T254"/>
    <mergeCell ref="U253:U254"/>
    <mergeCell ref="V253:V254"/>
    <mergeCell ref="Y253:Y345"/>
    <mergeCell ref="S255:S256"/>
    <mergeCell ref="T255:T256"/>
    <mergeCell ref="U257:U265"/>
    <mergeCell ref="V257:V265"/>
    <mergeCell ref="S266:S273"/>
    <mergeCell ref="T266:T273"/>
    <mergeCell ref="U266:U273"/>
    <mergeCell ref="V266:V273"/>
    <mergeCell ref="S310:S311"/>
    <mergeCell ref="T310:T311"/>
    <mergeCell ref="U310:U311"/>
    <mergeCell ref="V310:V311"/>
    <mergeCell ref="T283:T284"/>
    <mergeCell ref="U283:U284"/>
    <mergeCell ref="S257:S265"/>
    <mergeCell ref="T257:T265"/>
    <mergeCell ref="S274:S282"/>
    <mergeCell ref="T274:T282"/>
    <mergeCell ref="U274:U282"/>
    <mergeCell ref="V274:V282"/>
    <mergeCell ref="V283:V284"/>
    <mergeCell ref="U287:U288"/>
    <mergeCell ref="V287:V288"/>
    <mergeCell ref="H263:H270"/>
    <mergeCell ref="I263:I270"/>
    <mergeCell ref="J263:J270"/>
    <mergeCell ref="K263:K270"/>
    <mergeCell ref="H271:H280"/>
    <mergeCell ref="I271:I280"/>
    <mergeCell ref="I334:I338"/>
    <mergeCell ref="J334:J338"/>
    <mergeCell ref="N335:N336"/>
    <mergeCell ref="J323:J327"/>
    <mergeCell ref="K323:K327"/>
    <mergeCell ref="H328:H333"/>
    <mergeCell ref="I328:I333"/>
    <mergeCell ref="J328:J333"/>
    <mergeCell ref="K328:K333"/>
    <mergeCell ref="K334:K338"/>
    <mergeCell ref="J343:J344"/>
    <mergeCell ref="K343:K344"/>
    <mergeCell ref="H334:H338"/>
    <mergeCell ref="H341:H342"/>
    <mergeCell ref="I341:I342"/>
    <mergeCell ref="J341:J342"/>
    <mergeCell ref="K341:K342"/>
    <mergeCell ref="H343:H344"/>
    <mergeCell ref="I343:I344"/>
    <mergeCell ref="H304:H305"/>
    <mergeCell ref="I304:I305"/>
    <mergeCell ref="J304:J305"/>
    <mergeCell ref="K304:K305"/>
    <mergeCell ref="I291:I296"/>
    <mergeCell ref="J291:J296"/>
    <mergeCell ref="H297:H303"/>
    <mergeCell ref="Z198:Z199"/>
    <mergeCell ref="U175:U177"/>
    <mergeCell ref="V175:V177"/>
    <mergeCell ref="Y251:AA251"/>
    <mergeCell ref="Y252:AA252"/>
    <mergeCell ref="Z257:Z258"/>
    <mergeCell ref="S178:S179"/>
    <mergeCell ref="T178:T179"/>
    <mergeCell ref="P192:Q192"/>
    <mergeCell ref="P194:Q194"/>
    <mergeCell ref="T195:T197"/>
    <mergeCell ref="U195:U197"/>
    <mergeCell ref="V195:V197"/>
    <mergeCell ref="H246:H252"/>
    <mergeCell ref="I246:I252"/>
    <mergeCell ref="J246:J252"/>
    <mergeCell ref="K246:K252"/>
    <mergeCell ref="I253:I262"/>
    <mergeCell ref="J253:J262"/>
    <mergeCell ref="K253:K262"/>
    <mergeCell ref="H253:H262"/>
    <mergeCell ref="H207:H211"/>
    <mergeCell ref="I207:I211"/>
    <mergeCell ref="J207:J211"/>
    <mergeCell ref="K207:K211"/>
    <mergeCell ref="S195:S197"/>
    <mergeCell ref="S214:S221"/>
    <mergeCell ref="T214:T221"/>
    <mergeCell ref="I197:I206"/>
    <mergeCell ref="J197:J206"/>
    <mergeCell ref="N198:N199"/>
    <mergeCell ref="N214:N215"/>
    <mergeCell ref="U178:U179"/>
    <mergeCell ref="V178:V179"/>
    <mergeCell ref="AB180:AC180"/>
    <mergeCell ref="AB181:AC181"/>
    <mergeCell ref="AB182:AC182"/>
    <mergeCell ref="H169:H170"/>
    <mergeCell ref="I169:I170"/>
    <mergeCell ref="J169:J170"/>
    <mergeCell ref="K169:K170"/>
    <mergeCell ref="M170:O170"/>
    <mergeCell ref="H171:H179"/>
    <mergeCell ref="H180:H185"/>
    <mergeCell ref="I180:I185"/>
    <mergeCell ref="J180:J185"/>
    <mergeCell ref="K180:K185"/>
    <mergeCell ref="P180:Q180"/>
    <mergeCell ref="S180:S187"/>
    <mergeCell ref="P181:Q181"/>
    <mergeCell ref="P182:Q182"/>
    <mergeCell ref="T180:T187"/>
    <mergeCell ref="U180:U187"/>
    <mergeCell ref="V180:V187"/>
    <mergeCell ref="H186:H188"/>
    <mergeCell ref="I186:I188"/>
    <mergeCell ref="J186:J188"/>
    <mergeCell ref="K186:K188"/>
    <mergeCell ref="S188:S194"/>
    <mergeCell ref="T188:T194"/>
    <mergeCell ref="U188:U194"/>
    <mergeCell ref="V188:V194"/>
    <mergeCell ref="AB192:AC192"/>
    <mergeCell ref="AB194:AC194"/>
    <mergeCell ref="Z158:Z159"/>
    <mergeCell ref="Y170:AA170"/>
    <mergeCell ref="Y171:AA171"/>
    <mergeCell ref="H152:H162"/>
    <mergeCell ref="I152:I162"/>
    <mergeCell ref="J152:J162"/>
    <mergeCell ref="K152:K162"/>
    <mergeCell ref="N158:N159"/>
    <mergeCell ref="S158:S165"/>
    <mergeCell ref="T158:T165"/>
    <mergeCell ref="U158:U165"/>
    <mergeCell ref="V158:V165"/>
    <mergeCell ref="H163:H168"/>
    <mergeCell ref="I163:I168"/>
    <mergeCell ref="J163:J168"/>
    <mergeCell ref="K163:K168"/>
    <mergeCell ref="S166:S169"/>
    <mergeCell ref="T166:T169"/>
    <mergeCell ref="U166:U169"/>
    <mergeCell ref="V166:V169"/>
    <mergeCell ref="U134:U141"/>
    <mergeCell ref="V134:V141"/>
    <mergeCell ref="H135:H145"/>
    <mergeCell ref="I135:I145"/>
    <mergeCell ref="J135:J145"/>
    <mergeCell ref="K135:K145"/>
    <mergeCell ref="S142:S150"/>
    <mergeCell ref="T142:T150"/>
    <mergeCell ref="U142:U150"/>
    <mergeCell ref="V142:V150"/>
    <mergeCell ref="H146:H149"/>
    <mergeCell ref="I146:I149"/>
    <mergeCell ref="J146:J149"/>
    <mergeCell ref="K146:K149"/>
    <mergeCell ref="H150:H151"/>
    <mergeCell ref="I150:I151"/>
    <mergeCell ref="J150:J151"/>
    <mergeCell ref="K150:K151"/>
    <mergeCell ref="S151:S157"/>
    <mergeCell ref="T151:T157"/>
    <mergeCell ref="U151:U157"/>
    <mergeCell ref="V151:V157"/>
  </mergeCells>
  <conditionalFormatting sqref="K1 V1 AH1 AH3:AH9 V3:V10 K3:K922 V12:V68 AH12:AH68 V71:V96 AH71:AH96 V99:V169 AH99:AH169 V172:V180 AH172:AH180 V188 AH188 V195 AH195 V198:V211 AH198:AH211 V214:V227 AH214:AH227 V249:V250 AH249:AH250 V253 AH253 V255 AH255 V257:V283 AH257:AH283 V285 AH285 V287 AH287 V289 AH289 V293 AH293 V296:V297 AH296:AH297 V303 AH303 V308 AH308 V312 AH312 V315:V345 AH315:AH345 V348:V349 AH348:AH349 V353:V362 AH353:AH362 V381:V395 AH381:AH395 V403:V408 AH403:AH408 V433:V439 AH433:AH439 V475:V476 AH475:AH476 V482:V483 AH482:AH483 V506:V511 AH506:AH511 V589:V591 AH589:AH591 V611:V617 AH611:AH617 V631:V636 AH631:AH636 V773:V774 AH773:AH774 V790:V791 AH790:AH791">
    <cfRule type="cellIs" dxfId="3" priority="1" operator="between">
      <formula>"50%"</formula>
      <formula>"75%"</formula>
    </cfRule>
    <cfRule type="cellIs" dxfId="2" priority="2" operator="greaterThan">
      <formula>"75%"</formula>
    </cfRule>
    <cfRule type="cellIs" dxfId="1" priority="3" operator="lessThanOrEqual">
      <formula>"50%"</formula>
    </cfRule>
  </conditionalFormatting>
  <conditionalFormatting sqref="V527:V531 AH527:AH531 V548:V557 AH548:AH557 V560:V569 AH560:AH569 V592:V597 AH592:AH597">
    <cfRule type="notContainsBlanks" dxfId="0" priority="4">
      <formula>LEN(TRIM(V527))&gt;0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Marges (sans AO) 2025</vt:lpstr>
      <vt:lpstr>Marges (avec AO) 2025</vt:lpstr>
      <vt:lpstr>Pessac 2024-2025</vt:lpstr>
      <vt:lpstr>Gif-sur-Yvette 2024-2025</vt:lpstr>
      <vt:lpstr>Marges 2024 </vt:lpstr>
      <vt:lpstr>Marges 2022 - 2023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 Cheikh</cp:lastModifiedBy>
  <dcterms:created xsi:type="dcterms:W3CDTF">2026-04-27T14:34:21Z</dcterms:created>
  <dcterms:modified xsi:type="dcterms:W3CDTF">2026-04-27T14:34:21Z</dcterms:modified>
</cp:coreProperties>
</file>