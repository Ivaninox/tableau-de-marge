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Saisie 2026" sheetId="2" state="visible" r:id="rId4"/>
    <sheet name="📋 AO — Pessac" sheetId="3" state="visible" r:id="rId5"/>
    <sheet name="📋 AO — Gif-sur-Yvette" sheetId="4" state="visible" r:id="rId6"/>
    <sheet name="📋 AO — MEL 2025" sheetId="5" state="visible" r:id="rId7"/>
    <sheet name="📋 Archives — Cergy" sheetId="6" state="visible" r:id="rId8"/>
    <sheet name="📋 Archives — 2024" sheetId="7" state="visible" r:id="rId9"/>
    <sheet name="📋 Archives — 2022-2023" sheetId="8" state="visible" r:id="rId10"/>
    <sheet name="⚙️ Confi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<sst xmlns="http://schemas.openxmlformats.org/spreadsheetml/2006/main" count="9248" uniqueCount="942">
  <si>
    <t xml:space="preserve">  FLYING FOR YOU  ·  Dashboard Marges</t>
  </si>
  <si>
    <t xml:space="preserve">Année :</t>
  </si>
  <si>
    <t xml:space="preserve">← Cliquez sur D4 et choisissez l'année dans le menu déroulant</t>
  </si>
  <si>
    <t xml:space="preserve">CA total HT</t>
  </si>
  <si>
    <t xml:space="preserve">Bénéfice brut</t>
  </si>
  <si>
    <t xml:space="preserve">Marge moyenne</t>
  </si>
  <si>
    <t xml:space="preserve">vs année N-1</t>
  </si>
  <si>
    <t xml:space="preserve">Nb opérations</t>
  </si>
  <si>
    <t xml:space="preserve">Récapitulatif mensuel</t>
  </si>
  <si>
    <t xml:space="preserve">Comparaison marges par année</t>
  </si>
  <si>
    <t xml:space="preserve">Mois</t>
  </si>
  <si>
    <t xml:space="preserve">CA HT</t>
  </si>
  <si>
    <t xml:space="preserve">Coût prod.</t>
  </si>
  <si>
    <t xml:space="preserve">Bénéfice</t>
  </si>
  <si>
    <t xml:space="preserve">Marge %</t>
  </si>
  <si>
    <t xml:space="preserve">Nb opés</t>
  </si>
  <si>
    <t xml:space="preserve">2026</t>
  </si>
  <si>
    <t xml:space="preserve">2025</t>
  </si>
  <si>
    <t xml:space="preserve">2024</t>
  </si>
  <si>
    <t xml:space="preserve">2023</t>
  </si>
  <si>
    <t xml:space="preserve">Janvier</t>
  </si>
  <si>
    <t xml:space="preserve">Jan</t>
  </si>
  <si>
    <t xml:space="preserve">Février</t>
  </si>
  <si>
    <t xml:space="preserve">Fév</t>
  </si>
  <si>
    <t xml:space="preserve">Mars</t>
  </si>
  <si>
    <t xml:space="preserve">Mar</t>
  </si>
  <si>
    <t xml:space="preserve">Avril</t>
  </si>
  <si>
    <t xml:space="preserve">Avr</t>
  </si>
  <si>
    <t xml:space="preserve">Mai</t>
  </si>
  <si>
    <t xml:space="preserve">Juin</t>
  </si>
  <si>
    <t xml:space="preserve">Jun</t>
  </si>
  <si>
    <t xml:space="preserve">Juillet</t>
  </si>
  <si>
    <t xml:space="preserve">Jul</t>
  </si>
  <si>
    <t xml:space="preserve">Août</t>
  </si>
  <si>
    <t xml:space="preserve">Aoû</t>
  </si>
  <si>
    <t xml:space="preserve">Septembre</t>
  </si>
  <si>
    <t xml:space="preserve">Sep</t>
  </si>
  <si>
    <t xml:space="preserve">Octobre</t>
  </si>
  <si>
    <t xml:space="preserve">Oct</t>
  </si>
  <si>
    <t xml:space="preserve">Novembre</t>
  </si>
  <si>
    <t xml:space="preserve">Nov</t>
  </si>
  <si>
    <t xml:space="preserve">Décembre</t>
  </si>
  <si>
    <t xml:space="preserve">Déc</t>
  </si>
  <si>
    <t xml:space="preserve">TOTAL</t>
  </si>
  <si>
    <t xml:space="preserve">CA mensuel : Coût de production vs Bénéfice (€)</t>
  </si>
  <si>
    <t xml:space="preserve">Évolution de la marge % — Comparaison pluriannuelle</t>
  </si>
  <si>
    <t xml:space="preserve">Nombre d'opérations par mois</t>
  </si>
  <si>
    <t xml:space="preserve">Synthèse annuelle</t>
  </si>
  <si>
    <t xml:space="preserve">Année</t>
  </si>
  <si>
    <t xml:space="preserve">CA total</t>
  </si>
  <si>
    <t xml:space="preserve">  Répartition des coûts par catégorie</t>
  </si>
  <si>
    <t xml:space="preserve">Catégorie</t>
  </si>
  <si>
    <t xml:space="preserve">Coût €</t>
  </si>
  <si>
    <t xml:space="preserve">% Coûts</t>
  </si>
  <si>
    <t xml:space="preserve">% CA</t>
  </si>
  <si>
    <t xml:space="preserve">Agent CDI</t>
  </si>
  <si>
    <t xml:space="preserve">Agent</t>
  </si>
  <si>
    <t xml:space="preserve">Support</t>
  </si>
  <si>
    <t xml:space="preserve">Déplacement</t>
  </si>
  <si>
    <t xml:space="preserve">Autre</t>
  </si>
  <si>
    <t xml:space="preserve">TOTAL COÛTS</t>
  </si>
  <si>
    <t xml:space="preserve">  AO vs Hors Appels d'Offres — Marge % par mois et par année</t>
  </si>
  <si>
    <t xml:space="preserve">Hors AO</t>
  </si>
  <si>
    <t xml:space="preserve">AO</t>
  </si>
  <si>
    <t xml:space="preserve">  FLYING FOR YOU · Saisie Générale 2026 (hors Appels d'Offres)</t>
  </si>
  <si>
    <t xml:space="preserve">MARGE BRUTE  (tous coûts inclus)</t>
  </si>
  <si>
    <t xml:space="preserve">MARGE EXTERNE  (coûts CDI exclus)</t>
  </si>
  <si>
    <t xml:space="preserve">Code Opé</t>
  </si>
  <si>
    <t xml:space="preserve">Agent / Frais</t>
  </si>
  <si>
    <t xml:space="preserve">Type</t>
  </si>
  <si>
    <t xml:space="preserve">Nb h.</t>
  </si>
  <si>
    <t xml:space="preserve">Taux €/h</t>
  </si>
  <si>
    <t xml:space="preserve">Coût ligne</t>
  </si>
  <si>
    <t xml:space="preserve">Coût total</t>
  </si>
  <si>
    <t xml:space="preserve">Vente HT</t>
  </si>
  <si>
    <t xml:space="preserve">Marge Brute</t>
  </si>
  <si>
    <t xml:space="preserve">Marge Externe</t>
  </si>
  <si>
    <t xml:space="preserve">VAL126</t>
  </si>
  <si>
    <t xml:space="preserve">Hakim</t>
  </si>
  <si>
    <t xml:space="preserve">Kamelia</t>
  </si>
  <si>
    <t xml:space="preserve">Letifi</t>
  </si>
  <si>
    <t xml:space="preserve">Nassim</t>
  </si>
  <si>
    <t xml:space="preserve">Abderahmane Ghoulia</t>
  </si>
  <si>
    <t xml:space="preserve">Hamza saib</t>
  </si>
  <si>
    <t xml:space="preserve">Mimouna</t>
  </si>
  <si>
    <t xml:space="preserve">Création - Dépliants</t>
  </si>
  <si>
    <t xml:space="preserve">Impression</t>
  </si>
  <si>
    <t xml:space="preserve">MCDO0126</t>
  </si>
  <si>
    <t xml:space="preserve">Moustapha</t>
  </si>
  <si>
    <t xml:space="preserve">Youcef</t>
  </si>
  <si>
    <t xml:space="preserve">SOL126</t>
  </si>
  <si>
    <t xml:space="preserve">Raouf</t>
  </si>
  <si>
    <t xml:space="preserve">Essence</t>
  </si>
  <si>
    <t xml:space="preserve">Péage</t>
  </si>
  <si>
    <t xml:space="preserve">Airbnb</t>
  </si>
  <si>
    <t xml:space="preserve">Dépenses sur place</t>
  </si>
  <si>
    <t xml:space="preserve">PRE0126</t>
  </si>
  <si>
    <t xml:space="preserve">Raouf Extra</t>
  </si>
  <si>
    <t xml:space="preserve">Adlane</t>
  </si>
  <si>
    <t xml:space="preserve">Oualid</t>
  </si>
  <si>
    <t xml:space="preserve">Nouredine</t>
  </si>
  <si>
    <t xml:space="preserve">Aziz</t>
  </si>
  <si>
    <t xml:space="preserve">Ibrahim</t>
  </si>
  <si>
    <t xml:space="preserve">OIK0126</t>
  </si>
  <si>
    <t xml:space="preserve">VIV126</t>
  </si>
  <si>
    <t xml:space="preserve">Yazid Ali Yahia</t>
  </si>
  <si>
    <t xml:space="preserve">Abderahmane</t>
  </si>
  <si>
    <t xml:space="preserve">Repassage Sifax</t>
  </si>
  <si>
    <t xml:space="preserve">Repassage Cheikh</t>
  </si>
  <si>
    <t xml:space="preserve">STE126</t>
  </si>
  <si>
    <t xml:space="preserve">Younes</t>
  </si>
  <si>
    <t xml:space="preserve">ENG126</t>
  </si>
  <si>
    <t xml:space="preserve">ELI0126</t>
  </si>
  <si>
    <t xml:space="preserve">Achraf</t>
  </si>
  <si>
    <t xml:space="preserve">Nounou</t>
  </si>
  <si>
    <t xml:space="preserve">Staffme</t>
  </si>
  <si>
    <t xml:space="preserve">THI126</t>
  </si>
  <si>
    <t xml:space="preserve">Raouf extra</t>
  </si>
  <si>
    <t xml:space="preserve">Yazid Said Mansour</t>
  </si>
  <si>
    <t xml:space="preserve">Nassim Graichi</t>
  </si>
  <si>
    <t xml:space="preserve">Elea</t>
  </si>
  <si>
    <t xml:space="preserve">Yohan</t>
  </si>
  <si>
    <t xml:space="preserve">Nicolas</t>
  </si>
  <si>
    <t xml:space="preserve">Aymen</t>
  </si>
  <si>
    <t xml:space="preserve">Nabil</t>
  </si>
  <si>
    <t xml:space="preserve">Chams dine</t>
  </si>
  <si>
    <t xml:space="preserve">BRU0126</t>
  </si>
  <si>
    <t xml:space="preserve">ORBAL226-59 200</t>
  </si>
  <si>
    <t xml:space="preserve">Mustapha Mazouz</t>
  </si>
  <si>
    <t xml:space="preserve">Tahar</t>
  </si>
  <si>
    <t xml:space="preserve">Youcef Frais</t>
  </si>
  <si>
    <t xml:space="preserve">Nadjib</t>
  </si>
  <si>
    <t xml:space="preserve">Mooustapha Aissaoui</t>
  </si>
  <si>
    <t xml:space="preserve">Mooustapha Aissaoui Frais</t>
  </si>
  <si>
    <t xml:space="preserve">Hamza</t>
  </si>
  <si>
    <t xml:space="preserve">ENGT226</t>
  </si>
  <si>
    <t xml:space="preserve">VER226</t>
  </si>
  <si>
    <t xml:space="preserve">Yazid</t>
  </si>
  <si>
    <t xml:space="preserve">VSB226</t>
  </si>
  <si>
    <t xml:space="preserve">AFE226</t>
  </si>
  <si>
    <t xml:space="preserve">AEC0226</t>
  </si>
  <si>
    <t xml:space="preserve">Jonathan Philomene</t>
  </si>
  <si>
    <t xml:space="preserve">anis skendraoui</t>
  </si>
  <si>
    <t xml:space="preserve">Bilal Djema</t>
  </si>
  <si>
    <t xml:space="preserve">Mohamed Bah</t>
  </si>
  <si>
    <t xml:space="preserve">Jean Mary</t>
  </si>
  <si>
    <t xml:space="preserve">Arabi Amine</t>
  </si>
  <si>
    <t xml:space="preserve">NOB226</t>
  </si>
  <si>
    <t xml:space="preserve">Haizer</t>
  </si>
  <si>
    <t xml:space="preserve">SLC226</t>
  </si>
  <si>
    <t xml:space="preserve">Yazid said mansour</t>
  </si>
  <si>
    <t xml:space="preserve">Koceila</t>
  </si>
  <si>
    <t xml:space="preserve">HER226</t>
  </si>
  <si>
    <t xml:space="preserve">MEU226</t>
  </si>
  <si>
    <t xml:space="preserve">Amine Ararbi</t>
  </si>
  <si>
    <t xml:space="preserve">BOU226</t>
  </si>
  <si>
    <t xml:space="preserve">Moustapha aissaoui</t>
  </si>
  <si>
    <t xml:space="preserve">Letif</t>
  </si>
  <si>
    <t xml:space="preserve">Abdessamad</t>
  </si>
  <si>
    <t xml:space="preserve">Moustapha mazouz</t>
  </si>
  <si>
    <t xml:space="preserve">Noureddine</t>
  </si>
  <si>
    <t xml:space="preserve">Mohammed Brinis</t>
  </si>
  <si>
    <t xml:space="preserve">Souhil</t>
  </si>
  <si>
    <t xml:space="preserve">Moustapha Amine</t>
  </si>
  <si>
    <t xml:space="preserve">Khaled</t>
  </si>
  <si>
    <t xml:space="preserve">Yacine</t>
  </si>
  <si>
    <t xml:space="preserve">Massinissa</t>
  </si>
  <si>
    <t xml:space="preserve">Zilassen</t>
  </si>
  <si>
    <t xml:space="preserve">Adem</t>
  </si>
  <si>
    <t xml:space="preserve">Box</t>
  </si>
  <si>
    <t xml:space="preserve">FIG226</t>
  </si>
  <si>
    <t xml:space="preserve">ALD0226</t>
  </si>
  <si>
    <t xml:space="preserve">FAL326</t>
  </si>
  <si>
    <t xml:space="preserve">Ivan</t>
  </si>
  <si>
    <t xml:space="preserve">Cheikh</t>
  </si>
  <si>
    <t xml:space="preserve">Sofia</t>
  </si>
  <si>
    <t xml:space="preserve">Frais de vie (Bouffe/Airbnb)</t>
  </si>
  <si>
    <t xml:space="preserve">Train SNCF</t>
  </si>
  <si>
    <t xml:space="preserve">Voiture/Péage/Essence</t>
  </si>
  <si>
    <t xml:space="preserve">EEC0326</t>
  </si>
  <si>
    <t xml:space="preserve">Mostapha</t>
  </si>
  <si>
    <t xml:space="preserve">BRU0326</t>
  </si>
  <si>
    <t xml:space="preserve">Othman</t>
  </si>
  <si>
    <t xml:space="preserve">FIG326</t>
  </si>
  <si>
    <t xml:space="preserve">SIE326</t>
  </si>
  <si>
    <t xml:space="preserve">JUL0226</t>
  </si>
  <si>
    <t xml:space="preserve">Salim</t>
  </si>
  <si>
    <t xml:space="preserve">Jalel</t>
  </si>
  <si>
    <t xml:space="preserve">Zohir</t>
  </si>
  <si>
    <t xml:space="preserve">Lucas</t>
  </si>
  <si>
    <t xml:space="preserve">Semmy</t>
  </si>
  <si>
    <t xml:space="preserve">Cyrille</t>
  </si>
  <si>
    <t xml:space="preserve">Latifa</t>
  </si>
  <si>
    <t xml:space="preserve">SNCF Raouf</t>
  </si>
  <si>
    <t xml:space="preserve">ASN326</t>
  </si>
  <si>
    <t xml:space="preserve">KUN326</t>
  </si>
  <si>
    <t xml:space="preserve">Moustapha Aissaoui</t>
  </si>
  <si>
    <t xml:space="preserve">Amine</t>
  </si>
  <si>
    <t xml:space="preserve">Anis</t>
  </si>
  <si>
    <t xml:space="preserve">PHK0326</t>
  </si>
  <si>
    <t xml:space="preserve">Yacine Bilek</t>
  </si>
  <si>
    <t xml:space="preserve">sonia zaoui</t>
  </si>
  <si>
    <t xml:space="preserve">GHANI MENDIL</t>
  </si>
  <si>
    <t xml:space="preserve">LYDIA BENHALILOU</t>
  </si>
  <si>
    <t xml:space="preserve">YASMINE ALILOUCHE</t>
  </si>
  <si>
    <t xml:space="preserve">MOHAMED ABDERRAHMANE HALLAL</t>
  </si>
  <si>
    <t xml:space="preserve">RYWAN BOUDOUIA</t>
  </si>
  <si>
    <t xml:space="preserve">AMAR</t>
  </si>
  <si>
    <t xml:space="preserve">Ludovic</t>
  </si>
  <si>
    <t xml:space="preserve">SNCF</t>
  </si>
  <si>
    <t xml:space="preserve">ABD326</t>
  </si>
  <si>
    <t xml:space="preserve">CVM226</t>
  </si>
  <si>
    <t xml:space="preserve">TOR326</t>
  </si>
  <si>
    <t xml:space="preserve">DUL326</t>
  </si>
  <si>
    <t xml:space="preserve">Maimouna</t>
  </si>
  <si>
    <t xml:space="preserve">GOA326</t>
  </si>
  <si>
    <t xml:space="preserve">PEY0326</t>
  </si>
  <si>
    <t xml:space="preserve">Achraf SM Narbonne</t>
  </si>
  <si>
    <t xml:space="preserve">Mohammed SM Narbonne</t>
  </si>
  <si>
    <t xml:space="preserve">Badges</t>
  </si>
  <si>
    <t xml:space="preserve">JPA0326</t>
  </si>
  <si>
    <t xml:space="preserve">Voiture</t>
  </si>
  <si>
    <t xml:space="preserve">KHI0326</t>
  </si>
  <si>
    <t xml:space="preserve">Milo</t>
  </si>
  <si>
    <t xml:space="preserve">JUL0326</t>
  </si>
  <si>
    <t xml:space="preserve">indemnité pour journée perdue</t>
  </si>
  <si>
    <t xml:space="preserve">HUM0326</t>
  </si>
  <si>
    <t xml:space="preserve">Mohammed Turbo</t>
  </si>
  <si>
    <t xml:space="preserve">Mohammed Turbo trajet</t>
  </si>
  <si>
    <t xml:space="preserve">Ayham</t>
  </si>
  <si>
    <t xml:space="preserve">Chabane</t>
  </si>
  <si>
    <t xml:space="preserve">Dépenses</t>
  </si>
  <si>
    <t xml:space="preserve">MOR326</t>
  </si>
  <si>
    <t xml:space="preserve">COR326</t>
  </si>
  <si>
    <t xml:space="preserve">DUC326</t>
  </si>
  <si>
    <t xml:space="preserve">HUM0326 - Bis</t>
  </si>
  <si>
    <t xml:space="preserve">Claudia</t>
  </si>
  <si>
    <t xml:space="preserve">Kadidiatou Diallo</t>
  </si>
  <si>
    <t xml:space="preserve">  FLYING FOR YOU · AO Pessac — Toutes années</t>
  </si>
  <si>
    <t xml:space="preserve">Évolution de la marge — Pessac</t>
  </si>
  <si>
    <t xml:space="preserve">PESS1124</t>
  </si>
  <si>
    <t xml:space="preserve">PESS1224</t>
  </si>
  <si>
    <t xml:space="preserve">PESS0125</t>
  </si>
  <si>
    <t xml:space="preserve">PESS0225</t>
  </si>
  <si>
    <t xml:space="preserve">PESS0325</t>
  </si>
  <si>
    <t xml:space="preserve">PESS0425</t>
  </si>
  <si>
    <t xml:space="preserve">PESS0525</t>
  </si>
  <si>
    <t xml:space="preserve">PESS0625</t>
  </si>
  <si>
    <t xml:space="preserve">PESS0725</t>
  </si>
  <si>
    <t xml:space="preserve">PESS0925</t>
  </si>
  <si>
    <t xml:space="preserve">PESS1025</t>
  </si>
  <si>
    <t xml:space="preserve">PESS1125</t>
  </si>
  <si>
    <t xml:space="preserve">PESS1225</t>
  </si>
  <si>
    <t xml:space="preserve">PESS0126</t>
  </si>
  <si>
    <t xml:space="preserve">PESS0226</t>
  </si>
  <si>
    <t xml:space="preserve">PESS0326</t>
  </si>
  <si>
    <t xml:space="preserve">Décemb</t>
  </si>
  <si>
    <t xml:space="preserve">PESSAC 2024/2025 - TOUTES LES CAMPAGNES</t>
  </si>
  <si>
    <t xml:space="preserve">Mohamed Amine</t>
  </si>
  <si>
    <t xml:space="preserve">Paul ( pessac )</t>
  </si>
  <si>
    <t xml:space="preserve">Nouredine assem</t>
  </si>
  <si>
    <t xml:space="preserve">Mohamed ( Pessac ) 15</t>
  </si>
  <si>
    <t xml:space="preserve">Mohamed ( Pessac ) 17</t>
  </si>
  <si>
    <t xml:space="preserve">Mohamed ( Pessac ) repassage</t>
  </si>
  <si>
    <t xml:space="preserve">Péages</t>
  </si>
  <si>
    <t xml:space="preserve">getaround</t>
  </si>
  <si>
    <t xml:space="preserve">Train Cheikh + FDV + Getaround</t>
  </si>
  <si>
    <t xml:space="preserve">PESS1224 M.M</t>
  </si>
  <si>
    <t xml:space="preserve">Sarr ( youngones )</t>
  </si>
  <si>
    <t xml:space="preserve">Toufik young ones</t>
  </si>
  <si>
    <t xml:space="preserve">Toufik auto</t>
  </si>
  <si>
    <t xml:space="preserve">Meziane ( Pessac )</t>
  </si>
  <si>
    <t xml:space="preserve">Florian ( Pessac )</t>
  </si>
  <si>
    <t xml:space="preserve">Nathan ( pessac )</t>
  </si>
  <si>
    <t xml:space="preserve">Mohamed ( Pessac )</t>
  </si>
  <si>
    <t xml:space="preserve">Raouf auto</t>
  </si>
  <si>
    <t xml:space="preserve">Amine pessac</t>
  </si>
  <si>
    <t xml:space="preserve">Amine ( pessac )</t>
  </si>
  <si>
    <t xml:space="preserve">Toufik Mécano</t>
  </si>
  <si>
    <t xml:space="preserve">Toufik ( Pessac )</t>
  </si>
  <si>
    <t xml:space="preserve">Amine ( pessac)</t>
  </si>
  <si>
    <t xml:space="preserve">Max ( Pessac )</t>
  </si>
  <si>
    <t xml:space="preserve">Turo</t>
  </si>
  <si>
    <t xml:space="preserve">Getaround</t>
  </si>
  <si>
    <t xml:space="preserve">Faiza</t>
  </si>
  <si>
    <t xml:space="preserve">Florian</t>
  </si>
  <si>
    <t xml:space="preserve">Mohammed Saoudi</t>
  </si>
  <si>
    <t xml:space="preserve">SNCF ( Raouf )</t>
  </si>
  <si>
    <t xml:space="preserve">Nathan</t>
  </si>
  <si>
    <t xml:space="preserve">Jefferson</t>
  </si>
  <si>
    <t xml:space="preserve">Max</t>
  </si>
  <si>
    <t xml:space="preserve">Toufik</t>
  </si>
  <si>
    <t xml:space="preserve">Bellal</t>
  </si>
  <si>
    <t xml:space="preserve">Mohamed Amine Letifi</t>
  </si>
  <si>
    <t xml:space="preserve">Tinou</t>
  </si>
  <si>
    <t xml:space="preserve">SNCF ÉMÉ</t>
  </si>
  <si>
    <t xml:space="preserve">Ruben Clairicia</t>
  </si>
  <si>
    <t xml:space="preserve">Nassim graichi</t>
  </si>
  <si>
    <t xml:space="preserve">Tahar benyahia</t>
  </si>
  <si>
    <t xml:space="preserve">Mohamed Amine letifi</t>
  </si>
  <si>
    <t xml:space="preserve">Aïcha GBANDI</t>
  </si>
  <si>
    <t xml:space="preserve">abdesselem tariket</t>
  </si>
  <si>
    <t xml:space="preserve">noureddine assem</t>
  </si>
  <si>
    <t xml:space="preserve">Saoudi</t>
  </si>
  <si>
    <t xml:space="preserve">Issam</t>
  </si>
  <si>
    <t xml:space="preserve">Daria</t>
  </si>
  <si>
    <t xml:space="preserve">Léopold</t>
  </si>
  <si>
    <t xml:space="preserve">Matthias</t>
  </si>
  <si>
    <t xml:space="preserve">abdessalem</t>
  </si>
  <si>
    <t xml:space="preserve">Moustafa</t>
  </si>
  <si>
    <t xml:space="preserve">Emy</t>
  </si>
  <si>
    <t xml:space="preserve">Nabil Aallal</t>
  </si>
  <si>
    <t xml:space="preserve">Yassine Berrhazi</t>
  </si>
  <si>
    <t xml:space="preserve">Nabil Boutchicha</t>
  </si>
  <si>
    <t xml:space="preserve">Elea Bonet</t>
  </si>
  <si>
    <t xml:space="preserve">Abdesselem Tariket</t>
  </si>
  <si>
    <t xml:space="preserve">Otmane Elkarkouri</t>
  </si>
  <si>
    <t xml:space="preserve">Stéphane Gustave</t>
  </si>
  <si>
    <t xml:space="preserve">Noureddine Assem</t>
  </si>
  <si>
    <t xml:space="preserve">François Lefevre</t>
  </si>
  <si>
    <t xml:space="preserve">Ory Francois</t>
  </si>
  <si>
    <t xml:space="preserve">Yohan Deturck</t>
  </si>
  <si>
    <t xml:space="preserve">Chams Eddine Djoudi</t>
  </si>
  <si>
    <t xml:space="preserve">Nicolas Nourrit</t>
  </si>
  <si>
    <t xml:space="preserve">PESSAC 2026 - TOUTES LES CAMPAGNES</t>
  </si>
  <si>
    <t xml:space="preserve">Gustave</t>
  </si>
  <si>
    <t xml:space="preserve">Champs Eddine</t>
  </si>
  <si>
    <t xml:space="preserve">Bezman</t>
  </si>
  <si>
    <t xml:space="preserve">Wassim</t>
  </si>
  <si>
    <t xml:space="preserve">Chamsdine</t>
  </si>
  <si>
    <t xml:space="preserve">Dialo</t>
  </si>
  <si>
    <t xml:space="preserve">Adlan</t>
  </si>
  <si>
    <t xml:space="preserve">nabil</t>
  </si>
  <si>
    <t xml:space="preserve">Octobr</t>
  </si>
  <si>
    <t xml:space="preserve">Novemb</t>
  </si>
  <si>
    <t xml:space="preserve">Janvie</t>
  </si>
  <si>
    <t xml:space="preserve">Févrie</t>
  </si>
  <si>
    <t xml:space="preserve">  FLYING FOR YOU · AO Gif-sur-Yvette — Toutes années</t>
  </si>
  <si>
    <t xml:space="preserve">Évolution de la marge — Gif-sur-Yvette</t>
  </si>
  <si>
    <t xml:space="preserve">GIF0125</t>
  </si>
  <si>
    <t xml:space="preserve">GIFS125</t>
  </si>
  <si>
    <t xml:space="preserve">GIF0225</t>
  </si>
  <si>
    <t xml:space="preserve">GIF0325</t>
  </si>
  <si>
    <t xml:space="preserve">GIF0425</t>
  </si>
  <si>
    <t xml:space="preserve">GIFT325</t>
  </si>
  <si>
    <t xml:space="preserve">GIF0525</t>
  </si>
  <si>
    <t xml:space="preserve">GIF06,07</t>
  </si>
  <si>
    <t xml:space="preserve">GIF0825</t>
  </si>
  <si>
    <t xml:space="preserve">GIF0925 </t>
  </si>
  <si>
    <t xml:space="preserve">GIF1025</t>
  </si>
  <si>
    <t xml:space="preserve">GIF1125</t>
  </si>
  <si>
    <t xml:space="preserve">GIF1225</t>
  </si>
  <si>
    <t xml:space="preserve">GIF0126</t>
  </si>
  <si>
    <t xml:space="preserve">Gif0226</t>
  </si>
  <si>
    <t xml:space="preserve">Gif0326</t>
  </si>
  <si>
    <t xml:space="preserve">GIF-SUR-YVETTE 2025/2026 - TOUTES LES CAMPAGNES</t>
  </si>
  <si>
    <t xml:space="preserve">Malika</t>
  </si>
  <si>
    <t xml:space="preserve">Uthmann</t>
  </si>
  <si>
    <t xml:space="preserve">Caddies</t>
  </si>
  <si>
    <t xml:space="preserve">Akmez</t>
  </si>
  <si>
    <t xml:space="preserve">Mahyedine</t>
  </si>
  <si>
    <t xml:space="preserve">Nouredine New SM</t>
  </si>
  <si>
    <t xml:space="preserve">Mohammed Amine</t>
  </si>
  <si>
    <t xml:space="preserve">Tahar repassage</t>
  </si>
  <si>
    <t xml:space="preserve">Mohammed Amine Letifi</t>
  </si>
  <si>
    <t xml:space="preserve">GIF06,0725</t>
  </si>
  <si>
    <t xml:space="preserve">Yazid Ali ya</t>
  </si>
  <si>
    <t xml:space="preserve">Ibrahim Chetouani</t>
  </si>
  <si>
    <t xml:space="preserve">Émé</t>
  </si>
  <si>
    <t xml:space="preserve">Youcef Aissaoui</t>
  </si>
  <si>
    <t xml:space="preserve">GIF0925 + VIR0825</t>
  </si>
  <si>
    <t xml:space="preserve">Meziane</t>
  </si>
  <si>
    <t xml:space="preserve">Nouredine Assem</t>
  </si>
  <si>
    <t xml:space="preserve">Yazid Ali Ya</t>
  </si>
  <si>
    <t xml:space="preserve">abderrahmane ghouila</t>
  </si>
  <si>
    <t xml:space="preserve">youcef Aissaoui</t>
  </si>
  <si>
    <t xml:space="preserve">Amende</t>
  </si>
  <si>
    <t xml:space="preserve">Youcef ( Repassage )</t>
  </si>
  <si>
    <t xml:space="preserve">Abdesamad</t>
  </si>
  <si>
    <t xml:space="preserve">GIF-SUR-YVETTE 2026 - TOUTES LES CAMPAGNES</t>
  </si>
  <si>
    <t xml:space="preserve">Aziz Dehissi</t>
  </si>
  <si>
    <t xml:space="preserve">Sofiane Bennabi</t>
  </si>
  <si>
    <t xml:space="preserve">Katia</t>
  </si>
  <si>
    <t xml:space="preserve">Tismé</t>
  </si>
  <si>
    <t xml:space="preserve">Moustafa Aissaoui</t>
  </si>
  <si>
    <t xml:space="preserve">Moustapha Mazouz</t>
  </si>
  <si>
    <t xml:space="preserve">  FLYING FOR YOU · AO MEL 2025 — Métropole Européenne de Lille</t>
  </si>
  <si>
    <t xml:space="preserve">Évolution de la marge — MEL 2025</t>
  </si>
  <si>
    <t xml:space="preserve">MEL1125 </t>
  </si>
  <si>
    <t xml:space="preserve">MEL1125 ( S1 )</t>
  </si>
  <si>
    <t xml:space="preserve">Juba</t>
  </si>
  <si>
    <t xml:space="preserve">MEL1125 ( S2 )</t>
  </si>
  <si>
    <t xml:space="preserve">MEL1125 ( S3 )</t>
  </si>
  <si>
    <t xml:space="preserve">MEL1125 ( S4 )</t>
  </si>
  <si>
    <t xml:space="preserve">MEL1125 ( S5)</t>
  </si>
  <si>
    <t xml:space="preserve">MEL1125 ( S6)</t>
  </si>
  <si>
    <t xml:space="preserve">MEL1125 ( S7)</t>
  </si>
  <si>
    <t xml:space="preserve">Igor</t>
  </si>
  <si>
    <t xml:space="preserve">MEL1125 ( S8)</t>
  </si>
  <si>
    <t xml:space="preserve">MEL1125 ( S9)</t>
  </si>
  <si>
    <t xml:space="preserve">MEL1125 ( S10)</t>
  </si>
  <si>
    <t xml:space="preserve">Juba repassage</t>
  </si>
  <si>
    <t xml:space="preserve">  FLYING FOR YOU · Archives Cergy 2023-2024</t>
  </si>
  <si>
    <t xml:space="preserve">CERGY 2023 - TOUTES LES CAMPAGNES</t>
  </si>
  <si>
    <t xml:space="preserve">CER823</t>
  </si>
  <si>
    <t xml:space="preserve">Jonathan (comptage)</t>
  </si>
  <si>
    <t xml:space="preserve">Syfax (comptage)</t>
  </si>
  <si>
    <t xml:space="preserve">Maéva (comptage)</t>
  </si>
  <si>
    <t xml:space="preserve">Juliette (comptage)</t>
  </si>
  <si>
    <t xml:space="preserve">Syfax</t>
  </si>
  <si>
    <t xml:space="preserve">CMV823</t>
  </si>
  <si>
    <t xml:space="preserve">Brandon</t>
  </si>
  <si>
    <t xml:space="preserve">Prime Kadi déplacement</t>
  </si>
  <si>
    <t xml:space="preserve">Kadi</t>
  </si>
  <si>
    <t xml:space="preserve">Sylla Papou</t>
  </si>
  <si>
    <t xml:space="preserve">Sylla Papou prime du mardi (pas de jornaux)</t>
  </si>
  <si>
    <t xml:space="preserve">Sylla Solo</t>
  </si>
  <si>
    <t xml:space="preserve">Jimmy</t>
  </si>
  <si>
    <t xml:space="preserve">Ali Guechi</t>
  </si>
  <si>
    <t xml:space="preserve">Ali Guechi prime du mardi (pas de jornaux)</t>
  </si>
  <si>
    <t xml:space="preserve">Jonathan</t>
  </si>
  <si>
    <t xml:space="preserve">Ibrahim prime du mardi (pas de jornaux)</t>
  </si>
  <si>
    <t xml:space="preserve">Lubna</t>
  </si>
  <si>
    <t xml:space="preserve">Camille</t>
  </si>
  <si>
    <t xml:space="preserve">Darib</t>
  </si>
  <si>
    <t xml:space="preserve">Darib prime du mardi (pas de jornaux)</t>
  </si>
  <si>
    <t xml:space="preserve">Islem</t>
  </si>
  <si>
    <t xml:space="preserve">CERBIS923</t>
  </si>
  <si>
    <t xml:space="preserve">CER923</t>
  </si>
  <si>
    <t xml:space="preserve">Ibrahim (pas de paiement, erreur sur le terrain)</t>
  </si>
  <si>
    <t xml:space="preserve">Ali Guechi (pas de paiement, erreur sur le terrain)</t>
  </si>
  <si>
    <t xml:space="preserve">Alex</t>
  </si>
  <si>
    <t xml:space="preserve">CMV923 + CERVINVIT923</t>
  </si>
  <si>
    <t xml:space="preserve">Mathis</t>
  </si>
  <si>
    <t xml:space="preserve">Brandon Invit</t>
  </si>
  <si>
    <t xml:space="preserve">Brandon CMV</t>
  </si>
  <si>
    <t xml:space="preserve">Souhil Invit</t>
  </si>
  <si>
    <t xml:space="preserve">Souhil CMV</t>
  </si>
  <si>
    <t xml:space="preserve">Mohand</t>
  </si>
  <si>
    <t xml:space="preserve">Yazid Invit</t>
  </si>
  <si>
    <t xml:space="preserve">Yazid CMV</t>
  </si>
  <si>
    <t xml:space="preserve">Noureddine Invit</t>
  </si>
  <si>
    <t xml:space="preserve">Noureddine CMV</t>
  </si>
  <si>
    <t xml:space="preserve">Ali Guechi Invit</t>
  </si>
  <si>
    <t xml:space="preserve">Ali Guechi CMV</t>
  </si>
  <si>
    <t xml:space="preserve">Jonathan Invit</t>
  </si>
  <si>
    <t xml:space="preserve">Jonathan CMV</t>
  </si>
  <si>
    <t xml:space="preserve">Ibrahim Invit</t>
  </si>
  <si>
    <t xml:space="preserve">Ibrahim CMV</t>
  </si>
  <si>
    <t xml:space="preserve">Location Camion</t>
  </si>
  <si>
    <t xml:space="preserve">CERBIS1023</t>
  </si>
  <si>
    <t xml:space="preserve">CER1023</t>
  </si>
  <si>
    <t xml:space="preserve">CERC1023</t>
  </si>
  <si>
    <t xml:space="preserve">CERTAD1023</t>
  </si>
  <si>
    <t xml:space="preserve">CMV1023</t>
  </si>
  <si>
    <t xml:space="preserve">Ali Ya</t>
  </si>
  <si>
    <t xml:space="preserve">David</t>
  </si>
  <si>
    <t xml:space="preserve">I'hadj</t>
  </si>
  <si>
    <t xml:space="preserve">Ayoub</t>
  </si>
  <si>
    <t xml:space="preserve">Ryadh</t>
  </si>
  <si>
    <t xml:space="preserve">CERB1123</t>
  </si>
  <si>
    <t xml:space="preserve">Maéva</t>
  </si>
  <si>
    <t xml:space="preserve">CERP1123</t>
  </si>
  <si>
    <t xml:space="preserve">CERV1123</t>
  </si>
  <si>
    <t xml:space="preserve">CERL1223</t>
  </si>
  <si>
    <t xml:space="preserve">Emma</t>
  </si>
  <si>
    <t xml:space="preserve">CMV1223</t>
  </si>
  <si>
    <t xml:space="preserve">Anis Skendraoui</t>
  </si>
  <si>
    <t xml:space="preserve">Emma FFY</t>
  </si>
  <si>
    <t xml:space="preserve">Said el Assad</t>
  </si>
  <si>
    <t xml:space="preserve">L'hadj</t>
  </si>
  <si>
    <t xml:space="preserve">Ibrahim Cheteuani</t>
  </si>
  <si>
    <t xml:space="preserve">Location voiture Brandon</t>
  </si>
  <si>
    <t xml:space="preserve">CERVOEUX1223</t>
  </si>
  <si>
    <t xml:space="preserve">Sifax</t>
  </si>
  <si>
    <t xml:space="preserve">Karim Saidi</t>
  </si>
  <si>
    <t xml:space="preserve">Elhadj</t>
  </si>
  <si>
    <t xml:space="preserve">Aziz Rahmani</t>
  </si>
  <si>
    <t xml:space="preserve">Mohand Bouhamam</t>
  </si>
  <si>
    <t xml:space="preserve">Nassim Ghettas</t>
  </si>
  <si>
    <t xml:space="preserve">Ibrahim Chateuani</t>
  </si>
  <si>
    <t xml:space="preserve">CMV0124</t>
  </si>
  <si>
    <t xml:space="preserve">Location véhicule Brandon</t>
  </si>
  <si>
    <t xml:space="preserve">Maxandre</t>
  </si>
  <si>
    <t xml:space="preserve">CERPADD0124</t>
  </si>
  <si>
    <t xml:space="preserve">CERHE124</t>
  </si>
  <si>
    <t xml:space="preserve">CERHPV124</t>
  </si>
  <si>
    <t xml:space="preserve">CERQOB124</t>
  </si>
  <si>
    <t xml:space="preserve">Adem SM</t>
  </si>
  <si>
    <t xml:space="preserve">CMV0324</t>
  </si>
  <si>
    <t xml:space="preserve">Ghani</t>
  </si>
  <si>
    <t xml:space="preserve">Lounis</t>
  </si>
  <si>
    <t xml:space="preserve">Émmé</t>
  </si>
  <si>
    <t xml:space="preserve">CERP324</t>
  </si>
  <si>
    <t xml:space="preserve">CER324 
HAND</t>
  </si>
  <si>
    <t xml:space="preserve">Lydia</t>
  </si>
  <si>
    <t xml:space="preserve">CEREE324</t>
  </si>
  <si>
    <t xml:space="preserve">ali ya</t>
  </si>
  <si>
    <t xml:space="preserve">aziz rahmani</t>
  </si>
  <si>
    <t xml:space="preserve">bilal zoughli</t>
  </si>
  <si>
    <t xml:space="preserve">darib malik</t>
  </si>
  <si>
    <t xml:space="preserve">ghani taleb</t>
  </si>
  <si>
    <t xml:space="preserve">ibrahim chetouani</t>
  </si>
  <si>
    <t xml:space="preserve">l'hadj</t>
  </si>
  <si>
    <t xml:space="preserve">mahyedine</t>
  </si>
  <si>
    <t xml:space="preserve">redha sm</t>
  </si>
  <si>
    <t xml:space="preserve">tassadit abrous</t>
  </si>
  <si>
    <t xml:space="preserve">yazid</t>
  </si>
  <si>
    <t xml:space="preserve">CMV0424</t>
  </si>
  <si>
    <t xml:space="preserve">akmez</t>
  </si>
  <si>
    <t xml:space="preserve">Bilal Zoughil</t>
  </si>
  <si>
    <t xml:space="preserve">Ghani Taleb</t>
  </si>
  <si>
    <t xml:space="preserve">Ibrahi chetouani</t>
  </si>
  <si>
    <t xml:space="preserve">Koceika Bennobi</t>
  </si>
  <si>
    <t xml:space="preserve">Tahar Benyahia</t>
  </si>
  <si>
    <t xml:space="preserve">Location camion Akmez</t>
  </si>
  <si>
    <t xml:space="preserve">CERHB324</t>
  </si>
  <si>
    <t xml:space="preserve">Rayane Nasri</t>
  </si>
  <si>
    <t xml:space="preserve">CERC424</t>
  </si>
  <si>
    <t xml:space="preserve">CER424</t>
  </si>
  <si>
    <t xml:space="preserve">Ibrahim Chetoouani</t>
  </si>
  <si>
    <t xml:space="preserve">CMV0524</t>
  </si>
  <si>
    <t xml:space="preserve">Bilal</t>
  </si>
  <si>
    <t xml:space="preserve">Émérique</t>
  </si>
  <si>
    <t xml:space="preserve">Mahyeddine</t>
  </si>
  <si>
    <t xml:space="preserve">Raoouf</t>
  </si>
  <si>
    <t xml:space="preserve">Youcef Tiar</t>
  </si>
  <si>
    <t xml:space="preserve">Abdennour</t>
  </si>
  <si>
    <t xml:space="preserve">CERFO524</t>
  </si>
  <si>
    <t xml:space="preserve">Aly Ya</t>
  </si>
  <si>
    <t xml:space="preserve">Emerique</t>
  </si>
  <si>
    <t xml:space="preserve">Sarah</t>
  </si>
  <si>
    <t xml:space="preserve">Essence Raouf</t>
  </si>
  <si>
    <t xml:space="preserve">CERGC524</t>
  </si>
  <si>
    <t xml:space="preserve">CERCP524</t>
  </si>
  <si>
    <t xml:space="preserve">CERAXE524</t>
  </si>
  <si>
    <t xml:space="preserve">CEROR624</t>
  </si>
  <si>
    <t xml:space="preserve">prime de déplacement (Ibrahim)</t>
  </si>
  <si>
    <t xml:space="preserve">CMV0624</t>
  </si>
  <si>
    <t xml:space="preserve">CERTCL624</t>
  </si>
  <si>
    <t xml:space="preserve">Nacim</t>
  </si>
  <si>
    <t xml:space="preserve">Déplacement Nacim</t>
  </si>
  <si>
    <t xml:space="preserve">CERTB624</t>
  </si>
  <si>
    <t xml:space="preserve">CERHP624</t>
  </si>
  <si>
    <t xml:space="preserve">CERSAMIA724</t>
  </si>
  <si>
    <t xml:space="preserve">CERC724</t>
  </si>
  <si>
    <t xml:space="preserve">Benali</t>
  </si>
  <si>
    <t xml:space="preserve">CMV0724</t>
  </si>
  <si>
    <t xml:space="preserve">José Dodo</t>
  </si>
  <si>
    <t xml:space="preserve">Manel Kerkoub</t>
  </si>
  <si>
    <t xml:space="preserve">CERRB724</t>
  </si>
  <si>
    <t xml:space="preserve">CMV0824</t>
  </si>
  <si>
    <t xml:space="preserve">Yanis Fellani</t>
  </si>
  <si>
    <t xml:space="preserve">Nadjib Hannachi</t>
  </si>
  <si>
    <t xml:space="preserve">CERR924</t>
  </si>
  <si>
    <t xml:space="preserve">  FLYING FOR YOU · Archives Marges 2024</t>
  </si>
  <si>
    <t xml:space="preserve">Opé</t>
  </si>
  <si>
    <t xml:space="preserve">ENG0124</t>
  </si>
  <si>
    <t xml:space="preserve">ENEC0124 
Château-Garnier</t>
  </si>
  <si>
    <t xml:space="preserve">ENEP0124 
Payroux</t>
  </si>
  <si>
    <t xml:space="preserve">ENEL0124 
La chapelle-Bâton</t>
  </si>
  <si>
    <t xml:space="preserve">RWEV0124
Vernusse</t>
  </si>
  <si>
    <t xml:space="preserve">ORBAS223 
2914</t>
  </si>
  <si>
    <t xml:space="preserve">SAM124
St Martin l'Ars</t>
  </si>
  <si>
    <t xml:space="preserve">ENER0124
Brienne-le-Château</t>
  </si>
  <si>
    <t xml:space="preserve">SOL0124
Maux</t>
  </si>
  <si>
    <t xml:space="preserve">RWEC0124
Cressia</t>
  </si>
  <si>
    <t xml:space="preserve">RWEB0124
Buxières</t>
  </si>
  <si>
    <t xml:space="preserve">SOLM124</t>
  </si>
  <si>
    <t xml:space="preserve">ENEA124</t>
  </si>
  <si>
    <t xml:space="preserve">RWEST224</t>
  </si>
  <si>
    <t xml:space="preserve">FÉVRIER</t>
  </si>
  <si>
    <t xml:space="preserve">RWEQB224</t>
  </si>
  <si>
    <t xml:space="preserve">ENES224
Saint-Aubert</t>
  </si>
  <si>
    <t xml:space="preserve">ENA0224</t>
  </si>
  <si>
    <t xml:space="preserve">STA0124
IDF Mobilités</t>
  </si>
  <si>
    <t xml:space="preserve">184SFR</t>
  </si>
  <si>
    <t xml:space="preserve">ENER224</t>
  </si>
  <si>
    <t xml:space="preserve">RWERBR224</t>
  </si>
  <si>
    <t xml:space="preserve">ORBAL 4145</t>
  </si>
  <si>
    <t xml:space="preserve">ENEBBV224</t>
  </si>
  <si>
    <t xml:space="preserve">RWEMC224</t>
  </si>
  <si>
    <t xml:space="preserve">RWESV224</t>
  </si>
  <si>
    <t xml:space="preserve">ORBAL124 
3 897</t>
  </si>
  <si>
    <t xml:space="preserve">JPEE224</t>
  </si>
  <si>
    <t xml:space="preserve">STE0224</t>
  </si>
  <si>
    <t xml:space="preserve">RWEBL224</t>
  </si>
  <si>
    <t xml:space="preserve">RWES0224</t>
  </si>
  <si>
    <t xml:space="preserve">ORBAS124 - 42260</t>
  </si>
  <si>
    <t xml:space="preserve">RWEH224</t>
  </si>
  <si>
    <t xml:space="preserve">ENESP224</t>
  </si>
  <si>
    <t xml:space="preserve">STEVP224</t>
  </si>
  <si>
    <t xml:space="preserve">STEVM224</t>
  </si>
  <si>
    <t xml:space="preserve">STEVC224</t>
  </si>
  <si>
    <t xml:space="preserve">RWESG224</t>
  </si>
  <si>
    <t xml:space="preserve">RWEL224</t>
  </si>
  <si>
    <t xml:space="preserve">RWEC224</t>
  </si>
  <si>
    <t xml:space="preserve">MARS</t>
  </si>
  <si>
    <t xml:space="preserve">RWEB224</t>
  </si>
  <si>
    <t xml:space="preserve">FFBAD224</t>
  </si>
  <si>
    <t xml:space="preserve">AVN0224</t>
  </si>
  <si>
    <t xml:space="preserve">SOSO0324</t>
  </si>
  <si>
    <t xml:space="preserve">RWESA324</t>
  </si>
  <si>
    <t xml:space="preserve">PAV324</t>
  </si>
  <si>
    <t xml:space="preserve">ENESM324</t>
  </si>
  <si>
    <t xml:space="preserve">STEVC324
St-Leu-la-Foret</t>
  </si>
  <si>
    <t xml:space="preserve">STEVCP324
Chatenay</t>
  </si>
  <si>
    <t xml:space="preserve">STEVR324
Paris 16ème
Radioeat</t>
  </si>
  <si>
    <t xml:space="preserve">STEVB324
Bagneux</t>
  </si>
  <si>
    <t xml:space="preserve">STEVS324
Sucy-en-Brie</t>
  </si>
  <si>
    <t xml:space="preserve">STENP324
Neuilly &amp; Paris 16</t>
  </si>
  <si>
    <t xml:space="preserve">STEVL324
Laval</t>
  </si>
  <si>
    <t xml:space="preserve">STEVAP324
Asnières/Clichy</t>
  </si>
  <si>
    <t xml:space="preserve">EIF324</t>
  </si>
  <si>
    <t xml:space="preserve">STEVSP324</t>
  </si>
  <si>
    <t xml:space="preserve">STEVSG324</t>
  </si>
  <si>
    <t xml:space="preserve">STEVIS324</t>
  </si>
  <si>
    <t xml:space="preserve">RWEN324
Noyant d'Allier</t>
  </si>
  <si>
    <t xml:space="preserve">RWEEF324
Epineuil-le-Fleuriel</t>
  </si>
  <si>
    <t xml:space="preserve">FENE324</t>
  </si>
  <si>
    <t xml:space="preserve">RWESF324
Fresnes</t>
  </si>
  <si>
    <t xml:space="preserve">OZE0324
HAND ET BOX</t>
  </si>
  <si>
    <t xml:space="preserve">STEVD324
Deauville</t>
  </si>
  <si>
    <t xml:space="preserve">AVRIL</t>
  </si>
  <si>
    <t xml:space="preserve">ENG424</t>
  </si>
  <si>
    <t xml:space="preserve">LIB0324</t>
  </si>
  <si>
    <t xml:space="preserve">SAM424
La Roche-l'Abeille</t>
  </si>
  <si>
    <t xml:space="preserve">STEP424
Pari 16</t>
  </si>
  <si>
    <t xml:space="preserve">STEC424
Courbevoie</t>
  </si>
  <si>
    <t xml:space="preserve">STEPC424</t>
  </si>
  <si>
    <t xml:space="preserve">STEBB424
Boulogne</t>
  </si>
  <si>
    <t xml:space="preserve">STECV424</t>
  </si>
  <si>
    <t xml:space="preserve">YTR424</t>
  </si>
  <si>
    <t xml:space="preserve">STEMV424
Vanves et Malakoff</t>
  </si>
  <si>
    <t xml:space="preserve">STEPSE424</t>
  </si>
  <si>
    <t xml:space="preserve">COG424</t>
  </si>
  <si>
    <t xml:space="preserve">STELGC424</t>
  </si>
  <si>
    <t xml:space="preserve">OZE0424</t>
  </si>
  <si>
    <t xml:space="preserve">STEPV424</t>
  </si>
  <si>
    <t xml:space="preserve">STEPARIS424</t>
  </si>
  <si>
    <t xml:space="preserve">WTN424
Wall</t>
  </si>
  <si>
    <t xml:space="preserve">STEVL424
Laval</t>
  </si>
  <si>
    <t xml:space="preserve">STEVER424</t>
  </si>
  <si>
    <t xml:space="preserve">STEEFS424</t>
  </si>
  <si>
    <t xml:space="preserve">RWEV424
Vallières</t>
  </si>
  <si>
    <t xml:space="preserve">STEVV524</t>
  </si>
  <si>
    <t xml:space="preserve">OBAL124 - 1974</t>
  </si>
  <si>
    <t xml:space="preserve">RWEF424
Fouquescourt</t>
  </si>
  <si>
    <t xml:space="preserve">MAI</t>
  </si>
  <si>
    <t xml:space="preserve">RWEBV424
Brécy et Villabon</t>
  </si>
  <si>
    <t xml:space="preserve">INN524</t>
  </si>
  <si>
    <t xml:space="preserve">STEIB524
Igny et Bièvres</t>
  </si>
  <si>
    <t xml:space="preserve">STEVJ524
Paris 17</t>
  </si>
  <si>
    <t xml:space="preserve">STEP524</t>
  </si>
  <si>
    <t xml:space="preserve">STEYC524</t>
  </si>
  <si>
    <t xml:space="preserve">RWEP524</t>
  </si>
  <si>
    <t xml:space="preserve">BOR524</t>
  </si>
  <si>
    <t xml:space="preserve">RWER524</t>
  </si>
  <si>
    <t xml:space="preserve">MAL524
Box et Hand</t>
  </si>
  <si>
    <t xml:space="preserve">PRE0524</t>
  </si>
  <si>
    <t xml:space="preserve">FSGT524</t>
  </si>
  <si>
    <t xml:space="preserve">RWEA624</t>
  </si>
  <si>
    <t xml:space="preserve">STEBB624</t>
  </si>
  <si>
    <t xml:space="preserve">RWEO624</t>
  </si>
  <si>
    <t xml:space="preserve">RWEB524</t>
  </si>
  <si>
    <t xml:space="preserve">JUIN</t>
  </si>
  <si>
    <t xml:space="preserve">INN624</t>
  </si>
  <si>
    <t xml:space="preserve">MJC524</t>
  </si>
  <si>
    <t xml:space="preserve">DAN0624</t>
  </si>
  <si>
    <t xml:space="preserve">ENO624</t>
  </si>
  <si>
    <t xml:space="preserve">STESVM624</t>
  </si>
  <si>
    <t xml:space="preserve">KAL624</t>
  </si>
  <si>
    <t xml:space="preserve">STECF624</t>
  </si>
  <si>
    <t xml:space="preserve">STEP624</t>
  </si>
  <si>
    <t xml:space="preserve">ENER624
+
ENERF624</t>
  </si>
  <si>
    <t xml:space="preserve">STEH624</t>
  </si>
  <si>
    <t xml:space="preserve">ERG324
Orléat</t>
  </si>
  <si>
    <t xml:space="preserve">ENOA624</t>
  </si>
  <si>
    <t xml:space="preserve">NEE624</t>
  </si>
  <si>
    <t xml:space="preserve">STEPARIS624</t>
  </si>
  <si>
    <t xml:space="preserve">FREE624</t>
  </si>
  <si>
    <t xml:space="preserve">RWEBB424
Broussey</t>
  </si>
  <si>
    <t xml:space="preserve">JPEE624
Tivernon</t>
  </si>
  <si>
    <t xml:space="preserve">RWEB624
Bouzonville</t>
  </si>
  <si>
    <t xml:space="preserve">SLC624</t>
  </si>
  <si>
    <t xml:space="preserve">KEE624</t>
  </si>
  <si>
    <t xml:space="preserve">STET624</t>
  </si>
  <si>
    <t xml:space="preserve">MAT624</t>
  </si>
  <si>
    <t xml:space="preserve">LR624</t>
  </si>
  <si>
    <t xml:space="preserve">ENG624
Arcueil</t>
  </si>
  <si>
    <t xml:space="preserve">ENGG624
Hazebrouck</t>
  </si>
  <si>
    <t xml:space="preserve">ENG724
Gentilly</t>
  </si>
  <si>
    <t xml:space="preserve">STEL624
L'Isle-Adam</t>
  </si>
  <si>
    <t xml:space="preserve">JUILLET</t>
  </si>
  <si>
    <t xml:space="preserve">STEM724
Meudon</t>
  </si>
  <si>
    <t xml:space="preserve">JPEE724 
Dialan</t>
  </si>
  <si>
    <t xml:space="preserve">STELRP724
Plessis-Robinson</t>
  </si>
  <si>
    <t xml:space="preserve">ENG724
Noisy</t>
  </si>
  <si>
    <t xml:space="preserve">GEO724
Neuilly - Geoffroy</t>
  </si>
  <si>
    <t xml:space="preserve">FEV724
Perreux - Mathieu</t>
  </si>
  <si>
    <t xml:space="preserve">STEELB724
ENGHIEN LES BAINS</t>
  </si>
  <si>
    <t xml:space="preserve">HPC724</t>
  </si>
  <si>
    <t xml:space="preserve">STECSH724
Conflans</t>
  </si>
  <si>
    <t xml:space="preserve">COG724
Suresnes</t>
  </si>
  <si>
    <t xml:space="preserve">STA724
Petit déjeuner</t>
  </si>
  <si>
    <t xml:space="preserve">ORG724</t>
  </si>
  <si>
    <t xml:space="preserve">ENG724-bis</t>
  </si>
  <si>
    <t xml:space="preserve">AOÛT</t>
  </si>
  <si>
    <t xml:space="preserve">FSGT824</t>
  </si>
  <si>
    <t xml:space="preserve">RWEMG824</t>
  </si>
  <si>
    <t xml:space="preserve">JPEE824</t>
  </si>
  <si>
    <t xml:space="preserve">ENG824</t>
  </si>
  <si>
    <t xml:space="preserve">RWEE824</t>
  </si>
  <si>
    <t xml:space="preserve">SAM824</t>
  </si>
  <si>
    <t xml:space="preserve">RWEA824</t>
  </si>
  <si>
    <t xml:space="preserve">SEPTEMBRE</t>
  </si>
  <si>
    <t xml:space="preserve">ENGN924</t>
  </si>
  <si>
    <t xml:space="preserve">ENGSA923</t>
  </si>
  <si>
    <t xml:space="preserve">STEV924</t>
  </si>
  <si>
    <t xml:space="preserve">STEFV924</t>
  </si>
  <si>
    <t xml:space="preserve">COG924</t>
  </si>
  <si>
    <t xml:space="preserve">ORBAL224 - SOSH</t>
  </si>
  <si>
    <t xml:space="preserve">ORBAL 41 493</t>
  </si>
  <si>
    <t xml:space="preserve">ENGN924 BIS</t>
  </si>
  <si>
    <t xml:space="preserve">STEL924</t>
  </si>
  <si>
    <t xml:space="preserve">ENGG924</t>
  </si>
  <si>
    <t xml:space="preserve">ENGB924</t>
  </si>
  <si>
    <t xml:space="preserve">ENE924</t>
  </si>
  <si>
    <t xml:space="preserve">RWEEP924</t>
  </si>
  <si>
    <t xml:space="preserve">RWESG924</t>
  </si>
  <si>
    <t xml:space="preserve">RWEEL924</t>
  </si>
  <si>
    <t xml:space="preserve">ERD924</t>
  </si>
  <si>
    <t xml:space="preserve">STEM924</t>
  </si>
  <si>
    <t xml:space="preserve">le19M924</t>
  </si>
  <si>
    <t xml:space="preserve">OCTOBRE</t>
  </si>
  <si>
    <t xml:space="preserve">HPC1024</t>
  </si>
  <si>
    <t xml:space="preserve">ENERT924</t>
  </si>
  <si>
    <t xml:space="preserve">RIO1024</t>
  </si>
  <si>
    <t xml:space="preserve">ORBAL - 39 298</t>
  </si>
  <si>
    <t xml:space="preserve">EST1024</t>
  </si>
  <si>
    <t xml:space="preserve">RWEMG1024</t>
  </si>
  <si>
    <t xml:space="preserve">QENER1024</t>
  </si>
  <si>
    <t xml:space="preserve">VIT924</t>
  </si>
  <si>
    <t xml:space="preserve">BOR1024</t>
  </si>
  <si>
    <t xml:space="preserve">VOI1024</t>
  </si>
  <si>
    <t xml:space="preserve">ENG1024</t>
  </si>
  <si>
    <t xml:space="preserve">MAT1024</t>
  </si>
  <si>
    <t xml:space="preserve">WKN1124</t>
  </si>
  <si>
    <t xml:space="preserve">RWEV1124</t>
  </si>
  <si>
    <t xml:space="preserve">NOVEMBRE</t>
  </si>
  <si>
    <t xml:space="preserve">ORBAL224-1024</t>
  </si>
  <si>
    <t xml:space="preserve">BOR1124</t>
  </si>
  <si>
    <t xml:space="preserve">OBAL224 - 8 776</t>
  </si>
  <si>
    <t xml:space="preserve">SPIN1124</t>
  </si>
  <si>
    <t xml:space="preserve">JPEE1124</t>
  </si>
  <si>
    <t xml:space="preserve">KAL1124</t>
  </si>
  <si>
    <t xml:space="preserve">PRIN1124</t>
  </si>
  <si>
    <t xml:space="preserve">UCLY1124</t>
  </si>
  <si>
    <t xml:space="preserve">SPIN1124 - Bis</t>
  </si>
  <si>
    <t xml:space="preserve">RWEL1124</t>
  </si>
  <si>
    <t xml:space="preserve">GAS1124</t>
  </si>
  <si>
    <t xml:space="preserve">RWESF1124</t>
  </si>
  <si>
    <t xml:space="preserve">DÉCEMBRE</t>
  </si>
  <si>
    <t xml:space="preserve">LYO1124</t>
  </si>
  <si>
    <t xml:space="preserve">RWEEF1224</t>
  </si>
  <si>
    <t xml:space="preserve">EMM1124</t>
  </si>
  <si>
    <t xml:space="preserve">ERG1224</t>
  </si>
  <si>
    <t xml:space="preserve">PRE1224</t>
  </si>
  <si>
    <t xml:space="preserve">TOT1224</t>
  </si>
  <si>
    <t xml:space="preserve">RWER1224</t>
  </si>
  <si>
    <t xml:space="preserve">FML1224</t>
  </si>
  <si>
    <t xml:space="preserve">KEO1224</t>
  </si>
  <si>
    <t xml:space="preserve">SOLVEO1224</t>
  </si>
  <si>
    <t xml:space="preserve">ENGCR1224</t>
  </si>
  <si>
    <t xml:space="preserve">ENGN1224</t>
  </si>
  <si>
    <t xml:space="preserve">RWESFRE0125</t>
  </si>
  <si>
    <t xml:space="preserve">SOL0124 - Montilly</t>
  </si>
  <si>
    <t xml:space="preserve">SOL0124 - Vaumas</t>
  </si>
  <si>
    <t xml:space="preserve">  FLYING FOR YOU · Archives Marges 2022-2023</t>
  </si>
  <si>
    <t xml:space="preserve">STEPH</t>
  </si>
  <si>
    <t xml:space="preserve">TRAV122</t>
  </si>
  <si>
    <t xml:space="preserve">GIN122 - Nantes</t>
  </si>
  <si>
    <t xml:space="preserve">LAFORET122</t>
  </si>
  <si>
    <t xml:space="preserve">10962 - Orange</t>
  </si>
  <si>
    <t xml:space="preserve">GIN122 - Orléans</t>
  </si>
  <si>
    <t xml:space="preserve">SAM122</t>
  </si>
  <si>
    <t xml:space="preserve">26902 - Orange</t>
  </si>
  <si>
    <t xml:space="preserve">EGLA122</t>
  </si>
  <si>
    <t xml:space="preserve">TSG</t>
  </si>
  <si>
    <t xml:space="preserve">ACCO122</t>
  </si>
  <si>
    <t xml:space="preserve">GIN122 - Versailles</t>
  </si>
  <si>
    <t xml:space="preserve">LIT122</t>
  </si>
  <si>
    <t xml:space="preserve">SFR Grand Est</t>
  </si>
  <si>
    <t xml:space="preserve">CRUST</t>
  </si>
  <si>
    <t xml:space="preserve">FLOW1221</t>
  </si>
  <si>
    <t xml:space="preserve">ENER122</t>
  </si>
  <si>
    <t xml:space="preserve">80SFR122</t>
  </si>
  <si>
    <t xml:space="preserve">17535</t>
  </si>
  <si>
    <t xml:space="preserve">7608</t>
  </si>
  <si>
    <t xml:space="preserve">ACCRO</t>
  </si>
  <si>
    <t xml:space="preserve">Pokawa Rennes</t>
  </si>
  <si>
    <t xml:space="preserve">Pokawa Nancy</t>
  </si>
  <si>
    <t xml:space="preserve">Pokawa Toulouse</t>
  </si>
  <si>
    <t xml:space="preserve">Pokawa Mulhouse</t>
  </si>
  <si>
    <t xml:space="preserve">FIT222</t>
  </si>
  <si>
    <t xml:space="preserve">SIDE222</t>
  </si>
  <si>
    <t xml:space="preserve">COR122</t>
  </si>
  <si>
    <t xml:space="preserve">BION222</t>
  </si>
  <si>
    <t xml:space="preserve">COD222</t>
  </si>
  <si>
    <t xml:space="preserve">LAFO222</t>
  </si>
  <si>
    <t xml:space="preserve">3051</t>
  </si>
  <si>
    <t xml:space="preserve">LBG222</t>
  </si>
  <si>
    <t xml:space="preserve">RAJ222</t>
  </si>
  <si>
    <t xml:space="preserve">Pokawa Levallois</t>
  </si>
  <si>
    <t xml:space="preserve">ADFJ222</t>
  </si>
  <si>
    <t xml:space="preserve">Pokawa Paris</t>
  </si>
  <si>
    <t xml:space="preserve">Grand Est</t>
  </si>
  <si>
    <t xml:space="preserve">Pokawa Montpellier</t>
  </si>
  <si>
    <t xml:space="preserve">MEP322</t>
  </si>
  <si>
    <t xml:space="preserve">FRAC222</t>
  </si>
  <si>
    <t xml:space="preserve">Mon Primeur</t>
  </si>
  <si>
    <t xml:space="preserve">ADFJ322</t>
  </si>
  <si>
    <t xml:space="preserve">Pokawa Metz</t>
  </si>
  <si>
    <t xml:space="preserve">Pokawa Rouen</t>
  </si>
  <si>
    <t xml:space="preserve">Schlouk Strasbourg</t>
  </si>
  <si>
    <t xml:space="preserve">Schlouk Paris</t>
  </si>
  <si>
    <t xml:space="preserve">NAS322</t>
  </si>
  <si>
    <t xml:space="preserve">FITN322</t>
  </si>
  <si>
    <t xml:space="preserve">EAT622</t>
  </si>
  <si>
    <t xml:space="preserve">BASIC322</t>
  </si>
  <si>
    <t xml:space="preserve">RDP322</t>
  </si>
  <si>
    <t xml:space="preserve">SHIN322</t>
  </si>
  <si>
    <t xml:space="preserve">LAFO322</t>
  </si>
  <si>
    <t xml:space="preserve">4891</t>
  </si>
  <si>
    <t xml:space="preserve">HMA222</t>
  </si>
  <si>
    <t xml:space="preserve">LUC322</t>
  </si>
  <si>
    <t xml:space="preserve">POK422</t>
  </si>
  <si>
    <t xml:space="preserve">MED422</t>
  </si>
  <si>
    <t xml:space="preserve">ESS422</t>
  </si>
  <si>
    <t xml:space="preserve">LID422</t>
  </si>
  <si>
    <t xml:space="preserve">LBL422</t>
  </si>
  <si>
    <t xml:space="preserve">FEV422</t>
  </si>
  <si>
    <t xml:space="preserve">91&amp;92SFR422</t>
  </si>
  <si>
    <t xml:space="preserve">88-89-90SFR422</t>
  </si>
  <si>
    <t xml:space="preserve">STUD422</t>
  </si>
  <si>
    <t xml:space="preserve">MED422bis</t>
  </si>
  <si>
    <t xml:space="preserve">BAZ522</t>
  </si>
  <si>
    <t xml:space="preserve">JOH522</t>
  </si>
  <si>
    <t xml:space="preserve">NAN522</t>
  </si>
  <si>
    <t xml:space="preserve">PIFF922</t>
  </si>
  <si>
    <t xml:space="preserve">SFR 93&amp;94&amp;95&amp;96</t>
  </si>
  <si>
    <t xml:space="preserve">EST522</t>
  </si>
  <si>
    <t xml:space="preserve">LAV622</t>
  </si>
  <si>
    <t xml:space="preserve">MJC622</t>
  </si>
  <si>
    <t xml:space="preserve">RUN622  - Montreuil</t>
  </si>
  <si>
    <t xml:space="preserve">RUN622 - Noisy-le-Grand</t>
  </si>
  <si>
    <t xml:space="preserve">LAG622</t>
  </si>
  <si>
    <t xml:space="preserve">KIC622</t>
  </si>
  <si>
    <t xml:space="preserve">RUN622 - Adidas</t>
  </si>
  <si>
    <t xml:space="preserve">FRA622</t>
  </si>
  <si>
    <t xml:space="preserve">POK622</t>
  </si>
  <si>
    <t xml:space="preserve">UXBC922</t>
  </si>
  <si>
    <t xml:space="preserve">AMO622</t>
  </si>
  <si>
    <t xml:space="preserve">ROS622</t>
  </si>
  <si>
    <t xml:space="preserve">JUN622</t>
  </si>
  <si>
    <t xml:space="preserve">MAI622</t>
  </si>
  <si>
    <t xml:space="preserve">LEM622</t>
  </si>
  <si>
    <t xml:space="preserve">ALCO622</t>
  </si>
  <si>
    <t xml:space="preserve">ANI622</t>
  </si>
  <si>
    <t xml:space="preserve">FTSG622</t>
  </si>
  <si>
    <t xml:space="preserve">OXY622</t>
  </si>
  <si>
    <t xml:space="preserve">FREE622</t>
  </si>
  <si>
    <t xml:space="preserve">MAN622</t>
  </si>
  <si>
    <t xml:space="preserve">WUN722</t>
  </si>
  <si>
    <t xml:space="preserve">ZOR722</t>
  </si>
  <si>
    <t xml:space="preserve">UNIV722</t>
  </si>
  <si>
    <t xml:space="preserve">EUROP722</t>
  </si>
  <si>
    <t xml:space="preserve">101SFR722</t>
  </si>
  <si>
    <t xml:space="preserve">20491 x SFR</t>
  </si>
  <si>
    <t xml:space="preserve">MEL722</t>
  </si>
  <si>
    <t xml:space="preserve">EST822</t>
  </si>
  <si>
    <t xml:space="preserve">25006</t>
  </si>
  <si>
    <t xml:space="preserve">SFR 107+108+109+110</t>
  </si>
  <si>
    <t xml:space="preserve">BRA922</t>
  </si>
  <si>
    <t xml:space="preserve">VIC922</t>
  </si>
  <si>
    <t xml:space="preserve">LDF922</t>
  </si>
  <si>
    <t xml:space="preserve">CLI922</t>
  </si>
  <si>
    <t xml:space="preserve">PAR922</t>
  </si>
  <si>
    <t xml:space="preserve">TIT922</t>
  </si>
  <si>
    <t xml:space="preserve">UNI922</t>
  </si>
  <si>
    <t xml:space="preserve">POD922</t>
  </si>
  <si>
    <t xml:space="preserve">ERA922 BIS - Melun</t>
  </si>
  <si>
    <t xml:space="preserve">ERA922 - Eragny</t>
  </si>
  <si>
    <t xml:space="preserve">SOG922</t>
  </si>
  <si>
    <t xml:space="preserve">IFO922</t>
  </si>
  <si>
    <t xml:space="preserve">PIT922</t>
  </si>
  <si>
    <t xml:space="preserve">PRO1022</t>
  </si>
  <si>
    <t xml:space="preserve">QUO1022</t>
  </si>
  <si>
    <t xml:space="preserve">POI1022</t>
  </si>
  <si>
    <t xml:space="preserve">NAT1022</t>
  </si>
  <si>
    <t xml:space="preserve">LUD1022</t>
  </si>
  <si>
    <t xml:space="preserve">ENE1022</t>
  </si>
  <si>
    <t xml:space="preserve">PLU1022</t>
  </si>
  <si>
    <t xml:space="preserve">CAM1022</t>
  </si>
  <si>
    <t xml:space="preserve">JHO1022</t>
  </si>
  <si>
    <t xml:space="preserve">TAM922</t>
  </si>
  <si>
    <t xml:space="preserve">ANI1022</t>
  </si>
  <si>
    <t xml:space="preserve">BASIT1022</t>
  </si>
  <si>
    <t xml:space="preserve">LID1022</t>
  </si>
  <si>
    <t xml:space="preserve">HIT1022</t>
  </si>
  <si>
    <t xml:space="preserve">20452</t>
  </si>
  <si>
    <t xml:space="preserve">LIS1022</t>
  </si>
  <si>
    <t xml:space="preserve">LUD1022 V2</t>
  </si>
  <si>
    <t xml:space="preserve">EST1122</t>
  </si>
  <si>
    <t xml:space="preserve">EPI1122</t>
  </si>
  <si>
    <t xml:space="preserve">EST2211</t>
  </si>
  <si>
    <t xml:space="preserve">MEN1122</t>
  </si>
  <si>
    <t xml:space="preserve">LUD1022 V3</t>
  </si>
  <si>
    <t xml:space="preserve">VIR1122</t>
  </si>
  <si>
    <t xml:space="preserve">HUI1122</t>
  </si>
  <si>
    <t xml:space="preserve">SEZ1122</t>
  </si>
  <si>
    <t xml:space="preserve">EST2121</t>
  </si>
  <si>
    <t xml:space="preserve">MEN1222</t>
  </si>
  <si>
    <t xml:space="preserve">FIL1122</t>
  </si>
  <si>
    <t xml:space="preserve">8120xSFR</t>
  </si>
  <si>
    <t xml:space="preserve">EST1222</t>
  </si>
  <si>
    <t xml:space="preserve">FRO1122</t>
  </si>
  <si>
    <t xml:space="preserve">STO1122</t>
  </si>
  <si>
    <t xml:space="preserve">TOTA1222</t>
  </si>
  <si>
    <t xml:space="preserve">LE1222</t>
  </si>
  <si>
    <t xml:space="preserve">ENO1222</t>
  </si>
  <si>
    <t xml:space="preserve">Moyennes Décembre 2022</t>
  </si>
  <si>
    <t xml:space="preserve">TOTAUX Décembre 2022</t>
  </si>
  <si>
    <t xml:space="preserve">  Configuration — Flying For You</t>
  </si>
  <si>
    <t xml:space="preserve">Distributeurs CDI (coût exclu dans marge Externe)</t>
  </si>
  <si>
    <t xml:space="preserve">Prénom / Nom</t>
  </si>
  <si>
    <t xml:space="preserve">Année début CDI</t>
  </si>
  <si>
    <t xml:space="preserve">Légende couleurs</t>
  </si>
  <si>
    <t xml:space="preserve">Marge Brute ≥ 55% — Bonne rentabilité</t>
  </si>
  <si>
    <t xml:space="preserve">Marge 30–55% — Attention</t>
  </si>
  <si>
    <t xml:space="preserve">Marge &lt; 30% — Déficit / AO</t>
  </si>
  <si>
    <t xml:space="preserve">Ligne Agent CDI — coût exclu dans Marge Externe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</si>
</sst>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&quot; €&quot;"/>
    <numFmt numFmtId="167" formatCode="0.0%"/>
    <numFmt numFmtId="168" formatCode="\+0.0%;\-0.0%"/>
    <numFmt numFmtId="169" formatCode="#,##0"/>
    <numFmt numFmtId="170" formatCode="General"/>
    <numFmt numFmtId="171" formatCode="@"/>
    <numFmt numFmtId="172" formatCode="0.00"/>
    <numFmt numFmtId="173" formatCode="#,##0.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5"/>
      <color rgb="FF27AE60"/>
      <name val="Arial"/>
      <family val="0"/>
      <charset val="1"/>
    </font>
    <font>
      <b val="true"/>
      <sz val="15"/>
      <color rgb="FF2E5C9E"/>
      <name val="Arial"/>
      <family val="0"/>
      <charset val="1"/>
    </font>
    <font>
      <b val="true"/>
      <sz val="15"/>
      <color rgb="FF1B2A4A"/>
      <name val="Arial"/>
      <family val="0"/>
      <charset val="1"/>
    </font>
    <font>
      <b val="true"/>
      <sz val="15"/>
      <color rgb="FFE67E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7D3C00"/>
      <name val="Arial"/>
      <family val="0"/>
      <charset val="1"/>
    </font>
    <font>
      <b val="true"/>
      <sz val="10"/>
      <color rgb="FF1D6A27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7D3C00"/>
      <name val="Arial"/>
      <family val="0"/>
      <charset val="1"/>
    </font>
    <font>
      <sz val="10"/>
      <color rgb="FF1D6A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784212"/>
      <name val="Arial"/>
      <family val="0"/>
      <charset val="1"/>
    </font>
    <font>
      <sz val="10"/>
      <color rgb="FF784212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sz val="10"/>
      <color rgb="FF1B4F72"/>
      <name val="Arial"/>
      <family val="0"/>
      <charset val="1"/>
    </font>
    <font>
      <b val="true"/>
      <sz val="10"/>
      <color rgb="FF7F8C8D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2E5C9E"/>
      <name val="Arial"/>
      <family val="0"/>
      <charset val="1"/>
    </font>
    <font>
      <sz val="9"/>
      <color rgb="FF1B2A4A"/>
      <name val="Arial"/>
      <family val="0"/>
      <charset val="1"/>
    </font>
    <font>
      <sz val="10"/>
      <color rgb="FF2E5C9E"/>
      <name val="Arial"/>
      <family val="0"/>
      <charset val="1"/>
    </font>
    <font>
      <sz val="9"/>
      <color rgb="FF784212"/>
      <name val="Arial"/>
      <family val="0"/>
      <charset val="1"/>
    </font>
    <font>
      <sz val="9"/>
      <color rgb="FFC0392B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sz val="9"/>
      <color rgb="FF1B4F72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7D3C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2E5C9E"/>
      <name val="Arial"/>
      <family val="0"/>
      <charset val="1"/>
    </font>
    <font>
      <sz val="9"/>
      <color rgb="FF7D3C00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D6A27"/>
      <name val="Arial"/>
      <family val="0"/>
      <charset val="1"/>
    </font>
    <font>
      <sz val="9"/>
      <color rgb="FF922B2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EAECEE"/>
        <bgColor rgb="FFEAF2FF"/>
      </patternFill>
    </fill>
    <fill>
      <patternFill patternType="solid">
        <fgColor rgb="FFFFFFFF"/>
        <bgColor rgb="FFF7F8FA"/>
      </patternFill>
    </fill>
    <fill>
      <patternFill patternType="solid">
        <fgColor rgb="FF2E5C9E"/>
        <bgColor rgb="FF1B4F72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6E4F0"/>
      </patternFill>
    </fill>
    <fill>
      <patternFill patternType="solid">
        <fgColor rgb="FFF7F8FA"/>
        <bgColor rgb="FFFFFFFF"/>
      </patternFill>
    </fill>
    <fill>
      <patternFill patternType="solid">
        <fgColor rgb="FFFADBD8"/>
        <bgColor rgb="FFFDEBD0"/>
      </patternFill>
    </fill>
    <fill>
      <patternFill patternType="solid">
        <fgColor rgb="FFD6E4F0"/>
        <bgColor rgb="FFD9D9D9"/>
      </patternFill>
    </fill>
    <fill>
      <patternFill patternType="solid">
        <fgColor rgb="FF27AE60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FFF0F5"/>
        <bgColor rgb="FFF7F8FA"/>
      </patternFill>
    </fill>
    <fill>
      <patternFill patternType="solid">
        <fgColor rgb="FFFEF9E7"/>
        <bgColor rgb="FFF7F8FA"/>
      </patternFill>
    </fill>
    <fill>
      <patternFill patternType="solid">
        <fgColor rgb="FFEAF2FF"/>
        <bgColor rgb="FFEAEC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9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22B21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7D3C0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D6A27"/>
      </font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8FA"/>
      <rgbColor rgb="FFFF00FF"/>
      <rgbColor rgb="FF00FFFF"/>
      <rgbColor rgb="FF800000"/>
      <rgbColor rgb="FF1D6A27"/>
      <rgbColor rgb="FF000080"/>
      <rgbColor rgb="FF808000"/>
      <rgbColor rgb="FF800080"/>
      <rgbColor rgb="FF008080"/>
      <rgbColor rgb="FFB3B3B3"/>
      <rgbColor rgb="FF7F8C8D"/>
      <rgbColor rgb="FF9999FF"/>
      <rgbColor rgb="FFC0392B"/>
      <rgbColor rgb="FFFEF9E7"/>
      <rgbColor rgb="FFEAF2FF"/>
      <rgbColor rgb="FF660066"/>
      <rgbColor rgb="FFFF8080"/>
      <rgbColor rgb="FF2E5C9E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D9D9D9"/>
      <rgbColor rgb="FFEAECEE"/>
      <rgbColor rgb="FFFFF0F5"/>
      <rgbColor rgb="FFFADBD8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B2A4A"/>
      <rgbColor rgb="FF27AE60"/>
      <rgbColor rgb="FF003300"/>
      <rgbColor rgb="FF7D3C00"/>
      <rgbColor rgb="FF922B21"/>
      <rgbColor rgb="FF784212"/>
      <rgbColor rgb="FF1B4F72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'📊 Dashboard'!D9</c:f>
              <c:strCache>
                <c:ptCount val="1"/>
                <c:pt idx="0">
                  <c:v>Coût prod.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Dashboard'!$B$10:$B$21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'📊 Dashboard'!$D$10:$D$21</c:f>
              <c:numCache>
                <c:formatCode>#,##0</c:formatCode>
                <c:ptCount val="12"/>
                <c:pt idx="0">
                  <c:v>45323</c:v>
                </c:pt>
                <c:pt idx="1">
                  <c:v>47677</c:v>
                </c:pt>
                <c:pt idx="2">
                  <c:v>66119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'📊 Dashboard'!E9</c:f>
              <c:strCache>
                <c:ptCount val="1"/>
                <c:pt idx="0">
                  <c:v>Bénéfice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Dashboard'!$B$10:$B$21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'📊 Dashboard'!$E$10:$E$21</c:f>
              <c:numCache>
                <c:formatCode>#,##0</c:formatCode>
                <c:ptCount val="12"/>
                <c:pt idx="0">
                  <c:v>62571</c:v>
                </c:pt>
                <c:pt idx="1">
                  <c:v>91483</c:v>
                </c:pt>
                <c:pt idx="2">
                  <c:v>118623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96724147"/>
        <c:axId val="58241690"/>
      </c:barChart>
      <c:catAx>
        <c:axId val="96724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41690"/>
        <c:crosses val="autoZero"/>
        <c:auto val="1"/>
        <c:lblAlgn val="ctr"/>
        <c:lblOffset val="100"/>
        <c:noMultiLvlLbl val="0"/>
      </c:catAx>
      <c:valAx>
        <c:axId val="582416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241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1b2a4a"/>
            </a:solidFill>
            <a:ln w="21960">
              <a:solidFill>
                <a:srgbClr val="1b2a4a"/>
              </a:solidFill>
              <a:round/>
            </a:ln>
          </c:spPr>
          <c:marker>
            <c:symbol val="circle"/>
            <c:size val="5"/>
            <c:spPr>
              <a:solidFill>
                <a:srgbClr val="1b2a4a"/>
              </a:solidFill>
            </c:spPr>
          </c:marker>
          <c:smooth val="1"/>
        </c:ser>
        <c:ser>
          <c:idx val="1"/>
          <c:order val="1"/>
          <c:spPr>
            <a:solidFill>
              <a:srgbClr val="27ae60"/>
            </a:solidFill>
            <a:ln w="21960">
              <a:solidFill>
                <a:srgbClr val="27ae60"/>
              </a:solidFill>
              <a:round/>
            </a:ln>
          </c:spPr>
          <c:marker>
            <c:symbol val="diamond"/>
            <c:size val="5"/>
            <c:spPr>
              <a:solidFill>
                <a:srgbClr val="27ae60"/>
              </a:solidFill>
            </c:spPr>
          </c:marker>
          <c:smooth val="1"/>
        </c:ser>
        <c:ser>
          <c:idx val="2"/>
          <c:order val="2"/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square"/>
            <c:size val="5"/>
            <c:spPr>
              <a:solidFill>
                <a:srgbClr val="e67e22"/>
              </a:solidFill>
            </c:spPr>
          </c:marker>
          <c:smooth val="1"/>
        </c:ser>
        <c:ser>
          <c:idx val="3"/>
          <c:order val="3"/>
          <c:spPr>
            <a:solidFill>
              <a:srgbClr val="7f8c8d"/>
            </a:solidFill>
            <a:ln w="21960">
              <a:solidFill>
                <a:srgbClr val="7f8c8d"/>
              </a:solidFill>
              <a:round/>
            </a:ln>
          </c:spPr>
          <c:marker>
            <c:symbol val="triangle"/>
            <c:size val="5"/>
            <c:spPr>
              <a:solidFill>
                <a:srgbClr val="7f8c8d"/>
              </a:solidFill>
            </c:spPr>
          </c:marker>
          <c:smooth val="1"/>
        </c:ser>
        <c:hiLowLines>
          <c:spPr>
            <a:ln w="0">
              <a:noFill/>
            </a:ln>
          </c:spPr>
        </c:hiLowLines>
        <c:marker val="1"/>
        <c:axId val="93015082"/>
        <c:axId val="49155386"/>
      </c:lineChart>
      <c:catAx>
        <c:axId val="93015082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5386"/>
        <c:crosses val="autoZero"/>
        <c:auto val="1"/>
        <c:lblAlgn val="ctr"/>
        <c:lblOffset val="100"/>
        <c:noMultiLvlLbl val="0"/>
      </c:catAx>
      <c:valAx>
        <c:axId val="491553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15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Dashboard'!G9</c:f>
              <c:strCache>
                <c:ptCount val="1"/>
                <c:pt idx="0">
                  <c:v>Nb opés</c:v>
                </c:pt>
              </c:strCache>
            </c:strRef>
          </c:tx>
          <c:spPr>
            <a:solidFill>
              <a:srgbClr val="2e5c9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Dashboard'!$B$10:$B$21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'📊 Dashboard'!$G$10:$G$21</c:f>
              <c:numCache>
                <c:formatCode>General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3260648"/>
        <c:axId val="5319339"/>
      </c:barChart>
      <c:catAx>
        <c:axId val="1326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339"/>
        <c:crosses val="autoZero"/>
        <c:auto val="1"/>
        <c:lblAlgn val="ctr"/>
        <c:lblOffset val="100"/>
        <c:noMultiLvlLbl val="0"/>
      </c:catAx>
      <c:valAx>
        <c:axId val="5319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60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"Marge Brute"</c:f>
              <c:strCache>
                <c:ptCount val="1"/>
                <c:pt idx="0">
                  <c:v>Marge Brute</c:v>
                </c:pt>
              </c:strCache>
            </c:strRef>
          </c:tx>
          <c:spPr>
            <a:solidFill>
              <a:srgbClr val="1b2a4a"/>
            </a:solidFill>
            <a:ln w="21960">
              <a:solidFill>
                <a:srgbClr val="1b2a4a"/>
              </a:solidFill>
              <a:round/>
            </a:ln>
          </c:spPr>
          <c:marker>
            <c:symbol val="circle"/>
            <c:size val="5"/>
            <c:spPr>
              <a:solidFill>
                <a:srgbClr val="1b2a4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'📋 AO — Pessac'!$W$6:$AO$6</c:f>
              <c:multiLvlStrCache>
                <c:ptCount val="1"/>
                <c:lvl>
                  <c:pt idx="0">
                    <c:v>24.6%</c:v>
                  </c:pt>
                </c:lvl>
                <c:lvl>
                  <c:pt idx="0">
                    <c:v>Décemb</c:v>
                  </c:pt>
                </c:lvl>
                <c:lvl>
                  <c:pt idx="0">
                    <c:v>PESS0326</c:v>
                  </c:pt>
                </c:lvl>
                <c:lvl>
                  <c:pt idx="0">
                    <c:v>PESS0226</c:v>
                  </c:pt>
                </c:lvl>
                <c:lvl>
                  <c:pt idx="0">
                    <c:v>PESS0126</c:v>
                  </c:pt>
                </c:lvl>
                <c:lvl>
                  <c:pt idx="0">
                    <c:v>PESS1225</c:v>
                  </c:pt>
                </c:lvl>
                <c:lvl>
                  <c:pt idx="0">
                    <c:v>PESS1125</c:v>
                  </c:pt>
                </c:lvl>
                <c:lvl>
                  <c:pt idx="0">
                    <c:v>PESS1025</c:v>
                  </c:pt>
                </c:lvl>
                <c:lvl>
                  <c:pt idx="0">
                    <c:v>PESS0925</c:v>
                  </c:pt>
                </c:lvl>
                <c:lvl>
                  <c:pt idx="0">
                    <c:v>PESS0725</c:v>
                  </c:pt>
                </c:lvl>
                <c:lvl>
                  <c:pt idx="0">
                    <c:v>PESS0625</c:v>
                  </c:pt>
                </c:lvl>
                <c:lvl>
                  <c:pt idx="0">
                    <c:v>PESS0525</c:v>
                  </c:pt>
                </c:lvl>
                <c:lvl>
                  <c:pt idx="0">
                    <c:v>PESS0425</c:v>
                  </c:pt>
                </c:lvl>
                <c:lvl>
                  <c:pt idx="0">
                    <c:v>PESS0325</c:v>
                  </c:pt>
                </c:lvl>
                <c:lvl>
                  <c:pt idx="0">
                    <c:v>PESS0225</c:v>
                  </c:pt>
                </c:lvl>
                <c:lvl>
                  <c:pt idx="0">
                    <c:v>PESS0125</c:v>
                  </c:pt>
                </c:lvl>
                <c:lvl>
                  <c:pt idx="0">
                    <c:v>PESS1224</c:v>
                  </c:pt>
                </c:lvl>
                <c:lvl>
                  <c:pt idx="0">
                    <c:v>PESS1224</c:v>
                  </c:pt>
                </c:lvl>
                <c:lvl>
                  <c:pt idx="0">
                    <c:v>PESS1124</c:v>
                  </c:pt>
                </c:lvl>
              </c:multiLvlStrCache>
            </c:multiLvlStrRef>
          </c:cat>
          <c:val>
            <c:numRef>
              <c:f>'📋 AO — Pessac'!$W$7:$AO$7</c:f>
              <c:numCache>
                <c:formatCode>0.0%</c:formatCode>
                <c:ptCount val="19"/>
                <c:pt idx="0">
                  <c:v>0.0642914285714286</c:v>
                </c:pt>
                <c:pt idx="1">
                  <c:v>0.246444285714286</c:v>
                </c:pt>
                <c:pt idx="2">
                  <c:v>0.25898</c:v>
                </c:pt>
                <c:pt idx="3">
                  <c:v>0.23171</c:v>
                </c:pt>
                <c:pt idx="4">
                  <c:v>0.274648571428571</c:v>
                </c:pt>
                <c:pt idx="5">
                  <c:v>0.311345714285714</c:v>
                </c:pt>
                <c:pt idx="6">
                  <c:v>0.34654</c:v>
                </c:pt>
                <c:pt idx="7">
                  <c:v>0.315558571428571</c:v>
                </c:pt>
                <c:pt idx="8">
                  <c:v>0.322014285714286</c:v>
                </c:pt>
                <c:pt idx="9">
                  <c:v>0.206798571428571</c:v>
                </c:pt>
                <c:pt idx="10">
                  <c:v>0.355897142857143</c:v>
                </c:pt>
                <c:pt idx="11">
                  <c:v>0.36155</c:v>
                </c:pt>
                <c:pt idx="12">
                  <c:v>0.310231428571429</c:v>
                </c:pt>
                <c:pt idx="13">
                  <c:v>0.400172857142857</c:v>
                </c:pt>
                <c:pt idx="14">
                  <c:v>0.307541428571429</c:v>
                </c:pt>
                <c:pt idx="15">
                  <c:v>0.331972857142857</c:v>
                </c:pt>
                <c:pt idx="16">
                  <c:v>0.310585714285714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"Marge Externe"</c:f>
              <c:strCache>
                <c:ptCount val="1"/>
                <c:pt idx="0">
                  <c:v>Marge Externe</c:v>
                </c:pt>
              </c:strCache>
            </c:strRef>
          </c:tx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diamond"/>
            <c:size val="5"/>
            <c:spPr>
              <a:solidFill>
                <a:srgbClr val="e67e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'📋 AO — Pessac'!$W$6:$AO$6</c:f>
              <c:multiLvlStrCache>
                <c:ptCount val="1"/>
                <c:lvl>
                  <c:pt idx="0">
                    <c:v>24.6%</c:v>
                  </c:pt>
                </c:lvl>
                <c:lvl>
                  <c:pt idx="0">
                    <c:v>Décemb</c:v>
                  </c:pt>
                </c:lvl>
                <c:lvl>
                  <c:pt idx="0">
                    <c:v>PESS0326</c:v>
                  </c:pt>
                </c:lvl>
                <c:lvl>
                  <c:pt idx="0">
                    <c:v>PESS0226</c:v>
                  </c:pt>
                </c:lvl>
                <c:lvl>
                  <c:pt idx="0">
                    <c:v>PESS0126</c:v>
                  </c:pt>
                </c:lvl>
                <c:lvl>
                  <c:pt idx="0">
                    <c:v>PESS1225</c:v>
                  </c:pt>
                </c:lvl>
                <c:lvl>
                  <c:pt idx="0">
                    <c:v>PESS1125</c:v>
                  </c:pt>
                </c:lvl>
                <c:lvl>
                  <c:pt idx="0">
                    <c:v>PESS1025</c:v>
                  </c:pt>
                </c:lvl>
                <c:lvl>
                  <c:pt idx="0">
                    <c:v>PESS0925</c:v>
                  </c:pt>
                </c:lvl>
                <c:lvl>
                  <c:pt idx="0">
                    <c:v>PESS0725</c:v>
                  </c:pt>
                </c:lvl>
                <c:lvl>
                  <c:pt idx="0">
                    <c:v>PESS0625</c:v>
                  </c:pt>
                </c:lvl>
                <c:lvl>
                  <c:pt idx="0">
                    <c:v>PESS0525</c:v>
                  </c:pt>
                </c:lvl>
                <c:lvl>
                  <c:pt idx="0">
                    <c:v>PESS0425</c:v>
                  </c:pt>
                </c:lvl>
                <c:lvl>
                  <c:pt idx="0">
                    <c:v>PESS0325</c:v>
                  </c:pt>
                </c:lvl>
                <c:lvl>
                  <c:pt idx="0">
                    <c:v>PESS0225</c:v>
                  </c:pt>
                </c:lvl>
                <c:lvl>
                  <c:pt idx="0">
                    <c:v>PESS0125</c:v>
                  </c:pt>
                </c:lvl>
                <c:lvl>
                  <c:pt idx="0">
                    <c:v>PESS1224</c:v>
                  </c:pt>
                </c:lvl>
                <c:lvl>
                  <c:pt idx="0">
                    <c:v>PESS1224</c:v>
                  </c:pt>
                </c:lvl>
                <c:lvl>
                  <c:pt idx="0">
                    <c:v>PESS1124</c:v>
                  </c:pt>
                </c:lvl>
              </c:multiLvlStrCache>
            </c:multiLvlStrRef>
          </c:cat>
          <c:val>
            <c:numRef>
              <c:f>'📋 AO — Pessac'!$W$8:$AO$8</c:f>
              <c:numCache>
                <c:formatCode>0.0%</c:formatCode>
                <c:ptCount val="19"/>
                <c:pt idx="0">
                  <c:v>0.144291428571429</c:v>
                </c:pt>
                <c:pt idx="1">
                  <c:v>0.294444285714286</c:v>
                </c:pt>
                <c:pt idx="2">
                  <c:v>0.331265714285714</c:v>
                </c:pt>
                <c:pt idx="3">
                  <c:v>0.287995714285714</c:v>
                </c:pt>
                <c:pt idx="4">
                  <c:v>0.330934285714286</c:v>
                </c:pt>
                <c:pt idx="5">
                  <c:v>0.428202857142857</c:v>
                </c:pt>
                <c:pt idx="6">
                  <c:v>0.418825714285714</c:v>
                </c:pt>
                <c:pt idx="7">
                  <c:v>0.363558571428571</c:v>
                </c:pt>
                <c:pt idx="8">
                  <c:v>0.354014285714286</c:v>
                </c:pt>
                <c:pt idx="9">
                  <c:v>0.206798571428571</c:v>
                </c:pt>
                <c:pt idx="10">
                  <c:v>0.425325714285714</c:v>
                </c:pt>
                <c:pt idx="11">
                  <c:v>0.436407142857143</c:v>
                </c:pt>
                <c:pt idx="12">
                  <c:v>0.37966</c:v>
                </c:pt>
                <c:pt idx="13">
                  <c:v>0.421601428571429</c:v>
                </c:pt>
                <c:pt idx="14">
                  <c:v>0.35897</c:v>
                </c:pt>
                <c:pt idx="15">
                  <c:v>0.363972857142857</c:v>
                </c:pt>
                <c:pt idx="16">
                  <c:v>0.358585714285714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4167286"/>
        <c:axId val="22644724"/>
      </c:lineChart>
      <c:catAx>
        <c:axId val="94167286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44724"/>
        <c:crosses val="autoZero"/>
        <c:auto val="1"/>
        <c:lblAlgn val="ctr"/>
        <c:lblOffset val="100"/>
        <c:noMultiLvlLbl val="0"/>
      </c:catAx>
      <c:valAx>
        <c:axId val="22644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67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"Marge Brute"</c:f>
              <c:strCache>
                <c:ptCount val="1"/>
                <c:pt idx="0">
                  <c:v>Marge Brute</c:v>
                </c:pt>
              </c:strCache>
            </c:strRef>
          </c:tx>
          <c:spPr>
            <a:solidFill>
              <a:srgbClr val="1b2a4a"/>
            </a:solidFill>
            <a:ln w="21960">
              <a:solidFill>
                <a:srgbClr val="1b2a4a"/>
              </a:solidFill>
              <a:round/>
            </a:ln>
          </c:spPr>
          <c:marker>
            <c:symbol val="circle"/>
            <c:size val="5"/>
            <c:spPr>
              <a:solidFill>
                <a:srgbClr val="1b2a4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'📋 AO — Gif-sur-Yvette'!$W$6:$AN$6</c:f>
              <c:multiLvlStrCache>
                <c:ptCount val="1"/>
                <c:lvl>
                  <c:pt idx="0">
                    <c:v>54.3%</c:v>
                  </c:pt>
                </c:lvl>
                <c:lvl>
                  <c:pt idx="0">
                    <c:v>Févrie</c:v>
                  </c:pt>
                </c:lvl>
                <c:lvl>
                  <c:pt idx="0">
                    <c:v>Gif0326</c:v>
                  </c:pt>
                </c:lvl>
                <c:lvl>
                  <c:pt idx="0">
                    <c:v>Gif0226</c:v>
                  </c:pt>
                </c:lvl>
                <c:lvl>
                  <c:pt idx="0">
                    <c:v>GIF0126</c:v>
                  </c:pt>
                </c:lvl>
                <c:lvl>
                  <c:pt idx="0">
                    <c:v>GIF1225</c:v>
                  </c:pt>
                </c:lvl>
                <c:lvl>
                  <c:pt idx="0">
                    <c:v>GIF1125</c:v>
                  </c:pt>
                </c:lvl>
                <c:lvl>
                  <c:pt idx="0">
                    <c:v>GIF1025</c:v>
                  </c:pt>
                </c:lvl>
                <c:lvl>
                  <c:pt idx="0">
                    <c:v>GIF0925 </c:v>
                  </c:pt>
                </c:lvl>
                <c:lvl>
                  <c:pt idx="0">
                    <c:v>GIF0825</c:v>
                  </c:pt>
                </c:lvl>
                <c:lvl>
                  <c:pt idx="0">
                    <c:v>GIF06,07</c:v>
                  </c:pt>
                </c:lvl>
                <c:lvl>
                  <c:pt idx="0">
                    <c:v>GIF0525</c:v>
                  </c:pt>
                </c:lvl>
                <c:lvl>
                  <c:pt idx="0">
                    <c:v>GIFT325</c:v>
                  </c:pt>
                </c:lvl>
                <c:lvl>
                  <c:pt idx="0">
                    <c:v>GIF0425</c:v>
                  </c:pt>
                </c:lvl>
                <c:lvl>
                  <c:pt idx="0">
                    <c:v>GIF0325</c:v>
                  </c:pt>
                </c:lvl>
                <c:lvl>
                  <c:pt idx="0">
                    <c:v>GIF0225</c:v>
                  </c:pt>
                </c:lvl>
                <c:lvl>
                  <c:pt idx="0">
                    <c:v>GIFS125</c:v>
                  </c:pt>
                </c:lvl>
                <c:lvl>
                  <c:pt idx="0">
                    <c:v>GIF0125</c:v>
                  </c:pt>
                </c:lvl>
              </c:multiLvlStrCache>
            </c:multiLvlStrRef>
          </c:cat>
          <c:val>
            <c:numRef>
              <c:f>'📋 AO — Gif-sur-Yvette'!$W$7:$AN$7</c:f>
              <c:numCache>
                <c:formatCode>0.0%</c:formatCode>
                <c:ptCount val="18"/>
                <c:pt idx="0">
                  <c:v>0.430714285714286</c:v>
                </c:pt>
                <c:pt idx="1">
                  <c:v>0.542857142857143</c:v>
                </c:pt>
                <c:pt idx="2">
                  <c:v>-0.154446778711485</c:v>
                </c:pt>
                <c:pt idx="3">
                  <c:v>0.00998249299719896</c:v>
                </c:pt>
                <c:pt idx="4">
                  <c:v>-0.137149859943978</c:v>
                </c:pt>
                <c:pt idx="5">
                  <c:v>0.446153846153846</c:v>
                </c:pt>
                <c:pt idx="6">
                  <c:v>-0.0969817927170869</c:v>
                </c:pt>
                <c:pt idx="7">
                  <c:v>0.346764346764347</c:v>
                </c:pt>
                <c:pt idx="8">
                  <c:v>0.489549106839968</c:v>
                </c:pt>
                <c:pt idx="9">
                  <c:v>0.335444361463779</c:v>
                </c:pt>
                <c:pt idx="10">
                  <c:v>-0.16327731092437</c:v>
                </c:pt>
                <c:pt idx="11">
                  <c:v>-0.343109243697479</c:v>
                </c:pt>
                <c:pt idx="12">
                  <c:v>0.066155462184874</c:v>
                </c:pt>
                <c:pt idx="13">
                  <c:v>0.304163074712644</c:v>
                </c:pt>
                <c:pt idx="14">
                  <c:v>-0.0538515406162464</c:v>
                </c:pt>
                <c:pt idx="15">
                  <c:v>-0.0436484593837535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"Marge Externe"</c:f>
              <c:strCache>
                <c:ptCount val="1"/>
                <c:pt idx="0">
                  <c:v>Marge Externe</c:v>
                </c:pt>
              </c:strCache>
            </c:strRef>
          </c:tx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diamond"/>
            <c:size val="5"/>
            <c:spPr>
              <a:solidFill>
                <a:srgbClr val="e67e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'📋 AO — Gif-sur-Yvette'!$W$6:$AN$6</c:f>
              <c:multiLvlStrCache>
                <c:ptCount val="1"/>
                <c:lvl>
                  <c:pt idx="0">
                    <c:v>54.3%</c:v>
                  </c:pt>
                </c:lvl>
                <c:lvl>
                  <c:pt idx="0">
                    <c:v>Févrie</c:v>
                  </c:pt>
                </c:lvl>
                <c:lvl>
                  <c:pt idx="0">
                    <c:v>Gif0326</c:v>
                  </c:pt>
                </c:lvl>
                <c:lvl>
                  <c:pt idx="0">
                    <c:v>Gif0226</c:v>
                  </c:pt>
                </c:lvl>
                <c:lvl>
                  <c:pt idx="0">
                    <c:v>GIF0126</c:v>
                  </c:pt>
                </c:lvl>
                <c:lvl>
                  <c:pt idx="0">
                    <c:v>GIF1225</c:v>
                  </c:pt>
                </c:lvl>
                <c:lvl>
                  <c:pt idx="0">
                    <c:v>GIF1125</c:v>
                  </c:pt>
                </c:lvl>
                <c:lvl>
                  <c:pt idx="0">
                    <c:v>GIF1025</c:v>
                  </c:pt>
                </c:lvl>
                <c:lvl>
                  <c:pt idx="0">
                    <c:v>GIF0925 </c:v>
                  </c:pt>
                </c:lvl>
                <c:lvl>
                  <c:pt idx="0">
                    <c:v>GIF0825</c:v>
                  </c:pt>
                </c:lvl>
                <c:lvl>
                  <c:pt idx="0">
                    <c:v>GIF06,07</c:v>
                  </c:pt>
                </c:lvl>
                <c:lvl>
                  <c:pt idx="0">
                    <c:v>GIF0525</c:v>
                  </c:pt>
                </c:lvl>
                <c:lvl>
                  <c:pt idx="0">
                    <c:v>GIFT325</c:v>
                  </c:pt>
                </c:lvl>
                <c:lvl>
                  <c:pt idx="0">
                    <c:v>GIF0425</c:v>
                  </c:pt>
                </c:lvl>
                <c:lvl>
                  <c:pt idx="0">
                    <c:v>GIF0325</c:v>
                  </c:pt>
                </c:lvl>
                <c:lvl>
                  <c:pt idx="0">
                    <c:v>GIF0225</c:v>
                  </c:pt>
                </c:lvl>
                <c:lvl>
                  <c:pt idx="0">
                    <c:v>GIFS125</c:v>
                  </c:pt>
                </c:lvl>
                <c:lvl>
                  <c:pt idx="0">
                    <c:v>GIF0125</c:v>
                  </c:pt>
                </c:lvl>
              </c:multiLvlStrCache>
            </c:multiLvlStrRef>
          </c:cat>
          <c:val>
            <c:numRef>
              <c:f>'📋 AO — Gif-sur-Yvette'!$W$8:$AN$8</c:f>
              <c:numCache>
                <c:formatCode>0.0%</c:formatCode>
                <c:ptCount val="18"/>
                <c:pt idx="0">
                  <c:v>0.522450980392157</c:v>
                </c:pt>
                <c:pt idx="1">
                  <c:v>1</c:v>
                </c:pt>
                <c:pt idx="2">
                  <c:v>-0.154446778711485</c:v>
                </c:pt>
                <c:pt idx="3">
                  <c:v>0.00998249299719896</c:v>
                </c:pt>
                <c:pt idx="4">
                  <c:v>-0.137149859943978</c:v>
                </c:pt>
                <c:pt idx="5">
                  <c:v>0.446153846153846</c:v>
                </c:pt>
                <c:pt idx="6">
                  <c:v>0.113102240896359</c:v>
                </c:pt>
                <c:pt idx="7">
                  <c:v>0.400632047690871</c:v>
                </c:pt>
                <c:pt idx="8">
                  <c:v>0.647536177100598</c:v>
                </c:pt>
                <c:pt idx="9">
                  <c:v>0.335444361463779</c:v>
                </c:pt>
                <c:pt idx="10">
                  <c:v>-0.16327731092437</c:v>
                </c:pt>
                <c:pt idx="11">
                  <c:v>-0.343109243697479</c:v>
                </c:pt>
                <c:pt idx="12">
                  <c:v>0.066155462184874</c:v>
                </c:pt>
                <c:pt idx="13">
                  <c:v>0.424852729885057</c:v>
                </c:pt>
                <c:pt idx="14">
                  <c:v>-0.0538515406162464</c:v>
                </c:pt>
                <c:pt idx="15">
                  <c:v>0.0347829131652662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6425641"/>
        <c:axId val="47657858"/>
      </c:lineChart>
      <c:catAx>
        <c:axId val="26425641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57858"/>
        <c:crosses val="autoZero"/>
        <c:auto val="1"/>
        <c:lblAlgn val="ctr"/>
        <c:lblOffset val="100"/>
        <c:noMultiLvlLbl val="0"/>
      </c:catAx>
      <c:valAx>
        <c:axId val="476578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5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"Marge Brute"</c:f>
              <c:strCache>
                <c:ptCount val="1"/>
                <c:pt idx="0">
                  <c:v>Marge Brute</c:v>
                </c:pt>
              </c:strCache>
            </c:strRef>
          </c:tx>
          <c:spPr>
            <a:solidFill>
              <a:srgbClr val="1b2a4a"/>
            </a:solidFill>
            <a:ln w="21960">
              <a:solidFill>
                <a:srgbClr val="1b2a4a"/>
              </a:solidFill>
              <a:round/>
            </a:ln>
          </c:spPr>
          <c:marker>
            <c:symbol val="circle"/>
            <c:size val="5"/>
            <c:spPr>
              <a:solidFill>
                <a:srgbClr val="1b2a4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'📋 AO — MEL 2025'!$W$6:$AH$6</c:f>
              <c:multiLvlStrCache>
                <c:ptCount val="1"/>
                <c:lvl>
                  <c:pt idx="0">
                    <c:v>54.6%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</c:multiLvlStrCache>
            </c:multiLvlStrRef>
          </c:cat>
          <c:val>
            <c:numRef>
              <c:f>'📋 AO — MEL 2025'!$W$7:$AH$7</c:f>
              <c:numCache>
                <c:formatCode>0.0%</c:formatCode>
                <c:ptCount val="12"/>
                <c:pt idx="0">
                  <c:v>0.600535175879397</c:v>
                </c:pt>
                <c:pt idx="1">
                  <c:v>0.546467336683417</c:v>
                </c:pt>
                <c:pt idx="2">
                  <c:v>0.17928391959799</c:v>
                </c:pt>
                <c:pt idx="3">
                  <c:v>0.51927135678392</c:v>
                </c:pt>
                <c:pt idx="4">
                  <c:v>0.217130653266332</c:v>
                </c:pt>
                <c:pt idx="5">
                  <c:v>0.252856783919598</c:v>
                </c:pt>
                <c:pt idx="6">
                  <c:v>0.00194723618090452</c:v>
                </c:pt>
                <c:pt idx="7">
                  <c:v>0.206974874371859</c:v>
                </c:pt>
                <c:pt idx="8">
                  <c:v>0.671947236180905</c:v>
                </c:pt>
                <c:pt idx="9">
                  <c:v>0.318517587939698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"Marge Externe"</c:f>
              <c:strCache>
                <c:ptCount val="1"/>
                <c:pt idx="0">
                  <c:v>Marge Externe</c:v>
                </c:pt>
              </c:strCache>
            </c:strRef>
          </c:tx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diamond"/>
            <c:size val="5"/>
            <c:spPr>
              <a:solidFill>
                <a:srgbClr val="e67e2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'📋 AO — MEL 2025'!$W$6:$AH$6</c:f>
              <c:multiLvlStrCache>
                <c:ptCount val="1"/>
                <c:lvl>
                  <c:pt idx="0">
                    <c:v>54.6%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  <c:lvl>
                  <c:pt idx="0">
                    <c:v>MEL1125 </c:v>
                  </c:pt>
                </c:lvl>
              </c:multiLvlStrCache>
            </c:multiLvlStrRef>
          </c:cat>
          <c:val>
            <c:numRef>
              <c:f>'📋 AO — MEL 2025'!$W$8:$AH$8</c:f>
              <c:numCache>
                <c:formatCode>0.0%</c:formatCode>
                <c:ptCount val="12"/>
                <c:pt idx="0">
                  <c:v>0.66385175879397</c:v>
                </c:pt>
                <c:pt idx="1">
                  <c:v>0.546467336683417</c:v>
                </c:pt>
                <c:pt idx="2">
                  <c:v>0.17928391959799</c:v>
                </c:pt>
                <c:pt idx="3">
                  <c:v>0.582587939698492</c:v>
                </c:pt>
                <c:pt idx="4">
                  <c:v>0.217130653266332</c:v>
                </c:pt>
                <c:pt idx="5">
                  <c:v>0.252856783919598</c:v>
                </c:pt>
                <c:pt idx="6">
                  <c:v>0.00194723618090452</c:v>
                </c:pt>
                <c:pt idx="7">
                  <c:v>0.206974874371859</c:v>
                </c:pt>
                <c:pt idx="8">
                  <c:v>0.671947236180905</c:v>
                </c:pt>
                <c:pt idx="9">
                  <c:v>0.318517587939698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0352240"/>
        <c:axId val="40916341"/>
      </c:lineChart>
      <c:catAx>
        <c:axId val="30352240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16341"/>
        <c:crosses val="autoZero"/>
        <c:auto val="1"/>
        <c:lblAlgn val="ctr"/>
        <c:lblOffset val="100"/>
        <c:noMultiLvlLbl val="0"/>
      </c:catAx>
      <c:valAx>
        <c:axId val="409163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522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7</xdr:col>
      <xdr:colOff>34920</xdr:colOff>
      <xdr:row>38</xdr:row>
      <xdr:rowOff>39240</xdr:rowOff>
    </xdr:to>
    <xdr:graphicFrame>
      <xdr:nvGraphicFramePr>
        <xdr:cNvPr id="0" name="Chart 1"/>
        <xdr:cNvGraphicFramePr/>
      </xdr:nvGraphicFramePr>
      <xdr:xfrm>
        <a:off x="211320" y="5810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25</xdr:col>
      <xdr:colOff>551520</xdr:colOff>
      <xdr:row>38</xdr:row>
      <xdr:rowOff>39240</xdr:rowOff>
    </xdr:to>
    <xdr:graphicFrame>
      <xdr:nvGraphicFramePr>
        <xdr:cNvPr id="1" name="Chart 2"/>
        <xdr:cNvGraphicFramePr/>
      </xdr:nvGraphicFramePr>
      <xdr:xfrm>
        <a:off x="5216040" y="58104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7</xdr:col>
      <xdr:colOff>34920</xdr:colOff>
      <xdr:row>57</xdr:row>
      <xdr:rowOff>88560</xdr:rowOff>
    </xdr:to>
    <xdr:graphicFrame>
      <xdr:nvGraphicFramePr>
        <xdr:cNvPr id="2" name="Chart 3"/>
        <xdr:cNvGraphicFramePr/>
      </xdr:nvGraphicFramePr>
      <xdr:xfrm>
        <a:off x="211320" y="108108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0</xdr:rowOff>
    </xdr:from>
    <xdr:to>
      <xdr:col>33</xdr:col>
      <xdr:colOff>276840</xdr:colOff>
      <xdr:row>24</xdr:row>
      <xdr:rowOff>27360</xdr:rowOff>
    </xdr:to>
    <xdr:graphicFrame>
      <xdr:nvGraphicFramePr>
        <xdr:cNvPr id="3" name="Chart 1"/>
        <xdr:cNvGraphicFramePr/>
      </xdr:nvGraphicFramePr>
      <xdr:xfrm>
        <a:off x="17880480" y="203832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0</xdr:rowOff>
    </xdr:from>
    <xdr:to>
      <xdr:col>33</xdr:col>
      <xdr:colOff>276840</xdr:colOff>
      <xdr:row>24</xdr:row>
      <xdr:rowOff>27360</xdr:rowOff>
    </xdr:to>
    <xdr:graphicFrame>
      <xdr:nvGraphicFramePr>
        <xdr:cNvPr id="4" name="Chart 1"/>
        <xdr:cNvGraphicFramePr/>
      </xdr:nvGraphicFramePr>
      <xdr:xfrm>
        <a:off x="17880480" y="203832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0</xdr:rowOff>
    </xdr:from>
    <xdr:to>
      <xdr:col>33</xdr:col>
      <xdr:colOff>276840</xdr:colOff>
      <xdr:row>24</xdr:row>
      <xdr:rowOff>27360</xdr:rowOff>
    </xdr:to>
    <xdr:graphicFrame>
      <xdr:nvGraphicFramePr>
        <xdr:cNvPr id="5" name="Chart 1"/>
        <xdr:cNvGraphicFramePr/>
      </xdr:nvGraphicFramePr>
      <xdr:xfrm>
        <a:off x="17880480" y="203832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U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6" min="3" style="1" width="13"/>
    <col collapsed="false" customWidth="true" hidden="false" outlineLevel="0" max="7" min="7" style="1" width="3"/>
    <col collapsed="false" customWidth="true" hidden="false" outlineLevel="0" max="8" min="8" style="1" width="16"/>
    <col collapsed="false" customWidth="true" hidden="false" outlineLevel="0" max="11" min="9" style="1" width="12"/>
    <col collapsed="false" customWidth="true" hidden="false" outlineLevel="0" max="12" min="12" style="1" width="3"/>
    <col collapsed="false" customWidth="true" hidden="true" outlineLevel="0" max="25" min="14" style="1" width="13"/>
  </cols>
  <sheetData>
    <row r="1" customFormat="false" ht="6" hidden="false" customHeight="true" outlineLevel="0" collapsed="false"/>
    <row r="2" customFormat="false" ht="3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>
      <c r="G3" s="3"/>
    </row>
    <row r="4" customFormat="false" ht="18" hidden="false" customHeight="true" outlineLevel="0" collapsed="false">
      <c r="B4" s="4" t="s">
        <v>1</v>
      </c>
      <c r="C4" s="4"/>
      <c r="D4" s="5" t="n">
        <v>2026</v>
      </c>
      <c r="E4" s="6" t="s">
        <v>2</v>
      </c>
      <c r="F4" s="6"/>
      <c r="G4" s="6"/>
      <c r="H4" s="6"/>
      <c r="I4" s="6"/>
      <c r="J4" s="6"/>
      <c r="K4" s="6"/>
      <c r="L4" s="6"/>
    </row>
    <row r="5" customFormat="false" ht="30" hidden="false" customHeight="true" outlineLevel="0" collapsed="false">
      <c r="B5" s="7" t="s">
        <v>3</v>
      </c>
      <c r="C5" s="7"/>
      <c r="D5" s="7" t="s">
        <v>4</v>
      </c>
      <c r="E5" s="7"/>
      <c r="F5" s="7" t="s">
        <v>5</v>
      </c>
      <c r="G5" s="7"/>
      <c r="H5" s="7" t="s">
        <v>6</v>
      </c>
      <c r="I5" s="7"/>
      <c r="J5" s="7" t="s">
        <v>7</v>
      </c>
      <c r="K5" s="7"/>
    </row>
    <row r="6" customFormat="false" ht="13.5" hidden="false" customHeight="true" outlineLevel="0" collapsed="false">
      <c r="B6" s="8" t="n">
        <f aca="false">IFERROR(INDEX(C201:C204,MATCH(D4,B201:B204,0)),"—")</f>
        <v>431796</v>
      </c>
      <c r="C6" s="8"/>
      <c r="D6" s="9" t="n">
        <f aca="false">IFERROR(INDEX(D201:D204,MATCH(D4,B201:B204,0)),"—")</f>
        <v>272677</v>
      </c>
      <c r="E6" s="9"/>
      <c r="F6" s="10" t="n">
        <f aca="false">IFERROR(INDEX(E201:E204,MATCH(D4,B201:B204,0)),"—")</f>
        <v>0.631</v>
      </c>
      <c r="G6" s="10"/>
      <c r="H6" s="11" t="n">
        <f aca="false">IFERROR(INDEX(E201:E204,MATCH(D4,B201:B204,0))-INDEX(E201:E204,MATCH(D4-1,B201:B204,0)),"—")</f>
        <v>0.038</v>
      </c>
      <c r="I6" s="11"/>
      <c r="J6" s="12" t="n">
        <f aca="false">IFERROR(INDEX(F201:F204,MATCH(D4,B201:B204,0)),"—")</f>
        <v>53</v>
      </c>
      <c r="K6" s="12"/>
    </row>
    <row r="7" customFormat="false" ht="9.75" hidden="false" customHeight="true" outlineLevel="0" collapsed="false">
      <c r="G7" s="3"/>
    </row>
    <row r="8" customFormat="false" ht="21.75" hidden="false" customHeight="true" outlineLevel="0" collapsed="false">
      <c r="B8" s="13" t="s">
        <v>8</v>
      </c>
      <c r="C8" s="13"/>
      <c r="D8" s="13"/>
      <c r="E8" s="13"/>
      <c r="F8" s="13"/>
      <c r="G8" s="3"/>
      <c r="H8" s="13" t="s">
        <v>9</v>
      </c>
      <c r="I8" s="13"/>
      <c r="J8" s="13"/>
      <c r="K8" s="13"/>
      <c r="L8" s="13"/>
    </row>
    <row r="9" customFormat="false" ht="21.75" hidden="false" customHeight="true" outlineLevel="0" collapsed="false"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5" t="s">
        <v>15</v>
      </c>
      <c r="H9" s="14" t="s">
        <v>10</v>
      </c>
      <c r="I9" s="14" t="s">
        <v>16</v>
      </c>
      <c r="J9" s="14" t="s">
        <v>17</v>
      </c>
      <c r="K9" s="14" t="s">
        <v>18</v>
      </c>
      <c r="L9" s="14" t="s">
        <v>19</v>
      </c>
    </row>
    <row r="10" customFormat="false" ht="19.5" hidden="false" customHeight="true" outlineLevel="0" collapsed="false">
      <c r="B10" s="16" t="s">
        <v>20</v>
      </c>
      <c r="C10" s="17" t="n">
        <f aca="false">IFERROR(CHOOSE(MATCH($D$4,{2026,2025,2024,2023},0),C210,D210,E210,F210),0)</f>
        <v>107894</v>
      </c>
      <c r="D10" s="17" t="n">
        <f aca="false">IFERROR(CHOOSE(MATCH($D$4,{2026,2025,2024,2023},0),H210,I210,J210,K210),0)</f>
        <v>45323</v>
      </c>
      <c r="E10" s="18" t="n">
        <f aca="false">C10-D10</f>
        <v>62571</v>
      </c>
      <c r="F10" s="19" t="n">
        <f aca="false">IFERROR(E10/C10,"")</f>
        <v>0.579930301963038</v>
      </c>
      <c r="G10" s="20" t="n">
        <f aca="false">IFERROR(CHOOSE(MATCH($D$4,{2026,2025,2024,2023},0),14,17,19,19),0)</f>
        <v>14</v>
      </c>
      <c r="H10" s="16" t="s">
        <v>21</v>
      </c>
      <c r="I10" s="21" t="n">
        <v>0.58</v>
      </c>
      <c r="J10" s="21" t="n">
        <v>0.649</v>
      </c>
      <c r="K10" s="22" t="n">
        <v>0.662</v>
      </c>
      <c r="L10" s="21" t="n">
        <v>0.525</v>
      </c>
    </row>
    <row r="11" customFormat="false" ht="19.5" hidden="false" customHeight="true" outlineLevel="0" collapsed="false">
      <c r="B11" s="23" t="s">
        <v>22</v>
      </c>
      <c r="C11" s="24" t="n">
        <f aca="false">IFERROR(CHOOSE(MATCH($D$4,{2026,2025,2024,2023},0),C211,D211,E211,F211),0)</f>
        <v>139160</v>
      </c>
      <c r="D11" s="24" t="n">
        <f aca="false">IFERROR(CHOOSE(MATCH($D$4,{2026,2025,2024,2023},0),H211,I211,J211,K211),0)</f>
        <v>47677</v>
      </c>
      <c r="E11" s="25" t="n">
        <f aca="false">C11-D11</f>
        <v>91483</v>
      </c>
      <c r="F11" s="26" t="n">
        <f aca="false">IFERROR(E11/C11,"")</f>
        <v>0.657394366197183</v>
      </c>
      <c r="G11" s="20" t="n">
        <f aca="false">IFERROR(CHOOSE(MATCH($D$4,{2026,2025,2024,2023},0),14,18,25,20),0)</f>
        <v>14</v>
      </c>
      <c r="H11" s="23" t="s">
        <v>23</v>
      </c>
      <c r="I11" s="22" t="n">
        <v>0.657</v>
      </c>
      <c r="J11" s="21" t="n">
        <v>0.64</v>
      </c>
      <c r="K11" s="22" t="n">
        <v>0.714</v>
      </c>
      <c r="L11" s="22" t="n">
        <v>0.699</v>
      </c>
    </row>
    <row r="12" customFormat="false" ht="19.5" hidden="false" customHeight="true" outlineLevel="0" collapsed="false">
      <c r="B12" s="16" t="s">
        <v>24</v>
      </c>
      <c r="C12" s="17" t="n">
        <f aca="false">IFERROR(CHOOSE(MATCH($D$4,{2026,2025,2024,2023},0),C212,D212,E212,F212),0)</f>
        <v>184742</v>
      </c>
      <c r="D12" s="17" t="n">
        <f aca="false">IFERROR(CHOOSE(MATCH($D$4,{2026,2025,2024,2023},0),H212,I212,J212,K212),0)</f>
        <v>66119</v>
      </c>
      <c r="E12" s="18" t="n">
        <f aca="false">C12-D12</f>
        <v>118623</v>
      </c>
      <c r="F12" s="19" t="n">
        <f aca="false">IFERROR(E12/C12,"")</f>
        <v>0.642100875816003</v>
      </c>
      <c r="G12" s="20" t="n">
        <f aca="false">IFERROR(CHOOSE(MATCH($D$4,{2026,2025,2024,2023},0),25,19,30,14),0)</f>
        <v>25</v>
      </c>
      <c r="H12" s="16" t="s">
        <v>25</v>
      </c>
      <c r="I12" s="21" t="n">
        <v>0.642</v>
      </c>
      <c r="J12" s="21" t="n">
        <v>0.649</v>
      </c>
      <c r="K12" s="22" t="n">
        <v>0.675</v>
      </c>
      <c r="L12" s="21" t="n">
        <v>0.56</v>
      </c>
    </row>
    <row r="13" customFormat="false" ht="19.5" hidden="false" customHeight="true" outlineLevel="0" collapsed="false">
      <c r="B13" s="23" t="s">
        <v>26</v>
      </c>
      <c r="C13" s="24" t="n">
        <f aca="false">IFERROR(CHOOSE(MATCH($D$4,{2026,2025,2024,2023},0),C213,D213,E213,F213),0)</f>
        <v>0</v>
      </c>
      <c r="D13" s="24" t="n">
        <f aca="false">IFERROR(CHOOSE(MATCH($D$4,{2026,2025,2024,2023},0),H213,I213,J213,K213),0)</f>
        <v>0</v>
      </c>
      <c r="E13" s="25" t="n">
        <f aca="false">C13-D13</f>
        <v>0</v>
      </c>
      <c r="F13" s="26" t="str">
        <f aca="false">IFERROR(E13/C13,"")</f>
        <v/>
      </c>
      <c r="G13" s="20" t="n">
        <f aca="false">IFERROR(CHOOSE(MATCH($D$4,{2026,2025,2024,2023},0),0,27,29,6),0)</f>
        <v>0</v>
      </c>
      <c r="H13" s="23" t="s">
        <v>27</v>
      </c>
      <c r="I13" s="27"/>
      <c r="J13" s="22" t="n">
        <v>0.665</v>
      </c>
      <c r="K13" s="22" t="n">
        <v>0.722</v>
      </c>
      <c r="L13" s="21" t="n">
        <v>0.581</v>
      </c>
    </row>
    <row r="14" customFormat="false" ht="19.5" hidden="false" customHeight="true" outlineLevel="0" collapsed="false">
      <c r="B14" s="16" t="s">
        <v>28</v>
      </c>
      <c r="C14" s="17" t="n">
        <f aca="false">IFERROR(CHOOSE(MATCH($D$4,{2026,2025,2024,2023},0),C214,D214,E214,F214),0)</f>
        <v>0</v>
      </c>
      <c r="D14" s="17" t="n">
        <f aca="false">IFERROR(CHOOSE(MATCH($D$4,{2026,2025,2024,2023},0),H214,I214,J214,K214),0)</f>
        <v>0</v>
      </c>
      <c r="E14" s="18" t="n">
        <f aca="false">C14-D14</f>
        <v>0</v>
      </c>
      <c r="F14" s="19" t="str">
        <f aca="false">IFERROR(E14/C14,"")</f>
        <v/>
      </c>
      <c r="G14" s="20" t="n">
        <f aca="false">IFERROR(CHOOSE(MATCH($D$4,{2026,2025,2024,2023},0),0,18,22,8),0)</f>
        <v>0</v>
      </c>
      <c r="H14" s="16" t="s">
        <v>28</v>
      </c>
      <c r="I14" s="28"/>
      <c r="J14" s="21" t="n">
        <v>0.594</v>
      </c>
      <c r="K14" s="22" t="n">
        <v>0.75</v>
      </c>
      <c r="L14" s="21" t="n">
        <v>0.605</v>
      </c>
    </row>
    <row r="15" customFormat="false" ht="19.5" hidden="false" customHeight="true" outlineLevel="0" collapsed="false">
      <c r="B15" s="23" t="s">
        <v>29</v>
      </c>
      <c r="C15" s="24" t="n">
        <f aca="false">IFERROR(CHOOSE(MATCH($D$4,{2026,2025,2024,2023},0),C215,D215,E215,F215),0)</f>
        <v>0</v>
      </c>
      <c r="D15" s="24" t="n">
        <f aca="false">IFERROR(CHOOSE(MATCH($D$4,{2026,2025,2024,2023},0),H215,I215,J215,K215),0)</f>
        <v>0</v>
      </c>
      <c r="E15" s="25" t="n">
        <f aca="false">C15-D15</f>
        <v>0</v>
      </c>
      <c r="F15" s="26" t="str">
        <f aca="false">IFERROR(E15/C15,"")</f>
        <v/>
      </c>
      <c r="G15" s="20" t="n">
        <f aca="false">IFERROR(CHOOSE(MATCH($D$4,{2026,2025,2024,2023},0),0,29,33,19),0)</f>
        <v>0</v>
      </c>
      <c r="H15" s="23" t="s">
        <v>30</v>
      </c>
      <c r="I15" s="27"/>
      <c r="J15" s="21" t="n">
        <v>0.585</v>
      </c>
      <c r="K15" s="22" t="n">
        <v>0.763</v>
      </c>
      <c r="L15" s="22" t="n">
        <v>0.717</v>
      </c>
    </row>
    <row r="16" customFormat="false" ht="19.5" hidden="false" customHeight="true" outlineLevel="0" collapsed="false">
      <c r="B16" s="16" t="s">
        <v>31</v>
      </c>
      <c r="C16" s="17" t="n">
        <f aca="false">IFERROR(CHOOSE(MATCH($D$4,{2026,2025,2024,2023},0),C216,D216,E216,F216),0)</f>
        <v>0</v>
      </c>
      <c r="D16" s="17" t="n">
        <f aca="false">IFERROR(CHOOSE(MATCH($D$4,{2026,2025,2024,2023},0),H216,I216,J216,K216),0)</f>
        <v>0</v>
      </c>
      <c r="E16" s="18" t="n">
        <f aca="false">C16-D16</f>
        <v>0</v>
      </c>
      <c r="F16" s="19" t="str">
        <f aca="false">IFERROR(E16/C16,"")</f>
        <v/>
      </c>
      <c r="G16" s="20" t="n">
        <f aca="false">IFERROR(CHOOSE(MATCH($D$4,{2026,2025,2024,2023},0),0,13,17,4),0)</f>
        <v>0</v>
      </c>
      <c r="H16" s="16" t="s">
        <v>32</v>
      </c>
      <c r="I16" s="28"/>
      <c r="J16" s="22" t="n">
        <v>0.879</v>
      </c>
      <c r="K16" s="22" t="n">
        <v>0.709</v>
      </c>
      <c r="L16" s="21" t="n">
        <v>0.622</v>
      </c>
    </row>
    <row r="17" customFormat="false" ht="19.5" hidden="false" customHeight="true" outlineLevel="0" collapsed="false">
      <c r="B17" s="23" t="s">
        <v>33</v>
      </c>
      <c r="C17" s="24" t="n">
        <f aca="false">IFERROR(CHOOSE(MATCH($D$4,{2026,2025,2024,2023},0),C217,D217,E217,F217),0)</f>
        <v>0</v>
      </c>
      <c r="D17" s="24" t="n">
        <f aca="false">IFERROR(CHOOSE(MATCH($D$4,{2026,2025,2024,2023},0),H217,I217,J217,K217),0)</f>
        <v>0</v>
      </c>
      <c r="E17" s="25" t="n">
        <f aca="false">C17-D17</f>
        <v>0</v>
      </c>
      <c r="F17" s="26" t="str">
        <f aca="false">IFERROR(E17/C17,"")</f>
        <v/>
      </c>
      <c r="G17" s="20" t="n">
        <f aca="false">IFERROR(CHOOSE(MATCH($D$4,{2026,2025,2024,2023},0),0,14,8,4),0)</f>
        <v>0</v>
      </c>
      <c r="H17" s="23" t="s">
        <v>34</v>
      </c>
      <c r="I17" s="27"/>
      <c r="J17" s="21" t="n">
        <v>0.556</v>
      </c>
      <c r="K17" s="22" t="n">
        <v>0.761</v>
      </c>
      <c r="L17" s="21" t="n">
        <v>0.648</v>
      </c>
    </row>
    <row r="18" customFormat="false" ht="19.5" hidden="false" customHeight="true" outlineLevel="0" collapsed="false">
      <c r="B18" s="16" t="s">
        <v>35</v>
      </c>
      <c r="C18" s="17" t="n">
        <f aca="false">IFERROR(CHOOSE(MATCH($D$4,{2026,2025,2024,2023},0),C218,D218,E218,F218),0)</f>
        <v>0</v>
      </c>
      <c r="D18" s="17" t="n">
        <f aca="false">IFERROR(CHOOSE(MATCH($D$4,{2026,2025,2024,2023},0),H218,I218,J218,K218),0)</f>
        <v>0</v>
      </c>
      <c r="E18" s="18" t="n">
        <f aca="false">C18-D18</f>
        <v>0</v>
      </c>
      <c r="F18" s="19" t="str">
        <f aca="false">IFERROR(E18/C18,"")</f>
        <v/>
      </c>
      <c r="G18" s="20" t="n">
        <f aca="false">IFERROR(CHOOSE(MATCH($D$4,{2026,2025,2024,2023},0),0,29,22,13),0)</f>
        <v>0</v>
      </c>
      <c r="H18" s="16" t="s">
        <v>36</v>
      </c>
      <c r="I18" s="28"/>
      <c r="J18" s="29" t="n">
        <v>0.382</v>
      </c>
      <c r="K18" s="22" t="n">
        <v>0.733</v>
      </c>
      <c r="L18" s="22" t="n">
        <v>0.805</v>
      </c>
    </row>
    <row r="19" customFormat="false" ht="19.5" hidden="false" customHeight="true" outlineLevel="0" collapsed="false">
      <c r="B19" s="23" t="s">
        <v>37</v>
      </c>
      <c r="C19" s="24" t="n">
        <f aca="false">IFERROR(CHOOSE(MATCH($D$4,{2026,2025,2024,2023},0),C219,D219,E219,F219),0)</f>
        <v>0</v>
      </c>
      <c r="D19" s="24" t="n">
        <f aca="false">IFERROR(CHOOSE(MATCH($D$4,{2026,2025,2024,2023},0),H219,I219,J219,K219),0)</f>
        <v>0</v>
      </c>
      <c r="E19" s="25" t="n">
        <f aca="false">C19-D19</f>
        <v>0</v>
      </c>
      <c r="F19" s="26" t="str">
        <f aca="false">IFERROR(E19/C19,"")</f>
        <v/>
      </c>
      <c r="G19" s="20" t="n">
        <f aca="false">IFERROR(CHOOSE(MATCH($D$4,{2026,2025,2024,2023},0),0,17,19,17),0)</f>
        <v>0</v>
      </c>
      <c r="H19" s="23" t="s">
        <v>38</v>
      </c>
      <c r="I19" s="27"/>
      <c r="J19" s="21" t="n">
        <v>0.622</v>
      </c>
      <c r="K19" s="21" t="n">
        <v>0.481</v>
      </c>
      <c r="L19" s="22" t="n">
        <v>0.758</v>
      </c>
    </row>
    <row r="20" customFormat="false" ht="19.5" hidden="false" customHeight="true" outlineLevel="0" collapsed="false">
      <c r="B20" s="16" t="s">
        <v>39</v>
      </c>
      <c r="C20" s="17" t="n">
        <f aca="false">IFERROR(CHOOSE(MATCH($D$4,{2026,2025,2024,2023},0),C220,D220,E220,F220),0)</f>
        <v>0</v>
      </c>
      <c r="D20" s="17" t="n">
        <f aca="false">IFERROR(CHOOSE(MATCH($D$4,{2026,2025,2024,2023},0),H220,I220,J220,K220),0)</f>
        <v>0</v>
      </c>
      <c r="E20" s="18" t="n">
        <f aca="false">C20-D20</f>
        <v>0</v>
      </c>
      <c r="F20" s="19" t="str">
        <f aca="false">IFERROR(E20/C20,"")</f>
        <v/>
      </c>
      <c r="G20" s="20" t="n">
        <f aca="false">IFERROR(CHOOSE(MATCH($D$4,{2026,2025,2024,2023},0),0,24,18,10),0)</f>
        <v>0</v>
      </c>
      <c r="H20" s="16" t="s">
        <v>40</v>
      </c>
      <c r="I20" s="28"/>
      <c r="J20" s="21" t="n">
        <v>0.518</v>
      </c>
      <c r="K20" s="21" t="n">
        <v>0.613</v>
      </c>
      <c r="L20" s="22" t="n">
        <v>0.754</v>
      </c>
    </row>
    <row r="21" customFormat="false" ht="19.5" hidden="false" customHeight="true" outlineLevel="0" collapsed="false">
      <c r="B21" s="23" t="s">
        <v>41</v>
      </c>
      <c r="C21" s="24" t="n">
        <f aca="false">IFERROR(CHOOSE(MATCH($D$4,{2026,2025,2024,2023},0),C221,D221,E221,F221),0)</f>
        <v>0</v>
      </c>
      <c r="D21" s="24" t="n">
        <f aca="false">IFERROR(CHOOSE(MATCH($D$4,{2026,2025,2024,2023},0),H221,I221,J221,K221),0)</f>
        <v>0</v>
      </c>
      <c r="E21" s="25" t="n">
        <f aca="false">C21-D21</f>
        <v>0</v>
      </c>
      <c r="F21" s="26" t="str">
        <f aca="false">IFERROR(E21/C21,"")</f>
        <v/>
      </c>
      <c r="G21" s="20" t="n">
        <f aca="false">IFERROR(CHOOSE(MATCH($D$4,{2026,2025,2024,2023},0),0,12,15,8),0)</f>
        <v>0</v>
      </c>
      <c r="H21" s="23" t="s">
        <v>42</v>
      </c>
      <c r="I21" s="27"/>
      <c r="J21" s="21" t="n">
        <v>0.579</v>
      </c>
      <c r="K21" s="22" t="n">
        <v>0.726</v>
      </c>
      <c r="L21" s="22" t="n">
        <v>0.741</v>
      </c>
    </row>
    <row r="22" customFormat="false" ht="21.75" hidden="false" customHeight="true" outlineLevel="0" collapsed="false">
      <c r="B22" s="30" t="s">
        <v>43</v>
      </c>
      <c r="C22" s="31" t="n">
        <f aca="false">SUM(C10:C21)</f>
        <v>431796</v>
      </c>
      <c r="D22" s="31" t="n">
        <f aca="false">SUM(D10:D21)</f>
        <v>159119</v>
      </c>
      <c r="E22" s="31" t="n">
        <f aca="false">SUM(E10:E21)</f>
        <v>272677</v>
      </c>
      <c r="F22" s="32" t="n">
        <f aca="false">IFERROR(E22/C22,"")</f>
        <v>0.631494965215055</v>
      </c>
      <c r="G22" s="33" t="n">
        <f aca="false">SUM(G10:G21)</f>
        <v>53</v>
      </c>
      <c r="H22" s="34" t="s">
        <v>43</v>
      </c>
      <c r="I22" s="32" t="n">
        <v>0.631</v>
      </c>
      <c r="J22" s="32" t="n">
        <v>0.593</v>
      </c>
      <c r="K22" s="32" t="n">
        <v>0.683</v>
      </c>
      <c r="L22" s="32" t="n">
        <v>0.693</v>
      </c>
    </row>
    <row r="23" customFormat="false" ht="18" hidden="false" customHeight="true" outlineLevel="0" collapsed="false">
      <c r="G23" s="3"/>
    </row>
    <row r="24" customFormat="false" ht="15.75" hidden="false" customHeight="true" outlineLevel="0" collapsed="false">
      <c r="B24" s="13" t="s">
        <v>44</v>
      </c>
      <c r="C24" s="13"/>
      <c r="D24" s="13"/>
      <c r="E24" s="13"/>
      <c r="F24" s="13"/>
      <c r="G24" s="3"/>
      <c r="H24" s="13" t="s">
        <v>45</v>
      </c>
      <c r="I24" s="13"/>
      <c r="J24" s="13"/>
      <c r="K24" s="13"/>
      <c r="L24" s="13"/>
    </row>
    <row r="25" customFormat="false" ht="18" hidden="false" customHeight="true" outlineLevel="0" collapsed="false">
      <c r="G25" s="3"/>
    </row>
    <row r="26" customFormat="false" ht="18" hidden="false" customHeight="true" outlineLevel="0" collapsed="false">
      <c r="G26" s="3"/>
    </row>
    <row r="27" customFormat="false" ht="18" hidden="false" customHeight="true" outlineLevel="0" collapsed="false">
      <c r="G27" s="3"/>
    </row>
    <row r="28" customFormat="false" ht="18" hidden="false" customHeight="true" outlineLevel="0" collapsed="false">
      <c r="G28" s="3"/>
    </row>
    <row r="29" customFormat="false" ht="18" hidden="false" customHeight="true" outlineLevel="0" collapsed="false">
      <c r="G29" s="3"/>
    </row>
    <row r="30" customFormat="false" ht="18" hidden="false" customHeight="true" outlineLevel="0" collapsed="false">
      <c r="G30" s="3"/>
    </row>
    <row r="31" customFormat="false" ht="18" hidden="false" customHeight="true" outlineLevel="0" collapsed="false">
      <c r="G31" s="3"/>
    </row>
    <row r="32" customFormat="false" ht="18" hidden="false" customHeight="true" outlineLevel="0" collapsed="false">
      <c r="G32" s="3"/>
    </row>
    <row r="33" customFormat="false" ht="18" hidden="false" customHeight="true" outlineLevel="0" collapsed="false">
      <c r="G33" s="3"/>
    </row>
    <row r="34" customFormat="false" ht="18" hidden="false" customHeight="true" outlineLevel="0" collapsed="false">
      <c r="G34" s="3"/>
    </row>
    <row r="35" customFormat="false" ht="18" hidden="false" customHeight="true" outlineLevel="0" collapsed="false">
      <c r="G35" s="3"/>
    </row>
    <row r="36" customFormat="false" ht="18" hidden="false" customHeight="true" outlineLevel="0" collapsed="false">
      <c r="G36" s="3"/>
    </row>
    <row r="37" customFormat="false" ht="18" hidden="false" customHeight="true" outlineLevel="0" collapsed="false">
      <c r="G37" s="3"/>
    </row>
    <row r="38" customFormat="false" ht="18" hidden="false" customHeight="true" outlineLevel="0" collapsed="false">
      <c r="G38" s="3"/>
    </row>
    <row r="39" customFormat="false" ht="18" hidden="false" customHeight="true" outlineLevel="0" collapsed="false">
      <c r="G39" s="3"/>
    </row>
    <row r="40" customFormat="false" ht="18" hidden="false" customHeight="true" outlineLevel="0" collapsed="false">
      <c r="G40" s="3"/>
    </row>
    <row r="41" customFormat="false" ht="18" hidden="false" customHeight="true" outlineLevel="0" collapsed="false">
      <c r="G41" s="3"/>
    </row>
    <row r="42" customFormat="false" ht="18" hidden="false" customHeight="true" outlineLevel="0" collapsed="false">
      <c r="G42" s="3"/>
    </row>
    <row r="43" customFormat="false" ht="18" hidden="false" customHeight="true" outlineLevel="0" collapsed="false">
      <c r="G43" s="3"/>
    </row>
    <row r="44" customFormat="false" ht="18" hidden="false" customHeight="true" outlineLevel="0" collapsed="false">
      <c r="G44" s="3"/>
    </row>
    <row r="45" customFormat="false" ht="18" hidden="false" customHeight="true" outlineLevel="0" collapsed="false">
      <c r="G45" s="3"/>
    </row>
    <row r="46" customFormat="false" ht="15.75" hidden="false" customHeight="true" outlineLevel="0" collapsed="false">
      <c r="B46" s="13" t="s">
        <v>46</v>
      </c>
      <c r="C46" s="13"/>
      <c r="D46" s="13"/>
      <c r="E46" s="13"/>
      <c r="F46" s="13"/>
      <c r="G46" s="3"/>
      <c r="H46" s="13" t="s">
        <v>47</v>
      </c>
      <c r="I46" s="13"/>
      <c r="J46" s="13"/>
      <c r="K46" s="13"/>
      <c r="L46" s="13"/>
    </row>
    <row r="47" customFormat="false" ht="18" hidden="false" customHeight="true" outlineLevel="0" collapsed="false">
      <c r="G47" s="3"/>
      <c r="H47" s="14" t="s">
        <v>48</v>
      </c>
      <c r="I47" s="14" t="s">
        <v>49</v>
      </c>
      <c r="J47" s="14" t="s">
        <v>13</v>
      </c>
      <c r="K47" s="14" t="s">
        <v>14</v>
      </c>
      <c r="L47" s="14" t="s">
        <v>15</v>
      </c>
    </row>
    <row r="48" customFormat="false" ht="21.75" hidden="false" customHeight="true" outlineLevel="0" collapsed="false">
      <c r="G48" s="3"/>
      <c r="H48" s="35" t="n">
        <v>2026</v>
      </c>
      <c r="I48" s="36" t="n">
        <v>431796</v>
      </c>
      <c r="J48" s="36" t="n">
        <v>272677</v>
      </c>
      <c r="K48" s="21" t="n">
        <v>0.631</v>
      </c>
      <c r="L48" s="35" t="n">
        <v>53</v>
      </c>
    </row>
    <row r="49" customFormat="false" ht="21.75" hidden="false" customHeight="true" outlineLevel="0" collapsed="false">
      <c r="G49" s="3"/>
      <c r="H49" s="37" t="n">
        <v>2025</v>
      </c>
      <c r="I49" s="38" t="n">
        <v>1027814</v>
      </c>
      <c r="J49" s="38" t="n">
        <v>609698</v>
      </c>
      <c r="K49" s="39" t="n">
        <v>0.593</v>
      </c>
      <c r="L49" s="37" t="n">
        <v>237</v>
      </c>
    </row>
    <row r="50" customFormat="false" ht="21.75" hidden="false" customHeight="true" outlineLevel="0" collapsed="false">
      <c r="G50" s="3"/>
      <c r="H50" s="40" t="n">
        <v>2024</v>
      </c>
      <c r="I50" s="41" t="n">
        <v>905106</v>
      </c>
      <c r="J50" s="41" t="n">
        <v>618078</v>
      </c>
      <c r="K50" s="42" t="n">
        <v>0.683</v>
      </c>
      <c r="L50" s="40" t="n">
        <v>257</v>
      </c>
    </row>
    <row r="51" customFormat="false" ht="21.75" hidden="false" customHeight="true" outlineLevel="0" collapsed="false">
      <c r="G51" s="3"/>
      <c r="H51" s="37" t="n">
        <v>2023</v>
      </c>
      <c r="I51" s="38" t="n">
        <v>370124</v>
      </c>
      <c r="J51" s="38" t="n">
        <v>256395</v>
      </c>
      <c r="K51" s="42" t="n">
        <v>0.693</v>
      </c>
      <c r="L51" s="37" t="n">
        <v>142</v>
      </c>
    </row>
    <row r="52" customFormat="false" ht="18" hidden="false" customHeight="true" outlineLevel="0" collapsed="false">
      <c r="G52" s="3"/>
    </row>
    <row r="53" customFormat="false" ht="18" hidden="false" customHeight="true" outlineLevel="0" collapsed="false">
      <c r="G53" s="3"/>
    </row>
    <row r="54" customFormat="false" ht="12" hidden="false" customHeight="true" outlineLevel="0" collapsed="false">
      <c r="G54" s="3"/>
    </row>
    <row r="55" customFormat="false" ht="27.75" hidden="false" customHeight="true" outlineLevel="0" collapsed="false">
      <c r="B55" s="43" t="s">
        <v>50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</row>
    <row r="56" customFormat="false" ht="19.5" hidden="false" customHeight="true" outlineLevel="0" collapsed="false">
      <c r="B56" s="44" t="s">
        <v>51</v>
      </c>
      <c r="C56" s="45" t="s">
        <v>16</v>
      </c>
      <c r="D56" s="45"/>
      <c r="E56" s="45"/>
      <c r="F56" s="46" t="s">
        <v>17</v>
      </c>
      <c r="G56" s="46"/>
      <c r="H56" s="46"/>
      <c r="I56" s="47" t="s">
        <v>18</v>
      </c>
      <c r="J56" s="47"/>
      <c r="K56" s="47"/>
      <c r="L56" s="48" t="s">
        <v>19</v>
      </c>
      <c r="M56" s="48"/>
      <c r="N56" s="48"/>
    </row>
    <row r="57" customFormat="false" ht="19.5" hidden="false" customHeight="true" outlineLevel="0" collapsed="false">
      <c r="B57" s="44"/>
      <c r="C57" s="14" t="s">
        <v>52</v>
      </c>
      <c r="D57" s="14" t="s">
        <v>53</v>
      </c>
      <c r="E57" s="14" t="s">
        <v>54</v>
      </c>
      <c r="F57" s="49" t="s">
        <v>52</v>
      </c>
      <c r="G57" s="15" t="s">
        <v>53</v>
      </c>
      <c r="H57" s="49" t="s">
        <v>54</v>
      </c>
      <c r="I57" s="50" t="s">
        <v>52</v>
      </c>
      <c r="J57" s="50" t="s">
        <v>53</v>
      </c>
      <c r="K57" s="50" t="s">
        <v>54</v>
      </c>
      <c r="L57" s="51" t="s">
        <v>52</v>
      </c>
      <c r="M57" s="51" t="s">
        <v>53</v>
      </c>
      <c r="N57" s="51" t="s">
        <v>54</v>
      </c>
    </row>
    <row r="58" customFormat="false" ht="21.75" hidden="false" customHeight="true" outlineLevel="0" collapsed="false">
      <c r="B58" s="52" t="s">
        <v>55</v>
      </c>
      <c r="C58" s="53" t="n">
        <v>10414</v>
      </c>
      <c r="D58" s="54" t="n">
        <v>0.065</v>
      </c>
      <c r="E58" s="54" t="n">
        <v>0.024</v>
      </c>
      <c r="F58" s="53" t="n">
        <v>30730</v>
      </c>
      <c r="G58" s="55" t="n">
        <v>0.073</v>
      </c>
      <c r="H58" s="54" t="n">
        <v>0.03</v>
      </c>
      <c r="I58" s="53" t="n">
        <v>12252</v>
      </c>
      <c r="J58" s="54" t="n">
        <v>0.042</v>
      </c>
      <c r="K58" s="54" t="n">
        <v>0.013</v>
      </c>
      <c r="L58" s="56"/>
      <c r="M58" s="57"/>
      <c r="N58" s="57"/>
    </row>
    <row r="59" customFormat="false" ht="21.75" hidden="false" customHeight="true" outlineLevel="0" collapsed="false">
      <c r="B59" s="58" t="s">
        <v>56</v>
      </c>
      <c r="C59" s="59" t="n">
        <v>104617</v>
      </c>
      <c r="D59" s="60" t="n">
        <v>0.657</v>
      </c>
      <c r="E59" s="60" t="n">
        <v>0.242</v>
      </c>
      <c r="F59" s="59" t="n">
        <v>211378</v>
      </c>
      <c r="G59" s="61" t="n">
        <v>0.506</v>
      </c>
      <c r="H59" s="60" t="n">
        <v>0.206</v>
      </c>
      <c r="I59" s="59" t="n">
        <v>174654</v>
      </c>
      <c r="J59" s="60" t="n">
        <v>0.602</v>
      </c>
      <c r="K59" s="60" t="n">
        <v>0.192</v>
      </c>
      <c r="L59" s="59" t="n">
        <v>95133</v>
      </c>
      <c r="M59" s="60" t="n">
        <v>0.836</v>
      </c>
      <c r="N59" s="60" t="n">
        <v>0.257</v>
      </c>
    </row>
    <row r="60" customFormat="false" ht="21.75" hidden="false" customHeight="true" outlineLevel="0" collapsed="false">
      <c r="B60" s="62" t="s">
        <v>57</v>
      </c>
      <c r="C60" s="63" t="n">
        <v>28520</v>
      </c>
      <c r="D60" s="64" t="n">
        <v>0.179</v>
      </c>
      <c r="E60" s="64" t="n">
        <v>0.066</v>
      </c>
      <c r="F60" s="63" t="n">
        <v>92999</v>
      </c>
      <c r="G60" s="65" t="n">
        <v>0.222</v>
      </c>
      <c r="H60" s="64" t="n">
        <v>0.09</v>
      </c>
      <c r="I60" s="63" t="n">
        <v>79884</v>
      </c>
      <c r="J60" s="64" t="n">
        <v>0.275</v>
      </c>
      <c r="K60" s="64" t="n">
        <v>0.088</v>
      </c>
      <c r="L60" s="63" t="n">
        <v>7814</v>
      </c>
      <c r="M60" s="64" t="n">
        <v>0.069</v>
      </c>
      <c r="N60" s="64" t="n">
        <v>0.021</v>
      </c>
    </row>
    <row r="61" customFormat="false" ht="21.75" hidden="false" customHeight="true" outlineLevel="0" collapsed="false">
      <c r="B61" s="66" t="s">
        <v>58</v>
      </c>
      <c r="C61" s="67" t="n">
        <v>15568</v>
      </c>
      <c r="D61" s="68" t="n">
        <v>0.098</v>
      </c>
      <c r="E61" s="68" t="n">
        <v>0.036</v>
      </c>
      <c r="F61" s="67" t="n">
        <v>83008</v>
      </c>
      <c r="G61" s="69" t="n">
        <v>0.199</v>
      </c>
      <c r="H61" s="68" t="n">
        <v>0.081</v>
      </c>
      <c r="I61" s="67" t="n">
        <v>23394</v>
      </c>
      <c r="J61" s="68" t="n">
        <v>0.081</v>
      </c>
      <c r="K61" s="68" t="n">
        <v>0.026</v>
      </c>
      <c r="L61" s="67" t="n">
        <v>10782</v>
      </c>
      <c r="M61" s="68" t="n">
        <v>0.095</v>
      </c>
      <c r="N61" s="68" t="n">
        <v>0.029</v>
      </c>
    </row>
    <row r="62" customFormat="false" ht="21.75" hidden="false" customHeight="true" outlineLevel="0" collapsed="false">
      <c r="B62" s="70" t="s">
        <v>59</v>
      </c>
      <c r="C62" s="56"/>
      <c r="D62" s="57"/>
      <c r="E62" s="57"/>
      <c r="F62" s="56"/>
      <c r="G62" s="71"/>
      <c r="H62" s="57"/>
      <c r="I62" s="56"/>
      <c r="J62" s="57"/>
      <c r="K62" s="57"/>
      <c r="L62" s="56"/>
      <c r="M62" s="57"/>
      <c r="N62" s="57"/>
    </row>
    <row r="63" customFormat="false" ht="21.75" hidden="false" customHeight="true" outlineLevel="0" collapsed="false">
      <c r="B63" s="34" t="s">
        <v>60</v>
      </c>
      <c r="C63" s="72" t="n">
        <v>159119</v>
      </c>
      <c r="D63" s="73" t="n">
        <v>1</v>
      </c>
      <c r="E63" s="73" t="n">
        <v>0.368505888210841</v>
      </c>
      <c r="F63" s="72" t="n">
        <v>418115</v>
      </c>
      <c r="G63" s="74" t="n">
        <v>1</v>
      </c>
      <c r="H63" s="73" t="n">
        <v>0.406800653426256</v>
      </c>
      <c r="I63" s="72" t="n">
        <v>290185</v>
      </c>
      <c r="J63" s="73" t="n">
        <v>1</v>
      </c>
      <c r="K63" s="73" t="n">
        <v>0.319500443712386</v>
      </c>
      <c r="L63" s="72" t="n">
        <v>113728</v>
      </c>
      <c r="M63" s="73" t="n">
        <v>1</v>
      </c>
      <c r="N63" s="73" t="n">
        <v>0.30726999600134</v>
      </c>
    </row>
    <row r="64" customFormat="false" ht="18" hidden="false" customHeight="true" outlineLevel="0" collapsed="false">
      <c r="G64" s="75"/>
    </row>
    <row r="65" customFormat="false" ht="18" hidden="false" customHeight="true" outlineLevel="0" collapsed="false">
      <c r="G65" s="75"/>
    </row>
    <row r="66" customFormat="false" ht="12" hidden="false" customHeight="true" outlineLevel="0" collapsed="false">
      <c r="G66" s="75"/>
    </row>
    <row r="67" customFormat="false" ht="27.75" hidden="false" customHeight="true" outlineLevel="0" collapsed="false">
      <c r="B67" s="43" t="s">
        <v>61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 customFormat="false" ht="19.5" hidden="false" customHeight="true" outlineLevel="0" collapsed="false">
      <c r="B68" s="76"/>
      <c r="C68" s="45" t="s">
        <v>16</v>
      </c>
      <c r="D68" s="45"/>
      <c r="E68" s="3"/>
      <c r="F68" s="46" t="s">
        <v>17</v>
      </c>
      <c r="G68" s="46"/>
      <c r="H68" s="3"/>
      <c r="I68" s="47" t="s">
        <v>18</v>
      </c>
      <c r="J68" s="47"/>
      <c r="K68" s="3"/>
      <c r="L68" s="77" t="s">
        <v>19</v>
      </c>
    </row>
    <row r="69" customFormat="false" ht="19.5" hidden="false" customHeight="true" outlineLevel="0" collapsed="false">
      <c r="B69" s="14" t="s">
        <v>10</v>
      </c>
      <c r="C69" s="14" t="s">
        <v>62</v>
      </c>
      <c r="D69" s="14" t="s">
        <v>63</v>
      </c>
      <c r="E69" s="3"/>
      <c r="F69" s="49" t="s">
        <v>62</v>
      </c>
      <c r="G69" s="49" t="s">
        <v>63</v>
      </c>
      <c r="H69" s="3"/>
      <c r="I69" s="50" t="s">
        <v>62</v>
      </c>
      <c r="J69" s="50" t="s">
        <v>63</v>
      </c>
      <c r="K69" s="3"/>
      <c r="L69" s="51" t="s">
        <v>62</v>
      </c>
    </row>
    <row r="70" customFormat="false" ht="19.5" hidden="false" customHeight="true" outlineLevel="0" collapsed="false">
      <c r="B70" s="16" t="s">
        <v>21</v>
      </c>
      <c r="C70" s="21" t="n">
        <v>0.607</v>
      </c>
      <c r="D70" s="29" t="n">
        <v>0.307</v>
      </c>
      <c r="E70" s="3"/>
      <c r="F70" s="22" t="n">
        <v>0.719</v>
      </c>
      <c r="G70" s="29" t="n">
        <v>0.289</v>
      </c>
      <c r="H70" s="3"/>
      <c r="I70" s="29" t="n">
        <v>0.1</v>
      </c>
      <c r="J70" s="28"/>
      <c r="K70" s="3"/>
      <c r="L70" s="28"/>
    </row>
    <row r="71" customFormat="false" ht="19.5" hidden="false" customHeight="true" outlineLevel="0" collapsed="false">
      <c r="B71" s="23" t="s">
        <v>23</v>
      </c>
      <c r="C71" s="22" t="n">
        <v>0.683</v>
      </c>
      <c r="D71" s="29" t="n">
        <v>0.267</v>
      </c>
      <c r="E71" s="3"/>
      <c r="F71" s="22" t="n">
        <v>0.725</v>
      </c>
      <c r="G71" s="29" t="n">
        <v>0.229</v>
      </c>
      <c r="H71" s="3"/>
      <c r="I71" s="27"/>
      <c r="J71" s="27"/>
      <c r="K71" s="3"/>
      <c r="L71" s="27"/>
    </row>
    <row r="72" customFormat="false" ht="19.5" hidden="false" customHeight="true" outlineLevel="0" collapsed="false">
      <c r="B72" s="16" t="s">
        <v>25</v>
      </c>
      <c r="C72" s="22" t="n">
        <v>0.661</v>
      </c>
      <c r="D72" s="29" t="n">
        <v>0.251</v>
      </c>
      <c r="E72" s="3"/>
      <c r="F72" s="22" t="n">
        <v>0.706</v>
      </c>
      <c r="G72" s="29" t="n">
        <v>0.26</v>
      </c>
      <c r="H72" s="3"/>
      <c r="I72" s="29" t="n">
        <v>0.187</v>
      </c>
      <c r="J72" s="28"/>
      <c r="K72" s="3"/>
      <c r="L72" s="28"/>
    </row>
    <row r="73" customFormat="false" ht="19.5" hidden="false" customHeight="true" outlineLevel="0" collapsed="false">
      <c r="B73" s="23" t="s">
        <v>27</v>
      </c>
      <c r="C73" s="27"/>
      <c r="D73" s="27"/>
      <c r="E73" s="3"/>
      <c r="F73" s="22" t="n">
        <v>0.707</v>
      </c>
      <c r="G73" s="29" t="n">
        <v>0.269</v>
      </c>
      <c r="H73" s="3"/>
      <c r="I73" s="29" t="n">
        <v>0.352</v>
      </c>
      <c r="J73" s="27"/>
      <c r="K73" s="3"/>
      <c r="L73" s="27"/>
    </row>
    <row r="74" customFormat="false" ht="19.5" hidden="false" customHeight="true" outlineLevel="0" collapsed="false">
      <c r="B74" s="16" t="s">
        <v>28</v>
      </c>
      <c r="C74" s="28"/>
      <c r="D74" s="28"/>
      <c r="E74" s="3"/>
      <c r="F74" s="21" t="n">
        <v>0.649</v>
      </c>
      <c r="G74" s="29" t="n">
        <v>0.246</v>
      </c>
      <c r="H74" s="3"/>
      <c r="I74" s="21" t="n">
        <v>0.432</v>
      </c>
      <c r="J74" s="28"/>
      <c r="K74" s="3"/>
      <c r="L74" s="28"/>
    </row>
    <row r="75" customFormat="false" ht="19.5" hidden="false" customHeight="true" outlineLevel="0" collapsed="false">
      <c r="B75" s="23" t="s">
        <v>30</v>
      </c>
      <c r="C75" s="27"/>
      <c r="D75" s="27"/>
      <c r="E75" s="3"/>
      <c r="F75" s="21" t="n">
        <v>0.611</v>
      </c>
      <c r="G75" s="29" t="n">
        <v>0.377</v>
      </c>
      <c r="H75" s="3"/>
      <c r="I75" s="21" t="n">
        <v>0.508</v>
      </c>
      <c r="J75" s="27"/>
      <c r="K75" s="3"/>
      <c r="L75" s="27"/>
    </row>
    <row r="76" customFormat="false" ht="19.5" hidden="false" customHeight="true" outlineLevel="0" collapsed="false">
      <c r="B76" s="16" t="s">
        <v>32</v>
      </c>
      <c r="C76" s="28"/>
      <c r="D76" s="28"/>
      <c r="E76" s="3"/>
      <c r="F76" s="22" t="n">
        <v>0.941</v>
      </c>
      <c r="G76" s="29" t="n">
        <v>0.207</v>
      </c>
      <c r="H76" s="3"/>
      <c r="I76" s="29" t="n">
        <v>0.33</v>
      </c>
      <c r="J76" s="28"/>
      <c r="K76" s="3"/>
      <c r="L76" s="28"/>
    </row>
    <row r="77" customFormat="false" ht="19.5" hidden="false" customHeight="true" outlineLevel="0" collapsed="false">
      <c r="B77" s="23" t="s">
        <v>34</v>
      </c>
      <c r="C77" s="27"/>
      <c r="D77" s="27"/>
      <c r="E77" s="3"/>
      <c r="F77" s="21" t="n">
        <v>0.554</v>
      </c>
      <c r="G77" s="21" t="n">
        <v>0.574</v>
      </c>
      <c r="H77" s="3"/>
      <c r="I77" s="29" t="n">
        <v>0.014</v>
      </c>
      <c r="J77" s="27"/>
      <c r="K77" s="3"/>
      <c r="L77" s="27"/>
    </row>
    <row r="78" customFormat="false" ht="19.5" hidden="false" customHeight="true" outlineLevel="0" collapsed="false">
      <c r="B78" s="16" t="s">
        <v>36</v>
      </c>
      <c r="C78" s="28"/>
      <c r="D78" s="28"/>
      <c r="E78" s="3"/>
      <c r="F78" s="29" t="n">
        <v>0.399</v>
      </c>
      <c r="G78" s="29" t="n">
        <v>0.314</v>
      </c>
      <c r="H78" s="3"/>
      <c r="I78" s="29" t="n">
        <v>0.332</v>
      </c>
      <c r="J78" s="28"/>
      <c r="K78" s="3"/>
      <c r="L78" s="28"/>
    </row>
    <row r="79" customFormat="false" ht="19.5" hidden="false" customHeight="true" outlineLevel="0" collapsed="false">
      <c r="B79" s="23" t="s">
        <v>38</v>
      </c>
      <c r="C79" s="27"/>
      <c r="D79" s="27"/>
      <c r="E79" s="3"/>
      <c r="F79" s="22" t="n">
        <v>0.814</v>
      </c>
      <c r="G79" s="29" t="n">
        <v>0.29</v>
      </c>
      <c r="H79" s="3"/>
      <c r="I79" s="29" t="n">
        <v>0.354</v>
      </c>
      <c r="J79" s="27"/>
      <c r="K79" s="3"/>
      <c r="L79" s="27"/>
    </row>
    <row r="80" customFormat="false" ht="19.5" hidden="false" customHeight="true" outlineLevel="0" collapsed="false">
      <c r="B80" s="16" t="s">
        <v>40</v>
      </c>
      <c r="C80" s="28"/>
      <c r="D80" s="28"/>
      <c r="E80" s="3"/>
      <c r="F80" s="21" t="n">
        <v>0.568</v>
      </c>
      <c r="G80" s="29" t="n">
        <v>0.138</v>
      </c>
      <c r="H80" s="3"/>
      <c r="I80" s="29" t="n">
        <v>0.204</v>
      </c>
      <c r="J80" s="28"/>
      <c r="K80" s="3"/>
      <c r="L80" s="28"/>
    </row>
    <row r="81" customFormat="false" ht="19.5" hidden="false" customHeight="true" outlineLevel="0" collapsed="false">
      <c r="B81" s="23" t="s">
        <v>42</v>
      </c>
      <c r="C81" s="27"/>
      <c r="D81" s="27"/>
      <c r="E81" s="3"/>
      <c r="F81" s="22" t="n">
        <v>0.714</v>
      </c>
      <c r="G81" s="29" t="n">
        <v>0.287</v>
      </c>
      <c r="H81" s="3"/>
      <c r="I81" s="27"/>
      <c r="J81" s="27"/>
      <c r="K81" s="3"/>
      <c r="L81" s="27"/>
    </row>
    <row r="82" customFormat="false" ht="21.75" hidden="false" customHeight="true" outlineLevel="0" collapsed="false">
      <c r="B82" s="78" t="s">
        <v>43</v>
      </c>
      <c r="C82" s="32" t="n">
        <v>0.655</v>
      </c>
      <c r="D82" s="32" t="n">
        <v>0.276</v>
      </c>
      <c r="E82" s="3"/>
      <c r="F82" s="32" t="n">
        <v>0.65</v>
      </c>
      <c r="G82" s="32" t="n">
        <v>0.288</v>
      </c>
      <c r="H82" s="3"/>
      <c r="I82" s="32" t="n">
        <v>0.29</v>
      </c>
      <c r="J82" s="78"/>
      <c r="K82" s="3"/>
      <c r="L82" s="78"/>
    </row>
    <row r="83" customFormat="false" ht="18" hidden="false" customHeight="true" outlineLevel="0" collapsed="false">
      <c r="E83" s="3"/>
      <c r="H83" s="3"/>
      <c r="K83" s="3"/>
    </row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true" customHeight="true" outlineLevel="0" collapsed="false"/>
    <row r="201" customFormat="false" ht="18" hidden="true" customHeight="true" outlineLevel="0" collapsed="false">
      <c r="B201" s="1" t="n">
        <v>2026</v>
      </c>
      <c r="C201" s="1" t="n">
        <v>431796</v>
      </c>
      <c r="D201" s="1" t="n">
        <v>272677</v>
      </c>
      <c r="E201" s="1" t="n">
        <v>0.631</v>
      </c>
      <c r="F201" s="1" t="n">
        <v>53</v>
      </c>
    </row>
    <row r="202" customFormat="false" ht="18" hidden="true" customHeight="true" outlineLevel="0" collapsed="false">
      <c r="B202" s="1" t="n">
        <v>2025</v>
      </c>
      <c r="C202" s="1" t="n">
        <v>1027814</v>
      </c>
      <c r="D202" s="1" t="n">
        <v>609698</v>
      </c>
      <c r="E202" s="1" t="n">
        <v>0.593</v>
      </c>
      <c r="F202" s="1" t="n">
        <v>237</v>
      </c>
    </row>
    <row r="203" customFormat="false" ht="18" hidden="true" customHeight="true" outlineLevel="0" collapsed="false">
      <c r="B203" s="1" t="n">
        <v>2024</v>
      </c>
      <c r="C203" s="1" t="n">
        <v>905106</v>
      </c>
      <c r="D203" s="1" t="n">
        <v>618078</v>
      </c>
      <c r="E203" s="1" t="n">
        <v>0.683</v>
      </c>
      <c r="F203" s="1" t="n">
        <v>257</v>
      </c>
    </row>
    <row r="204" customFormat="false" ht="18" hidden="true" customHeight="true" outlineLevel="0" collapsed="false">
      <c r="B204" s="1" t="n">
        <v>2023</v>
      </c>
      <c r="C204" s="1" t="n">
        <v>370124</v>
      </c>
      <c r="D204" s="1" t="n">
        <v>256395</v>
      </c>
      <c r="E204" s="1" t="n">
        <v>0.693</v>
      </c>
      <c r="F204" s="1" t="n">
        <v>142</v>
      </c>
    </row>
    <row r="205" customFormat="false" ht="18" hidden="true" customHeight="true" outlineLevel="0" collapsed="false"/>
    <row r="206" customFormat="false" ht="18" hidden="true" customHeight="true" outlineLevel="0" collapsed="false"/>
    <row r="207" customFormat="false" ht="18" hidden="true" customHeight="true" outlineLevel="0" collapsed="false"/>
    <row r="208" customFormat="false" ht="18" hidden="true" customHeight="true" outlineLevel="0" collapsed="false"/>
    <row r="209" customFormat="false" ht="18" hidden="true" customHeight="true" outlineLevel="0" collapsed="false">
      <c r="M209" s="1" t="s">
        <v>16</v>
      </c>
      <c r="N209" s="1" t="s">
        <v>17</v>
      </c>
      <c r="O209" s="1" t="s">
        <v>18</v>
      </c>
      <c r="P209" s="1" t="s">
        <v>19</v>
      </c>
    </row>
    <row r="210" customFormat="false" ht="18" hidden="true" customHeight="true" outlineLevel="0" collapsed="false">
      <c r="B210" s="1" t="s">
        <v>21</v>
      </c>
      <c r="C210" s="1" t="n">
        <v>107894</v>
      </c>
      <c r="D210" s="1" t="n">
        <v>60505</v>
      </c>
      <c r="E210" s="1" t="n">
        <v>41982</v>
      </c>
      <c r="F210" s="1" t="n">
        <v>39995</v>
      </c>
      <c r="H210" s="1" t="n">
        <v>45323</v>
      </c>
      <c r="I210" s="1" t="n">
        <v>21219</v>
      </c>
      <c r="J210" s="1" t="n">
        <v>14203</v>
      </c>
      <c r="K210" s="1" t="n">
        <v>19002</v>
      </c>
      <c r="M210" s="79" t="n">
        <v>0.58</v>
      </c>
      <c r="N210" s="79" t="n">
        <v>0.649</v>
      </c>
      <c r="O210" s="79" t="n">
        <v>0.662</v>
      </c>
      <c r="P210" s="79" t="n">
        <v>0.525</v>
      </c>
      <c r="R210" s="1" t="n">
        <v>14</v>
      </c>
      <c r="S210" s="1" t="n">
        <v>17</v>
      </c>
      <c r="T210" s="1" t="n">
        <v>19</v>
      </c>
      <c r="U210" s="1" t="n">
        <v>19</v>
      </c>
    </row>
    <row r="211" customFormat="false" ht="18" hidden="true" customHeight="true" outlineLevel="0" collapsed="false">
      <c r="B211" s="1" t="s">
        <v>23</v>
      </c>
      <c r="C211" s="1" t="n">
        <v>139160</v>
      </c>
      <c r="D211" s="1" t="n">
        <v>53272</v>
      </c>
      <c r="E211" s="1" t="n">
        <v>97649</v>
      </c>
      <c r="F211" s="1" t="n">
        <v>63645</v>
      </c>
      <c r="H211" s="1" t="n">
        <v>47677</v>
      </c>
      <c r="I211" s="1" t="n">
        <v>19199</v>
      </c>
      <c r="J211" s="1" t="n">
        <v>27928</v>
      </c>
      <c r="K211" s="1" t="n">
        <v>19171</v>
      </c>
      <c r="M211" s="79" t="n">
        <v>0.657</v>
      </c>
      <c r="N211" s="79" t="n">
        <v>0.64</v>
      </c>
      <c r="O211" s="79" t="n">
        <v>0.714</v>
      </c>
      <c r="P211" s="79" t="n">
        <v>0.699</v>
      </c>
      <c r="R211" s="1" t="n">
        <v>14</v>
      </c>
      <c r="S211" s="1" t="n">
        <v>18</v>
      </c>
      <c r="T211" s="1" t="n">
        <v>25</v>
      </c>
      <c r="U211" s="1" t="n">
        <v>20</v>
      </c>
    </row>
    <row r="212" customFormat="false" ht="18" hidden="true" customHeight="true" outlineLevel="0" collapsed="false">
      <c r="B212" s="1" t="s">
        <v>25</v>
      </c>
      <c r="C212" s="1" t="n">
        <v>184742</v>
      </c>
      <c r="D212" s="1" t="n">
        <v>66555</v>
      </c>
      <c r="E212" s="1" t="n">
        <v>105969</v>
      </c>
      <c r="F212" s="1" t="n">
        <v>28648</v>
      </c>
      <c r="H212" s="1" t="n">
        <v>66119</v>
      </c>
      <c r="I212" s="1" t="n">
        <v>23352</v>
      </c>
      <c r="J212" s="1" t="n">
        <v>34488</v>
      </c>
      <c r="K212" s="1" t="n">
        <v>12616</v>
      </c>
      <c r="M212" s="79" t="n">
        <v>0.642</v>
      </c>
      <c r="N212" s="79" t="n">
        <v>0.649</v>
      </c>
      <c r="O212" s="79" t="n">
        <v>0.675</v>
      </c>
      <c r="P212" s="79" t="n">
        <v>0.56</v>
      </c>
      <c r="R212" s="1" t="n">
        <v>25</v>
      </c>
      <c r="S212" s="1" t="n">
        <v>19</v>
      </c>
      <c r="T212" s="1" t="n">
        <v>30</v>
      </c>
      <c r="U212" s="1" t="n">
        <v>14</v>
      </c>
    </row>
    <row r="213" customFormat="false" ht="18" hidden="true" customHeight="true" outlineLevel="0" collapsed="false">
      <c r="B213" s="1" t="s">
        <v>27</v>
      </c>
      <c r="C213" s="1" t="n">
        <v>0</v>
      </c>
      <c r="D213" s="1" t="n">
        <v>90082</v>
      </c>
      <c r="E213" s="1" t="n">
        <v>81061</v>
      </c>
      <c r="F213" s="1" t="n">
        <v>6672</v>
      </c>
      <c r="H213" s="1" t="n">
        <v>0</v>
      </c>
      <c r="I213" s="1" t="n">
        <v>30142</v>
      </c>
      <c r="J213" s="1" t="n">
        <v>22569</v>
      </c>
      <c r="K213" s="1" t="n">
        <v>2798</v>
      </c>
      <c r="N213" s="79" t="n">
        <v>0.665</v>
      </c>
      <c r="O213" s="79" t="n">
        <v>0.722</v>
      </c>
      <c r="P213" s="79" t="n">
        <v>0.581</v>
      </c>
      <c r="R213" s="1" t="n">
        <v>0</v>
      </c>
      <c r="S213" s="1" t="n">
        <v>27</v>
      </c>
      <c r="T213" s="1" t="n">
        <v>29</v>
      </c>
      <c r="U213" s="1" t="n">
        <v>6</v>
      </c>
    </row>
    <row r="214" customFormat="false" ht="18" hidden="true" customHeight="true" outlineLevel="0" collapsed="false">
      <c r="B214" s="1" t="s">
        <v>28</v>
      </c>
      <c r="C214" s="1" t="n">
        <v>0</v>
      </c>
      <c r="D214" s="1" t="n">
        <v>61837</v>
      </c>
      <c r="E214" s="1" t="n">
        <v>60123</v>
      </c>
      <c r="F214" s="1" t="n">
        <v>14975</v>
      </c>
      <c r="H214" s="1" t="n">
        <v>0</v>
      </c>
      <c r="I214" s="1" t="n">
        <v>25092</v>
      </c>
      <c r="J214" s="1" t="n">
        <v>15033</v>
      </c>
      <c r="K214" s="1" t="n">
        <v>5919</v>
      </c>
      <c r="N214" s="79" t="n">
        <v>0.594</v>
      </c>
      <c r="O214" s="79" t="n">
        <v>0.75</v>
      </c>
      <c r="P214" s="79" t="n">
        <v>0.605</v>
      </c>
      <c r="R214" s="1" t="n">
        <v>0</v>
      </c>
      <c r="S214" s="1" t="n">
        <v>18</v>
      </c>
      <c r="T214" s="1" t="n">
        <v>22</v>
      </c>
      <c r="U214" s="1" t="n">
        <v>8</v>
      </c>
    </row>
    <row r="215" customFormat="false" ht="18" hidden="true" customHeight="true" outlineLevel="0" collapsed="false">
      <c r="B215" s="1" t="s">
        <v>30</v>
      </c>
      <c r="C215" s="1" t="n">
        <v>0</v>
      </c>
      <c r="D215" s="1" t="n">
        <v>125407</v>
      </c>
      <c r="E215" s="1" t="n">
        <v>143346</v>
      </c>
      <c r="F215" s="1" t="n">
        <v>34385</v>
      </c>
      <c r="H215" s="1" t="n">
        <v>0</v>
      </c>
      <c r="I215" s="1" t="n">
        <v>52078</v>
      </c>
      <c r="J215" s="1" t="n">
        <v>33982</v>
      </c>
      <c r="K215" s="1" t="n">
        <v>9739</v>
      </c>
      <c r="N215" s="79" t="n">
        <v>0.585</v>
      </c>
      <c r="O215" s="79" t="n">
        <v>0.763</v>
      </c>
      <c r="P215" s="79" t="n">
        <v>0.717</v>
      </c>
      <c r="R215" s="1" t="n">
        <v>0</v>
      </c>
      <c r="S215" s="1" t="n">
        <v>29</v>
      </c>
      <c r="T215" s="1" t="n">
        <v>33</v>
      </c>
      <c r="U215" s="1" t="n">
        <v>19</v>
      </c>
    </row>
    <row r="216" customFormat="false" ht="18" hidden="true" customHeight="true" outlineLevel="0" collapsed="false">
      <c r="B216" s="1" t="s">
        <v>32</v>
      </c>
      <c r="C216" s="1" t="n">
        <v>0</v>
      </c>
      <c r="D216" s="1" t="n">
        <v>82833</v>
      </c>
      <c r="E216" s="1" t="n">
        <v>51457</v>
      </c>
      <c r="F216" s="1" t="n">
        <v>11550</v>
      </c>
      <c r="H216" s="1" t="n">
        <v>0</v>
      </c>
      <c r="I216" s="1" t="n">
        <v>10055</v>
      </c>
      <c r="J216" s="1" t="n">
        <v>14961</v>
      </c>
      <c r="K216" s="1" t="n">
        <v>4362</v>
      </c>
      <c r="N216" s="79" t="n">
        <v>0.879</v>
      </c>
      <c r="O216" s="79" t="n">
        <v>0.709</v>
      </c>
      <c r="P216" s="79" t="n">
        <v>0.622</v>
      </c>
      <c r="R216" s="1" t="n">
        <v>0</v>
      </c>
      <c r="S216" s="1" t="n">
        <v>13</v>
      </c>
      <c r="T216" s="1" t="n">
        <v>17</v>
      </c>
      <c r="U216" s="1" t="n">
        <v>4</v>
      </c>
    </row>
    <row r="217" customFormat="false" ht="18" hidden="true" customHeight="true" outlineLevel="0" collapsed="false">
      <c r="B217" s="1" t="s">
        <v>34</v>
      </c>
      <c r="C217" s="1" t="n">
        <v>0</v>
      </c>
      <c r="D217" s="1" t="n">
        <v>94876</v>
      </c>
      <c r="E217" s="1" t="n">
        <v>22270</v>
      </c>
      <c r="F217" s="1" t="n">
        <v>6600</v>
      </c>
      <c r="H217" s="1" t="n">
        <v>0</v>
      </c>
      <c r="I217" s="1" t="n">
        <v>42167</v>
      </c>
      <c r="J217" s="1" t="n">
        <v>5317</v>
      </c>
      <c r="K217" s="1" t="n">
        <v>2321</v>
      </c>
      <c r="N217" s="79" t="n">
        <v>0.556</v>
      </c>
      <c r="O217" s="79" t="n">
        <v>0.761</v>
      </c>
      <c r="P217" s="79" t="n">
        <v>0.648</v>
      </c>
      <c r="R217" s="1" t="n">
        <v>0</v>
      </c>
      <c r="S217" s="1" t="n">
        <v>14</v>
      </c>
      <c r="T217" s="1" t="n">
        <v>8</v>
      </c>
      <c r="U217" s="1" t="n">
        <v>4</v>
      </c>
    </row>
    <row r="218" customFormat="false" ht="18" hidden="true" customHeight="true" outlineLevel="0" collapsed="false">
      <c r="B218" s="1" t="s">
        <v>36</v>
      </c>
      <c r="C218" s="1" t="n">
        <v>0</v>
      </c>
      <c r="D218" s="1" t="n">
        <v>123757</v>
      </c>
      <c r="E218" s="1" t="n">
        <v>73391</v>
      </c>
      <c r="F218" s="1" t="n">
        <v>47575</v>
      </c>
      <c r="H218" s="1" t="n">
        <v>0</v>
      </c>
      <c r="I218" s="1" t="n">
        <v>76540</v>
      </c>
      <c r="J218" s="1" t="n">
        <v>19562</v>
      </c>
      <c r="K218" s="1" t="n">
        <v>9281</v>
      </c>
      <c r="N218" s="79" t="n">
        <v>0.382</v>
      </c>
      <c r="O218" s="79" t="n">
        <v>0.733</v>
      </c>
      <c r="P218" s="79" t="n">
        <v>0.805</v>
      </c>
      <c r="R218" s="1" t="n">
        <v>0</v>
      </c>
      <c r="S218" s="1" t="n">
        <v>29</v>
      </c>
      <c r="T218" s="1" t="n">
        <v>22</v>
      </c>
      <c r="U218" s="1" t="n">
        <v>13</v>
      </c>
    </row>
    <row r="219" customFormat="false" ht="18" hidden="true" customHeight="true" outlineLevel="0" collapsed="false">
      <c r="B219" s="1" t="s">
        <v>38</v>
      </c>
      <c r="C219" s="1" t="n">
        <v>0</v>
      </c>
      <c r="D219" s="1" t="n">
        <v>66549</v>
      </c>
      <c r="E219" s="1" t="n">
        <v>130055</v>
      </c>
      <c r="F219" s="1" t="n">
        <v>71724</v>
      </c>
      <c r="H219" s="1" t="n">
        <v>0</v>
      </c>
      <c r="I219" s="1" t="n">
        <v>25128</v>
      </c>
      <c r="J219" s="1" t="n">
        <v>67536</v>
      </c>
      <c r="K219" s="1" t="n">
        <v>17348</v>
      </c>
      <c r="N219" s="79" t="n">
        <v>0.622</v>
      </c>
      <c r="O219" s="79" t="n">
        <v>0.481</v>
      </c>
      <c r="P219" s="79" t="n">
        <v>0.758</v>
      </c>
      <c r="R219" s="1" t="n">
        <v>0</v>
      </c>
      <c r="S219" s="1" t="n">
        <v>17</v>
      </c>
      <c r="T219" s="1" t="n">
        <v>19</v>
      </c>
      <c r="U219" s="1" t="n">
        <v>17</v>
      </c>
    </row>
    <row r="220" customFormat="false" ht="18" hidden="true" customHeight="true" outlineLevel="0" collapsed="false">
      <c r="B220" s="1" t="s">
        <v>40</v>
      </c>
      <c r="C220" s="1" t="n">
        <v>0</v>
      </c>
      <c r="D220" s="1" t="n">
        <v>131023</v>
      </c>
      <c r="E220" s="1" t="n">
        <v>40939</v>
      </c>
      <c r="F220" s="1" t="n">
        <v>23980</v>
      </c>
      <c r="H220" s="1" t="n">
        <v>0</v>
      </c>
      <c r="I220" s="1" t="n">
        <v>63207</v>
      </c>
      <c r="J220" s="1" t="n">
        <v>15841</v>
      </c>
      <c r="K220" s="1" t="n">
        <v>5889</v>
      </c>
      <c r="N220" s="79" t="n">
        <v>0.518</v>
      </c>
      <c r="O220" s="79" t="n">
        <v>0.613</v>
      </c>
      <c r="P220" s="79" t="n">
        <v>0.754</v>
      </c>
      <c r="R220" s="1" t="n">
        <v>0</v>
      </c>
      <c r="S220" s="1" t="n">
        <v>24</v>
      </c>
      <c r="T220" s="1" t="n">
        <v>18</v>
      </c>
      <c r="U220" s="1" t="n">
        <v>10</v>
      </c>
    </row>
    <row r="221" customFormat="false" ht="18" hidden="true" customHeight="true" outlineLevel="0" collapsed="false">
      <c r="B221" s="1" t="s">
        <v>42</v>
      </c>
      <c r="C221" s="1" t="n">
        <v>0</v>
      </c>
      <c r="D221" s="1" t="n">
        <v>71118</v>
      </c>
      <c r="E221" s="1" t="n">
        <v>56864</v>
      </c>
      <c r="F221" s="1" t="n">
        <v>20375</v>
      </c>
      <c r="H221" s="1" t="n">
        <v>0</v>
      </c>
      <c r="I221" s="1" t="n">
        <v>29936</v>
      </c>
      <c r="J221" s="1" t="n">
        <v>15608</v>
      </c>
      <c r="K221" s="1" t="n">
        <v>5283</v>
      </c>
      <c r="N221" s="79" t="n">
        <v>0.579</v>
      </c>
      <c r="O221" s="79" t="n">
        <v>0.726</v>
      </c>
      <c r="P221" s="79" t="n">
        <v>0.741</v>
      </c>
      <c r="R221" s="1" t="n">
        <v>0</v>
      </c>
      <c r="S221" s="1" t="n">
        <v>12</v>
      </c>
      <c r="T221" s="1" t="n">
        <v>15</v>
      </c>
      <c r="U221" s="1" t="n">
        <v>8</v>
      </c>
    </row>
    <row r="222" customFormat="false" ht="18" hidden="true" customHeight="true" outlineLevel="0" collapsed="false"/>
    <row r="223" customFormat="false" ht="18" hidden="true" customHeight="true" outlineLevel="0" collapsed="false"/>
    <row r="224" customFormat="false" ht="18" hidden="true" customHeight="true" outlineLevel="0" collapsed="false"/>
    <row r="225" customFormat="false" ht="18" hidden="true" customHeight="true" outlineLevel="0" collapsed="false"/>
    <row r="226" customFormat="false" ht="18" hidden="true" customHeight="true" outlineLevel="0" collapsed="false"/>
    <row r="227" customFormat="false" ht="18" hidden="true" customHeight="true" outlineLevel="0" collapsed="false"/>
    <row r="228" customFormat="false" ht="18" hidden="true" customHeight="true" outlineLevel="0" collapsed="false"/>
    <row r="229" customFormat="false" ht="18" hidden="true" customHeight="true" outlineLevel="0" collapsed="false"/>
    <row r="230" customFormat="false" ht="18" hidden="true" customHeight="true" outlineLevel="0" collapsed="false"/>
    <row r="231" customFormat="false" ht="18" hidden="true" customHeight="true" outlineLevel="0" collapsed="false"/>
    <row r="232" customFormat="false" ht="18" hidden="true" customHeight="true" outlineLevel="0" collapsed="false"/>
    <row r="233" customFormat="false" ht="18" hidden="true" customHeight="true" outlineLevel="0" collapsed="false"/>
    <row r="234" customFormat="false" ht="18" hidden="true" customHeight="true" outlineLevel="0" collapsed="false"/>
    <row r="235" customFormat="false" ht="18" hidden="true" customHeight="true" outlineLevel="0" collapsed="false"/>
    <row r="236" customFormat="false" ht="18" hidden="true" customHeight="true" outlineLevel="0" collapsed="false"/>
    <row r="237" customFormat="false" ht="18" hidden="true" customHeight="true" outlineLevel="0" collapsed="false"/>
    <row r="238" customFormat="false" ht="18" hidden="true" customHeight="true" outlineLevel="0" collapsed="false"/>
    <row r="239" customFormat="false" ht="18" hidden="true" customHeight="true" outlineLevel="0" collapsed="false"/>
    <row r="240" customFormat="false" ht="18" hidden="true" customHeight="true" outlineLevel="0" collapsed="false"/>
    <row r="241" customFormat="false" ht="18" hidden="true" customHeight="true" outlineLevel="0" collapsed="false"/>
    <row r="242" customFormat="false" ht="18" hidden="true" customHeight="true" outlineLevel="0" collapsed="false"/>
    <row r="243" customFormat="false" ht="18" hidden="true" customHeight="true" outlineLevel="0" collapsed="false"/>
    <row r="244" customFormat="false" ht="18" hidden="true" customHeight="true" outlineLevel="0" collapsed="false"/>
    <row r="245" customFormat="false" ht="18" hidden="true" customHeight="true" outlineLevel="0" collapsed="false"/>
    <row r="246" customFormat="false" ht="18" hidden="true" customHeight="true" outlineLevel="0" collapsed="false"/>
    <row r="247" customFormat="false" ht="18" hidden="true" customHeight="true" outlineLevel="0" collapsed="false"/>
    <row r="248" customFormat="false" ht="18" hidden="true" customHeight="true" outlineLevel="0" collapsed="false"/>
    <row r="249" customFormat="false" ht="18" hidden="tru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</sheetData>
  <mergeCells count="29">
    <mergeCell ref="A2:L2"/>
    <mergeCell ref="B4:C4"/>
    <mergeCell ref="E4:L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F8"/>
    <mergeCell ref="H8:L8"/>
    <mergeCell ref="B24:F24"/>
    <mergeCell ref="H24:L24"/>
    <mergeCell ref="B46:F46"/>
    <mergeCell ref="H46:L46"/>
    <mergeCell ref="B55:L55"/>
    <mergeCell ref="B56:B57"/>
    <mergeCell ref="C56:E56"/>
    <mergeCell ref="F56:H56"/>
    <mergeCell ref="I56:K56"/>
    <mergeCell ref="L56:N56"/>
    <mergeCell ref="B67:L67"/>
    <mergeCell ref="C68:D68"/>
    <mergeCell ref="F68:G68"/>
    <mergeCell ref="I68:J68"/>
  </mergeCells>
  <conditionalFormatting sqref="F10:F22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dataValidations count="1">
    <dataValidation allowBlank="false" errorStyle="stop" operator="between" showDropDown="false" showErrorMessage="false" showInputMessage="false" sqref="D4" type="list">
      <formula1>"2026,2025,2024,2023"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U5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</row>
    <row r="5" customFormat="false" ht="25.5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</row>
    <row r="6" customFormat="false" ht="19.5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customFormat="false" ht="18.75" hidden="false" customHeight="true" outlineLevel="0" collapsed="false">
      <c r="A7" s="82" t="s">
        <v>20</v>
      </c>
      <c r="B7" s="83" t="s">
        <v>77</v>
      </c>
      <c r="C7" s="84" t="s">
        <v>78</v>
      </c>
      <c r="D7" s="85" t="s">
        <v>56</v>
      </c>
      <c r="E7" s="86" t="n">
        <v>15.08</v>
      </c>
      <c r="F7" s="86" t="n">
        <v>13</v>
      </c>
      <c r="G7" s="87" t="n">
        <f aca="false">E7*F7</f>
        <v>196.04</v>
      </c>
      <c r="H7" s="88" t="n">
        <f aca="false">SUMIF(B:B,B7,G:G)</f>
        <v>2298.76</v>
      </c>
      <c r="I7" s="89" t="n">
        <v>5367.6</v>
      </c>
      <c r="J7" s="90" t="n">
        <f aca="false">IFERROR((I7-H7)/I7,"")</f>
        <v>0.571734108353827</v>
      </c>
      <c r="K7" s="3"/>
      <c r="L7" s="82" t="s">
        <v>20</v>
      </c>
      <c r="M7" s="83" t="s">
        <v>77</v>
      </c>
      <c r="N7" s="84" t="s">
        <v>78</v>
      </c>
      <c r="O7" s="85" t="s">
        <v>56</v>
      </c>
      <c r="P7" s="86" t="n">
        <v>15.08</v>
      </c>
      <c r="Q7" s="86" t="n">
        <v>13</v>
      </c>
      <c r="R7" s="87" t="n">
        <f aca="false">P7*Q7</f>
        <v>196.04</v>
      </c>
      <c r="S7" s="88" t="n">
        <f aca="false">SUMIF(M:M,M7,R:R)</f>
        <v>2298.76</v>
      </c>
      <c r="T7" s="89" t="n">
        <f aca="false">I7</f>
        <v>5367.6</v>
      </c>
      <c r="U7" s="90" t="n">
        <f aca="false">IFERROR((T7-S7)/T7,"")</f>
        <v>0.571734108353827</v>
      </c>
    </row>
    <row r="8" customFormat="false" ht="18.75" hidden="false" customHeight="true" outlineLevel="0" collapsed="false">
      <c r="A8" s="91"/>
      <c r="B8" s="92" t="s">
        <v>77</v>
      </c>
      <c r="C8" s="84" t="s">
        <v>79</v>
      </c>
      <c r="D8" s="85" t="s">
        <v>56</v>
      </c>
      <c r="E8" s="86" t="n">
        <v>11.07</v>
      </c>
      <c r="F8" s="86" t="n">
        <v>13</v>
      </c>
      <c r="G8" s="87" t="n">
        <f aca="false">E8*F8</f>
        <v>143.91</v>
      </c>
      <c r="H8" s="93"/>
      <c r="I8" s="94"/>
      <c r="J8" s="95"/>
      <c r="K8" s="3"/>
      <c r="L8" s="91"/>
      <c r="M8" s="92" t="s">
        <v>77</v>
      </c>
      <c r="N8" s="84" t="s">
        <v>79</v>
      </c>
      <c r="O8" s="85" t="s">
        <v>56</v>
      </c>
      <c r="P8" s="86" t="n">
        <v>11.07</v>
      </c>
      <c r="Q8" s="86" t="n">
        <v>13</v>
      </c>
      <c r="R8" s="87" t="n">
        <f aca="false">P8*Q8</f>
        <v>143.91</v>
      </c>
      <c r="S8" s="93"/>
      <c r="T8" s="94"/>
      <c r="U8" s="95"/>
    </row>
    <row r="9" customFormat="false" ht="18.75" hidden="false" customHeight="true" outlineLevel="0" collapsed="false">
      <c r="A9" s="91"/>
      <c r="B9" s="92" t="s">
        <v>77</v>
      </c>
      <c r="C9" s="84" t="s">
        <v>80</v>
      </c>
      <c r="D9" s="85" t="s">
        <v>56</v>
      </c>
      <c r="E9" s="86" t="n">
        <v>9.4</v>
      </c>
      <c r="F9" s="86" t="n">
        <v>13</v>
      </c>
      <c r="G9" s="87" t="n">
        <f aca="false">E9*F9</f>
        <v>122.2</v>
      </c>
      <c r="H9" s="93"/>
      <c r="I9" s="94"/>
      <c r="J9" s="95"/>
      <c r="K9" s="3"/>
      <c r="L9" s="91"/>
      <c r="M9" s="92" t="s">
        <v>77</v>
      </c>
      <c r="N9" s="84" t="s">
        <v>80</v>
      </c>
      <c r="O9" s="85" t="s">
        <v>56</v>
      </c>
      <c r="P9" s="86" t="n">
        <v>9.4</v>
      </c>
      <c r="Q9" s="86" t="n">
        <v>13</v>
      </c>
      <c r="R9" s="87" t="n">
        <f aca="false">P9*Q9</f>
        <v>122.2</v>
      </c>
      <c r="S9" s="93"/>
      <c r="T9" s="94"/>
      <c r="U9" s="95"/>
    </row>
    <row r="10" customFormat="false" ht="18.75" hidden="false" customHeight="true" outlineLevel="0" collapsed="false">
      <c r="A10" s="91"/>
      <c r="B10" s="92" t="s">
        <v>77</v>
      </c>
      <c r="C10" s="84" t="s">
        <v>81</v>
      </c>
      <c r="D10" s="85" t="s">
        <v>56</v>
      </c>
      <c r="E10" s="86" t="n">
        <v>10.6</v>
      </c>
      <c r="F10" s="86" t="n">
        <v>13</v>
      </c>
      <c r="G10" s="87" t="n">
        <f aca="false">E10*F10</f>
        <v>137.8</v>
      </c>
      <c r="H10" s="93"/>
      <c r="I10" s="94"/>
      <c r="J10" s="95"/>
      <c r="K10" s="3"/>
      <c r="L10" s="91"/>
      <c r="M10" s="92" t="s">
        <v>77</v>
      </c>
      <c r="N10" s="84" t="s">
        <v>81</v>
      </c>
      <c r="O10" s="85" t="s">
        <v>56</v>
      </c>
      <c r="P10" s="86" t="n">
        <v>10.6</v>
      </c>
      <c r="Q10" s="86" t="n">
        <v>13</v>
      </c>
      <c r="R10" s="87" t="n">
        <f aca="false">P10*Q10</f>
        <v>137.8</v>
      </c>
      <c r="S10" s="93"/>
      <c r="T10" s="94"/>
      <c r="U10" s="95"/>
    </row>
    <row r="11" customFormat="false" ht="18.75" hidden="false" customHeight="true" outlineLevel="0" collapsed="false">
      <c r="A11" s="91"/>
      <c r="B11" s="92" t="s">
        <v>77</v>
      </c>
      <c r="C11" s="84" t="s">
        <v>82</v>
      </c>
      <c r="D11" s="85" t="s">
        <v>56</v>
      </c>
      <c r="E11" s="86" t="n">
        <v>10.06</v>
      </c>
      <c r="F11" s="86" t="n">
        <v>13</v>
      </c>
      <c r="G11" s="87" t="n">
        <f aca="false">E11*F11</f>
        <v>130.78</v>
      </c>
      <c r="H11" s="93"/>
      <c r="I11" s="94"/>
      <c r="J11" s="95"/>
      <c r="K11" s="3"/>
      <c r="L11" s="91"/>
      <c r="M11" s="92" t="s">
        <v>77</v>
      </c>
      <c r="N11" s="84" t="s">
        <v>82</v>
      </c>
      <c r="O11" s="85" t="s">
        <v>56</v>
      </c>
      <c r="P11" s="86" t="n">
        <v>10.06</v>
      </c>
      <c r="Q11" s="86" t="n">
        <v>13</v>
      </c>
      <c r="R11" s="87" t="n">
        <f aca="false">P11*Q11</f>
        <v>130.78</v>
      </c>
      <c r="S11" s="93"/>
      <c r="T11" s="94"/>
      <c r="U11" s="95"/>
    </row>
    <row r="12" customFormat="false" ht="18.75" hidden="false" customHeight="true" outlineLevel="0" collapsed="false">
      <c r="A12" s="91"/>
      <c r="B12" s="92" t="s">
        <v>77</v>
      </c>
      <c r="C12" s="84" t="s">
        <v>83</v>
      </c>
      <c r="D12" s="85" t="s">
        <v>56</v>
      </c>
      <c r="E12" s="86" t="n">
        <v>13.08</v>
      </c>
      <c r="F12" s="86" t="n">
        <v>13</v>
      </c>
      <c r="G12" s="87" t="n">
        <f aca="false">E12*F12</f>
        <v>170.04</v>
      </c>
      <c r="H12" s="93"/>
      <c r="I12" s="94"/>
      <c r="J12" s="95"/>
      <c r="K12" s="3"/>
      <c r="L12" s="91"/>
      <c r="M12" s="92" t="s">
        <v>77</v>
      </c>
      <c r="N12" s="84" t="s">
        <v>83</v>
      </c>
      <c r="O12" s="85" t="s">
        <v>56</v>
      </c>
      <c r="P12" s="86" t="n">
        <v>13.08</v>
      </c>
      <c r="Q12" s="86" t="n">
        <v>13</v>
      </c>
      <c r="R12" s="87" t="n">
        <f aca="false">P12*Q12</f>
        <v>170.04</v>
      </c>
      <c r="S12" s="93"/>
      <c r="T12" s="94"/>
      <c r="U12" s="95"/>
    </row>
    <row r="13" customFormat="false" ht="18.75" hidden="false" customHeight="true" outlineLevel="0" collapsed="false">
      <c r="A13" s="91"/>
      <c r="B13" s="92" t="s">
        <v>77</v>
      </c>
      <c r="C13" s="84" t="s">
        <v>84</v>
      </c>
      <c r="D13" s="85" t="s">
        <v>56</v>
      </c>
      <c r="E13" s="86" t="n">
        <v>15.23</v>
      </c>
      <c r="F13" s="86" t="n">
        <v>13</v>
      </c>
      <c r="G13" s="87" t="n">
        <f aca="false">E13*F13</f>
        <v>197.99</v>
      </c>
      <c r="H13" s="93"/>
      <c r="I13" s="94"/>
      <c r="J13" s="95"/>
      <c r="K13" s="3"/>
      <c r="L13" s="91"/>
      <c r="M13" s="92" t="s">
        <v>77</v>
      </c>
      <c r="N13" s="84" t="s">
        <v>84</v>
      </c>
      <c r="O13" s="85" t="s">
        <v>56</v>
      </c>
      <c r="P13" s="86" t="n">
        <v>15.23</v>
      </c>
      <c r="Q13" s="86" t="n">
        <v>13</v>
      </c>
      <c r="R13" s="87" t="n">
        <f aca="false">P13*Q13</f>
        <v>197.99</v>
      </c>
      <c r="S13" s="93"/>
      <c r="T13" s="94"/>
      <c r="U13" s="95"/>
    </row>
    <row r="14" customFormat="false" ht="18.75" hidden="false" customHeight="true" outlineLevel="0" collapsed="false">
      <c r="A14" s="91"/>
      <c r="B14" s="92" t="s">
        <v>77</v>
      </c>
      <c r="C14" s="84" t="s">
        <v>85</v>
      </c>
      <c r="D14" s="96" t="s">
        <v>57</v>
      </c>
      <c r="E14" s="91"/>
      <c r="F14" s="91"/>
      <c r="G14" s="87" t="n">
        <v>750</v>
      </c>
      <c r="H14" s="93"/>
      <c r="I14" s="94"/>
      <c r="J14" s="95"/>
      <c r="K14" s="3"/>
      <c r="L14" s="91"/>
      <c r="M14" s="92" t="s">
        <v>77</v>
      </c>
      <c r="N14" s="84" t="s">
        <v>85</v>
      </c>
      <c r="O14" s="96" t="s">
        <v>57</v>
      </c>
      <c r="P14" s="91"/>
      <c r="Q14" s="91"/>
      <c r="R14" s="87" t="n">
        <v>750</v>
      </c>
      <c r="S14" s="93"/>
      <c r="T14" s="94"/>
      <c r="U14" s="95"/>
    </row>
    <row r="15" customFormat="false" ht="18.75" hidden="false" customHeight="true" outlineLevel="0" collapsed="false">
      <c r="A15" s="91"/>
      <c r="B15" s="92" t="s">
        <v>77</v>
      </c>
      <c r="C15" s="84" t="s">
        <v>86</v>
      </c>
      <c r="D15" s="96" t="s">
        <v>57</v>
      </c>
      <c r="E15" s="91"/>
      <c r="F15" s="91"/>
      <c r="G15" s="87" t="n">
        <v>450</v>
      </c>
      <c r="H15" s="93"/>
      <c r="I15" s="94"/>
      <c r="J15" s="95"/>
      <c r="K15" s="3"/>
      <c r="L15" s="91"/>
      <c r="M15" s="92" t="s">
        <v>77</v>
      </c>
      <c r="N15" s="84" t="s">
        <v>86</v>
      </c>
      <c r="O15" s="96" t="s">
        <v>57</v>
      </c>
      <c r="P15" s="91"/>
      <c r="Q15" s="91"/>
      <c r="R15" s="87" t="n">
        <v>450</v>
      </c>
      <c r="S15" s="93"/>
      <c r="T15" s="94"/>
      <c r="U15" s="95"/>
    </row>
    <row r="16" customFormat="false" ht="18.75" hidden="false" customHeight="true" outlineLevel="0" collapsed="false">
      <c r="A16" s="82" t="s">
        <v>20</v>
      </c>
      <c r="B16" s="83" t="s">
        <v>87</v>
      </c>
      <c r="C16" s="84" t="s">
        <v>88</v>
      </c>
      <c r="D16" s="85" t="s">
        <v>56</v>
      </c>
      <c r="E16" s="86" t="n">
        <v>41.66</v>
      </c>
      <c r="F16" s="86" t="n">
        <v>15</v>
      </c>
      <c r="G16" s="87" t="n">
        <f aca="false">E16*F16</f>
        <v>624.9</v>
      </c>
      <c r="H16" s="88" t="n">
        <f aca="false">SUMIF(B:B,B16,G:G)</f>
        <v>1395.9</v>
      </c>
      <c r="I16" s="89" t="n">
        <v>3254.4</v>
      </c>
      <c r="J16" s="90" t="n">
        <f aca="false">IFERROR((I16-H16)/I16,"")</f>
        <v>0.571073008849558</v>
      </c>
      <c r="K16" s="3"/>
      <c r="L16" s="82" t="s">
        <v>20</v>
      </c>
      <c r="M16" s="83" t="s">
        <v>87</v>
      </c>
      <c r="N16" s="84" t="s">
        <v>88</v>
      </c>
      <c r="O16" s="85" t="s">
        <v>56</v>
      </c>
      <c r="P16" s="86" t="n">
        <v>41.66</v>
      </c>
      <c r="Q16" s="86" t="n">
        <v>15</v>
      </c>
      <c r="R16" s="87" t="n">
        <f aca="false">P16*Q16</f>
        <v>624.9</v>
      </c>
      <c r="S16" s="88" t="n">
        <f aca="false">SUMIF(M:M,M16,R:R)</f>
        <v>1395.9</v>
      </c>
      <c r="T16" s="89" t="n">
        <f aca="false">I16</f>
        <v>3254.4</v>
      </c>
      <c r="U16" s="90" t="n">
        <f aca="false">IFERROR((T16-S16)/T16,"")</f>
        <v>0.571073008849558</v>
      </c>
    </row>
    <row r="17" customFormat="false" ht="18.75" hidden="false" customHeight="true" outlineLevel="0" collapsed="false">
      <c r="A17" s="91"/>
      <c r="B17" s="92" t="s">
        <v>87</v>
      </c>
      <c r="C17" s="84" t="s">
        <v>89</v>
      </c>
      <c r="D17" s="85" t="s">
        <v>56</v>
      </c>
      <c r="E17" s="86" t="n">
        <v>51.4</v>
      </c>
      <c r="F17" s="86" t="n">
        <v>15</v>
      </c>
      <c r="G17" s="87" t="n">
        <f aca="false">E17*F17</f>
        <v>771</v>
      </c>
      <c r="H17" s="93"/>
      <c r="I17" s="94"/>
      <c r="J17" s="95"/>
      <c r="K17" s="3"/>
      <c r="L17" s="91"/>
      <c r="M17" s="92" t="s">
        <v>87</v>
      </c>
      <c r="N17" s="84" t="s">
        <v>89</v>
      </c>
      <c r="O17" s="85" t="s">
        <v>56</v>
      </c>
      <c r="P17" s="86" t="n">
        <v>51.4</v>
      </c>
      <c r="Q17" s="86" t="n">
        <v>15</v>
      </c>
      <c r="R17" s="87" t="n">
        <f aca="false">P17*Q17</f>
        <v>771</v>
      </c>
      <c r="S17" s="93"/>
      <c r="T17" s="94"/>
      <c r="U17" s="95"/>
    </row>
    <row r="18" customFormat="false" ht="18.75" hidden="false" customHeight="true" outlineLevel="0" collapsed="false">
      <c r="A18" s="82" t="s">
        <v>20</v>
      </c>
      <c r="B18" s="83" t="s">
        <v>90</v>
      </c>
      <c r="C18" s="97" t="s">
        <v>91</v>
      </c>
      <c r="D18" s="98" t="s">
        <v>55</v>
      </c>
      <c r="E18" s="99" t="n">
        <v>14</v>
      </c>
      <c r="F18" s="99" t="n">
        <v>16</v>
      </c>
      <c r="G18" s="100" t="n">
        <f aca="false">E18*F18</f>
        <v>224</v>
      </c>
      <c r="H18" s="88" t="n">
        <f aca="false">SUMIF(B:B,B18,G:G)</f>
        <v>487.76</v>
      </c>
      <c r="I18" s="89" t="n">
        <v>2322.54</v>
      </c>
      <c r="J18" s="90" t="n">
        <f aca="false">IFERROR((I18-H18)/I18,"")</f>
        <v>0.789988547021795</v>
      </c>
      <c r="K18" s="3"/>
      <c r="L18" s="82" t="s">
        <v>20</v>
      </c>
      <c r="M18" s="83" t="s">
        <v>90</v>
      </c>
      <c r="N18" s="97" t="s">
        <v>91</v>
      </c>
      <c r="O18" s="98" t="s">
        <v>55</v>
      </c>
      <c r="P18" s="101"/>
      <c r="Q18" s="101"/>
      <c r="R18" s="102" t="n">
        <v>0</v>
      </c>
      <c r="S18" s="88" t="n">
        <f aca="false">SUMIF(M:M,M18,R:R)</f>
        <v>263.76</v>
      </c>
      <c r="T18" s="89" t="n">
        <f aca="false">I18</f>
        <v>2322.54</v>
      </c>
      <c r="U18" s="90" t="n">
        <f aca="false">IFERROR((T18-S18)/T18,"")</f>
        <v>0.886434679273554</v>
      </c>
    </row>
    <row r="19" customFormat="false" ht="18.75" hidden="false" customHeight="true" outlineLevel="0" collapsed="false">
      <c r="A19" s="91"/>
      <c r="B19" s="92" t="s">
        <v>90</v>
      </c>
      <c r="C19" s="84" t="s">
        <v>92</v>
      </c>
      <c r="D19" s="103" t="s">
        <v>58</v>
      </c>
      <c r="E19" s="91"/>
      <c r="F19" s="91"/>
      <c r="G19" s="87" t="n">
        <v>85</v>
      </c>
      <c r="H19" s="93"/>
      <c r="I19" s="94"/>
      <c r="J19" s="95"/>
      <c r="K19" s="3"/>
      <c r="L19" s="91"/>
      <c r="M19" s="92" t="s">
        <v>90</v>
      </c>
      <c r="N19" s="84" t="s">
        <v>92</v>
      </c>
      <c r="O19" s="103" t="s">
        <v>58</v>
      </c>
      <c r="P19" s="91"/>
      <c r="Q19" s="91"/>
      <c r="R19" s="87" t="n">
        <v>85</v>
      </c>
      <c r="S19" s="93"/>
      <c r="T19" s="94"/>
      <c r="U19" s="95"/>
    </row>
    <row r="20" customFormat="false" ht="18.75" hidden="false" customHeight="true" outlineLevel="0" collapsed="false">
      <c r="A20" s="91"/>
      <c r="B20" s="92" t="s">
        <v>90</v>
      </c>
      <c r="C20" s="84" t="s">
        <v>93</v>
      </c>
      <c r="D20" s="103" t="s">
        <v>58</v>
      </c>
      <c r="E20" s="91"/>
      <c r="F20" s="91"/>
      <c r="G20" s="87" t="n">
        <v>55.6</v>
      </c>
      <c r="H20" s="93"/>
      <c r="I20" s="94"/>
      <c r="J20" s="95"/>
      <c r="K20" s="3"/>
      <c r="L20" s="91"/>
      <c r="M20" s="92" t="s">
        <v>90</v>
      </c>
      <c r="N20" s="84" t="s">
        <v>93</v>
      </c>
      <c r="O20" s="103" t="s">
        <v>58</v>
      </c>
      <c r="P20" s="91"/>
      <c r="Q20" s="91"/>
      <c r="R20" s="87" t="n">
        <v>55.6</v>
      </c>
      <c r="S20" s="93"/>
      <c r="T20" s="94"/>
      <c r="U20" s="95"/>
    </row>
    <row r="21" customFormat="false" ht="18.75" hidden="false" customHeight="true" outlineLevel="0" collapsed="false">
      <c r="A21" s="91"/>
      <c r="B21" s="92" t="s">
        <v>90</v>
      </c>
      <c r="C21" s="84" t="s">
        <v>94</v>
      </c>
      <c r="D21" s="103" t="s">
        <v>58</v>
      </c>
      <c r="E21" s="91"/>
      <c r="F21" s="91"/>
      <c r="G21" s="87" t="n">
        <v>86.31</v>
      </c>
      <c r="H21" s="93"/>
      <c r="I21" s="94"/>
      <c r="J21" s="95"/>
      <c r="K21" s="3"/>
      <c r="L21" s="91"/>
      <c r="M21" s="92" t="s">
        <v>90</v>
      </c>
      <c r="N21" s="84" t="s">
        <v>94</v>
      </c>
      <c r="O21" s="103" t="s">
        <v>58</v>
      </c>
      <c r="P21" s="91"/>
      <c r="Q21" s="91"/>
      <c r="R21" s="87" t="n">
        <v>86.31</v>
      </c>
      <c r="S21" s="93"/>
      <c r="T21" s="94"/>
      <c r="U21" s="95"/>
    </row>
    <row r="22" customFormat="false" ht="18.75" hidden="false" customHeight="true" outlineLevel="0" collapsed="false">
      <c r="A22" s="91"/>
      <c r="B22" s="92" t="s">
        <v>90</v>
      </c>
      <c r="C22" s="84" t="s">
        <v>95</v>
      </c>
      <c r="D22" s="103" t="s">
        <v>58</v>
      </c>
      <c r="E22" s="91"/>
      <c r="F22" s="91"/>
      <c r="G22" s="87" t="n">
        <v>36.85</v>
      </c>
      <c r="H22" s="93"/>
      <c r="I22" s="94"/>
      <c r="J22" s="95"/>
      <c r="K22" s="3"/>
      <c r="L22" s="91"/>
      <c r="M22" s="92" t="s">
        <v>90</v>
      </c>
      <c r="N22" s="84" t="s">
        <v>95</v>
      </c>
      <c r="O22" s="103" t="s">
        <v>58</v>
      </c>
      <c r="P22" s="91"/>
      <c r="Q22" s="91"/>
      <c r="R22" s="87" t="n">
        <v>36.85</v>
      </c>
      <c r="S22" s="93"/>
      <c r="T22" s="94"/>
      <c r="U22" s="95"/>
    </row>
    <row r="23" customFormat="false" ht="18.75" hidden="false" customHeight="true" outlineLevel="0" collapsed="false">
      <c r="A23" s="82" t="s">
        <v>20</v>
      </c>
      <c r="B23" s="83" t="s">
        <v>96</v>
      </c>
      <c r="C23" s="97" t="s">
        <v>97</v>
      </c>
      <c r="D23" s="98" t="s">
        <v>55</v>
      </c>
      <c r="E23" s="104"/>
      <c r="F23" s="104"/>
      <c r="G23" s="100" t="n">
        <v>360</v>
      </c>
      <c r="H23" s="88" t="n">
        <f aca="false">SUMIF(B:B,B23,G:G)</f>
        <v>2208.25</v>
      </c>
      <c r="I23" s="89" t="n">
        <v>5364.56</v>
      </c>
      <c r="J23" s="90" t="n">
        <f aca="false">IFERROR((I23-H23)/I23,"")</f>
        <v>0.588363258123686</v>
      </c>
      <c r="K23" s="3"/>
      <c r="L23" s="82" t="s">
        <v>20</v>
      </c>
      <c r="M23" s="83" t="s">
        <v>96</v>
      </c>
      <c r="N23" s="97" t="s">
        <v>97</v>
      </c>
      <c r="O23" s="98" t="s">
        <v>55</v>
      </c>
      <c r="P23" s="101"/>
      <c r="Q23" s="101"/>
      <c r="R23" s="102" t="n">
        <v>0</v>
      </c>
      <c r="S23" s="88" t="n">
        <f aca="false">SUMIF(M:M,M23,R:R)</f>
        <v>1848.25</v>
      </c>
      <c r="T23" s="89" t="n">
        <f aca="false">I23</f>
        <v>5364.56</v>
      </c>
      <c r="U23" s="90" t="n">
        <f aca="false">IFERROR((T23-S23)/T23,"")</f>
        <v>0.655470346123447</v>
      </c>
    </row>
    <row r="24" customFormat="false" ht="18.75" hidden="false" customHeight="true" outlineLevel="0" collapsed="false">
      <c r="A24" s="91"/>
      <c r="B24" s="92" t="s">
        <v>96</v>
      </c>
      <c r="C24" s="84" t="s">
        <v>98</v>
      </c>
      <c r="D24" s="96" t="s">
        <v>57</v>
      </c>
      <c r="E24" s="91"/>
      <c r="F24" s="91"/>
      <c r="G24" s="87" t="n">
        <v>102</v>
      </c>
      <c r="H24" s="93"/>
      <c r="I24" s="94"/>
      <c r="J24" s="95"/>
      <c r="K24" s="3"/>
      <c r="L24" s="91"/>
      <c r="M24" s="92" t="s">
        <v>96</v>
      </c>
      <c r="N24" s="84" t="s">
        <v>98</v>
      </c>
      <c r="O24" s="96" t="s">
        <v>57</v>
      </c>
      <c r="P24" s="91"/>
      <c r="Q24" s="91"/>
      <c r="R24" s="87" t="n">
        <v>102</v>
      </c>
      <c r="S24" s="93"/>
      <c r="T24" s="94"/>
      <c r="U24" s="95"/>
    </row>
    <row r="25" customFormat="false" ht="18.75" hidden="false" customHeight="true" outlineLevel="0" collapsed="false">
      <c r="A25" s="91"/>
      <c r="B25" s="92" t="s">
        <v>96</v>
      </c>
      <c r="C25" s="84" t="s">
        <v>99</v>
      </c>
      <c r="D25" s="96" t="s">
        <v>57</v>
      </c>
      <c r="E25" s="91"/>
      <c r="F25" s="91"/>
      <c r="G25" s="87" t="n">
        <v>51</v>
      </c>
      <c r="H25" s="93"/>
      <c r="I25" s="94"/>
      <c r="J25" s="95"/>
      <c r="K25" s="3"/>
      <c r="L25" s="91"/>
      <c r="M25" s="92" t="s">
        <v>96</v>
      </c>
      <c r="N25" s="84" t="s">
        <v>99</v>
      </c>
      <c r="O25" s="96" t="s">
        <v>57</v>
      </c>
      <c r="P25" s="91"/>
      <c r="Q25" s="91"/>
      <c r="R25" s="87" t="n">
        <v>51</v>
      </c>
      <c r="S25" s="93"/>
      <c r="T25" s="94"/>
      <c r="U25" s="95"/>
    </row>
    <row r="26" customFormat="false" ht="18.75" hidden="false" customHeight="true" outlineLevel="0" collapsed="false">
      <c r="A26" s="91"/>
      <c r="B26" s="92" t="s">
        <v>96</v>
      </c>
      <c r="C26" s="84" t="s">
        <v>100</v>
      </c>
      <c r="D26" s="96" t="s">
        <v>57</v>
      </c>
      <c r="E26" s="91"/>
      <c r="F26" s="91"/>
      <c r="G26" s="87" t="n">
        <v>51</v>
      </c>
      <c r="H26" s="93"/>
      <c r="I26" s="94"/>
      <c r="J26" s="95"/>
      <c r="K26" s="3"/>
      <c r="L26" s="91"/>
      <c r="M26" s="92" t="s">
        <v>96</v>
      </c>
      <c r="N26" s="84" t="s">
        <v>100</v>
      </c>
      <c r="O26" s="96" t="s">
        <v>57</v>
      </c>
      <c r="P26" s="91"/>
      <c r="Q26" s="91"/>
      <c r="R26" s="87" t="n">
        <v>51</v>
      </c>
      <c r="S26" s="93"/>
      <c r="T26" s="94"/>
      <c r="U26" s="95"/>
    </row>
    <row r="27" customFormat="false" ht="18.75" hidden="false" customHeight="true" outlineLevel="0" collapsed="false">
      <c r="A27" s="91"/>
      <c r="B27" s="92" t="s">
        <v>96</v>
      </c>
      <c r="C27" s="84" t="s">
        <v>101</v>
      </c>
      <c r="D27" s="96" t="s">
        <v>57</v>
      </c>
      <c r="E27" s="91"/>
      <c r="F27" s="91"/>
      <c r="G27" s="87" t="n">
        <v>855.84</v>
      </c>
      <c r="H27" s="93"/>
      <c r="I27" s="94"/>
      <c r="J27" s="95"/>
      <c r="K27" s="3"/>
      <c r="L27" s="91"/>
      <c r="M27" s="92" t="s">
        <v>96</v>
      </c>
      <c r="N27" s="84" t="s">
        <v>101</v>
      </c>
      <c r="O27" s="96" t="s">
        <v>57</v>
      </c>
      <c r="P27" s="91"/>
      <c r="Q27" s="91"/>
      <c r="R27" s="87" t="n">
        <v>855.84</v>
      </c>
      <c r="S27" s="93"/>
      <c r="T27" s="94"/>
      <c r="U27" s="95"/>
    </row>
    <row r="28" customFormat="false" ht="18.75" hidden="false" customHeight="true" outlineLevel="0" collapsed="false">
      <c r="A28" s="91"/>
      <c r="B28" s="92" t="s">
        <v>96</v>
      </c>
      <c r="C28" s="84" t="s">
        <v>79</v>
      </c>
      <c r="D28" s="96" t="s">
        <v>57</v>
      </c>
      <c r="E28" s="91"/>
      <c r="F28" s="91"/>
      <c r="G28" s="87" t="n">
        <v>45</v>
      </c>
      <c r="H28" s="93"/>
      <c r="I28" s="94"/>
      <c r="J28" s="95"/>
      <c r="K28" s="3"/>
      <c r="L28" s="91"/>
      <c r="M28" s="92" t="s">
        <v>96</v>
      </c>
      <c r="N28" s="84" t="s">
        <v>79</v>
      </c>
      <c r="O28" s="96" t="s">
        <v>57</v>
      </c>
      <c r="P28" s="91"/>
      <c r="Q28" s="91"/>
      <c r="R28" s="87" t="n">
        <v>45</v>
      </c>
      <c r="S28" s="93"/>
      <c r="T28" s="94"/>
      <c r="U28" s="95"/>
    </row>
    <row r="29" customFormat="false" ht="18.75" hidden="false" customHeight="true" outlineLevel="0" collapsed="false">
      <c r="A29" s="91"/>
      <c r="B29" s="92" t="s">
        <v>96</v>
      </c>
      <c r="C29" s="84" t="s">
        <v>102</v>
      </c>
      <c r="D29" s="96" t="s">
        <v>57</v>
      </c>
      <c r="E29" s="91"/>
      <c r="F29" s="91"/>
      <c r="G29" s="87" t="n">
        <v>225</v>
      </c>
      <c r="H29" s="93"/>
      <c r="I29" s="94"/>
      <c r="J29" s="95"/>
      <c r="K29" s="3"/>
      <c r="L29" s="91"/>
      <c r="M29" s="92" t="s">
        <v>96</v>
      </c>
      <c r="N29" s="84" t="s">
        <v>102</v>
      </c>
      <c r="O29" s="96" t="s">
        <v>57</v>
      </c>
      <c r="P29" s="91"/>
      <c r="Q29" s="91"/>
      <c r="R29" s="87" t="n">
        <v>225</v>
      </c>
      <c r="S29" s="93"/>
      <c r="T29" s="94"/>
      <c r="U29" s="95"/>
    </row>
    <row r="30" customFormat="false" ht="18.75" hidden="false" customHeight="true" outlineLevel="0" collapsed="false">
      <c r="A30" s="91"/>
      <c r="B30" s="92" t="s">
        <v>96</v>
      </c>
      <c r="C30" s="84" t="s">
        <v>92</v>
      </c>
      <c r="D30" s="103" t="s">
        <v>58</v>
      </c>
      <c r="E30" s="91"/>
      <c r="F30" s="91"/>
      <c r="G30" s="87" t="n">
        <v>60</v>
      </c>
      <c r="H30" s="93"/>
      <c r="I30" s="94"/>
      <c r="J30" s="95"/>
      <c r="K30" s="3"/>
      <c r="L30" s="91"/>
      <c r="M30" s="92" t="s">
        <v>96</v>
      </c>
      <c r="N30" s="84" t="s">
        <v>92</v>
      </c>
      <c r="O30" s="103" t="s">
        <v>58</v>
      </c>
      <c r="P30" s="91"/>
      <c r="Q30" s="91"/>
      <c r="R30" s="87" t="n">
        <v>60</v>
      </c>
      <c r="S30" s="93"/>
      <c r="T30" s="94"/>
      <c r="U30" s="95"/>
    </row>
    <row r="31" customFormat="false" ht="18.75" hidden="false" customHeight="true" outlineLevel="0" collapsed="false">
      <c r="A31" s="91"/>
      <c r="B31" s="92" t="s">
        <v>96</v>
      </c>
      <c r="C31" s="84" t="s">
        <v>86</v>
      </c>
      <c r="D31" s="96" t="s">
        <v>57</v>
      </c>
      <c r="E31" s="91"/>
      <c r="F31" s="91"/>
      <c r="G31" s="87" t="n">
        <v>458.41</v>
      </c>
      <c r="H31" s="93"/>
      <c r="I31" s="94"/>
      <c r="J31" s="95"/>
      <c r="K31" s="3"/>
      <c r="L31" s="91"/>
      <c r="M31" s="92" t="s">
        <v>96</v>
      </c>
      <c r="N31" s="84" t="s">
        <v>86</v>
      </c>
      <c r="O31" s="96" t="s">
        <v>57</v>
      </c>
      <c r="P31" s="91"/>
      <c r="Q31" s="91"/>
      <c r="R31" s="87" t="n">
        <v>458.41</v>
      </c>
      <c r="S31" s="93"/>
      <c r="T31" s="94"/>
      <c r="U31" s="95"/>
    </row>
    <row r="32" customFormat="false" ht="18.75" hidden="false" customHeight="true" outlineLevel="0" collapsed="false">
      <c r="A32" s="82" t="s">
        <v>20</v>
      </c>
      <c r="B32" s="83" t="s">
        <v>103</v>
      </c>
      <c r="C32" s="84" t="s">
        <v>79</v>
      </c>
      <c r="D32" s="85" t="s">
        <v>56</v>
      </c>
      <c r="E32" s="86" t="n">
        <v>30</v>
      </c>
      <c r="F32" s="86" t="n">
        <v>15</v>
      </c>
      <c r="G32" s="87" t="n">
        <f aca="false">E32*F32</f>
        <v>450</v>
      </c>
      <c r="H32" s="88" t="n">
        <f aca="false">SUMIF(B:B,B32,G:G)</f>
        <v>616.24</v>
      </c>
      <c r="I32" s="89" t="n">
        <v>4182</v>
      </c>
      <c r="J32" s="90" t="n">
        <f aca="false">IFERROR((I32-H32)/I32,"")</f>
        <v>0.852644667623147</v>
      </c>
      <c r="K32" s="3"/>
      <c r="L32" s="82" t="s">
        <v>20</v>
      </c>
      <c r="M32" s="83" t="s">
        <v>103</v>
      </c>
      <c r="N32" s="84" t="s">
        <v>79</v>
      </c>
      <c r="O32" s="85" t="s">
        <v>56</v>
      </c>
      <c r="P32" s="86" t="n">
        <v>30</v>
      </c>
      <c r="Q32" s="86" t="n">
        <v>15</v>
      </c>
      <c r="R32" s="87" t="n">
        <f aca="false">P32*Q32</f>
        <v>450</v>
      </c>
      <c r="S32" s="88" t="n">
        <f aca="false">SUMIF(M:M,M32,R:R)</f>
        <v>616.24</v>
      </c>
      <c r="T32" s="89" t="n">
        <f aca="false">I32</f>
        <v>4182</v>
      </c>
      <c r="U32" s="90" t="n">
        <f aca="false">IFERROR((T32-S32)/T32,"")</f>
        <v>0.852644667623147</v>
      </c>
    </row>
    <row r="33" customFormat="false" ht="18.75" hidden="false" customHeight="true" outlineLevel="0" collapsed="false">
      <c r="A33" s="91"/>
      <c r="B33" s="92" t="s">
        <v>103</v>
      </c>
      <c r="C33" s="84" t="s">
        <v>102</v>
      </c>
      <c r="D33" s="85" t="s">
        <v>56</v>
      </c>
      <c r="E33" s="86" t="n">
        <v>3</v>
      </c>
      <c r="F33" s="86" t="n">
        <v>15</v>
      </c>
      <c r="G33" s="87" t="n">
        <f aca="false">E33*F33</f>
        <v>45</v>
      </c>
      <c r="H33" s="93"/>
      <c r="I33" s="94"/>
      <c r="J33" s="95"/>
      <c r="K33" s="3"/>
      <c r="L33" s="91"/>
      <c r="M33" s="92" t="s">
        <v>103</v>
      </c>
      <c r="N33" s="84" t="s">
        <v>102</v>
      </c>
      <c r="O33" s="85" t="s">
        <v>56</v>
      </c>
      <c r="P33" s="86" t="n">
        <v>3</v>
      </c>
      <c r="Q33" s="86" t="n">
        <v>15</v>
      </c>
      <c r="R33" s="87" t="n">
        <f aca="false">P33*Q33</f>
        <v>45</v>
      </c>
      <c r="S33" s="93"/>
      <c r="T33" s="94"/>
      <c r="U33" s="95"/>
    </row>
    <row r="34" customFormat="false" ht="18.75" hidden="false" customHeight="true" outlineLevel="0" collapsed="false">
      <c r="A34" s="91"/>
      <c r="B34" s="92" t="s">
        <v>103</v>
      </c>
      <c r="C34" s="84" t="s">
        <v>98</v>
      </c>
      <c r="D34" s="85" t="s">
        <v>56</v>
      </c>
      <c r="E34" s="86" t="n">
        <v>3</v>
      </c>
      <c r="F34" s="86" t="n">
        <v>15</v>
      </c>
      <c r="G34" s="87" t="n">
        <f aca="false">E34*F34</f>
        <v>45</v>
      </c>
      <c r="H34" s="93"/>
      <c r="I34" s="94"/>
      <c r="J34" s="95"/>
      <c r="K34" s="3"/>
      <c r="L34" s="91"/>
      <c r="M34" s="92" t="s">
        <v>103</v>
      </c>
      <c r="N34" s="84" t="s">
        <v>98</v>
      </c>
      <c r="O34" s="85" t="s">
        <v>56</v>
      </c>
      <c r="P34" s="86" t="n">
        <v>3</v>
      </c>
      <c r="Q34" s="86" t="n">
        <v>15</v>
      </c>
      <c r="R34" s="87" t="n">
        <f aca="false">P34*Q34</f>
        <v>45</v>
      </c>
      <c r="S34" s="93"/>
      <c r="T34" s="94"/>
      <c r="U34" s="95"/>
    </row>
    <row r="35" customFormat="false" ht="18.75" hidden="false" customHeight="true" outlineLevel="0" collapsed="false">
      <c r="A35" s="91"/>
      <c r="B35" s="92" t="s">
        <v>103</v>
      </c>
      <c r="C35" s="84" t="s">
        <v>86</v>
      </c>
      <c r="D35" s="96" t="s">
        <v>57</v>
      </c>
      <c r="E35" s="91"/>
      <c r="F35" s="91"/>
      <c r="G35" s="87" t="n">
        <v>76.24</v>
      </c>
      <c r="H35" s="93"/>
      <c r="I35" s="94"/>
      <c r="J35" s="95"/>
      <c r="K35" s="3"/>
      <c r="L35" s="91"/>
      <c r="M35" s="92" t="s">
        <v>103</v>
      </c>
      <c r="N35" s="84" t="s">
        <v>86</v>
      </c>
      <c r="O35" s="96" t="s">
        <v>57</v>
      </c>
      <c r="P35" s="91"/>
      <c r="Q35" s="91"/>
      <c r="R35" s="87" t="n">
        <v>76.24</v>
      </c>
      <c r="S35" s="93"/>
      <c r="T35" s="94"/>
      <c r="U35" s="95"/>
    </row>
    <row r="36" customFormat="false" ht="18.75" hidden="false" customHeight="true" outlineLevel="0" collapsed="false">
      <c r="A36" s="82" t="s">
        <v>20</v>
      </c>
      <c r="B36" s="83" t="s">
        <v>104</v>
      </c>
      <c r="C36" s="84" t="s">
        <v>101</v>
      </c>
      <c r="D36" s="85" t="s">
        <v>56</v>
      </c>
      <c r="E36" s="86" t="n">
        <v>50</v>
      </c>
      <c r="F36" s="86" t="n">
        <v>17</v>
      </c>
      <c r="G36" s="87" t="n">
        <f aca="false">E36*F36</f>
        <v>850</v>
      </c>
      <c r="H36" s="88" t="n">
        <f aca="false">SUMIF(B:B,B36,G:G)</f>
        <v>3640.55</v>
      </c>
      <c r="I36" s="89" t="n">
        <v>6274.84</v>
      </c>
      <c r="J36" s="90" t="n">
        <f aca="false">IFERROR((I36-H36)/I36,"")</f>
        <v>0.419817875834284</v>
      </c>
      <c r="K36" s="3"/>
      <c r="L36" s="82" t="s">
        <v>20</v>
      </c>
      <c r="M36" s="83" t="s">
        <v>104</v>
      </c>
      <c r="N36" s="84" t="s">
        <v>101</v>
      </c>
      <c r="O36" s="85" t="s">
        <v>56</v>
      </c>
      <c r="P36" s="86" t="n">
        <v>50</v>
      </c>
      <c r="Q36" s="86" t="n">
        <v>17</v>
      </c>
      <c r="R36" s="87" t="n">
        <f aca="false">P36*Q36</f>
        <v>850</v>
      </c>
      <c r="S36" s="88" t="n">
        <f aca="false">SUMIF(M:M,M36,R:R)</f>
        <v>3640.55</v>
      </c>
      <c r="T36" s="89" t="n">
        <f aca="false">I36</f>
        <v>6274.84</v>
      </c>
      <c r="U36" s="90" t="n">
        <f aca="false">IFERROR((T36-S36)/T36,"")</f>
        <v>0.419817875834284</v>
      </c>
    </row>
    <row r="37" customFormat="false" ht="18.75" hidden="false" customHeight="true" outlineLevel="0" collapsed="false">
      <c r="A37" s="91"/>
      <c r="B37" s="92" t="s">
        <v>104</v>
      </c>
      <c r="C37" s="84" t="s">
        <v>81</v>
      </c>
      <c r="D37" s="85" t="s">
        <v>56</v>
      </c>
      <c r="E37" s="86" t="n">
        <v>16.75</v>
      </c>
      <c r="F37" s="86" t="n">
        <v>13</v>
      </c>
      <c r="G37" s="87" t="n">
        <f aca="false">E37*F37</f>
        <v>217.75</v>
      </c>
      <c r="H37" s="93"/>
      <c r="I37" s="94"/>
      <c r="J37" s="95"/>
      <c r="K37" s="3"/>
      <c r="L37" s="91"/>
      <c r="M37" s="92" t="s">
        <v>104</v>
      </c>
      <c r="N37" s="84" t="s">
        <v>81</v>
      </c>
      <c r="O37" s="85" t="s">
        <v>56</v>
      </c>
      <c r="P37" s="86" t="n">
        <v>16.75</v>
      </c>
      <c r="Q37" s="86" t="n">
        <v>13</v>
      </c>
      <c r="R37" s="87" t="n">
        <f aca="false">P37*Q37</f>
        <v>217.75</v>
      </c>
      <c r="S37" s="93"/>
      <c r="T37" s="94"/>
      <c r="U37" s="95"/>
    </row>
    <row r="38" customFormat="false" ht="18.75" hidden="false" customHeight="true" outlineLevel="0" collapsed="false">
      <c r="A38" s="91"/>
      <c r="B38" s="92" t="s">
        <v>104</v>
      </c>
      <c r="C38" s="84" t="s">
        <v>105</v>
      </c>
      <c r="D38" s="85" t="s">
        <v>56</v>
      </c>
      <c r="E38" s="86" t="n">
        <v>5.2</v>
      </c>
      <c r="F38" s="86" t="n">
        <v>13</v>
      </c>
      <c r="G38" s="87" t="n">
        <f aca="false">E38*F38</f>
        <v>67.6</v>
      </c>
      <c r="H38" s="93"/>
      <c r="I38" s="94"/>
      <c r="J38" s="95"/>
      <c r="K38" s="3"/>
      <c r="L38" s="91"/>
      <c r="M38" s="92" t="s">
        <v>104</v>
      </c>
      <c r="N38" s="84" t="s">
        <v>105</v>
      </c>
      <c r="O38" s="85" t="s">
        <v>56</v>
      </c>
      <c r="P38" s="86" t="n">
        <v>5.2</v>
      </c>
      <c r="Q38" s="86" t="n">
        <v>13</v>
      </c>
      <c r="R38" s="87" t="n">
        <f aca="false">P38*Q38</f>
        <v>67.6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104</v>
      </c>
      <c r="C39" s="84" t="s">
        <v>106</v>
      </c>
      <c r="D39" s="85" t="s">
        <v>56</v>
      </c>
      <c r="E39" s="86" t="n">
        <v>14.15</v>
      </c>
      <c r="F39" s="86" t="n">
        <v>13</v>
      </c>
      <c r="G39" s="87" t="n">
        <f aca="false">E39*F39</f>
        <v>183.95</v>
      </c>
      <c r="H39" s="93"/>
      <c r="I39" s="94"/>
      <c r="J39" s="95"/>
      <c r="K39" s="3"/>
      <c r="L39" s="91"/>
      <c r="M39" s="92" t="s">
        <v>104</v>
      </c>
      <c r="N39" s="84" t="s">
        <v>106</v>
      </c>
      <c r="O39" s="85" t="s">
        <v>56</v>
      </c>
      <c r="P39" s="86" t="n">
        <v>14.15</v>
      </c>
      <c r="Q39" s="86" t="n">
        <v>13</v>
      </c>
      <c r="R39" s="87" t="n">
        <f aca="false">P39*Q39</f>
        <v>183.95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104</v>
      </c>
      <c r="C40" s="84" t="s">
        <v>78</v>
      </c>
      <c r="D40" s="85" t="s">
        <v>56</v>
      </c>
      <c r="E40" s="86" t="n">
        <v>14.2</v>
      </c>
      <c r="F40" s="86" t="n">
        <v>13</v>
      </c>
      <c r="G40" s="87" t="n">
        <f aca="false">E40*F40</f>
        <v>184.6</v>
      </c>
      <c r="H40" s="93"/>
      <c r="I40" s="94"/>
      <c r="J40" s="95"/>
      <c r="K40" s="3"/>
      <c r="L40" s="91"/>
      <c r="M40" s="92" t="s">
        <v>104</v>
      </c>
      <c r="N40" s="84" t="s">
        <v>78</v>
      </c>
      <c r="O40" s="85" t="s">
        <v>56</v>
      </c>
      <c r="P40" s="86" t="n">
        <v>14.2</v>
      </c>
      <c r="Q40" s="86" t="n">
        <v>13</v>
      </c>
      <c r="R40" s="87" t="n">
        <f aca="false">P40*Q40</f>
        <v>184.6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104</v>
      </c>
      <c r="C41" s="84" t="s">
        <v>100</v>
      </c>
      <c r="D41" s="85" t="s">
        <v>56</v>
      </c>
      <c r="E41" s="86" t="n">
        <v>8.25</v>
      </c>
      <c r="F41" s="86" t="n">
        <v>13</v>
      </c>
      <c r="G41" s="87" t="n">
        <f aca="false">E41*F41</f>
        <v>107.25</v>
      </c>
      <c r="H41" s="93"/>
      <c r="I41" s="94"/>
      <c r="J41" s="95"/>
      <c r="K41" s="3"/>
      <c r="L41" s="91"/>
      <c r="M41" s="92" t="s">
        <v>104</v>
      </c>
      <c r="N41" s="84" t="s">
        <v>100</v>
      </c>
      <c r="O41" s="85" t="s">
        <v>56</v>
      </c>
      <c r="P41" s="86" t="n">
        <v>8.25</v>
      </c>
      <c r="Q41" s="86" t="n">
        <v>13</v>
      </c>
      <c r="R41" s="87" t="n">
        <f aca="false">P41*Q41</f>
        <v>107.25</v>
      </c>
      <c r="S41" s="93"/>
      <c r="T41" s="94"/>
      <c r="U41" s="95"/>
    </row>
    <row r="42" customFormat="false" ht="18.75" hidden="false" customHeight="true" outlineLevel="0" collapsed="false">
      <c r="A42" s="91"/>
      <c r="B42" s="92" t="s">
        <v>104</v>
      </c>
      <c r="C42" s="84" t="s">
        <v>107</v>
      </c>
      <c r="D42" s="96" t="s">
        <v>57</v>
      </c>
      <c r="E42" s="86" t="n">
        <v>3</v>
      </c>
      <c r="F42" s="86" t="n">
        <v>21</v>
      </c>
      <c r="G42" s="87" t="n">
        <f aca="false">E42*F42</f>
        <v>63</v>
      </c>
      <c r="H42" s="93"/>
      <c r="I42" s="94"/>
      <c r="J42" s="95"/>
      <c r="K42" s="3"/>
      <c r="L42" s="91"/>
      <c r="M42" s="92" t="s">
        <v>104</v>
      </c>
      <c r="N42" s="84" t="s">
        <v>107</v>
      </c>
      <c r="O42" s="96" t="s">
        <v>57</v>
      </c>
      <c r="P42" s="86" t="n">
        <v>3</v>
      </c>
      <c r="Q42" s="86" t="n">
        <v>21</v>
      </c>
      <c r="R42" s="87" t="n">
        <f aca="false">P42*Q42</f>
        <v>63</v>
      </c>
      <c r="S42" s="93"/>
      <c r="T42" s="94"/>
      <c r="U42" s="95"/>
    </row>
    <row r="43" customFormat="false" ht="18.75" hidden="false" customHeight="true" outlineLevel="0" collapsed="false">
      <c r="A43" s="91"/>
      <c r="B43" s="92" t="s">
        <v>104</v>
      </c>
      <c r="C43" s="84" t="s">
        <v>108</v>
      </c>
      <c r="D43" s="96" t="s">
        <v>57</v>
      </c>
      <c r="E43" s="86" t="n">
        <v>4</v>
      </c>
      <c r="F43" s="86" t="n">
        <v>28</v>
      </c>
      <c r="G43" s="87" t="n">
        <f aca="false">E43*F43</f>
        <v>112</v>
      </c>
      <c r="H43" s="93"/>
      <c r="I43" s="94"/>
      <c r="J43" s="95"/>
      <c r="K43" s="3"/>
      <c r="L43" s="91"/>
      <c r="M43" s="92" t="s">
        <v>104</v>
      </c>
      <c r="N43" s="84" t="s">
        <v>108</v>
      </c>
      <c r="O43" s="96" t="s">
        <v>57</v>
      </c>
      <c r="P43" s="86" t="n">
        <v>4</v>
      </c>
      <c r="Q43" s="86" t="n">
        <v>28</v>
      </c>
      <c r="R43" s="87" t="n">
        <f aca="false">P43*Q43</f>
        <v>112</v>
      </c>
      <c r="S43" s="93"/>
      <c r="T43" s="94"/>
      <c r="U43" s="95"/>
    </row>
    <row r="44" customFormat="false" ht="18.75" hidden="false" customHeight="true" outlineLevel="0" collapsed="false">
      <c r="A44" s="91"/>
      <c r="B44" s="92" t="s">
        <v>104</v>
      </c>
      <c r="C44" s="84" t="s">
        <v>86</v>
      </c>
      <c r="D44" s="96" t="s">
        <v>57</v>
      </c>
      <c r="E44" s="91"/>
      <c r="F44" s="91"/>
      <c r="G44" s="87" t="n">
        <v>1854.4</v>
      </c>
      <c r="H44" s="93"/>
      <c r="I44" s="94"/>
      <c r="J44" s="95"/>
      <c r="K44" s="3"/>
      <c r="L44" s="91"/>
      <c r="M44" s="92" t="s">
        <v>104</v>
      </c>
      <c r="N44" s="84" t="s">
        <v>86</v>
      </c>
      <c r="O44" s="96" t="s">
        <v>57</v>
      </c>
      <c r="P44" s="91"/>
      <c r="Q44" s="91"/>
      <c r="R44" s="87" t="n">
        <v>1854.4</v>
      </c>
      <c r="S44" s="93"/>
      <c r="T44" s="94"/>
      <c r="U44" s="95"/>
    </row>
    <row r="45" customFormat="false" ht="18.75" hidden="false" customHeight="true" outlineLevel="0" collapsed="false">
      <c r="A45" s="82" t="s">
        <v>20</v>
      </c>
      <c r="B45" s="83" t="s">
        <v>109</v>
      </c>
      <c r="C45" s="84" t="s">
        <v>101</v>
      </c>
      <c r="D45" s="85" t="s">
        <v>56</v>
      </c>
      <c r="E45" s="86" t="n">
        <v>37.06</v>
      </c>
      <c r="F45" s="86" t="n">
        <v>17</v>
      </c>
      <c r="G45" s="87" t="n">
        <f aca="false">E45*F45</f>
        <v>630.02</v>
      </c>
      <c r="H45" s="88" t="n">
        <f aca="false">SUMIF(B:B,B45,G:G)</f>
        <v>2722.38</v>
      </c>
      <c r="I45" s="89" t="n">
        <v>5502</v>
      </c>
      <c r="J45" s="90" t="n">
        <f aca="false">IFERROR((I45-H45)/I45,"")</f>
        <v>0.505201744820065</v>
      </c>
      <c r="K45" s="3"/>
      <c r="L45" s="82" t="s">
        <v>20</v>
      </c>
      <c r="M45" s="83" t="s">
        <v>109</v>
      </c>
      <c r="N45" s="84" t="s">
        <v>101</v>
      </c>
      <c r="O45" s="85" t="s">
        <v>56</v>
      </c>
      <c r="P45" s="86" t="n">
        <v>37.06</v>
      </c>
      <c r="Q45" s="86" t="n">
        <v>17</v>
      </c>
      <c r="R45" s="87" t="n">
        <f aca="false">P45*Q45</f>
        <v>630.02</v>
      </c>
      <c r="S45" s="88" t="n">
        <f aca="false">SUMIF(M:M,M45,R:R)</f>
        <v>2722.38</v>
      </c>
      <c r="T45" s="89" t="n">
        <f aca="false">I45</f>
        <v>5502</v>
      </c>
      <c r="U45" s="90" t="n">
        <f aca="false">IFERROR((T45-S45)/T45,"")</f>
        <v>0.505201744820065</v>
      </c>
    </row>
    <row r="46" customFormat="false" ht="18.75" hidden="false" customHeight="true" outlineLevel="0" collapsed="false">
      <c r="A46" s="91"/>
      <c r="B46" s="92" t="s">
        <v>109</v>
      </c>
      <c r="C46" s="84" t="s">
        <v>110</v>
      </c>
      <c r="D46" s="85" t="s">
        <v>56</v>
      </c>
      <c r="E46" s="86" t="n">
        <v>24.37</v>
      </c>
      <c r="F46" s="86" t="n">
        <v>15</v>
      </c>
      <c r="G46" s="87" t="n">
        <f aca="false">E46*F46</f>
        <v>365.55</v>
      </c>
      <c r="H46" s="93"/>
      <c r="I46" s="94"/>
      <c r="J46" s="95"/>
      <c r="K46" s="3"/>
      <c r="L46" s="91"/>
      <c r="M46" s="92" t="s">
        <v>109</v>
      </c>
      <c r="N46" s="84" t="s">
        <v>110</v>
      </c>
      <c r="O46" s="85" t="s">
        <v>56</v>
      </c>
      <c r="P46" s="86" t="n">
        <v>24.37</v>
      </c>
      <c r="Q46" s="86" t="n">
        <v>15</v>
      </c>
      <c r="R46" s="87" t="n">
        <f aca="false">P46*Q46</f>
        <v>365.55</v>
      </c>
      <c r="S46" s="93"/>
      <c r="T46" s="94"/>
      <c r="U46" s="95"/>
    </row>
    <row r="47" customFormat="false" ht="18.75" hidden="false" customHeight="true" outlineLevel="0" collapsed="false">
      <c r="A47" s="91"/>
      <c r="B47" s="92" t="s">
        <v>109</v>
      </c>
      <c r="C47" s="84" t="s">
        <v>78</v>
      </c>
      <c r="D47" s="85" t="s">
        <v>56</v>
      </c>
      <c r="E47" s="86" t="n">
        <v>26.05</v>
      </c>
      <c r="F47" s="86" t="n">
        <v>15</v>
      </c>
      <c r="G47" s="87" t="n">
        <f aca="false">E47*F47</f>
        <v>390.75</v>
      </c>
      <c r="H47" s="93"/>
      <c r="I47" s="94"/>
      <c r="J47" s="95"/>
      <c r="K47" s="3"/>
      <c r="L47" s="91"/>
      <c r="M47" s="92" t="s">
        <v>109</v>
      </c>
      <c r="N47" s="84" t="s">
        <v>78</v>
      </c>
      <c r="O47" s="85" t="s">
        <v>56</v>
      </c>
      <c r="P47" s="86" t="n">
        <v>26.05</v>
      </c>
      <c r="Q47" s="86" t="n">
        <v>15</v>
      </c>
      <c r="R47" s="87" t="n">
        <f aca="false">P47*Q47</f>
        <v>390.75</v>
      </c>
      <c r="S47" s="93"/>
      <c r="T47" s="94"/>
      <c r="U47" s="95"/>
    </row>
    <row r="48" customFormat="false" ht="18.75" hidden="false" customHeight="true" outlineLevel="0" collapsed="false">
      <c r="A48" s="91"/>
      <c r="B48" s="92" t="s">
        <v>109</v>
      </c>
      <c r="C48" s="84" t="s">
        <v>80</v>
      </c>
      <c r="D48" s="85" t="s">
        <v>56</v>
      </c>
      <c r="E48" s="86" t="n">
        <v>25.15</v>
      </c>
      <c r="F48" s="86" t="n">
        <v>15</v>
      </c>
      <c r="G48" s="87" t="n">
        <f aca="false">E48*F48</f>
        <v>377.25</v>
      </c>
      <c r="H48" s="93"/>
      <c r="I48" s="94"/>
      <c r="J48" s="95"/>
      <c r="K48" s="3"/>
      <c r="L48" s="91"/>
      <c r="M48" s="92" t="s">
        <v>109</v>
      </c>
      <c r="N48" s="84" t="s">
        <v>80</v>
      </c>
      <c r="O48" s="85" t="s">
        <v>56</v>
      </c>
      <c r="P48" s="86" t="n">
        <v>25.15</v>
      </c>
      <c r="Q48" s="86" t="n">
        <v>15</v>
      </c>
      <c r="R48" s="87" t="n">
        <f aca="false">P48*Q48</f>
        <v>377.25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109</v>
      </c>
      <c r="C49" s="84" t="s">
        <v>93</v>
      </c>
      <c r="D49" s="103" t="s">
        <v>58</v>
      </c>
      <c r="E49" s="91"/>
      <c r="F49" s="91"/>
      <c r="G49" s="87" t="n">
        <v>86</v>
      </c>
      <c r="H49" s="93"/>
      <c r="I49" s="94"/>
      <c r="J49" s="95"/>
      <c r="K49" s="3"/>
      <c r="L49" s="91"/>
      <c r="M49" s="92" t="s">
        <v>109</v>
      </c>
      <c r="N49" s="84" t="s">
        <v>93</v>
      </c>
      <c r="O49" s="103" t="s">
        <v>58</v>
      </c>
      <c r="P49" s="91"/>
      <c r="Q49" s="91"/>
      <c r="R49" s="87" t="n">
        <v>86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109</v>
      </c>
      <c r="C50" s="84" t="s">
        <v>92</v>
      </c>
      <c r="D50" s="103" t="s">
        <v>58</v>
      </c>
      <c r="E50" s="91"/>
      <c r="F50" s="91"/>
      <c r="G50" s="87" t="n">
        <v>115</v>
      </c>
      <c r="H50" s="93"/>
      <c r="I50" s="94"/>
      <c r="J50" s="95"/>
      <c r="K50" s="3"/>
      <c r="L50" s="91"/>
      <c r="M50" s="92" t="s">
        <v>109</v>
      </c>
      <c r="N50" s="84" t="s">
        <v>92</v>
      </c>
      <c r="O50" s="103" t="s">
        <v>58</v>
      </c>
      <c r="P50" s="91"/>
      <c r="Q50" s="91"/>
      <c r="R50" s="87" t="n">
        <v>115</v>
      </c>
      <c r="S50" s="93"/>
      <c r="T50" s="94"/>
      <c r="U50" s="95"/>
    </row>
    <row r="51" customFormat="false" ht="18.75" hidden="false" customHeight="true" outlineLevel="0" collapsed="false">
      <c r="A51" s="91"/>
      <c r="B51" s="92" t="s">
        <v>109</v>
      </c>
      <c r="C51" s="84" t="s">
        <v>94</v>
      </c>
      <c r="D51" s="103" t="s">
        <v>58</v>
      </c>
      <c r="E51" s="91"/>
      <c r="F51" s="91"/>
      <c r="G51" s="87" t="n">
        <v>557.81</v>
      </c>
      <c r="H51" s="93"/>
      <c r="I51" s="94"/>
      <c r="J51" s="95"/>
      <c r="K51" s="3"/>
      <c r="L51" s="91"/>
      <c r="M51" s="92" t="s">
        <v>109</v>
      </c>
      <c r="N51" s="84" t="s">
        <v>94</v>
      </c>
      <c r="O51" s="103" t="s">
        <v>58</v>
      </c>
      <c r="P51" s="91"/>
      <c r="Q51" s="91"/>
      <c r="R51" s="87" t="n">
        <v>557.81</v>
      </c>
      <c r="S51" s="93"/>
      <c r="T51" s="94"/>
      <c r="U51" s="95"/>
    </row>
    <row r="52" customFormat="false" ht="18.75" hidden="false" customHeight="true" outlineLevel="0" collapsed="false">
      <c r="A52" s="91"/>
      <c r="B52" s="92" t="s">
        <v>109</v>
      </c>
      <c r="C52" s="84" t="s">
        <v>95</v>
      </c>
      <c r="D52" s="103" t="s">
        <v>58</v>
      </c>
      <c r="E52" s="91"/>
      <c r="F52" s="91"/>
      <c r="G52" s="87" t="n">
        <v>200</v>
      </c>
      <c r="H52" s="93"/>
      <c r="I52" s="94"/>
      <c r="J52" s="95"/>
      <c r="K52" s="3"/>
      <c r="L52" s="91"/>
      <c r="M52" s="92" t="s">
        <v>109</v>
      </c>
      <c r="N52" s="84" t="s">
        <v>95</v>
      </c>
      <c r="O52" s="103" t="s">
        <v>58</v>
      </c>
      <c r="P52" s="91"/>
      <c r="Q52" s="91"/>
      <c r="R52" s="87" t="n">
        <v>200</v>
      </c>
      <c r="S52" s="93"/>
      <c r="T52" s="94"/>
      <c r="U52" s="95"/>
    </row>
    <row r="53" customFormat="false" ht="18.75" hidden="false" customHeight="true" outlineLevel="0" collapsed="false">
      <c r="A53" s="82" t="s">
        <v>20</v>
      </c>
      <c r="B53" s="83" t="s">
        <v>111</v>
      </c>
      <c r="C53" s="84" t="s">
        <v>101</v>
      </c>
      <c r="D53" s="96" t="s">
        <v>57</v>
      </c>
      <c r="E53" s="91"/>
      <c r="F53" s="91"/>
      <c r="G53" s="87" t="n">
        <v>300</v>
      </c>
      <c r="H53" s="88" t="n">
        <f aca="false">SUMIF(B:B,B53,G:G)</f>
        <v>392.86</v>
      </c>
      <c r="I53" s="89" t="n">
        <v>3201.5</v>
      </c>
      <c r="J53" s="90" t="n">
        <f aca="false">IFERROR((I53-H53)/I53,"")</f>
        <v>0.877288770888646</v>
      </c>
      <c r="K53" s="3"/>
      <c r="L53" s="82" t="s">
        <v>20</v>
      </c>
      <c r="M53" s="83" t="s">
        <v>111</v>
      </c>
      <c r="N53" s="84" t="s">
        <v>101</v>
      </c>
      <c r="O53" s="96" t="s">
        <v>57</v>
      </c>
      <c r="P53" s="91"/>
      <c r="Q53" s="91"/>
      <c r="R53" s="87" t="n">
        <v>300</v>
      </c>
      <c r="S53" s="88" t="n">
        <f aca="false">SUMIF(M:M,M53,R:R)</f>
        <v>392.86</v>
      </c>
      <c r="T53" s="89" t="n">
        <f aca="false">I53</f>
        <v>3201.5</v>
      </c>
      <c r="U53" s="90" t="n">
        <f aca="false">IFERROR((T53-S53)/T53,"")</f>
        <v>0.877288770888646</v>
      </c>
    </row>
    <row r="54" customFormat="false" ht="18.75" hidden="false" customHeight="true" outlineLevel="0" collapsed="false">
      <c r="A54" s="91"/>
      <c r="B54" s="92" t="s">
        <v>111</v>
      </c>
      <c r="C54" s="84" t="s">
        <v>86</v>
      </c>
      <c r="D54" s="96" t="s">
        <v>57</v>
      </c>
      <c r="E54" s="91"/>
      <c r="F54" s="91"/>
      <c r="G54" s="87" t="n">
        <v>92.86</v>
      </c>
      <c r="H54" s="93"/>
      <c r="I54" s="94"/>
      <c r="J54" s="95"/>
      <c r="K54" s="3"/>
      <c r="L54" s="91"/>
      <c r="M54" s="92" t="s">
        <v>111</v>
      </c>
      <c r="N54" s="84" t="s">
        <v>86</v>
      </c>
      <c r="O54" s="96" t="s">
        <v>57</v>
      </c>
      <c r="P54" s="91"/>
      <c r="Q54" s="91"/>
      <c r="R54" s="87" t="n">
        <v>92.86</v>
      </c>
      <c r="S54" s="93"/>
      <c r="T54" s="94"/>
      <c r="U54" s="95"/>
    </row>
    <row r="55" customFormat="false" ht="18.75" hidden="false" customHeight="true" outlineLevel="0" collapsed="false">
      <c r="A55" s="82" t="s">
        <v>20</v>
      </c>
      <c r="B55" s="83" t="s">
        <v>112</v>
      </c>
      <c r="C55" s="97" t="s">
        <v>113</v>
      </c>
      <c r="D55" s="98" t="s">
        <v>55</v>
      </c>
      <c r="E55" s="104"/>
      <c r="F55" s="104"/>
      <c r="G55" s="100" t="n">
        <v>1120</v>
      </c>
      <c r="H55" s="88" t="n">
        <f aca="false">SUMIF(B:B,B55,G:G)</f>
        <v>7627.9</v>
      </c>
      <c r="I55" s="89" t="n">
        <v>13442.9</v>
      </c>
      <c r="J55" s="90" t="n">
        <f aca="false">IFERROR((I55-H55)/I55,"")</f>
        <v>0.43257035312321</v>
      </c>
      <c r="K55" s="3"/>
      <c r="L55" s="82" t="s">
        <v>20</v>
      </c>
      <c r="M55" s="83" t="s">
        <v>112</v>
      </c>
      <c r="N55" s="97" t="s">
        <v>113</v>
      </c>
      <c r="O55" s="98" t="s">
        <v>55</v>
      </c>
      <c r="P55" s="101"/>
      <c r="Q55" s="101"/>
      <c r="R55" s="102" t="n">
        <v>0</v>
      </c>
      <c r="S55" s="88" t="n">
        <f aca="false">SUMIF(M:M,M55,R:R)</f>
        <v>6507.9</v>
      </c>
      <c r="T55" s="89" t="n">
        <f aca="false">I55</f>
        <v>13442.9</v>
      </c>
      <c r="U55" s="90" t="n">
        <f aca="false">IFERROR((T55-S55)/T55,"")</f>
        <v>0.515885709184774</v>
      </c>
    </row>
    <row r="56" customFormat="false" ht="18.75" hidden="false" customHeight="true" outlineLevel="0" collapsed="false">
      <c r="A56" s="91"/>
      <c r="B56" s="92" t="s">
        <v>112</v>
      </c>
      <c r="C56" s="84" t="s">
        <v>102</v>
      </c>
      <c r="D56" s="96" t="s">
        <v>57</v>
      </c>
      <c r="E56" s="91"/>
      <c r="F56" s="91"/>
      <c r="G56" s="87" t="n">
        <v>1030</v>
      </c>
      <c r="H56" s="93"/>
      <c r="I56" s="94"/>
      <c r="J56" s="95"/>
      <c r="K56" s="3"/>
      <c r="L56" s="91"/>
      <c r="M56" s="92" t="s">
        <v>112</v>
      </c>
      <c r="N56" s="84" t="s">
        <v>102</v>
      </c>
      <c r="O56" s="96" t="s">
        <v>57</v>
      </c>
      <c r="P56" s="91"/>
      <c r="Q56" s="91"/>
      <c r="R56" s="87" t="n">
        <v>1030</v>
      </c>
      <c r="S56" s="93"/>
      <c r="T56" s="94"/>
      <c r="U56" s="95"/>
    </row>
    <row r="57" customFormat="false" ht="18.75" hidden="false" customHeight="true" outlineLevel="0" collapsed="false">
      <c r="A57" s="91"/>
      <c r="B57" s="92" t="s">
        <v>112</v>
      </c>
      <c r="C57" s="84" t="s">
        <v>114</v>
      </c>
      <c r="D57" s="96" t="s">
        <v>57</v>
      </c>
      <c r="E57" s="91"/>
      <c r="F57" s="91"/>
      <c r="G57" s="87" t="n">
        <v>1067.5</v>
      </c>
      <c r="H57" s="93"/>
      <c r="I57" s="94"/>
      <c r="J57" s="95"/>
      <c r="K57" s="3"/>
      <c r="L57" s="91"/>
      <c r="M57" s="92" t="s">
        <v>112</v>
      </c>
      <c r="N57" s="84" t="s">
        <v>114</v>
      </c>
      <c r="O57" s="96" t="s">
        <v>57</v>
      </c>
      <c r="P57" s="91"/>
      <c r="Q57" s="91"/>
      <c r="R57" s="87" t="n">
        <v>1067.5</v>
      </c>
      <c r="S57" s="93"/>
      <c r="T57" s="94"/>
      <c r="U57" s="95"/>
    </row>
    <row r="58" customFormat="false" ht="18.75" hidden="false" customHeight="true" outlineLevel="0" collapsed="false">
      <c r="A58" s="91"/>
      <c r="B58" s="92" t="s">
        <v>112</v>
      </c>
      <c r="C58" s="84" t="s">
        <v>115</v>
      </c>
      <c r="D58" s="96" t="s">
        <v>57</v>
      </c>
      <c r="E58" s="91"/>
      <c r="F58" s="91"/>
      <c r="G58" s="87" t="n">
        <v>2774.63</v>
      </c>
      <c r="H58" s="93"/>
      <c r="I58" s="94"/>
      <c r="J58" s="95"/>
      <c r="K58" s="3"/>
      <c r="L58" s="91"/>
      <c r="M58" s="92" t="s">
        <v>112</v>
      </c>
      <c r="N58" s="84" t="s">
        <v>115</v>
      </c>
      <c r="O58" s="96" t="s">
        <v>57</v>
      </c>
      <c r="P58" s="91"/>
      <c r="Q58" s="91"/>
      <c r="R58" s="87" t="n">
        <v>2774.63</v>
      </c>
      <c r="S58" s="93"/>
      <c r="T58" s="94"/>
      <c r="U58" s="95"/>
    </row>
    <row r="59" customFormat="false" ht="18.75" hidden="false" customHeight="true" outlineLevel="0" collapsed="false">
      <c r="A59" s="91"/>
      <c r="B59" s="92" t="s">
        <v>112</v>
      </c>
      <c r="C59" s="84" t="s">
        <v>93</v>
      </c>
      <c r="D59" s="103" t="s">
        <v>58</v>
      </c>
      <c r="E59" s="91"/>
      <c r="F59" s="91"/>
      <c r="G59" s="87" t="n">
        <v>237.79</v>
      </c>
      <c r="H59" s="93"/>
      <c r="I59" s="94"/>
      <c r="J59" s="95"/>
      <c r="K59" s="3"/>
      <c r="L59" s="91"/>
      <c r="M59" s="92" t="s">
        <v>112</v>
      </c>
      <c r="N59" s="84" t="s">
        <v>93</v>
      </c>
      <c r="O59" s="103" t="s">
        <v>58</v>
      </c>
      <c r="P59" s="91"/>
      <c r="Q59" s="91"/>
      <c r="R59" s="87" t="n">
        <v>237.79</v>
      </c>
      <c r="S59" s="93"/>
      <c r="T59" s="94"/>
      <c r="U59" s="95"/>
    </row>
    <row r="60" customFormat="false" ht="18.75" hidden="false" customHeight="true" outlineLevel="0" collapsed="false">
      <c r="A60" s="91"/>
      <c r="B60" s="92" t="s">
        <v>112</v>
      </c>
      <c r="C60" s="84" t="s">
        <v>92</v>
      </c>
      <c r="D60" s="103" t="s">
        <v>58</v>
      </c>
      <c r="E60" s="91"/>
      <c r="F60" s="91"/>
      <c r="G60" s="87" t="n">
        <v>432.17</v>
      </c>
      <c r="H60" s="93"/>
      <c r="I60" s="94"/>
      <c r="J60" s="95"/>
      <c r="K60" s="3"/>
      <c r="L60" s="91"/>
      <c r="M60" s="92" t="s">
        <v>112</v>
      </c>
      <c r="N60" s="84" t="s">
        <v>92</v>
      </c>
      <c r="O60" s="103" t="s">
        <v>58</v>
      </c>
      <c r="P60" s="91"/>
      <c r="Q60" s="91"/>
      <c r="R60" s="87" t="n">
        <v>432.17</v>
      </c>
      <c r="S60" s="93"/>
      <c r="T60" s="94"/>
      <c r="U60" s="95"/>
    </row>
    <row r="61" customFormat="false" ht="18.75" hidden="false" customHeight="true" outlineLevel="0" collapsed="false">
      <c r="A61" s="91"/>
      <c r="B61" s="92" t="s">
        <v>112</v>
      </c>
      <c r="C61" s="84" t="s">
        <v>94</v>
      </c>
      <c r="D61" s="103" t="s">
        <v>58</v>
      </c>
      <c r="E61" s="91"/>
      <c r="F61" s="91"/>
      <c r="G61" s="87" t="n">
        <v>623.57</v>
      </c>
      <c r="H61" s="93"/>
      <c r="I61" s="94"/>
      <c r="J61" s="95"/>
      <c r="K61" s="3"/>
      <c r="L61" s="91"/>
      <c r="M61" s="92" t="s">
        <v>112</v>
      </c>
      <c r="N61" s="84" t="s">
        <v>94</v>
      </c>
      <c r="O61" s="103" t="s">
        <v>58</v>
      </c>
      <c r="P61" s="91"/>
      <c r="Q61" s="91"/>
      <c r="R61" s="87" t="n">
        <v>623.57</v>
      </c>
      <c r="S61" s="93"/>
      <c r="T61" s="94"/>
      <c r="U61" s="95"/>
    </row>
    <row r="62" customFormat="false" ht="18.75" hidden="false" customHeight="true" outlineLevel="0" collapsed="false">
      <c r="A62" s="91"/>
      <c r="B62" s="92" t="s">
        <v>112</v>
      </c>
      <c r="C62" s="84" t="s">
        <v>95</v>
      </c>
      <c r="D62" s="103" t="s">
        <v>58</v>
      </c>
      <c r="E62" s="91"/>
      <c r="F62" s="91"/>
      <c r="G62" s="87" t="n">
        <v>342.24</v>
      </c>
      <c r="H62" s="93"/>
      <c r="I62" s="94"/>
      <c r="J62" s="95"/>
      <c r="K62" s="3"/>
      <c r="L62" s="91"/>
      <c r="M62" s="92" t="s">
        <v>112</v>
      </c>
      <c r="N62" s="84" t="s">
        <v>95</v>
      </c>
      <c r="O62" s="103" t="s">
        <v>58</v>
      </c>
      <c r="P62" s="91"/>
      <c r="Q62" s="91"/>
      <c r="R62" s="87" t="n">
        <v>342.24</v>
      </c>
      <c r="S62" s="93"/>
      <c r="T62" s="94"/>
      <c r="U62" s="95"/>
    </row>
    <row r="63" customFormat="false" ht="18.75" hidden="false" customHeight="true" outlineLevel="0" collapsed="false">
      <c r="A63" s="82" t="s">
        <v>20</v>
      </c>
      <c r="B63" s="83" t="s">
        <v>116</v>
      </c>
      <c r="C63" s="97" t="s">
        <v>91</v>
      </c>
      <c r="D63" s="98" t="s">
        <v>55</v>
      </c>
      <c r="E63" s="99" t="n">
        <v>35</v>
      </c>
      <c r="F63" s="99" t="n">
        <v>16</v>
      </c>
      <c r="G63" s="100" t="n">
        <f aca="false">E63*F63</f>
        <v>560</v>
      </c>
      <c r="H63" s="88" t="n">
        <f aca="false">SUMIF(B:B,B63,G:G)</f>
        <v>9216.62</v>
      </c>
      <c r="I63" s="89" t="n">
        <v>19962.6</v>
      </c>
      <c r="J63" s="90" t="n">
        <f aca="false">IFERROR((I63-H63)/I63,"")</f>
        <v>0.538305631530963</v>
      </c>
      <c r="K63" s="3"/>
      <c r="L63" s="82" t="s">
        <v>20</v>
      </c>
      <c r="M63" s="83" t="s">
        <v>116</v>
      </c>
      <c r="N63" s="97" t="s">
        <v>91</v>
      </c>
      <c r="O63" s="98" t="s">
        <v>55</v>
      </c>
      <c r="P63" s="101"/>
      <c r="Q63" s="101"/>
      <c r="R63" s="102" t="n">
        <v>0</v>
      </c>
      <c r="S63" s="88" t="n">
        <f aca="false">SUMIF(M:M,M63,R:R)</f>
        <v>8416.62</v>
      </c>
      <c r="T63" s="89" t="n">
        <f aca="false">I63</f>
        <v>19962.6</v>
      </c>
      <c r="U63" s="90" t="n">
        <f aca="false">IFERROR((T63-S63)/T63,"")</f>
        <v>0.578380571669021</v>
      </c>
    </row>
    <row r="64" customFormat="false" ht="18.75" hidden="false" customHeight="true" outlineLevel="0" collapsed="false">
      <c r="A64" s="104"/>
      <c r="B64" s="105" t="s">
        <v>116</v>
      </c>
      <c r="C64" s="97" t="s">
        <v>117</v>
      </c>
      <c r="D64" s="98" t="s">
        <v>55</v>
      </c>
      <c r="E64" s="104"/>
      <c r="F64" s="104"/>
      <c r="G64" s="100" t="n">
        <v>240</v>
      </c>
      <c r="H64" s="106"/>
      <c r="I64" s="107"/>
      <c r="J64" s="108"/>
      <c r="K64" s="3"/>
      <c r="L64" s="104"/>
      <c r="M64" s="105" t="s">
        <v>116</v>
      </c>
      <c r="N64" s="97" t="s">
        <v>117</v>
      </c>
      <c r="O64" s="98" t="s">
        <v>55</v>
      </c>
      <c r="P64" s="101"/>
      <c r="Q64" s="101"/>
      <c r="R64" s="102" t="n">
        <v>0</v>
      </c>
      <c r="S64" s="106"/>
      <c r="T64" s="107"/>
      <c r="U64" s="108"/>
    </row>
    <row r="65" customFormat="false" ht="18.75" hidden="false" customHeight="true" outlineLevel="0" collapsed="false">
      <c r="A65" s="91"/>
      <c r="B65" s="92" t="s">
        <v>116</v>
      </c>
      <c r="C65" s="84" t="s">
        <v>98</v>
      </c>
      <c r="D65" s="85" t="s">
        <v>56</v>
      </c>
      <c r="E65" s="86" t="n">
        <v>46.75</v>
      </c>
      <c r="F65" s="86" t="n">
        <v>15</v>
      </c>
      <c r="G65" s="87" t="n">
        <f aca="false">E65*F65</f>
        <v>701.25</v>
      </c>
      <c r="H65" s="93"/>
      <c r="I65" s="94"/>
      <c r="J65" s="95"/>
      <c r="K65" s="3"/>
      <c r="L65" s="91"/>
      <c r="M65" s="92" t="s">
        <v>116</v>
      </c>
      <c r="N65" s="84" t="s">
        <v>98</v>
      </c>
      <c r="O65" s="85" t="s">
        <v>56</v>
      </c>
      <c r="P65" s="86" t="n">
        <v>46.75</v>
      </c>
      <c r="Q65" s="86" t="n">
        <v>15</v>
      </c>
      <c r="R65" s="87" t="n">
        <f aca="false">P65*Q65</f>
        <v>701.25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116</v>
      </c>
      <c r="C66" s="84" t="s">
        <v>118</v>
      </c>
      <c r="D66" s="85" t="s">
        <v>56</v>
      </c>
      <c r="E66" s="86" t="n">
        <v>42</v>
      </c>
      <c r="F66" s="86" t="n">
        <v>15</v>
      </c>
      <c r="G66" s="87" t="n">
        <f aca="false">E66*F66</f>
        <v>630</v>
      </c>
      <c r="H66" s="93"/>
      <c r="I66" s="94"/>
      <c r="J66" s="95"/>
      <c r="K66" s="3"/>
      <c r="L66" s="91"/>
      <c r="M66" s="92" t="s">
        <v>116</v>
      </c>
      <c r="N66" s="84" t="s">
        <v>118</v>
      </c>
      <c r="O66" s="85" t="s">
        <v>56</v>
      </c>
      <c r="P66" s="86" t="n">
        <v>42</v>
      </c>
      <c r="Q66" s="86" t="n">
        <v>15</v>
      </c>
      <c r="R66" s="87" t="n">
        <f aca="false">P66*Q66</f>
        <v>630</v>
      </c>
      <c r="S66" s="93"/>
      <c r="T66" s="94"/>
      <c r="U66" s="95"/>
    </row>
    <row r="67" customFormat="false" ht="18.75" hidden="false" customHeight="true" outlineLevel="0" collapsed="false">
      <c r="A67" s="91"/>
      <c r="B67" s="92" t="s">
        <v>116</v>
      </c>
      <c r="C67" s="84" t="s">
        <v>119</v>
      </c>
      <c r="D67" s="85" t="s">
        <v>56</v>
      </c>
      <c r="E67" s="86" t="n">
        <v>43.2</v>
      </c>
      <c r="F67" s="86" t="n">
        <v>15</v>
      </c>
      <c r="G67" s="87" t="n">
        <f aca="false">E67*F67</f>
        <v>648</v>
      </c>
      <c r="H67" s="93"/>
      <c r="I67" s="94"/>
      <c r="J67" s="95"/>
      <c r="K67" s="3"/>
      <c r="L67" s="91"/>
      <c r="M67" s="92" t="s">
        <v>116</v>
      </c>
      <c r="N67" s="84" t="s">
        <v>119</v>
      </c>
      <c r="O67" s="85" t="s">
        <v>56</v>
      </c>
      <c r="P67" s="86" t="n">
        <v>43.2</v>
      </c>
      <c r="Q67" s="86" t="n">
        <v>15</v>
      </c>
      <c r="R67" s="87" t="n">
        <f aca="false">P67*Q67</f>
        <v>648</v>
      </c>
      <c r="S67" s="93"/>
      <c r="T67" s="94"/>
      <c r="U67" s="95"/>
    </row>
    <row r="68" customFormat="false" ht="18.75" hidden="false" customHeight="true" outlineLevel="0" collapsed="false">
      <c r="A68" s="91"/>
      <c r="B68" s="92" t="s">
        <v>116</v>
      </c>
      <c r="C68" s="84" t="s">
        <v>120</v>
      </c>
      <c r="D68" s="85" t="s">
        <v>56</v>
      </c>
      <c r="E68" s="86" t="n">
        <v>14.75</v>
      </c>
      <c r="F68" s="86" t="n">
        <v>15</v>
      </c>
      <c r="G68" s="87" t="n">
        <f aca="false">E68*F68</f>
        <v>221.25</v>
      </c>
      <c r="H68" s="93"/>
      <c r="I68" s="94"/>
      <c r="J68" s="95"/>
      <c r="K68" s="3"/>
      <c r="L68" s="91"/>
      <c r="M68" s="92" t="s">
        <v>116</v>
      </c>
      <c r="N68" s="84" t="s">
        <v>120</v>
      </c>
      <c r="O68" s="85" t="s">
        <v>56</v>
      </c>
      <c r="P68" s="86" t="n">
        <v>14.75</v>
      </c>
      <c r="Q68" s="86" t="n">
        <v>15</v>
      </c>
      <c r="R68" s="87" t="n">
        <f aca="false">P68*Q68</f>
        <v>221.25</v>
      </c>
      <c r="S68" s="93"/>
      <c r="T68" s="94"/>
      <c r="U68" s="95"/>
    </row>
    <row r="69" customFormat="false" ht="18.75" hidden="false" customHeight="true" outlineLevel="0" collapsed="false">
      <c r="A69" s="91"/>
      <c r="B69" s="92" t="s">
        <v>116</v>
      </c>
      <c r="C69" s="84" t="s">
        <v>121</v>
      </c>
      <c r="D69" s="85" t="s">
        <v>56</v>
      </c>
      <c r="E69" s="86" t="n">
        <v>41</v>
      </c>
      <c r="F69" s="86" t="n">
        <v>15</v>
      </c>
      <c r="G69" s="87" t="n">
        <f aca="false">E69*F69</f>
        <v>615</v>
      </c>
      <c r="H69" s="93"/>
      <c r="I69" s="94"/>
      <c r="J69" s="95"/>
      <c r="K69" s="3"/>
      <c r="L69" s="91"/>
      <c r="M69" s="92" t="s">
        <v>116</v>
      </c>
      <c r="N69" s="84" t="s">
        <v>121</v>
      </c>
      <c r="O69" s="85" t="s">
        <v>56</v>
      </c>
      <c r="P69" s="86" t="n">
        <v>41</v>
      </c>
      <c r="Q69" s="86" t="n">
        <v>15</v>
      </c>
      <c r="R69" s="87" t="n">
        <f aca="false">P69*Q69</f>
        <v>615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116</v>
      </c>
      <c r="C70" s="84" t="s">
        <v>122</v>
      </c>
      <c r="D70" s="85" t="s">
        <v>56</v>
      </c>
      <c r="E70" s="86" t="n">
        <v>43</v>
      </c>
      <c r="F70" s="86" t="n">
        <v>15</v>
      </c>
      <c r="G70" s="87" t="n">
        <f aca="false">E70*F70</f>
        <v>645</v>
      </c>
      <c r="H70" s="93"/>
      <c r="I70" s="94"/>
      <c r="J70" s="95"/>
      <c r="K70" s="3"/>
      <c r="L70" s="91"/>
      <c r="M70" s="92" t="s">
        <v>116</v>
      </c>
      <c r="N70" s="84" t="s">
        <v>122</v>
      </c>
      <c r="O70" s="85" t="s">
        <v>56</v>
      </c>
      <c r="P70" s="86" t="n">
        <v>43</v>
      </c>
      <c r="Q70" s="86" t="n">
        <v>15</v>
      </c>
      <c r="R70" s="87" t="n">
        <f aca="false">P70*Q70</f>
        <v>645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116</v>
      </c>
      <c r="C71" s="84" t="s">
        <v>123</v>
      </c>
      <c r="D71" s="85" t="s">
        <v>56</v>
      </c>
      <c r="E71" s="86" t="n">
        <v>43.86</v>
      </c>
      <c r="F71" s="86" t="n">
        <v>15</v>
      </c>
      <c r="G71" s="87" t="n">
        <f aca="false">E71*F71</f>
        <v>657.9</v>
      </c>
      <c r="H71" s="93"/>
      <c r="I71" s="94"/>
      <c r="J71" s="95"/>
      <c r="K71" s="3"/>
      <c r="L71" s="91"/>
      <c r="M71" s="92" t="s">
        <v>116</v>
      </c>
      <c r="N71" s="84" t="s">
        <v>123</v>
      </c>
      <c r="O71" s="85" t="s">
        <v>56</v>
      </c>
      <c r="P71" s="86" t="n">
        <v>43.86</v>
      </c>
      <c r="Q71" s="86" t="n">
        <v>15</v>
      </c>
      <c r="R71" s="87" t="n">
        <f aca="false">P71*Q71</f>
        <v>657.9</v>
      </c>
      <c r="S71" s="93"/>
      <c r="T71" s="94"/>
      <c r="U71" s="95"/>
    </row>
    <row r="72" customFormat="false" ht="18.75" hidden="false" customHeight="true" outlineLevel="0" collapsed="false">
      <c r="A72" s="91"/>
      <c r="B72" s="92" t="s">
        <v>116</v>
      </c>
      <c r="C72" s="84" t="s">
        <v>124</v>
      </c>
      <c r="D72" s="85" t="s">
        <v>56</v>
      </c>
      <c r="E72" s="86" t="n">
        <v>35</v>
      </c>
      <c r="F72" s="86" t="n">
        <v>15</v>
      </c>
      <c r="G72" s="87" t="n">
        <f aca="false">E72*F72</f>
        <v>525</v>
      </c>
      <c r="H72" s="93"/>
      <c r="I72" s="94"/>
      <c r="J72" s="95"/>
      <c r="K72" s="3"/>
      <c r="L72" s="91"/>
      <c r="M72" s="92" t="s">
        <v>116</v>
      </c>
      <c r="N72" s="84" t="s">
        <v>124</v>
      </c>
      <c r="O72" s="85" t="s">
        <v>56</v>
      </c>
      <c r="P72" s="86" t="n">
        <v>35</v>
      </c>
      <c r="Q72" s="86" t="n">
        <v>15</v>
      </c>
      <c r="R72" s="87" t="n">
        <f aca="false">P72*Q72</f>
        <v>525</v>
      </c>
      <c r="S72" s="93"/>
      <c r="T72" s="94"/>
      <c r="U72" s="95"/>
    </row>
    <row r="73" customFormat="false" ht="18.75" hidden="false" customHeight="true" outlineLevel="0" collapsed="false">
      <c r="A73" s="91"/>
      <c r="B73" s="92" t="s">
        <v>116</v>
      </c>
      <c r="C73" s="84" t="s">
        <v>125</v>
      </c>
      <c r="D73" s="85" t="s">
        <v>56</v>
      </c>
      <c r="E73" s="86" t="n">
        <v>31.75</v>
      </c>
      <c r="F73" s="86" t="n">
        <v>15</v>
      </c>
      <c r="G73" s="87" t="n">
        <f aca="false">E73*F73</f>
        <v>476.25</v>
      </c>
      <c r="H73" s="93"/>
      <c r="I73" s="94"/>
      <c r="J73" s="95"/>
      <c r="K73" s="3"/>
      <c r="L73" s="91"/>
      <c r="M73" s="92" t="s">
        <v>116</v>
      </c>
      <c r="N73" s="84" t="s">
        <v>125</v>
      </c>
      <c r="O73" s="85" t="s">
        <v>56</v>
      </c>
      <c r="P73" s="86" t="n">
        <v>31.75</v>
      </c>
      <c r="Q73" s="86" t="n">
        <v>15</v>
      </c>
      <c r="R73" s="87" t="n">
        <f aca="false">P73*Q73</f>
        <v>476.25</v>
      </c>
      <c r="S73" s="93"/>
      <c r="T73" s="94"/>
      <c r="U73" s="95"/>
    </row>
    <row r="74" customFormat="false" ht="18.75" hidden="false" customHeight="true" outlineLevel="0" collapsed="false">
      <c r="A74" s="91"/>
      <c r="B74" s="92" t="s">
        <v>116</v>
      </c>
      <c r="C74" s="84" t="s">
        <v>93</v>
      </c>
      <c r="D74" s="103" t="s">
        <v>58</v>
      </c>
      <c r="E74" s="91"/>
      <c r="F74" s="91"/>
      <c r="G74" s="87" t="n">
        <v>91.5</v>
      </c>
      <c r="H74" s="93"/>
      <c r="I74" s="94"/>
      <c r="J74" s="95"/>
      <c r="K74" s="3"/>
      <c r="L74" s="91"/>
      <c r="M74" s="92" t="s">
        <v>116</v>
      </c>
      <c r="N74" s="84" t="s">
        <v>93</v>
      </c>
      <c r="O74" s="103" t="s">
        <v>58</v>
      </c>
      <c r="P74" s="91"/>
      <c r="Q74" s="91"/>
      <c r="R74" s="87" t="n">
        <v>91.5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116</v>
      </c>
      <c r="C75" s="84" t="s">
        <v>92</v>
      </c>
      <c r="D75" s="103" t="s">
        <v>58</v>
      </c>
      <c r="E75" s="91"/>
      <c r="F75" s="91"/>
      <c r="G75" s="87" t="n">
        <v>126.43</v>
      </c>
      <c r="H75" s="93"/>
      <c r="I75" s="94"/>
      <c r="J75" s="95"/>
      <c r="K75" s="3"/>
      <c r="L75" s="91"/>
      <c r="M75" s="92" t="s">
        <v>116</v>
      </c>
      <c r="N75" s="84" t="s">
        <v>92</v>
      </c>
      <c r="O75" s="103" t="s">
        <v>58</v>
      </c>
      <c r="P75" s="91"/>
      <c r="Q75" s="91"/>
      <c r="R75" s="87" t="n">
        <v>126.43</v>
      </c>
      <c r="S75" s="93"/>
      <c r="T75" s="94"/>
      <c r="U75" s="95"/>
    </row>
    <row r="76" customFormat="false" ht="18.75" hidden="false" customHeight="true" outlineLevel="0" collapsed="false">
      <c r="A76" s="91"/>
      <c r="B76" s="92" t="s">
        <v>116</v>
      </c>
      <c r="C76" s="84" t="s">
        <v>94</v>
      </c>
      <c r="D76" s="103" t="s">
        <v>58</v>
      </c>
      <c r="E76" s="91"/>
      <c r="F76" s="91"/>
      <c r="G76" s="87" t="n">
        <v>1674.06</v>
      </c>
      <c r="H76" s="93"/>
      <c r="I76" s="94"/>
      <c r="J76" s="95"/>
      <c r="K76" s="3"/>
      <c r="L76" s="91"/>
      <c r="M76" s="92" t="s">
        <v>116</v>
      </c>
      <c r="N76" s="84" t="s">
        <v>94</v>
      </c>
      <c r="O76" s="103" t="s">
        <v>58</v>
      </c>
      <c r="P76" s="91"/>
      <c r="Q76" s="91"/>
      <c r="R76" s="87" t="n">
        <v>1674.06</v>
      </c>
      <c r="S76" s="93"/>
      <c r="T76" s="94"/>
      <c r="U76" s="95"/>
    </row>
    <row r="77" customFormat="false" ht="18.75" hidden="false" customHeight="true" outlineLevel="0" collapsed="false">
      <c r="A77" s="91"/>
      <c r="B77" s="92" t="s">
        <v>116</v>
      </c>
      <c r="C77" s="84" t="s">
        <v>95</v>
      </c>
      <c r="D77" s="103" t="s">
        <v>58</v>
      </c>
      <c r="E77" s="91"/>
      <c r="F77" s="91"/>
      <c r="G77" s="87" t="n">
        <v>1404.98</v>
      </c>
      <c r="H77" s="93"/>
      <c r="I77" s="94"/>
      <c r="J77" s="95"/>
      <c r="K77" s="3"/>
      <c r="L77" s="91"/>
      <c r="M77" s="92" t="s">
        <v>116</v>
      </c>
      <c r="N77" s="84" t="s">
        <v>95</v>
      </c>
      <c r="O77" s="103" t="s">
        <v>58</v>
      </c>
      <c r="P77" s="91"/>
      <c r="Q77" s="91"/>
      <c r="R77" s="87" t="n">
        <v>1404.98</v>
      </c>
      <c r="S77" s="93"/>
      <c r="T77" s="94"/>
      <c r="U77" s="95"/>
    </row>
    <row r="78" customFormat="false" ht="18.75" hidden="false" customHeight="true" outlineLevel="0" collapsed="false">
      <c r="A78" s="82" t="s">
        <v>20</v>
      </c>
      <c r="B78" s="83" t="s">
        <v>126</v>
      </c>
      <c r="C78" s="97" t="s">
        <v>91</v>
      </c>
      <c r="D78" s="98" t="s">
        <v>55</v>
      </c>
      <c r="E78" s="99" t="n">
        <v>14</v>
      </c>
      <c r="F78" s="99" t="n">
        <v>16</v>
      </c>
      <c r="G78" s="100" t="n">
        <f aca="false">E78*F78</f>
        <v>224</v>
      </c>
      <c r="H78" s="88" t="n">
        <f aca="false">SUMIF(B:B,B78,G:G)</f>
        <v>1214.3</v>
      </c>
      <c r="I78" s="89" t="n">
        <v>2735</v>
      </c>
      <c r="J78" s="90" t="n">
        <f aca="false">IFERROR((I78-H78)/I78,"")</f>
        <v>0.556014625228519</v>
      </c>
      <c r="K78" s="3"/>
      <c r="L78" s="82" t="s">
        <v>20</v>
      </c>
      <c r="M78" s="83" t="s">
        <v>126</v>
      </c>
      <c r="N78" s="97" t="s">
        <v>91</v>
      </c>
      <c r="O78" s="98" t="s">
        <v>55</v>
      </c>
      <c r="P78" s="101"/>
      <c r="Q78" s="101"/>
      <c r="R78" s="102" t="n">
        <v>0</v>
      </c>
      <c r="S78" s="88" t="n">
        <f aca="false">SUMIF(M:M,M78,R:R)</f>
        <v>990.3</v>
      </c>
      <c r="T78" s="89" t="n">
        <f aca="false">I78</f>
        <v>2735</v>
      </c>
      <c r="U78" s="90" t="n">
        <f aca="false">IFERROR((T78-S78)/T78,"")</f>
        <v>0.637915904936015</v>
      </c>
    </row>
    <row r="79" customFormat="false" ht="18.75" hidden="false" customHeight="true" outlineLevel="0" collapsed="false">
      <c r="A79" s="91"/>
      <c r="B79" s="92" t="s">
        <v>126</v>
      </c>
      <c r="C79" s="84" t="s">
        <v>98</v>
      </c>
      <c r="D79" s="85" t="s">
        <v>56</v>
      </c>
      <c r="E79" s="86" t="n">
        <v>28.75</v>
      </c>
      <c r="F79" s="86" t="n">
        <v>15</v>
      </c>
      <c r="G79" s="87" t="n">
        <f aca="false">E79*F79</f>
        <v>431.25</v>
      </c>
      <c r="H79" s="93"/>
      <c r="I79" s="94"/>
      <c r="J79" s="95"/>
      <c r="K79" s="3"/>
      <c r="L79" s="91"/>
      <c r="M79" s="92" t="s">
        <v>126</v>
      </c>
      <c r="N79" s="84" t="s">
        <v>98</v>
      </c>
      <c r="O79" s="85" t="s">
        <v>56</v>
      </c>
      <c r="P79" s="86" t="n">
        <v>28.75</v>
      </c>
      <c r="Q79" s="86" t="n">
        <v>15</v>
      </c>
      <c r="R79" s="87" t="n">
        <f aca="false">P79*Q79</f>
        <v>431.25</v>
      </c>
      <c r="S79" s="93"/>
      <c r="T79" s="94"/>
      <c r="U79" s="95"/>
    </row>
    <row r="80" customFormat="false" ht="18.75" hidden="false" customHeight="true" outlineLevel="0" collapsed="false">
      <c r="A80" s="91"/>
      <c r="B80" s="92" t="s">
        <v>126</v>
      </c>
      <c r="C80" s="84" t="s">
        <v>118</v>
      </c>
      <c r="D80" s="85" t="s">
        <v>56</v>
      </c>
      <c r="E80" s="86" t="n">
        <v>19.77</v>
      </c>
      <c r="F80" s="86" t="n">
        <v>15</v>
      </c>
      <c r="G80" s="87" t="n">
        <f aca="false">E80*F80</f>
        <v>296.55</v>
      </c>
      <c r="H80" s="93"/>
      <c r="I80" s="94"/>
      <c r="J80" s="95"/>
      <c r="K80" s="3"/>
      <c r="L80" s="91"/>
      <c r="M80" s="92" t="s">
        <v>126</v>
      </c>
      <c r="N80" s="84" t="s">
        <v>118</v>
      </c>
      <c r="O80" s="85" t="s">
        <v>56</v>
      </c>
      <c r="P80" s="86" t="n">
        <v>19.77</v>
      </c>
      <c r="Q80" s="86" t="n">
        <v>15</v>
      </c>
      <c r="R80" s="87" t="n">
        <f aca="false">P80*Q80</f>
        <v>296.55</v>
      </c>
      <c r="S80" s="93"/>
      <c r="T80" s="94"/>
      <c r="U80" s="95"/>
    </row>
    <row r="81" customFormat="false" ht="18.75" hidden="false" customHeight="true" outlineLevel="0" collapsed="false">
      <c r="A81" s="91"/>
      <c r="B81" s="92" t="s">
        <v>126</v>
      </c>
      <c r="C81" s="84" t="s">
        <v>81</v>
      </c>
      <c r="D81" s="85" t="s">
        <v>56</v>
      </c>
      <c r="E81" s="86" t="n">
        <v>17.5</v>
      </c>
      <c r="F81" s="86" t="n">
        <v>15</v>
      </c>
      <c r="G81" s="87" t="n">
        <f aca="false">E81*F81</f>
        <v>262.5</v>
      </c>
      <c r="H81" s="93"/>
      <c r="I81" s="94"/>
      <c r="J81" s="95"/>
      <c r="K81" s="3"/>
      <c r="L81" s="91"/>
      <c r="M81" s="92" t="s">
        <v>126</v>
      </c>
      <c r="N81" s="84" t="s">
        <v>81</v>
      </c>
      <c r="O81" s="85" t="s">
        <v>56</v>
      </c>
      <c r="P81" s="86" t="n">
        <v>17.5</v>
      </c>
      <c r="Q81" s="86" t="n">
        <v>15</v>
      </c>
      <c r="R81" s="87" t="n">
        <f aca="false">P81*Q81</f>
        <v>262.5</v>
      </c>
      <c r="S81" s="93"/>
      <c r="T81" s="94"/>
      <c r="U81" s="95"/>
    </row>
    <row r="82" customFormat="false" ht="18.75" hidden="false" customHeight="true" outlineLevel="0" collapsed="false">
      <c r="A82" s="82" t="s">
        <v>20</v>
      </c>
      <c r="B82" s="83" t="s">
        <v>127</v>
      </c>
      <c r="C82" s="84" t="s">
        <v>128</v>
      </c>
      <c r="D82" s="85" t="s">
        <v>56</v>
      </c>
      <c r="E82" s="86" t="n">
        <v>53.9</v>
      </c>
      <c r="F82" s="86" t="n">
        <v>15</v>
      </c>
      <c r="G82" s="87" t="n">
        <f aca="false">E82*F82</f>
        <v>808.5</v>
      </c>
      <c r="H82" s="88" t="n">
        <f aca="false">SUMIF(B:B,B82,G:G)</f>
        <v>6717.45</v>
      </c>
      <c r="I82" s="89" t="n">
        <v>26500</v>
      </c>
      <c r="J82" s="90" t="n">
        <f aca="false">IFERROR((I82-H82)/I82,"")</f>
        <v>0.746511320754717</v>
      </c>
      <c r="K82" s="3"/>
      <c r="L82" s="82" t="s">
        <v>20</v>
      </c>
      <c r="M82" s="83" t="s">
        <v>127</v>
      </c>
      <c r="N82" s="84" t="s">
        <v>128</v>
      </c>
      <c r="O82" s="85" t="s">
        <v>56</v>
      </c>
      <c r="P82" s="86" t="n">
        <v>53.9</v>
      </c>
      <c r="Q82" s="86" t="n">
        <v>15</v>
      </c>
      <c r="R82" s="87" t="n">
        <f aca="false">P82*Q82</f>
        <v>808.5</v>
      </c>
      <c r="S82" s="88" t="n">
        <f aca="false">SUMIF(M:M,M82,R:R)</f>
        <v>6717.45</v>
      </c>
      <c r="T82" s="89" t="n">
        <f aca="false">I82</f>
        <v>26500</v>
      </c>
      <c r="U82" s="90" t="n">
        <f aca="false">IFERROR((T82-S82)/T82,"")</f>
        <v>0.746511320754717</v>
      </c>
    </row>
    <row r="83" customFormat="false" ht="18.75" hidden="false" customHeight="true" outlineLevel="0" collapsed="false">
      <c r="A83" s="91"/>
      <c r="B83" s="92" t="s">
        <v>127</v>
      </c>
      <c r="C83" s="84" t="s">
        <v>129</v>
      </c>
      <c r="D83" s="85" t="s">
        <v>56</v>
      </c>
      <c r="E83" s="86" t="n">
        <v>55.56</v>
      </c>
      <c r="F83" s="86" t="n">
        <v>15</v>
      </c>
      <c r="G83" s="87" t="n">
        <f aca="false">E83*F83</f>
        <v>833.4</v>
      </c>
      <c r="H83" s="93"/>
      <c r="I83" s="94"/>
      <c r="J83" s="95"/>
      <c r="K83" s="3"/>
      <c r="L83" s="91"/>
      <c r="M83" s="92" t="s">
        <v>127</v>
      </c>
      <c r="N83" s="84" t="s">
        <v>129</v>
      </c>
      <c r="O83" s="85" t="s">
        <v>56</v>
      </c>
      <c r="P83" s="86" t="n">
        <v>55.56</v>
      </c>
      <c r="Q83" s="86" t="n">
        <v>15</v>
      </c>
      <c r="R83" s="87" t="n">
        <f aca="false">P83*Q83</f>
        <v>833.4</v>
      </c>
      <c r="S83" s="93"/>
      <c r="T83" s="94"/>
      <c r="U83" s="95"/>
    </row>
    <row r="84" customFormat="false" ht="18.75" hidden="false" customHeight="true" outlineLevel="0" collapsed="false">
      <c r="A84" s="91"/>
      <c r="B84" s="92" t="s">
        <v>127</v>
      </c>
      <c r="C84" s="84" t="s">
        <v>106</v>
      </c>
      <c r="D84" s="85" t="s">
        <v>56</v>
      </c>
      <c r="E84" s="86" t="n">
        <v>38.56</v>
      </c>
      <c r="F84" s="86" t="n">
        <v>15</v>
      </c>
      <c r="G84" s="87" t="n">
        <f aca="false">E84*F84</f>
        <v>578.4</v>
      </c>
      <c r="H84" s="93"/>
      <c r="I84" s="94"/>
      <c r="J84" s="95"/>
      <c r="K84" s="3"/>
      <c r="L84" s="91"/>
      <c r="M84" s="92" t="s">
        <v>127</v>
      </c>
      <c r="N84" s="84" t="s">
        <v>106</v>
      </c>
      <c r="O84" s="85" t="s">
        <v>56</v>
      </c>
      <c r="P84" s="86" t="n">
        <v>38.56</v>
      </c>
      <c r="Q84" s="86" t="n">
        <v>15</v>
      </c>
      <c r="R84" s="87" t="n">
        <f aca="false">P84*Q84</f>
        <v>578.4</v>
      </c>
      <c r="S84" s="93"/>
      <c r="T84" s="94"/>
      <c r="U84" s="95"/>
    </row>
    <row r="85" customFormat="false" ht="18.75" hidden="false" customHeight="true" outlineLevel="0" collapsed="false">
      <c r="A85" s="91"/>
      <c r="B85" s="92" t="s">
        <v>127</v>
      </c>
      <c r="C85" s="84" t="s">
        <v>89</v>
      </c>
      <c r="D85" s="85" t="s">
        <v>56</v>
      </c>
      <c r="E85" s="86" t="n">
        <v>77.75</v>
      </c>
      <c r="F85" s="86" t="n">
        <v>15</v>
      </c>
      <c r="G85" s="87" t="n">
        <f aca="false">E85*F85</f>
        <v>1166.25</v>
      </c>
      <c r="H85" s="93"/>
      <c r="I85" s="94"/>
      <c r="J85" s="95"/>
      <c r="K85" s="3"/>
      <c r="L85" s="91"/>
      <c r="M85" s="92" t="s">
        <v>127</v>
      </c>
      <c r="N85" s="84" t="s">
        <v>89</v>
      </c>
      <c r="O85" s="85" t="s">
        <v>56</v>
      </c>
      <c r="P85" s="86" t="n">
        <v>77.75</v>
      </c>
      <c r="Q85" s="86" t="n">
        <v>15</v>
      </c>
      <c r="R85" s="87" t="n">
        <f aca="false">P85*Q85</f>
        <v>1166.25</v>
      </c>
      <c r="S85" s="93"/>
      <c r="T85" s="94"/>
      <c r="U85" s="95"/>
    </row>
    <row r="86" customFormat="false" ht="18.75" hidden="false" customHeight="true" outlineLevel="0" collapsed="false">
      <c r="A86" s="91"/>
      <c r="B86" s="92" t="s">
        <v>127</v>
      </c>
      <c r="C86" s="84" t="s">
        <v>130</v>
      </c>
      <c r="D86" s="96" t="s">
        <v>57</v>
      </c>
      <c r="E86" s="91"/>
      <c r="F86" s="86" t="n">
        <v>15</v>
      </c>
      <c r="G86" s="87" t="n">
        <v>420</v>
      </c>
      <c r="H86" s="93"/>
      <c r="I86" s="94"/>
      <c r="J86" s="95"/>
      <c r="K86" s="3"/>
      <c r="L86" s="91"/>
      <c r="M86" s="92" t="s">
        <v>127</v>
      </c>
      <c r="N86" s="84" t="s">
        <v>130</v>
      </c>
      <c r="O86" s="96" t="s">
        <v>57</v>
      </c>
      <c r="P86" s="91"/>
      <c r="Q86" s="86" t="n">
        <v>15</v>
      </c>
      <c r="R86" s="87" t="n">
        <v>420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127</v>
      </c>
      <c r="C87" s="84" t="s">
        <v>131</v>
      </c>
      <c r="D87" s="85" t="s">
        <v>56</v>
      </c>
      <c r="E87" s="86" t="n">
        <v>20.36</v>
      </c>
      <c r="F87" s="86" t="n">
        <v>15</v>
      </c>
      <c r="G87" s="87" t="n">
        <f aca="false">E87*F87</f>
        <v>305.4</v>
      </c>
      <c r="H87" s="93"/>
      <c r="I87" s="94"/>
      <c r="J87" s="95"/>
      <c r="K87" s="3"/>
      <c r="L87" s="91"/>
      <c r="M87" s="92" t="s">
        <v>127</v>
      </c>
      <c r="N87" s="84" t="s">
        <v>131</v>
      </c>
      <c r="O87" s="85" t="s">
        <v>56</v>
      </c>
      <c r="P87" s="86" t="n">
        <v>20.36</v>
      </c>
      <c r="Q87" s="86" t="n">
        <v>15</v>
      </c>
      <c r="R87" s="87" t="n">
        <f aca="false">P87*Q87</f>
        <v>305.4</v>
      </c>
      <c r="S87" s="93"/>
      <c r="T87" s="94"/>
      <c r="U87" s="95"/>
    </row>
    <row r="88" customFormat="false" ht="18.75" hidden="false" customHeight="true" outlineLevel="0" collapsed="false">
      <c r="A88" s="91"/>
      <c r="B88" s="92" t="s">
        <v>127</v>
      </c>
      <c r="C88" s="84" t="s">
        <v>132</v>
      </c>
      <c r="D88" s="85" t="s">
        <v>56</v>
      </c>
      <c r="E88" s="86" t="n">
        <v>72.3</v>
      </c>
      <c r="F88" s="86" t="n">
        <v>15</v>
      </c>
      <c r="G88" s="87" t="n">
        <f aca="false">E88*F88</f>
        <v>1084.5</v>
      </c>
      <c r="H88" s="93"/>
      <c r="I88" s="94"/>
      <c r="J88" s="95"/>
      <c r="K88" s="3"/>
      <c r="L88" s="91"/>
      <c r="M88" s="92" t="s">
        <v>127</v>
      </c>
      <c r="N88" s="84" t="s">
        <v>132</v>
      </c>
      <c r="O88" s="85" t="s">
        <v>56</v>
      </c>
      <c r="P88" s="86" t="n">
        <v>72.3</v>
      </c>
      <c r="Q88" s="86" t="n">
        <v>15</v>
      </c>
      <c r="R88" s="87" t="n">
        <f aca="false">P88*Q88</f>
        <v>1084.5</v>
      </c>
      <c r="S88" s="93"/>
      <c r="T88" s="94"/>
      <c r="U88" s="95"/>
    </row>
    <row r="89" customFormat="false" ht="18.75" hidden="false" customHeight="true" outlineLevel="0" collapsed="false">
      <c r="A89" s="91"/>
      <c r="B89" s="92" t="s">
        <v>127</v>
      </c>
      <c r="C89" s="84" t="s">
        <v>133</v>
      </c>
      <c r="D89" s="96" t="s">
        <v>57</v>
      </c>
      <c r="E89" s="91"/>
      <c r="F89" s="91"/>
      <c r="G89" s="87" t="n">
        <v>480</v>
      </c>
      <c r="H89" s="93"/>
      <c r="I89" s="94"/>
      <c r="J89" s="95"/>
      <c r="K89" s="3"/>
      <c r="L89" s="91"/>
      <c r="M89" s="92" t="s">
        <v>127</v>
      </c>
      <c r="N89" s="84" t="s">
        <v>133</v>
      </c>
      <c r="O89" s="96" t="s">
        <v>57</v>
      </c>
      <c r="P89" s="91"/>
      <c r="Q89" s="91"/>
      <c r="R89" s="87" t="n">
        <v>480</v>
      </c>
      <c r="S89" s="93"/>
      <c r="T89" s="94"/>
      <c r="U89" s="95"/>
    </row>
    <row r="90" customFormat="false" ht="18.75" hidden="false" customHeight="true" outlineLevel="0" collapsed="false">
      <c r="A90" s="91"/>
      <c r="B90" s="92" t="s">
        <v>127</v>
      </c>
      <c r="C90" s="84" t="s">
        <v>134</v>
      </c>
      <c r="D90" s="85" t="s">
        <v>56</v>
      </c>
      <c r="E90" s="86" t="n">
        <v>35.4</v>
      </c>
      <c r="F90" s="86" t="n">
        <v>15</v>
      </c>
      <c r="G90" s="87" t="n">
        <f aca="false">E90*F90</f>
        <v>531</v>
      </c>
      <c r="H90" s="93"/>
      <c r="I90" s="94"/>
      <c r="J90" s="95"/>
      <c r="K90" s="3"/>
      <c r="L90" s="91"/>
      <c r="M90" s="92" t="s">
        <v>127</v>
      </c>
      <c r="N90" s="84" t="s">
        <v>134</v>
      </c>
      <c r="O90" s="85" t="s">
        <v>56</v>
      </c>
      <c r="P90" s="86" t="n">
        <v>35.4</v>
      </c>
      <c r="Q90" s="86" t="n">
        <v>15</v>
      </c>
      <c r="R90" s="87" t="n">
        <f aca="false">P90*Q90</f>
        <v>531</v>
      </c>
      <c r="S90" s="93"/>
      <c r="T90" s="94"/>
      <c r="U90" s="95"/>
    </row>
    <row r="91" customFormat="false" ht="18.75" hidden="false" customHeight="true" outlineLevel="0" collapsed="false">
      <c r="A91" s="91"/>
      <c r="B91" s="92" t="s">
        <v>127</v>
      </c>
      <c r="C91" s="84" t="s">
        <v>79</v>
      </c>
      <c r="D91" s="85" t="s">
        <v>56</v>
      </c>
      <c r="E91" s="86" t="n">
        <v>34</v>
      </c>
      <c r="F91" s="86" t="n">
        <v>15</v>
      </c>
      <c r="G91" s="87" t="n">
        <f aca="false">E91*F91</f>
        <v>510</v>
      </c>
      <c r="H91" s="93"/>
      <c r="I91" s="94"/>
      <c r="J91" s="95"/>
      <c r="K91" s="3"/>
      <c r="L91" s="91"/>
      <c r="M91" s="92" t="s">
        <v>127</v>
      </c>
      <c r="N91" s="84" t="s">
        <v>79</v>
      </c>
      <c r="O91" s="85" t="s">
        <v>56</v>
      </c>
      <c r="P91" s="86" t="n">
        <v>34</v>
      </c>
      <c r="Q91" s="86" t="n">
        <v>15</v>
      </c>
      <c r="R91" s="87" t="n">
        <f aca="false">P91*Q91</f>
        <v>510</v>
      </c>
      <c r="S91" s="93"/>
      <c r="T91" s="94"/>
      <c r="U91" s="95"/>
    </row>
    <row r="92" customFormat="false" ht="18.75" hidden="false" customHeight="true" outlineLevel="0" collapsed="false">
      <c r="A92" s="82" t="s">
        <v>22</v>
      </c>
      <c r="B92" s="83" t="s">
        <v>135</v>
      </c>
      <c r="C92" s="84" t="s">
        <v>89</v>
      </c>
      <c r="D92" s="96" t="s">
        <v>57</v>
      </c>
      <c r="E92" s="91"/>
      <c r="F92" s="91"/>
      <c r="G92" s="87" t="n">
        <v>150</v>
      </c>
      <c r="H92" s="88" t="n">
        <f aca="false">SUMIF(B:B,B92,G:G)</f>
        <v>226.92</v>
      </c>
      <c r="I92" s="89" t="n">
        <v>2184</v>
      </c>
      <c r="J92" s="90" t="n">
        <f aca="false">IFERROR((I92-H92)/I92,"")</f>
        <v>0.896098901098901</v>
      </c>
      <c r="K92" s="3"/>
      <c r="L92" s="82" t="s">
        <v>22</v>
      </c>
      <c r="M92" s="83" t="s">
        <v>135</v>
      </c>
      <c r="N92" s="84" t="s">
        <v>89</v>
      </c>
      <c r="O92" s="96" t="s">
        <v>57</v>
      </c>
      <c r="P92" s="91"/>
      <c r="Q92" s="91"/>
      <c r="R92" s="87" t="n">
        <v>150</v>
      </c>
      <c r="S92" s="88" t="n">
        <f aca="false">SUMIF(M:M,M92,R:R)</f>
        <v>226.92</v>
      </c>
      <c r="T92" s="89" t="n">
        <f aca="false">I92</f>
        <v>2184</v>
      </c>
      <c r="U92" s="90" t="n">
        <f aca="false">IFERROR((T92-S92)/T92,"")</f>
        <v>0.896098901098901</v>
      </c>
    </row>
    <row r="93" customFormat="false" ht="18.75" hidden="false" customHeight="true" outlineLevel="0" collapsed="false">
      <c r="A93" s="91"/>
      <c r="B93" s="92" t="s">
        <v>135</v>
      </c>
      <c r="C93" s="84" t="s">
        <v>86</v>
      </c>
      <c r="D93" s="96" t="s">
        <v>57</v>
      </c>
      <c r="E93" s="91"/>
      <c r="F93" s="91"/>
      <c r="G93" s="87" t="n">
        <v>76.92</v>
      </c>
      <c r="H93" s="93"/>
      <c r="I93" s="94"/>
      <c r="J93" s="95"/>
      <c r="K93" s="3"/>
      <c r="L93" s="91"/>
      <c r="M93" s="92" t="s">
        <v>135</v>
      </c>
      <c r="N93" s="84" t="s">
        <v>86</v>
      </c>
      <c r="O93" s="96" t="s">
        <v>57</v>
      </c>
      <c r="P93" s="91"/>
      <c r="Q93" s="91"/>
      <c r="R93" s="87" t="n">
        <v>76.92</v>
      </c>
      <c r="S93" s="93"/>
      <c r="T93" s="94"/>
      <c r="U93" s="95"/>
    </row>
    <row r="94" customFormat="false" ht="18.75" hidden="false" customHeight="true" outlineLevel="0" collapsed="false">
      <c r="A94" s="82" t="s">
        <v>22</v>
      </c>
      <c r="B94" s="83" t="s">
        <v>136</v>
      </c>
      <c r="C94" s="97" t="s">
        <v>113</v>
      </c>
      <c r="D94" s="98" t="s">
        <v>55</v>
      </c>
      <c r="E94" s="99" t="n">
        <v>21</v>
      </c>
      <c r="F94" s="99" t="n">
        <v>18</v>
      </c>
      <c r="G94" s="100" t="n">
        <f aca="false">E94*F94</f>
        <v>378</v>
      </c>
      <c r="H94" s="88" t="n">
        <f aca="false">SUMIF(B:B,B94,G:G)</f>
        <v>1455.93</v>
      </c>
      <c r="I94" s="89" t="n">
        <v>3267.84</v>
      </c>
      <c r="J94" s="90" t="n">
        <f aca="false">IFERROR((I94-H94)/I94,"")</f>
        <v>0.554467170975323</v>
      </c>
      <c r="K94" s="3"/>
      <c r="L94" s="82" t="s">
        <v>22</v>
      </c>
      <c r="M94" s="83" t="s">
        <v>136</v>
      </c>
      <c r="N94" s="97" t="s">
        <v>113</v>
      </c>
      <c r="O94" s="98" t="s">
        <v>55</v>
      </c>
      <c r="P94" s="101"/>
      <c r="Q94" s="101"/>
      <c r="R94" s="102" t="n">
        <v>0</v>
      </c>
      <c r="S94" s="88" t="n">
        <f aca="false">SUMIF(M:M,M94,R:R)</f>
        <v>1077.93</v>
      </c>
      <c r="T94" s="89" t="n">
        <f aca="false">I94</f>
        <v>3267.84</v>
      </c>
      <c r="U94" s="90" t="n">
        <f aca="false">IFERROR((T94-S94)/T94,"")</f>
        <v>0.67013990893067</v>
      </c>
    </row>
    <row r="95" customFormat="false" ht="18.75" hidden="false" customHeight="true" outlineLevel="0" collapsed="false">
      <c r="A95" s="91"/>
      <c r="B95" s="92" t="s">
        <v>136</v>
      </c>
      <c r="C95" s="84" t="s">
        <v>102</v>
      </c>
      <c r="D95" s="85" t="s">
        <v>56</v>
      </c>
      <c r="E95" s="86" t="n">
        <v>23.9</v>
      </c>
      <c r="F95" s="86" t="n">
        <v>13</v>
      </c>
      <c r="G95" s="87" t="n">
        <f aca="false">E95*F95</f>
        <v>310.7</v>
      </c>
      <c r="H95" s="93"/>
      <c r="I95" s="94"/>
      <c r="J95" s="95"/>
      <c r="K95" s="3"/>
      <c r="L95" s="91"/>
      <c r="M95" s="92" t="s">
        <v>136</v>
      </c>
      <c r="N95" s="84" t="s">
        <v>102</v>
      </c>
      <c r="O95" s="85" t="s">
        <v>56</v>
      </c>
      <c r="P95" s="86" t="n">
        <v>23.9</v>
      </c>
      <c r="Q95" s="86" t="n">
        <v>13</v>
      </c>
      <c r="R95" s="87" t="n">
        <f aca="false">P95*Q95</f>
        <v>310.7</v>
      </c>
      <c r="S95" s="93"/>
      <c r="T95" s="94"/>
      <c r="U95" s="95"/>
    </row>
    <row r="96" customFormat="false" ht="18.75" hidden="false" customHeight="true" outlineLevel="0" collapsed="false">
      <c r="A96" s="91"/>
      <c r="B96" s="92" t="s">
        <v>136</v>
      </c>
      <c r="C96" s="84" t="s">
        <v>81</v>
      </c>
      <c r="D96" s="85" t="s">
        <v>56</v>
      </c>
      <c r="E96" s="86" t="n">
        <v>13.16</v>
      </c>
      <c r="F96" s="86" t="n">
        <v>13</v>
      </c>
      <c r="G96" s="87" t="n">
        <f aca="false">E96*F96</f>
        <v>171.08</v>
      </c>
      <c r="H96" s="93"/>
      <c r="I96" s="94"/>
      <c r="J96" s="95"/>
      <c r="K96" s="3"/>
      <c r="L96" s="91"/>
      <c r="M96" s="92" t="s">
        <v>136</v>
      </c>
      <c r="N96" s="84" t="s">
        <v>81</v>
      </c>
      <c r="O96" s="85" t="s">
        <v>56</v>
      </c>
      <c r="P96" s="86" t="n">
        <v>13.16</v>
      </c>
      <c r="Q96" s="86" t="n">
        <v>13</v>
      </c>
      <c r="R96" s="87" t="n">
        <f aca="false">P96*Q96</f>
        <v>171.08</v>
      </c>
      <c r="S96" s="93"/>
      <c r="T96" s="94"/>
      <c r="U96" s="95"/>
    </row>
    <row r="97" customFormat="false" ht="18.75" hidden="false" customHeight="true" outlineLevel="0" collapsed="false">
      <c r="A97" s="91"/>
      <c r="B97" s="92" t="s">
        <v>136</v>
      </c>
      <c r="C97" s="84" t="s">
        <v>129</v>
      </c>
      <c r="D97" s="85" t="s">
        <v>56</v>
      </c>
      <c r="E97" s="86" t="n">
        <v>14.1</v>
      </c>
      <c r="F97" s="86" t="n">
        <v>13</v>
      </c>
      <c r="G97" s="87" t="n">
        <f aca="false">E97*F97</f>
        <v>183.3</v>
      </c>
      <c r="H97" s="93"/>
      <c r="I97" s="94"/>
      <c r="J97" s="95"/>
      <c r="K97" s="3"/>
      <c r="L97" s="91"/>
      <c r="M97" s="92" t="s">
        <v>136</v>
      </c>
      <c r="N97" s="84" t="s">
        <v>129</v>
      </c>
      <c r="O97" s="85" t="s">
        <v>56</v>
      </c>
      <c r="P97" s="86" t="n">
        <v>14.1</v>
      </c>
      <c r="Q97" s="86" t="n">
        <v>13</v>
      </c>
      <c r="R97" s="87" t="n">
        <f aca="false">P97*Q97</f>
        <v>183.3</v>
      </c>
      <c r="S97" s="93"/>
      <c r="T97" s="94"/>
      <c r="U97" s="95"/>
    </row>
    <row r="98" customFormat="false" ht="18.75" hidden="false" customHeight="true" outlineLevel="0" collapsed="false">
      <c r="A98" s="91"/>
      <c r="B98" s="92" t="s">
        <v>136</v>
      </c>
      <c r="C98" s="84" t="s">
        <v>100</v>
      </c>
      <c r="D98" s="85" t="s">
        <v>56</v>
      </c>
      <c r="E98" s="86" t="n">
        <v>14.45</v>
      </c>
      <c r="F98" s="86" t="n">
        <v>13</v>
      </c>
      <c r="G98" s="87" t="n">
        <f aca="false">E98*F98</f>
        <v>187.85</v>
      </c>
      <c r="H98" s="93"/>
      <c r="I98" s="94"/>
      <c r="J98" s="95"/>
      <c r="K98" s="3"/>
      <c r="L98" s="91"/>
      <c r="M98" s="92" t="s">
        <v>136</v>
      </c>
      <c r="N98" s="84" t="s">
        <v>100</v>
      </c>
      <c r="O98" s="85" t="s">
        <v>56</v>
      </c>
      <c r="P98" s="86" t="n">
        <v>14.45</v>
      </c>
      <c r="Q98" s="86" t="n">
        <v>13</v>
      </c>
      <c r="R98" s="87" t="n">
        <f aca="false">P98*Q98</f>
        <v>187.85</v>
      </c>
      <c r="S98" s="93"/>
      <c r="T98" s="94"/>
      <c r="U98" s="95"/>
    </row>
    <row r="99" customFormat="false" ht="18.75" hidden="false" customHeight="true" outlineLevel="0" collapsed="false">
      <c r="A99" s="91"/>
      <c r="B99" s="92" t="s">
        <v>136</v>
      </c>
      <c r="C99" s="84" t="s">
        <v>137</v>
      </c>
      <c r="D99" s="85" t="s">
        <v>56</v>
      </c>
      <c r="E99" s="86" t="n">
        <v>15</v>
      </c>
      <c r="F99" s="86" t="n">
        <v>15</v>
      </c>
      <c r="G99" s="87" t="n">
        <f aca="false">E99*F99</f>
        <v>225</v>
      </c>
      <c r="H99" s="93"/>
      <c r="I99" s="94"/>
      <c r="J99" s="95"/>
      <c r="K99" s="3"/>
      <c r="L99" s="91"/>
      <c r="M99" s="92" t="s">
        <v>136</v>
      </c>
      <c r="N99" s="84" t="s">
        <v>137</v>
      </c>
      <c r="O99" s="85" t="s">
        <v>56</v>
      </c>
      <c r="P99" s="86" t="n">
        <v>15</v>
      </c>
      <c r="Q99" s="86" t="n">
        <v>15</v>
      </c>
      <c r="R99" s="87" t="n">
        <f aca="false">P99*Q99</f>
        <v>225</v>
      </c>
      <c r="S99" s="93"/>
      <c r="T99" s="94"/>
      <c r="U99" s="95"/>
    </row>
    <row r="100" customFormat="false" ht="18.75" hidden="false" customHeight="true" outlineLevel="0" collapsed="false">
      <c r="A100" s="82" t="s">
        <v>22</v>
      </c>
      <c r="B100" s="83" t="s">
        <v>138</v>
      </c>
      <c r="C100" s="84" t="s">
        <v>89</v>
      </c>
      <c r="D100" s="96" t="s">
        <v>57</v>
      </c>
      <c r="E100" s="91"/>
      <c r="F100" s="91"/>
      <c r="G100" s="87" t="n">
        <v>250</v>
      </c>
      <c r="H100" s="88" t="n">
        <f aca="false">SUMIF(B:B,B100,G:G)</f>
        <v>323.2</v>
      </c>
      <c r="I100" s="89" t="n">
        <v>2550.5</v>
      </c>
      <c r="J100" s="90" t="n">
        <f aca="false">IFERROR((I100-H100)/I100,"")</f>
        <v>0.87327974906881</v>
      </c>
      <c r="K100" s="3"/>
      <c r="L100" s="82" t="s">
        <v>22</v>
      </c>
      <c r="M100" s="83" t="s">
        <v>138</v>
      </c>
      <c r="N100" s="84" t="s">
        <v>89</v>
      </c>
      <c r="O100" s="96" t="s">
        <v>57</v>
      </c>
      <c r="P100" s="91"/>
      <c r="Q100" s="91"/>
      <c r="R100" s="87" t="n">
        <v>250</v>
      </c>
      <c r="S100" s="88" t="n">
        <f aca="false">SUMIF(M:M,M100,R:R)</f>
        <v>323.2</v>
      </c>
      <c r="T100" s="89" t="n">
        <f aca="false">I100</f>
        <v>2550.5</v>
      </c>
      <c r="U100" s="90" t="n">
        <f aca="false">IFERROR((T100-S100)/T100,"")</f>
        <v>0.87327974906881</v>
      </c>
    </row>
    <row r="101" customFormat="false" ht="18.75" hidden="false" customHeight="true" outlineLevel="0" collapsed="false">
      <c r="A101" s="91"/>
      <c r="B101" s="92" t="s">
        <v>138</v>
      </c>
      <c r="C101" s="84" t="s">
        <v>86</v>
      </c>
      <c r="D101" s="96" t="s">
        <v>57</v>
      </c>
      <c r="E101" s="91"/>
      <c r="F101" s="91"/>
      <c r="G101" s="87" t="n">
        <v>73.2</v>
      </c>
      <c r="H101" s="93"/>
      <c r="I101" s="94"/>
      <c r="J101" s="95"/>
      <c r="K101" s="3"/>
      <c r="L101" s="91"/>
      <c r="M101" s="92" t="s">
        <v>138</v>
      </c>
      <c r="N101" s="84" t="s">
        <v>86</v>
      </c>
      <c r="O101" s="96" t="s">
        <v>57</v>
      </c>
      <c r="P101" s="91"/>
      <c r="Q101" s="91"/>
      <c r="R101" s="87" t="n">
        <v>73.2</v>
      </c>
      <c r="S101" s="93"/>
      <c r="T101" s="94"/>
      <c r="U101" s="95"/>
    </row>
    <row r="102" customFormat="false" ht="18.75" hidden="false" customHeight="true" outlineLevel="0" collapsed="false">
      <c r="A102" s="82" t="s">
        <v>22</v>
      </c>
      <c r="B102" s="83" t="s">
        <v>139</v>
      </c>
      <c r="C102" s="84" t="s">
        <v>102</v>
      </c>
      <c r="D102" s="85" t="s">
        <v>56</v>
      </c>
      <c r="E102" s="86" t="n">
        <v>4.55</v>
      </c>
      <c r="F102" s="86" t="n">
        <v>13</v>
      </c>
      <c r="G102" s="87" t="n">
        <f aca="false">E102*F102</f>
        <v>59.15</v>
      </c>
      <c r="H102" s="88" t="n">
        <f aca="false">SUMIF(B:B,B102,G:G)</f>
        <v>159.77</v>
      </c>
      <c r="I102" s="89" t="n">
        <v>1064</v>
      </c>
      <c r="J102" s="90" t="n">
        <f aca="false">IFERROR((I102-H102)/I102,"")</f>
        <v>0.84984022556391</v>
      </c>
      <c r="K102" s="3"/>
      <c r="L102" s="82" t="s">
        <v>22</v>
      </c>
      <c r="M102" s="83" t="s">
        <v>139</v>
      </c>
      <c r="N102" s="84" t="s">
        <v>102</v>
      </c>
      <c r="O102" s="85" t="s">
        <v>56</v>
      </c>
      <c r="P102" s="86" t="n">
        <v>4.55</v>
      </c>
      <c r="Q102" s="86" t="n">
        <v>13</v>
      </c>
      <c r="R102" s="87" t="n">
        <f aca="false">P102*Q102</f>
        <v>59.15</v>
      </c>
      <c r="S102" s="88" t="n">
        <f aca="false">SUMIF(M:M,M102,R:R)</f>
        <v>159.77</v>
      </c>
      <c r="T102" s="89" t="n">
        <f aca="false">I102</f>
        <v>1064</v>
      </c>
      <c r="U102" s="90" t="n">
        <f aca="false">IFERROR((T102-S102)/T102,"")</f>
        <v>0.84984022556391</v>
      </c>
    </row>
    <row r="103" customFormat="false" ht="18.75" hidden="false" customHeight="true" outlineLevel="0" collapsed="false">
      <c r="A103" s="91"/>
      <c r="B103" s="92" t="s">
        <v>139</v>
      </c>
      <c r="C103" s="84" t="s">
        <v>106</v>
      </c>
      <c r="D103" s="85" t="s">
        <v>56</v>
      </c>
      <c r="E103" s="86" t="n">
        <v>4</v>
      </c>
      <c r="F103" s="86" t="n">
        <v>13</v>
      </c>
      <c r="G103" s="87" t="n">
        <f aca="false">E103*F103</f>
        <v>52</v>
      </c>
      <c r="H103" s="93"/>
      <c r="I103" s="94"/>
      <c r="J103" s="95"/>
      <c r="K103" s="3"/>
      <c r="L103" s="91"/>
      <c r="M103" s="92" t="s">
        <v>139</v>
      </c>
      <c r="N103" s="84" t="s">
        <v>106</v>
      </c>
      <c r="O103" s="85" t="s">
        <v>56</v>
      </c>
      <c r="P103" s="86" t="n">
        <v>4</v>
      </c>
      <c r="Q103" s="86" t="n">
        <v>13</v>
      </c>
      <c r="R103" s="87" t="n">
        <f aca="false">P103*Q103</f>
        <v>52</v>
      </c>
      <c r="S103" s="93"/>
      <c r="T103" s="94"/>
      <c r="U103" s="95"/>
    </row>
    <row r="104" customFormat="false" ht="18.75" hidden="false" customHeight="true" outlineLevel="0" collapsed="false">
      <c r="A104" s="91"/>
      <c r="B104" s="92" t="s">
        <v>139</v>
      </c>
      <c r="C104" s="84" t="s">
        <v>79</v>
      </c>
      <c r="D104" s="85" t="s">
        <v>56</v>
      </c>
      <c r="E104" s="86" t="n">
        <v>3.74</v>
      </c>
      <c r="F104" s="86" t="n">
        <v>13</v>
      </c>
      <c r="G104" s="87" t="n">
        <f aca="false">E104*F104</f>
        <v>48.62</v>
      </c>
      <c r="H104" s="93"/>
      <c r="I104" s="94"/>
      <c r="J104" s="95"/>
      <c r="K104" s="3"/>
      <c r="L104" s="91"/>
      <c r="M104" s="92" t="s">
        <v>139</v>
      </c>
      <c r="N104" s="84" t="s">
        <v>79</v>
      </c>
      <c r="O104" s="85" t="s">
        <v>56</v>
      </c>
      <c r="P104" s="86" t="n">
        <v>3.74</v>
      </c>
      <c r="Q104" s="86" t="n">
        <v>13</v>
      </c>
      <c r="R104" s="87" t="n">
        <f aca="false">P104*Q104</f>
        <v>48.62</v>
      </c>
      <c r="S104" s="93"/>
      <c r="T104" s="94"/>
      <c r="U104" s="95"/>
    </row>
    <row r="105" customFormat="false" ht="18.75" hidden="false" customHeight="true" outlineLevel="0" collapsed="false">
      <c r="A105" s="82" t="s">
        <v>22</v>
      </c>
      <c r="B105" s="83" t="s">
        <v>140</v>
      </c>
      <c r="C105" s="97" t="s">
        <v>91</v>
      </c>
      <c r="D105" s="98" t="s">
        <v>55</v>
      </c>
      <c r="E105" s="99" t="n">
        <v>21</v>
      </c>
      <c r="F105" s="99" t="n">
        <v>18</v>
      </c>
      <c r="G105" s="100" t="n">
        <f aca="false">E105*F105</f>
        <v>378</v>
      </c>
      <c r="H105" s="88" t="n">
        <f aca="false">SUMIF(B:B,B105,G:G)</f>
        <v>1586.35</v>
      </c>
      <c r="I105" s="89" t="n">
        <v>4166.7</v>
      </c>
      <c r="J105" s="90" t="n">
        <f aca="false">IFERROR((I105-H105)/I105,"")</f>
        <v>0.619279045767634</v>
      </c>
      <c r="K105" s="3"/>
      <c r="L105" s="82" t="s">
        <v>22</v>
      </c>
      <c r="M105" s="83" t="s">
        <v>140</v>
      </c>
      <c r="N105" s="97" t="s">
        <v>91</v>
      </c>
      <c r="O105" s="98" t="s">
        <v>55</v>
      </c>
      <c r="P105" s="101"/>
      <c r="Q105" s="101"/>
      <c r="R105" s="102" t="n">
        <v>0</v>
      </c>
      <c r="S105" s="88" t="n">
        <f aca="false">SUMIF(M:M,M105,R:R)</f>
        <v>1208.35</v>
      </c>
      <c r="T105" s="89" t="n">
        <f aca="false">I105</f>
        <v>4166.7</v>
      </c>
      <c r="U105" s="90" t="n">
        <f aca="false">IFERROR((T105-S105)/T105,"")</f>
        <v>0.70999832001344</v>
      </c>
    </row>
    <row r="106" customFormat="false" ht="18.75" hidden="false" customHeight="true" outlineLevel="0" collapsed="false">
      <c r="A106" s="91"/>
      <c r="B106" s="92" t="s">
        <v>140</v>
      </c>
      <c r="C106" s="84" t="s">
        <v>141</v>
      </c>
      <c r="D106" s="85" t="s">
        <v>56</v>
      </c>
      <c r="E106" s="86" t="n">
        <v>11.85</v>
      </c>
      <c r="F106" s="86" t="n">
        <v>13</v>
      </c>
      <c r="G106" s="87" t="n">
        <f aca="false">E106*F106</f>
        <v>154.05</v>
      </c>
      <c r="H106" s="93"/>
      <c r="I106" s="94"/>
      <c r="J106" s="95"/>
      <c r="K106" s="3"/>
      <c r="L106" s="91"/>
      <c r="M106" s="92" t="s">
        <v>140</v>
      </c>
      <c r="N106" s="84" t="s">
        <v>141</v>
      </c>
      <c r="O106" s="85" t="s">
        <v>56</v>
      </c>
      <c r="P106" s="86" t="n">
        <v>11.85</v>
      </c>
      <c r="Q106" s="86" t="n">
        <v>13</v>
      </c>
      <c r="R106" s="87" t="n">
        <f aca="false">P106*Q106</f>
        <v>154.05</v>
      </c>
      <c r="S106" s="93"/>
      <c r="T106" s="94"/>
      <c r="U106" s="95"/>
    </row>
    <row r="107" customFormat="false" ht="18.75" hidden="false" customHeight="true" outlineLevel="0" collapsed="false">
      <c r="A107" s="91"/>
      <c r="B107" s="92" t="s">
        <v>140</v>
      </c>
      <c r="C107" s="84" t="s">
        <v>142</v>
      </c>
      <c r="D107" s="85" t="s">
        <v>56</v>
      </c>
      <c r="E107" s="86" t="n">
        <v>12.3</v>
      </c>
      <c r="F107" s="86" t="n">
        <v>13</v>
      </c>
      <c r="G107" s="87" t="n">
        <f aca="false">E107*F107</f>
        <v>159.9</v>
      </c>
      <c r="H107" s="93"/>
      <c r="I107" s="94"/>
      <c r="J107" s="95"/>
      <c r="K107" s="3"/>
      <c r="L107" s="91"/>
      <c r="M107" s="92" t="s">
        <v>140</v>
      </c>
      <c r="N107" s="84" t="s">
        <v>142</v>
      </c>
      <c r="O107" s="85" t="s">
        <v>56</v>
      </c>
      <c r="P107" s="86" t="n">
        <v>12.3</v>
      </c>
      <c r="Q107" s="86" t="n">
        <v>13</v>
      </c>
      <c r="R107" s="87" t="n">
        <f aca="false">P107*Q107</f>
        <v>159.9</v>
      </c>
      <c r="S107" s="93"/>
      <c r="T107" s="94"/>
      <c r="U107" s="95"/>
    </row>
    <row r="108" customFormat="false" ht="18.75" hidden="false" customHeight="true" outlineLevel="0" collapsed="false">
      <c r="A108" s="91"/>
      <c r="B108" s="92" t="s">
        <v>140</v>
      </c>
      <c r="C108" s="84" t="s">
        <v>143</v>
      </c>
      <c r="D108" s="85" t="s">
        <v>56</v>
      </c>
      <c r="E108" s="86" t="n">
        <v>20.9</v>
      </c>
      <c r="F108" s="86" t="n">
        <v>13</v>
      </c>
      <c r="G108" s="87" t="n">
        <f aca="false">E108*F108</f>
        <v>271.7</v>
      </c>
      <c r="H108" s="93"/>
      <c r="I108" s="94"/>
      <c r="J108" s="95"/>
      <c r="K108" s="3"/>
      <c r="L108" s="91"/>
      <c r="M108" s="92" t="s">
        <v>140</v>
      </c>
      <c r="N108" s="84" t="s">
        <v>143</v>
      </c>
      <c r="O108" s="85" t="s">
        <v>56</v>
      </c>
      <c r="P108" s="86" t="n">
        <v>20.9</v>
      </c>
      <c r="Q108" s="86" t="n">
        <v>13</v>
      </c>
      <c r="R108" s="87" t="n">
        <f aca="false">P108*Q108</f>
        <v>271.7</v>
      </c>
      <c r="S108" s="93"/>
      <c r="T108" s="94"/>
      <c r="U108" s="95"/>
    </row>
    <row r="109" customFormat="false" ht="18.75" hidden="false" customHeight="true" outlineLevel="0" collapsed="false">
      <c r="A109" s="91"/>
      <c r="B109" s="92" t="s">
        <v>140</v>
      </c>
      <c r="C109" s="84" t="s">
        <v>144</v>
      </c>
      <c r="D109" s="85" t="s">
        <v>56</v>
      </c>
      <c r="E109" s="86" t="n">
        <v>16.9</v>
      </c>
      <c r="F109" s="86" t="n">
        <v>13</v>
      </c>
      <c r="G109" s="87" t="n">
        <f aca="false">E109*F109</f>
        <v>219.7</v>
      </c>
      <c r="H109" s="93"/>
      <c r="I109" s="94"/>
      <c r="J109" s="95"/>
      <c r="K109" s="3"/>
      <c r="L109" s="91"/>
      <c r="M109" s="92" t="s">
        <v>140</v>
      </c>
      <c r="N109" s="84" t="s">
        <v>144</v>
      </c>
      <c r="O109" s="85" t="s">
        <v>56</v>
      </c>
      <c r="P109" s="86" t="n">
        <v>16.9</v>
      </c>
      <c r="Q109" s="86" t="n">
        <v>13</v>
      </c>
      <c r="R109" s="87" t="n">
        <f aca="false">P109*Q109</f>
        <v>219.7</v>
      </c>
      <c r="S109" s="93"/>
      <c r="T109" s="94"/>
      <c r="U109" s="95"/>
    </row>
    <row r="110" customFormat="false" ht="18.75" hidden="false" customHeight="true" outlineLevel="0" collapsed="false">
      <c r="A110" s="91"/>
      <c r="B110" s="92" t="s">
        <v>140</v>
      </c>
      <c r="C110" s="84" t="s">
        <v>145</v>
      </c>
      <c r="D110" s="85" t="s">
        <v>56</v>
      </c>
      <c r="E110" s="86" t="n">
        <v>15.9</v>
      </c>
      <c r="F110" s="86" t="n">
        <v>13</v>
      </c>
      <c r="G110" s="87" t="n">
        <f aca="false">E110*F110</f>
        <v>206.7</v>
      </c>
      <c r="H110" s="93"/>
      <c r="I110" s="94"/>
      <c r="J110" s="95"/>
      <c r="K110" s="3"/>
      <c r="L110" s="91"/>
      <c r="M110" s="92" t="s">
        <v>140</v>
      </c>
      <c r="N110" s="84" t="s">
        <v>145</v>
      </c>
      <c r="O110" s="85" t="s">
        <v>56</v>
      </c>
      <c r="P110" s="86" t="n">
        <v>15.9</v>
      </c>
      <c r="Q110" s="86" t="n">
        <v>13</v>
      </c>
      <c r="R110" s="87" t="n">
        <f aca="false">P110*Q110</f>
        <v>206.7</v>
      </c>
      <c r="S110" s="93"/>
      <c r="T110" s="94"/>
      <c r="U110" s="95"/>
    </row>
    <row r="111" customFormat="false" ht="18.75" hidden="false" customHeight="true" outlineLevel="0" collapsed="false">
      <c r="A111" s="91"/>
      <c r="B111" s="92" t="s">
        <v>140</v>
      </c>
      <c r="C111" s="84" t="s">
        <v>146</v>
      </c>
      <c r="D111" s="85" t="s">
        <v>56</v>
      </c>
      <c r="E111" s="86" t="n">
        <v>15.1</v>
      </c>
      <c r="F111" s="86" t="n">
        <v>13</v>
      </c>
      <c r="G111" s="87" t="n">
        <f aca="false">E111*F111</f>
        <v>196.3</v>
      </c>
      <c r="H111" s="93"/>
      <c r="I111" s="94"/>
      <c r="J111" s="95"/>
      <c r="K111" s="3"/>
      <c r="L111" s="91"/>
      <c r="M111" s="92" t="s">
        <v>140</v>
      </c>
      <c r="N111" s="84" t="s">
        <v>146</v>
      </c>
      <c r="O111" s="85" t="s">
        <v>56</v>
      </c>
      <c r="P111" s="86" t="n">
        <v>15.1</v>
      </c>
      <c r="Q111" s="86" t="n">
        <v>13</v>
      </c>
      <c r="R111" s="87" t="n">
        <f aca="false">P111*Q111</f>
        <v>196.3</v>
      </c>
      <c r="S111" s="93"/>
      <c r="T111" s="94"/>
      <c r="U111" s="95"/>
    </row>
    <row r="112" customFormat="false" ht="18.75" hidden="false" customHeight="true" outlineLevel="0" collapsed="false">
      <c r="A112" s="82" t="s">
        <v>22</v>
      </c>
      <c r="B112" s="83" t="s">
        <v>147</v>
      </c>
      <c r="C112" s="84" t="s">
        <v>148</v>
      </c>
      <c r="D112" s="85" t="s">
        <v>56</v>
      </c>
      <c r="E112" s="86" t="n">
        <v>8.75</v>
      </c>
      <c r="F112" s="86" t="n">
        <v>13</v>
      </c>
      <c r="G112" s="87" t="n">
        <f aca="false">E112*F112</f>
        <v>113.75</v>
      </c>
      <c r="H112" s="88" t="n">
        <f aca="false">SUMIF(B:B,B112,G:G)</f>
        <v>302.25</v>
      </c>
      <c r="I112" s="89" t="n">
        <v>1440</v>
      </c>
      <c r="J112" s="90" t="n">
        <f aca="false">IFERROR((I112-H112)/I112,"")</f>
        <v>0.790104166666667</v>
      </c>
      <c r="K112" s="3"/>
      <c r="L112" s="82" t="s">
        <v>22</v>
      </c>
      <c r="M112" s="83" t="s">
        <v>147</v>
      </c>
      <c r="N112" s="84" t="s">
        <v>148</v>
      </c>
      <c r="O112" s="85" t="s">
        <v>56</v>
      </c>
      <c r="P112" s="86" t="n">
        <v>8.75</v>
      </c>
      <c r="Q112" s="86" t="n">
        <v>13</v>
      </c>
      <c r="R112" s="87" t="n">
        <f aca="false">P112*Q112</f>
        <v>113.75</v>
      </c>
      <c r="S112" s="88" t="n">
        <f aca="false">SUMIF(M:M,M112,R:R)</f>
        <v>302.25</v>
      </c>
      <c r="T112" s="89" t="n">
        <f aca="false">I112</f>
        <v>1440</v>
      </c>
      <c r="U112" s="90" t="n">
        <f aca="false">IFERROR((T112-S112)/T112,"")</f>
        <v>0.790104166666667</v>
      </c>
    </row>
    <row r="113" customFormat="false" ht="18.75" hidden="false" customHeight="true" outlineLevel="0" collapsed="false">
      <c r="A113" s="91"/>
      <c r="B113" s="92" t="s">
        <v>147</v>
      </c>
      <c r="C113" s="84" t="s">
        <v>98</v>
      </c>
      <c r="D113" s="85" t="s">
        <v>56</v>
      </c>
      <c r="E113" s="86" t="n">
        <v>14.5</v>
      </c>
      <c r="F113" s="86" t="n">
        <v>13</v>
      </c>
      <c r="G113" s="87" t="n">
        <f aca="false">E113*F113</f>
        <v>188.5</v>
      </c>
      <c r="H113" s="93"/>
      <c r="I113" s="94"/>
      <c r="J113" s="95"/>
      <c r="K113" s="3"/>
      <c r="L113" s="91"/>
      <c r="M113" s="92" t="s">
        <v>147</v>
      </c>
      <c r="N113" s="84" t="s">
        <v>98</v>
      </c>
      <c r="O113" s="85" t="s">
        <v>56</v>
      </c>
      <c r="P113" s="86" t="n">
        <v>14.5</v>
      </c>
      <c r="Q113" s="86" t="n">
        <v>13</v>
      </c>
      <c r="R113" s="87" t="n">
        <f aca="false">P113*Q113</f>
        <v>188.5</v>
      </c>
      <c r="S113" s="93"/>
      <c r="T113" s="94"/>
      <c r="U113" s="95"/>
    </row>
    <row r="114" customFormat="false" ht="18.75" hidden="false" customHeight="true" outlineLevel="0" collapsed="false">
      <c r="A114" s="82" t="s">
        <v>22</v>
      </c>
      <c r="B114" s="83" t="s">
        <v>149</v>
      </c>
      <c r="C114" s="84" t="s">
        <v>150</v>
      </c>
      <c r="D114" s="85" t="s">
        <v>56</v>
      </c>
      <c r="E114" s="86" t="n">
        <v>23.2</v>
      </c>
      <c r="F114" s="86" t="n">
        <v>15</v>
      </c>
      <c r="G114" s="87" t="n">
        <f aca="false">E114*F114</f>
        <v>348</v>
      </c>
      <c r="H114" s="88" t="n">
        <f aca="false">SUMIF(B:B,B114,G:G)</f>
        <v>3359.85</v>
      </c>
      <c r="I114" s="89" t="n">
        <v>17650</v>
      </c>
      <c r="J114" s="90" t="n">
        <f aca="false">IFERROR((I114-H114)/I114,"")</f>
        <v>0.809640226628895</v>
      </c>
      <c r="K114" s="3"/>
      <c r="L114" s="82" t="s">
        <v>22</v>
      </c>
      <c r="M114" s="83" t="s">
        <v>149</v>
      </c>
      <c r="N114" s="84" t="s">
        <v>150</v>
      </c>
      <c r="O114" s="85" t="s">
        <v>56</v>
      </c>
      <c r="P114" s="86" t="n">
        <v>23.2</v>
      </c>
      <c r="Q114" s="86" t="n">
        <v>15</v>
      </c>
      <c r="R114" s="87" t="n">
        <f aca="false">P114*Q114</f>
        <v>348</v>
      </c>
      <c r="S114" s="88" t="n">
        <f aca="false">SUMIF(M:M,M114,R:R)</f>
        <v>3359.85</v>
      </c>
      <c r="T114" s="89" t="n">
        <f aca="false">I114</f>
        <v>17650</v>
      </c>
      <c r="U114" s="90" t="n">
        <f aca="false">IFERROR((T114-S114)/T114,"")</f>
        <v>0.809640226628895</v>
      </c>
    </row>
    <row r="115" customFormat="false" ht="18.75" hidden="false" customHeight="true" outlineLevel="0" collapsed="false">
      <c r="A115" s="91"/>
      <c r="B115" s="92" t="s">
        <v>149</v>
      </c>
      <c r="C115" s="84" t="s">
        <v>148</v>
      </c>
      <c r="D115" s="85" t="s">
        <v>56</v>
      </c>
      <c r="E115" s="86" t="n">
        <v>67.56</v>
      </c>
      <c r="F115" s="86" t="n">
        <v>15</v>
      </c>
      <c r="G115" s="87" t="n">
        <f aca="false">E115*F115</f>
        <v>1013.4</v>
      </c>
      <c r="H115" s="93"/>
      <c r="I115" s="94"/>
      <c r="J115" s="95"/>
      <c r="K115" s="3"/>
      <c r="L115" s="91"/>
      <c r="M115" s="92" t="s">
        <v>149</v>
      </c>
      <c r="N115" s="84" t="s">
        <v>148</v>
      </c>
      <c r="O115" s="85" t="s">
        <v>56</v>
      </c>
      <c r="P115" s="86" t="n">
        <v>67.56</v>
      </c>
      <c r="Q115" s="86" t="n">
        <v>15</v>
      </c>
      <c r="R115" s="87" t="n">
        <f aca="false">P115*Q115</f>
        <v>1013.4</v>
      </c>
      <c r="S115" s="93"/>
      <c r="T115" s="94"/>
      <c r="U115" s="95"/>
    </row>
    <row r="116" customFormat="false" ht="18.75" hidden="false" customHeight="true" outlineLevel="0" collapsed="false">
      <c r="A116" s="91"/>
      <c r="B116" s="92" t="s">
        <v>149</v>
      </c>
      <c r="C116" s="84" t="s">
        <v>98</v>
      </c>
      <c r="D116" s="85" t="s">
        <v>56</v>
      </c>
      <c r="E116" s="86" t="n">
        <v>34.1</v>
      </c>
      <c r="F116" s="86" t="n">
        <v>15</v>
      </c>
      <c r="G116" s="87" t="n">
        <f aca="false">E116*F116</f>
        <v>511.5</v>
      </c>
      <c r="H116" s="93"/>
      <c r="I116" s="94"/>
      <c r="J116" s="95"/>
      <c r="K116" s="3"/>
      <c r="L116" s="91"/>
      <c r="M116" s="92" t="s">
        <v>149</v>
      </c>
      <c r="N116" s="84" t="s">
        <v>98</v>
      </c>
      <c r="O116" s="85" t="s">
        <v>56</v>
      </c>
      <c r="P116" s="86" t="n">
        <v>34.1</v>
      </c>
      <c r="Q116" s="86" t="n">
        <v>15</v>
      </c>
      <c r="R116" s="87" t="n">
        <f aca="false">P116*Q116</f>
        <v>511.5</v>
      </c>
      <c r="S116" s="93"/>
      <c r="T116" s="94"/>
      <c r="U116" s="95"/>
    </row>
    <row r="117" customFormat="false" ht="18.75" hidden="false" customHeight="true" outlineLevel="0" collapsed="false">
      <c r="A117" s="91"/>
      <c r="B117" s="92" t="s">
        <v>149</v>
      </c>
      <c r="C117" s="84" t="s">
        <v>88</v>
      </c>
      <c r="D117" s="85" t="s">
        <v>56</v>
      </c>
      <c r="E117" s="86" t="n">
        <v>16.4</v>
      </c>
      <c r="F117" s="86" t="n">
        <v>15</v>
      </c>
      <c r="G117" s="87" t="n">
        <f aca="false">E117*F117</f>
        <v>246</v>
      </c>
      <c r="H117" s="93"/>
      <c r="I117" s="94"/>
      <c r="J117" s="95"/>
      <c r="K117" s="3"/>
      <c r="L117" s="91"/>
      <c r="M117" s="92" t="s">
        <v>149</v>
      </c>
      <c r="N117" s="84" t="s">
        <v>88</v>
      </c>
      <c r="O117" s="85" t="s">
        <v>56</v>
      </c>
      <c r="P117" s="86" t="n">
        <v>16.4</v>
      </c>
      <c r="Q117" s="86" t="n">
        <v>15</v>
      </c>
      <c r="R117" s="87" t="n">
        <f aca="false">P117*Q117</f>
        <v>246</v>
      </c>
      <c r="S117" s="93"/>
      <c r="T117" s="94"/>
      <c r="U117" s="95"/>
    </row>
    <row r="118" customFormat="false" ht="18.75" hidden="false" customHeight="true" outlineLevel="0" collapsed="false">
      <c r="A118" s="91"/>
      <c r="B118" s="92" t="s">
        <v>149</v>
      </c>
      <c r="C118" s="84" t="s">
        <v>151</v>
      </c>
      <c r="D118" s="85" t="s">
        <v>56</v>
      </c>
      <c r="E118" s="86" t="n">
        <v>18.9</v>
      </c>
      <c r="F118" s="86" t="n">
        <v>15</v>
      </c>
      <c r="G118" s="87" t="n">
        <f aca="false">E118*F118</f>
        <v>283.5</v>
      </c>
      <c r="H118" s="93"/>
      <c r="I118" s="94"/>
      <c r="J118" s="95"/>
      <c r="K118" s="3"/>
      <c r="L118" s="91"/>
      <c r="M118" s="92" t="s">
        <v>149</v>
      </c>
      <c r="N118" s="84" t="s">
        <v>151</v>
      </c>
      <c r="O118" s="85" t="s">
        <v>56</v>
      </c>
      <c r="P118" s="86" t="n">
        <v>18.9</v>
      </c>
      <c r="Q118" s="86" t="n">
        <v>15</v>
      </c>
      <c r="R118" s="87" t="n">
        <f aca="false">P118*Q118</f>
        <v>283.5</v>
      </c>
      <c r="S118" s="93"/>
      <c r="T118" s="94"/>
      <c r="U118" s="95"/>
    </row>
    <row r="119" customFormat="false" ht="18.75" hidden="false" customHeight="true" outlineLevel="0" collapsed="false">
      <c r="A119" s="91"/>
      <c r="B119" s="92" t="s">
        <v>149</v>
      </c>
      <c r="C119" s="84" t="s">
        <v>80</v>
      </c>
      <c r="D119" s="85" t="s">
        <v>56</v>
      </c>
      <c r="E119" s="86" t="n">
        <v>16.42</v>
      </c>
      <c r="F119" s="86" t="n">
        <v>15</v>
      </c>
      <c r="G119" s="87" t="n">
        <f aca="false">E119*F119</f>
        <v>246.3</v>
      </c>
      <c r="H119" s="93"/>
      <c r="I119" s="94"/>
      <c r="J119" s="95"/>
      <c r="K119" s="3"/>
      <c r="L119" s="91"/>
      <c r="M119" s="92" t="s">
        <v>149</v>
      </c>
      <c r="N119" s="84" t="s">
        <v>80</v>
      </c>
      <c r="O119" s="85" t="s">
        <v>56</v>
      </c>
      <c r="P119" s="86" t="n">
        <v>16.42</v>
      </c>
      <c r="Q119" s="86" t="n">
        <v>15</v>
      </c>
      <c r="R119" s="87" t="n">
        <f aca="false">P119*Q119</f>
        <v>246.3</v>
      </c>
      <c r="S119" s="93"/>
      <c r="T119" s="94"/>
      <c r="U119" s="95"/>
    </row>
    <row r="120" customFormat="false" ht="18.75" hidden="false" customHeight="true" outlineLevel="0" collapsed="false">
      <c r="A120" s="91"/>
      <c r="B120" s="92" t="s">
        <v>149</v>
      </c>
      <c r="C120" s="84" t="s">
        <v>81</v>
      </c>
      <c r="D120" s="85" t="s">
        <v>56</v>
      </c>
      <c r="E120" s="86" t="n">
        <v>15.11</v>
      </c>
      <c r="F120" s="86" t="n">
        <v>15</v>
      </c>
      <c r="G120" s="87" t="n">
        <f aca="false">E120*F120</f>
        <v>226.65</v>
      </c>
      <c r="H120" s="93"/>
      <c r="I120" s="94"/>
      <c r="J120" s="95"/>
      <c r="K120" s="3"/>
      <c r="L120" s="91"/>
      <c r="M120" s="92" t="s">
        <v>149</v>
      </c>
      <c r="N120" s="84" t="s">
        <v>81</v>
      </c>
      <c r="O120" s="85" t="s">
        <v>56</v>
      </c>
      <c r="P120" s="86" t="n">
        <v>15.11</v>
      </c>
      <c r="Q120" s="86" t="n">
        <v>15</v>
      </c>
      <c r="R120" s="87" t="n">
        <f aca="false">P120*Q120</f>
        <v>226.65</v>
      </c>
      <c r="S120" s="93"/>
      <c r="T120" s="94"/>
      <c r="U120" s="95"/>
    </row>
    <row r="121" customFormat="false" ht="18.75" hidden="false" customHeight="true" outlineLevel="0" collapsed="false">
      <c r="A121" s="91"/>
      <c r="B121" s="92" t="s">
        <v>149</v>
      </c>
      <c r="C121" s="84" t="s">
        <v>100</v>
      </c>
      <c r="D121" s="85" t="s">
        <v>56</v>
      </c>
      <c r="E121" s="86" t="n">
        <v>17.08</v>
      </c>
      <c r="F121" s="86" t="n">
        <v>15</v>
      </c>
      <c r="G121" s="87" t="n">
        <f aca="false">E121*F121</f>
        <v>256.2</v>
      </c>
      <c r="H121" s="93"/>
      <c r="I121" s="94"/>
      <c r="J121" s="95"/>
      <c r="K121" s="3"/>
      <c r="L121" s="91"/>
      <c r="M121" s="92" t="s">
        <v>149</v>
      </c>
      <c r="N121" s="84" t="s">
        <v>100</v>
      </c>
      <c r="O121" s="85" t="s">
        <v>56</v>
      </c>
      <c r="P121" s="86" t="n">
        <v>17.08</v>
      </c>
      <c r="Q121" s="86" t="n">
        <v>15</v>
      </c>
      <c r="R121" s="87" t="n">
        <f aca="false">P121*Q121</f>
        <v>256.2</v>
      </c>
      <c r="S121" s="93"/>
      <c r="T121" s="94"/>
      <c r="U121" s="95"/>
    </row>
    <row r="122" customFormat="false" ht="18.75" hidden="false" customHeight="true" outlineLevel="0" collapsed="false">
      <c r="A122" s="91"/>
      <c r="B122" s="92" t="s">
        <v>149</v>
      </c>
      <c r="C122" s="84" t="s">
        <v>129</v>
      </c>
      <c r="D122" s="85" t="s">
        <v>56</v>
      </c>
      <c r="E122" s="86" t="n">
        <v>15.22</v>
      </c>
      <c r="F122" s="86" t="n">
        <v>15</v>
      </c>
      <c r="G122" s="87" t="n">
        <f aca="false">E122*F122</f>
        <v>228.3</v>
      </c>
      <c r="H122" s="93"/>
      <c r="I122" s="94"/>
      <c r="J122" s="95"/>
      <c r="K122" s="3"/>
      <c r="L122" s="91"/>
      <c r="M122" s="92" t="s">
        <v>149</v>
      </c>
      <c r="N122" s="84" t="s">
        <v>129</v>
      </c>
      <c r="O122" s="85" t="s">
        <v>56</v>
      </c>
      <c r="P122" s="86" t="n">
        <v>15.22</v>
      </c>
      <c r="Q122" s="86" t="n">
        <v>15</v>
      </c>
      <c r="R122" s="87" t="n">
        <f aca="false">P122*Q122</f>
        <v>228.3</v>
      </c>
      <c r="S122" s="93"/>
      <c r="T122" s="94"/>
      <c r="U122" s="95"/>
    </row>
    <row r="123" customFormat="false" ht="18.75" hidden="false" customHeight="true" outlineLevel="0" collapsed="false">
      <c r="A123" s="82" t="s">
        <v>22</v>
      </c>
      <c r="B123" s="83" t="s">
        <v>152</v>
      </c>
      <c r="C123" s="97" t="s">
        <v>91</v>
      </c>
      <c r="D123" s="98" t="s">
        <v>55</v>
      </c>
      <c r="E123" s="99" t="n">
        <v>7</v>
      </c>
      <c r="F123" s="99" t="n">
        <v>18</v>
      </c>
      <c r="G123" s="100" t="n">
        <f aca="false">E123*F123</f>
        <v>126</v>
      </c>
      <c r="H123" s="88" t="n">
        <f aca="false">SUMIF(B:B,B123,G:G)</f>
        <v>889.1</v>
      </c>
      <c r="I123" s="89" t="n">
        <v>5310</v>
      </c>
      <c r="J123" s="90" t="n">
        <f aca="false">IFERROR((I123-H123)/I123,"")</f>
        <v>0.83256120527307</v>
      </c>
      <c r="K123" s="3"/>
      <c r="L123" s="82" t="s">
        <v>22</v>
      </c>
      <c r="M123" s="83" t="s">
        <v>152</v>
      </c>
      <c r="N123" s="97" t="s">
        <v>91</v>
      </c>
      <c r="O123" s="98" t="s">
        <v>55</v>
      </c>
      <c r="P123" s="101"/>
      <c r="Q123" s="101"/>
      <c r="R123" s="102" t="n">
        <v>0</v>
      </c>
      <c r="S123" s="88" t="n">
        <f aca="false">SUMIF(M:M,M123,R:R)</f>
        <v>763.1</v>
      </c>
      <c r="T123" s="89" t="n">
        <f aca="false">I123</f>
        <v>5310</v>
      </c>
      <c r="U123" s="90" t="n">
        <f aca="false">IFERROR((T123-S123)/T123,"")</f>
        <v>0.856290018832392</v>
      </c>
    </row>
    <row r="124" customFormat="false" ht="18.75" hidden="false" customHeight="true" outlineLevel="0" collapsed="false">
      <c r="A124" s="91"/>
      <c r="B124" s="92" t="s">
        <v>152</v>
      </c>
      <c r="C124" s="84" t="s">
        <v>148</v>
      </c>
      <c r="D124" s="85" t="s">
        <v>56</v>
      </c>
      <c r="E124" s="86" t="n">
        <v>29.55</v>
      </c>
      <c r="F124" s="86" t="n">
        <v>13</v>
      </c>
      <c r="G124" s="87" t="n">
        <f aca="false">E124*F124</f>
        <v>384.15</v>
      </c>
      <c r="H124" s="93"/>
      <c r="I124" s="94"/>
      <c r="J124" s="95"/>
      <c r="K124" s="3"/>
      <c r="L124" s="91"/>
      <c r="M124" s="92" t="s">
        <v>152</v>
      </c>
      <c r="N124" s="84" t="s">
        <v>148</v>
      </c>
      <c r="O124" s="85" t="s">
        <v>56</v>
      </c>
      <c r="P124" s="86" t="n">
        <v>29.55</v>
      </c>
      <c r="Q124" s="86" t="n">
        <v>13</v>
      </c>
      <c r="R124" s="87" t="n">
        <f aca="false">P124*Q124</f>
        <v>384.15</v>
      </c>
      <c r="S124" s="93"/>
      <c r="T124" s="94"/>
      <c r="U124" s="95"/>
    </row>
    <row r="125" customFormat="false" ht="18.75" hidden="false" customHeight="true" outlineLevel="0" collapsed="false">
      <c r="A125" s="91"/>
      <c r="B125" s="92" t="s">
        <v>152</v>
      </c>
      <c r="C125" s="84" t="s">
        <v>142</v>
      </c>
      <c r="D125" s="85" t="s">
        <v>56</v>
      </c>
      <c r="E125" s="86" t="n">
        <v>6.9</v>
      </c>
      <c r="F125" s="86" t="n">
        <v>13</v>
      </c>
      <c r="G125" s="87" t="n">
        <f aca="false">E125*F125</f>
        <v>89.7</v>
      </c>
      <c r="H125" s="93"/>
      <c r="I125" s="94"/>
      <c r="J125" s="95"/>
      <c r="K125" s="3"/>
      <c r="L125" s="91"/>
      <c r="M125" s="92" t="s">
        <v>152</v>
      </c>
      <c r="N125" s="84" t="s">
        <v>142</v>
      </c>
      <c r="O125" s="85" t="s">
        <v>56</v>
      </c>
      <c r="P125" s="86" t="n">
        <v>6.9</v>
      </c>
      <c r="Q125" s="86" t="n">
        <v>13</v>
      </c>
      <c r="R125" s="87" t="n">
        <f aca="false">P125*Q125</f>
        <v>89.7</v>
      </c>
      <c r="S125" s="93"/>
      <c r="T125" s="94"/>
      <c r="U125" s="95"/>
    </row>
    <row r="126" customFormat="false" ht="18.75" hidden="false" customHeight="true" outlineLevel="0" collapsed="false">
      <c r="A126" s="91"/>
      <c r="B126" s="92" t="s">
        <v>152</v>
      </c>
      <c r="C126" s="84" t="s">
        <v>98</v>
      </c>
      <c r="D126" s="85" t="s">
        <v>56</v>
      </c>
      <c r="E126" s="86" t="n">
        <v>8.7</v>
      </c>
      <c r="F126" s="86" t="n">
        <v>13</v>
      </c>
      <c r="G126" s="87" t="n">
        <f aca="false">E126*F126</f>
        <v>113.1</v>
      </c>
      <c r="H126" s="93"/>
      <c r="I126" s="94"/>
      <c r="J126" s="95"/>
      <c r="K126" s="3"/>
      <c r="L126" s="91"/>
      <c r="M126" s="92" t="s">
        <v>152</v>
      </c>
      <c r="N126" s="84" t="s">
        <v>98</v>
      </c>
      <c r="O126" s="85" t="s">
        <v>56</v>
      </c>
      <c r="P126" s="86" t="n">
        <v>8.7</v>
      </c>
      <c r="Q126" s="86" t="n">
        <v>13</v>
      </c>
      <c r="R126" s="87" t="n">
        <f aca="false">P126*Q126</f>
        <v>113.1</v>
      </c>
      <c r="S126" s="93"/>
      <c r="T126" s="94"/>
      <c r="U126" s="95"/>
    </row>
    <row r="127" customFormat="false" ht="18.75" hidden="false" customHeight="true" outlineLevel="0" collapsed="false">
      <c r="A127" s="91"/>
      <c r="B127" s="92" t="s">
        <v>152</v>
      </c>
      <c r="C127" s="84" t="s">
        <v>145</v>
      </c>
      <c r="D127" s="85" t="s">
        <v>56</v>
      </c>
      <c r="E127" s="86" t="n">
        <v>13.55</v>
      </c>
      <c r="F127" s="86" t="n">
        <v>13</v>
      </c>
      <c r="G127" s="87" t="n">
        <f aca="false">E127*F127</f>
        <v>176.15</v>
      </c>
      <c r="H127" s="93"/>
      <c r="I127" s="94"/>
      <c r="J127" s="95"/>
      <c r="K127" s="3"/>
      <c r="L127" s="91"/>
      <c r="M127" s="92" t="s">
        <v>152</v>
      </c>
      <c r="N127" s="84" t="s">
        <v>145</v>
      </c>
      <c r="O127" s="85" t="s">
        <v>56</v>
      </c>
      <c r="P127" s="86" t="n">
        <v>13.55</v>
      </c>
      <c r="Q127" s="86" t="n">
        <v>13</v>
      </c>
      <c r="R127" s="87" t="n">
        <f aca="false">P127*Q127</f>
        <v>176.15</v>
      </c>
      <c r="S127" s="93"/>
      <c r="T127" s="94"/>
      <c r="U127" s="95"/>
    </row>
    <row r="128" customFormat="false" ht="18.75" hidden="false" customHeight="true" outlineLevel="0" collapsed="false">
      <c r="A128" s="82" t="s">
        <v>22</v>
      </c>
      <c r="B128" s="83" t="s">
        <v>153</v>
      </c>
      <c r="C128" s="97" t="s">
        <v>91</v>
      </c>
      <c r="D128" s="98" t="s">
        <v>55</v>
      </c>
      <c r="E128" s="99" t="n">
        <v>21</v>
      </c>
      <c r="F128" s="99" t="n">
        <v>18</v>
      </c>
      <c r="G128" s="100" t="n">
        <f aca="false">E128*F128</f>
        <v>378</v>
      </c>
      <c r="H128" s="88" t="n">
        <f aca="false">SUMIF(B:B,B128,G:G)</f>
        <v>1109.51</v>
      </c>
      <c r="I128" s="89" t="n">
        <v>2500</v>
      </c>
      <c r="J128" s="90" t="n">
        <f aca="false">IFERROR((I128-H128)/I128,"")</f>
        <v>0.556196</v>
      </c>
      <c r="K128" s="3"/>
      <c r="L128" s="82" t="s">
        <v>22</v>
      </c>
      <c r="M128" s="83" t="s">
        <v>153</v>
      </c>
      <c r="N128" s="97" t="s">
        <v>91</v>
      </c>
      <c r="O128" s="98" t="s">
        <v>55</v>
      </c>
      <c r="P128" s="101"/>
      <c r="Q128" s="101"/>
      <c r="R128" s="102" t="n">
        <v>0</v>
      </c>
      <c r="S128" s="88" t="n">
        <f aca="false">SUMIF(M:M,M128,R:R)</f>
        <v>731.51</v>
      </c>
      <c r="T128" s="89" t="n">
        <f aca="false">I128</f>
        <v>2500</v>
      </c>
      <c r="U128" s="90" t="n">
        <f aca="false">IFERROR((T128-S128)/T128,"")</f>
        <v>0.707396</v>
      </c>
    </row>
    <row r="129" customFormat="false" ht="18.75" hidden="false" customHeight="true" outlineLevel="0" collapsed="false">
      <c r="A129" s="91"/>
      <c r="B129" s="92" t="s">
        <v>153</v>
      </c>
      <c r="C129" s="84" t="s">
        <v>154</v>
      </c>
      <c r="D129" s="85" t="s">
        <v>56</v>
      </c>
      <c r="E129" s="86" t="n">
        <v>9.5</v>
      </c>
      <c r="F129" s="86" t="n">
        <v>13</v>
      </c>
      <c r="G129" s="87" t="n">
        <f aca="false">E129*F129</f>
        <v>123.5</v>
      </c>
      <c r="H129" s="93"/>
      <c r="I129" s="94"/>
      <c r="J129" s="95"/>
      <c r="K129" s="3"/>
      <c r="L129" s="91"/>
      <c r="M129" s="92" t="s">
        <v>153</v>
      </c>
      <c r="N129" s="84" t="s">
        <v>154</v>
      </c>
      <c r="O129" s="85" t="s">
        <v>56</v>
      </c>
      <c r="P129" s="86" t="n">
        <v>9.5</v>
      </c>
      <c r="Q129" s="86" t="n">
        <v>13</v>
      </c>
      <c r="R129" s="87" t="n">
        <f aca="false">P129*Q129</f>
        <v>123.5</v>
      </c>
      <c r="S129" s="93"/>
      <c r="T129" s="94"/>
      <c r="U129" s="95"/>
    </row>
    <row r="130" customFormat="false" ht="18.75" hidden="false" customHeight="true" outlineLevel="0" collapsed="false">
      <c r="A130" s="91"/>
      <c r="B130" s="92" t="s">
        <v>153</v>
      </c>
      <c r="C130" s="84" t="s">
        <v>142</v>
      </c>
      <c r="D130" s="85" t="s">
        <v>56</v>
      </c>
      <c r="E130" s="86" t="n">
        <v>11.9</v>
      </c>
      <c r="F130" s="86" t="n">
        <v>13</v>
      </c>
      <c r="G130" s="87" t="n">
        <f aca="false">E130*F130</f>
        <v>154.7</v>
      </c>
      <c r="H130" s="93"/>
      <c r="I130" s="94"/>
      <c r="J130" s="95"/>
      <c r="K130" s="3"/>
      <c r="L130" s="91"/>
      <c r="M130" s="92" t="s">
        <v>153</v>
      </c>
      <c r="N130" s="84" t="s">
        <v>142</v>
      </c>
      <c r="O130" s="85" t="s">
        <v>56</v>
      </c>
      <c r="P130" s="86" t="n">
        <v>11.9</v>
      </c>
      <c r="Q130" s="86" t="n">
        <v>13</v>
      </c>
      <c r="R130" s="87" t="n">
        <f aca="false">P130*Q130</f>
        <v>154.7</v>
      </c>
      <c r="S130" s="93"/>
      <c r="T130" s="94"/>
      <c r="U130" s="95"/>
    </row>
    <row r="131" customFormat="false" ht="18.75" hidden="false" customHeight="true" outlineLevel="0" collapsed="false">
      <c r="A131" s="91"/>
      <c r="B131" s="92" t="s">
        <v>153</v>
      </c>
      <c r="C131" s="84" t="s">
        <v>143</v>
      </c>
      <c r="D131" s="85" t="s">
        <v>56</v>
      </c>
      <c r="E131" s="86" t="n">
        <v>21.6</v>
      </c>
      <c r="F131" s="86" t="n">
        <v>13</v>
      </c>
      <c r="G131" s="87" t="n">
        <f aca="false">E131*F131</f>
        <v>280.8</v>
      </c>
      <c r="H131" s="93"/>
      <c r="I131" s="94"/>
      <c r="J131" s="95"/>
      <c r="K131" s="3"/>
      <c r="L131" s="91"/>
      <c r="M131" s="92" t="s">
        <v>153</v>
      </c>
      <c r="N131" s="84" t="s">
        <v>143</v>
      </c>
      <c r="O131" s="85" t="s">
        <v>56</v>
      </c>
      <c r="P131" s="86" t="n">
        <v>21.6</v>
      </c>
      <c r="Q131" s="86" t="n">
        <v>13</v>
      </c>
      <c r="R131" s="87" t="n">
        <f aca="false">P131*Q131</f>
        <v>280.8</v>
      </c>
      <c r="S131" s="93"/>
      <c r="T131" s="94"/>
      <c r="U131" s="95"/>
    </row>
    <row r="132" customFormat="false" ht="18.75" hidden="false" customHeight="true" outlineLevel="0" collapsed="false">
      <c r="A132" s="91"/>
      <c r="B132" s="92" t="s">
        <v>153</v>
      </c>
      <c r="C132" s="84" t="s">
        <v>145</v>
      </c>
      <c r="D132" s="85" t="s">
        <v>56</v>
      </c>
      <c r="E132" s="86" t="n">
        <v>13.27</v>
      </c>
      <c r="F132" s="86" t="n">
        <v>13</v>
      </c>
      <c r="G132" s="87" t="n">
        <f aca="false">E132*F132</f>
        <v>172.51</v>
      </c>
      <c r="H132" s="93"/>
      <c r="I132" s="94"/>
      <c r="J132" s="95"/>
      <c r="K132" s="3"/>
      <c r="L132" s="91"/>
      <c r="M132" s="92" t="s">
        <v>153</v>
      </c>
      <c r="N132" s="84" t="s">
        <v>145</v>
      </c>
      <c r="O132" s="85" t="s">
        <v>56</v>
      </c>
      <c r="P132" s="86" t="n">
        <v>13.27</v>
      </c>
      <c r="Q132" s="86" t="n">
        <v>13</v>
      </c>
      <c r="R132" s="87" t="n">
        <f aca="false">P132*Q132</f>
        <v>172.51</v>
      </c>
      <c r="S132" s="93"/>
      <c r="T132" s="94"/>
      <c r="U132" s="95"/>
    </row>
    <row r="133" customFormat="false" ht="18.75" hidden="false" customHeight="true" outlineLevel="0" collapsed="false">
      <c r="A133" s="82" t="s">
        <v>22</v>
      </c>
      <c r="B133" s="83" t="s">
        <v>155</v>
      </c>
      <c r="C133" s="97" t="s">
        <v>113</v>
      </c>
      <c r="D133" s="98" t="s">
        <v>55</v>
      </c>
      <c r="E133" s="99" t="n">
        <v>84</v>
      </c>
      <c r="F133" s="99" t="n">
        <v>18</v>
      </c>
      <c r="G133" s="100" t="n">
        <f aca="false">E133*F133</f>
        <v>1512</v>
      </c>
      <c r="H133" s="88" t="n">
        <f aca="false">SUMIF(B:B,B133,G:G)</f>
        <v>27709</v>
      </c>
      <c r="I133" s="89" t="n">
        <v>79200</v>
      </c>
      <c r="J133" s="90" t="n">
        <f aca="false">IFERROR((I133-H133)/I133,"")</f>
        <v>0.650138888888889</v>
      </c>
      <c r="K133" s="3"/>
      <c r="L133" s="82" t="s">
        <v>22</v>
      </c>
      <c r="M133" s="83" t="s">
        <v>155</v>
      </c>
      <c r="N133" s="97" t="s">
        <v>113</v>
      </c>
      <c r="O133" s="98" t="s">
        <v>55</v>
      </c>
      <c r="P133" s="101"/>
      <c r="Q133" s="101"/>
      <c r="R133" s="102" t="n">
        <v>0</v>
      </c>
      <c r="S133" s="88" t="n">
        <f aca="false">SUMIF(M:M,M133,R:R)</f>
        <v>26197</v>
      </c>
      <c r="T133" s="89" t="n">
        <f aca="false">I133</f>
        <v>79200</v>
      </c>
      <c r="U133" s="90" t="n">
        <f aca="false">IFERROR((T133-S133)/T133,"")</f>
        <v>0.669229797979798</v>
      </c>
    </row>
    <row r="134" customFormat="false" ht="18.75" hidden="false" customHeight="true" outlineLevel="0" collapsed="false">
      <c r="A134" s="91"/>
      <c r="B134" s="92" t="s">
        <v>155</v>
      </c>
      <c r="C134" s="84" t="s">
        <v>89</v>
      </c>
      <c r="D134" s="85" t="s">
        <v>56</v>
      </c>
      <c r="E134" s="86" t="n">
        <v>148</v>
      </c>
      <c r="F134" s="86" t="n">
        <v>15</v>
      </c>
      <c r="G134" s="87" t="n">
        <f aca="false">E134*F134</f>
        <v>2220</v>
      </c>
      <c r="H134" s="93"/>
      <c r="I134" s="94"/>
      <c r="J134" s="95"/>
      <c r="K134" s="3"/>
      <c r="L134" s="91"/>
      <c r="M134" s="92" t="s">
        <v>155</v>
      </c>
      <c r="N134" s="84" t="s">
        <v>89</v>
      </c>
      <c r="O134" s="85" t="s">
        <v>56</v>
      </c>
      <c r="P134" s="86" t="n">
        <v>148</v>
      </c>
      <c r="Q134" s="86" t="n">
        <v>15</v>
      </c>
      <c r="R134" s="87" t="n">
        <f aca="false">P134*Q134</f>
        <v>2220</v>
      </c>
      <c r="S134" s="93"/>
      <c r="T134" s="94"/>
      <c r="U134" s="95"/>
    </row>
    <row r="135" customFormat="false" ht="18.75" hidden="false" customHeight="true" outlineLevel="0" collapsed="false">
      <c r="A135" s="91"/>
      <c r="B135" s="92" t="s">
        <v>155</v>
      </c>
      <c r="C135" s="84" t="s">
        <v>156</v>
      </c>
      <c r="D135" s="85" t="s">
        <v>56</v>
      </c>
      <c r="E135" s="86" t="n">
        <v>148</v>
      </c>
      <c r="F135" s="86" t="n">
        <v>15</v>
      </c>
      <c r="G135" s="87" t="n">
        <f aca="false">E135*F135</f>
        <v>2220</v>
      </c>
      <c r="H135" s="93"/>
      <c r="I135" s="94"/>
      <c r="J135" s="95"/>
      <c r="K135" s="3"/>
      <c r="L135" s="91"/>
      <c r="M135" s="92" t="s">
        <v>155</v>
      </c>
      <c r="N135" s="84" t="s">
        <v>156</v>
      </c>
      <c r="O135" s="85" t="s">
        <v>56</v>
      </c>
      <c r="P135" s="86" t="n">
        <v>148</v>
      </c>
      <c r="Q135" s="86" t="n">
        <v>15</v>
      </c>
      <c r="R135" s="87" t="n">
        <f aca="false">P135*Q135</f>
        <v>2220</v>
      </c>
      <c r="S135" s="93"/>
      <c r="T135" s="94"/>
      <c r="U135" s="95"/>
    </row>
    <row r="136" customFormat="false" ht="18.75" hidden="false" customHeight="true" outlineLevel="0" collapsed="false">
      <c r="A136" s="91"/>
      <c r="B136" s="92" t="s">
        <v>155</v>
      </c>
      <c r="C136" s="84" t="s">
        <v>157</v>
      </c>
      <c r="D136" s="85" t="s">
        <v>56</v>
      </c>
      <c r="E136" s="86" t="n">
        <v>94</v>
      </c>
      <c r="F136" s="86" t="n">
        <v>13</v>
      </c>
      <c r="G136" s="87" t="n">
        <f aca="false">E136*F136</f>
        <v>1222</v>
      </c>
      <c r="H136" s="93"/>
      <c r="I136" s="94"/>
      <c r="J136" s="95"/>
      <c r="K136" s="3"/>
      <c r="L136" s="91"/>
      <c r="M136" s="92" t="s">
        <v>155</v>
      </c>
      <c r="N136" s="84" t="s">
        <v>157</v>
      </c>
      <c r="O136" s="85" t="s">
        <v>56</v>
      </c>
      <c r="P136" s="86" t="n">
        <v>94</v>
      </c>
      <c r="Q136" s="86" t="n">
        <v>13</v>
      </c>
      <c r="R136" s="87" t="n">
        <f aca="false">P136*Q136</f>
        <v>1222</v>
      </c>
      <c r="S136" s="93"/>
      <c r="T136" s="94"/>
      <c r="U136" s="95"/>
    </row>
    <row r="137" customFormat="false" ht="18.75" hidden="false" customHeight="true" outlineLevel="0" collapsed="false">
      <c r="A137" s="91"/>
      <c r="B137" s="92" t="s">
        <v>155</v>
      </c>
      <c r="C137" s="84" t="s">
        <v>151</v>
      </c>
      <c r="D137" s="85" t="s">
        <v>56</v>
      </c>
      <c r="E137" s="86" t="n">
        <v>69</v>
      </c>
      <c r="F137" s="86" t="n">
        <v>13</v>
      </c>
      <c r="G137" s="87" t="n">
        <f aca="false">E137*F137</f>
        <v>897</v>
      </c>
      <c r="H137" s="93"/>
      <c r="I137" s="94"/>
      <c r="J137" s="95"/>
      <c r="K137" s="3"/>
      <c r="L137" s="91"/>
      <c r="M137" s="92" t="s">
        <v>155</v>
      </c>
      <c r="N137" s="84" t="s">
        <v>151</v>
      </c>
      <c r="O137" s="85" t="s">
        <v>56</v>
      </c>
      <c r="P137" s="86" t="n">
        <v>69</v>
      </c>
      <c r="Q137" s="86" t="n">
        <v>13</v>
      </c>
      <c r="R137" s="87" t="n">
        <f aca="false">P137*Q137</f>
        <v>897</v>
      </c>
      <c r="S137" s="93"/>
      <c r="T137" s="94"/>
      <c r="U137" s="95"/>
    </row>
    <row r="138" customFormat="false" ht="18.75" hidden="false" customHeight="true" outlineLevel="0" collapsed="false">
      <c r="A138" s="91"/>
      <c r="B138" s="92" t="s">
        <v>155</v>
      </c>
      <c r="C138" s="84" t="s">
        <v>131</v>
      </c>
      <c r="D138" s="96" t="s">
        <v>57</v>
      </c>
      <c r="E138" s="91"/>
      <c r="F138" s="91"/>
      <c r="G138" s="87" t="n">
        <v>120</v>
      </c>
      <c r="H138" s="93"/>
      <c r="I138" s="94"/>
      <c r="J138" s="95"/>
      <c r="K138" s="3"/>
      <c r="L138" s="91"/>
      <c r="M138" s="92" t="s">
        <v>155</v>
      </c>
      <c r="N138" s="84" t="s">
        <v>131</v>
      </c>
      <c r="O138" s="96" t="s">
        <v>57</v>
      </c>
      <c r="P138" s="91"/>
      <c r="Q138" s="91"/>
      <c r="R138" s="87" t="n">
        <v>120</v>
      </c>
      <c r="S138" s="93"/>
      <c r="T138" s="94"/>
      <c r="U138" s="95"/>
    </row>
    <row r="139" customFormat="false" ht="18.75" hidden="false" customHeight="true" outlineLevel="0" collapsed="false">
      <c r="A139" s="91"/>
      <c r="B139" s="92" t="s">
        <v>155</v>
      </c>
      <c r="C139" s="84" t="s">
        <v>118</v>
      </c>
      <c r="D139" s="85" t="s">
        <v>56</v>
      </c>
      <c r="E139" s="86" t="n">
        <v>118</v>
      </c>
      <c r="F139" s="86" t="n">
        <v>13</v>
      </c>
      <c r="G139" s="87" t="n">
        <f aca="false">E139*F139</f>
        <v>1534</v>
      </c>
      <c r="H139" s="93"/>
      <c r="I139" s="94"/>
      <c r="J139" s="95"/>
      <c r="K139" s="3"/>
      <c r="L139" s="91"/>
      <c r="M139" s="92" t="s">
        <v>155</v>
      </c>
      <c r="N139" s="84" t="s">
        <v>118</v>
      </c>
      <c r="O139" s="85" t="s">
        <v>56</v>
      </c>
      <c r="P139" s="86" t="n">
        <v>118</v>
      </c>
      <c r="Q139" s="86" t="n">
        <v>13</v>
      </c>
      <c r="R139" s="87" t="n">
        <f aca="false">P139*Q139</f>
        <v>1534</v>
      </c>
      <c r="S139" s="93"/>
      <c r="T139" s="94"/>
      <c r="U139" s="95"/>
    </row>
    <row r="140" customFormat="false" ht="18.75" hidden="false" customHeight="true" outlineLevel="0" collapsed="false">
      <c r="A140" s="91"/>
      <c r="B140" s="92" t="s">
        <v>155</v>
      </c>
      <c r="C140" s="84" t="s">
        <v>158</v>
      </c>
      <c r="D140" s="85" t="s">
        <v>56</v>
      </c>
      <c r="E140" s="86" t="n">
        <v>67</v>
      </c>
      <c r="F140" s="86" t="n">
        <v>13</v>
      </c>
      <c r="G140" s="87" t="n">
        <f aca="false">E140*F140</f>
        <v>871</v>
      </c>
      <c r="H140" s="93"/>
      <c r="I140" s="94"/>
      <c r="J140" s="95"/>
      <c r="K140" s="3"/>
      <c r="L140" s="91"/>
      <c r="M140" s="92" t="s">
        <v>155</v>
      </c>
      <c r="N140" s="84" t="s">
        <v>158</v>
      </c>
      <c r="O140" s="85" t="s">
        <v>56</v>
      </c>
      <c r="P140" s="86" t="n">
        <v>67</v>
      </c>
      <c r="Q140" s="86" t="n">
        <v>13</v>
      </c>
      <c r="R140" s="87" t="n">
        <f aca="false">P140*Q140</f>
        <v>871</v>
      </c>
      <c r="S140" s="93"/>
      <c r="T140" s="94"/>
      <c r="U140" s="95"/>
    </row>
    <row r="141" customFormat="false" ht="18.75" hidden="false" customHeight="true" outlineLevel="0" collapsed="false">
      <c r="A141" s="91"/>
      <c r="B141" s="92" t="s">
        <v>155</v>
      </c>
      <c r="C141" s="84" t="s">
        <v>106</v>
      </c>
      <c r="D141" s="85" t="s">
        <v>56</v>
      </c>
      <c r="E141" s="86" t="n">
        <v>72</v>
      </c>
      <c r="F141" s="86" t="n">
        <v>13</v>
      </c>
      <c r="G141" s="87" t="n">
        <f aca="false">E141*F141</f>
        <v>936</v>
      </c>
      <c r="H141" s="93"/>
      <c r="I141" s="94"/>
      <c r="J141" s="95"/>
      <c r="K141" s="3"/>
      <c r="L141" s="91"/>
      <c r="M141" s="92" t="s">
        <v>155</v>
      </c>
      <c r="N141" s="84" t="s">
        <v>106</v>
      </c>
      <c r="O141" s="85" t="s">
        <v>56</v>
      </c>
      <c r="P141" s="86" t="n">
        <v>72</v>
      </c>
      <c r="Q141" s="86" t="n">
        <v>13</v>
      </c>
      <c r="R141" s="87" t="n">
        <f aca="false">P141*Q141</f>
        <v>936</v>
      </c>
      <c r="S141" s="93"/>
      <c r="T141" s="94"/>
      <c r="U141" s="95"/>
    </row>
    <row r="142" customFormat="false" ht="18.75" hidden="false" customHeight="true" outlineLevel="0" collapsed="false">
      <c r="A142" s="91"/>
      <c r="B142" s="92" t="s">
        <v>155</v>
      </c>
      <c r="C142" s="84" t="s">
        <v>159</v>
      </c>
      <c r="D142" s="85" t="s">
        <v>56</v>
      </c>
      <c r="E142" s="86" t="n">
        <v>66</v>
      </c>
      <c r="F142" s="86" t="n">
        <v>13</v>
      </c>
      <c r="G142" s="87" t="n">
        <f aca="false">E142*F142</f>
        <v>858</v>
      </c>
      <c r="H142" s="93"/>
      <c r="I142" s="94"/>
      <c r="J142" s="95"/>
      <c r="K142" s="3"/>
      <c r="L142" s="91"/>
      <c r="M142" s="92" t="s">
        <v>155</v>
      </c>
      <c r="N142" s="84" t="s">
        <v>159</v>
      </c>
      <c r="O142" s="85" t="s">
        <v>56</v>
      </c>
      <c r="P142" s="86" t="n">
        <v>66</v>
      </c>
      <c r="Q142" s="86" t="n">
        <v>13</v>
      </c>
      <c r="R142" s="87" t="n">
        <f aca="false">P142*Q142</f>
        <v>858</v>
      </c>
      <c r="S142" s="93"/>
      <c r="T142" s="94"/>
      <c r="U142" s="95"/>
    </row>
    <row r="143" customFormat="false" ht="18.75" hidden="false" customHeight="true" outlineLevel="0" collapsed="false">
      <c r="A143" s="91"/>
      <c r="B143" s="92" t="s">
        <v>155</v>
      </c>
      <c r="C143" s="84" t="s">
        <v>160</v>
      </c>
      <c r="D143" s="85" t="s">
        <v>56</v>
      </c>
      <c r="E143" s="86" t="n">
        <v>114</v>
      </c>
      <c r="F143" s="86" t="n">
        <v>13</v>
      </c>
      <c r="G143" s="87" t="n">
        <f aca="false">E143*F143</f>
        <v>1482</v>
      </c>
      <c r="H143" s="93"/>
      <c r="I143" s="94"/>
      <c r="J143" s="95"/>
      <c r="K143" s="3"/>
      <c r="L143" s="91"/>
      <c r="M143" s="92" t="s">
        <v>155</v>
      </c>
      <c r="N143" s="84" t="s">
        <v>160</v>
      </c>
      <c r="O143" s="85" t="s">
        <v>56</v>
      </c>
      <c r="P143" s="86" t="n">
        <v>114</v>
      </c>
      <c r="Q143" s="86" t="n">
        <v>13</v>
      </c>
      <c r="R143" s="87" t="n">
        <f aca="false">P143*Q143</f>
        <v>1482</v>
      </c>
      <c r="S143" s="93"/>
      <c r="T143" s="94"/>
      <c r="U143" s="95"/>
    </row>
    <row r="144" customFormat="false" ht="18.75" hidden="false" customHeight="true" outlineLevel="0" collapsed="false">
      <c r="A144" s="91"/>
      <c r="B144" s="92" t="s">
        <v>155</v>
      </c>
      <c r="C144" s="84" t="s">
        <v>102</v>
      </c>
      <c r="D144" s="85" t="s">
        <v>56</v>
      </c>
      <c r="E144" s="86" t="n">
        <v>69</v>
      </c>
      <c r="F144" s="86" t="n">
        <v>13</v>
      </c>
      <c r="G144" s="87" t="n">
        <f aca="false">E144*F144</f>
        <v>897</v>
      </c>
      <c r="H144" s="93"/>
      <c r="I144" s="94"/>
      <c r="J144" s="95"/>
      <c r="K144" s="3"/>
      <c r="L144" s="91"/>
      <c r="M144" s="92" t="s">
        <v>155</v>
      </c>
      <c r="N144" s="84" t="s">
        <v>102</v>
      </c>
      <c r="O144" s="85" t="s">
        <v>56</v>
      </c>
      <c r="P144" s="86" t="n">
        <v>69</v>
      </c>
      <c r="Q144" s="86" t="n">
        <v>13</v>
      </c>
      <c r="R144" s="87" t="n">
        <f aca="false">P144*Q144</f>
        <v>897</v>
      </c>
      <c r="S144" s="93"/>
      <c r="T144" s="94"/>
      <c r="U144" s="95"/>
    </row>
    <row r="145" customFormat="false" ht="18.75" hidden="false" customHeight="true" outlineLevel="0" collapsed="false">
      <c r="A145" s="91"/>
      <c r="B145" s="92" t="s">
        <v>155</v>
      </c>
      <c r="C145" s="84" t="s">
        <v>161</v>
      </c>
      <c r="D145" s="85" t="s">
        <v>56</v>
      </c>
      <c r="E145" s="86" t="n">
        <v>84</v>
      </c>
      <c r="F145" s="86" t="n">
        <v>13</v>
      </c>
      <c r="G145" s="87" t="n">
        <f aca="false">E145*F145</f>
        <v>1092</v>
      </c>
      <c r="H145" s="93"/>
      <c r="I145" s="94"/>
      <c r="J145" s="95"/>
      <c r="K145" s="3"/>
      <c r="L145" s="91"/>
      <c r="M145" s="92" t="s">
        <v>155</v>
      </c>
      <c r="N145" s="84" t="s">
        <v>161</v>
      </c>
      <c r="O145" s="85" t="s">
        <v>56</v>
      </c>
      <c r="P145" s="86" t="n">
        <v>84</v>
      </c>
      <c r="Q145" s="86" t="n">
        <v>13</v>
      </c>
      <c r="R145" s="87" t="n">
        <f aca="false">P145*Q145</f>
        <v>1092</v>
      </c>
      <c r="S145" s="93"/>
      <c r="T145" s="94"/>
      <c r="U145" s="95"/>
    </row>
    <row r="146" customFormat="false" ht="18.75" hidden="false" customHeight="true" outlineLevel="0" collapsed="false">
      <c r="A146" s="91"/>
      <c r="B146" s="92" t="s">
        <v>155</v>
      </c>
      <c r="C146" s="84" t="s">
        <v>162</v>
      </c>
      <c r="D146" s="85" t="s">
        <v>56</v>
      </c>
      <c r="E146" s="86" t="n">
        <v>67</v>
      </c>
      <c r="F146" s="86" t="n">
        <v>13</v>
      </c>
      <c r="G146" s="87" t="n">
        <f aca="false">E146*F146</f>
        <v>871</v>
      </c>
      <c r="H146" s="93"/>
      <c r="I146" s="94"/>
      <c r="J146" s="95"/>
      <c r="K146" s="3"/>
      <c r="L146" s="91"/>
      <c r="M146" s="92" t="s">
        <v>155</v>
      </c>
      <c r="N146" s="84" t="s">
        <v>162</v>
      </c>
      <c r="O146" s="85" t="s">
        <v>56</v>
      </c>
      <c r="P146" s="86" t="n">
        <v>67</v>
      </c>
      <c r="Q146" s="86" t="n">
        <v>13</v>
      </c>
      <c r="R146" s="87" t="n">
        <f aca="false">P146*Q146</f>
        <v>871</v>
      </c>
      <c r="S146" s="93"/>
      <c r="T146" s="94"/>
      <c r="U146" s="95"/>
    </row>
    <row r="147" customFormat="false" ht="18.75" hidden="false" customHeight="true" outlineLevel="0" collapsed="false">
      <c r="A147" s="91"/>
      <c r="B147" s="92" t="s">
        <v>155</v>
      </c>
      <c r="C147" s="84" t="s">
        <v>81</v>
      </c>
      <c r="D147" s="85" t="s">
        <v>56</v>
      </c>
      <c r="E147" s="86" t="n">
        <v>94</v>
      </c>
      <c r="F147" s="86" t="n">
        <v>13</v>
      </c>
      <c r="G147" s="87" t="n">
        <f aca="false">E147*F147</f>
        <v>1222</v>
      </c>
      <c r="H147" s="93"/>
      <c r="I147" s="94"/>
      <c r="J147" s="95"/>
      <c r="K147" s="3"/>
      <c r="L147" s="91"/>
      <c r="M147" s="92" t="s">
        <v>155</v>
      </c>
      <c r="N147" s="84" t="s">
        <v>81</v>
      </c>
      <c r="O147" s="85" t="s">
        <v>56</v>
      </c>
      <c r="P147" s="86" t="n">
        <v>94</v>
      </c>
      <c r="Q147" s="86" t="n">
        <v>13</v>
      </c>
      <c r="R147" s="87" t="n">
        <f aca="false">P147*Q147</f>
        <v>1222</v>
      </c>
      <c r="S147" s="93"/>
      <c r="T147" s="94"/>
      <c r="U147" s="95"/>
    </row>
    <row r="148" customFormat="false" ht="18.75" hidden="false" customHeight="true" outlineLevel="0" collapsed="false">
      <c r="A148" s="91"/>
      <c r="B148" s="92" t="s">
        <v>155</v>
      </c>
      <c r="C148" s="84" t="s">
        <v>79</v>
      </c>
      <c r="D148" s="85" t="s">
        <v>56</v>
      </c>
      <c r="E148" s="86" t="n">
        <v>54</v>
      </c>
      <c r="F148" s="86" t="n">
        <v>13</v>
      </c>
      <c r="G148" s="87" t="n">
        <f aca="false">E148*F148</f>
        <v>702</v>
      </c>
      <c r="H148" s="93"/>
      <c r="I148" s="94"/>
      <c r="J148" s="95"/>
      <c r="K148" s="3"/>
      <c r="L148" s="91"/>
      <c r="M148" s="92" t="s">
        <v>155</v>
      </c>
      <c r="N148" s="84" t="s">
        <v>79</v>
      </c>
      <c r="O148" s="85" t="s">
        <v>56</v>
      </c>
      <c r="P148" s="86" t="n">
        <v>54</v>
      </c>
      <c r="Q148" s="86" t="n">
        <v>13</v>
      </c>
      <c r="R148" s="87" t="n">
        <f aca="false">P148*Q148</f>
        <v>702</v>
      </c>
      <c r="S148" s="93"/>
      <c r="T148" s="94"/>
      <c r="U148" s="95"/>
    </row>
    <row r="149" customFormat="false" ht="18.75" hidden="false" customHeight="true" outlineLevel="0" collapsed="false">
      <c r="A149" s="91"/>
      <c r="B149" s="92" t="s">
        <v>155</v>
      </c>
      <c r="C149" s="84" t="s">
        <v>78</v>
      </c>
      <c r="D149" s="85" t="s">
        <v>56</v>
      </c>
      <c r="E149" s="86" t="n">
        <v>66</v>
      </c>
      <c r="F149" s="86" t="n">
        <v>13</v>
      </c>
      <c r="G149" s="87" t="n">
        <f aca="false">E149*F149</f>
        <v>858</v>
      </c>
      <c r="H149" s="93"/>
      <c r="I149" s="94"/>
      <c r="J149" s="95"/>
      <c r="K149" s="3"/>
      <c r="L149" s="91"/>
      <c r="M149" s="92" t="s">
        <v>155</v>
      </c>
      <c r="N149" s="84" t="s">
        <v>78</v>
      </c>
      <c r="O149" s="85" t="s">
        <v>56</v>
      </c>
      <c r="P149" s="86" t="n">
        <v>66</v>
      </c>
      <c r="Q149" s="86" t="n">
        <v>13</v>
      </c>
      <c r="R149" s="87" t="n">
        <f aca="false">P149*Q149</f>
        <v>858</v>
      </c>
      <c r="S149" s="93"/>
      <c r="T149" s="94"/>
      <c r="U149" s="95"/>
    </row>
    <row r="150" customFormat="false" ht="18.75" hidden="false" customHeight="true" outlineLevel="0" collapsed="false">
      <c r="A150" s="91"/>
      <c r="B150" s="92" t="s">
        <v>155</v>
      </c>
      <c r="C150" s="84" t="s">
        <v>163</v>
      </c>
      <c r="D150" s="85" t="s">
        <v>56</v>
      </c>
      <c r="E150" s="86" t="n">
        <v>93</v>
      </c>
      <c r="F150" s="86" t="n">
        <v>13</v>
      </c>
      <c r="G150" s="87" t="n">
        <f aca="false">E150*F150</f>
        <v>1209</v>
      </c>
      <c r="H150" s="93"/>
      <c r="I150" s="94"/>
      <c r="J150" s="95"/>
      <c r="K150" s="3"/>
      <c r="L150" s="91"/>
      <c r="M150" s="92" t="s">
        <v>155</v>
      </c>
      <c r="N150" s="84" t="s">
        <v>163</v>
      </c>
      <c r="O150" s="85" t="s">
        <v>56</v>
      </c>
      <c r="P150" s="86" t="n">
        <v>93</v>
      </c>
      <c r="Q150" s="86" t="n">
        <v>13</v>
      </c>
      <c r="R150" s="87" t="n">
        <f aca="false">P150*Q150</f>
        <v>1209</v>
      </c>
      <c r="S150" s="93"/>
      <c r="T150" s="94"/>
      <c r="U150" s="95"/>
    </row>
    <row r="151" customFormat="false" ht="18.75" hidden="false" customHeight="true" outlineLevel="0" collapsed="false">
      <c r="A151" s="91"/>
      <c r="B151" s="92" t="s">
        <v>155</v>
      </c>
      <c r="C151" s="84" t="s">
        <v>164</v>
      </c>
      <c r="D151" s="85" t="s">
        <v>56</v>
      </c>
      <c r="E151" s="86" t="n">
        <v>66</v>
      </c>
      <c r="F151" s="86" t="n">
        <v>13</v>
      </c>
      <c r="G151" s="87" t="n">
        <f aca="false">E151*F151</f>
        <v>858</v>
      </c>
      <c r="H151" s="93"/>
      <c r="I151" s="94"/>
      <c r="J151" s="95"/>
      <c r="K151" s="3"/>
      <c r="L151" s="91"/>
      <c r="M151" s="92" t="s">
        <v>155</v>
      </c>
      <c r="N151" s="84" t="s">
        <v>164</v>
      </c>
      <c r="O151" s="85" t="s">
        <v>56</v>
      </c>
      <c r="P151" s="86" t="n">
        <v>66</v>
      </c>
      <c r="Q151" s="86" t="n">
        <v>13</v>
      </c>
      <c r="R151" s="87" t="n">
        <f aca="false">P151*Q151</f>
        <v>858</v>
      </c>
      <c r="S151" s="93"/>
      <c r="T151" s="94"/>
      <c r="U151" s="95"/>
    </row>
    <row r="152" customFormat="false" ht="18.75" hidden="false" customHeight="true" outlineLevel="0" collapsed="false">
      <c r="A152" s="91"/>
      <c r="B152" s="92" t="s">
        <v>155</v>
      </c>
      <c r="C152" s="84" t="s">
        <v>134</v>
      </c>
      <c r="D152" s="85" t="s">
        <v>56</v>
      </c>
      <c r="E152" s="86" t="n">
        <v>93</v>
      </c>
      <c r="F152" s="86" t="n">
        <v>13</v>
      </c>
      <c r="G152" s="87" t="n">
        <f aca="false">E152*F152</f>
        <v>1209</v>
      </c>
      <c r="H152" s="93"/>
      <c r="I152" s="94"/>
      <c r="J152" s="95"/>
      <c r="K152" s="3"/>
      <c r="L152" s="91"/>
      <c r="M152" s="92" t="s">
        <v>155</v>
      </c>
      <c r="N152" s="84" t="s">
        <v>134</v>
      </c>
      <c r="O152" s="85" t="s">
        <v>56</v>
      </c>
      <c r="P152" s="86" t="n">
        <v>93</v>
      </c>
      <c r="Q152" s="86" t="n">
        <v>13</v>
      </c>
      <c r="R152" s="87" t="n">
        <f aca="false">P152*Q152</f>
        <v>1209</v>
      </c>
      <c r="S152" s="93"/>
      <c r="T152" s="94"/>
      <c r="U152" s="95"/>
    </row>
    <row r="153" customFormat="false" ht="18.75" hidden="false" customHeight="true" outlineLevel="0" collapsed="false">
      <c r="A153" s="91"/>
      <c r="B153" s="92" t="s">
        <v>155</v>
      </c>
      <c r="C153" s="84" t="s">
        <v>165</v>
      </c>
      <c r="D153" s="85" t="s">
        <v>56</v>
      </c>
      <c r="E153" s="86" t="n">
        <v>8</v>
      </c>
      <c r="F153" s="86" t="n">
        <v>13</v>
      </c>
      <c r="G153" s="87" t="n">
        <f aca="false">E153*F153</f>
        <v>104</v>
      </c>
      <c r="H153" s="93"/>
      <c r="I153" s="94"/>
      <c r="J153" s="95"/>
      <c r="K153" s="3"/>
      <c r="L153" s="91"/>
      <c r="M153" s="92" t="s">
        <v>155</v>
      </c>
      <c r="N153" s="84" t="s">
        <v>165</v>
      </c>
      <c r="O153" s="85" t="s">
        <v>56</v>
      </c>
      <c r="P153" s="86" t="n">
        <v>8</v>
      </c>
      <c r="Q153" s="86" t="n">
        <v>13</v>
      </c>
      <c r="R153" s="87" t="n">
        <f aca="false">P153*Q153</f>
        <v>104</v>
      </c>
      <c r="S153" s="93"/>
      <c r="T153" s="94"/>
      <c r="U153" s="95"/>
    </row>
    <row r="154" customFormat="false" ht="18.75" hidden="false" customHeight="true" outlineLevel="0" collapsed="false">
      <c r="A154" s="91"/>
      <c r="B154" s="92" t="s">
        <v>155</v>
      </c>
      <c r="C154" s="84" t="s">
        <v>166</v>
      </c>
      <c r="D154" s="85" t="s">
        <v>56</v>
      </c>
      <c r="E154" s="86" t="n">
        <v>90</v>
      </c>
      <c r="F154" s="86" t="n">
        <v>13</v>
      </c>
      <c r="G154" s="87" t="n">
        <f aca="false">E154*F154</f>
        <v>1170</v>
      </c>
      <c r="H154" s="93"/>
      <c r="I154" s="94"/>
      <c r="J154" s="95"/>
      <c r="K154" s="3"/>
      <c r="L154" s="91"/>
      <c r="M154" s="92" t="s">
        <v>155</v>
      </c>
      <c r="N154" s="84" t="s">
        <v>166</v>
      </c>
      <c r="O154" s="85" t="s">
        <v>56</v>
      </c>
      <c r="P154" s="86" t="n">
        <v>90</v>
      </c>
      <c r="Q154" s="86" t="n">
        <v>13</v>
      </c>
      <c r="R154" s="87" t="n">
        <f aca="false">P154*Q154</f>
        <v>1170</v>
      </c>
      <c r="S154" s="93"/>
      <c r="T154" s="94"/>
      <c r="U154" s="95"/>
    </row>
    <row r="155" customFormat="false" ht="18.75" hidden="false" customHeight="true" outlineLevel="0" collapsed="false">
      <c r="A155" s="91"/>
      <c r="B155" s="92" t="s">
        <v>155</v>
      </c>
      <c r="C155" s="84" t="s">
        <v>167</v>
      </c>
      <c r="D155" s="85" t="s">
        <v>56</v>
      </c>
      <c r="E155" s="86" t="n">
        <v>42</v>
      </c>
      <c r="F155" s="86" t="n">
        <v>13</v>
      </c>
      <c r="G155" s="87" t="n">
        <f aca="false">E155*F155</f>
        <v>546</v>
      </c>
      <c r="H155" s="93"/>
      <c r="I155" s="94"/>
      <c r="J155" s="95"/>
      <c r="K155" s="3"/>
      <c r="L155" s="91"/>
      <c r="M155" s="92" t="s">
        <v>155</v>
      </c>
      <c r="N155" s="84" t="s">
        <v>167</v>
      </c>
      <c r="O155" s="85" t="s">
        <v>56</v>
      </c>
      <c r="P155" s="86" t="n">
        <v>42</v>
      </c>
      <c r="Q155" s="86" t="n">
        <v>13</v>
      </c>
      <c r="R155" s="87" t="n">
        <f aca="false">P155*Q155</f>
        <v>546</v>
      </c>
      <c r="S155" s="93"/>
      <c r="T155" s="94"/>
      <c r="U155" s="95"/>
    </row>
    <row r="156" customFormat="false" ht="18.75" hidden="false" customHeight="true" outlineLevel="0" collapsed="false">
      <c r="A156" s="91"/>
      <c r="B156" s="92" t="s">
        <v>155</v>
      </c>
      <c r="C156" s="84" t="s">
        <v>168</v>
      </c>
      <c r="D156" s="85" t="s">
        <v>56</v>
      </c>
      <c r="E156" s="86" t="n">
        <v>52</v>
      </c>
      <c r="F156" s="86" t="n">
        <v>13</v>
      </c>
      <c r="G156" s="87" t="n">
        <f aca="false">E156*F156</f>
        <v>676</v>
      </c>
      <c r="H156" s="93"/>
      <c r="I156" s="94"/>
      <c r="J156" s="95"/>
      <c r="K156" s="3"/>
      <c r="L156" s="91"/>
      <c r="M156" s="92" t="s">
        <v>155</v>
      </c>
      <c r="N156" s="84" t="s">
        <v>168</v>
      </c>
      <c r="O156" s="85" t="s">
        <v>56</v>
      </c>
      <c r="P156" s="86" t="n">
        <v>52</v>
      </c>
      <c r="Q156" s="86" t="n">
        <v>13</v>
      </c>
      <c r="R156" s="87" t="n">
        <f aca="false">P156*Q156</f>
        <v>676</v>
      </c>
      <c r="S156" s="93"/>
      <c r="T156" s="94"/>
      <c r="U156" s="95"/>
    </row>
    <row r="157" customFormat="false" ht="18.75" hidden="false" customHeight="true" outlineLevel="0" collapsed="false">
      <c r="A157" s="91"/>
      <c r="B157" s="92" t="s">
        <v>155</v>
      </c>
      <c r="C157" s="84" t="s">
        <v>129</v>
      </c>
      <c r="D157" s="85" t="s">
        <v>56</v>
      </c>
      <c r="E157" s="86" t="n">
        <v>101</v>
      </c>
      <c r="F157" s="86" t="n">
        <v>13</v>
      </c>
      <c r="G157" s="87" t="n">
        <f aca="false">E157*F157</f>
        <v>1313</v>
      </c>
      <c r="H157" s="93"/>
      <c r="I157" s="94"/>
      <c r="J157" s="95"/>
      <c r="K157" s="3"/>
      <c r="L157" s="91"/>
      <c r="M157" s="92" t="s">
        <v>155</v>
      </c>
      <c r="N157" s="84" t="s">
        <v>129</v>
      </c>
      <c r="O157" s="85" t="s">
        <v>56</v>
      </c>
      <c r="P157" s="86" t="n">
        <v>101</v>
      </c>
      <c r="Q157" s="86" t="n">
        <v>13</v>
      </c>
      <c r="R157" s="87" t="n">
        <f aca="false">P157*Q157</f>
        <v>1313</v>
      </c>
      <c r="S157" s="93"/>
      <c r="T157" s="94"/>
      <c r="U157" s="95"/>
    </row>
    <row r="158" customFormat="false" ht="18.75" hidden="false" customHeight="true" outlineLevel="0" collapsed="false">
      <c r="A158" s="91"/>
      <c r="B158" s="92" t="s">
        <v>155</v>
      </c>
      <c r="C158" s="84" t="s">
        <v>92</v>
      </c>
      <c r="D158" s="103" t="s">
        <v>58</v>
      </c>
      <c r="E158" s="91"/>
      <c r="F158" s="91"/>
      <c r="G158" s="87" t="n">
        <v>579</v>
      </c>
      <c r="H158" s="93"/>
      <c r="I158" s="94"/>
      <c r="J158" s="95"/>
      <c r="K158" s="3"/>
      <c r="L158" s="91"/>
      <c r="M158" s="92" t="s">
        <v>155</v>
      </c>
      <c r="N158" s="84" t="s">
        <v>92</v>
      </c>
      <c r="O158" s="103" t="s">
        <v>58</v>
      </c>
      <c r="P158" s="91"/>
      <c r="Q158" s="91"/>
      <c r="R158" s="87" t="n">
        <v>579</v>
      </c>
      <c r="S158" s="93"/>
      <c r="T158" s="94"/>
      <c r="U158" s="95"/>
    </row>
    <row r="159" customFormat="false" ht="18.75" hidden="false" customHeight="true" outlineLevel="0" collapsed="false">
      <c r="A159" s="91"/>
      <c r="B159" s="92" t="s">
        <v>155</v>
      </c>
      <c r="C159" s="84" t="s">
        <v>169</v>
      </c>
      <c r="D159" s="96" t="s">
        <v>57</v>
      </c>
      <c r="E159" s="91"/>
      <c r="F159" s="91"/>
      <c r="G159" s="87" t="n">
        <v>531</v>
      </c>
      <c r="H159" s="93"/>
      <c r="I159" s="94"/>
      <c r="J159" s="95"/>
      <c r="K159" s="3"/>
      <c r="L159" s="91"/>
      <c r="M159" s="92" t="s">
        <v>155</v>
      </c>
      <c r="N159" s="84" t="s">
        <v>169</v>
      </c>
      <c r="O159" s="96" t="s">
        <v>57</v>
      </c>
      <c r="P159" s="91"/>
      <c r="Q159" s="91"/>
      <c r="R159" s="87" t="n">
        <v>531</v>
      </c>
      <c r="S159" s="93"/>
      <c r="T159" s="94"/>
      <c r="U159" s="95"/>
    </row>
    <row r="160" customFormat="false" ht="18.75" hidden="false" customHeight="true" outlineLevel="0" collapsed="false">
      <c r="A160" s="82" t="s">
        <v>22</v>
      </c>
      <c r="B160" s="83" t="s">
        <v>170</v>
      </c>
      <c r="C160" s="97" t="s">
        <v>91</v>
      </c>
      <c r="D160" s="98" t="s">
        <v>55</v>
      </c>
      <c r="E160" s="99" t="n">
        <v>21</v>
      </c>
      <c r="F160" s="99" t="n">
        <v>18</v>
      </c>
      <c r="G160" s="100" t="n">
        <f aca="false">E160*F160</f>
        <v>378</v>
      </c>
      <c r="H160" s="88" t="n">
        <f aca="false">SUMIF(B:B,B160,G:G)</f>
        <v>2587.62</v>
      </c>
      <c r="I160" s="89" t="n">
        <v>6141</v>
      </c>
      <c r="J160" s="90" t="n">
        <f aca="false">IFERROR((I160-H160)/I160,"")</f>
        <v>0.578632144601856</v>
      </c>
      <c r="K160" s="3"/>
      <c r="L160" s="82" t="s">
        <v>22</v>
      </c>
      <c r="M160" s="83" t="s">
        <v>170</v>
      </c>
      <c r="N160" s="97" t="s">
        <v>91</v>
      </c>
      <c r="O160" s="98" t="s">
        <v>55</v>
      </c>
      <c r="P160" s="101"/>
      <c r="Q160" s="101"/>
      <c r="R160" s="102" t="n">
        <v>0</v>
      </c>
      <c r="S160" s="88" t="n">
        <f aca="false">SUMIF(M:M,M160,R:R)</f>
        <v>2209.62</v>
      </c>
      <c r="T160" s="89" t="n">
        <f aca="false">I160</f>
        <v>6141</v>
      </c>
      <c r="U160" s="90" t="n">
        <f aca="false">IFERROR((T160-S160)/T160,"")</f>
        <v>0.64018563751832</v>
      </c>
    </row>
    <row r="161" customFormat="false" ht="18.75" hidden="false" customHeight="true" outlineLevel="0" collapsed="false">
      <c r="A161" s="91"/>
      <c r="B161" s="92" t="s">
        <v>170</v>
      </c>
      <c r="C161" s="84" t="s">
        <v>98</v>
      </c>
      <c r="D161" s="85" t="s">
        <v>56</v>
      </c>
      <c r="E161" s="86" t="n">
        <v>30.1</v>
      </c>
      <c r="F161" s="86" t="n">
        <v>13</v>
      </c>
      <c r="G161" s="87" t="n">
        <f aca="false">E161*F161</f>
        <v>391.3</v>
      </c>
      <c r="H161" s="93"/>
      <c r="I161" s="94"/>
      <c r="J161" s="95"/>
      <c r="K161" s="3"/>
      <c r="L161" s="91"/>
      <c r="M161" s="92" t="s">
        <v>170</v>
      </c>
      <c r="N161" s="84" t="s">
        <v>98</v>
      </c>
      <c r="O161" s="85" t="s">
        <v>56</v>
      </c>
      <c r="P161" s="86" t="n">
        <v>30.1</v>
      </c>
      <c r="Q161" s="86" t="n">
        <v>13</v>
      </c>
      <c r="R161" s="87" t="n">
        <f aca="false">P161*Q161</f>
        <v>391.3</v>
      </c>
      <c r="S161" s="93"/>
      <c r="T161" s="94"/>
      <c r="U161" s="95"/>
    </row>
    <row r="162" customFormat="false" ht="18.75" hidden="false" customHeight="true" outlineLevel="0" collapsed="false">
      <c r="A162" s="91"/>
      <c r="B162" s="92" t="s">
        <v>170</v>
      </c>
      <c r="C162" s="84" t="s">
        <v>148</v>
      </c>
      <c r="D162" s="85" t="s">
        <v>56</v>
      </c>
      <c r="E162" s="86" t="n">
        <v>8.08</v>
      </c>
      <c r="F162" s="86" t="n">
        <v>13</v>
      </c>
      <c r="G162" s="87" t="n">
        <f aca="false">E162*F162</f>
        <v>105.04</v>
      </c>
      <c r="H162" s="93"/>
      <c r="I162" s="94"/>
      <c r="J162" s="95"/>
      <c r="K162" s="3"/>
      <c r="L162" s="91"/>
      <c r="M162" s="92" t="s">
        <v>170</v>
      </c>
      <c r="N162" s="84" t="s">
        <v>148</v>
      </c>
      <c r="O162" s="85" t="s">
        <v>56</v>
      </c>
      <c r="P162" s="86" t="n">
        <v>8.08</v>
      </c>
      <c r="Q162" s="86" t="n">
        <v>13</v>
      </c>
      <c r="R162" s="87" t="n">
        <f aca="false">P162*Q162</f>
        <v>105.04</v>
      </c>
      <c r="S162" s="93"/>
      <c r="T162" s="94"/>
      <c r="U162" s="95"/>
    </row>
    <row r="163" customFormat="false" ht="18.75" hidden="false" customHeight="true" outlineLevel="0" collapsed="false">
      <c r="A163" s="91"/>
      <c r="B163" s="92" t="s">
        <v>170</v>
      </c>
      <c r="C163" s="84" t="s">
        <v>143</v>
      </c>
      <c r="D163" s="85" t="s">
        <v>56</v>
      </c>
      <c r="E163" s="86" t="n">
        <v>18.65</v>
      </c>
      <c r="F163" s="86" t="n">
        <v>13</v>
      </c>
      <c r="G163" s="87" t="n">
        <f aca="false">E163*F163</f>
        <v>242.45</v>
      </c>
      <c r="H163" s="93"/>
      <c r="I163" s="94"/>
      <c r="J163" s="95"/>
      <c r="K163" s="3"/>
      <c r="L163" s="91"/>
      <c r="M163" s="92" t="s">
        <v>170</v>
      </c>
      <c r="N163" s="84" t="s">
        <v>143</v>
      </c>
      <c r="O163" s="85" t="s">
        <v>56</v>
      </c>
      <c r="P163" s="86" t="n">
        <v>18.65</v>
      </c>
      <c r="Q163" s="86" t="n">
        <v>13</v>
      </c>
      <c r="R163" s="87" t="n">
        <f aca="false">P163*Q163</f>
        <v>242.45</v>
      </c>
      <c r="S163" s="93"/>
      <c r="T163" s="94"/>
      <c r="U163" s="95"/>
    </row>
    <row r="164" customFormat="false" ht="18.75" hidden="false" customHeight="true" outlineLevel="0" collapsed="false">
      <c r="A164" s="91"/>
      <c r="B164" s="92" t="s">
        <v>170</v>
      </c>
      <c r="C164" s="84" t="s">
        <v>145</v>
      </c>
      <c r="D164" s="85" t="s">
        <v>56</v>
      </c>
      <c r="E164" s="86" t="n">
        <v>20</v>
      </c>
      <c r="F164" s="86" t="n">
        <v>13</v>
      </c>
      <c r="G164" s="87" t="n">
        <f aca="false">E164*F164</f>
        <v>260</v>
      </c>
      <c r="H164" s="93"/>
      <c r="I164" s="94"/>
      <c r="J164" s="95"/>
      <c r="K164" s="3"/>
      <c r="L164" s="91"/>
      <c r="M164" s="92" t="s">
        <v>170</v>
      </c>
      <c r="N164" s="84" t="s">
        <v>145</v>
      </c>
      <c r="O164" s="85" t="s">
        <v>56</v>
      </c>
      <c r="P164" s="86" t="n">
        <v>20</v>
      </c>
      <c r="Q164" s="86" t="n">
        <v>13</v>
      </c>
      <c r="R164" s="87" t="n">
        <f aca="false">P164*Q164</f>
        <v>260</v>
      </c>
      <c r="S164" s="93"/>
      <c r="T164" s="94"/>
      <c r="U164" s="95"/>
    </row>
    <row r="165" customFormat="false" ht="18.75" hidden="false" customHeight="true" outlineLevel="0" collapsed="false">
      <c r="A165" s="91"/>
      <c r="B165" s="92" t="s">
        <v>170</v>
      </c>
      <c r="C165" s="84" t="s">
        <v>86</v>
      </c>
      <c r="D165" s="96" t="s">
        <v>57</v>
      </c>
      <c r="E165" s="91"/>
      <c r="F165" s="91"/>
      <c r="G165" s="87" t="n">
        <v>1210.83</v>
      </c>
      <c r="H165" s="93"/>
      <c r="I165" s="94"/>
      <c r="J165" s="95"/>
      <c r="K165" s="3"/>
      <c r="L165" s="91"/>
      <c r="M165" s="92" t="s">
        <v>170</v>
      </c>
      <c r="N165" s="84" t="s">
        <v>86</v>
      </c>
      <c r="O165" s="96" t="s">
        <v>57</v>
      </c>
      <c r="P165" s="91"/>
      <c r="Q165" s="91"/>
      <c r="R165" s="87" t="n">
        <v>1210.83</v>
      </c>
      <c r="S165" s="93"/>
      <c r="T165" s="94"/>
      <c r="U165" s="95"/>
    </row>
    <row r="166" customFormat="false" ht="18.75" hidden="false" customHeight="true" outlineLevel="0" collapsed="false">
      <c r="A166" s="82" t="s">
        <v>22</v>
      </c>
      <c r="B166" s="83" t="s">
        <v>171</v>
      </c>
      <c r="C166" s="97" t="s">
        <v>113</v>
      </c>
      <c r="D166" s="98" t="s">
        <v>55</v>
      </c>
      <c r="E166" s="99" t="n">
        <v>28</v>
      </c>
      <c r="F166" s="99" t="n">
        <v>18</v>
      </c>
      <c r="G166" s="100" t="n">
        <f aca="false">E166*F166</f>
        <v>504</v>
      </c>
      <c r="H166" s="88" t="n">
        <f aca="false">SUMIF(B:B,B166,G:G)</f>
        <v>1786.39</v>
      </c>
      <c r="I166" s="89" t="n">
        <v>5257.5</v>
      </c>
      <c r="J166" s="90" t="n">
        <f aca="false">IFERROR((I166-H166)/I166,"")</f>
        <v>0.660220637184974</v>
      </c>
      <c r="K166" s="3"/>
      <c r="L166" s="82" t="s">
        <v>22</v>
      </c>
      <c r="M166" s="83" t="s">
        <v>171</v>
      </c>
      <c r="N166" s="97" t="s">
        <v>113</v>
      </c>
      <c r="O166" s="98" t="s">
        <v>55</v>
      </c>
      <c r="P166" s="101"/>
      <c r="Q166" s="101"/>
      <c r="R166" s="102" t="n">
        <v>0</v>
      </c>
      <c r="S166" s="88" t="n">
        <f aca="false">SUMIF(M:M,M166,R:R)</f>
        <v>1282.39</v>
      </c>
      <c r="T166" s="89" t="n">
        <f aca="false">I166</f>
        <v>5257.5</v>
      </c>
      <c r="U166" s="90" t="n">
        <f aca="false">IFERROR((T166-S166)/T166,"")</f>
        <v>0.756083689966714</v>
      </c>
    </row>
    <row r="167" customFormat="false" ht="18.75" hidden="false" customHeight="true" outlineLevel="0" collapsed="false">
      <c r="A167" s="91"/>
      <c r="B167" s="92" t="s">
        <v>171</v>
      </c>
      <c r="C167" s="84" t="s">
        <v>102</v>
      </c>
      <c r="D167" s="85" t="s">
        <v>56</v>
      </c>
      <c r="E167" s="86" t="n">
        <v>19.2</v>
      </c>
      <c r="F167" s="86" t="n">
        <v>15</v>
      </c>
      <c r="G167" s="87" t="n">
        <f aca="false">E167*F167</f>
        <v>288</v>
      </c>
      <c r="H167" s="93"/>
      <c r="I167" s="94"/>
      <c r="J167" s="95"/>
      <c r="K167" s="3"/>
      <c r="L167" s="91"/>
      <c r="M167" s="92" t="s">
        <v>171</v>
      </c>
      <c r="N167" s="84" t="s">
        <v>102</v>
      </c>
      <c r="O167" s="85" t="s">
        <v>56</v>
      </c>
      <c r="P167" s="86" t="n">
        <v>19.2</v>
      </c>
      <c r="Q167" s="86" t="n">
        <v>15</v>
      </c>
      <c r="R167" s="87" t="n">
        <f aca="false">P167*Q167</f>
        <v>288</v>
      </c>
      <c r="S167" s="93"/>
      <c r="T167" s="94"/>
      <c r="U167" s="95"/>
    </row>
    <row r="168" customFormat="false" ht="18.75" hidden="false" customHeight="true" outlineLevel="0" collapsed="false">
      <c r="A168" s="91"/>
      <c r="B168" s="92" t="s">
        <v>171</v>
      </c>
      <c r="C168" s="84" t="s">
        <v>129</v>
      </c>
      <c r="D168" s="85" t="s">
        <v>56</v>
      </c>
      <c r="E168" s="86" t="n">
        <v>20.06</v>
      </c>
      <c r="F168" s="86" t="n">
        <v>15</v>
      </c>
      <c r="G168" s="87" t="n">
        <f aca="false">E168*F168</f>
        <v>300.9</v>
      </c>
      <c r="H168" s="93"/>
      <c r="I168" s="94"/>
      <c r="J168" s="95"/>
      <c r="K168" s="3"/>
      <c r="L168" s="91"/>
      <c r="M168" s="92" t="s">
        <v>171</v>
      </c>
      <c r="N168" s="84" t="s">
        <v>129</v>
      </c>
      <c r="O168" s="85" t="s">
        <v>56</v>
      </c>
      <c r="P168" s="86" t="n">
        <v>20.06</v>
      </c>
      <c r="Q168" s="86" t="n">
        <v>15</v>
      </c>
      <c r="R168" s="87" t="n">
        <f aca="false">P168*Q168</f>
        <v>300.9</v>
      </c>
      <c r="S168" s="93"/>
      <c r="T168" s="94"/>
      <c r="U168" s="95"/>
    </row>
    <row r="169" customFormat="false" ht="18.75" hidden="false" customHeight="true" outlineLevel="0" collapsed="false">
      <c r="A169" s="91"/>
      <c r="B169" s="92" t="s">
        <v>171</v>
      </c>
      <c r="C169" s="84" t="s">
        <v>92</v>
      </c>
      <c r="D169" s="103" t="s">
        <v>58</v>
      </c>
      <c r="E169" s="91"/>
      <c r="F169" s="91"/>
      <c r="G169" s="87" t="n">
        <v>250</v>
      </c>
      <c r="H169" s="93"/>
      <c r="I169" s="94"/>
      <c r="J169" s="95"/>
      <c r="K169" s="3"/>
      <c r="L169" s="91"/>
      <c r="M169" s="92" t="s">
        <v>171</v>
      </c>
      <c r="N169" s="84" t="s">
        <v>92</v>
      </c>
      <c r="O169" s="103" t="s">
        <v>58</v>
      </c>
      <c r="P169" s="91"/>
      <c r="Q169" s="91"/>
      <c r="R169" s="87" t="n">
        <v>250</v>
      </c>
      <c r="S169" s="93"/>
      <c r="T169" s="94"/>
      <c r="U169" s="95"/>
    </row>
    <row r="170" customFormat="false" ht="18.75" hidden="false" customHeight="true" outlineLevel="0" collapsed="false">
      <c r="A170" s="91"/>
      <c r="B170" s="92" t="s">
        <v>171</v>
      </c>
      <c r="C170" s="84" t="s">
        <v>93</v>
      </c>
      <c r="D170" s="103" t="s">
        <v>58</v>
      </c>
      <c r="E170" s="91"/>
      <c r="F170" s="91"/>
      <c r="G170" s="87" t="n">
        <v>37.8</v>
      </c>
      <c r="H170" s="93"/>
      <c r="I170" s="94"/>
      <c r="J170" s="95"/>
      <c r="K170" s="3"/>
      <c r="L170" s="91"/>
      <c r="M170" s="92" t="s">
        <v>171</v>
      </c>
      <c r="N170" s="84" t="s">
        <v>93</v>
      </c>
      <c r="O170" s="103" t="s">
        <v>58</v>
      </c>
      <c r="P170" s="91"/>
      <c r="Q170" s="91"/>
      <c r="R170" s="87" t="n">
        <v>37.8</v>
      </c>
      <c r="S170" s="93"/>
      <c r="T170" s="94"/>
      <c r="U170" s="95"/>
    </row>
    <row r="171" customFormat="false" ht="18.75" hidden="false" customHeight="true" outlineLevel="0" collapsed="false">
      <c r="A171" s="91"/>
      <c r="B171" s="92" t="s">
        <v>171</v>
      </c>
      <c r="C171" s="84" t="s">
        <v>95</v>
      </c>
      <c r="D171" s="103" t="s">
        <v>58</v>
      </c>
      <c r="E171" s="91"/>
      <c r="F171" s="91"/>
      <c r="G171" s="87" t="n">
        <v>162.45</v>
      </c>
      <c r="H171" s="93"/>
      <c r="I171" s="94"/>
      <c r="J171" s="95"/>
      <c r="K171" s="3"/>
      <c r="L171" s="91"/>
      <c r="M171" s="92" t="s">
        <v>171</v>
      </c>
      <c r="N171" s="84" t="s">
        <v>95</v>
      </c>
      <c r="O171" s="103" t="s">
        <v>58</v>
      </c>
      <c r="P171" s="91"/>
      <c r="Q171" s="91"/>
      <c r="R171" s="87" t="n">
        <v>162.45</v>
      </c>
      <c r="S171" s="93"/>
      <c r="T171" s="94"/>
      <c r="U171" s="95"/>
    </row>
    <row r="172" customFormat="false" ht="18.75" hidden="false" customHeight="true" outlineLevel="0" collapsed="false">
      <c r="A172" s="91"/>
      <c r="B172" s="92" t="s">
        <v>171</v>
      </c>
      <c r="C172" s="84" t="s">
        <v>94</v>
      </c>
      <c r="D172" s="103" t="s">
        <v>58</v>
      </c>
      <c r="E172" s="91"/>
      <c r="F172" s="91"/>
      <c r="G172" s="87" t="n">
        <v>243.24</v>
      </c>
      <c r="H172" s="93"/>
      <c r="I172" s="94"/>
      <c r="J172" s="95"/>
      <c r="K172" s="3"/>
      <c r="L172" s="91"/>
      <c r="M172" s="92" t="s">
        <v>171</v>
      </c>
      <c r="N172" s="84" t="s">
        <v>94</v>
      </c>
      <c r="O172" s="103" t="s">
        <v>58</v>
      </c>
      <c r="P172" s="91"/>
      <c r="Q172" s="91"/>
      <c r="R172" s="87" t="n">
        <v>243.24</v>
      </c>
      <c r="S172" s="93"/>
      <c r="T172" s="94"/>
      <c r="U172" s="95"/>
    </row>
    <row r="173" customFormat="false" ht="18.75" hidden="false" customHeight="true" outlineLevel="0" collapsed="false">
      <c r="A173" s="82" t="s">
        <v>24</v>
      </c>
      <c r="B173" s="83" t="s">
        <v>172</v>
      </c>
      <c r="C173" s="84" t="s">
        <v>173</v>
      </c>
      <c r="D173" s="85" t="s">
        <v>56</v>
      </c>
      <c r="E173" s="86" t="n">
        <v>16</v>
      </c>
      <c r="F173" s="86" t="n">
        <v>25</v>
      </c>
      <c r="G173" s="87" t="n">
        <f aca="false">E173*F173</f>
        <v>400</v>
      </c>
      <c r="H173" s="88" t="n">
        <f aca="false">SUMIF(B:B,B173,G:G)</f>
        <v>1927.36</v>
      </c>
      <c r="I173" s="89" t="n">
        <v>9180.16</v>
      </c>
      <c r="J173" s="90" t="n">
        <f aca="false">IFERROR((I173-H173)/I173,"")</f>
        <v>0.79005158951478</v>
      </c>
      <c r="K173" s="3"/>
      <c r="L173" s="82" t="s">
        <v>24</v>
      </c>
      <c r="M173" s="83" t="s">
        <v>172</v>
      </c>
      <c r="N173" s="84" t="s">
        <v>173</v>
      </c>
      <c r="O173" s="85" t="s">
        <v>56</v>
      </c>
      <c r="P173" s="86" t="n">
        <v>16</v>
      </c>
      <c r="Q173" s="86" t="n">
        <v>25</v>
      </c>
      <c r="R173" s="87" t="n">
        <f aca="false">P173*Q173</f>
        <v>400</v>
      </c>
      <c r="S173" s="88" t="n">
        <f aca="false">SUMIF(M:M,M173,R:R)</f>
        <v>1927.36</v>
      </c>
      <c r="T173" s="89" t="n">
        <f aca="false">I173</f>
        <v>9180.16</v>
      </c>
      <c r="U173" s="90" t="n">
        <f aca="false">IFERROR((T173-S173)/T173,"")</f>
        <v>0.79005158951478</v>
      </c>
    </row>
    <row r="174" customFormat="false" ht="18.75" hidden="false" customHeight="true" outlineLevel="0" collapsed="false">
      <c r="A174" s="91"/>
      <c r="B174" s="92" t="s">
        <v>172</v>
      </c>
      <c r="C174" s="84" t="s">
        <v>174</v>
      </c>
      <c r="D174" s="85" t="s">
        <v>56</v>
      </c>
      <c r="E174" s="86" t="n">
        <v>16</v>
      </c>
      <c r="F174" s="86" t="n">
        <v>25</v>
      </c>
      <c r="G174" s="87" t="n">
        <f aca="false">E174*F174</f>
        <v>400</v>
      </c>
      <c r="H174" s="93"/>
      <c r="I174" s="94"/>
      <c r="J174" s="95"/>
      <c r="K174" s="3"/>
      <c r="L174" s="91"/>
      <c r="M174" s="92" t="s">
        <v>172</v>
      </c>
      <c r="N174" s="84" t="s">
        <v>174</v>
      </c>
      <c r="O174" s="85" t="s">
        <v>56</v>
      </c>
      <c r="P174" s="86" t="n">
        <v>16</v>
      </c>
      <c r="Q174" s="86" t="n">
        <v>25</v>
      </c>
      <c r="R174" s="87" t="n">
        <f aca="false">P174*Q174</f>
        <v>400</v>
      </c>
      <c r="S174" s="93"/>
      <c r="T174" s="94"/>
      <c r="U174" s="95"/>
    </row>
    <row r="175" customFormat="false" ht="18.75" hidden="false" customHeight="true" outlineLevel="0" collapsed="false">
      <c r="A175" s="91"/>
      <c r="B175" s="92" t="s">
        <v>172</v>
      </c>
      <c r="C175" s="84" t="s">
        <v>175</v>
      </c>
      <c r="D175" s="85" t="s">
        <v>56</v>
      </c>
      <c r="E175" s="86" t="n">
        <v>13.43</v>
      </c>
      <c r="F175" s="86" t="n">
        <v>15</v>
      </c>
      <c r="G175" s="87" t="n">
        <f aca="false">E175*F175</f>
        <v>201.45</v>
      </c>
      <c r="H175" s="93"/>
      <c r="I175" s="94"/>
      <c r="J175" s="95"/>
      <c r="K175" s="3"/>
      <c r="L175" s="91"/>
      <c r="M175" s="92" t="s">
        <v>172</v>
      </c>
      <c r="N175" s="84" t="s">
        <v>175</v>
      </c>
      <c r="O175" s="85" t="s">
        <v>56</v>
      </c>
      <c r="P175" s="86" t="n">
        <v>13.43</v>
      </c>
      <c r="Q175" s="86" t="n">
        <v>15</v>
      </c>
      <c r="R175" s="87" t="n">
        <f aca="false">P175*Q175</f>
        <v>201.45</v>
      </c>
      <c r="S175" s="93"/>
      <c r="T175" s="94"/>
      <c r="U175" s="95"/>
    </row>
    <row r="176" customFormat="false" ht="18.75" hidden="false" customHeight="true" outlineLevel="0" collapsed="false">
      <c r="A176" s="91"/>
      <c r="B176" s="92" t="s">
        <v>172</v>
      </c>
      <c r="C176" s="84" t="s">
        <v>129</v>
      </c>
      <c r="D176" s="85" t="s">
        <v>56</v>
      </c>
      <c r="E176" s="86" t="n">
        <v>11</v>
      </c>
      <c r="F176" s="86" t="n">
        <v>15</v>
      </c>
      <c r="G176" s="87" t="n">
        <f aca="false">E176*F176</f>
        <v>165</v>
      </c>
      <c r="H176" s="93"/>
      <c r="I176" s="94"/>
      <c r="J176" s="95"/>
      <c r="K176" s="3"/>
      <c r="L176" s="91"/>
      <c r="M176" s="92" t="s">
        <v>172</v>
      </c>
      <c r="N176" s="84" t="s">
        <v>129</v>
      </c>
      <c r="O176" s="85" t="s">
        <v>56</v>
      </c>
      <c r="P176" s="86" t="n">
        <v>11</v>
      </c>
      <c r="Q176" s="86" t="n">
        <v>15</v>
      </c>
      <c r="R176" s="87" t="n">
        <f aca="false">P176*Q176</f>
        <v>165</v>
      </c>
      <c r="S176" s="93"/>
      <c r="T176" s="94"/>
      <c r="U176" s="95"/>
    </row>
    <row r="177" customFormat="false" ht="18.75" hidden="false" customHeight="true" outlineLevel="0" collapsed="false">
      <c r="A177" s="91"/>
      <c r="B177" s="92" t="s">
        <v>172</v>
      </c>
      <c r="C177" s="84" t="s">
        <v>176</v>
      </c>
      <c r="D177" s="103" t="s">
        <v>58</v>
      </c>
      <c r="E177" s="91"/>
      <c r="F177" s="91"/>
      <c r="G177" s="87" t="n">
        <v>370.57</v>
      </c>
      <c r="H177" s="93"/>
      <c r="I177" s="94"/>
      <c r="J177" s="95"/>
      <c r="K177" s="3"/>
      <c r="L177" s="91"/>
      <c r="M177" s="92" t="s">
        <v>172</v>
      </c>
      <c r="N177" s="84" t="s">
        <v>176</v>
      </c>
      <c r="O177" s="103" t="s">
        <v>58</v>
      </c>
      <c r="P177" s="91"/>
      <c r="Q177" s="91"/>
      <c r="R177" s="87" t="n">
        <v>370.57</v>
      </c>
      <c r="S177" s="93"/>
      <c r="T177" s="94"/>
      <c r="U177" s="95"/>
    </row>
    <row r="178" customFormat="false" ht="18.75" hidden="false" customHeight="true" outlineLevel="0" collapsed="false">
      <c r="A178" s="91"/>
      <c r="B178" s="92" t="s">
        <v>172</v>
      </c>
      <c r="C178" s="84" t="s">
        <v>177</v>
      </c>
      <c r="D178" s="103" t="s">
        <v>58</v>
      </c>
      <c r="E178" s="91"/>
      <c r="F178" s="91"/>
      <c r="G178" s="87" t="n">
        <v>266</v>
      </c>
      <c r="H178" s="93"/>
      <c r="I178" s="94"/>
      <c r="J178" s="95"/>
      <c r="K178" s="3"/>
      <c r="L178" s="91"/>
      <c r="M178" s="92" t="s">
        <v>172</v>
      </c>
      <c r="N178" s="84" t="s">
        <v>177</v>
      </c>
      <c r="O178" s="103" t="s">
        <v>58</v>
      </c>
      <c r="P178" s="91"/>
      <c r="Q178" s="91"/>
      <c r="R178" s="87" t="n">
        <v>266</v>
      </c>
      <c r="S178" s="93"/>
      <c r="T178" s="94"/>
      <c r="U178" s="95"/>
    </row>
    <row r="179" customFormat="false" ht="18.75" hidden="false" customHeight="true" outlineLevel="0" collapsed="false">
      <c r="A179" s="91"/>
      <c r="B179" s="92" t="s">
        <v>172</v>
      </c>
      <c r="C179" s="84" t="s">
        <v>178</v>
      </c>
      <c r="D179" s="103" t="s">
        <v>58</v>
      </c>
      <c r="E179" s="91"/>
      <c r="F179" s="91"/>
      <c r="G179" s="87" t="n">
        <v>124.34</v>
      </c>
      <c r="H179" s="93"/>
      <c r="I179" s="94"/>
      <c r="J179" s="95"/>
      <c r="K179" s="3"/>
      <c r="L179" s="91"/>
      <c r="M179" s="92" t="s">
        <v>172</v>
      </c>
      <c r="N179" s="84" t="s">
        <v>178</v>
      </c>
      <c r="O179" s="103" t="s">
        <v>58</v>
      </c>
      <c r="P179" s="91"/>
      <c r="Q179" s="91"/>
      <c r="R179" s="87" t="n">
        <v>124.34</v>
      </c>
      <c r="S179" s="93"/>
      <c r="T179" s="94"/>
      <c r="U179" s="95"/>
    </row>
    <row r="180" customFormat="false" ht="18.75" hidden="false" customHeight="true" outlineLevel="0" collapsed="false">
      <c r="A180" s="82" t="s">
        <v>24</v>
      </c>
      <c r="B180" s="83" t="s">
        <v>179</v>
      </c>
      <c r="C180" s="84" t="s">
        <v>98</v>
      </c>
      <c r="D180" s="85" t="s">
        <v>56</v>
      </c>
      <c r="E180" s="86" t="n">
        <v>4</v>
      </c>
      <c r="F180" s="86" t="n">
        <v>13</v>
      </c>
      <c r="G180" s="87" t="n">
        <f aca="false">E180*F180</f>
        <v>52</v>
      </c>
      <c r="H180" s="88" t="n">
        <f aca="false">SUMIF(B:B,B180,G:G)</f>
        <v>521.04</v>
      </c>
      <c r="I180" s="89" t="n">
        <v>1950</v>
      </c>
      <c r="J180" s="90" t="n">
        <f aca="false">IFERROR((I180-H180)/I180,"")</f>
        <v>0.7328</v>
      </c>
      <c r="K180" s="3"/>
      <c r="L180" s="82" t="s">
        <v>24</v>
      </c>
      <c r="M180" s="83" t="s">
        <v>179</v>
      </c>
      <c r="N180" s="84" t="s">
        <v>98</v>
      </c>
      <c r="O180" s="85" t="s">
        <v>56</v>
      </c>
      <c r="P180" s="86" t="n">
        <v>4</v>
      </c>
      <c r="Q180" s="86" t="n">
        <v>13</v>
      </c>
      <c r="R180" s="87" t="n">
        <f aca="false">P180*Q180</f>
        <v>52</v>
      </c>
      <c r="S180" s="88" t="n">
        <f aca="false">SUMIF(M:M,M180,R:R)</f>
        <v>521.04</v>
      </c>
      <c r="T180" s="89" t="n">
        <f aca="false">I180</f>
        <v>1950</v>
      </c>
      <c r="U180" s="90" t="n">
        <f aca="false">IFERROR((T180-S180)/T180,"")</f>
        <v>0.7328</v>
      </c>
    </row>
    <row r="181" customFormat="false" ht="18.75" hidden="false" customHeight="true" outlineLevel="0" collapsed="false">
      <c r="A181" s="91"/>
      <c r="B181" s="92" t="s">
        <v>179</v>
      </c>
      <c r="C181" s="84" t="s">
        <v>180</v>
      </c>
      <c r="D181" s="85" t="s">
        <v>56</v>
      </c>
      <c r="E181" s="86" t="n">
        <v>17.33</v>
      </c>
      <c r="F181" s="86" t="n">
        <v>13</v>
      </c>
      <c r="G181" s="87" t="n">
        <f aca="false">E181*F181</f>
        <v>225.29</v>
      </c>
      <c r="H181" s="93"/>
      <c r="I181" s="94"/>
      <c r="J181" s="95"/>
      <c r="K181" s="3"/>
      <c r="L181" s="91"/>
      <c r="M181" s="92" t="s">
        <v>179</v>
      </c>
      <c r="N181" s="84" t="s">
        <v>180</v>
      </c>
      <c r="O181" s="85" t="s">
        <v>56</v>
      </c>
      <c r="P181" s="86" t="n">
        <v>17.33</v>
      </c>
      <c r="Q181" s="86" t="n">
        <v>13</v>
      </c>
      <c r="R181" s="87" t="n">
        <f aca="false">P181*Q181</f>
        <v>225.29</v>
      </c>
      <c r="S181" s="93"/>
      <c r="T181" s="94"/>
      <c r="U181" s="95"/>
    </row>
    <row r="182" customFormat="false" ht="18.75" hidden="false" customHeight="true" outlineLevel="0" collapsed="false">
      <c r="A182" s="91"/>
      <c r="B182" s="92" t="s">
        <v>179</v>
      </c>
      <c r="C182" s="84" t="s">
        <v>166</v>
      </c>
      <c r="D182" s="85" t="s">
        <v>56</v>
      </c>
      <c r="E182" s="86" t="n">
        <v>18.75</v>
      </c>
      <c r="F182" s="86" t="n">
        <v>13</v>
      </c>
      <c r="G182" s="87" t="n">
        <f aca="false">E182*F182</f>
        <v>243.75</v>
      </c>
      <c r="H182" s="93"/>
      <c r="I182" s="94"/>
      <c r="J182" s="95"/>
      <c r="K182" s="3"/>
      <c r="L182" s="91"/>
      <c r="M182" s="92" t="s">
        <v>179</v>
      </c>
      <c r="N182" s="84" t="s">
        <v>166</v>
      </c>
      <c r="O182" s="85" t="s">
        <v>56</v>
      </c>
      <c r="P182" s="86" t="n">
        <v>18.75</v>
      </c>
      <c r="Q182" s="86" t="n">
        <v>13</v>
      </c>
      <c r="R182" s="87" t="n">
        <f aca="false">P182*Q182</f>
        <v>243.75</v>
      </c>
      <c r="S182" s="93"/>
      <c r="T182" s="94"/>
      <c r="U182" s="95"/>
    </row>
    <row r="183" customFormat="false" ht="18.75" hidden="false" customHeight="true" outlineLevel="0" collapsed="false">
      <c r="A183" s="82" t="s">
        <v>24</v>
      </c>
      <c r="B183" s="83" t="s">
        <v>181</v>
      </c>
      <c r="C183" s="97" t="s">
        <v>113</v>
      </c>
      <c r="D183" s="98" t="s">
        <v>55</v>
      </c>
      <c r="E183" s="99" t="n">
        <v>35</v>
      </c>
      <c r="F183" s="99" t="n">
        <v>16</v>
      </c>
      <c r="G183" s="100" t="n">
        <f aca="false">E183*F183</f>
        <v>560</v>
      </c>
      <c r="H183" s="88" t="n">
        <f aca="false">SUMIF(B:B,B183,G:G)</f>
        <v>2575.03</v>
      </c>
      <c r="I183" s="89" t="n">
        <v>2735</v>
      </c>
      <c r="J183" s="90" t="n">
        <f aca="false">IFERROR((I183-H183)/I183,"")</f>
        <v>0.058489945155393</v>
      </c>
      <c r="K183" s="3"/>
      <c r="L183" s="82" t="s">
        <v>24</v>
      </c>
      <c r="M183" s="83" t="s">
        <v>181</v>
      </c>
      <c r="N183" s="97" t="s">
        <v>113</v>
      </c>
      <c r="O183" s="98" t="s">
        <v>55</v>
      </c>
      <c r="P183" s="101"/>
      <c r="Q183" s="101"/>
      <c r="R183" s="102" t="n">
        <v>0</v>
      </c>
      <c r="S183" s="88" t="n">
        <f aca="false">SUMIF(M:M,M183,R:R)</f>
        <v>2015.03</v>
      </c>
      <c r="T183" s="89" t="n">
        <f aca="false">I183</f>
        <v>2735</v>
      </c>
      <c r="U183" s="90" t="n">
        <f aca="false">IFERROR((T183-S183)/T183,"")</f>
        <v>0.263243144424132</v>
      </c>
    </row>
    <row r="184" customFormat="false" ht="18.75" hidden="false" customHeight="true" outlineLevel="0" collapsed="false">
      <c r="A184" s="91"/>
      <c r="B184" s="92" t="s">
        <v>181</v>
      </c>
      <c r="C184" s="84" t="s">
        <v>182</v>
      </c>
      <c r="D184" s="85" t="s">
        <v>56</v>
      </c>
      <c r="E184" s="86" t="n">
        <v>23.26</v>
      </c>
      <c r="F184" s="86" t="n">
        <v>15</v>
      </c>
      <c r="G184" s="87" t="n">
        <f aca="false">E184*F184</f>
        <v>348.9</v>
      </c>
      <c r="H184" s="93"/>
      <c r="I184" s="94"/>
      <c r="J184" s="95"/>
      <c r="K184" s="3"/>
      <c r="L184" s="91"/>
      <c r="M184" s="92" t="s">
        <v>181</v>
      </c>
      <c r="N184" s="84" t="s">
        <v>182</v>
      </c>
      <c r="O184" s="85" t="s">
        <v>56</v>
      </c>
      <c r="P184" s="86" t="n">
        <v>23.26</v>
      </c>
      <c r="Q184" s="86" t="n">
        <v>15</v>
      </c>
      <c r="R184" s="87" t="n">
        <f aca="false">P184*Q184</f>
        <v>348.9</v>
      </c>
      <c r="S184" s="93"/>
      <c r="T184" s="94"/>
      <c r="U184" s="95"/>
    </row>
    <row r="185" customFormat="false" ht="18.75" hidden="false" customHeight="true" outlineLevel="0" collapsed="false">
      <c r="A185" s="91"/>
      <c r="B185" s="92" t="s">
        <v>181</v>
      </c>
      <c r="C185" s="84" t="s">
        <v>100</v>
      </c>
      <c r="D185" s="85" t="s">
        <v>56</v>
      </c>
      <c r="E185" s="86" t="n">
        <v>27</v>
      </c>
      <c r="F185" s="86" t="n">
        <v>15</v>
      </c>
      <c r="G185" s="87" t="n">
        <f aca="false">E185*F185</f>
        <v>405</v>
      </c>
      <c r="H185" s="93"/>
      <c r="I185" s="94"/>
      <c r="J185" s="95"/>
      <c r="K185" s="3"/>
      <c r="L185" s="91"/>
      <c r="M185" s="92" t="s">
        <v>181</v>
      </c>
      <c r="N185" s="84" t="s">
        <v>100</v>
      </c>
      <c r="O185" s="85" t="s">
        <v>56</v>
      </c>
      <c r="P185" s="86" t="n">
        <v>27</v>
      </c>
      <c r="Q185" s="86" t="n">
        <v>15</v>
      </c>
      <c r="R185" s="87" t="n">
        <f aca="false">P185*Q185</f>
        <v>405</v>
      </c>
      <c r="S185" s="93"/>
      <c r="T185" s="94"/>
      <c r="U185" s="95"/>
    </row>
    <row r="186" customFormat="false" ht="18.75" hidden="false" customHeight="true" outlineLevel="0" collapsed="false">
      <c r="A186" s="91"/>
      <c r="B186" s="92" t="s">
        <v>181</v>
      </c>
      <c r="C186" s="84" t="s">
        <v>102</v>
      </c>
      <c r="D186" s="85" t="s">
        <v>56</v>
      </c>
      <c r="E186" s="86" t="n">
        <v>27</v>
      </c>
      <c r="F186" s="86" t="n">
        <v>15</v>
      </c>
      <c r="G186" s="87" t="n">
        <f aca="false">E186*F186</f>
        <v>405</v>
      </c>
      <c r="H186" s="93"/>
      <c r="I186" s="94"/>
      <c r="J186" s="95"/>
      <c r="K186" s="3"/>
      <c r="L186" s="91"/>
      <c r="M186" s="92" t="s">
        <v>181</v>
      </c>
      <c r="N186" s="84" t="s">
        <v>102</v>
      </c>
      <c r="O186" s="85" t="s">
        <v>56</v>
      </c>
      <c r="P186" s="86" t="n">
        <v>27</v>
      </c>
      <c r="Q186" s="86" t="n">
        <v>15</v>
      </c>
      <c r="R186" s="87" t="n">
        <f aca="false">P186*Q186</f>
        <v>405</v>
      </c>
      <c r="S186" s="93"/>
      <c r="T186" s="94"/>
      <c r="U186" s="95"/>
    </row>
    <row r="187" customFormat="false" ht="18.75" hidden="false" customHeight="true" outlineLevel="0" collapsed="false">
      <c r="A187" s="91"/>
      <c r="B187" s="92" t="s">
        <v>181</v>
      </c>
      <c r="C187" s="84" t="s">
        <v>93</v>
      </c>
      <c r="D187" s="103" t="s">
        <v>58</v>
      </c>
      <c r="E187" s="91"/>
      <c r="F187" s="91"/>
      <c r="G187" s="87" t="n">
        <v>121.8</v>
      </c>
      <c r="H187" s="93"/>
      <c r="I187" s="94"/>
      <c r="J187" s="95"/>
      <c r="K187" s="3"/>
      <c r="L187" s="91"/>
      <c r="M187" s="92" t="s">
        <v>181</v>
      </c>
      <c r="N187" s="84" t="s">
        <v>93</v>
      </c>
      <c r="O187" s="103" t="s">
        <v>58</v>
      </c>
      <c r="P187" s="91"/>
      <c r="Q187" s="91"/>
      <c r="R187" s="87" t="n">
        <v>121.8</v>
      </c>
      <c r="S187" s="93"/>
      <c r="T187" s="94"/>
      <c r="U187" s="95"/>
    </row>
    <row r="188" customFormat="false" ht="18.75" hidden="false" customHeight="true" outlineLevel="0" collapsed="false">
      <c r="A188" s="91"/>
      <c r="B188" s="92" t="s">
        <v>181</v>
      </c>
      <c r="C188" s="84" t="s">
        <v>92</v>
      </c>
      <c r="D188" s="103" t="s">
        <v>58</v>
      </c>
      <c r="E188" s="91"/>
      <c r="F188" s="91"/>
      <c r="G188" s="87" t="n">
        <v>167</v>
      </c>
      <c r="H188" s="93"/>
      <c r="I188" s="94"/>
      <c r="J188" s="95"/>
      <c r="K188" s="3"/>
      <c r="L188" s="91"/>
      <c r="M188" s="92" t="s">
        <v>181</v>
      </c>
      <c r="N188" s="84" t="s">
        <v>92</v>
      </c>
      <c r="O188" s="103" t="s">
        <v>58</v>
      </c>
      <c r="P188" s="91"/>
      <c r="Q188" s="91"/>
      <c r="R188" s="87" t="n">
        <v>167</v>
      </c>
      <c r="S188" s="93"/>
      <c r="T188" s="94"/>
      <c r="U188" s="95"/>
    </row>
    <row r="189" customFormat="false" ht="18.75" hidden="false" customHeight="true" outlineLevel="0" collapsed="false">
      <c r="A189" s="91"/>
      <c r="B189" s="92" t="s">
        <v>181</v>
      </c>
      <c r="C189" s="84" t="s">
        <v>94</v>
      </c>
      <c r="D189" s="103" t="s">
        <v>58</v>
      </c>
      <c r="E189" s="91"/>
      <c r="F189" s="91"/>
      <c r="G189" s="87" t="n">
        <v>432.33</v>
      </c>
      <c r="H189" s="93"/>
      <c r="I189" s="94"/>
      <c r="J189" s="95"/>
      <c r="K189" s="3"/>
      <c r="L189" s="91"/>
      <c r="M189" s="92" t="s">
        <v>181</v>
      </c>
      <c r="N189" s="84" t="s">
        <v>94</v>
      </c>
      <c r="O189" s="103" t="s">
        <v>58</v>
      </c>
      <c r="P189" s="91"/>
      <c r="Q189" s="91"/>
      <c r="R189" s="87" t="n">
        <v>432.33</v>
      </c>
      <c r="S189" s="93"/>
      <c r="T189" s="94"/>
      <c r="U189" s="95"/>
    </row>
    <row r="190" customFormat="false" ht="18.75" hidden="false" customHeight="true" outlineLevel="0" collapsed="false">
      <c r="A190" s="91"/>
      <c r="B190" s="92" t="s">
        <v>181</v>
      </c>
      <c r="C190" s="84" t="s">
        <v>95</v>
      </c>
      <c r="D190" s="103" t="s">
        <v>58</v>
      </c>
      <c r="E190" s="91"/>
      <c r="F190" s="91"/>
      <c r="G190" s="87" t="n">
        <v>135</v>
      </c>
      <c r="H190" s="93"/>
      <c r="I190" s="94"/>
      <c r="J190" s="95"/>
      <c r="K190" s="3"/>
      <c r="L190" s="91"/>
      <c r="M190" s="92" t="s">
        <v>181</v>
      </c>
      <c r="N190" s="84" t="s">
        <v>95</v>
      </c>
      <c r="O190" s="103" t="s">
        <v>58</v>
      </c>
      <c r="P190" s="91"/>
      <c r="Q190" s="91"/>
      <c r="R190" s="87" t="n">
        <v>135</v>
      </c>
      <c r="S190" s="93"/>
      <c r="T190" s="94"/>
      <c r="U190" s="95"/>
    </row>
    <row r="191" customFormat="false" ht="18.75" hidden="false" customHeight="true" outlineLevel="0" collapsed="false">
      <c r="A191" s="82" t="s">
        <v>24</v>
      </c>
      <c r="B191" s="83" t="s">
        <v>183</v>
      </c>
      <c r="C191" s="84" t="s">
        <v>98</v>
      </c>
      <c r="D191" s="85" t="s">
        <v>56</v>
      </c>
      <c r="E191" s="86" t="n">
        <v>5.65</v>
      </c>
      <c r="F191" s="86" t="n">
        <v>13</v>
      </c>
      <c r="G191" s="87" t="n">
        <f aca="false">E191*F191</f>
        <v>73.45</v>
      </c>
      <c r="H191" s="88" t="n">
        <f aca="false">SUMIF(B:B,B191,G:G)</f>
        <v>364.77</v>
      </c>
      <c r="I191" s="89" t="n">
        <v>1250</v>
      </c>
      <c r="J191" s="90" t="n">
        <f aca="false">IFERROR((I191-H191)/I191,"")</f>
        <v>0.708184</v>
      </c>
      <c r="K191" s="3"/>
      <c r="L191" s="82" t="s">
        <v>24</v>
      </c>
      <c r="M191" s="83" t="s">
        <v>183</v>
      </c>
      <c r="N191" s="84" t="s">
        <v>98</v>
      </c>
      <c r="O191" s="85" t="s">
        <v>56</v>
      </c>
      <c r="P191" s="86" t="n">
        <v>5.65</v>
      </c>
      <c r="Q191" s="86" t="n">
        <v>13</v>
      </c>
      <c r="R191" s="87" t="n">
        <f aca="false">P191*Q191</f>
        <v>73.45</v>
      </c>
      <c r="S191" s="88" t="n">
        <f aca="false">SUMIF(M:M,M191,R:R)</f>
        <v>364.77</v>
      </c>
      <c r="T191" s="89" t="n">
        <f aca="false">I191</f>
        <v>1250</v>
      </c>
      <c r="U191" s="90" t="n">
        <f aca="false">IFERROR((T191-S191)/T191,"")</f>
        <v>0.708184</v>
      </c>
    </row>
    <row r="192" customFormat="false" ht="18.75" hidden="false" customHeight="true" outlineLevel="0" collapsed="false">
      <c r="A192" s="91"/>
      <c r="B192" s="92" t="s">
        <v>183</v>
      </c>
      <c r="C192" s="84" t="s">
        <v>89</v>
      </c>
      <c r="D192" s="85" t="s">
        <v>56</v>
      </c>
      <c r="E192" s="86" t="n">
        <v>10</v>
      </c>
      <c r="F192" s="86" t="n">
        <v>15</v>
      </c>
      <c r="G192" s="87" t="n">
        <f aca="false">E192*F192</f>
        <v>150</v>
      </c>
      <c r="H192" s="93"/>
      <c r="I192" s="94"/>
      <c r="J192" s="95"/>
      <c r="K192" s="3"/>
      <c r="L192" s="91"/>
      <c r="M192" s="92" t="s">
        <v>183</v>
      </c>
      <c r="N192" s="84" t="s">
        <v>89</v>
      </c>
      <c r="O192" s="85" t="s">
        <v>56</v>
      </c>
      <c r="P192" s="86" t="n">
        <v>10</v>
      </c>
      <c r="Q192" s="86" t="n">
        <v>15</v>
      </c>
      <c r="R192" s="87" t="n">
        <f aca="false">P192*Q192</f>
        <v>150</v>
      </c>
      <c r="S192" s="93"/>
      <c r="T192" s="94"/>
      <c r="U192" s="95"/>
    </row>
    <row r="193" customFormat="false" ht="18.75" hidden="false" customHeight="true" outlineLevel="0" collapsed="false">
      <c r="A193" s="91"/>
      <c r="B193" s="92" t="s">
        <v>183</v>
      </c>
      <c r="C193" s="84" t="s">
        <v>86</v>
      </c>
      <c r="D193" s="96" t="s">
        <v>57</v>
      </c>
      <c r="E193" s="91"/>
      <c r="F193" s="91"/>
      <c r="G193" s="87" t="n">
        <v>141.32</v>
      </c>
      <c r="H193" s="93"/>
      <c r="I193" s="94"/>
      <c r="J193" s="95"/>
      <c r="K193" s="3"/>
      <c r="L193" s="91"/>
      <c r="M193" s="92" t="s">
        <v>183</v>
      </c>
      <c r="N193" s="84" t="s">
        <v>86</v>
      </c>
      <c r="O193" s="96" t="s">
        <v>57</v>
      </c>
      <c r="P193" s="91"/>
      <c r="Q193" s="91"/>
      <c r="R193" s="87" t="n">
        <v>141.32</v>
      </c>
      <c r="S193" s="93"/>
      <c r="T193" s="94"/>
      <c r="U193" s="95"/>
    </row>
    <row r="194" customFormat="false" ht="18.75" hidden="false" customHeight="true" outlineLevel="0" collapsed="false">
      <c r="A194" s="82" t="s">
        <v>24</v>
      </c>
      <c r="B194" s="83" t="s">
        <v>184</v>
      </c>
      <c r="C194" s="84" t="s">
        <v>148</v>
      </c>
      <c r="D194" s="85" t="s">
        <v>56</v>
      </c>
      <c r="E194" s="86" t="n">
        <v>25</v>
      </c>
      <c r="F194" s="86" t="n">
        <v>15</v>
      </c>
      <c r="G194" s="87" t="n">
        <f aca="false">E194*F194</f>
        <v>375</v>
      </c>
      <c r="H194" s="88" t="n">
        <f aca="false">SUMIF(B:B,B194,G:G)</f>
        <v>1083.37</v>
      </c>
      <c r="I194" s="89" t="n">
        <v>4455</v>
      </c>
      <c r="J194" s="90" t="n">
        <f aca="false">IFERROR((I194-H194)/I194,"")</f>
        <v>0.756819304152638</v>
      </c>
      <c r="K194" s="3"/>
      <c r="L194" s="82" t="s">
        <v>24</v>
      </c>
      <c r="M194" s="83" t="s">
        <v>184</v>
      </c>
      <c r="N194" s="84" t="s">
        <v>148</v>
      </c>
      <c r="O194" s="85" t="s">
        <v>56</v>
      </c>
      <c r="P194" s="86" t="n">
        <v>25</v>
      </c>
      <c r="Q194" s="86" t="n">
        <v>15</v>
      </c>
      <c r="R194" s="87" t="n">
        <f aca="false">P194*Q194</f>
        <v>375</v>
      </c>
      <c r="S194" s="88" t="n">
        <f aca="false">SUMIF(M:M,M194,R:R)</f>
        <v>1083.37</v>
      </c>
      <c r="T194" s="89" t="n">
        <f aca="false">I194</f>
        <v>4455</v>
      </c>
      <c r="U194" s="90" t="n">
        <f aca="false">IFERROR((T194-S194)/T194,"")</f>
        <v>0.756819304152638</v>
      </c>
    </row>
    <row r="195" customFormat="false" ht="18.75" hidden="false" customHeight="true" outlineLevel="0" collapsed="false">
      <c r="A195" s="91"/>
      <c r="B195" s="92" t="s">
        <v>184</v>
      </c>
      <c r="C195" s="84" t="s">
        <v>80</v>
      </c>
      <c r="D195" s="85" t="s">
        <v>56</v>
      </c>
      <c r="E195" s="86" t="n">
        <v>21.17</v>
      </c>
      <c r="F195" s="86" t="n">
        <v>13</v>
      </c>
      <c r="G195" s="87" t="n">
        <f aca="false">E195*F195</f>
        <v>275.21</v>
      </c>
      <c r="H195" s="93"/>
      <c r="I195" s="94"/>
      <c r="J195" s="95"/>
      <c r="K195" s="3"/>
      <c r="L195" s="91"/>
      <c r="M195" s="92" t="s">
        <v>184</v>
      </c>
      <c r="N195" s="84" t="s">
        <v>80</v>
      </c>
      <c r="O195" s="85" t="s">
        <v>56</v>
      </c>
      <c r="P195" s="86" t="n">
        <v>21.17</v>
      </c>
      <c r="Q195" s="86" t="n">
        <v>13</v>
      </c>
      <c r="R195" s="87" t="n">
        <f aca="false">P195*Q195</f>
        <v>275.21</v>
      </c>
      <c r="S195" s="93"/>
      <c r="T195" s="94"/>
      <c r="U195" s="95"/>
    </row>
    <row r="196" customFormat="false" ht="18.75" hidden="false" customHeight="true" outlineLevel="0" collapsed="false">
      <c r="A196" s="91"/>
      <c r="B196" s="92" t="s">
        <v>184</v>
      </c>
      <c r="C196" s="84" t="s">
        <v>129</v>
      </c>
      <c r="D196" s="85" t="s">
        <v>56</v>
      </c>
      <c r="E196" s="86" t="n">
        <v>13.32</v>
      </c>
      <c r="F196" s="86" t="n">
        <v>13</v>
      </c>
      <c r="G196" s="87" t="n">
        <f aca="false">E196*F196</f>
        <v>173.16</v>
      </c>
      <c r="H196" s="93"/>
      <c r="I196" s="94"/>
      <c r="J196" s="95"/>
      <c r="K196" s="3"/>
      <c r="L196" s="91"/>
      <c r="M196" s="92" t="s">
        <v>184</v>
      </c>
      <c r="N196" s="84" t="s">
        <v>129</v>
      </c>
      <c r="O196" s="85" t="s">
        <v>56</v>
      </c>
      <c r="P196" s="86" t="n">
        <v>13.32</v>
      </c>
      <c r="Q196" s="86" t="n">
        <v>13</v>
      </c>
      <c r="R196" s="87" t="n">
        <f aca="false">P196*Q196</f>
        <v>173.16</v>
      </c>
      <c r="S196" s="93"/>
      <c r="T196" s="94"/>
      <c r="U196" s="95"/>
    </row>
    <row r="197" customFormat="false" ht="18.75" hidden="false" customHeight="true" outlineLevel="0" collapsed="false">
      <c r="A197" s="91"/>
      <c r="B197" s="92" t="s">
        <v>184</v>
      </c>
      <c r="C197" s="84" t="s">
        <v>79</v>
      </c>
      <c r="D197" s="85" t="s">
        <v>56</v>
      </c>
      <c r="E197" s="86" t="n">
        <v>20</v>
      </c>
      <c r="F197" s="86" t="n">
        <v>13</v>
      </c>
      <c r="G197" s="87" t="n">
        <f aca="false">E197*F197</f>
        <v>260</v>
      </c>
      <c r="H197" s="93"/>
      <c r="I197" s="94"/>
      <c r="J197" s="95"/>
      <c r="K197" s="3"/>
      <c r="L197" s="91"/>
      <c r="M197" s="92" t="s">
        <v>184</v>
      </c>
      <c r="N197" s="84" t="s">
        <v>79</v>
      </c>
      <c r="O197" s="85" t="s">
        <v>56</v>
      </c>
      <c r="P197" s="86" t="n">
        <v>20</v>
      </c>
      <c r="Q197" s="86" t="n">
        <v>13</v>
      </c>
      <c r="R197" s="87" t="n">
        <f aca="false">P197*Q197</f>
        <v>260</v>
      </c>
      <c r="S197" s="93"/>
      <c r="T197" s="94"/>
      <c r="U197" s="95"/>
    </row>
    <row r="198" customFormat="false" ht="18.75" hidden="false" customHeight="true" outlineLevel="0" collapsed="false">
      <c r="A198" s="82" t="s">
        <v>24</v>
      </c>
      <c r="B198" s="83" t="s">
        <v>185</v>
      </c>
      <c r="C198" s="84" t="s">
        <v>186</v>
      </c>
      <c r="D198" s="85" t="s">
        <v>56</v>
      </c>
      <c r="E198" s="86" t="n">
        <v>76.13</v>
      </c>
      <c r="F198" s="86" t="n">
        <v>15</v>
      </c>
      <c r="G198" s="87" t="n">
        <f aca="false">E198*F198</f>
        <v>1141.95</v>
      </c>
      <c r="H198" s="88" t="n">
        <f aca="false">SUMIF(B:B,B198,G:G)</f>
        <v>6762.14</v>
      </c>
      <c r="I198" s="89" t="n">
        <v>16901.08</v>
      </c>
      <c r="J198" s="90" t="n">
        <f aca="false">IFERROR((I198-H198)/I198,"")</f>
        <v>0.599898941369427</v>
      </c>
      <c r="K198" s="3"/>
      <c r="L198" s="82" t="s">
        <v>24</v>
      </c>
      <c r="M198" s="83" t="s">
        <v>185</v>
      </c>
      <c r="N198" s="84" t="s">
        <v>186</v>
      </c>
      <c r="O198" s="85" t="s">
        <v>56</v>
      </c>
      <c r="P198" s="86" t="n">
        <v>76.13</v>
      </c>
      <c r="Q198" s="86" t="n">
        <v>15</v>
      </c>
      <c r="R198" s="87" t="n">
        <f aca="false">P198*Q198</f>
        <v>1141.95</v>
      </c>
      <c r="S198" s="88" t="n">
        <f aca="false">SUMIF(M:M,M198,R:R)</f>
        <v>6238.14</v>
      </c>
      <c r="T198" s="89" t="n">
        <f aca="false">I198</f>
        <v>16901.08</v>
      </c>
      <c r="U198" s="90" t="n">
        <f aca="false">IFERROR((T198-S198)/T198,"")</f>
        <v>0.630902877212581</v>
      </c>
    </row>
    <row r="199" customFormat="false" ht="18.75" hidden="false" customHeight="true" outlineLevel="0" collapsed="false">
      <c r="A199" s="104"/>
      <c r="B199" s="105" t="s">
        <v>185</v>
      </c>
      <c r="C199" s="97" t="s">
        <v>91</v>
      </c>
      <c r="D199" s="98" t="s">
        <v>55</v>
      </c>
      <c r="E199" s="99" t="n">
        <v>30</v>
      </c>
      <c r="F199" s="99" t="n">
        <v>16</v>
      </c>
      <c r="G199" s="100" t="n">
        <f aca="false">E199*F199</f>
        <v>480</v>
      </c>
      <c r="H199" s="106"/>
      <c r="I199" s="107"/>
      <c r="J199" s="108"/>
      <c r="K199" s="3"/>
      <c r="L199" s="104"/>
      <c r="M199" s="105" t="s">
        <v>185</v>
      </c>
      <c r="N199" s="97" t="s">
        <v>91</v>
      </c>
      <c r="O199" s="98" t="s">
        <v>55</v>
      </c>
      <c r="P199" s="101"/>
      <c r="Q199" s="101"/>
      <c r="R199" s="102" t="n">
        <v>0</v>
      </c>
      <c r="S199" s="106"/>
      <c r="T199" s="107"/>
      <c r="U199" s="108"/>
    </row>
    <row r="200" customFormat="false" ht="18.75" hidden="false" customHeight="true" outlineLevel="0" collapsed="false">
      <c r="A200" s="91"/>
      <c r="B200" s="92" t="s">
        <v>185</v>
      </c>
      <c r="C200" s="84" t="s">
        <v>187</v>
      </c>
      <c r="D200" s="85" t="s">
        <v>56</v>
      </c>
      <c r="E200" s="86" t="n">
        <v>47</v>
      </c>
      <c r="F200" s="86" t="n">
        <v>18</v>
      </c>
      <c r="G200" s="87" t="n">
        <f aca="false">E200*F200</f>
        <v>846</v>
      </c>
      <c r="H200" s="93"/>
      <c r="I200" s="94"/>
      <c r="J200" s="95"/>
      <c r="K200" s="3"/>
      <c r="L200" s="91"/>
      <c r="M200" s="92" t="s">
        <v>185</v>
      </c>
      <c r="N200" s="84" t="s">
        <v>187</v>
      </c>
      <c r="O200" s="85" t="s">
        <v>56</v>
      </c>
      <c r="P200" s="86" t="n">
        <v>47</v>
      </c>
      <c r="Q200" s="86" t="n">
        <v>18</v>
      </c>
      <c r="R200" s="87" t="n">
        <f aca="false">P200*Q200</f>
        <v>846</v>
      </c>
      <c r="S200" s="93"/>
      <c r="T200" s="94"/>
      <c r="U200" s="95"/>
    </row>
    <row r="201" customFormat="false" ht="18.75" hidden="false" customHeight="true" outlineLevel="0" collapsed="false">
      <c r="A201" s="91"/>
      <c r="B201" s="92" t="s">
        <v>185</v>
      </c>
      <c r="C201" s="84" t="s">
        <v>188</v>
      </c>
      <c r="D201" s="85" t="s">
        <v>56</v>
      </c>
      <c r="E201" s="86" t="n">
        <v>64.8</v>
      </c>
      <c r="F201" s="86" t="n">
        <v>18</v>
      </c>
      <c r="G201" s="87" t="n">
        <f aca="false">E201*F201</f>
        <v>1166.4</v>
      </c>
      <c r="H201" s="93"/>
      <c r="I201" s="94"/>
      <c r="J201" s="95"/>
      <c r="K201" s="3"/>
      <c r="L201" s="91"/>
      <c r="M201" s="92" t="s">
        <v>185</v>
      </c>
      <c r="N201" s="84" t="s">
        <v>188</v>
      </c>
      <c r="O201" s="85" t="s">
        <v>56</v>
      </c>
      <c r="P201" s="86" t="n">
        <v>64.8</v>
      </c>
      <c r="Q201" s="86" t="n">
        <v>18</v>
      </c>
      <c r="R201" s="87" t="n">
        <f aca="false">P201*Q201</f>
        <v>1166.4</v>
      </c>
      <c r="S201" s="93"/>
      <c r="T201" s="94"/>
      <c r="U201" s="95"/>
    </row>
    <row r="202" customFormat="false" ht="18.75" hidden="false" customHeight="true" outlineLevel="0" collapsed="false">
      <c r="A202" s="91"/>
      <c r="B202" s="92" t="s">
        <v>185</v>
      </c>
      <c r="C202" s="84" t="s">
        <v>189</v>
      </c>
      <c r="D202" s="85" t="s">
        <v>56</v>
      </c>
      <c r="E202" s="86" t="n">
        <v>23</v>
      </c>
      <c r="F202" s="86" t="n">
        <v>15</v>
      </c>
      <c r="G202" s="87" t="n">
        <f aca="false">E202*F202</f>
        <v>345</v>
      </c>
      <c r="H202" s="93"/>
      <c r="I202" s="94"/>
      <c r="J202" s="95"/>
      <c r="K202" s="3"/>
      <c r="L202" s="91"/>
      <c r="M202" s="92" t="s">
        <v>185</v>
      </c>
      <c r="N202" s="84" t="s">
        <v>189</v>
      </c>
      <c r="O202" s="85" t="s">
        <v>56</v>
      </c>
      <c r="P202" s="86" t="n">
        <v>23</v>
      </c>
      <c r="Q202" s="86" t="n">
        <v>15</v>
      </c>
      <c r="R202" s="87" t="n">
        <f aca="false">P202*Q202</f>
        <v>345</v>
      </c>
      <c r="S202" s="93"/>
      <c r="T202" s="94"/>
      <c r="U202" s="95"/>
    </row>
    <row r="203" customFormat="false" ht="18.75" hidden="false" customHeight="true" outlineLevel="0" collapsed="false">
      <c r="A203" s="91"/>
      <c r="B203" s="92" t="s">
        <v>185</v>
      </c>
      <c r="C203" s="84" t="s">
        <v>137</v>
      </c>
      <c r="D203" s="85" t="s">
        <v>56</v>
      </c>
      <c r="E203" s="86" t="n">
        <v>25.75</v>
      </c>
      <c r="F203" s="86" t="n">
        <v>15</v>
      </c>
      <c r="G203" s="87" t="n">
        <f aca="false">E203*F203</f>
        <v>386.25</v>
      </c>
      <c r="H203" s="93"/>
      <c r="I203" s="94"/>
      <c r="J203" s="95"/>
      <c r="K203" s="3"/>
      <c r="L203" s="91"/>
      <c r="M203" s="92" t="s">
        <v>185</v>
      </c>
      <c r="N203" s="84" t="s">
        <v>137</v>
      </c>
      <c r="O203" s="85" t="s">
        <v>56</v>
      </c>
      <c r="P203" s="86" t="n">
        <v>25.75</v>
      </c>
      <c r="Q203" s="86" t="n">
        <v>15</v>
      </c>
      <c r="R203" s="87" t="n">
        <f aca="false">P203*Q203</f>
        <v>386.25</v>
      </c>
      <c r="S203" s="93"/>
      <c r="T203" s="94"/>
      <c r="U203" s="95"/>
    </row>
    <row r="204" customFormat="false" ht="18.75" hidden="false" customHeight="true" outlineLevel="0" collapsed="false">
      <c r="A204" s="91"/>
      <c r="B204" s="92" t="s">
        <v>185</v>
      </c>
      <c r="C204" s="84" t="s">
        <v>190</v>
      </c>
      <c r="D204" s="85" t="s">
        <v>56</v>
      </c>
      <c r="E204" s="86" t="n">
        <v>22</v>
      </c>
      <c r="F204" s="86" t="n">
        <v>20.5</v>
      </c>
      <c r="G204" s="87" t="n">
        <f aca="false">E204*F204</f>
        <v>451</v>
      </c>
      <c r="H204" s="93"/>
      <c r="I204" s="94"/>
      <c r="J204" s="95"/>
      <c r="K204" s="3"/>
      <c r="L204" s="91"/>
      <c r="M204" s="92" t="s">
        <v>185</v>
      </c>
      <c r="N204" s="84" t="s">
        <v>190</v>
      </c>
      <c r="O204" s="85" t="s">
        <v>56</v>
      </c>
      <c r="P204" s="86" t="n">
        <v>22</v>
      </c>
      <c r="Q204" s="86" t="n">
        <v>20.5</v>
      </c>
      <c r="R204" s="87" t="n">
        <f aca="false">P204*Q204</f>
        <v>451</v>
      </c>
      <c r="S204" s="93"/>
      <c r="T204" s="94"/>
      <c r="U204" s="95"/>
    </row>
    <row r="205" customFormat="false" ht="18.75" hidden="false" customHeight="true" outlineLevel="0" collapsed="false">
      <c r="A205" s="91"/>
      <c r="B205" s="92" t="s">
        <v>185</v>
      </c>
      <c r="C205" s="84" t="s">
        <v>191</v>
      </c>
      <c r="D205" s="85" t="s">
        <v>56</v>
      </c>
      <c r="E205" s="86" t="n">
        <v>24</v>
      </c>
      <c r="F205" s="86" t="n">
        <v>20.5</v>
      </c>
      <c r="G205" s="87" t="n">
        <f aca="false">E205*F205</f>
        <v>492</v>
      </c>
      <c r="H205" s="93"/>
      <c r="I205" s="94"/>
      <c r="J205" s="95"/>
      <c r="K205" s="3"/>
      <c r="L205" s="91"/>
      <c r="M205" s="92" t="s">
        <v>185</v>
      </c>
      <c r="N205" s="84" t="s">
        <v>191</v>
      </c>
      <c r="O205" s="85" t="s">
        <v>56</v>
      </c>
      <c r="P205" s="86" t="n">
        <v>24</v>
      </c>
      <c r="Q205" s="86" t="n">
        <v>20.5</v>
      </c>
      <c r="R205" s="87" t="n">
        <f aca="false">P205*Q205</f>
        <v>492</v>
      </c>
      <c r="S205" s="93"/>
      <c r="T205" s="94"/>
      <c r="U205" s="95"/>
    </row>
    <row r="206" customFormat="false" ht="18.75" hidden="false" customHeight="true" outlineLevel="0" collapsed="false">
      <c r="A206" s="91"/>
      <c r="B206" s="92" t="s">
        <v>185</v>
      </c>
      <c r="C206" s="84" t="s">
        <v>192</v>
      </c>
      <c r="D206" s="85" t="s">
        <v>56</v>
      </c>
      <c r="E206" s="86" t="n">
        <v>15.33</v>
      </c>
      <c r="F206" s="86" t="n">
        <v>15</v>
      </c>
      <c r="G206" s="87" t="n">
        <f aca="false">E206*F206</f>
        <v>229.95</v>
      </c>
      <c r="H206" s="93"/>
      <c r="I206" s="94"/>
      <c r="J206" s="95"/>
      <c r="K206" s="3"/>
      <c r="L206" s="91"/>
      <c r="M206" s="92" t="s">
        <v>185</v>
      </c>
      <c r="N206" s="84" t="s">
        <v>192</v>
      </c>
      <c r="O206" s="85" t="s">
        <v>56</v>
      </c>
      <c r="P206" s="86" t="n">
        <v>15.33</v>
      </c>
      <c r="Q206" s="86" t="n">
        <v>15</v>
      </c>
      <c r="R206" s="87" t="n">
        <f aca="false">P206*Q206</f>
        <v>229.95</v>
      </c>
      <c r="S206" s="93"/>
      <c r="T206" s="94"/>
      <c r="U206" s="95"/>
    </row>
    <row r="207" customFormat="false" ht="18.75" hidden="false" customHeight="true" outlineLevel="0" collapsed="false">
      <c r="A207" s="104"/>
      <c r="B207" s="105" t="s">
        <v>185</v>
      </c>
      <c r="C207" s="97" t="s">
        <v>193</v>
      </c>
      <c r="D207" s="98" t="s">
        <v>55</v>
      </c>
      <c r="E207" s="104"/>
      <c r="F207" s="104"/>
      <c r="G207" s="100" t="n">
        <v>44</v>
      </c>
      <c r="H207" s="106"/>
      <c r="I207" s="107"/>
      <c r="J207" s="108"/>
      <c r="K207" s="3"/>
      <c r="L207" s="104"/>
      <c r="M207" s="105" t="s">
        <v>185</v>
      </c>
      <c r="N207" s="97" t="s">
        <v>193</v>
      </c>
      <c r="O207" s="98" t="s">
        <v>55</v>
      </c>
      <c r="P207" s="101"/>
      <c r="Q207" s="101"/>
      <c r="R207" s="102" t="n">
        <v>0</v>
      </c>
      <c r="S207" s="106"/>
      <c r="T207" s="107"/>
      <c r="U207" s="108"/>
    </row>
    <row r="208" customFormat="false" ht="18.75" hidden="false" customHeight="true" outlineLevel="0" collapsed="false">
      <c r="A208" s="91"/>
      <c r="B208" s="92" t="s">
        <v>185</v>
      </c>
      <c r="C208" s="84" t="s">
        <v>92</v>
      </c>
      <c r="D208" s="103" t="s">
        <v>58</v>
      </c>
      <c r="E208" s="91"/>
      <c r="F208" s="91"/>
      <c r="G208" s="87" t="n">
        <v>167</v>
      </c>
      <c r="H208" s="93"/>
      <c r="I208" s="94"/>
      <c r="J208" s="95"/>
      <c r="K208" s="3"/>
      <c r="L208" s="91"/>
      <c r="M208" s="92" t="s">
        <v>185</v>
      </c>
      <c r="N208" s="84" t="s">
        <v>92</v>
      </c>
      <c r="O208" s="103" t="s">
        <v>58</v>
      </c>
      <c r="P208" s="91"/>
      <c r="Q208" s="91"/>
      <c r="R208" s="87" t="n">
        <v>167</v>
      </c>
      <c r="S208" s="93"/>
      <c r="T208" s="94"/>
      <c r="U208" s="95"/>
    </row>
    <row r="209" customFormat="false" ht="18.75" hidden="false" customHeight="true" outlineLevel="0" collapsed="false">
      <c r="A209" s="91"/>
      <c r="B209" s="92" t="s">
        <v>185</v>
      </c>
      <c r="C209" s="84" t="s">
        <v>94</v>
      </c>
      <c r="D209" s="103" t="s">
        <v>58</v>
      </c>
      <c r="E209" s="91"/>
      <c r="F209" s="91"/>
      <c r="G209" s="87" t="n">
        <v>879.6</v>
      </c>
      <c r="H209" s="93"/>
      <c r="I209" s="94"/>
      <c r="J209" s="95"/>
      <c r="K209" s="3"/>
      <c r="L209" s="91"/>
      <c r="M209" s="92" t="s">
        <v>185</v>
      </c>
      <c r="N209" s="84" t="s">
        <v>94</v>
      </c>
      <c r="O209" s="103" t="s">
        <v>58</v>
      </c>
      <c r="P209" s="91"/>
      <c r="Q209" s="91"/>
      <c r="R209" s="87" t="n">
        <v>879.6</v>
      </c>
      <c r="S209" s="93"/>
      <c r="T209" s="94"/>
      <c r="U209" s="95"/>
    </row>
    <row r="210" customFormat="false" ht="18.75" hidden="false" customHeight="true" outlineLevel="0" collapsed="false">
      <c r="A210" s="91"/>
      <c r="B210" s="92" t="s">
        <v>185</v>
      </c>
      <c r="C210" s="84" t="s">
        <v>95</v>
      </c>
      <c r="D210" s="103" t="s">
        <v>58</v>
      </c>
      <c r="E210" s="91"/>
      <c r="F210" s="91"/>
      <c r="G210" s="87" t="n">
        <v>132.99</v>
      </c>
      <c r="H210" s="93"/>
      <c r="I210" s="94"/>
      <c r="J210" s="95"/>
      <c r="K210" s="3"/>
      <c r="L210" s="91"/>
      <c r="M210" s="92" t="s">
        <v>185</v>
      </c>
      <c r="N210" s="84" t="s">
        <v>95</v>
      </c>
      <c r="O210" s="103" t="s">
        <v>58</v>
      </c>
      <c r="P210" s="91"/>
      <c r="Q210" s="91"/>
      <c r="R210" s="87" t="n">
        <v>132.99</v>
      </c>
      <c r="S210" s="93"/>
      <c r="T210" s="94"/>
      <c r="U210" s="95"/>
    </row>
    <row r="211" customFormat="false" ht="18.75" hidden="false" customHeight="true" outlineLevel="0" collapsed="false">
      <c r="A211" s="82" t="s">
        <v>24</v>
      </c>
      <c r="B211" s="83" t="s">
        <v>194</v>
      </c>
      <c r="C211" s="84" t="s">
        <v>102</v>
      </c>
      <c r="D211" s="85" t="s">
        <v>56</v>
      </c>
      <c r="E211" s="86" t="n">
        <v>12</v>
      </c>
      <c r="F211" s="86" t="n">
        <v>13</v>
      </c>
      <c r="G211" s="87" t="n">
        <f aca="false">E211*F211</f>
        <v>156</v>
      </c>
      <c r="H211" s="88" t="n">
        <f aca="false">SUMIF(B:B,B211,G:G)</f>
        <v>471.23</v>
      </c>
      <c r="I211" s="89" t="n">
        <v>3284</v>
      </c>
      <c r="J211" s="90" t="n">
        <f aca="false">IFERROR((I211-H211)/I211,"")</f>
        <v>0.85650730816078</v>
      </c>
      <c r="K211" s="3"/>
      <c r="L211" s="82" t="s">
        <v>24</v>
      </c>
      <c r="M211" s="83" t="s">
        <v>194</v>
      </c>
      <c r="N211" s="84" t="s">
        <v>102</v>
      </c>
      <c r="O211" s="85" t="s">
        <v>56</v>
      </c>
      <c r="P211" s="86" t="n">
        <v>12</v>
      </c>
      <c r="Q211" s="86" t="n">
        <v>13</v>
      </c>
      <c r="R211" s="87" t="n">
        <f aca="false">P211*Q211</f>
        <v>156</v>
      </c>
      <c r="S211" s="88" t="n">
        <f aca="false">SUMIF(M:M,M211,R:R)</f>
        <v>471.23</v>
      </c>
      <c r="T211" s="89" t="n">
        <f aca="false">I211</f>
        <v>3284</v>
      </c>
      <c r="U211" s="90" t="n">
        <f aca="false">IFERROR((T211-S211)/T211,"")</f>
        <v>0.85650730816078</v>
      </c>
    </row>
    <row r="212" customFormat="false" ht="18.75" hidden="false" customHeight="true" outlineLevel="0" collapsed="false">
      <c r="A212" s="91"/>
      <c r="B212" s="92" t="s">
        <v>194</v>
      </c>
      <c r="C212" s="84" t="s">
        <v>159</v>
      </c>
      <c r="D212" s="85" t="s">
        <v>56</v>
      </c>
      <c r="E212" s="86" t="n">
        <v>10.65</v>
      </c>
      <c r="F212" s="86" t="n">
        <v>13</v>
      </c>
      <c r="G212" s="87" t="n">
        <f aca="false">E212*F212</f>
        <v>138.45</v>
      </c>
      <c r="H212" s="93"/>
      <c r="I212" s="94"/>
      <c r="J212" s="95"/>
      <c r="K212" s="3"/>
      <c r="L212" s="91"/>
      <c r="M212" s="92" t="s">
        <v>194</v>
      </c>
      <c r="N212" s="84" t="s">
        <v>159</v>
      </c>
      <c r="O212" s="85" t="s">
        <v>56</v>
      </c>
      <c r="P212" s="86" t="n">
        <v>10.65</v>
      </c>
      <c r="Q212" s="86" t="n">
        <v>13</v>
      </c>
      <c r="R212" s="87" t="n">
        <f aca="false">P212*Q212</f>
        <v>138.45</v>
      </c>
      <c r="S212" s="93"/>
      <c r="T212" s="94"/>
      <c r="U212" s="95"/>
    </row>
    <row r="213" customFormat="false" ht="18.75" hidden="false" customHeight="true" outlineLevel="0" collapsed="false">
      <c r="A213" s="91"/>
      <c r="B213" s="92" t="s">
        <v>194</v>
      </c>
      <c r="C213" s="84" t="s">
        <v>100</v>
      </c>
      <c r="D213" s="85" t="s">
        <v>56</v>
      </c>
      <c r="E213" s="86" t="n">
        <v>6.71</v>
      </c>
      <c r="F213" s="86" t="n">
        <v>13</v>
      </c>
      <c r="G213" s="87" t="n">
        <f aca="false">E213*F213</f>
        <v>87.23</v>
      </c>
      <c r="H213" s="93"/>
      <c r="I213" s="94"/>
      <c r="J213" s="95"/>
      <c r="K213" s="3"/>
      <c r="L213" s="91"/>
      <c r="M213" s="92" t="s">
        <v>194</v>
      </c>
      <c r="N213" s="84" t="s">
        <v>100</v>
      </c>
      <c r="O213" s="85" t="s">
        <v>56</v>
      </c>
      <c r="P213" s="86" t="n">
        <v>6.71</v>
      </c>
      <c r="Q213" s="86" t="n">
        <v>13</v>
      </c>
      <c r="R213" s="87" t="n">
        <f aca="false">P213*Q213</f>
        <v>87.23</v>
      </c>
      <c r="S213" s="93"/>
      <c r="T213" s="94"/>
      <c r="U213" s="95"/>
    </row>
    <row r="214" customFormat="false" ht="18.75" hidden="false" customHeight="true" outlineLevel="0" collapsed="false">
      <c r="A214" s="91"/>
      <c r="B214" s="92" t="s">
        <v>194</v>
      </c>
      <c r="C214" s="84" t="s">
        <v>156</v>
      </c>
      <c r="D214" s="85" t="s">
        <v>56</v>
      </c>
      <c r="E214" s="86" t="n">
        <v>5.97</v>
      </c>
      <c r="F214" s="86" t="n">
        <v>15</v>
      </c>
      <c r="G214" s="87" t="n">
        <f aca="false">E214*F214</f>
        <v>89.55</v>
      </c>
      <c r="H214" s="93"/>
      <c r="I214" s="94"/>
      <c r="J214" s="95"/>
      <c r="K214" s="3"/>
      <c r="L214" s="91"/>
      <c r="M214" s="92" t="s">
        <v>194</v>
      </c>
      <c r="N214" s="84" t="s">
        <v>156</v>
      </c>
      <c r="O214" s="85" t="s">
        <v>56</v>
      </c>
      <c r="P214" s="86" t="n">
        <v>5.97</v>
      </c>
      <c r="Q214" s="86" t="n">
        <v>15</v>
      </c>
      <c r="R214" s="87" t="n">
        <f aca="false">P214*Q214</f>
        <v>89.55</v>
      </c>
      <c r="S214" s="93"/>
      <c r="T214" s="94"/>
      <c r="U214" s="95"/>
    </row>
    <row r="215" customFormat="false" ht="18.75" hidden="false" customHeight="true" outlineLevel="0" collapsed="false">
      <c r="A215" s="82" t="s">
        <v>24</v>
      </c>
      <c r="B215" s="83" t="s">
        <v>195</v>
      </c>
      <c r="C215" s="84" t="s">
        <v>196</v>
      </c>
      <c r="D215" s="85" t="s">
        <v>56</v>
      </c>
      <c r="E215" s="86" t="n">
        <v>60</v>
      </c>
      <c r="F215" s="86" t="n">
        <v>15</v>
      </c>
      <c r="G215" s="87" t="n">
        <f aca="false">E215*F215</f>
        <v>900</v>
      </c>
      <c r="H215" s="88" t="n">
        <f aca="false">SUMIF(B:B,B215,G:G)</f>
        <v>3358.17</v>
      </c>
      <c r="I215" s="89" t="n">
        <v>14000</v>
      </c>
      <c r="J215" s="90" t="n">
        <f aca="false">IFERROR((I215-H215)/I215,"")</f>
        <v>0.760130714285714</v>
      </c>
      <c r="K215" s="3"/>
      <c r="L215" s="82" t="s">
        <v>24</v>
      </c>
      <c r="M215" s="83" t="s">
        <v>195</v>
      </c>
      <c r="N215" s="84" t="s">
        <v>196</v>
      </c>
      <c r="O215" s="85" t="s">
        <v>56</v>
      </c>
      <c r="P215" s="86" t="n">
        <v>60</v>
      </c>
      <c r="Q215" s="86" t="n">
        <v>15</v>
      </c>
      <c r="R215" s="87" t="n">
        <f aca="false">P215*Q215</f>
        <v>900</v>
      </c>
      <c r="S215" s="88" t="n">
        <f aca="false">SUMIF(M:M,M215,R:R)</f>
        <v>3358.17</v>
      </c>
      <c r="T215" s="89" t="n">
        <f aca="false">I215</f>
        <v>14000</v>
      </c>
      <c r="U215" s="90" t="n">
        <f aca="false">IFERROR((T215-S215)/T215,"")</f>
        <v>0.760130714285714</v>
      </c>
    </row>
    <row r="216" customFormat="false" ht="18.75" hidden="false" customHeight="true" outlineLevel="0" collapsed="false">
      <c r="A216" s="91"/>
      <c r="B216" s="92" t="s">
        <v>195</v>
      </c>
      <c r="C216" s="84" t="s">
        <v>134</v>
      </c>
      <c r="D216" s="85" t="s">
        <v>56</v>
      </c>
      <c r="E216" s="86" t="n">
        <v>54.3</v>
      </c>
      <c r="F216" s="86" t="n">
        <v>13</v>
      </c>
      <c r="G216" s="87" t="n">
        <f aca="false">E216*F216</f>
        <v>705.9</v>
      </c>
      <c r="H216" s="93"/>
      <c r="I216" s="94"/>
      <c r="J216" s="95"/>
      <c r="K216" s="3"/>
      <c r="L216" s="91"/>
      <c r="M216" s="92" t="s">
        <v>195</v>
      </c>
      <c r="N216" s="84" t="s">
        <v>134</v>
      </c>
      <c r="O216" s="85" t="s">
        <v>56</v>
      </c>
      <c r="P216" s="86" t="n">
        <v>54.3</v>
      </c>
      <c r="Q216" s="86" t="n">
        <v>13</v>
      </c>
      <c r="R216" s="87" t="n">
        <f aca="false">P216*Q216</f>
        <v>705.9</v>
      </c>
      <c r="S216" s="93"/>
      <c r="T216" s="94"/>
      <c r="U216" s="95"/>
    </row>
    <row r="217" customFormat="false" ht="18.75" hidden="false" customHeight="true" outlineLevel="0" collapsed="false">
      <c r="A217" s="91"/>
      <c r="B217" s="92" t="s">
        <v>195</v>
      </c>
      <c r="C217" s="84" t="s">
        <v>78</v>
      </c>
      <c r="D217" s="85" t="s">
        <v>56</v>
      </c>
      <c r="E217" s="86" t="n">
        <v>23.55</v>
      </c>
      <c r="F217" s="86" t="n">
        <v>13</v>
      </c>
      <c r="G217" s="87" t="n">
        <f aca="false">E217*F217</f>
        <v>306.15</v>
      </c>
      <c r="H217" s="93"/>
      <c r="I217" s="94"/>
      <c r="J217" s="95"/>
      <c r="K217" s="3"/>
      <c r="L217" s="91"/>
      <c r="M217" s="92" t="s">
        <v>195</v>
      </c>
      <c r="N217" s="84" t="s">
        <v>78</v>
      </c>
      <c r="O217" s="85" t="s">
        <v>56</v>
      </c>
      <c r="P217" s="86" t="n">
        <v>23.55</v>
      </c>
      <c r="Q217" s="86" t="n">
        <v>13</v>
      </c>
      <c r="R217" s="87" t="n">
        <f aca="false">P217*Q217</f>
        <v>306.15</v>
      </c>
      <c r="S217" s="93"/>
      <c r="T217" s="94"/>
      <c r="U217" s="95"/>
    </row>
    <row r="218" customFormat="false" ht="18.75" hidden="false" customHeight="true" outlineLevel="0" collapsed="false">
      <c r="A218" s="91"/>
      <c r="B218" s="92" t="s">
        <v>195</v>
      </c>
      <c r="C218" s="84" t="s">
        <v>197</v>
      </c>
      <c r="D218" s="85" t="s">
        <v>56</v>
      </c>
      <c r="E218" s="86" t="n">
        <v>22.4</v>
      </c>
      <c r="F218" s="86" t="n">
        <v>13</v>
      </c>
      <c r="G218" s="87" t="n">
        <f aca="false">E218*F218</f>
        <v>291.2</v>
      </c>
      <c r="H218" s="93"/>
      <c r="I218" s="94"/>
      <c r="J218" s="95"/>
      <c r="K218" s="3"/>
      <c r="L218" s="91"/>
      <c r="M218" s="92" t="s">
        <v>195</v>
      </c>
      <c r="N218" s="84" t="s">
        <v>197</v>
      </c>
      <c r="O218" s="85" t="s">
        <v>56</v>
      </c>
      <c r="P218" s="86" t="n">
        <v>22.4</v>
      </c>
      <c r="Q218" s="86" t="n">
        <v>13</v>
      </c>
      <c r="R218" s="87" t="n">
        <f aca="false">P218*Q218</f>
        <v>291.2</v>
      </c>
      <c r="S218" s="93"/>
      <c r="T218" s="94"/>
      <c r="U218" s="95"/>
    </row>
    <row r="219" customFormat="false" ht="18.75" hidden="false" customHeight="true" outlineLevel="0" collapsed="false">
      <c r="A219" s="91"/>
      <c r="B219" s="92" t="s">
        <v>195</v>
      </c>
      <c r="C219" s="84" t="s">
        <v>158</v>
      </c>
      <c r="D219" s="85" t="s">
        <v>56</v>
      </c>
      <c r="E219" s="86" t="n">
        <v>7</v>
      </c>
      <c r="F219" s="86" t="n">
        <v>13</v>
      </c>
      <c r="G219" s="87" t="n">
        <f aca="false">E219*F219</f>
        <v>91</v>
      </c>
      <c r="H219" s="93"/>
      <c r="I219" s="94"/>
      <c r="J219" s="95"/>
      <c r="K219" s="3"/>
      <c r="L219" s="91"/>
      <c r="M219" s="92" t="s">
        <v>195</v>
      </c>
      <c r="N219" s="84" t="s">
        <v>158</v>
      </c>
      <c r="O219" s="85" t="s">
        <v>56</v>
      </c>
      <c r="P219" s="86" t="n">
        <v>7</v>
      </c>
      <c r="Q219" s="86" t="n">
        <v>13</v>
      </c>
      <c r="R219" s="87" t="n">
        <f aca="false">P219*Q219</f>
        <v>91</v>
      </c>
      <c r="S219" s="93"/>
      <c r="T219" s="94"/>
      <c r="U219" s="95"/>
    </row>
    <row r="220" customFormat="false" ht="18.75" hidden="false" customHeight="true" outlineLevel="0" collapsed="false">
      <c r="A220" s="91"/>
      <c r="B220" s="92" t="s">
        <v>195</v>
      </c>
      <c r="C220" s="84" t="s">
        <v>81</v>
      </c>
      <c r="D220" s="85" t="s">
        <v>56</v>
      </c>
      <c r="E220" s="86" t="n">
        <v>30.25</v>
      </c>
      <c r="F220" s="86" t="n">
        <v>13</v>
      </c>
      <c r="G220" s="87" t="n">
        <f aca="false">E220*F220</f>
        <v>393.25</v>
      </c>
      <c r="H220" s="93"/>
      <c r="I220" s="94"/>
      <c r="J220" s="95"/>
      <c r="K220" s="3"/>
      <c r="L220" s="91"/>
      <c r="M220" s="92" t="s">
        <v>195</v>
      </c>
      <c r="N220" s="84" t="s">
        <v>81</v>
      </c>
      <c r="O220" s="85" t="s">
        <v>56</v>
      </c>
      <c r="P220" s="86" t="n">
        <v>30.25</v>
      </c>
      <c r="Q220" s="86" t="n">
        <v>13</v>
      </c>
      <c r="R220" s="87" t="n">
        <f aca="false">P220*Q220</f>
        <v>393.25</v>
      </c>
      <c r="S220" s="93"/>
      <c r="T220" s="94"/>
      <c r="U220" s="95"/>
    </row>
    <row r="221" customFormat="false" ht="18.75" hidden="false" customHeight="true" outlineLevel="0" collapsed="false">
      <c r="A221" s="91"/>
      <c r="B221" s="92" t="s">
        <v>195</v>
      </c>
      <c r="C221" s="84" t="s">
        <v>145</v>
      </c>
      <c r="D221" s="85" t="s">
        <v>56</v>
      </c>
      <c r="E221" s="86" t="n">
        <v>31.5</v>
      </c>
      <c r="F221" s="86" t="n">
        <v>13</v>
      </c>
      <c r="G221" s="87" t="n">
        <f aca="false">E221*F221</f>
        <v>409.5</v>
      </c>
      <c r="H221" s="93"/>
      <c r="I221" s="94"/>
      <c r="J221" s="95"/>
      <c r="K221" s="3"/>
      <c r="L221" s="91"/>
      <c r="M221" s="92" t="s">
        <v>195</v>
      </c>
      <c r="N221" s="84" t="s">
        <v>145</v>
      </c>
      <c r="O221" s="85" t="s">
        <v>56</v>
      </c>
      <c r="P221" s="86" t="n">
        <v>31.5</v>
      </c>
      <c r="Q221" s="86" t="n">
        <v>13</v>
      </c>
      <c r="R221" s="87" t="n">
        <f aca="false">P221*Q221</f>
        <v>409.5</v>
      </c>
      <c r="S221" s="93"/>
      <c r="T221" s="94"/>
      <c r="U221" s="95"/>
    </row>
    <row r="222" customFormat="false" ht="18.75" hidden="false" customHeight="true" outlineLevel="0" collapsed="false">
      <c r="A222" s="91"/>
      <c r="B222" s="92" t="s">
        <v>195</v>
      </c>
      <c r="C222" s="84" t="s">
        <v>198</v>
      </c>
      <c r="D222" s="85" t="s">
        <v>56</v>
      </c>
      <c r="E222" s="86" t="n">
        <v>20.09</v>
      </c>
      <c r="F222" s="86" t="n">
        <v>13</v>
      </c>
      <c r="G222" s="87" t="n">
        <f aca="false">E222*F222</f>
        <v>261.17</v>
      </c>
      <c r="H222" s="93"/>
      <c r="I222" s="94"/>
      <c r="J222" s="95"/>
      <c r="K222" s="3"/>
      <c r="L222" s="91"/>
      <c r="M222" s="92" t="s">
        <v>195</v>
      </c>
      <c r="N222" s="84" t="s">
        <v>198</v>
      </c>
      <c r="O222" s="85" t="s">
        <v>56</v>
      </c>
      <c r="P222" s="86" t="n">
        <v>20.09</v>
      </c>
      <c r="Q222" s="86" t="n">
        <v>13</v>
      </c>
      <c r="R222" s="87" t="n">
        <f aca="false">P222*Q222</f>
        <v>261.17</v>
      </c>
      <c r="S222" s="93"/>
      <c r="T222" s="94"/>
      <c r="U222" s="95"/>
    </row>
    <row r="223" customFormat="false" ht="18.75" hidden="false" customHeight="true" outlineLevel="0" collapsed="false">
      <c r="A223" s="82" t="s">
        <v>24</v>
      </c>
      <c r="B223" s="83" t="s">
        <v>199</v>
      </c>
      <c r="C223" s="84" t="s">
        <v>131</v>
      </c>
      <c r="D223" s="85" t="s">
        <v>56</v>
      </c>
      <c r="E223" s="86" t="n">
        <v>65</v>
      </c>
      <c r="F223" s="86" t="n">
        <v>15</v>
      </c>
      <c r="G223" s="87" t="n">
        <f aca="false">E223*F223</f>
        <v>975</v>
      </c>
      <c r="H223" s="88" t="n">
        <f aca="false">SUMIF(B:B,B223,G:G)</f>
        <v>8452.37</v>
      </c>
      <c r="I223" s="89" t="n">
        <v>15000</v>
      </c>
      <c r="J223" s="90" t="n">
        <f aca="false">IFERROR((I223-H223)/I223,"")</f>
        <v>0.436508666666667</v>
      </c>
      <c r="K223" s="3"/>
      <c r="L223" s="82" t="s">
        <v>24</v>
      </c>
      <c r="M223" s="83" t="s">
        <v>199</v>
      </c>
      <c r="N223" s="84" t="s">
        <v>131</v>
      </c>
      <c r="O223" s="85" t="s">
        <v>56</v>
      </c>
      <c r="P223" s="86" t="n">
        <v>65</v>
      </c>
      <c r="Q223" s="86" t="n">
        <v>15</v>
      </c>
      <c r="R223" s="87" t="n">
        <f aca="false">P223*Q223</f>
        <v>975</v>
      </c>
      <c r="S223" s="88" t="n">
        <f aca="false">SUMIF(M:M,M223,R:R)</f>
        <v>8452.37</v>
      </c>
      <c r="T223" s="89" t="n">
        <f aca="false">I223</f>
        <v>15000</v>
      </c>
      <c r="U223" s="90" t="n">
        <f aca="false">IFERROR((T223-S223)/T223,"")</f>
        <v>0.436508666666667</v>
      </c>
    </row>
    <row r="224" customFormat="false" ht="18.75" hidden="false" customHeight="true" outlineLevel="0" collapsed="false">
      <c r="A224" s="91"/>
      <c r="B224" s="92" t="s">
        <v>199</v>
      </c>
      <c r="C224" s="84" t="s">
        <v>200</v>
      </c>
      <c r="D224" s="85" t="s">
        <v>56</v>
      </c>
      <c r="E224" s="86" t="n">
        <v>35</v>
      </c>
      <c r="F224" s="86" t="n">
        <v>15</v>
      </c>
      <c r="G224" s="87" t="n">
        <f aca="false">E224*F224</f>
        <v>525</v>
      </c>
      <c r="H224" s="93"/>
      <c r="I224" s="94"/>
      <c r="J224" s="95"/>
      <c r="K224" s="3"/>
      <c r="L224" s="91"/>
      <c r="M224" s="92" t="s">
        <v>199</v>
      </c>
      <c r="N224" s="84" t="s">
        <v>200</v>
      </c>
      <c r="O224" s="85" t="s">
        <v>56</v>
      </c>
      <c r="P224" s="86" t="n">
        <v>35</v>
      </c>
      <c r="Q224" s="86" t="n">
        <v>15</v>
      </c>
      <c r="R224" s="87" t="n">
        <f aca="false">P224*Q224</f>
        <v>525</v>
      </c>
      <c r="S224" s="93"/>
      <c r="T224" s="94"/>
      <c r="U224" s="95"/>
    </row>
    <row r="225" customFormat="false" ht="18.75" hidden="false" customHeight="true" outlineLevel="0" collapsed="false">
      <c r="A225" s="91"/>
      <c r="B225" s="92" t="s">
        <v>199</v>
      </c>
      <c r="C225" s="84" t="s">
        <v>201</v>
      </c>
      <c r="D225" s="96" t="s">
        <v>57</v>
      </c>
      <c r="E225" s="91"/>
      <c r="F225" s="91"/>
      <c r="G225" s="87" t="n">
        <v>577.42</v>
      </c>
      <c r="H225" s="93"/>
      <c r="I225" s="94"/>
      <c r="J225" s="95"/>
      <c r="K225" s="3"/>
      <c r="L225" s="91"/>
      <c r="M225" s="92" t="s">
        <v>199</v>
      </c>
      <c r="N225" s="84" t="s">
        <v>201</v>
      </c>
      <c r="O225" s="96" t="s">
        <v>57</v>
      </c>
      <c r="P225" s="91"/>
      <c r="Q225" s="91"/>
      <c r="R225" s="87" t="n">
        <v>577.42</v>
      </c>
      <c r="S225" s="93"/>
      <c r="T225" s="94"/>
      <c r="U225" s="95"/>
    </row>
    <row r="226" customFormat="false" ht="18.75" hidden="false" customHeight="true" outlineLevel="0" collapsed="false">
      <c r="A226" s="91"/>
      <c r="B226" s="92" t="s">
        <v>199</v>
      </c>
      <c r="C226" s="84" t="s">
        <v>202</v>
      </c>
      <c r="D226" s="96" t="s">
        <v>57</v>
      </c>
      <c r="E226" s="91"/>
      <c r="F226" s="91"/>
      <c r="G226" s="87" t="n">
        <v>794.38</v>
      </c>
      <c r="H226" s="93"/>
      <c r="I226" s="94"/>
      <c r="J226" s="95"/>
      <c r="K226" s="3"/>
      <c r="L226" s="91"/>
      <c r="M226" s="92" t="s">
        <v>199</v>
      </c>
      <c r="N226" s="84" t="s">
        <v>202</v>
      </c>
      <c r="O226" s="96" t="s">
        <v>57</v>
      </c>
      <c r="P226" s="91"/>
      <c r="Q226" s="91"/>
      <c r="R226" s="87" t="n">
        <v>794.38</v>
      </c>
      <c r="S226" s="93"/>
      <c r="T226" s="94"/>
      <c r="U226" s="95"/>
    </row>
    <row r="227" customFormat="false" ht="18.75" hidden="false" customHeight="true" outlineLevel="0" collapsed="false">
      <c r="A227" s="91"/>
      <c r="B227" s="92" t="s">
        <v>199</v>
      </c>
      <c r="C227" s="84" t="s">
        <v>203</v>
      </c>
      <c r="D227" s="96" t="s">
        <v>57</v>
      </c>
      <c r="E227" s="91"/>
      <c r="F227" s="91"/>
      <c r="G227" s="87" t="n">
        <v>788</v>
      </c>
      <c r="H227" s="93"/>
      <c r="I227" s="94"/>
      <c r="J227" s="95"/>
      <c r="K227" s="3"/>
      <c r="L227" s="91"/>
      <c r="M227" s="92" t="s">
        <v>199</v>
      </c>
      <c r="N227" s="84" t="s">
        <v>203</v>
      </c>
      <c r="O227" s="96" t="s">
        <v>57</v>
      </c>
      <c r="P227" s="91"/>
      <c r="Q227" s="91"/>
      <c r="R227" s="87" t="n">
        <v>788</v>
      </c>
      <c r="S227" s="93"/>
      <c r="T227" s="94"/>
      <c r="U227" s="95"/>
    </row>
    <row r="228" customFormat="false" ht="18.75" hidden="false" customHeight="true" outlineLevel="0" collapsed="false">
      <c r="A228" s="91"/>
      <c r="B228" s="92" t="s">
        <v>199</v>
      </c>
      <c r="C228" s="84" t="s">
        <v>204</v>
      </c>
      <c r="D228" s="96" t="s">
        <v>57</v>
      </c>
      <c r="E228" s="91"/>
      <c r="F228" s="91"/>
      <c r="G228" s="87" t="n">
        <v>717.5</v>
      </c>
      <c r="H228" s="93"/>
      <c r="I228" s="94"/>
      <c r="J228" s="95"/>
      <c r="K228" s="3"/>
      <c r="L228" s="91"/>
      <c r="M228" s="92" t="s">
        <v>199</v>
      </c>
      <c r="N228" s="84" t="s">
        <v>204</v>
      </c>
      <c r="O228" s="96" t="s">
        <v>57</v>
      </c>
      <c r="P228" s="91"/>
      <c r="Q228" s="91"/>
      <c r="R228" s="87" t="n">
        <v>717.5</v>
      </c>
      <c r="S228" s="93"/>
      <c r="T228" s="94"/>
      <c r="U228" s="95"/>
    </row>
    <row r="229" customFormat="false" ht="18.75" hidden="false" customHeight="true" outlineLevel="0" collapsed="false">
      <c r="A229" s="91"/>
      <c r="B229" s="92" t="s">
        <v>199</v>
      </c>
      <c r="C229" s="84" t="s">
        <v>205</v>
      </c>
      <c r="D229" s="96" t="s">
        <v>57</v>
      </c>
      <c r="E229" s="91"/>
      <c r="F229" s="91"/>
      <c r="G229" s="87" t="n">
        <v>741.42</v>
      </c>
      <c r="H229" s="93"/>
      <c r="I229" s="94"/>
      <c r="J229" s="95"/>
      <c r="K229" s="3"/>
      <c r="L229" s="91"/>
      <c r="M229" s="92" t="s">
        <v>199</v>
      </c>
      <c r="N229" s="84" t="s">
        <v>205</v>
      </c>
      <c r="O229" s="96" t="s">
        <v>57</v>
      </c>
      <c r="P229" s="91"/>
      <c r="Q229" s="91"/>
      <c r="R229" s="87" t="n">
        <v>741.42</v>
      </c>
      <c r="S229" s="93"/>
      <c r="T229" s="94"/>
      <c r="U229" s="95"/>
    </row>
    <row r="230" customFormat="false" ht="18.75" hidden="false" customHeight="true" outlineLevel="0" collapsed="false">
      <c r="A230" s="91"/>
      <c r="B230" s="92" t="s">
        <v>199</v>
      </c>
      <c r="C230" s="84" t="s">
        <v>206</v>
      </c>
      <c r="D230" s="96" t="s">
        <v>57</v>
      </c>
      <c r="E230" s="91"/>
      <c r="F230" s="91"/>
      <c r="G230" s="87" t="n">
        <v>738</v>
      </c>
      <c r="H230" s="93"/>
      <c r="I230" s="94"/>
      <c r="J230" s="95"/>
      <c r="K230" s="3"/>
      <c r="L230" s="91"/>
      <c r="M230" s="92" t="s">
        <v>199</v>
      </c>
      <c r="N230" s="84" t="s">
        <v>206</v>
      </c>
      <c r="O230" s="96" t="s">
        <v>57</v>
      </c>
      <c r="P230" s="91"/>
      <c r="Q230" s="91"/>
      <c r="R230" s="87" t="n">
        <v>738</v>
      </c>
      <c r="S230" s="93"/>
      <c r="T230" s="94"/>
      <c r="U230" s="95"/>
    </row>
    <row r="231" customFormat="false" ht="18.75" hidden="false" customHeight="true" outlineLevel="0" collapsed="false">
      <c r="A231" s="91"/>
      <c r="B231" s="92" t="s">
        <v>199</v>
      </c>
      <c r="C231" s="84" t="s">
        <v>207</v>
      </c>
      <c r="D231" s="96" t="s">
        <v>57</v>
      </c>
      <c r="E231" s="91"/>
      <c r="F231" s="91"/>
      <c r="G231" s="87" t="n">
        <v>942</v>
      </c>
      <c r="H231" s="93"/>
      <c r="I231" s="94"/>
      <c r="J231" s="95"/>
      <c r="K231" s="3"/>
      <c r="L231" s="91"/>
      <c r="M231" s="92" t="s">
        <v>199</v>
      </c>
      <c r="N231" s="84" t="s">
        <v>207</v>
      </c>
      <c r="O231" s="96" t="s">
        <v>57</v>
      </c>
      <c r="P231" s="91"/>
      <c r="Q231" s="91"/>
      <c r="R231" s="87" t="n">
        <v>942</v>
      </c>
      <c r="S231" s="93"/>
      <c r="T231" s="94"/>
      <c r="U231" s="95"/>
    </row>
    <row r="232" customFormat="false" ht="18.75" hidden="false" customHeight="true" outlineLevel="0" collapsed="false">
      <c r="A232" s="91"/>
      <c r="B232" s="92" t="s">
        <v>199</v>
      </c>
      <c r="C232" s="84" t="s">
        <v>208</v>
      </c>
      <c r="D232" s="96" t="s">
        <v>57</v>
      </c>
      <c r="E232" s="91"/>
      <c r="F232" s="91"/>
      <c r="G232" s="87" t="n">
        <v>963.5</v>
      </c>
      <c r="H232" s="93"/>
      <c r="I232" s="94"/>
      <c r="J232" s="95"/>
      <c r="K232" s="3"/>
      <c r="L232" s="91"/>
      <c r="M232" s="92" t="s">
        <v>199</v>
      </c>
      <c r="N232" s="84" t="s">
        <v>208</v>
      </c>
      <c r="O232" s="96" t="s">
        <v>57</v>
      </c>
      <c r="P232" s="91"/>
      <c r="Q232" s="91"/>
      <c r="R232" s="87" t="n">
        <v>963.5</v>
      </c>
      <c r="S232" s="93"/>
      <c r="T232" s="94"/>
      <c r="U232" s="95"/>
    </row>
    <row r="233" customFormat="false" ht="18.75" hidden="false" customHeight="true" outlineLevel="0" collapsed="false">
      <c r="A233" s="91"/>
      <c r="B233" s="92" t="s">
        <v>199</v>
      </c>
      <c r="C233" s="84" t="s">
        <v>209</v>
      </c>
      <c r="D233" s="103" t="s">
        <v>58</v>
      </c>
      <c r="E233" s="91"/>
      <c r="F233" s="91"/>
      <c r="G233" s="87" t="n">
        <v>29</v>
      </c>
      <c r="H233" s="93"/>
      <c r="I233" s="94"/>
      <c r="J233" s="95"/>
      <c r="K233" s="3"/>
      <c r="L233" s="91"/>
      <c r="M233" s="92" t="s">
        <v>199</v>
      </c>
      <c r="N233" s="84" t="s">
        <v>209</v>
      </c>
      <c r="O233" s="103" t="s">
        <v>58</v>
      </c>
      <c r="P233" s="91"/>
      <c r="Q233" s="91"/>
      <c r="R233" s="87" t="n">
        <v>29</v>
      </c>
      <c r="S233" s="93"/>
      <c r="T233" s="94"/>
      <c r="U233" s="95"/>
    </row>
    <row r="234" customFormat="false" ht="18.75" hidden="false" customHeight="true" outlineLevel="0" collapsed="false">
      <c r="A234" s="91"/>
      <c r="B234" s="92" t="s">
        <v>199</v>
      </c>
      <c r="C234" s="84" t="s">
        <v>92</v>
      </c>
      <c r="D234" s="103" t="s">
        <v>58</v>
      </c>
      <c r="E234" s="91"/>
      <c r="F234" s="91"/>
      <c r="G234" s="87" t="n">
        <v>187.5</v>
      </c>
      <c r="H234" s="93"/>
      <c r="I234" s="94"/>
      <c r="J234" s="95"/>
      <c r="K234" s="3"/>
      <c r="L234" s="91"/>
      <c r="M234" s="92" t="s">
        <v>199</v>
      </c>
      <c r="N234" s="84" t="s">
        <v>92</v>
      </c>
      <c r="O234" s="103" t="s">
        <v>58</v>
      </c>
      <c r="P234" s="91"/>
      <c r="Q234" s="91"/>
      <c r="R234" s="87" t="n">
        <v>187.5</v>
      </c>
      <c r="S234" s="93"/>
      <c r="T234" s="94"/>
      <c r="U234" s="95"/>
    </row>
    <row r="235" customFormat="false" ht="18.75" hidden="false" customHeight="true" outlineLevel="0" collapsed="false">
      <c r="A235" s="91"/>
      <c r="B235" s="92" t="s">
        <v>199</v>
      </c>
      <c r="C235" s="84" t="s">
        <v>94</v>
      </c>
      <c r="D235" s="103" t="s">
        <v>58</v>
      </c>
      <c r="E235" s="91"/>
      <c r="F235" s="91"/>
      <c r="G235" s="87" t="n">
        <v>328</v>
      </c>
      <c r="H235" s="93"/>
      <c r="I235" s="94"/>
      <c r="J235" s="95"/>
      <c r="K235" s="3"/>
      <c r="L235" s="91"/>
      <c r="M235" s="92" t="s">
        <v>199</v>
      </c>
      <c r="N235" s="84" t="s">
        <v>94</v>
      </c>
      <c r="O235" s="103" t="s">
        <v>58</v>
      </c>
      <c r="P235" s="91"/>
      <c r="Q235" s="91"/>
      <c r="R235" s="87" t="n">
        <v>328</v>
      </c>
      <c r="S235" s="93"/>
      <c r="T235" s="94"/>
      <c r="U235" s="95"/>
    </row>
    <row r="236" customFormat="false" ht="18.75" hidden="false" customHeight="true" outlineLevel="0" collapsed="false">
      <c r="A236" s="91"/>
      <c r="B236" s="92" t="s">
        <v>199</v>
      </c>
      <c r="C236" s="84" t="s">
        <v>95</v>
      </c>
      <c r="D236" s="103" t="s">
        <v>58</v>
      </c>
      <c r="E236" s="91"/>
      <c r="F236" s="91"/>
      <c r="G236" s="87" t="n">
        <v>145.65</v>
      </c>
      <c r="H236" s="93"/>
      <c r="I236" s="94"/>
      <c r="J236" s="95"/>
      <c r="K236" s="3"/>
      <c r="L236" s="91"/>
      <c r="M236" s="92" t="s">
        <v>199</v>
      </c>
      <c r="N236" s="84" t="s">
        <v>95</v>
      </c>
      <c r="O236" s="103" t="s">
        <v>58</v>
      </c>
      <c r="P236" s="91"/>
      <c r="Q236" s="91"/>
      <c r="R236" s="87" t="n">
        <v>145.65</v>
      </c>
      <c r="S236" s="93"/>
      <c r="T236" s="94"/>
      <c r="U236" s="95"/>
    </row>
    <row r="237" customFormat="false" ht="18.75" hidden="false" customHeight="true" outlineLevel="0" collapsed="false">
      <c r="A237" s="82" t="s">
        <v>24</v>
      </c>
      <c r="B237" s="83" t="s">
        <v>210</v>
      </c>
      <c r="C237" s="84" t="s">
        <v>148</v>
      </c>
      <c r="D237" s="85" t="s">
        <v>56</v>
      </c>
      <c r="E237" s="86" t="n">
        <v>63</v>
      </c>
      <c r="F237" s="86" t="n">
        <v>15</v>
      </c>
      <c r="G237" s="87" t="n">
        <f aca="false">E237*F237</f>
        <v>945</v>
      </c>
      <c r="H237" s="88" t="n">
        <f aca="false">SUMIF(B:B,B237,G:G)</f>
        <v>2094.59</v>
      </c>
      <c r="I237" s="89" t="n">
        <v>7425</v>
      </c>
      <c r="J237" s="90" t="n">
        <f aca="false">IFERROR((I237-H237)/I237,"")</f>
        <v>0.717900336700337</v>
      </c>
      <c r="K237" s="3"/>
      <c r="L237" s="82" t="s">
        <v>24</v>
      </c>
      <c r="M237" s="83" t="s">
        <v>210</v>
      </c>
      <c r="N237" s="84" t="s">
        <v>148</v>
      </c>
      <c r="O237" s="85" t="s">
        <v>56</v>
      </c>
      <c r="P237" s="86" t="n">
        <v>63</v>
      </c>
      <c r="Q237" s="86" t="n">
        <v>15</v>
      </c>
      <c r="R237" s="87" t="n">
        <f aca="false">P237*Q237</f>
        <v>945</v>
      </c>
      <c r="S237" s="88" t="n">
        <f aca="false">SUMIF(M:M,M237,R:R)</f>
        <v>2094.59</v>
      </c>
      <c r="T237" s="89" t="n">
        <f aca="false">I237</f>
        <v>7425</v>
      </c>
      <c r="U237" s="90" t="n">
        <f aca="false">IFERROR((T237-S237)/T237,"")</f>
        <v>0.717900336700337</v>
      </c>
    </row>
    <row r="238" customFormat="false" ht="18.75" hidden="false" customHeight="true" outlineLevel="0" collapsed="false">
      <c r="A238" s="91"/>
      <c r="B238" s="92" t="s">
        <v>210</v>
      </c>
      <c r="C238" s="84" t="s">
        <v>78</v>
      </c>
      <c r="D238" s="85" t="s">
        <v>56</v>
      </c>
      <c r="E238" s="86" t="n">
        <v>22.75</v>
      </c>
      <c r="F238" s="86" t="n">
        <v>13</v>
      </c>
      <c r="G238" s="87" t="n">
        <f aca="false">E238*F238</f>
        <v>295.75</v>
      </c>
      <c r="H238" s="93"/>
      <c r="I238" s="94"/>
      <c r="J238" s="95"/>
      <c r="K238" s="3"/>
      <c r="L238" s="91"/>
      <c r="M238" s="92" t="s">
        <v>210</v>
      </c>
      <c r="N238" s="84" t="s">
        <v>78</v>
      </c>
      <c r="O238" s="85" t="s">
        <v>56</v>
      </c>
      <c r="P238" s="86" t="n">
        <v>22.75</v>
      </c>
      <c r="Q238" s="86" t="n">
        <v>13</v>
      </c>
      <c r="R238" s="87" t="n">
        <f aca="false">P238*Q238</f>
        <v>295.75</v>
      </c>
      <c r="S238" s="93"/>
      <c r="T238" s="94"/>
      <c r="U238" s="95"/>
    </row>
    <row r="239" customFormat="false" ht="18.75" hidden="false" customHeight="true" outlineLevel="0" collapsed="false">
      <c r="A239" s="91"/>
      <c r="B239" s="92" t="s">
        <v>210</v>
      </c>
      <c r="C239" s="84" t="s">
        <v>79</v>
      </c>
      <c r="D239" s="85" t="s">
        <v>56</v>
      </c>
      <c r="E239" s="86" t="n">
        <v>17.25</v>
      </c>
      <c r="F239" s="86" t="n">
        <v>13</v>
      </c>
      <c r="G239" s="87" t="n">
        <f aca="false">E239*F239</f>
        <v>224.25</v>
      </c>
      <c r="H239" s="93"/>
      <c r="I239" s="94"/>
      <c r="J239" s="95"/>
      <c r="K239" s="3"/>
      <c r="L239" s="91"/>
      <c r="M239" s="92" t="s">
        <v>210</v>
      </c>
      <c r="N239" s="84" t="s">
        <v>79</v>
      </c>
      <c r="O239" s="85" t="s">
        <v>56</v>
      </c>
      <c r="P239" s="86" t="n">
        <v>17.25</v>
      </c>
      <c r="Q239" s="86" t="n">
        <v>13</v>
      </c>
      <c r="R239" s="87" t="n">
        <f aca="false">P239*Q239</f>
        <v>224.25</v>
      </c>
      <c r="S239" s="93"/>
      <c r="T239" s="94"/>
      <c r="U239" s="95"/>
    </row>
    <row r="240" customFormat="false" ht="18.75" hidden="false" customHeight="true" outlineLevel="0" collapsed="false">
      <c r="A240" s="91"/>
      <c r="B240" s="92" t="s">
        <v>210</v>
      </c>
      <c r="C240" s="84" t="s">
        <v>106</v>
      </c>
      <c r="D240" s="85" t="s">
        <v>56</v>
      </c>
      <c r="E240" s="86" t="n">
        <v>22.43</v>
      </c>
      <c r="F240" s="86" t="n">
        <v>13</v>
      </c>
      <c r="G240" s="87" t="n">
        <f aca="false">E240*F240</f>
        <v>291.59</v>
      </c>
      <c r="H240" s="93"/>
      <c r="I240" s="94"/>
      <c r="J240" s="95"/>
      <c r="K240" s="3"/>
      <c r="L240" s="91"/>
      <c r="M240" s="92" t="s">
        <v>210</v>
      </c>
      <c r="N240" s="84" t="s">
        <v>106</v>
      </c>
      <c r="O240" s="85" t="s">
        <v>56</v>
      </c>
      <c r="P240" s="86" t="n">
        <v>22.43</v>
      </c>
      <c r="Q240" s="86" t="n">
        <v>13</v>
      </c>
      <c r="R240" s="87" t="n">
        <f aca="false">P240*Q240</f>
        <v>291.59</v>
      </c>
      <c r="S240" s="93"/>
      <c r="T240" s="94"/>
      <c r="U240" s="95"/>
    </row>
    <row r="241" customFormat="false" ht="18.75" hidden="false" customHeight="true" outlineLevel="0" collapsed="false">
      <c r="A241" s="91"/>
      <c r="B241" s="92" t="s">
        <v>210</v>
      </c>
      <c r="C241" s="84" t="s">
        <v>80</v>
      </c>
      <c r="D241" s="85" t="s">
        <v>56</v>
      </c>
      <c r="E241" s="86" t="n">
        <v>26</v>
      </c>
      <c r="F241" s="86" t="n">
        <v>13</v>
      </c>
      <c r="G241" s="87" t="n">
        <f aca="false">E241*F241</f>
        <v>338</v>
      </c>
      <c r="H241" s="93"/>
      <c r="I241" s="94"/>
      <c r="J241" s="95"/>
      <c r="K241" s="3"/>
      <c r="L241" s="91"/>
      <c r="M241" s="92" t="s">
        <v>210</v>
      </c>
      <c r="N241" s="84" t="s">
        <v>80</v>
      </c>
      <c r="O241" s="85" t="s">
        <v>56</v>
      </c>
      <c r="P241" s="86" t="n">
        <v>26</v>
      </c>
      <c r="Q241" s="86" t="n">
        <v>13</v>
      </c>
      <c r="R241" s="87" t="n">
        <f aca="false">P241*Q241</f>
        <v>338</v>
      </c>
      <c r="S241" s="93"/>
      <c r="T241" s="94"/>
      <c r="U241" s="95"/>
    </row>
    <row r="242" customFormat="false" ht="18.75" hidden="false" customHeight="true" outlineLevel="0" collapsed="false">
      <c r="A242" s="82" t="s">
        <v>24</v>
      </c>
      <c r="B242" s="83" t="s">
        <v>211</v>
      </c>
      <c r="C242" s="97" t="s">
        <v>113</v>
      </c>
      <c r="D242" s="98" t="s">
        <v>55</v>
      </c>
      <c r="E242" s="99" t="n">
        <v>35</v>
      </c>
      <c r="F242" s="99" t="n">
        <v>16</v>
      </c>
      <c r="G242" s="100" t="n">
        <f aca="false">E242*F242</f>
        <v>560</v>
      </c>
      <c r="H242" s="88" t="n">
        <f aca="false">SUMIF(B:B,B242,G:G)</f>
        <v>7095</v>
      </c>
      <c r="I242" s="89" t="n">
        <v>14840</v>
      </c>
      <c r="J242" s="90" t="n">
        <f aca="false">IFERROR((I242-H242)/I242,"")</f>
        <v>0.521900269541779</v>
      </c>
      <c r="K242" s="3"/>
      <c r="L242" s="82" t="s">
        <v>24</v>
      </c>
      <c r="M242" s="83" t="s">
        <v>211</v>
      </c>
      <c r="N242" s="97" t="s">
        <v>113</v>
      </c>
      <c r="O242" s="98" t="s">
        <v>55</v>
      </c>
      <c r="P242" s="101"/>
      <c r="Q242" s="101"/>
      <c r="R242" s="102" t="n">
        <v>0</v>
      </c>
      <c r="S242" s="88" t="n">
        <f aca="false">SUMIF(M:M,M242,R:R)</f>
        <v>6535</v>
      </c>
      <c r="T242" s="89" t="n">
        <f aca="false">I242</f>
        <v>14840</v>
      </c>
      <c r="U242" s="90" t="n">
        <f aca="false">IFERROR((T242-S242)/T242,"")</f>
        <v>0.559636118598383</v>
      </c>
    </row>
    <row r="243" customFormat="false" ht="18.75" hidden="false" customHeight="true" outlineLevel="0" collapsed="false">
      <c r="A243" s="91"/>
      <c r="B243" s="92" t="s">
        <v>211</v>
      </c>
      <c r="C243" s="84" t="s">
        <v>151</v>
      </c>
      <c r="D243" s="85" t="s">
        <v>56</v>
      </c>
      <c r="E243" s="86" t="n">
        <v>27</v>
      </c>
      <c r="F243" s="86" t="n">
        <v>13</v>
      </c>
      <c r="G243" s="87" t="n">
        <f aca="false">E243*F243</f>
        <v>351</v>
      </c>
      <c r="H243" s="93"/>
      <c r="I243" s="94"/>
      <c r="J243" s="95"/>
      <c r="K243" s="3"/>
      <c r="L243" s="91"/>
      <c r="M243" s="92" t="s">
        <v>211</v>
      </c>
      <c r="N243" s="84" t="s">
        <v>151</v>
      </c>
      <c r="O243" s="85" t="s">
        <v>56</v>
      </c>
      <c r="P243" s="86" t="n">
        <v>27</v>
      </c>
      <c r="Q243" s="86" t="n">
        <v>13</v>
      </c>
      <c r="R243" s="87" t="n">
        <f aca="false">P243*Q243</f>
        <v>351</v>
      </c>
      <c r="S243" s="93"/>
      <c r="T243" s="94"/>
      <c r="U243" s="95"/>
    </row>
    <row r="244" customFormat="false" ht="18.75" hidden="false" customHeight="true" outlineLevel="0" collapsed="false">
      <c r="A244" s="91"/>
      <c r="B244" s="92" t="s">
        <v>211</v>
      </c>
      <c r="C244" s="84" t="s">
        <v>166</v>
      </c>
      <c r="D244" s="85" t="s">
        <v>56</v>
      </c>
      <c r="E244" s="86" t="n">
        <v>26</v>
      </c>
      <c r="F244" s="86" t="n">
        <v>13</v>
      </c>
      <c r="G244" s="87" t="n">
        <f aca="false">E244*F244</f>
        <v>338</v>
      </c>
      <c r="H244" s="93"/>
      <c r="I244" s="94"/>
      <c r="J244" s="95"/>
      <c r="K244" s="3"/>
      <c r="L244" s="91"/>
      <c r="M244" s="92" t="s">
        <v>211</v>
      </c>
      <c r="N244" s="84" t="s">
        <v>166</v>
      </c>
      <c r="O244" s="85" t="s">
        <v>56</v>
      </c>
      <c r="P244" s="86" t="n">
        <v>26</v>
      </c>
      <c r="Q244" s="86" t="n">
        <v>13</v>
      </c>
      <c r="R244" s="87" t="n">
        <f aca="false">P244*Q244</f>
        <v>338</v>
      </c>
      <c r="S244" s="93"/>
      <c r="T244" s="94"/>
      <c r="U244" s="95"/>
    </row>
    <row r="245" customFormat="false" ht="18.75" hidden="false" customHeight="true" outlineLevel="0" collapsed="false">
      <c r="A245" s="91"/>
      <c r="B245" s="92" t="s">
        <v>211</v>
      </c>
      <c r="C245" s="84" t="s">
        <v>145</v>
      </c>
      <c r="D245" s="85" t="s">
        <v>56</v>
      </c>
      <c r="E245" s="86" t="n">
        <v>27</v>
      </c>
      <c r="F245" s="86" t="n">
        <v>13</v>
      </c>
      <c r="G245" s="87" t="n">
        <f aca="false">E245*F245</f>
        <v>351</v>
      </c>
      <c r="H245" s="93"/>
      <c r="I245" s="94"/>
      <c r="J245" s="95"/>
      <c r="K245" s="3"/>
      <c r="L245" s="91"/>
      <c r="M245" s="92" t="s">
        <v>211</v>
      </c>
      <c r="N245" s="84" t="s">
        <v>145</v>
      </c>
      <c r="O245" s="85" t="s">
        <v>56</v>
      </c>
      <c r="P245" s="86" t="n">
        <v>27</v>
      </c>
      <c r="Q245" s="86" t="n">
        <v>13</v>
      </c>
      <c r="R245" s="87" t="n">
        <f aca="false">P245*Q245</f>
        <v>351</v>
      </c>
      <c r="S245" s="93"/>
      <c r="T245" s="94"/>
      <c r="U245" s="95"/>
    </row>
    <row r="246" customFormat="false" ht="18.75" hidden="false" customHeight="true" outlineLevel="0" collapsed="false">
      <c r="A246" s="91"/>
      <c r="B246" s="92" t="s">
        <v>211</v>
      </c>
      <c r="C246" s="84" t="s">
        <v>86</v>
      </c>
      <c r="D246" s="96" t="s">
        <v>57</v>
      </c>
      <c r="E246" s="91"/>
      <c r="F246" s="91"/>
      <c r="G246" s="87" t="n">
        <v>5495</v>
      </c>
      <c r="H246" s="93"/>
      <c r="I246" s="94"/>
      <c r="J246" s="95"/>
      <c r="K246" s="3"/>
      <c r="L246" s="91"/>
      <c r="M246" s="92" t="s">
        <v>211</v>
      </c>
      <c r="N246" s="84" t="s">
        <v>86</v>
      </c>
      <c r="O246" s="96" t="s">
        <v>57</v>
      </c>
      <c r="P246" s="91"/>
      <c r="Q246" s="91"/>
      <c r="R246" s="87" t="n">
        <v>5495</v>
      </c>
      <c r="S246" s="93"/>
      <c r="T246" s="94"/>
      <c r="U246" s="95"/>
    </row>
    <row r="247" customFormat="false" ht="18.75" hidden="false" customHeight="true" outlineLevel="0" collapsed="false">
      <c r="A247" s="82" t="s">
        <v>24</v>
      </c>
      <c r="B247" s="83" t="s">
        <v>212</v>
      </c>
      <c r="C247" s="84" t="s">
        <v>89</v>
      </c>
      <c r="D247" s="85" t="s">
        <v>56</v>
      </c>
      <c r="E247" s="86" t="n">
        <v>65</v>
      </c>
      <c r="F247" s="86" t="n">
        <v>15</v>
      </c>
      <c r="G247" s="87" t="n">
        <f aca="false">E247*F247</f>
        <v>975</v>
      </c>
      <c r="H247" s="88" t="n">
        <f aca="false">SUMIF(B:B,B247,G:G)</f>
        <v>2271.75</v>
      </c>
      <c r="I247" s="89" t="n">
        <v>10500</v>
      </c>
      <c r="J247" s="90" t="n">
        <f aca="false">IFERROR((I247-H247)/I247,"")</f>
        <v>0.783642857142857</v>
      </c>
      <c r="K247" s="3"/>
      <c r="L247" s="82" t="s">
        <v>24</v>
      </c>
      <c r="M247" s="83" t="s">
        <v>212</v>
      </c>
      <c r="N247" s="84" t="s">
        <v>89</v>
      </c>
      <c r="O247" s="85" t="s">
        <v>56</v>
      </c>
      <c r="P247" s="86" t="n">
        <v>65</v>
      </c>
      <c r="Q247" s="86" t="n">
        <v>15</v>
      </c>
      <c r="R247" s="87" t="n">
        <f aca="false">P247*Q247</f>
        <v>975</v>
      </c>
      <c r="S247" s="88" t="n">
        <f aca="false">SUMIF(M:M,M247,R:R)</f>
        <v>2271.75</v>
      </c>
      <c r="T247" s="89" t="n">
        <f aca="false">I247</f>
        <v>10500</v>
      </c>
      <c r="U247" s="90" t="n">
        <f aca="false">IFERROR((T247-S247)/T247,"")</f>
        <v>0.783642857142857</v>
      </c>
    </row>
    <row r="248" customFormat="false" ht="18.75" hidden="false" customHeight="true" outlineLevel="0" collapsed="false">
      <c r="A248" s="91"/>
      <c r="B248" s="92" t="s">
        <v>212</v>
      </c>
      <c r="C248" s="84" t="s">
        <v>134</v>
      </c>
      <c r="D248" s="85" t="s">
        <v>56</v>
      </c>
      <c r="E248" s="86" t="n">
        <v>27.5</v>
      </c>
      <c r="F248" s="86" t="n">
        <v>13</v>
      </c>
      <c r="G248" s="87" t="n">
        <f aca="false">E248*F248</f>
        <v>357.5</v>
      </c>
      <c r="H248" s="93"/>
      <c r="I248" s="94"/>
      <c r="J248" s="95"/>
      <c r="K248" s="3"/>
      <c r="L248" s="91"/>
      <c r="M248" s="92" t="s">
        <v>212</v>
      </c>
      <c r="N248" s="84" t="s">
        <v>134</v>
      </c>
      <c r="O248" s="85" t="s">
        <v>56</v>
      </c>
      <c r="P248" s="86" t="n">
        <v>27.5</v>
      </c>
      <c r="Q248" s="86" t="n">
        <v>13</v>
      </c>
      <c r="R248" s="87" t="n">
        <f aca="false">P248*Q248</f>
        <v>357.5</v>
      </c>
      <c r="S248" s="93"/>
      <c r="T248" s="94"/>
      <c r="U248" s="95"/>
    </row>
    <row r="249" customFormat="false" ht="18.75" hidden="false" customHeight="true" outlineLevel="0" collapsed="false">
      <c r="A249" s="91"/>
      <c r="B249" s="92" t="s">
        <v>212</v>
      </c>
      <c r="C249" s="84" t="s">
        <v>197</v>
      </c>
      <c r="D249" s="85" t="s">
        <v>56</v>
      </c>
      <c r="E249" s="86" t="n">
        <v>12.4</v>
      </c>
      <c r="F249" s="86" t="n">
        <v>13</v>
      </c>
      <c r="G249" s="87" t="n">
        <f aca="false">E249*F249</f>
        <v>161.2</v>
      </c>
      <c r="H249" s="93"/>
      <c r="I249" s="94"/>
      <c r="J249" s="95"/>
      <c r="K249" s="3"/>
      <c r="L249" s="91"/>
      <c r="M249" s="92" t="s">
        <v>212</v>
      </c>
      <c r="N249" s="84" t="s">
        <v>197</v>
      </c>
      <c r="O249" s="85" t="s">
        <v>56</v>
      </c>
      <c r="P249" s="86" t="n">
        <v>12.4</v>
      </c>
      <c r="Q249" s="86" t="n">
        <v>13</v>
      </c>
      <c r="R249" s="87" t="n">
        <f aca="false">P249*Q249</f>
        <v>161.2</v>
      </c>
      <c r="S249" s="93"/>
      <c r="T249" s="94"/>
      <c r="U249" s="95"/>
    </row>
    <row r="250" customFormat="false" ht="18.75" hidden="false" customHeight="true" outlineLevel="0" collapsed="false">
      <c r="A250" s="91"/>
      <c r="B250" s="92" t="s">
        <v>212</v>
      </c>
      <c r="C250" s="84" t="s">
        <v>129</v>
      </c>
      <c r="D250" s="85" t="s">
        <v>56</v>
      </c>
      <c r="E250" s="86" t="n">
        <v>22.75</v>
      </c>
      <c r="F250" s="86" t="n">
        <v>13</v>
      </c>
      <c r="G250" s="87" t="n">
        <f aca="false">E250*F250</f>
        <v>295.75</v>
      </c>
      <c r="H250" s="93"/>
      <c r="I250" s="94"/>
      <c r="J250" s="95"/>
      <c r="K250" s="3"/>
      <c r="L250" s="91"/>
      <c r="M250" s="92" t="s">
        <v>212</v>
      </c>
      <c r="N250" s="84" t="s">
        <v>129</v>
      </c>
      <c r="O250" s="85" t="s">
        <v>56</v>
      </c>
      <c r="P250" s="86" t="n">
        <v>22.75</v>
      </c>
      <c r="Q250" s="86" t="n">
        <v>13</v>
      </c>
      <c r="R250" s="87" t="n">
        <f aca="false">P250*Q250</f>
        <v>295.75</v>
      </c>
      <c r="S250" s="93"/>
      <c r="T250" s="94"/>
      <c r="U250" s="95"/>
    </row>
    <row r="251" customFormat="false" ht="18.75" hidden="false" customHeight="true" outlineLevel="0" collapsed="false">
      <c r="A251" s="91"/>
      <c r="B251" s="92" t="s">
        <v>212</v>
      </c>
      <c r="C251" s="84" t="s">
        <v>81</v>
      </c>
      <c r="D251" s="85" t="s">
        <v>56</v>
      </c>
      <c r="E251" s="86" t="n">
        <v>33.1</v>
      </c>
      <c r="F251" s="86" t="n">
        <v>13</v>
      </c>
      <c r="G251" s="87" t="n">
        <f aca="false">E251*F251</f>
        <v>430.3</v>
      </c>
      <c r="H251" s="93"/>
      <c r="I251" s="94"/>
      <c r="J251" s="95"/>
      <c r="K251" s="3"/>
      <c r="L251" s="91"/>
      <c r="M251" s="92" t="s">
        <v>212</v>
      </c>
      <c r="N251" s="84" t="s">
        <v>81</v>
      </c>
      <c r="O251" s="85" t="s">
        <v>56</v>
      </c>
      <c r="P251" s="86" t="n">
        <v>33.1</v>
      </c>
      <c r="Q251" s="86" t="n">
        <v>13</v>
      </c>
      <c r="R251" s="87" t="n">
        <f aca="false">P251*Q251</f>
        <v>430.3</v>
      </c>
      <c r="S251" s="93"/>
      <c r="T251" s="94"/>
      <c r="U251" s="95"/>
    </row>
    <row r="252" customFormat="false" ht="18.75" hidden="false" customHeight="true" outlineLevel="0" collapsed="false">
      <c r="A252" s="91"/>
      <c r="B252" s="92" t="s">
        <v>212</v>
      </c>
      <c r="C252" s="84" t="s">
        <v>80</v>
      </c>
      <c r="D252" s="85" t="s">
        <v>56</v>
      </c>
      <c r="E252" s="86" t="n">
        <v>4</v>
      </c>
      <c r="F252" s="86" t="n">
        <v>13</v>
      </c>
      <c r="G252" s="87" t="n">
        <f aca="false">E252*F252</f>
        <v>52</v>
      </c>
      <c r="H252" s="93"/>
      <c r="I252" s="94"/>
      <c r="J252" s="95"/>
      <c r="K252" s="3"/>
      <c r="L252" s="91"/>
      <c r="M252" s="92" t="s">
        <v>212</v>
      </c>
      <c r="N252" s="84" t="s">
        <v>80</v>
      </c>
      <c r="O252" s="85" t="s">
        <v>56</v>
      </c>
      <c r="P252" s="86" t="n">
        <v>4</v>
      </c>
      <c r="Q252" s="86" t="n">
        <v>13</v>
      </c>
      <c r="R252" s="87" t="n">
        <f aca="false">P252*Q252</f>
        <v>52</v>
      </c>
      <c r="S252" s="93"/>
      <c r="T252" s="94"/>
      <c r="U252" s="95"/>
    </row>
    <row r="253" customFormat="false" ht="18.75" hidden="false" customHeight="true" outlineLevel="0" collapsed="false">
      <c r="A253" s="82" t="s">
        <v>24</v>
      </c>
      <c r="B253" s="83" t="s">
        <v>213</v>
      </c>
      <c r="C253" s="84" t="s">
        <v>88</v>
      </c>
      <c r="D253" s="85" t="s">
        <v>56</v>
      </c>
      <c r="E253" s="86" t="n">
        <v>11</v>
      </c>
      <c r="F253" s="86" t="n">
        <v>13</v>
      </c>
      <c r="G253" s="87" t="n">
        <f aca="false">E253*F253</f>
        <v>143</v>
      </c>
      <c r="H253" s="88" t="n">
        <f aca="false">SUMIF(B:B,B253,G:G)</f>
        <v>396.5</v>
      </c>
      <c r="I253" s="89" t="n">
        <v>2932.5</v>
      </c>
      <c r="J253" s="90" t="n">
        <f aca="false">IFERROR((I253-H253)/I253,"")</f>
        <v>0.864791133844842</v>
      </c>
      <c r="K253" s="3"/>
      <c r="L253" s="82" t="s">
        <v>24</v>
      </c>
      <c r="M253" s="83" t="s">
        <v>213</v>
      </c>
      <c r="N253" s="84" t="s">
        <v>88</v>
      </c>
      <c r="O253" s="85" t="s">
        <v>56</v>
      </c>
      <c r="P253" s="86" t="n">
        <v>11</v>
      </c>
      <c r="Q253" s="86" t="n">
        <v>13</v>
      </c>
      <c r="R253" s="87" t="n">
        <f aca="false">P253*Q253</f>
        <v>143</v>
      </c>
      <c r="S253" s="88" t="n">
        <f aca="false">SUMIF(M:M,M253,R:R)</f>
        <v>396.5</v>
      </c>
      <c r="T253" s="89" t="n">
        <f aca="false">I253</f>
        <v>2932.5</v>
      </c>
      <c r="U253" s="90" t="n">
        <f aca="false">IFERROR((T253-S253)/T253,"")</f>
        <v>0.864791133844842</v>
      </c>
    </row>
    <row r="254" customFormat="false" ht="18.75" hidden="false" customHeight="true" outlineLevel="0" collapsed="false">
      <c r="A254" s="91"/>
      <c r="B254" s="92" t="s">
        <v>213</v>
      </c>
      <c r="C254" s="84" t="s">
        <v>214</v>
      </c>
      <c r="D254" s="85" t="s">
        <v>56</v>
      </c>
      <c r="E254" s="86" t="n">
        <v>19.5</v>
      </c>
      <c r="F254" s="86" t="n">
        <v>13</v>
      </c>
      <c r="G254" s="87" t="n">
        <f aca="false">E254*F254</f>
        <v>253.5</v>
      </c>
      <c r="H254" s="93"/>
      <c r="I254" s="94"/>
      <c r="J254" s="95"/>
      <c r="K254" s="3"/>
      <c r="L254" s="91"/>
      <c r="M254" s="92" t="s">
        <v>213</v>
      </c>
      <c r="N254" s="84" t="s">
        <v>214</v>
      </c>
      <c r="O254" s="85" t="s">
        <v>56</v>
      </c>
      <c r="P254" s="86" t="n">
        <v>19.5</v>
      </c>
      <c r="Q254" s="86" t="n">
        <v>13</v>
      </c>
      <c r="R254" s="87" t="n">
        <f aca="false">P254*Q254</f>
        <v>253.5</v>
      </c>
      <c r="S254" s="93"/>
      <c r="T254" s="94"/>
      <c r="U254" s="95"/>
    </row>
    <row r="255" customFormat="false" ht="18.75" hidden="false" customHeight="true" outlineLevel="0" collapsed="false">
      <c r="A255" s="82" t="s">
        <v>24</v>
      </c>
      <c r="B255" s="83" t="s">
        <v>215</v>
      </c>
      <c r="C255" s="84" t="s">
        <v>88</v>
      </c>
      <c r="D255" s="85" t="s">
        <v>56</v>
      </c>
      <c r="E255" s="86" t="n">
        <v>30</v>
      </c>
      <c r="F255" s="86" t="n">
        <v>15</v>
      </c>
      <c r="G255" s="87" t="n">
        <f aca="false">E255*F255</f>
        <v>450</v>
      </c>
      <c r="H255" s="88" t="n">
        <f aca="false">SUMIF(B:B,B255,G:G)</f>
        <v>793.2</v>
      </c>
      <c r="I255" s="89" t="n">
        <v>2260</v>
      </c>
      <c r="J255" s="90" t="n">
        <f aca="false">IFERROR((I255-H255)/I255,"")</f>
        <v>0.649026548672566</v>
      </c>
      <c r="K255" s="3"/>
      <c r="L255" s="82" t="s">
        <v>24</v>
      </c>
      <c r="M255" s="83" t="s">
        <v>215</v>
      </c>
      <c r="N255" s="84" t="s">
        <v>88</v>
      </c>
      <c r="O255" s="85" t="s">
        <v>56</v>
      </c>
      <c r="P255" s="86" t="n">
        <v>30</v>
      </c>
      <c r="Q255" s="86" t="n">
        <v>15</v>
      </c>
      <c r="R255" s="87" t="n">
        <f aca="false">P255*Q255</f>
        <v>450</v>
      </c>
      <c r="S255" s="88" t="n">
        <f aca="false">SUMIF(M:M,M255,R:R)</f>
        <v>793.2</v>
      </c>
      <c r="T255" s="89" t="n">
        <f aca="false">I255</f>
        <v>2260</v>
      </c>
      <c r="U255" s="90" t="n">
        <f aca="false">IFERROR((T255-S255)/T255,"")</f>
        <v>0.649026548672566</v>
      </c>
    </row>
    <row r="256" customFormat="false" ht="18.75" hidden="false" customHeight="true" outlineLevel="0" collapsed="false">
      <c r="A256" s="91"/>
      <c r="B256" s="92" t="s">
        <v>215</v>
      </c>
      <c r="C256" s="84" t="s">
        <v>102</v>
      </c>
      <c r="D256" s="85" t="s">
        <v>56</v>
      </c>
      <c r="E256" s="86" t="n">
        <v>12.4</v>
      </c>
      <c r="F256" s="86" t="n">
        <v>13</v>
      </c>
      <c r="G256" s="87" t="n">
        <f aca="false">E256*F256</f>
        <v>161.2</v>
      </c>
      <c r="H256" s="93"/>
      <c r="I256" s="94"/>
      <c r="J256" s="95"/>
      <c r="K256" s="3"/>
      <c r="L256" s="91"/>
      <c r="M256" s="92" t="s">
        <v>215</v>
      </c>
      <c r="N256" s="84" t="s">
        <v>102</v>
      </c>
      <c r="O256" s="85" t="s">
        <v>56</v>
      </c>
      <c r="P256" s="86" t="n">
        <v>12.4</v>
      </c>
      <c r="Q256" s="86" t="n">
        <v>13</v>
      </c>
      <c r="R256" s="87" t="n">
        <f aca="false">P256*Q256</f>
        <v>161.2</v>
      </c>
      <c r="S256" s="93"/>
      <c r="T256" s="94"/>
      <c r="U256" s="95"/>
    </row>
    <row r="257" customFormat="false" ht="18.75" hidden="false" customHeight="true" outlineLevel="0" collapsed="false">
      <c r="A257" s="91"/>
      <c r="B257" s="92" t="s">
        <v>215</v>
      </c>
      <c r="C257" s="84" t="s">
        <v>100</v>
      </c>
      <c r="D257" s="85" t="s">
        <v>56</v>
      </c>
      <c r="E257" s="86" t="n">
        <v>14</v>
      </c>
      <c r="F257" s="86" t="n">
        <v>13</v>
      </c>
      <c r="G257" s="87" t="n">
        <f aca="false">E257*F257</f>
        <v>182</v>
      </c>
      <c r="H257" s="93"/>
      <c r="I257" s="94"/>
      <c r="J257" s="95"/>
      <c r="K257" s="3"/>
      <c r="L257" s="91"/>
      <c r="M257" s="92" t="s">
        <v>215</v>
      </c>
      <c r="N257" s="84" t="s">
        <v>100</v>
      </c>
      <c r="O257" s="85" t="s">
        <v>56</v>
      </c>
      <c r="P257" s="86" t="n">
        <v>14</v>
      </c>
      <c r="Q257" s="86" t="n">
        <v>13</v>
      </c>
      <c r="R257" s="87" t="n">
        <f aca="false">P257*Q257</f>
        <v>182</v>
      </c>
      <c r="S257" s="93"/>
      <c r="T257" s="94"/>
      <c r="U257" s="95"/>
    </row>
    <row r="258" customFormat="false" ht="18.75" hidden="false" customHeight="true" outlineLevel="0" collapsed="false">
      <c r="A258" s="82" t="s">
        <v>24</v>
      </c>
      <c r="B258" s="83" t="s">
        <v>216</v>
      </c>
      <c r="C258" s="97" t="s">
        <v>217</v>
      </c>
      <c r="D258" s="98" t="s">
        <v>55</v>
      </c>
      <c r="E258" s="104"/>
      <c r="F258" s="104"/>
      <c r="G258" s="100" t="n">
        <v>908</v>
      </c>
      <c r="H258" s="88" t="n">
        <f aca="false">SUMIF(B:B,B258,G:G)</f>
        <v>1776</v>
      </c>
      <c r="I258" s="89" t="n">
        <v>5900</v>
      </c>
      <c r="J258" s="90" t="n">
        <f aca="false">IFERROR((I258-H258)/I258,"")</f>
        <v>0.698983050847458</v>
      </c>
      <c r="K258" s="3"/>
      <c r="L258" s="82" t="s">
        <v>24</v>
      </c>
      <c r="M258" s="83" t="s">
        <v>216</v>
      </c>
      <c r="N258" s="97" t="s">
        <v>217</v>
      </c>
      <c r="O258" s="98" t="s">
        <v>55</v>
      </c>
      <c r="P258" s="101"/>
      <c r="Q258" s="101"/>
      <c r="R258" s="102" t="n">
        <v>0</v>
      </c>
      <c r="S258" s="88" t="n">
        <f aca="false">SUMIF(M:M,M258,R:R)</f>
        <v>868</v>
      </c>
      <c r="T258" s="89" t="n">
        <f aca="false">I258</f>
        <v>5900</v>
      </c>
      <c r="U258" s="90" t="n">
        <f aca="false">IFERROR((T258-S258)/T258,"")</f>
        <v>0.852881355932203</v>
      </c>
    </row>
    <row r="259" customFormat="false" ht="18.75" hidden="false" customHeight="true" outlineLevel="0" collapsed="false">
      <c r="A259" s="91"/>
      <c r="B259" s="92" t="s">
        <v>216</v>
      </c>
      <c r="C259" s="84" t="s">
        <v>218</v>
      </c>
      <c r="D259" s="96" t="s">
        <v>57</v>
      </c>
      <c r="E259" s="91"/>
      <c r="F259" s="91"/>
      <c r="G259" s="87" t="n">
        <v>838</v>
      </c>
      <c r="H259" s="93"/>
      <c r="I259" s="94"/>
      <c r="J259" s="95"/>
      <c r="K259" s="3"/>
      <c r="L259" s="91"/>
      <c r="M259" s="92" t="s">
        <v>216</v>
      </c>
      <c r="N259" s="84" t="s">
        <v>218</v>
      </c>
      <c r="O259" s="96" t="s">
        <v>57</v>
      </c>
      <c r="P259" s="91"/>
      <c r="Q259" s="91"/>
      <c r="R259" s="87" t="n">
        <v>838</v>
      </c>
      <c r="S259" s="93"/>
      <c r="T259" s="94"/>
      <c r="U259" s="95"/>
    </row>
    <row r="260" customFormat="false" ht="18.75" hidden="false" customHeight="true" outlineLevel="0" collapsed="false">
      <c r="A260" s="91"/>
      <c r="B260" s="92" t="s">
        <v>216</v>
      </c>
      <c r="C260" s="84" t="s">
        <v>219</v>
      </c>
      <c r="D260" s="96" t="s">
        <v>57</v>
      </c>
      <c r="E260" s="91"/>
      <c r="F260" s="91"/>
      <c r="G260" s="87" t="n">
        <v>30</v>
      </c>
      <c r="H260" s="93"/>
      <c r="I260" s="94"/>
      <c r="J260" s="95"/>
      <c r="K260" s="3"/>
      <c r="L260" s="91"/>
      <c r="M260" s="92" t="s">
        <v>216</v>
      </c>
      <c r="N260" s="84" t="s">
        <v>219</v>
      </c>
      <c r="O260" s="96" t="s">
        <v>57</v>
      </c>
      <c r="P260" s="91"/>
      <c r="Q260" s="91"/>
      <c r="R260" s="87" t="n">
        <v>30</v>
      </c>
      <c r="S260" s="93"/>
      <c r="T260" s="94"/>
      <c r="U260" s="95"/>
    </row>
    <row r="261" customFormat="false" ht="18.75" hidden="false" customHeight="true" outlineLevel="0" collapsed="false">
      <c r="A261" s="82" t="s">
        <v>24</v>
      </c>
      <c r="B261" s="83" t="s">
        <v>220</v>
      </c>
      <c r="C261" s="84" t="s">
        <v>131</v>
      </c>
      <c r="D261" s="85" t="s">
        <v>56</v>
      </c>
      <c r="E261" s="86" t="n">
        <v>49</v>
      </c>
      <c r="F261" s="86" t="n">
        <v>15</v>
      </c>
      <c r="G261" s="87" t="n">
        <f aca="false">E261*F261</f>
        <v>735</v>
      </c>
      <c r="H261" s="88" t="n">
        <f aca="false">SUMIF(B:B,B261,G:G)</f>
        <v>2990.98</v>
      </c>
      <c r="I261" s="89" t="n">
        <v>8333.34</v>
      </c>
      <c r="J261" s="90" t="n">
        <f aca="false">IFERROR((I261-H261)/I261,"")</f>
        <v>0.64108268713385</v>
      </c>
      <c r="K261" s="3"/>
      <c r="L261" s="82" t="s">
        <v>24</v>
      </c>
      <c r="M261" s="83" t="s">
        <v>220</v>
      </c>
      <c r="N261" s="84" t="s">
        <v>131</v>
      </c>
      <c r="O261" s="85" t="s">
        <v>56</v>
      </c>
      <c r="P261" s="86" t="n">
        <v>49</v>
      </c>
      <c r="Q261" s="86" t="n">
        <v>15</v>
      </c>
      <c r="R261" s="87" t="n">
        <f aca="false">P261*Q261</f>
        <v>735</v>
      </c>
      <c r="S261" s="88" t="n">
        <f aca="false">SUMIF(M:M,M261,R:R)</f>
        <v>2990.98</v>
      </c>
      <c r="T261" s="89" t="n">
        <f aca="false">I261</f>
        <v>8333.34</v>
      </c>
      <c r="U261" s="90" t="n">
        <f aca="false">IFERROR((T261-S261)/T261,"")</f>
        <v>0.64108268713385</v>
      </c>
    </row>
    <row r="262" customFormat="false" ht="18.75" hidden="false" customHeight="true" outlineLevel="0" collapsed="false">
      <c r="A262" s="91"/>
      <c r="B262" s="92" t="s">
        <v>220</v>
      </c>
      <c r="C262" s="84" t="s">
        <v>200</v>
      </c>
      <c r="D262" s="85" t="s">
        <v>56</v>
      </c>
      <c r="E262" s="86" t="n">
        <v>4</v>
      </c>
      <c r="F262" s="86" t="n">
        <v>15</v>
      </c>
      <c r="G262" s="87" t="n">
        <f aca="false">E262*F262</f>
        <v>60</v>
      </c>
      <c r="H262" s="93"/>
      <c r="I262" s="94"/>
      <c r="J262" s="95"/>
      <c r="K262" s="3"/>
      <c r="L262" s="91"/>
      <c r="M262" s="92" t="s">
        <v>220</v>
      </c>
      <c r="N262" s="84" t="s">
        <v>200</v>
      </c>
      <c r="O262" s="85" t="s">
        <v>56</v>
      </c>
      <c r="P262" s="86" t="n">
        <v>4</v>
      </c>
      <c r="Q262" s="86" t="n">
        <v>15</v>
      </c>
      <c r="R262" s="87" t="n">
        <f aca="false">P262*Q262</f>
        <v>60</v>
      </c>
      <c r="S262" s="93"/>
      <c r="T262" s="94"/>
      <c r="U262" s="95"/>
    </row>
    <row r="263" customFormat="false" ht="18.75" hidden="false" customHeight="true" outlineLevel="0" collapsed="false">
      <c r="A263" s="91"/>
      <c r="B263" s="92" t="s">
        <v>220</v>
      </c>
      <c r="C263" s="84" t="s">
        <v>203</v>
      </c>
      <c r="D263" s="85" t="s">
        <v>56</v>
      </c>
      <c r="E263" s="86" t="n">
        <v>15</v>
      </c>
      <c r="F263" s="86" t="n">
        <v>15</v>
      </c>
      <c r="G263" s="87" t="n">
        <f aca="false">E263*F263</f>
        <v>225</v>
      </c>
      <c r="H263" s="93"/>
      <c r="I263" s="94"/>
      <c r="J263" s="95"/>
      <c r="K263" s="3"/>
      <c r="L263" s="91"/>
      <c r="M263" s="92" t="s">
        <v>220</v>
      </c>
      <c r="N263" s="84" t="s">
        <v>203</v>
      </c>
      <c r="O263" s="85" t="s">
        <v>56</v>
      </c>
      <c r="P263" s="86" t="n">
        <v>15</v>
      </c>
      <c r="Q263" s="86" t="n">
        <v>15</v>
      </c>
      <c r="R263" s="87" t="n">
        <f aca="false">P263*Q263</f>
        <v>225</v>
      </c>
      <c r="S263" s="93"/>
      <c r="T263" s="94"/>
      <c r="U263" s="95"/>
    </row>
    <row r="264" customFormat="false" ht="18.75" hidden="false" customHeight="true" outlineLevel="0" collapsed="false">
      <c r="A264" s="91"/>
      <c r="B264" s="92" t="s">
        <v>220</v>
      </c>
      <c r="C264" s="84" t="s">
        <v>204</v>
      </c>
      <c r="D264" s="85" t="s">
        <v>56</v>
      </c>
      <c r="E264" s="86" t="n">
        <v>22.5</v>
      </c>
      <c r="F264" s="86" t="n">
        <v>15</v>
      </c>
      <c r="G264" s="87" t="n">
        <f aca="false">E264*F264</f>
        <v>337.5</v>
      </c>
      <c r="H264" s="93"/>
      <c r="I264" s="94"/>
      <c r="J264" s="95"/>
      <c r="K264" s="3"/>
      <c r="L264" s="91"/>
      <c r="M264" s="92" t="s">
        <v>220</v>
      </c>
      <c r="N264" s="84" t="s">
        <v>204</v>
      </c>
      <c r="O264" s="85" t="s">
        <v>56</v>
      </c>
      <c r="P264" s="86" t="n">
        <v>22.5</v>
      </c>
      <c r="Q264" s="86" t="n">
        <v>15</v>
      </c>
      <c r="R264" s="87" t="n">
        <f aca="false">P264*Q264</f>
        <v>337.5</v>
      </c>
      <c r="S264" s="93"/>
      <c r="T264" s="94"/>
      <c r="U264" s="95"/>
    </row>
    <row r="265" customFormat="false" ht="18.75" hidden="false" customHeight="true" outlineLevel="0" collapsed="false">
      <c r="A265" s="91"/>
      <c r="B265" s="92" t="s">
        <v>220</v>
      </c>
      <c r="C265" s="84" t="s">
        <v>205</v>
      </c>
      <c r="D265" s="85" t="s">
        <v>56</v>
      </c>
      <c r="E265" s="86" t="n">
        <v>34</v>
      </c>
      <c r="F265" s="86" t="n">
        <v>15</v>
      </c>
      <c r="G265" s="87" t="n">
        <f aca="false">E265*F265</f>
        <v>510</v>
      </c>
      <c r="H265" s="93"/>
      <c r="I265" s="94"/>
      <c r="J265" s="95"/>
      <c r="K265" s="3"/>
      <c r="L265" s="91"/>
      <c r="M265" s="92" t="s">
        <v>220</v>
      </c>
      <c r="N265" s="84" t="s">
        <v>205</v>
      </c>
      <c r="O265" s="85" t="s">
        <v>56</v>
      </c>
      <c r="P265" s="86" t="n">
        <v>34</v>
      </c>
      <c r="Q265" s="86" t="n">
        <v>15</v>
      </c>
      <c r="R265" s="87" t="n">
        <f aca="false">P265*Q265</f>
        <v>510</v>
      </c>
      <c r="S265" s="93"/>
      <c r="T265" s="94"/>
      <c r="U265" s="95"/>
    </row>
    <row r="266" customFormat="false" ht="18.75" hidden="false" customHeight="true" outlineLevel="0" collapsed="false">
      <c r="A266" s="91"/>
      <c r="B266" s="92" t="s">
        <v>220</v>
      </c>
      <c r="C266" s="84" t="s">
        <v>209</v>
      </c>
      <c r="D266" s="103" t="s">
        <v>58</v>
      </c>
      <c r="E266" s="91"/>
      <c r="F266" s="91"/>
      <c r="G266" s="87" t="n">
        <v>86</v>
      </c>
      <c r="H266" s="93"/>
      <c r="I266" s="94"/>
      <c r="J266" s="95"/>
      <c r="K266" s="3"/>
      <c r="L266" s="91"/>
      <c r="M266" s="92" t="s">
        <v>220</v>
      </c>
      <c r="N266" s="84" t="s">
        <v>209</v>
      </c>
      <c r="O266" s="103" t="s">
        <v>58</v>
      </c>
      <c r="P266" s="91"/>
      <c r="Q266" s="91"/>
      <c r="R266" s="87" t="n">
        <v>86</v>
      </c>
      <c r="S266" s="93"/>
      <c r="T266" s="94"/>
      <c r="U266" s="95"/>
    </row>
    <row r="267" customFormat="false" ht="18.75" hidden="false" customHeight="true" outlineLevel="0" collapsed="false">
      <c r="A267" s="91"/>
      <c r="B267" s="92" t="s">
        <v>220</v>
      </c>
      <c r="C267" s="84" t="s">
        <v>92</v>
      </c>
      <c r="D267" s="103" t="s">
        <v>58</v>
      </c>
      <c r="E267" s="91"/>
      <c r="F267" s="91"/>
      <c r="G267" s="87" t="n">
        <v>56</v>
      </c>
      <c r="H267" s="93"/>
      <c r="I267" s="94"/>
      <c r="J267" s="95"/>
      <c r="K267" s="3"/>
      <c r="L267" s="91"/>
      <c r="M267" s="92" t="s">
        <v>220</v>
      </c>
      <c r="N267" s="84" t="s">
        <v>92</v>
      </c>
      <c r="O267" s="103" t="s">
        <v>58</v>
      </c>
      <c r="P267" s="91"/>
      <c r="Q267" s="91"/>
      <c r="R267" s="87" t="n">
        <v>56</v>
      </c>
      <c r="S267" s="93"/>
      <c r="T267" s="94"/>
      <c r="U267" s="95"/>
    </row>
    <row r="268" customFormat="false" ht="18.75" hidden="false" customHeight="true" outlineLevel="0" collapsed="false">
      <c r="A268" s="91"/>
      <c r="B268" s="92" t="s">
        <v>220</v>
      </c>
      <c r="C268" s="84" t="s">
        <v>94</v>
      </c>
      <c r="D268" s="103" t="s">
        <v>58</v>
      </c>
      <c r="E268" s="91"/>
      <c r="F268" s="91"/>
      <c r="G268" s="87" t="n">
        <v>395.48</v>
      </c>
      <c r="H268" s="93"/>
      <c r="I268" s="94"/>
      <c r="J268" s="95"/>
      <c r="K268" s="3"/>
      <c r="L268" s="91"/>
      <c r="M268" s="92" t="s">
        <v>220</v>
      </c>
      <c r="N268" s="84" t="s">
        <v>94</v>
      </c>
      <c r="O268" s="103" t="s">
        <v>58</v>
      </c>
      <c r="P268" s="91"/>
      <c r="Q268" s="91"/>
      <c r="R268" s="87" t="n">
        <v>395.48</v>
      </c>
      <c r="S268" s="93"/>
      <c r="T268" s="94"/>
      <c r="U268" s="95"/>
    </row>
    <row r="269" customFormat="false" ht="18.75" hidden="false" customHeight="true" outlineLevel="0" collapsed="false">
      <c r="A269" s="91"/>
      <c r="B269" s="92" t="s">
        <v>220</v>
      </c>
      <c r="C269" s="84" t="s">
        <v>95</v>
      </c>
      <c r="D269" s="103" t="s">
        <v>58</v>
      </c>
      <c r="E269" s="91"/>
      <c r="F269" s="91"/>
      <c r="G269" s="87" t="n">
        <v>166</v>
      </c>
      <c r="H269" s="93"/>
      <c r="I269" s="94"/>
      <c r="J269" s="95"/>
      <c r="K269" s="3"/>
      <c r="L269" s="91"/>
      <c r="M269" s="92" t="s">
        <v>220</v>
      </c>
      <c r="N269" s="84" t="s">
        <v>95</v>
      </c>
      <c r="O269" s="103" t="s">
        <v>58</v>
      </c>
      <c r="P269" s="91"/>
      <c r="Q269" s="91"/>
      <c r="R269" s="87" t="n">
        <v>166</v>
      </c>
      <c r="S269" s="93"/>
      <c r="T269" s="94"/>
      <c r="U269" s="95"/>
    </row>
    <row r="270" customFormat="false" ht="18.75" hidden="false" customHeight="true" outlineLevel="0" collapsed="false">
      <c r="A270" s="91"/>
      <c r="B270" s="92" t="s">
        <v>220</v>
      </c>
      <c r="C270" s="84" t="s">
        <v>221</v>
      </c>
      <c r="D270" s="96" t="s">
        <v>57</v>
      </c>
      <c r="E270" s="91"/>
      <c r="F270" s="91"/>
      <c r="G270" s="87" t="n">
        <v>420</v>
      </c>
      <c r="H270" s="93"/>
      <c r="I270" s="94"/>
      <c r="J270" s="95"/>
      <c r="K270" s="3"/>
      <c r="L270" s="91"/>
      <c r="M270" s="92" t="s">
        <v>220</v>
      </c>
      <c r="N270" s="84" t="s">
        <v>221</v>
      </c>
      <c r="O270" s="96" t="s">
        <v>57</v>
      </c>
      <c r="P270" s="91"/>
      <c r="Q270" s="91"/>
      <c r="R270" s="87" t="n">
        <v>420</v>
      </c>
      <c r="S270" s="93"/>
      <c r="T270" s="94"/>
      <c r="U270" s="95"/>
    </row>
    <row r="271" customFormat="false" ht="18.75" hidden="false" customHeight="true" outlineLevel="0" collapsed="false">
      <c r="A271" s="82" t="s">
        <v>24</v>
      </c>
      <c r="B271" s="83" t="s">
        <v>222</v>
      </c>
      <c r="C271" s="84" t="s">
        <v>223</v>
      </c>
      <c r="D271" s="85" t="s">
        <v>56</v>
      </c>
      <c r="E271" s="86" t="n">
        <v>20</v>
      </c>
      <c r="F271" s="86" t="n">
        <v>15</v>
      </c>
      <c r="G271" s="87" t="n">
        <f aca="false">E271*F271</f>
        <v>300</v>
      </c>
      <c r="H271" s="88" t="n">
        <f aca="false">SUMIF(B:B,B271,G:G)</f>
        <v>808.04</v>
      </c>
      <c r="I271" s="89" t="n">
        <v>2100</v>
      </c>
      <c r="J271" s="90" t="n">
        <f aca="false">IFERROR((I271-H271)/I271,"")</f>
        <v>0.615219047619048</v>
      </c>
      <c r="K271" s="3"/>
      <c r="L271" s="82" t="s">
        <v>24</v>
      </c>
      <c r="M271" s="83" t="s">
        <v>222</v>
      </c>
      <c r="N271" s="84" t="s">
        <v>223</v>
      </c>
      <c r="O271" s="85" t="s">
        <v>56</v>
      </c>
      <c r="P271" s="86" t="n">
        <v>20</v>
      </c>
      <c r="Q271" s="86" t="n">
        <v>15</v>
      </c>
      <c r="R271" s="87" t="n">
        <f aca="false">P271*Q271</f>
        <v>300</v>
      </c>
      <c r="S271" s="88" t="n">
        <f aca="false">SUMIF(M:M,M271,R:R)</f>
        <v>808.04</v>
      </c>
      <c r="T271" s="89" t="n">
        <f aca="false">I271</f>
        <v>2100</v>
      </c>
      <c r="U271" s="90" t="n">
        <f aca="false">IFERROR((T271-S271)/T271,"")</f>
        <v>0.615219047619048</v>
      </c>
    </row>
    <row r="272" customFormat="false" ht="18.75" hidden="false" customHeight="true" outlineLevel="0" collapsed="false">
      <c r="A272" s="91"/>
      <c r="B272" s="92" t="s">
        <v>222</v>
      </c>
      <c r="C272" s="84" t="s">
        <v>164</v>
      </c>
      <c r="D272" s="85" t="s">
        <v>56</v>
      </c>
      <c r="E272" s="86" t="n">
        <v>4</v>
      </c>
      <c r="F272" s="86" t="n">
        <v>13</v>
      </c>
      <c r="G272" s="87" t="n">
        <f aca="false">E272*F272</f>
        <v>52</v>
      </c>
      <c r="H272" s="93"/>
      <c r="I272" s="94"/>
      <c r="J272" s="95"/>
      <c r="K272" s="3"/>
      <c r="L272" s="91"/>
      <c r="M272" s="92" t="s">
        <v>222</v>
      </c>
      <c r="N272" s="84" t="s">
        <v>164</v>
      </c>
      <c r="O272" s="85" t="s">
        <v>56</v>
      </c>
      <c r="P272" s="86" t="n">
        <v>4</v>
      </c>
      <c r="Q272" s="86" t="n">
        <v>13</v>
      </c>
      <c r="R272" s="87" t="n">
        <f aca="false">P272*Q272</f>
        <v>52</v>
      </c>
      <c r="S272" s="93"/>
      <c r="T272" s="94"/>
      <c r="U272" s="95"/>
    </row>
    <row r="273" customFormat="false" ht="18.75" hidden="false" customHeight="true" outlineLevel="0" collapsed="false">
      <c r="A273" s="91"/>
      <c r="B273" s="92" t="s">
        <v>222</v>
      </c>
      <c r="C273" s="84" t="s">
        <v>98</v>
      </c>
      <c r="D273" s="85" t="s">
        <v>56</v>
      </c>
      <c r="E273" s="86" t="n">
        <v>19.58</v>
      </c>
      <c r="F273" s="86" t="n">
        <v>13</v>
      </c>
      <c r="G273" s="87" t="n">
        <f aca="false">E273*F273</f>
        <v>254.54</v>
      </c>
      <c r="H273" s="93"/>
      <c r="I273" s="94"/>
      <c r="J273" s="95"/>
      <c r="K273" s="3"/>
      <c r="L273" s="91"/>
      <c r="M273" s="92" t="s">
        <v>222</v>
      </c>
      <c r="N273" s="84" t="s">
        <v>98</v>
      </c>
      <c r="O273" s="85" t="s">
        <v>56</v>
      </c>
      <c r="P273" s="86" t="n">
        <v>19.58</v>
      </c>
      <c r="Q273" s="86" t="n">
        <v>13</v>
      </c>
      <c r="R273" s="87" t="n">
        <f aca="false">P273*Q273</f>
        <v>254.54</v>
      </c>
      <c r="S273" s="93"/>
      <c r="T273" s="94"/>
      <c r="U273" s="95"/>
    </row>
    <row r="274" customFormat="false" ht="18.75" hidden="false" customHeight="true" outlineLevel="0" collapsed="false">
      <c r="A274" s="91"/>
      <c r="B274" s="92" t="s">
        <v>222</v>
      </c>
      <c r="C274" s="84" t="s">
        <v>78</v>
      </c>
      <c r="D274" s="85" t="s">
        <v>56</v>
      </c>
      <c r="E274" s="86" t="n">
        <v>11</v>
      </c>
      <c r="F274" s="86" t="n">
        <v>13</v>
      </c>
      <c r="G274" s="87" t="n">
        <f aca="false">E274*F274</f>
        <v>143</v>
      </c>
      <c r="H274" s="93"/>
      <c r="I274" s="94"/>
      <c r="J274" s="95"/>
      <c r="K274" s="3"/>
      <c r="L274" s="91"/>
      <c r="M274" s="92" t="s">
        <v>222</v>
      </c>
      <c r="N274" s="84" t="s">
        <v>78</v>
      </c>
      <c r="O274" s="85" t="s">
        <v>56</v>
      </c>
      <c r="P274" s="86" t="n">
        <v>11</v>
      </c>
      <c r="Q274" s="86" t="n">
        <v>13</v>
      </c>
      <c r="R274" s="87" t="n">
        <f aca="false">P274*Q274</f>
        <v>143</v>
      </c>
      <c r="S274" s="93"/>
      <c r="T274" s="94"/>
      <c r="U274" s="95"/>
    </row>
    <row r="275" customFormat="false" ht="18.75" hidden="false" customHeight="true" outlineLevel="0" collapsed="false">
      <c r="A275" s="91"/>
      <c r="B275" s="92" t="s">
        <v>222</v>
      </c>
      <c r="C275" s="84" t="s">
        <v>79</v>
      </c>
      <c r="D275" s="85" t="s">
        <v>56</v>
      </c>
      <c r="E275" s="86" t="n">
        <v>4.5</v>
      </c>
      <c r="F275" s="86" t="n">
        <v>13</v>
      </c>
      <c r="G275" s="87" t="n">
        <f aca="false">E275*F275</f>
        <v>58.5</v>
      </c>
      <c r="H275" s="93"/>
      <c r="I275" s="94"/>
      <c r="J275" s="95"/>
      <c r="K275" s="3"/>
      <c r="L275" s="91"/>
      <c r="M275" s="92" t="s">
        <v>222</v>
      </c>
      <c r="N275" s="84" t="s">
        <v>79</v>
      </c>
      <c r="O275" s="85" t="s">
        <v>56</v>
      </c>
      <c r="P275" s="86" t="n">
        <v>4.5</v>
      </c>
      <c r="Q275" s="86" t="n">
        <v>13</v>
      </c>
      <c r="R275" s="87" t="n">
        <f aca="false">P275*Q275</f>
        <v>58.5</v>
      </c>
      <c r="S275" s="93"/>
      <c r="T275" s="94"/>
      <c r="U275" s="95"/>
    </row>
    <row r="276" customFormat="false" ht="18.75" hidden="false" customHeight="true" outlineLevel="0" collapsed="false">
      <c r="A276" s="82" t="s">
        <v>24</v>
      </c>
      <c r="B276" s="83" t="s">
        <v>224</v>
      </c>
      <c r="C276" s="84" t="s">
        <v>186</v>
      </c>
      <c r="D276" s="85" t="s">
        <v>56</v>
      </c>
      <c r="E276" s="86" t="n">
        <v>78.17</v>
      </c>
      <c r="F276" s="86" t="n">
        <v>15</v>
      </c>
      <c r="G276" s="87" t="n">
        <f aca="false">E276*F276</f>
        <v>1172.55</v>
      </c>
      <c r="H276" s="88" t="n">
        <f aca="false">SUMIF(B:B,B276,G:G)</f>
        <v>6701.57</v>
      </c>
      <c r="I276" s="89" t="n">
        <v>16297.47</v>
      </c>
      <c r="J276" s="90" t="n">
        <f aca="false">IFERROR((I276-H276)/I276,"")</f>
        <v>0.588796911422448</v>
      </c>
      <c r="K276" s="3"/>
      <c r="L276" s="82" t="s">
        <v>24</v>
      </c>
      <c r="M276" s="83" t="s">
        <v>224</v>
      </c>
      <c r="N276" s="84" t="s">
        <v>186</v>
      </c>
      <c r="O276" s="85" t="s">
        <v>56</v>
      </c>
      <c r="P276" s="86" t="n">
        <v>78.17</v>
      </c>
      <c r="Q276" s="86" t="n">
        <v>15</v>
      </c>
      <c r="R276" s="87" t="n">
        <f aca="false">P276*Q276</f>
        <v>1172.55</v>
      </c>
      <c r="S276" s="88" t="n">
        <f aca="false">SUMIF(M:M,M276,R:R)</f>
        <v>6701.57</v>
      </c>
      <c r="T276" s="89" t="n">
        <f aca="false">I276</f>
        <v>16297.47</v>
      </c>
      <c r="U276" s="90" t="n">
        <f aca="false">IFERROR((T276-S276)/T276,"")</f>
        <v>0.588796911422448</v>
      </c>
    </row>
    <row r="277" customFormat="false" ht="18.75" hidden="false" customHeight="true" outlineLevel="0" collapsed="false">
      <c r="A277" s="91"/>
      <c r="B277" s="92" t="s">
        <v>224</v>
      </c>
      <c r="C277" s="84" t="s">
        <v>187</v>
      </c>
      <c r="D277" s="85" t="s">
        <v>56</v>
      </c>
      <c r="E277" s="86" t="n">
        <v>98.33</v>
      </c>
      <c r="F277" s="86" t="n">
        <v>18</v>
      </c>
      <c r="G277" s="87" t="n">
        <f aca="false">E277*F277</f>
        <v>1769.94</v>
      </c>
      <c r="H277" s="93"/>
      <c r="I277" s="94"/>
      <c r="J277" s="95"/>
      <c r="K277" s="3"/>
      <c r="L277" s="91"/>
      <c r="M277" s="92" t="s">
        <v>224</v>
      </c>
      <c r="N277" s="84" t="s">
        <v>187</v>
      </c>
      <c r="O277" s="85" t="s">
        <v>56</v>
      </c>
      <c r="P277" s="86" t="n">
        <v>98.33</v>
      </c>
      <c r="Q277" s="86" t="n">
        <v>18</v>
      </c>
      <c r="R277" s="87" t="n">
        <f aca="false">P277*Q277</f>
        <v>1769.94</v>
      </c>
      <c r="S277" s="93"/>
      <c r="T277" s="94"/>
      <c r="U277" s="95"/>
    </row>
    <row r="278" customFormat="false" ht="18.75" hidden="false" customHeight="true" outlineLevel="0" collapsed="false">
      <c r="A278" s="91"/>
      <c r="B278" s="92" t="s">
        <v>224</v>
      </c>
      <c r="C278" s="84" t="s">
        <v>188</v>
      </c>
      <c r="D278" s="85" t="s">
        <v>56</v>
      </c>
      <c r="E278" s="86" t="n">
        <v>77.31</v>
      </c>
      <c r="F278" s="86" t="n">
        <v>18</v>
      </c>
      <c r="G278" s="87" t="n">
        <f aca="false">E278*F278</f>
        <v>1391.58</v>
      </c>
      <c r="H278" s="93"/>
      <c r="I278" s="94"/>
      <c r="J278" s="95"/>
      <c r="K278" s="3"/>
      <c r="L278" s="91"/>
      <c r="M278" s="92" t="s">
        <v>224</v>
      </c>
      <c r="N278" s="84" t="s">
        <v>188</v>
      </c>
      <c r="O278" s="85" t="s">
        <v>56</v>
      </c>
      <c r="P278" s="86" t="n">
        <v>77.31</v>
      </c>
      <c r="Q278" s="86" t="n">
        <v>18</v>
      </c>
      <c r="R278" s="87" t="n">
        <f aca="false">P278*Q278</f>
        <v>1391.58</v>
      </c>
      <c r="S278" s="93"/>
      <c r="T278" s="94"/>
      <c r="U278" s="95"/>
    </row>
    <row r="279" customFormat="false" ht="18.75" hidden="false" customHeight="true" outlineLevel="0" collapsed="false">
      <c r="A279" s="91"/>
      <c r="B279" s="92" t="s">
        <v>224</v>
      </c>
      <c r="C279" s="84" t="s">
        <v>137</v>
      </c>
      <c r="D279" s="85" t="s">
        <v>56</v>
      </c>
      <c r="E279" s="86" t="n">
        <v>91</v>
      </c>
      <c r="F279" s="86" t="n">
        <v>15</v>
      </c>
      <c r="G279" s="87" t="n">
        <f aca="false">E279*F279</f>
        <v>1365</v>
      </c>
      <c r="H279" s="93"/>
      <c r="I279" s="94"/>
      <c r="J279" s="95"/>
      <c r="K279" s="3"/>
      <c r="L279" s="91"/>
      <c r="M279" s="92" t="s">
        <v>224</v>
      </c>
      <c r="N279" s="84" t="s">
        <v>137</v>
      </c>
      <c r="O279" s="85" t="s">
        <v>56</v>
      </c>
      <c r="P279" s="86" t="n">
        <v>91</v>
      </c>
      <c r="Q279" s="86" t="n">
        <v>15</v>
      </c>
      <c r="R279" s="87" t="n">
        <f aca="false">P279*Q279</f>
        <v>1365</v>
      </c>
      <c r="S279" s="93"/>
      <c r="T279" s="94"/>
      <c r="U279" s="95"/>
    </row>
    <row r="280" customFormat="false" ht="18.75" hidden="false" customHeight="true" outlineLevel="0" collapsed="false">
      <c r="A280" s="91"/>
      <c r="B280" s="92" t="s">
        <v>224</v>
      </c>
      <c r="C280" s="84" t="s">
        <v>192</v>
      </c>
      <c r="D280" s="85" t="s">
        <v>56</v>
      </c>
      <c r="E280" s="86" t="n">
        <v>24</v>
      </c>
      <c r="F280" s="86" t="n">
        <v>15</v>
      </c>
      <c r="G280" s="87" t="n">
        <f aca="false">E280*F280</f>
        <v>360</v>
      </c>
      <c r="H280" s="93"/>
      <c r="I280" s="94"/>
      <c r="J280" s="95"/>
      <c r="K280" s="3"/>
      <c r="L280" s="91"/>
      <c r="M280" s="92" t="s">
        <v>224</v>
      </c>
      <c r="N280" s="84" t="s">
        <v>192</v>
      </c>
      <c r="O280" s="85" t="s">
        <v>56</v>
      </c>
      <c r="P280" s="86" t="n">
        <v>24</v>
      </c>
      <c r="Q280" s="86" t="n">
        <v>15</v>
      </c>
      <c r="R280" s="87" t="n">
        <f aca="false">P280*Q280</f>
        <v>360</v>
      </c>
      <c r="S280" s="93"/>
      <c r="T280" s="94"/>
      <c r="U280" s="95"/>
    </row>
    <row r="281" customFormat="false" ht="18.75" hidden="false" customHeight="true" outlineLevel="0" collapsed="false">
      <c r="A281" s="91"/>
      <c r="B281" s="92" t="s">
        <v>224</v>
      </c>
      <c r="C281" s="84" t="s">
        <v>94</v>
      </c>
      <c r="D281" s="103" t="s">
        <v>58</v>
      </c>
      <c r="E281" s="91"/>
      <c r="F281" s="91"/>
      <c r="G281" s="87" t="n">
        <v>402.5</v>
      </c>
      <c r="H281" s="93"/>
      <c r="I281" s="94"/>
      <c r="J281" s="95"/>
      <c r="K281" s="3"/>
      <c r="L281" s="91"/>
      <c r="M281" s="92" t="s">
        <v>224</v>
      </c>
      <c r="N281" s="84" t="s">
        <v>94</v>
      </c>
      <c r="O281" s="103" t="s">
        <v>58</v>
      </c>
      <c r="P281" s="91"/>
      <c r="Q281" s="91"/>
      <c r="R281" s="87" t="n">
        <v>402.5</v>
      </c>
      <c r="S281" s="93"/>
      <c r="T281" s="94"/>
      <c r="U281" s="95"/>
    </row>
    <row r="282" customFormat="false" ht="18.75" hidden="false" customHeight="true" outlineLevel="0" collapsed="false">
      <c r="A282" s="91"/>
      <c r="B282" s="92" t="s">
        <v>224</v>
      </c>
      <c r="C282" s="84" t="s">
        <v>225</v>
      </c>
      <c r="D282" s="96" t="s">
        <v>57</v>
      </c>
      <c r="E282" s="91"/>
      <c r="F282" s="91"/>
      <c r="G282" s="87" t="n">
        <v>240</v>
      </c>
      <c r="H282" s="93"/>
      <c r="I282" s="94"/>
      <c r="J282" s="95"/>
      <c r="K282" s="3"/>
      <c r="L282" s="91"/>
      <c r="M282" s="92" t="s">
        <v>224</v>
      </c>
      <c r="N282" s="84" t="s">
        <v>225</v>
      </c>
      <c r="O282" s="96" t="s">
        <v>57</v>
      </c>
      <c r="P282" s="91"/>
      <c r="Q282" s="91"/>
      <c r="R282" s="87" t="n">
        <v>240</v>
      </c>
      <c r="S282" s="93"/>
      <c r="T282" s="94"/>
      <c r="U282" s="95"/>
    </row>
    <row r="283" customFormat="false" ht="18.75" hidden="false" customHeight="true" outlineLevel="0" collapsed="false">
      <c r="A283" s="82" t="s">
        <v>24</v>
      </c>
      <c r="B283" s="83" t="s">
        <v>226</v>
      </c>
      <c r="C283" s="84" t="s">
        <v>227</v>
      </c>
      <c r="D283" s="85" t="s">
        <v>56</v>
      </c>
      <c r="E283" s="86" t="n">
        <v>120</v>
      </c>
      <c r="F283" s="86" t="n">
        <v>5</v>
      </c>
      <c r="G283" s="87" t="n">
        <f aca="false">E283*F283</f>
        <v>600</v>
      </c>
      <c r="H283" s="88" t="n">
        <f aca="false">SUMIF(B:B,B283,G:G)</f>
        <v>4015.34</v>
      </c>
      <c r="I283" s="89" t="n">
        <v>16200</v>
      </c>
      <c r="J283" s="90" t="n">
        <f aca="false">IFERROR((I283-H283)/I283,"")</f>
        <v>0.75213950617284</v>
      </c>
      <c r="K283" s="3"/>
      <c r="L283" s="82" t="s">
        <v>24</v>
      </c>
      <c r="M283" s="83" t="s">
        <v>226</v>
      </c>
      <c r="N283" s="84" t="s">
        <v>227</v>
      </c>
      <c r="O283" s="85" t="s">
        <v>56</v>
      </c>
      <c r="P283" s="86" t="n">
        <v>120</v>
      </c>
      <c r="Q283" s="86" t="n">
        <v>5</v>
      </c>
      <c r="R283" s="87" t="n">
        <f aca="false">P283*Q283</f>
        <v>600</v>
      </c>
      <c r="S283" s="88" t="n">
        <f aca="false">SUMIF(M:M,M283,R:R)</f>
        <v>4015.34</v>
      </c>
      <c r="T283" s="89" t="n">
        <f aca="false">I283</f>
        <v>16200</v>
      </c>
      <c r="U283" s="90" t="n">
        <f aca="false">IFERROR((T283-S283)/T283,"")</f>
        <v>0.75213950617284</v>
      </c>
    </row>
    <row r="284" customFormat="false" ht="18.75" hidden="false" customHeight="true" outlineLevel="0" collapsed="false">
      <c r="A284" s="91"/>
      <c r="B284" s="92" t="s">
        <v>226</v>
      </c>
      <c r="C284" s="84" t="s">
        <v>228</v>
      </c>
      <c r="D284" s="85" t="s">
        <v>56</v>
      </c>
      <c r="E284" s="86" t="n">
        <v>70</v>
      </c>
      <c r="F284" s="86" t="n">
        <v>2</v>
      </c>
      <c r="G284" s="87" t="n">
        <f aca="false">E284*F284</f>
        <v>140</v>
      </c>
      <c r="H284" s="93"/>
      <c r="I284" s="94"/>
      <c r="J284" s="95"/>
      <c r="K284" s="3"/>
      <c r="L284" s="91"/>
      <c r="M284" s="92" t="s">
        <v>226</v>
      </c>
      <c r="N284" s="84" t="s">
        <v>228</v>
      </c>
      <c r="O284" s="85" t="s">
        <v>56</v>
      </c>
      <c r="P284" s="86" t="n">
        <v>70</v>
      </c>
      <c r="Q284" s="86" t="n">
        <v>2</v>
      </c>
      <c r="R284" s="87" t="n">
        <f aca="false">P284*Q284</f>
        <v>140</v>
      </c>
      <c r="S284" s="93"/>
      <c r="T284" s="94"/>
      <c r="U284" s="95"/>
    </row>
    <row r="285" customFormat="false" ht="18.75" hidden="false" customHeight="true" outlineLevel="0" collapsed="false">
      <c r="A285" s="91"/>
      <c r="B285" s="92" t="s">
        <v>226</v>
      </c>
      <c r="C285" s="84" t="s">
        <v>122</v>
      </c>
      <c r="D285" s="85" t="s">
        <v>56</v>
      </c>
      <c r="E285" s="86" t="n">
        <v>32.15</v>
      </c>
      <c r="F285" s="86" t="n">
        <v>17</v>
      </c>
      <c r="G285" s="87" t="n">
        <f aca="false">E285*F285</f>
        <v>546.55</v>
      </c>
      <c r="H285" s="93"/>
      <c r="I285" s="94"/>
      <c r="J285" s="95"/>
      <c r="K285" s="3"/>
      <c r="L285" s="91"/>
      <c r="M285" s="92" t="s">
        <v>226</v>
      </c>
      <c r="N285" s="84" t="s">
        <v>122</v>
      </c>
      <c r="O285" s="85" t="s">
        <v>56</v>
      </c>
      <c r="P285" s="86" t="n">
        <v>32.15</v>
      </c>
      <c r="Q285" s="86" t="n">
        <v>17</v>
      </c>
      <c r="R285" s="87" t="n">
        <f aca="false">P285*Q285</f>
        <v>546.55</v>
      </c>
      <c r="S285" s="93"/>
      <c r="T285" s="94"/>
      <c r="U285" s="95"/>
    </row>
    <row r="286" customFormat="false" ht="18.75" hidden="false" customHeight="true" outlineLevel="0" collapsed="false">
      <c r="A286" s="91"/>
      <c r="B286" s="92" t="s">
        <v>226</v>
      </c>
      <c r="C286" s="84" t="s">
        <v>123</v>
      </c>
      <c r="D286" s="85" t="s">
        <v>56</v>
      </c>
      <c r="E286" s="86" t="n">
        <v>29.5</v>
      </c>
      <c r="F286" s="86" t="n">
        <v>15</v>
      </c>
      <c r="G286" s="87" t="n">
        <f aca="false">E286*F286</f>
        <v>442.5</v>
      </c>
      <c r="H286" s="93"/>
      <c r="I286" s="94"/>
      <c r="J286" s="95"/>
      <c r="K286" s="3"/>
      <c r="L286" s="91"/>
      <c r="M286" s="92" t="s">
        <v>226</v>
      </c>
      <c r="N286" s="84" t="s">
        <v>123</v>
      </c>
      <c r="O286" s="85" t="s">
        <v>56</v>
      </c>
      <c r="P286" s="86" t="n">
        <v>29.5</v>
      </c>
      <c r="Q286" s="86" t="n">
        <v>15</v>
      </c>
      <c r="R286" s="87" t="n">
        <f aca="false">P286*Q286</f>
        <v>442.5</v>
      </c>
      <c r="S286" s="93"/>
      <c r="T286" s="94"/>
      <c r="U286" s="95"/>
    </row>
    <row r="287" customFormat="false" ht="18.75" hidden="false" customHeight="true" outlineLevel="0" collapsed="false">
      <c r="A287" s="91"/>
      <c r="B287" s="92" t="s">
        <v>226</v>
      </c>
      <c r="C287" s="84" t="s">
        <v>229</v>
      </c>
      <c r="D287" s="85" t="s">
        <v>56</v>
      </c>
      <c r="E287" s="86" t="n">
        <v>37.1</v>
      </c>
      <c r="F287" s="86" t="n">
        <v>15</v>
      </c>
      <c r="G287" s="87" t="n">
        <f aca="false">E287*F287</f>
        <v>556.5</v>
      </c>
      <c r="H287" s="93"/>
      <c r="I287" s="94"/>
      <c r="J287" s="95"/>
      <c r="K287" s="3"/>
      <c r="L287" s="91"/>
      <c r="M287" s="92" t="s">
        <v>226</v>
      </c>
      <c r="N287" s="84" t="s">
        <v>229</v>
      </c>
      <c r="O287" s="85" t="s">
        <v>56</v>
      </c>
      <c r="P287" s="86" t="n">
        <v>37.1</v>
      </c>
      <c r="Q287" s="86" t="n">
        <v>15</v>
      </c>
      <c r="R287" s="87" t="n">
        <f aca="false">P287*Q287</f>
        <v>556.5</v>
      </c>
      <c r="S287" s="93"/>
      <c r="T287" s="94"/>
      <c r="U287" s="95"/>
    </row>
    <row r="288" customFormat="false" ht="18.75" hidden="false" customHeight="true" outlineLevel="0" collapsed="false">
      <c r="A288" s="91"/>
      <c r="B288" s="92" t="s">
        <v>226</v>
      </c>
      <c r="C288" s="84" t="s">
        <v>230</v>
      </c>
      <c r="D288" s="85" t="s">
        <v>56</v>
      </c>
      <c r="E288" s="86" t="n">
        <v>41.5</v>
      </c>
      <c r="F288" s="86" t="n">
        <v>15</v>
      </c>
      <c r="G288" s="87" t="n">
        <f aca="false">E288*F288</f>
        <v>622.5</v>
      </c>
      <c r="H288" s="93"/>
      <c r="I288" s="94"/>
      <c r="J288" s="95"/>
      <c r="K288" s="3"/>
      <c r="L288" s="91"/>
      <c r="M288" s="92" t="s">
        <v>226</v>
      </c>
      <c r="N288" s="84" t="s">
        <v>230</v>
      </c>
      <c r="O288" s="85" t="s">
        <v>56</v>
      </c>
      <c r="P288" s="86" t="n">
        <v>41.5</v>
      </c>
      <c r="Q288" s="86" t="n">
        <v>15</v>
      </c>
      <c r="R288" s="87" t="n">
        <f aca="false">P288*Q288</f>
        <v>622.5</v>
      </c>
      <c r="S288" s="93"/>
      <c r="T288" s="94"/>
      <c r="U288" s="95"/>
    </row>
    <row r="289" customFormat="false" ht="18.75" hidden="false" customHeight="true" outlineLevel="0" collapsed="false">
      <c r="A289" s="91"/>
      <c r="B289" s="92" t="s">
        <v>226</v>
      </c>
      <c r="C289" s="84" t="s">
        <v>93</v>
      </c>
      <c r="D289" s="103" t="s">
        <v>58</v>
      </c>
      <c r="E289" s="91"/>
      <c r="F289" s="91"/>
      <c r="G289" s="87" t="n">
        <v>130</v>
      </c>
      <c r="H289" s="93"/>
      <c r="I289" s="94"/>
      <c r="J289" s="95"/>
      <c r="K289" s="3"/>
      <c r="L289" s="91"/>
      <c r="M289" s="92" t="s">
        <v>226</v>
      </c>
      <c r="N289" s="84" t="s">
        <v>93</v>
      </c>
      <c r="O289" s="103" t="s">
        <v>58</v>
      </c>
      <c r="P289" s="91"/>
      <c r="Q289" s="91"/>
      <c r="R289" s="87" t="n">
        <v>130</v>
      </c>
      <c r="S289" s="93"/>
      <c r="T289" s="94"/>
      <c r="U289" s="95"/>
    </row>
    <row r="290" customFormat="false" ht="18.75" hidden="false" customHeight="true" outlineLevel="0" collapsed="false">
      <c r="A290" s="91"/>
      <c r="B290" s="92" t="s">
        <v>226</v>
      </c>
      <c r="C290" s="84" t="s">
        <v>94</v>
      </c>
      <c r="D290" s="103" t="s">
        <v>58</v>
      </c>
      <c r="E290" s="91"/>
      <c r="F290" s="91"/>
      <c r="G290" s="87" t="n">
        <v>305.29</v>
      </c>
      <c r="H290" s="93"/>
      <c r="I290" s="94"/>
      <c r="J290" s="95"/>
      <c r="K290" s="3"/>
      <c r="L290" s="91"/>
      <c r="M290" s="92" t="s">
        <v>226</v>
      </c>
      <c r="N290" s="84" t="s">
        <v>94</v>
      </c>
      <c r="O290" s="103" t="s">
        <v>58</v>
      </c>
      <c r="P290" s="91"/>
      <c r="Q290" s="91"/>
      <c r="R290" s="87" t="n">
        <v>305.29</v>
      </c>
      <c r="S290" s="93"/>
      <c r="T290" s="94"/>
      <c r="U290" s="95"/>
    </row>
    <row r="291" customFormat="false" ht="18.75" hidden="false" customHeight="true" outlineLevel="0" collapsed="false">
      <c r="A291" s="91"/>
      <c r="B291" s="92" t="s">
        <v>226</v>
      </c>
      <c r="C291" s="84" t="s">
        <v>221</v>
      </c>
      <c r="D291" s="96" t="s">
        <v>57</v>
      </c>
      <c r="E291" s="91"/>
      <c r="F291" s="91"/>
      <c r="G291" s="87" t="n">
        <v>380</v>
      </c>
      <c r="H291" s="93"/>
      <c r="I291" s="94"/>
      <c r="J291" s="95"/>
      <c r="K291" s="3"/>
      <c r="L291" s="91"/>
      <c r="M291" s="92" t="s">
        <v>226</v>
      </c>
      <c r="N291" s="84" t="s">
        <v>221</v>
      </c>
      <c r="O291" s="96" t="s">
        <v>57</v>
      </c>
      <c r="P291" s="91"/>
      <c r="Q291" s="91"/>
      <c r="R291" s="87" t="n">
        <v>380</v>
      </c>
      <c r="S291" s="93"/>
      <c r="T291" s="94"/>
      <c r="U291" s="95"/>
    </row>
    <row r="292" customFormat="false" ht="18.75" hidden="false" customHeight="true" outlineLevel="0" collapsed="false">
      <c r="A292" s="91"/>
      <c r="B292" s="92" t="s">
        <v>226</v>
      </c>
      <c r="C292" s="84" t="s">
        <v>92</v>
      </c>
      <c r="D292" s="103" t="s">
        <v>58</v>
      </c>
      <c r="E292" s="91"/>
      <c r="F292" s="91"/>
      <c r="G292" s="87" t="n">
        <v>280</v>
      </c>
      <c r="H292" s="93"/>
      <c r="I292" s="94"/>
      <c r="J292" s="95"/>
      <c r="K292" s="3"/>
      <c r="L292" s="91"/>
      <c r="M292" s="92" t="s">
        <v>226</v>
      </c>
      <c r="N292" s="84" t="s">
        <v>92</v>
      </c>
      <c r="O292" s="103" t="s">
        <v>58</v>
      </c>
      <c r="P292" s="91"/>
      <c r="Q292" s="91"/>
      <c r="R292" s="87" t="n">
        <v>280</v>
      </c>
      <c r="S292" s="93"/>
      <c r="T292" s="94"/>
      <c r="U292" s="95"/>
    </row>
    <row r="293" customFormat="false" ht="18.75" hidden="false" customHeight="true" outlineLevel="0" collapsed="false">
      <c r="A293" s="91"/>
      <c r="B293" s="92" t="s">
        <v>226</v>
      </c>
      <c r="C293" s="84" t="s">
        <v>231</v>
      </c>
      <c r="D293" s="96" t="s">
        <v>57</v>
      </c>
      <c r="E293" s="91"/>
      <c r="F293" s="91"/>
      <c r="G293" s="87" t="n">
        <v>12</v>
      </c>
      <c r="H293" s="93"/>
      <c r="I293" s="94"/>
      <c r="J293" s="95"/>
      <c r="K293" s="3"/>
      <c r="L293" s="91"/>
      <c r="M293" s="92" t="s">
        <v>226</v>
      </c>
      <c r="N293" s="84" t="s">
        <v>231</v>
      </c>
      <c r="O293" s="96" t="s">
        <v>57</v>
      </c>
      <c r="P293" s="91"/>
      <c r="Q293" s="91"/>
      <c r="R293" s="87" t="n">
        <v>12</v>
      </c>
      <c r="S293" s="93"/>
      <c r="T293" s="94"/>
      <c r="U293" s="95"/>
    </row>
    <row r="294" customFormat="false" ht="18.75" hidden="false" customHeight="true" outlineLevel="0" collapsed="false">
      <c r="A294" s="82" t="s">
        <v>24</v>
      </c>
      <c r="B294" s="83" t="s">
        <v>232</v>
      </c>
      <c r="C294" s="84" t="s">
        <v>148</v>
      </c>
      <c r="D294" s="85" t="s">
        <v>56</v>
      </c>
      <c r="E294" s="86" t="n">
        <v>15</v>
      </c>
      <c r="F294" s="86" t="n">
        <v>15</v>
      </c>
      <c r="G294" s="87" t="n">
        <f aca="false">E294*F294</f>
        <v>225</v>
      </c>
      <c r="H294" s="88" t="n">
        <f aca="false">SUMIF(B:B,B294,G:G)</f>
        <v>312.75</v>
      </c>
      <c r="I294" s="89" t="n">
        <v>975</v>
      </c>
      <c r="J294" s="90" t="n">
        <f aca="false">IFERROR((I294-H294)/I294,"")</f>
        <v>0.679230769230769</v>
      </c>
      <c r="K294" s="3"/>
      <c r="L294" s="82" t="s">
        <v>24</v>
      </c>
      <c r="M294" s="83" t="s">
        <v>232</v>
      </c>
      <c r="N294" s="84" t="s">
        <v>148</v>
      </c>
      <c r="O294" s="85" t="s">
        <v>56</v>
      </c>
      <c r="P294" s="86" t="n">
        <v>15</v>
      </c>
      <c r="Q294" s="86" t="n">
        <v>15</v>
      </c>
      <c r="R294" s="87" t="n">
        <f aca="false">P294*Q294</f>
        <v>225</v>
      </c>
      <c r="S294" s="88" t="n">
        <f aca="false">SUMIF(M:M,M294,R:R)</f>
        <v>312.75</v>
      </c>
      <c r="T294" s="89" t="n">
        <f aca="false">I294</f>
        <v>975</v>
      </c>
      <c r="U294" s="90" t="n">
        <f aca="false">IFERROR((T294-S294)/T294,"")</f>
        <v>0.679230769230769</v>
      </c>
    </row>
    <row r="295" customFormat="false" ht="18.75" hidden="false" customHeight="true" outlineLevel="0" collapsed="false">
      <c r="A295" s="91"/>
      <c r="B295" s="92" t="s">
        <v>232</v>
      </c>
      <c r="C295" s="84" t="s">
        <v>106</v>
      </c>
      <c r="D295" s="85" t="s">
        <v>56</v>
      </c>
      <c r="E295" s="86" t="n">
        <v>6.75</v>
      </c>
      <c r="F295" s="86" t="n">
        <v>13</v>
      </c>
      <c r="G295" s="87" t="n">
        <f aca="false">E295*F295</f>
        <v>87.75</v>
      </c>
      <c r="H295" s="93"/>
      <c r="I295" s="94"/>
      <c r="J295" s="95"/>
      <c r="K295" s="3"/>
      <c r="L295" s="91"/>
      <c r="M295" s="92" t="s">
        <v>232</v>
      </c>
      <c r="N295" s="84" t="s">
        <v>106</v>
      </c>
      <c r="O295" s="85" t="s">
        <v>56</v>
      </c>
      <c r="P295" s="86" t="n">
        <v>6.75</v>
      </c>
      <c r="Q295" s="86" t="n">
        <v>13</v>
      </c>
      <c r="R295" s="87" t="n">
        <f aca="false">P295*Q295</f>
        <v>87.75</v>
      </c>
      <c r="S295" s="93"/>
      <c r="T295" s="94"/>
      <c r="U295" s="95"/>
    </row>
    <row r="296" customFormat="false" ht="18.75" hidden="false" customHeight="true" outlineLevel="0" collapsed="false">
      <c r="A296" s="82" t="s">
        <v>24</v>
      </c>
      <c r="B296" s="83" t="s">
        <v>233</v>
      </c>
      <c r="C296" s="97" t="s">
        <v>113</v>
      </c>
      <c r="D296" s="98" t="s">
        <v>55</v>
      </c>
      <c r="E296" s="99" t="n">
        <v>7</v>
      </c>
      <c r="F296" s="99" t="n">
        <v>16</v>
      </c>
      <c r="G296" s="100" t="n">
        <f aca="false">E296*F296</f>
        <v>112</v>
      </c>
      <c r="H296" s="88" t="n">
        <f aca="false">SUMIF(B:B,B296,G:G)</f>
        <v>212</v>
      </c>
      <c r="I296" s="89" t="n">
        <v>2295</v>
      </c>
      <c r="J296" s="90" t="n">
        <f aca="false">IFERROR((I296-H296)/I296,"")</f>
        <v>0.907625272331155</v>
      </c>
      <c r="K296" s="3"/>
      <c r="L296" s="82" t="s">
        <v>24</v>
      </c>
      <c r="M296" s="83" t="s">
        <v>233</v>
      </c>
      <c r="N296" s="97" t="s">
        <v>113</v>
      </c>
      <c r="O296" s="98" t="s">
        <v>55</v>
      </c>
      <c r="P296" s="101"/>
      <c r="Q296" s="101"/>
      <c r="R296" s="102" t="n">
        <v>0</v>
      </c>
      <c r="S296" s="88" t="n">
        <f aca="false">SUMIF(M:M,M296,R:R)</f>
        <v>100</v>
      </c>
      <c r="T296" s="89" t="n">
        <f aca="false">I296</f>
        <v>2295</v>
      </c>
      <c r="U296" s="90" t="n">
        <f aca="false">IFERROR((T296-S296)/T296,"")</f>
        <v>0.956427015250545</v>
      </c>
    </row>
    <row r="297" customFormat="false" ht="18.75" hidden="false" customHeight="true" outlineLevel="0" collapsed="false">
      <c r="A297" s="91"/>
      <c r="B297" s="92" t="s">
        <v>233</v>
      </c>
      <c r="C297" s="84" t="s">
        <v>102</v>
      </c>
      <c r="D297" s="96" t="s">
        <v>57</v>
      </c>
      <c r="E297" s="91"/>
      <c r="F297" s="91"/>
      <c r="G297" s="87" t="n">
        <v>100</v>
      </c>
      <c r="H297" s="93"/>
      <c r="I297" s="94"/>
      <c r="J297" s="95"/>
      <c r="K297" s="3"/>
      <c r="L297" s="91"/>
      <c r="M297" s="92" t="s">
        <v>233</v>
      </c>
      <c r="N297" s="84" t="s">
        <v>102</v>
      </c>
      <c r="O297" s="96" t="s">
        <v>57</v>
      </c>
      <c r="P297" s="91"/>
      <c r="Q297" s="91"/>
      <c r="R297" s="87" t="n">
        <v>100</v>
      </c>
      <c r="S297" s="93"/>
      <c r="T297" s="94"/>
      <c r="U297" s="95"/>
    </row>
    <row r="298" customFormat="false" ht="18.75" hidden="false" customHeight="true" outlineLevel="0" collapsed="false">
      <c r="A298" s="82" t="s">
        <v>24</v>
      </c>
      <c r="B298" s="83" t="s">
        <v>234</v>
      </c>
      <c r="C298" s="84" t="s">
        <v>102</v>
      </c>
      <c r="D298" s="85" t="s">
        <v>56</v>
      </c>
      <c r="E298" s="86" t="n">
        <v>16</v>
      </c>
      <c r="F298" s="86" t="n">
        <v>13</v>
      </c>
      <c r="G298" s="87" t="n">
        <f aca="false">E298*F298</f>
        <v>208</v>
      </c>
      <c r="H298" s="88" t="n">
        <f aca="false">SUMIF(B:B,B298,G:G)</f>
        <v>388</v>
      </c>
      <c r="I298" s="89" t="n">
        <v>1300</v>
      </c>
      <c r="J298" s="90" t="n">
        <f aca="false">IFERROR((I298-H298)/I298,"")</f>
        <v>0.701538461538462</v>
      </c>
      <c r="K298" s="3"/>
      <c r="L298" s="82" t="s">
        <v>24</v>
      </c>
      <c r="M298" s="83" t="s">
        <v>234</v>
      </c>
      <c r="N298" s="84" t="s">
        <v>102</v>
      </c>
      <c r="O298" s="85" t="s">
        <v>56</v>
      </c>
      <c r="P298" s="86" t="n">
        <v>16</v>
      </c>
      <c r="Q298" s="86" t="n">
        <v>13</v>
      </c>
      <c r="R298" s="87" t="n">
        <f aca="false">P298*Q298</f>
        <v>208</v>
      </c>
      <c r="S298" s="88" t="n">
        <f aca="false">SUMIF(M:M,M298,R:R)</f>
        <v>388</v>
      </c>
      <c r="T298" s="89" t="n">
        <f aca="false">I298</f>
        <v>1300</v>
      </c>
      <c r="U298" s="90" t="n">
        <f aca="false">IFERROR((T298-S298)/T298,"")</f>
        <v>0.701538461538462</v>
      </c>
    </row>
    <row r="299" customFormat="false" ht="18.75" hidden="false" customHeight="true" outlineLevel="0" collapsed="false">
      <c r="A299" s="91"/>
      <c r="B299" s="92" t="s">
        <v>234</v>
      </c>
      <c r="C299" s="84" t="s">
        <v>88</v>
      </c>
      <c r="D299" s="85" t="s">
        <v>56</v>
      </c>
      <c r="E299" s="86" t="n">
        <v>12</v>
      </c>
      <c r="F299" s="86" t="n">
        <v>15</v>
      </c>
      <c r="G299" s="87" t="n">
        <f aca="false">E299*F299</f>
        <v>180</v>
      </c>
      <c r="H299" s="93"/>
      <c r="I299" s="94"/>
      <c r="J299" s="95"/>
      <c r="K299" s="3"/>
      <c r="L299" s="91"/>
      <c r="M299" s="92" t="s">
        <v>234</v>
      </c>
      <c r="N299" s="84" t="s">
        <v>88</v>
      </c>
      <c r="O299" s="85" t="s">
        <v>56</v>
      </c>
      <c r="P299" s="86" t="n">
        <v>12</v>
      </c>
      <c r="Q299" s="86" t="n">
        <v>15</v>
      </c>
      <c r="R299" s="87" t="n">
        <f aca="false">P299*Q299</f>
        <v>180</v>
      </c>
      <c r="S299" s="93"/>
      <c r="T299" s="94"/>
      <c r="U299" s="95"/>
    </row>
    <row r="300" customFormat="false" ht="18.75" hidden="false" customHeight="true" outlineLevel="0" collapsed="false">
      <c r="A300" s="82" t="s">
        <v>24</v>
      </c>
      <c r="B300" s="83" t="s">
        <v>235</v>
      </c>
      <c r="C300" s="84" t="s">
        <v>227</v>
      </c>
      <c r="D300" s="85" t="s">
        <v>56</v>
      </c>
      <c r="E300" s="86" t="n">
        <v>120</v>
      </c>
      <c r="F300" s="86" t="n">
        <v>5</v>
      </c>
      <c r="G300" s="87" t="n">
        <f aca="false">E300*F300</f>
        <v>600</v>
      </c>
      <c r="H300" s="88" t="n">
        <f aca="false">SUMIF(B:B,B300,G:G)</f>
        <v>4431.15</v>
      </c>
      <c r="I300" s="89" t="n">
        <v>16200</v>
      </c>
      <c r="J300" s="90" t="n">
        <f aca="false">IFERROR((I300-H300)/I300,"")</f>
        <v>0.726472222222222</v>
      </c>
      <c r="K300" s="3"/>
      <c r="L300" s="82" t="s">
        <v>24</v>
      </c>
      <c r="M300" s="83" t="s">
        <v>235</v>
      </c>
      <c r="N300" s="84" t="s">
        <v>227</v>
      </c>
      <c r="O300" s="85" t="s">
        <v>56</v>
      </c>
      <c r="P300" s="86" t="n">
        <v>120</v>
      </c>
      <c r="Q300" s="86" t="n">
        <v>5</v>
      </c>
      <c r="R300" s="87" t="n">
        <f aca="false">P300*Q300</f>
        <v>600</v>
      </c>
      <c r="S300" s="88" t="n">
        <f aca="false">SUMIF(M:M,M300,R:R)</f>
        <v>4431.15</v>
      </c>
      <c r="T300" s="89" t="n">
        <f aca="false">I300</f>
        <v>16200</v>
      </c>
      <c r="U300" s="90" t="n">
        <f aca="false">IFERROR((T300-S300)/T300,"")</f>
        <v>0.726472222222222</v>
      </c>
    </row>
    <row r="301" customFormat="false" ht="18.75" hidden="false" customHeight="true" outlineLevel="0" collapsed="false">
      <c r="A301" s="91"/>
      <c r="B301" s="92" t="s">
        <v>235</v>
      </c>
      <c r="C301" s="84" t="s">
        <v>228</v>
      </c>
      <c r="D301" s="96" t="s">
        <v>57</v>
      </c>
      <c r="E301" s="91"/>
      <c r="F301" s="91"/>
      <c r="G301" s="87" t="n">
        <v>185</v>
      </c>
      <c r="H301" s="93"/>
      <c r="I301" s="94"/>
      <c r="J301" s="95"/>
      <c r="K301" s="3"/>
      <c r="L301" s="91"/>
      <c r="M301" s="92" t="s">
        <v>235</v>
      </c>
      <c r="N301" s="84" t="s">
        <v>228</v>
      </c>
      <c r="O301" s="96" t="s">
        <v>57</v>
      </c>
      <c r="P301" s="91"/>
      <c r="Q301" s="91"/>
      <c r="R301" s="87" t="n">
        <v>185</v>
      </c>
      <c r="S301" s="93"/>
      <c r="T301" s="94"/>
      <c r="U301" s="95"/>
    </row>
    <row r="302" customFormat="false" ht="18.75" hidden="false" customHeight="true" outlineLevel="0" collapsed="false">
      <c r="A302" s="91"/>
      <c r="B302" s="92" t="s">
        <v>235</v>
      </c>
      <c r="C302" s="84" t="s">
        <v>236</v>
      </c>
      <c r="D302" s="85" t="s">
        <v>56</v>
      </c>
      <c r="E302" s="86" t="n">
        <v>38.5</v>
      </c>
      <c r="F302" s="86" t="n">
        <v>15</v>
      </c>
      <c r="G302" s="87" t="n">
        <f aca="false">E302*F302</f>
        <v>577.5</v>
      </c>
      <c r="H302" s="93"/>
      <c r="I302" s="94"/>
      <c r="J302" s="95"/>
      <c r="K302" s="3"/>
      <c r="L302" s="91"/>
      <c r="M302" s="92" t="s">
        <v>235</v>
      </c>
      <c r="N302" s="84" t="s">
        <v>236</v>
      </c>
      <c r="O302" s="85" t="s">
        <v>56</v>
      </c>
      <c r="P302" s="86" t="n">
        <v>38.5</v>
      </c>
      <c r="Q302" s="86" t="n">
        <v>15</v>
      </c>
      <c r="R302" s="87" t="n">
        <f aca="false">P302*Q302</f>
        <v>577.5</v>
      </c>
      <c r="S302" s="93"/>
      <c r="T302" s="94"/>
      <c r="U302" s="95"/>
    </row>
    <row r="303" customFormat="false" ht="18.75" hidden="false" customHeight="true" outlineLevel="0" collapsed="false">
      <c r="A303" s="91"/>
      <c r="B303" s="92" t="s">
        <v>235</v>
      </c>
      <c r="C303" s="84" t="s">
        <v>123</v>
      </c>
      <c r="D303" s="85" t="s">
        <v>56</v>
      </c>
      <c r="E303" s="86" t="n">
        <v>34.75</v>
      </c>
      <c r="F303" s="86" t="n">
        <v>15</v>
      </c>
      <c r="G303" s="87" t="n">
        <f aca="false">E303*F303</f>
        <v>521.25</v>
      </c>
      <c r="H303" s="93"/>
      <c r="I303" s="94"/>
      <c r="J303" s="95"/>
      <c r="K303" s="3"/>
      <c r="L303" s="91"/>
      <c r="M303" s="92" t="s">
        <v>235</v>
      </c>
      <c r="N303" s="84" t="s">
        <v>123</v>
      </c>
      <c r="O303" s="85" t="s">
        <v>56</v>
      </c>
      <c r="P303" s="86" t="n">
        <v>34.75</v>
      </c>
      <c r="Q303" s="86" t="n">
        <v>15</v>
      </c>
      <c r="R303" s="87" t="n">
        <f aca="false">P303*Q303</f>
        <v>521.25</v>
      </c>
      <c r="S303" s="93"/>
      <c r="T303" s="94"/>
      <c r="U303" s="95"/>
    </row>
    <row r="304" customFormat="false" ht="18.75" hidden="false" customHeight="true" outlineLevel="0" collapsed="false">
      <c r="A304" s="91"/>
      <c r="B304" s="92" t="s">
        <v>235</v>
      </c>
      <c r="C304" s="84" t="s">
        <v>229</v>
      </c>
      <c r="D304" s="85" t="s">
        <v>56</v>
      </c>
      <c r="E304" s="86" t="n">
        <v>19.7</v>
      </c>
      <c r="F304" s="86" t="n">
        <v>15</v>
      </c>
      <c r="G304" s="87" t="n">
        <f aca="false">E304*F304</f>
        <v>295.5</v>
      </c>
      <c r="H304" s="93"/>
      <c r="I304" s="94"/>
      <c r="J304" s="95"/>
      <c r="K304" s="3"/>
      <c r="L304" s="91"/>
      <c r="M304" s="92" t="s">
        <v>235</v>
      </c>
      <c r="N304" s="84" t="s">
        <v>229</v>
      </c>
      <c r="O304" s="85" t="s">
        <v>56</v>
      </c>
      <c r="P304" s="86" t="n">
        <v>19.7</v>
      </c>
      <c r="Q304" s="86" t="n">
        <v>15</v>
      </c>
      <c r="R304" s="87" t="n">
        <f aca="false">P304*Q304</f>
        <v>295.5</v>
      </c>
      <c r="S304" s="93"/>
      <c r="T304" s="94"/>
      <c r="U304" s="95"/>
    </row>
    <row r="305" customFormat="false" ht="18.75" hidden="false" customHeight="true" outlineLevel="0" collapsed="false">
      <c r="A305" s="91"/>
      <c r="B305" s="92" t="s">
        <v>235</v>
      </c>
      <c r="C305" s="84" t="s">
        <v>230</v>
      </c>
      <c r="D305" s="85" t="s">
        <v>56</v>
      </c>
      <c r="E305" s="86" t="n">
        <v>38.8</v>
      </c>
      <c r="F305" s="86" t="n">
        <v>15</v>
      </c>
      <c r="G305" s="87" t="n">
        <f aca="false">E305*F305</f>
        <v>582</v>
      </c>
      <c r="H305" s="93"/>
      <c r="I305" s="94"/>
      <c r="J305" s="95"/>
      <c r="K305" s="3"/>
      <c r="L305" s="91"/>
      <c r="M305" s="92" t="s">
        <v>235</v>
      </c>
      <c r="N305" s="84" t="s">
        <v>230</v>
      </c>
      <c r="O305" s="85" t="s">
        <v>56</v>
      </c>
      <c r="P305" s="86" t="n">
        <v>38.8</v>
      </c>
      <c r="Q305" s="86" t="n">
        <v>15</v>
      </c>
      <c r="R305" s="87" t="n">
        <f aca="false">P305*Q305</f>
        <v>582</v>
      </c>
      <c r="S305" s="93"/>
      <c r="T305" s="94"/>
      <c r="U305" s="95"/>
    </row>
    <row r="306" customFormat="false" ht="18.75" hidden="false" customHeight="true" outlineLevel="0" collapsed="false">
      <c r="A306" s="91"/>
      <c r="B306" s="92" t="s">
        <v>235</v>
      </c>
      <c r="C306" s="84" t="s">
        <v>237</v>
      </c>
      <c r="D306" s="85" t="s">
        <v>56</v>
      </c>
      <c r="E306" s="86" t="n">
        <v>45.09</v>
      </c>
      <c r="F306" s="86" t="n">
        <v>15</v>
      </c>
      <c r="G306" s="87" t="n">
        <f aca="false">E306*F306</f>
        <v>676.35</v>
      </c>
      <c r="H306" s="93"/>
      <c r="I306" s="94"/>
      <c r="J306" s="95"/>
      <c r="K306" s="3"/>
      <c r="L306" s="91"/>
      <c r="M306" s="92" t="s">
        <v>235</v>
      </c>
      <c r="N306" s="84" t="s">
        <v>237</v>
      </c>
      <c r="O306" s="85" t="s">
        <v>56</v>
      </c>
      <c r="P306" s="86" t="n">
        <v>45.09</v>
      </c>
      <c r="Q306" s="86" t="n">
        <v>15</v>
      </c>
      <c r="R306" s="87" t="n">
        <f aca="false">P306*Q306</f>
        <v>676.35</v>
      </c>
      <c r="S306" s="93"/>
      <c r="T306" s="94"/>
      <c r="U306" s="95"/>
    </row>
    <row r="307" customFormat="false" ht="18.75" hidden="false" customHeight="true" outlineLevel="0" collapsed="false">
      <c r="A307" s="91"/>
      <c r="B307" s="92" t="s">
        <v>235</v>
      </c>
      <c r="C307" s="84" t="s">
        <v>93</v>
      </c>
      <c r="D307" s="103" t="s">
        <v>58</v>
      </c>
      <c r="E307" s="91"/>
      <c r="F307" s="91"/>
      <c r="G307" s="87" t="n">
        <v>110</v>
      </c>
      <c r="H307" s="93"/>
      <c r="I307" s="94"/>
      <c r="J307" s="95"/>
      <c r="K307" s="3"/>
      <c r="L307" s="91"/>
      <c r="M307" s="92" t="s">
        <v>235</v>
      </c>
      <c r="N307" s="84" t="s">
        <v>93</v>
      </c>
      <c r="O307" s="103" t="s">
        <v>58</v>
      </c>
      <c r="P307" s="91"/>
      <c r="Q307" s="91"/>
      <c r="R307" s="87" t="n">
        <v>110</v>
      </c>
      <c r="S307" s="93"/>
      <c r="T307" s="94"/>
      <c r="U307" s="95"/>
    </row>
    <row r="308" customFormat="false" ht="18.75" hidden="false" customHeight="true" outlineLevel="0" collapsed="false">
      <c r="A308" s="91"/>
      <c r="B308" s="92" t="s">
        <v>235</v>
      </c>
      <c r="C308" s="84" t="s">
        <v>94</v>
      </c>
      <c r="D308" s="103" t="s">
        <v>58</v>
      </c>
      <c r="E308" s="91"/>
      <c r="F308" s="91"/>
      <c r="G308" s="87" t="n">
        <v>342.55</v>
      </c>
      <c r="H308" s="93"/>
      <c r="I308" s="94"/>
      <c r="J308" s="95"/>
      <c r="K308" s="3"/>
      <c r="L308" s="91"/>
      <c r="M308" s="92" t="s">
        <v>235</v>
      </c>
      <c r="N308" s="84" t="s">
        <v>94</v>
      </c>
      <c r="O308" s="103" t="s">
        <v>58</v>
      </c>
      <c r="P308" s="91"/>
      <c r="Q308" s="91"/>
      <c r="R308" s="87" t="n">
        <v>342.55</v>
      </c>
      <c r="S308" s="93"/>
      <c r="T308" s="94"/>
      <c r="U308" s="95"/>
    </row>
    <row r="309" customFormat="false" ht="18.75" hidden="false" customHeight="true" outlineLevel="0" collapsed="false">
      <c r="A309" s="91"/>
      <c r="B309" s="92" t="s">
        <v>235</v>
      </c>
      <c r="C309" s="84" t="s">
        <v>221</v>
      </c>
      <c r="D309" s="96" t="s">
        <v>57</v>
      </c>
      <c r="E309" s="91"/>
      <c r="F309" s="91"/>
      <c r="G309" s="87" t="n">
        <v>311</v>
      </c>
      <c r="H309" s="93"/>
      <c r="I309" s="94"/>
      <c r="J309" s="95"/>
      <c r="K309" s="3"/>
      <c r="L309" s="91"/>
      <c r="M309" s="92" t="s">
        <v>235</v>
      </c>
      <c r="N309" s="84" t="s">
        <v>221</v>
      </c>
      <c r="O309" s="96" t="s">
        <v>57</v>
      </c>
      <c r="P309" s="91"/>
      <c r="Q309" s="91"/>
      <c r="R309" s="87" t="n">
        <v>311</v>
      </c>
      <c r="S309" s="93"/>
      <c r="T309" s="94"/>
      <c r="U309" s="95"/>
    </row>
    <row r="310" customFormat="false" ht="18.75" hidden="false" customHeight="true" outlineLevel="0" collapsed="false">
      <c r="A310" s="91"/>
      <c r="B310" s="92" t="s">
        <v>235</v>
      </c>
      <c r="C310" s="84" t="s">
        <v>92</v>
      </c>
      <c r="D310" s="103" t="s">
        <v>58</v>
      </c>
      <c r="E310" s="91"/>
      <c r="F310" s="91"/>
      <c r="G310" s="87" t="n">
        <v>230</v>
      </c>
      <c r="H310" s="93"/>
      <c r="I310" s="94"/>
      <c r="J310" s="95"/>
      <c r="K310" s="3"/>
      <c r="L310" s="91"/>
      <c r="M310" s="92" t="s">
        <v>235</v>
      </c>
      <c r="N310" s="84" t="s">
        <v>92</v>
      </c>
      <c r="O310" s="103" t="s">
        <v>58</v>
      </c>
      <c r="P310" s="91"/>
      <c r="Q310" s="91"/>
      <c r="R310" s="87" t="n">
        <v>230</v>
      </c>
      <c r="S310" s="93"/>
      <c r="T310" s="94"/>
      <c r="U310" s="95"/>
    </row>
    <row r="311" customFormat="false" ht="18.75" hidden="false" customHeight="true" outlineLevel="0" collapsed="false">
      <c r="A311" s="109"/>
      <c r="B311" s="109"/>
      <c r="C311" s="109"/>
      <c r="D311" s="109"/>
      <c r="E311" s="109"/>
      <c r="F311" s="109"/>
      <c r="G311" s="110" t="str">
        <f aca="false">IF(AND(E311&lt;&gt;"",F311&lt;&gt;""),E311*F311,"")</f>
        <v/>
      </c>
      <c r="H311" s="110" t="str">
        <f aca="false">IF(B311&lt;&gt;"",SUMIF(B:B,B311,G:G),"")</f>
        <v/>
      </c>
      <c r="I311" s="109"/>
      <c r="J311" s="111" t="str">
        <f aca="false">IF(AND(I311&lt;&gt;"",H311&lt;&gt;""),IFERROR((I311-H311)/I311,""),"")</f>
        <v/>
      </c>
      <c r="K311" s="3"/>
      <c r="L311" s="109"/>
      <c r="M311" s="109"/>
      <c r="N311" s="109"/>
      <c r="O311" s="109"/>
      <c r="P311" s="109"/>
      <c r="Q311" s="109"/>
      <c r="R311" s="110" t="str">
        <f aca="false">IF(AND(P311&lt;&gt;"",Q311&lt;&gt;""),P311*Q311,"")</f>
        <v/>
      </c>
      <c r="S311" s="110" t="str">
        <f aca="false">IF(M311&lt;&gt;"",SUMIF(M:M,M311,R:R),"")</f>
        <v/>
      </c>
      <c r="T311" s="110" t="str">
        <f aca="false">IF(I311&lt;&gt;"",I311,"")</f>
        <v/>
      </c>
      <c r="U311" s="111" t="str">
        <f aca="false">IF(AND(T311&lt;&gt;"",S311&lt;&gt;""),IFERROR((T311-S311)/T311,""),"")</f>
        <v/>
      </c>
    </row>
    <row r="312" customFormat="false" ht="18.75" hidden="false" customHeight="true" outlineLevel="0" collapsed="false">
      <c r="A312" s="112"/>
      <c r="B312" s="112"/>
      <c r="C312" s="112"/>
      <c r="D312" s="112"/>
      <c r="E312" s="112"/>
      <c r="F312" s="112"/>
      <c r="G312" s="113" t="str">
        <f aca="false">IF(AND(E312&lt;&gt;"",F312&lt;&gt;""),E312*F312,"")</f>
        <v/>
      </c>
      <c r="H312" s="113" t="str">
        <f aca="false">IF(B312&lt;&gt;"",SUMIF(B:B,B312,G:G),"")</f>
        <v/>
      </c>
      <c r="I312" s="112"/>
      <c r="J312" s="114" t="str">
        <f aca="false">IF(AND(I312&lt;&gt;"",H312&lt;&gt;""),IFERROR((I312-H312)/I312,""),"")</f>
        <v/>
      </c>
      <c r="K312" s="3"/>
      <c r="L312" s="112"/>
      <c r="M312" s="112"/>
      <c r="N312" s="112"/>
      <c r="O312" s="112"/>
      <c r="P312" s="112"/>
      <c r="Q312" s="112"/>
      <c r="R312" s="113" t="str">
        <f aca="false">IF(AND(P312&lt;&gt;"",Q312&lt;&gt;""),P312*Q312,"")</f>
        <v/>
      </c>
      <c r="S312" s="113" t="str">
        <f aca="false">IF(M312&lt;&gt;"",SUMIF(M:M,M312,R:R),"")</f>
        <v/>
      </c>
      <c r="T312" s="113" t="str">
        <f aca="false">IF(I312&lt;&gt;"",I312,"")</f>
        <v/>
      </c>
      <c r="U312" s="114" t="str">
        <f aca="false">IF(AND(T312&lt;&gt;"",S312&lt;&gt;""),IFERROR((T312-S312)/T312,""),"")</f>
        <v/>
      </c>
    </row>
    <row r="313" customFormat="false" ht="18.75" hidden="false" customHeight="true" outlineLevel="0" collapsed="false">
      <c r="A313" s="109"/>
      <c r="B313" s="109"/>
      <c r="C313" s="109"/>
      <c r="D313" s="109"/>
      <c r="E313" s="109"/>
      <c r="F313" s="109"/>
      <c r="G313" s="110" t="str">
        <f aca="false">IF(AND(E313&lt;&gt;"",F313&lt;&gt;""),E313*F313,"")</f>
        <v/>
      </c>
      <c r="H313" s="110" t="str">
        <f aca="false">IF(B313&lt;&gt;"",SUMIF(B:B,B313,G:G),"")</f>
        <v/>
      </c>
      <c r="I313" s="109"/>
      <c r="J313" s="111" t="str">
        <f aca="false">IF(AND(I313&lt;&gt;"",H313&lt;&gt;""),IFERROR((I313-H313)/I313,""),"")</f>
        <v/>
      </c>
      <c r="K313" s="3"/>
      <c r="L313" s="109"/>
      <c r="M313" s="109"/>
      <c r="N313" s="109"/>
      <c r="O313" s="109"/>
      <c r="P313" s="109"/>
      <c r="Q313" s="109"/>
      <c r="R313" s="110" t="str">
        <f aca="false">IF(AND(P313&lt;&gt;"",Q313&lt;&gt;""),P313*Q313,"")</f>
        <v/>
      </c>
      <c r="S313" s="110" t="str">
        <f aca="false">IF(M313&lt;&gt;"",SUMIF(M:M,M313,R:R),"")</f>
        <v/>
      </c>
      <c r="T313" s="110" t="str">
        <f aca="false">IF(I313&lt;&gt;"",I313,"")</f>
        <v/>
      </c>
      <c r="U313" s="111" t="str">
        <f aca="false">IF(AND(T313&lt;&gt;"",S313&lt;&gt;""),IFERROR((T313-S313)/T313,""),"")</f>
        <v/>
      </c>
    </row>
    <row r="314" customFormat="false" ht="18.75" hidden="false" customHeight="true" outlineLevel="0" collapsed="false">
      <c r="A314" s="112"/>
      <c r="B314" s="112"/>
      <c r="C314" s="112"/>
      <c r="D314" s="112"/>
      <c r="E314" s="112"/>
      <c r="F314" s="112"/>
      <c r="G314" s="113" t="str">
        <f aca="false">IF(AND(E314&lt;&gt;"",F314&lt;&gt;""),E314*F314,"")</f>
        <v/>
      </c>
      <c r="H314" s="113" t="str">
        <f aca="false">IF(B314&lt;&gt;"",SUMIF(B:B,B314,G:G),"")</f>
        <v/>
      </c>
      <c r="I314" s="112"/>
      <c r="J314" s="114" t="str">
        <f aca="false">IF(AND(I314&lt;&gt;"",H314&lt;&gt;""),IFERROR((I314-H314)/I314,""),"")</f>
        <v/>
      </c>
      <c r="K314" s="3"/>
      <c r="L314" s="112"/>
      <c r="M314" s="112"/>
      <c r="N314" s="112"/>
      <c r="O314" s="112"/>
      <c r="P314" s="112"/>
      <c r="Q314" s="112"/>
      <c r="R314" s="113" t="str">
        <f aca="false">IF(AND(P314&lt;&gt;"",Q314&lt;&gt;""),P314*Q314,"")</f>
        <v/>
      </c>
      <c r="S314" s="113" t="str">
        <f aca="false">IF(M314&lt;&gt;"",SUMIF(M:M,M314,R:R),"")</f>
        <v/>
      </c>
      <c r="T314" s="113" t="str">
        <f aca="false">IF(I314&lt;&gt;"",I314,"")</f>
        <v/>
      </c>
      <c r="U314" s="114" t="str">
        <f aca="false">IF(AND(T314&lt;&gt;"",S314&lt;&gt;""),IFERROR((T314-S314)/T314,""),"")</f>
        <v/>
      </c>
    </row>
    <row r="315" customFormat="false" ht="18.75" hidden="false" customHeight="true" outlineLevel="0" collapsed="false">
      <c r="A315" s="109"/>
      <c r="B315" s="109"/>
      <c r="C315" s="109"/>
      <c r="D315" s="109"/>
      <c r="E315" s="109"/>
      <c r="F315" s="109"/>
      <c r="G315" s="110" t="str">
        <f aca="false">IF(AND(E315&lt;&gt;"",F315&lt;&gt;""),E315*F315,"")</f>
        <v/>
      </c>
      <c r="H315" s="110" t="str">
        <f aca="false">IF(B315&lt;&gt;"",SUMIF(B:B,B315,G:G),"")</f>
        <v/>
      </c>
      <c r="I315" s="109"/>
      <c r="J315" s="111" t="str">
        <f aca="false">IF(AND(I315&lt;&gt;"",H315&lt;&gt;""),IFERROR((I315-H315)/I315,""),"")</f>
        <v/>
      </c>
      <c r="K315" s="3"/>
      <c r="L315" s="109"/>
      <c r="M315" s="109"/>
      <c r="N315" s="109"/>
      <c r="O315" s="109"/>
      <c r="P315" s="109"/>
      <c r="Q315" s="109"/>
      <c r="R315" s="110" t="str">
        <f aca="false">IF(AND(P315&lt;&gt;"",Q315&lt;&gt;""),P315*Q315,"")</f>
        <v/>
      </c>
      <c r="S315" s="110" t="str">
        <f aca="false">IF(M315&lt;&gt;"",SUMIF(M:M,M315,R:R),"")</f>
        <v/>
      </c>
      <c r="T315" s="110" t="str">
        <f aca="false">IF(I315&lt;&gt;"",I315,"")</f>
        <v/>
      </c>
      <c r="U315" s="111" t="str">
        <f aca="false">IF(AND(T315&lt;&gt;"",S315&lt;&gt;""),IFERROR((T315-S315)/T315,""),"")</f>
        <v/>
      </c>
    </row>
    <row r="316" customFormat="false" ht="18.75" hidden="false" customHeight="true" outlineLevel="0" collapsed="false">
      <c r="A316" s="112"/>
      <c r="B316" s="112"/>
      <c r="C316" s="112"/>
      <c r="D316" s="112"/>
      <c r="E316" s="112"/>
      <c r="F316" s="112"/>
      <c r="G316" s="113" t="str">
        <f aca="false">IF(AND(E316&lt;&gt;"",F316&lt;&gt;""),E316*F316,"")</f>
        <v/>
      </c>
      <c r="H316" s="113" t="str">
        <f aca="false">IF(B316&lt;&gt;"",SUMIF(B:B,B316,G:G),"")</f>
        <v/>
      </c>
      <c r="I316" s="112"/>
      <c r="J316" s="114" t="str">
        <f aca="false">IF(AND(I316&lt;&gt;"",H316&lt;&gt;""),IFERROR((I316-H316)/I316,""),"")</f>
        <v/>
      </c>
      <c r="K316" s="3"/>
      <c r="L316" s="112"/>
      <c r="M316" s="112"/>
      <c r="N316" s="112"/>
      <c r="O316" s="112"/>
      <c r="P316" s="112"/>
      <c r="Q316" s="112"/>
      <c r="R316" s="113" t="str">
        <f aca="false">IF(AND(P316&lt;&gt;"",Q316&lt;&gt;""),P316*Q316,"")</f>
        <v/>
      </c>
      <c r="S316" s="113" t="str">
        <f aca="false">IF(M316&lt;&gt;"",SUMIF(M:M,M316,R:R),"")</f>
        <v/>
      </c>
      <c r="T316" s="113" t="str">
        <f aca="false">IF(I316&lt;&gt;"",I316,"")</f>
        <v/>
      </c>
      <c r="U316" s="114" t="str">
        <f aca="false">IF(AND(T316&lt;&gt;"",S316&lt;&gt;""),IFERROR((T316-S316)/T316,""),"")</f>
        <v/>
      </c>
    </row>
    <row r="317" customFormat="false" ht="18.75" hidden="false" customHeight="true" outlineLevel="0" collapsed="false">
      <c r="A317" s="109"/>
      <c r="B317" s="109"/>
      <c r="C317" s="109"/>
      <c r="D317" s="109"/>
      <c r="E317" s="109"/>
      <c r="F317" s="109"/>
      <c r="G317" s="110" t="str">
        <f aca="false">IF(AND(E317&lt;&gt;"",F317&lt;&gt;""),E317*F317,"")</f>
        <v/>
      </c>
      <c r="H317" s="110" t="str">
        <f aca="false">IF(B317&lt;&gt;"",SUMIF(B:B,B317,G:G),"")</f>
        <v/>
      </c>
      <c r="I317" s="109"/>
      <c r="J317" s="111" t="str">
        <f aca="false">IF(AND(I317&lt;&gt;"",H317&lt;&gt;""),IFERROR((I317-H317)/I317,""),"")</f>
        <v/>
      </c>
      <c r="K317" s="3"/>
      <c r="L317" s="109"/>
      <c r="M317" s="109"/>
      <c r="N317" s="109"/>
      <c r="O317" s="109"/>
      <c r="P317" s="109"/>
      <c r="Q317" s="109"/>
      <c r="R317" s="110" t="str">
        <f aca="false">IF(AND(P317&lt;&gt;"",Q317&lt;&gt;""),P317*Q317,"")</f>
        <v/>
      </c>
      <c r="S317" s="110" t="str">
        <f aca="false">IF(M317&lt;&gt;"",SUMIF(M:M,M317,R:R),"")</f>
        <v/>
      </c>
      <c r="T317" s="110" t="str">
        <f aca="false">IF(I317&lt;&gt;"",I317,"")</f>
        <v/>
      </c>
      <c r="U317" s="111" t="str">
        <f aca="false">IF(AND(T317&lt;&gt;"",S317&lt;&gt;""),IFERROR((T317-S317)/T317,""),"")</f>
        <v/>
      </c>
    </row>
    <row r="318" customFormat="false" ht="18.75" hidden="false" customHeight="true" outlineLevel="0" collapsed="false">
      <c r="A318" s="112"/>
      <c r="B318" s="112"/>
      <c r="C318" s="112"/>
      <c r="D318" s="112"/>
      <c r="E318" s="112"/>
      <c r="F318" s="112"/>
      <c r="G318" s="113" t="str">
        <f aca="false">IF(AND(E318&lt;&gt;"",F318&lt;&gt;""),E318*F318,"")</f>
        <v/>
      </c>
      <c r="H318" s="113" t="str">
        <f aca="false">IF(B318&lt;&gt;"",SUMIF(B:B,B318,G:G),"")</f>
        <v/>
      </c>
      <c r="I318" s="112"/>
      <c r="J318" s="114" t="str">
        <f aca="false">IF(AND(I318&lt;&gt;"",H318&lt;&gt;""),IFERROR((I318-H318)/I318,""),"")</f>
        <v/>
      </c>
      <c r="K318" s="3"/>
      <c r="L318" s="112"/>
      <c r="M318" s="112"/>
      <c r="N318" s="112"/>
      <c r="O318" s="112"/>
      <c r="P318" s="112"/>
      <c r="Q318" s="112"/>
      <c r="R318" s="113" t="str">
        <f aca="false">IF(AND(P318&lt;&gt;"",Q318&lt;&gt;""),P318*Q318,"")</f>
        <v/>
      </c>
      <c r="S318" s="113" t="str">
        <f aca="false">IF(M318&lt;&gt;"",SUMIF(M:M,M318,R:R),"")</f>
        <v/>
      </c>
      <c r="T318" s="113" t="str">
        <f aca="false">IF(I318&lt;&gt;"",I318,"")</f>
        <v/>
      </c>
      <c r="U318" s="114" t="str">
        <f aca="false">IF(AND(T318&lt;&gt;"",S318&lt;&gt;""),IFERROR((T318-S318)/T318,""),"")</f>
        <v/>
      </c>
    </row>
    <row r="319" customFormat="false" ht="18.75" hidden="false" customHeight="true" outlineLevel="0" collapsed="false">
      <c r="A319" s="109"/>
      <c r="B319" s="109"/>
      <c r="C319" s="109"/>
      <c r="D319" s="109"/>
      <c r="E319" s="109"/>
      <c r="F319" s="109"/>
      <c r="G319" s="110" t="str">
        <f aca="false">IF(AND(E319&lt;&gt;"",F319&lt;&gt;""),E319*F319,"")</f>
        <v/>
      </c>
      <c r="H319" s="110" t="str">
        <f aca="false">IF(B319&lt;&gt;"",SUMIF(B:B,B319,G:G),"")</f>
        <v/>
      </c>
      <c r="I319" s="109"/>
      <c r="J319" s="111" t="str">
        <f aca="false">IF(AND(I319&lt;&gt;"",H319&lt;&gt;""),IFERROR((I319-H319)/I319,""),"")</f>
        <v/>
      </c>
      <c r="K319" s="3"/>
      <c r="L319" s="109"/>
      <c r="M319" s="109"/>
      <c r="N319" s="109"/>
      <c r="O319" s="109"/>
      <c r="P319" s="109"/>
      <c r="Q319" s="109"/>
      <c r="R319" s="110" t="str">
        <f aca="false">IF(AND(P319&lt;&gt;"",Q319&lt;&gt;""),P319*Q319,"")</f>
        <v/>
      </c>
      <c r="S319" s="110" t="str">
        <f aca="false">IF(M319&lt;&gt;"",SUMIF(M:M,M319,R:R),"")</f>
        <v/>
      </c>
      <c r="T319" s="110" t="str">
        <f aca="false">IF(I319&lt;&gt;"",I319,"")</f>
        <v/>
      </c>
      <c r="U319" s="111" t="str">
        <f aca="false">IF(AND(T319&lt;&gt;"",S319&lt;&gt;""),IFERROR((T319-S319)/T319,""),"")</f>
        <v/>
      </c>
    </row>
    <row r="320" customFormat="false" ht="18.75" hidden="false" customHeight="true" outlineLevel="0" collapsed="false">
      <c r="A320" s="112"/>
      <c r="B320" s="112"/>
      <c r="C320" s="112"/>
      <c r="D320" s="112"/>
      <c r="E320" s="112"/>
      <c r="F320" s="112"/>
      <c r="G320" s="113" t="str">
        <f aca="false">IF(AND(E320&lt;&gt;"",F320&lt;&gt;""),E320*F320,"")</f>
        <v/>
      </c>
      <c r="H320" s="113" t="str">
        <f aca="false">IF(B320&lt;&gt;"",SUMIF(B:B,B320,G:G),"")</f>
        <v/>
      </c>
      <c r="I320" s="112"/>
      <c r="J320" s="114" t="str">
        <f aca="false">IF(AND(I320&lt;&gt;"",H320&lt;&gt;""),IFERROR((I320-H320)/I320,""),"")</f>
        <v/>
      </c>
      <c r="K320" s="3"/>
      <c r="L320" s="112"/>
      <c r="M320" s="112"/>
      <c r="N320" s="112"/>
      <c r="O320" s="112"/>
      <c r="P320" s="112"/>
      <c r="Q320" s="112"/>
      <c r="R320" s="113" t="str">
        <f aca="false">IF(AND(P320&lt;&gt;"",Q320&lt;&gt;""),P320*Q320,"")</f>
        <v/>
      </c>
      <c r="S320" s="113" t="str">
        <f aca="false">IF(M320&lt;&gt;"",SUMIF(M:M,M320,R:R),"")</f>
        <v/>
      </c>
      <c r="T320" s="113" t="str">
        <f aca="false">IF(I320&lt;&gt;"",I320,"")</f>
        <v/>
      </c>
      <c r="U320" s="114" t="str">
        <f aca="false">IF(AND(T320&lt;&gt;"",S320&lt;&gt;""),IFERROR((T320-S320)/T320,""),"")</f>
        <v/>
      </c>
    </row>
    <row r="321" customFormat="false" ht="18.75" hidden="false" customHeight="true" outlineLevel="0" collapsed="false">
      <c r="A321" s="109"/>
      <c r="B321" s="109"/>
      <c r="C321" s="109"/>
      <c r="D321" s="109"/>
      <c r="E321" s="109"/>
      <c r="F321" s="109"/>
      <c r="G321" s="110" t="str">
        <f aca="false">IF(AND(E321&lt;&gt;"",F321&lt;&gt;""),E321*F321,"")</f>
        <v/>
      </c>
      <c r="H321" s="110" t="str">
        <f aca="false">IF(B321&lt;&gt;"",SUMIF(B:B,B321,G:G),"")</f>
        <v/>
      </c>
      <c r="I321" s="109"/>
      <c r="J321" s="111" t="str">
        <f aca="false">IF(AND(I321&lt;&gt;"",H321&lt;&gt;""),IFERROR((I321-H321)/I321,""),"")</f>
        <v/>
      </c>
      <c r="K321" s="3"/>
      <c r="L321" s="109"/>
      <c r="M321" s="109"/>
      <c r="N321" s="109"/>
      <c r="O321" s="109"/>
      <c r="P321" s="109"/>
      <c r="Q321" s="109"/>
      <c r="R321" s="110" t="str">
        <f aca="false">IF(AND(P321&lt;&gt;"",Q321&lt;&gt;""),P321*Q321,"")</f>
        <v/>
      </c>
      <c r="S321" s="110" t="str">
        <f aca="false">IF(M321&lt;&gt;"",SUMIF(M:M,M321,R:R),"")</f>
        <v/>
      </c>
      <c r="T321" s="110" t="str">
        <f aca="false">IF(I321&lt;&gt;"",I321,"")</f>
        <v/>
      </c>
      <c r="U321" s="111" t="str">
        <f aca="false">IF(AND(T321&lt;&gt;"",S321&lt;&gt;""),IFERROR((T321-S321)/T321,""),"")</f>
        <v/>
      </c>
    </row>
    <row r="322" customFormat="false" ht="18.75" hidden="false" customHeight="true" outlineLevel="0" collapsed="false">
      <c r="A322" s="112"/>
      <c r="B322" s="112"/>
      <c r="C322" s="112"/>
      <c r="D322" s="112"/>
      <c r="E322" s="112"/>
      <c r="F322" s="112"/>
      <c r="G322" s="113" t="str">
        <f aca="false">IF(AND(E322&lt;&gt;"",F322&lt;&gt;""),E322*F322,"")</f>
        <v/>
      </c>
      <c r="H322" s="113" t="str">
        <f aca="false">IF(B322&lt;&gt;"",SUMIF(B:B,B322,G:G),"")</f>
        <v/>
      </c>
      <c r="I322" s="112"/>
      <c r="J322" s="114" t="str">
        <f aca="false">IF(AND(I322&lt;&gt;"",H322&lt;&gt;""),IFERROR((I322-H322)/I322,""),"")</f>
        <v/>
      </c>
      <c r="K322" s="3"/>
      <c r="L322" s="112"/>
      <c r="M322" s="112"/>
      <c r="N322" s="112"/>
      <c r="O322" s="112"/>
      <c r="P322" s="112"/>
      <c r="Q322" s="112"/>
      <c r="R322" s="113" t="str">
        <f aca="false">IF(AND(P322&lt;&gt;"",Q322&lt;&gt;""),P322*Q322,"")</f>
        <v/>
      </c>
      <c r="S322" s="113" t="str">
        <f aca="false">IF(M322&lt;&gt;"",SUMIF(M:M,M322,R:R),"")</f>
        <v/>
      </c>
      <c r="T322" s="113" t="str">
        <f aca="false">IF(I322&lt;&gt;"",I322,"")</f>
        <v/>
      </c>
      <c r="U322" s="114" t="str">
        <f aca="false">IF(AND(T322&lt;&gt;"",S322&lt;&gt;""),IFERROR((T322-S322)/T322,""),"")</f>
        <v/>
      </c>
    </row>
    <row r="323" customFormat="false" ht="18.75" hidden="false" customHeight="true" outlineLevel="0" collapsed="false">
      <c r="A323" s="109"/>
      <c r="B323" s="109"/>
      <c r="C323" s="109"/>
      <c r="D323" s="109"/>
      <c r="E323" s="109"/>
      <c r="F323" s="109"/>
      <c r="G323" s="110" t="str">
        <f aca="false">IF(AND(E323&lt;&gt;"",F323&lt;&gt;""),E323*F323,"")</f>
        <v/>
      </c>
      <c r="H323" s="110" t="str">
        <f aca="false">IF(B323&lt;&gt;"",SUMIF(B:B,B323,G:G),"")</f>
        <v/>
      </c>
      <c r="I323" s="109"/>
      <c r="J323" s="111" t="str">
        <f aca="false">IF(AND(I323&lt;&gt;"",H323&lt;&gt;""),IFERROR((I323-H323)/I323,""),"")</f>
        <v/>
      </c>
      <c r="K323" s="3"/>
      <c r="L323" s="109"/>
      <c r="M323" s="109"/>
      <c r="N323" s="109"/>
      <c r="O323" s="109"/>
      <c r="P323" s="109"/>
      <c r="Q323" s="109"/>
      <c r="R323" s="110" t="str">
        <f aca="false">IF(AND(P323&lt;&gt;"",Q323&lt;&gt;""),P323*Q323,"")</f>
        <v/>
      </c>
      <c r="S323" s="110" t="str">
        <f aca="false">IF(M323&lt;&gt;"",SUMIF(M:M,M323,R:R),"")</f>
        <v/>
      </c>
      <c r="T323" s="110" t="str">
        <f aca="false">IF(I323&lt;&gt;"",I323,"")</f>
        <v/>
      </c>
      <c r="U323" s="111" t="str">
        <f aca="false">IF(AND(T323&lt;&gt;"",S323&lt;&gt;""),IFERROR((T323-S323)/T323,""),"")</f>
        <v/>
      </c>
    </row>
    <row r="324" customFormat="false" ht="18.75" hidden="false" customHeight="true" outlineLevel="0" collapsed="false">
      <c r="A324" s="112"/>
      <c r="B324" s="112"/>
      <c r="C324" s="112"/>
      <c r="D324" s="112"/>
      <c r="E324" s="112"/>
      <c r="F324" s="112"/>
      <c r="G324" s="113" t="str">
        <f aca="false">IF(AND(E324&lt;&gt;"",F324&lt;&gt;""),E324*F324,"")</f>
        <v/>
      </c>
      <c r="H324" s="113" t="str">
        <f aca="false">IF(B324&lt;&gt;"",SUMIF(B:B,B324,G:G),"")</f>
        <v/>
      </c>
      <c r="I324" s="112"/>
      <c r="J324" s="114" t="str">
        <f aca="false">IF(AND(I324&lt;&gt;"",H324&lt;&gt;""),IFERROR((I324-H324)/I324,""),"")</f>
        <v/>
      </c>
      <c r="K324" s="3"/>
      <c r="L324" s="112"/>
      <c r="M324" s="112"/>
      <c r="N324" s="112"/>
      <c r="O324" s="112"/>
      <c r="P324" s="112"/>
      <c r="Q324" s="112"/>
      <c r="R324" s="113" t="str">
        <f aca="false">IF(AND(P324&lt;&gt;"",Q324&lt;&gt;""),P324*Q324,"")</f>
        <v/>
      </c>
      <c r="S324" s="113" t="str">
        <f aca="false">IF(M324&lt;&gt;"",SUMIF(M:M,M324,R:R),"")</f>
        <v/>
      </c>
      <c r="T324" s="113" t="str">
        <f aca="false">IF(I324&lt;&gt;"",I324,"")</f>
        <v/>
      </c>
      <c r="U324" s="114" t="str">
        <f aca="false">IF(AND(T324&lt;&gt;"",S324&lt;&gt;""),IFERROR((T324-S324)/T324,""),"")</f>
        <v/>
      </c>
    </row>
    <row r="325" customFormat="false" ht="18.75" hidden="false" customHeight="true" outlineLevel="0" collapsed="false">
      <c r="A325" s="109"/>
      <c r="B325" s="109"/>
      <c r="C325" s="109"/>
      <c r="D325" s="109"/>
      <c r="E325" s="109"/>
      <c r="F325" s="109"/>
      <c r="G325" s="110" t="str">
        <f aca="false">IF(AND(E325&lt;&gt;"",F325&lt;&gt;""),E325*F325,"")</f>
        <v/>
      </c>
      <c r="H325" s="110" t="str">
        <f aca="false">IF(B325&lt;&gt;"",SUMIF(B:B,B325,G:G),"")</f>
        <v/>
      </c>
      <c r="I325" s="109"/>
      <c r="J325" s="111" t="str">
        <f aca="false">IF(AND(I325&lt;&gt;"",H325&lt;&gt;""),IFERROR((I325-H325)/I325,""),"")</f>
        <v/>
      </c>
      <c r="K325" s="3"/>
      <c r="L325" s="109"/>
      <c r="M325" s="109"/>
      <c r="N325" s="109"/>
      <c r="O325" s="109"/>
      <c r="P325" s="109"/>
      <c r="Q325" s="109"/>
      <c r="R325" s="110" t="str">
        <f aca="false">IF(AND(P325&lt;&gt;"",Q325&lt;&gt;""),P325*Q325,"")</f>
        <v/>
      </c>
      <c r="S325" s="110" t="str">
        <f aca="false">IF(M325&lt;&gt;"",SUMIF(M:M,M325,R:R),"")</f>
        <v/>
      </c>
      <c r="T325" s="110" t="str">
        <f aca="false">IF(I325&lt;&gt;"",I325,"")</f>
        <v/>
      </c>
      <c r="U325" s="111" t="str">
        <f aca="false">IF(AND(T325&lt;&gt;"",S325&lt;&gt;""),IFERROR((T325-S325)/T325,""),"")</f>
        <v/>
      </c>
    </row>
    <row r="326" customFormat="false" ht="18.75" hidden="false" customHeight="true" outlineLevel="0" collapsed="false">
      <c r="A326" s="112"/>
      <c r="B326" s="112"/>
      <c r="C326" s="112"/>
      <c r="D326" s="112"/>
      <c r="E326" s="112"/>
      <c r="F326" s="112"/>
      <c r="G326" s="113" t="str">
        <f aca="false">IF(AND(E326&lt;&gt;"",F326&lt;&gt;""),E326*F326,"")</f>
        <v/>
      </c>
      <c r="H326" s="113" t="str">
        <f aca="false">IF(B326&lt;&gt;"",SUMIF(B:B,B326,G:G),"")</f>
        <v/>
      </c>
      <c r="I326" s="112"/>
      <c r="J326" s="114" t="str">
        <f aca="false">IF(AND(I326&lt;&gt;"",H326&lt;&gt;""),IFERROR((I326-H326)/I326,""),"")</f>
        <v/>
      </c>
      <c r="K326" s="3"/>
      <c r="L326" s="112"/>
      <c r="M326" s="112"/>
      <c r="N326" s="112"/>
      <c r="O326" s="112"/>
      <c r="P326" s="112"/>
      <c r="Q326" s="112"/>
      <c r="R326" s="113" t="str">
        <f aca="false">IF(AND(P326&lt;&gt;"",Q326&lt;&gt;""),P326*Q326,"")</f>
        <v/>
      </c>
      <c r="S326" s="113" t="str">
        <f aca="false">IF(M326&lt;&gt;"",SUMIF(M:M,M326,R:R),"")</f>
        <v/>
      </c>
      <c r="T326" s="113" t="str">
        <f aca="false">IF(I326&lt;&gt;"",I326,"")</f>
        <v/>
      </c>
      <c r="U326" s="114" t="str">
        <f aca="false">IF(AND(T326&lt;&gt;"",S326&lt;&gt;""),IFERROR((T326-S326)/T326,""),"")</f>
        <v/>
      </c>
    </row>
    <row r="327" customFormat="false" ht="18.75" hidden="false" customHeight="true" outlineLevel="0" collapsed="false">
      <c r="A327" s="109"/>
      <c r="B327" s="109"/>
      <c r="C327" s="109"/>
      <c r="D327" s="109"/>
      <c r="E327" s="109"/>
      <c r="F327" s="109"/>
      <c r="G327" s="110" t="str">
        <f aca="false">IF(AND(E327&lt;&gt;"",F327&lt;&gt;""),E327*F327,"")</f>
        <v/>
      </c>
      <c r="H327" s="110" t="str">
        <f aca="false">IF(B327&lt;&gt;"",SUMIF(B:B,B327,G:G),"")</f>
        <v/>
      </c>
      <c r="I327" s="109"/>
      <c r="J327" s="111" t="str">
        <f aca="false">IF(AND(I327&lt;&gt;"",H327&lt;&gt;""),IFERROR((I327-H327)/I327,""),"")</f>
        <v/>
      </c>
      <c r="K327" s="3"/>
      <c r="L327" s="109"/>
      <c r="M327" s="109"/>
      <c r="N327" s="109"/>
      <c r="O327" s="109"/>
      <c r="P327" s="109"/>
      <c r="Q327" s="109"/>
      <c r="R327" s="110" t="str">
        <f aca="false">IF(AND(P327&lt;&gt;"",Q327&lt;&gt;""),P327*Q327,"")</f>
        <v/>
      </c>
      <c r="S327" s="110" t="str">
        <f aca="false">IF(M327&lt;&gt;"",SUMIF(M:M,M327,R:R),"")</f>
        <v/>
      </c>
      <c r="T327" s="110" t="str">
        <f aca="false">IF(I327&lt;&gt;"",I327,"")</f>
        <v/>
      </c>
      <c r="U327" s="111" t="str">
        <f aca="false">IF(AND(T327&lt;&gt;"",S327&lt;&gt;""),IFERROR((T327-S327)/T327,""),"")</f>
        <v/>
      </c>
    </row>
    <row r="328" customFormat="false" ht="18.75" hidden="false" customHeight="true" outlineLevel="0" collapsed="false">
      <c r="A328" s="112"/>
      <c r="B328" s="112"/>
      <c r="C328" s="112"/>
      <c r="D328" s="112"/>
      <c r="E328" s="112"/>
      <c r="F328" s="112"/>
      <c r="G328" s="113" t="str">
        <f aca="false">IF(AND(E328&lt;&gt;"",F328&lt;&gt;""),E328*F328,"")</f>
        <v/>
      </c>
      <c r="H328" s="113" t="str">
        <f aca="false">IF(B328&lt;&gt;"",SUMIF(B:B,B328,G:G),"")</f>
        <v/>
      </c>
      <c r="I328" s="112"/>
      <c r="J328" s="114" t="str">
        <f aca="false">IF(AND(I328&lt;&gt;"",H328&lt;&gt;""),IFERROR((I328-H328)/I328,""),"")</f>
        <v/>
      </c>
      <c r="K328" s="3"/>
      <c r="L328" s="112"/>
      <c r="M328" s="112"/>
      <c r="N328" s="112"/>
      <c r="O328" s="112"/>
      <c r="P328" s="112"/>
      <c r="Q328" s="112"/>
      <c r="R328" s="113" t="str">
        <f aca="false">IF(AND(P328&lt;&gt;"",Q328&lt;&gt;""),P328*Q328,"")</f>
        <v/>
      </c>
      <c r="S328" s="113" t="str">
        <f aca="false">IF(M328&lt;&gt;"",SUMIF(M:M,M328,R:R),"")</f>
        <v/>
      </c>
      <c r="T328" s="113" t="str">
        <f aca="false">IF(I328&lt;&gt;"",I328,"")</f>
        <v/>
      </c>
      <c r="U328" s="114" t="str">
        <f aca="false">IF(AND(T328&lt;&gt;"",S328&lt;&gt;""),IFERROR((T328-S328)/T328,""),"")</f>
        <v/>
      </c>
    </row>
    <row r="329" customFormat="false" ht="18.75" hidden="false" customHeight="true" outlineLevel="0" collapsed="false">
      <c r="A329" s="109"/>
      <c r="B329" s="109"/>
      <c r="C329" s="109"/>
      <c r="D329" s="109"/>
      <c r="E329" s="109"/>
      <c r="F329" s="109"/>
      <c r="G329" s="110" t="str">
        <f aca="false">IF(AND(E329&lt;&gt;"",F329&lt;&gt;""),E329*F329,"")</f>
        <v/>
      </c>
      <c r="H329" s="110" t="str">
        <f aca="false">IF(B329&lt;&gt;"",SUMIF(B:B,B329,G:G),"")</f>
        <v/>
      </c>
      <c r="I329" s="109"/>
      <c r="J329" s="111" t="str">
        <f aca="false">IF(AND(I329&lt;&gt;"",H329&lt;&gt;""),IFERROR((I329-H329)/I329,""),"")</f>
        <v/>
      </c>
      <c r="K329" s="3"/>
      <c r="L329" s="109"/>
      <c r="M329" s="109"/>
      <c r="N329" s="109"/>
      <c r="O329" s="109"/>
      <c r="P329" s="109"/>
      <c r="Q329" s="109"/>
      <c r="R329" s="110" t="str">
        <f aca="false">IF(AND(P329&lt;&gt;"",Q329&lt;&gt;""),P329*Q329,"")</f>
        <v/>
      </c>
      <c r="S329" s="110" t="str">
        <f aca="false">IF(M329&lt;&gt;"",SUMIF(M:M,M329,R:R),"")</f>
        <v/>
      </c>
      <c r="T329" s="110" t="str">
        <f aca="false">IF(I329&lt;&gt;"",I329,"")</f>
        <v/>
      </c>
      <c r="U329" s="111" t="str">
        <f aca="false">IF(AND(T329&lt;&gt;"",S329&lt;&gt;""),IFERROR((T329-S329)/T329,""),"")</f>
        <v/>
      </c>
    </row>
    <row r="330" customFormat="false" ht="18.75" hidden="false" customHeight="true" outlineLevel="0" collapsed="false">
      <c r="A330" s="112"/>
      <c r="B330" s="112"/>
      <c r="C330" s="112"/>
      <c r="D330" s="112"/>
      <c r="E330" s="112"/>
      <c r="F330" s="112"/>
      <c r="G330" s="113" t="str">
        <f aca="false">IF(AND(E330&lt;&gt;"",F330&lt;&gt;""),E330*F330,"")</f>
        <v/>
      </c>
      <c r="H330" s="113" t="str">
        <f aca="false">IF(B330&lt;&gt;"",SUMIF(B:B,B330,G:G),"")</f>
        <v/>
      </c>
      <c r="I330" s="112"/>
      <c r="J330" s="114" t="str">
        <f aca="false">IF(AND(I330&lt;&gt;"",H330&lt;&gt;""),IFERROR((I330-H330)/I330,""),"")</f>
        <v/>
      </c>
      <c r="K330" s="3"/>
      <c r="L330" s="112"/>
      <c r="M330" s="112"/>
      <c r="N330" s="112"/>
      <c r="O330" s="112"/>
      <c r="P330" s="112"/>
      <c r="Q330" s="112"/>
      <c r="R330" s="113" t="str">
        <f aca="false">IF(AND(P330&lt;&gt;"",Q330&lt;&gt;""),P330*Q330,"")</f>
        <v/>
      </c>
      <c r="S330" s="113" t="str">
        <f aca="false">IF(M330&lt;&gt;"",SUMIF(M:M,M330,R:R),"")</f>
        <v/>
      </c>
      <c r="T330" s="113" t="str">
        <f aca="false">IF(I330&lt;&gt;"",I330,"")</f>
        <v/>
      </c>
      <c r="U330" s="114" t="str">
        <f aca="false">IF(AND(T330&lt;&gt;"",S330&lt;&gt;""),IFERROR((T330-S330)/T330,""),"")</f>
        <v/>
      </c>
    </row>
    <row r="331" customFormat="false" ht="18.75" hidden="false" customHeight="true" outlineLevel="0" collapsed="false">
      <c r="A331" s="109"/>
      <c r="B331" s="109"/>
      <c r="C331" s="109"/>
      <c r="D331" s="109"/>
      <c r="E331" s="109"/>
      <c r="F331" s="109"/>
      <c r="G331" s="110" t="str">
        <f aca="false">IF(AND(E331&lt;&gt;"",F331&lt;&gt;""),E331*F331,"")</f>
        <v/>
      </c>
      <c r="H331" s="110" t="str">
        <f aca="false">IF(B331&lt;&gt;"",SUMIF(B:B,B331,G:G),"")</f>
        <v/>
      </c>
      <c r="I331" s="109"/>
      <c r="J331" s="111" t="str">
        <f aca="false">IF(AND(I331&lt;&gt;"",H331&lt;&gt;""),IFERROR((I331-H331)/I331,""),"")</f>
        <v/>
      </c>
      <c r="K331" s="3"/>
      <c r="L331" s="109"/>
      <c r="M331" s="109"/>
      <c r="N331" s="109"/>
      <c r="O331" s="109"/>
      <c r="P331" s="109"/>
      <c r="Q331" s="109"/>
      <c r="R331" s="110" t="str">
        <f aca="false">IF(AND(P331&lt;&gt;"",Q331&lt;&gt;""),P331*Q331,"")</f>
        <v/>
      </c>
      <c r="S331" s="110" t="str">
        <f aca="false">IF(M331&lt;&gt;"",SUMIF(M:M,M331,R:R),"")</f>
        <v/>
      </c>
      <c r="T331" s="110" t="str">
        <f aca="false">IF(I331&lt;&gt;"",I331,"")</f>
        <v/>
      </c>
      <c r="U331" s="111" t="str">
        <f aca="false">IF(AND(T331&lt;&gt;"",S331&lt;&gt;""),IFERROR((T331-S331)/T331,""),"")</f>
        <v/>
      </c>
    </row>
    <row r="332" customFormat="false" ht="18.75" hidden="false" customHeight="true" outlineLevel="0" collapsed="false">
      <c r="A332" s="112"/>
      <c r="B332" s="112"/>
      <c r="C332" s="112"/>
      <c r="D332" s="112"/>
      <c r="E332" s="112"/>
      <c r="F332" s="112"/>
      <c r="G332" s="113" t="str">
        <f aca="false">IF(AND(E332&lt;&gt;"",F332&lt;&gt;""),E332*F332,"")</f>
        <v/>
      </c>
      <c r="H332" s="113" t="str">
        <f aca="false">IF(B332&lt;&gt;"",SUMIF(B:B,B332,G:G),"")</f>
        <v/>
      </c>
      <c r="I332" s="112"/>
      <c r="J332" s="114" t="str">
        <f aca="false">IF(AND(I332&lt;&gt;"",H332&lt;&gt;""),IFERROR((I332-H332)/I332,""),"")</f>
        <v/>
      </c>
      <c r="K332" s="3"/>
      <c r="L332" s="112"/>
      <c r="M332" s="112"/>
      <c r="N332" s="112"/>
      <c r="O332" s="112"/>
      <c r="P332" s="112"/>
      <c r="Q332" s="112"/>
      <c r="R332" s="113" t="str">
        <f aca="false">IF(AND(P332&lt;&gt;"",Q332&lt;&gt;""),P332*Q332,"")</f>
        <v/>
      </c>
      <c r="S332" s="113" t="str">
        <f aca="false">IF(M332&lt;&gt;"",SUMIF(M:M,M332,R:R),"")</f>
        <v/>
      </c>
      <c r="T332" s="113" t="str">
        <f aca="false">IF(I332&lt;&gt;"",I332,"")</f>
        <v/>
      </c>
      <c r="U332" s="114" t="str">
        <f aca="false">IF(AND(T332&lt;&gt;"",S332&lt;&gt;""),IFERROR((T332-S332)/T332,""),"")</f>
        <v/>
      </c>
    </row>
    <row r="333" customFormat="false" ht="18.75" hidden="false" customHeight="true" outlineLevel="0" collapsed="false">
      <c r="A333" s="109"/>
      <c r="B333" s="109"/>
      <c r="C333" s="109"/>
      <c r="D333" s="109"/>
      <c r="E333" s="109"/>
      <c r="F333" s="109"/>
      <c r="G333" s="110" t="str">
        <f aca="false">IF(AND(E333&lt;&gt;"",F333&lt;&gt;""),E333*F333,"")</f>
        <v/>
      </c>
      <c r="H333" s="110" t="str">
        <f aca="false">IF(B333&lt;&gt;"",SUMIF(B:B,B333,G:G),"")</f>
        <v/>
      </c>
      <c r="I333" s="109"/>
      <c r="J333" s="111" t="str">
        <f aca="false">IF(AND(I333&lt;&gt;"",H333&lt;&gt;""),IFERROR((I333-H333)/I333,""),"")</f>
        <v/>
      </c>
      <c r="K333" s="3"/>
      <c r="L333" s="109"/>
      <c r="M333" s="109"/>
      <c r="N333" s="109"/>
      <c r="O333" s="109"/>
      <c r="P333" s="109"/>
      <c r="Q333" s="109"/>
      <c r="R333" s="110" t="str">
        <f aca="false">IF(AND(P333&lt;&gt;"",Q333&lt;&gt;""),P333*Q333,"")</f>
        <v/>
      </c>
      <c r="S333" s="110" t="str">
        <f aca="false">IF(M333&lt;&gt;"",SUMIF(M:M,M333,R:R),"")</f>
        <v/>
      </c>
      <c r="T333" s="110" t="str">
        <f aca="false">IF(I333&lt;&gt;"",I333,"")</f>
        <v/>
      </c>
      <c r="U333" s="111" t="str">
        <f aca="false">IF(AND(T333&lt;&gt;"",S333&lt;&gt;""),IFERROR((T333-S333)/T333,""),"")</f>
        <v/>
      </c>
    </row>
    <row r="334" customFormat="false" ht="18.75" hidden="false" customHeight="true" outlineLevel="0" collapsed="false">
      <c r="A334" s="112"/>
      <c r="B334" s="112"/>
      <c r="C334" s="112"/>
      <c r="D334" s="112"/>
      <c r="E334" s="112"/>
      <c r="F334" s="112"/>
      <c r="G334" s="113" t="str">
        <f aca="false">IF(AND(E334&lt;&gt;"",F334&lt;&gt;""),E334*F334,"")</f>
        <v/>
      </c>
      <c r="H334" s="113" t="str">
        <f aca="false">IF(B334&lt;&gt;"",SUMIF(B:B,B334,G:G),"")</f>
        <v/>
      </c>
      <c r="I334" s="112"/>
      <c r="J334" s="114" t="str">
        <f aca="false">IF(AND(I334&lt;&gt;"",H334&lt;&gt;""),IFERROR((I334-H334)/I334,""),"")</f>
        <v/>
      </c>
      <c r="K334" s="3"/>
      <c r="L334" s="112"/>
      <c r="M334" s="112"/>
      <c r="N334" s="112"/>
      <c r="O334" s="112"/>
      <c r="P334" s="112"/>
      <c r="Q334" s="112"/>
      <c r="R334" s="113" t="str">
        <f aca="false">IF(AND(P334&lt;&gt;"",Q334&lt;&gt;""),P334*Q334,"")</f>
        <v/>
      </c>
      <c r="S334" s="113" t="str">
        <f aca="false">IF(M334&lt;&gt;"",SUMIF(M:M,M334,R:R),"")</f>
        <v/>
      </c>
      <c r="T334" s="113" t="str">
        <f aca="false">IF(I334&lt;&gt;"",I334,"")</f>
        <v/>
      </c>
      <c r="U334" s="114" t="str">
        <f aca="false">IF(AND(T334&lt;&gt;"",S334&lt;&gt;""),IFERROR((T334-S334)/T334,""),"")</f>
        <v/>
      </c>
    </row>
    <row r="335" customFormat="false" ht="18.75" hidden="false" customHeight="true" outlineLevel="0" collapsed="false">
      <c r="A335" s="109"/>
      <c r="B335" s="109"/>
      <c r="C335" s="109"/>
      <c r="D335" s="109"/>
      <c r="E335" s="109"/>
      <c r="F335" s="109"/>
      <c r="G335" s="110" t="str">
        <f aca="false">IF(AND(E335&lt;&gt;"",F335&lt;&gt;""),E335*F335,"")</f>
        <v/>
      </c>
      <c r="H335" s="110" t="str">
        <f aca="false">IF(B335&lt;&gt;"",SUMIF(B:B,B335,G:G),"")</f>
        <v/>
      </c>
      <c r="I335" s="109"/>
      <c r="J335" s="111" t="str">
        <f aca="false">IF(AND(I335&lt;&gt;"",H335&lt;&gt;""),IFERROR((I335-H335)/I335,""),"")</f>
        <v/>
      </c>
      <c r="K335" s="3"/>
      <c r="L335" s="109"/>
      <c r="M335" s="109"/>
      <c r="N335" s="109"/>
      <c r="O335" s="109"/>
      <c r="P335" s="109"/>
      <c r="Q335" s="109"/>
      <c r="R335" s="110" t="str">
        <f aca="false">IF(AND(P335&lt;&gt;"",Q335&lt;&gt;""),P335*Q335,"")</f>
        <v/>
      </c>
      <c r="S335" s="110" t="str">
        <f aca="false">IF(M335&lt;&gt;"",SUMIF(M:M,M335,R:R),"")</f>
        <v/>
      </c>
      <c r="T335" s="110" t="str">
        <f aca="false">IF(I335&lt;&gt;"",I335,"")</f>
        <v/>
      </c>
      <c r="U335" s="111" t="str">
        <f aca="false">IF(AND(T335&lt;&gt;"",S335&lt;&gt;""),IFERROR((T335-S335)/T335,""),"")</f>
        <v/>
      </c>
    </row>
    <row r="336" customFormat="false" ht="18.75" hidden="false" customHeight="true" outlineLevel="0" collapsed="false">
      <c r="A336" s="112"/>
      <c r="B336" s="112"/>
      <c r="C336" s="112"/>
      <c r="D336" s="112"/>
      <c r="E336" s="112"/>
      <c r="F336" s="112"/>
      <c r="G336" s="113" t="str">
        <f aca="false">IF(AND(E336&lt;&gt;"",F336&lt;&gt;""),E336*F336,"")</f>
        <v/>
      </c>
      <c r="H336" s="113" t="str">
        <f aca="false">IF(B336&lt;&gt;"",SUMIF(B:B,B336,G:G),"")</f>
        <v/>
      </c>
      <c r="I336" s="112"/>
      <c r="J336" s="114" t="str">
        <f aca="false">IF(AND(I336&lt;&gt;"",H336&lt;&gt;""),IFERROR((I336-H336)/I336,""),"")</f>
        <v/>
      </c>
      <c r="K336" s="3"/>
      <c r="L336" s="112"/>
      <c r="M336" s="112"/>
      <c r="N336" s="112"/>
      <c r="O336" s="112"/>
      <c r="P336" s="112"/>
      <c r="Q336" s="112"/>
      <c r="R336" s="113" t="str">
        <f aca="false">IF(AND(P336&lt;&gt;"",Q336&lt;&gt;""),P336*Q336,"")</f>
        <v/>
      </c>
      <c r="S336" s="113" t="str">
        <f aca="false">IF(M336&lt;&gt;"",SUMIF(M:M,M336,R:R),"")</f>
        <v/>
      </c>
      <c r="T336" s="113" t="str">
        <f aca="false">IF(I336&lt;&gt;"",I336,"")</f>
        <v/>
      </c>
      <c r="U336" s="114" t="str">
        <f aca="false">IF(AND(T336&lt;&gt;"",S336&lt;&gt;""),IFERROR((T336-S336)/T336,""),"")</f>
        <v/>
      </c>
    </row>
    <row r="337" customFormat="false" ht="18.75" hidden="false" customHeight="true" outlineLevel="0" collapsed="false">
      <c r="A337" s="109"/>
      <c r="B337" s="109"/>
      <c r="C337" s="109"/>
      <c r="D337" s="109"/>
      <c r="E337" s="109"/>
      <c r="F337" s="109"/>
      <c r="G337" s="110" t="str">
        <f aca="false">IF(AND(E337&lt;&gt;"",F337&lt;&gt;""),E337*F337,"")</f>
        <v/>
      </c>
      <c r="H337" s="110" t="str">
        <f aca="false">IF(B337&lt;&gt;"",SUMIF(B:B,B337,G:G),"")</f>
        <v/>
      </c>
      <c r="I337" s="109"/>
      <c r="J337" s="111" t="str">
        <f aca="false">IF(AND(I337&lt;&gt;"",H337&lt;&gt;""),IFERROR((I337-H337)/I337,""),"")</f>
        <v/>
      </c>
      <c r="K337" s="3"/>
      <c r="L337" s="109"/>
      <c r="M337" s="109"/>
      <c r="N337" s="109"/>
      <c r="O337" s="109"/>
      <c r="P337" s="109"/>
      <c r="Q337" s="109"/>
      <c r="R337" s="110" t="str">
        <f aca="false">IF(AND(P337&lt;&gt;"",Q337&lt;&gt;""),P337*Q337,"")</f>
        <v/>
      </c>
      <c r="S337" s="110" t="str">
        <f aca="false">IF(M337&lt;&gt;"",SUMIF(M:M,M337,R:R),"")</f>
        <v/>
      </c>
      <c r="T337" s="110" t="str">
        <f aca="false">IF(I337&lt;&gt;"",I337,"")</f>
        <v/>
      </c>
      <c r="U337" s="111" t="str">
        <f aca="false">IF(AND(T337&lt;&gt;"",S337&lt;&gt;""),IFERROR((T337-S337)/T337,""),"")</f>
        <v/>
      </c>
    </row>
    <row r="338" customFormat="false" ht="18.75" hidden="false" customHeight="true" outlineLevel="0" collapsed="false">
      <c r="A338" s="112"/>
      <c r="B338" s="112"/>
      <c r="C338" s="112"/>
      <c r="D338" s="112"/>
      <c r="E338" s="112"/>
      <c r="F338" s="112"/>
      <c r="G338" s="113" t="str">
        <f aca="false">IF(AND(E338&lt;&gt;"",F338&lt;&gt;""),E338*F338,"")</f>
        <v/>
      </c>
      <c r="H338" s="113" t="str">
        <f aca="false">IF(B338&lt;&gt;"",SUMIF(B:B,B338,G:G),"")</f>
        <v/>
      </c>
      <c r="I338" s="112"/>
      <c r="J338" s="114" t="str">
        <f aca="false">IF(AND(I338&lt;&gt;"",H338&lt;&gt;""),IFERROR((I338-H338)/I338,""),"")</f>
        <v/>
      </c>
      <c r="K338" s="3"/>
      <c r="L338" s="112"/>
      <c r="M338" s="112"/>
      <c r="N338" s="112"/>
      <c r="O338" s="112"/>
      <c r="P338" s="112"/>
      <c r="Q338" s="112"/>
      <c r="R338" s="113" t="str">
        <f aca="false">IF(AND(P338&lt;&gt;"",Q338&lt;&gt;""),P338*Q338,"")</f>
        <v/>
      </c>
      <c r="S338" s="113" t="str">
        <f aca="false">IF(M338&lt;&gt;"",SUMIF(M:M,M338,R:R),"")</f>
        <v/>
      </c>
      <c r="T338" s="113" t="str">
        <f aca="false">IF(I338&lt;&gt;"",I338,"")</f>
        <v/>
      </c>
      <c r="U338" s="114" t="str">
        <f aca="false">IF(AND(T338&lt;&gt;"",S338&lt;&gt;""),IFERROR((T338-S338)/T338,""),"")</f>
        <v/>
      </c>
    </row>
    <row r="339" customFormat="false" ht="18.75" hidden="false" customHeight="true" outlineLevel="0" collapsed="false">
      <c r="A339" s="109"/>
      <c r="B339" s="109"/>
      <c r="C339" s="109"/>
      <c r="D339" s="109"/>
      <c r="E339" s="109"/>
      <c r="F339" s="109"/>
      <c r="G339" s="110" t="str">
        <f aca="false">IF(AND(E339&lt;&gt;"",F339&lt;&gt;""),E339*F339,"")</f>
        <v/>
      </c>
      <c r="H339" s="110" t="str">
        <f aca="false">IF(B339&lt;&gt;"",SUMIF(B:B,B339,G:G),"")</f>
        <v/>
      </c>
      <c r="I339" s="109"/>
      <c r="J339" s="111" t="str">
        <f aca="false">IF(AND(I339&lt;&gt;"",H339&lt;&gt;""),IFERROR((I339-H339)/I339,""),"")</f>
        <v/>
      </c>
      <c r="K339" s="3"/>
      <c r="L339" s="109"/>
      <c r="M339" s="109"/>
      <c r="N339" s="109"/>
      <c r="O339" s="109"/>
      <c r="P339" s="109"/>
      <c r="Q339" s="109"/>
      <c r="R339" s="110" t="str">
        <f aca="false">IF(AND(P339&lt;&gt;"",Q339&lt;&gt;""),P339*Q339,"")</f>
        <v/>
      </c>
      <c r="S339" s="110" t="str">
        <f aca="false">IF(M339&lt;&gt;"",SUMIF(M:M,M339,R:R),"")</f>
        <v/>
      </c>
      <c r="T339" s="110" t="str">
        <f aca="false">IF(I339&lt;&gt;"",I339,"")</f>
        <v/>
      </c>
      <c r="U339" s="111" t="str">
        <f aca="false">IF(AND(T339&lt;&gt;"",S339&lt;&gt;""),IFERROR((T339-S339)/T339,""),"")</f>
        <v/>
      </c>
    </row>
    <row r="340" customFormat="false" ht="18.75" hidden="false" customHeight="true" outlineLevel="0" collapsed="false">
      <c r="A340" s="112"/>
      <c r="B340" s="112"/>
      <c r="C340" s="112"/>
      <c r="D340" s="112"/>
      <c r="E340" s="112"/>
      <c r="F340" s="112"/>
      <c r="G340" s="113" t="str">
        <f aca="false">IF(AND(E340&lt;&gt;"",F340&lt;&gt;""),E340*F340,"")</f>
        <v/>
      </c>
      <c r="H340" s="113" t="str">
        <f aca="false">IF(B340&lt;&gt;"",SUMIF(B:B,B340,G:G),"")</f>
        <v/>
      </c>
      <c r="I340" s="112"/>
      <c r="J340" s="114" t="str">
        <f aca="false">IF(AND(I340&lt;&gt;"",H340&lt;&gt;""),IFERROR((I340-H340)/I340,""),"")</f>
        <v/>
      </c>
      <c r="K340" s="3"/>
      <c r="L340" s="112"/>
      <c r="M340" s="112"/>
      <c r="N340" s="112"/>
      <c r="O340" s="112"/>
      <c r="P340" s="112"/>
      <c r="Q340" s="112"/>
      <c r="R340" s="113" t="str">
        <f aca="false">IF(AND(P340&lt;&gt;"",Q340&lt;&gt;""),P340*Q340,"")</f>
        <v/>
      </c>
      <c r="S340" s="113" t="str">
        <f aca="false">IF(M340&lt;&gt;"",SUMIF(M:M,M340,R:R),"")</f>
        <v/>
      </c>
      <c r="T340" s="113" t="str">
        <f aca="false">IF(I340&lt;&gt;"",I340,"")</f>
        <v/>
      </c>
      <c r="U340" s="114" t="str">
        <f aca="false">IF(AND(T340&lt;&gt;"",S340&lt;&gt;""),IFERROR((T340-S340)/T340,""),"")</f>
        <v/>
      </c>
    </row>
    <row r="341" customFormat="false" ht="18.75" hidden="false" customHeight="true" outlineLevel="0" collapsed="false">
      <c r="A341" s="109"/>
      <c r="B341" s="109"/>
      <c r="C341" s="109"/>
      <c r="D341" s="109"/>
      <c r="E341" s="109"/>
      <c r="F341" s="109"/>
      <c r="G341" s="110" t="str">
        <f aca="false">IF(AND(E341&lt;&gt;"",F341&lt;&gt;""),E341*F341,"")</f>
        <v/>
      </c>
      <c r="H341" s="110" t="str">
        <f aca="false">IF(B341&lt;&gt;"",SUMIF(B:B,B341,G:G),"")</f>
        <v/>
      </c>
      <c r="I341" s="109"/>
      <c r="J341" s="111" t="str">
        <f aca="false">IF(AND(I341&lt;&gt;"",H341&lt;&gt;""),IFERROR((I341-H341)/I341,""),"")</f>
        <v/>
      </c>
      <c r="K341" s="3"/>
      <c r="L341" s="109"/>
      <c r="M341" s="109"/>
      <c r="N341" s="109"/>
      <c r="O341" s="109"/>
      <c r="P341" s="109"/>
      <c r="Q341" s="109"/>
      <c r="R341" s="110" t="str">
        <f aca="false">IF(AND(P341&lt;&gt;"",Q341&lt;&gt;""),P341*Q341,"")</f>
        <v/>
      </c>
      <c r="S341" s="110" t="str">
        <f aca="false">IF(M341&lt;&gt;"",SUMIF(M:M,M341,R:R),"")</f>
        <v/>
      </c>
      <c r="T341" s="110" t="str">
        <f aca="false">IF(I341&lt;&gt;"",I341,"")</f>
        <v/>
      </c>
      <c r="U341" s="111" t="str">
        <f aca="false">IF(AND(T341&lt;&gt;"",S341&lt;&gt;""),IFERROR((T341-S341)/T341,""),"")</f>
        <v/>
      </c>
    </row>
    <row r="342" customFormat="false" ht="18.75" hidden="false" customHeight="true" outlineLevel="0" collapsed="false">
      <c r="A342" s="112"/>
      <c r="B342" s="112"/>
      <c r="C342" s="112"/>
      <c r="D342" s="112"/>
      <c r="E342" s="112"/>
      <c r="F342" s="112"/>
      <c r="G342" s="113" t="str">
        <f aca="false">IF(AND(E342&lt;&gt;"",F342&lt;&gt;""),E342*F342,"")</f>
        <v/>
      </c>
      <c r="H342" s="113" t="str">
        <f aca="false">IF(B342&lt;&gt;"",SUMIF(B:B,B342,G:G),"")</f>
        <v/>
      </c>
      <c r="I342" s="112"/>
      <c r="J342" s="114" t="str">
        <f aca="false">IF(AND(I342&lt;&gt;"",H342&lt;&gt;""),IFERROR((I342-H342)/I342,""),"")</f>
        <v/>
      </c>
      <c r="K342" s="3"/>
      <c r="L342" s="112"/>
      <c r="M342" s="112"/>
      <c r="N342" s="112"/>
      <c r="O342" s="112"/>
      <c r="P342" s="112"/>
      <c r="Q342" s="112"/>
      <c r="R342" s="113" t="str">
        <f aca="false">IF(AND(P342&lt;&gt;"",Q342&lt;&gt;""),P342*Q342,"")</f>
        <v/>
      </c>
      <c r="S342" s="113" t="str">
        <f aca="false">IF(M342&lt;&gt;"",SUMIF(M:M,M342,R:R),"")</f>
        <v/>
      </c>
      <c r="T342" s="113" t="str">
        <f aca="false">IF(I342&lt;&gt;"",I342,"")</f>
        <v/>
      </c>
      <c r="U342" s="114" t="str">
        <f aca="false">IF(AND(T342&lt;&gt;"",S342&lt;&gt;""),IFERROR((T342-S342)/T342,""),"")</f>
        <v/>
      </c>
    </row>
    <row r="343" customFormat="false" ht="18.75" hidden="false" customHeight="true" outlineLevel="0" collapsed="false">
      <c r="A343" s="109"/>
      <c r="B343" s="109"/>
      <c r="C343" s="109"/>
      <c r="D343" s="109"/>
      <c r="E343" s="109"/>
      <c r="F343" s="109"/>
      <c r="G343" s="110" t="str">
        <f aca="false">IF(AND(E343&lt;&gt;"",F343&lt;&gt;""),E343*F343,"")</f>
        <v/>
      </c>
      <c r="H343" s="110" t="str">
        <f aca="false">IF(B343&lt;&gt;"",SUMIF(B:B,B343,G:G),"")</f>
        <v/>
      </c>
      <c r="I343" s="109"/>
      <c r="J343" s="111" t="str">
        <f aca="false">IF(AND(I343&lt;&gt;"",H343&lt;&gt;""),IFERROR((I343-H343)/I343,""),"")</f>
        <v/>
      </c>
      <c r="K343" s="3"/>
      <c r="L343" s="109"/>
      <c r="M343" s="109"/>
      <c r="N343" s="109"/>
      <c r="O343" s="109"/>
      <c r="P343" s="109"/>
      <c r="Q343" s="109"/>
      <c r="R343" s="110" t="str">
        <f aca="false">IF(AND(P343&lt;&gt;"",Q343&lt;&gt;""),P343*Q343,"")</f>
        <v/>
      </c>
      <c r="S343" s="110" t="str">
        <f aca="false">IF(M343&lt;&gt;"",SUMIF(M:M,M343,R:R),"")</f>
        <v/>
      </c>
      <c r="T343" s="110" t="str">
        <f aca="false">IF(I343&lt;&gt;"",I343,"")</f>
        <v/>
      </c>
      <c r="U343" s="111" t="str">
        <f aca="false">IF(AND(T343&lt;&gt;"",S343&lt;&gt;""),IFERROR((T343-S343)/T343,""),"")</f>
        <v/>
      </c>
    </row>
    <row r="344" customFormat="false" ht="18.75" hidden="false" customHeight="true" outlineLevel="0" collapsed="false">
      <c r="A344" s="112"/>
      <c r="B344" s="112"/>
      <c r="C344" s="112"/>
      <c r="D344" s="112"/>
      <c r="E344" s="112"/>
      <c r="F344" s="112"/>
      <c r="G344" s="113" t="str">
        <f aca="false">IF(AND(E344&lt;&gt;"",F344&lt;&gt;""),E344*F344,"")</f>
        <v/>
      </c>
      <c r="H344" s="113" t="str">
        <f aca="false">IF(B344&lt;&gt;"",SUMIF(B:B,B344,G:G),"")</f>
        <v/>
      </c>
      <c r="I344" s="112"/>
      <c r="J344" s="114" t="str">
        <f aca="false">IF(AND(I344&lt;&gt;"",H344&lt;&gt;""),IFERROR((I344-H344)/I344,""),"")</f>
        <v/>
      </c>
      <c r="K344" s="3"/>
      <c r="L344" s="112"/>
      <c r="M344" s="112"/>
      <c r="N344" s="112"/>
      <c r="O344" s="112"/>
      <c r="P344" s="112"/>
      <c r="Q344" s="112"/>
      <c r="R344" s="113" t="str">
        <f aca="false">IF(AND(P344&lt;&gt;"",Q344&lt;&gt;""),P344*Q344,"")</f>
        <v/>
      </c>
      <c r="S344" s="113" t="str">
        <f aca="false">IF(M344&lt;&gt;"",SUMIF(M:M,M344,R:R),"")</f>
        <v/>
      </c>
      <c r="T344" s="113" t="str">
        <f aca="false">IF(I344&lt;&gt;"",I344,"")</f>
        <v/>
      </c>
      <c r="U344" s="114" t="str">
        <f aca="false">IF(AND(T344&lt;&gt;"",S344&lt;&gt;""),IFERROR((T344-S344)/T344,""),"")</f>
        <v/>
      </c>
    </row>
    <row r="345" customFormat="false" ht="18.75" hidden="false" customHeight="true" outlineLevel="0" collapsed="false">
      <c r="A345" s="109"/>
      <c r="B345" s="109"/>
      <c r="C345" s="109"/>
      <c r="D345" s="109"/>
      <c r="E345" s="109"/>
      <c r="F345" s="109"/>
      <c r="G345" s="110" t="str">
        <f aca="false">IF(AND(E345&lt;&gt;"",F345&lt;&gt;""),E345*F345,"")</f>
        <v/>
      </c>
      <c r="H345" s="110" t="str">
        <f aca="false">IF(B345&lt;&gt;"",SUMIF(B:B,B345,G:G),"")</f>
        <v/>
      </c>
      <c r="I345" s="109"/>
      <c r="J345" s="111" t="str">
        <f aca="false">IF(AND(I345&lt;&gt;"",H345&lt;&gt;""),IFERROR((I345-H345)/I345,""),"")</f>
        <v/>
      </c>
      <c r="K345" s="3"/>
      <c r="L345" s="109"/>
      <c r="M345" s="109"/>
      <c r="N345" s="109"/>
      <c r="O345" s="109"/>
      <c r="P345" s="109"/>
      <c r="Q345" s="109"/>
      <c r="R345" s="110" t="str">
        <f aca="false">IF(AND(P345&lt;&gt;"",Q345&lt;&gt;""),P345*Q345,"")</f>
        <v/>
      </c>
      <c r="S345" s="110" t="str">
        <f aca="false">IF(M345&lt;&gt;"",SUMIF(M:M,M345,R:R),"")</f>
        <v/>
      </c>
      <c r="T345" s="110" t="str">
        <f aca="false">IF(I345&lt;&gt;"",I345,"")</f>
        <v/>
      </c>
      <c r="U345" s="111" t="str">
        <f aca="false">IF(AND(T345&lt;&gt;"",S345&lt;&gt;""),IFERROR((T345-S345)/T345,""),"")</f>
        <v/>
      </c>
    </row>
    <row r="346" customFormat="false" ht="18.75" hidden="false" customHeight="true" outlineLevel="0" collapsed="false">
      <c r="A346" s="112"/>
      <c r="B346" s="112"/>
      <c r="C346" s="112"/>
      <c r="D346" s="112"/>
      <c r="E346" s="112"/>
      <c r="F346" s="112"/>
      <c r="G346" s="113" t="str">
        <f aca="false">IF(AND(E346&lt;&gt;"",F346&lt;&gt;""),E346*F346,"")</f>
        <v/>
      </c>
      <c r="H346" s="113" t="str">
        <f aca="false">IF(B346&lt;&gt;"",SUMIF(B:B,B346,G:G),"")</f>
        <v/>
      </c>
      <c r="I346" s="112"/>
      <c r="J346" s="114" t="str">
        <f aca="false">IF(AND(I346&lt;&gt;"",H346&lt;&gt;""),IFERROR((I346-H346)/I346,""),"")</f>
        <v/>
      </c>
      <c r="K346" s="3"/>
      <c r="L346" s="112"/>
      <c r="M346" s="112"/>
      <c r="N346" s="112"/>
      <c r="O346" s="112"/>
      <c r="P346" s="112"/>
      <c r="Q346" s="112"/>
      <c r="R346" s="113" t="str">
        <f aca="false">IF(AND(P346&lt;&gt;"",Q346&lt;&gt;""),P346*Q346,"")</f>
        <v/>
      </c>
      <c r="S346" s="113" t="str">
        <f aca="false">IF(M346&lt;&gt;"",SUMIF(M:M,M346,R:R),"")</f>
        <v/>
      </c>
      <c r="T346" s="113" t="str">
        <f aca="false">IF(I346&lt;&gt;"",I346,"")</f>
        <v/>
      </c>
      <c r="U346" s="114" t="str">
        <f aca="false">IF(AND(T346&lt;&gt;"",S346&lt;&gt;""),IFERROR((T346-S346)/T346,""),"")</f>
        <v/>
      </c>
    </row>
    <row r="347" customFormat="false" ht="18.75" hidden="false" customHeight="true" outlineLevel="0" collapsed="false">
      <c r="A347" s="109"/>
      <c r="B347" s="109"/>
      <c r="C347" s="109"/>
      <c r="D347" s="109"/>
      <c r="E347" s="109"/>
      <c r="F347" s="109"/>
      <c r="G347" s="110" t="str">
        <f aca="false">IF(AND(E347&lt;&gt;"",F347&lt;&gt;""),E347*F347,"")</f>
        <v/>
      </c>
      <c r="H347" s="110" t="str">
        <f aca="false">IF(B347&lt;&gt;"",SUMIF(B:B,B347,G:G),"")</f>
        <v/>
      </c>
      <c r="I347" s="109"/>
      <c r="J347" s="111" t="str">
        <f aca="false">IF(AND(I347&lt;&gt;"",H347&lt;&gt;""),IFERROR((I347-H347)/I347,""),"")</f>
        <v/>
      </c>
      <c r="K347" s="3"/>
      <c r="L347" s="109"/>
      <c r="M347" s="109"/>
      <c r="N347" s="109"/>
      <c r="O347" s="109"/>
      <c r="P347" s="109"/>
      <c r="Q347" s="109"/>
      <c r="R347" s="110" t="str">
        <f aca="false">IF(AND(P347&lt;&gt;"",Q347&lt;&gt;""),P347*Q347,"")</f>
        <v/>
      </c>
      <c r="S347" s="110" t="str">
        <f aca="false">IF(M347&lt;&gt;"",SUMIF(M:M,M347,R:R),"")</f>
        <v/>
      </c>
      <c r="T347" s="110" t="str">
        <f aca="false">IF(I347&lt;&gt;"",I347,"")</f>
        <v/>
      </c>
      <c r="U347" s="111" t="str">
        <f aca="false">IF(AND(T347&lt;&gt;"",S347&lt;&gt;""),IFERROR((T347-S347)/T347,""),"")</f>
        <v/>
      </c>
    </row>
    <row r="348" customFormat="false" ht="18.75" hidden="false" customHeight="true" outlineLevel="0" collapsed="false">
      <c r="A348" s="112"/>
      <c r="B348" s="112"/>
      <c r="C348" s="112"/>
      <c r="D348" s="112"/>
      <c r="E348" s="112"/>
      <c r="F348" s="112"/>
      <c r="G348" s="113" t="str">
        <f aca="false">IF(AND(E348&lt;&gt;"",F348&lt;&gt;""),E348*F348,"")</f>
        <v/>
      </c>
      <c r="H348" s="113" t="str">
        <f aca="false">IF(B348&lt;&gt;"",SUMIF(B:B,B348,G:G),"")</f>
        <v/>
      </c>
      <c r="I348" s="112"/>
      <c r="J348" s="114" t="str">
        <f aca="false">IF(AND(I348&lt;&gt;"",H348&lt;&gt;""),IFERROR((I348-H348)/I348,""),"")</f>
        <v/>
      </c>
      <c r="K348" s="3"/>
      <c r="L348" s="112"/>
      <c r="M348" s="112"/>
      <c r="N348" s="112"/>
      <c r="O348" s="112"/>
      <c r="P348" s="112"/>
      <c r="Q348" s="112"/>
      <c r="R348" s="113" t="str">
        <f aca="false">IF(AND(P348&lt;&gt;"",Q348&lt;&gt;""),P348*Q348,"")</f>
        <v/>
      </c>
      <c r="S348" s="113" t="str">
        <f aca="false">IF(M348&lt;&gt;"",SUMIF(M:M,M348,R:R),"")</f>
        <v/>
      </c>
      <c r="T348" s="113" t="str">
        <f aca="false">IF(I348&lt;&gt;"",I348,"")</f>
        <v/>
      </c>
      <c r="U348" s="114" t="str">
        <f aca="false">IF(AND(T348&lt;&gt;"",S348&lt;&gt;""),IFERROR((T348-S348)/T348,""),"")</f>
        <v/>
      </c>
    </row>
    <row r="349" customFormat="false" ht="18.75" hidden="false" customHeight="true" outlineLevel="0" collapsed="false">
      <c r="A349" s="109"/>
      <c r="B349" s="109"/>
      <c r="C349" s="109"/>
      <c r="D349" s="109"/>
      <c r="E349" s="109"/>
      <c r="F349" s="109"/>
      <c r="G349" s="110" t="str">
        <f aca="false">IF(AND(E349&lt;&gt;"",F349&lt;&gt;""),E349*F349,"")</f>
        <v/>
      </c>
      <c r="H349" s="110" t="str">
        <f aca="false">IF(B349&lt;&gt;"",SUMIF(B:B,B349,G:G),"")</f>
        <v/>
      </c>
      <c r="I349" s="109"/>
      <c r="J349" s="111" t="str">
        <f aca="false">IF(AND(I349&lt;&gt;"",H349&lt;&gt;""),IFERROR((I349-H349)/I349,""),"")</f>
        <v/>
      </c>
      <c r="K349" s="3"/>
      <c r="L349" s="109"/>
      <c r="M349" s="109"/>
      <c r="N349" s="109"/>
      <c r="O349" s="109"/>
      <c r="P349" s="109"/>
      <c r="Q349" s="109"/>
      <c r="R349" s="110" t="str">
        <f aca="false">IF(AND(P349&lt;&gt;"",Q349&lt;&gt;""),P349*Q349,"")</f>
        <v/>
      </c>
      <c r="S349" s="110" t="str">
        <f aca="false">IF(M349&lt;&gt;"",SUMIF(M:M,M349,R:R),"")</f>
        <v/>
      </c>
      <c r="T349" s="110" t="str">
        <f aca="false">IF(I349&lt;&gt;"",I349,"")</f>
        <v/>
      </c>
      <c r="U349" s="111" t="str">
        <f aca="false">IF(AND(T349&lt;&gt;"",S349&lt;&gt;""),IFERROR((T349-S349)/T349,""),"")</f>
        <v/>
      </c>
    </row>
    <row r="350" customFormat="false" ht="18.75" hidden="false" customHeight="true" outlineLevel="0" collapsed="false">
      <c r="A350" s="112"/>
      <c r="B350" s="112"/>
      <c r="C350" s="112"/>
      <c r="D350" s="112"/>
      <c r="E350" s="112"/>
      <c r="F350" s="112"/>
      <c r="G350" s="113" t="str">
        <f aca="false">IF(AND(E350&lt;&gt;"",F350&lt;&gt;""),E350*F350,"")</f>
        <v/>
      </c>
      <c r="H350" s="113" t="str">
        <f aca="false">IF(B350&lt;&gt;"",SUMIF(B:B,B350,G:G),"")</f>
        <v/>
      </c>
      <c r="I350" s="112"/>
      <c r="J350" s="114" t="str">
        <f aca="false">IF(AND(I350&lt;&gt;"",H350&lt;&gt;""),IFERROR((I350-H350)/I350,""),"")</f>
        <v/>
      </c>
      <c r="K350" s="3"/>
      <c r="L350" s="112"/>
      <c r="M350" s="112"/>
      <c r="N350" s="112"/>
      <c r="O350" s="112"/>
      <c r="P350" s="112"/>
      <c r="Q350" s="112"/>
      <c r="R350" s="113" t="str">
        <f aca="false">IF(AND(P350&lt;&gt;"",Q350&lt;&gt;""),P350*Q350,"")</f>
        <v/>
      </c>
      <c r="S350" s="113" t="str">
        <f aca="false">IF(M350&lt;&gt;"",SUMIF(M:M,M350,R:R),"")</f>
        <v/>
      </c>
      <c r="T350" s="113" t="str">
        <f aca="false">IF(I350&lt;&gt;"",I350,"")</f>
        <v/>
      </c>
      <c r="U350" s="114" t="str">
        <f aca="false">IF(AND(T350&lt;&gt;"",S350&lt;&gt;""),IFERROR((T350-S350)/T350,""),"")</f>
        <v/>
      </c>
    </row>
    <row r="351" customFormat="false" ht="18.75" hidden="false" customHeight="true" outlineLevel="0" collapsed="false">
      <c r="A351" s="109"/>
      <c r="B351" s="109"/>
      <c r="C351" s="109"/>
      <c r="D351" s="109"/>
      <c r="E351" s="109"/>
      <c r="F351" s="109"/>
      <c r="G351" s="110" t="str">
        <f aca="false">IF(AND(E351&lt;&gt;"",F351&lt;&gt;""),E351*F351,"")</f>
        <v/>
      </c>
      <c r="H351" s="110" t="str">
        <f aca="false">IF(B351&lt;&gt;"",SUMIF(B:B,B351,G:G),"")</f>
        <v/>
      </c>
      <c r="I351" s="109"/>
      <c r="J351" s="111" t="str">
        <f aca="false">IF(AND(I351&lt;&gt;"",H351&lt;&gt;""),IFERROR((I351-H351)/I351,""),"")</f>
        <v/>
      </c>
      <c r="K351" s="3"/>
      <c r="L351" s="109"/>
      <c r="M351" s="109"/>
      <c r="N351" s="109"/>
      <c r="O351" s="109"/>
      <c r="P351" s="109"/>
      <c r="Q351" s="109"/>
      <c r="R351" s="110" t="str">
        <f aca="false">IF(AND(P351&lt;&gt;"",Q351&lt;&gt;""),P351*Q351,"")</f>
        <v/>
      </c>
      <c r="S351" s="110" t="str">
        <f aca="false">IF(M351&lt;&gt;"",SUMIF(M:M,M351,R:R),"")</f>
        <v/>
      </c>
      <c r="T351" s="110" t="str">
        <f aca="false">IF(I351&lt;&gt;"",I351,"")</f>
        <v/>
      </c>
      <c r="U351" s="111" t="str">
        <f aca="false">IF(AND(T351&lt;&gt;"",S351&lt;&gt;""),IFERROR((T351-S351)/T351,""),"")</f>
        <v/>
      </c>
    </row>
    <row r="352" customFormat="false" ht="18.75" hidden="false" customHeight="true" outlineLevel="0" collapsed="false">
      <c r="A352" s="112"/>
      <c r="B352" s="112"/>
      <c r="C352" s="112"/>
      <c r="D352" s="112"/>
      <c r="E352" s="112"/>
      <c r="F352" s="112"/>
      <c r="G352" s="113" t="str">
        <f aca="false">IF(AND(E352&lt;&gt;"",F352&lt;&gt;""),E352*F352,"")</f>
        <v/>
      </c>
      <c r="H352" s="113" t="str">
        <f aca="false">IF(B352&lt;&gt;"",SUMIF(B:B,B352,G:G),"")</f>
        <v/>
      </c>
      <c r="I352" s="112"/>
      <c r="J352" s="114" t="str">
        <f aca="false">IF(AND(I352&lt;&gt;"",H352&lt;&gt;""),IFERROR((I352-H352)/I352,""),"")</f>
        <v/>
      </c>
      <c r="K352" s="3"/>
      <c r="L352" s="112"/>
      <c r="M352" s="112"/>
      <c r="N352" s="112"/>
      <c r="O352" s="112"/>
      <c r="P352" s="112"/>
      <c r="Q352" s="112"/>
      <c r="R352" s="113" t="str">
        <f aca="false">IF(AND(P352&lt;&gt;"",Q352&lt;&gt;""),P352*Q352,"")</f>
        <v/>
      </c>
      <c r="S352" s="113" t="str">
        <f aca="false">IF(M352&lt;&gt;"",SUMIF(M:M,M352,R:R),"")</f>
        <v/>
      </c>
      <c r="T352" s="113" t="str">
        <f aca="false">IF(I352&lt;&gt;"",I352,"")</f>
        <v/>
      </c>
      <c r="U352" s="114" t="str">
        <f aca="false">IF(AND(T352&lt;&gt;"",S352&lt;&gt;""),IFERROR((T352-S352)/T352,""),"")</f>
        <v/>
      </c>
    </row>
    <row r="353" customFormat="false" ht="18.75" hidden="false" customHeight="true" outlineLevel="0" collapsed="false">
      <c r="A353" s="109"/>
      <c r="B353" s="109"/>
      <c r="C353" s="109"/>
      <c r="D353" s="109"/>
      <c r="E353" s="109"/>
      <c r="F353" s="109"/>
      <c r="G353" s="110" t="str">
        <f aca="false">IF(AND(E353&lt;&gt;"",F353&lt;&gt;""),E353*F353,"")</f>
        <v/>
      </c>
      <c r="H353" s="110" t="str">
        <f aca="false">IF(B353&lt;&gt;"",SUMIF(B:B,B353,G:G),"")</f>
        <v/>
      </c>
      <c r="I353" s="109"/>
      <c r="J353" s="111" t="str">
        <f aca="false">IF(AND(I353&lt;&gt;"",H353&lt;&gt;""),IFERROR((I353-H353)/I353,""),"")</f>
        <v/>
      </c>
      <c r="K353" s="3"/>
      <c r="L353" s="109"/>
      <c r="M353" s="109"/>
      <c r="N353" s="109"/>
      <c r="O353" s="109"/>
      <c r="P353" s="109"/>
      <c r="Q353" s="109"/>
      <c r="R353" s="110" t="str">
        <f aca="false">IF(AND(P353&lt;&gt;"",Q353&lt;&gt;""),P353*Q353,"")</f>
        <v/>
      </c>
      <c r="S353" s="110" t="str">
        <f aca="false">IF(M353&lt;&gt;"",SUMIF(M:M,M353,R:R),"")</f>
        <v/>
      </c>
      <c r="T353" s="110" t="str">
        <f aca="false">IF(I353&lt;&gt;"",I353,"")</f>
        <v/>
      </c>
      <c r="U353" s="111" t="str">
        <f aca="false">IF(AND(T353&lt;&gt;"",S353&lt;&gt;""),IFERROR((T353-S353)/T353,""),"")</f>
        <v/>
      </c>
    </row>
    <row r="354" customFormat="false" ht="18.75" hidden="false" customHeight="true" outlineLevel="0" collapsed="false">
      <c r="A354" s="112"/>
      <c r="B354" s="112"/>
      <c r="C354" s="112"/>
      <c r="D354" s="112"/>
      <c r="E354" s="112"/>
      <c r="F354" s="112"/>
      <c r="G354" s="113" t="str">
        <f aca="false">IF(AND(E354&lt;&gt;"",F354&lt;&gt;""),E354*F354,"")</f>
        <v/>
      </c>
      <c r="H354" s="113" t="str">
        <f aca="false">IF(B354&lt;&gt;"",SUMIF(B:B,B354,G:G),"")</f>
        <v/>
      </c>
      <c r="I354" s="112"/>
      <c r="J354" s="114" t="str">
        <f aca="false">IF(AND(I354&lt;&gt;"",H354&lt;&gt;""),IFERROR((I354-H354)/I354,""),"")</f>
        <v/>
      </c>
      <c r="K354" s="3"/>
      <c r="L354" s="112"/>
      <c r="M354" s="112"/>
      <c r="N354" s="112"/>
      <c r="O354" s="112"/>
      <c r="P354" s="112"/>
      <c r="Q354" s="112"/>
      <c r="R354" s="113" t="str">
        <f aca="false">IF(AND(P354&lt;&gt;"",Q354&lt;&gt;""),P354*Q354,"")</f>
        <v/>
      </c>
      <c r="S354" s="113" t="str">
        <f aca="false">IF(M354&lt;&gt;"",SUMIF(M:M,M354,R:R),"")</f>
        <v/>
      </c>
      <c r="T354" s="113" t="str">
        <f aca="false">IF(I354&lt;&gt;"",I354,"")</f>
        <v/>
      </c>
      <c r="U354" s="114" t="str">
        <f aca="false">IF(AND(T354&lt;&gt;"",S354&lt;&gt;""),IFERROR((T354-S354)/T354,""),"")</f>
        <v/>
      </c>
    </row>
    <row r="355" customFormat="false" ht="18.75" hidden="false" customHeight="true" outlineLevel="0" collapsed="false">
      <c r="A355" s="109"/>
      <c r="B355" s="109"/>
      <c r="C355" s="109"/>
      <c r="D355" s="109"/>
      <c r="E355" s="109"/>
      <c r="F355" s="109"/>
      <c r="G355" s="110" t="str">
        <f aca="false">IF(AND(E355&lt;&gt;"",F355&lt;&gt;""),E355*F355,"")</f>
        <v/>
      </c>
      <c r="H355" s="110" t="str">
        <f aca="false">IF(B355&lt;&gt;"",SUMIF(B:B,B355,G:G),"")</f>
        <v/>
      </c>
      <c r="I355" s="109"/>
      <c r="J355" s="111" t="str">
        <f aca="false">IF(AND(I355&lt;&gt;"",H355&lt;&gt;""),IFERROR((I355-H355)/I355,""),"")</f>
        <v/>
      </c>
      <c r="K355" s="3"/>
      <c r="L355" s="109"/>
      <c r="M355" s="109"/>
      <c r="N355" s="109"/>
      <c r="O355" s="109"/>
      <c r="P355" s="109"/>
      <c r="Q355" s="109"/>
      <c r="R355" s="110" t="str">
        <f aca="false">IF(AND(P355&lt;&gt;"",Q355&lt;&gt;""),P355*Q355,"")</f>
        <v/>
      </c>
      <c r="S355" s="110" t="str">
        <f aca="false">IF(M355&lt;&gt;"",SUMIF(M:M,M355,R:R),"")</f>
        <v/>
      </c>
      <c r="T355" s="110" t="str">
        <f aca="false">IF(I355&lt;&gt;"",I355,"")</f>
        <v/>
      </c>
      <c r="U355" s="111" t="str">
        <f aca="false">IF(AND(T355&lt;&gt;"",S355&lt;&gt;""),IFERROR((T355-S355)/T355,""),"")</f>
        <v/>
      </c>
    </row>
    <row r="356" customFormat="false" ht="18.75" hidden="false" customHeight="true" outlineLevel="0" collapsed="false">
      <c r="A356" s="112"/>
      <c r="B356" s="112"/>
      <c r="C356" s="112"/>
      <c r="D356" s="112"/>
      <c r="E356" s="112"/>
      <c r="F356" s="112"/>
      <c r="G356" s="113" t="str">
        <f aca="false">IF(AND(E356&lt;&gt;"",F356&lt;&gt;""),E356*F356,"")</f>
        <v/>
      </c>
      <c r="H356" s="113" t="str">
        <f aca="false">IF(B356&lt;&gt;"",SUMIF(B:B,B356,G:G),"")</f>
        <v/>
      </c>
      <c r="I356" s="112"/>
      <c r="J356" s="114" t="str">
        <f aca="false">IF(AND(I356&lt;&gt;"",H356&lt;&gt;""),IFERROR((I356-H356)/I356,""),"")</f>
        <v/>
      </c>
      <c r="K356" s="3"/>
      <c r="L356" s="112"/>
      <c r="M356" s="112"/>
      <c r="N356" s="112"/>
      <c r="O356" s="112"/>
      <c r="P356" s="112"/>
      <c r="Q356" s="112"/>
      <c r="R356" s="113" t="str">
        <f aca="false">IF(AND(P356&lt;&gt;"",Q356&lt;&gt;""),P356*Q356,"")</f>
        <v/>
      </c>
      <c r="S356" s="113" t="str">
        <f aca="false">IF(M356&lt;&gt;"",SUMIF(M:M,M356,R:R),"")</f>
        <v/>
      </c>
      <c r="T356" s="113" t="str">
        <f aca="false">IF(I356&lt;&gt;"",I356,"")</f>
        <v/>
      </c>
      <c r="U356" s="114" t="str">
        <f aca="false">IF(AND(T356&lt;&gt;"",S356&lt;&gt;""),IFERROR((T356-S356)/T356,""),"")</f>
        <v/>
      </c>
    </row>
    <row r="357" customFormat="false" ht="18.75" hidden="false" customHeight="true" outlineLevel="0" collapsed="false">
      <c r="A357" s="109"/>
      <c r="B357" s="109"/>
      <c r="C357" s="109"/>
      <c r="D357" s="109"/>
      <c r="E357" s="109"/>
      <c r="F357" s="109"/>
      <c r="G357" s="110" t="str">
        <f aca="false">IF(AND(E357&lt;&gt;"",F357&lt;&gt;""),E357*F357,"")</f>
        <v/>
      </c>
      <c r="H357" s="110" t="str">
        <f aca="false">IF(B357&lt;&gt;"",SUMIF(B:B,B357,G:G),"")</f>
        <v/>
      </c>
      <c r="I357" s="109"/>
      <c r="J357" s="111" t="str">
        <f aca="false">IF(AND(I357&lt;&gt;"",H357&lt;&gt;""),IFERROR((I357-H357)/I357,""),"")</f>
        <v/>
      </c>
      <c r="K357" s="3"/>
      <c r="L357" s="109"/>
      <c r="M357" s="109"/>
      <c r="N357" s="109"/>
      <c r="O357" s="109"/>
      <c r="P357" s="109"/>
      <c r="Q357" s="109"/>
      <c r="R357" s="110" t="str">
        <f aca="false">IF(AND(P357&lt;&gt;"",Q357&lt;&gt;""),P357*Q357,"")</f>
        <v/>
      </c>
      <c r="S357" s="110" t="str">
        <f aca="false">IF(M357&lt;&gt;"",SUMIF(M:M,M357,R:R),"")</f>
        <v/>
      </c>
      <c r="T357" s="110" t="str">
        <f aca="false">IF(I357&lt;&gt;"",I357,"")</f>
        <v/>
      </c>
      <c r="U357" s="111" t="str">
        <f aca="false">IF(AND(T357&lt;&gt;"",S357&lt;&gt;""),IFERROR((T357-S357)/T357,""),"")</f>
        <v/>
      </c>
    </row>
    <row r="358" customFormat="false" ht="18.75" hidden="false" customHeight="true" outlineLevel="0" collapsed="false">
      <c r="A358" s="112"/>
      <c r="B358" s="112"/>
      <c r="C358" s="112"/>
      <c r="D358" s="112"/>
      <c r="E358" s="112"/>
      <c r="F358" s="112"/>
      <c r="G358" s="113" t="str">
        <f aca="false">IF(AND(E358&lt;&gt;"",F358&lt;&gt;""),E358*F358,"")</f>
        <v/>
      </c>
      <c r="H358" s="113" t="str">
        <f aca="false">IF(B358&lt;&gt;"",SUMIF(B:B,B358,G:G),"")</f>
        <v/>
      </c>
      <c r="I358" s="112"/>
      <c r="J358" s="114" t="str">
        <f aca="false">IF(AND(I358&lt;&gt;"",H358&lt;&gt;""),IFERROR((I358-H358)/I358,""),"")</f>
        <v/>
      </c>
      <c r="K358" s="3"/>
      <c r="L358" s="112"/>
      <c r="M358" s="112"/>
      <c r="N358" s="112"/>
      <c r="O358" s="112"/>
      <c r="P358" s="112"/>
      <c r="Q358" s="112"/>
      <c r="R358" s="113" t="str">
        <f aca="false">IF(AND(P358&lt;&gt;"",Q358&lt;&gt;""),P358*Q358,"")</f>
        <v/>
      </c>
      <c r="S358" s="113" t="str">
        <f aca="false">IF(M358&lt;&gt;"",SUMIF(M:M,M358,R:R),"")</f>
        <v/>
      </c>
      <c r="T358" s="113" t="str">
        <f aca="false">IF(I358&lt;&gt;"",I358,"")</f>
        <v/>
      </c>
      <c r="U358" s="114" t="str">
        <f aca="false">IF(AND(T358&lt;&gt;"",S358&lt;&gt;""),IFERROR((T358-S358)/T358,""),"")</f>
        <v/>
      </c>
    </row>
    <row r="359" customFormat="false" ht="18.75" hidden="false" customHeight="true" outlineLevel="0" collapsed="false">
      <c r="A359" s="109"/>
      <c r="B359" s="109"/>
      <c r="C359" s="109"/>
      <c r="D359" s="109"/>
      <c r="E359" s="109"/>
      <c r="F359" s="109"/>
      <c r="G359" s="110" t="str">
        <f aca="false">IF(AND(E359&lt;&gt;"",F359&lt;&gt;""),E359*F359,"")</f>
        <v/>
      </c>
      <c r="H359" s="110" t="str">
        <f aca="false">IF(B359&lt;&gt;"",SUMIF(B:B,B359,G:G),"")</f>
        <v/>
      </c>
      <c r="I359" s="109"/>
      <c r="J359" s="111" t="str">
        <f aca="false">IF(AND(I359&lt;&gt;"",H359&lt;&gt;""),IFERROR((I359-H359)/I359,""),"")</f>
        <v/>
      </c>
      <c r="K359" s="3"/>
      <c r="L359" s="109"/>
      <c r="M359" s="109"/>
      <c r="N359" s="109"/>
      <c r="O359" s="109"/>
      <c r="P359" s="109"/>
      <c r="Q359" s="109"/>
      <c r="R359" s="110" t="str">
        <f aca="false">IF(AND(P359&lt;&gt;"",Q359&lt;&gt;""),P359*Q359,"")</f>
        <v/>
      </c>
      <c r="S359" s="110" t="str">
        <f aca="false">IF(M359&lt;&gt;"",SUMIF(M:M,M359,R:R),"")</f>
        <v/>
      </c>
      <c r="T359" s="110" t="str">
        <f aca="false">IF(I359&lt;&gt;"",I359,"")</f>
        <v/>
      </c>
      <c r="U359" s="111" t="str">
        <f aca="false">IF(AND(T359&lt;&gt;"",S359&lt;&gt;""),IFERROR((T359-S359)/T359,""),"")</f>
        <v/>
      </c>
    </row>
    <row r="360" customFormat="false" ht="18.75" hidden="false" customHeight="true" outlineLevel="0" collapsed="false">
      <c r="A360" s="112"/>
      <c r="B360" s="112"/>
      <c r="C360" s="112"/>
      <c r="D360" s="112"/>
      <c r="E360" s="112"/>
      <c r="F360" s="112"/>
      <c r="G360" s="113" t="str">
        <f aca="false">IF(AND(E360&lt;&gt;"",F360&lt;&gt;""),E360*F360,"")</f>
        <v/>
      </c>
      <c r="H360" s="113" t="str">
        <f aca="false">IF(B360&lt;&gt;"",SUMIF(B:B,B360,G:G),"")</f>
        <v/>
      </c>
      <c r="I360" s="112"/>
      <c r="J360" s="114" t="str">
        <f aca="false">IF(AND(I360&lt;&gt;"",H360&lt;&gt;""),IFERROR((I360-H360)/I360,""),"")</f>
        <v/>
      </c>
      <c r="K360" s="3"/>
      <c r="L360" s="112"/>
      <c r="M360" s="112"/>
      <c r="N360" s="112"/>
      <c r="O360" s="112"/>
      <c r="P360" s="112"/>
      <c r="Q360" s="112"/>
      <c r="R360" s="113" t="str">
        <f aca="false">IF(AND(P360&lt;&gt;"",Q360&lt;&gt;""),P360*Q360,"")</f>
        <v/>
      </c>
      <c r="S360" s="113" t="str">
        <f aca="false">IF(M360&lt;&gt;"",SUMIF(M:M,M360,R:R),"")</f>
        <v/>
      </c>
      <c r="T360" s="113" t="str">
        <f aca="false">IF(I360&lt;&gt;"",I360,"")</f>
        <v/>
      </c>
      <c r="U360" s="114" t="str">
        <f aca="false">IF(AND(T360&lt;&gt;"",S360&lt;&gt;""),IFERROR((T360-S360)/T360,""),"")</f>
        <v/>
      </c>
    </row>
    <row r="361" customFormat="false" ht="18.75" hidden="false" customHeight="true" outlineLevel="0" collapsed="false">
      <c r="A361" s="109"/>
      <c r="B361" s="109"/>
      <c r="C361" s="109"/>
      <c r="D361" s="109"/>
      <c r="E361" s="109"/>
      <c r="F361" s="109"/>
      <c r="G361" s="110" t="str">
        <f aca="false">IF(AND(E361&lt;&gt;"",F361&lt;&gt;""),E361*F361,"")</f>
        <v/>
      </c>
      <c r="H361" s="110" t="str">
        <f aca="false">IF(B361&lt;&gt;"",SUMIF(B:B,B361,G:G),"")</f>
        <v/>
      </c>
      <c r="I361" s="109"/>
      <c r="J361" s="111" t="str">
        <f aca="false">IF(AND(I361&lt;&gt;"",H361&lt;&gt;""),IFERROR((I361-H361)/I361,""),"")</f>
        <v/>
      </c>
      <c r="K361" s="3"/>
      <c r="L361" s="109"/>
      <c r="M361" s="109"/>
      <c r="N361" s="109"/>
      <c r="O361" s="109"/>
      <c r="P361" s="109"/>
      <c r="Q361" s="109"/>
      <c r="R361" s="110" t="str">
        <f aca="false">IF(AND(P361&lt;&gt;"",Q361&lt;&gt;""),P361*Q361,"")</f>
        <v/>
      </c>
      <c r="S361" s="110" t="str">
        <f aca="false">IF(M361&lt;&gt;"",SUMIF(M:M,M361,R:R),"")</f>
        <v/>
      </c>
      <c r="T361" s="110" t="str">
        <f aca="false">IF(I361&lt;&gt;"",I361,"")</f>
        <v/>
      </c>
      <c r="U361" s="111" t="str">
        <f aca="false">IF(AND(T361&lt;&gt;"",S361&lt;&gt;""),IFERROR((T361-S361)/T361,""),"")</f>
        <v/>
      </c>
    </row>
    <row r="362" customFormat="false" ht="18.75" hidden="false" customHeight="true" outlineLevel="0" collapsed="false">
      <c r="A362" s="112"/>
      <c r="B362" s="112"/>
      <c r="C362" s="112"/>
      <c r="D362" s="112"/>
      <c r="E362" s="112"/>
      <c r="F362" s="112"/>
      <c r="G362" s="113" t="str">
        <f aca="false">IF(AND(E362&lt;&gt;"",F362&lt;&gt;""),E362*F362,"")</f>
        <v/>
      </c>
      <c r="H362" s="113" t="str">
        <f aca="false">IF(B362&lt;&gt;"",SUMIF(B:B,B362,G:G),"")</f>
        <v/>
      </c>
      <c r="I362" s="112"/>
      <c r="J362" s="114" t="str">
        <f aca="false">IF(AND(I362&lt;&gt;"",H362&lt;&gt;""),IFERROR((I362-H362)/I362,""),"")</f>
        <v/>
      </c>
      <c r="K362" s="3"/>
      <c r="L362" s="112"/>
      <c r="M362" s="112"/>
      <c r="N362" s="112"/>
      <c r="O362" s="112"/>
      <c r="P362" s="112"/>
      <c r="Q362" s="112"/>
      <c r="R362" s="113" t="str">
        <f aca="false">IF(AND(P362&lt;&gt;"",Q362&lt;&gt;""),P362*Q362,"")</f>
        <v/>
      </c>
      <c r="S362" s="113" t="str">
        <f aca="false">IF(M362&lt;&gt;"",SUMIF(M:M,M362,R:R),"")</f>
        <v/>
      </c>
      <c r="T362" s="113" t="str">
        <f aca="false">IF(I362&lt;&gt;"",I362,"")</f>
        <v/>
      </c>
      <c r="U362" s="114" t="str">
        <f aca="false">IF(AND(T362&lt;&gt;"",S362&lt;&gt;""),IFERROR((T362-S362)/T362,""),"")</f>
        <v/>
      </c>
    </row>
    <row r="363" customFormat="false" ht="18.75" hidden="false" customHeight="true" outlineLevel="0" collapsed="false">
      <c r="A363" s="109"/>
      <c r="B363" s="109"/>
      <c r="C363" s="109"/>
      <c r="D363" s="109"/>
      <c r="E363" s="109"/>
      <c r="F363" s="109"/>
      <c r="G363" s="110" t="str">
        <f aca="false">IF(AND(E363&lt;&gt;"",F363&lt;&gt;""),E363*F363,"")</f>
        <v/>
      </c>
      <c r="H363" s="110" t="str">
        <f aca="false">IF(B363&lt;&gt;"",SUMIF(B:B,B363,G:G),"")</f>
        <v/>
      </c>
      <c r="I363" s="109"/>
      <c r="J363" s="111" t="str">
        <f aca="false">IF(AND(I363&lt;&gt;"",H363&lt;&gt;""),IFERROR((I363-H363)/I363,""),"")</f>
        <v/>
      </c>
      <c r="K363" s="3"/>
      <c r="L363" s="109"/>
      <c r="M363" s="109"/>
      <c r="N363" s="109"/>
      <c r="O363" s="109"/>
      <c r="P363" s="109"/>
      <c r="Q363" s="109"/>
      <c r="R363" s="110" t="str">
        <f aca="false">IF(AND(P363&lt;&gt;"",Q363&lt;&gt;""),P363*Q363,"")</f>
        <v/>
      </c>
      <c r="S363" s="110" t="str">
        <f aca="false">IF(M363&lt;&gt;"",SUMIF(M:M,M363,R:R),"")</f>
        <v/>
      </c>
      <c r="T363" s="110" t="str">
        <f aca="false">IF(I363&lt;&gt;"",I363,"")</f>
        <v/>
      </c>
      <c r="U363" s="111" t="str">
        <f aca="false">IF(AND(T363&lt;&gt;"",S363&lt;&gt;""),IFERROR((T363-S363)/T363,""),"")</f>
        <v/>
      </c>
    </row>
    <row r="364" customFormat="false" ht="18.75" hidden="false" customHeight="true" outlineLevel="0" collapsed="false">
      <c r="A364" s="112"/>
      <c r="B364" s="112"/>
      <c r="C364" s="112"/>
      <c r="D364" s="112"/>
      <c r="E364" s="112"/>
      <c r="F364" s="112"/>
      <c r="G364" s="113" t="str">
        <f aca="false">IF(AND(E364&lt;&gt;"",F364&lt;&gt;""),E364*F364,"")</f>
        <v/>
      </c>
      <c r="H364" s="113" t="str">
        <f aca="false">IF(B364&lt;&gt;"",SUMIF(B:B,B364,G:G),"")</f>
        <v/>
      </c>
      <c r="I364" s="112"/>
      <c r="J364" s="114" t="str">
        <f aca="false">IF(AND(I364&lt;&gt;"",H364&lt;&gt;""),IFERROR((I364-H364)/I364,""),"")</f>
        <v/>
      </c>
      <c r="K364" s="3"/>
      <c r="L364" s="112"/>
      <c r="M364" s="112"/>
      <c r="N364" s="112"/>
      <c r="O364" s="112"/>
      <c r="P364" s="112"/>
      <c r="Q364" s="112"/>
      <c r="R364" s="113" t="str">
        <f aca="false">IF(AND(P364&lt;&gt;"",Q364&lt;&gt;""),P364*Q364,"")</f>
        <v/>
      </c>
      <c r="S364" s="113" t="str">
        <f aca="false">IF(M364&lt;&gt;"",SUMIF(M:M,M364,R:R),"")</f>
        <v/>
      </c>
      <c r="T364" s="113" t="str">
        <f aca="false">IF(I364&lt;&gt;"",I364,"")</f>
        <v/>
      </c>
      <c r="U364" s="114" t="str">
        <f aca="false">IF(AND(T364&lt;&gt;"",S364&lt;&gt;""),IFERROR((T364-S364)/T364,""),"")</f>
        <v/>
      </c>
    </row>
    <row r="365" customFormat="false" ht="18.75" hidden="false" customHeight="true" outlineLevel="0" collapsed="false">
      <c r="A365" s="109"/>
      <c r="B365" s="109"/>
      <c r="C365" s="109"/>
      <c r="D365" s="109"/>
      <c r="E365" s="109"/>
      <c r="F365" s="109"/>
      <c r="G365" s="110" t="str">
        <f aca="false">IF(AND(E365&lt;&gt;"",F365&lt;&gt;""),E365*F365,"")</f>
        <v/>
      </c>
      <c r="H365" s="110" t="str">
        <f aca="false">IF(B365&lt;&gt;"",SUMIF(B:B,B365,G:G),"")</f>
        <v/>
      </c>
      <c r="I365" s="109"/>
      <c r="J365" s="111" t="str">
        <f aca="false">IF(AND(I365&lt;&gt;"",H365&lt;&gt;""),IFERROR((I365-H365)/I365,""),"")</f>
        <v/>
      </c>
      <c r="K365" s="3"/>
      <c r="L365" s="109"/>
      <c r="M365" s="109"/>
      <c r="N365" s="109"/>
      <c r="O365" s="109"/>
      <c r="P365" s="109"/>
      <c r="Q365" s="109"/>
      <c r="R365" s="110" t="str">
        <f aca="false">IF(AND(P365&lt;&gt;"",Q365&lt;&gt;""),P365*Q365,"")</f>
        <v/>
      </c>
      <c r="S365" s="110" t="str">
        <f aca="false">IF(M365&lt;&gt;"",SUMIF(M:M,M365,R:R),"")</f>
        <v/>
      </c>
      <c r="T365" s="110" t="str">
        <f aca="false">IF(I365&lt;&gt;"",I365,"")</f>
        <v/>
      </c>
      <c r="U365" s="111" t="str">
        <f aca="false">IF(AND(T365&lt;&gt;"",S365&lt;&gt;""),IFERROR((T365-S365)/T365,""),"")</f>
        <v/>
      </c>
    </row>
    <row r="366" customFormat="false" ht="18.75" hidden="false" customHeight="true" outlineLevel="0" collapsed="false">
      <c r="A366" s="112"/>
      <c r="B366" s="112"/>
      <c r="C366" s="112"/>
      <c r="D366" s="112"/>
      <c r="E366" s="112"/>
      <c r="F366" s="112"/>
      <c r="G366" s="113" t="str">
        <f aca="false">IF(AND(E366&lt;&gt;"",F366&lt;&gt;""),E366*F366,"")</f>
        <v/>
      </c>
      <c r="H366" s="113" t="str">
        <f aca="false">IF(B366&lt;&gt;"",SUMIF(B:B,B366,G:G),"")</f>
        <v/>
      </c>
      <c r="I366" s="112"/>
      <c r="J366" s="114" t="str">
        <f aca="false">IF(AND(I366&lt;&gt;"",H366&lt;&gt;""),IFERROR((I366-H366)/I366,""),"")</f>
        <v/>
      </c>
      <c r="K366" s="3"/>
      <c r="L366" s="112"/>
      <c r="M366" s="112"/>
      <c r="N366" s="112"/>
      <c r="O366" s="112"/>
      <c r="P366" s="112"/>
      <c r="Q366" s="112"/>
      <c r="R366" s="113" t="str">
        <f aca="false">IF(AND(P366&lt;&gt;"",Q366&lt;&gt;""),P366*Q366,"")</f>
        <v/>
      </c>
      <c r="S366" s="113" t="str">
        <f aca="false">IF(M366&lt;&gt;"",SUMIF(M:M,M366,R:R),"")</f>
        <v/>
      </c>
      <c r="T366" s="113" t="str">
        <f aca="false">IF(I366&lt;&gt;"",I366,"")</f>
        <v/>
      </c>
      <c r="U366" s="114" t="str">
        <f aca="false">IF(AND(T366&lt;&gt;"",S366&lt;&gt;""),IFERROR((T366-S366)/T366,""),"")</f>
        <v/>
      </c>
    </row>
    <row r="367" customFormat="false" ht="18.75" hidden="false" customHeight="true" outlineLevel="0" collapsed="false">
      <c r="A367" s="109"/>
      <c r="B367" s="109"/>
      <c r="C367" s="109"/>
      <c r="D367" s="109"/>
      <c r="E367" s="109"/>
      <c r="F367" s="109"/>
      <c r="G367" s="110" t="str">
        <f aca="false">IF(AND(E367&lt;&gt;"",F367&lt;&gt;""),E367*F367,"")</f>
        <v/>
      </c>
      <c r="H367" s="110" t="str">
        <f aca="false">IF(B367&lt;&gt;"",SUMIF(B:B,B367,G:G),"")</f>
        <v/>
      </c>
      <c r="I367" s="109"/>
      <c r="J367" s="111" t="str">
        <f aca="false">IF(AND(I367&lt;&gt;"",H367&lt;&gt;""),IFERROR((I367-H367)/I367,""),"")</f>
        <v/>
      </c>
      <c r="K367" s="3"/>
      <c r="L367" s="109"/>
      <c r="M367" s="109"/>
      <c r="N367" s="109"/>
      <c r="O367" s="109"/>
      <c r="P367" s="109"/>
      <c r="Q367" s="109"/>
      <c r="R367" s="110" t="str">
        <f aca="false">IF(AND(P367&lt;&gt;"",Q367&lt;&gt;""),P367*Q367,"")</f>
        <v/>
      </c>
      <c r="S367" s="110" t="str">
        <f aca="false">IF(M367&lt;&gt;"",SUMIF(M:M,M367,R:R),"")</f>
        <v/>
      </c>
      <c r="T367" s="110" t="str">
        <f aca="false">IF(I367&lt;&gt;"",I367,"")</f>
        <v/>
      </c>
      <c r="U367" s="111" t="str">
        <f aca="false">IF(AND(T367&lt;&gt;"",S367&lt;&gt;""),IFERROR((T367-S367)/T367,""),"")</f>
        <v/>
      </c>
    </row>
    <row r="368" customFormat="false" ht="18.75" hidden="false" customHeight="true" outlineLevel="0" collapsed="false">
      <c r="A368" s="112"/>
      <c r="B368" s="112"/>
      <c r="C368" s="112"/>
      <c r="D368" s="112"/>
      <c r="E368" s="112"/>
      <c r="F368" s="112"/>
      <c r="G368" s="113" t="str">
        <f aca="false">IF(AND(E368&lt;&gt;"",F368&lt;&gt;""),E368*F368,"")</f>
        <v/>
      </c>
      <c r="H368" s="113" t="str">
        <f aca="false">IF(B368&lt;&gt;"",SUMIF(B:B,B368,G:G),"")</f>
        <v/>
      </c>
      <c r="I368" s="112"/>
      <c r="J368" s="114" t="str">
        <f aca="false">IF(AND(I368&lt;&gt;"",H368&lt;&gt;""),IFERROR((I368-H368)/I368,""),"")</f>
        <v/>
      </c>
      <c r="K368" s="3"/>
      <c r="L368" s="112"/>
      <c r="M368" s="112"/>
      <c r="N368" s="112"/>
      <c r="O368" s="112"/>
      <c r="P368" s="112"/>
      <c r="Q368" s="112"/>
      <c r="R368" s="113" t="str">
        <f aca="false">IF(AND(P368&lt;&gt;"",Q368&lt;&gt;""),P368*Q368,"")</f>
        <v/>
      </c>
      <c r="S368" s="113" t="str">
        <f aca="false">IF(M368&lt;&gt;"",SUMIF(M:M,M368,R:R),"")</f>
        <v/>
      </c>
      <c r="T368" s="113" t="str">
        <f aca="false">IF(I368&lt;&gt;"",I368,"")</f>
        <v/>
      </c>
      <c r="U368" s="114" t="str">
        <f aca="false">IF(AND(T368&lt;&gt;"",S368&lt;&gt;""),IFERROR((T368-S368)/T368,""),"")</f>
        <v/>
      </c>
    </row>
    <row r="369" customFormat="false" ht="18.75" hidden="false" customHeight="true" outlineLevel="0" collapsed="false">
      <c r="A369" s="109"/>
      <c r="B369" s="109"/>
      <c r="C369" s="109"/>
      <c r="D369" s="109"/>
      <c r="E369" s="109"/>
      <c r="F369" s="109"/>
      <c r="G369" s="110" t="str">
        <f aca="false">IF(AND(E369&lt;&gt;"",F369&lt;&gt;""),E369*F369,"")</f>
        <v/>
      </c>
      <c r="H369" s="110" t="str">
        <f aca="false">IF(B369&lt;&gt;"",SUMIF(B:B,B369,G:G),"")</f>
        <v/>
      </c>
      <c r="I369" s="109"/>
      <c r="J369" s="111" t="str">
        <f aca="false">IF(AND(I369&lt;&gt;"",H369&lt;&gt;""),IFERROR((I369-H369)/I369,""),"")</f>
        <v/>
      </c>
      <c r="K369" s="3"/>
      <c r="L369" s="109"/>
      <c r="M369" s="109"/>
      <c r="N369" s="109"/>
      <c r="O369" s="109"/>
      <c r="P369" s="109"/>
      <c r="Q369" s="109"/>
      <c r="R369" s="110" t="str">
        <f aca="false">IF(AND(P369&lt;&gt;"",Q369&lt;&gt;""),P369*Q369,"")</f>
        <v/>
      </c>
      <c r="S369" s="110" t="str">
        <f aca="false">IF(M369&lt;&gt;"",SUMIF(M:M,M369,R:R),"")</f>
        <v/>
      </c>
      <c r="T369" s="110" t="str">
        <f aca="false">IF(I369&lt;&gt;"",I369,"")</f>
        <v/>
      </c>
      <c r="U369" s="111" t="str">
        <f aca="false">IF(AND(T369&lt;&gt;"",S369&lt;&gt;""),IFERROR((T369-S369)/T369,""),"")</f>
        <v/>
      </c>
    </row>
    <row r="370" customFormat="false" ht="18.75" hidden="false" customHeight="true" outlineLevel="0" collapsed="false">
      <c r="A370" s="112"/>
      <c r="B370" s="112"/>
      <c r="C370" s="112"/>
      <c r="D370" s="112"/>
      <c r="E370" s="112"/>
      <c r="F370" s="112"/>
      <c r="G370" s="113" t="str">
        <f aca="false">IF(AND(E370&lt;&gt;"",F370&lt;&gt;""),E370*F370,"")</f>
        <v/>
      </c>
      <c r="H370" s="113" t="str">
        <f aca="false">IF(B370&lt;&gt;"",SUMIF(B:B,B370,G:G),"")</f>
        <v/>
      </c>
      <c r="I370" s="112"/>
      <c r="J370" s="114" t="str">
        <f aca="false">IF(AND(I370&lt;&gt;"",H370&lt;&gt;""),IFERROR((I370-H370)/I370,""),"")</f>
        <v/>
      </c>
      <c r="K370" s="3"/>
      <c r="L370" s="112"/>
      <c r="M370" s="112"/>
      <c r="N370" s="112"/>
      <c r="O370" s="112"/>
      <c r="P370" s="112"/>
      <c r="Q370" s="112"/>
      <c r="R370" s="113" t="str">
        <f aca="false">IF(AND(P370&lt;&gt;"",Q370&lt;&gt;""),P370*Q370,"")</f>
        <v/>
      </c>
      <c r="S370" s="113" t="str">
        <f aca="false">IF(M370&lt;&gt;"",SUMIF(M:M,M370,R:R),"")</f>
        <v/>
      </c>
      <c r="T370" s="113" t="str">
        <f aca="false">IF(I370&lt;&gt;"",I370,"")</f>
        <v/>
      </c>
      <c r="U370" s="114" t="str">
        <f aca="false">IF(AND(T370&lt;&gt;"",S370&lt;&gt;""),IFERROR((T370-S370)/T370,""),"")</f>
        <v/>
      </c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>
      <c r="K596" s="3"/>
    </row>
    <row r="597" customFormat="false" ht="18.75" hidden="false" customHeight="true" outlineLevel="0" collapsed="false">
      <c r="K597" s="3"/>
    </row>
    <row r="598" customFormat="false" ht="18.75" hidden="false" customHeight="true" outlineLevel="0" collapsed="false">
      <c r="K598" s="3"/>
    </row>
    <row r="599" customFormat="false" ht="18.75" hidden="false" customHeight="true" outlineLevel="0" collapsed="false">
      <c r="K599" s="3"/>
    </row>
  </sheetData>
  <mergeCells count="23">
    <mergeCell ref="A2:U2"/>
    <mergeCell ref="A4:J4"/>
    <mergeCell ref="L4:U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AO6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  <col collapsed="false" customWidth="true" hidden="false" outlineLevel="0" max="43" min="23" style="1" width="8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1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  <c r="W4" s="115" t="s">
        <v>239</v>
      </c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customFormat="false" ht="18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  <c r="W5" s="116" t="s">
        <v>75</v>
      </c>
      <c r="X5" s="116"/>
      <c r="Z5" s="117" t="s">
        <v>76</v>
      </c>
      <c r="AA5" s="117"/>
    </row>
    <row r="6" customFormat="false" ht="18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  <c r="W6" s="118" t="s">
        <v>240</v>
      </c>
      <c r="X6" s="118" t="s">
        <v>241</v>
      </c>
      <c r="Y6" s="118" t="s">
        <v>241</v>
      </c>
      <c r="Z6" s="118" t="s">
        <v>242</v>
      </c>
      <c r="AA6" s="118" t="s">
        <v>243</v>
      </c>
      <c r="AB6" s="118" t="s">
        <v>244</v>
      </c>
      <c r="AC6" s="118" t="s">
        <v>245</v>
      </c>
      <c r="AD6" s="118" t="s">
        <v>246</v>
      </c>
      <c r="AE6" s="118" t="s">
        <v>247</v>
      </c>
      <c r="AF6" s="118" t="s">
        <v>248</v>
      </c>
      <c r="AG6" s="118" t="s">
        <v>249</v>
      </c>
      <c r="AH6" s="118" t="s">
        <v>250</v>
      </c>
      <c r="AI6" s="118" t="s">
        <v>251</v>
      </c>
      <c r="AJ6" s="118" t="s">
        <v>252</v>
      </c>
      <c r="AK6" s="118" t="s">
        <v>253</v>
      </c>
      <c r="AL6" s="118" t="s">
        <v>254</v>
      </c>
      <c r="AM6" s="118" t="s">
        <v>255</v>
      </c>
      <c r="AN6" s="118" t="s">
        <v>256</v>
      </c>
      <c r="AO6" s="119" t="n">
        <f aca="false">J25</f>
        <v>0.246444285714286</v>
      </c>
    </row>
    <row r="7" customFormat="false" ht="18" hidden="false" customHeight="true" outlineLevel="0" collapsed="false">
      <c r="A7" s="91"/>
      <c r="B7" s="92"/>
      <c r="C7" s="84" t="s">
        <v>257</v>
      </c>
      <c r="D7" s="96" t="s">
        <v>57</v>
      </c>
      <c r="E7" s="91"/>
      <c r="F7" s="91"/>
      <c r="G7" s="87"/>
      <c r="H7" s="93"/>
      <c r="I7" s="94"/>
      <c r="J7" s="95"/>
      <c r="K7" s="3"/>
      <c r="L7" s="91"/>
      <c r="M7" s="92"/>
      <c r="N7" s="84" t="s">
        <v>257</v>
      </c>
      <c r="O7" s="96" t="s">
        <v>57</v>
      </c>
      <c r="P7" s="91"/>
      <c r="Q7" s="91"/>
      <c r="R7" s="120"/>
      <c r="S7" s="93"/>
      <c r="T7" s="94"/>
      <c r="U7" s="95"/>
      <c r="W7" s="121" t="n">
        <f aca="false">J8</f>
        <v>0.0642914285714286</v>
      </c>
      <c r="X7" s="121" t="n">
        <f aca="false">J25</f>
        <v>0.246444285714286</v>
      </c>
      <c r="Y7" s="121" t="n">
        <f aca="false">J42</f>
        <v>0.25898</v>
      </c>
      <c r="Z7" s="121" t="n">
        <f aca="false">J60</f>
        <v>0.23171</v>
      </c>
      <c r="AA7" s="121" t="n">
        <f aca="false">J76</f>
        <v>0.274648571428571</v>
      </c>
      <c r="AB7" s="121" t="n">
        <f aca="false">J93</f>
        <v>0.311345714285714</v>
      </c>
      <c r="AC7" s="121" t="n">
        <f aca="false">J106</f>
        <v>0.34654</v>
      </c>
      <c r="AD7" s="121" t="n">
        <f aca="false">J121</f>
        <v>0.315558571428571</v>
      </c>
      <c r="AE7" s="121" t="n">
        <f aca="false">J134</f>
        <v>0.322014285714286</v>
      </c>
      <c r="AF7" s="121" t="n">
        <f aca="false">J149</f>
        <v>0.206798571428571</v>
      </c>
      <c r="AG7" s="121" t="n">
        <f aca="false">J164</f>
        <v>0.355897142857143</v>
      </c>
      <c r="AH7" s="121" t="n">
        <f aca="false">J178</f>
        <v>0.36155</v>
      </c>
      <c r="AI7" s="121" t="n">
        <f aca="false">J193</f>
        <v>0.310231428571429</v>
      </c>
      <c r="AJ7" s="121" t="n">
        <f aca="false">J210</f>
        <v>0.400172857142857</v>
      </c>
      <c r="AK7" s="121" t="n">
        <f aca="false">J225</f>
        <v>0.307541428571429</v>
      </c>
      <c r="AL7" s="121" t="n">
        <f aca="false">J240</f>
        <v>0.331972857142857</v>
      </c>
      <c r="AM7" s="121" t="n">
        <f aca="false">J255</f>
        <v>0.310585714285714</v>
      </c>
      <c r="AN7" s="121" t="n">
        <f aca="false">J605</f>
        <v>0</v>
      </c>
      <c r="AO7" s="121" t="n">
        <f aca="false">J606</f>
        <v>0</v>
      </c>
    </row>
    <row r="8" customFormat="false" ht="18" hidden="false" customHeight="true" outlineLevel="0" collapsed="false">
      <c r="A8" s="82" t="s">
        <v>39</v>
      </c>
      <c r="B8" s="83" t="s">
        <v>240</v>
      </c>
      <c r="C8" s="97" t="s">
        <v>91</v>
      </c>
      <c r="D8" s="98" t="s">
        <v>55</v>
      </c>
      <c r="E8" s="99" t="n">
        <v>35</v>
      </c>
      <c r="F8" s="99" t="n">
        <v>16</v>
      </c>
      <c r="G8" s="100" t="n">
        <f aca="false">E8*F8</f>
        <v>560</v>
      </c>
      <c r="H8" s="88" t="n">
        <f aca="false">SUMIF(B:B,B8,G:G)</f>
        <v>6549.96</v>
      </c>
      <c r="I8" s="89" t="n">
        <v>7000</v>
      </c>
      <c r="J8" s="90" t="n">
        <f aca="false">IFERROR((I8-H8)/I8,"")</f>
        <v>0.0642914285714286</v>
      </c>
      <c r="K8" s="3"/>
      <c r="L8" s="82" t="s">
        <v>39</v>
      </c>
      <c r="M8" s="83" t="s">
        <v>240</v>
      </c>
      <c r="N8" s="97" t="s">
        <v>91</v>
      </c>
      <c r="O8" s="98" t="s">
        <v>55</v>
      </c>
      <c r="P8" s="101"/>
      <c r="Q8" s="101"/>
      <c r="R8" s="102" t="n">
        <v>0</v>
      </c>
      <c r="S8" s="88" t="n">
        <f aca="false">SUMIF(M:M,M8,R:R)</f>
        <v>5989.96</v>
      </c>
      <c r="T8" s="89" t="n">
        <f aca="false">I8</f>
        <v>7000</v>
      </c>
      <c r="U8" s="90" t="n">
        <f aca="false">IFERROR((T8-S8)/T8,"")</f>
        <v>0.144291428571429</v>
      </c>
      <c r="W8" s="122" t="n">
        <f aca="false">U8</f>
        <v>0.144291428571429</v>
      </c>
      <c r="X8" s="122" t="n">
        <f aca="false">U25</f>
        <v>0.294444285714286</v>
      </c>
      <c r="Y8" s="122" t="n">
        <f aca="false">U42</f>
        <v>0.331265714285714</v>
      </c>
      <c r="Z8" s="122" t="n">
        <f aca="false">U60</f>
        <v>0.287995714285714</v>
      </c>
      <c r="AA8" s="122" t="n">
        <f aca="false">U76</f>
        <v>0.330934285714286</v>
      </c>
      <c r="AB8" s="122" t="n">
        <f aca="false">U93</f>
        <v>0.428202857142857</v>
      </c>
      <c r="AC8" s="122" t="n">
        <f aca="false">U106</f>
        <v>0.418825714285714</v>
      </c>
      <c r="AD8" s="122" t="n">
        <f aca="false">U121</f>
        <v>0.363558571428571</v>
      </c>
      <c r="AE8" s="122" t="n">
        <f aca="false">U134</f>
        <v>0.354014285714286</v>
      </c>
      <c r="AF8" s="122" t="n">
        <f aca="false">U149</f>
        <v>0.206798571428571</v>
      </c>
      <c r="AG8" s="122" t="n">
        <f aca="false">U164</f>
        <v>0.425325714285714</v>
      </c>
      <c r="AH8" s="122" t="n">
        <f aca="false">U178</f>
        <v>0.436407142857143</v>
      </c>
      <c r="AI8" s="122" t="n">
        <f aca="false">U193</f>
        <v>0.37966</v>
      </c>
      <c r="AJ8" s="122" t="n">
        <f aca="false">U210</f>
        <v>0.421601428571429</v>
      </c>
      <c r="AK8" s="122" t="n">
        <f aca="false">U225</f>
        <v>0.35897</v>
      </c>
      <c r="AL8" s="122" t="n">
        <f aca="false">U240</f>
        <v>0.363972857142857</v>
      </c>
      <c r="AM8" s="122" t="n">
        <f aca="false">U255</f>
        <v>0.358585714285714</v>
      </c>
      <c r="AN8" s="122" t="n">
        <f aca="false">U605</f>
        <v>0</v>
      </c>
      <c r="AO8" s="122" t="n">
        <f aca="false">U606</f>
        <v>0</v>
      </c>
    </row>
    <row r="9" customFormat="false" ht="18.75" hidden="false" customHeight="true" outlineLevel="0" collapsed="false">
      <c r="A9" s="91"/>
      <c r="B9" s="92" t="s">
        <v>240</v>
      </c>
      <c r="C9" s="84" t="s">
        <v>174</v>
      </c>
      <c r="D9" s="85" t="s">
        <v>56</v>
      </c>
      <c r="E9" s="86" t="n">
        <v>14</v>
      </c>
      <c r="F9" s="86" t="n">
        <v>21</v>
      </c>
      <c r="G9" s="87" t="n">
        <f aca="false">E9*F9</f>
        <v>294</v>
      </c>
      <c r="H9" s="93"/>
      <c r="I9" s="94"/>
      <c r="J9" s="95"/>
      <c r="K9" s="3"/>
      <c r="L9" s="91"/>
      <c r="M9" s="92" t="s">
        <v>240</v>
      </c>
      <c r="N9" s="84" t="s">
        <v>174</v>
      </c>
      <c r="O9" s="85" t="s">
        <v>56</v>
      </c>
      <c r="P9" s="86" t="n">
        <v>14</v>
      </c>
      <c r="Q9" s="86" t="n">
        <v>21</v>
      </c>
      <c r="R9" s="87" t="n">
        <f aca="false">P9*Q9</f>
        <v>294</v>
      </c>
      <c r="S9" s="93"/>
      <c r="T9" s="94"/>
      <c r="U9" s="95"/>
    </row>
    <row r="10" customFormat="false" ht="18.75" hidden="false" customHeight="true" outlineLevel="0" collapsed="false">
      <c r="A10" s="91"/>
      <c r="B10" s="92" t="s">
        <v>240</v>
      </c>
      <c r="C10" s="84" t="s">
        <v>258</v>
      </c>
      <c r="D10" s="85" t="s">
        <v>56</v>
      </c>
      <c r="E10" s="86" t="n">
        <v>36.4</v>
      </c>
      <c r="F10" s="86" t="n">
        <v>17</v>
      </c>
      <c r="G10" s="87" t="n">
        <f aca="false">E10*F10</f>
        <v>618.8</v>
      </c>
      <c r="H10" s="93"/>
      <c r="I10" s="94"/>
      <c r="J10" s="95"/>
      <c r="K10" s="3"/>
      <c r="L10" s="91"/>
      <c r="M10" s="92" t="s">
        <v>240</v>
      </c>
      <c r="N10" s="84" t="s">
        <v>258</v>
      </c>
      <c r="O10" s="85" t="s">
        <v>56</v>
      </c>
      <c r="P10" s="86" t="n">
        <v>36.4</v>
      </c>
      <c r="Q10" s="86" t="n">
        <v>17</v>
      </c>
      <c r="R10" s="87" t="n">
        <f aca="false">P10*Q10</f>
        <v>618.8</v>
      </c>
      <c r="S10" s="93"/>
      <c r="T10" s="94"/>
      <c r="U10" s="95"/>
    </row>
    <row r="11" customFormat="false" ht="18.75" hidden="false" customHeight="true" outlineLevel="0" collapsed="false">
      <c r="A11" s="91"/>
      <c r="B11" s="92" t="s">
        <v>240</v>
      </c>
      <c r="C11" s="84" t="s">
        <v>164</v>
      </c>
      <c r="D11" s="85" t="s">
        <v>56</v>
      </c>
      <c r="E11" s="86" t="n">
        <v>24.5</v>
      </c>
      <c r="F11" s="86" t="n">
        <v>17</v>
      </c>
      <c r="G11" s="87" t="n">
        <f aca="false">E11*F11</f>
        <v>416.5</v>
      </c>
      <c r="H11" s="93"/>
      <c r="I11" s="94"/>
      <c r="J11" s="95"/>
      <c r="K11" s="3"/>
      <c r="L11" s="91"/>
      <c r="M11" s="92" t="s">
        <v>240</v>
      </c>
      <c r="N11" s="84" t="s">
        <v>164</v>
      </c>
      <c r="O11" s="85" t="s">
        <v>56</v>
      </c>
      <c r="P11" s="86" t="n">
        <v>24.5</v>
      </c>
      <c r="Q11" s="86" t="n">
        <v>17</v>
      </c>
      <c r="R11" s="87" t="n">
        <f aca="false">P11*Q11</f>
        <v>416.5</v>
      </c>
      <c r="S11" s="93"/>
      <c r="T11" s="94"/>
      <c r="U11" s="95"/>
    </row>
    <row r="12" customFormat="false" ht="18.75" hidden="false" customHeight="true" outlineLevel="0" collapsed="false">
      <c r="A12" s="91"/>
      <c r="B12" s="92" t="s">
        <v>240</v>
      </c>
      <c r="C12" s="84" t="s">
        <v>137</v>
      </c>
      <c r="D12" s="85" t="s">
        <v>56</v>
      </c>
      <c r="E12" s="86" t="n">
        <v>30</v>
      </c>
      <c r="F12" s="86" t="n">
        <v>17</v>
      </c>
      <c r="G12" s="87" t="n">
        <f aca="false">E12*F12</f>
        <v>510</v>
      </c>
      <c r="H12" s="93"/>
      <c r="I12" s="94"/>
      <c r="J12" s="95"/>
      <c r="K12" s="3"/>
      <c r="L12" s="91"/>
      <c r="M12" s="92" t="s">
        <v>240</v>
      </c>
      <c r="N12" s="84" t="s">
        <v>137</v>
      </c>
      <c r="O12" s="85" t="s">
        <v>56</v>
      </c>
      <c r="P12" s="86" t="n">
        <v>30</v>
      </c>
      <c r="Q12" s="86" t="n">
        <v>17</v>
      </c>
      <c r="R12" s="87" t="n">
        <f aca="false">P12*Q12</f>
        <v>510</v>
      </c>
      <c r="S12" s="93"/>
      <c r="T12" s="94"/>
      <c r="U12" s="95"/>
    </row>
    <row r="13" customFormat="false" ht="18.75" hidden="false" customHeight="true" outlineLevel="0" collapsed="false">
      <c r="A13" s="91"/>
      <c r="B13" s="92" t="s">
        <v>240</v>
      </c>
      <c r="C13" s="84" t="s">
        <v>81</v>
      </c>
      <c r="D13" s="85" t="s">
        <v>56</v>
      </c>
      <c r="E13" s="86" t="n">
        <v>35.69</v>
      </c>
      <c r="F13" s="86" t="n">
        <v>17</v>
      </c>
      <c r="G13" s="87" t="n">
        <f aca="false">E13*F13</f>
        <v>606.73</v>
      </c>
      <c r="H13" s="93"/>
      <c r="I13" s="94"/>
      <c r="J13" s="95"/>
      <c r="K13" s="3"/>
      <c r="L13" s="91"/>
      <c r="M13" s="92" t="s">
        <v>240</v>
      </c>
      <c r="N13" s="84" t="s">
        <v>81</v>
      </c>
      <c r="O13" s="85" t="s">
        <v>56</v>
      </c>
      <c r="P13" s="86" t="n">
        <v>35.69</v>
      </c>
      <c r="Q13" s="86" t="n">
        <v>17</v>
      </c>
      <c r="R13" s="87" t="n">
        <f aca="false">P13*Q13</f>
        <v>606.73</v>
      </c>
      <c r="S13" s="93"/>
      <c r="T13" s="94"/>
      <c r="U13" s="95"/>
    </row>
    <row r="14" customFormat="false" ht="18.75" hidden="false" customHeight="true" outlineLevel="0" collapsed="false">
      <c r="A14" s="91"/>
      <c r="B14" s="92" t="s">
        <v>240</v>
      </c>
      <c r="C14" s="84" t="s">
        <v>259</v>
      </c>
      <c r="D14" s="85" t="s">
        <v>56</v>
      </c>
      <c r="E14" s="86" t="n">
        <v>16.61</v>
      </c>
      <c r="F14" s="86" t="n">
        <v>15</v>
      </c>
      <c r="G14" s="87" t="n">
        <f aca="false">E14*F14</f>
        <v>249.15</v>
      </c>
      <c r="H14" s="93"/>
      <c r="I14" s="94"/>
      <c r="J14" s="95"/>
      <c r="K14" s="3"/>
      <c r="L14" s="91"/>
      <c r="M14" s="92" t="s">
        <v>240</v>
      </c>
      <c r="N14" s="84" t="s">
        <v>259</v>
      </c>
      <c r="O14" s="85" t="s">
        <v>56</v>
      </c>
      <c r="P14" s="86" t="n">
        <v>16.61</v>
      </c>
      <c r="Q14" s="86" t="n">
        <v>15</v>
      </c>
      <c r="R14" s="87" t="n">
        <f aca="false">P14*Q14</f>
        <v>249.15</v>
      </c>
      <c r="S14" s="93"/>
      <c r="T14" s="94"/>
      <c r="U14" s="95"/>
    </row>
    <row r="15" customFormat="false" ht="18.75" hidden="false" customHeight="true" outlineLevel="0" collapsed="false">
      <c r="A15" s="91"/>
      <c r="B15" s="92" t="s">
        <v>240</v>
      </c>
      <c r="C15" s="84" t="s">
        <v>260</v>
      </c>
      <c r="D15" s="85" t="s">
        <v>56</v>
      </c>
      <c r="E15" s="86" t="n">
        <v>27.33</v>
      </c>
      <c r="F15" s="86" t="n">
        <v>17</v>
      </c>
      <c r="G15" s="87" t="n">
        <f aca="false">E15*F15</f>
        <v>464.61</v>
      </c>
      <c r="H15" s="93"/>
      <c r="I15" s="94"/>
      <c r="J15" s="95"/>
      <c r="K15" s="3"/>
      <c r="L15" s="91"/>
      <c r="M15" s="92" t="s">
        <v>240</v>
      </c>
      <c r="N15" s="84" t="s">
        <v>260</v>
      </c>
      <c r="O15" s="85" t="s">
        <v>56</v>
      </c>
      <c r="P15" s="86" t="n">
        <v>27.33</v>
      </c>
      <c r="Q15" s="86" t="n">
        <v>17</v>
      </c>
      <c r="R15" s="87" t="n">
        <f aca="false">P15*Q15</f>
        <v>464.61</v>
      </c>
      <c r="S15" s="93"/>
      <c r="T15" s="94"/>
      <c r="U15" s="95"/>
    </row>
    <row r="16" customFormat="false" ht="18.75" hidden="false" customHeight="true" outlineLevel="0" collapsed="false">
      <c r="A16" s="91"/>
      <c r="B16" s="92" t="s">
        <v>240</v>
      </c>
      <c r="C16" s="84" t="s">
        <v>261</v>
      </c>
      <c r="D16" s="85" t="s">
        <v>56</v>
      </c>
      <c r="E16" s="86" t="n">
        <v>10.68</v>
      </c>
      <c r="F16" s="86" t="n">
        <v>15</v>
      </c>
      <c r="G16" s="87" t="n">
        <f aca="false">E16*F16</f>
        <v>160.2</v>
      </c>
      <c r="H16" s="93"/>
      <c r="I16" s="94"/>
      <c r="J16" s="95"/>
      <c r="K16" s="3"/>
      <c r="L16" s="91"/>
      <c r="M16" s="92" t="s">
        <v>240</v>
      </c>
      <c r="N16" s="84" t="s">
        <v>261</v>
      </c>
      <c r="O16" s="85" t="s">
        <v>56</v>
      </c>
      <c r="P16" s="86" t="n">
        <v>10.68</v>
      </c>
      <c r="Q16" s="86" t="n">
        <v>15</v>
      </c>
      <c r="R16" s="87" t="n">
        <f aca="false">P16*Q16</f>
        <v>160.2</v>
      </c>
      <c r="S16" s="93"/>
      <c r="T16" s="94"/>
      <c r="U16" s="95"/>
    </row>
    <row r="17" customFormat="false" ht="18.75" hidden="false" customHeight="true" outlineLevel="0" collapsed="false">
      <c r="A17" s="91"/>
      <c r="B17" s="92" t="s">
        <v>240</v>
      </c>
      <c r="C17" s="84" t="s">
        <v>262</v>
      </c>
      <c r="D17" s="85" t="s">
        <v>56</v>
      </c>
      <c r="E17" s="86" t="n">
        <v>16.32</v>
      </c>
      <c r="F17" s="86" t="n">
        <v>17</v>
      </c>
      <c r="G17" s="87" t="n">
        <f aca="false">E17*F17</f>
        <v>277.44</v>
      </c>
      <c r="H17" s="93"/>
      <c r="I17" s="94"/>
      <c r="J17" s="95"/>
      <c r="K17" s="3"/>
      <c r="L17" s="91"/>
      <c r="M17" s="92" t="s">
        <v>240</v>
      </c>
      <c r="N17" s="84" t="s">
        <v>262</v>
      </c>
      <c r="O17" s="85" t="s">
        <v>56</v>
      </c>
      <c r="P17" s="86" t="n">
        <v>16.32</v>
      </c>
      <c r="Q17" s="86" t="n">
        <v>17</v>
      </c>
      <c r="R17" s="87" t="n">
        <f aca="false">P17*Q17</f>
        <v>277.44</v>
      </c>
      <c r="S17" s="93"/>
      <c r="T17" s="94"/>
      <c r="U17" s="95"/>
    </row>
    <row r="18" customFormat="false" ht="18.75" hidden="false" customHeight="true" outlineLevel="0" collapsed="false">
      <c r="A18" s="91"/>
      <c r="B18" s="92" t="s">
        <v>240</v>
      </c>
      <c r="C18" s="84" t="s">
        <v>263</v>
      </c>
      <c r="D18" s="96" t="s">
        <v>57</v>
      </c>
      <c r="E18" s="91"/>
      <c r="F18" s="91"/>
      <c r="G18" s="87" t="n">
        <v>50</v>
      </c>
      <c r="H18" s="93"/>
      <c r="I18" s="94"/>
      <c r="J18" s="95"/>
      <c r="K18" s="3"/>
      <c r="L18" s="91"/>
      <c r="M18" s="92" t="s">
        <v>240</v>
      </c>
      <c r="N18" s="84" t="s">
        <v>263</v>
      </c>
      <c r="O18" s="96" t="s">
        <v>57</v>
      </c>
      <c r="P18" s="91"/>
      <c r="Q18" s="91"/>
      <c r="R18" s="87" t="n">
        <v>50</v>
      </c>
      <c r="S18" s="93"/>
      <c r="T18" s="94"/>
      <c r="U18" s="95"/>
    </row>
    <row r="19" customFormat="false" ht="18.75" hidden="false" customHeight="true" outlineLevel="0" collapsed="false">
      <c r="A19" s="91"/>
      <c r="B19" s="92" t="s">
        <v>240</v>
      </c>
      <c r="C19" s="84" t="s">
        <v>95</v>
      </c>
      <c r="D19" s="103" t="s">
        <v>58</v>
      </c>
      <c r="E19" s="91"/>
      <c r="F19" s="91"/>
      <c r="G19" s="87" t="n">
        <v>283.46</v>
      </c>
      <c r="H19" s="93"/>
      <c r="I19" s="94"/>
      <c r="J19" s="95"/>
      <c r="K19" s="3"/>
      <c r="L19" s="91"/>
      <c r="M19" s="92" t="s">
        <v>240</v>
      </c>
      <c r="N19" s="84" t="s">
        <v>95</v>
      </c>
      <c r="O19" s="103" t="s">
        <v>58</v>
      </c>
      <c r="P19" s="91"/>
      <c r="Q19" s="91"/>
      <c r="R19" s="87" t="n">
        <v>283.46</v>
      </c>
      <c r="S19" s="93"/>
      <c r="T19" s="94"/>
      <c r="U19" s="95"/>
    </row>
    <row r="20" customFormat="false" ht="18.75" hidden="false" customHeight="true" outlineLevel="0" collapsed="false">
      <c r="A20" s="91"/>
      <c r="B20" s="92" t="s">
        <v>240</v>
      </c>
      <c r="C20" s="84" t="s">
        <v>264</v>
      </c>
      <c r="D20" s="103" t="s">
        <v>58</v>
      </c>
      <c r="E20" s="91"/>
      <c r="F20" s="91"/>
      <c r="G20" s="87" t="n">
        <v>240.8</v>
      </c>
      <c r="H20" s="93"/>
      <c r="I20" s="94"/>
      <c r="J20" s="95"/>
      <c r="K20" s="3"/>
      <c r="L20" s="91"/>
      <c r="M20" s="92" t="s">
        <v>240</v>
      </c>
      <c r="N20" s="84" t="s">
        <v>264</v>
      </c>
      <c r="O20" s="103" t="s">
        <v>58</v>
      </c>
      <c r="P20" s="91"/>
      <c r="Q20" s="91"/>
      <c r="R20" s="87" t="n">
        <v>240.8</v>
      </c>
      <c r="S20" s="93"/>
      <c r="T20" s="94"/>
      <c r="U20" s="95"/>
    </row>
    <row r="21" customFormat="false" ht="18.75" hidden="false" customHeight="true" outlineLevel="0" collapsed="false">
      <c r="A21" s="91"/>
      <c r="B21" s="92" t="s">
        <v>240</v>
      </c>
      <c r="C21" s="84" t="s">
        <v>92</v>
      </c>
      <c r="D21" s="103" t="s">
        <v>58</v>
      </c>
      <c r="E21" s="91"/>
      <c r="F21" s="91"/>
      <c r="G21" s="87" t="n">
        <v>456</v>
      </c>
      <c r="H21" s="93"/>
      <c r="I21" s="94"/>
      <c r="J21" s="95"/>
      <c r="K21" s="3"/>
      <c r="L21" s="91"/>
      <c r="M21" s="92" t="s">
        <v>240</v>
      </c>
      <c r="N21" s="84" t="s">
        <v>92</v>
      </c>
      <c r="O21" s="103" t="s">
        <v>58</v>
      </c>
      <c r="P21" s="91"/>
      <c r="Q21" s="91"/>
      <c r="R21" s="87" t="n">
        <v>456</v>
      </c>
      <c r="S21" s="93"/>
      <c r="T21" s="94"/>
      <c r="U21" s="95"/>
    </row>
    <row r="22" customFormat="false" ht="18.75" hidden="false" customHeight="true" outlineLevel="0" collapsed="false">
      <c r="A22" s="91"/>
      <c r="B22" s="92" t="s">
        <v>240</v>
      </c>
      <c r="C22" s="84" t="s">
        <v>94</v>
      </c>
      <c r="D22" s="103" t="s">
        <v>58</v>
      </c>
      <c r="E22" s="91"/>
      <c r="F22" s="91"/>
      <c r="G22" s="87" t="n">
        <v>683.75</v>
      </c>
      <c r="H22" s="93"/>
      <c r="I22" s="94"/>
      <c r="J22" s="95"/>
      <c r="K22" s="3"/>
      <c r="L22" s="91"/>
      <c r="M22" s="92" t="s">
        <v>240</v>
      </c>
      <c r="N22" s="84" t="s">
        <v>94</v>
      </c>
      <c r="O22" s="103" t="s">
        <v>58</v>
      </c>
      <c r="P22" s="91"/>
      <c r="Q22" s="91"/>
      <c r="R22" s="87" t="n">
        <v>683.75</v>
      </c>
      <c r="S22" s="93"/>
      <c r="T22" s="94"/>
      <c r="U22" s="95"/>
    </row>
    <row r="23" customFormat="false" ht="18.75" hidden="false" customHeight="true" outlineLevel="0" collapsed="false">
      <c r="A23" s="91"/>
      <c r="B23" s="92" t="s">
        <v>240</v>
      </c>
      <c r="C23" s="84" t="s">
        <v>265</v>
      </c>
      <c r="D23" s="103" t="s">
        <v>58</v>
      </c>
      <c r="E23" s="91"/>
      <c r="F23" s="91"/>
      <c r="G23" s="87" t="n">
        <v>363.52</v>
      </c>
      <c r="H23" s="93"/>
      <c r="I23" s="94"/>
      <c r="J23" s="95"/>
      <c r="K23" s="3"/>
      <c r="L23" s="91"/>
      <c r="M23" s="92" t="s">
        <v>240</v>
      </c>
      <c r="N23" s="84" t="s">
        <v>265</v>
      </c>
      <c r="O23" s="103" t="s">
        <v>58</v>
      </c>
      <c r="P23" s="91"/>
      <c r="Q23" s="91"/>
      <c r="R23" s="87" t="n">
        <v>363.52</v>
      </c>
      <c r="S23" s="93"/>
      <c r="T23" s="94"/>
      <c r="U23" s="95"/>
    </row>
    <row r="24" customFormat="false" ht="18.75" hidden="false" customHeight="true" outlineLevel="0" collapsed="false">
      <c r="A24" s="91"/>
      <c r="B24" s="92" t="s">
        <v>240</v>
      </c>
      <c r="C24" s="84" t="s">
        <v>266</v>
      </c>
      <c r="D24" s="103" t="s">
        <v>58</v>
      </c>
      <c r="E24" s="91"/>
      <c r="F24" s="91"/>
      <c r="G24" s="87" t="n">
        <v>315</v>
      </c>
      <c r="H24" s="93"/>
      <c r="I24" s="94"/>
      <c r="J24" s="95"/>
      <c r="K24" s="3"/>
      <c r="L24" s="91"/>
      <c r="M24" s="92" t="s">
        <v>240</v>
      </c>
      <c r="N24" s="84" t="s">
        <v>266</v>
      </c>
      <c r="O24" s="103" t="s">
        <v>58</v>
      </c>
      <c r="P24" s="91"/>
      <c r="Q24" s="91"/>
      <c r="R24" s="87" t="n">
        <v>315</v>
      </c>
      <c r="S24" s="93"/>
      <c r="T24" s="94"/>
      <c r="U24" s="95"/>
    </row>
    <row r="25" customFormat="false" ht="18.75" hidden="false" customHeight="true" outlineLevel="0" collapsed="false">
      <c r="A25" s="82" t="s">
        <v>41</v>
      </c>
      <c r="B25" s="83" t="s">
        <v>267</v>
      </c>
      <c r="C25" s="97" t="s">
        <v>91</v>
      </c>
      <c r="D25" s="98" t="s">
        <v>55</v>
      </c>
      <c r="E25" s="99" t="n">
        <v>21</v>
      </c>
      <c r="F25" s="99" t="n">
        <v>16</v>
      </c>
      <c r="G25" s="100" t="n">
        <f aca="false">E25*F25</f>
        <v>336</v>
      </c>
      <c r="H25" s="88" t="n">
        <f aca="false">SUMIF(B:B,B25,G:G)</f>
        <v>5274.89</v>
      </c>
      <c r="I25" s="89" t="n">
        <v>7000</v>
      </c>
      <c r="J25" s="90" t="n">
        <f aca="false">IFERROR((I25-H25)/I25,"")</f>
        <v>0.246444285714286</v>
      </c>
      <c r="K25" s="3"/>
      <c r="L25" s="82" t="s">
        <v>41</v>
      </c>
      <c r="M25" s="83" t="s">
        <v>267</v>
      </c>
      <c r="N25" s="97" t="s">
        <v>91</v>
      </c>
      <c r="O25" s="98" t="s">
        <v>55</v>
      </c>
      <c r="P25" s="101"/>
      <c r="Q25" s="101"/>
      <c r="R25" s="102" t="n">
        <v>0</v>
      </c>
      <c r="S25" s="88" t="n">
        <f aca="false">SUMIF(M:M,M25,R:R)</f>
        <v>4938.89</v>
      </c>
      <c r="T25" s="89" t="n">
        <f aca="false">I25</f>
        <v>7000</v>
      </c>
      <c r="U25" s="90" t="n">
        <f aca="false">IFERROR((T25-S25)/T25,"")</f>
        <v>0.294444285714286</v>
      </c>
    </row>
    <row r="26" customFormat="false" ht="18.75" hidden="false" customHeight="true" outlineLevel="0" collapsed="false">
      <c r="A26" s="91"/>
      <c r="B26" s="92" t="s">
        <v>267</v>
      </c>
      <c r="C26" s="84" t="s">
        <v>137</v>
      </c>
      <c r="D26" s="85" t="s">
        <v>56</v>
      </c>
      <c r="E26" s="86" t="n">
        <v>25</v>
      </c>
      <c r="F26" s="86" t="n">
        <v>17</v>
      </c>
      <c r="G26" s="87" t="n">
        <f aca="false">E26*F26</f>
        <v>425</v>
      </c>
      <c r="H26" s="93"/>
      <c r="I26" s="94"/>
      <c r="J26" s="95"/>
      <c r="K26" s="3"/>
      <c r="L26" s="91"/>
      <c r="M26" s="92" t="s">
        <v>267</v>
      </c>
      <c r="N26" s="84" t="s">
        <v>137</v>
      </c>
      <c r="O26" s="85" t="s">
        <v>56</v>
      </c>
      <c r="P26" s="86" t="n">
        <v>25</v>
      </c>
      <c r="Q26" s="86" t="n">
        <v>17</v>
      </c>
      <c r="R26" s="87" t="n">
        <f aca="false">P26*Q26</f>
        <v>425</v>
      </c>
      <c r="S26" s="93"/>
      <c r="T26" s="94"/>
      <c r="U26" s="95"/>
    </row>
    <row r="27" customFormat="false" ht="18.75" hidden="false" customHeight="true" outlineLevel="0" collapsed="false">
      <c r="A27" s="91"/>
      <c r="B27" s="92" t="s">
        <v>267</v>
      </c>
      <c r="C27" s="84" t="s">
        <v>258</v>
      </c>
      <c r="D27" s="85" t="s">
        <v>56</v>
      </c>
      <c r="E27" s="86" t="n">
        <v>25.32</v>
      </c>
      <c r="F27" s="86" t="n">
        <v>17</v>
      </c>
      <c r="G27" s="87" t="n">
        <f aca="false">E27*F27</f>
        <v>430.44</v>
      </c>
      <c r="H27" s="93"/>
      <c r="I27" s="94"/>
      <c r="J27" s="95"/>
      <c r="K27" s="3"/>
      <c r="L27" s="91"/>
      <c r="M27" s="92" t="s">
        <v>267</v>
      </c>
      <c r="N27" s="84" t="s">
        <v>258</v>
      </c>
      <c r="O27" s="85" t="s">
        <v>56</v>
      </c>
      <c r="P27" s="86" t="n">
        <v>25.32</v>
      </c>
      <c r="Q27" s="86" t="n">
        <v>17</v>
      </c>
      <c r="R27" s="87" t="n">
        <f aca="false">P27*Q27</f>
        <v>430.44</v>
      </c>
      <c r="S27" s="93"/>
      <c r="T27" s="94"/>
      <c r="U27" s="95"/>
    </row>
    <row r="28" customFormat="false" ht="18.75" hidden="false" customHeight="true" outlineLevel="0" collapsed="false">
      <c r="A28" s="91"/>
      <c r="B28" s="92" t="s">
        <v>267</v>
      </c>
      <c r="C28" s="84" t="s">
        <v>81</v>
      </c>
      <c r="D28" s="85" t="s">
        <v>56</v>
      </c>
      <c r="E28" s="86" t="n">
        <v>25.06</v>
      </c>
      <c r="F28" s="86" t="n">
        <v>17</v>
      </c>
      <c r="G28" s="87" t="n">
        <f aca="false">E28*F28</f>
        <v>426.02</v>
      </c>
      <c r="H28" s="93"/>
      <c r="I28" s="94"/>
      <c r="J28" s="95"/>
      <c r="K28" s="3"/>
      <c r="L28" s="91"/>
      <c r="M28" s="92" t="s">
        <v>267</v>
      </c>
      <c r="N28" s="84" t="s">
        <v>81</v>
      </c>
      <c r="O28" s="85" t="s">
        <v>56</v>
      </c>
      <c r="P28" s="86" t="n">
        <v>25.06</v>
      </c>
      <c r="Q28" s="86" t="n">
        <v>17</v>
      </c>
      <c r="R28" s="87" t="n">
        <f aca="false">P28*Q28</f>
        <v>426.02</v>
      </c>
      <c r="S28" s="93"/>
      <c r="T28" s="94"/>
      <c r="U28" s="95"/>
    </row>
    <row r="29" customFormat="false" ht="18.75" hidden="false" customHeight="true" outlineLevel="0" collapsed="false">
      <c r="A29" s="91"/>
      <c r="B29" s="92" t="s">
        <v>267</v>
      </c>
      <c r="C29" s="84" t="s">
        <v>131</v>
      </c>
      <c r="D29" s="85" t="s">
        <v>56</v>
      </c>
      <c r="E29" s="86" t="n">
        <v>25.83</v>
      </c>
      <c r="F29" s="86" t="n">
        <v>17</v>
      </c>
      <c r="G29" s="87" t="n">
        <f aca="false">E29*F29</f>
        <v>439.11</v>
      </c>
      <c r="H29" s="93"/>
      <c r="I29" s="94"/>
      <c r="J29" s="95"/>
      <c r="K29" s="3"/>
      <c r="L29" s="91"/>
      <c r="M29" s="92" t="s">
        <v>267</v>
      </c>
      <c r="N29" s="84" t="s">
        <v>131</v>
      </c>
      <c r="O29" s="85" t="s">
        <v>56</v>
      </c>
      <c r="P29" s="86" t="n">
        <v>25.83</v>
      </c>
      <c r="Q29" s="86" t="n">
        <v>17</v>
      </c>
      <c r="R29" s="87" t="n">
        <f aca="false">P29*Q29</f>
        <v>439.11</v>
      </c>
      <c r="S29" s="93"/>
      <c r="T29" s="94"/>
      <c r="U29" s="95"/>
    </row>
    <row r="30" customFormat="false" ht="18.75" hidden="false" customHeight="true" outlineLevel="0" collapsed="false">
      <c r="A30" s="91"/>
      <c r="B30" s="92" t="s">
        <v>267</v>
      </c>
      <c r="C30" s="84" t="s">
        <v>268</v>
      </c>
      <c r="D30" s="85" t="s">
        <v>56</v>
      </c>
      <c r="E30" s="86" t="n">
        <v>14</v>
      </c>
      <c r="F30" s="86" t="n">
        <v>18.5</v>
      </c>
      <c r="G30" s="87" t="n">
        <f aca="false">E30*F30</f>
        <v>259</v>
      </c>
      <c r="H30" s="93"/>
      <c r="I30" s="94"/>
      <c r="J30" s="95"/>
      <c r="K30" s="3"/>
      <c r="L30" s="91"/>
      <c r="M30" s="92" t="s">
        <v>267</v>
      </c>
      <c r="N30" s="84" t="s">
        <v>268</v>
      </c>
      <c r="O30" s="85" t="s">
        <v>56</v>
      </c>
      <c r="P30" s="86" t="n">
        <v>14</v>
      </c>
      <c r="Q30" s="86" t="n">
        <v>18.5</v>
      </c>
      <c r="R30" s="87" t="n">
        <f aca="false">P30*Q30</f>
        <v>259</v>
      </c>
      <c r="S30" s="93"/>
      <c r="T30" s="94"/>
      <c r="U30" s="95"/>
    </row>
    <row r="31" customFormat="false" ht="18.75" hidden="false" customHeight="true" outlineLevel="0" collapsed="false">
      <c r="A31" s="91"/>
      <c r="B31" s="92" t="s">
        <v>267</v>
      </c>
      <c r="C31" s="84" t="s">
        <v>269</v>
      </c>
      <c r="D31" s="85" t="s">
        <v>56</v>
      </c>
      <c r="E31" s="86" t="n">
        <v>19</v>
      </c>
      <c r="F31" s="86" t="n">
        <v>18.5</v>
      </c>
      <c r="G31" s="87" t="n">
        <f aca="false">E31*F31</f>
        <v>351.5</v>
      </c>
      <c r="H31" s="93"/>
      <c r="I31" s="94"/>
      <c r="J31" s="95"/>
      <c r="K31" s="3"/>
      <c r="L31" s="91"/>
      <c r="M31" s="92" t="s">
        <v>267</v>
      </c>
      <c r="N31" s="84" t="s">
        <v>269</v>
      </c>
      <c r="O31" s="85" t="s">
        <v>56</v>
      </c>
      <c r="P31" s="86" t="n">
        <v>19</v>
      </c>
      <c r="Q31" s="86" t="n">
        <v>18.5</v>
      </c>
      <c r="R31" s="87" t="n">
        <f aca="false">P31*Q31</f>
        <v>351.5</v>
      </c>
      <c r="S31" s="93"/>
      <c r="T31" s="94"/>
      <c r="U31" s="95"/>
    </row>
    <row r="32" customFormat="false" ht="18.75" hidden="false" customHeight="true" outlineLevel="0" collapsed="false">
      <c r="A32" s="91"/>
      <c r="B32" s="92" t="s">
        <v>267</v>
      </c>
      <c r="C32" s="84" t="s">
        <v>270</v>
      </c>
      <c r="D32" s="85" t="s">
        <v>56</v>
      </c>
      <c r="E32" s="86" t="n">
        <v>6</v>
      </c>
      <c r="F32" s="86" t="n">
        <v>17</v>
      </c>
      <c r="G32" s="87" t="n">
        <f aca="false">E32*F32</f>
        <v>102</v>
      </c>
      <c r="H32" s="93"/>
      <c r="I32" s="94"/>
      <c r="J32" s="95"/>
      <c r="K32" s="3"/>
      <c r="L32" s="91"/>
      <c r="M32" s="92" t="s">
        <v>267</v>
      </c>
      <c r="N32" s="84" t="s">
        <v>270</v>
      </c>
      <c r="O32" s="85" t="s">
        <v>56</v>
      </c>
      <c r="P32" s="86" t="n">
        <v>6</v>
      </c>
      <c r="Q32" s="86" t="n">
        <v>17</v>
      </c>
      <c r="R32" s="87" t="n">
        <f aca="false">P32*Q32</f>
        <v>102</v>
      </c>
      <c r="S32" s="93"/>
      <c r="T32" s="94"/>
      <c r="U32" s="95"/>
    </row>
    <row r="33" customFormat="false" ht="18.75" hidden="false" customHeight="true" outlineLevel="0" collapsed="false">
      <c r="A33" s="91"/>
      <c r="B33" s="92" t="s">
        <v>267</v>
      </c>
      <c r="C33" s="84" t="s">
        <v>271</v>
      </c>
      <c r="D33" s="85" t="s">
        <v>56</v>
      </c>
      <c r="E33" s="86" t="n">
        <v>17.67</v>
      </c>
      <c r="F33" s="86" t="n">
        <v>15</v>
      </c>
      <c r="G33" s="87" t="n">
        <f aca="false">E33*F33</f>
        <v>265.05</v>
      </c>
      <c r="H33" s="93"/>
      <c r="I33" s="94"/>
      <c r="J33" s="95"/>
      <c r="K33" s="3"/>
      <c r="L33" s="91"/>
      <c r="M33" s="92" t="s">
        <v>267</v>
      </c>
      <c r="N33" s="84" t="s">
        <v>271</v>
      </c>
      <c r="O33" s="85" t="s">
        <v>56</v>
      </c>
      <c r="P33" s="86" t="n">
        <v>17.67</v>
      </c>
      <c r="Q33" s="86" t="n">
        <v>15</v>
      </c>
      <c r="R33" s="87" t="n">
        <f aca="false">P33*Q33</f>
        <v>265.05</v>
      </c>
      <c r="S33" s="93"/>
      <c r="T33" s="94"/>
      <c r="U33" s="95"/>
    </row>
    <row r="34" customFormat="false" ht="18.75" hidden="false" customHeight="true" outlineLevel="0" collapsed="false">
      <c r="A34" s="91"/>
      <c r="B34" s="92" t="s">
        <v>267</v>
      </c>
      <c r="C34" s="84" t="s">
        <v>272</v>
      </c>
      <c r="D34" s="85" t="s">
        <v>56</v>
      </c>
      <c r="E34" s="86" t="n">
        <v>21.13</v>
      </c>
      <c r="F34" s="86" t="n">
        <v>15</v>
      </c>
      <c r="G34" s="87" t="n">
        <f aca="false">E34*F34</f>
        <v>316.95</v>
      </c>
      <c r="H34" s="93"/>
      <c r="I34" s="94"/>
      <c r="J34" s="95"/>
      <c r="K34" s="3"/>
      <c r="L34" s="91"/>
      <c r="M34" s="92" t="s">
        <v>267</v>
      </c>
      <c r="N34" s="84" t="s">
        <v>272</v>
      </c>
      <c r="O34" s="85" t="s">
        <v>56</v>
      </c>
      <c r="P34" s="86" t="n">
        <v>21.13</v>
      </c>
      <c r="Q34" s="86" t="n">
        <v>15</v>
      </c>
      <c r="R34" s="87" t="n">
        <f aca="false">P34*Q34</f>
        <v>316.95</v>
      </c>
      <c r="S34" s="93"/>
      <c r="T34" s="94"/>
      <c r="U34" s="95"/>
    </row>
    <row r="35" customFormat="false" ht="18.75" hidden="false" customHeight="true" outlineLevel="0" collapsed="false">
      <c r="A35" s="91"/>
      <c r="B35" s="92" t="s">
        <v>267</v>
      </c>
      <c r="C35" s="84" t="s">
        <v>273</v>
      </c>
      <c r="D35" s="85" t="s">
        <v>56</v>
      </c>
      <c r="E35" s="86" t="n">
        <v>19.02</v>
      </c>
      <c r="F35" s="86" t="n">
        <v>15</v>
      </c>
      <c r="G35" s="87" t="n">
        <f aca="false">E35*F35</f>
        <v>285.3</v>
      </c>
      <c r="H35" s="93"/>
      <c r="I35" s="94"/>
      <c r="J35" s="95"/>
      <c r="K35" s="3"/>
      <c r="L35" s="91"/>
      <c r="M35" s="92" t="s">
        <v>267</v>
      </c>
      <c r="N35" s="84" t="s">
        <v>273</v>
      </c>
      <c r="O35" s="85" t="s">
        <v>56</v>
      </c>
      <c r="P35" s="86" t="n">
        <v>19.02</v>
      </c>
      <c r="Q35" s="86" t="n">
        <v>15</v>
      </c>
      <c r="R35" s="87" t="n">
        <f aca="false">P35*Q35</f>
        <v>285.3</v>
      </c>
      <c r="S35" s="93"/>
      <c r="T35" s="94"/>
      <c r="U35" s="95"/>
    </row>
    <row r="36" customFormat="false" ht="18.75" hidden="false" customHeight="true" outlineLevel="0" collapsed="false">
      <c r="A36" s="91"/>
      <c r="B36" s="92" t="s">
        <v>267</v>
      </c>
      <c r="C36" s="84" t="s">
        <v>274</v>
      </c>
      <c r="D36" s="85" t="s">
        <v>56</v>
      </c>
      <c r="E36" s="86" t="n">
        <v>26.2</v>
      </c>
      <c r="F36" s="86" t="n">
        <v>17</v>
      </c>
      <c r="G36" s="87" t="n">
        <f aca="false">E36*F36</f>
        <v>445.4</v>
      </c>
      <c r="H36" s="93"/>
      <c r="I36" s="94"/>
      <c r="J36" s="95"/>
      <c r="K36" s="3"/>
      <c r="L36" s="91"/>
      <c r="M36" s="92" t="s">
        <v>267</v>
      </c>
      <c r="N36" s="84" t="s">
        <v>274</v>
      </c>
      <c r="O36" s="85" t="s">
        <v>56</v>
      </c>
      <c r="P36" s="86" t="n">
        <v>26.2</v>
      </c>
      <c r="Q36" s="86" t="n">
        <v>17</v>
      </c>
      <c r="R36" s="87" t="n">
        <f aca="false">P36*Q36</f>
        <v>445.4</v>
      </c>
      <c r="S36" s="93"/>
      <c r="T36" s="94"/>
      <c r="U36" s="95"/>
    </row>
    <row r="37" customFormat="false" ht="18.75" hidden="false" customHeight="true" outlineLevel="0" collapsed="false">
      <c r="A37" s="91"/>
      <c r="B37" s="92" t="s">
        <v>267</v>
      </c>
      <c r="C37" s="84" t="s">
        <v>95</v>
      </c>
      <c r="D37" s="103" t="s">
        <v>58</v>
      </c>
      <c r="E37" s="91"/>
      <c r="F37" s="91"/>
      <c r="G37" s="87" t="n">
        <v>224.06</v>
      </c>
      <c r="H37" s="93"/>
      <c r="I37" s="94"/>
      <c r="J37" s="95"/>
      <c r="K37" s="3"/>
      <c r="L37" s="91"/>
      <c r="M37" s="92" t="s">
        <v>267</v>
      </c>
      <c r="N37" s="84" t="s">
        <v>95</v>
      </c>
      <c r="O37" s="103" t="s">
        <v>58</v>
      </c>
      <c r="P37" s="91"/>
      <c r="Q37" s="91"/>
      <c r="R37" s="87" t="n">
        <v>224.06</v>
      </c>
      <c r="S37" s="93"/>
      <c r="T37" s="94"/>
      <c r="U37" s="95"/>
    </row>
    <row r="38" customFormat="false" ht="18.75" hidden="false" customHeight="true" outlineLevel="0" collapsed="false">
      <c r="A38" s="91"/>
      <c r="B38" s="92" t="s">
        <v>267</v>
      </c>
      <c r="C38" s="84" t="s">
        <v>264</v>
      </c>
      <c r="D38" s="103" t="s">
        <v>58</v>
      </c>
      <c r="E38" s="91"/>
      <c r="F38" s="91"/>
      <c r="G38" s="87" t="n">
        <v>60.2</v>
      </c>
      <c r="H38" s="93"/>
      <c r="I38" s="94"/>
      <c r="J38" s="95"/>
      <c r="K38" s="3"/>
      <c r="L38" s="91"/>
      <c r="M38" s="92" t="s">
        <v>267</v>
      </c>
      <c r="N38" s="84" t="s">
        <v>264</v>
      </c>
      <c r="O38" s="103" t="s">
        <v>58</v>
      </c>
      <c r="P38" s="91"/>
      <c r="Q38" s="91"/>
      <c r="R38" s="87" t="n">
        <v>60.2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267</v>
      </c>
      <c r="C39" s="84" t="s">
        <v>92</v>
      </c>
      <c r="D39" s="103" t="s">
        <v>58</v>
      </c>
      <c r="E39" s="91"/>
      <c r="F39" s="91"/>
      <c r="G39" s="87" t="n">
        <v>264.77</v>
      </c>
      <c r="H39" s="93"/>
      <c r="I39" s="94"/>
      <c r="J39" s="95"/>
      <c r="K39" s="3"/>
      <c r="L39" s="91"/>
      <c r="M39" s="92" t="s">
        <v>267</v>
      </c>
      <c r="N39" s="84" t="s">
        <v>92</v>
      </c>
      <c r="O39" s="103" t="s">
        <v>58</v>
      </c>
      <c r="P39" s="91"/>
      <c r="Q39" s="91"/>
      <c r="R39" s="87" t="n">
        <v>264.77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267</v>
      </c>
      <c r="C40" s="84" t="s">
        <v>94</v>
      </c>
      <c r="D40" s="103" t="s">
        <v>58</v>
      </c>
      <c r="E40" s="91"/>
      <c r="F40" s="91"/>
      <c r="G40" s="87" t="n">
        <v>264.4</v>
      </c>
      <c r="H40" s="93"/>
      <c r="I40" s="94"/>
      <c r="J40" s="95"/>
      <c r="K40" s="3"/>
      <c r="L40" s="91"/>
      <c r="M40" s="92" t="s">
        <v>267</v>
      </c>
      <c r="N40" s="84" t="s">
        <v>94</v>
      </c>
      <c r="O40" s="103" t="s">
        <v>58</v>
      </c>
      <c r="P40" s="91"/>
      <c r="Q40" s="91"/>
      <c r="R40" s="87" t="n">
        <v>264.4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267</v>
      </c>
      <c r="C41" s="84" t="s">
        <v>265</v>
      </c>
      <c r="D41" s="103" t="s">
        <v>58</v>
      </c>
      <c r="E41" s="91"/>
      <c r="F41" s="91"/>
      <c r="G41" s="87" t="n">
        <v>379.69</v>
      </c>
      <c r="H41" s="93"/>
      <c r="I41" s="94"/>
      <c r="J41" s="95"/>
      <c r="K41" s="3"/>
      <c r="L41" s="91"/>
      <c r="M41" s="92" t="s">
        <v>267</v>
      </c>
      <c r="N41" s="84" t="s">
        <v>265</v>
      </c>
      <c r="O41" s="103" t="s">
        <v>58</v>
      </c>
      <c r="P41" s="91"/>
      <c r="Q41" s="91"/>
      <c r="R41" s="87" t="n">
        <v>379.69</v>
      </c>
      <c r="S41" s="93"/>
      <c r="T41" s="94"/>
      <c r="U41" s="95"/>
    </row>
    <row r="42" customFormat="false" ht="18.75" hidden="false" customHeight="true" outlineLevel="0" collapsed="false">
      <c r="A42" s="82" t="s">
        <v>41</v>
      </c>
      <c r="B42" s="83" t="s">
        <v>241</v>
      </c>
      <c r="C42" s="97" t="s">
        <v>91</v>
      </c>
      <c r="D42" s="98" t="s">
        <v>55</v>
      </c>
      <c r="E42" s="99" t="n">
        <v>21</v>
      </c>
      <c r="F42" s="99" t="n">
        <v>16</v>
      </c>
      <c r="G42" s="100" t="n">
        <f aca="false">E42*F42</f>
        <v>336</v>
      </c>
      <c r="H42" s="88" t="n">
        <f aca="false">SUMIF(B:B,B42,G:G)</f>
        <v>5187.14</v>
      </c>
      <c r="I42" s="89" t="n">
        <v>7000</v>
      </c>
      <c r="J42" s="90" t="n">
        <f aca="false">IFERROR((I42-H42)/I42,"")</f>
        <v>0.25898</v>
      </c>
      <c r="K42" s="3"/>
      <c r="L42" s="82" t="s">
        <v>41</v>
      </c>
      <c r="M42" s="83" t="s">
        <v>241</v>
      </c>
      <c r="N42" s="97" t="s">
        <v>91</v>
      </c>
      <c r="O42" s="98" t="s">
        <v>55</v>
      </c>
      <c r="P42" s="101"/>
      <c r="Q42" s="101"/>
      <c r="R42" s="102" t="n">
        <v>0</v>
      </c>
      <c r="S42" s="88" t="n">
        <f aca="false">SUMIF(M:M,M42,R:R)</f>
        <v>4681.14</v>
      </c>
      <c r="T42" s="89" t="n">
        <f aca="false">I42</f>
        <v>7000</v>
      </c>
      <c r="U42" s="90" t="n">
        <f aca="false">IFERROR((T42-S42)/T42,"")</f>
        <v>0.331265714285714</v>
      </c>
    </row>
    <row r="43" customFormat="false" ht="18.75" hidden="false" customHeight="true" outlineLevel="0" collapsed="false">
      <c r="A43" s="104"/>
      <c r="B43" s="105" t="s">
        <v>241</v>
      </c>
      <c r="C43" s="97" t="s">
        <v>275</v>
      </c>
      <c r="D43" s="98" t="s">
        <v>55</v>
      </c>
      <c r="E43" s="99" t="n">
        <v>10</v>
      </c>
      <c r="F43" s="99" t="n">
        <v>17</v>
      </c>
      <c r="G43" s="100" t="n">
        <f aca="false">E43*F43</f>
        <v>170</v>
      </c>
      <c r="H43" s="106"/>
      <c r="I43" s="107"/>
      <c r="J43" s="108"/>
      <c r="K43" s="3"/>
      <c r="L43" s="104"/>
      <c r="M43" s="105" t="s">
        <v>241</v>
      </c>
      <c r="N43" s="97" t="s">
        <v>275</v>
      </c>
      <c r="O43" s="98" t="s">
        <v>55</v>
      </c>
      <c r="P43" s="101"/>
      <c r="Q43" s="101"/>
      <c r="R43" s="102" t="n">
        <v>0</v>
      </c>
      <c r="S43" s="106"/>
      <c r="T43" s="107"/>
      <c r="U43" s="108"/>
    </row>
    <row r="44" customFormat="false" ht="18.75" hidden="false" customHeight="true" outlineLevel="0" collapsed="false">
      <c r="A44" s="91"/>
      <c r="B44" s="92" t="s">
        <v>241</v>
      </c>
      <c r="C44" s="84" t="s">
        <v>137</v>
      </c>
      <c r="D44" s="85" t="s">
        <v>56</v>
      </c>
      <c r="E44" s="86" t="n">
        <v>28</v>
      </c>
      <c r="F44" s="86" t="n">
        <v>17</v>
      </c>
      <c r="G44" s="87" t="n">
        <f aca="false">E44*F44</f>
        <v>476</v>
      </c>
      <c r="H44" s="93"/>
      <c r="I44" s="94"/>
      <c r="J44" s="95"/>
      <c r="K44" s="3"/>
      <c r="L44" s="91"/>
      <c r="M44" s="92" t="s">
        <v>241</v>
      </c>
      <c r="N44" s="84" t="s">
        <v>137</v>
      </c>
      <c r="O44" s="85" t="s">
        <v>56</v>
      </c>
      <c r="P44" s="86" t="n">
        <v>28</v>
      </c>
      <c r="Q44" s="86" t="n">
        <v>17</v>
      </c>
      <c r="R44" s="87" t="n">
        <f aca="false">P44*Q44</f>
        <v>476</v>
      </c>
      <c r="S44" s="93"/>
      <c r="T44" s="94"/>
      <c r="U44" s="95"/>
    </row>
    <row r="45" customFormat="false" ht="18.75" hidden="false" customHeight="true" outlineLevel="0" collapsed="false">
      <c r="A45" s="91"/>
      <c r="B45" s="92" t="s">
        <v>241</v>
      </c>
      <c r="C45" s="84" t="s">
        <v>258</v>
      </c>
      <c r="D45" s="85" t="s">
        <v>56</v>
      </c>
      <c r="E45" s="86" t="n">
        <v>27.37</v>
      </c>
      <c r="F45" s="86" t="n">
        <v>17</v>
      </c>
      <c r="G45" s="87" t="n">
        <f aca="false">E45*F45</f>
        <v>465.29</v>
      </c>
      <c r="H45" s="93"/>
      <c r="I45" s="94"/>
      <c r="J45" s="95"/>
      <c r="K45" s="3"/>
      <c r="L45" s="91"/>
      <c r="M45" s="92" t="s">
        <v>241</v>
      </c>
      <c r="N45" s="84" t="s">
        <v>258</v>
      </c>
      <c r="O45" s="85" t="s">
        <v>56</v>
      </c>
      <c r="P45" s="86" t="n">
        <v>27.37</v>
      </c>
      <c r="Q45" s="86" t="n">
        <v>17</v>
      </c>
      <c r="R45" s="87" t="n">
        <f aca="false">P45*Q45</f>
        <v>465.29</v>
      </c>
      <c r="S45" s="93"/>
      <c r="T45" s="94"/>
      <c r="U45" s="95"/>
    </row>
    <row r="46" customFormat="false" ht="18.75" hidden="false" customHeight="true" outlineLevel="0" collapsed="false">
      <c r="A46" s="91"/>
      <c r="B46" s="92" t="s">
        <v>241</v>
      </c>
      <c r="C46" s="84" t="s">
        <v>81</v>
      </c>
      <c r="D46" s="85" t="s">
        <v>56</v>
      </c>
      <c r="E46" s="86" t="n">
        <v>28.15</v>
      </c>
      <c r="F46" s="86" t="n">
        <v>17</v>
      </c>
      <c r="G46" s="87" t="n">
        <f aca="false">E46*F46</f>
        <v>478.55</v>
      </c>
      <c r="H46" s="93"/>
      <c r="I46" s="94"/>
      <c r="J46" s="95"/>
      <c r="K46" s="3"/>
      <c r="L46" s="91"/>
      <c r="M46" s="92" t="s">
        <v>241</v>
      </c>
      <c r="N46" s="84" t="s">
        <v>81</v>
      </c>
      <c r="O46" s="85" t="s">
        <v>56</v>
      </c>
      <c r="P46" s="86" t="n">
        <v>28.15</v>
      </c>
      <c r="Q46" s="86" t="n">
        <v>17</v>
      </c>
      <c r="R46" s="87" t="n">
        <f aca="false">P46*Q46</f>
        <v>478.55</v>
      </c>
      <c r="S46" s="93"/>
      <c r="T46" s="94"/>
      <c r="U46" s="95"/>
    </row>
    <row r="47" customFormat="false" ht="18.75" hidden="false" customHeight="true" outlineLevel="0" collapsed="false">
      <c r="A47" s="91"/>
      <c r="B47" s="92" t="s">
        <v>241</v>
      </c>
      <c r="C47" s="84" t="s">
        <v>131</v>
      </c>
      <c r="D47" s="85" t="s">
        <v>56</v>
      </c>
      <c r="E47" s="86" t="n">
        <v>27.5</v>
      </c>
      <c r="F47" s="86" t="n">
        <v>17</v>
      </c>
      <c r="G47" s="87" t="n">
        <f aca="false">E47*F47</f>
        <v>467.5</v>
      </c>
      <c r="H47" s="93"/>
      <c r="I47" s="94"/>
      <c r="J47" s="95"/>
      <c r="K47" s="3"/>
      <c r="L47" s="91"/>
      <c r="M47" s="92" t="s">
        <v>241</v>
      </c>
      <c r="N47" s="84" t="s">
        <v>131</v>
      </c>
      <c r="O47" s="85" t="s">
        <v>56</v>
      </c>
      <c r="P47" s="86" t="n">
        <v>27.5</v>
      </c>
      <c r="Q47" s="86" t="n">
        <v>17</v>
      </c>
      <c r="R47" s="87" t="n">
        <f aca="false">P47*Q47</f>
        <v>467.5</v>
      </c>
      <c r="S47" s="93"/>
      <c r="T47" s="94"/>
      <c r="U47" s="95"/>
    </row>
    <row r="48" customFormat="false" ht="18.75" hidden="false" customHeight="true" outlineLevel="0" collapsed="false">
      <c r="A48" s="91"/>
      <c r="B48" s="92" t="s">
        <v>241</v>
      </c>
      <c r="C48" s="84" t="s">
        <v>269</v>
      </c>
      <c r="D48" s="85" t="s">
        <v>56</v>
      </c>
      <c r="E48" s="86" t="n">
        <v>20</v>
      </c>
      <c r="F48" s="86" t="n">
        <v>18.5</v>
      </c>
      <c r="G48" s="87" t="n">
        <f aca="false">E48*F48</f>
        <v>370</v>
      </c>
      <c r="H48" s="93"/>
      <c r="I48" s="94"/>
      <c r="J48" s="95"/>
      <c r="K48" s="3"/>
      <c r="L48" s="91"/>
      <c r="M48" s="92" t="s">
        <v>241</v>
      </c>
      <c r="N48" s="84" t="s">
        <v>269</v>
      </c>
      <c r="O48" s="85" t="s">
        <v>56</v>
      </c>
      <c r="P48" s="86" t="n">
        <v>20</v>
      </c>
      <c r="Q48" s="86" t="n">
        <v>18.5</v>
      </c>
      <c r="R48" s="87" t="n">
        <f aca="false">P48*Q48</f>
        <v>370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241</v>
      </c>
      <c r="C49" s="84" t="s">
        <v>270</v>
      </c>
      <c r="D49" s="85" t="s">
        <v>56</v>
      </c>
      <c r="E49" s="86" t="n">
        <v>1.25</v>
      </c>
      <c r="F49" s="86" t="n">
        <v>17</v>
      </c>
      <c r="G49" s="87" t="n">
        <f aca="false">E49*F49</f>
        <v>21.25</v>
      </c>
      <c r="H49" s="93"/>
      <c r="I49" s="94"/>
      <c r="J49" s="95"/>
      <c r="K49" s="3"/>
      <c r="L49" s="91"/>
      <c r="M49" s="92" t="s">
        <v>241</v>
      </c>
      <c r="N49" s="84" t="s">
        <v>270</v>
      </c>
      <c r="O49" s="85" t="s">
        <v>56</v>
      </c>
      <c r="P49" s="86" t="n">
        <v>1.25</v>
      </c>
      <c r="Q49" s="86" t="n">
        <v>17</v>
      </c>
      <c r="R49" s="87" t="n">
        <f aca="false">P49*Q49</f>
        <v>21.25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241</v>
      </c>
      <c r="C50" s="84" t="s">
        <v>276</v>
      </c>
      <c r="D50" s="85" t="s">
        <v>56</v>
      </c>
      <c r="E50" s="86" t="n">
        <v>17.1</v>
      </c>
      <c r="F50" s="86" t="n">
        <v>15</v>
      </c>
      <c r="G50" s="87" t="n">
        <f aca="false">E50*F50</f>
        <v>256.5</v>
      </c>
      <c r="H50" s="93"/>
      <c r="I50" s="94"/>
      <c r="J50" s="95"/>
      <c r="K50" s="3"/>
      <c r="L50" s="91"/>
      <c r="M50" s="92" t="s">
        <v>241</v>
      </c>
      <c r="N50" s="84" t="s">
        <v>276</v>
      </c>
      <c r="O50" s="85" t="s">
        <v>56</v>
      </c>
      <c r="P50" s="86" t="n">
        <v>17.1</v>
      </c>
      <c r="Q50" s="86" t="n">
        <v>15</v>
      </c>
      <c r="R50" s="87" t="n">
        <f aca="false">P50*Q50</f>
        <v>256.5</v>
      </c>
      <c r="S50" s="93"/>
      <c r="T50" s="94"/>
      <c r="U50" s="95"/>
    </row>
    <row r="51" customFormat="false" ht="18.75" hidden="false" customHeight="true" outlineLevel="0" collapsed="false">
      <c r="A51" s="91"/>
      <c r="B51" s="92" t="s">
        <v>241</v>
      </c>
      <c r="C51" s="84" t="s">
        <v>271</v>
      </c>
      <c r="D51" s="85" t="s">
        <v>56</v>
      </c>
      <c r="E51" s="86" t="n">
        <v>15.58</v>
      </c>
      <c r="F51" s="86" t="n">
        <v>15</v>
      </c>
      <c r="G51" s="87" t="n">
        <f aca="false">E51*F51</f>
        <v>233.7</v>
      </c>
      <c r="H51" s="93"/>
      <c r="I51" s="94"/>
      <c r="J51" s="95"/>
      <c r="K51" s="3"/>
      <c r="L51" s="91"/>
      <c r="M51" s="92" t="s">
        <v>241</v>
      </c>
      <c r="N51" s="84" t="s">
        <v>271</v>
      </c>
      <c r="O51" s="85" t="s">
        <v>56</v>
      </c>
      <c r="P51" s="86" t="n">
        <v>15.58</v>
      </c>
      <c r="Q51" s="86" t="n">
        <v>15</v>
      </c>
      <c r="R51" s="87" t="n">
        <f aca="false">P51*Q51</f>
        <v>233.7</v>
      </c>
      <c r="S51" s="93"/>
      <c r="T51" s="94"/>
      <c r="U51" s="95"/>
    </row>
    <row r="52" customFormat="false" ht="18.75" hidden="false" customHeight="true" outlineLevel="0" collapsed="false">
      <c r="A52" s="91"/>
      <c r="B52" s="92" t="s">
        <v>241</v>
      </c>
      <c r="C52" s="84" t="s">
        <v>272</v>
      </c>
      <c r="D52" s="85" t="s">
        <v>56</v>
      </c>
      <c r="E52" s="86" t="n">
        <v>16.03</v>
      </c>
      <c r="F52" s="86" t="n">
        <v>15</v>
      </c>
      <c r="G52" s="87" t="n">
        <f aca="false">E52*F52</f>
        <v>240.45</v>
      </c>
      <c r="H52" s="93"/>
      <c r="I52" s="94"/>
      <c r="J52" s="95"/>
      <c r="K52" s="3"/>
      <c r="L52" s="91"/>
      <c r="M52" s="92" t="s">
        <v>241</v>
      </c>
      <c r="N52" s="84" t="s">
        <v>272</v>
      </c>
      <c r="O52" s="85" t="s">
        <v>56</v>
      </c>
      <c r="P52" s="86" t="n">
        <v>16.03</v>
      </c>
      <c r="Q52" s="86" t="n">
        <v>15</v>
      </c>
      <c r="R52" s="87" t="n">
        <f aca="false">P52*Q52</f>
        <v>240.45</v>
      </c>
      <c r="S52" s="93"/>
      <c r="T52" s="94"/>
      <c r="U52" s="95"/>
    </row>
    <row r="53" customFormat="false" ht="18.75" hidden="false" customHeight="true" outlineLevel="0" collapsed="false">
      <c r="A53" s="91"/>
      <c r="B53" s="92" t="s">
        <v>241</v>
      </c>
      <c r="C53" s="84" t="s">
        <v>273</v>
      </c>
      <c r="D53" s="85" t="s">
        <v>56</v>
      </c>
      <c r="E53" s="86" t="n">
        <v>17.25</v>
      </c>
      <c r="F53" s="86" t="n">
        <v>15</v>
      </c>
      <c r="G53" s="87" t="n">
        <f aca="false">E53*F53</f>
        <v>258.75</v>
      </c>
      <c r="H53" s="93"/>
      <c r="I53" s="94"/>
      <c r="J53" s="95"/>
      <c r="K53" s="3"/>
      <c r="L53" s="91"/>
      <c r="M53" s="92" t="s">
        <v>241</v>
      </c>
      <c r="N53" s="84" t="s">
        <v>273</v>
      </c>
      <c r="O53" s="85" t="s">
        <v>56</v>
      </c>
      <c r="P53" s="86" t="n">
        <v>17.25</v>
      </c>
      <c r="Q53" s="86" t="n">
        <v>15</v>
      </c>
      <c r="R53" s="87" t="n">
        <f aca="false">P53*Q53</f>
        <v>258.75</v>
      </c>
      <c r="S53" s="93"/>
      <c r="T53" s="94"/>
      <c r="U53" s="95"/>
    </row>
    <row r="54" customFormat="false" ht="18.75" hidden="false" customHeight="true" outlineLevel="0" collapsed="false">
      <c r="A54" s="91"/>
      <c r="B54" s="92" t="s">
        <v>241</v>
      </c>
      <c r="C54" s="84" t="s">
        <v>274</v>
      </c>
      <c r="D54" s="85" t="s">
        <v>56</v>
      </c>
      <c r="E54" s="86" t="n">
        <v>13.65</v>
      </c>
      <c r="F54" s="86" t="n">
        <v>17</v>
      </c>
      <c r="G54" s="87" t="n">
        <f aca="false">E54*F54</f>
        <v>232.05</v>
      </c>
      <c r="H54" s="93"/>
      <c r="I54" s="94"/>
      <c r="J54" s="95"/>
      <c r="K54" s="3"/>
      <c r="L54" s="91"/>
      <c r="M54" s="92" t="s">
        <v>241</v>
      </c>
      <c r="N54" s="84" t="s">
        <v>274</v>
      </c>
      <c r="O54" s="85" t="s">
        <v>56</v>
      </c>
      <c r="P54" s="86" t="n">
        <v>13.65</v>
      </c>
      <c r="Q54" s="86" t="n">
        <v>17</v>
      </c>
      <c r="R54" s="87" t="n">
        <f aca="false">P54*Q54</f>
        <v>232.05</v>
      </c>
      <c r="S54" s="93"/>
      <c r="T54" s="94"/>
      <c r="U54" s="95"/>
    </row>
    <row r="55" customFormat="false" ht="18.75" hidden="false" customHeight="true" outlineLevel="0" collapsed="false">
      <c r="A55" s="91"/>
      <c r="B55" s="92" t="s">
        <v>241</v>
      </c>
      <c r="C55" s="84" t="s">
        <v>95</v>
      </c>
      <c r="D55" s="103" t="s">
        <v>58</v>
      </c>
      <c r="E55" s="91"/>
      <c r="F55" s="91"/>
      <c r="G55" s="87" t="n">
        <v>124.34</v>
      </c>
      <c r="H55" s="93"/>
      <c r="I55" s="94"/>
      <c r="J55" s="95"/>
      <c r="K55" s="3"/>
      <c r="L55" s="91"/>
      <c r="M55" s="92" t="s">
        <v>241</v>
      </c>
      <c r="N55" s="84" t="s">
        <v>95</v>
      </c>
      <c r="O55" s="103" t="s">
        <v>58</v>
      </c>
      <c r="P55" s="91"/>
      <c r="Q55" s="91"/>
      <c r="R55" s="87" t="n">
        <v>124.34</v>
      </c>
      <c r="S55" s="93"/>
      <c r="T55" s="94"/>
      <c r="U55" s="95"/>
    </row>
    <row r="56" customFormat="false" ht="18.75" hidden="false" customHeight="true" outlineLevel="0" collapsed="false">
      <c r="A56" s="91"/>
      <c r="B56" s="92" t="s">
        <v>241</v>
      </c>
      <c r="C56" s="84" t="s">
        <v>264</v>
      </c>
      <c r="D56" s="103" t="s">
        <v>58</v>
      </c>
      <c r="E56" s="91"/>
      <c r="F56" s="91"/>
      <c r="G56" s="87" t="n">
        <v>60.2</v>
      </c>
      <c r="H56" s="93"/>
      <c r="I56" s="94"/>
      <c r="J56" s="95"/>
      <c r="K56" s="3"/>
      <c r="L56" s="91"/>
      <c r="M56" s="92" t="s">
        <v>241</v>
      </c>
      <c r="N56" s="84" t="s">
        <v>264</v>
      </c>
      <c r="O56" s="103" t="s">
        <v>58</v>
      </c>
      <c r="P56" s="91"/>
      <c r="Q56" s="91"/>
      <c r="R56" s="87" t="n">
        <v>60.2</v>
      </c>
      <c r="S56" s="93"/>
      <c r="T56" s="94"/>
      <c r="U56" s="95"/>
    </row>
    <row r="57" customFormat="false" ht="18.75" hidden="false" customHeight="true" outlineLevel="0" collapsed="false">
      <c r="A57" s="91"/>
      <c r="B57" s="92" t="s">
        <v>241</v>
      </c>
      <c r="C57" s="84" t="s">
        <v>92</v>
      </c>
      <c r="D57" s="103" t="s">
        <v>58</v>
      </c>
      <c r="E57" s="91"/>
      <c r="F57" s="91"/>
      <c r="G57" s="87" t="n">
        <v>234.91</v>
      </c>
      <c r="H57" s="93"/>
      <c r="I57" s="94"/>
      <c r="J57" s="95"/>
      <c r="K57" s="3"/>
      <c r="L57" s="91"/>
      <c r="M57" s="92" t="s">
        <v>241</v>
      </c>
      <c r="N57" s="84" t="s">
        <v>92</v>
      </c>
      <c r="O57" s="103" t="s">
        <v>58</v>
      </c>
      <c r="P57" s="91"/>
      <c r="Q57" s="91"/>
      <c r="R57" s="87" t="n">
        <v>234.91</v>
      </c>
      <c r="S57" s="93"/>
      <c r="T57" s="94"/>
      <c r="U57" s="95"/>
    </row>
    <row r="58" customFormat="false" ht="18.75" hidden="false" customHeight="true" outlineLevel="0" collapsed="false">
      <c r="A58" s="91"/>
      <c r="B58" s="92" t="s">
        <v>241</v>
      </c>
      <c r="C58" s="84" t="s">
        <v>94</v>
      </c>
      <c r="D58" s="103" t="s">
        <v>58</v>
      </c>
      <c r="E58" s="91"/>
      <c r="F58" s="91"/>
      <c r="G58" s="87" t="n">
        <v>264.4</v>
      </c>
      <c r="H58" s="93"/>
      <c r="I58" s="94"/>
      <c r="J58" s="95"/>
      <c r="K58" s="3"/>
      <c r="L58" s="91"/>
      <c r="M58" s="92" t="s">
        <v>241</v>
      </c>
      <c r="N58" s="84" t="s">
        <v>94</v>
      </c>
      <c r="O58" s="103" t="s">
        <v>58</v>
      </c>
      <c r="P58" s="91"/>
      <c r="Q58" s="91"/>
      <c r="R58" s="87" t="n">
        <v>264.4</v>
      </c>
      <c r="S58" s="93"/>
      <c r="T58" s="94"/>
      <c r="U58" s="95"/>
    </row>
    <row r="59" customFormat="false" ht="18.75" hidden="false" customHeight="true" outlineLevel="0" collapsed="false">
      <c r="A59" s="91"/>
      <c r="B59" s="92" t="s">
        <v>241</v>
      </c>
      <c r="C59" s="84" t="s">
        <v>265</v>
      </c>
      <c r="D59" s="103" t="s">
        <v>58</v>
      </c>
      <c r="E59" s="91"/>
      <c r="F59" s="91"/>
      <c r="G59" s="87" t="n">
        <v>497.25</v>
      </c>
      <c r="H59" s="93"/>
      <c r="I59" s="94"/>
      <c r="J59" s="95"/>
      <c r="K59" s="3"/>
      <c r="L59" s="91"/>
      <c r="M59" s="92" t="s">
        <v>241</v>
      </c>
      <c r="N59" s="84" t="s">
        <v>265</v>
      </c>
      <c r="O59" s="103" t="s">
        <v>58</v>
      </c>
      <c r="P59" s="91"/>
      <c r="Q59" s="91"/>
      <c r="R59" s="87" t="n">
        <v>497.25</v>
      </c>
      <c r="S59" s="93"/>
      <c r="T59" s="94"/>
      <c r="U59" s="95"/>
    </row>
    <row r="60" customFormat="false" ht="18.75" hidden="false" customHeight="true" outlineLevel="0" collapsed="false">
      <c r="A60" s="82" t="s">
        <v>20</v>
      </c>
      <c r="B60" s="83" t="s">
        <v>242</v>
      </c>
      <c r="C60" s="97" t="s">
        <v>91</v>
      </c>
      <c r="D60" s="98" t="s">
        <v>55</v>
      </c>
      <c r="E60" s="99" t="n">
        <v>14</v>
      </c>
      <c r="F60" s="99" t="n">
        <v>16</v>
      </c>
      <c r="G60" s="100" t="n">
        <f aca="false">E60*F60</f>
        <v>224</v>
      </c>
      <c r="H60" s="88" t="n">
        <f aca="false">SUMIF(B:B,B60,G:G)</f>
        <v>5378.03</v>
      </c>
      <c r="I60" s="89" t="n">
        <v>7000</v>
      </c>
      <c r="J60" s="90" t="n">
        <f aca="false">IFERROR((I60-H60)/I60,"")</f>
        <v>0.23171</v>
      </c>
      <c r="K60" s="3"/>
      <c r="L60" s="82" t="s">
        <v>20</v>
      </c>
      <c r="M60" s="83" t="s">
        <v>242</v>
      </c>
      <c r="N60" s="97" t="s">
        <v>91</v>
      </c>
      <c r="O60" s="98" t="s">
        <v>55</v>
      </c>
      <c r="P60" s="101"/>
      <c r="Q60" s="101"/>
      <c r="R60" s="102" t="n">
        <v>0</v>
      </c>
      <c r="S60" s="88" t="n">
        <f aca="false">SUMIF(M:M,M60,R:R)</f>
        <v>4984.03</v>
      </c>
      <c r="T60" s="89" t="n">
        <f aca="false">I60</f>
        <v>7000</v>
      </c>
      <c r="U60" s="90" t="n">
        <f aca="false">IFERROR((T60-S60)/T60,"")</f>
        <v>0.287995714285714</v>
      </c>
    </row>
    <row r="61" customFormat="false" ht="18.75" hidden="false" customHeight="true" outlineLevel="0" collapsed="false">
      <c r="A61" s="104"/>
      <c r="B61" s="105" t="s">
        <v>242</v>
      </c>
      <c r="C61" s="97" t="s">
        <v>275</v>
      </c>
      <c r="D61" s="98" t="s">
        <v>55</v>
      </c>
      <c r="E61" s="99" t="n">
        <v>10</v>
      </c>
      <c r="F61" s="99" t="n">
        <v>17</v>
      </c>
      <c r="G61" s="100" t="n">
        <f aca="false">E61*F61</f>
        <v>170</v>
      </c>
      <c r="H61" s="106"/>
      <c r="I61" s="107"/>
      <c r="J61" s="108"/>
      <c r="K61" s="3"/>
      <c r="L61" s="104"/>
      <c r="M61" s="105" t="s">
        <v>242</v>
      </c>
      <c r="N61" s="97" t="s">
        <v>275</v>
      </c>
      <c r="O61" s="98" t="s">
        <v>55</v>
      </c>
      <c r="P61" s="101"/>
      <c r="Q61" s="101"/>
      <c r="R61" s="102" t="n">
        <v>0</v>
      </c>
      <c r="S61" s="106"/>
      <c r="T61" s="107"/>
      <c r="U61" s="108"/>
    </row>
    <row r="62" customFormat="false" ht="18.75" hidden="false" customHeight="true" outlineLevel="0" collapsed="false">
      <c r="A62" s="91"/>
      <c r="B62" s="92" t="s">
        <v>242</v>
      </c>
      <c r="C62" s="84" t="s">
        <v>129</v>
      </c>
      <c r="D62" s="85" t="s">
        <v>56</v>
      </c>
      <c r="E62" s="86" t="n">
        <v>29.86</v>
      </c>
      <c r="F62" s="86" t="n">
        <v>17</v>
      </c>
      <c r="G62" s="87" t="n">
        <f aca="false">E62*F62</f>
        <v>507.62</v>
      </c>
      <c r="H62" s="93"/>
      <c r="I62" s="94"/>
      <c r="J62" s="95"/>
      <c r="K62" s="3"/>
      <c r="L62" s="91"/>
      <c r="M62" s="92" t="s">
        <v>242</v>
      </c>
      <c r="N62" s="84" t="s">
        <v>129</v>
      </c>
      <c r="O62" s="85" t="s">
        <v>56</v>
      </c>
      <c r="P62" s="86" t="n">
        <v>29.86</v>
      </c>
      <c r="Q62" s="86" t="n">
        <v>17</v>
      </c>
      <c r="R62" s="87" t="n">
        <f aca="false">P62*Q62</f>
        <v>507.62</v>
      </c>
      <c r="S62" s="93"/>
      <c r="T62" s="94"/>
      <c r="U62" s="95"/>
    </row>
    <row r="63" customFormat="false" ht="18.75" hidden="false" customHeight="true" outlineLevel="0" collapsed="false">
      <c r="A63" s="91"/>
      <c r="B63" s="92" t="s">
        <v>242</v>
      </c>
      <c r="C63" s="84" t="s">
        <v>114</v>
      </c>
      <c r="D63" s="85" t="s">
        <v>56</v>
      </c>
      <c r="E63" s="86" t="n">
        <v>27.75</v>
      </c>
      <c r="F63" s="86" t="n">
        <v>17</v>
      </c>
      <c r="G63" s="87" t="n">
        <f aca="false">E63*F63</f>
        <v>471.75</v>
      </c>
      <c r="H63" s="93"/>
      <c r="I63" s="94"/>
      <c r="J63" s="95"/>
      <c r="K63" s="3"/>
      <c r="L63" s="91"/>
      <c r="M63" s="92" t="s">
        <v>242</v>
      </c>
      <c r="N63" s="84" t="s">
        <v>114</v>
      </c>
      <c r="O63" s="85" t="s">
        <v>56</v>
      </c>
      <c r="P63" s="86" t="n">
        <v>27.75</v>
      </c>
      <c r="Q63" s="86" t="n">
        <v>17</v>
      </c>
      <c r="R63" s="87" t="n">
        <f aca="false">P63*Q63</f>
        <v>471.75</v>
      </c>
      <c r="S63" s="93"/>
      <c r="T63" s="94"/>
      <c r="U63" s="95"/>
    </row>
    <row r="64" customFormat="false" ht="18.75" hidden="false" customHeight="true" outlineLevel="0" collapsed="false">
      <c r="A64" s="91"/>
      <c r="B64" s="92" t="s">
        <v>242</v>
      </c>
      <c r="C64" s="84" t="s">
        <v>81</v>
      </c>
      <c r="D64" s="85" t="s">
        <v>56</v>
      </c>
      <c r="E64" s="86" t="n">
        <v>27.93</v>
      </c>
      <c r="F64" s="86" t="n">
        <v>17</v>
      </c>
      <c r="G64" s="87" t="n">
        <f aca="false">E64*F64</f>
        <v>474.81</v>
      </c>
      <c r="H64" s="93"/>
      <c r="I64" s="94"/>
      <c r="J64" s="95"/>
      <c r="K64" s="3"/>
      <c r="L64" s="91"/>
      <c r="M64" s="92" t="s">
        <v>242</v>
      </c>
      <c r="N64" s="84" t="s">
        <v>81</v>
      </c>
      <c r="O64" s="85" t="s">
        <v>56</v>
      </c>
      <c r="P64" s="86" t="n">
        <v>27.93</v>
      </c>
      <c r="Q64" s="86" t="n">
        <v>17</v>
      </c>
      <c r="R64" s="87" t="n">
        <f aca="false">P64*Q64</f>
        <v>474.81</v>
      </c>
      <c r="S64" s="93"/>
      <c r="T64" s="94"/>
      <c r="U64" s="95"/>
    </row>
    <row r="65" customFormat="false" ht="18.75" hidden="false" customHeight="true" outlineLevel="0" collapsed="false">
      <c r="A65" s="91"/>
      <c r="B65" s="92" t="s">
        <v>242</v>
      </c>
      <c r="C65" s="84" t="s">
        <v>131</v>
      </c>
      <c r="D65" s="85" t="s">
        <v>56</v>
      </c>
      <c r="E65" s="86" t="n">
        <v>30</v>
      </c>
      <c r="F65" s="86" t="n">
        <v>17</v>
      </c>
      <c r="G65" s="87" t="n">
        <f aca="false">E65*F65</f>
        <v>510</v>
      </c>
      <c r="H65" s="93"/>
      <c r="I65" s="94"/>
      <c r="J65" s="95"/>
      <c r="K65" s="3"/>
      <c r="L65" s="91"/>
      <c r="M65" s="92" t="s">
        <v>242</v>
      </c>
      <c r="N65" s="84" t="s">
        <v>131</v>
      </c>
      <c r="O65" s="85" t="s">
        <v>56</v>
      </c>
      <c r="P65" s="86" t="n">
        <v>30</v>
      </c>
      <c r="Q65" s="86" t="n">
        <v>17</v>
      </c>
      <c r="R65" s="87" t="n">
        <f aca="false">P65*Q65</f>
        <v>510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242</v>
      </c>
      <c r="C66" s="84" t="s">
        <v>269</v>
      </c>
      <c r="D66" s="85" t="s">
        <v>56</v>
      </c>
      <c r="E66" s="86" t="n">
        <v>22.17</v>
      </c>
      <c r="F66" s="86" t="n">
        <v>17</v>
      </c>
      <c r="G66" s="87" t="n">
        <f aca="false">E66*F66</f>
        <v>376.89</v>
      </c>
      <c r="H66" s="93"/>
      <c r="I66" s="94"/>
      <c r="J66" s="95"/>
      <c r="K66" s="3"/>
      <c r="L66" s="91"/>
      <c r="M66" s="92" t="s">
        <v>242</v>
      </c>
      <c r="N66" s="84" t="s">
        <v>269</v>
      </c>
      <c r="O66" s="85" t="s">
        <v>56</v>
      </c>
      <c r="P66" s="86" t="n">
        <v>22.17</v>
      </c>
      <c r="Q66" s="86" t="n">
        <v>17</v>
      </c>
      <c r="R66" s="87" t="n">
        <f aca="false">P66*Q66</f>
        <v>376.89</v>
      </c>
      <c r="S66" s="93"/>
      <c r="T66" s="94"/>
      <c r="U66" s="95"/>
    </row>
    <row r="67" customFormat="false" ht="18.75" hidden="false" customHeight="true" outlineLevel="0" collapsed="false">
      <c r="A67" s="91"/>
      <c r="B67" s="92" t="s">
        <v>242</v>
      </c>
      <c r="C67" s="84" t="s">
        <v>277</v>
      </c>
      <c r="D67" s="85" t="s">
        <v>56</v>
      </c>
      <c r="E67" s="86" t="n">
        <v>15.12</v>
      </c>
      <c r="F67" s="86" t="n">
        <v>15</v>
      </c>
      <c r="G67" s="87" t="n">
        <f aca="false">E67*F67</f>
        <v>226.8</v>
      </c>
      <c r="H67" s="93"/>
      <c r="I67" s="94"/>
      <c r="J67" s="95"/>
      <c r="K67" s="3"/>
      <c r="L67" s="91"/>
      <c r="M67" s="92" t="s">
        <v>242</v>
      </c>
      <c r="N67" s="84" t="s">
        <v>277</v>
      </c>
      <c r="O67" s="85" t="s">
        <v>56</v>
      </c>
      <c r="P67" s="86" t="n">
        <v>15.12</v>
      </c>
      <c r="Q67" s="86" t="n">
        <v>15</v>
      </c>
      <c r="R67" s="87" t="n">
        <f aca="false">P67*Q67</f>
        <v>226.8</v>
      </c>
      <c r="S67" s="93"/>
      <c r="T67" s="94"/>
      <c r="U67" s="95"/>
    </row>
    <row r="68" customFormat="false" ht="18.75" hidden="false" customHeight="true" outlineLevel="0" collapsed="false">
      <c r="A68" s="91"/>
      <c r="B68" s="92" t="s">
        <v>242</v>
      </c>
      <c r="C68" s="84" t="s">
        <v>271</v>
      </c>
      <c r="D68" s="85" t="s">
        <v>56</v>
      </c>
      <c r="E68" s="86" t="n">
        <v>25.5</v>
      </c>
      <c r="F68" s="86" t="n">
        <v>15</v>
      </c>
      <c r="G68" s="87" t="n">
        <f aca="false">E68*F68</f>
        <v>382.5</v>
      </c>
      <c r="H68" s="93"/>
      <c r="I68" s="94"/>
      <c r="J68" s="95"/>
      <c r="K68" s="3"/>
      <c r="L68" s="91"/>
      <c r="M68" s="92" t="s">
        <v>242</v>
      </c>
      <c r="N68" s="84" t="s">
        <v>271</v>
      </c>
      <c r="O68" s="85" t="s">
        <v>56</v>
      </c>
      <c r="P68" s="86" t="n">
        <v>25.5</v>
      </c>
      <c r="Q68" s="86" t="n">
        <v>15</v>
      </c>
      <c r="R68" s="87" t="n">
        <f aca="false">P68*Q68</f>
        <v>382.5</v>
      </c>
      <c r="S68" s="93"/>
      <c r="T68" s="94"/>
      <c r="U68" s="95"/>
    </row>
    <row r="69" customFormat="false" ht="18.75" hidden="false" customHeight="true" outlineLevel="0" collapsed="false">
      <c r="A69" s="91"/>
      <c r="B69" s="92" t="s">
        <v>242</v>
      </c>
      <c r="C69" s="84" t="s">
        <v>278</v>
      </c>
      <c r="D69" s="96" t="s">
        <v>57</v>
      </c>
      <c r="E69" s="91"/>
      <c r="F69" s="91"/>
      <c r="G69" s="87" t="n">
        <v>61.5</v>
      </c>
      <c r="H69" s="93"/>
      <c r="I69" s="94"/>
      <c r="J69" s="95"/>
      <c r="K69" s="3"/>
      <c r="L69" s="91"/>
      <c r="M69" s="92" t="s">
        <v>242</v>
      </c>
      <c r="N69" s="84" t="s">
        <v>278</v>
      </c>
      <c r="O69" s="96" t="s">
        <v>57</v>
      </c>
      <c r="P69" s="91"/>
      <c r="Q69" s="91"/>
      <c r="R69" s="87" t="n">
        <v>61.5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242</v>
      </c>
      <c r="C70" s="84" t="s">
        <v>273</v>
      </c>
      <c r="D70" s="85" t="s">
        <v>56</v>
      </c>
      <c r="E70" s="86" t="n">
        <v>13.92</v>
      </c>
      <c r="F70" s="86" t="n">
        <v>15</v>
      </c>
      <c r="G70" s="87" t="n">
        <f aca="false">E70*F70</f>
        <v>208.8</v>
      </c>
      <c r="H70" s="93"/>
      <c r="I70" s="94"/>
      <c r="J70" s="95"/>
      <c r="K70" s="3"/>
      <c r="L70" s="91"/>
      <c r="M70" s="92" t="s">
        <v>242</v>
      </c>
      <c r="N70" s="84" t="s">
        <v>273</v>
      </c>
      <c r="O70" s="85" t="s">
        <v>56</v>
      </c>
      <c r="P70" s="86" t="n">
        <v>13.92</v>
      </c>
      <c r="Q70" s="86" t="n">
        <v>15</v>
      </c>
      <c r="R70" s="87" t="n">
        <f aca="false">P70*Q70</f>
        <v>208.8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242</v>
      </c>
      <c r="C71" s="84" t="s">
        <v>274</v>
      </c>
      <c r="D71" s="85" t="s">
        <v>56</v>
      </c>
      <c r="E71" s="86" t="n">
        <v>15.7</v>
      </c>
      <c r="F71" s="86" t="n">
        <v>17</v>
      </c>
      <c r="G71" s="87" t="n">
        <f aca="false">E71*F71</f>
        <v>266.9</v>
      </c>
      <c r="H71" s="93"/>
      <c r="I71" s="94"/>
      <c r="J71" s="95"/>
      <c r="K71" s="3"/>
      <c r="L71" s="91"/>
      <c r="M71" s="92" t="s">
        <v>242</v>
      </c>
      <c r="N71" s="84" t="s">
        <v>274</v>
      </c>
      <c r="O71" s="85" t="s">
        <v>56</v>
      </c>
      <c r="P71" s="86" t="n">
        <v>15.7</v>
      </c>
      <c r="Q71" s="86" t="n">
        <v>17</v>
      </c>
      <c r="R71" s="87" t="n">
        <f aca="false">P71*Q71</f>
        <v>266.9</v>
      </c>
      <c r="S71" s="93"/>
      <c r="T71" s="94"/>
      <c r="U71" s="95"/>
    </row>
    <row r="72" customFormat="false" ht="18.75" hidden="false" customHeight="true" outlineLevel="0" collapsed="false">
      <c r="A72" s="91"/>
      <c r="B72" s="92" t="s">
        <v>242</v>
      </c>
      <c r="C72" s="84" t="s">
        <v>95</v>
      </c>
      <c r="D72" s="103" t="s">
        <v>58</v>
      </c>
      <c r="E72" s="91"/>
      <c r="F72" s="91"/>
      <c r="G72" s="87" t="n">
        <v>266.3</v>
      </c>
      <c r="H72" s="93"/>
      <c r="I72" s="94"/>
      <c r="J72" s="95"/>
      <c r="K72" s="3"/>
      <c r="L72" s="91"/>
      <c r="M72" s="92" t="s">
        <v>242</v>
      </c>
      <c r="N72" s="84" t="s">
        <v>95</v>
      </c>
      <c r="O72" s="103" t="s">
        <v>58</v>
      </c>
      <c r="P72" s="91"/>
      <c r="Q72" s="91"/>
      <c r="R72" s="87" t="n">
        <v>266.3</v>
      </c>
      <c r="S72" s="93"/>
      <c r="T72" s="94"/>
      <c r="U72" s="95"/>
    </row>
    <row r="73" customFormat="false" ht="18.75" hidden="false" customHeight="true" outlineLevel="0" collapsed="false">
      <c r="A73" s="91"/>
      <c r="B73" s="92" t="s">
        <v>242</v>
      </c>
      <c r="C73" s="84" t="s">
        <v>264</v>
      </c>
      <c r="D73" s="103" t="s">
        <v>58</v>
      </c>
      <c r="E73" s="91"/>
      <c r="F73" s="91"/>
      <c r="G73" s="87" t="n">
        <v>240.8</v>
      </c>
      <c r="H73" s="93"/>
      <c r="I73" s="94"/>
      <c r="J73" s="95"/>
      <c r="K73" s="3"/>
      <c r="L73" s="91"/>
      <c r="M73" s="92" t="s">
        <v>242</v>
      </c>
      <c r="N73" s="84" t="s">
        <v>264</v>
      </c>
      <c r="O73" s="103" t="s">
        <v>58</v>
      </c>
      <c r="P73" s="91"/>
      <c r="Q73" s="91"/>
      <c r="R73" s="87" t="n">
        <v>240.8</v>
      </c>
      <c r="S73" s="93"/>
      <c r="T73" s="94"/>
      <c r="U73" s="95"/>
    </row>
    <row r="74" customFormat="false" ht="18.75" hidden="false" customHeight="true" outlineLevel="0" collapsed="false">
      <c r="A74" s="91"/>
      <c r="B74" s="92" t="s">
        <v>242</v>
      </c>
      <c r="C74" s="84" t="s">
        <v>92</v>
      </c>
      <c r="D74" s="103" t="s">
        <v>58</v>
      </c>
      <c r="E74" s="91"/>
      <c r="F74" s="91"/>
      <c r="G74" s="87" t="n">
        <v>587.36</v>
      </c>
      <c r="H74" s="93"/>
      <c r="I74" s="94"/>
      <c r="J74" s="95"/>
      <c r="K74" s="3"/>
      <c r="L74" s="91"/>
      <c r="M74" s="92" t="s">
        <v>242</v>
      </c>
      <c r="N74" s="84" t="s">
        <v>92</v>
      </c>
      <c r="O74" s="103" t="s">
        <v>58</v>
      </c>
      <c r="P74" s="91"/>
      <c r="Q74" s="91"/>
      <c r="R74" s="87" t="n">
        <v>587.36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242</v>
      </c>
      <c r="C75" s="84" t="s">
        <v>94</v>
      </c>
      <c r="D75" s="103" t="s">
        <v>58</v>
      </c>
      <c r="E75" s="91"/>
      <c r="F75" s="91"/>
      <c r="G75" s="87" t="n">
        <v>402</v>
      </c>
      <c r="H75" s="93"/>
      <c r="I75" s="94"/>
      <c r="J75" s="95"/>
      <c r="K75" s="3"/>
      <c r="L75" s="91"/>
      <c r="M75" s="92" t="s">
        <v>242</v>
      </c>
      <c r="N75" s="84" t="s">
        <v>94</v>
      </c>
      <c r="O75" s="103" t="s">
        <v>58</v>
      </c>
      <c r="P75" s="91"/>
      <c r="Q75" s="91"/>
      <c r="R75" s="87" t="n">
        <v>402</v>
      </c>
      <c r="S75" s="93"/>
      <c r="T75" s="94"/>
      <c r="U75" s="95"/>
    </row>
    <row r="76" customFormat="false" ht="18.75" hidden="false" customHeight="true" outlineLevel="0" collapsed="false">
      <c r="A76" s="82" t="s">
        <v>22</v>
      </c>
      <c r="B76" s="83" t="s">
        <v>243</v>
      </c>
      <c r="C76" s="97" t="s">
        <v>91</v>
      </c>
      <c r="D76" s="98" t="s">
        <v>55</v>
      </c>
      <c r="E76" s="99" t="n">
        <v>14</v>
      </c>
      <c r="F76" s="99" t="n">
        <v>16</v>
      </c>
      <c r="G76" s="100" t="n">
        <f aca="false">E76*F76</f>
        <v>224</v>
      </c>
      <c r="H76" s="88" t="n">
        <f aca="false">SUMIF(B:B,B76,G:G)</f>
        <v>5077.46</v>
      </c>
      <c r="I76" s="89" t="n">
        <v>7000</v>
      </c>
      <c r="J76" s="90" t="n">
        <f aca="false">IFERROR((I76-H76)/I76,"")</f>
        <v>0.274648571428571</v>
      </c>
      <c r="K76" s="3"/>
      <c r="L76" s="82" t="s">
        <v>22</v>
      </c>
      <c r="M76" s="83" t="s">
        <v>243</v>
      </c>
      <c r="N76" s="97" t="s">
        <v>91</v>
      </c>
      <c r="O76" s="98" t="s">
        <v>55</v>
      </c>
      <c r="P76" s="101"/>
      <c r="Q76" s="101"/>
      <c r="R76" s="102" t="n">
        <v>0</v>
      </c>
      <c r="S76" s="88" t="n">
        <f aca="false">SUMIF(M:M,M76,R:R)</f>
        <v>4683.46</v>
      </c>
      <c r="T76" s="89" t="n">
        <f aca="false">I76</f>
        <v>7000</v>
      </c>
      <c r="U76" s="90" t="n">
        <f aca="false">IFERROR((T76-S76)/T76,"")</f>
        <v>0.330934285714286</v>
      </c>
    </row>
    <row r="77" customFormat="false" ht="18.75" hidden="false" customHeight="true" outlineLevel="0" collapsed="false">
      <c r="A77" s="104"/>
      <c r="B77" s="105" t="s">
        <v>243</v>
      </c>
      <c r="C77" s="97" t="s">
        <v>275</v>
      </c>
      <c r="D77" s="98" t="s">
        <v>55</v>
      </c>
      <c r="E77" s="99" t="n">
        <v>10</v>
      </c>
      <c r="F77" s="99" t="n">
        <v>17</v>
      </c>
      <c r="G77" s="100" t="n">
        <f aca="false">E77*F77</f>
        <v>170</v>
      </c>
      <c r="H77" s="106"/>
      <c r="I77" s="107"/>
      <c r="J77" s="108"/>
      <c r="K77" s="3"/>
      <c r="L77" s="104"/>
      <c r="M77" s="105" t="s">
        <v>243</v>
      </c>
      <c r="N77" s="97" t="s">
        <v>275</v>
      </c>
      <c r="O77" s="98" t="s">
        <v>55</v>
      </c>
      <c r="P77" s="101"/>
      <c r="Q77" s="101"/>
      <c r="R77" s="102" t="n">
        <v>0</v>
      </c>
      <c r="S77" s="106"/>
      <c r="T77" s="107"/>
      <c r="U77" s="108"/>
    </row>
    <row r="78" customFormat="false" ht="18.75" hidden="false" customHeight="true" outlineLevel="0" collapsed="false">
      <c r="A78" s="91"/>
      <c r="B78" s="92" t="s">
        <v>243</v>
      </c>
      <c r="C78" s="84" t="s">
        <v>131</v>
      </c>
      <c r="D78" s="85" t="s">
        <v>56</v>
      </c>
      <c r="E78" s="86" t="n">
        <v>26</v>
      </c>
      <c r="F78" s="86" t="n">
        <v>17</v>
      </c>
      <c r="G78" s="87" t="n">
        <f aca="false">E78*F78</f>
        <v>442</v>
      </c>
      <c r="H78" s="93"/>
      <c r="I78" s="94"/>
      <c r="J78" s="95"/>
      <c r="K78" s="3"/>
      <c r="L78" s="91"/>
      <c r="M78" s="92" t="s">
        <v>243</v>
      </c>
      <c r="N78" s="84" t="s">
        <v>131</v>
      </c>
      <c r="O78" s="85" t="s">
        <v>56</v>
      </c>
      <c r="P78" s="86" t="n">
        <v>26</v>
      </c>
      <c r="Q78" s="86" t="n">
        <v>17</v>
      </c>
      <c r="R78" s="87" t="n">
        <f aca="false">P78*Q78</f>
        <v>442</v>
      </c>
      <c r="S78" s="93"/>
      <c r="T78" s="94"/>
      <c r="U78" s="95"/>
    </row>
    <row r="79" customFormat="false" ht="18.75" hidden="false" customHeight="true" outlineLevel="0" collapsed="false">
      <c r="A79" s="91"/>
      <c r="B79" s="92" t="s">
        <v>243</v>
      </c>
      <c r="C79" s="84" t="s">
        <v>258</v>
      </c>
      <c r="D79" s="85" t="s">
        <v>56</v>
      </c>
      <c r="E79" s="86" t="n">
        <v>24.66</v>
      </c>
      <c r="F79" s="86" t="n">
        <v>17</v>
      </c>
      <c r="G79" s="87" t="n">
        <f aca="false">E79*F79</f>
        <v>419.22</v>
      </c>
      <c r="H79" s="93"/>
      <c r="I79" s="94"/>
      <c r="J79" s="95"/>
      <c r="K79" s="3"/>
      <c r="L79" s="91"/>
      <c r="M79" s="92" t="s">
        <v>243</v>
      </c>
      <c r="N79" s="84" t="s">
        <v>258</v>
      </c>
      <c r="O79" s="85" t="s">
        <v>56</v>
      </c>
      <c r="P79" s="86" t="n">
        <v>24.66</v>
      </c>
      <c r="Q79" s="86" t="n">
        <v>17</v>
      </c>
      <c r="R79" s="87" t="n">
        <f aca="false">P79*Q79</f>
        <v>419.22</v>
      </c>
      <c r="S79" s="93"/>
      <c r="T79" s="94"/>
      <c r="U79" s="95"/>
    </row>
    <row r="80" customFormat="false" ht="18.75" hidden="false" customHeight="true" outlineLevel="0" collapsed="false">
      <c r="A80" s="91"/>
      <c r="B80" s="92" t="s">
        <v>243</v>
      </c>
      <c r="C80" s="84" t="s">
        <v>81</v>
      </c>
      <c r="D80" s="85" t="s">
        <v>56</v>
      </c>
      <c r="E80" s="86" t="n">
        <v>23.8</v>
      </c>
      <c r="F80" s="86" t="n">
        <v>17</v>
      </c>
      <c r="G80" s="87" t="n">
        <f aca="false">E80*F80</f>
        <v>404.6</v>
      </c>
      <c r="H80" s="93"/>
      <c r="I80" s="94"/>
      <c r="J80" s="95"/>
      <c r="K80" s="3"/>
      <c r="L80" s="91"/>
      <c r="M80" s="92" t="s">
        <v>243</v>
      </c>
      <c r="N80" s="84" t="s">
        <v>81</v>
      </c>
      <c r="O80" s="85" t="s">
        <v>56</v>
      </c>
      <c r="P80" s="86" t="n">
        <v>23.8</v>
      </c>
      <c r="Q80" s="86" t="n">
        <v>17</v>
      </c>
      <c r="R80" s="87" t="n">
        <f aca="false">P80*Q80</f>
        <v>404.6</v>
      </c>
      <c r="S80" s="93"/>
      <c r="T80" s="94"/>
      <c r="U80" s="95"/>
    </row>
    <row r="81" customFormat="false" ht="18.75" hidden="false" customHeight="true" outlineLevel="0" collapsed="false">
      <c r="A81" s="91"/>
      <c r="B81" s="92" t="s">
        <v>243</v>
      </c>
      <c r="C81" s="84" t="s">
        <v>129</v>
      </c>
      <c r="D81" s="85" t="s">
        <v>56</v>
      </c>
      <c r="E81" s="86" t="n">
        <v>25.85</v>
      </c>
      <c r="F81" s="86" t="n">
        <v>17</v>
      </c>
      <c r="G81" s="87" t="n">
        <f aca="false">E81*F81</f>
        <v>439.45</v>
      </c>
      <c r="H81" s="93"/>
      <c r="I81" s="94"/>
      <c r="J81" s="95"/>
      <c r="K81" s="3"/>
      <c r="L81" s="91"/>
      <c r="M81" s="92" t="s">
        <v>243</v>
      </c>
      <c r="N81" s="84" t="s">
        <v>129</v>
      </c>
      <c r="O81" s="85" t="s">
        <v>56</v>
      </c>
      <c r="P81" s="86" t="n">
        <v>25.85</v>
      </c>
      <c r="Q81" s="86" t="n">
        <v>17</v>
      </c>
      <c r="R81" s="87" t="n">
        <f aca="false">P81*Q81</f>
        <v>439.45</v>
      </c>
      <c r="S81" s="93"/>
      <c r="T81" s="94"/>
      <c r="U81" s="95"/>
    </row>
    <row r="82" customFormat="false" ht="18.75" hidden="false" customHeight="true" outlineLevel="0" collapsed="false">
      <c r="A82" s="91"/>
      <c r="B82" s="92" t="s">
        <v>243</v>
      </c>
      <c r="C82" s="84" t="s">
        <v>279</v>
      </c>
      <c r="D82" s="85" t="s">
        <v>56</v>
      </c>
      <c r="E82" s="86" t="n">
        <v>10.5</v>
      </c>
      <c r="F82" s="86" t="n">
        <v>17</v>
      </c>
      <c r="G82" s="87" t="n">
        <f aca="false">E82*F82</f>
        <v>178.5</v>
      </c>
      <c r="H82" s="93"/>
      <c r="I82" s="94"/>
      <c r="J82" s="95"/>
      <c r="K82" s="3"/>
      <c r="L82" s="91"/>
      <c r="M82" s="92" t="s">
        <v>243</v>
      </c>
      <c r="N82" s="84" t="s">
        <v>279</v>
      </c>
      <c r="O82" s="85" t="s">
        <v>56</v>
      </c>
      <c r="P82" s="86" t="n">
        <v>10.5</v>
      </c>
      <c r="Q82" s="86" t="n">
        <v>17</v>
      </c>
      <c r="R82" s="87" t="n">
        <f aca="false">P82*Q82</f>
        <v>178.5</v>
      </c>
      <c r="S82" s="93"/>
      <c r="T82" s="94"/>
      <c r="U82" s="95"/>
    </row>
    <row r="83" customFormat="false" ht="18.75" hidden="false" customHeight="true" outlineLevel="0" collapsed="false">
      <c r="A83" s="91"/>
      <c r="B83" s="92" t="s">
        <v>243</v>
      </c>
      <c r="C83" s="84" t="s">
        <v>280</v>
      </c>
      <c r="D83" s="85" t="s">
        <v>56</v>
      </c>
      <c r="E83" s="86" t="n">
        <v>21.55</v>
      </c>
      <c r="F83" s="86" t="n">
        <v>15</v>
      </c>
      <c r="G83" s="87" t="n">
        <f aca="false">E83*F83</f>
        <v>323.25</v>
      </c>
      <c r="H83" s="93"/>
      <c r="I83" s="94"/>
      <c r="J83" s="95"/>
      <c r="K83" s="3"/>
      <c r="L83" s="91"/>
      <c r="M83" s="92" t="s">
        <v>243</v>
      </c>
      <c r="N83" s="84" t="s">
        <v>280</v>
      </c>
      <c r="O83" s="85" t="s">
        <v>56</v>
      </c>
      <c r="P83" s="86" t="n">
        <v>21.55</v>
      </c>
      <c r="Q83" s="86" t="n">
        <v>15</v>
      </c>
      <c r="R83" s="87" t="n">
        <f aca="false">P83*Q83</f>
        <v>323.25</v>
      </c>
      <c r="S83" s="93"/>
      <c r="T83" s="94"/>
      <c r="U83" s="95"/>
    </row>
    <row r="84" customFormat="false" ht="18.75" hidden="false" customHeight="true" outlineLevel="0" collapsed="false">
      <c r="A84" s="91"/>
      <c r="B84" s="92" t="s">
        <v>243</v>
      </c>
      <c r="C84" s="84" t="s">
        <v>271</v>
      </c>
      <c r="D84" s="85" t="s">
        <v>56</v>
      </c>
      <c r="E84" s="86" t="n">
        <v>23.8</v>
      </c>
      <c r="F84" s="86" t="n">
        <v>15</v>
      </c>
      <c r="G84" s="87" t="n">
        <f aca="false">E84*F84</f>
        <v>357</v>
      </c>
      <c r="H84" s="93"/>
      <c r="I84" s="94"/>
      <c r="J84" s="95"/>
      <c r="K84" s="3"/>
      <c r="L84" s="91"/>
      <c r="M84" s="92" t="s">
        <v>243</v>
      </c>
      <c r="N84" s="84" t="s">
        <v>271</v>
      </c>
      <c r="O84" s="85" t="s">
        <v>56</v>
      </c>
      <c r="P84" s="86" t="n">
        <v>23.8</v>
      </c>
      <c r="Q84" s="86" t="n">
        <v>15</v>
      </c>
      <c r="R84" s="87" t="n">
        <f aca="false">P84*Q84</f>
        <v>357</v>
      </c>
      <c r="S84" s="93"/>
      <c r="T84" s="94"/>
      <c r="U84" s="95"/>
    </row>
    <row r="85" customFormat="false" ht="18.75" hidden="false" customHeight="true" outlineLevel="0" collapsed="false">
      <c r="A85" s="91"/>
      <c r="B85" s="92" t="s">
        <v>243</v>
      </c>
      <c r="C85" s="84" t="s">
        <v>281</v>
      </c>
      <c r="D85" s="85" t="s">
        <v>56</v>
      </c>
      <c r="E85" s="86" t="n">
        <v>16.88</v>
      </c>
      <c r="F85" s="86" t="n">
        <v>15</v>
      </c>
      <c r="G85" s="87" t="n">
        <f aca="false">E85*F85</f>
        <v>253.2</v>
      </c>
      <c r="H85" s="93"/>
      <c r="I85" s="94"/>
      <c r="J85" s="95"/>
      <c r="K85" s="3"/>
      <c r="L85" s="91"/>
      <c r="M85" s="92" t="s">
        <v>243</v>
      </c>
      <c r="N85" s="84" t="s">
        <v>281</v>
      </c>
      <c r="O85" s="85" t="s">
        <v>56</v>
      </c>
      <c r="P85" s="86" t="n">
        <v>16.88</v>
      </c>
      <c r="Q85" s="86" t="n">
        <v>15</v>
      </c>
      <c r="R85" s="87" t="n">
        <f aca="false">P85*Q85</f>
        <v>253.2</v>
      </c>
      <c r="S85" s="93"/>
      <c r="T85" s="94"/>
      <c r="U85" s="95"/>
    </row>
    <row r="86" customFormat="false" ht="18.75" hidden="false" customHeight="true" outlineLevel="0" collapsed="false">
      <c r="A86" s="91"/>
      <c r="B86" s="92" t="s">
        <v>243</v>
      </c>
      <c r="C86" s="84" t="s">
        <v>273</v>
      </c>
      <c r="D86" s="85" t="s">
        <v>56</v>
      </c>
      <c r="E86" s="86" t="n">
        <v>13.13</v>
      </c>
      <c r="F86" s="86" t="n">
        <v>15</v>
      </c>
      <c r="G86" s="87" t="n">
        <f aca="false">E86*F86</f>
        <v>196.95</v>
      </c>
      <c r="H86" s="93"/>
      <c r="I86" s="94"/>
      <c r="J86" s="95"/>
      <c r="K86" s="3"/>
      <c r="L86" s="91"/>
      <c r="M86" s="92" t="s">
        <v>243</v>
      </c>
      <c r="N86" s="84" t="s">
        <v>273</v>
      </c>
      <c r="O86" s="85" t="s">
        <v>56</v>
      </c>
      <c r="P86" s="86" t="n">
        <v>13.13</v>
      </c>
      <c r="Q86" s="86" t="n">
        <v>15</v>
      </c>
      <c r="R86" s="87" t="n">
        <f aca="false">P86*Q86</f>
        <v>196.95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243</v>
      </c>
      <c r="C87" s="84" t="s">
        <v>95</v>
      </c>
      <c r="D87" s="103" t="s">
        <v>58</v>
      </c>
      <c r="E87" s="91"/>
      <c r="F87" s="91"/>
      <c r="G87" s="87" t="n">
        <v>177.93</v>
      </c>
      <c r="H87" s="93"/>
      <c r="I87" s="94"/>
      <c r="J87" s="95"/>
      <c r="K87" s="3"/>
      <c r="L87" s="91"/>
      <c r="M87" s="92" t="s">
        <v>243</v>
      </c>
      <c r="N87" s="84" t="s">
        <v>95</v>
      </c>
      <c r="O87" s="103" t="s">
        <v>58</v>
      </c>
      <c r="P87" s="91"/>
      <c r="Q87" s="91"/>
      <c r="R87" s="87" t="n">
        <v>177.93</v>
      </c>
      <c r="S87" s="93"/>
      <c r="T87" s="94"/>
      <c r="U87" s="95"/>
    </row>
    <row r="88" customFormat="false" ht="18.75" hidden="false" customHeight="true" outlineLevel="0" collapsed="false">
      <c r="A88" s="91"/>
      <c r="B88" s="92" t="s">
        <v>243</v>
      </c>
      <c r="C88" s="84" t="s">
        <v>264</v>
      </c>
      <c r="D88" s="103" t="s">
        <v>58</v>
      </c>
      <c r="E88" s="91"/>
      <c r="F88" s="91"/>
      <c r="G88" s="87" t="n">
        <v>120.4</v>
      </c>
      <c r="H88" s="93"/>
      <c r="I88" s="94"/>
      <c r="J88" s="95"/>
      <c r="K88" s="3"/>
      <c r="L88" s="91"/>
      <c r="M88" s="92" t="s">
        <v>243</v>
      </c>
      <c r="N88" s="84" t="s">
        <v>264</v>
      </c>
      <c r="O88" s="103" t="s">
        <v>58</v>
      </c>
      <c r="P88" s="91"/>
      <c r="Q88" s="91"/>
      <c r="R88" s="87" t="n">
        <v>120.4</v>
      </c>
      <c r="S88" s="93"/>
      <c r="T88" s="94"/>
      <c r="U88" s="95"/>
    </row>
    <row r="89" customFormat="false" ht="18.75" hidden="false" customHeight="true" outlineLevel="0" collapsed="false">
      <c r="A89" s="91"/>
      <c r="B89" s="92" t="s">
        <v>243</v>
      </c>
      <c r="C89" s="84" t="s">
        <v>92</v>
      </c>
      <c r="D89" s="103" t="s">
        <v>58</v>
      </c>
      <c r="E89" s="91"/>
      <c r="F89" s="91"/>
      <c r="G89" s="87" t="n">
        <v>316.27</v>
      </c>
      <c r="H89" s="93"/>
      <c r="I89" s="94"/>
      <c r="J89" s="95"/>
      <c r="K89" s="3"/>
      <c r="L89" s="91"/>
      <c r="M89" s="92" t="s">
        <v>243</v>
      </c>
      <c r="N89" s="84" t="s">
        <v>92</v>
      </c>
      <c r="O89" s="103" t="s">
        <v>58</v>
      </c>
      <c r="P89" s="91"/>
      <c r="Q89" s="91"/>
      <c r="R89" s="87" t="n">
        <v>316.27</v>
      </c>
      <c r="S89" s="93"/>
      <c r="T89" s="94"/>
      <c r="U89" s="95"/>
    </row>
    <row r="90" customFormat="false" ht="18.75" hidden="false" customHeight="true" outlineLevel="0" collapsed="false">
      <c r="A90" s="91"/>
      <c r="B90" s="92" t="s">
        <v>243</v>
      </c>
      <c r="C90" s="84" t="s">
        <v>94</v>
      </c>
      <c r="D90" s="103" t="s">
        <v>58</v>
      </c>
      <c r="E90" s="91"/>
      <c r="F90" s="91"/>
      <c r="G90" s="87" t="n">
        <v>327.17</v>
      </c>
      <c r="H90" s="93"/>
      <c r="I90" s="94"/>
      <c r="J90" s="95"/>
      <c r="K90" s="3"/>
      <c r="L90" s="91"/>
      <c r="M90" s="92" t="s">
        <v>243</v>
      </c>
      <c r="N90" s="84" t="s">
        <v>94</v>
      </c>
      <c r="O90" s="103" t="s">
        <v>58</v>
      </c>
      <c r="P90" s="91"/>
      <c r="Q90" s="91"/>
      <c r="R90" s="87" t="n">
        <v>327.17</v>
      </c>
      <c r="S90" s="93"/>
      <c r="T90" s="94"/>
      <c r="U90" s="95"/>
    </row>
    <row r="91" customFormat="false" ht="18.75" hidden="false" customHeight="true" outlineLevel="0" collapsed="false">
      <c r="A91" s="91"/>
      <c r="B91" s="92" t="s">
        <v>243</v>
      </c>
      <c r="C91" s="84" t="s">
        <v>282</v>
      </c>
      <c r="D91" s="96" t="s">
        <v>57</v>
      </c>
      <c r="E91" s="91"/>
      <c r="F91" s="91"/>
      <c r="G91" s="87" t="n">
        <v>162.52</v>
      </c>
      <c r="H91" s="93"/>
      <c r="I91" s="94"/>
      <c r="J91" s="95"/>
      <c r="K91" s="3"/>
      <c r="L91" s="91"/>
      <c r="M91" s="92" t="s">
        <v>243</v>
      </c>
      <c r="N91" s="84" t="s">
        <v>282</v>
      </c>
      <c r="O91" s="96" t="s">
        <v>57</v>
      </c>
      <c r="P91" s="91"/>
      <c r="Q91" s="91"/>
      <c r="R91" s="87" t="n">
        <v>162.52</v>
      </c>
      <c r="S91" s="93"/>
      <c r="T91" s="94"/>
      <c r="U91" s="95"/>
    </row>
    <row r="92" customFormat="false" ht="18.75" hidden="false" customHeight="true" outlineLevel="0" collapsed="false">
      <c r="A92" s="91"/>
      <c r="B92" s="92" t="s">
        <v>243</v>
      </c>
      <c r="C92" s="84" t="s">
        <v>283</v>
      </c>
      <c r="D92" s="103" t="s">
        <v>58</v>
      </c>
      <c r="E92" s="91"/>
      <c r="F92" s="91"/>
      <c r="G92" s="87" t="n">
        <v>565</v>
      </c>
      <c r="H92" s="93"/>
      <c r="I92" s="94"/>
      <c r="J92" s="95"/>
      <c r="K92" s="3"/>
      <c r="L92" s="91"/>
      <c r="M92" s="92" t="s">
        <v>243</v>
      </c>
      <c r="N92" s="84" t="s">
        <v>283</v>
      </c>
      <c r="O92" s="103" t="s">
        <v>58</v>
      </c>
      <c r="P92" s="91"/>
      <c r="Q92" s="91"/>
      <c r="R92" s="87" t="n">
        <v>565</v>
      </c>
      <c r="S92" s="93"/>
      <c r="T92" s="94"/>
      <c r="U92" s="95"/>
    </row>
    <row r="93" customFormat="false" ht="18.75" hidden="false" customHeight="true" outlineLevel="0" collapsed="false">
      <c r="A93" s="82" t="s">
        <v>24</v>
      </c>
      <c r="B93" s="83" t="s">
        <v>244</v>
      </c>
      <c r="C93" s="97" t="s">
        <v>91</v>
      </c>
      <c r="D93" s="98" t="s">
        <v>55</v>
      </c>
      <c r="E93" s="99" t="n">
        <v>14</v>
      </c>
      <c r="F93" s="99" t="n">
        <v>16</v>
      </c>
      <c r="G93" s="100" t="n">
        <f aca="false">E93*F93</f>
        <v>224</v>
      </c>
      <c r="H93" s="88" t="n">
        <f aca="false">SUMIF(B:B,B93,G:G)</f>
        <v>4820.58</v>
      </c>
      <c r="I93" s="89" t="n">
        <v>7000</v>
      </c>
      <c r="J93" s="90" t="n">
        <f aca="false">IFERROR((I93-H93)/I93,"")</f>
        <v>0.311345714285714</v>
      </c>
      <c r="K93" s="3"/>
      <c r="L93" s="82" t="s">
        <v>24</v>
      </c>
      <c r="M93" s="83" t="s">
        <v>244</v>
      </c>
      <c r="N93" s="97" t="s">
        <v>91</v>
      </c>
      <c r="O93" s="98" t="s">
        <v>55</v>
      </c>
      <c r="P93" s="101"/>
      <c r="Q93" s="101"/>
      <c r="R93" s="102" t="n">
        <v>0</v>
      </c>
      <c r="S93" s="88" t="n">
        <f aca="false">SUMIF(M:M,M93,R:R)</f>
        <v>4002.58</v>
      </c>
      <c r="T93" s="89" t="n">
        <f aca="false">I93</f>
        <v>7000</v>
      </c>
      <c r="U93" s="90" t="n">
        <f aca="false">IFERROR((T93-S93)/T93,"")</f>
        <v>0.428202857142857</v>
      </c>
    </row>
    <row r="94" customFormat="false" ht="18.75" hidden="false" customHeight="true" outlineLevel="0" collapsed="false">
      <c r="A94" s="104"/>
      <c r="B94" s="105" t="s">
        <v>244</v>
      </c>
      <c r="C94" s="97" t="s">
        <v>275</v>
      </c>
      <c r="D94" s="98" t="s">
        <v>55</v>
      </c>
      <c r="E94" s="104"/>
      <c r="F94" s="104"/>
      <c r="G94" s="100" t="n">
        <v>340</v>
      </c>
      <c r="H94" s="106"/>
      <c r="I94" s="107"/>
      <c r="J94" s="108"/>
      <c r="K94" s="3"/>
      <c r="L94" s="104"/>
      <c r="M94" s="105" t="s">
        <v>244</v>
      </c>
      <c r="N94" s="97" t="s">
        <v>275</v>
      </c>
      <c r="O94" s="98" t="s">
        <v>55</v>
      </c>
      <c r="P94" s="101"/>
      <c r="Q94" s="101"/>
      <c r="R94" s="102" t="n">
        <v>0</v>
      </c>
      <c r="S94" s="106"/>
      <c r="T94" s="107"/>
      <c r="U94" s="108"/>
    </row>
    <row r="95" customFormat="false" ht="18.75" hidden="false" customHeight="true" outlineLevel="0" collapsed="false">
      <c r="A95" s="91"/>
      <c r="B95" s="92" t="s">
        <v>244</v>
      </c>
      <c r="C95" s="84" t="s">
        <v>284</v>
      </c>
      <c r="D95" s="96" t="s">
        <v>57</v>
      </c>
      <c r="E95" s="91"/>
      <c r="F95" s="91"/>
      <c r="G95" s="87" t="n">
        <v>1600</v>
      </c>
      <c r="H95" s="93"/>
      <c r="I95" s="94"/>
      <c r="J95" s="95"/>
      <c r="K95" s="3"/>
      <c r="L95" s="91"/>
      <c r="M95" s="92" t="s">
        <v>244</v>
      </c>
      <c r="N95" s="84" t="s">
        <v>284</v>
      </c>
      <c r="O95" s="96" t="s">
        <v>57</v>
      </c>
      <c r="P95" s="91"/>
      <c r="Q95" s="91"/>
      <c r="R95" s="87" t="n">
        <v>1600</v>
      </c>
      <c r="S95" s="93"/>
      <c r="T95" s="94"/>
      <c r="U95" s="95"/>
    </row>
    <row r="96" customFormat="false" ht="18.75" hidden="false" customHeight="true" outlineLevel="0" collapsed="false">
      <c r="A96" s="91"/>
      <c r="B96" s="92" t="s">
        <v>244</v>
      </c>
      <c r="C96" s="84" t="s">
        <v>285</v>
      </c>
      <c r="D96" s="85" t="s">
        <v>56</v>
      </c>
      <c r="E96" s="86" t="n">
        <v>26.28</v>
      </c>
      <c r="F96" s="86" t="n">
        <v>15</v>
      </c>
      <c r="G96" s="87" t="n">
        <f aca="false">E96*F96</f>
        <v>394.2</v>
      </c>
      <c r="H96" s="93"/>
      <c r="I96" s="94"/>
      <c r="J96" s="95"/>
      <c r="K96" s="3"/>
      <c r="L96" s="91"/>
      <c r="M96" s="92" t="s">
        <v>244</v>
      </c>
      <c r="N96" s="84" t="s">
        <v>285</v>
      </c>
      <c r="O96" s="85" t="s">
        <v>56</v>
      </c>
      <c r="P96" s="86" t="n">
        <v>26.28</v>
      </c>
      <c r="Q96" s="86" t="n">
        <v>15</v>
      </c>
      <c r="R96" s="87" t="n">
        <f aca="false">P96*Q96</f>
        <v>394.2</v>
      </c>
      <c r="S96" s="93"/>
      <c r="T96" s="94"/>
      <c r="U96" s="95"/>
    </row>
    <row r="97" customFormat="false" ht="18.75" hidden="false" customHeight="true" outlineLevel="0" collapsed="false">
      <c r="A97" s="91"/>
      <c r="B97" s="92" t="s">
        <v>244</v>
      </c>
      <c r="C97" s="84" t="s">
        <v>137</v>
      </c>
      <c r="D97" s="85" t="s">
        <v>56</v>
      </c>
      <c r="E97" s="86" t="n">
        <v>30.33</v>
      </c>
      <c r="F97" s="86" t="n">
        <v>15</v>
      </c>
      <c r="G97" s="87" t="n">
        <f aca="false">E97*F97</f>
        <v>454.95</v>
      </c>
      <c r="H97" s="93"/>
      <c r="I97" s="94"/>
      <c r="J97" s="95"/>
      <c r="K97" s="3"/>
      <c r="L97" s="91"/>
      <c r="M97" s="92" t="s">
        <v>244</v>
      </c>
      <c r="N97" s="84" t="s">
        <v>137</v>
      </c>
      <c r="O97" s="85" t="s">
        <v>56</v>
      </c>
      <c r="P97" s="86" t="n">
        <v>30.33</v>
      </c>
      <c r="Q97" s="86" t="n">
        <v>15</v>
      </c>
      <c r="R97" s="87" t="n">
        <f aca="false">P97*Q97</f>
        <v>454.95</v>
      </c>
      <c r="S97" s="93"/>
      <c r="T97" s="94"/>
      <c r="U97" s="95"/>
    </row>
    <row r="98" customFormat="false" ht="18.75" hidden="false" customHeight="true" outlineLevel="0" collapsed="false">
      <c r="A98" s="91"/>
      <c r="B98" s="92" t="s">
        <v>244</v>
      </c>
      <c r="C98" s="84" t="s">
        <v>286</v>
      </c>
      <c r="D98" s="85" t="s">
        <v>56</v>
      </c>
      <c r="E98" s="86" t="n">
        <v>25.25</v>
      </c>
      <c r="F98" s="86" t="n">
        <v>17</v>
      </c>
      <c r="G98" s="87" t="n">
        <f aca="false">E98*F98</f>
        <v>429.25</v>
      </c>
      <c r="H98" s="93"/>
      <c r="I98" s="94"/>
      <c r="J98" s="95"/>
      <c r="K98" s="3"/>
      <c r="L98" s="91"/>
      <c r="M98" s="92" t="s">
        <v>244</v>
      </c>
      <c r="N98" s="84" t="s">
        <v>286</v>
      </c>
      <c r="O98" s="85" t="s">
        <v>56</v>
      </c>
      <c r="P98" s="86" t="n">
        <v>25.25</v>
      </c>
      <c r="Q98" s="86" t="n">
        <v>17</v>
      </c>
      <c r="R98" s="87" t="n">
        <f aca="false">P98*Q98</f>
        <v>429.25</v>
      </c>
      <c r="S98" s="93"/>
      <c r="T98" s="94"/>
      <c r="U98" s="95"/>
    </row>
    <row r="99" customFormat="false" ht="18.75" hidden="false" customHeight="true" outlineLevel="0" collapsed="false">
      <c r="A99" s="91"/>
      <c r="B99" s="92" t="s">
        <v>244</v>
      </c>
      <c r="C99" s="84" t="s">
        <v>271</v>
      </c>
      <c r="D99" s="85" t="s">
        <v>56</v>
      </c>
      <c r="E99" s="86" t="n">
        <v>23.8</v>
      </c>
      <c r="F99" s="86" t="n">
        <v>15</v>
      </c>
      <c r="G99" s="87" t="n">
        <f aca="false">E99*F99</f>
        <v>357</v>
      </c>
      <c r="H99" s="93"/>
      <c r="I99" s="94"/>
      <c r="J99" s="95"/>
      <c r="K99" s="3"/>
      <c r="L99" s="91"/>
      <c r="M99" s="92" t="s">
        <v>244</v>
      </c>
      <c r="N99" s="84" t="s">
        <v>271</v>
      </c>
      <c r="O99" s="85" t="s">
        <v>56</v>
      </c>
      <c r="P99" s="86" t="n">
        <v>23.8</v>
      </c>
      <c r="Q99" s="86" t="n">
        <v>15</v>
      </c>
      <c r="R99" s="87" t="n">
        <f aca="false">P99*Q99</f>
        <v>357</v>
      </c>
      <c r="S99" s="93"/>
      <c r="T99" s="94"/>
      <c r="U99" s="95"/>
    </row>
    <row r="100" customFormat="false" ht="18.75" hidden="false" customHeight="true" outlineLevel="0" collapsed="false">
      <c r="A100" s="91"/>
      <c r="B100" s="92" t="s">
        <v>244</v>
      </c>
      <c r="C100" s="84" t="s">
        <v>273</v>
      </c>
      <c r="D100" s="85" t="s">
        <v>56</v>
      </c>
      <c r="E100" s="86" t="n">
        <v>14.17</v>
      </c>
      <c r="F100" s="86" t="n">
        <v>15</v>
      </c>
      <c r="G100" s="87" t="n">
        <f aca="false">E100*F100</f>
        <v>212.55</v>
      </c>
      <c r="H100" s="93"/>
      <c r="I100" s="94"/>
      <c r="J100" s="95"/>
      <c r="K100" s="3"/>
      <c r="L100" s="91"/>
      <c r="M100" s="92" t="s">
        <v>244</v>
      </c>
      <c r="N100" s="84" t="s">
        <v>273</v>
      </c>
      <c r="O100" s="85" t="s">
        <v>56</v>
      </c>
      <c r="P100" s="86" t="n">
        <v>14.17</v>
      </c>
      <c r="Q100" s="86" t="n">
        <v>15</v>
      </c>
      <c r="R100" s="87" t="n">
        <f aca="false">P100*Q100</f>
        <v>212.55</v>
      </c>
      <c r="S100" s="93"/>
      <c r="T100" s="94"/>
      <c r="U100" s="95"/>
    </row>
    <row r="101" customFormat="false" ht="18.75" hidden="false" customHeight="true" outlineLevel="0" collapsed="false">
      <c r="A101" s="91"/>
      <c r="B101" s="92" t="s">
        <v>244</v>
      </c>
      <c r="C101" s="84" t="s">
        <v>95</v>
      </c>
      <c r="D101" s="103" t="s">
        <v>58</v>
      </c>
      <c r="E101" s="91"/>
      <c r="F101" s="91"/>
      <c r="G101" s="87" t="n">
        <v>103.8</v>
      </c>
      <c r="H101" s="93"/>
      <c r="I101" s="94"/>
      <c r="J101" s="95"/>
      <c r="K101" s="3"/>
      <c r="L101" s="91"/>
      <c r="M101" s="92" t="s">
        <v>244</v>
      </c>
      <c r="N101" s="84" t="s">
        <v>95</v>
      </c>
      <c r="O101" s="103" t="s">
        <v>58</v>
      </c>
      <c r="P101" s="91"/>
      <c r="Q101" s="91"/>
      <c r="R101" s="87" t="n">
        <v>103.8</v>
      </c>
      <c r="S101" s="93"/>
      <c r="T101" s="94"/>
      <c r="U101" s="95"/>
    </row>
    <row r="102" customFormat="false" ht="18.75" hidden="false" customHeight="true" outlineLevel="0" collapsed="false">
      <c r="A102" s="104"/>
      <c r="B102" s="105" t="s">
        <v>244</v>
      </c>
      <c r="C102" s="97" t="s">
        <v>287</v>
      </c>
      <c r="D102" s="98" t="s">
        <v>55</v>
      </c>
      <c r="E102" s="104"/>
      <c r="F102" s="104"/>
      <c r="G102" s="100" t="n">
        <v>254</v>
      </c>
      <c r="H102" s="106"/>
      <c r="I102" s="107"/>
      <c r="J102" s="108"/>
      <c r="K102" s="3"/>
      <c r="L102" s="104"/>
      <c r="M102" s="105" t="s">
        <v>244</v>
      </c>
      <c r="N102" s="97" t="s">
        <v>287</v>
      </c>
      <c r="O102" s="98" t="s">
        <v>55</v>
      </c>
      <c r="P102" s="101"/>
      <c r="Q102" s="101"/>
      <c r="R102" s="102" t="n">
        <v>0</v>
      </c>
      <c r="S102" s="106"/>
      <c r="T102" s="107"/>
      <c r="U102" s="108"/>
    </row>
    <row r="103" customFormat="false" ht="18.75" hidden="false" customHeight="true" outlineLevel="0" collapsed="false">
      <c r="A103" s="91"/>
      <c r="B103" s="92" t="s">
        <v>244</v>
      </c>
      <c r="C103" s="84" t="s">
        <v>92</v>
      </c>
      <c r="D103" s="103" t="s">
        <v>58</v>
      </c>
      <c r="E103" s="91"/>
      <c r="F103" s="91"/>
      <c r="G103" s="87" t="n">
        <v>56.87</v>
      </c>
      <c r="H103" s="93"/>
      <c r="I103" s="94"/>
      <c r="J103" s="95"/>
      <c r="K103" s="3"/>
      <c r="L103" s="91"/>
      <c r="M103" s="92" t="s">
        <v>244</v>
      </c>
      <c r="N103" s="84" t="s">
        <v>92</v>
      </c>
      <c r="O103" s="103" t="s">
        <v>58</v>
      </c>
      <c r="P103" s="91"/>
      <c r="Q103" s="91"/>
      <c r="R103" s="87" t="n">
        <v>56.87</v>
      </c>
      <c r="S103" s="93"/>
      <c r="T103" s="94"/>
      <c r="U103" s="95"/>
    </row>
    <row r="104" customFormat="false" ht="18.75" hidden="false" customHeight="true" outlineLevel="0" collapsed="false">
      <c r="A104" s="91"/>
      <c r="B104" s="92" t="s">
        <v>244</v>
      </c>
      <c r="C104" s="84" t="s">
        <v>94</v>
      </c>
      <c r="D104" s="103" t="s">
        <v>58</v>
      </c>
      <c r="E104" s="91"/>
      <c r="F104" s="91"/>
      <c r="G104" s="87" t="n">
        <v>146.68</v>
      </c>
      <c r="H104" s="93"/>
      <c r="I104" s="94"/>
      <c r="J104" s="95"/>
      <c r="K104" s="3"/>
      <c r="L104" s="91"/>
      <c r="M104" s="92" t="s">
        <v>244</v>
      </c>
      <c r="N104" s="84" t="s">
        <v>94</v>
      </c>
      <c r="O104" s="103" t="s">
        <v>58</v>
      </c>
      <c r="P104" s="91"/>
      <c r="Q104" s="91"/>
      <c r="R104" s="87" t="n">
        <v>146.68</v>
      </c>
      <c r="S104" s="93"/>
      <c r="T104" s="94"/>
      <c r="U104" s="95"/>
    </row>
    <row r="105" customFormat="false" ht="18.75" hidden="false" customHeight="true" outlineLevel="0" collapsed="false">
      <c r="A105" s="91"/>
      <c r="B105" s="92" t="s">
        <v>244</v>
      </c>
      <c r="C105" s="84" t="s">
        <v>283</v>
      </c>
      <c r="D105" s="103" t="s">
        <v>58</v>
      </c>
      <c r="E105" s="91"/>
      <c r="F105" s="91"/>
      <c r="G105" s="87" t="n">
        <v>247.28</v>
      </c>
      <c r="H105" s="93"/>
      <c r="I105" s="94"/>
      <c r="J105" s="95"/>
      <c r="K105" s="3"/>
      <c r="L105" s="91"/>
      <c r="M105" s="92" t="s">
        <v>244</v>
      </c>
      <c r="N105" s="84" t="s">
        <v>283</v>
      </c>
      <c r="O105" s="103" t="s">
        <v>58</v>
      </c>
      <c r="P105" s="91"/>
      <c r="Q105" s="91"/>
      <c r="R105" s="87" t="n">
        <v>247.28</v>
      </c>
      <c r="S105" s="93"/>
      <c r="T105" s="94"/>
      <c r="U105" s="95"/>
    </row>
    <row r="106" customFormat="false" ht="18.75" hidden="false" customHeight="true" outlineLevel="0" collapsed="false">
      <c r="A106" s="82" t="s">
        <v>26</v>
      </c>
      <c r="B106" s="83" t="s">
        <v>245</v>
      </c>
      <c r="C106" s="97" t="s">
        <v>91</v>
      </c>
      <c r="D106" s="98" t="s">
        <v>55</v>
      </c>
      <c r="E106" s="99" t="n">
        <v>21</v>
      </c>
      <c r="F106" s="99" t="n">
        <v>16</v>
      </c>
      <c r="G106" s="100" t="n">
        <f aca="false">E106*F106</f>
        <v>336</v>
      </c>
      <c r="H106" s="88" t="n">
        <f aca="false">SUMIF(B:B,B106,G:G)</f>
        <v>4574.22</v>
      </c>
      <c r="I106" s="89" t="n">
        <v>7000</v>
      </c>
      <c r="J106" s="90" t="n">
        <f aca="false">IFERROR((I106-H106)/I106,"")</f>
        <v>0.34654</v>
      </c>
      <c r="K106" s="3"/>
      <c r="L106" s="82" t="s">
        <v>26</v>
      </c>
      <c r="M106" s="83" t="s">
        <v>245</v>
      </c>
      <c r="N106" s="97" t="s">
        <v>91</v>
      </c>
      <c r="O106" s="98" t="s">
        <v>55</v>
      </c>
      <c r="P106" s="101"/>
      <c r="Q106" s="101"/>
      <c r="R106" s="102" t="n">
        <v>0</v>
      </c>
      <c r="S106" s="88" t="n">
        <f aca="false">SUMIF(M:M,M106,R:R)</f>
        <v>4068.22</v>
      </c>
      <c r="T106" s="89" t="n">
        <f aca="false">I106</f>
        <v>7000</v>
      </c>
      <c r="U106" s="90" t="n">
        <f aca="false">IFERROR((T106-S106)/T106,"")</f>
        <v>0.418825714285714</v>
      </c>
    </row>
    <row r="107" customFormat="false" ht="18.75" hidden="false" customHeight="true" outlineLevel="0" collapsed="false">
      <c r="A107" s="104"/>
      <c r="B107" s="105" t="s">
        <v>245</v>
      </c>
      <c r="C107" s="97" t="s">
        <v>275</v>
      </c>
      <c r="D107" s="98" t="s">
        <v>55</v>
      </c>
      <c r="E107" s="104"/>
      <c r="F107" s="104"/>
      <c r="G107" s="100" t="n">
        <v>170</v>
      </c>
      <c r="H107" s="106"/>
      <c r="I107" s="107"/>
      <c r="J107" s="108"/>
      <c r="K107" s="3"/>
      <c r="L107" s="104"/>
      <c r="M107" s="105" t="s">
        <v>245</v>
      </c>
      <c r="N107" s="97" t="s">
        <v>275</v>
      </c>
      <c r="O107" s="98" t="s">
        <v>55</v>
      </c>
      <c r="P107" s="101"/>
      <c r="Q107" s="101"/>
      <c r="R107" s="102" t="n">
        <v>0</v>
      </c>
      <c r="S107" s="106"/>
      <c r="T107" s="107"/>
      <c r="U107" s="108"/>
    </row>
    <row r="108" customFormat="false" ht="18.75" hidden="false" customHeight="true" outlineLevel="0" collapsed="false">
      <c r="A108" s="91"/>
      <c r="B108" s="92" t="s">
        <v>245</v>
      </c>
      <c r="C108" s="84" t="s">
        <v>286</v>
      </c>
      <c r="D108" s="85" t="s">
        <v>56</v>
      </c>
      <c r="E108" s="86" t="n">
        <v>31.8</v>
      </c>
      <c r="F108" s="86" t="n">
        <v>17</v>
      </c>
      <c r="G108" s="87" t="n">
        <f aca="false">E108*F108</f>
        <v>540.6</v>
      </c>
      <c r="H108" s="93"/>
      <c r="I108" s="94"/>
      <c r="J108" s="95"/>
      <c r="K108" s="3"/>
      <c r="L108" s="91"/>
      <c r="M108" s="92" t="s">
        <v>245</v>
      </c>
      <c r="N108" s="84" t="s">
        <v>286</v>
      </c>
      <c r="O108" s="85" t="s">
        <v>56</v>
      </c>
      <c r="P108" s="86" t="n">
        <v>31.8</v>
      </c>
      <c r="Q108" s="86" t="n">
        <v>17</v>
      </c>
      <c r="R108" s="87" t="n">
        <f aca="false">P108*Q108</f>
        <v>540.6</v>
      </c>
      <c r="S108" s="93"/>
      <c r="T108" s="94"/>
      <c r="U108" s="95"/>
    </row>
    <row r="109" customFormat="false" ht="18.75" hidden="false" customHeight="true" outlineLevel="0" collapsed="false">
      <c r="A109" s="91"/>
      <c r="B109" s="92" t="s">
        <v>245</v>
      </c>
      <c r="C109" s="84" t="s">
        <v>285</v>
      </c>
      <c r="D109" s="85" t="s">
        <v>56</v>
      </c>
      <c r="E109" s="86" t="n">
        <v>5.34</v>
      </c>
      <c r="F109" s="86" t="n">
        <v>15</v>
      </c>
      <c r="G109" s="87" t="n">
        <f aca="false">E109*F109</f>
        <v>80.1</v>
      </c>
      <c r="H109" s="93"/>
      <c r="I109" s="94"/>
      <c r="J109" s="95"/>
      <c r="K109" s="3"/>
      <c r="L109" s="91"/>
      <c r="M109" s="92" t="s">
        <v>245</v>
      </c>
      <c r="N109" s="84" t="s">
        <v>285</v>
      </c>
      <c r="O109" s="85" t="s">
        <v>56</v>
      </c>
      <c r="P109" s="86" t="n">
        <v>5.34</v>
      </c>
      <c r="Q109" s="86" t="n">
        <v>15</v>
      </c>
      <c r="R109" s="87" t="n">
        <f aca="false">P109*Q109</f>
        <v>80.1</v>
      </c>
      <c r="S109" s="93"/>
      <c r="T109" s="94"/>
      <c r="U109" s="95"/>
    </row>
    <row r="110" customFormat="false" ht="18.75" hidden="false" customHeight="true" outlineLevel="0" collapsed="false">
      <c r="A110" s="91"/>
      <c r="B110" s="92" t="s">
        <v>245</v>
      </c>
      <c r="C110" s="84" t="s">
        <v>288</v>
      </c>
      <c r="D110" s="85" t="s">
        <v>56</v>
      </c>
      <c r="E110" s="86" t="n">
        <v>5.52</v>
      </c>
      <c r="F110" s="86" t="n">
        <v>15</v>
      </c>
      <c r="G110" s="87" t="n">
        <f aca="false">E110*F110</f>
        <v>82.8</v>
      </c>
      <c r="H110" s="93"/>
      <c r="I110" s="94"/>
      <c r="J110" s="95"/>
      <c r="K110" s="3"/>
      <c r="L110" s="91"/>
      <c r="M110" s="92" t="s">
        <v>245</v>
      </c>
      <c r="N110" s="84" t="s">
        <v>288</v>
      </c>
      <c r="O110" s="85" t="s">
        <v>56</v>
      </c>
      <c r="P110" s="86" t="n">
        <v>5.52</v>
      </c>
      <c r="Q110" s="86" t="n">
        <v>15</v>
      </c>
      <c r="R110" s="87" t="n">
        <f aca="false">P110*Q110</f>
        <v>82.8</v>
      </c>
      <c r="S110" s="93"/>
      <c r="T110" s="94"/>
      <c r="U110" s="95"/>
    </row>
    <row r="111" customFormat="false" ht="18.75" hidden="false" customHeight="true" outlineLevel="0" collapsed="false">
      <c r="A111" s="91"/>
      <c r="B111" s="92" t="s">
        <v>245</v>
      </c>
      <c r="C111" s="84" t="s">
        <v>289</v>
      </c>
      <c r="D111" s="85" t="s">
        <v>56</v>
      </c>
      <c r="E111" s="86" t="n">
        <v>29.88</v>
      </c>
      <c r="F111" s="86" t="n">
        <v>15</v>
      </c>
      <c r="G111" s="87" t="n">
        <f aca="false">E111*F111</f>
        <v>448.2</v>
      </c>
      <c r="H111" s="93"/>
      <c r="I111" s="94"/>
      <c r="J111" s="95"/>
      <c r="K111" s="3"/>
      <c r="L111" s="91"/>
      <c r="M111" s="92" t="s">
        <v>245</v>
      </c>
      <c r="N111" s="84" t="s">
        <v>289</v>
      </c>
      <c r="O111" s="85" t="s">
        <v>56</v>
      </c>
      <c r="P111" s="86" t="n">
        <v>29.88</v>
      </c>
      <c r="Q111" s="86" t="n">
        <v>15</v>
      </c>
      <c r="R111" s="87" t="n">
        <f aca="false">P111*Q111</f>
        <v>448.2</v>
      </c>
      <c r="S111" s="93"/>
      <c r="T111" s="94"/>
      <c r="U111" s="95"/>
    </row>
    <row r="112" customFormat="false" ht="18.75" hidden="false" customHeight="true" outlineLevel="0" collapsed="false">
      <c r="A112" s="91"/>
      <c r="B112" s="92" t="s">
        <v>245</v>
      </c>
      <c r="C112" s="84" t="s">
        <v>290</v>
      </c>
      <c r="D112" s="85" t="s">
        <v>56</v>
      </c>
      <c r="E112" s="86" t="n">
        <v>8.01</v>
      </c>
      <c r="F112" s="86" t="n">
        <v>15</v>
      </c>
      <c r="G112" s="87" t="n">
        <f aca="false">E112*F112</f>
        <v>120.15</v>
      </c>
      <c r="H112" s="93"/>
      <c r="I112" s="94"/>
      <c r="J112" s="95"/>
      <c r="K112" s="3"/>
      <c r="L112" s="91"/>
      <c r="M112" s="92" t="s">
        <v>245</v>
      </c>
      <c r="N112" s="84" t="s">
        <v>290</v>
      </c>
      <c r="O112" s="85" t="s">
        <v>56</v>
      </c>
      <c r="P112" s="86" t="n">
        <v>8.01</v>
      </c>
      <c r="Q112" s="86" t="n">
        <v>15</v>
      </c>
      <c r="R112" s="87" t="n">
        <f aca="false">P112*Q112</f>
        <v>120.15</v>
      </c>
      <c r="S112" s="93"/>
      <c r="T112" s="94"/>
      <c r="U112" s="95"/>
    </row>
    <row r="113" customFormat="false" ht="18.75" hidden="false" customHeight="true" outlineLevel="0" collapsed="false">
      <c r="A113" s="91"/>
      <c r="B113" s="92" t="s">
        <v>245</v>
      </c>
      <c r="C113" s="84" t="s">
        <v>81</v>
      </c>
      <c r="D113" s="85" t="s">
        <v>56</v>
      </c>
      <c r="E113" s="86" t="n">
        <v>16</v>
      </c>
      <c r="F113" s="86" t="n">
        <v>17</v>
      </c>
      <c r="G113" s="87" t="n">
        <f aca="false">E113*F113</f>
        <v>272</v>
      </c>
      <c r="H113" s="93"/>
      <c r="I113" s="94"/>
      <c r="J113" s="95"/>
      <c r="K113" s="3"/>
      <c r="L113" s="91"/>
      <c r="M113" s="92" t="s">
        <v>245</v>
      </c>
      <c r="N113" s="84" t="s">
        <v>81</v>
      </c>
      <c r="O113" s="85" t="s">
        <v>56</v>
      </c>
      <c r="P113" s="86" t="n">
        <v>16</v>
      </c>
      <c r="Q113" s="86" t="n">
        <v>17</v>
      </c>
      <c r="R113" s="87" t="n">
        <f aca="false">P113*Q113</f>
        <v>272</v>
      </c>
      <c r="S113" s="93"/>
      <c r="T113" s="94"/>
      <c r="U113" s="95"/>
    </row>
    <row r="114" customFormat="false" ht="18.75" hidden="false" customHeight="true" outlineLevel="0" collapsed="false">
      <c r="A114" s="91"/>
      <c r="B114" s="92" t="s">
        <v>245</v>
      </c>
      <c r="C114" s="84" t="s">
        <v>197</v>
      </c>
      <c r="D114" s="85" t="s">
        <v>56</v>
      </c>
      <c r="E114" s="86" t="n">
        <v>33</v>
      </c>
      <c r="F114" s="86" t="n">
        <v>17</v>
      </c>
      <c r="G114" s="87" t="n">
        <f aca="false">E114*F114</f>
        <v>561</v>
      </c>
      <c r="H114" s="93"/>
      <c r="I114" s="94"/>
      <c r="J114" s="95"/>
      <c r="K114" s="3"/>
      <c r="L114" s="91"/>
      <c r="M114" s="92" t="s">
        <v>245</v>
      </c>
      <c r="N114" s="84" t="s">
        <v>197</v>
      </c>
      <c r="O114" s="85" t="s">
        <v>56</v>
      </c>
      <c r="P114" s="86" t="n">
        <v>33</v>
      </c>
      <c r="Q114" s="86" t="n">
        <v>17</v>
      </c>
      <c r="R114" s="87" t="n">
        <f aca="false">P114*Q114</f>
        <v>561</v>
      </c>
      <c r="S114" s="93"/>
      <c r="T114" s="94"/>
      <c r="U114" s="95"/>
    </row>
    <row r="115" customFormat="false" ht="18.75" hidden="false" customHeight="true" outlineLevel="0" collapsed="false">
      <c r="A115" s="91"/>
      <c r="B115" s="92" t="s">
        <v>245</v>
      </c>
      <c r="C115" s="84" t="s">
        <v>129</v>
      </c>
      <c r="D115" s="85" t="s">
        <v>56</v>
      </c>
      <c r="E115" s="86" t="n">
        <v>8.33</v>
      </c>
      <c r="F115" s="86" t="n">
        <v>17</v>
      </c>
      <c r="G115" s="87" t="n">
        <f aca="false">E115*F115</f>
        <v>141.61</v>
      </c>
      <c r="H115" s="93"/>
      <c r="I115" s="94"/>
      <c r="J115" s="95"/>
      <c r="K115" s="3"/>
      <c r="L115" s="91"/>
      <c r="M115" s="92" t="s">
        <v>245</v>
      </c>
      <c r="N115" s="84" t="s">
        <v>129</v>
      </c>
      <c r="O115" s="85" t="s">
        <v>56</v>
      </c>
      <c r="P115" s="86" t="n">
        <v>8.33</v>
      </c>
      <c r="Q115" s="86" t="n">
        <v>17</v>
      </c>
      <c r="R115" s="87" t="n">
        <f aca="false">P115*Q115</f>
        <v>141.61</v>
      </c>
      <c r="S115" s="93"/>
      <c r="T115" s="94"/>
      <c r="U115" s="95"/>
    </row>
    <row r="116" customFormat="false" ht="18.75" hidden="false" customHeight="true" outlineLevel="0" collapsed="false">
      <c r="A116" s="91"/>
      <c r="B116" s="92" t="s">
        <v>245</v>
      </c>
      <c r="C116" s="84" t="s">
        <v>291</v>
      </c>
      <c r="D116" s="85" t="s">
        <v>56</v>
      </c>
      <c r="E116" s="86" t="n">
        <v>26.74</v>
      </c>
      <c r="F116" s="86" t="n">
        <v>17</v>
      </c>
      <c r="G116" s="87" t="n">
        <f aca="false">E116*F116</f>
        <v>454.58</v>
      </c>
      <c r="H116" s="93"/>
      <c r="I116" s="94"/>
      <c r="J116" s="95"/>
      <c r="K116" s="3"/>
      <c r="L116" s="91"/>
      <c r="M116" s="92" t="s">
        <v>245</v>
      </c>
      <c r="N116" s="84" t="s">
        <v>291</v>
      </c>
      <c r="O116" s="85" t="s">
        <v>56</v>
      </c>
      <c r="P116" s="86" t="n">
        <v>26.74</v>
      </c>
      <c r="Q116" s="86" t="n">
        <v>17</v>
      </c>
      <c r="R116" s="87" t="n">
        <f aca="false">P116*Q116</f>
        <v>454.58</v>
      </c>
      <c r="S116" s="93"/>
      <c r="T116" s="94"/>
      <c r="U116" s="95"/>
    </row>
    <row r="117" customFormat="false" ht="18.75" hidden="false" customHeight="true" outlineLevel="0" collapsed="false">
      <c r="A117" s="91"/>
      <c r="B117" s="92" t="s">
        <v>245</v>
      </c>
      <c r="C117" s="84" t="s">
        <v>92</v>
      </c>
      <c r="D117" s="103" t="s">
        <v>58</v>
      </c>
      <c r="E117" s="91"/>
      <c r="F117" s="91"/>
      <c r="G117" s="87" t="n">
        <v>473.55</v>
      </c>
      <c r="H117" s="93"/>
      <c r="I117" s="94"/>
      <c r="J117" s="95"/>
      <c r="K117" s="3"/>
      <c r="L117" s="91"/>
      <c r="M117" s="92" t="s">
        <v>245</v>
      </c>
      <c r="N117" s="84" t="s">
        <v>92</v>
      </c>
      <c r="O117" s="103" t="s">
        <v>58</v>
      </c>
      <c r="P117" s="91"/>
      <c r="Q117" s="91"/>
      <c r="R117" s="87" t="n">
        <v>473.55</v>
      </c>
      <c r="S117" s="93"/>
      <c r="T117" s="94"/>
      <c r="U117" s="95"/>
    </row>
    <row r="118" customFormat="false" ht="18.75" hidden="false" customHeight="true" outlineLevel="0" collapsed="false">
      <c r="A118" s="91"/>
      <c r="B118" s="92" t="s">
        <v>245</v>
      </c>
      <c r="C118" s="84" t="s">
        <v>94</v>
      </c>
      <c r="D118" s="103" t="s">
        <v>58</v>
      </c>
      <c r="E118" s="91"/>
      <c r="F118" s="91"/>
      <c r="G118" s="87" t="n">
        <v>393.66</v>
      </c>
      <c r="H118" s="93"/>
      <c r="I118" s="94"/>
      <c r="J118" s="95"/>
      <c r="K118" s="3"/>
      <c r="L118" s="91"/>
      <c r="M118" s="92" t="s">
        <v>245</v>
      </c>
      <c r="N118" s="84" t="s">
        <v>94</v>
      </c>
      <c r="O118" s="103" t="s">
        <v>58</v>
      </c>
      <c r="P118" s="91"/>
      <c r="Q118" s="91"/>
      <c r="R118" s="87" t="n">
        <v>393.66</v>
      </c>
      <c r="S118" s="93"/>
      <c r="T118" s="94"/>
      <c r="U118" s="95"/>
    </row>
    <row r="119" customFormat="false" ht="18.75" hidden="false" customHeight="true" outlineLevel="0" collapsed="false">
      <c r="A119" s="91"/>
      <c r="B119" s="92" t="s">
        <v>245</v>
      </c>
      <c r="C119" s="84" t="s">
        <v>93</v>
      </c>
      <c r="D119" s="103" t="s">
        <v>58</v>
      </c>
      <c r="E119" s="91"/>
      <c r="F119" s="91"/>
      <c r="G119" s="87" t="n">
        <v>161.5</v>
      </c>
      <c r="H119" s="93"/>
      <c r="I119" s="94"/>
      <c r="J119" s="95"/>
      <c r="K119" s="3"/>
      <c r="L119" s="91"/>
      <c r="M119" s="92" t="s">
        <v>245</v>
      </c>
      <c r="N119" s="84" t="s">
        <v>93</v>
      </c>
      <c r="O119" s="103" t="s">
        <v>58</v>
      </c>
      <c r="P119" s="91"/>
      <c r="Q119" s="91"/>
      <c r="R119" s="87" t="n">
        <v>161.5</v>
      </c>
      <c r="S119" s="93"/>
      <c r="T119" s="94"/>
      <c r="U119" s="95"/>
    </row>
    <row r="120" customFormat="false" ht="18.75" hidden="false" customHeight="true" outlineLevel="0" collapsed="false">
      <c r="A120" s="91"/>
      <c r="B120" s="92" t="s">
        <v>245</v>
      </c>
      <c r="C120" s="84" t="s">
        <v>95</v>
      </c>
      <c r="D120" s="103" t="s">
        <v>58</v>
      </c>
      <c r="E120" s="91"/>
      <c r="F120" s="91"/>
      <c r="G120" s="87" t="n">
        <v>338.47</v>
      </c>
      <c r="H120" s="93"/>
      <c r="I120" s="94"/>
      <c r="J120" s="95"/>
      <c r="K120" s="3"/>
      <c r="L120" s="91"/>
      <c r="M120" s="92" t="s">
        <v>245</v>
      </c>
      <c r="N120" s="84" t="s">
        <v>95</v>
      </c>
      <c r="O120" s="103" t="s">
        <v>58</v>
      </c>
      <c r="P120" s="91"/>
      <c r="Q120" s="91"/>
      <c r="R120" s="87" t="n">
        <v>338.47</v>
      </c>
      <c r="S120" s="93"/>
      <c r="T120" s="94"/>
      <c r="U120" s="95"/>
    </row>
    <row r="121" customFormat="false" ht="18.75" hidden="false" customHeight="true" outlineLevel="0" collapsed="false">
      <c r="A121" s="82" t="s">
        <v>28</v>
      </c>
      <c r="B121" s="83" t="s">
        <v>246</v>
      </c>
      <c r="C121" s="97" t="s">
        <v>91</v>
      </c>
      <c r="D121" s="98" t="s">
        <v>55</v>
      </c>
      <c r="E121" s="99" t="n">
        <v>21</v>
      </c>
      <c r="F121" s="99" t="n">
        <v>16</v>
      </c>
      <c r="G121" s="100" t="n">
        <f aca="false">E121*F121</f>
        <v>336</v>
      </c>
      <c r="H121" s="88" t="n">
        <f aca="false">SUMIF(B:B,B121,G:G)</f>
        <v>4791.09</v>
      </c>
      <c r="I121" s="89" t="n">
        <v>7000</v>
      </c>
      <c r="J121" s="90" t="n">
        <f aca="false">IFERROR((I121-H121)/I121,"")</f>
        <v>0.315558571428571</v>
      </c>
      <c r="K121" s="3"/>
      <c r="L121" s="82" t="s">
        <v>28</v>
      </c>
      <c r="M121" s="83" t="s">
        <v>246</v>
      </c>
      <c r="N121" s="97" t="s">
        <v>91</v>
      </c>
      <c r="O121" s="98" t="s">
        <v>55</v>
      </c>
      <c r="P121" s="101"/>
      <c r="Q121" s="101"/>
      <c r="R121" s="102" t="n">
        <v>0</v>
      </c>
      <c r="S121" s="88" t="n">
        <f aca="false">SUMIF(M:M,M121,R:R)</f>
        <v>4455.09</v>
      </c>
      <c r="T121" s="89" t="n">
        <f aca="false">I121</f>
        <v>7000</v>
      </c>
      <c r="U121" s="90" t="n">
        <f aca="false">IFERROR((T121-S121)/T121,"")</f>
        <v>0.363558571428571</v>
      </c>
    </row>
    <row r="122" customFormat="false" ht="18.75" hidden="false" customHeight="true" outlineLevel="0" collapsed="false">
      <c r="A122" s="91"/>
      <c r="B122" s="92" t="s">
        <v>246</v>
      </c>
      <c r="C122" s="84" t="s">
        <v>292</v>
      </c>
      <c r="D122" s="85" t="s">
        <v>56</v>
      </c>
      <c r="E122" s="86" t="n">
        <v>21</v>
      </c>
      <c r="F122" s="86" t="n">
        <v>16</v>
      </c>
      <c r="G122" s="87" t="n">
        <f aca="false">E122*F122</f>
        <v>336</v>
      </c>
      <c r="H122" s="93"/>
      <c r="I122" s="94"/>
      <c r="J122" s="95"/>
      <c r="K122" s="3"/>
      <c r="L122" s="91"/>
      <c r="M122" s="92" t="s">
        <v>246</v>
      </c>
      <c r="N122" s="84" t="s">
        <v>292</v>
      </c>
      <c r="O122" s="85" t="s">
        <v>56</v>
      </c>
      <c r="P122" s="86" t="n">
        <v>21</v>
      </c>
      <c r="Q122" s="86" t="n">
        <v>16</v>
      </c>
      <c r="R122" s="87" t="n">
        <f aca="false">P122*Q122</f>
        <v>336</v>
      </c>
      <c r="S122" s="93"/>
      <c r="T122" s="94"/>
      <c r="U122" s="95"/>
    </row>
    <row r="123" customFormat="false" ht="18.75" hidden="false" customHeight="true" outlineLevel="0" collapsed="false">
      <c r="A123" s="91"/>
      <c r="B123" s="92" t="s">
        <v>246</v>
      </c>
      <c r="C123" s="84" t="s">
        <v>286</v>
      </c>
      <c r="D123" s="85" t="s">
        <v>56</v>
      </c>
      <c r="E123" s="86" t="n">
        <v>14.2</v>
      </c>
      <c r="F123" s="86" t="n">
        <v>17</v>
      </c>
      <c r="G123" s="87" t="n">
        <f aca="false">E123*F123</f>
        <v>241.4</v>
      </c>
      <c r="H123" s="93"/>
      <c r="I123" s="94"/>
      <c r="J123" s="95"/>
      <c r="K123" s="3"/>
      <c r="L123" s="91"/>
      <c r="M123" s="92" t="s">
        <v>246</v>
      </c>
      <c r="N123" s="84" t="s">
        <v>286</v>
      </c>
      <c r="O123" s="85" t="s">
        <v>56</v>
      </c>
      <c r="P123" s="86" t="n">
        <v>14.2</v>
      </c>
      <c r="Q123" s="86" t="n">
        <v>17</v>
      </c>
      <c r="R123" s="87" t="n">
        <f aca="false">P123*Q123</f>
        <v>241.4</v>
      </c>
      <c r="S123" s="93"/>
      <c r="T123" s="94"/>
      <c r="U123" s="95"/>
    </row>
    <row r="124" customFormat="false" ht="18.75" hidden="false" customHeight="true" outlineLevel="0" collapsed="false">
      <c r="A124" s="91"/>
      <c r="B124" s="92" t="s">
        <v>246</v>
      </c>
      <c r="C124" s="84" t="s">
        <v>137</v>
      </c>
      <c r="D124" s="85" t="s">
        <v>56</v>
      </c>
      <c r="E124" s="86" t="n">
        <v>29.5</v>
      </c>
      <c r="F124" s="86" t="n">
        <v>15</v>
      </c>
      <c r="G124" s="87" t="n">
        <f aca="false">E124*F124</f>
        <v>442.5</v>
      </c>
      <c r="H124" s="93"/>
      <c r="I124" s="94"/>
      <c r="J124" s="95"/>
      <c r="K124" s="3"/>
      <c r="L124" s="91"/>
      <c r="M124" s="92" t="s">
        <v>246</v>
      </c>
      <c r="N124" s="84" t="s">
        <v>137</v>
      </c>
      <c r="O124" s="85" t="s">
        <v>56</v>
      </c>
      <c r="P124" s="86" t="n">
        <v>29.5</v>
      </c>
      <c r="Q124" s="86" t="n">
        <v>15</v>
      </c>
      <c r="R124" s="87" t="n">
        <f aca="false">P124*Q124</f>
        <v>442.5</v>
      </c>
      <c r="S124" s="93"/>
      <c r="T124" s="94"/>
      <c r="U124" s="95"/>
    </row>
    <row r="125" customFormat="false" ht="18.75" hidden="false" customHeight="true" outlineLevel="0" collapsed="false">
      <c r="A125" s="91"/>
      <c r="B125" s="92" t="s">
        <v>246</v>
      </c>
      <c r="C125" s="84" t="s">
        <v>293</v>
      </c>
      <c r="D125" s="85" t="s">
        <v>56</v>
      </c>
      <c r="E125" s="86" t="n">
        <v>31.38</v>
      </c>
      <c r="F125" s="86" t="n">
        <v>15</v>
      </c>
      <c r="G125" s="87" t="n">
        <f aca="false">E125*F125</f>
        <v>470.7</v>
      </c>
      <c r="H125" s="93"/>
      <c r="I125" s="94"/>
      <c r="J125" s="95"/>
      <c r="K125" s="3"/>
      <c r="L125" s="91"/>
      <c r="M125" s="92" t="s">
        <v>246</v>
      </c>
      <c r="N125" s="84" t="s">
        <v>293</v>
      </c>
      <c r="O125" s="85" t="s">
        <v>56</v>
      </c>
      <c r="P125" s="86" t="n">
        <v>31.38</v>
      </c>
      <c r="Q125" s="86" t="n">
        <v>15</v>
      </c>
      <c r="R125" s="87" t="n">
        <f aca="false">P125*Q125</f>
        <v>470.7</v>
      </c>
      <c r="S125" s="93"/>
      <c r="T125" s="94"/>
      <c r="U125" s="95"/>
    </row>
    <row r="126" customFormat="false" ht="18.75" hidden="false" customHeight="true" outlineLevel="0" collapsed="false">
      <c r="A126" s="91"/>
      <c r="B126" s="92" t="s">
        <v>246</v>
      </c>
      <c r="C126" s="84" t="s">
        <v>289</v>
      </c>
      <c r="D126" s="85" t="s">
        <v>56</v>
      </c>
      <c r="E126" s="86" t="n">
        <v>21.28</v>
      </c>
      <c r="F126" s="86" t="n">
        <v>15</v>
      </c>
      <c r="G126" s="87" t="n">
        <f aca="false">E126*F126</f>
        <v>319.2</v>
      </c>
      <c r="H126" s="93"/>
      <c r="I126" s="94"/>
      <c r="J126" s="95"/>
      <c r="K126" s="3"/>
      <c r="L126" s="91"/>
      <c r="M126" s="92" t="s">
        <v>246</v>
      </c>
      <c r="N126" s="84" t="s">
        <v>289</v>
      </c>
      <c r="O126" s="85" t="s">
        <v>56</v>
      </c>
      <c r="P126" s="86" t="n">
        <v>21.28</v>
      </c>
      <c r="Q126" s="86" t="n">
        <v>15</v>
      </c>
      <c r="R126" s="87" t="n">
        <f aca="false">P126*Q126</f>
        <v>319.2</v>
      </c>
      <c r="S126" s="93"/>
      <c r="T126" s="94"/>
      <c r="U126" s="95"/>
    </row>
    <row r="127" customFormat="false" ht="18.75" hidden="false" customHeight="true" outlineLevel="0" collapsed="false">
      <c r="A127" s="91"/>
      <c r="B127" s="92" t="s">
        <v>246</v>
      </c>
      <c r="C127" s="84" t="s">
        <v>291</v>
      </c>
      <c r="D127" s="85" t="s">
        <v>56</v>
      </c>
      <c r="E127" s="86" t="n">
        <v>21.32</v>
      </c>
      <c r="F127" s="86" t="n">
        <v>17</v>
      </c>
      <c r="G127" s="87" t="n">
        <f aca="false">E127*F127</f>
        <v>362.44</v>
      </c>
      <c r="H127" s="93"/>
      <c r="I127" s="94"/>
      <c r="J127" s="95"/>
      <c r="K127" s="3"/>
      <c r="L127" s="91"/>
      <c r="M127" s="92" t="s">
        <v>246</v>
      </c>
      <c r="N127" s="84" t="s">
        <v>291</v>
      </c>
      <c r="O127" s="85" t="s">
        <v>56</v>
      </c>
      <c r="P127" s="86" t="n">
        <v>21.32</v>
      </c>
      <c r="Q127" s="86" t="n">
        <v>17</v>
      </c>
      <c r="R127" s="87" t="n">
        <f aca="false">P127*Q127</f>
        <v>362.44</v>
      </c>
      <c r="S127" s="93"/>
      <c r="T127" s="94"/>
      <c r="U127" s="95"/>
    </row>
    <row r="128" customFormat="false" ht="18.75" hidden="false" customHeight="true" outlineLevel="0" collapsed="false">
      <c r="A128" s="91"/>
      <c r="B128" s="92" t="s">
        <v>246</v>
      </c>
      <c r="C128" s="84" t="s">
        <v>131</v>
      </c>
      <c r="D128" s="85" t="s">
        <v>56</v>
      </c>
      <c r="E128" s="86" t="n">
        <v>28.68</v>
      </c>
      <c r="F128" s="86" t="n">
        <v>17</v>
      </c>
      <c r="G128" s="87" t="n">
        <f aca="false">E128*F128</f>
        <v>487.56</v>
      </c>
      <c r="H128" s="93"/>
      <c r="I128" s="94"/>
      <c r="J128" s="95"/>
      <c r="K128" s="3"/>
      <c r="L128" s="91"/>
      <c r="M128" s="92" t="s">
        <v>246</v>
      </c>
      <c r="N128" s="84" t="s">
        <v>131</v>
      </c>
      <c r="O128" s="85" t="s">
        <v>56</v>
      </c>
      <c r="P128" s="86" t="n">
        <v>28.68</v>
      </c>
      <c r="Q128" s="86" t="n">
        <v>17</v>
      </c>
      <c r="R128" s="87" t="n">
        <f aca="false">P128*Q128</f>
        <v>487.56</v>
      </c>
      <c r="S128" s="93"/>
      <c r="T128" s="94"/>
      <c r="U128" s="95"/>
    </row>
    <row r="129" customFormat="false" ht="18.75" hidden="false" customHeight="true" outlineLevel="0" collapsed="false">
      <c r="A129" s="91"/>
      <c r="B129" s="92" t="s">
        <v>246</v>
      </c>
      <c r="C129" s="84" t="s">
        <v>283</v>
      </c>
      <c r="D129" s="103" t="s">
        <v>58</v>
      </c>
      <c r="E129" s="91"/>
      <c r="F129" s="91"/>
      <c r="G129" s="87" t="n">
        <v>435</v>
      </c>
      <c r="H129" s="93"/>
      <c r="I129" s="94"/>
      <c r="J129" s="95"/>
      <c r="K129" s="3"/>
      <c r="L129" s="91"/>
      <c r="M129" s="92" t="s">
        <v>246</v>
      </c>
      <c r="N129" s="84" t="s">
        <v>283</v>
      </c>
      <c r="O129" s="103" t="s">
        <v>58</v>
      </c>
      <c r="P129" s="91"/>
      <c r="Q129" s="91"/>
      <c r="R129" s="87" t="n">
        <v>435</v>
      </c>
      <c r="S129" s="93"/>
      <c r="T129" s="94"/>
      <c r="U129" s="95"/>
    </row>
    <row r="130" customFormat="false" ht="18.75" hidden="false" customHeight="true" outlineLevel="0" collapsed="false">
      <c r="A130" s="91"/>
      <c r="B130" s="92" t="s">
        <v>246</v>
      </c>
      <c r="C130" s="84" t="s">
        <v>92</v>
      </c>
      <c r="D130" s="103" t="s">
        <v>58</v>
      </c>
      <c r="E130" s="91"/>
      <c r="F130" s="91"/>
      <c r="G130" s="87" t="n">
        <v>365.74</v>
      </c>
      <c r="H130" s="93"/>
      <c r="I130" s="94"/>
      <c r="J130" s="95"/>
      <c r="K130" s="3"/>
      <c r="L130" s="91"/>
      <c r="M130" s="92" t="s">
        <v>246</v>
      </c>
      <c r="N130" s="84" t="s">
        <v>92</v>
      </c>
      <c r="O130" s="103" t="s">
        <v>58</v>
      </c>
      <c r="P130" s="91"/>
      <c r="Q130" s="91"/>
      <c r="R130" s="87" t="n">
        <v>365.74</v>
      </c>
      <c r="S130" s="93"/>
      <c r="T130" s="94"/>
      <c r="U130" s="95"/>
    </row>
    <row r="131" customFormat="false" ht="18.75" hidden="false" customHeight="true" outlineLevel="0" collapsed="false">
      <c r="A131" s="91"/>
      <c r="B131" s="92" t="s">
        <v>246</v>
      </c>
      <c r="C131" s="84" t="s">
        <v>94</v>
      </c>
      <c r="D131" s="103" t="s">
        <v>58</v>
      </c>
      <c r="E131" s="91"/>
      <c r="F131" s="91"/>
      <c r="G131" s="87" t="n">
        <v>477.06</v>
      </c>
      <c r="H131" s="93"/>
      <c r="I131" s="94"/>
      <c r="J131" s="95"/>
      <c r="K131" s="3"/>
      <c r="L131" s="91"/>
      <c r="M131" s="92" t="s">
        <v>246</v>
      </c>
      <c r="N131" s="84" t="s">
        <v>94</v>
      </c>
      <c r="O131" s="103" t="s">
        <v>58</v>
      </c>
      <c r="P131" s="91"/>
      <c r="Q131" s="91"/>
      <c r="R131" s="87" t="n">
        <v>477.06</v>
      </c>
      <c r="S131" s="93"/>
      <c r="T131" s="94"/>
      <c r="U131" s="95"/>
    </row>
    <row r="132" customFormat="false" ht="18.75" hidden="false" customHeight="true" outlineLevel="0" collapsed="false">
      <c r="A132" s="91"/>
      <c r="B132" s="92" t="s">
        <v>246</v>
      </c>
      <c r="C132" s="84" t="s">
        <v>93</v>
      </c>
      <c r="D132" s="103" t="s">
        <v>58</v>
      </c>
      <c r="E132" s="91"/>
      <c r="F132" s="91"/>
      <c r="G132" s="87" t="n">
        <v>240.8</v>
      </c>
      <c r="H132" s="93"/>
      <c r="I132" s="94"/>
      <c r="J132" s="95"/>
      <c r="K132" s="3"/>
      <c r="L132" s="91"/>
      <c r="M132" s="92" t="s">
        <v>246</v>
      </c>
      <c r="N132" s="84" t="s">
        <v>93</v>
      </c>
      <c r="O132" s="103" t="s">
        <v>58</v>
      </c>
      <c r="P132" s="91"/>
      <c r="Q132" s="91"/>
      <c r="R132" s="87" t="n">
        <v>240.8</v>
      </c>
      <c r="S132" s="93"/>
      <c r="T132" s="94"/>
      <c r="U132" s="95"/>
    </row>
    <row r="133" customFormat="false" ht="18.75" hidden="false" customHeight="true" outlineLevel="0" collapsed="false">
      <c r="A133" s="91"/>
      <c r="B133" s="92" t="s">
        <v>246</v>
      </c>
      <c r="C133" s="84" t="s">
        <v>95</v>
      </c>
      <c r="D133" s="103" t="s">
        <v>58</v>
      </c>
      <c r="E133" s="91"/>
      <c r="F133" s="91"/>
      <c r="G133" s="87" t="n">
        <v>276.69</v>
      </c>
      <c r="H133" s="93"/>
      <c r="I133" s="94"/>
      <c r="J133" s="95"/>
      <c r="K133" s="3"/>
      <c r="L133" s="91"/>
      <c r="M133" s="92" t="s">
        <v>246</v>
      </c>
      <c r="N133" s="84" t="s">
        <v>95</v>
      </c>
      <c r="O133" s="103" t="s">
        <v>58</v>
      </c>
      <c r="P133" s="91"/>
      <c r="Q133" s="91"/>
      <c r="R133" s="87" t="n">
        <v>276.69</v>
      </c>
      <c r="S133" s="93"/>
      <c r="T133" s="94"/>
      <c r="U133" s="95"/>
    </row>
    <row r="134" customFormat="false" ht="18.75" hidden="false" customHeight="true" outlineLevel="0" collapsed="false">
      <c r="A134" s="82" t="s">
        <v>29</v>
      </c>
      <c r="B134" s="83" t="s">
        <v>247</v>
      </c>
      <c r="C134" s="97" t="s">
        <v>91</v>
      </c>
      <c r="D134" s="98" t="s">
        <v>55</v>
      </c>
      <c r="E134" s="99" t="n">
        <v>14</v>
      </c>
      <c r="F134" s="99" t="n">
        <v>16</v>
      </c>
      <c r="G134" s="100" t="n">
        <f aca="false">E134*F134</f>
        <v>224</v>
      </c>
      <c r="H134" s="88" t="n">
        <f aca="false">SUMIF(B:B,B134,G:G)</f>
        <v>4745.9</v>
      </c>
      <c r="I134" s="89" t="n">
        <v>7000</v>
      </c>
      <c r="J134" s="90" t="n">
        <f aca="false">IFERROR((I134-H134)/I134,"")</f>
        <v>0.322014285714286</v>
      </c>
      <c r="K134" s="3"/>
      <c r="L134" s="82" t="s">
        <v>29</v>
      </c>
      <c r="M134" s="83" t="s">
        <v>247</v>
      </c>
      <c r="N134" s="97" t="s">
        <v>91</v>
      </c>
      <c r="O134" s="98" t="s">
        <v>55</v>
      </c>
      <c r="P134" s="101"/>
      <c r="Q134" s="101"/>
      <c r="R134" s="102" t="n">
        <v>0</v>
      </c>
      <c r="S134" s="88" t="n">
        <f aca="false">SUMIF(M:M,M134,R:R)</f>
        <v>4521.9</v>
      </c>
      <c r="T134" s="89" t="n">
        <f aca="false">I134</f>
        <v>7000</v>
      </c>
      <c r="U134" s="90" t="n">
        <f aca="false">IFERROR((T134-S134)/T134,"")</f>
        <v>0.354014285714286</v>
      </c>
    </row>
    <row r="135" customFormat="false" ht="18.75" hidden="false" customHeight="true" outlineLevel="0" collapsed="false">
      <c r="A135" s="91"/>
      <c r="B135" s="92" t="s">
        <v>247</v>
      </c>
      <c r="C135" s="84" t="s">
        <v>292</v>
      </c>
      <c r="D135" s="85" t="s">
        <v>56</v>
      </c>
      <c r="E135" s="86" t="n">
        <v>21</v>
      </c>
      <c r="F135" s="86" t="n">
        <v>18</v>
      </c>
      <c r="G135" s="87" t="n">
        <f aca="false">E135*F135</f>
        <v>378</v>
      </c>
      <c r="H135" s="93"/>
      <c r="I135" s="94"/>
      <c r="J135" s="95"/>
      <c r="K135" s="3"/>
      <c r="L135" s="91"/>
      <c r="M135" s="92" t="s">
        <v>247</v>
      </c>
      <c r="N135" s="84" t="s">
        <v>292</v>
      </c>
      <c r="O135" s="85" t="s">
        <v>56</v>
      </c>
      <c r="P135" s="86" t="n">
        <v>21</v>
      </c>
      <c r="Q135" s="86" t="n">
        <v>18</v>
      </c>
      <c r="R135" s="87" t="n">
        <f aca="false">P135*Q135</f>
        <v>378</v>
      </c>
      <c r="S135" s="93"/>
      <c r="T135" s="94"/>
      <c r="U135" s="95"/>
    </row>
    <row r="136" customFormat="false" ht="18.75" hidden="false" customHeight="true" outlineLevel="0" collapsed="false">
      <c r="A136" s="91"/>
      <c r="B136" s="92" t="s">
        <v>247</v>
      </c>
      <c r="C136" s="84" t="s">
        <v>286</v>
      </c>
      <c r="D136" s="85" t="s">
        <v>56</v>
      </c>
      <c r="E136" s="86" t="n">
        <v>10.7</v>
      </c>
      <c r="F136" s="86" t="n">
        <v>17</v>
      </c>
      <c r="G136" s="87" t="n">
        <f aca="false">E136*F136</f>
        <v>181.9</v>
      </c>
      <c r="H136" s="93"/>
      <c r="I136" s="94"/>
      <c r="J136" s="95"/>
      <c r="K136" s="3"/>
      <c r="L136" s="91"/>
      <c r="M136" s="92" t="s">
        <v>247</v>
      </c>
      <c r="N136" s="84" t="s">
        <v>286</v>
      </c>
      <c r="O136" s="85" t="s">
        <v>56</v>
      </c>
      <c r="P136" s="86" t="n">
        <v>10.7</v>
      </c>
      <c r="Q136" s="86" t="n">
        <v>17</v>
      </c>
      <c r="R136" s="87" t="n">
        <f aca="false">P136*Q136</f>
        <v>181.9</v>
      </c>
      <c r="S136" s="93"/>
      <c r="T136" s="94"/>
      <c r="U136" s="95"/>
    </row>
    <row r="137" customFormat="false" ht="18.75" hidden="false" customHeight="true" outlineLevel="0" collapsed="false">
      <c r="A137" s="91"/>
      <c r="B137" s="92" t="s">
        <v>247</v>
      </c>
      <c r="C137" s="84" t="s">
        <v>114</v>
      </c>
      <c r="D137" s="85" t="s">
        <v>56</v>
      </c>
      <c r="E137" s="86" t="n">
        <v>24.25</v>
      </c>
      <c r="F137" s="86" t="n">
        <v>15</v>
      </c>
      <c r="G137" s="87" t="n">
        <f aca="false">E137*F137</f>
        <v>363.75</v>
      </c>
      <c r="H137" s="93"/>
      <c r="I137" s="94"/>
      <c r="J137" s="95"/>
      <c r="K137" s="3"/>
      <c r="L137" s="91"/>
      <c r="M137" s="92" t="s">
        <v>247</v>
      </c>
      <c r="N137" s="84" t="s">
        <v>114</v>
      </c>
      <c r="O137" s="85" t="s">
        <v>56</v>
      </c>
      <c r="P137" s="86" t="n">
        <v>24.25</v>
      </c>
      <c r="Q137" s="86" t="n">
        <v>15</v>
      </c>
      <c r="R137" s="87" t="n">
        <f aca="false">P137*Q137</f>
        <v>363.75</v>
      </c>
      <c r="S137" s="93"/>
      <c r="T137" s="94"/>
      <c r="U137" s="95"/>
    </row>
    <row r="138" customFormat="false" ht="18.75" hidden="false" customHeight="true" outlineLevel="0" collapsed="false">
      <c r="A138" s="91"/>
      <c r="B138" s="92" t="s">
        <v>247</v>
      </c>
      <c r="C138" s="84" t="s">
        <v>293</v>
      </c>
      <c r="D138" s="85" t="s">
        <v>56</v>
      </c>
      <c r="E138" s="86" t="n">
        <v>28.65</v>
      </c>
      <c r="F138" s="86" t="n">
        <v>15</v>
      </c>
      <c r="G138" s="87" t="n">
        <f aca="false">E138*F138</f>
        <v>429.75</v>
      </c>
      <c r="H138" s="93"/>
      <c r="I138" s="94"/>
      <c r="J138" s="95"/>
      <c r="K138" s="3"/>
      <c r="L138" s="91"/>
      <c r="M138" s="92" t="s">
        <v>247</v>
      </c>
      <c r="N138" s="84" t="s">
        <v>293</v>
      </c>
      <c r="O138" s="85" t="s">
        <v>56</v>
      </c>
      <c r="P138" s="86" t="n">
        <v>28.65</v>
      </c>
      <c r="Q138" s="86" t="n">
        <v>15</v>
      </c>
      <c r="R138" s="87" t="n">
        <f aca="false">P138*Q138</f>
        <v>429.75</v>
      </c>
      <c r="S138" s="93"/>
      <c r="T138" s="94"/>
      <c r="U138" s="95"/>
    </row>
    <row r="139" customFormat="false" ht="18.75" hidden="false" customHeight="true" outlineLevel="0" collapsed="false">
      <c r="A139" s="91"/>
      <c r="B139" s="92" t="s">
        <v>247</v>
      </c>
      <c r="C139" s="84" t="s">
        <v>289</v>
      </c>
      <c r="D139" s="85" t="s">
        <v>56</v>
      </c>
      <c r="E139" s="86" t="n">
        <v>17.7</v>
      </c>
      <c r="F139" s="86" t="n">
        <v>15</v>
      </c>
      <c r="G139" s="87" t="n">
        <f aca="false">E139*F139</f>
        <v>265.5</v>
      </c>
      <c r="H139" s="93"/>
      <c r="I139" s="94"/>
      <c r="J139" s="95"/>
      <c r="K139" s="3"/>
      <c r="L139" s="91"/>
      <c r="M139" s="92" t="s">
        <v>247</v>
      </c>
      <c r="N139" s="84" t="s">
        <v>289</v>
      </c>
      <c r="O139" s="85" t="s">
        <v>56</v>
      </c>
      <c r="P139" s="86" t="n">
        <v>17.7</v>
      </c>
      <c r="Q139" s="86" t="n">
        <v>15</v>
      </c>
      <c r="R139" s="87" t="n">
        <f aca="false">P139*Q139</f>
        <v>265.5</v>
      </c>
      <c r="S139" s="93"/>
      <c r="T139" s="94"/>
      <c r="U139" s="95"/>
    </row>
    <row r="140" customFormat="false" ht="18.75" hidden="false" customHeight="true" outlineLevel="0" collapsed="false">
      <c r="A140" s="91"/>
      <c r="B140" s="92" t="s">
        <v>247</v>
      </c>
      <c r="C140" s="84" t="s">
        <v>291</v>
      </c>
      <c r="D140" s="85" t="s">
        <v>56</v>
      </c>
      <c r="E140" s="86" t="n">
        <v>20.7</v>
      </c>
      <c r="F140" s="86" t="n">
        <v>17</v>
      </c>
      <c r="G140" s="87" t="n">
        <f aca="false">E140*F140</f>
        <v>351.9</v>
      </c>
      <c r="H140" s="93"/>
      <c r="I140" s="94"/>
      <c r="J140" s="95"/>
      <c r="K140" s="3"/>
      <c r="L140" s="91"/>
      <c r="M140" s="92" t="s">
        <v>247</v>
      </c>
      <c r="N140" s="84" t="s">
        <v>291</v>
      </c>
      <c r="O140" s="85" t="s">
        <v>56</v>
      </c>
      <c r="P140" s="86" t="n">
        <v>20.7</v>
      </c>
      <c r="Q140" s="86" t="n">
        <v>17</v>
      </c>
      <c r="R140" s="87" t="n">
        <f aca="false">P140*Q140</f>
        <v>351.9</v>
      </c>
      <c r="S140" s="93"/>
      <c r="T140" s="94"/>
      <c r="U140" s="95"/>
    </row>
    <row r="141" customFormat="false" ht="18.75" hidden="false" customHeight="true" outlineLevel="0" collapsed="false">
      <c r="A141" s="91"/>
      <c r="B141" s="92" t="s">
        <v>247</v>
      </c>
      <c r="C141" s="84" t="s">
        <v>102</v>
      </c>
      <c r="D141" s="85" t="s">
        <v>56</v>
      </c>
      <c r="E141" s="86" t="n">
        <v>23.05</v>
      </c>
      <c r="F141" s="86" t="n">
        <v>15</v>
      </c>
      <c r="G141" s="87" t="n">
        <f aca="false">E141*F141</f>
        <v>345.75</v>
      </c>
      <c r="H141" s="93"/>
      <c r="I141" s="94"/>
      <c r="J141" s="95"/>
      <c r="K141" s="3"/>
      <c r="L141" s="91"/>
      <c r="M141" s="92" t="s">
        <v>247</v>
      </c>
      <c r="N141" s="84" t="s">
        <v>102</v>
      </c>
      <c r="O141" s="85" t="s">
        <v>56</v>
      </c>
      <c r="P141" s="86" t="n">
        <v>23.05</v>
      </c>
      <c r="Q141" s="86" t="n">
        <v>15</v>
      </c>
      <c r="R141" s="87" t="n">
        <f aca="false">P141*Q141</f>
        <v>345.75</v>
      </c>
      <c r="S141" s="93"/>
      <c r="T141" s="94"/>
      <c r="U141" s="95"/>
    </row>
    <row r="142" customFormat="false" ht="18.75" hidden="false" customHeight="true" outlineLevel="0" collapsed="false">
      <c r="A142" s="91"/>
      <c r="B142" s="92" t="s">
        <v>247</v>
      </c>
      <c r="C142" s="84" t="s">
        <v>81</v>
      </c>
      <c r="D142" s="85" t="s">
        <v>56</v>
      </c>
      <c r="E142" s="86" t="n">
        <v>25.4</v>
      </c>
      <c r="F142" s="86" t="n">
        <v>15</v>
      </c>
      <c r="G142" s="87" t="n">
        <f aca="false">E142*F142</f>
        <v>381</v>
      </c>
      <c r="H142" s="93"/>
      <c r="I142" s="94"/>
      <c r="J142" s="95"/>
      <c r="K142" s="3"/>
      <c r="L142" s="91"/>
      <c r="M142" s="92" t="s">
        <v>247</v>
      </c>
      <c r="N142" s="84" t="s">
        <v>81</v>
      </c>
      <c r="O142" s="85" t="s">
        <v>56</v>
      </c>
      <c r="P142" s="86" t="n">
        <v>25.4</v>
      </c>
      <c r="Q142" s="86" t="n">
        <v>15</v>
      </c>
      <c r="R142" s="87" t="n">
        <f aca="false">P142*Q142</f>
        <v>381</v>
      </c>
      <c r="S142" s="93"/>
      <c r="T142" s="94"/>
      <c r="U142" s="95"/>
    </row>
    <row r="143" customFormat="false" ht="18.75" hidden="false" customHeight="true" outlineLevel="0" collapsed="false">
      <c r="A143" s="91"/>
      <c r="B143" s="92" t="s">
        <v>247</v>
      </c>
      <c r="C143" s="84" t="s">
        <v>294</v>
      </c>
      <c r="D143" s="85" t="s">
        <v>56</v>
      </c>
      <c r="E143" s="86" t="n">
        <v>23.85</v>
      </c>
      <c r="F143" s="86" t="n">
        <v>15</v>
      </c>
      <c r="G143" s="87" t="n">
        <f aca="false">E143*F143</f>
        <v>357.75</v>
      </c>
      <c r="H143" s="93"/>
      <c r="I143" s="94"/>
      <c r="J143" s="95"/>
      <c r="K143" s="3"/>
      <c r="L143" s="91"/>
      <c r="M143" s="92" t="s">
        <v>247</v>
      </c>
      <c r="N143" s="84" t="s">
        <v>294</v>
      </c>
      <c r="O143" s="85" t="s">
        <v>56</v>
      </c>
      <c r="P143" s="86" t="n">
        <v>23.85</v>
      </c>
      <c r="Q143" s="86" t="n">
        <v>15</v>
      </c>
      <c r="R143" s="87" t="n">
        <f aca="false">P143*Q143</f>
        <v>357.75</v>
      </c>
      <c r="S143" s="93"/>
      <c r="T143" s="94"/>
      <c r="U143" s="95"/>
    </row>
    <row r="144" customFormat="false" ht="18.75" hidden="false" customHeight="true" outlineLevel="0" collapsed="false">
      <c r="A144" s="91"/>
      <c r="B144" s="92" t="s">
        <v>247</v>
      </c>
      <c r="C144" s="84" t="s">
        <v>283</v>
      </c>
      <c r="D144" s="103" t="s">
        <v>58</v>
      </c>
      <c r="E144" s="91"/>
      <c r="F144" s="91"/>
      <c r="G144" s="87" t="n">
        <v>653</v>
      </c>
      <c r="H144" s="93"/>
      <c r="I144" s="94"/>
      <c r="J144" s="95"/>
      <c r="K144" s="3"/>
      <c r="L144" s="91"/>
      <c r="M144" s="92" t="s">
        <v>247</v>
      </c>
      <c r="N144" s="84" t="s">
        <v>283</v>
      </c>
      <c r="O144" s="103" t="s">
        <v>58</v>
      </c>
      <c r="P144" s="91"/>
      <c r="Q144" s="91"/>
      <c r="R144" s="87" t="n">
        <v>653</v>
      </c>
      <c r="S144" s="93"/>
      <c r="T144" s="94"/>
      <c r="U144" s="95"/>
    </row>
    <row r="145" customFormat="false" ht="18.75" hidden="false" customHeight="true" outlineLevel="0" collapsed="false">
      <c r="A145" s="91"/>
      <c r="B145" s="92" t="s">
        <v>247</v>
      </c>
      <c r="C145" s="84" t="s">
        <v>295</v>
      </c>
      <c r="D145" s="103" t="s">
        <v>58</v>
      </c>
      <c r="E145" s="91"/>
      <c r="F145" s="91"/>
      <c r="G145" s="87" t="n">
        <v>81</v>
      </c>
      <c r="H145" s="93"/>
      <c r="I145" s="94"/>
      <c r="J145" s="95"/>
      <c r="K145" s="3"/>
      <c r="L145" s="91"/>
      <c r="M145" s="92" t="s">
        <v>247</v>
      </c>
      <c r="N145" s="84" t="s">
        <v>295</v>
      </c>
      <c r="O145" s="103" t="s">
        <v>58</v>
      </c>
      <c r="P145" s="91"/>
      <c r="Q145" s="91"/>
      <c r="R145" s="87" t="n">
        <v>81</v>
      </c>
      <c r="S145" s="93"/>
      <c r="T145" s="94"/>
      <c r="U145" s="95"/>
    </row>
    <row r="146" customFormat="false" ht="18.75" hidden="false" customHeight="true" outlineLevel="0" collapsed="false">
      <c r="A146" s="91"/>
      <c r="B146" s="92" t="s">
        <v>247</v>
      </c>
      <c r="C146" s="84" t="s">
        <v>92</v>
      </c>
      <c r="D146" s="103" t="s">
        <v>58</v>
      </c>
      <c r="E146" s="91"/>
      <c r="F146" s="91"/>
      <c r="G146" s="87" t="n">
        <v>255</v>
      </c>
      <c r="H146" s="93"/>
      <c r="I146" s="94"/>
      <c r="J146" s="95"/>
      <c r="K146" s="3"/>
      <c r="L146" s="91"/>
      <c r="M146" s="92" t="s">
        <v>247</v>
      </c>
      <c r="N146" s="84" t="s">
        <v>92</v>
      </c>
      <c r="O146" s="103" t="s">
        <v>58</v>
      </c>
      <c r="P146" s="91"/>
      <c r="Q146" s="91"/>
      <c r="R146" s="87" t="n">
        <v>255</v>
      </c>
      <c r="S146" s="93"/>
      <c r="T146" s="94"/>
      <c r="U146" s="95"/>
    </row>
    <row r="147" customFormat="false" ht="18.75" hidden="false" customHeight="true" outlineLevel="0" collapsed="false">
      <c r="A147" s="91"/>
      <c r="B147" s="92" t="s">
        <v>247</v>
      </c>
      <c r="C147" s="84" t="s">
        <v>93</v>
      </c>
      <c r="D147" s="103" t="s">
        <v>58</v>
      </c>
      <c r="E147" s="91"/>
      <c r="F147" s="91"/>
      <c r="G147" s="87" t="n">
        <v>240.8</v>
      </c>
      <c r="H147" s="93"/>
      <c r="I147" s="94"/>
      <c r="J147" s="95"/>
      <c r="K147" s="3"/>
      <c r="L147" s="91"/>
      <c r="M147" s="92" t="s">
        <v>247</v>
      </c>
      <c r="N147" s="84" t="s">
        <v>93</v>
      </c>
      <c r="O147" s="103" t="s">
        <v>58</v>
      </c>
      <c r="P147" s="91"/>
      <c r="Q147" s="91"/>
      <c r="R147" s="87" t="n">
        <v>240.8</v>
      </c>
      <c r="S147" s="93"/>
      <c r="T147" s="94"/>
      <c r="U147" s="95"/>
    </row>
    <row r="148" customFormat="false" ht="18.75" hidden="false" customHeight="true" outlineLevel="0" collapsed="false">
      <c r="A148" s="91"/>
      <c r="B148" s="92" t="s">
        <v>247</v>
      </c>
      <c r="C148" s="84" t="s">
        <v>95</v>
      </c>
      <c r="D148" s="103" t="s">
        <v>58</v>
      </c>
      <c r="E148" s="91"/>
      <c r="F148" s="91"/>
      <c r="G148" s="87" t="n">
        <v>236.8</v>
      </c>
      <c r="H148" s="93"/>
      <c r="I148" s="94"/>
      <c r="J148" s="95"/>
      <c r="K148" s="3"/>
      <c r="L148" s="91"/>
      <c r="M148" s="92" t="s">
        <v>247</v>
      </c>
      <c r="N148" s="84" t="s">
        <v>95</v>
      </c>
      <c r="O148" s="103" t="s">
        <v>58</v>
      </c>
      <c r="P148" s="91"/>
      <c r="Q148" s="91"/>
      <c r="R148" s="87" t="n">
        <v>236.8</v>
      </c>
      <c r="S148" s="93"/>
      <c r="T148" s="94"/>
      <c r="U148" s="95"/>
    </row>
    <row r="149" customFormat="false" ht="18.75" hidden="false" customHeight="true" outlineLevel="0" collapsed="false">
      <c r="A149" s="82" t="s">
        <v>31</v>
      </c>
      <c r="B149" s="83" t="s">
        <v>248</v>
      </c>
      <c r="C149" s="84" t="s">
        <v>292</v>
      </c>
      <c r="D149" s="85" t="s">
        <v>56</v>
      </c>
      <c r="E149" s="86" t="n">
        <v>21</v>
      </c>
      <c r="F149" s="86" t="n">
        <v>16</v>
      </c>
      <c r="G149" s="87" t="n">
        <f aca="false">E149*F149</f>
        <v>336</v>
      </c>
      <c r="H149" s="88" t="n">
        <f aca="false">SUMIF(B:B,B149,G:G)</f>
        <v>5552.41</v>
      </c>
      <c r="I149" s="89" t="n">
        <v>7000</v>
      </c>
      <c r="J149" s="90" t="n">
        <f aca="false">IFERROR((I149-H149)/I149,"")</f>
        <v>0.206798571428571</v>
      </c>
      <c r="K149" s="3"/>
      <c r="L149" s="82" t="s">
        <v>31</v>
      </c>
      <c r="M149" s="83" t="s">
        <v>248</v>
      </c>
      <c r="N149" s="84" t="s">
        <v>292</v>
      </c>
      <c r="O149" s="85" t="s">
        <v>56</v>
      </c>
      <c r="P149" s="86" t="n">
        <v>21</v>
      </c>
      <c r="Q149" s="86" t="n">
        <v>16</v>
      </c>
      <c r="R149" s="87" t="n">
        <f aca="false">P149*Q149</f>
        <v>336</v>
      </c>
      <c r="S149" s="88" t="n">
        <f aca="false">SUMIF(M:M,M149,R:R)</f>
        <v>5552.41</v>
      </c>
      <c r="T149" s="89" t="n">
        <f aca="false">I149</f>
        <v>7000</v>
      </c>
      <c r="U149" s="90" t="n">
        <f aca="false">IFERROR((T149-S149)/T149,"")</f>
        <v>0.206798571428571</v>
      </c>
    </row>
    <row r="150" customFormat="false" ht="18.75" hidden="false" customHeight="true" outlineLevel="0" collapsed="false">
      <c r="A150" s="91"/>
      <c r="B150" s="92" t="s">
        <v>248</v>
      </c>
      <c r="C150" s="84" t="s">
        <v>296</v>
      </c>
      <c r="D150" s="85" t="s">
        <v>56</v>
      </c>
      <c r="E150" s="86" t="n">
        <v>28.82</v>
      </c>
      <c r="F150" s="86" t="n">
        <v>15</v>
      </c>
      <c r="G150" s="87" t="n">
        <f aca="false">E150*F150</f>
        <v>432.3</v>
      </c>
      <c r="H150" s="93"/>
      <c r="I150" s="94"/>
      <c r="J150" s="95"/>
      <c r="K150" s="3"/>
      <c r="L150" s="91"/>
      <c r="M150" s="92" t="s">
        <v>248</v>
      </c>
      <c r="N150" s="84" t="s">
        <v>296</v>
      </c>
      <c r="O150" s="85" t="s">
        <v>56</v>
      </c>
      <c r="P150" s="86" t="n">
        <v>28.82</v>
      </c>
      <c r="Q150" s="86" t="n">
        <v>15</v>
      </c>
      <c r="R150" s="87" t="n">
        <f aca="false">P150*Q150</f>
        <v>432.3</v>
      </c>
      <c r="S150" s="93"/>
      <c r="T150" s="94"/>
      <c r="U150" s="95"/>
    </row>
    <row r="151" customFormat="false" ht="18.75" hidden="false" customHeight="true" outlineLevel="0" collapsed="false">
      <c r="A151" s="91"/>
      <c r="B151" s="92" t="s">
        <v>248</v>
      </c>
      <c r="C151" s="84" t="s">
        <v>286</v>
      </c>
      <c r="D151" s="85" t="s">
        <v>56</v>
      </c>
      <c r="E151" s="86" t="n">
        <v>10.93</v>
      </c>
      <c r="F151" s="86" t="n">
        <v>17</v>
      </c>
      <c r="G151" s="87" t="n">
        <f aca="false">E151*F151</f>
        <v>185.81</v>
      </c>
      <c r="H151" s="93"/>
      <c r="I151" s="94"/>
      <c r="J151" s="95"/>
      <c r="K151" s="3"/>
      <c r="L151" s="91"/>
      <c r="M151" s="92" t="s">
        <v>248</v>
      </c>
      <c r="N151" s="84" t="s">
        <v>286</v>
      </c>
      <c r="O151" s="85" t="s">
        <v>56</v>
      </c>
      <c r="P151" s="86" t="n">
        <v>10.93</v>
      </c>
      <c r="Q151" s="86" t="n">
        <v>17</v>
      </c>
      <c r="R151" s="87" t="n">
        <f aca="false">P151*Q151</f>
        <v>185.81</v>
      </c>
      <c r="S151" s="93"/>
      <c r="T151" s="94"/>
      <c r="U151" s="95"/>
    </row>
    <row r="152" customFormat="false" ht="18.75" hidden="false" customHeight="true" outlineLevel="0" collapsed="false">
      <c r="A152" s="91"/>
      <c r="B152" s="92" t="s">
        <v>248</v>
      </c>
      <c r="C152" s="84" t="s">
        <v>297</v>
      </c>
      <c r="D152" s="85" t="s">
        <v>56</v>
      </c>
      <c r="E152" s="86" t="n">
        <v>30</v>
      </c>
      <c r="F152" s="86" t="n">
        <v>15</v>
      </c>
      <c r="G152" s="87" t="n">
        <f aca="false">E152*F152</f>
        <v>450</v>
      </c>
      <c r="H152" s="93"/>
      <c r="I152" s="94"/>
      <c r="J152" s="95"/>
      <c r="K152" s="3"/>
      <c r="L152" s="91"/>
      <c r="M152" s="92" t="s">
        <v>248</v>
      </c>
      <c r="N152" s="84" t="s">
        <v>297</v>
      </c>
      <c r="O152" s="85" t="s">
        <v>56</v>
      </c>
      <c r="P152" s="86" t="n">
        <v>30</v>
      </c>
      <c r="Q152" s="86" t="n">
        <v>15</v>
      </c>
      <c r="R152" s="87" t="n">
        <f aca="false">P152*Q152</f>
        <v>450</v>
      </c>
      <c r="S152" s="93"/>
      <c r="T152" s="94"/>
      <c r="U152" s="95"/>
    </row>
    <row r="153" customFormat="false" ht="18.75" hidden="false" customHeight="true" outlineLevel="0" collapsed="false">
      <c r="A153" s="91"/>
      <c r="B153" s="92" t="s">
        <v>248</v>
      </c>
      <c r="C153" s="84" t="s">
        <v>298</v>
      </c>
      <c r="D153" s="85" t="s">
        <v>56</v>
      </c>
      <c r="E153" s="86" t="n">
        <v>26.38</v>
      </c>
      <c r="F153" s="86" t="n">
        <v>15</v>
      </c>
      <c r="G153" s="87" t="n">
        <f aca="false">E153*F153</f>
        <v>395.7</v>
      </c>
      <c r="H153" s="93"/>
      <c r="I153" s="94"/>
      <c r="J153" s="95"/>
      <c r="K153" s="3"/>
      <c r="L153" s="91"/>
      <c r="M153" s="92" t="s">
        <v>248</v>
      </c>
      <c r="N153" s="84" t="s">
        <v>298</v>
      </c>
      <c r="O153" s="85" t="s">
        <v>56</v>
      </c>
      <c r="P153" s="86" t="n">
        <v>26.38</v>
      </c>
      <c r="Q153" s="86" t="n">
        <v>15</v>
      </c>
      <c r="R153" s="87" t="n">
        <f aca="false">P153*Q153</f>
        <v>395.7</v>
      </c>
      <c r="S153" s="93"/>
      <c r="T153" s="94"/>
      <c r="U153" s="95"/>
    </row>
    <row r="154" customFormat="false" ht="18.75" hidden="false" customHeight="true" outlineLevel="0" collapsed="false">
      <c r="A154" s="91"/>
      <c r="B154" s="92" t="s">
        <v>248</v>
      </c>
      <c r="C154" s="84" t="s">
        <v>299</v>
      </c>
      <c r="D154" s="85" t="s">
        <v>56</v>
      </c>
      <c r="E154" s="86" t="n">
        <v>31.5</v>
      </c>
      <c r="F154" s="86" t="n">
        <v>15</v>
      </c>
      <c r="G154" s="87" t="n">
        <f aca="false">E154*F154</f>
        <v>472.5</v>
      </c>
      <c r="H154" s="93"/>
      <c r="I154" s="94"/>
      <c r="J154" s="95"/>
      <c r="K154" s="3"/>
      <c r="L154" s="91"/>
      <c r="M154" s="92" t="s">
        <v>248</v>
      </c>
      <c r="N154" s="84" t="s">
        <v>299</v>
      </c>
      <c r="O154" s="85" t="s">
        <v>56</v>
      </c>
      <c r="P154" s="86" t="n">
        <v>31.5</v>
      </c>
      <c r="Q154" s="86" t="n">
        <v>15</v>
      </c>
      <c r="R154" s="87" t="n">
        <f aca="false">P154*Q154</f>
        <v>472.5</v>
      </c>
      <c r="S154" s="93"/>
      <c r="T154" s="94"/>
      <c r="U154" s="95"/>
    </row>
    <row r="155" customFormat="false" ht="18.75" hidden="false" customHeight="true" outlineLevel="0" collapsed="false">
      <c r="A155" s="91"/>
      <c r="B155" s="92" t="s">
        <v>248</v>
      </c>
      <c r="C155" s="84" t="s">
        <v>300</v>
      </c>
      <c r="D155" s="85" t="s">
        <v>56</v>
      </c>
      <c r="E155" s="86" t="n">
        <v>19.55</v>
      </c>
      <c r="F155" s="86" t="n">
        <v>15</v>
      </c>
      <c r="G155" s="87" t="n">
        <f aca="false">E155*F155</f>
        <v>293.25</v>
      </c>
      <c r="H155" s="93"/>
      <c r="I155" s="94"/>
      <c r="J155" s="95"/>
      <c r="K155" s="3"/>
      <c r="L155" s="91"/>
      <c r="M155" s="92" t="s">
        <v>248</v>
      </c>
      <c r="N155" s="84" t="s">
        <v>300</v>
      </c>
      <c r="O155" s="85" t="s">
        <v>56</v>
      </c>
      <c r="P155" s="86" t="n">
        <v>19.55</v>
      </c>
      <c r="Q155" s="86" t="n">
        <v>15</v>
      </c>
      <c r="R155" s="87" t="n">
        <f aca="false">P155*Q155</f>
        <v>293.25</v>
      </c>
      <c r="S155" s="93"/>
      <c r="T155" s="94"/>
      <c r="U155" s="95"/>
    </row>
    <row r="156" customFormat="false" ht="18.75" hidden="false" customHeight="true" outlineLevel="0" collapsed="false">
      <c r="A156" s="91"/>
      <c r="B156" s="92" t="s">
        <v>248</v>
      </c>
      <c r="C156" s="84" t="s">
        <v>301</v>
      </c>
      <c r="D156" s="85" t="s">
        <v>56</v>
      </c>
      <c r="E156" s="86" t="n">
        <v>42.01</v>
      </c>
      <c r="F156" s="86" t="n">
        <v>15</v>
      </c>
      <c r="G156" s="87" t="n">
        <f aca="false">E156*F156</f>
        <v>630.15</v>
      </c>
      <c r="H156" s="93"/>
      <c r="I156" s="94"/>
      <c r="J156" s="95"/>
      <c r="K156" s="3"/>
      <c r="L156" s="91"/>
      <c r="M156" s="92" t="s">
        <v>248</v>
      </c>
      <c r="N156" s="84" t="s">
        <v>301</v>
      </c>
      <c r="O156" s="85" t="s">
        <v>56</v>
      </c>
      <c r="P156" s="86" t="n">
        <v>42.01</v>
      </c>
      <c r="Q156" s="86" t="n">
        <v>15</v>
      </c>
      <c r="R156" s="87" t="n">
        <f aca="false">P156*Q156</f>
        <v>630.15</v>
      </c>
      <c r="S156" s="93"/>
      <c r="T156" s="94"/>
      <c r="U156" s="95"/>
    </row>
    <row r="157" customFormat="false" ht="18.75" hidden="false" customHeight="true" outlineLevel="0" collapsed="false">
      <c r="A157" s="91"/>
      <c r="B157" s="92" t="s">
        <v>248</v>
      </c>
      <c r="C157" s="84" t="s">
        <v>302</v>
      </c>
      <c r="D157" s="85" t="s">
        <v>56</v>
      </c>
      <c r="E157" s="86" t="n">
        <v>26.85</v>
      </c>
      <c r="F157" s="86" t="n">
        <v>15</v>
      </c>
      <c r="G157" s="87" t="n">
        <f aca="false">E157*F157</f>
        <v>402.75</v>
      </c>
      <c r="H157" s="93"/>
      <c r="I157" s="94"/>
      <c r="J157" s="95"/>
      <c r="K157" s="3"/>
      <c r="L157" s="91"/>
      <c r="M157" s="92" t="s">
        <v>248</v>
      </c>
      <c r="N157" s="84" t="s">
        <v>302</v>
      </c>
      <c r="O157" s="85" t="s">
        <v>56</v>
      </c>
      <c r="P157" s="86" t="n">
        <v>26.85</v>
      </c>
      <c r="Q157" s="86" t="n">
        <v>15</v>
      </c>
      <c r="R157" s="87" t="n">
        <f aca="false">P157*Q157</f>
        <v>402.75</v>
      </c>
      <c r="S157" s="93"/>
      <c r="T157" s="94"/>
      <c r="U157" s="95"/>
    </row>
    <row r="158" customFormat="false" ht="18.75" hidden="false" customHeight="true" outlineLevel="0" collapsed="false">
      <c r="A158" s="91"/>
      <c r="B158" s="92" t="s">
        <v>248</v>
      </c>
      <c r="C158" s="84" t="s">
        <v>283</v>
      </c>
      <c r="D158" s="103" t="s">
        <v>58</v>
      </c>
      <c r="E158" s="91"/>
      <c r="F158" s="91"/>
      <c r="G158" s="87" t="n">
        <v>715.32</v>
      </c>
      <c r="H158" s="93"/>
      <c r="I158" s="94"/>
      <c r="J158" s="95"/>
      <c r="K158" s="3"/>
      <c r="L158" s="91"/>
      <c r="M158" s="92" t="s">
        <v>248</v>
      </c>
      <c r="N158" s="84" t="s">
        <v>283</v>
      </c>
      <c r="O158" s="103" t="s">
        <v>58</v>
      </c>
      <c r="P158" s="91"/>
      <c r="Q158" s="91"/>
      <c r="R158" s="87" t="n">
        <v>715.32</v>
      </c>
      <c r="S158" s="93"/>
      <c r="T158" s="94"/>
      <c r="U158" s="95"/>
    </row>
    <row r="159" customFormat="false" ht="18.75" hidden="false" customHeight="true" outlineLevel="0" collapsed="false">
      <c r="A159" s="91"/>
      <c r="B159" s="92" t="s">
        <v>248</v>
      </c>
      <c r="C159" s="84" t="s">
        <v>209</v>
      </c>
      <c r="D159" s="103" t="s">
        <v>58</v>
      </c>
      <c r="E159" s="91"/>
      <c r="F159" s="91"/>
      <c r="G159" s="87" t="n">
        <v>416.2</v>
      </c>
      <c r="H159" s="93"/>
      <c r="I159" s="94"/>
      <c r="J159" s="95"/>
      <c r="K159" s="3"/>
      <c r="L159" s="91"/>
      <c r="M159" s="92" t="s">
        <v>248</v>
      </c>
      <c r="N159" s="84" t="s">
        <v>209</v>
      </c>
      <c r="O159" s="103" t="s">
        <v>58</v>
      </c>
      <c r="P159" s="91"/>
      <c r="Q159" s="91"/>
      <c r="R159" s="87" t="n">
        <v>416.2</v>
      </c>
      <c r="S159" s="93"/>
      <c r="T159" s="94"/>
      <c r="U159" s="95"/>
    </row>
    <row r="160" customFormat="false" ht="18.75" hidden="false" customHeight="true" outlineLevel="0" collapsed="false">
      <c r="A160" s="91"/>
      <c r="B160" s="92" t="s">
        <v>248</v>
      </c>
      <c r="C160" s="84" t="s">
        <v>92</v>
      </c>
      <c r="D160" s="103" t="s">
        <v>58</v>
      </c>
      <c r="E160" s="91"/>
      <c r="F160" s="91"/>
      <c r="G160" s="87" t="n">
        <v>168.87</v>
      </c>
      <c r="H160" s="93"/>
      <c r="I160" s="94"/>
      <c r="J160" s="95"/>
      <c r="K160" s="3"/>
      <c r="L160" s="91"/>
      <c r="M160" s="92" t="s">
        <v>248</v>
      </c>
      <c r="N160" s="84" t="s">
        <v>92</v>
      </c>
      <c r="O160" s="103" t="s">
        <v>58</v>
      </c>
      <c r="P160" s="91"/>
      <c r="Q160" s="91"/>
      <c r="R160" s="87" t="n">
        <v>168.87</v>
      </c>
      <c r="S160" s="93"/>
      <c r="T160" s="94"/>
      <c r="U160" s="95"/>
    </row>
    <row r="161" customFormat="false" ht="18.75" hidden="false" customHeight="true" outlineLevel="0" collapsed="false">
      <c r="A161" s="91"/>
      <c r="B161" s="92" t="s">
        <v>248</v>
      </c>
      <c r="C161" s="84" t="s">
        <v>94</v>
      </c>
      <c r="D161" s="103" t="s">
        <v>58</v>
      </c>
      <c r="E161" s="91"/>
      <c r="F161" s="91"/>
      <c r="G161" s="87" t="n">
        <v>436.74</v>
      </c>
      <c r="H161" s="93"/>
      <c r="I161" s="94"/>
      <c r="J161" s="95"/>
      <c r="K161" s="3"/>
      <c r="L161" s="91"/>
      <c r="M161" s="92" t="s">
        <v>248</v>
      </c>
      <c r="N161" s="84" t="s">
        <v>94</v>
      </c>
      <c r="O161" s="103" t="s">
        <v>58</v>
      </c>
      <c r="P161" s="91"/>
      <c r="Q161" s="91"/>
      <c r="R161" s="87" t="n">
        <v>436.74</v>
      </c>
      <c r="S161" s="93"/>
      <c r="T161" s="94"/>
      <c r="U161" s="95"/>
    </row>
    <row r="162" customFormat="false" ht="18.75" hidden="false" customHeight="true" outlineLevel="0" collapsed="false">
      <c r="A162" s="91"/>
      <c r="B162" s="92" t="s">
        <v>248</v>
      </c>
      <c r="C162" s="84" t="s">
        <v>93</v>
      </c>
      <c r="D162" s="103" t="s">
        <v>58</v>
      </c>
      <c r="E162" s="91"/>
      <c r="F162" s="91"/>
      <c r="G162" s="87" t="n">
        <v>60.5</v>
      </c>
      <c r="H162" s="93"/>
      <c r="I162" s="94"/>
      <c r="J162" s="95"/>
      <c r="K162" s="3"/>
      <c r="L162" s="91"/>
      <c r="M162" s="92" t="s">
        <v>248</v>
      </c>
      <c r="N162" s="84" t="s">
        <v>93</v>
      </c>
      <c r="O162" s="103" t="s">
        <v>58</v>
      </c>
      <c r="P162" s="91"/>
      <c r="Q162" s="91"/>
      <c r="R162" s="87" t="n">
        <v>60.5</v>
      </c>
      <c r="S162" s="93"/>
      <c r="T162" s="94"/>
      <c r="U162" s="95"/>
    </row>
    <row r="163" customFormat="false" ht="18.75" hidden="false" customHeight="true" outlineLevel="0" collapsed="false">
      <c r="A163" s="91"/>
      <c r="B163" s="92" t="s">
        <v>248</v>
      </c>
      <c r="C163" s="84" t="s">
        <v>95</v>
      </c>
      <c r="D163" s="103" t="s">
        <v>58</v>
      </c>
      <c r="E163" s="91"/>
      <c r="F163" s="91"/>
      <c r="G163" s="87" t="n">
        <v>156.32</v>
      </c>
      <c r="H163" s="93"/>
      <c r="I163" s="94"/>
      <c r="J163" s="95"/>
      <c r="K163" s="3"/>
      <c r="L163" s="91"/>
      <c r="M163" s="92" t="s">
        <v>248</v>
      </c>
      <c r="N163" s="84" t="s">
        <v>95</v>
      </c>
      <c r="O163" s="103" t="s">
        <v>58</v>
      </c>
      <c r="P163" s="91"/>
      <c r="Q163" s="91"/>
      <c r="R163" s="87" t="n">
        <v>156.32</v>
      </c>
      <c r="S163" s="93"/>
      <c r="T163" s="94"/>
      <c r="U163" s="95"/>
    </row>
    <row r="164" customFormat="false" ht="18.75" hidden="false" customHeight="true" outlineLevel="0" collapsed="false">
      <c r="A164" s="82" t="s">
        <v>35</v>
      </c>
      <c r="B164" s="83" t="s">
        <v>249</v>
      </c>
      <c r="C164" s="97" t="s">
        <v>91</v>
      </c>
      <c r="D164" s="98" t="s">
        <v>55</v>
      </c>
      <c r="E164" s="99" t="n">
        <v>21</v>
      </c>
      <c r="F164" s="99" t="n">
        <v>16</v>
      </c>
      <c r="G164" s="100" t="n">
        <f aca="false">E164*F164</f>
        <v>336</v>
      </c>
      <c r="H164" s="88" t="n">
        <f aca="false">SUMIF(B:B,B164,G:G)</f>
        <v>4508.72</v>
      </c>
      <c r="I164" s="89" t="n">
        <v>7000</v>
      </c>
      <c r="J164" s="90" t="n">
        <f aca="false">IFERROR((I164-H164)/I164,"")</f>
        <v>0.355897142857143</v>
      </c>
      <c r="K164" s="3"/>
      <c r="L164" s="82" t="s">
        <v>35</v>
      </c>
      <c r="M164" s="83" t="s">
        <v>249</v>
      </c>
      <c r="N164" s="97" t="s">
        <v>91</v>
      </c>
      <c r="O164" s="98" t="s">
        <v>55</v>
      </c>
      <c r="P164" s="101"/>
      <c r="Q164" s="101"/>
      <c r="R164" s="102" t="n">
        <v>0</v>
      </c>
      <c r="S164" s="88" t="n">
        <f aca="false">SUMIF(M:M,M164,R:R)</f>
        <v>4022.72</v>
      </c>
      <c r="T164" s="89" t="n">
        <f aca="false">I164</f>
        <v>7000</v>
      </c>
      <c r="U164" s="90" t="n">
        <f aca="false">IFERROR((T164-S164)/T164,"")</f>
        <v>0.425325714285714</v>
      </c>
    </row>
    <row r="165" customFormat="false" ht="18.75" hidden="false" customHeight="true" outlineLevel="0" collapsed="false">
      <c r="A165" s="104"/>
      <c r="B165" s="105" t="s">
        <v>249</v>
      </c>
      <c r="C165" s="97" t="s">
        <v>117</v>
      </c>
      <c r="D165" s="98" t="s">
        <v>55</v>
      </c>
      <c r="E165" s="104"/>
      <c r="F165" s="104"/>
      <c r="G165" s="100" t="n">
        <v>150</v>
      </c>
      <c r="H165" s="106"/>
      <c r="I165" s="107"/>
      <c r="J165" s="108"/>
      <c r="K165" s="3"/>
      <c r="L165" s="104"/>
      <c r="M165" s="105" t="s">
        <v>249</v>
      </c>
      <c r="N165" s="97" t="s">
        <v>117</v>
      </c>
      <c r="O165" s="98" t="s">
        <v>55</v>
      </c>
      <c r="P165" s="101"/>
      <c r="Q165" s="101"/>
      <c r="R165" s="102" t="n">
        <v>0</v>
      </c>
      <c r="S165" s="106"/>
      <c r="T165" s="107"/>
      <c r="U165" s="108"/>
    </row>
    <row r="166" customFormat="false" ht="18.75" hidden="false" customHeight="true" outlineLevel="0" collapsed="false">
      <c r="A166" s="91"/>
      <c r="B166" s="92" t="s">
        <v>249</v>
      </c>
      <c r="C166" s="84" t="s">
        <v>303</v>
      </c>
      <c r="D166" s="85" t="s">
        <v>56</v>
      </c>
      <c r="E166" s="86" t="n">
        <v>11.82</v>
      </c>
      <c r="F166" s="86" t="n">
        <v>17</v>
      </c>
      <c r="G166" s="87" t="n">
        <f aca="false">E166*F166</f>
        <v>200.94</v>
      </c>
      <c r="H166" s="93"/>
      <c r="I166" s="94"/>
      <c r="J166" s="95"/>
      <c r="K166" s="3"/>
      <c r="L166" s="91"/>
      <c r="M166" s="92" t="s">
        <v>249</v>
      </c>
      <c r="N166" s="84" t="s">
        <v>303</v>
      </c>
      <c r="O166" s="85" t="s">
        <v>56</v>
      </c>
      <c r="P166" s="86" t="n">
        <v>11.82</v>
      </c>
      <c r="Q166" s="86" t="n">
        <v>17</v>
      </c>
      <c r="R166" s="87" t="n">
        <f aca="false">P166*Q166</f>
        <v>200.94</v>
      </c>
      <c r="S166" s="93"/>
      <c r="T166" s="94"/>
      <c r="U166" s="95"/>
    </row>
    <row r="167" customFormat="false" ht="18.75" hidden="false" customHeight="true" outlineLevel="0" collapsed="false">
      <c r="A167" s="91"/>
      <c r="B167" s="92" t="s">
        <v>249</v>
      </c>
      <c r="C167" s="84" t="s">
        <v>120</v>
      </c>
      <c r="D167" s="85" t="s">
        <v>56</v>
      </c>
      <c r="E167" s="86" t="n">
        <v>22.05</v>
      </c>
      <c r="F167" s="86" t="n">
        <v>15</v>
      </c>
      <c r="G167" s="87" t="n">
        <f aca="false">E167*F167</f>
        <v>330.75</v>
      </c>
      <c r="H167" s="93"/>
      <c r="I167" s="94"/>
      <c r="J167" s="95"/>
      <c r="K167" s="3"/>
      <c r="L167" s="91"/>
      <c r="M167" s="92" t="s">
        <v>249</v>
      </c>
      <c r="N167" s="84" t="s">
        <v>120</v>
      </c>
      <c r="O167" s="85" t="s">
        <v>56</v>
      </c>
      <c r="P167" s="86" t="n">
        <v>22.05</v>
      </c>
      <c r="Q167" s="86" t="n">
        <v>15</v>
      </c>
      <c r="R167" s="87" t="n">
        <f aca="false">P167*Q167</f>
        <v>330.75</v>
      </c>
      <c r="S167" s="93"/>
      <c r="T167" s="94"/>
      <c r="U167" s="95"/>
    </row>
    <row r="168" customFormat="false" ht="18.75" hidden="false" customHeight="true" outlineLevel="0" collapsed="false">
      <c r="A168" s="91"/>
      <c r="B168" s="92" t="s">
        <v>249</v>
      </c>
      <c r="C168" s="84" t="s">
        <v>301</v>
      </c>
      <c r="D168" s="85" t="s">
        <v>56</v>
      </c>
      <c r="E168" s="86" t="n">
        <v>34.85</v>
      </c>
      <c r="F168" s="86" t="n">
        <v>15</v>
      </c>
      <c r="G168" s="87" t="n">
        <f aca="false">E168*F168</f>
        <v>522.75</v>
      </c>
      <c r="H168" s="93"/>
      <c r="I168" s="94"/>
      <c r="J168" s="95"/>
      <c r="K168" s="3"/>
      <c r="L168" s="91"/>
      <c r="M168" s="92" t="s">
        <v>249</v>
      </c>
      <c r="N168" s="84" t="s">
        <v>301</v>
      </c>
      <c r="O168" s="85" t="s">
        <v>56</v>
      </c>
      <c r="P168" s="86" t="n">
        <v>34.85</v>
      </c>
      <c r="Q168" s="86" t="n">
        <v>15</v>
      </c>
      <c r="R168" s="87" t="n">
        <f aca="false">P168*Q168</f>
        <v>522.75</v>
      </c>
      <c r="S168" s="93"/>
      <c r="T168" s="94"/>
      <c r="U168" s="95"/>
    </row>
    <row r="169" customFormat="false" ht="18.75" hidden="false" customHeight="true" outlineLevel="0" collapsed="false">
      <c r="A169" s="91"/>
      <c r="B169" s="92" t="s">
        <v>249</v>
      </c>
      <c r="C169" s="84" t="s">
        <v>304</v>
      </c>
      <c r="D169" s="85" t="s">
        <v>56</v>
      </c>
      <c r="E169" s="86" t="n">
        <v>27.39</v>
      </c>
      <c r="F169" s="86" t="n">
        <v>15</v>
      </c>
      <c r="G169" s="87" t="n">
        <f aca="false">E169*F169</f>
        <v>410.85</v>
      </c>
      <c r="H169" s="93"/>
      <c r="I169" s="94"/>
      <c r="J169" s="95"/>
      <c r="K169" s="3"/>
      <c r="L169" s="91"/>
      <c r="M169" s="92" t="s">
        <v>249</v>
      </c>
      <c r="N169" s="84" t="s">
        <v>304</v>
      </c>
      <c r="O169" s="85" t="s">
        <v>56</v>
      </c>
      <c r="P169" s="86" t="n">
        <v>27.39</v>
      </c>
      <c r="Q169" s="86" t="n">
        <v>15</v>
      </c>
      <c r="R169" s="87" t="n">
        <f aca="false">P169*Q169</f>
        <v>410.85</v>
      </c>
      <c r="S169" s="93"/>
      <c r="T169" s="94"/>
      <c r="U169" s="95"/>
    </row>
    <row r="170" customFormat="false" ht="18.75" hidden="false" customHeight="true" outlineLevel="0" collapsed="false">
      <c r="A170" s="91"/>
      <c r="B170" s="92" t="s">
        <v>249</v>
      </c>
      <c r="C170" s="84" t="s">
        <v>299</v>
      </c>
      <c r="D170" s="85" t="s">
        <v>56</v>
      </c>
      <c r="E170" s="86" t="n">
        <v>35.88</v>
      </c>
      <c r="F170" s="86" t="n">
        <v>15</v>
      </c>
      <c r="G170" s="87" t="n">
        <f aca="false">E170*F170</f>
        <v>538.2</v>
      </c>
      <c r="H170" s="93"/>
      <c r="I170" s="94"/>
      <c r="J170" s="95"/>
      <c r="K170" s="3"/>
      <c r="L170" s="91"/>
      <c r="M170" s="92" t="s">
        <v>249</v>
      </c>
      <c r="N170" s="84" t="s">
        <v>299</v>
      </c>
      <c r="O170" s="85" t="s">
        <v>56</v>
      </c>
      <c r="P170" s="86" t="n">
        <v>35.88</v>
      </c>
      <c r="Q170" s="86" t="n">
        <v>15</v>
      </c>
      <c r="R170" s="87" t="n">
        <f aca="false">P170*Q170</f>
        <v>538.2</v>
      </c>
      <c r="S170" s="93"/>
      <c r="T170" s="94"/>
      <c r="U170" s="95"/>
    </row>
    <row r="171" customFormat="false" ht="18.75" hidden="false" customHeight="true" outlineLevel="0" collapsed="false">
      <c r="A171" s="91"/>
      <c r="B171" s="92" t="s">
        <v>249</v>
      </c>
      <c r="C171" s="84" t="s">
        <v>298</v>
      </c>
      <c r="D171" s="85" t="s">
        <v>56</v>
      </c>
      <c r="E171" s="86" t="n">
        <v>33.42</v>
      </c>
      <c r="F171" s="86" t="n">
        <v>15</v>
      </c>
      <c r="G171" s="87" t="n">
        <f aca="false">E171*F171</f>
        <v>501.3</v>
      </c>
      <c r="H171" s="93"/>
      <c r="I171" s="94"/>
      <c r="J171" s="95"/>
      <c r="K171" s="3"/>
      <c r="L171" s="91"/>
      <c r="M171" s="92" t="s">
        <v>249</v>
      </c>
      <c r="N171" s="84" t="s">
        <v>298</v>
      </c>
      <c r="O171" s="85" t="s">
        <v>56</v>
      </c>
      <c r="P171" s="86" t="n">
        <v>33.42</v>
      </c>
      <c r="Q171" s="86" t="n">
        <v>15</v>
      </c>
      <c r="R171" s="87" t="n">
        <f aca="false">P171*Q171</f>
        <v>501.3</v>
      </c>
      <c r="S171" s="93"/>
      <c r="T171" s="94"/>
      <c r="U171" s="95"/>
    </row>
    <row r="172" customFormat="false" ht="18.75" hidden="false" customHeight="true" outlineLevel="0" collapsed="false">
      <c r="A172" s="91"/>
      <c r="B172" s="92" t="s">
        <v>249</v>
      </c>
      <c r="C172" s="84" t="s">
        <v>81</v>
      </c>
      <c r="D172" s="85" t="s">
        <v>56</v>
      </c>
      <c r="E172" s="86" t="n">
        <v>35.22</v>
      </c>
      <c r="F172" s="86" t="n">
        <v>15</v>
      </c>
      <c r="G172" s="87" t="n">
        <f aca="false">E172*F172</f>
        <v>528.3</v>
      </c>
      <c r="H172" s="93"/>
      <c r="I172" s="94"/>
      <c r="J172" s="95"/>
      <c r="K172" s="3"/>
      <c r="L172" s="91"/>
      <c r="M172" s="92" t="s">
        <v>249</v>
      </c>
      <c r="N172" s="84" t="s">
        <v>81</v>
      </c>
      <c r="O172" s="85" t="s">
        <v>56</v>
      </c>
      <c r="P172" s="86" t="n">
        <v>35.22</v>
      </c>
      <c r="Q172" s="86" t="n">
        <v>15</v>
      </c>
      <c r="R172" s="87" t="n">
        <f aca="false">P172*Q172</f>
        <v>528.3</v>
      </c>
      <c r="S172" s="93"/>
      <c r="T172" s="94"/>
      <c r="U172" s="95"/>
    </row>
    <row r="173" customFormat="false" ht="18.75" hidden="false" customHeight="true" outlineLevel="0" collapsed="false">
      <c r="A173" s="91"/>
      <c r="B173" s="92" t="s">
        <v>249</v>
      </c>
      <c r="C173" s="84" t="s">
        <v>305</v>
      </c>
      <c r="D173" s="85" t="s">
        <v>56</v>
      </c>
      <c r="E173" s="86" t="n">
        <v>11.48</v>
      </c>
      <c r="F173" s="86" t="n">
        <v>15</v>
      </c>
      <c r="G173" s="87" t="n">
        <f aca="false">E173*F173</f>
        <v>172.2</v>
      </c>
      <c r="H173" s="93"/>
      <c r="I173" s="94"/>
      <c r="J173" s="95"/>
      <c r="K173" s="3"/>
      <c r="L173" s="91"/>
      <c r="M173" s="92" t="s">
        <v>249</v>
      </c>
      <c r="N173" s="84" t="s">
        <v>305</v>
      </c>
      <c r="O173" s="85" t="s">
        <v>56</v>
      </c>
      <c r="P173" s="86" t="n">
        <v>11.48</v>
      </c>
      <c r="Q173" s="86" t="n">
        <v>15</v>
      </c>
      <c r="R173" s="87" t="n">
        <f aca="false">P173*Q173</f>
        <v>172.2</v>
      </c>
      <c r="S173" s="93"/>
      <c r="T173" s="94"/>
      <c r="U173" s="95"/>
    </row>
    <row r="174" customFormat="false" ht="18.75" hidden="false" customHeight="true" outlineLevel="0" collapsed="false">
      <c r="A174" s="91"/>
      <c r="B174" s="92" t="s">
        <v>249</v>
      </c>
      <c r="C174" s="84" t="s">
        <v>92</v>
      </c>
      <c r="D174" s="103" t="s">
        <v>58</v>
      </c>
      <c r="E174" s="91"/>
      <c r="F174" s="91"/>
      <c r="G174" s="87" t="n">
        <v>120</v>
      </c>
      <c r="H174" s="93"/>
      <c r="I174" s="94"/>
      <c r="J174" s="95"/>
      <c r="K174" s="3"/>
      <c r="L174" s="91"/>
      <c r="M174" s="92" t="s">
        <v>249</v>
      </c>
      <c r="N174" s="84" t="s">
        <v>92</v>
      </c>
      <c r="O174" s="103" t="s">
        <v>58</v>
      </c>
      <c r="P174" s="91"/>
      <c r="Q174" s="91"/>
      <c r="R174" s="87" t="n">
        <v>120</v>
      </c>
      <c r="S174" s="93"/>
      <c r="T174" s="94"/>
      <c r="U174" s="95"/>
    </row>
    <row r="175" customFormat="false" ht="18.75" hidden="false" customHeight="true" outlineLevel="0" collapsed="false">
      <c r="A175" s="91"/>
      <c r="B175" s="92" t="s">
        <v>249</v>
      </c>
      <c r="C175" s="84" t="s">
        <v>94</v>
      </c>
      <c r="D175" s="103" t="s">
        <v>58</v>
      </c>
      <c r="E175" s="91"/>
      <c r="F175" s="91"/>
      <c r="G175" s="87" t="n">
        <v>484.95</v>
      </c>
      <c r="H175" s="93"/>
      <c r="I175" s="94"/>
      <c r="J175" s="95"/>
      <c r="K175" s="3"/>
      <c r="L175" s="91"/>
      <c r="M175" s="92" t="s">
        <v>249</v>
      </c>
      <c r="N175" s="84" t="s">
        <v>94</v>
      </c>
      <c r="O175" s="103" t="s">
        <v>58</v>
      </c>
      <c r="P175" s="91"/>
      <c r="Q175" s="91"/>
      <c r="R175" s="87" t="n">
        <v>484.95</v>
      </c>
      <c r="S175" s="93"/>
      <c r="T175" s="94"/>
      <c r="U175" s="95"/>
    </row>
    <row r="176" customFormat="false" ht="18.75" hidden="false" customHeight="true" outlineLevel="0" collapsed="false">
      <c r="A176" s="91"/>
      <c r="B176" s="92" t="s">
        <v>249</v>
      </c>
      <c r="C176" s="84" t="s">
        <v>93</v>
      </c>
      <c r="D176" s="103" t="s">
        <v>58</v>
      </c>
      <c r="E176" s="91"/>
      <c r="F176" s="91"/>
      <c r="G176" s="87" t="n">
        <v>60.5</v>
      </c>
      <c r="H176" s="93"/>
      <c r="I176" s="94"/>
      <c r="J176" s="95"/>
      <c r="K176" s="3"/>
      <c r="L176" s="91"/>
      <c r="M176" s="92" t="s">
        <v>249</v>
      </c>
      <c r="N176" s="84" t="s">
        <v>93</v>
      </c>
      <c r="O176" s="103" t="s">
        <v>58</v>
      </c>
      <c r="P176" s="91"/>
      <c r="Q176" s="91"/>
      <c r="R176" s="87" t="n">
        <v>60.5</v>
      </c>
      <c r="S176" s="93"/>
      <c r="T176" s="94"/>
      <c r="U176" s="95"/>
    </row>
    <row r="177" customFormat="false" ht="18.75" hidden="false" customHeight="true" outlineLevel="0" collapsed="false">
      <c r="A177" s="91"/>
      <c r="B177" s="92" t="s">
        <v>249</v>
      </c>
      <c r="C177" s="84" t="s">
        <v>95</v>
      </c>
      <c r="D177" s="103" t="s">
        <v>58</v>
      </c>
      <c r="E177" s="91"/>
      <c r="F177" s="91"/>
      <c r="G177" s="87" t="n">
        <v>151.98</v>
      </c>
      <c r="H177" s="93"/>
      <c r="I177" s="94"/>
      <c r="J177" s="95"/>
      <c r="K177" s="3"/>
      <c r="L177" s="91"/>
      <c r="M177" s="92" t="s">
        <v>249</v>
      </c>
      <c r="N177" s="84" t="s">
        <v>95</v>
      </c>
      <c r="O177" s="103" t="s">
        <v>58</v>
      </c>
      <c r="P177" s="91"/>
      <c r="Q177" s="91"/>
      <c r="R177" s="87" t="n">
        <v>151.98</v>
      </c>
      <c r="S177" s="93"/>
      <c r="T177" s="94"/>
      <c r="U177" s="95"/>
    </row>
    <row r="178" customFormat="false" ht="18.75" hidden="false" customHeight="true" outlineLevel="0" collapsed="false">
      <c r="A178" s="82" t="s">
        <v>37</v>
      </c>
      <c r="B178" s="83" t="s">
        <v>250</v>
      </c>
      <c r="C178" s="97" t="s">
        <v>91</v>
      </c>
      <c r="D178" s="98" t="s">
        <v>55</v>
      </c>
      <c r="E178" s="99" t="n">
        <v>14</v>
      </c>
      <c r="F178" s="99" t="n">
        <v>16</v>
      </c>
      <c r="G178" s="100" t="n">
        <f aca="false">E178*F178</f>
        <v>224</v>
      </c>
      <c r="H178" s="88" t="n">
        <f aca="false">SUMIF(B:B,B178,G:G)</f>
        <v>4469.15</v>
      </c>
      <c r="I178" s="89" t="n">
        <v>7000</v>
      </c>
      <c r="J178" s="90" t="n">
        <f aca="false">IFERROR((I178-H178)/I178,"")</f>
        <v>0.36155</v>
      </c>
      <c r="K178" s="3"/>
      <c r="L178" s="82" t="s">
        <v>37</v>
      </c>
      <c r="M178" s="83" t="s">
        <v>250</v>
      </c>
      <c r="N178" s="97" t="s">
        <v>91</v>
      </c>
      <c r="O178" s="98" t="s">
        <v>55</v>
      </c>
      <c r="P178" s="101"/>
      <c r="Q178" s="101"/>
      <c r="R178" s="102" t="n">
        <v>0</v>
      </c>
      <c r="S178" s="88" t="n">
        <f aca="false">SUMIF(M:M,M178,R:R)</f>
        <v>3945.15</v>
      </c>
      <c r="T178" s="89" t="n">
        <f aca="false">I178</f>
        <v>7000</v>
      </c>
      <c r="U178" s="90" t="n">
        <f aca="false">IFERROR((T178-S178)/T178,"")</f>
        <v>0.436407142857143</v>
      </c>
    </row>
    <row r="179" customFormat="false" ht="18.75" hidden="false" customHeight="true" outlineLevel="0" collapsed="false">
      <c r="A179" s="104"/>
      <c r="B179" s="105" t="s">
        <v>250</v>
      </c>
      <c r="C179" s="97" t="s">
        <v>117</v>
      </c>
      <c r="D179" s="98" t="s">
        <v>55</v>
      </c>
      <c r="E179" s="104"/>
      <c r="F179" s="104"/>
      <c r="G179" s="100" t="n">
        <v>300</v>
      </c>
      <c r="H179" s="106"/>
      <c r="I179" s="107"/>
      <c r="J179" s="108"/>
      <c r="K179" s="3"/>
      <c r="L179" s="104"/>
      <c r="M179" s="105" t="s">
        <v>250</v>
      </c>
      <c r="N179" s="97" t="s">
        <v>117</v>
      </c>
      <c r="O179" s="98" t="s">
        <v>55</v>
      </c>
      <c r="P179" s="101"/>
      <c r="Q179" s="101"/>
      <c r="R179" s="102" t="n">
        <v>0</v>
      </c>
      <c r="S179" s="106"/>
      <c r="T179" s="107"/>
      <c r="U179" s="108"/>
    </row>
    <row r="180" customFormat="false" ht="18.75" hidden="false" customHeight="true" outlineLevel="0" collapsed="false">
      <c r="A180" s="91"/>
      <c r="B180" s="92" t="s">
        <v>250</v>
      </c>
      <c r="C180" s="84" t="s">
        <v>303</v>
      </c>
      <c r="D180" s="85" t="s">
        <v>56</v>
      </c>
      <c r="E180" s="86" t="n">
        <v>1.5</v>
      </c>
      <c r="F180" s="86" t="n">
        <v>17</v>
      </c>
      <c r="G180" s="87" t="n">
        <f aca="false">E180*F180</f>
        <v>25.5</v>
      </c>
      <c r="H180" s="93"/>
      <c r="I180" s="94"/>
      <c r="J180" s="95"/>
      <c r="K180" s="3"/>
      <c r="L180" s="91"/>
      <c r="M180" s="92" t="s">
        <v>250</v>
      </c>
      <c r="N180" s="84" t="s">
        <v>303</v>
      </c>
      <c r="O180" s="85" t="s">
        <v>56</v>
      </c>
      <c r="P180" s="86" t="n">
        <v>1.5</v>
      </c>
      <c r="Q180" s="86" t="n">
        <v>17</v>
      </c>
      <c r="R180" s="87" t="n">
        <f aca="false">P180*Q180</f>
        <v>25.5</v>
      </c>
      <c r="S180" s="93"/>
      <c r="T180" s="94"/>
      <c r="U180" s="95"/>
    </row>
    <row r="181" customFormat="false" ht="18.75" hidden="false" customHeight="true" outlineLevel="0" collapsed="false">
      <c r="A181" s="91"/>
      <c r="B181" s="92" t="s">
        <v>250</v>
      </c>
      <c r="C181" s="84" t="s">
        <v>258</v>
      </c>
      <c r="D181" s="85" t="s">
        <v>56</v>
      </c>
      <c r="E181" s="86" t="n">
        <v>35.25</v>
      </c>
      <c r="F181" s="86" t="n">
        <v>15</v>
      </c>
      <c r="G181" s="87" t="n">
        <f aca="false">E181*F181</f>
        <v>528.75</v>
      </c>
      <c r="H181" s="93"/>
      <c r="I181" s="94"/>
      <c r="J181" s="95"/>
      <c r="K181" s="3"/>
      <c r="L181" s="91"/>
      <c r="M181" s="92" t="s">
        <v>250</v>
      </c>
      <c r="N181" s="84" t="s">
        <v>258</v>
      </c>
      <c r="O181" s="85" t="s">
        <v>56</v>
      </c>
      <c r="P181" s="86" t="n">
        <v>35.25</v>
      </c>
      <c r="Q181" s="86" t="n">
        <v>15</v>
      </c>
      <c r="R181" s="87" t="n">
        <f aca="false">P181*Q181</f>
        <v>528.75</v>
      </c>
      <c r="S181" s="93"/>
      <c r="T181" s="94"/>
      <c r="U181" s="95"/>
    </row>
    <row r="182" customFormat="false" ht="18.75" hidden="false" customHeight="true" outlineLevel="0" collapsed="false">
      <c r="A182" s="91"/>
      <c r="B182" s="92" t="s">
        <v>250</v>
      </c>
      <c r="C182" s="84" t="s">
        <v>306</v>
      </c>
      <c r="D182" s="85" t="s">
        <v>56</v>
      </c>
      <c r="E182" s="86" t="n">
        <v>24.38</v>
      </c>
      <c r="F182" s="86" t="n">
        <v>15</v>
      </c>
      <c r="G182" s="87" t="n">
        <f aca="false">E182*F182</f>
        <v>365.7</v>
      </c>
      <c r="H182" s="93"/>
      <c r="I182" s="94"/>
      <c r="J182" s="95"/>
      <c r="K182" s="3"/>
      <c r="L182" s="91"/>
      <c r="M182" s="92" t="s">
        <v>250</v>
      </c>
      <c r="N182" s="84" t="s">
        <v>306</v>
      </c>
      <c r="O182" s="85" t="s">
        <v>56</v>
      </c>
      <c r="P182" s="86" t="n">
        <v>24.38</v>
      </c>
      <c r="Q182" s="86" t="n">
        <v>15</v>
      </c>
      <c r="R182" s="87" t="n">
        <f aca="false">P182*Q182</f>
        <v>365.7</v>
      </c>
      <c r="S182" s="93"/>
      <c r="T182" s="94"/>
      <c r="U182" s="95"/>
    </row>
    <row r="183" customFormat="false" ht="18.75" hidden="false" customHeight="true" outlineLevel="0" collapsed="false">
      <c r="A183" s="91"/>
      <c r="B183" s="92" t="s">
        <v>250</v>
      </c>
      <c r="C183" s="84" t="s">
        <v>307</v>
      </c>
      <c r="D183" s="85" t="s">
        <v>56</v>
      </c>
      <c r="E183" s="86" t="n">
        <v>23.6</v>
      </c>
      <c r="F183" s="86" t="n">
        <v>15</v>
      </c>
      <c r="G183" s="87" t="n">
        <f aca="false">E183*F183</f>
        <v>354</v>
      </c>
      <c r="H183" s="93"/>
      <c r="I183" s="94"/>
      <c r="J183" s="95"/>
      <c r="K183" s="3"/>
      <c r="L183" s="91"/>
      <c r="M183" s="92" t="s">
        <v>250</v>
      </c>
      <c r="N183" s="84" t="s">
        <v>307</v>
      </c>
      <c r="O183" s="85" t="s">
        <v>56</v>
      </c>
      <c r="P183" s="86" t="n">
        <v>23.6</v>
      </c>
      <c r="Q183" s="86" t="n">
        <v>15</v>
      </c>
      <c r="R183" s="87" t="n">
        <f aca="false">P183*Q183</f>
        <v>354</v>
      </c>
      <c r="S183" s="93"/>
      <c r="T183" s="94"/>
      <c r="U183" s="95"/>
    </row>
    <row r="184" customFormat="false" ht="18.75" hidden="false" customHeight="true" outlineLevel="0" collapsed="false">
      <c r="A184" s="91"/>
      <c r="B184" s="92" t="s">
        <v>250</v>
      </c>
      <c r="C184" s="84" t="s">
        <v>137</v>
      </c>
      <c r="D184" s="85" t="s">
        <v>56</v>
      </c>
      <c r="E184" s="86" t="n">
        <v>33.33</v>
      </c>
      <c r="F184" s="86" t="n">
        <v>15</v>
      </c>
      <c r="G184" s="87" t="n">
        <f aca="false">E184*F184</f>
        <v>499.95</v>
      </c>
      <c r="H184" s="93"/>
      <c r="I184" s="94"/>
      <c r="J184" s="95"/>
      <c r="K184" s="3"/>
      <c r="L184" s="91"/>
      <c r="M184" s="92" t="s">
        <v>250</v>
      </c>
      <c r="N184" s="84" t="s">
        <v>137</v>
      </c>
      <c r="O184" s="85" t="s">
        <v>56</v>
      </c>
      <c r="P184" s="86" t="n">
        <v>33.33</v>
      </c>
      <c r="Q184" s="86" t="n">
        <v>15</v>
      </c>
      <c r="R184" s="87" t="n">
        <f aca="false">P184*Q184</f>
        <v>499.95</v>
      </c>
      <c r="S184" s="93"/>
      <c r="T184" s="94"/>
      <c r="U184" s="95"/>
    </row>
    <row r="185" customFormat="false" ht="18.75" hidden="false" customHeight="true" outlineLevel="0" collapsed="false">
      <c r="A185" s="91"/>
      <c r="B185" s="92" t="s">
        <v>250</v>
      </c>
      <c r="C185" s="84" t="s">
        <v>308</v>
      </c>
      <c r="D185" s="85" t="s">
        <v>56</v>
      </c>
      <c r="E185" s="86" t="n">
        <v>20</v>
      </c>
      <c r="F185" s="86" t="n">
        <v>15</v>
      </c>
      <c r="G185" s="87" t="n">
        <f aca="false">E185*F185</f>
        <v>300</v>
      </c>
      <c r="H185" s="93"/>
      <c r="I185" s="94"/>
      <c r="J185" s="95"/>
      <c r="K185" s="3"/>
      <c r="L185" s="91"/>
      <c r="M185" s="92" t="s">
        <v>250</v>
      </c>
      <c r="N185" s="84" t="s">
        <v>308</v>
      </c>
      <c r="O185" s="85" t="s">
        <v>56</v>
      </c>
      <c r="P185" s="86" t="n">
        <v>20</v>
      </c>
      <c r="Q185" s="86" t="n">
        <v>15</v>
      </c>
      <c r="R185" s="87" t="n">
        <f aca="false">P185*Q185</f>
        <v>300</v>
      </c>
      <c r="S185" s="93"/>
      <c r="T185" s="94"/>
      <c r="U185" s="95"/>
    </row>
    <row r="186" customFormat="false" ht="18.75" hidden="false" customHeight="true" outlineLevel="0" collapsed="false">
      <c r="A186" s="91"/>
      <c r="B186" s="92" t="s">
        <v>250</v>
      </c>
      <c r="C186" s="84" t="s">
        <v>309</v>
      </c>
      <c r="D186" s="85" t="s">
        <v>56</v>
      </c>
      <c r="E186" s="86" t="n">
        <v>33.65</v>
      </c>
      <c r="F186" s="86" t="n">
        <v>15</v>
      </c>
      <c r="G186" s="87" t="n">
        <f aca="false">E186*F186</f>
        <v>504.75</v>
      </c>
      <c r="H186" s="93"/>
      <c r="I186" s="94"/>
      <c r="J186" s="95"/>
      <c r="K186" s="3"/>
      <c r="L186" s="91"/>
      <c r="M186" s="92" t="s">
        <v>250</v>
      </c>
      <c r="N186" s="84" t="s">
        <v>309</v>
      </c>
      <c r="O186" s="85" t="s">
        <v>56</v>
      </c>
      <c r="P186" s="86" t="n">
        <v>33.65</v>
      </c>
      <c r="Q186" s="86" t="n">
        <v>15</v>
      </c>
      <c r="R186" s="87" t="n">
        <f aca="false">P186*Q186</f>
        <v>504.75</v>
      </c>
      <c r="S186" s="93"/>
      <c r="T186" s="94"/>
      <c r="U186" s="95"/>
    </row>
    <row r="187" customFormat="false" ht="18.75" hidden="false" customHeight="true" outlineLevel="0" collapsed="false">
      <c r="A187" s="91"/>
      <c r="B187" s="92" t="s">
        <v>250</v>
      </c>
      <c r="C187" s="84" t="s">
        <v>305</v>
      </c>
      <c r="D187" s="85" t="s">
        <v>56</v>
      </c>
      <c r="E187" s="86" t="n">
        <v>4</v>
      </c>
      <c r="F187" s="86" t="n">
        <v>15</v>
      </c>
      <c r="G187" s="87" t="n">
        <f aca="false">E187*F187</f>
        <v>60</v>
      </c>
      <c r="H187" s="93"/>
      <c r="I187" s="94"/>
      <c r="J187" s="95"/>
      <c r="K187" s="3"/>
      <c r="L187" s="91"/>
      <c r="M187" s="92" t="s">
        <v>250</v>
      </c>
      <c r="N187" s="84" t="s">
        <v>305</v>
      </c>
      <c r="O187" s="85" t="s">
        <v>56</v>
      </c>
      <c r="P187" s="86" t="n">
        <v>4</v>
      </c>
      <c r="Q187" s="86" t="n">
        <v>15</v>
      </c>
      <c r="R187" s="87" t="n">
        <f aca="false">P187*Q187</f>
        <v>60</v>
      </c>
      <c r="S187" s="93"/>
      <c r="T187" s="94"/>
      <c r="U187" s="95"/>
    </row>
    <row r="188" customFormat="false" ht="18.75" hidden="false" customHeight="true" outlineLevel="0" collapsed="false">
      <c r="A188" s="91"/>
      <c r="B188" s="92" t="s">
        <v>250</v>
      </c>
      <c r="C188" s="84" t="s">
        <v>310</v>
      </c>
      <c r="D188" s="85" t="s">
        <v>56</v>
      </c>
      <c r="E188" s="86" t="n">
        <v>18.38</v>
      </c>
      <c r="F188" s="86" t="n">
        <v>15</v>
      </c>
      <c r="G188" s="87" t="n">
        <f aca="false">E188*F188</f>
        <v>275.7</v>
      </c>
      <c r="H188" s="93"/>
      <c r="I188" s="94"/>
      <c r="J188" s="95"/>
      <c r="K188" s="3"/>
      <c r="L188" s="91"/>
      <c r="M188" s="92" t="s">
        <v>250</v>
      </c>
      <c r="N188" s="84" t="s">
        <v>310</v>
      </c>
      <c r="O188" s="85" t="s">
        <v>56</v>
      </c>
      <c r="P188" s="86" t="n">
        <v>18.38</v>
      </c>
      <c r="Q188" s="86" t="n">
        <v>15</v>
      </c>
      <c r="R188" s="87" t="n">
        <f aca="false">P188*Q188</f>
        <v>275.7</v>
      </c>
      <c r="S188" s="93"/>
      <c r="T188" s="94"/>
      <c r="U188" s="95"/>
    </row>
    <row r="189" customFormat="false" ht="18.75" hidden="false" customHeight="true" outlineLevel="0" collapsed="false">
      <c r="A189" s="91"/>
      <c r="B189" s="92" t="s">
        <v>250</v>
      </c>
      <c r="C189" s="84" t="s">
        <v>92</v>
      </c>
      <c r="D189" s="103" t="s">
        <v>58</v>
      </c>
      <c r="E189" s="91"/>
      <c r="F189" s="91"/>
      <c r="G189" s="87" t="n">
        <v>150</v>
      </c>
      <c r="H189" s="93"/>
      <c r="I189" s="94"/>
      <c r="J189" s="95"/>
      <c r="K189" s="3"/>
      <c r="L189" s="91"/>
      <c r="M189" s="92" t="s">
        <v>250</v>
      </c>
      <c r="N189" s="84" t="s">
        <v>92</v>
      </c>
      <c r="O189" s="103" t="s">
        <v>58</v>
      </c>
      <c r="P189" s="91"/>
      <c r="Q189" s="91"/>
      <c r="R189" s="87" t="n">
        <v>150</v>
      </c>
      <c r="S189" s="93"/>
      <c r="T189" s="94"/>
      <c r="U189" s="95"/>
    </row>
    <row r="190" customFormat="false" ht="18.75" hidden="false" customHeight="true" outlineLevel="0" collapsed="false">
      <c r="A190" s="91"/>
      <c r="B190" s="92" t="s">
        <v>250</v>
      </c>
      <c r="C190" s="84" t="s">
        <v>94</v>
      </c>
      <c r="D190" s="103" t="s">
        <v>58</v>
      </c>
      <c r="E190" s="91"/>
      <c r="F190" s="91"/>
      <c r="G190" s="87" t="n">
        <v>596.65</v>
      </c>
      <c r="H190" s="93"/>
      <c r="I190" s="94"/>
      <c r="J190" s="95"/>
      <c r="K190" s="3"/>
      <c r="L190" s="91"/>
      <c r="M190" s="92" t="s">
        <v>250</v>
      </c>
      <c r="N190" s="84" t="s">
        <v>94</v>
      </c>
      <c r="O190" s="103" t="s">
        <v>58</v>
      </c>
      <c r="P190" s="91"/>
      <c r="Q190" s="91"/>
      <c r="R190" s="87" t="n">
        <v>596.65</v>
      </c>
      <c r="S190" s="93"/>
      <c r="T190" s="94"/>
      <c r="U190" s="95"/>
    </row>
    <row r="191" customFormat="false" ht="18.75" hidden="false" customHeight="true" outlineLevel="0" collapsed="false">
      <c r="A191" s="91"/>
      <c r="B191" s="92" t="s">
        <v>250</v>
      </c>
      <c r="C191" s="84" t="s">
        <v>93</v>
      </c>
      <c r="D191" s="103" t="s">
        <v>58</v>
      </c>
      <c r="E191" s="91"/>
      <c r="F191" s="91"/>
      <c r="G191" s="87" t="n">
        <v>60.5</v>
      </c>
      <c r="H191" s="93"/>
      <c r="I191" s="94"/>
      <c r="J191" s="95"/>
      <c r="K191" s="3"/>
      <c r="L191" s="91"/>
      <c r="M191" s="92" t="s">
        <v>250</v>
      </c>
      <c r="N191" s="84" t="s">
        <v>93</v>
      </c>
      <c r="O191" s="103" t="s">
        <v>58</v>
      </c>
      <c r="P191" s="91"/>
      <c r="Q191" s="91"/>
      <c r="R191" s="87" t="n">
        <v>60.5</v>
      </c>
      <c r="S191" s="93"/>
      <c r="T191" s="94"/>
      <c r="U191" s="95"/>
    </row>
    <row r="192" customFormat="false" ht="18.75" hidden="false" customHeight="true" outlineLevel="0" collapsed="false">
      <c r="A192" s="91"/>
      <c r="B192" s="92" t="s">
        <v>250</v>
      </c>
      <c r="C192" s="84" t="s">
        <v>95</v>
      </c>
      <c r="D192" s="103" t="s">
        <v>58</v>
      </c>
      <c r="E192" s="91"/>
      <c r="F192" s="91"/>
      <c r="G192" s="87" t="n">
        <v>223.65</v>
      </c>
      <c r="H192" s="93"/>
      <c r="I192" s="94"/>
      <c r="J192" s="95"/>
      <c r="K192" s="3"/>
      <c r="L192" s="91"/>
      <c r="M192" s="92" t="s">
        <v>250</v>
      </c>
      <c r="N192" s="84" t="s">
        <v>95</v>
      </c>
      <c r="O192" s="103" t="s">
        <v>58</v>
      </c>
      <c r="P192" s="91"/>
      <c r="Q192" s="91"/>
      <c r="R192" s="87" t="n">
        <v>223.65</v>
      </c>
      <c r="S192" s="93"/>
      <c r="T192" s="94"/>
      <c r="U192" s="95"/>
    </row>
    <row r="193" customFormat="false" ht="18.75" hidden="false" customHeight="true" outlineLevel="0" collapsed="false">
      <c r="A193" s="82" t="s">
        <v>39</v>
      </c>
      <c r="B193" s="83" t="s">
        <v>251</v>
      </c>
      <c r="C193" s="97" t="s">
        <v>91</v>
      </c>
      <c r="D193" s="98" t="s">
        <v>55</v>
      </c>
      <c r="E193" s="99" t="n">
        <v>21</v>
      </c>
      <c r="F193" s="99" t="n">
        <v>16</v>
      </c>
      <c r="G193" s="100" t="n">
        <f aca="false">E193*F193</f>
        <v>336</v>
      </c>
      <c r="H193" s="88" t="n">
        <f aca="false">SUMIF(B:B,B193,G:G)</f>
        <v>4828.38</v>
      </c>
      <c r="I193" s="89" t="n">
        <v>7000</v>
      </c>
      <c r="J193" s="90" t="n">
        <f aca="false">IFERROR((I193-H193)/I193,"")</f>
        <v>0.310231428571429</v>
      </c>
      <c r="K193" s="3"/>
      <c r="L193" s="82" t="s">
        <v>39</v>
      </c>
      <c r="M193" s="83" t="s">
        <v>251</v>
      </c>
      <c r="N193" s="97" t="s">
        <v>91</v>
      </c>
      <c r="O193" s="98" t="s">
        <v>55</v>
      </c>
      <c r="P193" s="101"/>
      <c r="Q193" s="101"/>
      <c r="R193" s="102" t="n">
        <v>0</v>
      </c>
      <c r="S193" s="88" t="n">
        <f aca="false">SUMIF(M:M,M193,R:R)</f>
        <v>4342.38</v>
      </c>
      <c r="T193" s="89" t="n">
        <f aca="false">I193</f>
        <v>7000</v>
      </c>
      <c r="U193" s="90" t="n">
        <f aca="false">IFERROR((T193-S193)/T193,"")</f>
        <v>0.37966</v>
      </c>
    </row>
    <row r="194" customFormat="false" ht="18.75" hidden="false" customHeight="true" outlineLevel="0" collapsed="false">
      <c r="A194" s="104"/>
      <c r="B194" s="105" t="s">
        <v>251</v>
      </c>
      <c r="C194" s="97" t="s">
        <v>117</v>
      </c>
      <c r="D194" s="98" t="s">
        <v>55</v>
      </c>
      <c r="E194" s="104"/>
      <c r="F194" s="104"/>
      <c r="G194" s="100" t="n">
        <v>150</v>
      </c>
      <c r="H194" s="106"/>
      <c r="I194" s="107"/>
      <c r="J194" s="108"/>
      <c r="K194" s="3"/>
      <c r="L194" s="104"/>
      <c r="M194" s="105" t="s">
        <v>251</v>
      </c>
      <c r="N194" s="97" t="s">
        <v>117</v>
      </c>
      <c r="O194" s="98" t="s">
        <v>55</v>
      </c>
      <c r="P194" s="101"/>
      <c r="Q194" s="101"/>
      <c r="R194" s="102" t="n">
        <v>0</v>
      </c>
      <c r="S194" s="106"/>
      <c r="T194" s="107"/>
      <c r="U194" s="108"/>
    </row>
    <row r="195" customFormat="false" ht="18.75" hidden="false" customHeight="true" outlineLevel="0" collapsed="false">
      <c r="A195" s="91"/>
      <c r="B195" s="92" t="s">
        <v>251</v>
      </c>
      <c r="C195" s="84" t="s">
        <v>119</v>
      </c>
      <c r="D195" s="85" t="s">
        <v>56</v>
      </c>
      <c r="E195" s="86" t="n">
        <v>34.9</v>
      </c>
      <c r="F195" s="86" t="n">
        <v>15</v>
      </c>
      <c r="G195" s="87" t="n">
        <f aca="false">E195*F195</f>
        <v>523.5</v>
      </c>
      <c r="H195" s="93"/>
      <c r="I195" s="94"/>
      <c r="J195" s="95"/>
      <c r="K195" s="3"/>
      <c r="L195" s="91"/>
      <c r="M195" s="92" t="s">
        <v>251</v>
      </c>
      <c r="N195" s="84" t="s">
        <v>119</v>
      </c>
      <c r="O195" s="85" t="s">
        <v>56</v>
      </c>
      <c r="P195" s="86" t="n">
        <v>34.9</v>
      </c>
      <c r="Q195" s="86" t="n">
        <v>15</v>
      </c>
      <c r="R195" s="87" t="n">
        <f aca="false">P195*Q195</f>
        <v>523.5</v>
      </c>
      <c r="S195" s="93"/>
      <c r="T195" s="94"/>
      <c r="U195" s="95"/>
    </row>
    <row r="196" customFormat="false" ht="18.75" hidden="false" customHeight="true" outlineLevel="0" collapsed="false">
      <c r="A196" s="91"/>
      <c r="B196" s="92" t="s">
        <v>251</v>
      </c>
      <c r="C196" s="84" t="s">
        <v>311</v>
      </c>
      <c r="D196" s="85" t="s">
        <v>56</v>
      </c>
      <c r="E196" s="86" t="n">
        <v>5.38</v>
      </c>
      <c r="F196" s="86" t="n">
        <v>15</v>
      </c>
      <c r="G196" s="87" t="n">
        <f aca="false">E196*F196</f>
        <v>80.7</v>
      </c>
      <c r="H196" s="93"/>
      <c r="I196" s="94"/>
      <c r="J196" s="95"/>
      <c r="K196" s="3"/>
      <c r="L196" s="91"/>
      <c r="M196" s="92" t="s">
        <v>251</v>
      </c>
      <c r="N196" s="84" t="s">
        <v>311</v>
      </c>
      <c r="O196" s="85" t="s">
        <v>56</v>
      </c>
      <c r="P196" s="86" t="n">
        <v>5.38</v>
      </c>
      <c r="Q196" s="86" t="n">
        <v>15</v>
      </c>
      <c r="R196" s="87" t="n">
        <f aca="false">P196*Q196</f>
        <v>80.7</v>
      </c>
      <c r="S196" s="93"/>
      <c r="T196" s="94"/>
      <c r="U196" s="95"/>
    </row>
    <row r="197" customFormat="false" ht="18.75" hidden="false" customHeight="true" outlineLevel="0" collapsed="false">
      <c r="A197" s="91"/>
      <c r="B197" s="92" t="s">
        <v>251</v>
      </c>
      <c r="C197" s="84" t="s">
        <v>312</v>
      </c>
      <c r="D197" s="85" t="s">
        <v>56</v>
      </c>
      <c r="E197" s="86" t="n">
        <v>5</v>
      </c>
      <c r="F197" s="86" t="n">
        <v>15</v>
      </c>
      <c r="G197" s="87" t="n">
        <f aca="false">E197*F197</f>
        <v>75</v>
      </c>
      <c r="H197" s="93"/>
      <c r="I197" s="94"/>
      <c r="J197" s="95"/>
      <c r="K197" s="3"/>
      <c r="L197" s="91"/>
      <c r="M197" s="92" t="s">
        <v>251</v>
      </c>
      <c r="N197" s="84" t="s">
        <v>312</v>
      </c>
      <c r="O197" s="85" t="s">
        <v>56</v>
      </c>
      <c r="P197" s="86" t="n">
        <v>5</v>
      </c>
      <c r="Q197" s="86" t="n">
        <v>15</v>
      </c>
      <c r="R197" s="87" t="n">
        <f aca="false">P197*Q197</f>
        <v>75</v>
      </c>
      <c r="S197" s="93"/>
      <c r="T197" s="94"/>
      <c r="U197" s="95"/>
    </row>
    <row r="198" customFormat="false" ht="18.75" hidden="false" customHeight="true" outlineLevel="0" collapsed="false">
      <c r="A198" s="91"/>
      <c r="B198" s="92" t="s">
        <v>251</v>
      </c>
      <c r="C198" s="84" t="s">
        <v>313</v>
      </c>
      <c r="D198" s="85" t="s">
        <v>56</v>
      </c>
      <c r="E198" s="86" t="n">
        <v>24.18</v>
      </c>
      <c r="F198" s="86" t="n">
        <v>15</v>
      </c>
      <c r="G198" s="87" t="n">
        <f aca="false">E198*F198</f>
        <v>362.7</v>
      </c>
      <c r="H198" s="93"/>
      <c r="I198" s="94"/>
      <c r="J198" s="95"/>
      <c r="K198" s="3"/>
      <c r="L198" s="91"/>
      <c r="M198" s="92" t="s">
        <v>251</v>
      </c>
      <c r="N198" s="84" t="s">
        <v>313</v>
      </c>
      <c r="O198" s="85" t="s">
        <v>56</v>
      </c>
      <c r="P198" s="86" t="n">
        <v>24.18</v>
      </c>
      <c r="Q198" s="86" t="n">
        <v>15</v>
      </c>
      <c r="R198" s="87" t="n">
        <f aca="false">P198*Q198</f>
        <v>362.7</v>
      </c>
      <c r="S198" s="93"/>
      <c r="T198" s="94"/>
      <c r="U198" s="95"/>
    </row>
    <row r="199" customFormat="false" ht="18.75" hidden="false" customHeight="true" outlineLevel="0" collapsed="false">
      <c r="A199" s="91"/>
      <c r="B199" s="92" t="s">
        <v>251</v>
      </c>
      <c r="C199" s="84" t="s">
        <v>314</v>
      </c>
      <c r="D199" s="85" t="s">
        <v>56</v>
      </c>
      <c r="E199" s="86" t="n">
        <v>17.1</v>
      </c>
      <c r="F199" s="86" t="n">
        <v>15</v>
      </c>
      <c r="G199" s="87" t="n">
        <f aca="false">E199*F199</f>
        <v>256.5</v>
      </c>
      <c r="H199" s="93"/>
      <c r="I199" s="94"/>
      <c r="J199" s="95"/>
      <c r="K199" s="3"/>
      <c r="L199" s="91"/>
      <c r="M199" s="92" t="s">
        <v>251</v>
      </c>
      <c r="N199" s="84" t="s">
        <v>314</v>
      </c>
      <c r="O199" s="85" t="s">
        <v>56</v>
      </c>
      <c r="P199" s="86" t="n">
        <v>17.1</v>
      </c>
      <c r="Q199" s="86" t="n">
        <v>15</v>
      </c>
      <c r="R199" s="87" t="n">
        <f aca="false">P199*Q199</f>
        <v>256.5</v>
      </c>
      <c r="S199" s="93"/>
      <c r="T199" s="94"/>
      <c r="U199" s="95"/>
    </row>
    <row r="200" customFormat="false" ht="18.75" hidden="false" customHeight="true" outlineLevel="0" collapsed="false">
      <c r="A200" s="91"/>
      <c r="B200" s="92" t="s">
        <v>251</v>
      </c>
      <c r="C200" s="84" t="s">
        <v>315</v>
      </c>
      <c r="D200" s="85" t="s">
        <v>56</v>
      </c>
      <c r="E200" s="86" t="n">
        <v>19.27</v>
      </c>
      <c r="F200" s="86" t="n">
        <v>15</v>
      </c>
      <c r="G200" s="87" t="n">
        <f aca="false">E200*F200</f>
        <v>289.05</v>
      </c>
      <c r="H200" s="93"/>
      <c r="I200" s="94"/>
      <c r="J200" s="95"/>
      <c r="K200" s="3"/>
      <c r="L200" s="91"/>
      <c r="M200" s="92" t="s">
        <v>251</v>
      </c>
      <c r="N200" s="84" t="s">
        <v>315</v>
      </c>
      <c r="O200" s="85" t="s">
        <v>56</v>
      </c>
      <c r="P200" s="86" t="n">
        <v>19.27</v>
      </c>
      <c r="Q200" s="86" t="n">
        <v>15</v>
      </c>
      <c r="R200" s="87" t="n">
        <f aca="false">P200*Q200</f>
        <v>289.05</v>
      </c>
      <c r="S200" s="93"/>
      <c r="T200" s="94"/>
      <c r="U200" s="95"/>
    </row>
    <row r="201" customFormat="false" ht="18.75" hidden="false" customHeight="true" outlineLevel="0" collapsed="false">
      <c r="A201" s="91"/>
      <c r="B201" s="92" t="s">
        <v>251</v>
      </c>
      <c r="C201" s="84" t="s">
        <v>316</v>
      </c>
      <c r="D201" s="85" t="s">
        <v>56</v>
      </c>
      <c r="E201" s="86" t="n">
        <v>29.25</v>
      </c>
      <c r="F201" s="86" t="n">
        <v>15</v>
      </c>
      <c r="G201" s="87" t="n">
        <f aca="false">E201*F201</f>
        <v>438.75</v>
      </c>
      <c r="H201" s="93"/>
      <c r="I201" s="94"/>
      <c r="J201" s="95"/>
      <c r="K201" s="3"/>
      <c r="L201" s="91"/>
      <c r="M201" s="92" t="s">
        <v>251</v>
      </c>
      <c r="N201" s="84" t="s">
        <v>316</v>
      </c>
      <c r="O201" s="85" t="s">
        <v>56</v>
      </c>
      <c r="P201" s="86" t="n">
        <v>29.25</v>
      </c>
      <c r="Q201" s="86" t="n">
        <v>15</v>
      </c>
      <c r="R201" s="87" t="n">
        <f aca="false">P201*Q201</f>
        <v>438.75</v>
      </c>
      <c r="S201" s="93"/>
      <c r="T201" s="94"/>
      <c r="U201" s="95"/>
    </row>
    <row r="202" customFormat="false" ht="18.75" hidden="false" customHeight="true" outlineLevel="0" collapsed="false">
      <c r="A202" s="91"/>
      <c r="B202" s="92" t="s">
        <v>251</v>
      </c>
      <c r="C202" s="84" t="s">
        <v>317</v>
      </c>
      <c r="D202" s="85" t="s">
        <v>56</v>
      </c>
      <c r="E202" s="86" t="n">
        <v>14.45</v>
      </c>
      <c r="F202" s="86" t="n">
        <v>15</v>
      </c>
      <c r="G202" s="87" t="n">
        <f aca="false">E202*F202</f>
        <v>216.75</v>
      </c>
      <c r="H202" s="93"/>
      <c r="I202" s="94"/>
      <c r="J202" s="95"/>
      <c r="K202" s="3"/>
      <c r="L202" s="91"/>
      <c r="M202" s="92" t="s">
        <v>251</v>
      </c>
      <c r="N202" s="84" t="s">
        <v>317</v>
      </c>
      <c r="O202" s="85" t="s">
        <v>56</v>
      </c>
      <c r="P202" s="86" t="n">
        <v>14.45</v>
      </c>
      <c r="Q202" s="86" t="n">
        <v>15</v>
      </c>
      <c r="R202" s="87" t="n">
        <f aca="false">P202*Q202</f>
        <v>216.75</v>
      </c>
      <c r="S202" s="93"/>
      <c r="T202" s="94"/>
      <c r="U202" s="95"/>
    </row>
    <row r="203" customFormat="false" ht="18.75" hidden="false" customHeight="true" outlineLevel="0" collapsed="false">
      <c r="A203" s="91"/>
      <c r="B203" s="92" t="s">
        <v>251</v>
      </c>
      <c r="C203" s="84" t="s">
        <v>318</v>
      </c>
      <c r="D203" s="85" t="s">
        <v>56</v>
      </c>
      <c r="E203" s="86" t="n">
        <v>31.85</v>
      </c>
      <c r="F203" s="86" t="n">
        <v>15</v>
      </c>
      <c r="G203" s="87" t="n">
        <f aca="false">E203*F203</f>
        <v>477.75</v>
      </c>
      <c r="H203" s="93"/>
      <c r="I203" s="94"/>
      <c r="J203" s="95"/>
      <c r="K203" s="3"/>
      <c r="L203" s="91"/>
      <c r="M203" s="92" t="s">
        <v>251</v>
      </c>
      <c r="N203" s="84" t="s">
        <v>318</v>
      </c>
      <c r="O203" s="85" t="s">
        <v>56</v>
      </c>
      <c r="P203" s="86" t="n">
        <v>31.85</v>
      </c>
      <c r="Q203" s="86" t="n">
        <v>15</v>
      </c>
      <c r="R203" s="87" t="n">
        <f aca="false">P203*Q203</f>
        <v>477.75</v>
      </c>
      <c r="S203" s="93"/>
      <c r="T203" s="94"/>
      <c r="U203" s="95"/>
    </row>
    <row r="204" customFormat="false" ht="18.75" hidden="false" customHeight="true" outlineLevel="0" collapsed="false">
      <c r="A204" s="91"/>
      <c r="B204" s="92" t="s">
        <v>251</v>
      </c>
      <c r="C204" s="84" t="s">
        <v>293</v>
      </c>
      <c r="D204" s="85" t="s">
        <v>56</v>
      </c>
      <c r="E204" s="86" t="n">
        <v>29.25</v>
      </c>
      <c r="F204" s="86" t="n">
        <v>15</v>
      </c>
      <c r="G204" s="87" t="n">
        <f aca="false">E204*F204</f>
        <v>438.75</v>
      </c>
      <c r="H204" s="93"/>
      <c r="I204" s="94"/>
      <c r="J204" s="95"/>
      <c r="K204" s="3"/>
      <c r="L204" s="91"/>
      <c r="M204" s="92" t="s">
        <v>251</v>
      </c>
      <c r="N204" s="84" t="s">
        <v>293</v>
      </c>
      <c r="O204" s="85" t="s">
        <v>56</v>
      </c>
      <c r="P204" s="86" t="n">
        <v>29.25</v>
      </c>
      <c r="Q204" s="86" t="n">
        <v>15</v>
      </c>
      <c r="R204" s="87" t="n">
        <f aca="false">P204*Q204</f>
        <v>438.75</v>
      </c>
      <c r="S204" s="93"/>
      <c r="T204" s="94"/>
      <c r="U204" s="95"/>
    </row>
    <row r="205" customFormat="false" ht="18.75" hidden="false" customHeight="true" outlineLevel="0" collapsed="false">
      <c r="A205" s="91"/>
      <c r="B205" s="92" t="s">
        <v>251</v>
      </c>
      <c r="C205" s="84" t="s">
        <v>92</v>
      </c>
      <c r="D205" s="103" t="s">
        <v>58</v>
      </c>
      <c r="E205" s="91"/>
      <c r="F205" s="91"/>
      <c r="G205" s="87" t="n">
        <v>173.6</v>
      </c>
      <c r="H205" s="93"/>
      <c r="I205" s="94"/>
      <c r="J205" s="95"/>
      <c r="K205" s="3"/>
      <c r="L205" s="91"/>
      <c r="M205" s="92" t="s">
        <v>251</v>
      </c>
      <c r="N205" s="84" t="s">
        <v>92</v>
      </c>
      <c r="O205" s="103" t="s">
        <v>58</v>
      </c>
      <c r="P205" s="91"/>
      <c r="Q205" s="91"/>
      <c r="R205" s="87" t="n">
        <v>173.6</v>
      </c>
      <c r="S205" s="93"/>
      <c r="T205" s="94"/>
      <c r="U205" s="95"/>
    </row>
    <row r="206" customFormat="false" ht="18.75" hidden="false" customHeight="true" outlineLevel="0" collapsed="false">
      <c r="A206" s="91"/>
      <c r="B206" s="92" t="s">
        <v>251</v>
      </c>
      <c r="C206" s="84" t="s">
        <v>94</v>
      </c>
      <c r="D206" s="103" t="s">
        <v>58</v>
      </c>
      <c r="E206" s="91"/>
      <c r="F206" s="91"/>
      <c r="G206" s="87" t="n">
        <v>536.53</v>
      </c>
      <c r="H206" s="93"/>
      <c r="I206" s="94"/>
      <c r="J206" s="95"/>
      <c r="K206" s="3"/>
      <c r="L206" s="91"/>
      <c r="M206" s="92" t="s">
        <v>251</v>
      </c>
      <c r="N206" s="84" t="s">
        <v>94</v>
      </c>
      <c r="O206" s="103" t="s">
        <v>58</v>
      </c>
      <c r="P206" s="91"/>
      <c r="Q206" s="91"/>
      <c r="R206" s="87" t="n">
        <v>536.53</v>
      </c>
      <c r="S206" s="93"/>
      <c r="T206" s="94"/>
      <c r="U206" s="95"/>
    </row>
    <row r="207" customFormat="false" ht="18.75" hidden="false" customHeight="true" outlineLevel="0" collapsed="false">
      <c r="A207" s="91"/>
      <c r="B207" s="92" t="s">
        <v>251</v>
      </c>
      <c r="C207" s="84" t="s">
        <v>93</v>
      </c>
      <c r="D207" s="103" t="s">
        <v>58</v>
      </c>
      <c r="E207" s="91"/>
      <c r="F207" s="91"/>
      <c r="G207" s="87" t="n">
        <v>121</v>
      </c>
      <c r="H207" s="93"/>
      <c r="I207" s="94"/>
      <c r="J207" s="95"/>
      <c r="K207" s="3"/>
      <c r="L207" s="91"/>
      <c r="M207" s="92" t="s">
        <v>251</v>
      </c>
      <c r="N207" s="84" t="s">
        <v>93</v>
      </c>
      <c r="O207" s="103" t="s">
        <v>58</v>
      </c>
      <c r="P207" s="91"/>
      <c r="Q207" s="91"/>
      <c r="R207" s="87" t="n">
        <v>121</v>
      </c>
      <c r="S207" s="93"/>
      <c r="T207" s="94"/>
      <c r="U207" s="95"/>
    </row>
    <row r="208" customFormat="false" ht="18.75" hidden="false" customHeight="true" outlineLevel="0" collapsed="false">
      <c r="A208" s="91"/>
      <c r="B208" s="92" t="s">
        <v>251</v>
      </c>
      <c r="C208" s="84" t="s">
        <v>209</v>
      </c>
      <c r="D208" s="103" t="s">
        <v>58</v>
      </c>
      <c r="E208" s="91"/>
      <c r="F208" s="91"/>
      <c r="G208" s="87" t="n">
        <v>124</v>
      </c>
      <c r="H208" s="93"/>
      <c r="I208" s="94"/>
      <c r="J208" s="95"/>
      <c r="K208" s="3"/>
      <c r="L208" s="91"/>
      <c r="M208" s="92" t="s">
        <v>251</v>
      </c>
      <c r="N208" s="84" t="s">
        <v>209</v>
      </c>
      <c r="O208" s="103" t="s">
        <v>58</v>
      </c>
      <c r="P208" s="91"/>
      <c r="Q208" s="91"/>
      <c r="R208" s="87" t="n">
        <v>124</v>
      </c>
      <c r="S208" s="93"/>
      <c r="T208" s="94"/>
      <c r="U208" s="95"/>
    </row>
    <row r="209" customFormat="false" ht="18.75" hidden="false" customHeight="true" outlineLevel="0" collapsed="false">
      <c r="A209" s="91"/>
      <c r="B209" s="92" t="s">
        <v>251</v>
      </c>
      <c r="C209" s="84" t="s">
        <v>95</v>
      </c>
      <c r="D209" s="103" t="s">
        <v>58</v>
      </c>
      <c r="E209" s="91"/>
      <c r="F209" s="91"/>
      <c r="G209" s="87" t="n">
        <v>227.8</v>
      </c>
      <c r="H209" s="93"/>
      <c r="I209" s="94"/>
      <c r="J209" s="95"/>
      <c r="K209" s="3"/>
      <c r="L209" s="91"/>
      <c r="M209" s="92" t="s">
        <v>251</v>
      </c>
      <c r="N209" s="84" t="s">
        <v>95</v>
      </c>
      <c r="O209" s="103" t="s">
        <v>58</v>
      </c>
      <c r="P209" s="91"/>
      <c r="Q209" s="91"/>
      <c r="R209" s="87" t="n">
        <v>227.8</v>
      </c>
      <c r="S209" s="93"/>
      <c r="T209" s="94"/>
      <c r="U209" s="95"/>
    </row>
    <row r="210" customFormat="false" ht="18.75" hidden="false" customHeight="true" outlineLevel="0" collapsed="false">
      <c r="A210" s="82" t="s">
        <v>41</v>
      </c>
      <c r="B210" s="83" t="s">
        <v>252</v>
      </c>
      <c r="C210" s="97" t="s">
        <v>117</v>
      </c>
      <c r="D210" s="98" t="s">
        <v>55</v>
      </c>
      <c r="E210" s="104"/>
      <c r="F210" s="104"/>
      <c r="G210" s="100" t="n">
        <v>150</v>
      </c>
      <c r="H210" s="88" t="n">
        <f aca="false">SUMIF(B:B,B210,G:G)</f>
        <v>4198.79</v>
      </c>
      <c r="I210" s="89" t="n">
        <v>7000</v>
      </c>
      <c r="J210" s="90" t="n">
        <f aca="false">IFERROR((I210-H210)/I210,"")</f>
        <v>0.400172857142857</v>
      </c>
      <c r="K210" s="3"/>
      <c r="L210" s="82" t="s">
        <v>41</v>
      </c>
      <c r="M210" s="83" t="s">
        <v>252</v>
      </c>
      <c r="N210" s="97" t="s">
        <v>117</v>
      </c>
      <c r="O210" s="98" t="s">
        <v>55</v>
      </c>
      <c r="P210" s="101"/>
      <c r="Q210" s="101"/>
      <c r="R210" s="102" t="n">
        <v>0</v>
      </c>
      <c r="S210" s="88" t="n">
        <f aca="false">SUMIF(M:M,M210,R:R)</f>
        <v>4048.79</v>
      </c>
      <c r="T210" s="89" t="n">
        <f aca="false">I210</f>
        <v>7000</v>
      </c>
      <c r="U210" s="90" t="n">
        <f aca="false">IFERROR((T210-S210)/T210,"")</f>
        <v>0.421601428571429</v>
      </c>
    </row>
    <row r="211" customFormat="false" ht="18.75" hidden="false" customHeight="true" outlineLevel="0" collapsed="false">
      <c r="A211" s="91"/>
      <c r="B211" s="92" t="s">
        <v>252</v>
      </c>
      <c r="C211" s="84" t="s">
        <v>319</v>
      </c>
      <c r="D211" s="85" t="s">
        <v>56</v>
      </c>
      <c r="E211" s="86" t="n">
        <v>37.83</v>
      </c>
      <c r="F211" s="86" t="n">
        <v>17</v>
      </c>
      <c r="G211" s="87" t="n">
        <f aca="false">E211*F211</f>
        <v>643.11</v>
      </c>
      <c r="H211" s="93"/>
      <c r="I211" s="94"/>
      <c r="J211" s="95"/>
      <c r="K211" s="3"/>
      <c r="L211" s="91"/>
      <c r="M211" s="92" t="s">
        <v>252</v>
      </c>
      <c r="N211" s="84" t="s">
        <v>319</v>
      </c>
      <c r="O211" s="85" t="s">
        <v>56</v>
      </c>
      <c r="P211" s="86" t="n">
        <v>37.83</v>
      </c>
      <c r="Q211" s="86" t="n">
        <v>17</v>
      </c>
      <c r="R211" s="87" t="n">
        <f aca="false">P211*Q211</f>
        <v>643.11</v>
      </c>
      <c r="S211" s="93"/>
      <c r="T211" s="94"/>
      <c r="U211" s="95"/>
    </row>
    <row r="212" customFormat="false" ht="18.75" hidden="false" customHeight="true" outlineLevel="0" collapsed="false">
      <c r="A212" s="91"/>
      <c r="B212" s="92" t="s">
        <v>252</v>
      </c>
      <c r="C212" s="84" t="s">
        <v>137</v>
      </c>
      <c r="D212" s="85" t="s">
        <v>56</v>
      </c>
      <c r="E212" s="86" t="n">
        <v>3</v>
      </c>
      <c r="F212" s="86" t="n">
        <v>15</v>
      </c>
      <c r="G212" s="87" t="n">
        <f aca="false">E212*F212</f>
        <v>45</v>
      </c>
      <c r="H212" s="93"/>
      <c r="I212" s="94"/>
      <c r="J212" s="95"/>
      <c r="K212" s="3"/>
      <c r="L212" s="91"/>
      <c r="M212" s="92" t="s">
        <v>252</v>
      </c>
      <c r="N212" s="84" t="s">
        <v>137</v>
      </c>
      <c r="O212" s="85" t="s">
        <v>56</v>
      </c>
      <c r="P212" s="86" t="n">
        <v>3</v>
      </c>
      <c r="Q212" s="86" t="n">
        <v>15</v>
      </c>
      <c r="R212" s="87" t="n">
        <f aca="false">P212*Q212</f>
        <v>45</v>
      </c>
      <c r="S212" s="93"/>
      <c r="T212" s="94"/>
      <c r="U212" s="95"/>
    </row>
    <row r="213" customFormat="false" ht="18.75" hidden="false" customHeight="true" outlineLevel="0" collapsed="false">
      <c r="A213" s="91"/>
      <c r="B213" s="92" t="s">
        <v>252</v>
      </c>
      <c r="C213" s="84" t="s">
        <v>314</v>
      </c>
      <c r="D213" s="85" t="s">
        <v>56</v>
      </c>
      <c r="E213" s="86" t="n">
        <v>18.33</v>
      </c>
      <c r="F213" s="86" t="n">
        <v>15</v>
      </c>
      <c r="G213" s="87" t="n">
        <f aca="false">E213*F213</f>
        <v>274.95</v>
      </c>
      <c r="H213" s="93"/>
      <c r="I213" s="94"/>
      <c r="J213" s="95"/>
      <c r="K213" s="3"/>
      <c r="L213" s="91"/>
      <c r="M213" s="92" t="s">
        <v>252</v>
      </c>
      <c r="N213" s="84" t="s">
        <v>314</v>
      </c>
      <c r="O213" s="85" t="s">
        <v>56</v>
      </c>
      <c r="P213" s="86" t="n">
        <v>18.33</v>
      </c>
      <c r="Q213" s="86" t="n">
        <v>15</v>
      </c>
      <c r="R213" s="87" t="n">
        <f aca="false">P213*Q213</f>
        <v>274.95</v>
      </c>
      <c r="S213" s="93"/>
      <c r="T213" s="94"/>
      <c r="U213" s="95"/>
    </row>
    <row r="214" customFormat="false" ht="18.75" hidden="false" customHeight="true" outlineLevel="0" collapsed="false">
      <c r="A214" s="91"/>
      <c r="B214" s="92" t="s">
        <v>252</v>
      </c>
      <c r="C214" s="84" t="s">
        <v>313</v>
      </c>
      <c r="D214" s="85" t="s">
        <v>56</v>
      </c>
      <c r="E214" s="86" t="n">
        <v>24.1</v>
      </c>
      <c r="F214" s="86" t="n">
        <v>15</v>
      </c>
      <c r="G214" s="87" t="n">
        <f aca="false">E214*F214</f>
        <v>361.5</v>
      </c>
      <c r="H214" s="93"/>
      <c r="I214" s="94"/>
      <c r="J214" s="95"/>
      <c r="K214" s="3"/>
      <c r="L214" s="91"/>
      <c r="M214" s="92" t="s">
        <v>252</v>
      </c>
      <c r="N214" s="84" t="s">
        <v>313</v>
      </c>
      <c r="O214" s="85" t="s">
        <v>56</v>
      </c>
      <c r="P214" s="86" t="n">
        <v>24.1</v>
      </c>
      <c r="Q214" s="86" t="n">
        <v>15</v>
      </c>
      <c r="R214" s="87" t="n">
        <f aca="false">P214*Q214</f>
        <v>361.5</v>
      </c>
      <c r="S214" s="93"/>
      <c r="T214" s="94"/>
      <c r="U214" s="95"/>
    </row>
    <row r="215" customFormat="false" ht="18.75" hidden="false" customHeight="true" outlineLevel="0" collapsed="false">
      <c r="A215" s="91"/>
      <c r="B215" s="92" t="s">
        <v>252</v>
      </c>
      <c r="C215" s="84" t="s">
        <v>316</v>
      </c>
      <c r="D215" s="85" t="s">
        <v>56</v>
      </c>
      <c r="E215" s="86" t="n">
        <v>29.18</v>
      </c>
      <c r="F215" s="86" t="n">
        <v>15</v>
      </c>
      <c r="G215" s="87" t="n">
        <f aca="false">E215*F215</f>
        <v>437.7</v>
      </c>
      <c r="H215" s="93"/>
      <c r="I215" s="94"/>
      <c r="J215" s="95"/>
      <c r="K215" s="3"/>
      <c r="L215" s="91"/>
      <c r="M215" s="92" t="s">
        <v>252</v>
      </c>
      <c r="N215" s="84" t="s">
        <v>316</v>
      </c>
      <c r="O215" s="85" t="s">
        <v>56</v>
      </c>
      <c r="P215" s="86" t="n">
        <v>29.18</v>
      </c>
      <c r="Q215" s="86" t="n">
        <v>15</v>
      </c>
      <c r="R215" s="87" t="n">
        <f aca="false">P215*Q215</f>
        <v>437.7</v>
      </c>
      <c r="S215" s="93"/>
      <c r="T215" s="94"/>
      <c r="U215" s="95"/>
    </row>
    <row r="216" customFormat="false" ht="18.75" hidden="false" customHeight="true" outlineLevel="0" collapsed="false">
      <c r="A216" s="91"/>
      <c r="B216" s="92" t="s">
        <v>252</v>
      </c>
      <c r="C216" s="84" t="s">
        <v>317</v>
      </c>
      <c r="D216" s="85" t="s">
        <v>56</v>
      </c>
      <c r="E216" s="86" t="n">
        <v>20.87</v>
      </c>
      <c r="F216" s="86" t="n">
        <v>15</v>
      </c>
      <c r="G216" s="87" t="n">
        <f aca="false">E216*F216</f>
        <v>313.05</v>
      </c>
      <c r="H216" s="93"/>
      <c r="I216" s="94"/>
      <c r="J216" s="95"/>
      <c r="K216" s="3"/>
      <c r="L216" s="91"/>
      <c r="M216" s="92" t="s">
        <v>252</v>
      </c>
      <c r="N216" s="84" t="s">
        <v>317</v>
      </c>
      <c r="O216" s="85" t="s">
        <v>56</v>
      </c>
      <c r="P216" s="86" t="n">
        <v>20.87</v>
      </c>
      <c r="Q216" s="86" t="n">
        <v>15</v>
      </c>
      <c r="R216" s="87" t="n">
        <f aca="false">P216*Q216</f>
        <v>313.05</v>
      </c>
      <c r="S216" s="93"/>
      <c r="T216" s="94"/>
      <c r="U216" s="95"/>
    </row>
    <row r="217" customFormat="false" ht="18.75" hidden="false" customHeight="true" outlineLevel="0" collapsed="false">
      <c r="A217" s="91"/>
      <c r="B217" s="92" t="s">
        <v>252</v>
      </c>
      <c r="C217" s="84" t="s">
        <v>320</v>
      </c>
      <c r="D217" s="85" t="s">
        <v>56</v>
      </c>
      <c r="E217" s="86" t="n">
        <v>25.85</v>
      </c>
      <c r="F217" s="86" t="n">
        <v>15</v>
      </c>
      <c r="G217" s="87" t="n">
        <f aca="false">E217*F217</f>
        <v>387.75</v>
      </c>
      <c r="H217" s="93"/>
      <c r="I217" s="94"/>
      <c r="J217" s="95"/>
      <c r="K217" s="3"/>
      <c r="L217" s="91"/>
      <c r="M217" s="92" t="s">
        <v>252</v>
      </c>
      <c r="N217" s="84" t="s">
        <v>320</v>
      </c>
      <c r="O217" s="85" t="s">
        <v>56</v>
      </c>
      <c r="P217" s="86" t="n">
        <v>25.85</v>
      </c>
      <c r="Q217" s="86" t="n">
        <v>15</v>
      </c>
      <c r="R217" s="87" t="n">
        <f aca="false">P217*Q217</f>
        <v>387.75</v>
      </c>
      <c r="S217" s="93"/>
      <c r="T217" s="94"/>
      <c r="U217" s="95"/>
    </row>
    <row r="218" customFormat="false" ht="18.75" hidden="false" customHeight="true" outlineLevel="0" collapsed="false">
      <c r="A218" s="91"/>
      <c r="B218" s="92" t="s">
        <v>252</v>
      </c>
      <c r="C218" s="84" t="s">
        <v>321</v>
      </c>
      <c r="D218" s="85" t="s">
        <v>56</v>
      </c>
      <c r="E218" s="86" t="n">
        <v>22.4</v>
      </c>
      <c r="F218" s="86" t="n">
        <v>15</v>
      </c>
      <c r="G218" s="87" t="n">
        <f aca="false">E218*F218</f>
        <v>336</v>
      </c>
      <c r="H218" s="93"/>
      <c r="I218" s="94"/>
      <c r="J218" s="95"/>
      <c r="K218" s="3"/>
      <c r="L218" s="91"/>
      <c r="M218" s="92" t="s">
        <v>252</v>
      </c>
      <c r="N218" s="84" t="s">
        <v>321</v>
      </c>
      <c r="O218" s="85" t="s">
        <v>56</v>
      </c>
      <c r="P218" s="86" t="n">
        <v>22.4</v>
      </c>
      <c r="Q218" s="86" t="n">
        <v>15</v>
      </c>
      <c r="R218" s="87" t="n">
        <f aca="false">P218*Q218</f>
        <v>336</v>
      </c>
      <c r="S218" s="93"/>
      <c r="T218" s="94"/>
      <c r="U218" s="95"/>
    </row>
    <row r="219" customFormat="false" ht="18.75" hidden="false" customHeight="true" outlineLevel="0" collapsed="false">
      <c r="A219" s="91"/>
      <c r="B219" s="92" t="s">
        <v>252</v>
      </c>
      <c r="C219" s="84" t="s">
        <v>322</v>
      </c>
      <c r="D219" s="85" t="s">
        <v>56</v>
      </c>
      <c r="E219" s="86" t="n">
        <v>26.75</v>
      </c>
      <c r="F219" s="86" t="n">
        <v>15</v>
      </c>
      <c r="G219" s="87" t="n">
        <f aca="false">E219*F219</f>
        <v>401.25</v>
      </c>
      <c r="H219" s="93"/>
      <c r="I219" s="94"/>
      <c r="J219" s="95"/>
      <c r="K219" s="3"/>
      <c r="L219" s="91"/>
      <c r="M219" s="92" t="s">
        <v>252</v>
      </c>
      <c r="N219" s="84" t="s">
        <v>322</v>
      </c>
      <c r="O219" s="85" t="s">
        <v>56</v>
      </c>
      <c r="P219" s="86" t="n">
        <v>26.75</v>
      </c>
      <c r="Q219" s="86" t="n">
        <v>15</v>
      </c>
      <c r="R219" s="87" t="n">
        <f aca="false">P219*Q219</f>
        <v>401.25</v>
      </c>
      <c r="S219" s="93"/>
      <c r="T219" s="94"/>
      <c r="U219" s="95"/>
    </row>
    <row r="220" customFormat="false" ht="18.75" hidden="false" customHeight="true" outlineLevel="0" collapsed="false">
      <c r="A220" s="91"/>
      <c r="B220" s="92" t="s">
        <v>252</v>
      </c>
      <c r="C220" s="84" t="s">
        <v>323</v>
      </c>
      <c r="D220" s="85" t="s">
        <v>56</v>
      </c>
      <c r="E220" s="86" t="n">
        <v>22.4</v>
      </c>
      <c r="F220" s="86" t="n">
        <v>15</v>
      </c>
      <c r="G220" s="87" t="n">
        <f aca="false">E220*F220</f>
        <v>336</v>
      </c>
      <c r="H220" s="93"/>
      <c r="I220" s="94"/>
      <c r="J220" s="95"/>
      <c r="K220" s="3"/>
      <c r="L220" s="91"/>
      <c r="M220" s="92" t="s">
        <v>252</v>
      </c>
      <c r="N220" s="84" t="s">
        <v>323</v>
      </c>
      <c r="O220" s="85" t="s">
        <v>56</v>
      </c>
      <c r="P220" s="86" t="n">
        <v>22.4</v>
      </c>
      <c r="Q220" s="86" t="n">
        <v>15</v>
      </c>
      <c r="R220" s="87" t="n">
        <f aca="false">P220*Q220</f>
        <v>336</v>
      </c>
      <c r="S220" s="93"/>
      <c r="T220" s="94"/>
      <c r="U220" s="95"/>
    </row>
    <row r="221" customFormat="false" ht="18.75" hidden="false" customHeight="true" outlineLevel="0" collapsed="false">
      <c r="A221" s="91"/>
      <c r="B221" s="92" t="s">
        <v>252</v>
      </c>
      <c r="C221" s="84" t="s">
        <v>93</v>
      </c>
      <c r="D221" s="103" t="s">
        <v>58</v>
      </c>
      <c r="E221" s="91"/>
      <c r="F221" s="91"/>
      <c r="G221" s="87" t="n">
        <v>121</v>
      </c>
      <c r="H221" s="93"/>
      <c r="I221" s="94"/>
      <c r="J221" s="95"/>
      <c r="K221" s="3"/>
      <c r="L221" s="91"/>
      <c r="M221" s="92" t="s">
        <v>252</v>
      </c>
      <c r="N221" s="84" t="s">
        <v>93</v>
      </c>
      <c r="O221" s="103" t="s">
        <v>58</v>
      </c>
      <c r="P221" s="91"/>
      <c r="Q221" s="91"/>
      <c r="R221" s="87" t="n">
        <v>121</v>
      </c>
      <c r="S221" s="93"/>
      <c r="T221" s="94"/>
      <c r="U221" s="95"/>
    </row>
    <row r="222" customFormat="false" ht="18.75" hidden="false" customHeight="true" outlineLevel="0" collapsed="false">
      <c r="A222" s="91"/>
      <c r="B222" s="92" t="s">
        <v>252</v>
      </c>
      <c r="C222" s="84" t="s">
        <v>92</v>
      </c>
      <c r="D222" s="103" t="s">
        <v>58</v>
      </c>
      <c r="E222" s="91"/>
      <c r="F222" s="91"/>
      <c r="G222" s="87" t="n">
        <v>198</v>
      </c>
      <c r="H222" s="93"/>
      <c r="I222" s="94"/>
      <c r="J222" s="95"/>
      <c r="K222" s="3"/>
      <c r="L222" s="91"/>
      <c r="M222" s="92" t="s">
        <v>252</v>
      </c>
      <c r="N222" s="84" t="s">
        <v>92</v>
      </c>
      <c r="O222" s="103" t="s">
        <v>58</v>
      </c>
      <c r="P222" s="91"/>
      <c r="Q222" s="91"/>
      <c r="R222" s="87" t="n">
        <v>198</v>
      </c>
      <c r="S222" s="93"/>
      <c r="T222" s="94"/>
      <c r="U222" s="95"/>
    </row>
    <row r="223" customFormat="false" ht="18.75" hidden="false" customHeight="true" outlineLevel="0" collapsed="false">
      <c r="A223" s="91"/>
      <c r="B223" s="92" t="s">
        <v>252</v>
      </c>
      <c r="C223" s="84" t="s">
        <v>95</v>
      </c>
      <c r="D223" s="103" t="s">
        <v>58</v>
      </c>
      <c r="E223" s="91"/>
      <c r="F223" s="91"/>
      <c r="G223" s="87" t="n">
        <v>193.48</v>
      </c>
      <c r="H223" s="93"/>
      <c r="I223" s="94"/>
      <c r="J223" s="95"/>
      <c r="K223" s="3"/>
      <c r="L223" s="91"/>
      <c r="M223" s="92" t="s">
        <v>252</v>
      </c>
      <c r="N223" s="84" t="s">
        <v>95</v>
      </c>
      <c r="O223" s="103" t="s">
        <v>58</v>
      </c>
      <c r="P223" s="91"/>
      <c r="Q223" s="91"/>
      <c r="R223" s="87" t="n">
        <v>193.48</v>
      </c>
      <c r="S223" s="93"/>
      <c r="T223" s="94"/>
      <c r="U223" s="95"/>
    </row>
    <row r="224" customFormat="false" ht="18.75" hidden="false" customHeight="true" outlineLevel="0" collapsed="false">
      <c r="A224" s="91"/>
      <c r="B224" s="92"/>
      <c r="C224" s="84" t="s">
        <v>324</v>
      </c>
      <c r="D224" s="96" t="s">
        <v>57</v>
      </c>
      <c r="E224" s="91"/>
      <c r="F224" s="91"/>
      <c r="G224" s="87"/>
      <c r="H224" s="93"/>
      <c r="I224" s="94"/>
      <c r="J224" s="95"/>
      <c r="K224" s="3"/>
      <c r="L224" s="91"/>
      <c r="M224" s="92"/>
      <c r="N224" s="84" t="s">
        <v>324</v>
      </c>
      <c r="O224" s="96" t="s">
        <v>57</v>
      </c>
      <c r="P224" s="91"/>
      <c r="Q224" s="91"/>
      <c r="R224" s="120"/>
      <c r="S224" s="93"/>
      <c r="T224" s="94"/>
      <c r="U224" s="95"/>
    </row>
    <row r="225" customFormat="false" ht="18.75" hidden="false" customHeight="true" outlineLevel="0" collapsed="false">
      <c r="A225" s="82" t="s">
        <v>20</v>
      </c>
      <c r="B225" s="83" t="s">
        <v>253</v>
      </c>
      <c r="C225" s="97" t="s">
        <v>117</v>
      </c>
      <c r="D225" s="98" t="s">
        <v>55</v>
      </c>
      <c r="E225" s="104"/>
      <c r="F225" s="104"/>
      <c r="G225" s="100" t="n">
        <v>360</v>
      </c>
      <c r="H225" s="88" t="n">
        <f aca="false">SUMIF(B:B,B225,G:G)</f>
        <v>4847.21</v>
      </c>
      <c r="I225" s="89" t="n">
        <v>7000</v>
      </c>
      <c r="J225" s="90" t="n">
        <f aca="false">IFERROR((I225-H225)/I225,"")</f>
        <v>0.307541428571429</v>
      </c>
      <c r="K225" s="3"/>
      <c r="L225" s="82" t="s">
        <v>20</v>
      </c>
      <c r="M225" s="83" t="s">
        <v>253</v>
      </c>
      <c r="N225" s="97" t="s">
        <v>117</v>
      </c>
      <c r="O225" s="98" t="s">
        <v>55</v>
      </c>
      <c r="P225" s="101"/>
      <c r="Q225" s="101"/>
      <c r="R225" s="102" t="n">
        <v>0</v>
      </c>
      <c r="S225" s="88" t="n">
        <f aca="false">SUMIF(M:M,M225,R:R)</f>
        <v>4487.21</v>
      </c>
      <c r="T225" s="89" t="n">
        <f aca="false">I225</f>
        <v>7000</v>
      </c>
      <c r="U225" s="90" t="n">
        <f aca="false">IFERROR((T225-S225)/T225,"")</f>
        <v>0.35897</v>
      </c>
    </row>
    <row r="226" customFormat="false" ht="18.75" hidden="false" customHeight="true" outlineLevel="0" collapsed="false">
      <c r="A226" s="91"/>
      <c r="B226" s="92" t="s">
        <v>253</v>
      </c>
      <c r="C226" s="84" t="s">
        <v>323</v>
      </c>
      <c r="D226" s="85" t="s">
        <v>56</v>
      </c>
      <c r="E226" s="86" t="n">
        <v>31.75</v>
      </c>
      <c r="F226" s="86" t="n">
        <v>17</v>
      </c>
      <c r="G226" s="87" t="n">
        <f aca="false">E226*F226</f>
        <v>539.75</v>
      </c>
      <c r="H226" s="93"/>
      <c r="I226" s="94"/>
      <c r="J226" s="95"/>
      <c r="K226" s="3"/>
      <c r="L226" s="91"/>
      <c r="M226" s="92" t="s">
        <v>253</v>
      </c>
      <c r="N226" s="84" t="s">
        <v>323</v>
      </c>
      <c r="O226" s="85" t="s">
        <v>56</v>
      </c>
      <c r="P226" s="86" t="n">
        <v>31.75</v>
      </c>
      <c r="Q226" s="86" t="n">
        <v>17</v>
      </c>
      <c r="R226" s="87" t="n">
        <f aca="false">P226*Q226</f>
        <v>539.75</v>
      </c>
      <c r="S226" s="93"/>
      <c r="T226" s="94"/>
      <c r="U226" s="95"/>
    </row>
    <row r="227" customFormat="false" ht="18.75" hidden="false" customHeight="true" outlineLevel="0" collapsed="false">
      <c r="A227" s="91"/>
      <c r="B227" s="92" t="s">
        <v>253</v>
      </c>
      <c r="C227" s="84" t="s">
        <v>325</v>
      </c>
      <c r="D227" s="85" t="s">
        <v>56</v>
      </c>
      <c r="E227" s="86" t="n">
        <v>11.4</v>
      </c>
      <c r="F227" s="86" t="n">
        <v>15</v>
      </c>
      <c r="G227" s="87" t="n">
        <f aca="false">E227*F227</f>
        <v>171</v>
      </c>
      <c r="H227" s="93"/>
      <c r="I227" s="94"/>
      <c r="J227" s="95"/>
      <c r="K227" s="3"/>
      <c r="L227" s="91"/>
      <c r="M227" s="92" t="s">
        <v>253</v>
      </c>
      <c r="N227" s="84" t="s">
        <v>325</v>
      </c>
      <c r="O227" s="85" t="s">
        <v>56</v>
      </c>
      <c r="P227" s="86" t="n">
        <v>11.4</v>
      </c>
      <c r="Q227" s="86" t="n">
        <v>15</v>
      </c>
      <c r="R227" s="87" t="n">
        <f aca="false">P227*Q227</f>
        <v>171</v>
      </c>
      <c r="S227" s="93"/>
      <c r="T227" s="94"/>
      <c r="U227" s="95"/>
    </row>
    <row r="228" customFormat="false" ht="18.75" hidden="false" customHeight="true" outlineLevel="0" collapsed="false">
      <c r="A228" s="91"/>
      <c r="B228" s="92" t="s">
        <v>253</v>
      </c>
      <c r="C228" s="84" t="s">
        <v>100</v>
      </c>
      <c r="D228" s="85" t="s">
        <v>56</v>
      </c>
      <c r="E228" s="86" t="n">
        <v>33.6</v>
      </c>
      <c r="F228" s="86" t="n">
        <v>15</v>
      </c>
      <c r="G228" s="87" t="n">
        <f aca="false">E228*F228</f>
        <v>504</v>
      </c>
      <c r="H228" s="93"/>
      <c r="I228" s="94"/>
      <c r="J228" s="95"/>
      <c r="K228" s="3"/>
      <c r="L228" s="91"/>
      <c r="M228" s="92" t="s">
        <v>253</v>
      </c>
      <c r="N228" s="84" t="s">
        <v>100</v>
      </c>
      <c r="O228" s="85" t="s">
        <v>56</v>
      </c>
      <c r="P228" s="86" t="n">
        <v>33.6</v>
      </c>
      <c r="Q228" s="86" t="n">
        <v>15</v>
      </c>
      <c r="R228" s="87" t="n">
        <f aca="false">P228*Q228</f>
        <v>504</v>
      </c>
      <c r="S228" s="93"/>
      <c r="T228" s="94"/>
      <c r="U228" s="95"/>
    </row>
    <row r="229" customFormat="false" ht="18.75" hidden="false" customHeight="true" outlineLevel="0" collapsed="false">
      <c r="A229" s="91"/>
      <c r="B229" s="92" t="s">
        <v>253</v>
      </c>
      <c r="C229" s="84" t="s">
        <v>236</v>
      </c>
      <c r="D229" s="85" t="s">
        <v>56</v>
      </c>
      <c r="E229" s="86" t="n">
        <v>30.23</v>
      </c>
      <c r="F229" s="86" t="n">
        <v>15</v>
      </c>
      <c r="G229" s="87" t="n">
        <f aca="false">E229*F229</f>
        <v>453.45</v>
      </c>
      <c r="H229" s="93"/>
      <c r="I229" s="94"/>
      <c r="J229" s="95"/>
      <c r="K229" s="3"/>
      <c r="L229" s="91"/>
      <c r="M229" s="92" t="s">
        <v>253</v>
      </c>
      <c r="N229" s="84" t="s">
        <v>236</v>
      </c>
      <c r="O229" s="85" t="s">
        <v>56</v>
      </c>
      <c r="P229" s="86" t="n">
        <v>30.23</v>
      </c>
      <c r="Q229" s="86" t="n">
        <v>15</v>
      </c>
      <c r="R229" s="87" t="n">
        <f aca="false">P229*Q229</f>
        <v>453.45</v>
      </c>
      <c r="S229" s="93"/>
      <c r="T229" s="94"/>
      <c r="U229" s="95"/>
    </row>
    <row r="230" customFormat="false" ht="18.75" hidden="false" customHeight="true" outlineLevel="0" collapsed="false">
      <c r="A230" s="91"/>
      <c r="B230" s="92" t="s">
        <v>253</v>
      </c>
      <c r="C230" s="84" t="s">
        <v>99</v>
      </c>
      <c r="D230" s="85" t="s">
        <v>56</v>
      </c>
      <c r="E230" s="86" t="n">
        <v>24.55</v>
      </c>
      <c r="F230" s="86" t="n">
        <v>15</v>
      </c>
      <c r="G230" s="87" t="n">
        <f aca="false">E230*F230</f>
        <v>368.25</v>
      </c>
      <c r="H230" s="93"/>
      <c r="I230" s="94"/>
      <c r="J230" s="95"/>
      <c r="K230" s="3"/>
      <c r="L230" s="91"/>
      <c r="M230" s="92" t="s">
        <v>253</v>
      </c>
      <c r="N230" s="84" t="s">
        <v>99</v>
      </c>
      <c r="O230" s="85" t="s">
        <v>56</v>
      </c>
      <c r="P230" s="86" t="n">
        <v>24.55</v>
      </c>
      <c r="Q230" s="86" t="n">
        <v>15</v>
      </c>
      <c r="R230" s="87" t="n">
        <f aca="false">P230*Q230</f>
        <v>368.25</v>
      </c>
      <c r="S230" s="93"/>
      <c r="T230" s="94"/>
      <c r="U230" s="95"/>
    </row>
    <row r="231" customFormat="false" ht="18.75" hidden="false" customHeight="true" outlineLevel="0" collapsed="false">
      <c r="A231" s="91"/>
      <c r="B231" s="92" t="s">
        <v>253</v>
      </c>
      <c r="C231" s="84" t="s">
        <v>98</v>
      </c>
      <c r="D231" s="85" t="s">
        <v>56</v>
      </c>
      <c r="E231" s="86" t="n">
        <v>36.5</v>
      </c>
      <c r="F231" s="86" t="n">
        <v>15</v>
      </c>
      <c r="G231" s="87" t="n">
        <f aca="false">E231*F231</f>
        <v>547.5</v>
      </c>
      <c r="H231" s="93"/>
      <c r="I231" s="94"/>
      <c r="J231" s="95"/>
      <c r="K231" s="3"/>
      <c r="L231" s="91"/>
      <c r="M231" s="92" t="s">
        <v>253</v>
      </c>
      <c r="N231" s="84" t="s">
        <v>98</v>
      </c>
      <c r="O231" s="85" t="s">
        <v>56</v>
      </c>
      <c r="P231" s="86" t="n">
        <v>36.5</v>
      </c>
      <c r="Q231" s="86" t="n">
        <v>15</v>
      </c>
      <c r="R231" s="87" t="n">
        <f aca="false">P231*Q231</f>
        <v>547.5</v>
      </c>
      <c r="S231" s="93"/>
      <c r="T231" s="94"/>
      <c r="U231" s="95"/>
    </row>
    <row r="232" customFormat="false" ht="18.75" hidden="false" customHeight="true" outlineLevel="0" collapsed="false">
      <c r="A232" s="91"/>
      <c r="B232" s="92" t="s">
        <v>253</v>
      </c>
      <c r="C232" s="84" t="s">
        <v>121</v>
      </c>
      <c r="D232" s="85" t="s">
        <v>56</v>
      </c>
      <c r="E232" s="86" t="n">
        <v>24.09</v>
      </c>
      <c r="F232" s="86" t="n">
        <v>15</v>
      </c>
      <c r="G232" s="87" t="n">
        <f aca="false">E232*F232</f>
        <v>361.35</v>
      </c>
      <c r="H232" s="93"/>
      <c r="I232" s="94"/>
      <c r="J232" s="95"/>
      <c r="K232" s="3"/>
      <c r="L232" s="91"/>
      <c r="M232" s="92" t="s">
        <v>253</v>
      </c>
      <c r="N232" s="84" t="s">
        <v>121</v>
      </c>
      <c r="O232" s="85" t="s">
        <v>56</v>
      </c>
      <c r="P232" s="86" t="n">
        <v>24.09</v>
      </c>
      <c r="Q232" s="86" t="n">
        <v>15</v>
      </c>
      <c r="R232" s="87" t="n">
        <f aca="false">P232*Q232</f>
        <v>361.35</v>
      </c>
      <c r="S232" s="93"/>
      <c r="T232" s="94"/>
      <c r="U232" s="95"/>
    </row>
    <row r="233" customFormat="false" ht="18.75" hidden="false" customHeight="true" outlineLevel="0" collapsed="false">
      <c r="A233" s="91"/>
      <c r="B233" s="92" t="s">
        <v>253</v>
      </c>
      <c r="C233" s="84" t="s">
        <v>326</v>
      </c>
      <c r="D233" s="85" t="s">
        <v>56</v>
      </c>
      <c r="E233" s="86" t="n">
        <v>29.05</v>
      </c>
      <c r="F233" s="86" t="n">
        <v>15</v>
      </c>
      <c r="G233" s="87" t="n">
        <f aca="false">E233*F233</f>
        <v>435.75</v>
      </c>
      <c r="H233" s="93"/>
      <c r="I233" s="94"/>
      <c r="J233" s="95"/>
      <c r="K233" s="3"/>
      <c r="L233" s="91"/>
      <c r="M233" s="92" t="s">
        <v>253</v>
      </c>
      <c r="N233" s="84" t="s">
        <v>326</v>
      </c>
      <c r="O233" s="85" t="s">
        <v>56</v>
      </c>
      <c r="P233" s="86" t="n">
        <v>29.05</v>
      </c>
      <c r="Q233" s="86" t="n">
        <v>15</v>
      </c>
      <c r="R233" s="87" t="n">
        <f aca="false">P233*Q233</f>
        <v>435.75</v>
      </c>
      <c r="S233" s="93"/>
      <c r="T233" s="94"/>
      <c r="U233" s="95"/>
    </row>
    <row r="234" customFormat="false" ht="18.75" hidden="false" customHeight="true" outlineLevel="0" collapsed="false">
      <c r="A234" s="91"/>
      <c r="B234" s="92" t="s">
        <v>253</v>
      </c>
      <c r="C234" s="84" t="s">
        <v>327</v>
      </c>
      <c r="D234" s="85" t="s">
        <v>56</v>
      </c>
      <c r="E234" s="86" t="n">
        <v>9</v>
      </c>
      <c r="F234" s="86" t="n">
        <v>15</v>
      </c>
      <c r="G234" s="87" t="n">
        <f aca="false">E234*F234</f>
        <v>135</v>
      </c>
      <c r="H234" s="93"/>
      <c r="I234" s="94"/>
      <c r="J234" s="95"/>
      <c r="K234" s="3"/>
      <c r="L234" s="91"/>
      <c r="M234" s="92" t="s">
        <v>253</v>
      </c>
      <c r="N234" s="84" t="s">
        <v>327</v>
      </c>
      <c r="O234" s="85" t="s">
        <v>56</v>
      </c>
      <c r="P234" s="86" t="n">
        <v>9</v>
      </c>
      <c r="Q234" s="86" t="n">
        <v>15</v>
      </c>
      <c r="R234" s="87" t="n">
        <f aca="false">P234*Q234</f>
        <v>135</v>
      </c>
      <c r="S234" s="93"/>
      <c r="T234" s="94"/>
      <c r="U234" s="95"/>
    </row>
    <row r="235" customFormat="false" ht="18.75" hidden="false" customHeight="true" outlineLevel="0" collapsed="false">
      <c r="A235" s="91"/>
      <c r="B235" s="92" t="s">
        <v>253</v>
      </c>
      <c r="C235" s="84" t="s">
        <v>93</v>
      </c>
      <c r="D235" s="103" t="s">
        <v>58</v>
      </c>
      <c r="E235" s="91"/>
      <c r="F235" s="91"/>
      <c r="G235" s="87" t="n">
        <v>121</v>
      </c>
      <c r="H235" s="93"/>
      <c r="I235" s="94"/>
      <c r="J235" s="95"/>
      <c r="K235" s="3"/>
      <c r="L235" s="91"/>
      <c r="M235" s="92" t="s">
        <v>253</v>
      </c>
      <c r="N235" s="84" t="s">
        <v>93</v>
      </c>
      <c r="O235" s="103" t="s">
        <v>58</v>
      </c>
      <c r="P235" s="91"/>
      <c r="Q235" s="91"/>
      <c r="R235" s="87" t="n">
        <v>121</v>
      </c>
      <c r="S235" s="93"/>
      <c r="T235" s="94"/>
      <c r="U235" s="95"/>
    </row>
    <row r="236" customFormat="false" ht="18.75" hidden="false" customHeight="true" outlineLevel="0" collapsed="false">
      <c r="A236" s="91"/>
      <c r="B236" s="92" t="s">
        <v>253</v>
      </c>
      <c r="C236" s="84" t="s">
        <v>92</v>
      </c>
      <c r="D236" s="103" t="s">
        <v>58</v>
      </c>
      <c r="E236" s="91"/>
      <c r="F236" s="91"/>
      <c r="G236" s="87" t="n">
        <v>170</v>
      </c>
      <c r="H236" s="93"/>
      <c r="I236" s="94"/>
      <c r="J236" s="95"/>
      <c r="K236" s="3"/>
      <c r="L236" s="91"/>
      <c r="M236" s="92" t="s">
        <v>253</v>
      </c>
      <c r="N236" s="84" t="s">
        <v>92</v>
      </c>
      <c r="O236" s="103" t="s">
        <v>58</v>
      </c>
      <c r="P236" s="91"/>
      <c r="Q236" s="91"/>
      <c r="R236" s="87" t="n">
        <v>170</v>
      </c>
      <c r="S236" s="93"/>
      <c r="T236" s="94"/>
      <c r="U236" s="95"/>
    </row>
    <row r="237" customFormat="false" ht="18.75" hidden="false" customHeight="true" outlineLevel="0" collapsed="false">
      <c r="A237" s="91"/>
      <c r="B237" s="92" t="s">
        <v>253</v>
      </c>
      <c r="C237" s="84" t="s">
        <v>209</v>
      </c>
      <c r="D237" s="103" t="s">
        <v>58</v>
      </c>
      <c r="E237" s="91"/>
      <c r="F237" s="91"/>
      <c r="G237" s="87" t="n">
        <v>24</v>
      </c>
      <c r="H237" s="93"/>
      <c r="I237" s="94"/>
      <c r="J237" s="95"/>
      <c r="K237" s="3"/>
      <c r="L237" s="91"/>
      <c r="M237" s="92" t="s">
        <v>253</v>
      </c>
      <c r="N237" s="84" t="s">
        <v>209</v>
      </c>
      <c r="O237" s="103" t="s">
        <v>58</v>
      </c>
      <c r="P237" s="91"/>
      <c r="Q237" s="91"/>
      <c r="R237" s="87" t="n">
        <v>24</v>
      </c>
      <c r="S237" s="93"/>
      <c r="T237" s="94"/>
      <c r="U237" s="95"/>
    </row>
    <row r="238" customFormat="false" ht="18.75" hidden="false" customHeight="true" outlineLevel="0" collapsed="false">
      <c r="A238" s="91"/>
      <c r="B238" s="92" t="s">
        <v>253</v>
      </c>
      <c r="C238" s="84" t="s">
        <v>94</v>
      </c>
      <c r="D238" s="103" t="s">
        <v>58</v>
      </c>
      <c r="E238" s="91"/>
      <c r="F238" s="91"/>
      <c r="G238" s="87" t="n">
        <v>512.46</v>
      </c>
      <c r="H238" s="93"/>
      <c r="I238" s="94"/>
      <c r="J238" s="95"/>
      <c r="K238" s="3"/>
      <c r="L238" s="91"/>
      <c r="M238" s="92" t="s">
        <v>253</v>
      </c>
      <c r="N238" s="84" t="s">
        <v>94</v>
      </c>
      <c r="O238" s="103" t="s">
        <v>58</v>
      </c>
      <c r="P238" s="91"/>
      <c r="Q238" s="91"/>
      <c r="R238" s="87" t="n">
        <v>512.46</v>
      </c>
      <c r="S238" s="93"/>
      <c r="T238" s="94"/>
      <c r="U238" s="95"/>
    </row>
    <row r="239" customFormat="false" ht="18.75" hidden="false" customHeight="true" outlineLevel="0" collapsed="false">
      <c r="A239" s="91"/>
      <c r="B239" s="92" t="s">
        <v>253</v>
      </c>
      <c r="C239" s="84" t="s">
        <v>95</v>
      </c>
      <c r="D239" s="103" t="s">
        <v>58</v>
      </c>
      <c r="E239" s="91"/>
      <c r="F239" s="91"/>
      <c r="G239" s="87" t="n">
        <v>143.7</v>
      </c>
      <c r="H239" s="93"/>
      <c r="I239" s="94"/>
      <c r="J239" s="95"/>
      <c r="K239" s="3"/>
      <c r="L239" s="91"/>
      <c r="M239" s="92" t="s">
        <v>253</v>
      </c>
      <c r="N239" s="84" t="s">
        <v>95</v>
      </c>
      <c r="O239" s="103" t="s">
        <v>58</v>
      </c>
      <c r="P239" s="91"/>
      <c r="Q239" s="91"/>
      <c r="R239" s="87" t="n">
        <v>143.7</v>
      </c>
      <c r="S239" s="93"/>
      <c r="T239" s="94"/>
      <c r="U239" s="95"/>
    </row>
    <row r="240" customFormat="false" ht="18.75" hidden="false" customHeight="true" outlineLevel="0" collapsed="false">
      <c r="A240" s="82" t="s">
        <v>22</v>
      </c>
      <c r="B240" s="83" t="s">
        <v>254</v>
      </c>
      <c r="C240" s="97" t="s">
        <v>91</v>
      </c>
      <c r="D240" s="98" t="s">
        <v>55</v>
      </c>
      <c r="E240" s="99" t="n">
        <v>14</v>
      </c>
      <c r="F240" s="99" t="n">
        <v>16</v>
      </c>
      <c r="G240" s="100" t="n">
        <f aca="false">E240*F240</f>
        <v>224</v>
      </c>
      <c r="H240" s="88" t="n">
        <f aca="false">SUMIF(B:B,B240,G:G)</f>
        <v>4676.19</v>
      </c>
      <c r="I240" s="89" t="n">
        <v>7000</v>
      </c>
      <c r="J240" s="90" t="n">
        <f aca="false">IFERROR((I240-H240)/I240,"")</f>
        <v>0.331972857142857</v>
      </c>
      <c r="K240" s="3"/>
      <c r="L240" s="82" t="s">
        <v>22</v>
      </c>
      <c r="M240" s="83" t="s">
        <v>254</v>
      </c>
      <c r="N240" s="97" t="s">
        <v>91</v>
      </c>
      <c r="O240" s="98" t="s">
        <v>55</v>
      </c>
      <c r="P240" s="101"/>
      <c r="Q240" s="101"/>
      <c r="R240" s="102" t="n">
        <v>0</v>
      </c>
      <c r="S240" s="88" t="n">
        <f aca="false">SUMIF(M:M,M240,R:R)</f>
        <v>4452.19</v>
      </c>
      <c r="T240" s="89" t="n">
        <f aca="false">I240</f>
        <v>7000</v>
      </c>
      <c r="U240" s="90" t="n">
        <f aca="false">IFERROR((T240-S240)/T240,"")</f>
        <v>0.363972857142857</v>
      </c>
    </row>
    <row r="241" customFormat="false" ht="18.75" hidden="false" customHeight="true" outlineLevel="0" collapsed="false">
      <c r="A241" s="91"/>
      <c r="B241" s="92" t="s">
        <v>254</v>
      </c>
      <c r="C241" s="84" t="s">
        <v>229</v>
      </c>
      <c r="D241" s="85" t="s">
        <v>56</v>
      </c>
      <c r="E241" s="86" t="n">
        <v>29.2</v>
      </c>
      <c r="F241" s="86" t="n">
        <v>15</v>
      </c>
      <c r="G241" s="87" t="n">
        <f aca="false">E241*F241</f>
        <v>438</v>
      </c>
      <c r="H241" s="93"/>
      <c r="I241" s="94"/>
      <c r="J241" s="95"/>
      <c r="K241" s="3"/>
      <c r="L241" s="91"/>
      <c r="M241" s="92" t="s">
        <v>254</v>
      </c>
      <c r="N241" s="84" t="s">
        <v>229</v>
      </c>
      <c r="O241" s="85" t="s">
        <v>56</v>
      </c>
      <c r="P241" s="86" t="n">
        <v>29.2</v>
      </c>
      <c r="Q241" s="86" t="n">
        <v>15</v>
      </c>
      <c r="R241" s="87" t="n">
        <f aca="false">P241*Q241</f>
        <v>438</v>
      </c>
      <c r="S241" s="93"/>
      <c r="T241" s="94"/>
      <c r="U241" s="95"/>
    </row>
    <row r="242" customFormat="false" ht="18.75" hidden="false" customHeight="true" outlineLevel="0" collapsed="false">
      <c r="A242" s="91"/>
      <c r="B242" s="92" t="s">
        <v>254</v>
      </c>
      <c r="C242" s="84" t="s">
        <v>328</v>
      </c>
      <c r="D242" s="85" t="s">
        <v>56</v>
      </c>
      <c r="E242" s="86" t="n">
        <v>21.84</v>
      </c>
      <c r="F242" s="86" t="n">
        <v>15</v>
      </c>
      <c r="G242" s="87" t="n">
        <f aca="false">E242*F242</f>
        <v>327.6</v>
      </c>
      <c r="H242" s="93"/>
      <c r="I242" s="94"/>
      <c r="J242" s="95"/>
      <c r="K242" s="3"/>
      <c r="L242" s="91"/>
      <c r="M242" s="92" t="s">
        <v>254</v>
      </c>
      <c r="N242" s="84" t="s">
        <v>328</v>
      </c>
      <c r="O242" s="85" t="s">
        <v>56</v>
      </c>
      <c r="P242" s="86" t="n">
        <v>21.84</v>
      </c>
      <c r="Q242" s="86" t="n">
        <v>15</v>
      </c>
      <c r="R242" s="87" t="n">
        <f aca="false">P242*Q242</f>
        <v>327.6</v>
      </c>
      <c r="S242" s="93"/>
      <c r="T242" s="94"/>
      <c r="U242" s="95"/>
    </row>
    <row r="243" customFormat="false" ht="18.75" hidden="false" customHeight="true" outlineLevel="0" collapsed="false">
      <c r="A243" s="91"/>
      <c r="B243" s="92" t="s">
        <v>254</v>
      </c>
      <c r="C243" s="84" t="s">
        <v>120</v>
      </c>
      <c r="D243" s="85" t="s">
        <v>56</v>
      </c>
      <c r="E243" s="86" t="n">
        <v>10.5</v>
      </c>
      <c r="F243" s="86" t="n">
        <v>15</v>
      </c>
      <c r="G243" s="87" t="n">
        <f aca="false">E243*F243</f>
        <v>157.5</v>
      </c>
      <c r="H243" s="93"/>
      <c r="I243" s="94"/>
      <c r="J243" s="95"/>
      <c r="K243" s="3"/>
      <c r="L243" s="91"/>
      <c r="M243" s="92" t="s">
        <v>254</v>
      </c>
      <c r="N243" s="84" t="s">
        <v>120</v>
      </c>
      <c r="O243" s="85" t="s">
        <v>56</v>
      </c>
      <c r="P243" s="86" t="n">
        <v>10.5</v>
      </c>
      <c r="Q243" s="86" t="n">
        <v>15</v>
      </c>
      <c r="R243" s="87" t="n">
        <f aca="false">P243*Q243</f>
        <v>157.5</v>
      </c>
      <c r="S243" s="93"/>
      <c r="T243" s="94"/>
      <c r="U243" s="95"/>
    </row>
    <row r="244" customFormat="false" ht="18.75" hidden="false" customHeight="true" outlineLevel="0" collapsed="false">
      <c r="A244" s="91"/>
      <c r="B244" s="92" t="s">
        <v>254</v>
      </c>
      <c r="C244" s="84" t="s">
        <v>81</v>
      </c>
      <c r="D244" s="85" t="s">
        <v>56</v>
      </c>
      <c r="E244" s="86" t="n">
        <v>28.87</v>
      </c>
      <c r="F244" s="86" t="n">
        <v>15</v>
      </c>
      <c r="G244" s="87" t="n">
        <f aca="false">E244*F244</f>
        <v>433.05</v>
      </c>
      <c r="H244" s="93"/>
      <c r="I244" s="94"/>
      <c r="J244" s="95"/>
      <c r="K244" s="3"/>
      <c r="L244" s="91"/>
      <c r="M244" s="92" t="s">
        <v>254</v>
      </c>
      <c r="N244" s="84" t="s">
        <v>81</v>
      </c>
      <c r="O244" s="85" t="s">
        <v>56</v>
      </c>
      <c r="P244" s="86" t="n">
        <v>28.87</v>
      </c>
      <c r="Q244" s="86" t="n">
        <v>15</v>
      </c>
      <c r="R244" s="87" t="n">
        <f aca="false">P244*Q244</f>
        <v>433.05</v>
      </c>
      <c r="S244" s="93"/>
      <c r="T244" s="94"/>
      <c r="U244" s="95"/>
    </row>
    <row r="245" customFormat="false" ht="18.75" hidden="false" customHeight="true" outlineLevel="0" collapsed="false">
      <c r="A245" s="91"/>
      <c r="B245" s="92" t="s">
        <v>254</v>
      </c>
      <c r="C245" s="84" t="s">
        <v>329</v>
      </c>
      <c r="D245" s="85" t="s">
        <v>56</v>
      </c>
      <c r="E245" s="86" t="n">
        <v>31.8</v>
      </c>
      <c r="F245" s="86" t="n">
        <v>15</v>
      </c>
      <c r="G245" s="87" t="n">
        <f aca="false">E245*F245</f>
        <v>477</v>
      </c>
      <c r="H245" s="93"/>
      <c r="I245" s="94"/>
      <c r="J245" s="95"/>
      <c r="K245" s="3"/>
      <c r="L245" s="91"/>
      <c r="M245" s="92" t="s">
        <v>254</v>
      </c>
      <c r="N245" s="84" t="s">
        <v>329</v>
      </c>
      <c r="O245" s="85" t="s">
        <v>56</v>
      </c>
      <c r="P245" s="86" t="n">
        <v>31.8</v>
      </c>
      <c r="Q245" s="86" t="n">
        <v>15</v>
      </c>
      <c r="R245" s="87" t="n">
        <f aca="false">P245*Q245</f>
        <v>477</v>
      </c>
      <c r="S245" s="93"/>
      <c r="T245" s="94"/>
      <c r="U245" s="95"/>
    </row>
    <row r="246" customFormat="false" ht="18.75" hidden="false" customHeight="true" outlineLevel="0" collapsed="false">
      <c r="A246" s="91"/>
      <c r="B246" s="92" t="s">
        <v>254</v>
      </c>
      <c r="C246" s="84" t="s">
        <v>137</v>
      </c>
      <c r="D246" s="85" t="s">
        <v>56</v>
      </c>
      <c r="E246" s="86" t="n">
        <v>30.01</v>
      </c>
      <c r="F246" s="86" t="n">
        <v>15</v>
      </c>
      <c r="G246" s="87" t="n">
        <f aca="false">E246*F246</f>
        <v>450.15</v>
      </c>
      <c r="H246" s="93"/>
      <c r="I246" s="94"/>
      <c r="J246" s="95"/>
      <c r="K246" s="3"/>
      <c r="L246" s="91"/>
      <c r="M246" s="92" t="s">
        <v>254</v>
      </c>
      <c r="N246" s="84" t="s">
        <v>137</v>
      </c>
      <c r="O246" s="85" t="s">
        <v>56</v>
      </c>
      <c r="P246" s="86" t="n">
        <v>30.01</v>
      </c>
      <c r="Q246" s="86" t="n">
        <v>15</v>
      </c>
      <c r="R246" s="87" t="n">
        <f aca="false">P246*Q246</f>
        <v>450.15</v>
      </c>
      <c r="S246" s="93"/>
      <c r="T246" s="94"/>
      <c r="U246" s="95"/>
    </row>
    <row r="247" customFormat="false" ht="18.75" hidden="false" customHeight="true" outlineLevel="0" collapsed="false">
      <c r="A247" s="91"/>
      <c r="B247" s="92" t="s">
        <v>254</v>
      </c>
      <c r="C247" s="84" t="s">
        <v>121</v>
      </c>
      <c r="D247" s="85" t="s">
        <v>56</v>
      </c>
      <c r="E247" s="86" t="n">
        <v>18.57</v>
      </c>
      <c r="F247" s="86" t="n">
        <v>17</v>
      </c>
      <c r="G247" s="87" t="n">
        <f aca="false">E247*F247</f>
        <v>315.69</v>
      </c>
      <c r="H247" s="93"/>
      <c r="I247" s="94"/>
      <c r="J247" s="95"/>
      <c r="K247" s="3"/>
      <c r="L247" s="91"/>
      <c r="M247" s="92" t="s">
        <v>254</v>
      </c>
      <c r="N247" s="84" t="s">
        <v>121</v>
      </c>
      <c r="O247" s="85" t="s">
        <v>56</v>
      </c>
      <c r="P247" s="86" t="n">
        <v>18.57</v>
      </c>
      <c r="Q247" s="86" t="n">
        <v>17</v>
      </c>
      <c r="R247" s="87" t="n">
        <f aca="false">P247*Q247</f>
        <v>315.69</v>
      </c>
      <c r="S247" s="93"/>
      <c r="T247" s="94"/>
      <c r="U247" s="95"/>
    </row>
    <row r="248" customFormat="false" ht="18.75" hidden="false" customHeight="true" outlineLevel="0" collapsed="false">
      <c r="A248" s="91"/>
      <c r="B248" s="92" t="s">
        <v>254</v>
      </c>
      <c r="C248" s="84" t="s">
        <v>330</v>
      </c>
      <c r="D248" s="85" t="s">
        <v>56</v>
      </c>
      <c r="E248" s="86" t="n">
        <v>32.8</v>
      </c>
      <c r="F248" s="86" t="n">
        <v>15</v>
      </c>
      <c r="G248" s="87" t="n">
        <f aca="false">E248*F248</f>
        <v>492</v>
      </c>
      <c r="H248" s="93"/>
      <c r="I248" s="94"/>
      <c r="J248" s="95"/>
      <c r="K248" s="3"/>
      <c r="L248" s="91"/>
      <c r="M248" s="92" t="s">
        <v>254</v>
      </c>
      <c r="N248" s="84" t="s">
        <v>330</v>
      </c>
      <c r="O248" s="85" t="s">
        <v>56</v>
      </c>
      <c r="P248" s="86" t="n">
        <v>32.8</v>
      </c>
      <c r="Q248" s="86" t="n">
        <v>15</v>
      </c>
      <c r="R248" s="87" t="n">
        <f aca="false">P248*Q248</f>
        <v>492</v>
      </c>
      <c r="S248" s="93"/>
      <c r="T248" s="94"/>
      <c r="U248" s="95"/>
    </row>
    <row r="249" customFormat="false" ht="18.75" hidden="false" customHeight="true" outlineLevel="0" collapsed="false">
      <c r="A249" s="91"/>
      <c r="B249" s="92" t="s">
        <v>254</v>
      </c>
      <c r="C249" s="84" t="s">
        <v>124</v>
      </c>
      <c r="D249" s="85" t="s">
        <v>56</v>
      </c>
      <c r="E249" s="86" t="n">
        <v>25.39</v>
      </c>
      <c r="F249" s="86" t="n">
        <v>15</v>
      </c>
      <c r="G249" s="87" t="n">
        <f aca="false">E249*F249</f>
        <v>380.85</v>
      </c>
      <c r="H249" s="93"/>
      <c r="I249" s="94"/>
      <c r="J249" s="95"/>
      <c r="K249" s="3"/>
      <c r="L249" s="91"/>
      <c r="M249" s="92" t="s">
        <v>254</v>
      </c>
      <c r="N249" s="84" t="s">
        <v>124</v>
      </c>
      <c r="O249" s="85" t="s">
        <v>56</v>
      </c>
      <c r="P249" s="86" t="n">
        <v>25.39</v>
      </c>
      <c r="Q249" s="86" t="n">
        <v>15</v>
      </c>
      <c r="R249" s="87" t="n">
        <f aca="false">P249*Q249</f>
        <v>380.85</v>
      </c>
      <c r="S249" s="93"/>
      <c r="T249" s="94"/>
      <c r="U249" s="95"/>
    </row>
    <row r="250" customFormat="false" ht="18.75" hidden="false" customHeight="true" outlineLevel="0" collapsed="false">
      <c r="A250" s="91"/>
      <c r="B250" s="92" t="s">
        <v>254</v>
      </c>
      <c r="C250" s="84" t="s">
        <v>331</v>
      </c>
      <c r="D250" s="85" t="s">
        <v>56</v>
      </c>
      <c r="E250" s="86" t="n">
        <v>20</v>
      </c>
      <c r="F250" s="86" t="n">
        <v>15</v>
      </c>
      <c r="G250" s="87" t="n">
        <f aca="false">E250*F250</f>
        <v>300</v>
      </c>
      <c r="H250" s="93"/>
      <c r="I250" s="94"/>
      <c r="J250" s="95"/>
      <c r="K250" s="3"/>
      <c r="L250" s="91"/>
      <c r="M250" s="92" t="s">
        <v>254</v>
      </c>
      <c r="N250" s="84" t="s">
        <v>331</v>
      </c>
      <c r="O250" s="85" t="s">
        <v>56</v>
      </c>
      <c r="P250" s="86" t="n">
        <v>20</v>
      </c>
      <c r="Q250" s="86" t="n">
        <v>15</v>
      </c>
      <c r="R250" s="87" t="n">
        <f aca="false">P250*Q250</f>
        <v>300</v>
      </c>
      <c r="S250" s="93"/>
      <c r="T250" s="94"/>
      <c r="U250" s="95"/>
    </row>
    <row r="251" customFormat="false" ht="18.75" hidden="false" customHeight="true" outlineLevel="0" collapsed="false">
      <c r="A251" s="91"/>
      <c r="B251" s="92" t="s">
        <v>254</v>
      </c>
      <c r="C251" s="84" t="s">
        <v>123</v>
      </c>
      <c r="D251" s="85" t="s">
        <v>56</v>
      </c>
      <c r="E251" s="86" t="n">
        <v>28.3</v>
      </c>
      <c r="F251" s="86" t="n">
        <v>15</v>
      </c>
      <c r="G251" s="87" t="n">
        <f aca="false">E251*F251</f>
        <v>424.5</v>
      </c>
      <c r="H251" s="93"/>
      <c r="I251" s="94"/>
      <c r="J251" s="95"/>
      <c r="K251" s="3"/>
      <c r="L251" s="91"/>
      <c r="M251" s="92" t="s">
        <v>254</v>
      </c>
      <c r="N251" s="84" t="s">
        <v>123</v>
      </c>
      <c r="O251" s="85" t="s">
        <v>56</v>
      </c>
      <c r="P251" s="86" t="n">
        <v>28.3</v>
      </c>
      <c r="Q251" s="86" t="n">
        <v>15</v>
      </c>
      <c r="R251" s="87" t="n">
        <f aca="false">P251*Q251</f>
        <v>424.5</v>
      </c>
      <c r="S251" s="93"/>
      <c r="T251" s="94"/>
      <c r="U251" s="95"/>
    </row>
    <row r="252" customFormat="false" ht="18.75" hidden="false" customHeight="true" outlineLevel="0" collapsed="false">
      <c r="A252" s="91"/>
      <c r="B252" s="92" t="s">
        <v>254</v>
      </c>
      <c r="C252" s="84" t="s">
        <v>93</v>
      </c>
      <c r="D252" s="103" t="s">
        <v>58</v>
      </c>
      <c r="E252" s="91"/>
      <c r="F252" s="91"/>
      <c r="G252" s="87" t="n">
        <v>81</v>
      </c>
      <c r="H252" s="93"/>
      <c r="I252" s="94"/>
      <c r="J252" s="95"/>
      <c r="K252" s="3"/>
      <c r="L252" s="91"/>
      <c r="M252" s="92" t="s">
        <v>254</v>
      </c>
      <c r="N252" s="84" t="s">
        <v>93</v>
      </c>
      <c r="O252" s="103" t="s">
        <v>58</v>
      </c>
      <c r="P252" s="91"/>
      <c r="Q252" s="91"/>
      <c r="R252" s="87" t="n">
        <v>81</v>
      </c>
      <c r="S252" s="93"/>
      <c r="T252" s="94"/>
      <c r="U252" s="95"/>
    </row>
    <row r="253" customFormat="false" ht="18.75" hidden="false" customHeight="true" outlineLevel="0" collapsed="false">
      <c r="A253" s="91"/>
      <c r="B253" s="92" t="s">
        <v>254</v>
      </c>
      <c r="C253" s="84" t="s">
        <v>92</v>
      </c>
      <c r="D253" s="103" t="s">
        <v>58</v>
      </c>
      <c r="E253" s="91"/>
      <c r="F253" s="91"/>
      <c r="G253" s="87" t="n">
        <v>81.69</v>
      </c>
      <c r="H253" s="93"/>
      <c r="I253" s="94"/>
      <c r="J253" s="95"/>
      <c r="K253" s="3"/>
      <c r="L253" s="91"/>
      <c r="M253" s="92" t="s">
        <v>254</v>
      </c>
      <c r="N253" s="84" t="s">
        <v>92</v>
      </c>
      <c r="O253" s="103" t="s">
        <v>58</v>
      </c>
      <c r="P253" s="91"/>
      <c r="Q253" s="91"/>
      <c r="R253" s="87" t="n">
        <v>81.69</v>
      </c>
      <c r="S253" s="93"/>
      <c r="T253" s="94"/>
      <c r="U253" s="95"/>
    </row>
    <row r="254" customFormat="false" ht="18.75" hidden="false" customHeight="true" outlineLevel="0" collapsed="false">
      <c r="A254" s="91"/>
      <c r="B254" s="92" t="s">
        <v>254</v>
      </c>
      <c r="C254" s="84" t="s">
        <v>95</v>
      </c>
      <c r="D254" s="103" t="s">
        <v>58</v>
      </c>
      <c r="E254" s="91"/>
      <c r="F254" s="91"/>
      <c r="G254" s="87" t="n">
        <v>93.16</v>
      </c>
      <c r="H254" s="93"/>
      <c r="I254" s="94"/>
      <c r="J254" s="95"/>
      <c r="K254" s="3"/>
      <c r="L254" s="91"/>
      <c r="M254" s="92" t="s">
        <v>254</v>
      </c>
      <c r="N254" s="84" t="s">
        <v>95</v>
      </c>
      <c r="O254" s="103" t="s">
        <v>58</v>
      </c>
      <c r="P254" s="91"/>
      <c r="Q254" s="91"/>
      <c r="R254" s="87" t="n">
        <v>93.16</v>
      </c>
      <c r="S254" s="93"/>
      <c r="T254" s="94"/>
      <c r="U254" s="95"/>
    </row>
    <row r="255" customFormat="false" ht="18.75" hidden="false" customHeight="true" outlineLevel="0" collapsed="false">
      <c r="A255" s="82" t="s">
        <v>24</v>
      </c>
      <c r="B255" s="83" t="s">
        <v>255</v>
      </c>
      <c r="C255" s="97" t="s">
        <v>91</v>
      </c>
      <c r="D255" s="98" t="s">
        <v>55</v>
      </c>
      <c r="E255" s="99" t="n">
        <v>21</v>
      </c>
      <c r="F255" s="99" t="n">
        <v>16</v>
      </c>
      <c r="G255" s="100" t="n">
        <f aca="false">E255*F255</f>
        <v>336</v>
      </c>
      <c r="H255" s="88" t="n">
        <f aca="false">SUMIF(B:B,B255,G:G)</f>
        <v>4825.9</v>
      </c>
      <c r="I255" s="89" t="n">
        <v>7000</v>
      </c>
      <c r="J255" s="90" t="n">
        <f aca="false">IFERROR((I255-H255)/I255,"")</f>
        <v>0.310585714285714</v>
      </c>
      <c r="K255" s="3"/>
      <c r="L255" s="82" t="s">
        <v>24</v>
      </c>
      <c r="M255" s="83" t="s">
        <v>255</v>
      </c>
      <c r="N255" s="97" t="s">
        <v>91</v>
      </c>
      <c r="O255" s="98" t="s">
        <v>55</v>
      </c>
      <c r="P255" s="101"/>
      <c r="Q255" s="101"/>
      <c r="R255" s="102" t="n">
        <v>0</v>
      </c>
      <c r="S255" s="88" t="n">
        <f aca="false">SUMIF(M:M,M255,R:R)</f>
        <v>4489.9</v>
      </c>
      <c r="T255" s="89" t="n">
        <f aca="false">I255</f>
        <v>7000</v>
      </c>
      <c r="U255" s="90" t="n">
        <f aca="false">IFERROR((T255-S255)/T255,"")</f>
        <v>0.358585714285714</v>
      </c>
    </row>
    <row r="256" customFormat="false" ht="18.75" hidden="false" customHeight="true" outlineLevel="0" collapsed="false">
      <c r="A256" s="91"/>
      <c r="B256" s="92" t="s">
        <v>255</v>
      </c>
      <c r="C256" s="84" t="s">
        <v>137</v>
      </c>
      <c r="D256" s="85" t="s">
        <v>56</v>
      </c>
      <c r="E256" s="86" t="n">
        <v>47</v>
      </c>
      <c r="F256" s="86" t="n">
        <v>15</v>
      </c>
      <c r="G256" s="87" t="n">
        <f aca="false">E256*F256</f>
        <v>705</v>
      </c>
      <c r="H256" s="93"/>
      <c r="I256" s="94"/>
      <c r="J256" s="95"/>
      <c r="K256" s="3"/>
      <c r="L256" s="91"/>
      <c r="M256" s="92" t="s">
        <v>255</v>
      </c>
      <c r="N256" s="84" t="s">
        <v>137</v>
      </c>
      <c r="O256" s="85" t="s">
        <v>56</v>
      </c>
      <c r="P256" s="86" t="n">
        <v>47</v>
      </c>
      <c r="Q256" s="86" t="n">
        <v>15</v>
      </c>
      <c r="R256" s="87" t="n">
        <f aca="false">P256*Q256</f>
        <v>705</v>
      </c>
      <c r="S256" s="93"/>
      <c r="T256" s="94"/>
      <c r="U256" s="95"/>
    </row>
    <row r="257" customFormat="false" ht="18.75" hidden="false" customHeight="true" outlineLevel="0" collapsed="false">
      <c r="A257" s="91"/>
      <c r="B257" s="92" t="s">
        <v>255</v>
      </c>
      <c r="C257" s="84" t="s">
        <v>236</v>
      </c>
      <c r="D257" s="85" t="s">
        <v>56</v>
      </c>
      <c r="E257" s="86" t="n">
        <v>27.55</v>
      </c>
      <c r="F257" s="86" t="n">
        <v>15</v>
      </c>
      <c r="G257" s="87" t="n">
        <f aca="false">E257*F257</f>
        <v>413.25</v>
      </c>
      <c r="H257" s="93"/>
      <c r="I257" s="94"/>
      <c r="J257" s="95"/>
      <c r="K257" s="3"/>
      <c r="L257" s="91"/>
      <c r="M257" s="92" t="s">
        <v>255</v>
      </c>
      <c r="N257" s="84" t="s">
        <v>236</v>
      </c>
      <c r="O257" s="85" t="s">
        <v>56</v>
      </c>
      <c r="P257" s="86" t="n">
        <v>27.55</v>
      </c>
      <c r="Q257" s="86" t="n">
        <v>15</v>
      </c>
      <c r="R257" s="87" t="n">
        <f aca="false">P257*Q257</f>
        <v>413.25</v>
      </c>
      <c r="S257" s="93"/>
      <c r="T257" s="94"/>
      <c r="U257" s="95"/>
    </row>
    <row r="258" customFormat="false" ht="18.75" hidden="false" customHeight="true" outlineLevel="0" collapsed="false">
      <c r="A258" s="91"/>
      <c r="B258" s="92" t="s">
        <v>255</v>
      </c>
      <c r="C258" s="84" t="s">
        <v>328</v>
      </c>
      <c r="D258" s="85" t="s">
        <v>56</v>
      </c>
      <c r="E258" s="86" t="n">
        <v>20.06</v>
      </c>
      <c r="F258" s="86" t="n">
        <v>15</v>
      </c>
      <c r="G258" s="87" t="n">
        <f aca="false">E258*F258</f>
        <v>300.9</v>
      </c>
      <c r="H258" s="93"/>
      <c r="I258" s="94"/>
      <c r="J258" s="95"/>
      <c r="K258" s="3"/>
      <c r="L258" s="91"/>
      <c r="M258" s="92" t="s">
        <v>255</v>
      </c>
      <c r="N258" s="84" t="s">
        <v>328</v>
      </c>
      <c r="O258" s="85" t="s">
        <v>56</v>
      </c>
      <c r="P258" s="86" t="n">
        <v>20.06</v>
      </c>
      <c r="Q258" s="86" t="n">
        <v>15</v>
      </c>
      <c r="R258" s="87" t="n">
        <f aca="false">P258*Q258</f>
        <v>300.9</v>
      </c>
      <c r="S258" s="93"/>
      <c r="T258" s="94"/>
      <c r="U258" s="95"/>
    </row>
    <row r="259" customFormat="false" ht="18.75" hidden="false" customHeight="true" outlineLevel="0" collapsed="false">
      <c r="A259" s="91"/>
      <c r="B259" s="92" t="s">
        <v>255</v>
      </c>
      <c r="C259" s="84" t="s">
        <v>317</v>
      </c>
      <c r="D259" s="85" t="s">
        <v>56</v>
      </c>
      <c r="E259" s="86" t="n">
        <v>18.13</v>
      </c>
      <c r="F259" s="86" t="n">
        <v>15</v>
      </c>
      <c r="G259" s="87" t="n">
        <f aca="false">E259*F259</f>
        <v>271.95</v>
      </c>
      <c r="H259" s="93"/>
      <c r="I259" s="94"/>
      <c r="J259" s="95"/>
      <c r="K259" s="3"/>
      <c r="L259" s="91"/>
      <c r="M259" s="92" t="s">
        <v>255</v>
      </c>
      <c r="N259" s="84" t="s">
        <v>317</v>
      </c>
      <c r="O259" s="85" t="s">
        <v>56</v>
      </c>
      <c r="P259" s="86" t="n">
        <v>18.13</v>
      </c>
      <c r="Q259" s="86" t="n">
        <v>15</v>
      </c>
      <c r="R259" s="87" t="n">
        <f aca="false">P259*Q259</f>
        <v>271.95</v>
      </c>
      <c r="S259" s="93"/>
      <c r="T259" s="94"/>
      <c r="U259" s="95"/>
    </row>
    <row r="260" customFormat="false" ht="18.75" hidden="false" customHeight="true" outlineLevel="0" collapsed="false">
      <c r="A260" s="91"/>
      <c r="B260" s="92" t="s">
        <v>255</v>
      </c>
      <c r="C260" s="84" t="s">
        <v>123</v>
      </c>
      <c r="D260" s="85" t="s">
        <v>56</v>
      </c>
      <c r="E260" s="86" t="n">
        <v>23.57</v>
      </c>
      <c r="F260" s="86" t="n">
        <v>15</v>
      </c>
      <c r="G260" s="87" t="n">
        <f aca="false">E260*F260</f>
        <v>353.55</v>
      </c>
      <c r="H260" s="93"/>
      <c r="I260" s="94"/>
      <c r="J260" s="95"/>
      <c r="K260" s="3"/>
      <c r="L260" s="91"/>
      <c r="M260" s="92" t="s">
        <v>255</v>
      </c>
      <c r="N260" s="84" t="s">
        <v>123</v>
      </c>
      <c r="O260" s="85" t="s">
        <v>56</v>
      </c>
      <c r="P260" s="86" t="n">
        <v>23.57</v>
      </c>
      <c r="Q260" s="86" t="n">
        <v>15</v>
      </c>
      <c r="R260" s="87" t="n">
        <f aca="false">P260*Q260</f>
        <v>353.55</v>
      </c>
      <c r="S260" s="93"/>
      <c r="T260" s="94"/>
      <c r="U260" s="95"/>
    </row>
    <row r="261" customFormat="false" ht="18.75" hidden="false" customHeight="true" outlineLevel="0" collapsed="false">
      <c r="A261" s="91"/>
      <c r="B261" s="92" t="s">
        <v>255</v>
      </c>
      <c r="C261" s="84" t="s">
        <v>332</v>
      </c>
      <c r="D261" s="85" t="s">
        <v>56</v>
      </c>
      <c r="E261" s="86" t="n">
        <v>18.77</v>
      </c>
      <c r="F261" s="86" t="n">
        <v>15</v>
      </c>
      <c r="G261" s="87" t="n">
        <f aca="false">E261*F261</f>
        <v>281.55</v>
      </c>
      <c r="H261" s="93"/>
      <c r="I261" s="94"/>
      <c r="J261" s="95"/>
      <c r="K261" s="3"/>
      <c r="L261" s="91"/>
      <c r="M261" s="92" t="s">
        <v>255</v>
      </c>
      <c r="N261" s="84" t="s">
        <v>332</v>
      </c>
      <c r="O261" s="85" t="s">
        <v>56</v>
      </c>
      <c r="P261" s="86" t="n">
        <v>18.77</v>
      </c>
      <c r="Q261" s="86" t="n">
        <v>15</v>
      </c>
      <c r="R261" s="87" t="n">
        <f aca="false">P261*Q261</f>
        <v>281.55</v>
      </c>
      <c r="S261" s="93"/>
      <c r="T261" s="94"/>
      <c r="U261" s="95"/>
    </row>
    <row r="262" customFormat="false" ht="18.75" hidden="false" customHeight="true" outlineLevel="0" collapsed="false">
      <c r="A262" s="91"/>
      <c r="B262" s="92" t="s">
        <v>255</v>
      </c>
      <c r="C262" s="84" t="s">
        <v>121</v>
      </c>
      <c r="D262" s="85" t="s">
        <v>56</v>
      </c>
      <c r="E262" s="86" t="n">
        <v>25.55</v>
      </c>
      <c r="F262" s="86" t="n">
        <v>17</v>
      </c>
      <c r="G262" s="87" t="n">
        <f aca="false">E262*F262</f>
        <v>434.35</v>
      </c>
      <c r="H262" s="93"/>
      <c r="I262" s="94"/>
      <c r="J262" s="95"/>
      <c r="K262" s="3"/>
      <c r="L262" s="91"/>
      <c r="M262" s="92" t="s">
        <v>255</v>
      </c>
      <c r="N262" s="84" t="s">
        <v>121</v>
      </c>
      <c r="O262" s="85" t="s">
        <v>56</v>
      </c>
      <c r="P262" s="86" t="n">
        <v>25.55</v>
      </c>
      <c r="Q262" s="86" t="n">
        <v>17</v>
      </c>
      <c r="R262" s="87" t="n">
        <f aca="false">P262*Q262</f>
        <v>434.35</v>
      </c>
      <c r="S262" s="93"/>
      <c r="T262" s="94"/>
      <c r="U262" s="95"/>
    </row>
    <row r="263" customFormat="false" ht="18.75" hidden="false" customHeight="true" outlineLevel="0" collapsed="false">
      <c r="A263" s="91"/>
      <c r="B263" s="92" t="s">
        <v>255</v>
      </c>
      <c r="C263" s="84" t="s">
        <v>182</v>
      </c>
      <c r="D263" s="85" t="s">
        <v>56</v>
      </c>
      <c r="E263" s="86" t="n">
        <v>26.8</v>
      </c>
      <c r="F263" s="86" t="n">
        <v>15</v>
      </c>
      <c r="G263" s="87" t="n">
        <f aca="false">E263*F263</f>
        <v>402</v>
      </c>
      <c r="H263" s="93"/>
      <c r="I263" s="94"/>
      <c r="J263" s="95"/>
      <c r="K263" s="3"/>
      <c r="L263" s="91"/>
      <c r="M263" s="92" t="s">
        <v>255</v>
      </c>
      <c r="N263" s="84" t="s">
        <v>182</v>
      </c>
      <c r="O263" s="85" t="s">
        <v>56</v>
      </c>
      <c r="P263" s="86" t="n">
        <v>26.8</v>
      </c>
      <c r="Q263" s="86" t="n">
        <v>15</v>
      </c>
      <c r="R263" s="87" t="n">
        <f aca="false">P263*Q263</f>
        <v>402</v>
      </c>
      <c r="S263" s="93"/>
      <c r="T263" s="94"/>
      <c r="U263" s="95"/>
    </row>
    <row r="264" customFormat="false" ht="18.75" hidden="false" customHeight="true" outlineLevel="0" collapsed="false">
      <c r="A264" s="91"/>
      <c r="B264" s="92" t="s">
        <v>255</v>
      </c>
      <c r="C264" s="84" t="s">
        <v>229</v>
      </c>
      <c r="D264" s="85" t="s">
        <v>56</v>
      </c>
      <c r="E264" s="86" t="n">
        <v>25.45</v>
      </c>
      <c r="F264" s="86" t="n">
        <v>15</v>
      </c>
      <c r="G264" s="87" t="n">
        <f aca="false">E264*F264</f>
        <v>381.75</v>
      </c>
      <c r="H264" s="93"/>
      <c r="I264" s="94"/>
      <c r="J264" s="95"/>
      <c r="K264" s="3"/>
      <c r="L264" s="91"/>
      <c r="M264" s="92" t="s">
        <v>255</v>
      </c>
      <c r="N264" s="84" t="s">
        <v>229</v>
      </c>
      <c r="O264" s="85" t="s">
        <v>56</v>
      </c>
      <c r="P264" s="86" t="n">
        <v>25.45</v>
      </c>
      <c r="Q264" s="86" t="n">
        <v>15</v>
      </c>
      <c r="R264" s="87" t="n">
        <f aca="false">P264*Q264</f>
        <v>381.75</v>
      </c>
      <c r="S264" s="93"/>
      <c r="T264" s="94"/>
      <c r="U264" s="95"/>
    </row>
    <row r="265" customFormat="false" ht="18.75" hidden="false" customHeight="true" outlineLevel="0" collapsed="false">
      <c r="A265" s="91"/>
      <c r="B265" s="92" t="s">
        <v>255</v>
      </c>
      <c r="C265" s="84" t="s">
        <v>120</v>
      </c>
      <c r="D265" s="85" t="s">
        <v>56</v>
      </c>
      <c r="E265" s="86" t="n">
        <v>5.55</v>
      </c>
      <c r="F265" s="86" t="n">
        <v>15</v>
      </c>
      <c r="G265" s="87" t="n">
        <f aca="false">E265*F265</f>
        <v>83.25</v>
      </c>
      <c r="H265" s="93"/>
      <c r="I265" s="94"/>
      <c r="J265" s="95"/>
      <c r="K265" s="3"/>
      <c r="L265" s="91"/>
      <c r="M265" s="92" t="s">
        <v>255</v>
      </c>
      <c r="N265" s="84" t="s">
        <v>120</v>
      </c>
      <c r="O265" s="85" t="s">
        <v>56</v>
      </c>
      <c r="P265" s="86" t="n">
        <v>5.55</v>
      </c>
      <c r="Q265" s="86" t="n">
        <v>15</v>
      </c>
      <c r="R265" s="87" t="n">
        <f aca="false">P265*Q265</f>
        <v>83.25</v>
      </c>
      <c r="S265" s="93"/>
      <c r="T265" s="94"/>
      <c r="U265" s="95"/>
    </row>
    <row r="266" customFormat="false" ht="18.75" hidden="false" customHeight="true" outlineLevel="0" collapsed="false">
      <c r="A266" s="91"/>
      <c r="B266" s="92" t="s">
        <v>255</v>
      </c>
      <c r="C266" s="84" t="s">
        <v>93</v>
      </c>
      <c r="D266" s="103" t="s">
        <v>58</v>
      </c>
      <c r="E266" s="91"/>
      <c r="F266" s="91"/>
      <c r="G266" s="87" t="n">
        <v>93</v>
      </c>
      <c r="H266" s="93"/>
      <c r="I266" s="94"/>
      <c r="J266" s="95"/>
      <c r="K266" s="3"/>
      <c r="L266" s="91"/>
      <c r="M266" s="92" t="s">
        <v>255</v>
      </c>
      <c r="N266" s="84" t="s">
        <v>93</v>
      </c>
      <c r="O266" s="103" t="s">
        <v>58</v>
      </c>
      <c r="P266" s="91"/>
      <c r="Q266" s="91"/>
      <c r="R266" s="87" t="n">
        <v>93</v>
      </c>
      <c r="S266" s="93"/>
      <c r="T266" s="94"/>
      <c r="U266" s="95"/>
    </row>
    <row r="267" customFormat="false" ht="18.75" hidden="false" customHeight="true" outlineLevel="0" collapsed="false">
      <c r="A267" s="91"/>
      <c r="B267" s="92" t="s">
        <v>255</v>
      </c>
      <c r="C267" s="84" t="s">
        <v>92</v>
      </c>
      <c r="D267" s="103" t="s">
        <v>58</v>
      </c>
      <c r="E267" s="91"/>
      <c r="F267" s="91"/>
      <c r="G267" s="87" t="n">
        <v>226.28</v>
      </c>
      <c r="H267" s="93"/>
      <c r="I267" s="94"/>
      <c r="J267" s="95"/>
      <c r="K267" s="3"/>
      <c r="L267" s="91"/>
      <c r="M267" s="92" t="s">
        <v>255</v>
      </c>
      <c r="N267" s="84" t="s">
        <v>92</v>
      </c>
      <c r="O267" s="103" t="s">
        <v>58</v>
      </c>
      <c r="P267" s="91"/>
      <c r="Q267" s="91"/>
      <c r="R267" s="87" t="n">
        <v>226.28</v>
      </c>
      <c r="S267" s="93"/>
      <c r="T267" s="94"/>
      <c r="U267" s="95"/>
    </row>
    <row r="268" customFormat="false" ht="18.75" hidden="false" customHeight="true" outlineLevel="0" collapsed="false">
      <c r="A268" s="91"/>
      <c r="B268" s="92" t="s">
        <v>255</v>
      </c>
      <c r="C268" s="84" t="s">
        <v>94</v>
      </c>
      <c r="D268" s="103" t="s">
        <v>58</v>
      </c>
      <c r="E268" s="91"/>
      <c r="F268" s="91"/>
      <c r="G268" s="87" t="n">
        <v>372</v>
      </c>
      <c r="H268" s="93"/>
      <c r="I268" s="94"/>
      <c r="J268" s="95"/>
      <c r="K268" s="3"/>
      <c r="L268" s="91"/>
      <c r="M268" s="92" t="s">
        <v>255</v>
      </c>
      <c r="N268" s="84" t="s">
        <v>94</v>
      </c>
      <c r="O268" s="103" t="s">
        <v>58</v>
      </c>
      <c r="P268" s="91"/>
      <c r="Q268" s="91"/>
      <c r="R268" s="87" t="n">
        <v>372</v>
      </c>
      <c r="S268" s="93"/>
      <c r="T268" s="94"/>
      <c r="U268" s="95"/>
    </row>
    <row r="269" customFormat="false" ht="18.75" hidden="false" customHeight="true" outlineLevel="0" collapsed="false">
      <c r="A269" s="91"/>
      <c r="B269" s="92" t="s">
        <v>255</v>
      </c>
      <c r="C269" s="84" t="s">
        <v>95</v>
      </c>
      <c r="D269" s="103" t="s">
        <v>58</v>
      </c>
      <c r="E269" s="91"/>
      <c r="F269" s="91"/>
      <c r="G269" s="87" t="n">
        <v>171.07</v>
      </c>
      <c r="H269" s="93"/>
      <c r="I269" s="94"/>
      <c r="J269" s="95"/>
      <c r="K269" s="3"/>
      <c r="L269" s="91"/>
      <c r="M269" s="92" t="s">
        <v>255</v>
      </c>
      <c r="N269" s="84" t="s">
        <v>95</v>
      </c>
      <c r="O269" s="103" t="s">
        <v>58</v>
      </c>
      <c r="P269" s="91"/>
      <c r="Q269" s="91"/>
      <c r="R269" s="87" t="n">
        <v>171.07</v>
      </c>
      <c r="S269" s="93"/>
      <c r="T269" s="94"/>
      <c r="U269" s="95"/>
    </row>
    <row r="270" customFormat="false" ht="18.75" hidden="false" customHeight="true" outlineLevel="0" collapsed="false">
      <c r="A270" s="112"/>
      <c r="B270" s="112"/>
      <c r="C270" s="112"/>
      <c r="D270" s="112"/>
      <c r="E270" s="112"/>
      <c r="F270" s="112"/>
      <c r="G270" s="113" t="str">
        <f aca="false">IF(AND(E270&lt;&gt;"",F270&lt;&gt;""),E270*F270,"")</f>
        <v/>
      </c>
      <c r="H270" s="113" t="str">
        <f aca="false">IF(B270&lt;&gt;"",SUMIF(B:B,B270,G:G),"")</f>
        <v/>
      </c>
      <c r="I270" s="112"/>
      <c r="J270" s="114" t="str">
        <f aca="false">IF(AND(I270&lt;&gt;"",H270&lt;&gt;""),IFERROR((I270-H270)/I270,""),"")</f>
        <v/>
      </c>
      <c r="K270" s="3"/>
      <c r="L270" s="112"/>
      <c r="M270" s="112"/>
      <c r="N270" s="112"/>
      <c r="O270" s="112"/>
      <c r="P270" s="112"/>
      <c r="Q270" s="112"/>
      <c r="R270" s="113" t="str">
        <f aca="false">IF(AND(P270&lt;&gt;"",Q270&lt;&gt;""),P270*Q270,"")</f>
        <v/>
      </c>
      <c r="S270" s="113" t="str">
        <f aca="false">IF(M270&lt;&gt;"",SUMIF(M:M,M270,R:R),"")</f>
        <v/>
      </c>
      <c r="T270" s="113" t="str">
        <f aca="false">IF(I270&lt;&gt;"",I270,"")</f>
        <v/>
      </c>
      <c r="U270" s="114" t="str">
        <f aca="false">IF(AND(T270&lt;&gt;"",S270&lt;&gt;""),IFERROR((T270-S270)/T270,""),"")</f>
        <v/>
      </c>
    </row>
    <row r="271" customFormat="false" ht="18.75" hidden="false" customHeight="true" outlineLevel="0" collapsed="false">
      <c r="A271" s="109"/>
      <c r="B271" s="109"/>
      <c r="C271" s="109"/>
      <c r="D271" s="109"/>
      <c r="E271" s="109"/>
      <c r="F271" s="109"/>
      <c r="G271" s="110" t="str">
        <f aca="false">IF(AND(E271&lt;&gt;"",F271&lt;&gt;""),E271*F271,"")</f>
        <v/>
      </c>
      <c r="H271" s="110" t="str">
        <f aca="false">IF(B271&lt;&gt;"",SUMIF(B:B,B271,G:G),"")</f>
        <v/>
      </c>
      <c r="I271" s="109"/>
      <c r="J271" s="111" t="str">
        <f aca="false">IF(AND(I271&lt;&gt;"",H271&lt;&gt;""),IFERROR((I271-H271)/I271,""),"")</f>
        <v/>
      </c>
      <c r="K271" s="3"/>
      <c r="L271" s="109"/>
      <c r="M271" s="109"/>
      <c r="N271" s="109"/>
      <c r="O271" s="109"/>
      <c r="P271" s="109"/>
      <c r="Q271" s="109"/>
      <c r="R271" s="110" t="str">
        <f aca="false">IF(AND(P271&lt;&gt;"",Q271&lt;&gt;""),P271*Q271,"")</f>
        <v/>
      </c>
      <c r="S271" s="110" t="str">
        <f aca="false">IF(M271&lt;&gt;"",SUMIF(M:M,M271,R:R),"")</f>
        <v/>
      </c>
      <c r="T271" s="110" t="str">
        <f aca="false">IF(I271&lt;&gt;"",I271,"")</f>
        <v/>
      </c>
      <c r="U271" s="111" t="str">
        <f aca="false">IF(AND(T271&lt;&gt;"",S271&lt;&gt;""),IFERROR((T271-S271)/T271,""),"")</f>
        <v/>
      </c>
    </row>
    <row r="272" customFormat="false" ht="18.75" hidden="false" customHeight="true" outlineLevel="0" collapsed="false">
      <c r="A272" s="112"/>
      <c r="B272" s="112"/>
      <c r="C272" s="112"/>
      <c r="D272" s="112"/>
      <c r="E272" s="112"/>
      <c r="F272" s="112"/>
      <c r="G272" s="113" t="str">
        <f aca="false">IF(AND(E272&lt;&gt;"",F272&lt;&gt;""),E272*F272,"")</f>
        <v/>
      </c>
      <c r="H272" s="113" t="str">
        <f aca="false">IF(B272&lt;&gt;"",SUMIF(B:B,B272,G:G),"")</f>
        <v/>
      </c>
      <c r="I272" s="112"/>
      <c r="J272" s="114" t="str">
        <f aca="false">IF(AND(I272&lt;&gt;"",H272&lt;&gt;""),IFERROR((I272-H272)/I272,""),"")</f>
        <v/>
      </c>
      <c r="K272" s="3"/>
      <c r="L272" s="112"/>
      <c r="M272" s="112"/>
      <c r="N272" s="112"/>
      <c r="O272" s="112"/>
      <c r="P272" s="112"/>
      <c r="Q272" s="112"/>
      <c r="R272" s="113" t="str">
        <f aca="false">IF(AND(P272&lt;&gt;"",Q272&lt;&gt;""),P272*Q272,"")</f>
        <v/>
      </c>
      <c r="S272" s="113" t="str">
        <f aca="false">IF(M272&lt;&gt;"",SUMIF(M:M,M272,R:R),"")</f>
        <v/>
      </c>
      <c r="T272" s="113" t="str">
        <f aca="false">IF(I272&lt;&gt;"",I272,"")</f>
        <v/>
      </c>
      <c r="U272" s="114" t="str">
        <f aca="false">IF(AND(T272&lt;&gt;"",S272&lt;&gt;""),IFERROR((T272-S272)/T272,""),"")</f>
        <v/>
      </c>
    </row>
    <row r="273" customFormat="false" ht="18.75" hidden="false" customHeight="true" outlineLevel="0" collapsed="false">
      <c r="A273" s="109"/>
      <c r="B273" s="109"/>
      <c r="C273" s="109"/>
      <c r="D273" s="109"/>
      <c r="E273" s="109"/>
      <c r="F273" s="109"/>
      <c r="G273" s="110" t="str">
        <f aca="false">IF(AND(E273&lt;&gt;"",F273&lt;&gt;""),E273*F273,"")</f>
        <v/>
      </c>
      <c r="H273" s="110" t="str">
        <f aca="false">IF(B273&lt;&gt;"",SUMIF(B:B,B273,G:G),"")</f>
        <v/>
      </c>
      <c r="I273" s="109"/>
      <c r="J273" s="111" t="str">
        <f aca="false">IF(AND(I273&lt;&gt;"",H273&lt;&gt;""),IFERROR((I273-H273)/I273,""),"")</f>
        <v/>
      </c>
      <c r="K273" s="3"/>
      <c r="L273" s="109"/>
      <c r="M273" s="109"/>
      <c r="N273" s="109"/>
      <c r="O273" s="109"/>
      <c r="P273" s="109"/>
      <c r="Q273" s="109"/>
      <c r="R273" s="110" t="str">
        <f aca="false">IF(AND(P273&lt;&gt;"",Q273&lt;&gt;""),P273*Q273,"")</f>
        <v/>
      </c>
      <c r="S273" s="110" t="str">
        <f aca="false">IF(M273&lt;&gt;"",SUMIF(M:M,M273,R:R),"")</f>
        <v/>
      </c>
      <c r="T273" s="110" t="str">
        <f aca="false">IF(I273&lt;&gt;"",I273,"")</f>
        <v/>
      </c>
      <c r="U273" s="111" t="str">
        <f aca="false">IF(AND(T273&lt;&gt;"",S273&lt;&gt;""),IFERROR((T273-S273)/T273,""),"")</f>
        <v/>
      </c>
    </row>
    <row r="274" customFormat="false" ht="18.75" hidden="false" customHeight="true" outlineLevel="0" collapsed="false">
      <c r="A274" s="112"/>
      <c r="B274" s="112"/>
      <c r="C274" s="112"/>
      <c r="D274" s="112"/>
      <c r="E274" s="112"/>
      <c r="F274" s="112"/>
      <c r="G274" s="113" t="str">
        <f aca="false">IF(AND(E274&lt;&gt;"",F274&lt;&gt;""),E274*F274,"")</f>
        <v/>
      </c>
      <c r="H274" s="113" t="str">
        <f aca="false">IF(B274&lt;&gt;"",SUMIF(B:B,B274,G:G),"")</f>
        <v/>
      </c>
      <c r="I274" s="112"/>
      <c r="J274" s="114" t="str">
        <f aca="false">IF(AND(I274&lt;&gt;"",H274&lt;&gt;""),IFERROR((I274-H274)/I274,""),"")</f>
        <v/>
      </c>
      <c r="K274" s="3"/>
      <c r="L274" s="112"/>
      <c r="M274" s="112"/>
      <c r="N274" s="112"/>
      <c r="O274" s="112"/>
      <c r="P274" s="112"/>
      <c r="Q274" s="112"/>
      <c r="R274" s="113" t="str">
        <f aca="false">IF(AND(P274&lt;&gt;"",Q274&lt;&gt;""),P274*Q274,"")</f>
        <v/>
      </c>
      <c r="S274" s="113" t="str">
        <f aca="false">IF(M274&lt;&gt;"",SUMIF(M:M,M274,R:R),"")</f>
        <v/>
      </c>
      <c r="T274" s="113" t="str">
        <f aca="false">IF(I274&lt;&gt;"",I274,"")</f>
        <v/>
      </c>
      <c r="U274" s="114" t="str">
        <f aca="false">IF(AND(T274&lt;&gt;"",S274&lt;&gt;""),IFERROR((T274-S274)/T274,""),"")</f>
        <v/>
      </c>
    </row>
    <row r="275" customFormat="false" ht="18.75" hidden="false" customHeight="true" outlineLevel="0" collapsed="false">
      <c r="A275" s="109"/>
      <c r="B275" s="109"/>
      <c r="C275" s="109"/>
      <c r="D275" s="109"/>
      <c r="E275" s="109"/>
      <c r="F275" s="109"/>
      <c r="G275" s="110" t="str">
        <f aca="false">IF(AND(E275&lt;&gt;"",F275&lt;&gt;""),E275*F275,"")</f>
        <v/>
      </c>
      <c r="H275" s="110" t="str">
        <f aca="false">IF(B275&lt;&gt;"",SUMIF(B:B,B275,G:G),"")</f>
        <v/>
      </c>
      <c r="I275" s="109"/>
      <c r="J275" s="111" t="str">
        <f aca="false">IF(AND(I275&lt;&gt;"",H275&lt;&gt;""),IFERROR((I275-H275)/I275,""),"")</f>
        <v/>
      </c>
      <c r="K275" s="3"/>
      <c r="L275" s="109"/>
      <c r="M275" s="109"/>
      <c r="N275" s="109"/>
      <c r="O275" s="109"/>
      <c r="P275" s="109"/>
      <c r="Q275" s="109"/>
      <c r="R275" s="110" t="str">
        <f aca="false">IF(AND(P275&lt;&gt;"",Q275&lt;&gt;""),P275*Q275,"")</f>
        <v/>
      </c>
      <c r="S275" s="110" t="str">
        <f aca="false">IF(M275&lt;&gt;"",SUMIF(M:M,M275,R:R),"")</f>
        <v/>
      </c>
      <c r="T275" s="110" t="str">
        <f aca="false">IF(I275&lt;&gt;"",I275,"")</f>
        <v/>
      </c>
      <c r="U275" s="111" t="str">
        <f aca="false">IF(AND(T275&lt;&gt;"",S275&lt;&gt;""),IFERROR((T275-S275)/T275,""),"")</f>
        <v/>
      </c>
    </row>
    <row r="276" customFormat="false" ht="18.75" hidden="false" customHeight="true" outlineLevel="0" collapsed="false">
      <c r="A276" s="112"/>
      <c r="B276" s="112"/>
      <c r="C276" s="112"/>
      <c r="D276" s="112"/>
      <c r="E276" s="112"/>
      <c r="F276" s="112"/>
      <c r="G276" s="113" t="str">
        <f aca="false">IF(AND(E276&lt;&gt;"",F276&lt;&gt;""),E276*F276,"")</f>
        <v/>
      </c>
      <c r="H276" s="113" t="str">
        <f aca="false">IF(B276&lt;&gt;"",SUMIF(B:B,B276,G:G),"")</f>
        <v/>
      </c>
      <c r="I276" s="112"/>
      <c r="J276" s="114" t="str">
        <f aca="false">IF(AND(I276&lt;&gt;"",H276&lt;&gt;""),IFERROR((I276-H276)/I276,""),"")</f>
        <v/>
      </c>
      <c r="K276" s="3"/>
      <c r="L276" s="112"/>
      <c r="M276" s="112"/>
      <c r="N276" s="112"/>
      <c r="O276" s="112"/>
      <c r="P276" s="112"/>
      <c r="Q276" s="112"/>
      <c r="R276" s="113" t="str">
        <f aca="false">IF(AND(P276&lt;&gt;"",Q276&lt;&gt;""),P276*Q276,"")</f>
        <v/>
      </c>
      <c r="S276" s="113" t="str">
        <f aca="false">IF(M276&lt;&gt;"",SUMIF(M:M,M276,R:R),"")</f>
        <v/>
      </c>
      <c r="T276" s="113" t="str">
        <f aca="false">IF(I276&lt;&gt;"",I276,"")</f>
        <v/>
      </c>
      <c r="U276" s="114" t="str">
        <f aca="false">IF(AND(T276&lt;&gt;"",S276&lt;&gt;""),IFERROR((T276-S276)/T276,""),"")</f>
        <v/>
      </c>
    </row>
    <row r="277" customFormat="false" ht="18.75" hidden="false" customHeight="true" outlineLevel="0" collapsed="false">
      <c r="A277" s="109"/>
      <c r="B277" s="109"/>
      <c r="C277" s="109"/>
      <c r="D277" s="109"/>
      <c r="E277" s="109"/>
      <c r="F277" s="109"/>
      <c r="G277" s="110" t="str">
        <f aca="false">IF(AND(E277&lt;&gt;"",F277&lt;&gt;""),E277*F277,"")</f>
        <v/>
      </c>
      <c r="H277" s="110" t="str">
        <f aca="false">IF(B277&lt;&gt;"",SUMIF(B:B,B277,G:G),"")</f>
        <v/>
      </c>
      <c r="I277" s="109"/>
      <c r="J277" s="111" t="str">
        <f aca="false">IF(AND(I277&lt;&gt;"",H277&lt;&gt;""),IFERROR((I277-H277)/I277,""),"")</f>
        <v/>
      </c>
      <c r="K277" s="3"/>
      <c r="L277" s="109"/>
      <c r="M277" s="109"/>
      <c r="N277" s="109"/>
      <c r="O277" s="109"/>
      <c r="P277" s="109"/>
      <c r="Q277" s="109"/>
      <c r="R277" s="110" t="str">
        <f aca="false">IF(AND(P277&lt;&gt;"",Q277&lt;&gt;""),P277*Q277,"")</f>
        <v/>
      </c>
      <c r="S277" s="110" t="str">
        <f aca="false">IF(M277&lt;&gt;"",SUMIF(M:M,M277,R:R),"")</f>
        <v/>
      </c>
      <c r="T277" s="110" t="str">
        <f aca="false">IF(I277&lt;&gt;"",I277,"")</f>
        <v/>
      </c>
      <c r="U277" s="111" t="str">
        <f aca="false">IF(AND(T277&lt;&gt;"",S277&lt;&gt;""),IFERROR((T277-S277)/T277,""),"")</f>
        <v/>
      </c>
    </row>
    <row r="278" customFormat="false" ht="18.75" hidden="false" customHeight="true" outlineLevel="0" collapsed="false">
      <c r="A278" s="112"/>
      <c r="B278" s="112"/>
      <c r="C278" s="112"/>
      <c r="D278" s="112"/>
      <c r="E278" s="112"/>
      <c r="F278" s="112"/>
      <c r="G278" s="113" t="str">
        <f aca="false">IF(AND(E278&lt;&gt;"",F278&lt;&gt;""),E278*F278,"")</f>
        <v/>
      </c>
      <c r="H278" s="113" t="str">
        <f aca="false">IF(B278&lt;&gt;"",SUMIF(B:B,B278,G:G),"")</f>
        <v/>
      </c>
      <c r="I278" s="112"/>
      <c r="J278" s="114" t="str">
        <f aca="false">IF(AND(I278&lt;&gt;"",H278&lt;&gt;""),IFERROR((I278-H278)/I278,""),"")</f>
        <v/>
      </c>
      <c r="K278" s="3"/>
      <c r="L278" s="112"/>
      <c r="M278" s="112"/>
      <c r="N278" s="112"/>
      <c r="O278" s="112"/>
      <c r="P278" s="112"/>
      <c r="Q278" s="112"/>
      <c r="R278" s="113" t="str">
        <f aca="false">IF(AND(P278&lt;&gt;"",Q278&lt;&gt;""),P278*Q278,"")</f>
        <v/>
      </c>
      <c r="S278" s="113" t="str">
        <f aca="false">IF(M278&lt;&gt;"",SUMIF(M:M,M278,R:R),"")</f>
        <v/>
      </c>
      <c r="T278" s="113" t="str">
        <f aca="false">IF(I278&lt;&gt;"",I278,"")</f>
        <v/>
      </c>
      <c r="U278" s="114" t="str">
        <f aca="false">IF(AND(T278&lt;&gt;"",S278&lt;&gt;""),IFERROR((T278-S278)/T278,""),"")</f>
        <v/>
      </c>
    </row>
    <row r="279" customFormat="false" ht="18.75" hidden="false" customHeight="true" outlineLevel="0" collapsed="false">
      <c r="A279" s="109"/>
      <c r="B279" s="109"/>
      <c r="C279" s="109"/>
      <c r="D279" s="109"/>
      <c r="E279" s="109"/>
      <c r="F279" s="109"/>
      <c r="G279" s="110" t="str">
        <f aca="false">IF(AND(E279&lt;&gt;"",F279&lt;&gt;""),E279*F279,"")</f>
        <v/>
      </c>
      <c r="H279" s="110" t="str">
        <f aca="false">IF(B279&lt;&gt;"",SUMIF(B:B,B279,G:G),"")</f>
        <v/>
      </c>
      <c r="I279" s="109"/>
      <c r="J279" s="111" t="str">
        <f aca="false">IF(AND(I279&lt;&gt;"",H279&lt;&gt;""),IFERROR((I279-H279)/I279,""),"")</f>
        <v/>
      </c>
      <c r="K279" s="3"/>
      <c r="L279" s="109"/>
      <c r="M279" s="109"/>
      <c r="N279" s="109"/>
      <c r="O279" s="109"/>
      <c r="P279" s="109"/>
      <c r="Q279" s="109"/>
      <c r="R279" s="110" t="str">
        <f aca="false">IF(AND(P279&lt;&gt;"",Q279&lt;&gt;""),P279*Q279,"")</f>
        <v/>
      </c>
      <c r="S279" s="110" t="str">
        <f aca="false">IF(M279&lt;&gt;"",SUMIF(M:M,M279,R:R),"")</f>
        <v/>
      </c>
      <c r="T279" s="110" t="str">
        <f aca="false">IF(I279&lt;&gt;"",I279,"")</f>
        <v/>
      </c>
      <c r="U279" s="111" t="str">
        <f aca="false">IF(AND(T279&lt;&gt;"",S279&lt;&gt;""),IFERROR((T279-S279)/T279,""),"")</f>
        <v/>
      </c>
    </row>
    <row r="280" customFormat="false" ht="18.75" hidden="false" customHeight="true" outlineLevel="0" collapsed="false">
      <c r="A280" s="112"/>
      <c r="B280" s="112"/>
      <c r="C280" s="112"/>
      <c r="D280" s="112"/>
      <c r="E280" s="112"/>
      <c r="F280" s="112"/>
      <c r="G280" s="113" t="str">
        <f aca="false">IF(AND(E280&lt;&gt;"",F280&lt;&gt;""),E280*F280,"")</f>
        <v/>
      </c>
      <c r="H280" s="113" t="str">
        <f aca="false">IF(B280&lt;&gt;"",SUMIF(B:B,B280,G:G),"")</f>
        <v/>
      </c>
      <c r="I280" s="112"/>
      <c r="J280" s="114" t="str">
        <f aca="false">IF(AND(I280&lt;&gt;"",H280&lt;&gt;""),IFERROR((I280-H280)/I280,""),"")</f>
        <v/>
      </c>
      <c r="K280" s="3"/>
      <c r="L280" s="112"/>
      <c r="M280" s="112"/>
      <c r="N280" s="112"/>
      <c r="O280" s="112"/>
      <c r="P280" s="112"/>
      <c r="Q280" s="112"/>
      <c r="R280" s="113" t="str">
        <f aca="false">IF(AND(P280&lt;&gt;"",Q280&lt;&gt;""),P280*Q280,"")</f>
        <v/>
      </c>
      <c r="S280" s="113" t="str">
        <f aca="false">IF(M280&lt;&gt;"",SUMIF(M:M,M280,R:R),"")</f>
        <v/>
      </c>
      <c r="T280" s="113" t="str">
        <f aca="false">IF(I280&lt;&gt;"",I280,"")</f>
        <v/>
      </c>
      <c r="U280" s="114" t="str">
        <f aca="false">IF(AND(T280&lt;&gt;"",S280&lt;&gt;""),IFERROR((T280-S280)/T280,""),"")</f>
        <v/>
      </c>
    </row>
    <row r="281" customFormat="false" ht="18.75" hidden="false" customHeight="true" outlineLevel="0" collapsed="false">
      <c r="A281" s="109"/>
      <c r="B281" s="109"/>
      <c r="C281" s="109"/>
      <c r="D281" s="109"/>
      <c r="E281" s="109"/>
      <c r="F281" s="109"/>
      <c r="G281" s="110" t="str">
        <f aca="false">IF(AND(E281&lt;&gt;"",F281&lt;&gt;""),E281*F281,"")</f>
        <v/>
      </c>
      <c r="H281" s="110" t="str">
        <f aca="false">IF(B281&lt;&gt;"",SUMIF(B:B,B281,G:G),"")</f>
        <v/>
      </c>
      <c r="I281" s="109"/>
      <c r="J281" s="111" t="str">
        <f aca="false">IF(AND(I281&lt;&gt;"",H281&lt;&gt;""),IFERROR((I281-H281)/I281,""),"")</f>
        <v/>
      </c>
      <c r="K281" s="3"/>
      <c r="L281" s="109"/>
      <c r="M281" s="109"/>
      <c r="N281" s="109"/>
      <c r="O281" s="109"/>
      <c r="P281" s="109"/>
      <c r="Q281" s="109"/>
      <c r="R281" s="110" t="str">
        <f aca="false">IF(AND(P281&lt;&gt;"",Q281&lt;&gt;""),P281*Q281,"")</f>
        <v/>
      </c>
      <c r="S281" s="110" t="str">
        <f aca="false">IF(M281&lt;&gt;"",SUMIF(M:M,M281,R:R),"")</f>
        <v/>
      </c>
      <c r="T281" s="110" t="str">
        <f aca="false">IF(I281&lt;&gt;"",I281,"")</f>
        <v/>
      </c>
      <c r="U281" s="111" t="str">
        <f aca="false">IF(AND(T281&lt;&gt;"",S281&lt;&gt;""),IFERROR((T281-S281)/T281,""),"")</f>
        <v/>
      </c>
    </row>
    <row r="282" customFormat="false" ht="18.75" hidden="false" customHeight="true" outlineLevel="0" collapsed="false">
      <c r="A282" s="112"/>
      <c r="B282" s="112"/>
      <c r="C282" s="112"/>
      <c r="D282" s="112"/>
      <c r="E282" s="112"/>
      <c r="F282" s="112"/>
      <c r="G282" s="113" t="str">
        <f aca="false">IF(AND(E282&lt;&gt;"",F282&lt;&gt;""),E282*F282,"")</f>
        <v/>
      </c>
      <c r="H282" s="113" t="str">
        <f aca="false">IF(B282&lt;&gt;"",SUMIF(B:B,B282,G:G),"")</f>
        <v/>
      </c>
      <c r="I282" s="112"/>
      <c r="J282" s="114" t="str">
        <f aca="false">IF(AND(I282&lt;&gt;"",H282&lt;&gt;""),IFERROR((I282-H282)/I282,""),"")</f>
        <v/>
      </c>
      <c r="K282" s="3"/>
      <c r="L282" s="112"/>
      <c r="M282" s="112"/>
      <c r="N282" s="112"/>
      <c r="O282" s="112"/>
      <c r="P282" s="112"/>
      <c r="Q282" s="112"/>
      <c r="R282" s="113" t="str">
        <f aca="false">IF(AND(P282&lt;&gt;"",Q282&lt;&gt;""),P282*Q282,"")</f>
        <v/>
      </c>
      <c r="S282" s="113" t="str">
        <f aca="false">IF(M282&lt;&gt;"",SUMIF(M:M,M282,R:R),"")</f>
        <v/>
      </c>
      <c r="T282" s="113" t="str">
        <f aca="false">IF(I282&lt;&gt;"",I282,"")</f>
        <v/>
      </c>
      <c r="U282" s="114" t="str">
        <f aca="false">IF(AND(T282&lt;&gt;"",S282&lt;&gt;""),IFERROR((T282-S282)/T282,""),"")</f>
        <v/>
      </c>
    </row>
    <row r="283" customFormat="false" ht="18.75" hidden="false" customHeight="true" outlineLevel="0" collapsed="false">
      <c r="A283" s="109"/>
      <c r="B283" s="109"/>
      <c r="C283" s="109"/>
      <c r="D283" s="109"/>
      <c r="E283" s="109"/>
      <c r="F283" s="109"/>
      <c r="G283" s="110" t="str">
        <f aca="false">IF(AND(E283&lt;&gt;"",F283&lt;&gt;""),E283*F283,"")</f>
        <v/>
      </c>
      <c r="H283" s="110" t="str">
        <f aca="false">IF(B283&lt;&gt;"",SUMIF(B:B,B283,G:G),"")</f>
        <v/>
      </c>
      <c r="I283" s="109"/>
      <c r="J283" s="111" t="str">
        <f aca="false">IF(AND(I283&lt;&gt;"",H283&lt;&gt;""),IFERROR((I283-H283)/I283,""),"")</f>
        <v/>
      </c>
      <c r="K283" s="3"/>
      <c r="L283" s="109"/>
      <c r="M283" s="109"/>
      <c r="N283" s="109"/>
      <c r="O283" s="109"/>
      <c r="P283" s="109"/>
      <c r="Q283" s="109"/>
      <c r="R283" s="110" t="str">
        <f aca="false">IF(AND(P283&lt;&gt;"",Q283&lt;&gt;""),P283*Q283,"")</f>
        <v/>
      </c>
      <c r="S283" s="110" t="str">
        <f aca="false">IF(M283&lt;&gt;"",SUMIF(M:M,M283,R:R),"")</f>
        <v/>
      </c>
      <c r="T283" s="110" t="str">
        <f aca="false">IF(I283&lt;&gt;"",I283,"")</f>
        <v/>
      </c>
      <c r="U283" s="111" t="str">
        <f aca="false">IF(AND(T283&lt;&gt;"",S283&lt;&gt;""),IFERROR((T283-S283)/T283,""),"")</f>
        <v/>
      </c>
    </row>
    <row r="284" customFormat="false" ht="18.75" hidden="false" customHeight="true" outlineLevel="0" collapsed="false">
      <c r="A284" s="112"/>
      <c r="B284" s="112"/>
      <c r="C284" s="112"/>
      <c r="D284" s="112"/>
      <c r="E284" s="112"/>
      <c r="F284" s="112"/>
      <c r="G284" s="113" t="str">
        <f aca="false">IF(AND(E284&lt;&gt;"",F284&lt;&gt;""),E284*F284,"")</f>
        <v/>
      </c>
      <c r="H284" s="113" t="str">
        <f aca="false">IF(B284&lt;&gt;"",SUMIF(B:B,B284,G:G),"")</f>
        <v/>
      </c>
      <c r="I284" s="112"/>
      <c r="J284" s="114" t="str">
        <f aca="false">IF(AND(I284&lt;&gt;"",H284&lt;&gt;""),IFERROR((I284-H284)/I284,""),"")</f>
        <v/>
      </c>
      <c r="K284" s="3"/>
      <c r="L284" s="112"/>
      <c r="M284" s="112"/>
      <c r="N284" s="112"/>
      <c r="O284" s="112"/>
      <c r="P284" s="112"/>
      <c r="Q284" s="112"/>
      <c r="R284" s="113" t="str">
        <f aca="false">IF(AND(P284&lt;&gt;"",Q284&lt;&gt;""),P284*Q284,"")</f>
        <v/>
      </c>
      <c r="S284" s="113" t="str">
        <f aca="false">IF(M284&lt;&gt;"",SUMIF(M:M,M284,R:R),"")</f>
        <v/>
      </c>
      <c r="T284" s="113" t="str">
        <f aca="false">IF(I284&lt;&gt;"",I284,"")</f>
        <v/>
      </c>
      <c r="U284" s="114" t="str">
        <f aca="false">IF(AND(T284&lt;&gt;"",S284&lt;&gt;""),IFERROR((T284-S284)/T284,""),"")</f>
        <v/>
      </c>
    </row>
    <row r="285" customFormat="false" ht="18.75" hidden="false" customHeight="true" outlineLevel="0" collapsed="false">
      <c r="A285" s="109"/>
      <c r="B285" s="109"/>
      <c r="C285" s="109"/>
      <c r="D285" s="109"/>
      <c r="E285" s="109"/>
      <c r="F285" s="109"/>
      <c r="G285" s="110" t="str">
        <f aca="false">IF(AND(E285&lt;&gt;"",F285&lt;&gt;""),E285*F285,"")</f>
        <v/>
      </c>
      <c r="H285" s="110" t="str">
        <f aca="false">IF(B285&lt;&gt;"",SUMIF(B:B,B285,G:G),"")</f>
        <v/>
      </c>
      <c r="I285" s="109"/>
      <c r="J285" s="111" t="str">
        <f aca="false">IF(AND(I285&lt;&gt;"",H285&lt;&gt;""),IFERROR((I285-H285)/I285,""),"")</f>
        <v/>
      </c>
      <c r="K285" s="3"/>
      <c r="L285" s="109"/>
      <c r="M285" s="109"/>
      <c r="N285" s="109"/>
      <c r="O285" s="109"/>
      <c r="P285" s="109"/>
      <c r="Q285" s="109"/>
      <c r="R285" s="110" t="str">
        <f aca="false">IF(AND(P285&lt;&gt;"",Q285&lt;&gt;""),P285*Q285,"")</f>
        <v/>
      </c>
      <c r="S285" s="110" t="str">
        <f aca="false">IF(M285&lt;&gt;"",SUMIF(M:M,M285,R:R),"")</f>
        <v/>
      </c>
      <c r="T285" s="110" t="str">
        <f aca="false">IF(I285&lt;&gt;"",I285,"")</f>
        <v/>
      </c>
      <c r="U285" s="111" t="str">
        <f aca="false">IF(AND(T285&lt;&gt;"",S285&lt;&gt;""),IFERROR((T285-S285)/T285,""),"")</f>
        <v/>
      </c>
    </row>
    <row r="286" customFormat="false" ht="18.75" hidden="false" customHeight="true" outlineLevel="0" collapsed="false">
      <c r="A286" s="112"/>
      <c r="B286" s="112"/>
      <c r="C286" s="112"/>
      <c r="D286" s="112"/>
      <c r="E286" s="112"/>
      <c r="F286" s="112"/>
      <c r="G286" s="113" t="str">
        <f aca="false">IF(AND(E286&lt;&gt;"",F286&lt;&gt;""),E286*F286,"")</f>
        <v/>
      </c>
      <c r="H286" s="113" t="str">
        <f aca="false">IF(B286&lt;&gt;"",SUMIF(B:B,B286,G:G),"")</f>
        <v/>
      </c>
      <c r="I286" s="112"/>
      <c r="J286" s="114" t="str">
        <f aca="false">IF(AND(I286&lt;&gt;"",H286&lt;&gt;""),IFERROR((I286-H286)/I286,""),"")</f>
        <v/>
      </c>
      <c r="K286" s="3"/>
      <c r="L286" s="112"/>
      <c r="M286" s="112"/>
      <c r="N286" s="112"/>
      <c r="O286" s="112"/>
      <c r="P286" s="112"/>
      <c r="Q286" s="112"/>
      <c r="R286" s="113" t="str">
        <f aca="false">IF(AND(P286&lt;&gt;"",Q286&lt;&gt;""),P286*Q286,"")</f>
        <v/>
      </c>
      <c r="S286" s="113" t="str">
        <f aca="false">IF(M286&lt;&gt;"",SUMIF(M:M,M286,R:R),"")</f>
        <v/>
      </c>
      <c r="T286" s="113" t="str">
        <f aca="false">IF(I286&lt;&gt;"",I286,"")</f>
        <v/>
      </c>
      <c r="U286" s="114" t="str">
        <f aca="false">IF(AND(T286&lt;&gt;"",S286&lt;&gt;""),IFERROR((T286-S286)/T286,""),"")</f>
        <v/>
      </c>
    </row>
    <row r="287" customFormat="false" ht="18.75" hidden="false" customHeight="true" outlineLevel="0" collapsed="false">
      <c r="A287" s="109"/>
      <c r="B287" s="109"/>
      <c r="C287" s="109"/>
      <c r="D287" s="109"/>
      <c r="E287" s="109"/>
      <c r="F287" s="109"/>
      <c r="G287" s="110" t="str">
        <f aca="false">IF(AND(E287&lt;&gt;"",F287&lt;&gt;""),E287*F287,"")</f>
        <v/>
      </c>
      <c r="H287" s="110" t="str">
        <f aca="false">IF(B287&lt;&gt;"",SUMIF(B:B,B287,G:G),"")</f>
        <v/>
      </c>
      <c r="I287" s="109"/>
      <c r="J287" s="111" t="str">
        <f aca="false">IF(AND(I287&lt;&gt;"",H287&lt;&gt;""),IFERROR((I287-H287)/I287,""),"")</f>
        <v/>
      </c>
      <c r="K287" s="3"/>
      <c r="L287" s="109"/>
      <c r="M287" s="109"/>
      <c r="N287" s="109"/>
      <c r="O287" s="109"/>
      <c r="P287" s="109"/>
      <c r="Q287" s="109"/>
      <c r="R287" s="110" t="str">
        <f aca="false">IF(AND(P287&lt;&gt;"",Q287&lt;&gt;""),P287*Q287,"")</f>
        <v/>
      </c>
      <c r="S287" s="110" t="str">
        <f aca="false">IF(M287&lt;&gt;"",SUMIF(M:M,M287,R:R),"")</f>
        <v/>
      </c>
      <c r="T287" s="110" t="str">
        <f aca="false">IF(I287&lt;&gt;"",I287,"")</f>
        <v/>
      </c>
      <c r="U287" s="111" t="str">
        <f aca="false">IF(AND(T287&lt;&gt;"",S287&lt;&gt;""),IFERROR((T287-S287)/T287,""),"")</f>
        <v/>
      </c>
    </row>
    <row r="288" customFormat="false" ht="18.75" hidden="false" customHeight="true" outlineLevel="0" collapsed="false">
      <c r="A288" s="112"/>
      <c r="B288" s="112"/>
      <c r="C288" s="112"/>
      <c r="D288" s="112"/>
      <c r="E288" s="112"/>
      <c r="F288" s="112"/>
      <c r="G288" s="113" t="str">
        <f aca="false">IF(AND(E288&lt;&gt;"",F288&lt;&gt;""),E288*F288,"")</f>
        <v/>
      </c>
      <c r="H288" s="113" t="str">
        <f aca="false">IF(B288&lt;&gt;"",SUMIF(B:B,B288,G:G),"")</f>
        <v/>
      </c>
      <c r="I288" s="112"/>
      <c r="J288" s="114" t="str">
        <f aca="false">IF(AND(I288&lt;&gt;"",H288&lt;&gt;""),IFERROR((I288-H288)/I288,""),"")</f>
        <v/>
      </c>
      <c r="K288" s="3"/>
      <c r="L288" s="112"/>
      <c r="M288" s="112"/>
      <c r="N288" s="112"/>
      <c r="O288" s="112"/>
      <c r="P288" s="112"/>
      <c r="Q288" s="112"/>
      <c r="R288" s="113" t="str">
        <f aca="false">IF(AND(P288&lt;&gt;"",Q288&lt;&gt;""),P288*Q288,"")</f>
        <v/>
      </c>
      <c r="S288" s="113" t="str">
        <f aca="false">IF(M288&lt;&gt;"",SUMIF(M:M,M288,R:R),"")</f>
        <v/>
      </c>
      <c r="T288" s="113" t="str">
        <f aca="false">IF(I288&lt;&gt;"",I288,"")</f>
        <v/>
      </c>
      <c r="U288" s="114" t="str">
        <f aca="false">IF(AND(T288&lt;&gt;"",S288&lt;&gt;""),IFERROR((T288-S288)/T288,""),"")</f>
        <v/>
      </c>
    </row>
    <row r="289" customFormat="false" ht="18.75" hidden="false" customHeight="true" outlineLevel="0" collapsed="false">
      <c r="A289" s="109"/>
      <c r="B289" s="109"/>
      <c r="C289" s="109"/>
      <c r="D289" s="109"/>
      <c r="E289" s="109"/>
      <c r="F289" s="109"/>
      <c r="G289" s="110" t="str">
        <f aca="false">IF(AND(E289&lt;&gt;"",F289&lt;&gt;""),E289*F289,"")</f>
        <v/>
      </c>
      <c r="H289" s="110" t="str">
        <f aca="false">IF(B289&lt;&gt;"",SUMIF(B:B,B289,G:G),"")</f>
        <v/>
      </c>
      <c r="I289" s="109"/>
      <c r="J289" s="111" t="str">
        <f aca="false">IF(AND(I289&lt;&gt;"",H289&lt;&gt;""),IFERROR((I289-H289)/I289,""),"")</f>
        <v/>
      </c>
      <c r="K289" s="3"/>
      <c r="L289" s="109"/>
      <c r="M289" s="109"/>
      <c r="N289" s="109"/>
      <c r="O289" s="109"/>
      <c r="P289" s="109"/>
      <c r="Q289" s="109"/>
      <c r="R289" s="110" t="str">
        <f aca="false">IF(AND(P289&lt;&gt;"",Q289&lt;&gt;""),P289*Q289,"")</f>
        <v/>
      </c>
      <c r="S289" s="110" t="str">
        <f aca="false">IF(M289&lt;&gt;"",SUMIF(M:M,M289,R:R),"")</f>
        <v/>
      </c>
      <c r="T289" s="110" t="str">
        <f aca="false">IF(I289&lt;&gt;"",I289,"")</f>
        <v/>
      </c>
      <c r="U289" s="111" t="str">
        <f aca="false">IF(AND(T289&lt;&gt;"",S289&lt;&gt;""),IFERROR((T289-S289)/T289,""),"")</f>
        <v/>
      </c>
    </row>
    <row r="290" customFormat="false" ht="18.75" hidden="false" customHeight="true" outlineLevel="0" collapsed="false">
      <c r="A290" s="112"/>
      <c r="B290" s="112"/>
      <c r="C290" s="112"/>
      <c r="D290" s="112"/>
      <c r="E290" s="112"/>
      <c r="F290" s="112"/>
      <c r="G290" s="113" t="str">
        <f aca="false">IF(AND(E290&lt;&gt;"",F290&lt;&gt;""),E290*F290,"")</f>
        <v/>
      </c>
      <c r="H290" s="113" t="str">
        <f aca="false">IF(B290&lt;&gt;"",SUMIF(B:B,B290,G:G),"")</f>
        <v/>
      </c>
      <c r="I290" s="112"/>
      <c r="J290" s="114" t="str">
        <f aca="false">IF(AND(I290&lt;&gt;"",H290&lt;&gt;""),IFERROR((I290-H290)/I290,""),"")</f>
        <v/>
      </c>
      <c r="K290" s="3"/>
      <c r="L290" s="112"/>
      <c r="M290" s="112"/>
      <c r="N290" s="112"/>
      <c r="O290" s="112"/>
      <c r="P290" s="112"/>
      <c r="Q290" s="112"/>
      <c r="R290" s="113" t="str">
        <f aca="false">IF(AND(P290&lt;&gt;"",Q290&lt;&gt;""),P290*Q290,"")</f>
        <v/>
      </c>
      <c r="S290" s="113" t="str">
        <f aca="false">IF(M290&lt;&gt;"",SUMIF(M:M,M290,R:R),"")</f>
        <v/>
      </c>
      <c r="T290" s="113" t="str">
        <f aca="false">IF(I290&lt;&gt;"",I290,"")</f>
        <v/>
      </c>
      <c r="U290" s="114" t="str">
        <f aca="false">IF(AND(T290&lt;&gt;"",S290&lt;&gt;""),IFERROR((T290-S290)/T290,""),"")</f>
        <v/>
      </c>
    </row>
    <row r="291" customFormat="false" ht="18.75" hidden="false" customHeight="true" outlineLevel="0" collapsed="false">
      <c r="A291" s="109"/>
      <c r="B291" s="109"/>
      <c r="C291" s="109"/>
      <c r="D291" s="109"/>
      <c r="E291" s="109"/>
      <c r="F291" s="109"/>
      <c r="G291" s="110" t="str">
        <f aca="false">IF(AND(E291&lt;&gt;"",F291&lt;&gt;""),E291*F291,"")</f>
        <v/>
      </c>
      <c r="H291" s="110" t="str">
        <f aca="false">IF(B291&lt;&gt;"",SUMIF(B:B,B291,G:G),"")</f>
        <v/>
      </c>
      <c r="I291" s="109"/>
      <c r="J291" s="111" t="str">
        <f aca="false">IF(AND(I291&lt;&gt;"",H291&lt;&gt;""),IFERROR((I291-H291)/I291,""),"")</f>
        <v/>
      </c>
      <c r="K291" s="3"/>
      <c r="L291" s="109"/>
      <c r="M291" s="109"/>
      <c r="N291" s="109"/>
      <c r="O291" s="109"/>
      <c r="P291" s="109"/>
      <c r="Q291" s="109"/>
      <c r="R291" s="110" t="str">
        <f aca="false">IF(AND(P291&lt;&gt;"",Q291&lt;&gt;""),P291*Q291,"")</f>
        <v/>
      </c>
      <c r="S291" s="110" t="str">
        <f aca="false">IF(M291&lt;&gt;"",SUMIF(M:M,M291,R:R),"")</f>
        <v/>
      </c>
      <c r="T291" s="110" t="str">
        <f aca="false">IF(I291&lt;&gt;"",I291,"")</f>
        <v/>
      </c>
      <c r="U291" s="111" t="str">
        <f aca="false">IF(AND(T291&lt;&gt;"",S291&lt;&gt;""),IFERROR((T291-S291)/T291,""),"")</f>
        <v/>
      </c>
    </row>
    <row r="292" customFormat="false" ht="18.75" hidden="false" customHeight="true" outlineLevel="0" collapsed="false">
      <c r="A292" s="112"/>
      <c r="B292" s="112"/>
      <c r="C292" s="112"/>
      <c r="D292" s="112"/>
      <c r="E292" s="112"/>
      <c r="F292" s="112"/>
      <c r="G292" s="113" t="str">
        <f aca="false">IF(AND(E292&lt;&gt;"",F292&lt;&gt;""),E292*F292,"")</f>
        <v/>
      </c>
      <c r="H292" s="113" t="str">
        <f aca="false">IF(B292&lt;&gt;"",SUMIF(B:B,B292,G:G),"")</f>
        <v/>
      </c>
      <c r="I292" s="112"/>
      <c r="J292" s="114" t="str">
        <f aca="false">IF(AND(I292&lt;&gt;"",H292&lt;&gt;""),IFERROR((I292-H292)/I292,""),"")</f>
        <v/>
      </c>
      <c r="K292" s="3"/>
      <c r="L292" s="112"/>
      <c r="M292" s="112"/>
      <c r="N292" s="112"/>
      <c r="O292" s="112"/>
      <c r="P292" s="112"/>
      <c r="Q292" s="112"/>
      <c r="R292" s="113" t="str">
        <f aca="false">IF(AND(P292&lt;&gt;"",Q292&lt;&gt;""),P292*Q292,"")</f>
        <v/>
      </c>
      <c r="S292" s="113" t="str">
        <f aca="false">IF(M292&lt;&gt;"",SUMIF(M:M,M292,R:R),"")</f>
        <v/>
      </c>
      <c r="T292" s="113" t="str">
        <f aca="false">IF(I292&lt;&gt;"",I292,"")</f>
        <v/>
      </c>
      <c r="U292" s="114" t="str">
        <f aca="false">IF(AND(T292&lt;&gt;"",S292&lt;&gt;""),IFERROR((T292-S292)/T292,""),"")</f>
        <v/>
      </c>
    </row>
    <row r="293" customFormat="false" ht="18.75" hidden="false" customHeight="true" outlineLevel="0" collapsed="false">
      <c r="A293" s="109"/>
      <c r="B293" s="109"/>
      <c r="C293" s="109"/>
      <c r="D293" s="109"/>
      <c r="E293" s="109"/>
      <c r="F293" s="109"/>
      <c r="G293" s="110" t="str">
        <f aca="false">IF(AND(E293&lt;&gt;"",F293&lt;&gt;""),E293*F293,"")</f>
        <v/>
      </c>
      <c r="H293" s="110" t="str">
        <f aca="false">IF(B293&lt;&gt;"",SUMIF(B:B,B293,G:G),"")</f>
        <v/>
      </c>
      <c r="I293" s="109"/>
      <c r="J293" s="111" t="str">
        <f aca="false">IF(AND(I293&lt;&gt;"",H293&lt;&gt;""),IFERROR((I293-H293)/I293,""),"")</f>
        <v/>
      </c>
      <c r="K293" s="3"/>
      <c r="L293" s="109"/>
      <c r="M293" s="109"/>
      <c r="N293" s="109"/>
      <c r="O293" s="109"/>
      <c r="P293" s="109"/>
      <c r="Q293" s="109"/>
      <c r="R293" s="110" t="str">
        <f aca="false">IF(AND(P293&lt;&gt;"",Q293&lt;&gt;""),P293*Q293,"")</f>
        <v/>
      </c>
      <c r="S293" s="110" t="str">
        <f aca="false">IF(M293&lt;&gt;"",SUMIF(M:M,M293,R:R),"")</f>
        <v/>
      </c>
      <c r="T293" s="110" t="str">
        <f aca="false">IF(I293&lt;&gt;"",I293,"")</f>
        <v/>
      </c>
      <c r="U293" s="111" t="str">
        <f aca="false">IF(AND(T293&lt;&gt;"",S293&lt;&gt;""),IFERROR((T293-S293)/T293,""),"")</f>
        <v/>
      </c>
    </row>
    <row r="294" customFormat="false" ht="18.75" hidden="false" customHeight="true" outlineLevel="0" collapsed="false">
      <c r="A294" s="112"/>
      <c r="B294" s="112"/>
      <c r="C294" s="112"/>
      <c r="D294" s="112"/>
      <c r="E294" s="112"/>
      <c r="F294" s="112"/>
      <c r="G294" s="113" t="str">
        <f aca="false">IF(AND(E294&lt;&gt;"",F294&lt;&gt;""),E294*F294,"")</f>
        <v/>
      </c>
      <c r="H294" s="113" t="str">
        <f aca="false">IF(B294&lt;&gt;"",SUMIF(B:B,B294,G:G),"")</f>
        <v/>
      </c>
      <c r="I294" s="112"/>
      <c r="J294" s="114" t="str">
        <f aca="false">IF(AND(I294&lt;&gt;"",H294&lt;&gt;""),IFERROR((I294-H294)/I294,""),"")</f>
        <v/>
      </c>
      <c r="K294" s="3"/>
      <c r="L294" s="112"/>
      <c r="M294" s="112"/>
      <c r="N294" s="112"/>
      <c r="O294" s="112"/>
      <c r="P294" s="112"/>
      <c r="Q294" s="112"/>
      <c r="R294" s="113" t="str">
        <f aca="false">IF(AND(P294&lt;&gt;"",Q294&lt;&gt;""),P294*Q294,"")</f>
        <v/>
      </c>
      <c r="S294" s="113" t="str">
        <f aca="false">IF(M294&lt;&gt;"",SUMIF(M:M,M294,R:R),"")</f>
        <v/>
      </c>
      <c r="T294" s="113" t="str">
        <f aca="false">IF(I294&lt;&gt;"",I294,"")</f>
        <v/>
      </c>
      <c r="U294" s="114" t="str">
        <f aca="false">IF(AND(T294&lt;&gt;"",S294&lt;&gt;""),IFERROR((T294-S294)/T294,""),"")</f>
        <v/>
      </c>
    </row>
    <row r="295" customFormat="false" ht="18.75" hidden="false" customHeight="true" outlineLevel="0" collapsed="false">
      <c r="A295" s="109"/>
      <c r="B295" s="109"/>
      <c r="C295" s="109"/>
      <c r="D295" s="109"/>
      <c r="E295" s="109"/>
      <c r="F295" s="109"/>
      <c r="G295" s="110" t="str">
        <f aca="false">IF(AND(E295&lt;&gt;"",F295&lt;&gt;""),E295*F295,"")</f>
        <v/>
      </c>
      <c r="H295" s="110" t="str">
        <f aca="false">IF(B295&lt;&gt;"",SUMIF(B:B,B295,G:G),"")</f>
        <v/>
      </c>
      <c r="I295" s="109"/>
      <c r="J295" s="111" t="str">
        <f aca="false">IF(AND(I295&lt;&gt;"",H295&lt;&gt;""),IFERROR((I295-H295)/I295,""),"")</f>
        <v/>
      </c>
      <c r="K295" s="3"/>
      <c r="L295" s="109"/>
      <c r="M295" s="109"/>
      <c r="N295" s="109"/>
      <c r="O295" s="109"/>
      <c r="P295" s="109"/>
      <c r="Q295" s="109"/>
      <c r="R295" s="110" t="str">
        <f aca="false">IF(AND(P295&lt;&gt;"",Q295&lt;&gt;""),P295*Q295,"")</f>
        <v/>
      </c>
      <c r="S295" s="110" t="str">
        <f aca="false">IF(M295&lt;&gt;"",SUMIF(M:M,M295,R:R),"")</f>
        <v/>
      </c>
      <c r="T295" s="110" t="str">
        <f aca="false">IF(I295&lt;&gt;"",I295,"")</f>
        <v/>
      </c>
      <c r="U295" s="111" t="str">
        <f aca="false">IF(AND(T295&lt;&gt;"",S295&lt;&gt;""),IFERROR((T295-S295)/T295,""),"")</f>
        <v/>
      </c>
    </row>
    <row r="296" customFormat="false" ht="18.75" hidden="false" customHeight="true" outlineLevel="0" collapsed="false">
      <c r="A296" s="112"/>
      <c r="B296" s="112"/>
      <c r="C296" s="112"/>
      <c r="D296" s="112"/>
      <c r="E296" s="112"/>
      <c r="F296" s="112"/>
      <c r="G296" s="113" t="str">
        <f aca="false">IF(AND(E296&lt;&gt;"",F296&lt;&gt;""),E296*F296,"")</f>
        <v/>
      </c>
      <c r="H296" s="113" t="str">
        <f aca="false">IF(B296&lt;&gt;"",SUMIF(B:B,B296,G:G),"")</f>
        <v/>
      </c>
      <c r="I296" s="112"/>
      <c r="J296" s="114" t="str">
        <f aca="false">IF(AND(I296&lt;&gt;"",H296&lt;&gt;""),IFERROR((I296-H296)/I296,""),"")</f>
        <v/>
      </c>
      <c r="K296" s="3"/>
      <c r="L296" s="112"/>
      <c r="M296" s="112"/>
      <c r="N296" s="112"/>
      <c r="O296" s="112"/>
      <c r="P296" s="112"/>
      <c r="Q296" s="112"/>
      <c r="R296" s="113" t="str">
        <f aca="false">IF(AND(P296&lt;&gt;"",Q296&lt;&gt;""),P296*Q296,"")</f>
        <v/>
      </c>
      <c r="S296" s="113" t="str">
        <f aca="false">IF(M296&lt;&gt;"",SUMIF(M:M,M296,R:R),"")</f>
        <v/>
      </c>
      <c r="T296" s="113" t="str">
        <f aca="false">IF(I296&lt;&gt;"",I296,"")</f>
        <v/>
      </c>
      <c r="U296" s="114" t="str">
        <f aca="false">IF(AND(T296&lt;&gt;"",S296&lt;&gt;""),IFERROR((T296-S296)/T296,""),"")</f>
        <v/>
      </c>
    </row>
    <row r="297" customFormat="false" ht="18.75" hidden="false" customHeight="true" outlineLevel="0" collapsed="false">
      <c r="A297" s="109"/>
      <c r="B297" s="109"/>
      <c r="C297" s="109"/>
      <c r="D297" s="109"/>
      <c r="E297" s="109"/>
      <c r="F297" s="109"/>
      <c r="G297" s="110" t="str">
        <f aca="false">IF(AND(E297&lt;&gt;"",F297&lt;&gt;""),E297*F297,"")</f>
        <v/>
      </c>
      <c r="H297" s="110" t="str">
        <f aca="false">IF(B297&lt;&gt;"",SUMIF(B:B,B297,G:G),"")</f>
        <v/>
      </c>
      <c r="I297" s="109"/>
      <c r="J297" s="111" t="str">
        <f aca="false">IF(AND(I297&lt;&gt;"",H297&lt;&gt;""),IFERROR((I297-H297)/I297,""),"")</f>
        <v/>
      </c>
      <c r="K297" s="3"/>
      <c r="L297" s="109"/>
      <c r="M297" s="109"/>
      <c r="N297" s="109"/>
      <c r="O297" s="109"/>
      <c r="P297" s="109"/>
      <c r="Q297" s="109"/>
      <c r="R297" s="110" t="str">
        <f aca="false">IF(AND(P297&lt;&gt;"",Q297&lt;&gt;""),P297*Q297,"")</f>
        <v/>
      </c>
      <c r="S297" s="110" t="str">
        <f aca="false">IF(M297&lt;&gt;"",SUMIF(M:M,M297,R:R),"")</f>
        <v/>
      </c>
      <c r="T297" s="110" t="str">
        <f aca="false">IF(I297&lt;&gt;"",I297,"")</f>
        <v/>
      </c>
      <c r="U297" s="111" t="str">
        <f aca="false">IF(AND(T297&lt;&gt;"",S297&lt;&gt;""),IFERROR((T297-S297)/T297,""),"")</f>
        <v/>
      </c>
    </row>
    <row r="298" customFormat="false" ht="18.75" hidden="false" customHeight="true" outlineLevel="0" collapsed="false">
      <c r="A298" s="112"/>
      <c r="B298" s="112"/>
      <c r="C298" s="112"/>
      <c r="D298" s="112"/>
      <c r="E298" s="112"/>
      <c r="F298" s="112"/>
      <c r="G298" s="113" t="str">
        <f aca="false">IF(AND(E298&lt;&gt;"",F298&lt;&gt;""),E298*F298,"")</f>
        <v/>
      </c>
      <c r="H298" s="113" t="str">
        <f aca="false">IF(B298&lt;&gt;"",SUMIF(B:B,B298,G:G),"")</f>
        <v/>
      </c>
      <c r="I298" s="112"/>
      <c r="J298" s="114" t="str">
        <f aca="false">IF(AND(I298&lt;&gt;"",H298&lt;&gt;""),IFERROR((I298-H298)/I298,""),"")</f>
        <v/>
      </c>
      <c r="K298" s="3"/>
      <c r="L298" s="112"/>
      <c r="M298" s="112"/>
      <c r="N298" s="112"/>
      <c r="O298" s="112"/>
      <c r="P298" s="112"/>
      <c r="Q298" s="112"/>
      <c r="R298" s="113" t="str">
        <f aca="false">IF(AND(P298&lt;&gt;"",Q298&lt;&gt;""),P298*Q298,"")</f>
        <v/>
      </c>
      <c r="S298" s="113" t="str">
        <f aca="false">IF(M298&lt;&gt;"",SUMIF(M:M,M298,R:R),"")</f>
        <v/>
      </c>
      <c r="T298" s="113" t="str">
        <f aca="false">IF(I298&lt;&gt;"",I298,"")</f>
        <v/>
      </c>
      <c r="U298" s="114" t="str">
        <f aca="false">IF(AND(T298&lt;&gt;"",S298&lt;&gt;""),IFERROR((T298-S298)/T298,""),"")</f>
        <v/>
      </c>
    </row>
    <row r="299" customFormat="false" ht="18.75" hidden="false" customHeight="true" outlineLevel="0" collapsed="false">
      <c r="A299" s="109"/>
      <c r="B299" s="109"/>
      <c r="C299" s="109"/>
      <c r="D299" s="109"/>
      <c r="E299" s="109"/>
      <c r="F299" s="109"/>
      <c r="G299" s="110" t="str">
        <f aca="false">IF(AND(E299&lt;&gt;"",F299&lt;&gt;""),E299*F299,"")</f>
        <v/>
      </c>
      <c r="H299" s="110" t="str">
        <f aca="false">IF(B299&lt;&gt;"",SUMIF(B:B,B299,G:G),"")</f>
        <v/>
      </c>
      <c r="I299" s="109"/>
      <c r="J299" s="111" t="str">
        <f aca="false">IF(AND(I299&lt;&gt;"",H299&lt;&gt;""),IFERROR((I299-H299)/I299,""),"")</f>
        <v/>
      </c>
      <c r="K299" s="3"/>
      <c r="L299" s="109"/>
      <c r="M299" s="109"/>
      <c r="N299" s="109"/>
      <c r="O299" s="109"/>
      <c r="P299" s="109"/>
      <c r="Q299" s="109"/>
      <c r="R299" s="110" t="str">
        <f aca="false">IF(AND(P299&lt;&gt;"",Q299&lt;&gt;""),P299*Q299,"")</f>
        <v/>
      </c>
      <c r="S299" s="110" t="str">
        <f aca="false">IF(M299&lt;&gt;"",SUMIF(M:M,M299,R:R),"")</f>
        <v/>
      </c>
      <c r="T299" s="110" t="str">
        <f aca="false">IF(I299&lt;&gt;"",I299,"")</f>
        <v/>
      </c>
      <c r="U299" s="111" t="str">
        <f aca="false">IF(AND(T299&lt;&gt;"",S299&lt;&gt;""),IFERROR((T299-S299)/T299,""),"")</f>
        <v/>
      </c>
    </row>
    <row r="300" customFormat="false" ht="18.75" hidden="false" customHeight="true" outlineLevel="0" collapsed="false">
      <c r="A300" s="112"/>
      <c r="B300" s="112"/>
      <c r="C300" s="112"/>
      <c r="D300" s="112"/>
      <c r="E300" s="112"/>
      <c r="F300" s="112"/>
      <c r="G300" s="113" t="str">
        <f aca="false">IF(AND(E300&lt;&gt;"",F300&lt;&gt;""),E300*F300,"")</f>
        <v/>
      </c>
      <c r="H300" s="113" t="str">
        <f aca="false">IF(B300&lt;&gt;"",SUMIF(B:B,B300,G:G),"")</f>
        <v/>
      </c>
      <c r="I300" s="112"/>
      <c r="J300" s="114" t="str">
        <f aca="false">IF(AND(I300&lt;&gt;"",H300&lt;&gt;""),IFERROR((I300-H300)/I300,""),"")</f>
        <v/>
      </c>
      <c r="K300" s="3"/>
      <c r="L300" s="112"/>
      <c r="M300" s="112"/>
      <c r="N300" s="112"/>
      <c r="O300" s="112"/>
      <c r="P300" s="112"/>
      <c r="Q300" s="112"/>
      <c r="R300" s="113" t="str">
        <f aca="false">IF(AND(P300&lt;&gt;"",Q300&lt;&gt;""),P300*Q300,"")</f>
        <v/>
      </c>
      <c r="S300" s="113" t="str">
        <f aca="false">IF(M300&lt;&gt;"",SUMIF(M:M,M300,R:R),"")</f>
        <v/>
      </c>
      <c r="T300" s="113" t="str">
        <f aca="false">IF(I300&lt;&gt;"",I300,"")</f>
        <v/>
      </c>
      <c r="U300" s="114" t="str">
        <f aca="false">IF(AND(T300&lt;&gt;"",S300&lt;&gt;""),IFERROR((T300-S300)/T300,""),"")</f>
        <v/>
      </c>
    </row>
    <row r="301" customFormat="false" ht="18.75" hidden="false" customHeight="true" outlineLevel="0" collapsed="false">
      <c r="A301" s="109"/>
      <c r="B301" s="109"/>
      <c r="C301" s="109"/>
      <c r="D301" s="109"/>
      <c r="E301" s="109"/>
      <c r="F301" s="109"/>
      <c r="G301" s="110" t="str">
        <f aca="false">IF(AND(E301&lt;&gt;"",F301&lt;&gt;""),E301*F301,"")</f>
        <v/>
      </c>
      <c r="H301" s="110" t="str">
        <f aca="false">IF(B301&lt;&gt;"",SUMIF(B:B,B301,G:G),"")</f>
        <v/>
      </c>
      <c r="I301" s="109"/>
      <c r="J301" s="111" t="str">
        <f aca="false">IF(AND(I301&lt;&gt;"",H301&lt;&gt;""),IFERROR((I301-H301)/I301,""),"")</f>
        <v/>
      </c>
      <c r="K301" s="3"/>
      <c r="L301" s="109"/>
      <c r="M301" s="109"/>
      <c r="N301" s="109"/>
      <c r="O301" s="109"/>
      <c r="P301" s="109"/>
      <c r="Q301" s="109"/>
      <c r="R301" s="110" t="str">
        <f aca="false">IF(AND(P301&lt;&gt;"",Q301&lt;&gt;""),P301*Q301,"")</f>
        <v/>
      </c>
      <c r="S301" s="110" t="str">
        <f aca="false">IF(M301&lt;&gt;"",SUMIF(M:M,M301,R:R),"")</f>
        <v/>
      </c>
      <c r="T301" s="110" t="str">
        <f aca="false">IF(I301&lt;&gt;"",I301,"")</f>
        <v/>
      </c>
      <c r="U301" s="111" t="str">
        <f aca="false">IF(AND(T301&lt;&gt;"",S301&lt;&gt;""),IFERROR((T301-S301)/T301,""),"")</f>
        <v/>
      </c>
    </row>
    <row r="302" customFormat="false" ht="18.75" hidden="false" customHeight="true" outlineLevel="0" collapsed="false">
      <c r="A302" s="112"/>
      <c r="B302" s="112"/>
      <c r="C302" s="112"/>
      <c r="D302" s="112"/>
      <c r="E302" s="112"/>
      <c r="F302" s="112"/>
      <c r="G302" s="113" t="str">
        <f aca="false">IF(AND(E302&lt;&gt;"",F302&lt;&gt;""),E302*F302,"")</f>
        <v/>
      </c>
      <c r="H302" s="113" t="str">
        <f aca="false">IF(B302&lt;&gt;"",SUMIF(B:B,B302,G:G),"")</f>
        <v/>
      </c>
      <c r="I302" s="112"/>
      <c r="J302" s="114" t="str">
        <f aca="false">IF(AND(I302&lt;&gt;"",H302&lt;&gt;""),IFERROR((I302-H302)/I302,""),"")</f>
        <v/>
      </c>
      <c r="K302" s="3"/>
      <c r="L302" s="112"/>
      <c r="M302" s="112"/>
      <c r="N302" s="112"/>
      <c r="O302" s="112"/>
      <c r="P302" s="112"/>
      <c r="Q302" s="112"/>
      <c r="R302" s="113" t="str">
        <f aca="false">IF(AND(P302&lt;&gt;"",Q302&lt;&gt;""),P302*Q302,"")</f>
        <v/>
      </c>
      <c r="S302" s="113" t="str">
        <f aca="false">IF(M302&lt;&gt;"",SUMIF(M:M,M302,R:R),"")</f>
        <v/>
      </c>
      <c r="T302" s="113" t="str">
        <f aca="false">IF(I302&lt;&gt;"",I302,"")</f>
        <v/>
      </c>
      <c r="U302" s="114" t="str">
        <f aca="false">IF(AND(T302&lt;&gt;"",S302&lt;&gt;""),IFERROR((T302-S302)/T302,""),"")</f>
        <v/>
      </c>
    </row>
    <row r="303" customFormat="false" ht="18.75" hidden="false" customHeight="true" outlineLevel="0" collapsed="false">
      <c r="A303" s="109"/>
      <c r="B303" s="109"/>
      <c r="C303" s="109"/>
      <c r="D303" s="109"/>
      <c r="E303" s="109"/>
      <c r="F303" s="109"/>
      <c r="G303" s="110" t="str">
        <f aca="false">IF(AND(E303&lt;&gt;"",F303&lt;&gt;""),E303*F303,"")</f>
        <v/>
      </c>
      <c r="H303" s="110" t="str">
        <f aca="false">IF(B303&lt;&gt;"",SUMIF(B:B,B303,G:G),"")</f>
        <v/>
      </c>
      <c r="I303" s="109"/>
      <c r="J303" s="111" t="str">
        <f aca="false">IF(AND(I303&lt;&gt;"",H303&lt;&gt;""),IFERROR((I303-H303)/I303,""),"")</f>
        <v/>
      </c>
      <c r="K303" s="3"/>
      <c r="L303" s="109"/>
      <c r="M303" s="109"/>
      <c r="N303" s="109"/>
      <c r="O303" s="109"/>
      <c r="P303" s="109"/>
      <c r="Q303" s="109"/>
      <c r="R303" s="110" t="str">
        <f aca="false">IF(AND(P303&lt;&gt;"",Q303&lt;&gt;""),P303*Q303,"")</f>
        <v/>
      </c>
      <c r="S303" s="110" t="str">
        <f aca="false">IF(M303&lt;&gt;"",SUMIF(M:M,M303,R:R),"")</f>
        <v/>
      </c>
      <c r="T303" s="110" t="str">
        <f aca="false">IF(I303&lt;&gt;"",I303,"")</f>
        <v/>
      </c>
      <c r="U303" s="111" t="str">
        <f aca="false">IF(AND(T303&lt;&gt;"",S303&lt;&gt;""),IFERROR((T303-S303)/T303,""),"")</f>
        <v/>
      </c>
    </row>
    <row r="304" customFormat="false" ht="18.75" hidden="false" customHeight="true" outlineLevel="0" collapsed="false">
      <c r="A304" s="112"/>
      <c r="B304" s="112"/>
      <c r="C304" s="112"/>
      <c r="D304" s="112"/>
      <c r="E304" s="112"/>
      <c r="F304" s="112"/>
      <c r="G304" s="113" t="str">
        <f aca="false">IF(AND(E304&lt;&gt;"",F304&lt;&gt;""),E304*F304,"")</f>
        <v/>
      </c>
      <c r="H304" s="113" t="str">
        <f aca="false">IF(B304&lt;&gt;"",SUMIF(B:B,B304,G:G),"")</f>
        <v/>
      </c>
      <c r="I304" s="112"/>
      <c r="J304" s="114" t="str">
        <f aca="false">IF(AND(I304&lt;&gt;"",H304&lt;&gt;""),IFERROR((I304-H304)/I304,""),"")</f>
        <v/>
      </c>
      <c r="K304" s="3"/>
      <c r="L304" s="112"/>
      <c r="M304" s="112"/>
      <c r="N304" s="112"/>
      <c r="O304" s="112"/>
      <c r="P304" s="112"/>
      <c r="Q304" s="112"/>
      <c r="R304" s="113" t="str">
        <f aca="false">IF(AND(P304&lt;&gt;"",Q304&lt;&gt;""),P304*Q304,"")</f>
        <v/>
      </c>
      <c r="S304" s="113" t="str">
        <f aca="false">IF(M304&lt;&gt;"",SUMIF(M:M,M304,R:R),"")</f>
        <v/>
      </c>
      <c r="T304" s="113" t="str">
        <f aca="false">IF(I304&lt;&gt;"",I304,"")</f>
        <v/>
      </c>
      <c r="U304" s="114" t="str">
        <f aca="false">IF(AND(T304&lt;&gt;"",S304&lt;&gt;""),IFERROR((T304-S304)/T304,""),"")</f>
        <v/>
      </c>
    </row>
    <row r="305" customFormat="false" ht="18.75" hidden="false" customHeight="true" outlineLevel="0" collapsed="false">
      <c r="A305" s="109"/>
      <c r="B305" s="109"/>
      <c r="C305" s="109"/>
      <c r="D305" s="109"/>
      <c r="E305" s="109"/>
      <c r="F305" s="109"/>
      <c r="G305" s="110" t="str">
        <f aca="false">IF(AND(E305&lt;&gt;"",F305&lt;&gt;""),E305*F305,"")</f>
        <v/>
      </c>
      <c r="H305" s="110" t="str">
        <f aca="false">IF(B305&lt;&gt;"",SUMIF(B:B,B305,G:G),"")</f>
        <v/>
      </c>
      <c r="I305" s="109"/>
      <c r="J305" s="111" t="str">
        <f aca="false">IF(AND(I305&lt;&gt;"",H305&lt;&gt;""),IFERROR((I305-H305)/I305,""),"")</f>
        <v/>
      </c>
      <c r="K305" s="3"/>
      <c r="L305" s="109"/>
      <c r="M305" s="109"/>
      <c r="N305" s="109"/>
      <c r="O305" s="109"/>
      <c r="P305" s="109"/>
      <c r="Q305" s="109"/>
      <c r="R305" s="110" t="str">
        <f aca="false">IF(AND(P305&lt;&gt;"",Q305&lt;&gt;""),P305*Q305,"")</f>
        <v/>
      </c>
      <c r="S305" s="110" t="str">
        <f aca="false">IF(M305&lt;&gt;"",SUMIF(M:M,M305,R:R),"")</f>
        <v/>
      </c>
      <c r="T305" s="110" t="str">
        <f aca="false">IF(I305&lt;&gt;"",I305,"")</f>
        <v/>
      </c>
      <c r="U305" s="111" t="str">
        <f aca="false">IF(AND(T305&lt;&gt;"",S305&lt;&gt;""),IFERROR((T305-S305)/T305,""),"")</f>
        <v/>
      </c>
    </row>
    <row r="306" customFormat="false" ht="18.75" hidden="false" customHeight="true" outlineLevel="0" collapsed="false">
      <c r="A306" s="112"/>
      <c r="B306" s="112"/>
      <c r="C306" s="112"/>
      <c r="D306" s="112"/>
      <c r="E306" s="112"/>
      <c r="F306" s="112"/>
      <c r="G306" s="113" t="str">
        <f aca="false">IF(AND(E306&lt;&gt;"",F306&lt;&gt;""),E306*F306,"")</f>
        <v/>
      </c>
      <c r="H306" s="113" t="str">
        <f aca="false">IF(B306&lt;&gt;"",SUMIF(B:B,B306,G:G),"")</f>
        <v/>
      </c>
      <c r="I306" s="112"/>
      <c r="J306" s="114" t="str">
        <f aca="false">IF(AND(I306&lt;&gt;"",H306&lt;&gt;""),IFERROR((I306-H306)/I306,""),"")</f>
        <v/>
      </c>
      <c r="K306" s="3"/>
      <c r="L306" s="112"/>
      <c r="M306" s="112"/>
      <c r="N306" s="112"/>
      <c r="O306" s="112"/>
      <c r="P306" s="112"/>
      <c r="Q306" s="112"/>
      <c r="R306" s="113" t="str">
        <f aca="false">IF(AND(P306&lt;&gt;"",Q306&lt;&gt;""),P306*Q306,"")</f>
        <v/>
      </c>
      <c r="S306" s="113" t="str">
        <f aca="false">IF(M306&lt;&gt;"",SUMIF(M:M,M306,R:R),"")</f>
        <v/>
      </c>
      <c r="T306" s="113" t="str">
        <f aca="false">IF(I306&lt;&gt;"",I306,"")</f>
        <v/>
      </c>
      <c r="U306" s="114" t="str">
        <f aca="false">IF(AND(T306&lt;&gt;"",S306&lt;&gt;""),IFERROR((T306-S306)/T306,""),"")</f>
        <v/>
      </c>
    </row>
    <row r="307" customFormat="false" ht="18.75" hidden="false" customHeight="true" outlineLevel="0" collapsed="false">
      <c r="A307" s="109"/>
      <c r="B307" s="109"/>
      <c r="C307" s="109"/>
      <c r="D307" s="109"/>
      <c r="E307" s="109"/>
      <c r="F307" s="109"/>
      <c r="G307" s="110" t="str">
        <f aca="false">IF(AND(E307&lt;&gt;"",F307&lt;&gt;""),E307*F307,"")</f>
        <v/>
      </c>
      <c r="H307" s="110" t="str">
        <f aca="false">IF(B307&lt;&gt;"",SUMIF(B:B,B307,G:G),"")</f>
        <v/>
      </c>
      <c r="I307" s="109"/>
      <c r="J307" s="111" t="str">
        <f aca="false">IF(AND(I307&lt;&gt;"",H307&lt;&gt;""),IFERROR((I307-H307)/I307,""),"")</f>
        <v/>
      </c>
      <c r="K307" s="3"/>
      <c r="L307" s="109"/>
      <c r="M307" s="109"/>
      <c r="N307" s="109"/>
      <c r="O307" s="109"/>
      <c r="P307" s="109"/>
      <c r="Q307" s="109"/>
      <c r="R307" s="110" t="str">
        <f aca="false">IF(AND(P307&lt;&gt;"",Q307&lt;&gt;""),P307*Q307,"")</f>
        <v/>
      </c>
      <c r="S307" s="110" t="str">
        <f aca="false">IF(M307&lt;&gt;"",SUMIF(M:M,M307,R:R),"")</f>
        <v/>
      </c>
      <c r="T307" s="110" t="str">
        <f aca="false">IF(I307&lt;&gt;"",I307,"")</f>
        <v/>
      </c>
      <c r="U307" s="111" t="str">
        <f aca="false">IF(AND(T307&lt;&gt;"",S307&lt;&gt;""),IFERROR((T307-S307)/T307,""),"")</f>
        <v/>
      </c>
    </row>
    <row r="308" customFormat="false" ht="18.75" hidden="false" customHeight="true" outlineLevel="0" collapsed="false">
      <c r="A308" s="112"/>
      <c r="B308" s="112"/>
      <c r="C308" s="112"/>
      <c r="D308" s="112"/>
      <c r="E308" s="112"/>
      <c r="F308" s="112"/>
      <c r="G308" s="113" t="str">
        <f aca="false">IF(AND(E308&lt;&gt;"",F308&lt;&gt;""),E308*F308,"")</f>
        <v/>
      </c>
      <c r="H308" s="113" t="str">
        <f aca="false">IF(B308&lt;&gt;"",SUMIF(B:B,B308,G:G),"")</f>
        <v/>
      </c>
      <c r="I308" s="112"/>
      <c r="J308" s="114" t="str">
        <f aca="false">IF(AND(I308&lt;&gt;"",H308&lt;&gt;""),IFERROR((I308-H308)/I308,""),"")</f>
        <v/>
      </c>
      <c r="K308" s="3"/>
      <c r="L308" s="112"/>
      <c r="M308" s="112"/>
      <c r="N308" s="112"/>
      <c r="O308" s="112"/>
      <c r="P308" s="112"/>
      <c r="Q308" s="112"/>
      <c r="R308" s="113" t="str">
        <f aca="false">IF(AND(P308&lt;&gt;"",Q308&lt;&gt;""),P308*Q308,"")</f>
        <v/>
      </c>
      <c r="S308" s="113" t="str">
        <f aca="false">IF(M308&lt;&gt;"",SUMIF(M:M,M308,R:R),"")</f>
        <v/>
      </c>
      <c r="T308" s="113" t="str">
        <f aca="false">IF(I308&lt;&gt;"",I308,"")</f>
        <v/>
      </c>
      <c r="U308" s="114" t="str">
        <f aca="false">IF(AND(T308&lt;&gt;"",S308&lt;&gt;""),IFERROR((T308-S308)/T308,""),"")</f>
        <v/>
      </c>
    </row>
    <row r="309" customFormat="false" ht="18.75" hidden="false" customHeight="true" outlineLevel="0" collapsed="false">
      <c r="A309" s="109"/>
      <c r="B309" s="109"/>
      <c r="C309" s="109"/>
      <c r="D309" s="109"/>
      <c r="E309" s="109"/>
      <c r="F309" s="109"/>
      <c r="G309" s="110" t="str">
        <f aca="false">IF(AND(E309&lt;&gt;"",F309&lt;&gt;""),E309*F309,"")</f>
        <v/>
      </c>
      <c r="H309" s="110" t="str">
        <f aca="false">IF(B309&lt;&gt;"",SUMIF(B:B,B309,G:G),"")</f>
        <v/>
      </c>
      <c r="I309" s="109"/>
      <c r="J309" s="111" t="str">
        <f aca="false">IF(AND(I309&lt;&gt;"",H309&lt;&gt;""),IFERROR((I309-H309)/I309,""),"")</f>
        <v/>
      </c>
      <c r="K309" s="3"/>
      <c r="L309" s="109"/>
      <c r="M309" s="109"/>
      <c r="N309" s="109"/>
      <c r="O309" s="109"/>
      <c r="P309" s="109"/>
      <c r="Q309" s="109"/>
      <c r="R309" s="110" t="str">
        <f aca="false">IF(AND(P309&lt;&gt;"",Q309&lt;&gt;""),P309*Q309,"")</f>
        <v/>
      </c>
      <c r="S309" s="110" t="str">
        <f aca="false">IF(M309&lt;&gt;"",SUMIF(M:M,M309,R:R),"")</f>
        <v/>
      </c>
      <c r="T309" s="110" t="str">
        <f aca="false">IF(I309&lt;&gt;"",I309,"")</f>
        <v/>
      </c>
      <c r="U309" s="111" t="str">
        <f aca="false">IF(AND(T309&lt;&gt;"",S309&lt;&gt;""),IFERROR((T309-S309)/T309,""),"")</f>
        <v/>
      </c>
    </row>
    <row r="310" customFormat="false" ht="18.75" hidden="false" customHeight="true" outlineLevel="0" collapsed="false">
      <c r="A310" s="112"/>
      <c r="B310" s="112"/>
      <c r="C310" s="112"/>
      <c r="D310" s="112"/>
      <c r="E310" s="112"/>
      <c r="F310" s="112"/>
      <c r="G310" s="113" t="str">
        <f aca="false">IF(AND(E310&lt;&gt;"",F310&lt;&gt;""),E310*F310,"")</f>
        <v/>
      </c>
      <c r="H310" s="113" t="str">
        <f aca="false">IF(B310&lt;&gt;"",SUMIF(B:B,B310,G:G),"")</f>
        <v/>
      </c>
      <c r="I310" s="112"/>
      <c r="J310" s="114" t="str">
        <f aca="false">IF(AND(I310&lt;&gt;"",H310&lt;&gt;""),IFERROR((I310-H310)/I310,""),"")</f>
        <v/>
      </c>
      <c r="K310" s="3"/>
      <c r="L310" s="112"/>
      <c r="M310" s="112"/>
      <c r="N310" s="112"/>
      <c r="O310" s="112"/>
      <c r="P310" s="112"/>
      <c r="Q310" s="112"/>
      <c r="R310" s="113" t="str">
        <f aca="false">IF(AND(P310&lt;&gt;"",Q310&lt;&gt;""),P310*Q310,"")</f>
        <v/>
      </c>
      <c r="S310" s="113" t="str">
        <f aca="false">IF(M310&lt;&gt;"",SUMIF(M:M,M310,R:R),"")</f>
        <v/>
      </c>
      <c r="T310" s="113" t="str">
        <f aca="false">IF(I310&lt;&gt;"",I310,"")</f>
        <v/>
      </c>
      <c r="U310" s="114" t="str">
        <f aca="false">IF(AND(T310&lt;&gt;"",S310&lt;&gt;""),IFERROR((T310-S310)/T310,""),"")</f>
        <v/>
      </c>
    </row>
    <row r="311" customFormat="false" ht="18.75" hidden="false" customHeight="true" outlineLevel="0" collapsed="false">
      <c r="A311" s="109"/>
      <c r="B311" s="109"/>
      <c r="C311" s="109"/>
      <c r="D311" s="109"/>
      <c r="E311" s="109"/>
      <c r="F311" s="109"/>
      <c r="G311" s="110" t="str">
        <f aca="false">IF(AND(E311&lt;&gt;"",F311&lt;&gt;""),E311*F311,"")</f>
        <v/>
      </c>
      <c r="H311" s="110" t="str">
        <f aca="false">IF(B311&lt;&gt;"",SUMIF(B:B,B311,G:G),"")</f>
        <v/>
      </c>
      <c r="I311" s="109"/>
      <c r="J311" s="111" t="str">
        <f aca="false">IF(AND(I311&lt;&gt;"",H311&lt;&gt;""),IFERROR((I311-H311)/I311,""),"")</f>
        <v/>
      </c>
      <c r="K311" s="3"/>
      <c r="L311" s="109"/>
      <c r="M311" s="109"/>
      <c r="N311" s="109"/>
      <c r="O311" s="109"/>
      <c r="P311" s="109"/>
      <c r="Q311" s="109"/>
      <c r="R311" s="110" t="str">
        <f aca="false">IF(AND(P311&lt;&gt;"",Q311&lt;&gt;""),P311*Q311,"")</f>
        <v/>
      </c>
      <c r="S311" s="110" t="str">
        <f aca="false">IF(M311&lt;&gt;"",SUMIF(M:M,M311,R:R),"")</f>
        <v/>
      </c>
      <c r="T311" s="110" t="str">
        <f aca="false">IF(I311&lt;&gt;"",I311,"")</f>
        <v/>
      </c>
      <c r="U311" s="111" t="str">
        <f aca="false">IF(AND(T311&lt;&gt;"",S311&lt;&gt;""),IFERROR((T311-S311)/T311,""),"")</f>
        <v/>
      </c>
    </row>
    <row r="312" customFormat="false" ht="18.75" hidden="false" customHeight="true" outlineLevel="0" collapsed="false">
      <c r="A312" s="112"/>
      <c r="B312" s="112"/>
      <c r="C312" s="112"/>
      <c r="D312" s="112"/>
      <c r="E312" s="112"/>
      <c r="F312" s="112"/>
      <c r="G312" s="113" t="str">
        <f aca="false">IF(AND(E312&lt;&gt;"",F312&lt;&gt;""),E312*F312,"")</f>
        <v/>
      </c>
      <c r="H312" s="113" t="str">
        <f aca="false">IF(B312&lt;&gt;"",SUMIF(B:B,B312,G:G),"")</f>
        <v/>
      </c>
      <c r="I312" s="112"/>
      <c r="J312" s="114" t="str">
        <f aca="false">IF(AND(I312&lt;&gt;"",H312&lt;&gt;""),IFERROR((I312-H312)/I312,""),"")</f>
        <v/>
      </c>
      <c r="K312" s="3"/>
      <c r="L312" s="112"/>
      <c r="M312" s="112"/>
      <c r="N312" s="112"/>
      <c r="O312" s="112"/>
      <c r="P312" s="112"/>
      <c r="Q312" s="112"/>
      <c r="R312" s="113" t="str">
        <f aca="false">IF(AND(P312&lt;&gt;"",Q312&lt;&gt;""),P312*Q312,"")</f>
        <v/>
      </c>
      <c r="S312" s="113" t="str">
        <f aca="false">IF(M312&lt;&gt;"",SUMIF(M:M,M312,R:R),"")</f>
        <v/>
      </c>
      <c r="T312" s="113" t="str">
        <f aca="false">IF(I312&lt;&gt;"",I312,"")</f>
        <v/>
      </c>
      <c r="U312" s="114" t="str">
        <f aca="false">IF(AND(T312&lt;&gt;"",S312&lt;&gt;""),IFERROR((T312-S312)/T312,""),"")</f>
        <v/>
      </c>
    </row>
    <row r="313" customFormat="false" ht="18.75" hidden="false" customHeight="true" outlineLevel="0" collapsed="false">
      <c r="A313" s="109"/>
      <c r="B313" s="109"/>
      <c r="C313" s="109"/>
      <c r="D313" s="109"/>
      <c r="E313" s="109"/>
      <c r="F313" s="109"/>
      <c r="G313" s="110" t="str">
        <f aca="false">IF(AND(E313&lt;&gt;"",F313&lt;&gt;""),E313*F313,"")</f>
        <v/>
      </c>
      <c r="H313" s="110" t="str">
        <f aca="false">IF(B313&lt;&gt;"",SUMIF(B:B,B313,G:G),"")</f>
        <v/>
      </c>
      <c r="I313" s="109"/>
      <c r="J313" s="111" t="str">
        <f aca="false">IF(AND(I313&lt;&gt;"",H313&lt;&gt;""),IFERROR((I313-H313)/I313,""),"")</f>
        <v/>
      </c>
      <c r="K313" s="3"/>
      <c r="L313" s="109"/>
      <c r="M313" s="109"/>
      <c r="N313" s="109"/>
      <c r="O313" s="109"/>
      <c r="P313" s="109"/>
      <c r="Q313" s="109"/>
      <c r="R313" s="110" t="str">
        <f aca="false">IF(AND(P313&lt;&gt;"",Q313&lt;&gt;""),P313*Q313,"")</f>
        <v/>
      </c>
      <c r="S313" s="110" t="str">
        <f aca="false">IF(M313&lt;&gt;"",SUMIF(M:M,M313,R:R),"")</f>
        <v/>
      </c>
      <c r="T313" s="110" t="str">
        <f aca="false">IF(I313&lt;&gt;"",I313,"")</f>
        <v/>
      </c>
      <c r="U313" s="111" t="str">
        <f aca="false">IF(AND(T313&lt;&gt;"",S313&lt;&gt;""),IFERROR((T313-S313)/T313,""),"")</f>
        <v/>
      </c>
    </row>
    <row r="314" customFormat="false" ht="18.75" hidden="false" customHeight="true" outlineLevel="0" collapsed="false">
      <c r="A314" s="112"/>
      <c r="B314" s="112"/>
      <c r="C314" s="112"/>
      <c r="D314" s="112"/>
      <c r="E314" s="112"/>
      <c r="F314" s="112"/>
      <c r="G314" s="113" t="str">
        <f aca="false">IF(AND(E314&lt;&gt;"",F314&lt;&gt;""),E314*F314,"")</f>
        <v/>
      </c>
      <c r="H314" s="113" t="str">
        <f aca="false">IF(B314&lt;&gt;"",SUMIF(B:B,B314,G:G),"")</f>
        <v/>
      </c>
      <c r="I314" s="112"/>
      <c r="J314" s="114" t="str">
        <f aca="false">IF(AND(I314&lt;&gt;"",H314&lt;&gt;""),IFERROR((I314-H314)/I314,""),"")</f>
        <v/>
      </c>
      <c r="K314" s="3"/>
      <c r="L314" s="112"/>
      <c r="M314" s="112"/>
      <c r="N314" s="112"/>
      <c r="O314" s="112"/>
      <c r="P314" s="112"/>
      <c r="Q314" s="112"/>
      <c r="R314" s="113" t="str">
        <f aca="false">IF(AND(P314&lt;&gt;"",Q314&lt;&gt;""),P314*Q314,"")</f>
        <v/>
      </c>
      <c r="S314" s="113" t="str">
        <f aca="false">IF(M314&lt;&gt;"",SUMIF(M:M,M314,R:R),"")</f>
        <v/>
      </c>
      <c r="T314" s="113" t="str">
        <f aca="false">IF(I314&lt;&gt;"",I314,"")</f>
        <v/>
      </c>
      <c r="U314" s="114" t="str">
        <f aca="false">IF(AND(T314&lt;&gt;"",S314&lt;&gt;""),IFERROR((T314-S314)/T314,""),"")</f>
        <v/>
      </c>
    </row>
    <row r="315" customFormat="false" ht="18.75" hidden="false" customHeight="true" outlineLevel="0" collapsed="false">
      <c r="A315" s="109"/>
      <c r="B315" s="109"/>
      <c r="C315" s="109"/>
      <c r="D315" s="109"/>
      <c r="E315" s="109"/>
      <c r="F315" s="109"/>
      <c r="G315" s="110" t="str">
        <f aca="false">IF(AND(E315&lt;&gt;"",F315&lt;&gt;""),E315*F315,"")</f>
        <v/>
      </c>
      <c r="H315" s="110" t="str">
        <f aca="false">IF(B315&lt;&gt;"",SUMIF(B:B,B315,G:G),"")</f>
        <v/>
      </c>
      <c r="I315" s="109"/>
      <c r="J315" s="111" t="str">
        <f aca="false">IF(AND(I315&lt;&gt;"",H315&lt;&gt;""),IFERROR((I315-H315)/I315,""),"")</f>
        <v/>
      </c>
      <c r="K315" s="3"/>
      <c r="L315" s="109"/>
      <c r="M315" s="109"/>
      <c r="N315" s="109"/>
      <c r="O315" s="109"/>
      <c r="P315" s="109"/>
      <c r="Q315" s="109"/>
      <c r="R315" s="110" t="str">
        <f aca="false">IF(AND(P315&lt;&gt;"",Q315&lt;&gt;""),P315*Q315,"")</f>
        <v/>
      </c>
      <c r="S315" s="110" t="str">
        <f aca="false">IF(M315&lt;&gt;"",SUMIF(M:M,M315,R:R),"")</f>
        <v/>
      </c>
      <c r="T315" s="110" t="str">
        <f aca="false">IF(I315&lt;&gt;"",I315,"")</f>
        <v/>
      </c>
      <c r="U315" s="111" t="str">
        <f aca="false">IF(AND(T315&lt;&gt;"",S315&lt;&gt;""),IFERROR((T315-S315)/T315,""),"")</f>
        <v/>
      </c>
    </row>
    <row r="316" customFormat="false" ht="18.75" hidden="false" customHeight="true" outlineLevel="0" collapsed="false">
      <c r="A316" s="112"/>
      <c r="B316" s="112"/>
      <c r="C316" s="112"/>
      <c r="D316" s="112"/>
      <c r="E316" s="112"/>
      <c r="F316" s="112"/>
      <c r="G316" s="113" t="str">
        <f aca="false">IF(AND(E316&lt;&gt;"",F316&lt;&gt;""),E316*F316,"")</f>
        <v/>
      </c>
      <c r="H316" s="113" t="str">
        <f aca="false">IF(B316&lt;&gt;"",SUMIF(B:B,B316,G:G),"")</f>
        <v/>
      </c>
      <c r="I316" s="112"/>
      <c r="J316" s="114" t="str">
        <f aca="false">IF(AND(I316&lt;&gt;"",H316&lt;&gt;""),IFERROR((I316-H316)/I316,""),"")</f>
        <v/>
      </c>
      <c r="K316" s="3"/>
      <c r="L316" s="112"/>
      <c r="M316" s="112"/>
      <c r="N316" s="112"/>
      <c r="O316" s="112"/>
      <c r="P316" s="112"/>
      <c r="Q316" s="112"/>
      <c r="R316" s="113" t="str">
        <f aca="false">IF(AND(P316&lt;&gt;"",Q316&lt;&gt;""),P316*Q316,"")</f>
        <v/>
      </c>
      <c r="S316" s="113" t="str">
        <f aca="false">IF(M316&lt;&gt;"",SUMIF(M:M,M316,R:R),"")</f>
        <v/>
      </c>
      <c r="T316" s="113" t="str">
        <f aca="false">IF(I316&lt;&gt;"",I316,"")</f>
        <v/>
      </c>
      <c r="U316" s="114" t="str">
        <f aca="false">IF(AND(T316&lt;&gt;"",S316&lt;&gt;""),IFERROR((T316-S316)/T316,""),"")</f>
        <v/>
      </c>
    </row>
    <row r="317" customFormat="false" ht="18.75" hidden="false" customHeight="true" outlineLevel="0" collapsed="false">
      <c r="A317" s="109"/>
      <c r="B317" s="109"/>
      <c r="C317" s="109"/>
      <c r="D317" s="109"/>
      <c r="E317" s="109"/>
      <c r="F317" s="109"/>
      <c r="G317" s="110" t="str">
        <f aca="false">IF(AND(E317&lt;&gt;"",F317&lt;&gt;""),E317*F317,"")</f>
        <v/>
      </c>
      <c r="H317" s="110" t="str">
        <f aca="false">IF(B317&lt;&gt;"",SUMIF(B:B,B317,G:G),"")</f>
        <v/>
      </c>
      <c r="I317" s="109"/>
      <c r="J317" s="111" t="str">
        <f aca="false">IF(AND(I317&lt;&gt;"",H317&lt;&gt;""),IFERROR((I317-H317)/I317,""),"")</f>
        <v/>
      </c>
      <c r="K317" s="3"/>
      <c r="L317" s="109"/>
      <c r="M317" s="109"/>
      <c r="N317" s="109"/>
      <c r="O317" s="109"/>
      <c r="P317" s="109"/>
      <c r="Q317" s="109"/>
      <c r="R317" s="110" t="str">
        <f aca="false">IF(AND(P317&lt;&gt;"",Q317&lt;&gt;""),P317*Q317,"")</f>
        <v/>
      </c>
      <c r="S317" s="110" t="str">
        <f aca="false">IF(M317&lt;&gt;"",SUMIF(M:M,M317,R:R),"")</f>
        <v/>
      </c>
      <c r="T317" s="110" t="str">
        <f aca="false">IF(I317&lt;&gt;"",I317,"")</f>
        <v/>
      </c>
      <c r="U317" s="111" t="str">
        <f aca="false">IF(AND(T317&lt;&gt;"",S317&lt;&gt;""),IFERROR((T317-S317)/T317,""),"")</f>
        <v/>
      </c>
    </row>
    <row r="318" customFormat="false" ht="18.75" hidden="false" customHeight="true" outlineLevel="0" collapsed="false">
      <c r="A318" s="112"/>
      <c r="B318" s="112"/>
      <c r="C318" s="112"/>
      <c r="D318" s="112"/>
      <c r="E318" s="112"/>
      <c r="F318" s="112"/>
      <c r="G318" s="113" t="str">
        <f aca="false">IF(AND(E318&lt;&gt;"",F318&lt;&gt;""),E318*F318,"")</f>
        <v/>
      </c>
      <c r="H318" s="113" t="str">
        <f aca="false">IF(B318&lt;&gt;"",SUMIF(B:B,B318,G:G),"")</f>
        <v/>
      </c>
      <c r="I318" s="112"/>
      <c r="J318" s="114" t="str">
        <f aca="false">IF(AND(I318&lt;&gt;"",H318&lt;&gt;""),IFERROR((I318-H318)/I318,""),"")</f>
        <v/>
      </c>
      <c r="K318" s="3"/>
      <c r="L318" s="112"/>
      <c r="M318" s="112"/>
      <c r="N318" s="112"/>
      <c r="O318" s="112"/>
      <c r="P318" s="112"/>
      <c r="Q318" s="112"/>
      <c r="R318" s="113" t="str">
        <f aca="false">IF(AND(P318&lt;&gt;"",Q318&lt;&gt;""),P318*Q318,"")</f>
        <v/>
      </c>
      <c r="S318" s="113" t="str">
        <f aca="false">IF(M318&lt;&gt;"",SUMIF(M:M,M318,R:R),"")</f>
        <v/>
      </c>
      <c r="T318" s="113" t="str">
        <f aca="false">IF(I318&lt;&gt;"",I318,"")</f>
        <v/>
      </c>
      <c r="U318" s="114" t="str">
        <f aca="false">IF(AND(T318&lt;&gt;"",S318&lt;&gt;""),IFERROR((T318-S318)/T318,""),"")</f>
        <v/>
      </c>
    </row>
    <row r="319" customFormat="false" ht="18.75" hidden="false" customHeight="true" outlineLevel="0" collapsed="false">
      <c r="A319" s="109"/>
      <c r="B319" s="109"/>
      <c r="C319" s="109"/>
      <c r="D319" s="109"/>
      <c r="E319" s="109"/>
      <c r="F319" s="109"/>
      <c r="G319" s="110" t="str">
        <f aca="false">IF(AND(E319&lt;&gt;"",F319&lt;&gt;""),E319*F319,"")</f>
        <v/>
      </c>
      <c r="H319" s="110" t="str">
        <f aca="false">IF(B319&lt;&gt;"",SUMIF(B:B,B319,G:G),"")</f>
        <v/>
      </c>
      <c r="I319" s="109"/>
      <c r="J319" s="111" t="str">
        <f aca="false">IF(AND(I319&lt;&gt;"",H319&lt;&gt;""),IFERROR((I319-H319)/I319,""),"")</f>
        <v/>
      </c>
      <c r="K319" s="3"/>
      <c r="L319" s="109"/>
      <c r="M319" s="109"/>
      <c r="N319" s="109"/>
      <c r="O319" s="109"/>
      <c r="P319" s="109"/>
      <c r="Q319" s="109"/>
      <c r="R319" s="110" t="str">
        <f aca="false">IF(AND(P319&lt;&gt;"",Q319&lt;&gt;""),P319*Q319,"")</f>
        <v/>
      </c>
      <c r="S319" s="110" t="str">
        <f aca="false">IF(M319&lt;&gt;"",SUMIF(M:M,M319,R:R),"")</f>
        <v/>
      </c>
      <c r="T319" s="110" t="str">
        <f aca="false">IF(I319&lt;&gt;"",I319,"")</f>
        <v/>
      </c>
      <c r="U319" s="111" t="str">
        <f aca="false">IF(AND(T319&lt;&gt;"",S319&lt;&gt;""),IFERROR((T319-S319)/T319,""),"")</f>
        <v/>
      </c>
    </row>
    <row r="320" customFormat="false" ht="18.75" hidden="false" customHeight="true" outlineLevel="0" collapsed="false">
      <c r="A320" s="112"/>
      <c r="B320" s="112"/>
      <c r="C320" s="112"/>
      <c r="D320" s="112"/>
      <c r="E320" s="112"/>
      <c r="F320" s="112"/>
      <c r="G320" s="113" t="str">
        <f aca="false">IF(AND(E320&lt;&gt;"",F320&lt;&gt;""),E320*F320,"")</f>
        <v/>
      </c>
      <c r="H320" s="113" t="str">
        <f aca="false">IF(B320&lt;&gt;"",SUMIF(B:B,B320,G:G),"")</f>
        <v/>
      </c>
      <c r="I320" s="112"/>
      <c r="J320" s="114" t="str">
        <f aca="false">IF(AND(I320&lt;&gt;"",H320&lt;&gt;""),IFERROR((I320-H320)/I320,""),"")</f>
        <v/>
      </c>
      <c r="K320" s="3"/>
      <c r="L320" s="112"/>
      <c r="M320" s="112"/>
      <c r="N320" s="112"/>
      <c r="O320" s="112"/>
      <c r="P320" s="112"/>
      <c r="Q320" s="112"/>
      <c r="R320" s="113" t="str">
        <f aca="false">IF(AND(P320&lt;&gt;"",Q320&lt;&gt;""),P320*Q320,"")</f>
        <v/>
      </c>
      <c r="S320" s="113" t="str">
        <f aca="false">IF(M320&lt;&gt;"",SUMIF(M:M,M320,R:R),"")</f>
        <v/>
      </c>
      <c r="T320" s="113" t="str">
        <f aca="false">IF(I320&lt;&gt;"",I320,"")</f>
        <v/>
      </c>
      <c r="U320" s="114" t="str">
        <f aca="false">IF(AND(T320&lt;&gt;"",S320&lt;&gt;""),IFERROR((T320-S320)/T320,""),"")</f>
        <v/>
      </c>
    </row>
    <row r="321" customFormat="false" ht="18.75" hidden="false" customHeight="true" outlineLevel="0" collapsed="false">
      <c r="A321" s="109"/>
      <c r="B321" s="109"/>
      <c r="C321" s="109"/>
      <c r="D321" s="109"/>
      <c r="E321" s="109"/>
      <c r="F321" s="109"/>
      <c r="G321" s="110" t="str">
        <f aca="false">IF(AND(E321&lt;&gt;"",F321&lt;&gt;""),E321*F321,"")</f>
        <v/>
      </c>
      <c r="H321" s="110" t="str">
        <f aca="false">IF(B321&lt;&gt;"",SUMIF(B:B,B321,G:G),"")</f>
        <v/>
      </c>
      <c r="I321" s="109"/>
      <c r="J321" s="111" t="str">
        <f aca="false">IF(AND(I321&lt;&gt;"",H321&lt;&gt;""),IFERROR((I321-H321)/I321,""),"")</f>
        <v/>
      </c>
      <c r="K321" s="3"/>
      <c r="L321" s="109"/>
      <c r="M321" s="109"/>
      <c r="N321" s="109"/>
      <c r="O321" s="109"/>
      <c r="P321" s="109"/>
      <c r="Q321" s="109"/>
      <c r="R321" s="110" t="str">
        <f aca="false">IF(AND(P321&lt;&gt;"",Q321&lt;&gt;""),P321*Q321,"")</f>
        <v/>
      </c>
      <c r="S321" s="110" t="str">
        <f aca="false">IF(M321&lt;&gt;"",SUMIF(M:M,M321,R:R),"")</f>
        <v/>
      </c>
      <c r="T321" s="110" t="str">
        <f aca="false">IF(I321&lt;&gt;"",I321,"")</f>
        <v/>
      </c>
      <c r="U321" s="111" t="str">
        <f aca="false">IF(AND(T321&lt;&gt;"",S321&lt;&gt;""),IFERROR((T321-S321)/T321,""),"")</f>
        <v/>
      </c>
    </row>
    <row r="322" customFormat="false" ht="18.75" hidden="false" customHeight="true" outlineLevel="0" collapsed="false">
      <c r="A322" s="112"/>
      <c r="B322" s="112"/>
      <c r="C322" s="112"/>
      <c r="D322" s="112"/>
      <c r="E322" s="112"/>
      <c r="F322" s="112"/>
      <c r="G322" s="113" t="str">
        <f aca="false">IF(AND(E322&lt;&gt;"",F322&lt;&gt;""),E322*F322,"")</f>
        <v/>
      </c>
      <c r="H322" s="113" t="str">
        <f aca="false">IF(B322&lt;&gt;"",SUMIF(B:B,B322,G:G),"")</f>
        <v/>
      </c>
      <c r="I322" s="112"/>
      <c r="J322" s="114" t="str">
        <f aca="false">IF(AND(I322&lt;&gt;"",H322&lt;&gt;""),IFERROR((I322-H322)/I322,""),"")</f>
        <v/>
      </c>
      <c r="K322" s="3"/>
      <c r="L322" s="112"/>
      <c r="M322" s="112"/>
      <c r="N322" s="112"/>
      <c r="O322" s="112"/>
      <c r="P322" s="112"/>
      <c r="Q322" s="112"/>
      <c r="R322" s="113" t="str">
        <f aca="false">IF(AND(P322&lt;&gt;"",Q322&lt;&gt;""),P322*Q322,"")</f>
        <v/>
      </c>
      <c r="S322" s="113" t="str">
        <f aca="false">IF(M322&lt;&gt;"",SUMIF(M:M,M322,R:R),"")</f>
        <v/>
      </c>
      <c r="T322" s="113" t="str">
        <f aca="false">IF(I322&lt;&gt;"",I322,"")</f>
        <v/>
      </c>
      <c r="U322" s="114" t="str">
        <f aca="false">IF(AND(T322&lt;&gt;"",S322&lt;&gt;""),IFERROR((T322-S322)/T322,""),"")</f>
        <v/>
      </c>
    </row>
    <row r="323" customFormat="false" ht="18.75" hidden="false" customHeight="true" outlineLevel="0" collapsed="false">
      <c r="A323" s="109"/>
      <c r="B323" s="109"/>
      <c r="C323" s="109"/>
      <c r="D323" s="109"/>
      <c r="E323" s="109"/>
      <c r="F323" s="109"/>
      <c r="G323" s="110" t="str">
        <f aca="false">IF(AND(E323&lt;&gt;"",F323&lt;&gt;""),E323*F323,"")</f>
        <v/>
      </c>
      <c r="H323" s="110" t="str">
        <f aca="false">IF(B323&lt;&gt;"",SUMIF(B:B,B323,G:G),"")</f>
        <v/>
      </c>
      <c r="I323" s="109"/>
      <c r="J323" s="111" t="str">
        <f aca="false">IF(AND(I323&lt;&gt;"",H323&lt;&gt;""),IFERROR((I323-H323)/I323,""),"")</f>
        <v/>
      </c>
      <c r="K323" s="3"/>
      <c r="L323" s="109"/>
      <c r="M323" s="109"/>
      <c r="N323" s="109"/>
      <c r="O323" s="109"/>
      <c r="P323" s="109"/>
      <c r="Q323" s="109"/>
      <c r="R323" s="110" t="str">
        <f aca="false">IF(AND(P323&lt;&gt;"",Q323&lt;&gt;""),P323*Q323,"")</f>
        <v/>
      </c>
      <c r="S323" s="110" t="str">
        <f aca="false">IF(M323&lt;&gt;"",SUMIF(M:M,M323,R:R),"")</f>
        <v/>
      </c>
      <c r="T323" s="110" t="str">
        <f aca="false">IF(I323&lt;&gt;"",I323,"")</f>
        <v/>
      </c>
      <c r="U323" s="111" t="str">
        <f aca="false">IF(AND(T323&lt;&gt;"",S323&lt;&gt;""),IFERROR((T323-S323)/T323,""),"")</f>
        <v/>
      </c>
    </row>
    <row r="324" customFormat="false" ht="18.75" hidden="false" customHeight="true" outlineLevel="0" collapsed="false">
      <c r="A324" s="112"/>
      <c r="B324" s="112"/>
      <c r="C324" s="112"/>
      <c r="D324" s="112"/>
      <c r="E324" s="112"/>
      <c r="F324" s="112"/>
      <c r="G324" s="113" t="str">
        <f aca="false">IF(AND(E324&lt;&gt;"",F324&lt;&gt;""),E324*F324,"")</f>
        <v/>
      </c>
      <c r="H324" s="113" t="str">
        <f aca="false">IF(B324&lt;&gt;"",SUMIF(B:B,B324,G:G),"")</f>
        <v/>
      </c>
      <c r="I324" s="112"/>
      <c r="J324" s="114" t="str">
        <f aca="false">IF(AND(I324&lt;&gt;"",H324&lt;&gt;""),IFERROR((I324-H324)/I324,""),"")</f>
        <v/>
      </c>
      <c r="K324" s="3"/>
      <c r="L324" s="112"/>
      <c r="M324" s="112"/>
      <c r="N324" s="112"/>
      <c r="O324" s="112"/>
      <c r="P324" s="112"/>
      <c r="Q324" s="112"/>
      <c r="R324" s="113" t="str">
        <f aca="false">IF(AND(P324&lt;&gt;"",Q324&lt;&gt;""),P324*Q324,"")</f>
        <v/>
      </c>
      <c r="S324" s="113" t="str">
        <f aca="false">IF(M324&lt;&gt;"",SUMIF(M:M,M324,R:R),"")</f>
        <v/>
      </c>
      <c r="T324" s="113" t="str">
        <f aca="false">IF(I324&lt;&gt;"",I324,"")</f>
        <v/>
      </c>
      <c r="U324" s="114" t="str">
        <f aca="false">IF(AND(T324&lt;&gt;"",S324&lt;&gt;""),IFERROR((T324-S324)/T324,""),"")</f>
        <v/>
      </c>
    </row>
    <row r="325" customFormat="false" ht="18.75" hidden="false" customHeight="true" outlineLevel="0" collapsed="false">
      <c r="A325" s="109"/>
      <c r="B325" s="109"/>
      <c r="C325" s="109"/>
      <c r="D325" s="109"/>
      <c r="E325" s="109"/>
      <c r="F325" s="109"/>
      <c r="G325" s="110" t="str">
        <f aca="false">IF(AND(E325&lt;&gt;"",F325&lt;&gt;""),E325*F325,"")</f>
        <v/>
      </c>
      <c r="H325" s="110" t="str">
        <f aca="false">IF(B325&lt;&gt;"",SUMIF(B:B,B325,G:G),"")</f>
        <v/>
      </c>
      <c r="I325" s="109"/>
      <c r="J325" s="111" t="str">
        <f aca="false">IF(AND(I325&lt;&gt;"",H325&lt;&gt;""),IFERROR((I325-H325)/I325,""),"")</f>
        <v/>
      </c>
      <c r="K325" s="3"/>
      <c r="L325" s="109"/>
      <c r="M325" s="109"/>
      <c r="N325" s="109"/>
      <c r="O325" s="109"/>
      <c r="P325" s="109"/>
      <c r="Q325" s="109"/>
      <c r="R325" s="110" t="str">
        <f aca="false">IF(AND(P325&lt;&gt;"",Q325&lt;&gt;""),P325*Q325,"")</f>
        <v/>
      </c>
      <c r="S325" s="110" t="str">
        <f aca="false">IF(M325&lt;&gt;"",SUMIF(M:M,M325,R:R),"")</f>
        <v/>
      </c>
      <c r="T325" s="110" t="str">
        <f aca="false">IF(I325&lt;&gt;"",I325,"")</f>
        <v/>
      </c>
      <c r="U325" s="111" t="str">
        <f aca="false">IF(AND(T325&lt;&gt;"",S325&lt;&gt;""),IFERROR((T325-S325)/T325,""),"")</f>
        <v/>
      </c>
    </row>
    <row r="326" customFormat="false" ht="18.75" hidden="false" customHeight="true" outlineLevel="0" collapsed="false">
      <c r="A326" s="112"/>
      <c r="B326" s="112"/>
      <c r="C326" s="112"/>
      <c r="D326" s="112"/>
      <c r="E326" s="112"/>
      <c r="F326" s="112"/>
      <c r="G326" s="113" t="str">
        <f aca="false">IF(AND(E326&lt;&gt;"",F326&lt;&gt;""),E326*F326,"")</f>
        <v/>
      </c>
      <c r="H326" s="113" t="str">
        <f aca="false">IF(B326&lt;&gt;"",SUMIF(B:B,B326,G:G),"")</f>
        <v/>
      </c>
      <c r="I326" s="112"/>
      <c r="J326" s="114" t="str">
        <f aca="false">IF(AND(I326&lt;&gt;"",H326&lt;&gt;""),IFERROR((I326-H326)/I326,""),"")</f>
        <v/>
      </c>
      <c r="K326" s="3"/>
      <c r="L326" s="112"/>
      <c r="M326" s="112"/>
      <c r="N326" s="112"/>
      <c r="O326" s="112"/>
      <c r="P326" s="112"/>
      <c r="Q326" s="112"/>
      <c r="R326" s="113" t="str">
        <f aca="false">IF(AND(P326&lt;&gt;"",Q326&lt;&gt;""),P326*Q326,"")</f>
        <v/>
      </c>
      <c r="S326" s="113" t="str">
        <f aca="false">IF(M326&lt;&gt;"",SUMIF(M:M,M326,R:R),"")</f>
        <v/>
      </c>
      <c r="T326" s="113" t="str">
        <f aca="false">IF(I326&lt;&gt;"",I326,"")</f>
        <v/>
      </c>
      <c r="U326" s="114" t="str">
        <f aca="false">IF(AND(T326&lt;&gt;"",S326&lt;&gt;""),IFERROR((T326-S326)/T326,""),"")</f>
        <v/>
      </c>
    </row>
    <row r="327" customFormat="false" ht="18.75" hidden="false" customHeight="true" outlineLevel="0" collapsed="false">
      <c r="A327" s="109"/>
      <c r="B327" s="109"/>
      <c r="C327" s="109"/>
      <c r="D327" s="109"/>
      <c r="E327" s="109"/>
      <c r="F327" s="109"/>
      <c r="G327" s="110" t="str">
        <f aca="false">IF(AND(E327&lt;&gt;"",F327&lt;&gt;""),E327*F327,"")</f>
        <v/>
      </c>
      <c r="H327" s="110" t="str">
        <f aca="false">IF(B327&lt;&gt;"",SUMIF(B:B,B327,G:G),"")</f>
        <v/>
      </c>
      <c r="I327" s="109"/>
      <c r="J327" s="111" t="str">
        <f aca="false">IF(AND(I327&lt;&gt;"",H327&lt;&gt;""),IFERROR((I327-H327)/I327,""),"")</f>
        <v/>
      </c>
      <c r="K327" s="3"/>
      <c r="L327" s="109"/>
      <c r="M327" s="109"/>
      <c r="N327" s="109"/>
      <c r="O327" s="109"/>
      <c r="P327" s="109"/>
      <c r="Q327" s="109"/>
      <c r="R327" s="110" t="str">
        <f aca="false">IF(AND(P327&lt;&gt;"",Q327&lt;&gt;""),P327*Q327,"")</f>
        <v/>
      </c>
      <c r="S327" s="110" t="str">
        <f aca="false">IF(M327&lt;&gt;"",SUMIF(M:M,M327,R:R),"")</f>
        <v/>
      </c>
      <c r="T327" s="110" t="str">
        <f aca="false">IF(I327&lt;&gt;"",I327,"")</f>
        <v/>
      </c>
      <c r="U327" s="111" t="str">
        <f aca="false">IF(AND(T327&lt;&gt;"",S327&lt;&gt;""),IFERROR((T327-S327)/T327,""),"")</f>
        <v/>
      </c>
    </row>
    <row r="328" customFormat="false" ht="18.75" hidden="false" customHeight="true" outlineLevel="0" collapsed="false">
      <c r="A328" s="112"/>
      <c r="B328" s="112"/>
      <c r="C328" s="112"/>
      <c r="D328" s="112"/>
      <c r="E328" s="112"/>
      <c r="F328" s="112"/>
      <c r="G328" s="113" t="str">
        <f aca="false">IF(AND(E328&lt;&gt;"",F328&lt;&gt;""),E328*F328,"")</f>
        <v/>
      </c>
      <c r="H328" s="113" t="str">
        <f aca="false">IF(B328&lt;&gt;"",SUMIF(B:B,B328,G:G),"")</f>
        <v/>
      </c>
      <c r="I328" s="112"/>
      <c r="J328" s="114" t="str">
        <f aca="false">IF(AND(I328&lt;&gt;"",H328&lt;&gt;""),IFERROR((I328-H328)/I328,""),"")</f>
        <v/>
      </c>
      <c r="K328" s="3"/>
      <c r="L328" s="112"/>
      <c r="M328" s="112"/>
      <c r="N328" s="112"/>
      <c r="O328" s="112"/>
      <c r="P328" s="112"/>
      <c r="Q328" s="112"/>
      <c r="R328" s="113" t="str">
        <f aca="false">IF(AND(P328&lt;&gt;"",Q328&lt;&gt;""),P328*Q328,"")</f>
        <v/>
      </c>
      <c r="S328" s="113" t="str">
        <f aca="false">IF(M328&lt;&gt;"",SUMIF(M:M,M328,R:R),"")</f>
        <v/>
      </c>
      <c r="T328" s="113" t="str">
        <f aca="false">IF(I328&lt;&gt;"",I328,"")</f>
        <v/>
      </c>
      <c r="U328" s="114" t="str">
        <f aca="false">IF(AND(T328&lt;&gt;"",S328&lt;&gt;""),IFERROR((T328-S328)/T328,""),"")</f>
        <v/>
      </c>
    </row>
    <row r="329" customFormat="false" ht="18.75" hidden="false" customHeight="true" outlineLevel="0" collapsed="false">
      <c r="A329" s="109"/>
      <c r="B329" s="109"/>
      <c r="C329" s="109"/>
      <c r="D329" s="109"/>
      <c r="E329" s="109"/>
      <c r="F329" s="109"/>
      <c r="G329" s="110" t="str">
        <f aca="false">IF(AND(E329&lt;&gt;"",F329&lt;&gt;""),E329*F329,"")</f>
        <v/>
      </c>
      <c r="H329" s="110" t="str">
        <f aca="false">IF(B329&lt;&gt;"",SUMIF(B:B,B329,G:G),"")</f>
        <v/>
      </c>
      <c r="I329" s="109"/>
      <c r="J329" s="111" t="str">
        <f aca="false">IF(AND(I329&lt;&gt;"",H329&lt;&gt;""),IFERROR((I329-H329)/I329,""),"")</f>
        <v/>
      </c>
      <c r="K329" s="3"/>
      <c r="L329" s="109"/>
      <c r="M329" s="109"/>
      <c r="N329" s="109"/>
      <c r="O329" s="109"/>
      <c r="P329" s="109"/>
      <c r="Q329" s="109"/>
      <c r="R329" s="110" t="str">
        <f aca="false">IF(AND(P329&lt;&gt;"",Q329&lt;&gt;""),P329*Q329,"")</f>
        <v/>
      </c>
      <c r="S329" s="110" t="str">
        <f aca="false">IF(M329&lt;&gt;"",SUMIF(M:M,M329,R:R),"")</f>
        <v/>
      </c>
      <c r="T329" s="110" t="str">
        <f aca="false">IF(I329&lt;&gt;"",I329,"")</f>
        <v/>
      </c>
      <c r="U329" s="111" t="str">
        <f aca="false">IF(AND(T329&lt;&gt;"",S329&lt;&gt;""),IFERROR((T329-S329)/T329,""),"")</f>
        <v/>
      </c>
    </row>
    <row r="330" customFormat="false" ht="18.75" hidden="false" customHeight="true" outlineLevel="0" collapsed="false">
      <c r="K330" s="3"/>
    </row>
    <row r="331" customFormat="false" ht="18.75" hidden="false" customHeight="true" outlineLevel="0" collapsed="false">
      <c r="K331" s="3"/>
    </row>
    <row r="332" customFormat="false" ht="18.75" hidden="false" customHeight="true" outlineLevel="0" collapsed="false">
      <c r="K332" s="3"/>
    </row>
    <row r="333" customFormat="false" ht="18.75" hidden="false" customHeight="true" outlineLevel="0" collapsed="false">
      <c r="K333" s="3"/>
    </row>
    <row r="334" customFormat="false" ht="18.75" hidden="false" customHeight="true" outlineLevel="0" collapsed="false">
      <c r="K334" s="3"/>
    </row>
    <row r="335" customFormat="false" ht="18.75" hidden="false" customHeight="true" outlineLevel="0" collapsed="false">
      <c r="K335" s="3"/>
    </row>
    <row r="336" customFormat="false" ht="18.75" hidden="false" customHeight="true" outlineLevel="0" collapsed="false">
      <c r="K336" s="3"/>
    </row>
    <row r="337" customFormat="false" ht="18.75" hidden="false" customHeight="true" outlineLevel="0" collapsed="false">
      <c r="K337" s="3"/>
    </row>
    <row r="338" customFormat="false" ht="18.75" hidden="false" customHeight="true" outlineLevel="0" collapsed="false">
      <c r="K338" s="3"/>
    </row>
    <row r="339" customFormat="false" ht="18.75" hidden="false" customHeight="true" outlineLevel="0" collapsed="false">
      <c r="K339" s="3"/>
    </row>
    <row r="340" customFormat="false" ht="18.75" hidden="false" customHeight="true" outlineLevel="0" collapsed="false">
      <c r="K340" s="3"/>
    </row>
    <row r="341" customFormat="false" ht="18.75" hidden="false" customHeight="true" outlineLevel="0" collapsed="false">
      <c r="K341" s="3"/>
    </row>
    <row r="342" customFormat="false" ht="18.75" hidden="false" customHeight="true" outlineLevel="0" collapsed="false">
      <c r="K342" s="3"/>
    </row>
    <row r="343" customFormat="false" ht="18.75" hidden="false" customHeight="true" outlineLevel="0" collapsed="false">
      <c r="K343" s="3"/>
    </row>
    <row r="344" customFormat="false" ht="18.75" hidden="false" customHeight="true" outlineLevel="0" collapsed="false">
      <c r="K344" s="3"/>
    </row>
    <row r="345" customFormat="false" ht="18.75" hidden="false" customHeight="true" outlineLevel="0" collapsed="false">
      <c r="K345" s="3"/>
    </row>
    <row r="346" customFormat="false" ht="18.75" hidden="false" customHeight="true" outlineLevel="0" collapsed="false">
      <c r="K346" s="3"/>
    </row>
    <row r="347" customFormat="false" ht="18.75" hidden="false" customHeight="true" outlineLevel="0" collapsed="false">
      <c r="K347" s="3"/>
    </row>
    <row r="348" customFormat="false" ht="18.75" hidden="false" customHeight="true" outlineLevel="0" collapsed="false">
      <c r="K348" s="3"/>
    </row>
    <row r="349" customFormat="false" ht="18.75" hidden="false" customHeight="true" outlineLevel="0" collapsed="false">
      <c r="K349" s="3"/>
    </row>
    <row r="350" customFormat="false" ht="18.75" hidden="false" customHeight="true" outlineLevel="0" collapsed="false">
      <c r="K350" s="3"/>
    </row>
    <row r="351" customFormat="false" ht="18.75" hidden="false" customHeight="true" outlineLevel="0" collapsed="false">
      <c r="K351" s="3"/>
    </row>
    <row r="352" customFormat="false" ht="18.75" hidden="false" customHeight="true" outlineLevel="0" collapsed="false">
      <c r="K352" s="3"/>
    </row>
    <row r="353" customFormat="false" ht="18.75" hidden="false" customHeight="true" outlineLevel="0" collapsed="false">
      <c r="K353" s="3"/>
    </row>
    <row r="354" customFormat="false" ht="18.75" hidden="false" customHeight="true" outlineLevel="0" collapsed="false">
      <c r="K354" s="3"/>
    </row>
    <row r="355" customFormat="false" ht="18.75" hidden="false" customHeight="true" outlineLevel="0" collapsed="false">
      <c r="K355" s="3"/>
    </row>
    <row r="356" customFormat="false" ht="18.75" hidden="false" customHeight="true" outlineLevel="0" collapsed="false">
      <c r="K356" s="3"/>
    </row>
    <row r="357" customFormat="false" ht="18.75" hidden="false" customHeight="true" outlineLevel="0" collapsed="false">
      <c r="K357" s="3"/>
    </row>
    <row r="358" customFormat="false" ht="18.75" hidden="false" customHeight="true" outlineLevel="0" collapsed="false">
      <c r="K358" s="3"/>
    </row>
    <row r="359" customFormat="false" ht="18.75" hidden="false" customHeight="true" outlineLevel="0" collapsed="false">
      <c r="K359" s="3"/>
    </row>
    <row r="360" customFormat="false" ht="18.75" hidden="false" customHeight="true" outlineLevel="0" collapsed="false">
      <c r="K360" s="3"/>
    </row>
    <row r="361" customFormat="false" ht="18.75" hidden="false" customHeight="true" outlineLevel="0" collapsed="false">
      <c r="K361" s="3"/>
    </row>
    <row r="362" customFormat="false" ht="18.75" hidden="false" customHeight="true" outlineLevel="0" collapsed="false">
      <c r="K362" s="3"/>
    </row>
    <row r="363" customFormat="false" ht="18.75" hidden="false" customHeight="true" outlineLevel="0" collapsed="false">
      <c r="K363" s="3"/>
    </row>
    <row r="364" customFormat="false" ht="18.75" hidden="false" customHeight="true" outlineLevel="0" collapsed="false">
      <c r="K364" s="3"/>
    </row>
    <row r="365" customFormat="false" ht="18.75" hidden="false" customHeight="true" outlineLevel="0" collapsed="false">
      <c r="K365" s="3"/>
    </row>
    <row r="366" customFormat="false" ht="18.75" hidden="false" customHeight="true" outlineLevel="0" collapsed="false">
      <c r="K366" s="3"/>
    </row>
    <row r="367" customFormat="false" ht="18.75" hidden="false" customHeight="true" outlineLevel="0" collapsed="false">
      <c r="K367" s="3"/>
    </row>
    <row r="368" customFormat="false" ht="18.75" hidden="false" customHeight="true" outlineLevel="0" collapsed="false">
      <c r="K368" s="3"/>
    </row>
    <row r="369" customFormat="false" ht="18.75" hidden="false" customHeight="true" outlineLevel="0" collapsed="false">
      <c r="K369" s="3"/>
    </row>
    <row r="370" customFormat="false" ht="18.75" hidden="false" customHeight="true" outlineLevel="0" collapsed="false">
      <c r="K370" s="3"/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/>
    <row r="597" customFormat="false" ht="18.75" hidden="false" customHeight="true" outlineLevel="0" collapsed="false"/>
    <row r="598" customFormat="false" ht="18.75" hidden="false" customHeight="true" outlineLevel="0" collapsed="false"/>
    <row r="599" customFormat="false" ht="18.75" hidden="false" customHeight="true" outlineLevel="0" collapsed="false"/>
    <row r="604" customFormat="false" ht="15.75" hidden="false" customHeight="true" outlineLevel="0" collapsed="false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</row>
    <row r="605" customFormat="false" ht="18" hidden="false" customHeight="tru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18" t="s">
        <v>333</v>
      </c>
      <c r="M605" s="118" t="s">
        <v>334</v>
      </c>
      <c r="N605" s="118" t="s">
        <v>256</v>
      </c>
      <c r="O605" s="118" t="s">
        <v>335</v>
      </c>
      <c r="P605" s="118" t="s">
        <v>336</v>
      </c>
      <c r="Q605" s="118" t="s">
        <v>24</v>
      </c>
    </row>
    <row r="606" customFormat="false" ht="18" hidden="false" customHeight="true" outlineLevel="0" collapsed="false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 t="n">
        <f aca="false">J178</f>
        <v>0.36155</v>
      </c>
      <c r="M606" s="125" t="n">
        <f aca="false">J193</f>
        <v>0.310231428571429</v>
      </c>
      <c r="N606" s="125" t="n">
        <f aca="false">J210</f>
        <v>0.400172857142857</v>
      </c>
      <c r="O606" s="125" t="n">
        <f aca="false">J225</f>
        <v>0.307541428571429</v>
      </c>
      <c r="P606" s="125" t="n">
        <f aca="false">J240</f>
        <v>0.331972857142857</v>
      </c>
      <c r="Q606" s="125" t="n">
        <f aca="false">J255</f>
        <v>0.310585714285714</v>
      </c>
    </row>
  </sheetData>
  <mergeCells count="27">
    <mergeCell ref="A2:U2"/>
    <mergeCell ref="A4:J4"/>
    <mergeCell ref="L4:U4"/>
    <mergeCell ref="W4:A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W5:X5"/>
    <mergeCell ref="Z5:AA5"/>
    <mergeCell ref="A604:J604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AN6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  <col collapsed="false" customWidth="true" hidden="false" outlineLevel="0" max="42" min="23" style="1" width="8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337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1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  <c r="W4" s="115" t="s">
        <v>338</v>
      </c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customFormat="false" ht="18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  <c r="W5" s="116" t="s">
        <v>75</v>
      </c>
      <c r="X5" s="116"/>
      <c r="Z5" s="117" t="s">
        <v>76</v>
      </c>
      <c r="AA5" s="117"/>
    </row>
    <row r="6" customFormat="false" ht="18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  <c r="W6" s="118" t="s">
        <v>339</v>
      </c>
      <c r="X6" s="118" t="s">
        <v>340</v>
      </c>
      <c r="Y6" s="118" t="s">
        <v>341</v>
      </c>
      <c r="Z6" s="118" t="s">
        <v>342</v>
      </c>
      <c r="AA6" s="118" t="s">
        <v>343</v>
      </c>
      <c r="AB6" s="118" t="s">
        <v>344</v>
      </c>
      <c r="AC6" s="118" t="s">
        <v>345</v>
      </c>
      <c r="AD6" s="118" t="s">
        <v>346</v>
      </c>
      <c r="AE6" s="118" t="s">
        <v>347</v>
      </c>
      <c r="AF6" s="118" t="s">
        <v>348</v>
      </c>
      <c r="AG6" s="118" t="s">
        <v>349</v>
      </c>
      <c r="AH6" s="118" t="s">
        <v>350</v>
      </c>
      <c r="AI6" s="118" t="s">
        <v>351</v>
      </c>
      <c r="AJ6" s="118" t="s">
        <v>352</v>
      </c>
      <c r="AK6" s="118" t="s">
        <v>353</v>
      </c>
      <c r="AL6" s="118" t="s">
        <v>354</v>
      </c>
      <c r="AM6" s="118" t="s">
        <v>336</v>
      </c>
      <c r="AN6" s="119" t="n">
        <f aca="false">J20</f>
        <v>0.542857142857143</v>
      </c>
    </row>
    <row r="7" customFormat="false" ht="18" hidden="false" customHeight="true" outlineLevel="0" collapsed="false">
      <c r="A7" s="91"/>
      <c r="B7" s="92"/>
      <c r="C7" s="84" t="s">
        <v>355</v>
      </c>
      <c r="D7" s="96" t="s">
        <v>57</v>
      </c>
      <c r="E7" s="91"/>
      <c r="F7" s="91"/>
      <c r="G7" s="87"/>
      <c r="H7" s="93"/>
      <c r="I7" s="94"/>
      <c r="J7" s="95"/>
      <c r="K7" s="3"/>
      <c r="L7" s="91"/>
      <c r="M7" s="92"/>
      <c r="N7" s="84" t="s">
        <v>355</v>
      </c>
      <c r="O7" s="96" t="s">
        <v>57</v>
      </c>
      <c r="P7" s="91"/>
      <c r="Q7" s="91"/>
      <c r="R7" s="120"/>
      <c r="S7" s="93"/>
      <c r="T7" s="94"/>
      <c r="U7" s="95"/>
      <c r="W7" s="121" t="n">
        <f aca="false">J8</f>
        <v>0.430714285714286</v>
      </c>
      <c r="X7" s="121" t="n">
        <f aca="false">J20</f>
        <v>0.542857142857143</v>
      </c>
      <c r="Y7" s="121" t="n">
        <f aca="false">J21</f>
        <v>-0.154446778711485</v>
      </c>
      <c r="Z7" s="121" t="n">
        <f aca="false">J29</f>
        <v>0.00998249299719896</v>
      </c>
      <c r="AA7" s="121" t="n">
        <f aca="false">J36</f>
        <v>-0.137149859943978</v>
      </c>
      <c r="AB7" s="121" t="n">
        <f aca="false">J44</f>
        <v>0.446153846153846</v>
      </c>
      <c r="AC7" s="121" t="n">
        <f aca="false">J45</f>
        <v>-0.0969817927170869</v>
      </c>
      <c r="AD7" s="121" t="n">
        <f aca="false">J55</f>
        <v>0.346764346764347</v>
      </c>
      <c r="AE7" s="121" t="n">
        <f aca="false">J64</f>
        <v>0.489549106839968</v>
      </c>
      <c r="AF7" s="121" t="n">
        <f aca="false">J73</f>
        <v>0.335444361463779</v>
      </c>
      <c r="AG7" s="121" t="n">
        <f aca="false">J81</f>
        <v>-0.16327731092437</v>
      </c>
      <c r="AH7" s="121" t="n">
        <f aca="false">J88</f>
        <v>-0.343109243697479</v>
      </c>
      <c r="AI7" s="121" t="n">
        <f aca="false">J96</f>
        <v>0.066155462184874</v>
      </c>
      <c r="AJ7" s="121" t="n">
        <f aca="false">J105</f>
        <v>0.304163074712644</v>
      </c>
      <c r="AK7" s="121" t="n">
        <f aca="false">J115</f>
        <v>-0.0538515406162464</v>
      </c>
      <c r="AL7" s="121" t="n">
        <f aca="false">J124</f>
        <v>-0.0436484593837535</v>
      </c>
      <c r="AM7" s="121" t="n">
        <f aca="false">J605</f>
        <v>0</v>
      </c>
      <c r="AN7" s="121" t="n">
        <f aca="false">J606</f>
        <v>0</v>
      </c>
    </row>
    <row r="8" customFormat="false" ht="18" hidden="false" customHeight="true" outlineLevel="0" collapsed="false">
      <c r="A8" s="82" t="s">
        <v>20</v>
      </c>
      <c r="B8" s="83" t="s">
        <v>339</v>
      </c>
      <c r="C8" s="97" t="s">
        <v>91</v>
      </c>
      <c r="D8" s="98" t="s">
        <v>55</v>
      </c>
      <c r="E8" s="99" t="n">
        <v>7</v>
      </c>
      <c r="F8" s="99" t="n">
        <v>16</v>
      </c>
      <c r="G8" s="100" t="n">
        <f aca="false">E8*F8</f>
        <v>112</v>
      </c>
      <c r="H8" s="88" t="n">
        <f aca="false">SUMIF(B:B,B8,G:G)</f>
        <v>1625.88</v>
      </c>
      <c r="I8" s="89" t="n">
        <v>2856</v>
      </c>
      <c r="J8" s="90" t="n">
        <f aca="false">IFERROR((I8-H8)/I8,"")</f>
        <v>0.430714285714286</v>
      </c>
      <c r="K8" s="3"/>
      <c r="L8" s="82" t="s">
        <v>20</v>
      </c>
      <c r="M8" s="83" t="s">
        <v>339</v>
      </c>
      <c r="N8" s="97" t="s">
        <v>91</v>
      </c>
      <c r="O8" s="98" t="s">
        <v>55</v>
      </c>
      <c r="P8" s="101"/>
      <c r="Q8" s="101"/>
      <c r="R8" s="102" t="n">
        <v>0</v>
      </c>
      <c r="S8" s="88" t="n">
        <f aca="false">SUMIF(M:M,M8,R:R)</f>
        <v>1363.88</v>
      </c>
      <c r="T8" s="89" t="n">
        <f aca="false">I8</f>
        <v>2856</v>
      </c>
      <c r="U8" s="90" t="n">
        <f aca="false">IFERROR((T8-S8)/T8,"")</f>
        <v>0.522450980392157</v>
      </c>
      <c r="W8" s="122" t="n">
        <f aca="false">U8</f>
        <v>0.522450980392157</v>
      </c>
      <c r="X8" s="122" t="n">
        <f aca="false">U20</f>
        <v>1</v>
      </c>
      <c r="Y8" s="122" t="n">
        <f aca="false">U21</f>
        <v>-0.154446778711485</v>
      </c>
      <c r="Z8" s="122" t="n">
        <f aca="false">U29</f>
        <v>0.00998249299719896</v>
      </c>
      <c r="AA8" s="122" t="n">
        <f aca="false">U36</f>
        <v>-0.137149859943978</v>
      </c>
      <c r="AB8" s="122" t="n">
        <f aca="false">U44</f>
        <v>0.446153846153846</v>
      </c>
      <c r="AC8" s="122" t="n">
        <f aca="false">U45</f>
        <v>0.113102240896359</v>
      </c>
      <c r="AD8" s="122" t="n">
        <f aca="false">U55</f>
        <v>0.400632047690871</v>
      </c>
      <c r="AE8" s="122" t="n">
        <f aca="false">U64</f>
        <v>0.647536177100598</v>
      </c>
      <c r="AF8" s="122" t="n">
        <f aca="false">U73</f>
        <v>0.335444361463779</v>
      </c>
      <c r="AG8" s="122" t="n">
        <f aca="false">U81</f>
        <v>-0.16327731092437</v>
      </c>
      <c r="AH8" s="122" t="n">
        <f aca="false">U88</f>
        <v>-0.343109243697479</v>
      </c>
      <c r="AI8" s="122" t="n">
        <f aca="false">U96</f>
        <v>0.066155462184874</v>
      </c>
      <c r="AJ8" s="122" t="n">
        <f aca="false">U105</f>
        <v>0.424852729885057</v>
      </c>
      <c r="AK8" s="122" t="n">
        <f aca="false">U115</f>
        <v>-0.0538515406162464</v>
      </c>
      <c r="AL8" s="122" t="n">
        <f aca="false">U124</f>
        <v>0.0347829131652662</v>
      </c>
      <c r="AM8" s="122" t="n">
        <f aca="false">U605</f>
        <v>0</v>
      </c>
      <c r="AN8" s="122" t="n">
        <f aca="false">U606</f>
        <v>0</v>
      </c>
    </row>
    <row r="9" customFormat="false" ht="18.75" hidden="false" customHeight="true" outlineLevel="0" collapsed="false">
      <c r="A9" s="104"/>
      <c r="B9" s="105" t="s">
        <v>339</v>
      </c>
      <c r="C9" s="97" t="s">
        <v>117</v>
      </c>
      <c r="D9" s="98" t="s">
        <v>55</v>
      </c>
      <c r="E9" s="99" t="n">
        <v>10</v>
      </c>
      <c r="F9" s="99" t="n">
        <v>15</v>
      </c>
      <c r="G9" s="100" t="n">
        <f aca="false">E9*F9</f>
        <v>150</v>
      </c>
      <c r="H9" s="106"/>
      <c r="I9" s="107"/>
      <c r="J9" s="108"/>
      <c r="K9" s="3"/>
      <c r="L9" s="104"/>
      <c r="M9" s="105" t="s">
        <v>339</v>
      </c>
      <c r="N9" s="97" t="s">
        <v>117</v>
      </c>
      <c r="O9" s="98" t="s">
        <v>55</v>
      </c>
      <c r="P9" s="101"/>
      <c r="Q9" s="101"/>
      <c r="R9" s="102" t="n">
        <v>0</v>
      </c>
      <c r="S9" s="106"/>
      <c r="T9" s="107"/>
      <c r="U9" s="108"/>
    </row>
    <row r="10" customFormat="false" ht="18.75" hidden="false" customHeight="true" outlineLevel="0" collapsed="false">
      <c r="A10" s="91"/>
      <c r="B10" s="92" t="s">
        <v>339</v>
      </c>
      <c r="C10" s="84" t="s">
        <v>164</v>
      </c>
      <c r="D10" s="85" t="s">
        <v>56</v>
      </c>
      <c r="E10" s="86" t="n">
        <v>7.75</v>
      </c>
      <c r="F10" s="86" t="n">
        <v>13</v>
      </c>
      <c r="G10" s="87" t="n">
        <f aca="false">E10*F10</f>
        <v>100.75</v>
      </c>
      <c r="H10" s="93"/>
      <c r="I10" s="94"/>
      <c r="J10" s="95"/>
      <c r="K10" s="3"/>
      <c r="L10" s="91"/>
      <c r="M10" s="92" t="s">
        <v>339</v>
      </c>
      <c r="N10" s="84" t="s">
        <v>164</v>
      </c>
      <c r="O10" s="85" t="s">
        <v>56</v>
      </c>
      <c r="P10" s="86" t="n">
        <v>7.75</v>
      </c>
      <c r="Q10" s="86" t="n">
        <v>13</v>
      </c>
      <c r="R10" s="87" t="n">
        <f aca="false">P10*Q10</f>
        <v>100.75</v>
      </c>
      <c r="S10" s="93"/>
      <c r="T10" s="94"/>
      <c r="U10" s="95"/>
    </row>
    <row r="11" customFormat="false" ht="18.75" hidden="false" customHeight="true" outlineLevel="0" collapsed="false">
      <c r="A11" s="91"/>
      <c r="B11" s="92" t="s">
        <v>339</v>
      </c>
      <c r="C11" s="84" t="s">
        <v>137</v>
      </c>
      <c r="D11" s="85" t="s">
        <v>56</v>
      </c>
      <c r="E11" s="86" t="n">
        <v>13.45</v>
      </c>
      <c r="F11" s="86" t="n">
        <v>13</v>
      </c>
      <c r="G11" s="87" t="n">
        <f aca="false">E11*F11</f>
        <v>174.85</v>
      </c>
      <c r="H11" s="93"/>
      <c r="I11" s="94"/>
      <c r="J11" s="95"/>
      <c r="K11" s="3"/>
      <c r="L11" s="91"/>
      <c r="M11" s="92" t="s">
        <v>339</v>
      </c>
      <c r="N11" s="84" t="s">
        <v>137</v>
      </c>
      <c r="O11" s="85" t="s">
        <v>56</v>
      </c>
      <c r="P11" s="86" t="n">
        <v>13.45</v>
      </c>
      <c r="Q11" s="86" t="n">
        <v>13</v>
      </c>
      <c r="R11" s="87" t="n">
        <f aca="false">P11*Q11</f>
        <v>174.85</v>
      </c>
      <c r="S11" s="93"/>
      <c r="T11" s="94"/>
      <c r="U11" s="95"/>
    </row>
    <row r="12" customFormat="false" ht="18.75" hidden="false" customHeight="true" outlineLevel="0" collapsed="false">
      <c r="A12" s="91"/>
      <c r="B12" s="92" t="s">
        <v>339</v>
      </c>
      <c r="C12" s="84" t="s">
        <v>81</v>
      </c>
      <c r="D12" s="85" t="s">
        <v>56</v>
      </c>
      <c r="E12" s="86" t="n">
        <v>14.9</v>
      </c>
      <c r="F12" s="86" t="n">
        <v>13</v>
      </c>
      <c r="G12" s="87" t="n">
        <f aca="false">E12*F12</f>
        <v>193.7</v>
      </c>
      <c r="H12" s="93"/>
      <c r="I12" s="94"/>
      <c r="J12" s="95"/>
      <c r="K12" s="3"/>
      <c r="L12" s="91"/>
      <c r="M12" s="92" t="s">
        <v>339</v>
      </c>
      <c r="N12" s="84" t="s">
        <v>81</v>
      </c>
      <c r="O12" s="85" t="s">
        <v>56</v>
      </c>
      <c r="P12" s="86" t="n">
        <v>14.9</v>
      </c>
      <c r="Q12" s="86" t="n">
        <v>13</v>
      </c>
      <c r="R12" s="87" t="n">
        <f aca="false">P12*Q12</f>
        <v>193.7</v>
      </c>
      <c r="S12" s="93"/>
      <c r="T12" s="94"/>
      <c r="U12" s="95"/>
    </row>
    <row r="13" customFormat="false" ht="18.75" hidden="false" customHeight="true" outlineLevel="0" collapsed="false">
      <c r="A13" s="91"/>
      <c r="B13" s="92" t="s">
        <v>339</v>
      </c>
      <c r="C13" s="84" t="s">
        <v>260</v>
      </c>
      <c r="D13" s="85" t="s">
        <v>56</v>
      </c>
      <c r="E13" s="86" t="n">
        <v>12.2</v>
      </c>
      <c r="F13" s="86" t="n">
        <v>13</v>
      </c>
      <c r="G13" s="87" t="n">
        <f aca="false">E13*F13</f>
        <v>158.6</v>
      </c>
      <c r="H13" s="93"/>
      <c r="I13" s="94"/>
      <c r="J13" s="95"/>
      <c r="K13" s="3"/>
      <c r="L13" s="91"/>
      <c r="M13" s="92" t="s">
        <v>339</v>
      </c>
      <c r="N13" s="84" t="s">
        <v>260</v>
      </c>
      <c r="O13" s="85" t="s">
        <v>56</v>
      </c>
      <c r="P13" s="86" t="n">
        <v>12.2</v>
      </c>
      <c r="Q13" s="86" t="n">
        <v>13</v>
      </c>
      <c r="R13" s="87" t="n">
        <f aca="false">P13*Q13</f>
        <v>158.6</v>
      </c>
      <c r="S13" s="93"/>
      <c r="T13" s="94"/>
      <c r="U13" s="95"/>
    </row>
    <row r="14" customFormat="false" ht="18.75" hidden="false" customHeight="true" outlineLevel="0" collapsed="false">
      <c r="A14" s="91"/>
      <c r="B14" s="92" t="s">
        <v>339</v>
      </c>
      <c r="C14" s="84" t="s">
        <v>129</v>
      </c>
      <c r="D14" s="85" t="s">
        <v>56</v>
      </c>
      <c r="E14" s="86" t="n">
        <v>19.05</v>
      </c>
      <c r="F14" s="86" t="n">
        <v>13</v>
      </c>
      <c r="G14" s="87" t="n">
        <f aca="false">E14*F14</f>
        <v>247.65</v>
      </c>
      <c r="H14" s="93"/>
      <c r="I14" s="94"/>
      <c r="J14" s="95"/>
      <c r="K14" s="3"/>
      <c r="L14" s="91"/>
      <c r="M14" s="92" t="s">
        <v>339</v>
      </c>
      <c r="N14" s="84" t="s">
        <v>129</v>
      </c>
      <c r="O14" s="85" t="s">
        <v>56</v>
      </c>
      <c r="P14" s="86" t="n">
        <v>19.05</v>
      </c>
      <c r="Q14" s="86" t="n">
        <v>13</v>
      </c>
      <c r="R14" s="87" t="n">
        <f aca="false">P14*Q14</f>
        <v>247.65</v>
      </c>
      <c r="S14" s="93"/>
      <c r="T14" s="94"/>
      <c r="U14" s="95"/>
    </row>
    <row r="15" customFormat="false" ht="18.75" hidden="false" customHeight="true" outlineLevel="0" collapsed="false">
      <c r="A15" s="91"/>
      <c r="B15" s="92" t="s">
        <v>339</v>
      </c>
      <c r="C15" s="84" t="s">
        <v>356</v>
      </c>
      <c r="D15" s="85" t="s">
        <v>56</v>
      </c>
      <c r="E15" s="86" t="n">
        <v>7</v>
      </c>
      <c r="F15" s="86" t="n">
        <v>12</v>
      </c>
      <c r="G15" s="87" t="n">
        <f aca="false">E15*F15</f>
        <v>84</v>
      </c>
      <c r="H15" s="93"/>
      <c r="I15" s="94"/>
      <c r="J15" s="95"/>
      <c r="K15" s="3"/>
      <c r="L15" s="91"/>
      <c r="M15" s="92" t="s">
        <v>339</v>
      </c>
      <c r="N15" s="84" t="s">
        <v>356</v>
      </c>
      <c r="O15" s="85" t="s">
        <v>56</v>
      </c>
      <c r="P15" s="86" t="n">
        <v>7</v>
      </c>
      <c r="Q15" s="86" t="n">
        <v>12</v>
      </c>
      <c r="R15" s="87" t="n">
        <f aca="false">P15*Q15</f>
        <v>84</v>
      </c>
      <c r="S15" s="93"/>
      <c r="T15" s="94"/>
      <c r="U15" s="95"/>
    </row>
    <row r="16" customFormat="false" ht="18.75" hidden="false" customHeight="true" outlineLevel="0" collapsed="false">
      <c r="A16" s="91"/>
      <c r="B16" s="92" t="s">
        <v>339</v>
      </c>
      <c r="C16" s="84" t="s">
        <v>357</v>
      </c>
      <c r="D16" s="85" t="s">
        <v>56</v>
      </c>
      <c r="E16" s="86" t="n">
        <v>7</v>
      </c>
      <c r="F16" s="86" t="n">
        <v>12</v>
      </c>
      <c r="G16" s="87" t="n">
        <f aca="false">E16*F16</f>
        <v>84</v>
      </c>
      <c r="H16" s="93"/>
      <c r="I16" s="94"/>
      <c r="J16" s="95"/>
      <c r="K16" s="3"/>
      <c r="L16" s="91"/>
      <c r="M16" s="92" t="s">
        <v>339</v>
      </c>
      <c r="N16" s="84" t="s">
        <v>357</v>
      </c>
      <c r="O16" s="85" t="s">
        <v>56</v>
      </c>
      <c r="P16" s="86" t="n">
        <v>7</v>
      </c>
      <c r="Q16" s="86" t="n">
        <v>12</v>
      </c>
      <c r="R16" s="87" t="n">
        <f aca="false">P16*Q16</f>
        <v>84</v>
      </c>
      <c r="S16" s="93"/>
      <c r="T16" s="94"/>
      <c r="U16" s="95"/>
    </row>
    <row r="17" customFormat="false" ht="18.75" hidden="false" customHeight="true" outlineLevel="0" collapsed="false">
      <c r="A17" s="91"/>
      <c r="B17" s="92" t="s">
        <v>339</v>
      </c>
      <c r="C17" s="84" t="s">
        <v>148</v>
      </c>
      <c r="D17" s="85" t="s">
        <v>56</v>
      </c>
      <c r="E17" s="86" t="n">
        <v>15.41</v>
      </c>
      <c r="F17" s="86" t="n">
        <v>13</v>
      </c>
      <c r="G17" s="87" t="n">
        <f aca="false">E17*F17</f>
        <v>200.33</v>
      </c>
      <c r="H17" s="93"/>
      <c r="I17" s="94"/>
      <c r="J17" s="95"/>
      <c r="K17" s="3"/>
      <c r="L17" s="91"/>
      <c r="M17" s="92" t="s">
        <v>339</v>
      </c>
      <c r="N17" s="84" t="s">
        <v>148</v>
      </c>
      <c r="O17" s="85" t="s">
        <v>56</v>
      </c>
      <c r="P17" s="86" t="n">
        <v>15.41</v>
      </c>
      <c r="Q17" s="86" t="n">
        <v>13</v>
      </c>
      <c r="R17" s="87" t="n">
        <f aca="false">P17*Q17</f>
        <v>200.33</v>
      </c>
      <c r="S17" s="93"/>
      <c r="T17" s="94"/>
      <c r="U17" s="95"/>
    </row>
    <row r="18" customFormat="false" ht="18.75" hidden="false" customHeight="true" outlineLevel="0" collapsed="false">
      <c r="A18" s="91"/>
      <c r="B18" s="92" t="s">
        <v>339</v>
      </c>
      <c r="C18" s="84" t="s">
        <v>358</v>
      </c>
      <c r="D18" s="96" t="s">
        <v>57</v>
      </c>
      <c r="E18" s="91"/>
      <c r="F18" s="91"/>
      <c r="G18" s="87" t="n">
        <v>50</v>
      </c>
      <c r="H18" s="93"/>
      <c r="I18" s="94"/>
      <c r="J18" s="95"/>
      <c r="K18" s="3"/>
      <c r="L18" s="91"/>
      <c r="M18" s="92" t="s">
        <v>339</v>
      </c>
      <c r="N18" s="84" t="s">
        <v>358</v>
      </c>
      <c r="O18" s="96" t="s">
        <v>57</v>
      </c>
      <c r="P18" s="91"/>
      <c r="Q18" s="91"/>
      <c r="R18" s="87" t="n">
        <v>50</v>
      </c>
      <c r="S18" s="93"/>
      <c r="T18" s="94"/>
      <c r="U18" s="95"/>
    </row>
    <row r="19" customFormat="false" ht="18.75" hidden="false" customHeight="true" outlineLevel="0" collapsed="false">
      <c r="A19" s="91"/>
      <c r="B19" s="92" t="s">
        <v>339</v>
      </c>
      <c r="C19" s="84" t="s">
        <v>92</v>
      </c>
      <c r="D19" s="103" t="s">
        <v>58</v>
      </c>
      <c r="E19" s="91"/>
      <c r="F19" s="91"/>
      <c r="G19" s="87" t="n">
        <v>70</v>
      </c>
      <c r="H19" s="93"/>
      <c r="I19" s="94"/>
      <c r="J19" s="95"/>
      <c r="K19" s="3"/>
      <c r="L19" s="91"/>
      <c r="M19" s="92" t="s">
        <v>339</v>
      </c>
      <c r="N19" s="84" t="s">
        <v>92</v>
      </c>
      <c r="O19" s="103" t="s">
        <v>58</v>
      </c>
      <c r="P19" s="91"/>
      <c r="Q19" s="91"/>
      <c r="R19" s="87" t="n">
        <v>70</v>
      </c>
      <c r="S19" s="93"/>
      <c r="T19" s="94"/>
      <c r="U19" s="95"/>
    </row>
    <row r="20" customFormat="false" ht="18.75" hidden="false" customHeight="true" outlineLevel="0" collapsed="false">
      <c r="A20" s="82" t="s">
        <v>22</v>
      </c>
      <c r="B20" s="83" t="s">
        <v>340</v>
      </c>
      <c r="C20" s="97" t="s">
        <v>91</v>
      </c>
      <c r="D20" s="98" t="s">
        <v>55</v>
      </c>
      <c r="E20" s="99" t="n">
        <v>21</v>
      </c>
      <c r="F20" s="99" t="n">
        <v>16</v>
      </c>
      <c r="G20" s="100" t="n">
        <f aca="false">E20*F20</f>
        <v>336</v>
      </c>
      <c r="H20" s="88" t="n">
        <f aca="false">SUMIF(B:B,B20,G:G)</f>
        <v>336</v>
      </c>
      <c r="I20" s="89" t="n">
        <v>735</v>
      </c>
      <c r="J20" s="90" t="n">
        <f aca="false">IFERROR((I20-H20)/I20,"")</f>
        <v>0.542857142857143</v>
      </c>
      <c r="K20" s="3"/>
      <c r="L20" s="82" t="s">
        <v>22</v>
      </c>
      <c r="M20" s="83" t="s">
        <v>340</v>
      </c>
      <c r="N20" s="97" t="s">
        <v>91</v>
      </c>
      <c r="O20" s="98" t="s">
        <v>55</v>
      </c>
      <c r="P20" s="101"/>
      <c r="Q20" s="101"/>
      <c r="R20" s="102" t="n">
        <v>0</v>
      </c>
      <c r="S20" s="88" t="n">
        <f aca="false">SUMIF(M:M,M20,R:R)</f>
        <v>0</v>
      </c>
      <c r="T20" s="89" t="n">
        <f aca="false">I20</f>
        <v>735</v>
      </c>
      <c r="U20" s="90" t="n">
        <f aca="false">IFERROR((T20-S20)/T20,"")</f>
        <v>1</v>
      </c>
    </row>
    <row r="21" customFormat="false" ht="18.75" hidden="false" customHeight="true" outlineLevel="0" collapsed="false">
      <c r="A21" s="82" t="s">
        <v>22</v>
      </c>
      <c r="B21" s="83" t="s">
        <v>341</v>
      </c>
      <c r="C21" s="84" t="s">
        <v>359</v>
      </c>
      <c r="D21" s="85" t="s">
        <v>56</v>
      </c>
      <c r="E21" s="86" t="n">
        <v>21</v>
      </c>
      <c r="F21" s="86" t="n">
        <v>18</v>
      </c>
      <c r="G21" s="87" t="n">
        <f aca="false">E21*F21</f>
        <v>378</v>
      </c>
      <c r="H21" s="88" t="n">
        <f aca="false">SUMIF(B:B,B21,G:G)</f>
        <v>1648.55</v>
      </c>
      <c r="I21" s="89" t="n">
        <v>1428</v>
      </c>
      <c r="J21" s="90" t="n">
        <f aca="false">IFERROR((I21-H21)/I21,"")</f>
        <v>-0.154446778711485</v>
      </c>
      <c r="K21" s="3"/>
      <c r="L21" s="82" t="s">
        <v>22</v>
      </c>
      <c r="M21" s="83" t="s">
        <v>341</v>
      </c>
      <c r="N21" s="84" t="s">
        <v>359</v>
      </c>
      <c r="O21" s="85" t="s">
        <v>56</v>
      </c>
      <c r="P21" s="86" t="n">
        <v>21</v>
      </c>
      <c r="Q21" s="86" t="n">
        <v>18</v>
      </c>
      <c r="R21" s="87" t="n">
        <f aca="false">P21*Q21</f>
        <v>378</v>
      </c>
      <c r="S21" s="88" t="n">
        <f aca="false">SUMIF(M:M,M21,R:R)</f>
        <v>1648.55</v>
      </c>
      <c r="T21" s="89" t="n">
        <f aca="false">I21</f>
        <v>1428</v>
      </c>
      <c r="U21" s="90" t="n">
        <f aca="false">IFERROR((T21-S21)/T21,"")</f>
        <v>-0.154446778711485</v>
      </c>
    </row>
    <row r="22" customFormat="false" ht="18.75" hidden="false" customHeight="true" outlineLevel="0" collapsed="false">
      <c r="A22" s="91"/>
      <c r="B22" s="92" t="s">
        <v>341</v>
      </c>
      <c r="C22" s="84" t="s">
        <v>360</v>
      </c>
      <c r="D22" s="85" t="s">
        <v>56</v>
      </c>
      <c r="E22" s="86" t="n">
        <v>21.75</v>
      </c>
      <c r="F22" s="86" t="n">
        <v>13</v>
      </c>
      <c r="G22" s="87" t="n">
        <f aca="false">E22*F22</f>
        <v>282.75</v>
      </c>
      <c r="H22" s="93"/>
      <c r="I22" s="94"/>
      <c r="J22" s="95"/>
      <c r="K22" s="3"/>
      <c r="L22" s="91"/>
      <c r="M22" s="92" t="s">
        <v>341</v>
      </c>
      <c r="N22" s="84" t="s">
        <v>360</v>
      </c>
      <c r="O22" s="85" t="s">
        <v>56</v>
      </c>
      <c r="P22" s="86" t="n">
        <v>21.75</v>
      </c>
      <c r="Q22" s="86" t="n">
        <v>13</v>
      </c>
      <c r="R22" s="87" t="n">
        <f aca="false">P22*Q22</f>
        <v>282.75</v>
      </c>
      <c r="S22" s="93"/>
      <c r="T22" s="94"/>
      <c r="U22" s="95"/>
    </row>
    <row r="23" customFormat="false" ht="18.75" hidden="false" customHeight="true" outlineLevel="0" collapsed="false">
      <c r="A23" s="91"/>
      <c r="B23" s="92" t="s">
        <v>341</v>
      </c>
      <c r="C23" s="84" t="s">
        <v>137</v>
      </c>
      <c r="D23" s="85" t="s">
        <v>56</v>
      </c>
      <c r="E23" s="86" t="n">
        <v>13.33</v>
      </c>
      <c r="F23" s="86" t="n">
        <v>13</v>
      </c>
      <c r="G23" s="87" t="n">
        <f aca="false">E23*F23</f>
        <v>173.29</v>
      </c>
      <c r="H23" s="93"/>
      <c r="I23" s="94"/>
      <c r="J23" s="95"/>
      <c r="K23" s="3"/>
      <c r="L23" s="91"/>
      <c r="M23" s="92" t="s">
        <v>341</v>
      </c>
      <c r="N23" s="84" t="s">
        <v>137</v>
      </c>
      <c r="O23" s="85" t="s">
        <v>56</v>
      </c>
      <c r="P23" s="86" t="n">
        <v>13.33</v>
      </c>
      <c r="Q23" s="86" t="n">
        <v>13</v>
      </c>
      <c r="R23" s="87" t="n">
        <f aca="false">P23*Q23</f>
        <v>173.29</v>
      </c>
      <c r="S23" s="93"/>
      <c r="T23" s="94"/>
      <c r="U23" s="95"/>
    </row>
    <row r="24" customFormat="false" ht="18.75" hidden="false" customHeight="true" outlineLevel="0" collapsed="false">
      <c r="A24" s="91"/>
      <c r="B24" s="92" t="s">
        <v>341</v>
      </c>
      <c r="C24" s="84" t="s">
        <v>102</v>
      </c>
      <c r="D24" s="85" t="s">
        <v>56</v>
      </c>
      <c r="E24" s="86" t="n">
        <v>10.6</v>
      </c>
      <c r="F24" s="86" t="n">
        <v>13</v>
      </c>
      <c r="G24" s="87" t="n">
        <f aca="false">E24*F24</f>
        <v>137.8</v>
      </c>
      <c r="H24" s="93"/>
      <c r="I24" s="94"/>
      <c r="J24" s="95"/>
      <c r="K24" s="3"/>
      <c r="L24" s="91"/>
      <c r="M24" s="92" t="s">
        <v>341</v>
      </c>
      <c r="N24" s="84" t="s">
        <v>102</v>
      </c>
      <c r="O24" s="85" t="s">
        <v>56</v>
      </c>
      <c r="P24" s="86" t="n">
        <v>10.6</v>
      </c>
      <c r="Q24" s="86" t="n">
        <v>13</v>
      </c>
      <c r="R24" s="87" t="n">
        <f aca="false">P24*Q24</f>
        <v>137.8</v>
      </c>
      <c r="S24" s="93"/>
      <c r="T24" s="94"/>
      <c r="U24" s="95"/>
    </row>
    <row r="25" customFormat="false" ht="18.75" hidden="false" customHeight="true" outlineLevel="0" collapsed="false">
      <c r="A25" s="91"/>
      <c r="B25" s="92" t="s">
        <v>341</v>
      </c>
      <c r="C25" s="84" t="s">
        <v>260</v>
      </c>
      <c r="D25" s="85" t="s">
        <v>56</v>
      </c>
      <c r="E25" s="86" t="n">
        <v>12.12</v>
      </c>
      <c r="F25" s="86" t="n">
        <v>13</v>
      </c>
      <c r="G25" s="87" t="n">
        <f aca="false">E25*F25</f>
        <v>157.56</v>
      </c>
      <c r="H25" s="93"/>
      <c r="I25" s="94"/>
      <c r="J25" s="95"/>
      <c r="K25" s="3"/>
      <c r="L25" s="91"/>
      <c r="M25" s="92" t="s">
        <v>341</v>
      </c>
      <c r="N25" s="84" t="s">
        <v>260</v>
      </c>
      <c r="O25" s="85" t="s">
        <v>56</v>
      </c>
      <c r="P25" s="86" t="n">
        <v>12.12</v>
      </c>
      <c r="Q25" s="86" t="n">
        <v>13</v>
      </c>
      <c r="R25" s="87" t="n">
        <f aca="false">P25*Q25</f>
        <v>157.56</v>
      </c>
      <c r="S25" s="93"/>
      <c r="T25" s="94"/>
      <c r="U25" s="95"/>
    </row>
    <row r="26" customFormat="false" ht="18.75" hidden="false" customHeight="true" outlineLevel="0" collapsed="false">
      <c r="A26" s="91"/>
      <c r="B26" s="92" t="s">
        <v>341</v>
      </c>
      <c r="C26" s="84" t="s">
        <v>148</v>
      </c>
      <c r="D26" s="85" t="s">
        <v>56</v>
      </c>
      <c r="E26" s="86" t="n">
        <v>20.35</v>
      </c>
      <c r="F26" s="86" t="n">
        <v>13</v>
      </c>
      <c r="G26" s="87" t="n">
        <f aca="false">E26*F26</f>
        <v>264.55</v>
      </c>
      <c r="H26" s="93"/>
      <c r="I26" s="94"/>
      <c r="J26" s="95"/>
      <c r="K26" s="3"/>
      <c r="L26" s="91"/>
      <c r="M26" s="92" t="s">
        <v>341</v>
      </c>
      <c r="N26" s="84" t="s">
        <v>148</v>
      </c>
      <c r="O26" s="85" t="s">
        <v>56</v>
      </c>
      <c r="P26" s="86" t="n">
        <v>20.35</v>
      </c>
      <c r="Q26" s="86" t="n">
        <v>13</v>
      </c>
      <c r="R26" s="87" t="n">
        <f aca="false">P26*Q26</f>
        <v>264.55</v>
      </c>
      <c r="S26" s="93"/>
      <c r="T26" s="94"/>
      <c r="U26" s="95"/>
    </row>
    <row r="27" customFormat="false" ht="18.75" hidden="false" customHeight="true" outlineLevel="0" collapsed="false">
      <c r="A27" s="91"/>
      <c r="B27" s="92" t="s">
        <v>341</v>
      </c>
      <c r="C27" s="84" t="s">
        <v>361</v>
      </c>
      <c r="D27" s="85" t="s">
        <v>56</v>
      </c>
      <c r="E27" s="86" t="n">
        <v>14.2</v>
      </c>
      <c r="F27" s="86" t="n">
        <v>13</v>
      </c>
      <c r="G27" s="87" t="n">
        <f aca="false">E27*F27</f>
        <v>184.6</v>
      </c>
      <c r="H27" s="93"/>
      <c r="I27" s="94"/>
      <c r="J27" s="95"/>
      <c r="K27" s="3"/>
      <c r="L27" s="91"/>
      <c r="M27" s="92" t="s">
        <v>341</v>
      </c>
      <c r="N27" s="84" t="s">
        <v>361</v>
      </c>
      <c r="O27" s="85" t="s">
        <v>56</v>
      </c>
      <c r="P27" s="86" t="n">
        <v>14.2</v>
      </c>
      <c r="Q27" s="86" t="n">
        <v>13</v>
      </c>
      <c r="R27" s="87" t="n">
        <f aca="false">P27*Q27</f>
        <v>184.6</v>
      </c>
      <c r="S27" s="93"/>
      <c r="T27" s="94"/>
      <c r="U27" s="95"/>
    </row>
    <row r="28" customFormat="false" ht="18.75" hidden="false" customHeight="true" outlineLevel="0" collapsed="false">
      <c r="A28" s="91"/>
      <c r="B28" s="92" t="s">
        <v>341</v>
      </c>
      <c r="C28" s="84" t="s">
        <v>358</v>
      </c>
      <c r="D28" s="96" t="s">
        <v>57</v>
      </c>
      <c r="E28" s="91"/>
      <c r="F28" s="91"/>
      <c r="G28" s="87" t="n">
        <v>70</v>
      </c>
      <c r="H28" s="93"/>
      <c r="I28" s="94"/>
      <c r="J28" s="95"/>
      <c r="K28" s="3"/>
      <c r="L28" s="91"/>
      <c r="M28" s="92" t="s">
        <v>341</v>
      </c>
      <c r="N28" s="84" t="s">
        <v>358</v>
      </c>
      <c r="O28" s="96" t="s">
        <v>57</v>
      </c>
      <c r="P28" s="91"/>
      <c r="Q28" s="91"/>
      <c r="R28" s="87" t="n">
        <v>70</v>
      </c>
      <c r="S28" s="93"/>
      <c r="T28" s="94"/>
      <c r="U28" s="95"/>
    </row>
    <row r="29" customFormat="false" ht="18.75" hidden="false" customHeight="true" outlineLevel="0" collapsed="false">
      <c r="A29" s="82" t="s">
        <v>24</v>
      </c>
      <c r="B29" s="83" t="s">
        <v>342</v>
      </c>
      <c r="C29" s="84" t="s">
        <v>359</v>
      </c>
      <c r="D29" s="85" t="s">
        <v>56</v>
      </c>
      <c r="E29" s="86" t="n">
        <v>14</v>
      </c>
      <c r="F29" s="86" t="n">
        <v>18</v>
      </c>
      <c r="G29" s="87" t="n">
        <f aca="false">E29*F29</f>
        <v>252</v>
      </c>
      <c r="H29" s="88" t="n">
        <f aca="false">SUMIF(B:B,B29,G:G)</f>
        <v>1413.745</v>
      </c>
      <c r="I29" s="89" t="n">
        <v>1428</v>
      </c>
      <c r="J29" s="90" t="n">
        <f aca="false">IFERROR((I29-H29)/I29,"")</f>
        <v>0.00998249299719896</v>
      </c>
      <c r="K29" s="3"/>
      <c r="L29" s="82" t="s">
        <v>24</v>
      </c>
      <c r="M29" s="83" t="s">
        <v>342</v>
      </c>
      <c r="N29" s="84" t="s">
        <v>359</v>
      </c>
      <c r="O29" s="85" t="s">
        <v>56</v>
      </c>
      <c r="P29" s="86" t="n">
        <v>14</v>
      </c>
      <c r="Q29" s="86" t="n">
        <v>18</v>
      </c>
      <c r="R29" s="87" t="n">
        <f aca="false">P29*Q29</f>
        <v>252</v>
      </c>
      <c r="S29" s="88" t="n">
        <f aca="false">SUMIF(M:M,M29,R:R)</f>
        <v>1413.745</v>
      </c>
      <c r="T29" s="89" t="n">
        <f aca="false">I29</f>
        <v>1428</v>
      </c>
      <c r="U29" s="90" t="n">
        <f aca="false">IFERROR((T29-S29)/T29,"")</f>
        <v>0.00998249299719896</v>
      </c>
    </row>
    <row r="30" customFormat="false" ht="18.75" hidden="false" customHeight="true" outlineLevel="0" collapsed="false">
      <c r="A30" s="91"/>
      <c r="B30" s="92" t="s">
        <v>342</v>
      </c>
      <c r="C30" s="84" t="s">
        <v>81</v>
      </c>
      <c r="D30" s="85" t="s">
        <v>56</v>
      </c>
      <c r="E30" s="86" t="n">
        <v>14.005</v>
      </c>
      <c r="F30" s="86" t="n">
        <v>13</v>
      </c>
      <c r="G30" s="87" t="n">
        <f aca="false">E30*F30</f>
        <v>182.065</v>
      </c>
      <c r="H30" s="93"/>
      <c r="I30" s="94"/>
      <c r="J30" s="95"/>
      <c r="K30" s="3"/>
      <c r="L30" s="91"/>
      <c r="M30" s="92" t="s">
        <v>342</v>
      </c>
      <c r="N30" s="84" t="s">
        <v>81</v>
      </c>
      <c r="O30" s="85" t="s">
        <v>56</v>
      </c>
      <c r="P30" s="86" t="n">
        <v>14.005</v>
      </c>
      <c r="Q30" s="86" t="n">
        <v>13</v>
      </c>
      <c r="R30" s="87" t="n">
        <f aca="false">P30*Q30</f>
        <v>182.065</v>
      </c>
      <c r="S30" s="93"/>
      <c r="T30" s="94"/>
      <c r="U30" s="95"/>
    </row>
    <row r="31" customFormat="false" ht="18.75" hidden="false" customHeight="true" outlineLevel="0" collapsed="false">
      <c r="A31" s="91"/>
      <c r="B31" s="92" t="s">
        <v>342</v>
      </c>
      <c r="C31" s="84" t="s">
        <v>362</v>
      </c>
      <c r="D31" s="85" t="s">
        <v>56</v>
      </c>
      <c r="E31" s="86" t="n">
        <v>15.75</v>
      </c>
      <c r="F31" s="86" t="n">
        <v>13</v>
      </c>
      <c r="G31" s="87" t="n">
        <f aca="false">E31*F31</f>
        <v>204.75</v>
      </c>
      <c r="H31" s="93"/>
      <c r="I31" s="94"/>
      <c r="J31" s="95"/>
      <c r="K31" s="3"/>
      <c r="L31" s="91"/>
      <c r="M31" s="92" t="s">
        <v>342</v>
      </c>
      <c r="N31" s="84" t="s">
        <v>362</v>
      </c>
      <c r="O31" s="85" t="s">
        <v>56</v>
      </c>
      <c r="P31" s="86" t="n">
        <v>15.75</v>
      </c>
      <c r="Q31" s="86" t="n">
        <v>13</v>
      </c>
      <c r="R31" s="87" t="n">
        <f aca="false">P31*Q31</f>
        <v>204.75</v>
      </c>
      <c r="S31" s="93"/>
      <c r="T31" s="94"/>
      <c r="U31" s="95"/>
    </row>
    <row r="32" customFormat="false" ht="18.75" hidden="false" customHeight="true" outlineLevel="0" collapsed="false">
      <c r="A32" s="91"/>
      <c r="B32" s="92" t="s">
        <v>342</v>
      </c>
      <c r="C32" s="84" t="s">
        <v>102</v>
      </c>
      <c r="D32" s="85" t="s">
        <v>56</v>
      </c>
      <c r="E32" s="86" t="n">
        <v>13.67</v>
      </c>
      <c r="F32" s="86" t="n">
        <v>13</v>
      </c>
      <c r="G32" s="87" t="n">
        <f aca="false">E32*F32</f>
        <v>177.71</v>
      </c>
      <c r="H32" s="93"/>
      <c r="I32" s="94"/>
      <c r="J32" s="95"/>
      <c r="K32" s="3"/>
      <c r="L32" s="91"/>
      <c r="M32" s="92" t="s">
        <v>342</v>
      </c>
      <c r="N32" s="84" t="s">
        <v>102</v>
      </c>
      <c r="O32" s="85" t="s">
        <v>56</v>
      </c>
      <c r="P32" s="86" t="n">
        <v>13.67</v>
      </c>
      <c r="Q32" s="86" t="n">
        <v>13</v>
      </c>
      <c r="R32" s="87" t="n">
        <f aca="false">P32*Q32</f>
        <v>177.71</v>
      </c>
      <c r="S32" s="93"/>
      <c r="T32" s="94"/>
      <c r="U32" s="95"/>
    </row>
    <row r="33" customFormat="false" ht="18.75" hidden="false" customHeight="true" outlineLevel="0" collapsed="false">
      <c r="A33" s="91"/>
      <c r="B33" s="92" t="s">
        <v>342</v>
      </c>
      <c r="C33" s="84" t="s">
        <v>148</v>
      </c>
      <c r="D33" s="85" t="s">
        <v>56</v>
      </c>
      <c r="E33" s="86" t="n">
        <v>17.25</v>
      </c>
      <c r="F33" s="86" t="n">
        <v>13</v>
      </c>
      <c r="G33" s="87" t="n">
        <f aca="false">E33*F33</f>
        <v>224.25</v>
      </c>
      <c r="H33" s="93"/>
      <c r="I33" s="94"/>
      <c r="J33" s="95"/>
      <c r="K33" s="3"/>
      <c r="L33" s="91"/>
      <c r="M33" s="92" t="s">
        <v>342</v>
      </c>
      <c r="N33" s="84" t="s">
        <v>148</v>
      </c>
      <c r="O33" s="85" t="s">
        <v>56</v>
      </c>
      <c r="P33" s="86" t="n">
        <v>17.25</v>
      </c>
      <c r="Q33" s="86" t="n">
        <v>13</v>
      </c>
      <c r="R33" s="87" t="n">
        <f aca="false">P33*Q33</f>
        <v>224.25</v>
      </c>
      <c r="S33" s="93"/>
      <c r="T33" s="94"/>
      <c r="U33" s="95"/>
    </row>
    <row r="34" customFormat="false" ht="18.75" hidden="false" customHeight="true" outlineLevel="0" collapsed="false">
      <c r="A34" s="91"/>
      <c r="B34" s="92" t="s">
        <v>342</v>
      </c>
      <c r="C34" s="84" t="s">
        <v>260</v>
      </c>
      <c r="D34" s="85" t="s">
        <v>56</v>
      </c>
      <c r="E34" s="86" t="n">
        <v>16.72</v>
      </c>
      <c r="F34" s="86" t="n">
        <v>13</v>
      </c>
      <c r="G34" s="87" t="n">
        <f aca="false">E34*F34</f>
        <v>217.36</v>
      </c>
      <c r="H34" s="93"/>
      <c r="I34" s="94"/>
      <c r="J34" s="95"/>
      <c r="K34" s="3"/>
      <c r="L34" s="91"/>
      <c r="M34" s="92" t="s">
        <v>342</v>
      </c>
      <c r="N34" s="84" t="s">
        <v>260</v>
      </c>
      <c r="O34" s="85" t="s">
        <v>56</v>
      </c>
      <c r="P34" s="86" t="n">
        <v>16.72</v>
      </c>
      <c r="Q34" s="86" t="n">
        <v>13</v>
      </c>
      <c r="R34" s="87" t="n">
        <f aca="false">P34*Q34</f>
        <v>217.36</v>
      </c>
      <c r="S34" s="93"/>
      <c r="T34" s="94"/>
      <c r="U34" s="95"/>
    </row>
    <row r="35" customFormat="false" ht="18.75" hidden="false" customHeight="true" outlineLevel="0" collapsed="false">
      <c r="A35" s="91"/>
      <c r="B35" s="92" t="s">
        <v>342</v>
      </c>
      <c r="C35" s="84" t="s">
        <v>361</v>
      </c>
      <c r="D35" s="85" t="s">
        <v>56</v>
      </c>
      <c r="E35" s="86" t="n">
        <v>11.97</v>
      </c>
      <c r="F35" s="86" t="n">
        <v>13</v>
      </c>
      <c r="G35" s="87" t="n">
        <f aca="false">E35*F35</f>
        <v>155.61</v>
      </c>
      <c r="H35" s="93"/>
      <c r="I35" s="94"/>
      <c r="J35" s="95"/>
      <c r="K35" s="3"/>
      <c r="L35" s="91"/>
      <c r="M35" s="92" t="s">
        <v>342</v>
      </c>
      <c r="N35" s="84" t="s">
        <v>361</v>
      </c>
      <c r="O35" s="85" t="s">
        <v>56</v>
      </c>
      <c r="P35" s="86" t="n">
        <v>11.97</v>
      </c>
      <c r="Q35" s="86" t="n">
        <v>13</v>
      </c>
      <c r="R35" s="87" t="n">
        <f aca="false">P35*Q35</f>
        <v>155.61</v>
      </c>
      <c r="S35" s="93"/>
      <c r="T35" s="94"/>
      <c r="U35" s="95"/>
    </row>
    <row r="36" customFormat="false" ht="18.75" hidden="false" customHeight="true" outlineLevel="0" collapsed="false">
      <c r="A36" s="82" t="s">
        <v>26</v>
      </c>
      <c r="B36" s="83" t="s">
        <v>343</v>
      </c>
      <c r="C36" s="84" t="s">
        <v>359</v>
      </c>
      <c r="D36" s="85" t="s">
        <v>56</v>
      </c>
      <c r="E36" s="86" t="n">
        <v>14</v>
      </c>
      <c r="F36" s="86" t="n">
        <v>18</v>
      </c>
      <c r="G36" s="87" t="n">
        <f aca="false">E36*F36</f>
        <v>252</v>
      </c>
      <c r="H36" s="88" t="n">
        <f aca="false">SUMIF(B:B,B36,G:G)</f>
        <v>1623.85</v>
      </c>
      <c r="I36" s="89" t="n">
        <v>1428</v>
      </c>
      <c r="J36" s="90" t="n">
        <f aca="false">IFERROR((I36-H36)/I36,"")</f>
        <v>-0.137149859943978</v>
      </c>
      <c r="K36" s="3"/>
      <c r="L36" s="82" t="s">
        <v>26</v>
      </c>
      <c r="M36" s="83" t="s">
        <v>343</v>
      </c>
      <c r="N36" s="84" t="s">
        <v>359</v>
      </c>
      <c r="O36" s="85" t="s">
        <v>56</v>
      </c>
      <c r="P36" s="86" t="n">
        <v>14</v>
      </c>
      <c r="Q36" s="86" t="n">
        <v>18</v>
      </c>
      <c r="R36" s="87" t="n">
        <f aca="false">P36*Q36</f>
        <v>252</v>
      </c>
      <c r="S36" s="88" t="n">
        <f aca="false">SUMIF(M:M,M36,R:R)</f>
        <v>1623.85</v>
      </c>
      <c r="T36" s="89" t="n">
        <f aca="false">I36</f>
        <v>1428</v>
      </c>
      <c r="U36" s="90" t="n">
        <f aca="false">IFERROR((T36-S36)/T36,"")</f>
        <v>-0.137149859943978</v>
      </c>
    </row>
    <row r="37" customFormat="false" ht="18.75" hidden="false" customHeight="true" outlineLevel="0" collapsed="false">
      <c r="A37" s="91"/>
      <c r="B37" s="92" t="s">
        <v>343</v>
      </c>
      <c r="C37" s="84" t="s">
        <v>137</v>
      </c>
      <c r="D37" s="85" t="s">
        <v>56</v>
      </c>
      <c r="E37" s="86" t="n">
        <v>13.51</v>
      </c>
      <c r="F37" s="86" t="n">
        <v>13</v>
      </c>
      <c r="G37" s="87" t="n">
        <f aca="false">E37*F37</f>
        <v>175.63</v>
      </c>
      <c r="H37" s="93"/>
      <c r="I37" s="94"/>
      <c r="J37" s="95"/>
      <c r="K37" s="3"/>
      <c r="L37" s="91"/>
      <c r="M37" s="92" t="s">
        <v>343</v>
      </c>
      <c r="N37" s="84" t="s">
        <v>137</v>
      </c>
      <c r="O37" s="85" t="s">
        <v>56</v>
      </c>
      <c r="P37" s="86" t="n">
        <v>13.51</v>
      </c>
      <c r="Q37" s="86" t="n">
        <v>13</v>
      </c>
      <c r="R37" s="87" t="n">
        <f aca="false">P37*Q37</f>
        <v>175.63</v>
      </c>
      <c r="S37" s="93"/>
      <c r="T37" s="94"/>
      <c r="U37" s="95"/>
    </row>
    <row r="38" customFormat="false" ht="18.75" hidden="false" customHeight="true" outlineLevel="0" collapsed="false">
      <c r="A38" s="91"/>
      <c r="B38" s="92" t="s">
        <v>343</v>
      </c>
      <c r="C38" s="84" t="s">
        <v>129</v>
      </c>
      <c r="D38" s="85" t="s">
        <v>56</v>
      </c>
      <c r="E38" s="86" t="n">
        <v>13.9</v>
      </c>
      <c r="F38" s="86" t="n">
        <v>13</v>
      </c>
      <c r="G38" s="87" t="n">
        <f aca="false">E38*F38</f>
        <v>180.7</v>
      </c>
      <c r="H38" s="93"/>
      <c r="I38" s="94"/>
      <c r="J38" s="95"/>
      <c r="K38" s="3"/>
      <c r="L38" s="91"/>
      <c r="M38" s="92" t="s">
        <v>343</v>
      </c>
      <c r="N38" s="84" t="s">
        <v>129</v>
      </c>
      <c r="O38" s="85" t="s">
        <v>56</v>
      </c>
      <c r="P38" s="86" t="n">
        <v>13.9</v>
      </c>
      <c r="Q38" s="86" t="n">
        <v>13</v>
      </c>
      <c r="R38" s="87" t="n">
        <f aca="false">P38*Q38</f>
        <v>180.7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343</v>
      </c>
      <c r="C39" s="84" t="s">
        <v>102</v>
      </c>
      <c r="D39" s="85" t="s">
        <v>56</v>
      </c>
      <c r="E39" s="86" t="n">
        <v>14.55</v>
      </c>
      <c r="F39" s="86" t="n">
        <v>13</v>
      </c>
      <c r="G39" s="87" t="n">
        <f aca="false">E39*F39</f>
        <v>189.15</v>
      </c>
      <c r="H39" s="93"/>
      <c r="I39" s="94"/>
      <c r="J39" s="95"/>
      <c r="K39" s="3"/>
      <c r="L39" s="91"/>
      <c r="M39" s="92" t="s">
        <v>343</v>
      </c>
      <c r="N39" s="84" t="s">
        <v>102</v>
      </c>
      <c r="O39" s="85" t="s">
        <v>56</v>
      </c>
      <c r="P39" s="86" t="n">
        <v>14.55</v>
      </c>
      <c r="Q39" s="86" t="n">
        <v>13</v>
      </c>
      <c r="R39" s="87" t="n">
        <f aca="false">P39*Q39</f>
        <v>189.15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343</v>
      </c>
      <c r="C40" s="84" t="s">
        <v>148</v>
      </c>
      <c r="D40" s="85" t="s">
        <v>56</v>
      </c>
      <c r="E40" s="86" t="n">
        <v>26.51</v>
      </c>
      <c r="F40" s="86" t="n">
        <v>15</v>
      </c>
      <c r="G40" s="87" t="n">
        <f aca="false">E40*F40</f>
        <v>397.65</v>
      </c>
      <c r="H40" s="93"/>
      <c r="I40" s="94"/>
      <c r="J40" s="95"/>
      <c r="K40" s="3"/>
      <c r="L40" s="91"/>
      <c r="M40" s="92" t="s">
        <v>343</v>
      </c>
      <c r="N40" s="84" t="s">
        <v>148</v>
      </c>
      <c r="O40" s="85" t="s">
        <v>56</v>
      </c>
      <c r="P40" s="86" t="n">
        <v>26.51</v>
      </c>
      <c r="Q40" s="86" t="n">
        <v>15</v>
      </c>
      <c r="R40" s="87" t="n">
        <f aca="false">P40*Q40</f>
        <v>397.65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343</v>
      </c>
      <c r="C41" s="84" t="s">
        <v>260</v>
      </c>
      <c r="D41" s="85" t="s">
        <v>56</v>
      </c>
      <c r="E41" s="86" t="n">
        <v>18.74</v>
      </c>
      <c r="F41" s="86" t="n">
        <v>13</v>
      </c>
      <c r="G41" s="87" t="n">
        <f aca="false">E41*F41</f>
        <v>243.62</v>
      </c>
      <c r="H41" s="93"/>
      <c r="I41" s="94"/>
      <c r="J41" s="95"/>
      <c r="K41" s="3"/>
      <c r="L41" s="91"/>
      <c r="M41" s="92" t="s">
        <v>343</v>
      </c>
      <c r="N41" s="84" t="s">
        <v>260</v>
      </c>
      <c r="O41" s="85" t="s">
        <v>56</v>
      </c>
      <c r="P41" s="86" t="n">
        <v>18.74</v>
      </c>
      <c r="Q41" s="86" t="n">
        <v>13</v>
      </c>
      <c r="R41" s="87" t="n">
        <f aca="false">P41*Q41</f>
        <v>243.62</v>
      </c>
      <c r="S41" s="93"/>
      <c r="T41" s="94"/>
      <c r="U41" s="95"/>
    </row>
    <row r="42" customFormat="false" ht="18.75" hidden="false" customHeight="true" outlineLevel="0" collapsed="false">
      <c r="A42" s="91"/>
      <c r="B42" s="92" t="s">
        <v>343</v>
      </c>
      <c r="C42" s="84" t="s">
        <v>361</v>
      </c>
      <c r="D42" s="85" t="s">
        <v>56</v>
      </c>
      <c r="E42" s="86" t="n">
        <v>12.7</v>
      </c>
      <c r="F42" s="86" t="n">
        <v>13</v>
      </c>
      <c r="G42" s="87" t="n">
        <f aca="false">E42*F42</f>
        <v>165.1</v>
      </c>
      <c r="H42" s="93"/>
      <c r="I42" s="94"/>
      <c r="J42" s="95"/>
      <c r="K42" s="3"/>
      <c r="L42" s="91"/>
      <c r="M42" s="92" t="s">
        <v>343</v>
      </c>
      <c r="N42" s="84" t="s">
        <v>361</v>
      </c>
      <c r="O42" s="85" t="s">
        <v>56</v>
      </c>
      <c r="P42" s="86" t="n">
        <v>12.7</v>
      </c>
      <c r="Q42" s="86" t="n">
        <v>13</v>
      </c>
      <c r="R42" s="87" t="n">
        <f aca="false">P42*Q42</f>
        <v>165.1</v>
      </c>
      <c r="S42" s="93"/>
      <c r="T42" s="94"/>
      <c r="U42" s="95"/>
    </row>
    <row r="43" customFormat="false" ht="18.75" hidden="false" customHeight="true" outlineLevel="0" collapsed="false">
      <c r="A43" s="91"/>
      <c r="B43" s="92" t="s">
        <v>343</v>
      </c>
      <c r="C43" s="84" t="s">
        <v>92</v>
      </c>
      <c r="D43" s="103" t="s">
        <v>58</v>
      </c>
      <c r="E43" s="91"/>
      <c r="F43" s="91"/>
      <c r="G43" s="87" t="n">
        <v>20</v>
      </c>
      <c r="H43" s="93"/>
      <c r="I43" s="94"/>
      <c r="J43" s="95"/>
      <c r="K43" s="3"/>
      <c r="L43" s="91"/>
      <c r="M43" s="92" t="s">
        <v>343</v>
      </c>
      <c r="N43" s="84" t="s">
        <v>92</v>
      </c>
      <c r="O43" s="103" t="s">
        <v>58</v>
      </c>
      <c r="P43" s="91"/>
      <c r="Q43" s="91"/>
      <c r="R43" s="87" t="n">
        <v>20</v>
      </c>
      <c r="S43" s="93"/>
      <c r="T43" s="94"/>
      <c r="U43" s="95"/>
    </row>
    <row r="44" customFormat="false" ht="18.75" hidden="false" customHeight="true" outlineLevel="0" collapsed="false">
      <c r="A44" s="82" t="s">
        <v>26</v>
      </c>
      <c r="B44" s="83" t="s">
        <v>344</v>
      </c>
      <c r="C44" s="84" t="s">
        <v>359</v>
      </c>
      <c r="D44" s="85" t="s">
        <v>56</v>
      </c>
      <c r="E44" s="86" t="n">
        <v>7</v>
      </c>
      <c r="F44" s="86" t="n">
        <v>18</v>
      </c>
      <c r="G44" s="87" t="n">
        <f aca="false">E44*F44</f>
        <v>126</v>
      </c>
      <c r="H44" s="88" t="n">
        <f aca="false">SUMIF(B:B,B44,G:G)</f>
        <v>126</v>
      </c>
      <c r="I44" s="89" t="n">
        <v>227.5</v>
      </c>
      <c r="J44" s="90" t="n">
        <f aca="false">IFERROR((I44-H44)/I44,"")</f>
        <v>0.446153846153846</v>
      </c>
      <c r="K44" s="3"/>
      <c r="L44" s="82" t="s">
        <v>26</v>
      </c>
      <c r="M44" s="83" t="s">
        <v>344</v>
      </c>
      <c r="N44" s="84" t="s">
        <v>359</v>
      </c>
      <c r="O44" s="85" t="s">
        <v>56</v>
      </c>
      <c r="P44" s="86" t="n">
        <v>7</v>
      </c>
      <c r="Q44" s="86" t="n">
        <v>18</v>
      </c>
      <c r="R44" s="87" t="n">
        <f aca="false">P44*Q44</f>
        <v>126</v>
      </c>
      <c r="S44" s="88" t="n">
        <f aca="false">SUMIF(M:M,M44,R:R)</f>
        <v>126</v>
      </c>
      <c r="T44" s="89" t="n">
        <f aca="false">I44</f>
        <v>227.5</v>
      </c>
      <c r="U44" s="90" t="n">
        <f aca="false">IFERROR((T44-S44)/T44,"")</f>
        <v>0.446153846153846</v>
      </c>
    </row>
    <row r="45" customFormat="false" ht="18.75" hidden="false" customHeight="true" outlineLevel="0" collapsed="false">
      <c r="A45" s="82" t="s">
        <v>28</v>
      </c>
      <c r="B45" s="83" t="s">
        <v>345</v>
      </c>
      <c r="C45" s="97" t="s">
        <v>97</v>
      </c>
      <c r="D45" s="98" t="s">
        <v>55</v>
      </c>
      <c r="E45" s="104"/>
      <c r="F45" s="104"/>
      <c r="G45" s="100" t="n">
        <v>300</v>
      </c>
      <c r="H45" s="88" t="n">
        <f aca="false">SUMIF(B:B,B45,G:G)</f>
        <v>1566.49</v>
      </c>
      <c r="I45" s="89" t="n">
        <v>1428</v>
      </c>
      <c r="J45" s="90" t="n">
        <f aca="false">IFERROR((I45-H45)/I45,"")</f>
        <v>-0.0969817927170869</v>
      </c>
      <c r="K45" s="3"/>
      <c r="L45" s="82" t="s">
        <v>28</v>
      </c>
      <c r="M45" s="83" t="s">
        <v>345</v>
      </c>
      <c r="N45" s="97" t="s">
        <v>97</v>
      </c>
      <c r="O45" s="98" t="s">
        <v>55</v>
      </c>
      <c r="P45" s="101"/>
      <c r="Q45" s="101"/>
      <c r="R45" s="102" t="n">
        <v>0</v>
      </c>
      <c r="S45" s="88" t="n">
        <f aca="false">SUMIF(M:M,M45,R:R)</f>
        <v>1266.49</v>
      </c>
      <c r="T45" s="89" t="n">
        <f aca="false">I45</f>
        <v>1428</v>
      </c>
      <c r="U45" s="90" t="n">
        <f aca="false">IFERROR((T45-S45)/T45,"")</f>
        <v>0.113102240896359</v>
      </c>
    </row>
    <row r="46" customFormat="false" ht="18.75" hidden="false" customHeight="true" outlineLevel="0" collapsed="false">
      <c r="A46" s="91"/>
      <c r="B46" s="92" t="s">
        <v>345</v>
      </c>
      <c r="C46" s="84" t="s">
        <v>292</v>
      </c>
      <c r="D46" s="85" t="s">
        <v>56</v>
      </c>
      <c r="E46" s="86" t="n">
        <v>7</v>
      </c>
      <c r="F46" s="86" t="n">
        <v>16</v>
      </c>
      <c r="G46" s="87" t="n">
        <f aca="false">E46*F46</f>
        <v>112</v>
      </c>
      <c r="H46" s="93"/>
      <c r="I46" s="94"/>
      <c r="J46" s="95"/>
      <c r="K46" s="3"/>
      <c r="L46" s="91"/>
      <c r="M46" s="92" t="s">
        <v>345</v>
      </c>
      <c r="N46" s="84" t="s">
        <v>292</v>
      </c>
      <c r="O46" s="85" t="s">
        <v>56</v>
      </c>
      <c r="P46" s="86" t="n">
        <v>7</v>
      </c>
      <c r="Q46" s="86" t="n">
        <v>16</v>
      </c>
      <c r="R46" s="87" t="n">
        <f aca="false">P46*Q46</f>
        <v>112</v>
      </c>
      <c r="S46" s="93"/>
      <c r="T46" s="94"/>
      <c r="U46" s="95"/>
    </row>
    <row r="47" customFormat="false" ht="18.75" hidden="false" customHeight="true" outlineLevel="0" collapsed="false">
      <c r="A47" s="91"/>
      <c r="B47" s="92" t="s">
        <v>345</v>
      </c>
      <c r="C47" s="84" t="s">
        <v>129</v>
      </c>
      <c r="D47" s="85" t="s">
        <v>56</v>
      </c>
      <c r="E47" s="86" t="n">
        <v>14.1</v>
      </c>
      <c r="F47" s="86" t="n">
        <v>13</v>
      </c>
      <c r="G47" s="87" t="n">
        <f aca="false">E47*F47</f>
        <v>183.3</v>
      </c>
      <c r="H47" s="93"/>
      <c r="I47" s="94"/>
      <c r="J47" s="95"/>
      <c r="K47" s="3"/>
      <c r="L47" s="91"/>
      <c r="M47" s="92" t="s">
        <v>345</v>
      </c>
      <c r="N47" s="84" t="s">
        <v>129</v>
      </c>
      <c r="O47" s="85" t="s">
        <v>56</v>
      </c>
      <c r="P47" s="86" t="n">
        <v>14.1</v>
      </c>
      <c r="Q47" s="86" t="n">
        <v>13</v>
      </c>
      <c r="R47" s="87" t="n">
        <f aca="false">P47*Q47</f>
        <v>183.3</v>
      </c>
      <c r="S47" s="93"/>
      <c r="T47" s="94"/>
      <c r="U47" s="95"/>
    </row>
    <row r="48" customFormat="false" ht="18.75" hidden="false" customHeight="true" outlineLevel="0" collapsed="false">
      <c r="A48" s="91"/>
      <c r="B48" s="92" t="s">
        <v>345</v>
      </c>
      <c r="C48" s="84" t="s">
        <v>363</v>
      </c>
      <c r="D48" s="96" t="s">
        <v>57</v>
      </c>
      <c r="E48" s="91"/>
      <c r="F48" s="91"/>
      <c r="G48" s="87" t="n">
        <v>50</v>
      </c>
      <c r="H48" s="93"/>
      <c r="I48" s="94"/>
      <c r="J48" s="95"/>
      <c r="K48" s="3"/>
      <c r="L48" s="91"/>
      <c r="M48" s="92" t="s">
        <v>345</v>
      </c>
      <c r="N48" s="84" t="s">
        <v>363</v>
      </c>
      <c r="O48" s="96" t="s">
        <v>57</v>
      </c>
      <c r="P48" s="91"/>
      <c r="Q48" s="91"/>
      <c r="R48" s="87" t="n">
        <v>50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345</v>
      </c>
      <c r="C49" s="84" t="s">
        <v>131</v>
      </c>
      <c r="D49" s="85" t="s">
        <v>56</v>
      </c>
      <c r="E49" s="86" t="n">
        <v>5.8</v>
      </c>
      <c r="F49" s="86" t="n">
        <v>13</v>
      </c>
      <c r="G49" s="87" t="n">
        <f aca="false">E49*F49</f>
        <v>75.4</v>
      </c>
      <c r="H49" s="93"/>
      <c r="I49" s="94"/>
      <c r="J49" s="95"/>
      <c r="K49" s="3"/>
      <c r="L49" s="91"/>
      <c r="M49" s="92" t="s">
        <v>345</v>
      </c>
      <c r="N49" s="84" t="s">
        <v>131</v>
      </c>
      <c r="O49" s="85" t="s">
        <v>56</v>
      </c>
      <c r="P49" s="86" t="n">
        <v>5.8</v>
      </c>
      <c r="Q49" s="86" t="n">
        <v>13</v>
      </c>
      <c r="R49" s="87" t="n">
        <f aca="false">P49*Q49</f>
        <v>75.4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345</v>
      </c>
      <c r="C50" s="84" t="s">
        <v>148</v>
      </c>
      <c r="D50" s="85" t="s">
        <v>56</v>
      </c>
      <c r="E50" s="86" t="n">
        <v>15.15</v>
      </c>
      <c r="F50" s="86" t="n">
        <v>15</v>
      </c>
      <c r="G50" s="87" t="n">
        <f aca="false">E50*F50</f>
        <v>227.25</v>
      </c>
      <c r="H50" s="93"/>
      <c r="I50" s="94"/>
      <c r="J50" s="95"/>
      <c r="K50" s="3"/>
      <c r="L50" s="91"/>
      <c r="M50" s="92" t="s">
        <v>345</v>
      </c>
      <c r="N50" s="84" t="s">
        <v>148</v>
      </c>
      <c r="O50" s="85" t="s">
        <v>56</v>
      </c>
      <c r="P50" s="86" t="n">
        <v>15.15</v>
      </c>
      <c r="Q50" s="86" t="n">
        <v>15</v>
      </c>
      <c r="R50" s="87" t="n">
        <f aca="false">P50*Q50</f>
        <v>227.25</v>
      </c>
      <c r="S50" s="93"/>
      <c r="T50" s="94"/>
      <c r="U50" s="95"/>
    </row>
    <row r="51" customFormat="false" ht="18.75" hidden="false" customHeight="true" outlineLevel="0" collapsed="false">
      <c r="A51" s="91"/>
      <c r="B51" s="92" t="s">
        <v>345</v>
      </c>
      <c r="C51" s="84" t="s">
        <v>260</v>
      </c>
      <c r="D51" s="85" t="s">
        <v>56</v>
      </c>
      <c r="E51" s="86" t="n">
        <v>11.28</v>
      </c>
      <c r="F51" s="86" t="n">
        <v>13</v>
      </c>
      <c r="G51" s="87" t="n">
        <f aca="false">E51*F51</f>
        <v>146.64</v>
      </c>
      <c r="H51" s="93"/>
      <c r="I51" s="94"/>
      <c r="J51" s="95"/>
      <c r="K51" s="3"/>
      <c r="L51" s="91"/>
      <c r="M51" s="92" t="s">
        <v>345</v>
      </c>
      <c r="N51" s="84" t="s">
        <v>260</v>
      </c>
      <c r="O51" s="85" t="s">
        <v>56</v>
      </c>
      <c r="P51" s="86" t="n">
        <v>11.28</v>
      </c>
      <c r="Q51" s="86" t="n">
        <v>13</v>
      </c>
      <c r="R51" s="87" t="n">
        <f aca="false">P51*Q51</f>
        <v>146.64</v>
      </c>
      <c r="S51" s="93"/>
      <c r="T51" s="94"/>
      <c r="U51" s="95"/>
    </row>
    <row r="52" customFormat="false" ht="18.75" hidden="false" customHeight="true" outlineLevel="0" collapsed="false">
      <c r="A52" s="91"/>
      <c r="B52" s="92" t="s">
        <v>345</v>
      </c>
      <c r="C52" s="84" t="s">
        <v>118</v>
      </c>
      <c r="D52" s="85" t="s">
        <v>56</v>
      </c>
      <c r="E52" s="86" t="n">
        <v>11.65</v>
      </c>
      <c r="F52" s="86" t="n">
        <v>13</v>
      </c>
      <c r="G52" s="87" t="n">
        <f aca="false">E52*F52</f>
        <v>151.45</v>
      </c>
      <c r="H52" s="93"/>
      <c r="I52" s="94"/>
      <c r="J52" s="95"/>
      <c r="K52" s="3"/>
      <c r="L52" s="91"/>
      <c r="M52" s="92" t="s">
        <v>345</v>
      </c>
      <c r="N52" s="84" t="s">
        <v>118</v>
      </c>
      <c r="O52" s="85" t="s">
        <v>56</v>
      </c>
      <c r="P52" s="86" t="n">
        <v>11.65</v>
      </c>
      <c r="Q52" s="86" t="n">
        <v>13</v>
      </c>
      <c r="R52" s="87" t="n">
        <f aca="false">P52*Q52</f>
        <v>151.45</v>
      </c>
      <c r="S52" s="93"/>
      <c r="T52" s="94"/>
      <c r="U52" s="95"/>
    </row>
    <row r="53" customFormat="false" ht="18.75" hidden="false" customHeight="true" outlineLevel="0" collapsed="false">
      <c r="A53" s="91"/>
      <c r="B53" s="92" t="s">
        <v>345</v>
      </c>
      <c r="C53" s="84" t="s">
        <v>361</v>
      </c>
      <c r="D53" s="85" t="s">
        <v>56</v>
      </c>
      <c r="E53" s="86" t="n">
        <v>12.65</v>
      </c>
      <c r="F53" s="86" t="n">
        <v>13</v>
      </c>
      <c r="G53" s="87" t="n">
        <f aca="false">E53*F53</f>
        <v>164.45</v>
      </c>
      <c r="H53" s="93"/>
      <c r="I53" s="94"/>
      <c r="J53" s="95"/>
      <c r="K53" s="3"/>
      <c r="L53" s="91"/>
      <c r="M53" s="92" t="s">
        <v>345</v>
      </c>
      <c r="N53" s="84" t="s">
        <v>361</v>
      </c>
      <c r="O53" s="85" t="s">
        <v>56</v>
      </c>
      <c r="P53" s="86" t="n">
        <v>12.65</v>
      </c>
      <c r="Q53" s="86" t="n">
        <v>13</v>
      </c>
      <c r="R53" s="87" t="n">
        <f aca="false">P53*Q53</f>
        <v>164.45</v>
      </c>
      <c r="S53" s="93"/>
      <c r="T53" s="94"/>
      <c r="U53" s="95"/>
    </row>
    <row r="54" customFormat="false" ht="18.75" hidden="false" customHeight="true" outlineLevel="0" collapsed="false">
      <c r="A54" s="91"/>
      <c r="B54" s="92" t="s">
        <v>345</v>
      </c>
      <c r="C54" s="84" t="s">
        <v>364</v>
      </c>
      <c r="D54" s="85" t="s">
        <v>56</v>
      </c>
      <c r="E54" s="86" t="n">
        <v>12</v>
      </c>
      <c r="F54" s="86" t="n">
        <v>13</v>
      </c>
      <c r="G54" s="87" t="n">
        <f aca="false">E54*F54</f>
        <v>156</v>
      </c>
      <c r="H54" s="93"/>
      <c r="I54" s="94"/>
      <c r="J54" s="95"/>
      <c r="K54" s="3"/>
      <c r="L54" s="91"/>
      <c r="M54" s="92" t="s">
        <v>345</v>
      </c>
      <c r="N54" s="84" t="s">
        <v>364</v>
      </c>
      <c r="O54" s="85" t="s">
        <v>56</v>
      </c>
      <c r="P54" s="86" t="n">
        <v>12</v>
      </c>
      <c r="Q54" s="86" t="n">
        <v>13</v>
      </c>
      <c r="R54" s="87" t="n">
        <f aca="false">P54*Q54</f>
        <v>156</v>
      </c>
      <c r="S54" s="93"/>
      <c r="T54" s="94"/>
      <c r="U54" s="95"/>
    </row>
    <row r="55" customFormat="false" ht="18.75" hidden="false" customHeight="true" outlineLevel="0" collapsed="false">
      <c r="A55" s="82" t="s">
        <v>29</v>
      </c>
      <c r="B55" s="83" t="s">
        <v>365</v>
      </c>
      <c r="C55" s="84" t="s">
        <v>366</v>
      </c>
      <c r="D55" s="85" t="s">
        <v>56</v>
      </c>
      <c r="E55" s="86" t="n">
        <v>6.87</v>
      </c>
      <c r="F55" s="86" t="n">
        <v>13</v>
      </c>
      <c r="G55" s="87" t="n">
        <f aca="false">E55*F55</f>
        <v>89.31</v>
      </c>
      <c r="H55" s="88" t="n">
        <f aca="false">SUMIF(B:B,B55,G:G)</f>
        <v>1819</v>
      </c>
      <c r="I55" s="89" t="n">
        <v>2784.6</v>
      </c>
      <c r="J55" s="90" t="n">
        <f aca="false">IFERROR((I55-H55)/I55,"")</f>
        <v>0.346764346764347</v>
      </c>
      <c r="K55" s="3"/>
      <c r="L55" s="82" t="s">
        <v>29</v>
      </c>
      <c r="M55" s="83" t="s">
        <v>365</v>
      </c>
      <c r="N55" s="84" t="s">
        <v>366</v>
      </c>
      <c r="O55" s="85" t="s">
        <v>56</v>
      </c>
      <c r="P55" s="86" t="n">
        <v>6.87</v>
      </c>
      <c r="Q55" s="86" t="n">
        <v>13</v>
      </c>
      <c r="R55" s="87" t="n">
        <f aca="false">P55*Q55</f>
        <v>89.31</v>
      </c>
      <c r="S55" s="88" t="n">
        <f aca="false">SUMIF(M:M,M55,R:R)</f>
        <v>1669</v>
      </c>
      <c r="T55" s="89" t="n">
        <f aca="false">I55</f>
        <v>2784.6</v>
      </c>
      <c r="U55" s="90" t="n">
        <f aca="false">IFERROR((T55-S55)/T55,"")</f>
        <v>0.400632047690871</v>
      </c>
    </row>
    <row r="56" customFormat="false" ht="18.75" hidden="false" customHeight="true" outlineLevel="0" collapsed="false">
      <c r="A56" s="91"/>
      <c r="B56" s="92" t="s">
        <v>365</v>
      </c>
      <c r="C56" s="84" t="s">
        <v>292</v>
      </c>
      <c r="D56" s="85" t="s">
        <v>56</v>
      </c>
      <c r="E56" s="86" t="n">
        <v>14</v>
      </c>
      <c r="F56" s="86" t="n">
        <v>18</v>
      </c>
      <c r="G56" s="87" t="n">
        <f aca="false">E56*F56</f>
        <v>252</v>
      </c>
      <c r="H56" s="93"/>
      <c r="I56" s="94"/>
      <c r="J56" s="95"/>
      <c r="K56" s="3"/>
      <c r="L56" s="91"/>
      <c r="M56" s="92" t="s">
        <v>365</v>
      </c>
      <c r="N56" s="84" t="s">
        <v>292</v>
      </c>
      <c r="O56" s="85" t="s">
        <v>56</v>
      </c>
      <c r="P56" s="86" t="n">
        <v>14</v>
      </c>
      <c r="Q56" s="86" t="n">
        <v>18</v>
      </c>
      <c r="R56" s="87" t="n">
        <f aca="false">P56*Q56</f>
        <v>252</v>
      </c>
      <c r="S56" s="93"/>
      <c r="T56" s="94"/>
      <c r="U56" s="95"/>
    </row>
    <row r="57" customFormat="false" ht="18.75" hidden="false" customHeight="true" outlineLevel="0" collapsed="false">
      <c r="A57" s="91"/>
      <c r="B57" s="92" t="s">
        <v>365</v>
      </c>
      <c r="C57" s="84" t="s">
        <v>129</v>
      </c>
      <c r="D57" s="85" t="s">
        <v>56</v>
      </c>
      <c r="E57" s="86" t="n">
        <v>20.75</v>
      </c>
      <c r="F57" s="86" t="n">
        <v>13</v>
      </c>
      <c r="G57" s="87" t="n">
        <f aca="false">E57*F57</f>
        <v>269.75</v>
      </c>
      <c r="H57" s="93"/>
      <c r="I57" s="94"/>
      <c r="J57" s="95"/>
      <c r="K57" s="3"/>
      <c r="L57" s="91"/>
      <c r="M57" s="92" t="s">
        <v>365</v>
      </c>
      <c r="N57" s="84" t="s">
        <v>129</v>
      </c>
      <c r="O57" s="85" t="s">
        <v>56</v>
      </c>
      <c r="P57" s="86" t="n">
        <v>20.75</v>
      </c>
      <c r="Q57" s="86" t="n">
        <v>13</v>
      </c>
      <c r="R57" s="87" t="n">
        <f aca="false">P57*Q57</f>
        <v>269.75</v>
      </c>
      <c r="S57" s="93"/>
      <c r="T57" s="94"/>
      <c r="U57" s="95"/>
    </row>
    <row r="58" customFormat="false" ht="18.75" hidden="false" customHeight="true" outlineLevel="0" collapsed="false">
      <c r="A58" s="104"/>
      <c r="B58" s="105" t="s">
        <v>365</v>
      </c>
      <c r="C58" s="97" t="s">
        <v>117</v>
      </c>
      <c r="D58" s="98" t="s">
        <v>55</v>
      </c>
      <c r="E58" s="104"/>
      <c r="F58" s="104"/>
      <c r="G58" s="100" t="n">
        <v>150</v>
      </c>
      <c r="H58" s="106"/>
      <c r="I58" s="107"/>
      <c r="J58" s="108"/>
      <c r="K58" s="3"/>
      <c r="L58" s="104"/>
      <c r="M58" s="105" t="s">
        <v>365</v>
      </c>
      <c r="N58" s="97" t="s">
        <v>117</v>
      </c>
      <c r="O58" s="98" t="s">
        <v>55</v>
      </c>
      <c r="P58" s="101"/>
      <c r="Q58" s="101"/>
      <c r="R58" s="102" t="n">
        <v>0</v>
      </c>
      <c r="S58" s="106"/>
      <c r="T58" s="107"/>
      <c r="U58" s="108"/>
    </row>
    <row r="59" customFormat="false" ht="18.75" hidden="false" customHeight="true" outlineLevel="0" collapsed="false">
      <c r="A59" s="91"/>
      <c r="B59" s="92" t="s">
        <v>365</v>
      </c>
      <c r="C59" s="84" t="s">
        <v>367</v>
      </c>
      <c r="D59" s="85" t="s">
        <v>56</v>
      </c>
      <c r="E59" s="86" t="n">
        <v>18.45</v>
      </c>
      <c r="F59" s="86" t="n">
        <v>13</v>
      </c>
      <c r="G59" s="87" t="n">
        <f aca="false">E59*F59</f>
        <v>239.85</v>
      </c>
      <c r="H59" s="93"/>
      <c r="I59" s="94"/>
      <c r="J59" s="95"/>
      <c r="K59" s="3"/>
      <c r="L59" s="91"/>
      <c r="M59" s="92" t="s">
        <v>365</v>
      </c>
      <c r="N59" s="84" t="s">
        <v>367</v>
      </c>
      <c r="O59" s="85" t="s">
        <v>56</v>
      </c>
      <c r="P59" s="86" t="n">
        <v>18.45</v>
      </c>
      <c r="Q59" s="86" t="n">
        <v>13</v>
      </c>
      <c r="R59" s="87" t="n">
        <f aca="false">P59*Q59</f>
        <v>239.85</v>
      </c>
      <c r="S59" s="93"/>
      <c r="T59" s="94"/>
      <c r="U59" s="95"/>
    </row>
    <row r="60" customFormat="false" ht="18.75" hidden="false" customHeight="true" outlineLevel="0" collapsed="false">
      <c r="A60" s="91"/>
      <c r="B60" s="92" t="s">
        <v>365</v>
      </c>
      <c r="C60" s="84" t="s">
        <v>119</v>
      </c>
      <c r="D60" s="85" t="s">
        <v>56</v>
      </c>
      <c r="E60" s="86" t="n">
        <v>19.38</v>
      </c>
      <c r="F60" s="86" t="n">
        <v>13</v>
      </c>
      <c r="G60" s="87" t="n">
        <f aca="false">E60*F60</f>
        <v>251.94</v>
      </c>
      <c r="H60" s="93"/>
      <c r="I60" s="94"/>
      <c r="J60" s="95"/>
      <c r="K60" s="3"/>
      <c r="L60" s="91"/>
      <c r="M60" s="92" t="s">
        <v>365</v>
      </c>
      <c r="N60" s="84" t="s">
        <v>119</v>
      </c>
      <c r="O60" s="85" t="s">
        <v>56</v>
      </c>
      <c r="P60" s="86" t="n">
        <v>19.38</v>
      </c>
      <c r="Q60" s="86" t="n">
        <v>13</v>
      </c>
      <c r="R60" s="87" t="n">
        <f aca="false">P60*Q60</f>
        <v>251.94</v>
      </c>
      <c r="S60" s="93"/>
      <c r="T60" s="94"/>
      <c r="U60" s="95"/>
    </row>
    <row r="61" customFormat="false" ht="18.75" hidden="false" customHeight="true" outlineLevel="0" collapsed="false">
      <c r="A61" s="91"/>
      <c r="B61" s="92" t="s">
        <v>365</v>
      </c>
      <c r="C61" s="84" t="s">
        <v>260</v>
      </c>
      <c r="D61" s="85" t="s">
        <v>56</v>
      </c>
      <c r="E61" s="86" t="n">
        <v>20.1</v>
      </c>
      <c r="F61" s="86" t="n">
        <v>13</v>
      </c>
      <c r="G61" s="87" t="n">
        <f aca="false">E61*F61</f>
        <v>261.3</v>
      </c>
      <c r="H61" s="93"/>
      <c r="I61" s="94"/>
      <c r="J61" s="95"/>
      <c r="K61" s="3"/>
      <c r="L61" s="91"/>
      <c r="M61" s="92" t="s">
        <v>365</v>
      </c>
      <c r="N61" s="84" t="s">
        <v>260</v>
      </c>
      <c r="O61" s="85" t="s">
        <v>56</v>
      </c>
      <c r="P61" s="86" t="n">
        <v>20.1</v>
      </c>
      <c r="Q61" s="86" t="n">
        <v>13</v>
      </c>
      <c r="R61" s="87" t="n">
        <f aca="false">P61*Q61</f>
        <v>261.3</v>
      </c>
      <c r="S61" s="93"/>
      <c r="T61" s="94"/>
      <c r="U61" s="95"/>
    </row>
    <row r="62" customFormat="false" ht="18.75" hidden="false" customHeight="true" outlineLevel="0" collapsed="false">
      <c r="A62" s="91"/>
      <c r="B62" s="92" t="s">
        <v>365</v>
      </c>
      <c r="C62" s="84" t="s">
        <v>368</v>
      </c>
      <c r="D62" s="85" t="s">
        <v>56</v>
      </c>
      <c r="E62" s="86" t="n">
        <v>2</v>
      </c>
      <c r="F62" s="86" t="n">
        <v>13</v>
      </c>
      <c r="G62" s="87" t="n">
        <f aca="false">E62*F62</f>
        <v>26</v>
      </c>
      <c r="H62" s="93"/>
      <c r="I62" s="94"/>
      <c r="J62" s="95"/>
      <c r="K62" s="3"/>
      <c r="L62" s="91"/>
      <c r="M62" s="92" t="s">
        <v>365</v>
      </c>
      <c r="N62" s="84" t="s">
        <v>368</v>
      </c>
      <c r="O62" s="85" t="s">
        <v>56</v>
      </c>
      <c r="P62" s="86" t="n">
        <v>2</v>
      </c>
      <c r="Q62" s="86" t="n">
        <v>13</v>
      </c>
      <c r="R62" s="87" t="n">
        <f aca="false">P62*Q62</f>
        <v>26</v>
      </c>
      <c r="S62" s="93"/>
      <c r="T62" s="94"/>
      <c r="U62" s="95"/>
    </row>
    <row r="63" customFormat="false" ht="18.75" hidden="false" customHeight="true" outlineLevel="0" collapsed="false">
      <c r="A63" s="91"/>
      <c r="B63" s="92" t="s">
        <v>365</v>
      </c>
      <c r="C63" s="84" t="s">
        <v>364</v>
      </c>
      <c r="D63" s="85" t="s">
        <v>56</v>
      </c>
      <c r="E63" s="86" t="n">
        <v>21.45</v>
      </c>
      <c r="F63" s="86" t="n">
        <v>13</v>
      </c>
      <c r="G63" s="87" t="n">
        <f aca="false">E63*F63</f>
        <v>278.85</v>
      </c>
      <c r="H63" s="93"/>
      <c r="I63" s="94"/>
      <c r="J63" s="95"/>
      <c r="K63" s="3"/>
      <c r="L63" s="91"/>
      <c r="M63" s="92" t="s">
        <v>365</v>
      </c>
      <c r="N63" s="84" t="s">
        <v>364</v>
      </c>
      <c r="O63" s="85" t="s">
        <v>56</v>
      </c>
      <c r="P63" s="86" t="n">
        <v>21.45</v>
      </c>
      <c r="Q63" s="86" t="n">
        <v>13</v>
      </c>
      <c r="R63" s="87" t="n">
        <f aca="false">P63*Q63</f>
        <v>278.85</v>
      </c>
      <c r="S63" s="93"/>
      <c r="T63" s="94"/>
      <c r="U63" s="95"/>
    </row>
    <row r="64" customFormat="false" ht="18.75" hidden="false" customHeight="true" outlineLevel="0" collapsed="false">
      <c r="A64" s="82" t="s">
        <v>29</v>
      </c>
      <c r="B64" s="83" t="s">
        <v>347</v>
      </c>
      <c r="C64" s="84" t="s">
        <v>366</v>
      </c>
      <c r="D64" s="85" t="s">
        <v>56</v>
      </c>
      <c r="E64" s="86" t="n">
        <v>5.5</v>
      </c>
      <c r="F64" s="86" t="n">
        <v>13</v>
      </c>
      <c r="G64" s="87" t="n">
        <f aca="false">E64*F64</f>
        <v>71.5</v>
      </c>
      <c r="H64" s="88" t="n">
        <f aca="false">SUMIF(B:B,B64,G:G)</f>
        <v>2106.59</v>
      </c>
      <c r="I64" s="89" t="n">
        <v>4126.92</v>
      </c>
      <c r="J64" s="90" t="n">
        <f aca="false">IFERROR((I64-H64)/I64,"")</f>
        <v>0.489549106839968</v>
      </c>
      <c r="K64" s="3"/>
      <c r="L64" s="82" t="s">
        <v>29</v>
      </c>
      <c r="M64" s="83" t="s">
        <v>347</v>
      </c>
      <c r="N64" s="84" t="s">
        <v>366</v>
      </c>
      <c r="O64" s="85" t="s">
        <v>56</v>
      </c>
      <c r="P64" s="86" t="n">
        <v>5.5</v>
      </c>
      <c r="Q64" s="86" t="n">
        <v>13</v>
      </c>
      <c r="R64" s="87" t="n">
        <f aca="false">P64*Q64</f>
        <v>71.5</v>
      </c>
      <c r="S64" s="88" t="n">
        <f aca="false">SUMIF(M:M,M64,R:R)</f>
        <v>1454.59</v>
      </c>
      <c r="T64" s="89" t="n">
        <f aca="false">I64</f>
        <v>4126.92</v>
      </c>
      <c r="U64" s="90" t="n">
        <f aca="false">IFERROR((T64-S64)/T64,"")</f>
        <v>0.647536177100598</v>
      </c>
    </row>
    <row r="65" customFormat="false" ht="18.75" hidden="false" customHeight="true" outlineLevel="0" collapsed="false">
      <c r="A65" s="91"/>
      <c r="B65" s="92" t="s">
        <v>347</v>
      </c>
      <c r="C65" s="84" t="s">
        <v>118</v>
      </c>
      <c r="D65" s="85" t="s">
        <v>56</v>
      </c>
      <c r="E65" s="86" t="n">
        <v>17.43</v>
      </c>
      <c r="F65" s="86" t="n">
        <v>15</v>
      </c>
      <c r="G65" s="87" t="n">
        <f aca="false">E65*F65</f>
        <v>261.45</v>
      </c>
      <c r="H65" s="93"/>
      <c r="I65" s="94"/>
      <c r="J65" s="95"/>
      <c r="K65" s="3"/>
      <c r="L65" s="91"/>
      <c r="M65" s="92" t="s">
        <v>347</v>
      </c>
      <c r="N65" s="84" t="s">
        <v>118</v>
      </c>
      <c r="O65" s="85" t="s">
        <v>56</v>
      </c>
      <c r="P65" s="86" t="n">
        <v>17.43</v>
      </c>
      <c r="Q65" s="86" t="n">
        <v>15</v>
      </c>
      <c r="R65" s="87" t="n">
        <f aca="false">P65*Q65</f>
        <v>261.45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347</v>
      </c>
      <c r="C66" s="84" t="s">
        <v>129</v>
      </c>
      <c r="D66" s="85" t="s">
        <v>56</v>
      </c>
      <c r="E66" s="86" t="n">
        <v>22.58</v>
      </c>
      <c r="F66" s="86" t="n">
        <v>13</v>
      </c>
      <c r="G66" s="87" t="n">
        <f aca="false">E66*F66</f>
        <v>293.54</v>
      </c>
      <c r="H66" s="93"/>
      <c r="I66" s="94"/>
      <c r="J66" s="95"/>
      <c r="K66" s="3"/>
      <c r="L66" s="91"/>
      <c r="M66" s="92" t="s">
        <v>347</v>
      </c>
      <c r="N66" s="84" t="s">
        <v>129</v>
      </c>
      <c r="O66" s="85" t="s">
        <v>56</v>
      </c>
      <c r="P66" s="86" t="n">
        <v>22.58</v>
      </c>
      <c r="Q66" s="86" t="n">
        <v>13</v>
      </c>
      <c r="R66" s="87" t="n">
        <f aca="false">P66*Q66</f>
        <v>293.54</v>
      </c>
      <c r="S66" s="93"/>
      <c r="T66" s="94"/>
      <c r="U66" s="95"/>
    </row>
    <row r="67" customFormat="false" ht="18.75" hidden="false" customHeight="true" outlineLevel="0" collapsed="false">
      <c r="A67" s="104"/>
      <c r="B67" s="105" t="s">
        <v>347</v>
      </c>
      <c r="C67" s="97" t="s">
        <v>91</v>
      </c>
      <c r="D67" s="98" t="s">
        <v>55</v>
      </c>
      <c r="E67" s="99" t="n">
        <v>14</v>
      </c>
      <c r="F67" s="99" t="n">
        <v>18</v>
      </c>
      <c r="G67" s="100" t="n">
        <f aca="false">E67*F67</f>
        <v>252</v>
      </c>
      <c r="H67" s="106"/>
      <c r="I67" s="107"/>
      <c r="J67" s="108"/>
      <c r="K67" s="3"/>
      <c r="L67" s="104"/>
      <c r="M67" s="105" t="s">
        <v>347</v>
      </c>
      <c r="N67" s="97" t="s">
        <v>91</v>
      </c>
      <c r="O67" s="98" t="s">
        <v>55</v>
      </c>
      <c r="P67" s="101"/>
      <c r="Q67" s="101"/>
      <c r="R67" s="102" t="n">
        <v>0</v>
      </c>
      <c r="S67" s="106"/>
      <c r="T67" s="107"/>
      <c r="U67" s="108"/>
    </row>
    <row r="68" customFormat="false" ht="18.75" hidden="false" customHeight="true" outlineLevel="0" collapsed="false">
      <c r="A68" s="104"/>
      <c r="B68" s="105" t="s">
        <v>347</v>
      </c>
      <c r="C68" s="97" t="s">
        <v>117</v>
      </c>
      <c r="D68" s="98" t="s">
        <v>55</v>
      </c>
      <c r="E68" s="104"/>
      <c r="F68" s="104"/>
      <c r="G68" s="100" t="n">
        <v>400</v>
      </c>
      <c r="H68" s="106"/>
      <c r="I68" s="107"/>
      <c r="J68" s="108"/>
      <c r="K68" s="3"/>
      <c r="L68" s="104"/>
      <c r="M68" s="105" t="s">
        <v>347</v>
      </c>
      <c r="N68" s="97" t="s">
        <v>117</v>
      </c>
      <c r="O68" s="98" t="s">
        <v>55</v>
      </c>
      <c r="P68" s="101"/>
      <c r="Q68" s="101"/>
      <c r="R68" s="102" t="n">
        <v>0</v>
      </c>
      <c r="S68" s="106"/>
      <c r="T68" s="107"/>
      <c r="U68" s="108"/>
    </row>
    <row r="69" customFormat="false" ht="18.75" hidden="false" customHeight="true" outlineLevel="0" collapsed="false">
      <c r="A69" s="91"/>
      <c r="B69" s="92" t="s">
        <v>347</v>
      </c>
      <c r="C69" s="84" t="s">
        <v>367</v>
      </c>
      <c r="D69" s="85" t="s">
        <v>56</v>
      </c>
      <c r="E69" s="86" t="n">
        <v>13.32</v>
      </c>
      <c r="F69" s="86" t="n">
        <v>13</v>
      </c>
      <c r="G69" s="87" t="n">
        <f aca="false">E69*F69</f>
        <v>173.16</v>
      </c>
      <c r="H69" s="93"/>
      <c r="I69" s="94"/>
      <c r="J69" s="95"/>
      <c r="K69" s="3"/>
      <c r="L69" s="91"/>
      <c r="M69" s="92" t="s">
        <v>347</v>
      </c>
      <c r="N69" s="84" t="s">
        <v>367</v>
      </c>
      <c r="O69" s="85" t="s">
        <v>56</v>
      </c>
      <c r="P69" s="86" t="n">
        <v>13.32</v>
      </c>
      <c r="Q69" s="86" t="n">
        <v>13</v>
      </c>
      <c r="R69" s="87" t="n">
        <f aca="false">P69*Q69</f>
        <v>173.16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347</v>
      </c>
      <c r="C70" s="84" t="s">
        <v>119</v>
      </c>
      <c r="D70" s="85" t="s">
        <v>56</v>
      </c>
      <c r="E70" s="86" t="n">
        <v>19.23</v>
      </c>
      <c r="F70" s="86" t="n">
        <v>13</v>
      </c>
      <c r="G70" s="87" t="n">
        <f aca="false">E70*F70</f>
        <v>249.99</v>
      </c>
      <c r="H70" s="93"/>
      <c r="I70" s="94"/>
      <c r="J70" s="95"/>
      <c r="K70" s="3"/>
      <c r="L70" s="91"/>
      <c r="M70" s="92" t="s">
        <v>347</v>
      </c>
      <c r="N70" s="84" t="s">
        <v>119</v>
      </c>
      <c r="O70" s="85" t="s">
        <v>56</v>
      </c>
      <c r="P70" s="86" t="n">
        <v>19.23</v>
      </c>
      <c r="Q70" s="86" t="n">
        <v>13</v>
      </c>
      <c r="R70" s="87" t="n">
        <f aca="false">P70*Q70</f>
        <v>249.99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347</v>
      </c>
      <c r="C71" s="84" t="s">
        <v>364</v>
      </c>
      <c r="D71" s="85" t="s">
        <v>56</v>
      </c>
      <c r="E71" s="86" t="n">
        <v>23.5</v>
      </c>
      <c r="F71" s="86" t="n">
        <v>13</v>
      </c>
      <c r="G71" s="87" t="n">
        <f aca="false">E71*F71</f>
        <v>305.5</v>
      </c>
      <c r="H71" s="93"/>
      <c r="I71" s="94"/>
      <c r="J71" s="95"/>
      <c r="K71" s="3"/>
      <c r="L71" s="91"/>
      <c r="M71" s="92" t="s">
        <v>347</v>
      </c>
      <c r="N71" s="84" t="s">
        <v>364</v>
      </c>
      <c r="O71" s="85" t="s">
        <v>56</v>
      </c>
      <c r="P71" s="86" t="n">
        <v>23.5</v>
      </c>
      <c r="Q71" s="86" t="n">
        <v>13</v>
      </c>
      <c r="R71" s="87" t="n">
        <f aca="false">P71*Q71</f>
        <v>305.5</v>
      </c>
      <c r="S71" s="93"/>
      <c r="T71" s="94"/>
      <c r="U71" s="95"/>
    </row>
    <row r="72" customFormat="false" ht="18.75" hidden="false" customHeight="true" outlineLevel="0" collapsed="false">
      <c r="A72" s="91"/>
      <c r="B72" s="92" t="s">
        <v>347</v>
      </c>
      <c r="C72" s="84" t="s">
        <v>369</v>
      </c>
      <c r="D72" s="85" t="s">
        <v>56</v>
      </c>
      <c r="E72" s="86" t="n">
        <v>7.65</v>
      </c>
      <c r="F72" s="86" t="n">
        <v>13</v>
      </c>
      <c r="G72" s="87" t="n">
        <f aca="false">E72*F72</f>
        <v>99.45</v>
      </c>
      <c r="H72" s="93"/>
      <c r="I72" s="94"/>
      <c r="J72" s="95"/>
      <c r="K72" s="3"/>
      <c r="L72" s="91"/>
      <c r="M72" s="92" t="s">
        <v>347</v>
      </c>
      <c r="N72" s="84" t="s">
        <v>369</v>
      </c>
      <c r="O72" s="85" t="s">
        <v>56</v>
      </c>
      <c r="P72" s="86" t="n">
        <v>7.65</v>
      </c>
      <c r="Q72" s="86" t="n">
        <v>13</v>
      </c>
      <c r="R72" s="87" t="n">
        <f aca="false">P72*Q72</f>
        <v>99.45</v>
      </c>
      <c r="S72" s="93"/>
      <c r="T72" s="94"/>
      <c r="U72" s="95"/>
    </row>
    <row r="73" customFormat="false" ht="18.75" hidden="false" customHeight="true" outlineLevel="0" collapsed="false">
      <c r="A73" s="82" t="s">
        <v>35</v>
      </c>
      <c r="B73" s="83" t="s">
        <v>370</v>
      </c>
      <c r="C73" s="84" t="s">
        <v>371</v>
      </c>
      <c r="D73" s="85" t="s">
        <v>56</v>
      </c>
      <c r="E73" s="86" t="n">
        <v>14</v>
      </c>
      <c r="F73" s="86" t="n">
        <v>18</v>
      </c>
      <c r="G73" s="87" t="n">
        <f aca="false">E73*F73</f>
        <v>252</v>
      </c>
      <c r="H73" s="88" t="n">
        <f aca="false">SUMIF(B:B,B73,G:G)</f>
        <v>1779.68</v>
      </c>
      <c r="I73" s="89" t="n">
        <v>2678</v>
      </c>
      <c r="J73" s="90" t="n">
        <f aca="false">IFERROR((I73-H73)/I73,"")</f>
        <v>0.335444361463779</v>
      </c>
      <c r="K73" s="3"/>
      <c r="L73" s="82" t="s">
        <v>35</v>
      </c>
      <c r="M73" s="83" t="s">
        <v>370</v>
      </c>
      <c r="N73" s="84" t="s">
        <v>371</v>
      </c>
      <c r="O73" s="85" t="s">
        <v>56</v>
      </c>
      <c r="P73" s="86" t="n">
        <v>14</v>
      </c>
      <c r="Q73" s="86" t="n">
        <v>18</v>
      </c>
      <c r="R73" s="87" t="n">
        <f aca="false">P73*Q73</f>
        <v>252</v>
      </c>
      <c r="S73" s="88" t="n">
        <f aca="false">SUMIF(M:M,M73,R:R)</f>
        <v>1779.68</v>
      </c>
      <c r="T73" s="89" t="n">
        <f aca="false">I73</f>
        <v>2678</v>
      </c>
      <c r="U73" s="90" t="n">
        <f aca="false">IFERROR((T73-S73)/T73,"")</f>
        <v>0.335444361463779</v>
      </c>
    </row>
    <row r="74" customFormat="false" ht="18.75" hidden="false" customHeight="true" outlineLevel="0" collapsed="false">
      <c r="A74" s="91"/>
      <c r="B74" s="92" t="s">
        <v>370</v>
      </c>
      <c r="C74" s="84" t="s">
        <v>118</v>
      </c>
      <c r="D74" s="85" t="s">
        <v>56</v>
      </c>
      <c r="E74" s="86" t="n">
        <v>14</v>
      </c>
      <c r="F74" s="86" t="n">
        <v>15</v>
      </c>
      <c r="G74" s="87" t="n">
        <f aca="false">E74*F74</f>
        <v>210</v>
      </c>
      <c r="H74" s="93"/>
      <c r="I74" s="94"/>
      <c r="J74" s="95"/>
      <c r="K74" s="3"/>
      <c r="L74" s="91"/>
      <c r="M74" s="92" t="s">
        <v>370</v>
      </c>
      <c r="N74" s="84" t="s">
        <v>118</v>
      </c>
      <c r="O74" s="85" t="s">
        <v>56</v>
      </c>
      <c r="P74" s="86" t="n">
        <v>14</v>
      </c>
      <c r="Q74" s="86" t="n">
        <v>15</v>
      </c>
      <c r="R74" s="87" t="n">
        <f aca="false">P74*Q74</f>
        <v>210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370</v>
      </c>
      <c r="C75" s="84" t="s">
        <v>372</v>
      </c>
      <c r="D75" s="85" t="s">
        <v>56</v>
      </c>
      <c r="E75" s="86" t="n">
        <v>23.64</v>
      </c>
      <c r="F75" s="86" t="n">
        <v>13</v>
      </c>
      <c r="G75" s="87" t="n">
        <f aca="false">E75*F75</f>
        <v>307.32</v>
      </c>
      <c r="H75" s="93"/>
      <c r="I75" s="94"/>
      <c r="J75" s="95"/>
      <c r="K75" s="3"/>
      <c r="L75" s="91"/>
      <c r="M75" s="92" t="s">
        <v>370</v>
      </c>
      <c r="N75" s="84" t="s">
        <v>372</v>
      </c>
      <c r="O75" s="85" t="s">
        <v>56</v>
      </c>
      <c r="P75" s="86" t="n">
        <v>23.64</v>
      </c>
      <c r="Q75" s="86" t="n">
        <v>13</v>
      </c>
      <c r="R75" s="87" t="n">
        <f aca="false">P75*Q75</f>
        <v>307.32</v>
      </c>
      <c r="S75" s="93"/>
      <c r="T75" s="94"/>
      <c r="U75" s="95"/>
    </row>
    <row r="76" customFormat="false" ht="18.75" hidden="false" customHeight="true" outlineLevel="0" collapsed="false">
      <c r="A76" s="91"/>
      <c r="B76" s="92" t="s">
        <v>370</v>
      </c>
      <c r="C76" s="84" t="s">
        <v>373</v>
      </c>
      <c r="D76" s="85" t="s">
        <v>56</v>
      </c>
      <c r="E76" s="86" t="n">
        <v>10.67</v>
      </c>
      <c r="F76" s="86" t="n">
        <v>13</v>
      </c>
      <c r="G76" s="87" t="n">
        <f aca="false">E76*F76</f>
        <v>138.71</v>
      </c>
      <c r="H76" s="93"/>
      <c r="I76" s="94"/>
      <c r="J76" s="95"/>
      <c r="K76" s="3"/>
      <c r="L76" s="91"/>
      <c r="M76" s="92" t="s">
        <v>370</v>
      </c>
      <c r="N76" s="84" t="s">
        <v>373</v>
      </c>
      <c r="O76" s="85" t="s">
        <v>56</v>
      </c>
      <c r="P76" s="86" t="n">
        <v>10.67</v>
      </c>
      <c r="Q76" s="86" t="n">
        <v>13</v>
      </c>
      <c r="R76" s="87" t="n">
        <f aca="false">P76*Q76</f>
        <v>138.71</v>
      </c>
      <c r="S76" s="93"/>
      <c r="T76" s="94"/>
      <c r="U76" s="95"/>
    </row>
    <row r="77" customFormat="false" ht="18.75" hidden="false" customHeight="true" outlineLevel="0" collapsed="false">
      <c r="A77" s="91"/>
      <c r="B77" s="92" t="s">
        <v>370</v>
      </c>
      <c r="C77" s="84" t="s">
        <v>98</v>
      </c>
      <c r="D77" s="85" t="s">
        <v>56</v>
      </c>
      <c r="E77" s="86" t="n">
        <v>11.78</v>
      </c>
      <c r="F77" s="86" t="n">
        <v>13</v>
      </c>
      <c r="G77" s="87" t="n">
        <f aca="false">E77*F77</f>
        <v>153.14</v>
      </c>
      <c r="H77" s="93"/>
      <c r="I77" s="94"/>
      <c r="J77" s="95"/>
      <c r="K77" s="3"/>
      <c r="L77" s="91"/>
      <c r="M77" s="92" t="s">
        <v>370</v>
      </c>
      <c r="N77" s="84" t="s">
        <v>98</v>
      </c>
      <c r="O77" s="85" t="s">
        <v>56</v>
      </c>
      <c r="P77" s="86" t="n">
        <v>11.78</v>
      </c>
      <c r="Q77" s="86" t="n">
        <v>13</v>
      </c>
      <c r="R77" s="87" t="n">
        <f aca="false">P77*Q77</f>
        <v>153.14</v>
      </c>
      <c r="S77" s="93"/>
      <c r="T77" s="94"/>
      <c r="U77" s="95"/>
    </row>
    <row r="78" customFormat="false" ht="18.75" hidden="false" customHeight="true" outlineLevel="0" collapsed="false">
      <c r="A78" s="91"/>
      <c r="B78" s="92" t="s">
        <v>370</v>
      </c>
      <c r="C78" s="84" t="s">
        <v>367</v>
      </c>
      <c r="D78" s="85" t="s">
        <v>56</v>
      </c>
      <c r="E78" s="86" t="n">
        <v>17.67</v>
      </c>
      <c r="F78" s="86" t="n">
        <v>13</v>
      </c>
      <c r="G78" s="87" t="n">
        <f aca="false">E78*F78</f>
        <v>229.71</v>
      </c>
      <c r="H78" s="93"/>
      <c r="I78" s="94"/>
      <c r="J78" s="95"/>
      <c r="K78" s="3"/>
      <c r="L78" s="91"/>
      <c r="M78" s="92" t="s">
        <v>370</v>
      </c>
      <c r="N78" s="84" t="s">
        <v>367</v>
      </c>
      <c r="O78" s="85" t="s">
        <v>56</v>
      </c>
      <c r="P78" s="86" t="n">
        <v>17.67</v>
      </c>
      <c r="Q78" s="86" t="n">
        <v>13</v>
      </c>
      <c r="R78" s="87" t="n">
        <f aca="false">P78*Q78</f>
        <v>229.71</v>
      </c>
      <c r="S78" s="93"/>
      <c r="T78" s="94"/>
      <c r="U78" s="95"/>
    </row>
    <row r="79" customFormat="false" ht="18.75" hidden="false" customHeight="true" outlineLevel="0" collapsed="false">
      <c r="A79" s="91"/>
      <c r="B79" s="92" t="s">
        <v>370</v>
      </c>
      <c r="C79" s="84" t="s">
        <v>374</v>
      </c>
      <c r="D79" s="85" t="s">
        <v>56</v>
      </c>
      <c r="E79" s="86" t="n">
        <v>15.77</v>
      </c>
      <c r="F79" s="86" t="n">
        <v>13</v>
      </c>
      <c r="G79" s="87" t="n">
        <f aca="false">E79*F79</f>
        <v>205.01</v>
      </c>
      <c r="H79" s="93"/>
      <c r="I79" s="94"/>
      <c r="J79" s="95"/>
      <c r="K79" s="3"/>
      <c r="L79" s="91"/>
      <c r="M79" s="92" t="s">
        <v>370</v>
      </c>
      <c r="N79" s="84" t="s">
        <v>374</v>
      </c>
      <c r="O79" s="85" t="s">
        <v>56</v>
      </c>
      <c r="P79" s="86" t="n">
        <v>15.77</v>
      </c>
      <c r="Q79" s="86" t="n">
        <v>13</v>
      </c>
      <c r="R79" s="87" t="n">
        <f aca="false">P79*Q79</f>
        <v>205.01</v>
      </c>
      <c r="S79" s="93"/>
      <c r="T79" s="94"/>
      <c r="U79" s="95"/>
    </row>
    <row r="80" customFormat="false" ht="18.75" hidden="false" customHeight="true" outlineLevel="0" collapsed="false">
      <c r="A80" s="91"/>
      <c r="B80" s="92" t="s">
        <v>370</v>
      </c>
      <c r="C80" s="84" t="s">
        <v>375</v>
      </c>
      <c r="D80" s="85" t="s">
        <v>56</v>
      </c>
      <c r="E80" s="86" t="n">
        <v>21.83</v>
      </c>
      <c r="F80" s="86" t="n">
        <v>13</v>
      </c>
      <c r="G80" s="87" t="n">
        <f aca="false">E80*F80</f>
        <v>283.79</v>
      </c>
      <c r="H80" s="93"/>
      <c r="I80" s="94"/>
      <c r="J80" s="95"/>
      <c r="K80" s="3"/>
      <c r="L80" s="91"/>
      <c r="M80" s="92" t="s">
        <v>370</v>
      </c>
      <c r="N80" s="84" t="s">
        <v>375</v>
      </c>
      <c r="O80" s="85" t="s">
        <v>56</v>
      </c>
      <c r="P80" s="86" t="n">
        <v>21.83</v>
      </c>
      <c r="Q80" s="86" t="n">
        <v>13</v>
      </c>
      <c r="R80" s="87" t="n">
        <f aca="false">P80*Q80</f>
        <v>283.79</v>
      </c>
      <c r="S80" s="93"/>
      <c r="T80" s="94"/>
      <c r="U80" s="95"/>
    </row>
    <row r="81" customFormat="false" ht="18.75" hidden="false" customHeight="true" outlineLevel="0" collapsed="false">
      <c r="A81" s="82" t="s">
        <v>37</v>
      </c>
      <c r="B81" s="83" t="s">
        <v>349</v>
      </c>
      <c r="C81" s="84" t="s">
        <v>131</v>
      </c>
      <c r="D81" s="85" t="s">
        <v>56</v>
      </c>
      <c r="E81" s="86" t="n">
        <v>25.6</v>
      </c>
      <c r="F81" s="86" t="n">
        <v>15</v>
      </c>
      <c r="G81" s="87" t="n">
        <f aca="false">E81*F81</f>
        <v>384</v>
      </c>
      <c r="H81" s="88" t="n">
        <f aca="false">SUMIF(B:B,B81,G:G)</f>
        <v>1661.16</v>
      </c>
      <c r="I81" s="89" t="n">
        <v>1428</v>
      </c>
      <c r="J81" s="90" t="n">
        <f aca="false">IFERROR((I81-H81)/I81,"")</f>
        <v>-0.16327731092437</v>
      </c>
      <c r="K81" s="3"/>
      <c r="L81" s="82" t="s">
        <v>37</v>
      </c>
      <c r="M81" s="83" t="s">
        <v>349</v>
      </c>
      <c r="N81" s="84" t="s">
        <v>131</v>
      </c>
      <c r="O81" s="85" t="s">
        <v>56</v>
      </c>
      <c r="P81" s="86" t="n">
        <v>25.6</v>
      </c>
      <c r="Q81" s="86" t="n">
        <v>15</v>
      </c>
      <c r="R81" s="87" t="n">
        <f aca="false">P81*Q81</f>
        <v>384</v>
      </c>
      <c r="S81" s="88" t="n">
        <f aca="false">SUMIF(M:M,M81,R:R)</f>
        <v>1661.16</v>
      </c>
      <c r="T81" s="89" t="n">
        <f aca="false">I81</f>
        <v>1428</v>
      </c>
      <c r="U81" s="90" t="n">
        <f aca="false">IFERROR((T81-S81)/T81,"")</f>
        <v>-0.16327731092437</v>
      </c>
    </row>
    <row r="82" customFormat="false" ht="18.75" hidden="false" customHeight="true" outlineLevel="0" collapsed="false">
      <c r="A82" s="91"/>
      <c r="B82" s="92" t="s">
        <v>349</v>
      </c>
      <c r="C82" s="84" t="s">
        <v>158</v>
      </c>
      <c r="D82" s="85" t="s">
        <v>56</v>
      </c>
      <c r="E82" s="86" t="n">
        <v>13.6</v>
      </c>
      <c r="F82" s="86" t="n">
        <v>13</v>
      </c>
      <c r="G82" s="87" t="n">
        <f aca="false">E82*F82</f>
        <v>176.8</v>
      </c>
      <c r="H82" s="93"/>
      <c r="I82" s="94"/>
      <c r="J82" s="95"/>
      <c r="K82" s="3"/>
      <c r="L82" s="91"/>
      <c r="M82" s="92" t="s">
        <v>349</v>
      </c>
      <c r="N82" s="84" t="s">
        <v>158</v>
      </c>
      <c r="O82" s="85" t="s">
        <v>56</v>
      </c>
      <c r="P82" s="86" t="n">
        <v>13.6</v>
      </c>
      <c r="Q82" s="86" t="n">
        <v>13</v>
      </c>
      <c r="R82" s="87" t="n">
        <f aca="false">P82*Q82</f>
        <v>176.8</v>
      </c>
      <c r="S82" s="93"/>
      <c r="T82" s="94"/>
      <c r="U82" s="95"/>
    </row>
    <row r="83" customFormat="false" ht="18.75" hidden="false" customHeight="true" outlineLevel="0" collapsed="false">
      <c r="A83" s="91"/>
      <c r="B83" s="92" t="s">
        <v>349</v>
      </c>
      <c r="C83" s="84" t="s">
        <v>372</v>
      </c>
      <c r="D83" s="85" t="s">
        <v>56</v>
      </c>
      <c r="E83" s="86" t="n">
        <v>13.7</v>
      </c>
      <c r="F83" s="86" t="n">
        <v>13</v>
      </c>
      <c r="G83" s="87" t="n">
        <f aca="false">E83*F83</f>
        <v>178.1</v>
      </c>
      <c r="H83" s="93"/>
      <c r="I83" s="94"/>
      <c r="J83" s="95"/>
      <c r="K83" s="3"/>
      <c r="L83" s="91"/>
      <c r="M83" s="92" t="s">
        <v>349</v>
      </c>
      <c r="N83" s="84" t="s">
        <v>372</v>
      </c>
      <c r="O83" s="85" t="s">
        <v>56</v>
      </c>
      <c r="P83" s="86" t="n">
        <v>13.7</v>
      </c>
      <c r="Q83" s="86" t="n">
        <v>13</v>
      </c>
      <c r="R83" s="87" t="n">
        <f aca="false">P83*Q83</f>
        <v>178.1</v>
      </c>
      <c r="S83" s="93"/>
      <c r="T83" s="94"/>
      <c r="U83" s="95"/>
    </row>
    <row r="84" customFormat="false" ht="18.75" hidden="false" customHeight="true" outlineLevel="0" collapsed="false">
      <c r="A84" s="91"/>
      <c r="B84" s="92" t="s">
        <v>349</v>
      </c>
      <c r="C84" s="84" t="s">
        <v>373</v>
      </c>
      <c r="D84" s="85" t="s">
        <v>56</v>
      </c>
      <c r="E84" s="86" t="n">
        <v>19</v>
      </c>
      <c r="F84" s="86" t="n">
        <v>13</v>
      </c>
      <c r="G84" s="87" t="n">
        <f aca="false">E84*F84</f>
        <v>247</v>
      </c>
      <c r="H84" s="93"/>
      <c r="I84" s="94"/>
      <c r="J84" s="95"/>
      <c r="K84" s="3"/>
      <c r="L84" s="91"/>
      <c r="M84" s="92" t="s">
        <v>349</v>
      </c>
      <c r="N84" s="84" t="s">
        <v>373</v>
      </c>
      <c r="O84" s="85" t="s">
        <v>56</v>
      </c>
      <c r="P84" s="86" t="n">
        <v>19</v>
      </c>
      <c r="Q84" s="86" t="n">
        <v>13</v>
      </c>
      <c r="R84" s="87" t="n">
        <f aca="false">P84*Q84</f>
        <v>247</v>
      </c>
      <c r="S84" s="93"/>
      <c r="T84" s="94"/>
      <c r="U84" s="95"/>
    </row>
    <row r="85" customFormat="false" ht="18.75" hidden="false" customHeight="true" outlineLevel="0" collapsed="false">
      <c r="A85" s="91"/>
      <c r="B85" s="92" t="s">
        <v>349</v>
      </c>
      <c r="C85" s="84" t="s">
        <v>81</v>
      </c>
      <c r="D85" s="85" t="s">
        <v>56</v>
      </c>
      <c r="E85" s="86" t="n">
        <v>25.55</v>
      </c>
      <c r="F85" s="86" t="n">
        <v>13</v>
      </c>
      <c r="G85" s="87" t="n">
        <f aca="false">E85*F85</f>
        <v>332.15</v>
      </c>
      <c r="H85" s="93"/>
      <c r="I85" s="94"/>
      <c r="J85" s="95"/>
      <c r="K85" s="3"/>
      <c r="L85" s="91"/>
      <c r="M85" s="92" t="s">
        <v>349</v>
      </c>
      <c r="N85" s="84" t="s">
        <v>81</v>
      </c>
      <c r="O85" s="85" t="s">
        <v>56</v>
      </c>
      <c r="P85" s="86" t="n">
        <v>25.55</v>
      </c>
      <c r="Q85" s="86" t="n">
        <v>13</v>
      </c>
      <c r="R85" s="87" t="n">
        <f aca="false">P85*Q85</f>
        <v>332.15</v>
      </c>
      <c r="S85" s="93"/>
      <c r="T85" s="94"/>
      <c r="U85" s="95"/>
    </row>
    <row r="86" customFormat="false" ht="18.75" hidden="false" customHeight="true" outlineLevel="0" collapsed="false">
      <c r="A86" s="91"/>
      <c r="B86" s="92" t="s">
        <v>349</v>
      </c>
      <c r="C86" s="84" t="s">
        <v>374</v>
      </c>
      <c r="D86" s="85" t="s">
        <v>56</v>
      </c>
      <c r="E86" s="86" t="n">
        <v>19.47</v>
      </c>
      <c r="F86" s="86" t="n">
        <v>13</v>
      </c>
      <c r="G86" s="87" t="n">
        <f aca="false">E86*F86</f>
        <v>253.11</v>
      </c>
      <c r="H86" s="93"/>
      <c r="I86" s="94"/>
      <c r="J86" s="95"/>
      <c r="K86" s="3"/>
      <c r="L86" s="91"/>
      <c r="M86" s="92" t="s">
        <v>349</v>
      </c>
      <c r="N86" s="84" t="s">
        <v>374</v>
      </c>
      <c r="O86" s="85" t="s">
        <v>56</v>
      </c>
      <c r="P86" s="86" t="n">
        <v>19.47</v>
      </c>
      <c r="Q86" s="86" t="n">
        <v>13</v>
      </c>
      <c r="R86" s="87" t="n">
        <f aca="false">P86*Q86</f>
        <v>253.11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349</v>
      </c>
      <c r="C87" s="84" t="s">
        <v>376</v>
      </c>
      <c r="D87" s="96" t="s">
        <v>57</v>
      </c>
      <c r="E87" s="91"/>
      <c r="F87" s="91"/>
      <c r="G87" s="87" t="n">
        <v>90</v>
      </c>
      <c r="H87" s="93"/>
      <c r="I87" s="94"/>
      <c r="J87" s="95"/>
      <c r="K87" s="3"/>
      <c r="L87" s="91"/>
      <c r="M87" s="92" t="s">
        <v>349</v>
      </c>
      <c r="N87" s="84" t="s">
        <v>376</v>
      </c>
      <c r="O87" s="96" t="s">
        <v>57</v>
      </c>
      <c r="P87" s="91"/>
      <c r="Q87" s="91"/>
      <c r="R87" s="87" t="n">
        <v>90</v>
      </c>
      <c r="S87" s="93"/>
      <c r="T87" s="94"/>
      <c r="U87" s="95"/>
    </row>
    <row r="88" customFormat="false" ht="18.75" hidden="false" customHeight="true" outlineLevel="0" collapsed="false">
      <c r="A88" s="82" t="s">
        <v>39</v>
      </c>
      <c r="B88" s="83" t="s">
        <v>350</v>
      </c>
      <c r="C88" s="84" t="s">
        <v>371</v>
      </c>
      <c r="D88" s="85" t="s">
        <v>56</v>
      </c>
      <c r="E88" s="86" t="n">
        <v>21</v>
      </c>
      <c r="F88" s="86" t="n">
        <v>15</v>
      </c>
      <c r="G88" s="87" t="n">
        <f aca="false">E88*F88</f>
        <v>315</v>
      </c>
      <c r="H88" s="88" t="n">
        <f aca="false">SUMIF(B:B,B88,G:G)</f>
        <v>1917.96</v>
      </c>
      <c r="I88" s="89" t="n">
        <v>1428</v>
      </c>
      <c r="J88" s="90" t="n">
        <f aca="false">IFERROR((I88-H88)/I88,"")</f>
        <v>-0.343109243697479</v>
      </c>
      <c r="K88" s="3"/>
      <c r="L88" s="82" t="s">
        <v>39</v>
      </c>
      <c r="M88" s="83" t="s">
        <v>350</v>
      </c>
      <c r="N88" s="84" t="s">
        <v>371</v>
      </c>
      <c r="O88" s="85" t="s">
        <v>56</v>
      </c>
      <c r="P88" s="86" t="n">
        <v>21</v>
      </c>
      <c r="Q88" s="86" t="n">
        <v>15</v>
      </c>
      <c r="R88" s="87" t="n">
        <f aca="false">P88*Q88</f>
        <v>315</v>
      </c>
      <c r="S88" s="88" t="n">
        <f aca="false">SUMIF(M:M,M88,R:R)</f>
        <v>1917.96</v>
      </c>
      <c r="T88" s="89" t="n">
        <f aca="false">I88</f>
        <v>1428</v>
      </c>
      <c r="U88" s="90" t="n">
        <f aca="false">IFERROR((T88-S88)/T88,"")</f>
        <v>-0.343109243697479</v>
      </c>
    </row>
    <row r="89" customFormat="false" ht="18.75" hidden="false" customHeight="true" outlineLevel="0" collapsed="false">
      <c r="A89" s="91"/>
      <c r="B89" s="92" t="s">
        <v>350</v>
      </c>
      <c r="C89" s="84" t="s">
        <v>89</v>
      </c>
      <c r="D89" s="85" t="s">
        <v>56</v>
      </c>
      <c r="E89" s="86" t="n">
        <v>35.17</v>
      </c>
      <c r="F89" s="86" t="n">
        <v>15</v>
      </c>
      <c r="G89" s="87" t="n">
        <f aca="false">E89*F89</f>
        <v>527.55</v>
      </c>
      <c r="H89" s="93"/>
      <c r="I89" s="94"/>
      <c r="J89" s="95"/>
      <c r="K89" s="3"/>
      <c r="L89" s="91"/>
      <c r="M89" s="92" t="s">
        <v>350</v>
      </c>
      <c r="N89" s="84" t="s">
        <v>89</v>
      </c>
      <c r="O89" s="85" t="s">
        <v>56</v>
      </c>
      <c r="P89" s="86" t="n">
        <v>35.17</v>
      </c>
      <c r="Q89" s="86" t="n">
        <v>15</v>
      </c>
      <c r="R89" s="87" t="n">
        <f aca="false">P89*Q89</f>
        <v>527.55</v>
      </c>
      <c r="S89" s="93"/>
      <c r="T89" s="94"/>
      <c r="U89" s="95"/>
    </row>
    <row r="90" customFormat="false" ht="18.75" hidden="false" customHeight="true" outlineLevel="0" collapsed="false">
      <c r="A90" s="91"/>
      <c r="B90" s="92" t="s">
        <v>350</v>
      </c>
      <c r="C90" s="84" t="s">
        <v>106</v>
      </c>
      <c r="D90" s="85" t="s">
        <v>56</v>
      </c>
      <c r="E90" s="86" t="n">
        <v>15.37</v>
      </c>
      <c r="F90" s="86" t="n">
        <v>13</v>
      </c>
      <c r="G90" s="87" t="n">
        <f aca="false">E90*F90</f>
        <v>199.81</v>
      </c>
      <c r="H90" s="93"/>
      <c r="I90" s="94"/>
      <c r="J90" s="95"/>
      <c r="K90" s="3"/>
      <c r="L90" s="91"/>
      <c r="M90" s="92" t="s">
        <v>350</v>
      </c>
      <c r="N90" s="84" t="s">
        <v>106</v>
      </c>
      <c r="O90" s="85" t="s">
        <v>56</v>
      </c>
      <c r="P90" s="86" t="n">
        <v>15.37</v>
      </c>
      <c r="Q90" s="86" t="n">
        <v>13</v>
      </c>
      <c r="R90" s="87" t="n">
        <f aca="false">P90*Q90</f>
        <v>199.81</v>
      </c>
      <c r="S90" s="93"/>
      <c r="T90" s="94"/>
      <c r="U90" s="95"/>
    </row>
    <row r="91" customFormat="false" ht="18.75" hidden="false" customHeight="true" outlineLevel="0" collapsed="false">
      <c r="A91" s="91"/>
      <c r="B91" s="92" t="s">
        <v>350</v>
      </c>
      <c r="C91" s="84" t="s">
        <v>164</v>
      </c>
      <c r="D91" s="85" t="s">
        <v>56</v>
      </c>
      <c r="E91" s="86" t="n">
        <v>13.1</v>
      </c>
      <c r="F91" s="86" t="n">
        <v>13</v>
      </c>
      <c r="G91" s="87" t="n">
        <f aca="false">E91*F91</f>
        <v>170.3</v>
      </c>
      <c r="H91" s="93"/>
      <c r="I91" s="94"/>
      <c r="J91" s="95"/>
      <c r="K91" s="3"/>
      <c r="L91" s="91"/>
      <c r="M91" s="92" t="s">
        <v>350</v>
      </c>
      <c r="N91" s="84" t="s">
        <v>164</v>
      </c>
      <c r="O91" s="85" t="s">
        <v>56</v>
      </c>
      <c r="P91" s="86" t="n">
        <v>13.1</v>
      </c>
      <c r="Q91" s="86" t="n">
        <v>13</v>
      </c>
      <c r="R91" s="87" t="n">
        <f aca="false">P91*Q91</f>
        <v>170.3</v>
      </c>
      <c r="S91" s="93"/>
      <c r="T91" s="94"/>
      <c r="U91" s="95"/>
    </row>
    <row r="92" customFormat="false" ht="18.75" hidden="false" customHeight="true" outlineLevel="0" collapsed="false">
      <c r="A92" s="91"/>
      <c r="B92" s="92" t="s">
        <v>350</v>
      </c>
      <c r="C92" s="84" t="s">
        <v>331</v>
      </c>
      <c r="D92" s="85" t="s">
        <v>56</v>
      </c>
      <c r="E92" s="86" t="n">
        <v>18.2</v>
      </c>
      <c r="F92" s="86" t="n">
        <v>13</v>
      </c>
      <c r="G92" s="87" t="n">
        <f aca="false">E92*F92</f>
        <v>236.6</v>
      </c>
      <c r="H92" s="93"/>
      <c r="I92" s="94"/>
      <c r="J92" s="95"/>
      <c r="K92" s="3"/>
      <c r="L92" s="91"/>
      <c r="M92" s="92" t="s">
        <v>350</v>
      </c>
      <c r="N92" s="84" t="s">
        <v>331</v>
      </c>
      <c r="O92" s="85" t="s">
        <v>56</v>
      </c>
      <c r="P92" s="86" t="n">
        <v>18.2</v>
      </c>
      <c r="Q92" s="86" t="n">
        <v>13</v>
      </c>
      <c r="R92" s="87" t="n">
        <f aca="false">P92*Q92</f>
        <v>236.6</v>
      </c>
      <c r="S92" s="93"/>
      <c r="T92" s="94"/>
      <c r="U92" s="95"/>
    </row>
    <row r="93" customFormat="false" ht="18.75" hidden="false" customHeight="true" outlineLevel="0" collapsed="false">
      <c r="A93" s="91"/>
      <c r="B93" s="92" t="s">
        <v>350</v>
      </c>
      <c r="C93" s="84" t="s">
        <v>129</v>
      </c>
      <c r="D93" s="85" t="s">
        <v>56</v>
      </c>
      <c r="E93" s="86" t="n">
        <v>20.55</v>
      </c>
      <c r="F93" s="86" t="n">
        <v>13</v>
      </c>
      <c r="G93" s="87" t="n">
        <f aca="false">E93*F93</f>
        <v>267.15</v>
      </c>
      <c r="H93" s="93"/>
      <c r="I93" s="94"/>
      <c r="J93" s="95"/>
      <c r="K93" s="3"/>
      <c r="L93" s="91"/>
      <c r="M93" s="92" t="s">
        <v>350</v>
      </c>
      <c r="N93" s="84" t="s">
        <v>129</v>
      </c>
      <c r="O93" s="85" t="s">
        <v>56</v>
      </c>
      <c r="P93" s="86" t="n">
        <v>20.55</v>
      </c>
      <c r="Q93" s="86" t="n">
        <v>13</v>
      </c>
      <c r="R93" s="87" t="n">
        <f aca="false">P93*Q93</f>
        <v>267.15</v>
      </c>
      <c r="S93" s="93"/>
      <c r="T93" s="94"/>
      <c r="U93" s="95"/>
    </row>
    <row r="94" customFormat="false" ht="18.75" hidden="false" customHeight="true" outlineLevel="0" collapsed="false">
      <c r="A94" s="91"/>
      <c r="B94" s="92" t="s">
        <v>350</v>
      </c>
      <c r="C94" s="84" t="s">
        <v>137</v>
      </c>
      <c r="D94" s="85" t="s">
        <v>56</v>
      </c>
      <c r="E94" s="86" t="n">
        <v>13</v>
      </c>
      <c r="F94" s="86" t="n">
        <v>13</v>
      </c>
      <c r="G94" s="87" t="n">
        <f aca="false">E94*F94</f>
        <v>169</v>
      </c>
      <c r="H94" s="93"/>
      <c r="I94" s="94"/>
      <c r="J94" s="95"/>
      <c r="K94" s="3"/>
      <c r="L94" s="91"/>
      <c r="M94" s="92" t="s">
        <v>350</v>
      </c>
      <c r="N94" s="84" t="s">
        <v>137</v>
      </c>
      <c r="O94" s="85" t="s">
        <v>56</v>
      </c>
      <c r="P94" s="86" t="n">
        <v>13</v>
      </c>
      <c r="Q94" s="86" t="n">
        <v>13</v>
      </c>
      <c r="R94" s="87" t="n">
        <f aca="false">P94*Q94</f>
        <v>169</v>
      </c>
      <c r="S94" s="93"/>
      <c r="T94" s="94"/>
      <c r="U94" s="95"/>
    </row>
    <row r="95" customFormat="false" ht="18.75" hidden="false" customHeight="true" outlineLevel="0" collapsed="false">
      <c r="A95" s="91"/>
      <c r="B95" s="92" t="s">
        <v>350</v>
      </c>
      <c r="C95" s="84" t="s">
        <v>377</v>
      </c>
      <c r="D95" s="96" t="s">
        <v>57</v>
      </c>
      <c r="E95" s="86" t="n">
        <v>2.17</v>
      </c>
      <c r="F95" s="86" t="n">
        <v>15</v>
      </c>
      <c r="G95" s="87" t="n">
        <f aca="false">E95*F95</f>
        <v>32.55</v>
      </c>
      <c r="H95" s="93"/>
      <c r="I95" s="94"/>
      <c r="J95" s="95"/>
      <c r="K95" s="3"/>
      <c r="L95" s="91"/>
      <c r="M95" s="92" t="s">
        <v>350</v>
      </c>
      <c r="N95" s="84" t="s">
        <v>377</v>
      </c>
      <c r="O95" s="96" t="s">
        <v>57</v>
      </c>
      <c r="P95" s="86" t="n">
        <v>2.17</v>
      </c>
      <c r="Q95" s="86" t="n">
        <v>15</v>
      </c>
      <c r="R95" s="87" t="n">
        <f aca="false">P95*Q95</f>
        <v>32.55</v>
      </c>
      <c r="S95" s="93"/>
      <c r="T95" s="94"/>
      <c r="U95" s="95"/>
    </row>
    <row r="96" customFormat="false" ht="18.75" hidden="false" customHeight="true" outlineLevel="0" collapsed="false">
      <c r="A96" s="82" t="s">
        <v>41</v>
      </c>
      <c r="B96" s="83" t="s">
        <v>351</v>
      </c>
      <c r="C96" s="84" t="s">
        <v>89</v>
      </c>
      <c r="D96" s="85" t="s">
        <v>56</v>
      </c>
      <c r="E96" s="86" t="n">
        <v>20.6</v>
      </c>
      <c r="F96" s="86" t="n">
        <v>15</v>
      </c>
      <c r="G96" s="87" t="n">
        <f aca="false">E96*F96</f>
        <v>309</v>
      </c>
      <c r="H96" s="88" t="n">
        <f aca="false">SUMIF(B:B,B96,G:G)</f>
        <v>1333.53</v>
      </c>
      <c r="I96" s="89" t="n">
        <v>1428</v>
      </c>
      <c r="J96" s="90" t="n">
        <f aca="false">IFERROR((I96-H96)/I96,"")</f>
        <v>0.066155462184874</v>
      </c>
      <c r="K96" s="3"/>
      <c r="L96" s="82" t="s">
        <v>41</v>
      </c>
      <c r="M96" s="83" t="s">
        <v>351</v>
      </c>
      <c r="N96" s="84" t="s">
        <v>89</v>
      </c>
      <c r="O96" s="85" t="s">
        <v>56</v>
      </c>
      <c r="P96" s="86" t="n">
        <v>20.6</v>
      </c>
      <c r="Q96" s="86" t="n">
        <v>15</v>
      </c>
      <c r="R96" s="87" t="n">
        <f aca="false">P96*Q96</f>
        <v>309</v>
      </c>
      <c r="S96" s="88" t="n">
        <f aca="false">SUMIF(M:M,M96,R:R)</f>
        <v>1333.53</v>
      </c>
      <c r="T96" s="89" t="n">
        <f aca="false">I96</f>
        <v>1428</v>
      </c>
      <c r="U96" s="90" t="n">
        <f aca="false">IFERROR((T96-S96)/T96,"")</f>
        <v>0.066155462184874</v>
      </c>
    </row>
    <row r="97" customFormat="false" ht="18.75" hidden="false" customHeight="true" outlineLevel="0" collapsed="false">
      <c r="A97" s="91"/>
      <c r="B97" s="92" t="s">
        <v>351</v>
      </c>
      <c r="C97" s="84" t="s">
        <v>106</v>
      </c>
      <c r="D97" s="85" t="s">
        <v>56</v>
      </c>
      <c r="E97" s="86" t="n">
        <v>11.78</v>
      </c>
      <c r="F97" s="86" t="n">
        <v>13</v>
      </c>
      <c r="G97" s="87" t="n">
        <f aca="false">E97*F97</f>
        <v>153.14</v>
      </c>
      <c r="H97" s="93"/>
      <c r="I97" s="94"/>
      <c r="J97" s="95"/>
      <c r="K97" s="3"/>
      <c r="L97" s="91"/>
      <c r="M97" s="92" t="s">
        <v>351</v>
      </c>
      <c r="N97" s="84" t="s">
        <v>106</v>
      </c>
      <c r="O97" s="85" t="s">
        <v>56</v>
      </c>
      <c r="P97" s="86" t="n">
        <v>11.78</v>
      </c>
      <c r="Q97" s="86" t="n">
        <v>13</v>
      </c>
      <c r="R97" s="87" t="n">
        <f aca="false">P97*Q97</f>
        <v>153.14</v>
      </c>
      <c r="S97" s="93"/>
      <c r="T97" s="94"/>
      <c r="U97" s="95"/>
    </row>
    <row r="98" customFormat="false" ht="18.75" hidden="false" customHeight="true" outlineLevel="0" collapsed="false">
      <c r="A98" s="91"/>
      <c r="B98" s="92" t="s">
        <v>351</v>
      </c>
      <c r="C98" s="84" t="s">
        <v>164</v>
      </c>
      <c r="D98" s="85" t="s">
        <v>56</v>
      </c>
      <c r="E98" s="86" t="n">
        <v>12.74</v>
      </c>
      <c r="F98" s="86" t="n">
        <v>13</v>
      </c>
      <c r="G98" s="87" t="n">
        <f aca="false">E98*F98</f>
        <v>165.62</v>
      </c>
      <c r="H98" s="93"/>
      <c r="I98" s="94"/>
      <c r="J98" s="95"/>
      <c r="K98" s="3"/>
      <c r="L98" s="91"/>
      <c r="M98" s="92" t="s">
        <v>351</v>
      </c>
      <c r="N98" s="84" t="s">
        <v>164</v>
      </c>
      <c r="O98" s="85" t="s">
        <v>56</v>
      </c>
      <c r="P98" s="86" t="n">
        <v>12.74</v>
      </c>
      <c r="Q98" s="86" t="n">
        <v>13</v>
      </c>
      <c r="R98" s="87" t="n">
        <f aca="false">P98*Q98</f>
        <v>165.62</v>
      </c>
      <c r="S98" s="93"/>
      <c r="T98" s="94"/>
      <c r="U98" s="95"/>
    </row>
    <row r="99" customFormat="false" ht="18.75" hidden="false" customHeight="true" outlineLevel="0" collapsed="false">
      <c r="A99" s="91"/>
      <c r="B99" s="92" t="s">
        <v>351</v>
      </c>
      <c r="C99" s="84" t="s">
        <v>378</v>
      </c>
      <c r="D99" s="85" t="s">
        <v>56</v>
      </c>
      <c r="E99" s="86" t="n">
        <v>10.05</v>
      </c>
      <c r="F99" s="86" t="n">
        <v>13</v>
      </c>
      <c r="G99" s="87" t="n">
        <f aca="false">E99*F99</f>
        <v>130.65</v>
      </c>
      <c r="H99" s="93"/>
      <c r="I99" s="94"/>
      <c r="J99" s="95"/>
      <c r="K99" s="3"/>
      <c r="L99" s="91"/>
      <c r="M99" s="92" t="s">
        <v>351</v>
      </c>
      <c r="N99" s="84" t="s">
        <v>378</v>
      </c>
      <c r="O99" s="85" t="s">
        <v>56</v>
      </c>
      <c r="P99" s="86" t="n">
        <v>10.05</v>
      </c>
      <c r="Q99" s="86" t="n">
        <v>13</v>
      </c>
      <c r="R99" s="87" t="n">
        <f aca="false">P99*Q99</f>
        <v>130.65</v>
      </c>
      <c r="S99" s="93"/>
      <c r="T99" s="94"/>
      <c r="U99" s="95"/>
    </row>
    <row r="100" customFormat="false" ht="18.75" hidden="false" customHeight="true" outlineLevel="0" collapsed="false">
      <c r="A100" s="91"/>
      <c r="B100" s="92" t="s">
        <v>351</v>
      </c>
      <c r="C100" s="84" t="s">
        <v>331</v>
      </c>
      <c r="D100" s="85" t="s">
        <v>56</v>
      </c>
      <c r="E100" s="86" t="n">
        <v>9.55</v>
      </c>
      <c r="F100" s="86" t="n">
        <v>13</v>
      </c>
      <c r="G100" s="87" t="n">
        <f aca="false">E100*F100</f>
        <v>124.15</v>
      </c>
      <c r="H100" s="93"/>
      <c r="I100" s="94"/>
      <c r="J100" s="95"/>
      <c r="K100" s="3"/>
      <c r="L100" s="91"/>
      <c r="M100" s="92" t="s">
        <v>351</v>
      </c>
      <c r="N100" s="84" t="s">
        <v>331</v>
      </c>
      <c r="O100" s="85" t="s">
        <v>56</v>
      </c>
      <c r="P100" s="86" t="n">
        <v>9.55</v>
      </c>
      <c r="Q100" s="86" t="n">
        <v>13</v>
      </c>
      <c r="R100" s="87" t="n">
        <f aca="false">P100*Q100</f>
        <v>124.15</v>
      </c>
      <c r="S100" s="93"/>
      <c r="T100" s="94"/>
      <c r="U100" s="95"/>
    </row>
    <row r="101" customFormat="false" ht="18.75" hidden="false" customHeight="true" outlineLevel="0" collapsed="false">
      <c r="A101" s="91"/>
      <c r="B101" s="92" t="s">
        <v>351</v>
      </c>
      <c r="C101" s="84" t="s">
        <v>102</v>
      </c>
      <c r="D101" s="85" t="s">
        <v>56</v>
      </c>
      <c r="E101" s="86" t="n">
        <v>9.67</v>
      </c>
      <c r="F101" s="86" t="n">
        <v>13</v>
      </c>
      <c r="G101" s="87" t="n">
        <f aca="false">E101*F101</f>
        <v>125.71</v>
      </c>
      <c r="H101" s="93"/>
      <c r="I101" s="94"/>
      <c r="J101" s="95"/>
      <c r="K101" s="3"/>
      <c r="L101" s="91"/>
      <c r="M101" s="92" t="s">
        <v>351</v>
      </c>
      <c r="N101" s="84" t="s">
        <v>102</v>
      </c>
      <c r="O101" s="85" t="s">
        <v>56</v>
      </c>
      <c r="P101" s="86" t="n">
        <v>9.67</v>
      </c>
      <c r="Q101" s="86" t="n">
        <v>13</v>
      </c>
      <c r="R101" s="87" t="n">
        <f aca="false">P101*Q101</f>
        <v>125.71</v>
      </c>
      <c r="S101" s="93"/>
      <c r="T101" s="94"/>
      <c r="U101" s="95"/>
    </row>
    <row r="102" customFormat="false" ht="18.75" hidden="false" customHeight="true" outlineLevel="0" collapsed="false">
      <c r="A102" s="91"/>
      <c r="B102" s="92" t="s">
        <v>351</v>
      </c>
      <c r="C102" s="84" t="s">
        <v>137</v>
      </c>
      <c r="D102" s="85" t="s">
        <v>56</v>
      </c>
      <c r="E102" s="86" t="n">
        <v>11.1</v>
      </c>
      <c r="F102" s="86" t="n">
        <v>13</v>
      </c>
      <c r="G102" s="87" t="n">
        <f aca="false">E102*F102</f>
        <v>144.3</v>
      </c>
      <c r="H102" s="93"/>
      <c r="I102" s="94"/>
      <c r="J102" s="95"/>
      <c r="K102" s="3"/>
      <c r="L102" s="91"/>
      <c r="M102" s="92" t="s">
        <v>351</v>
      </c>
      <c r="N102" s="84" t="s">
        <v>137</v>
      </c>
      <c r="O102" s="85" t="s">
        <v>56</v>
      </c>
      <c r="P102" s="86" t="n">
        <v>11.1</v>
      </c>
      <c r="Q102" s="86" t="n">
        <v>13</v>
      </c>
      <c r="R102" s="87" t="n">
        <f aca="false">P102*Q102</f>
        <v>144.3</v>
      </c>
      <c r="S102" s="93"/>
      <c r="T102" s="94"/>
      <c r="U102" s="95"/>
    </row>
    <row r="103" customFormat="false" ht="18.75" hidden="false" customHeight="true" outlineLevel="0" collapsed="false">
      <c r="A103" s="91"/>
      <c r="B103" s="92" t="s">
        <v>351</v>
      </c>
      <c r="C103" s="84" t="s">
        <v>88</v>
      </c>
      <c r="D103" s="85" t="s">
        <v>56</v>
      </c>
      <c r="E103" s="86" t="n">
        <v>13.92</v>
      </c>
      <c r="F103" s="86" t="n">
        <v>13</v>
      </c>
      <c r="G103" s="87" t="n">
        <f aca="false">E103*F103</f>
        <v>180.96</v>
      </c>
      <c r="H103" s="93"/>
      <c r="I103" s="94"/>
      <c r="J103" s="95"/>
      <c r="K103" s="3"/>
      <c r="L103" s="91"/>
      <c r="M103" s="92" t="s">
        <v>351</v>
      </c>
      <c r="N103" s="84" t="s">
        <v>88</v>
      </c>
      <c r="O103" s="85" t="s">
        <v>56</v>
      </c>
      <c r="P103" s="86" t="n">
        <v>13.92</v>
      </c>
      <c r="Q103" s="86" t="n">
        <v>13</v>
      </c>
      <c r="R103" s="87" t="n">
        <f aca="false">P103*Q103</f>
        <v>180.96</v>
      </c>
      <c r="S103" s="93"/>
      <c r="T103" s="94"/>
      <c r="U103" s="95"/>
    </row>
    <row r="104" customFormat="false" ht="18.75" hidden="false" customHeight="true" outlineLevel="0" collapsed="false">
      <c r="A104" s="91"/>
      <c r="B104" s="92"/>
      <c r="C104" s="84" t="s">
        <v>379</v>
      </c>
      <c r="D104" s="96" t="s">
        <v>57</v>
      </c>
      <c r="E104" s="91"/>
      <c r="F104" s="91"/>
      <c r="G104" s="87"/>
      <c r="H104" s="93"/>
      <c r="I104" s="94"/>
      <c r="J104" s="95"/>
      <c r="K104" s="3"/>
      <c r="L104" s="91"/>
      <c r="M104" s="92"/>
      <c r="N104" s="84" t="s">
        <v>379</v>
      </c>
      <c r="O104" s="96" t="s">
        <v>57</v>
      </c>
      <c r="P104" s="91"/>
      <c r="Q104" s="91"/>
      <c r="R104" s="120"/>
      <c r="S104" s="93"/>
      <c r="T104" s="94"/>
      <c r="U104" s="95"/>
    </row>
    <row r="105" customFormat="false" ht="18.75" hidden="false" customHeight="true" outlineLevel="0" collapsed="false">
      <c r="A105" s="82" t="s">
        <v>20</v>
      </c>
      <c r="B105" s="83" t="s">
        <v>352</v>
      </c>
      <c r="C105" s="97" t="s">
        <v>91</v>
      </c>
      <c r="D105" s="98" t="s">
        <v>55</v>
      </c>
      <c r="E105" s="99" t="n">
        <v>21</v>
      </c>
      <c r="F105" s="99" t="n">
        <v>16</v>
      </c>
      <c r="G105" s="100" t="n">
        <f aca="false">E105*F105</f>
        <v>336</v>
      </c>
      <c r="H105" s="88" t="n">
        <f aca="false">SUMIF(B:B,B105,G:G)</f>
        <v>1937.21</v>
      </c>
      <c r="I105" s="89" t="n">
        <v>2784</v>
      </c>
      <c r="J105" s="90" t="n">
        <f aca="false">IFERROR((I105-H105)/I105,"")</f>
        <v>0.304163074712644</v>
      </c>
      <c r="K105" s="3"/>
      <c r="L105" s="82" t="s">
        <v>20</v>
      </c>
      <c r="M105" s="83" t="s">
        <v>352</v>
      </c>
      <c r="N105" s="97" t="s">
        <v>91</v>
      </c>
      <c r="O105" s="98" t="s">
        <v>55</v>
      </c>
      <c r="P105" s="101"/>
      <c r="Q105" s="101"/>
      <c r="R105" s="102" t="n">
        <v>0</v>
      </c>
      <c r="S105" s="88" t="n">
        <f aca="false">SUMIF(M:M,M105,R:R)</f>
        <v>1601.21</v>
      </c>
      <c r="T105" s="89" t="n">
        <f aca="false">I105</f>
        <v>2784</v>
      </c>
      <c r="U105" s="90" t="n">
        <f aca="false">IFERROR((T105-S105)/T105,"")</f>
        <v>0.424852729885057</v>
      </c>
    </row>
    <row r="106" customFormat="false" ht="18.75" hidden="false" customHeight="true" outlineLevel="0" collapsed="false">
      <c r="A106" s="91"/>
      <c r="B106" s="92" t="s">
        <v>352</v>
      </c>
      <c r="C106" s="84" t="s">
        <v>380</v>
      </c>
      <c r="D106" s="85" t="s">
        <v>56</v>
      </c>
      <c r="E106" s="86" t="n">
        <v>14.76</v>
      </c>
      <c r="F106" s="86" t="n">
        <v>13</v>
      </c>
      <c r="G106" s="87" t="n">
        <f aca="false">E106*F106</f>
        <v>191.88</v>
      </c>
      <c r="H106" s="93"/>
      <c r="I106" s="94"/>
      <c r="J106" s="95"/>
      <c r="K106" s="3"/>
      <c r="L106" s="91"/>
      <c r="M106" s="92" t="s">
        <v>352</v>
      </c>
      <c r="N106" s="84" t="s">
        <v>380</v>
      </c>
      <c r="O106" s="85" t="s">
        <v>56</v>
      </c>
      <c r="P106" s="86" t="n">
        <v>14.76</v>
      </c>
      <c r="Q106" s="86" t="n">
        <v>13</v>
      </c>
      <c r="R106" s="87" t="n">
        <f aca="false">P106*Q106</f>
        <v>191.88</v>
      </c>
      <c r="S106" s="93"/>
      <c r="T106" s="94"/>
      <c r="U106" s="95"/>
    </row>
    <row r="107" customFormat="false" ht="18.75" hidden="false" customHeight="true" outlineLevel="0" collapsed="false">
      <c r="A107" s="91"/>
      <c r="B107" s="92" t="s">
        <v>352</v>
      </c>
      <c r="C107" s="84" t="s">
        <v>381</v>
      </c>
      <c r="D107" s="85" t="s">
        <v>56</v>
      </c>
      <c r="E107" s="86" t="n">
        <v>11.85</v>
      </c>
      <c r="F107" s="86" t="n">
        <v>13</v>
      </c>
      <c r="G107" s="87" t="n">
        <f aca="false">E107*F107</f>
        <v>154.05</v>
      </c>
      <c r="H107" s="93"/>
      <c r="I107" s="94"/>
      <c r="J107" s="95"/>
      <c r="K107" s="3"/>
      <c r="L107" s="91"/>
      <c r="M107" s="92" t="s">
        <v>352</v>
      </c>
      <c r="N107" s="84" t="s">
        <v>381</v>
      </c>
      <c r="O107" s="85" t="s">
        <v>56</v>
      </c>
      <c r="P107" s="86" t="n">
        <v>11.85</v>
      </c>
      <c r="Q107" s="86" t="n">
        <v>13</v>
      </c>
      <c r="R107" s="87" t="n">
        <f aca="false">P107*Q107</f>
        <v>154.05</v>
      </c>
      <c r="S107" s="93"/>
      <c r="T107" s="94"/>
      <c r="U107" s="95"/>
    </row>
    <row r="108" customFormat="false" ht="18.75" hidden="false" customHeight="true" outlineLevel="0" collapsed="false">
      <c r="A108" s="91"/>
      <c r="B108" s="92" t="s">
        <v>352</v>
      </c>
      <c r="C108" s="84" t="s">
        <v>382</v>
      </c>
      <c r="D108" s="85" t="s">
        <v>56</v>
      </c>
      <c r="E108" s="86" t="n">
        <v>13.12</v>
      </c>
      <c r="F108" s="86" t="n">
        <v>13</v>
      </c>
      <c r="G108" s="87" t="n">
        <f aca="false">E108*F108</f>
        <v>170.56</v>
      </c>
      <c r="H108" s="93"/>
      <c r="I108" s="94"/>
      <c r="J108" s="95"/>
      <c r="K108" s="3"/>
      <c r="L108" s="91"/>
      <c r="M108" s="92" t="s">
        <v>352</v>
      </c>
      <c r="N108" s="84" t="s">
        <v>382</v>
      </c>
      <c r="O108" s="85" t="s">
        <v>56</v>
      </c>
      <c r="P108" s="86" t="n">
        <v>13.12</v>
      </c>
      <c r="Q108" s="86" t="n">
        <v>13</v>
      </c>
      <c r="R108" s="87" t="n">
        <f aca="false">P108*Q108</f>
        <v>170.56</v>
      </c>
      <c r="S108" s="93"/>
      <c r="T108" s="94"/>
      <c r="U108" s="95"/>
    </row>
    <row r="109" customFormat="false" ht="18.75" hidden="false" customHeight="true" outlineLevel="0" collapsed="false">
      <c r="A109" s="91"/>
      <c r="B109" s="92" t="s">
        <v>352</v>
      </c>
      <c r="C109" s="84" t="s">
        <v>82</v>
      </c>
      <c r="D109" s="85" t="s">
        <v>56</v>
      </c>
      <c r="E109" s="86" t="n">
        <v>13.36</v>
      </c>
      <c r="F109" s="86" t="n">
        <v>13</v>
      </c>
      <c r="G109" s="87" t="n">
        <f aca="false">E109*F109</f>
        <v>173.68</v>
      </c>
      <c r="H109" s="93"/>
      <c r="I109" s="94"/>
      <c r="J109" s="95"/>
      <c r="K109" s="3"/>
      <c r="L109" s="91"/>
      <c r="M109" s="92" t="s">
        <v>352</v>
      </c>
      <c r="N109" s="84" t="s">
        <v>82</v>
      </c>
      <c r="O109" s="85" t="s">
        <v>56</v>
      </c>
      <c r="P109" s="86" t="n">
        <v>13.36</v>
      </c>
      <c r="Q109" s="86" t="n">
        <v>13</v>
      </c>
      <c r="R109" s="87" t="n">
        <f aca="false">P109*Q109</f>
        <v>173.68</v>
      </c>
      <c r="S109" s="93"/>
      <c r="T109" s="94"/>
      <c r="U109" s="95"/>
    </row>
    <row r="110" customFormat="false" ht="18.75" hidden="false" customHeight="true" outlineLevel="0" collapsed="false">
      <c r="A110" s="91"/>
      <c r="B110" s="92" t="s">
        <v>352</v>
      </c>
      <c r="C110" s="84" t="s">
        <v>105</v>
      </c>
      <c r="D110" s="85" t="s">
        <v>56</v>
      </c>
      <c r="E110" s="86" t="n">
        <v>9.73</v>
      </c>
      <c r="F110" s="86" t="n">
        <v>13</v>
      </c>
      <c r="G110" s="87" t="n">
        <f aca="false">E110*F110</f>
        <v>126.49</v>
      </c>
      <c r="H110" s="93"/>
      <c r="I110" s="94"/>
      <c r="J110" s="95"/>
      <c r="K110" s="3"/>
      <c r="L110" s="91"/>
      <c r="M110" s="92" t="s">
        <v>352</v>
      </c>
      <c r="N110" s="84" t="s">
        <v>105</v>
      </c>
      <c r="O110" s="85" t="s">
        <v>56</v>
      </c>
      <c r="P110" s="86" t="n">
        <v>9.73</v>
      </c>
      <c r="Q110" s="86" t="n">
        <v>13</v>
      </c>
      <c r="R110" s="87" t="n">
        <f aca="false">P110*Q110</f>
        <v>126.49</v>
      </c>
      <c r="S110" s="93"/>
      <c r="T110" s="94"/>
      <c r="U110" s="95"/>
    </row>
    <row r="111" customFormat="false" ht="18.75" hidden="false" customHeight="true" outlineLevel="0" collapsed="false">
      <c r="A111" s="91"/>
      <c r="B111" s="92" t="s">
        <v>352</v>
      </c>
      <c r="C111" s="84" t="s">
        <v>369</v>
      </c>
      <c r="D111" s="85" t="s">
        <v>56</v>
      </c>
      <c r="E111" s="86" t="n">
        <v>22.84</v>
      </c>
      <c r="F111" s="86" t="n">
        <v>13</v>
      </c>
      <c r="G111" s="87" t="n">
        <f aca="false">E111*F111</f>
        <v>296.92</v>
      </c>
      <c r="H111" s="93"/>
      <c r="I111" s="94"/>
      <c r="J111" s="95"/>
      <c r="K111" s="3"/>
      <c r="L111" s="91"/>
      <c r="M111" s="92" t="s">
        <v>352</v>
      </c>
      <c r="N111" s="84" t="s">
        <v>369</v>
      </c>
      <c r="O111" s="85" t="s">
        <v>56</v>
      </c>
      <c r="P111" s="86" t="n">
        <v>22.84</v>
      </c>
      <c r="Q111" s="86" t="n">
        <v>13</v>
      </c>
      <c r="R111" s="87" t="n">
        <f aca="false">P111*Q111</f>
        <v>296.92</v>
      </c>
      <c r="S111" s="93"/>
      <c r="T111" s="94"/>
      <c r="U111" s="95"/>
    </row>
    <row r="112" customFormat="false" ht="18.75" hidden="false" customHeight="true" outlineLevel="0" collapsed="false">
      <c r="A112" s="91"/>
      <c r="B112" s="92" t="s">
        <v>352</v>
      </c>
      <c r="C112" s="84" t="s">
        <v>196</v>
      </c>
      <c r="D112" s="85" t="s">
        <v>56</v>
      </c>
      <c r="E112" s="86" t="n">
        <v>12.34</v>
      </c>
      <c r="F112" s="86" t="n">
        <v>13</v>
      </c>
      <c r="G112" s="87" t="n">
        <f aca="false">E112*F112</f>
        <v>160.42</v>
      </c>
      <c r="H112" s="93"/>
      <c r="I112" s="94"/>
      <c r="J112" s="95"/>
      <c r="K112" s="3"/>
      <c r="L112" s="91"/>
      <c r="M112" s="92" t="s">
        <v>352</v>
      </c>
      <c r="N112" s="84" t="s">
        <v>196</v>
      </c>
      <c r="O112" s="85" t="s">
        <v>56</v>
      </c>
      <c r="P112" s="86" t="n">
        <v>12.34</v>
      </c>
      <c r="Q112" s="86" t="n">
        <v>13</v>
      </c>
      <c r="R112" s="87" t="n">
        <f aca="false">P112*Q112</f>
        <v>160.42</v>
      </c>
      <c r="S112" s="93"/>
      <c r="T112" s="94"/>
      <c r="U112" s="95"/>
    </row>
    <row r="113" customFormat="false" ht="18.75" hidden="false" customHeight="true" outlineLevel="0" collapsed="false">
      <c r="A113" s="91"/>
      <c r="B113" s="92" t="s">
        <v>352</v>
      </c>
      <c r="C113" s="84" t="s">
        <v>98</v>
      </c>
      <c r="D113" s="85" t="s">
        <v>56</v>
      </c>
      <c r="E113" s="86" t="n">
        <v>12.84</v>
      </c>
      <c r="F113" s="86" t="n">
        <v>13</v>
      </c>
      <c r="G113" s="87" t="n">
        <f aca="false">E113*F113</f>
        <v>166.92</v>
      </c>
      <c r="H113" s="93"/>
      <c r="I113" s="94"/>
      <c r="J113" s="95"/>
      <c r="K113" s="3"/>
      <c r="L113" s="91"/>
      <c r="M113" s="92" t="s">
        <v>352</v>
      </c>
      <c r="N113" s="84" t="s">
        <v>98</v>
      </c>
      <c r="O113" s="85" t="s">
        <v>56</v>
      </c>
      <c r="P113" s="86" t="n">
        <v>12.84</v>
      </c>
      <c r="Q113" s="86" t="n">
        <v>13</v>
      </c>
      <c r="R113" s="87" t="n">
        <f aca="false">P113*Q113</f>
        <v>166.92</v>
      </c>
      <c r="S113" s="93"/>
      <c r="T113" s="94"/>
      <c r="U113" s="95"/>
    </row>
    <row r="114" customFormat="false" ht="18.75" hidden="false" customHeight="true" outlineLevel="0" collapsed="false">
      <c r="A114" s="91"/>
      <c r="B114" s="92" t="s">
        <v>352</v>
      </c>
      <c r="C114" s="84" t="s">
        <v>383</v>
      </c>
      <c r="D114" s="85" t="s">
        <v>56</v>
      </c>
      <c r="E114" s="86" t="n">
        <v>12.33</v>
      </c>
      <c r="F114" s="86" t="n">
        <v>13</v>
      </c>
      <c r="G114" s="87" t="n">
        <f aca="false">E114*F114</f>
        <v>160.29</v>
      </c>
      <c r="H114" s="93"/>
      <c r="I114" s="94"/>
      <c r="J114" s="95"/>
      <c r="K114" s="3"/>
      <c r="L114" s="91"/>
      <c r="M114" s="92" t="s">
        <v>352</v>
      </c>
      <c r="N114" s="84" t="s">
        <v>383</v>
      </c>
      <c r="O114" s="85" t="s">
        <v>56</v>
      </c>
      <c r="P114" s="86" t="n">
        <v>12.33</v>
      </c>
      <c r="Q114" s="86" t="n">
        <v>13</v>
      </c>
      <c r="R114" s="87" t="n">
        <f aca="false">P114*Q114</f>
        <v>160.29</v>
      </c>
      <c r="S114" s="93"/>
      <c r="T114" s="94"/>
      <c r="U114" s="95"/>
    </row>
    <row r="115" customFormat="false" ht="18.75" hidden="false" customHeight="true" outlineLevel="0" collapsed="false">
      <c r="A115" s="82" t="s">
        <v>22</v>
      </c>
      <c r="B115" s="83" t="s">
        <v>353</v>
      </c>
      <c r="C115" s="84" t="s">
        <v>148</v>
      </c>
      <c r="D115" s="96" t="s">
        <v>57</v>
      </c>
      <c r="E115" s="91"/>
      <c r="F115" s="91"/>
      <c r="G115" s="87" t="n">
        <v>435</v>
      </c>
      <c r="H115" s="88" t="n">
        <f aca="false">SUMIF(B:B,B115,G:G)</f>
        <v>1504.9</v>
      </c>
      <c r="I115" s="89" t="n">
        <v>1428</v>
      </c>
      <c r="J115" s="90" t="n">
        <f aca="false">IFERROR((I115-H115)/I115,"")</f>
        <v>-0.0538515406162464</v>
      </c>
      <c r="K115" s="3"/>
      <c r="L115" s="82" t="s">
        <v>22</v>
      </c>
      <c r="M115" s="83" t="s">
        <v>353</v>
      </c>
      <c r="N115" s="84" t="s">
        <v>148</v>
      </c>
      <c r="O115" s="96" t="s">
        <v>57</v>
      </c>
      <c r="P115" s="91"/>
      <c r="Q115" s="91"/>
      <c r="R115" s="87" t="n">
        <v>435</v>
      </c>
      <c r="S115" s="88" t="n">
        <f aca="false">SUMIF(M:M,M115,R:R)</f>
        <v>1504.9</v>
      </c>
      <c r="T115" s="89" t="n">
        <f aca="false">I115</f>
        <v>1428</v>
      </c>
      <c r="U115" s="90" t="n">
        <f aca="false">IFERROR((T115-S115)/T115,"")</f>
        <v>-0.0538515406162464</v>
      </c>
    </row>
    <row r="116" customFormat="false" ht="18.75" hidden="false" customHeight="true" outlineLevel="0" collapsed="false">
      <c r="A116" s="91"/>
      <c r="B116" s="92" t="s">
        <v>353</v>
      </c>
      <c r="C116" s="84" t="s">
        <v>89</v>
      </c>
      <c r="D116" s="85" t="s">
        <v>56</v>
      </c>
      <c r="E116" s="86" t="n">
        <v>12.45</v>
      </c>
      <c r="F116" s="86" t="n">
        <v>13</v>
      </c>
      <c r="G116" s="87" t="n">
        <f aca="false">E116*F116</f>
        <v>161.85</v>
      </c>
      <c r="H116" s="93"/>
      <c r="I116" s="94"/>
      <c r="J116" s="95"/>
      <c r="K116" s="3"/>
      <c r="L116" s="91"/>
      <c r="M116" s="92" t="s">
        <v>353</v>
      </c>
      <c r="N116" s="84" t="s">
        <v>89</v>
      </c>
      <c r="O116" s="85" t="s">
        <v>56</v>
      </c>
      <c r="P116" s="86" t="n">
        <v>12.45</v>
      </c>
      <c r="Q116" s="86" t="n">
        <v>13</v>
      </c>
      <c r="R116" s="87" t="n">
        <f aca="false">P116*Q116</f>
        <v>161.85</v>
      </c>
      <c r="S116" s="93"/>
      <c r="T116" s="94"/>
      <c r="U116" s="95"/>
    </row>
    <row r="117" customFormat="false" ht="18.75" hidden="false" customHeight="true" outlineLevel="0" collapsed="false">
      <c r="A117" s="91"/>
      <c r="B117" s="92" t="s">
        <v>353</v>
      </c>
      <c r="C117" s="84" t="s">
        <v>106</v>
      </c>
      <c r="D117" s="85" t="s">
        <v>56</v>
      </c>
      <c r="E117" s="86" t="n">
        <v>12.29</v>
      </c>
      <c r="F117" s="86" t="n">
        <v>13</v>
      </c>
      <c r="G117" s="87" t="n">
        <f aca="false">E117*F117</f>
        <v>159.77</v>
      </c>
      <c r="H117" s="93"/>
      <c r="I117" s="94"/>
      <c r="J117" s="95"/>
      <c r="K117" s="3"/>
      <c r="L117" s="91"/>
      <c r="M117" s="92" t="s">
        <v>353</v>
      </c>
      <c r="N117" s="84" t="s">
        <v>106</v>
      </c>
      <c r="O117" s="85" t="s">
        <v>56</v>
      </c>
      <c r="P117" s="86" t="n">
        <v>12.29</v>
      </c>
      <c r="Q117" s="86" t="n">
        <v>13</v>
      </c>
      <c r="R117" s="87" t="n">
        <f aca="false">P117*Q117</f>
        <v>159.77</v>
      </c>
      <c r="S117" s="93"/>
      <c r="T117" s="94"/>
      <c r="U117" s="95"/>
    </row>
    <row r="118" customFormat="false" ht="18.75" hidden="false" customHeight="true" outlineLevel="0" collapsed="false">
      <c r="A118" s="91"/>
      <c r="B118" s="92" t="s">
        <v>353</v>
      </c>
      <c r="C118" s="84" t="s">
        <v>80</v>
      </c>
      <c r="D118" s="85" t="s">
        <v>56</v>
      </c>
      <c r="E118" s="86" t="n">
        <v>4.75</v>
      </c>
      <c r="F118" s="86" t="n">
        <v>13</v>
      </c>
      <c r="G118" s="87" t="n">
        <f aca="false">E118*F118</f>
        <v>61.75</v>
      </c>
      <c r="H118" s="93"/>
      <c r="I118" s="94"/>
      <c r="J118" s="95"/>
      <c r="K118" s="3"/>
      <c r="L118" s="91"/>
      <c r="M118" s="92" t="s">
        <v>353</v>
      </c>
      <c r="N118" s="84" t="s">
        <v>80</v>
      </c>
      <c r="O118" s="85" t="s">
        <v>56</v>
      </c>
      <c r="P118" s="86" t="n">
        <v>4.75</v>
      </c>
      <c r="Q118" s="86" t="n">
        <v>13</v>
      </c>
      <c r="R118" s="87" t="n">
        <f aca="false">P118*Q118</f>
        <v>61.75</v>
      </c>
      <c r="S118" s="93"/>
      <c r="T118" s="94"/>
      <c r="U118" s="95"/>
    </row>
    <row r="119" customFormat="false" ht="18.75" hidden="false" customHeight="true" outlineLevel="0" collapsed="false">
      <c r="A119" s="91"/>
      <c r="B119" s="92" t="s">
        <v>353</v>
      </c>
      <c r="C119" s="84" t="s">
        <v>384</v>
      </c>
      <c r="D119" s="85" t="s">
        <v>56</v>
      </c>
      <c r="E119" s="86" t="n">
        <v>13.28</v>
      </c>
      <c r="F119" s="86" t="n">
        <v>13</v>
      </c>
      <c r="G119" s="87" t="n">
        <f aca="false">E119*F119</f>
        <v>172.64</v>
      </c>
      <c r="H119" s="93"/>
      <c r="I119" s="94"/>
      <c r="J119" s="95"/>
      <c r="K119" s="3"/>
      <c r="L119" s="91"/>
      <c r="M119" s="92" t="s">
        <v>353</v>
      </c>
      <c r="N119" s="84" t="s">
        <v>384</v>
      </c>
      <c r="O119" s="85" t="s">
        <v>56</v>
      </c>
      <c r="P119" s="86" t="n">
        <v>13.28</v>
      </c>
      <c r="Q119" s="86" t="n">
        <v>13</v>
      </c>
      <c r="R119" s="87" t="n">
        <f aca="false">P119*Q119</f>
        <v>172.64</v>
      </c>
      <c r="S119" s="93"/>
      <c r="T119" s="94"/>
      <c r="U119" s="95"/>
    </row>
    <row r="120" customFormat="false" ht="18.75" hidden="false" customHeight="true" outlineLevel="0" collapsed="false">
      <c r="A120" s="91"/>
      <c r="B120" s="92" t="s">
        <v>353</v>
      </c>
      <c r="C120" s="84" t="s">
        <v>129</v>
      </c>
      <c r="D120" s="85" t="s">
        <v>56</v>
      </c>
      <c r="E120" s="86" t="n">
        <v>12.29</v>
      </c>
      <c r="F120" s="86" t="n">
        <v>13</v>
      </c>
      <c r="G120" s="87" t="n">
        <f aca="false">E120*F120</f>
        <v>159.77</v>
      </c>
      <c r="H120" s="93"/>
      <c r="I120" s="94"/>
      <c r="J120" s="95"/>
      <c r="K120" s="3"/>
      <c r="L120" s="91"/>
      <c r="M120" s="92" t="s">
        <v>353</v>
      </c>
      <c r="N120" s="84" t="s">
        <v>129</v>
      </c>
      <c r="O120" s="85" t="s">
        <v>56</v>
      </c>
      <c r="P120" s="86" t="n">
        <v>12.29</v>
      </c>
      <c r="Q120" s="86" t="n">
        <v>13</v>
      </c>
      <c r="R120" s="87" t="n">
        <f aca="false">P120*Q120</f>
        <v>159.77</v>
      </c>
      <c r="S120" s="93"/>
      <c r="T120" s="94"/>
      <c r="U120" s="95"/>
    </row>
    <row r="121" customFormat="false" ht="18.75" hidden="false" customHeight="true" outlineLevel="0" collapsed="false">
      <c r="A121" s="91"/>
      <c r="B121" s="92" t="s">
        <v>353</v>
      </c>
      <c r="C121" s="84" t="s">
        <v>78</v>
      </c>
      <c r="D121" s="85" t="s">
        <v>56</v>
      </c>
      <c r="E121" s="86" t="n">
        <v>11.75</v>
      </c>
      <c r="F121" s="86" t="n">
        <v>13</v>
      </c>
      <c r="G121" s="87" t="n">
        <f aca="false">E121*F121</f>
        <v>152.75</v>
      </c>
      <c r="H121" s="93"/>
      <c r="I121" s="94"/>
      <c r="J121" s="95"/>
      <c r="K121" s="3"/>
      <c r="L121" s="91"/>
      <c r="M121" s="92" t="s">
        <v>353</v>
      </c>
      <c r="N121" s="84" t="s">
        <v>78</v>
      </c>
      <c r="O121" s="85" t="s">
        <v>56</v>
      </c>
      <c r="P121" s="86" t="n">
        <v>11.75</v>
      </c>
      <c r="Q121" s="86" t="n">
        <v>13</v>
      </c>
      <c r="R121" s="87" t="n">
        <f aca="false">P121*Q121</f>
        <v>152.75</v>
      </c>
      <c r="S121" s="93"/>
      <c r="T121" s="94"/>
      <c r="U121" s="95"/>
    </row>
    <row r="122" customFormat="false" ht="18.75" hidden="false" customHeight="true" outlineLevel="0" collapsed="false">
      <c r="A122" s="91"/>
      <c r="B122" s="92" t="s">
        <v>353</v>
      </c>
      <c r="C122" s="84" t="s">
        <v>102</v>
      </c>
      <c r="D122" s="85" t="s">
        <v>56</v>
      </c>
      <c r="E122" s="86" t="n">
        <v>8.05</v>
      </c>
      <c r="F122" s="86" t="n">
        <v>13</v>
      </c>
      <c r="G122" s="87" t="n">
        <f aca="false">E122*F122</f>
        <v>104.65</v>
      </c>
      <c r="H122" s="93"/>
      <c r="I122" s="94"/>
      <c r="J122" s="95"/>
      <c r="K122" s="3"/>
      <c r="L122" s="91"/>
      <c r="M122" s="92" t="s">
        <v>353</v>
      </c>
      <c r="N122" s="84" t="s">
        <v>102</v>
      </c>
      <c r="O122" s="85" t="s">
        <v>56</v>
      </c>
      <c r="P122" s="86" t="n">
        <v>8.05</v>
      </c>
      <c r="Q122" s="86" t="n">
        <v>13</v>
      </c>
      <c r="R122" s="87" t="n">
        <f aca="false">P122*Q122</f>
        <v>104.65</v>
      </c>
      <c r="S122" s="93"/>
      <c r="T122" s="94"/>
      <c r="U122" s="95"/>
    </row>
    <row r="123" customFormat="false" ht="18.75" hidden="false" customHeight="true" outlineLevel="0" collapsed="false">
      <c r="A123" s="91"/>
      <c r="B123" s="92" t="s">
        <v>353</v>
      </c>
      <c r="C123" s="84" t="s">
        <v>385</v>
      </c>
      <c r="D123" s="85" t="s">
        <v>56</v>
      </c>
      <c r="E123" s="86" t="n">
        <v>7.44</v>
      </c>
      <c r="F123" s="86" t="n">
        <v>13</v>
      </c>
      <c r="G123" s="87" t="n">
        <f aca="false">E123*F123</f>
        <v>96.72</v>
      </c>
      <c r="H123" s="93"/>
      <c r="I123" s="94"/>
      <c r="J123" s="95"/>
      <c r="K123" s="3"/>
      <c r="L123" s="91"/>
      <c r="M123" s="92" t="s">
        <v>353</v>
      </c>
      <c r="N123" s="84" t="s">
        <v>385</v>
      </c>
      <c r="O123" s="85" t="s">
        <v>56</v>
      </c>
      <c r="P123" s="86" t="n">
        <v>7.44</v>
      </c>
      <c r="Q123" s="86" t="n">
        <v>13</v>
      </c>
      <c r="R123" s="87" t="n">
        <f aca="false">P123*Q123</f>
        <v>96.72</v>
      </c>
      <c r="S123" s="93"/>
      <c r="T123" s="94"/>
      <c r="U123" s="95"/>
    </row>
    <row r="124" customFormat="false" ht="18.75" hidden="false" customHeight="true" outlineLevel="0" collapsed="false">
      <c r="A124" s="82" t="s">
        <v>24</v>
      </c>
      <c r="B124" s="83" t="s">
        <v>354</v>
      </c>
      <c r="C124" s="97" t="s">
        <v>113</v>
      </c>
      <c r="D124" s="98" t="s">
        <v>55</v>
      </c>
      <c r="E124" s="99" t="n">
        <v>7</v>
      </c>
      <c r="F124" s="99" t="n">
        <v>16</v>
      </c>
      <c r="G124" s="100" t="n">
        <f aca="false">E124*F124</f>
        <v>112</v>
      </c>
      <c r="H124" s="88" t="n">
        <f aca="false">SUMIF(B:B,B124,G:G)</f>
        <v>1490.33</v>
      </c>
      <c r="I124" s="89" t="n">
        <v>1428</v>
      </c>
      <c r="J124" s="90" t="n">
        <f aca="false">IFERROR((I124-H124)/I124,"")</f>
        <v>-0.0436484593837535</v>
      </c>
      <c r="K124" s="3"/>
      <c r="L124" s="82" t="s">
        <v>24</v>
      </c>
      <c r="M124" s="83" t="s">
        <v>354</v>
      </c>
      <c r="N124" s="97" t="s">
        <v>113</v>
      </c>
      <c r="O124" s="98" t="s">
        <v>55</v>
      </c>
      <c r="P124" s="101"/>
      <c r="Q124" s="101"/>
      <c r="R124" s="102" t="n">
        <v>0</v>
      </c>
      <c r="S124" s="88" t="n">
        <f aca="false">SUMIF(M:M,M124,R:R)</f>
        <v>1378.33</v>
      </c>
      <c r="T124" s="89" t="n">
        <f aca="false">I124</f>
        <v>1428</v>
      </c>
      <c r="U124" s="90" t="n">
        <f aca="false">IFERROR((T124-S124)/T124,"")</f>
        <v>0.0347829131652662</v>
      </c>
    </row>
    <row r="125" customFormat="false" ht="18.75" hidden="false" customHeight="true" outlineLevel="0" collapsed="false">
      <c r="A125" s="91"/>
      <c r="B125" s="92" t="s">
        <v>354</v>
      </c>
      <c r="C125" s="84" t="s">
        <v>148</v>
      </c>
      <c r="D125" s="85" t="s">
        <v>56</v>
      </c>
      <c r="E125" s="86" t="n">
        <v>17</v>
      </c>
      <c r="F125" s="86" t="n">
        <v>15</v>
      </c>
      <c r="G125" s="87" t="n">
        <f aca="false">E125*F125</f>
        <v>255</v>
      </c>
      <c r="H125" s="93"/>
      <c r="I125" s="94"/>
      <c r="J125" s="95"/>
      <c r="K125" s="3"/>
      <c r="L125" s="91"/>
      <c r="M125" s="92" t="s">
        <v>354</v>
      </c>
      <c r="N125" s="84" t="s">
        <v>148</v>
      </c>
      <c r="O125" s="85" t="s">
        <v>56</v>
      </c>
      <c r="P125" s="86" t="n">
        <v>17</v>
      </c>
      <c r="Q125" s="86" t="n">
        <v>15</v>
      </c>
      <c r="R125" s="87" t="n">
        <f aca="false">P125*Q125</f>
        <v>255</v>
      </c>
      <c r="S125" s="93"/>
      <c r="T125" s="94"/>
      <c r="U125" s="95"/>
    </row>
    <row r="126" customFormat="false" ht="18.75" hidden="false" customHeight="true" outlineLevel="0" collapsed="false">
      <c r="A126" s="91"/>
      <c r="B126" s="92" t="s">
        <v>354</v>
      </c>
      <c r="C126" s="84" t="s">
        <v>80</v>
      </c>
      <c r="D126" s="85" t="s">
        <v>56</v>
      </c>
      <c r="E126" s="86" t="n">
        <v>12.85</v>
      </c>
      <c r="F126" s="86" t="n">
        <v>13</v>
      </c>
      <c r="G126" s="87" t="n">
        <f aca="false">E126*F126</f>
        <v>167.05</v>
      </c>
      <c r="H126" s="93"/>
      <c r="I126" s="94"/>
      <c r="J126" s="95"/>
      <c r="K126" s="3"/>
      <c r="L126" s="91"/>
      <c r="M126" s="92" t="s">
        <v>354</v>
      </c>
      <c r="N126" s="84" t="s">
        <v>80</v>
      </c>
      <c r="O126" s="85" t="s">
        <v>56</v>
      </c>
      <c r="P126" s="86" t="n">
        <v>12.85</v>
      </c>
      <c r="Q126" s="86" t="n">
        <v>13</v>
      </c>
      <c r="R126" s="87" t="n">
        <f aca="false">P126*Q126</f>
        <v>167.05</v>
      </c>
      <c r="S126" s="93"/>
      <c r="T126" s="94"/>
      <c r="U126" s="95"/>
    </row>
    <row r="127" customFormat="false" ht="18.75" hidden="false" customHeight="true" outlineLevel="0" collapsed="false">
      <c r="A127" s="91"/>
      <c r="B127" s="92" t="s">
        <v>354</v>
      </c>
      <c r="C127" s="84" t="s">
        <v>79</v>
      </c>
      <c r="D127" s="85" t="s">
        <v>56</v>
      </c>
      <c r="E127" s="86" t="n">
        <v>12.75</v>
      </c>
      <c r="F127" s="86" t="n">
        <v>13</v>
      </c>
      <c r="G127" s="87" t="n">
        <f aca="false">E127*F127</f>
        <v>165.75</v>
      </c>
      <c r="H127" s="93"/>
      <c r="I127" s="94"/>
      <c r="J127" s="95"/>
      <c r="K127" s="3"/>
      <c r="L127" s="91"/>
      <c r="M127" s="92" t="s">
        <v>354</v>
      </c>
      <c r="N127" s="84" t="s">
        <v>79</v>
      </c>
      <c r="O127" s="85" t="s">
        <v>56</v>
      </c>
      <c r="P127" s="86" t="n">
        <v>12.75</v>
      </c>
      <c r="Q127" s="86" t="n">
        <v>13</v>
      </c>
      <c r="R127" s="87" t="n">
        <f aca="false">P127*Q127</f>
        <v>165.75</v>
      </c>
      <c r="S127" s="93"/>
      <c r="T127" s="94"/>
      <c r="U127" s="95"/>
    </row>
    <row r="128" customFormat="false" ht="18.75" hidden="false" customHeight="true" outlineLevel="0" collapsed="false">
      <c r="A128" s="91"/>
      <c r="B128" s="92" t="s">
        <v>354</v>
      </c>
      <c r="C128" s="84" t="s">
        <v>129</v>
      </c>
      <c r="D128" s="85" t="s">
        <v>56</v>
      </c>
      <c r="E128" s="86" t="n">
        <v>11.56</v>
      </c>
      <c r="F128" s="86" t="n">
        <v>13</v>
      </c>
      <c r="G128" s="87" t="n">
        <f aca="false">E128*F128</f>
        <v>150.28</v>
      </c>
      <c r="H128" s="93"/>
      <c r="I128" s="94"/>
      <c r="J128" s="95"/>
      <c r="K128" s="3"/>
      <c r="L128" s="91"/>
      <c r="M128" s="92" t="s">
        <v>354</v>
      </c>
      <c r="N128" s="84" t="s">
        <v>129</v>
      </c>
      <c r="O128" s="85" t="s">
        <v>56</v>
      </c>
      <c r="P128" s="86" t="n">
        <v>11.56</v>
      </c>
      <c r="Q128" s="86" t="n">
        <v>13</v>
      </c>
      <c r="R128" s="87" t="n">
        <f aca="false">P128*Q128</f>
        <v>150.28</v>
      </c>
      <c r="S128" s="93"/>
      <c r="T128" s="94"/>
      <c r="U128" s="95"/>
    </row>
    <row r="129" customFormat="false" ht="18.75" hidden="false" customHeight="true" outlineLevel="0" collapsed="false">
      <c r="A129" s="91"/>
      <c r="B129" s="92" t="s">
        <v>354</v>
      </c>
      <c r="C129" s="84" t="s">
        <v>78</v>
      </c>
      <c r="D129" s="85" t="s">
        <v>56</v>
      </c>
      <c r="E129" s="86" t="n">
        <v>12.05</v>
      </c>
      <c r="F129" s="86" t="n">
        <v>13</v>
      </c>
      <c r="G129" s="87" t="n">
        <f aca="false">E129*F129</f>
        <v>156.65</v>
      </c>
      <c r="H129" s="93"/>
      <c r="I129" s="94"/>
      <c r="J129" s="95"/>
      <c r="K129" s="3"/>
      <c r="L129" s="91"/>
      <c r="M129" s="92" t="s">
        <v>354</v>
      </c>
      <c r="N129" s="84" t="s">
        <v>78</v>
      </c>
      <c r="O129" s="85" t="s">
        <v>56</v>
      </c>
      <c r="P129" s="86" t="n">
        <v>12.05</v>
      </c>
      <c r="Q129" s="86" t="n">
        <v>13</v>
      </c>
      <c r="R129" s="87" t="n">
        <f aca="false">P129*Q129</f>
        <v>156.65</v>
      </c>
      <c r="S129" s="93"/>
      <c r="T129" s="94"/>
      <c r="U129" s="95"/>
    </row>
    <row r="130" customFormat="false" ht="18.75" hidden="false" customHeight="true" outlineLevel="0" collapsed="false">
      <c r="A130" s="91"/>
      <c r="B130" s="92" t="s">
        <v>354</v>
      </c>
      <c r="C130" s="84" t="s">
        <v>102</v>
      </c>
      <c r="D130" s="85" t="s">
        <v>56</v>
      </c>
      <c r="E130" s="86" t="n">
        <v>10.7</v>
      </c>
      <c r="F130" s="86" t="n">
        <v>13</v>
      </c>
      <c r="G130" s="87" t="n">
        <f aca="false">E130*F130</f>
        <v>139.1</v>
      </c>
      <c r="H130" s="93"/>
      <c r="I130" s="94"/>
      <c r="J130" s="95"/>
      <c r="K130" s="3"/>
      <c r="L130" s="91"/>
      <c r="M130" s="92" t="s">
        <v>354</v>
      </c>
      <c r="N130" s="84" t="s">
        <v>102</v>
      </c>
      <c r="O130" s="85" t="s">
        <v>56</v>
      </c>
      <c r="P130" s="86" t="n">
        <v>10.7</v>
      </c>
      <c r="Q130" s="86" t="n">
        <v>13</v>
      </c>
      <c r="R130" s="87" t="n">
        <f aca="false">P130*Q130</f>
        <v>139.1</v>
      </c>
      <c r="S130" s="93"/>
      <c r="T130" s="94"/>
      <c r="U130" s="95"/>
    </row>
    <row r="131" customFormat="false" ht="18.75" hidden="false" customHeight="true" outlineLevel="0" collapsed="false">
      <c r="A131" s="91"/>
      <c r="B131" s="92" t="s">
        <v>354</v>
      </c>
      <c r="C131" s="84" t="s">
        <v>100</v>
      </c>
      <c r="D131" s="85" t="s">
        <v>56</v>
      </c>
      <c r="E131" s="86" t="n">
        <v>13</v>
      </c>
      <c r="F131" s="86" t="n">
        <v>13</v>
      </c>
      <c r="G131" s="87" t="n">
        <f aca="false">E131*F131</f>
        <v>169</v>
      </c>
      <c r="H131" s="93"/>
      <c r="I131" s="94"/>
      <c r="J131" s="95"/>
      <c r="K131" s="3"/>
      <c r="L131" s="91"/>
      <c r="M131" s="92" t="s">
        <v>354</v>
      </c>
      <c r="N131" s="84" t="s">
        <v>100</v>
      </c>
      <c r="O131" s="85" t="s">
        <v>56</v>
      </c>
      <c r="P131" s="86" t="n">
        <v>13</v>
      </c>
      <c r="Q131" s="86" t="n">
        <v>13</v>
      </c>
      <c r="R131" s="87" t="n">
        <f aca="false">P131*Q131</f>
        <v>169</v>
      </c>
      <c r="S131" s="93"/>
      <c r="T131" s="94"/>
      <c r="U131" s="95"/>
    </row>
    <row r="132" customFormat="false" ht="18.75" hidden="false" customHeight="true" outlineLevel="0" collapsed="false">
      <c r="A132" s="91"/>
      <c r="B132" s="92" t="s">
        <v>354</v>
      </c>
      <c r="C132" s="84" t="s">
        <v>81</v>
      </c>
      <c r="D132" s="85" t="s">
        <v>56</v>
      </c>
      <c r="E132" s="86" t="n">
        <v>13.5</v>
      </c>
      <c r="F132" s="86" t="n">
        <v>13</v>
      </c>
      <c r="G132" s="87" t="n">
        <f aca="false">E132*F132</f>
        <v>175.5</v>
      </c>
      <c r="H132" s="93"/>
      <c r="I132" s="94"/>
      <c r="J132" s="95"/>
      <c r="K132" s="3"/>
      <c r="L132" s="91"/>
      <c r="M132" s="92" t="s">
        <v>354</v>
      </c>
      <c r="N132" s="84" t="s">
        <v>81</v>
      </c>
      <c r="O132" s="85" t="s">
        <v>56</v>
      </c>
      <c r="P132" s="86" t="n">
        <v>13.5</v>
      </c>
      <c r="Q132" s="86" t="n">
        <v>13</v>
      </c>
      <c r="R132" s="87" t="n">
        <f aca="false">P132*Q132</f>
        <v>175.5</v>
      </c>
      <c r="S132" s="93"/>
      <c r="T132" s="94"/>
      <c r="U132" s="95"/>
    </row>
    <row r="133" customFormat="false" ht="18.75" hidden="false" customHeight="true" outlineLevel="0" collapsed="false">
      <c r="A133" s="109"/>
      <c r="B133" s="109"/>
      <c r="C133" s="109"/>
      <c r="D133" s="109"/>
      <c r="E133" s="109"/>
      <c r="F133" s="109"/>
      <c r="G133" s="110" t="str">
        <f aca="false">IF(AND(E133&lt;&gt;"",F133&lt;&gt;""),E133*F133,"")</f>
        <v/>
      </c>
      <c r="H133" s="110" t="str">
        <f aca="false">IF(B133&lt;&gt;"",SUMIF(B:B,B133,G:G),"")</f>
        <v/>
      </c>
      <c r="I133" s="109"/>
      <c r="J133" s="111" t="str">
        <f aca="false">IF(AND(I133&lt;&gt;"",H133&lt;&gt;""),IFERROR((I133-H133)/I133,""),"")</f>
        <v/>
      </c>
      <c r="K133" s="3"/>
      <c r="L133" s="109"/>
      <c r="M133" s="109"/>
      <c r="N133" s="109"/>
      <c r="O133" s="109"/>
      <c r="P133" s="109"/>
      <c r="Q133" s="109"/>
      <c r="R133" s="110" t="str">
        <f aca="false">IF(AND(P133&lt;&gt;"",Q133&lt;&gt;""),P133*Q133,"")</f>
        <v/>
      </c>
      <c r="S133" s="110" t="str">
        <f aca="false">IF(M133&lt;&gt;"",SUMIF(M:M,M133,R:R),"")</f>
        <v/>
      </c>
      <c r="T133" s="110" t="str">
        <f aca="false">IF(I133&lt;&gt;"",I133,"")</f>
        <v/>
      </c>
      <c r="U133" s="111" t="str">
        <f aca="false">IF(AND(T133&lt;&gt;"",S133&lt;&gt;""),IFERROR((T133-S133)/T133,""),"")</f>
        <v/>
      </c>
    </row>
    <row r="134" customFormat="false" ht="18.75" hidden="false" customHeight="true" outlineLevel="0" collapsed="false">
      <c r="A134" s="112"/>
      <c r="B134" s="112"/>
      <c r="C134" s="112"/>
      <c r="D134" s="112"/>
      <c r="E134" s="112"/>
      <c r="F134" s="112"/>
      <c r="G134" s="113" t="str">
        <f aca="false">IF(AND(E134&lt;&gt;"",F134&lt;&gt;""),E134*F134,"")</f>
        <v/>
      </c>
      <c r="H134" s="113" t="str">
        <f aca="false">IF(B134&lt;&gt;"",SUMIF(B:B,B134,G:G),"")</f>
        <v/>
      </c>
      <c r="I134" s="112"/>
      <c r="J134" s="114" t="str">
        <f aca="false">IF(AND(I134&lt;&gt;"",H134&lt;&gt;""),IFERROR((I134-H134)/I134,""),"")</f>
        <v/>
      </c>
      <c r="K134" s="3"/>
      <c r="L134" s="112"/>
      <c r="M134" s="112"/>
      <c r="N134" s="112"/>
      <c r="O134" s="112"/>
      <c r="P134" s="112"/>
      <c r="Q134" s="112"/>
      <c r="R134" s="113" t="str">
        <f aca="false">IF(AND(P134&lt;&gt;"",Q134&lt;&gt;""),P134*Q134,"")</f>
        <v/>
      </c>
      <c r="S134" s="113" t="str">
        <f aca="false">IF(M134&lt;&gt;"",SUMIF(M:M,M134,R:R),"")</f>
        <v/>
      </c>
      <c r="T134" s="113" t="str">
        <f aca="false">IF(I134&lt;&gt;"",I134,"")</f>
        <v/>
      </c>
      <c r="U134" s="114" t="str">
        <f aca="false">IF(AND(T134&lt;&gt;"",S134&lt;&gt;""),IFERROR((T134-S134)/T134,""),"")</f>
        <v/>
      </c>
    </row>
    <row r="135" customFormat="false" ht="18.75" hidden="false" customHeight="true" outlineLevel="0" collapsed="false">
      <c r="A135" s="109"/>
      <c r="B135" s="109"/>
      <c r="C135" s="109"/>
      <c r="D135" s="109"/>
      <c r="E135" s="109"/>
      <c r="F135" s="109"/>
      <c r="G135" s="110" t="str">
        <f aca="false">IF(AND(E135&lt;&gt;"",F135&lt;&gt;""),E135*F135,"")</f>
        <v/>
      </c>
      <c r="H135" s="110" t="str">
        <f aca="false">IF(B135&lt;&gt;"",SUMIF(B:B,B135,G:G),"")</f>
        <v/>
      </c>
      <c r="I135" s="109"/>
      <c r="J135" s="111" t="str">
        <f aca="false">IF(AND(I135&lt;&gt;"",H135&lt;&gt;""),IFERROR((I135-H135)/I135,""),"")</f>
        <v/>
      </c>
      <c r="K135" s="3"/>
      <c r="L135" s="109"/>
      <c r="M135" s="109"/>
      <c r="N135" s="109"/>
      <c r="O135" s="109"/>
      <c r="P135" s="109"/>
      <c r="Q135" s="109"/>
      <c r="R135" s="110" t="str">
        <f aca="false">IF(AND(P135&lt;&gt;"",Q135&lt;&gt;""),P135*Q135,"")</f>
        <v/>
      </c>
      <c r="S135" s="110" t="str">
        <f aca="false">IF(M135&lt;&gt;"",SUMIF(M:M,M135,R:R),"")</f>
        <v/>
      </c>
      <c r="T135" s="110" t="str">
        <f aca="false">IF(I135&lt;&gt;"",I135,"")</f>
        <v/>
      </c>
      <c r="U135" s="111" t="str">
        <f aca="false">IF(AND(T135&lt;&gt;"",S135&lt;&gt;""),IFERROR((T135-S135)/T135,""),"")</f>
        <v/>
      </c>
    </row>
    <row r="136" customFormat="false" ht="18.75" hidden="false" customHeight="true" outlineLevel="0" collapsed="false">
      <c r="A136" s="112"/>
      <c r="B136" s="112"/>
      <c r="C136" s="112"/>
      <c r="D136" s="112"/>
      <c r="E136" s="112"/>
      <c r="F136" s="112"/>
      <c r="G136" s="113" t="str">
        <f aca="false">IF(AND(E136&lt;&gt;"",F136&lt;&gt;""),E136*F136,"")</f>
        <v/>
      </c>
      <c r="H136" s="113" t="str">
        <f aca="false">IF(B136&lt;&gt;"",SUMIF(B:B,B136,G:G),"")</f>
        <v/>
      </c>
      <c r="I136" s="112"/>
      <c r="J136" s="114" t="str">
        <f aca="false">IF(AND(I136&lt;&gt;"",H136&lt;&gt;""),IFERROR((I136-H136)/I136,""),"")</f>
        <v/>
      </c>
      <c r="K136" s="3"/>
      <c r="L136" s="112"/>
      <c r="M136" s="112"/>
      <c r="N136" s="112"/>
      <c r="O136" s="112"/>
      <c r="P136" s="112"/>
      <c r="Q136" s="112"/>
      <c r="R136" s="113" t="str">
        <f aca="false">IF(AND(P136&lt;&gt;"",Q136&lt;&gt;""),P136*Q136,"")</f>
        <v/>
      </c>
      <c r="S136" s="113" t="str">
        <f aca="false">IF(M136&lt;&gt;"",SUMIF(M:M,M136,R:R),"")</f>
        <v/>
      </c>
      <c r="T136" s="113" t="str">
        <f aca="false">IF(I136&lt;&gt;"",I136,"")</f>
        <v/>
      </c>
      <c r="U136" s="114" t="str">
        <f aca="false">IF(AND(T136&lt;&gt;"",S136&lt;&gt;""),IFERROR((T136-S136)/T136,""),"")</f>
        <v/>
      </c>
    </row>
    <row r="137" customFormat="false" ht="18.75" hidden="false" customHeight="true" outlineLevel="0" collapsed="false">
      <c r="A137" s="109"/>
      <c r="B137" s="109"/>
      <c r="C137" s="109"/>
      <c r="D137" s="109"/>
      <c r="E137" s="109"/>
      <c r="F137" s="109"/>
      <c r="G137" s="110" t="str">
        <f aca="false">IF(AND(E137&lt;&gt;"",F137&lt;&gt;""),E137*F137,"")</f>
        <v/>
      </c>
      <c r="H137" s="110" t="str">
        <f aca="false">IF(B137&lt;&gt;"",SUMIF(B:B,B137,G:G),"")</f>
        <v/>
      </c>
      <c r="I137" s="109"/>
      <c r="J137" s="111" t="str">
        <f aca="false">IF(AND(I137&lt;&gt;"",H137&lt;&gt;""),IFERROR((I137-H137)/I137,""),"")</f>
        <v/>
      </c>
      <c r="K137" s="3"/>
      <c r="L137" s="109"/>
      <c r="M137" s="109"/>
      <c r="N137" s="109"/>
      <c r="O137" s="109"/>
      <c r="P137" s="109"/>
      <c r="Q137" s="109"/>
      <c r="R137" s="110" t="str">
        <f aca="false">IF(AND(P137&lt;&gt;"",Q137&lt;&gt;""),P137*Q137,"")</f>
        <v/>
      </c>
      <c r="S137" s="110" t="str">
        <f aca="false">IF(M137&lt;&gt;"",SUMIF(M:M,M137,R:R),"")</f>
        <v/>
      </c>
      <c r="T137" s="110" t="str">
        <f aca="false">IF(I137&lt;&gt;"",I137,"")</f>
        <v/>
      </c>
      <c r="U137" s="111" t="str">
        <f aca="false">IF(AND(T137&lt;&gt;"",S137&lt;&gt;""),IFERROR((T137-S137)/T137,""),"")</f>
        <v/>
      </c>
    </row>
    <row r="138" customFormat="false" ht="18.75" hidden="false" customHeight="true" outlineLevel="0" collapsed="false">
      <c r="A138" s="112"/>
      <c r="B138" s="112"/>
      <c r="C138" s="112"/>
      <c r="D138" s="112"/>
      <c r="E138" s="112"/>
      <c r="F138" s="112"/>
      <c r="G138" s="113" t="str">
        <f aca="false">IF(AND(E138&lt;&gt;"",F138&lt;&gt;""),E138*F138,"")</f>
        <v/>
      </c>
      <c r="H138" s="113" t="str">
        <f aca="false">IF(B138&lt;&gt;"",SUMIF(B:B,B138,G:G),"")</f>
        <v/>
      </c>
      <c r="I138" s="112"/>
      <c r="J138" s="114" t="str">
        <f aca="false">IF(AND(I138&lt;&gt;"",H138&lt;&gt;""),IFERROR((I138-H138)/I138,""),"")</f>
        <v/>
      </c>
      <c r="K138" s="3"/>
      <c r="L138" s="112"/>
      <c r="M138" s="112"/>
      <c r="N138" s="112"/>
      <c r="O138" s="112"/>
      <c r="P138" s="112"/>
      <c r="Q138" s="112"/>
      <c r="R138" s="113" t="str">
        <f aca="false">IF(AND(P138&lt;&gt;"",Q138&lt;&gt;""),P138*Q138,"")</f>
        <v/>
      </c>
      <c r="S138" s="113" t="str">
        <f aca="false">IF(M138&lt;&gt;"",SUMIF(M:M,M138,R:R),"")</f>
        <v/>
      </c>
      <c r="T138" s="113" t="str">
        <f aca="false">IF(I138&lt;&gt;"",I138,"")</f>
        <v/>
      </c>
      <c r="U138" s="114" t="str">
        <f aca="false">IF(AND(T138&lt;&gt;"",S138&lt;&gt;""),IFERROR((T138-S138)/T138,""),"")</f>
        <v/>
      </c>
    </row>
    <row r="139" customFormat="false" ht="18.75" hidden="false" customHeight="true" outlineLevel="0" collapsed="false">
      <c r="A139" s="109"/>
      <c r="B139" s="109"/>
      <c r="C139" s="109"/>
      <c r="D139" s="109"/>
      <c r="E139" s="109"/>
      <c r="F139" s="109"/>
      <c r="G139" s="110" t="str">
        <f aca="false">IF(AND(E139&lt;&gt;"",F139&lt;&gt;""),E139*F139,"")</f>
        <v/>
      </c>
      <c r="H139" s="110" t="str">
        <f aca="false">IF(B139&lt;&gt;"",SUMIF(B:B,B139,G:G),"")</f>
        <v/>
      </c>
      <c r="I139" s="109"/>
      <c r="J139" s="111" t="str">
        <f aca="false">IF(AND(I139&lt;&gt;"",H139&lt;&gt;""),IFERROR((I139-H139)/I139,""),"")</f>
        <v/>
      </c>
      <c r="K139" s="3"/>
      <c r="L139" s="109"/>
      <c r="M139" s="109"/>
      <c r="N139" s="109"/>
      <c r="O139" s="109"/>
      <c r="P139" s="109"/>
      <c r="Q139" s="109"/>
      <c r="R139" s="110" t="str">
        <f aca="false">IF(AND(P139&lt;&gt;"",Q139&lt;&gt;""),P139*Q139,"")</f>
        <v/>
      </c>
      <c r="S139" s="110" t="str">
        <f aca="false">IF(M139&lt;&gt;"",SUMIF(M:M,M139,R:R),"")</f>
        <v/>
      </c>
      <c r="T139" s="110" t="str">
        <f aca="false">IF(I139&lt;&gt;"",I139,"")</f>
        <v/>
      </c>
      <c r="U139" s="111" t="str">
        <f aca="false">IF(AND(T139&lt;&gt;"",S139&lt;&gt;""),IFERROR((T139-S139)/T139,""),"")</f>
        <v/>
      </c>
    </row>
    <row r="140" customFormat="false" ht="18.75" hidden="false" customHeight="true" outlineLevel="0" collapsed="false">
      <c r="A140" s="112"/>
      <c r="B140" s="112"/>
      <c r="C140" s="112"/>
      <c r="D140" s="112"/>
      <c r="E140" s="112"/>
      <c r="F140" s="112"/>
      <c r="G140" s="113" t="str">
        <f aca="false">IF(AND(E140&lt;&gt;"",F140&lt;&gt;""),E140*F140,"")</f>
        <v/>
      </c>
      <c r="H140" s="113" t="str">
        <f aca="false">IF(B140&lt;&gt;"",SUMIF(B:B,B140,G:G),"")</f>
        <v/>
      </c>
      <c r="I140" s="112"/>
      <c r="J140" s="114" t="str">
        <f aca="false">IF(AND(I140&lt;&gt;"",H140&lt;&gt;""),IFERROR((I140-H140)/I140,""),"")</f>
        <v/>
      </c>
      <c r="K140" s="3"/>
      <c r="L140" s="112"/>
      <c r="M140" s="112"/>
      <c r="N140" s="112"/>
      <c r="O140" s="112"/>
      <c r="P140" s="112"/>
      <c r="Q140" s="112"/>
      <c r="R140" s="113" t="str">
        <f aca="false">IF(AND(P140&lt;&gt;"",Q140&lt;&gt;""),P140*Q140,"")</f>
        <v/>
      </c>
      <c r="S140" s="113" t="str">
        <f aca="false">IF(M140&lt;&gt;"",SUMIF(M:M,M140,R:R),"")</f>
        <v/>
      </c>
      <c r="T140" s="113" t="str">
        <f aca="false">IF(I140&lt;&gt;"",I140,"")</f>
        <v/>
      </c>
      <c r="U140" s="114" t="str">
        <f aca="false">IF(AND(T140&lt;&gt;"",S140&lt;&gt;""),IFERROR((T140-S140)/T140,""),"")</f>
        <v/>
      </c>
    </row>
    <row r="141" customFormat="false" ht="18.75" hidden="false" customHeight="true" outlineLevel="0" collapsed="false">
      <c r="A141" s="109"/>
      <c r="B141" s="109"/>
      <c r="C141" s="109"/>
      <c r="D141" s="109"/>
      <c r="E141" s="109"/>
      <c r="F141" s="109"/>
      <c r="G141" s="110" t="str">
        <f aca="false">IF(AND(E141&lt;&gt;"",F141&lt;&gt;""),E141*F141,"")</f>
        <v/>
      </c>
      <c r="H141" s="110" t="str">
        <f aca="false">IF(B141&lt;&gt;"",SUMIF(B:B,B141,G:G),"")</f>
        <v/>
      </c>
      <c r="I141" s="109"/>
      <c r="J141" s="111" t="str">
        <f aca="false">IF(AND(I141&lt;&gt;"",H141&lt;&gt;""),IFERROR((I141-H141)/I141,""),"")</f>
        <v/>
      </c>
      <c r="K141" s="3"/>
      <c r="L141" s="109"/>
      <c r="M141" s="109"/>
      <c r="N141" s="109"/>
      <c r="O141" s="109"/>
      <c r="P141" s="109"/>
      <c r="Q141" s="109"/>
      <c r="R141" s="110" t="str">
        <f aca="false">IF(AND(P141&lt;&gt;"",Q141&lt;&gt;""),P141*Q141,"")</f>
        <v/>
      </c>
      <c r="S141" s="110" t="str">
        <f aca="false">IF(M141&lt;&gt;"",SUMIF(M:M,M141,R:R),"")</f>
        <v/>
      </c>
      <c r="T141" s="110" t="str">
        <f aca="false">IF(I141&lt;&gt;"",I141,"")</f>
        <v/>
      </c>
      <c r="U141" s="111" t="str">
        <f aca="false">IF(AND(T141&lt;&gt;"",S141&lt;&gt;""),IFERROR((T141-S141)/T141,""),"")</f>
        <v/>
      </c>
    </row>
    <row r="142" customFormat="false" ht="18.75" hidden="false" customHeight="true" outlineLevel="0" collapsed="false">
      <c r="A142" s="112"/>
      <c r="B142" s="112"/>
      <c r="C142" s="112"/>
      <c r="D142" s="112"/>
      <c r="E142" s="112"/>
      <c r="F142" s="112"/>
      <c r="G142" s="113" t="str">
        <f aca="false">IF(AND(E142&lt;&gt;"",F142&lt;&gt;""),E142*F142,"")</f>
        <v/>
      </c>
      <c r="H142" s="113" t="str">
        <f aca="false">IF(B142&lt;&gt;"",SUMIF(B:B,B142,G:G),"")</f>
        <v/>
      </c>
      <c r="I142" s="112"/>
      <c r="J142" s="114" t="str">
        <f aca="false">IF(AND(I142&lt;&gt;"",H142&lt;&gt;""),IFERROR((I142-H142)/I142,""),"")</f>
        <v/>
      </c>
      <c r="K142" s="3"/>
      <c r="L142" s="112"/>
      <c r="M142" s="112"/>
      <c r="N142" s="112"/>
      <c r="O142" s="112"/>
      <c r="P142" s="112"/>
      <c r="Q142" s="112"/>
      <c r="R142" s="113" t="str">
        <f aca="false">IF(AND(P142&lt;&gt;"",Q142&lt;&gt;""),P142*Q142,"")</f>
        <v/>
      </c>
      <c r="S142" s="113" t="str">
        <f aca="false">IF(M142&lt;&gt;"",SUMIF(M:M,M142,R:R),"")</f>
        <v/>
      </c>
      <c r="T142" s="113" t="str">
        <f aca="false">IF(I142&lt;&gt;"",I142,"")</f>
        <v/>
      </c>
      <c r="U142" s="114" t="str">
        <f aca="false">IF(AND(T142&lt;&gt;"",S142&lt;&gt;""),IFERROR((T142-S142)/T142,""),"")</f>
        <v/>
      </c>
    </row>
    <row r="143" customFormat="false" ht="18.75" hidden="false" customHeight="true" outlineLevel="0" collapsed="false">
      <c r="A143" s="109"/>
      <c r="B143" s="109"/>
      <c r="C143" s="109"/>
      <c r="D143" s="109"/>
      <c r="E143" s="109"/>
      <c r="F143" s="109"/>
      <c r="G143" s="110" t="str">
        <f aca="false">IF(AND(E143&lt;&gt;"",F143&lt;&gt;""),E143*F143,"")</f>
        <v/>
      </c>
      <c r="H143" s="110" t="str">
        <f aca="false">IF(B143&lt;&gt;"",SUMIF(B:B,B143,G:G),"")</f>
        <v/>
      </c>
      <c r="I143" s="109"/>
      <c r="J143" s="111" t="str">
        <f aca="false">IF(AND(I143&lt;&gt;"",H143&lt;&gt;""),IFERROR((I143-H143)/I143,""),"")</f>
        <v/>
      </c>
      <c r="K143" s="3"/>
      <c r="L143" s="109"/>
      <c r="M143" s="109"/>
      <c r="N143" s="109"/>
      <c r="O143" s="109"/>
      <c r="P143" s="109"/>
      <c r="Q143" s="109"/>
      <c r="R143" s="110" t="str">
        <f aca="false">IF(AND(P143&lt;&gt;"",Q143&lt;&gt;""),P143*Q143,"")</f>
        <v/>
      </c>
      <c r="S143" s="110" t="str">
        <f aca="false">IF(M143&lt;&gt;"",SUMIF(M:M,M143,R:R),"")</f>
        <v/>
      </c>
      <c r="T143" s="110" t="str">
        <f aca="false">IF(I143&lt;&gt;"",I143,"")</f>
        <v/>
      </c>
      <c r="U143" s="111" t="str">
        <f aca="false">IF(AND(T143&lt;&gt;"",S143&lt;&gt;""),IFERROR((T143-S143)/T143,""),"")</f>
        <v/>
      </c>
    </row>
    <row r="144" customFormat="false" ht="18.75" hidden="false" customHeight="true" outlineLevel="0" collapsed="false">
      <c r="A144" s="112"/>
      <c r="B144" s="112"/>
      <c r="C144" s="112"/>
      <c r="D144" s="112"/>
      <c r="E144" s="112"/>
      <c r="F144" s="112"/>
      <c r="G144" s="113" t="str">
        <f aca="false">IF(AND(E144&lt;&gt;"",F144&lt;&gt;""),E144*F144,"")</f>
        <v/>
      </c>
      <c r="H144" s="113" t="str">
        <f aca="false">IF(B144&lt;&gt;"",SUMIF(B:B,B144,G:G),"")</f>
        <v/>
      </c>
      <c r="I144" s="112"/>
      <c r="J144" s="114" t="str">
        <f aca="false">IF(AND(I144&lt;&gt;"",H144&lt;&gt;""),IFERROR((I144-H144)/I144,""),"")</f>
        <v/>
      </c>
      <c r="K144" s="3"/>
      <c r="L144" s="112"/>
      <c r="M144" s="112"/>
      <c r="N144" s="112"/>
      <c r="O144" s="112"/>
      <c r="P144" s="112"/>
      <c r="Q144" s="112"/>
      <c r="R144" s="113" t="str">
        <f aca="false">IF(AND(P144&lt;&gt;"",Q144&lt;&gt;""),P144*Q144,"")</f>
        <v/>
      </c>
      <c r="S144" s="113" t="str">
        <f aca="false">IF(M144&lt;&gt;"",SUMIF(M:M,M144,R:R),"")</f>
        <v/>
      </c>
      <c r="T144" s="113" t="str">
        <f aca="false">IF(I144&lt;&gt;"",I144,"")</f>
        <v/>
      </c>
      <c r="U144" s="114" t="str">
        <f aca="false">IF(AND(T144&lt;&gt;"",S144&lt;&gt;""),IFERROR((T144-S144)/T144,""),"")</f>
        <v/>
      </c>
    </row>
    <row r="145" customFormat="false" ht="18.75" hidden="false" customHeight="true" outlineLevel="0" collapsed="false">
      <c r="A145" s="109"/>
      <c r="B145" s="109"/>
      <c r="C145" s="109"/>
      <c r="D145" s="109"/>
      <c r="E145" s="109"/>
      <c r="F145" s="109"/>
      <c r="G145" s="110" t="str">
        <f aca="false">IF(AND(E145&lt;&gt;"",F145&lt;&gt;""),E145*F145,"")</f>
        <v/>
      </c>
      <c r="H145" s="110" t="str">
        <f aca="false">IF(B145&lt;&gt;"",SUMIF(B:B,B145,G:G),"")</f>
        <v/>
      </c>
      <c r="I145" s="109"/>
      <c r="J145" s="111" t="str">
        <f aca="false">IF(AND(I145&lt;&gt;"",H145&lt;&gt;""),IFERROR((I145-H145)/I145,""),"")</f>
        <v/>
      </c>
      <c r="K145" s="3"/>
      <c r="L145" s="109"/>
      <c r="M145" s="109"/>
      <c r="N145" s="109"/>
      <c r="O145" s="109"/>
      <c r="P145" s="109"/>
      <c r="Q145" s="109"/>
      <c r="R145" s="110" t="str">
        <f aca="false">IF(AND(P145&lt;&gt;"",Q145&lt;&gt;""),P145*Q145,"")</f>
        <v/>
      </c>
      <c r="S145" s="110" t="str">
        <f aca="false">IF(M145&lt;&gt;"",SUMIF(M:M,M145,R:R),"")</f>
        <v/>
      </c>
      <c r="T145" s="110" t="str">
        <f aca="false">IF(I145&lt;&gt;"",I145,"")</f>
        <v/>
      </c>
      <c r="U145" s="111" t="str">
        <f aca="false">IF(AND(T145&lt;&gt;"",S145&lt;&gt;""),IFERROR((T145-S145)/T145,""),"")</f>
        <v/>
      </c>
    </row>
    <row r="146" customFormat="false" ht="18.75" hidden="false" customHeight="true" outlineLevel="0" collapsed="false">
      <c r="A146" s="112"/>
      <c r="B146" s="112"/>
      <c r="C146" s="112"/>
      <c r="D146" s="112"/>
      <c r="E146" s="112"/>
      <c r="F146" s="112"/>
      <c r="G146" s="113" t="str">
        <f aca="false">IF(AND(E146&lt;&gt;"",F146&lt;&gt;""),E146*F146,"")</f>
        <v/>
      </c>
      <c r="H146" s="113" t="str">
        <f aca="false">IF(B146&lt;&gt;"",SUMIF(B:B,B146,G:G),"")</f>
        <v/>
      </c>
      <c r="I146" s="112"/>
      <c r="J146" s="114" t="str">
        <f aca="false">IF(AND(I146&lt;&gt;"",H146&lt;&gt;""),IFERROR((I146-H146)/I146,""),"")</f>
        <v/>
      </c>
      <c r="K146" s="3"/>
      <c r="L146" s="112"/>
      <c r="M146" s="112"/>
      <c r="N146" s="112"/>
      <c r="O146" s="112"/>
      <c r="P146" s="112"/>
      <c r="Q146" s="112"/>
      <c r="R146" s="113" t="str">
        <f aca="false">IF(AND(P146&lt;&gt;"",Q146&lt;&gt;""),P146*Q146,"")</f>
        <v/>
      </c>
      <c r="S146" s="113" t="str">
        <f aca="false">IF(M146&lt;&gt;"",SUMIF(M:M,M146,R:R),"")</f>
        <v/>
      </c>
      <c r="T146" s="113" t="str">
        <f aca="false">IF(I146&lt;&gt;"",I146,"")</f>
        <v/>
      </c>
      <c r="U146" s="114" t="str">
        <f aca="false">IF(AND(T146&lt;&gt;"",S146&lt;&gt;""),IFERROR((T146-S146)/T146,""),"")</f>
        <v/>
      </c>
    </row>
    <row r="147" customFormat="false" ht="18.75" hidden="false" customHeight="true" outlineLevel="0" collapsed="false">
      <c r="A147" s="109"/>
      <c r="B147" s="109"/>
      <c r="C147" s="109"/>
      <c r="D147" s="109"/>
      <c r="E147" s="109"/>
      <c r="F147" s="109"/>
      <c r="G147" s="110" t="str">
        <f aca="false">IF(AND(E147&lt;&gt;"",F147&lt;&gt;""),E147*F147,"")</f>
        <v/>
      </c>
      <c r="H147" s="110" t="str">
        <f aca="false">IF(B147&lt;&gt;"",SUMIF(B:B,B147,G:G),"")</f>
        <v/>
      </c>
      <c r="I147" s="109"/>
      <c r="J147" s="111" t="str">
        <f aca="false">IF(AND(I147&lt;&gt;"",H147&lt;&gt;""),IFERROR((I147-H147)/I147,""),"")</f>
        <v/>
      </c>
      <c r="K147" s="3"/>
      <c r="L147" s="109"/>
      <c r="M147" s="109"/>
      <c r="N147" s="109"/>
      <c r="O147" s="109"/>
      <c r="P147" s="109"/>
      <c r="Q147" s="109"/>
      <c r="R147" s="110" t="str">
        <f aca="false">IF(AND(P147&lt;&gt;"",Q147&lt;&gt;""),P147*Q147,"")</f>
        <v/>
      </c>
      <c r="S147" s="110" t="str">
        <f aca="false">IF(M147&lt;&gt;"",SUMIF(M:M,M147,R:R),"")</f>
        <v/>
      </c>
      <c r="T147" s="110" t="str">
        <f aca="false">IF(I147&lt;&gt;"",I147,"")</f>
        <v/>
      </c>
      <c r="U147" s="111" t="str">
        <f aca="false">IF(AND(T147&lt;&gt;"",S147&lt;&gt;""),IFERROR((T147-S147)/T147,""),"")</f>
        <v/>
      </c>
    </row>
    <row r="148" customFormat="false" ht="18.75" hidden="false" customHeight="true" outlineLevel="0" collapsed="false">
      <c r="A148" s="112"/>
      <c r="B148" s="112"/>
      <c r="C148" s="112"/>
      <c r="D148" s="112"/>
      <c r="E148" s="112"/>
      <c r="F148" s="112"/>
      <c r="G148" s="113" t="str">
        <f aca="false">IF(AND(E148&lt;&gt;"",F148&lt;&gt;""),E148*F148,"")</f>
        <v/>
      </c>
      <c r="H148" s="113" t="str">
        <f aca="false">IF(B148&lt;&gt;"",SUMIF(B:B,B148,G:G),"")</f>
        <v/>
      </c>
      <c r="I148" s="112"/>
      <c r="J148" s="114" t="str">
        <f aca="false">IF(AND(I148&lt;&gt;"",H148&lt;&gt;""),IFERROR((I148-H148)/I148,""),"")</f>
        <v/>
      </c>
      <c r="K148" s="3"/>
      <c r="L148" s="112"/>
      <c r="M148" s="112"/>
      <c r="N148" s="112"/>
      <c r="O148" s="112"/>
      <c r="P148" s="112"/>
      <c r="Q148" s="112"/>
      <c r="R148" s="113" t="str">
        <f aca="false">IF(AND(P148&lt;&gt;"",Q148&lt;&gt;""),P148*Q148,"")</f>
        <v/>
      </c>
      <c r="S148" s="113" t="str">
        <f aca="false">IF(M148&lt;&gt;"",SUMIF(M:M,M148,R:R),"")</f>
        <v/>
      </c>
      <c r="T148" s="113" t="str">
        <f aca="false">IF(I148&lt;&gt;"",I148,"")</f>
        <v/>
      </c>
      <c r="U148" s="114" t="str">
        <f aca="false">IF(AND(T148&lt;&gt;"",S148&lt;&gt;""),IFERROR((T148-S148)/T148,""),"")</f>
        <v/>
      </c>
    </row>
    <row r="149" customFormat="false" ht="18.75" hidden="false" customHeight="true" outlineLevel="0" collapsed="false">
      <c r="A149" s="109"/>
      <c r="B149" s="109"/>
      <c r="C149" s="109"/>
      <c r="D149" s="109"/>
      <c r="E149" s="109"/>
      <c r="F149" s="109"/>
      <c r="G149" s="110" t="str">
        <f aca="false">IF(AND(E149&lt;&gt;"",F149&lt;&gt;""),E149*F149,"")</f>
        <v/>
      </c>
      <c r="H149" s="110" t="str">
        <f aca="false">IF(B149&lt;&gt;"",SUMIF(B:B,B149,G:G),"")</f>
        <v/>
      </c>
      <c r="I149" s="109"/>
      <c r="J149" s="111" t="str">
        <f aca="false">IF(AND(I149&lt;&gt;"",H149&lt;&gt;""),IFERROR((I149-H149)/I149,""),"")</f>
        <v/>
      </c>
      <c r="K149" s="3"/>
      <c r="L149" s="109"/>
      <c r="M149" s="109"/>
      <c r="N149" s="109"/>
      <c r="O149" s="109"/>
      <c r="P149" s="109"/>
      <c r="Q149" s="109"/>
      <c r="R149" s="110" t="str">
        <f aca="false">IF(AND(P149&lt;&gt;"",Q149&lt;&gt;""),P149*Q149,"")</f>
        <v/>
      </c>
      <c r="S149" s="110" t="str">
        <f aca="false">IF(M149&lt;&gt;"",SUMIF(M:M,M149,R:R),"")</f>
        <v/>
      </c>
      <c r="T149" s="110" t="str">
        <f aca="false">IF(I149&lt;&gt;"",I149,"")</f>
        <v/>
      </c>
      <c r="U149" s="111" t="str">
        <f aca="false">IF(AND(T149&lt;&gt;"",S149&lt;&gt;""),IFERROR((T149-S149)/T149,""),"")</f>
        <v/>
      </c>
    </row>
    <row r="150" customFormat="false" ht="18.75" hidden="false" customHeight="true" outlineLevel="0" collapsed="false">
      <c r="A150" s="112"/>
      <c r="B150" s="112"/>
      <c r="C150" s="112"/>
      <c r="D150" s="112"/>
      <c r="E150" s="112"/>
      <c r="F150" s="112"/>
      <c r="G150" s="113" t="str">
        <f aca="false">IF(AND(E150&lt;&gt;"",F150&lt;&gt;""),E150*F150,"")</f>
        <v/>
      </c>
      <c r="H150" s="113" t="str">
        <f aca="false">IF(B150&lt;&gt;"",SUMIF(B:B,B150,G:G),"")</f>
        <v/>
      </c>
      <c r="I150" s="112"/>
      <c r="J150" s="114" t="str">
        <f aca="false">IF(AND(I150&lt;&gt;"",H150&lt;&gt;""),IFERROR((I150-H150)/I150,""),"")</f>
        <v/>
      </c>
      <c r="K150" s="3"/>
      <c r="L150" s="112"/>
      <c r="M150" s="112"/>
      <c r="N150" s="112"/>
      <c r="O150" s="112"/>
      <c r="P150" s="112"/>
      <c r="Q150" s="112"/>
      <c r="R150" s="113" t="str">
        <f aca="false">IF(AND(P150&lt;&gt;"",Q150&lt;&gt;""),P150*Q150,"")</f>
        <v/>
      </c>
      <c r="S150" s="113" t="str">
        <f aca="false">IF(M150&lt;&gt;"",SUMIF(M:M,M150,R:R),"")</f>
        <v/>
      </c>
      <c r="T150" s="113" t="str">
        <f aca="false">IF(I150&lt;&gt;"",I150,"")</f>
        <v/>
      </c>
      <c r="U150" s="114" t="str">
        <f aca="false">IF(AND(T150&lt;&gt;"",S150&lt;&gt;""),IFERROR((T150-S150)/T150,""),"")</f>
        <v/>
      </c>
    </row>
    <row r="151" customFormat="false" ht="18.75" hidden="false" customHeight="true" outlineLevel="0" collapsed="false">
      <c r="A151" s="109"/>
      <c r="B151" s="109"/>
      <c r="C151" s="109"/>
      <c r="D151" s="109"/>
      <c r="E151" s="109"/>
      <c r="F151" s="109"/>
      <c r="G151" s="110" t="str">
        <f aca="false">IF(AND(E151&lt;&gt;"",F151&lt;&gt;""),E151*F151,"")</f>
        <v/>
      </c>
      <c r="H151" s="110" t="str">
        <f aca="false">IF(B151&lt;&gt;"",SUMIF(B:B,B151,G:G),"")</f>
        <v/>
      </c>
      <c r="I151" s="109"/>
      <c r="J151" s="111" t="str">
        <f aca="false">IF(AND(I151&lt;&gt;"",H151&lt;&gt;""),IFERROR((I151-H151)/I151,""),"")</f>
        <v/>
      </c>
      <c r="K151" s="3"/>
      <c r="L151" s="109"/>
      <c r="M151" s="109"/>
      <c r="N151" s="109"/>
      <c r="O151" s="109"/>
      <c r="P151" s="109"/>
      <c r="Q151" s="109"/>
      <c r="R151" s="110" t="str">
        <f aca="false">IF(AND(P151&lt;&gt;"",Q151&lt;&gt;""),P151*Q151,"")</f>
        <v/>
      </c>
      <c r="S151" s="110" t="str">
        <f aca="false">IF(M151&lt;&gt;"",SUMIF(M:M,M151,R:R),"")</f>
        <v/>
      </c>
      <c r="T151" s="110" t="str">
        <f aca="false">IF(I151&lt;&gt;"",I151,"")</f>
        <v/>
      </c>
      <c r="U151" s="111" t="str">
        <f aca="false">IF(AND(T151&lt;&gt;"",S151&lt;&gt;""),IFERROR((T151-S151)/T151,""),"")</f>
        <v/>
      </c>
    </row>
    <row r="152" customFormat="false" ht="18.75" hidden="false" customHeight="true" outlineLevel="0" collapsed="false">
      <c r="A152" s="112"/>
      <c r="B152" s="112"/>
      <c r="C152" s="112"/>
      <c r="D152" s="112"/>
      <c r="E152" s="112"/>
      <c r="F152" s="112"/>
      <c r="G152" s="113" t="str">
        <f aca="false">IF(AND(E152&lt;&gt;"",F152&lt;&gt;""),E152*F152,"")</f>
        <v/>
      </c>
      <c r="H152" s="113" t="str">
        <f aca="false">IF(B152&lt;&gt;"",SUMIF(B:B,B152,G:G),"")</f>
        <v/>
      </c>
      <c r="I152" s="112"/>
      <c r="J152" s="114" t="str">
        <f aca="false">IF(AND(I152&lt;&gt;"",H152&lt;&gt;""),IFERROR((I152-H152)/I152,""),"")</f>
        <v/>
      </c>
      <c r="K152" s="3"/>
      <c r="L152" s="112"/>
      <c r="M152" s="112"/>
      <c r="N152" s="112"/>
      <c r="O152" s="112"/>
      <c r="P152" s="112"/>
      <c r="Q152" s="112"/>
      <c r="R152" s="113" t="str">
        <f aca="false">IF(AND(P152&lt;&gt;"",Q152&lt;&gt;""),P152*Q152,"")</f>
        <v/>
      </c>
      <c r="S152" s="113" t="str">
        <f aca="false">IF(M152&lt;&gt;"",SUMIF(M:M,M152,R:R),"")</f>
        <v/>
      </c>
      <c r="T152" s="113" t="str">
        <f aca="false">IF(I152&lt;&gt;"",I152,"")</f>
        <v/>
      </c>
      <c r="U152" s="114" t="str">
        <f aca="false">IF(AND(T152&lt;&gt;"",S152&lt;&gt;""),IFERROR((T152-S152)/T152,""),"")</f>
        <v/>
      </c>
    </row>
    <row r="153" customFormat="false" ht="18.75" hidden="false" customHeight="true" outlineLevel="0" collapsed="false">
      <c r="A153" s="109"/>
      <c r="B153" s="109"/>
      <c r="C153" s="109"/>
      <c r="D153" s="109"/>
      <c r="E153" s="109"/>
      <c r="F153" s="109"/>
      <c r="G153" s="110" t="str">
        <f aca="false">IF(AND(E153&lt;&gt;"",F153&lt;&gt;""),E153*F153,"")</f>
        <v/>
      </c>
      <c r="H153" s="110" t="str">
        <f aca="false">IF(B153&lt;&gt;"",SUMIF(B:B,B153,G:G),"")</f>
        <v/>
      </c>
      <c r="I153" s="109"/>
      <c r="J153" s="111" t="str">
        <f aca="false">IF(AND(I153&lt;&gt;"",H153&lt;&gt;""),IFERROR((I153-H153)/I153,""),"")</f>
        <v/>
      </c>
      <c r="K153" s="3"/>
      <c r="L153" s="109"/>
      <c r="M153" s="109"/>
      <c r="N153" s="109"/>
      <c r="O153" s="109"/>
      <c r="P153" s="109"/>
      <c r="Q153" s="109"/>
      <c r="R153" s="110" t="str">
        <f aca="false">IF(AND(P153&lt;&gt;"",Q153&lt;&gt;""),P153*Q153,"")</f>
        <v/>
      </c>
      <c r="S153" s="110" t="str">
        <f aca="false">IF(M153&lt;&gt;"",SUMIF(M:M,M153,R:R),"")</f>
        <v/>
      </c>
      <c r="T153" s="110" t="str">
        <f aca="false">IF(I153&lt;&gt;"",I153,"")</f>
        <v/>
      </c>
      <c r="U153" s="111" t="str">
        <f aca="false">IF(AND(T153&lt;&gt;"",S153&lt;&gt;""),IFERROR((T153-S153)/T153,""),"")</f>
        <v/>
      </c>
    </row>
    <row r="154" customFormat="false" ht="18.75" hidden="false" customHeight="true" outlineLevel="0" collapsed="false">
      <c r="A154" s="112"/>
      <c r="B154" s="112"/>
      <c r="C154" s="112"/>
      <c r="D154" s="112"/>
      <c r="E154" s="112"/>
      <c r="F154" s="112"/>
      <c r="G154" s="113" t="str">
        <f aca="false">IF(AND(E154&lt;&gt;"",F154&lt;&gt;""),E154*F154,"")</f>
        <v/>
      </c>
      <c r="H154" s="113" t="str">
        <f aca="false">IF(B154&lt;&gt;"",SUMIF(B:B,B154,G:G),"")</f>
        <v/>
      </c>
      <c r="I154" s="112"/>
      <c r="J154" s="114" t="str">
        <f aca="false">IF(AND(I154&lt;&gt;"",H154&lt;&gt;""),IFERROR((I154-H154)/I154,""),"")</f>
        <v/>
      </c>
      <c r="K154" s="3"/>
      <c r="L154" s="112"/>
      <c r="M154" s="112"/>
      <c r="N154" s="112"/>
      <c r="O154" s="112"/>
      <c r="P154" s="112"/>
      <c r="Q154" s="112"/>
      <c r="R154" s="113" t="str">
        <f aca="false">IF(AND(P154&lt;&gt;"",Q154&lt;&gt;""),P154*Q154,"")</f>
        <v/>
      </c>
      <c r="S154" s="113" t="str">
        <f aca="false">IF(M154&lt;&gt;"",SUMIF(M:M,M154,R:R),"")</f>
        <v/>
      </c>
      <c r="T154" s="113" t="str">
        <f aca="false">IF(I154&lt;&gt;"",I154,"")</f>
        <v/>
      </c>
      <c r="U154" s="114" t="str">
        <f aca="false">IF(AND(T154&lt;&gt;"",S154&lt;&gt;""),IFERROR((T154-S154)/T154,""),"")</f>
        <v/>
      </c>
    </row>
    <row r="155" customFormat="false" ht="18.75" hidden="false" customHeight="true" outlineLevel="0" collapsed="false">
      <c r="A155" s="109"/>
      <c r="B155" s="109"/>
      <c r="C155" s="109"/>
      <c r="D155" s="109"/>
      <c r="E155" s="109"/>
      <c r="F155" s="109"/>
      <c r="G155" s="110" t="str">
        <f aca="false">IF(AND(E155&lt;&gt;"",F155&lt;&gt;""),E155*F155,"")</f>
        <v/>
      </c>
      <c r="H155" s="110" t="str">
        <f aca="false">IF(B155&lt;&gt;"",SUMIF(B:B,B155,G:G),"")</f>
        <v/>
      </c>
      <c r="I155" s="109"/>
      <c r="J155" s="111" t="str">
        <f aca="false">IF(AND(I155&lt;&gt;"",H155&lt;&gt;""),IFERROR((I155-H155)/I155,""),"")</f>
        <v/>
      </c>
      <c r="K155" s="3"/>
      <c r="L155" s="109"/>
      <c r="M155" s="109"/>
      <c r="N155" s="109"/>
      <c r="O155" s="109"/>
      <c r="P155" s="109"/>
      <c r="Q155" s="109"/>
      <c r="R155" s="110" t="str">
        <f aca="false">IF(AND(P155&lt;&gt;"",Q155&lt;&gt;""),P155*Q155,"")</f>
        <v/>
      </c>
      <c r="S155" s="110" t="str">
        <f aca="false">IF(M155&lt;&gt;"",SUMIF(M:M,M155,R:R),"")</f>
        <v/>
      </c>
      <c r="T155" s="110" t="str">
        <f aca="false">IF(I155&lt;&gt;"",I155,"")</f>
        <v/>
      </c>
      <c r="U155" s="111" t="str">
        <f aca="false">IF(AND(T155&lt;&gt;"",S155&lt;&gt;""),IFERROR((T155-S155)/T155,""),"")</f>
        <v/>
      </c>
    </row>
    <row r="156" customFormat="false" ht="18.75" hidden="false" customHeight="true" outlineLevel="0" collapsed="false">
      <c r="A156" s="112"/>
      <c r="B156" s="112"/>
      <c r="C156" s="112"/>
      <c r="D156" s="112"/>
      <c r="E156" s="112"/>
      <c r="F156" s="112"/>
      <c r="G156" s="113" t="str">
        <f aca="false">IF(AND(E156&lt;&gt;"",F156&lt;&gt;""),E156*F156,"")</f>
        <v/>
      </c>
      <c r="H156" s="113" t="str">
        <f aca="false">IF(B156&lt;&gt;"",SUMIF(B:B,B156,G:G),"")</f>
        <v/>
      </c>
      <c r="I156" s="112"/>
      <c r="J156" s="114" t="str">
        <f aca="false">IF(AND(I156&lt;&gt;"",H156&lt;&gt;""),IFERROR((I156-H156)/I156,""),"")</f>
        <v/>
      </c>
      <c r="K156" s="3"/>
      <c r="L156" s="112"/>
      <c r="M156" s="112"/>
      <c r="N156" s="112"/>
      <c r="O156" s="112"/>
      <c r="P156" s="112"/>
      <c r="Q156" s="112"/>
      <c r="R156" s="113" t="str">
        <f aca="false">IF(AND(P156&lt;&gt;"",Q156&lt;&gt;""),P156*Q156,"")</f>
        <v/>
      </c>
      <c r="S156" s="113" t="str">
        <f aca="false">IF(M156&lt;&gt;"",SUMIF(M:M,M156,R:R),"")</f>
        <v/>
      </c>
      <c r="T156" s="113" t="str">
        <f aca="false">IF(I156&lt;&gt;"",I156,"")</f>
        <v/>
      </c>
      <c r="U156" s="114" t="str">
        <f aca="false">IF(AND(T156&lt;&gt;"",S156&lt;&gt;""),IFERROR((T156-S156)/T156,""),"")</f>
        <v/>
      </c>
    </row>
    <row r="157" customFormat="false" ht="18.75" hidden="false" customHeight="true" outlineLevel="0" collapsed="false">
      <c r="A157" s="109"/>
      <c r="B157" s="109"/>
      <c r="C157" s="109"/>
      <c r="D157" s="109"/>
      <c r="E157" s="109"/>
      <c r="F157" s="109"/>
      <c r="G157" s="110" t="str">
        <f aca="false">IF(AND(E157&lt;&gt;"",F157&lt;&gt;""),E157*F157,"")</f>
        <v/>
      </c>
      <c r="H157" s="110" t="str">
        <f aca="false">IF(B157&lt;&gt;"",SUMIF(B:B,B157,G:G),"")</f>
        <v/>
      </c>
      <c r="I157" s="109"/>
      <c r="J157" s="111" t="str">
        <f aca="false">IF(AND(I157&lt;&gt;"",H157&lt;&gt;""),IFERROR((I157-H157)/I157,""),"")</f>
        <v/>
      </c>
      <c r="K157" s="3"/>
      <c r="L157" s="109"/>
      <c r="M157" s="109"/>
      <c r="N157" s="109"/>
      <c r="O157" s="109"/>
      <c r="P157" s="109"/>
      <c r="Q157" s="109"/>
      <c r="R157" s="110" t="str">
        <f aca="false">IF(AND(P157&lt;&gt;"",Q157&lt;&gt;""),P157*Q157,"")</f>
        <v/>
      </c>
      <c r="S157" s="110" t="str">
        <f aca="false">IF(M157&lt;&gt;"",SUMIF(M:M,M157,R:R),"")</f>
        <v/>
      </c>
      <c r="T157" s="110" t="str">
        <f aca="false">IF(I157&lt;&gt;"",I157,"")</f>
        <v/>
      </c>
      <c r="U157" s="111" t="str">
        <f aca="false">IF(AND(T157&lt;&gt;"",S157&lt;&gt;""),IFERROR((T157-S157)/T157,""),"")</f>
        <v/>
      </c>
    </row>
    <row r="158" customFormat="false" ht="18.75" hidden="false" customHeight="true" outlineLevel="0" collapsed="false">
      <c r="A158" s="112"/>
      <c r="B158" s="112"/>
      <c r="C158" s="112"/>
      <c r="D158" s="112"/>
      <c r="E158" s="112"/>
      <c r="F158" s="112"/>
      <c r="G158" s="113" t="str">
        <f aca="false">IF(AND(E158&lt;&gt;"",F158&lt;&gt;""),E158*F158,"")</f>
        <v/>
      </c>
      <c r="H158" s="113" t="str">
        <f aca="false">IF(B158&lt;&gt;"",SUMIF(B:B,B158,G:G),"")</f>
        <v/>
      </c>
      <c r="I158" s="112"/>
      <c r="J158" s="114" t="str">
        <f aca="false">IF(AND(I158&lt;&gt;"",H158&lt;&gt;""),IFERROR((I158-H158)/I158,""),"")</f>
        <v/>
      </c>
      <c r="K158" s="3"/>
      <c r="L158" s="112"/>
      <c r="M158" s="112"/>
      <c r="N158" s="112"/>
      <c r="O158" s="112"/>
      <c r="P158" s="112"/>
      <c r="Q158" s="112"/>
      <c r="R158" s="113" t="str">
        <f aca="false">IF(AND(P158&lt;&gt;"",Q158&lt;&gt;""),P158*Q158,"")</f>
        <v/>
      </c>
      <c r="S158" s="113" t="str">
        <f aca="false">IF(M158&lt;&gt;"",SUMIF(M:M,M158,R:R),"")</f>
        <v/>
      </c>
      <c r="T158" s="113" t="str">
        <f aca="false">IF(I158&lt;&gt;"",I158,"")</f>
        <v/>
      </c>
      <c r="U158" s="114" t="str">
        <f aca="false">IF(AND(T158&lt;&gt;"",S158&lt;&gt;""),IFERROR((T158-S158)/T158,""),"")</f>
        <v/>
      </c>
    </row>
    <row r="159" customFormat="false" ht="18.75" hidden="false" customHeight="true" outlineLevel="0" collapsed="false">
      <c r="A159" s="109"/>
      <c r="B159" s="109"/>
      <c r="C159" s="109"/>
      <c r="D159" s="109"/>
      <c r="E159" s="109"/>
      <c r="F159" s="109"/>
      <c r="G159" s="110" t="str">
        <f aca="false">IF(AND(E159&lt;&gt;"",F159&lt;&gt;""),E159*F159,"")</f>
        <v/>
      </c>
      <c r="H159" s="110" t="str">
        <f aca="false">IF(B159&lt;&gt;"",SUMIF(B:B,B159,G:G),"")</f>
        <v/>
      </c>
      <c r="I159" s="109"/>
      <c r="J159" s="111" t="str">
        <f aca="false">IF(AND(I159&lt;&gt;"",H159&lt;&gt;""),IFERROR((I159-H159)/I159,""),"")</f>
        <v/>
      </c>
      <c r="K159" s="3"/>
      <c r="L159" s="109"/>
      <c r="M159" s="109"/>
      <c r="N159" s="109"/>
      <c r="O159" s="109"/>
      <c r="P159" s="109"/>
      <c r="Q159" s="109"/>
      <c r="R159" s="110" t="str">
        <f aca="false">IF(AND(P159&lt;&gt;"",Q159&lt;&gt;""),P159*Q159,"")</f>
        <v/>
      </c>
      <c r="S159" s="110" t="str">
        <f aca="false">IF(M159&lt;&gt;"",SUMIF(M:M,M159,R:R),"")</f>
        <v/>
      </c>
      <c r="T159" s="110" t="str">
        <f aca="false">IF(I159&lt;&gt;"",I159,"")</f>
        <v/>
      </c>
      <c r="U159" s="111" t="str">
        <f aca="false">IF(AND(T159&lt;&gt;"",S159&lt;&gt;""),IFERROR((T159-S159)/T159,""),"")</f>
        <v/>
      </c>
    </row>
    <row r="160" customFormat="false" ht="18.75" hidden="false" customHeight="true" outlineLevel="0" collapsed="false">
      <c r="A160" s="112"/>
      <c r="B160" s="112"/>
      <c r="C160" s="112"/>
      <c r="D160" s="112"/>
      <c r="E160" s="112"/>
      <c r="F160" s="112"/>
      <c r="G160" s="113" t="str">
        <f aca="false">IF(AND(E160&lt;&gt;"",F160&lt;&gt;""),E160*F160,"")</f>
        <v/>
      </c>
      <c r="H160" s="113" t="str">
        <f aca="false">IF(B160&lt;&gt;"",SUMIF(B:B,B160,G:G),"")</f>
        <v/>
      </c>
      <c r="I160" s="112"/>
      <c r="J160" s="114" t="str">
        <f aca="false">IF(AND(I160&lt;&gt;"",H160&lt;&gt;""),IFERROR((I160-H160)/I160,""),"")</f>
        <v/>
      </c>
      <c r="K160" s="3"/>
      <c r="L160" s="112"/>
      <c r="M160" s="112"/>
      <c r="N160" s="112"/>
      <c r="O160" s="112"/>
      <c r="P160" s="112"/>
      <c r="Q160" s="112"/>
      <c r="R160" s="113" t="str">
        <f aca="false">IF(AND(P160&lt;&gt;"",Q160&lt;&gt;""),P160*Q160,"")</f>
        <v/>
      </c>
      <c r="S160" s="113" t="str">
        <f aca="false">IF(M160&lt;&gt;"",SUMIF(M:M,M160,R:R),"")</f>
        <v/>
      </c>
      <c r="T160" s="113" t="str">
        <f aca="false">IF(I160&lt;&gt;"",I160,"")</f>
        <v/>
      </c>
      <c r="U160" s="114" t="str">
        <f aca="false">IF(AND(T160&lt;&gt;"",S160&lt;&gt;""),IFERROR((T160-S160)/T160,""),"")</f>
        <v/>
      </c>
    </row>
    <row r="161" customFormat="false" ht="18.75" hidden="false" customHeight="true" outlineLevel="0" collapsed="false">
      <c r="A161" s="109"/>
      <c r="B161" s="109"/>
      <c r="C161" s="109"/>
      <c r="D161" s="109"/>
      <c r="E161" s="109"/>
      <c r="F161" s="109"/>
      <c r="G161" s="110" t="str">
        <f aca="false">IF(AND(E161&lt;&gt;"",F161&lt;&gt;""),E161*F161,"")</f>
        <v/>
      </c>
      <c r="H161" s="110" t="str">
        <f aca="false">IF(B161&lt;&gt;"",SUMIF(B:B,B161,G:G),"")</f>
        <v/>
      </c>
      <c r="I161" s="109"/>
      <c r="J161" s="111" t="str">
        <f aca="false">IF(AND(I161&lt;&gt;"",H161&lt;&gt;""),IFERROR((I161-H161)/I161,""),"")</f>
        <v/>
      </c>
      <c r="K161" s="3"/>
      <c r="L161" s="109"/>
      <c r="M161" s="109"/>
      <c r="N161" s="109"/>
      <c r="O161" s="109"/>
      <c r="P161" s="109"/>
      <c r="Q161" s="109"/>
      <c r="R161" s="110" t="str">
        <f aca="false">IF(AND(P161&lt;&gt;"",Q161&lt;&gt;""),P161*Q161,"")</f>
        <v/>
      </c>
      <c r="S161" s="110" t="str">
        <f aca="false">IF(M161&lt;&gt;"",SUMIF(M:M,M161,R:R),"")</f>
        <v/>
      </c>
      <c r="T161" s="110" t="str">
        <f aca="false">IF(I161&lt;&gt;"",I161,"")</f>
        <v/>
      </c>
      <c r="U161" s="111" t="str">
        <f aca="false">IF(AND(T161&lt;&gt;"",S161&lt;&gt;""),IFERROR((T161-S161)/T161,""),"")</f>
        <v/>
      </c>
    </row>
    <row r="162" customFormat="false" ht="18.75" hidden="false" customHeight="true" outlineLevel="0" collapsed="false">
      <c r="A162" s="112"/>
      <c r="B162" s="112"/>
      <c r="C162" s="112"/>
      <c r="D162" s="112"/>
      <c r="E162" s="112"/>
      <c r="F162" s="112"/>
      <c r="G162" s="113" t="str">
        <f aca="false">IF(AND(E162&lt;&gt;"",F162&lt;&gt;""),E162*F162,"")</f>
        <v/>
      </c>
      <c r="H162" s="113" t="str">
        <f aca="false">IF(B162&lt;&gt;"",SUMIF(B:B,B162,G:G),"")</f>
        <v/>
      </c>
      <c r="I162" s="112"/>
      <c r="J162" s="114" t="str">
        <f aca="false">IF(AND(I162&lt;&gt;"",H162&lt;&gt;""),IFERROR((I162-H162)/I162,""),"")</f>
        <v/>
      </c>
      <c r="K162" s="3"/>
      <c r="L162" s="112"/>
      <c r="M162" s="112"/>
      <c r="N162" s="112"/>
      <c r="O162" s="112"/>
      <c r="P162" s="112"/>
      <c r="Q162" s="112"/>
      <c r="R162" s="113" t="str">
        <f aca="false">IF(AND(P162&lt;&gt;"",Q162&lt;&gt;""),P162*Q162,"")</f>
        <v/>
      </c>
      <c r="S162" s="113" t="str">
        <f aca="false">IF(M162&lt;&gt;"",SUMIF(M:M,M162,R:R),"")</f>
        <v/>
      </c>
      <c r="T162" s="113" t="str">
        <f aca="false">IF(I162&lt;&gt;"",I162,"")</f>
        <v/>
      </c>
      <c r="U162" s="114" t="str">
        <f aca="false">IF(AND(T162&lt;&gt;"",S162&lt;&gt;""),IFERROR((T162-S162)/T162,""),"")</f>
        <v/>
      </c>
    </row>
    <row r="163" customFormat="false" ht="18.75" hidden="false" customHeight="true" outlineLevel="0" collapsed="false">
      <c r="A163" s="109"/>
      <c r="B163" s="109"/>
      <c r="C163" s="109"/>
      <c r="D163" s="109"/>
      <c r="E163" s="109"/>
      <c r="F163" s="109"/>
      <c r="G163" s="110" t="str">
        <f aca="false">IF(AND(E163&lt;&gt;"",F163&lt;&gt;""),E163*F163,"")</f>
        <v/>
      </c>
      <c r="H163" s="110" t="str">
        <f aca="false">IF(B163&lt;&gt;"",SUMIF(B:B,B163,G:G),"")</f>
        <v/>
      </c>
      <c r="I163" s="109"/>
      <c r="J163" s="111" t="str">
        <f aca="false">IF(AND(I163&lt;&gt;"",H163&lt;&gt;""),IFERROR((I163-H163)/I163,""),"")</f>
        <v/>
      </c>
      <c r="K163" s="3"/>
      <c r="L163" s="109"/>
      <c r="M163" s="109"/>
      <c r="N163" s="109"/>
      <c r="O163" s="109"/>
      <c r="P163" s="109"/>
      <c r="Q163" s="109"/>
      <c r="R163" s="110" t="str">
        <f aca="false">IF(AND(P163&lt;&gt;"",Q163&lt;&gt;""),P163*Q163,"")</f>
        <v/>
      </c>
      <c r="S163" s="110" t="str">
        <f aca="false">IF(M163&lt;&gt;"",SUMIF(M:M,M163,R:R),"")</f>
        <v/>
      </c>
      <c r="T163" s="110" t="str">
        <f aca="false">IF(I163&lt;&gt;"",I163,"")</f>
        <v/>
      </c>
      <c r="U163" s="111" t="str">
        <f aca="false">IF(AND(T163&lt;&gt;"",S163&lt;&gt;""),IFERROR((T163-S163)/T163,""),"")</f>
        <v/>
      </c>
    </row>
    <row r="164" customFormat="false" ht="18.75" hidden="false" customHeight="true" outlineLevel="0" collapsed="false">
      <c r="A164" s="112"/>
      <c r="B164" s="112"/>
      <c r="C164" s="112"/>
      <c r="D164" s="112"/>
      <c r="E164" s="112"/>
      <c r="F164" s="112"/>
      <c r="G164" s="113" t="str">
        <f aca="false">IF(AND(E164&lt;&gt;"",F164&lt;&gt;""),E164*F164,"")</f>
        <v/>
      </c>
      <c r="H164" s="113" t="str">
        <f aca="false">IF(B164&lt;&gt;"",SUMIF(B:B,B164,G:G),"")</f>
        <v/>
      </c>
      <c r="I164" s="112"/>
      <c r="J164" s="114" t="str">
        <f aca="false">IF(AND(I164&lt;&gt;"",H164&lt;&gt;""),IFERROR((I164-H164)/I164,""),"")</f>
        <v/>
      </c>
      <c r="K164" s="3"/>
      <c r="L164" s="112"/>
      <c r="M164" s="112"/>
      <c r="N164" s="112"/>
      <c r="O164" s="112"/>
      <c r="P164" s="112"/>
      <c r="Q164" s="112"/>
      <c r="R164" s="113" t="str">
        <f aca="false">IF(AND(P164&lt;&gt;"",Q164&lt;&gt;""),P164*Q164,"")</f>
        <v/>
      </c>
      <c r="S164" s="113" t="str">
        <f aca="false">IF(M164&lt;&gt;"",SUMIF(M:M,M164,R:R),"")</f>
        <v/>
      </c>
      <c r="T164" s="113" t="str">
        <f aca="false">IF(I164&lt;&gt;"",I164,"")</f>
        <v/>
      </c>
      <c r="U164" s="114" t="str">
        <f aca="false">IF(AND(T164&lt;&gt;"",S164&lt;&gt;""),IFERROR((T164-S164)/T164,""),"")</f>
        <v/>
      </c>
    </row>
    <row r="165" customFormat="false" ht="18.75" hidden="false" customHeight="true" outlineLevel="0" collapsed="false">
      <c r="A165" s="109"/>
      <c r="B165" s="109"/>
      <c r="C165" s="109"/>
      <c r="D165" s="109"/>
      <c r="E165" s="109"/>
      <c r="F165" s="109"/>
      <c r="G165" s="110" t="str">
        <f aca="false">IF(AND(E165&lt;&gt;"",F165&lt;&gt;""),E165*F165,"")</f>
        <v/>
      </c>
      <c r="H165" s="110" t="str">
        <f aca="false">IF(B165&lt;&gt;"",SUMIF(B:B,B165,G:G),"")</f>
        <v/>
      </c>
      <c r="I165" s="109"/>
      <c r="J165" s="111" t="str">
        <f aca="false">IF(AND(I165&lt;&gt;"",H165&lt;&gt;""),IFERROR((I165-H165)/I165,""),"")</f>
        <v/>
      </c>
      <c r="K165" s="3"/>
      <c r="L165" s="109"/>
      <c r="M165" s="109"/>
      <c r="N165" s="109"/>
      <c r="O165" s="109"/>
      <c r="P165" s="109"/>
      <c r="Q165" s="109"/>
      <c r="R165" s="110" t="str">
        <f aca="false">IF(AND(P165&lt;&gt;"",Q165&lt;&gt;""),P165*Q165,"")</f>
        <v/>
      </c>
      <c r="S165" s="110" t="str">
        <f aca="false">IF(M165&lt;&gt;"",SUMIF(M:M,M165,R:R),"")</f>
        <v/>
      </c>
      <c r="T165" s="110" t="str">
        <f aca="false">IF(I165&lt;&gt;"",I165,"")</f>
        <v/>
      </c>
      <c r="U165" s="111" t="str">
        <f aca="false">IF(AND(T165&lt;&gt;"",S165&lt;&gt;""),IFERROR((T165-S165)/T165,""),"")</f>
        <v/>
      </c>
    </row>
    <row r="166" customFormat="false" ht="18.75" hidden="false" customHeight="true" outlineLevel="0" collapsed="false">
      <c r="A166" s="112"/>
      <c r="B166" s="112"/>
      <c r="C166" s="112"/>
      <c r="D166" s="112"/>
      <c r="E166" s="112"/>
      <c r="F166" s="112"/>
      <c r="G166" s="113" t="str">
        <f aca="false">IF(AND(E166&lt;&gt;"",F166&lt;&gt;""),E166*F166,"")</f>
        <v/>
      </c>
      <c r="H166" s="113" t="str">
        <f aca="false">IF(B166&lt;&gt;"",SUMIF(B:B,B166,G:G),"")</f>
        <v/>
      </c>
      <c r="I166" s="112"/>
      <c r="J166" s="114" t="str">
        <f aca="false">IF(AND(I166&lt;&gt;"",H166&lt;&gt;""),IFERROR((I166-H166)/I166,""),"")</f>
        <v/>
      </c>
      <c r="K166" s="3"/>
      <c r="L166" s="112"/>
      <c r="M166" s="112"/>
      <c r="N166" s="112"/>
      <c r="O166" s="112"/>
      <c r="P166" s="112"/>
      <c r="Q166" s="112"/>
      <c r="R166" s="113" t="str">
        <f aca="false">IF(AND(P166&lt;&gt;"",Q166&lt;&gt;""),P166*Q166,"")</f>
        <v/>
      </c>
      <c r="S166" s="113" t="str">
        <f aca="false">IF(M166&lt;&gt;"",SUMIF(M:M,M166,R:R),"")</f>
        <v/>
      </c>
      <c r="T166" s="113" t="str">
        <f aca="false">IF(I166&lt;&gt;"",I166,"")</f>
        <v/>
      </c>
      <c r="U166" s="114" t="str">
        <f aca="false">IF(AND(T166&lt;&gt;"",S166&lt;&gt;""),IFERROR((T166-S166)/T166,""),"")</f>
        <v/>
      </c>
    </row>
    <row r="167" customFormat="false" ht="18.75" hidden="false" customHeight="true" outlineLevel="0" collapsed="false">
      <c r="A167" s="109"/>
      <c r="B167" s="109"/>
      <c r="C167" s="109"/>
      <c r="D167" s="109"/>
      <c r="E167" s="109"/>
      <c r="F167" s="109"/>
      <c r="G167" s="110" t="str">
        <f aca="false">IF(AND(E167&lt;&gt;"",F167&lt;&gt;""),E167*F167,"")</f>
        <v/>
      </c>
      <c r="H167" s="110" t="str">
        <f aca="false">IF(B167&lt;&gt;"",SUMIF(B:B,B167,G:G),"")</f>
        <v/>
      </c>
      <c r="I167" s="109"/>
      <c r="J167" s="111" t="str">
        <f aca="false">IF(AND(I167&lt;&gt;"",H167&lt;&gt;""),IFERROR((I167-H167)/I167,""),"")</f>
        <v/>
      </c>
      <c r="K167" s="3"/>
      <c r="L167" s="109"/>
      <c r="M167" s="109"/>
      <c r="N167" s="109"/>
      <c r="O167" s="109"/>
      <c r="P167" s="109"/>
      <c r="Q167" s="109"/>
      <c r="R167" s="110" t="str">
        <f aca="false">IF(AND(P167&lt;&gt;"",Q167&lt;&gt;""),P167*Q167,"")</f>
        <v/>
      </c>
      <c r="S167" s="110" t="str">
        <f aca="false">IF(M167&lt;&gt;"",SUMIF(M:M,M167,R:R),"")</f>
        <v/>
      </c>
      <c r="T167" s="110" t="str">
        <f aca="false">IF(I167&lt;&gt;"",I167,"")</f>
        <v/>
      </c>
      <c r="U167" s="111" t="str">
        <f aca="false">IF(AND(T167&lt;&gt;"",S167&lt;&gt;""),IFERROR((T167-S167)/T167,""),"")</f>
        <v/>
      </c>
    </row>
    <row r="168" customFormat="false" ht="18.75" hidden="false" customHeight="true" outlineLevel="0" collapsed="false">
      <c r="A168" s="112"/>
      <c r="B168" s="112"/>
      <c r="C168" s="112"/>
      <c r="D168" s="112"/>
      <c r="E168" s="112"/>
      <c r="F168" s="112"/>
      <c r="G168" s="113" t="str">
        <f aca="false">IF(AND(E168&lt;&gt;"",F168&lt;&gt;""),E168*F168,"")</f>
        <v/>
      </c>
      <c r="H168" s="113" t="str">
        <f aca="false">IF(B168&lt;&gt;"",SUMIF(B:B,B168,G:G),"")</f>
        <v/>
      </c>
      <c r="I168" s="112"/>
      <c r="J168" s="114" t="str">
        <f aca="false">IF(AND(I168&lt;&gt;"",H168&lt;&gt;""),IFERROR((I168-H168)/I168,""),"")</f>
        <v/>
      </c>
      <c r="K168" s="3"/>
      <c r="L168" s="112"/>
      <c r="M168" s="112"/>
      <c r="N168" s="112"/>
      <c r="O168" s="112"/>
      <c r="P168" s="112"/>
      <c r="Q168" s="112"/>
      <c r="R168" s="113" t="str">
        <f aca="false">IF(AND(P168&lt;&gt;"",Q168&lt;&gt;""),P168*Q168,"")</f>
        <v/>
      </c>
      <c r="S168" s="113" t="str">
        <f aca="false">IF(M168&lt;&gt;"",SUMIF(M:M,M168,R:R),"")</f>
        <v/>
      </c>
      <c r="T168" s="113" t="str">
        <f aca="false">IF(I168&lt;&gt;"",I168,"")</f>
        <v/>
      </c>
      <c r="U168" s="114" t="str">
        <f aca="false">IF(AND(T168&lt;&gt;"",S168&lt;&gt;""),IFERROR((T168-S168)/T168,""),"")</f>
        <v/>
      </c>
    </row>
    <row r="169" customFormat="false" ht="18.75" hidden="false" customHeight="true" outlineLevel="0" collapsed="false">
      <c r="A169" s="109"/>
      <c r="B169" s="109"/>
      <c r="C169" s="109"/>
      <c r="D169" s="109"/>
      <c r="E169" s="109"/>
      <c r="F169" s="109"/>
      <c r="G169" s="110" t="str">
        <f aca="false">IF(AND(E169&lt;&gt;"",F169&lt;&gt;""),E169*F169,"")</f>
        <v/>
      </c>
      <c r="H169" s="110" t="str">
        <f aca="false">IF(B169&lt;&gt;"",SUMIF(B:B,B169,G:G),"")</f>
        <v/>
      </c>
      <c r="I169" s="109"/>
      <c r="J169" s="111" t="str">
        <f aca="false">IF(AND(I169&lt;&gt;"",H169&lt;&gt;""),IFERROR((I169-H169)/I169,""),"")</f>
        <v/>
      </c>
      <c r="K169" s="3"/>
      <c r="L169" s="109"/>
      <c r="M169" s="109"/>
      <c r="N169" s="109"/>
      <c r="O169" s="109"/>
      <c r="P169" s="109"/>
      <c r="Q169" s="109"/>
      <c r="R169" s="110" t="str">
        <f aca="false">IF(AND(P169&lt;&gt;"",Q169&lt;&gt;""),P169*Q169,"")</f>
        <v/>
      </c>
      <c r="S169" s="110" t="str">
        <f aca="false">IF(M169&lt;&gt;"",SUMIF(M:M,M169,R:R),"")</f>
        <v/>
      </c>
      <c r="T169" s="110" t="str">
        <f aca="false">IF(I169&lt;&gt;"",I169,"")</f>
        <v/>
      </c>
      <c r="U169" s="111" t="str">
        <f aca="false">IF(AND(T169&lt;&gt;"",S169&lt;&gt;""),IFERROR((T169-S169)/T169,""),"")</f>
        <v/>
      </c>
    </row>
    <row r="170" customFormat="false" ht="18.75" hidden="false" customHeight="true" outlineLevel="0" collapsed="false">
      <c r="A170" s="112"/>
      <c r="B170" s="112"/>
      <c r="C170" s="112"/>
      <c r="D170" s="112"/>
      <c r="E170" s="112"/>
      <c r="F170" s="112"/>
      <c r="G170" s="113" t="str">
        <f aca="false">IF(AND(E170&lt;&gt;"",F170&lt;&gt;""),E170*F170,"")</f>
        <v/>
      </c>
      <c r="H170" s="113" t="str">
        <f aca="false">IF(B170&lt;&gt;"",SUMIF(B:B,B170,G:G),"")</f>
        <v/>
      </c>
      <c r="I170" s="112"/>
      <c r="J170" s="114" t="str">
        <f aca="false">IF(AND(I170&lt;&gt;"",H170&lt;&gt;""),IFERROR((I170-H170)/I170,""),"")</f>
        <v/>
      </c>
      <c r="K170" s="3"/>
      <c r="L170" s="112"/>
      <c r="M170" s="112"/>
      <c r="N170" s="112"/>
      <c r="O170" s="112"/>
      <c r="P170" s="112"/>
      <c r="Q170" s="112"/>
      <c r="R170" s="113" t="str">
        <f aca="false">IF(AND(P170&lt;&gt;"",Q170&lt;&gt;""),P170*Q170,"")</f>
        <v/>
      </c>
      <c r="S170" s="113" t="str">
        <f aca="false">IF(M170&lt;&gt;"",SUMIF(M:M,M170,R:R),"")</f>
        <v/>
      </c>
      <c r="T170" s="113" t="str">
        <f aca="false">IF(I170&lt;&gt;"",I170,"")</f>
        <v/>
      </c>
      <c r="U170" s="114" t="str">
        <f aca="false">IF(AND(T170&lt;&gt;"",S170&lt;&gt;""),IFERROR((T170-S170)/T170,""),"")</f>
        <v/>
      </c>
    </row>
    <row r="171" customFormat="false" ht="18.75" hidden="false" customHeight="true" outlineLevel="0" collapsed="false">
      <c r="A171" s="109"/>
      <c r="B171" s="109"/>
      <c r="C171" s="109"/>
      <c r="D171" s="109"/>
      <c r="E171" s="109"/>
      <c r="F171" s="109"/>
      <c r="G171" s="110" t="str">
        <f aca="false">IF(AND(E171&lt;&gt;"",F171&lt;&gt;""),E171*F171,"")</f>
        <v/>
      </c>
      <c r="H171" s="110" t="str">
        <f aca="false">IF(B171&lt;&gt;"",SUMIF(B:B,B171,G:G),"")</f>
        <v/>
      </c>
      <c r="I171" s="109"/>
      <c r="J171" s="111" t="str">
        <f aca="false">IF(AND(I171&lt;&gt;"",H171&lt;&gt;""),IFERROR((I171-H171)/I171,""),"")</f>
        <v/>
      </c>
      <c r="K171" s="3"/>
      <c r="L171" s="109"/>
      <c r="M171" s="109"/>
      <c r="N171" s="109"/>
      <c r="O171" s="109"/>
      <c r="P171" s="109"/>
      <c r="Q171" s="109"/>
      <c r="R171" s="110" t="str">
        <f aca="false">IF(AND(P171&lt;&gt;"",Q171&lt;&gt;""),P171*Q171,"")</f>
        <v/>
      </c>
      <c r="S171" s="110" t="str">
        <f aca="false">IF(M171&lt;&gt;"",SUMIF(M:M,M171,R:R),"")</f>
        <v/>
      </c>
      <c r="T171" s="110" t="str">
        <f aca="false">IF(I171&lt;&gt;"",I171,"")</f>
        <v/>
      </c>
      <c r="U171" s="111" t="str">
        <f aca="false">IF(AND(T171&lt;&gt;"",S171&lt;&gt;""),IFERROR((T171-S171)/T171,""),"")</f>
        <v/>
      </c>
    </row>
    <row r="172" customFormat="false" ht="18.75" hidden="false" customHeight="true" outlineLevel="0" collapsed="false">
      <c r="A172" s="112"/>
      <c r="B172" s="112"/>
      <c r="C172" s="112"/>
      <c r="D172" s="112"/>
      <c r="E172" s="112"/>
      <c r="F172" s="112"/>
      <c r="G172" s="113" t="str">
        <f aca="false">IF(AND(E172&lt;&gt;"",F172&lt;&gt;""),E172*F172,"")</f>
        <v/>
      </c>
      <c r="H172" s="113" t="str">
        <f aca="false">IF(B172&lt;&gt;"",SUMIF(B:B,B172,G:G),"")</f>
        <v/>
      </c>
      <c r="I172" s="112"/>
      <c r="J172" s="114" t="str">
        <f aca="false">IF(AND(I172&lt;&gt;"",H172&lt;&gt;""),IFERROR((I172-H172)/I172,""),"")</f>
        <v/>
      </c>
      <c r="K172" s="3"/>
      <c r="L172" s="112"/>
      <c r="M172" s="112"/>
      <c r="N172" s="112"/>
      <c r="O172" s="112"/>
      <c r="P172" s="112"/>
      <c r="Q172" s="112"/>
      <c r="R172" s="113" t="str">
        <f aca="false">IF(AND(P172&lt;&gt;"",Q172&lt;&gt;""),P172*Q172,"")</f>
        <v/>
      </c>
      <c r="S172" s="113" t="str">
        <f aca="false">IF(M172&lt;&gt;"",SUMIF(M:M,M172,R:R),"")</f>
        <v/>
      </c>
      <c r="T172" s="113" t="str">
        <f aca="false">IF(I172&lt;&gt;"",I172,"")</f>
        <v/>
      </c>
      <c r="U172" s="114" t="str">
        <f aca="false">IF(AND(T172&lt;&gt;"",S172&lt;&gt;""),IFERROR((T172-S172)/T172,""),"")</f>
        <v/>
      </c>
    </row>
    <row r="173" customFormat="false" ht="18.75" hidden="false" customHeight="true" outlineLevel="0" collapsed="false">
      <c r="A173" s="109"/>
      <c r="B173" s="109"/>
      <c r="C173" s="109"/>
      <c r="D173" s="109"/>
      <c r="E173" s="109"/>
      <c r="F173" s="109"/>
      <c r="G173" s="110" t="str">
        <f aca="false">IF(AND(E173&lt;&gt;"",F173&lt;&gt;""),E173*F173,"")</f>
        <v/>
      </c>
      <c r="H173" s="110" t="str">
        <f aca="false">IF(B173&lt;&gt;"",SUMIF(B:B,B173,G:G),"")</f>
        <v/>
      </c>
      <c r="I173" s="109"/>
      <c r="J173" s="111" t="str">
        <f aca="false">IF(AND(I173&lt;&gt;"",H173&lt;&gt;""),IFERROR((I173-H173)/I173,""),"")</f>
        <v/>
      </c>
      <c r="K173" s="3"/>
      <c r="L173" s="109"/>
      <c r="M173" s="109"/>
      <c r="N173" s="109"/>
      <c r="O173" s="109"/>
      <c r="P173" s="109"/>
      <c r="Q173" s="109"/>
      <c r="R173" s="110" t="str">
        <f aca="false">IF(AND(P173&lt;&gt;"",Q173&lt;&gt;""),P173*Q173,"")</f>
        <v/>
      </c>
      <c r="S173" s="110" t="str">
        <f aca="false">IF(M173&lt;&gt;"",SUMIF(M:M,M173,R:R),"")</f>
        <v/>
      </c>
      <c r="T173" s="110" t="str">
        <f aca="false">IF(I173&lt;&gt;"",I173,"")</f>
        <v/>
      </c>
      <c r="U173" s="111" t="str">
        <f aca="false">IF(AND(T173&lt;&gt;"",S173&lt;&gt;""),IFERROR((T173-S173)/T173,""),"")</f>
        <v/>
      </c>
    </row>
    <row r="174" customFormat="false" ht="18.75" hidden="false" customHeight="true" outlineLevel="0" collapsed="false">
      <c r="A174" s="112"/>
      <c r="B174" s="112"/>
      <c r="C174" s="112"/>
      <c r="D174" s="112"/>
      <c r="E174" s="112"/>
      <c r="F174" s="112"/>
      <c r="G174" s="113" t="str">
        <f aca="false">IF(AND(E174&lt;&gt;"",F174&lt;&gt;""),E174*F174,"")</f>
        <v/>
      </c>
      <c r="H174" s="113" t="str">
        <f aca="false">IF(B174&lt;&gt;"",SUMIF(B:B,B174,G:G),"")</f>
        <v/>
      </c>
      <c r="I174" s="112"/>
      <c r="J174" s="114" t="str">
        <f aca="false">IF(AND(I174&lt;&gt;"",H174&lt;&gt;""),IFERROR((I174-H174)/I174,""),"")</f>
        <v/>
      </c>
      <c r="K174" s="3"/>
      <c r="L174" s="112"/>
      <c r="M174" s="112"/>
      <c r="N174" s="112"/>
      <c r="O174" s="112"/>
      <c r="P174" s="112"/>
      <c r="Q174" s="112"/>
      <c r="R174" s="113" t="str">
        <f aca="false">IF(AND(P174&lt;&gt;"",Q174&lt;&gt;""),P174*Q174,"")</f>
        <v/>
      </c>
      <c r="S174" s="113" t="str">
        <f aca="false">IF(M174&lt;&gt;"",SUMIF(M:M,M174,R:R),"")</f>
        <v/>
      </c>
      <c r="T174" s="113" t="str">
        <f aca="false">IF(I174&lt;&gt;"",I174,"")</f>
        <v/>
      </c>
      <c r="U174" s="114" t="str">
        <f aca="false">IF(AND(T174&lt;&gt;"",S174&lt;&gt;""),IFERROR((T174-S174)/T174,""),"")</f>
        <v/>
      </c>
    </row>
    <row r="175" customFormat="false" ht="18.75" hidden="false" customHeight="true" outlineLevel="0" collapsed="false">
      <c r="A175" s="109"/>
      <c r="B175" s="109"/>
      <c r="C175" s="109"/>
      <c r="D175" s="109"/>
      <c r="E175" s="109"/>
      <c r="F175" s="109"/>
      <c r="G175" s="110" t="str">
        <f aca="false">IF(AND(E175&lt;&gt;"",F175&lt;&gt;""),E175*F175,"")</f>
        <v/>
      </c>
      <c r="H175" s="110" t="str">
        <f aca="false">IF(B175&lt;&gt;"",SUMIF(B:B,B175,G:G),"")</f>
        <v/>
      </c>
      <c r="I175" s="109"/>
      <c r="J175" s="111" t="str">
        <f aca="false">IF(AND(I175&lt;&gt;"",H175&lt;&gt;""),IFERROR((I175-H175)/I175,""),"")</f>
        <v/>
      </c>
      <c r="K175" s="3"/>
      <c r="L175" s="109"/>
      <c r="M175" s="109"/>
      <c r="N175" s="109"/>
      <c r="O175" s="109"/>
      <c r="P175" s="109"/>
      <c r="Q175" s="109"/>
      <c r="R175" s="110" t="str">
        <f aca="false">IF(AND(P175&lt;&gt;"",Q175&lt;&gt;""),P175*Q175,"")</f>
        <v/>
      </c>
      <c r="S175" s="110" t="str">
        <f aca="false">IF(M175&lt;&gt;"",SUMIF(M:M,M175,R:R),"")</f>
        <v/>
      </c>
      <c r="T175" s="110" t="str">
        <f aca="false">IF(I175&lt;&gt;"",I175,"")</f>
        <v/>
      </c>
      <c r="U175" s="111" t="str">
        <f aca="false">IF(AND(T175&lt;&gt;"",S175&lt;&gt;""),IFERROR((T175-S175)/T175,""),"")</f>
        <v/>
      </c>
    </row>
    <row r="176" customFormat="false" ht="18.75" hidden="false" customHeight="true" outlineLevel="0" collapsed="false">
      <c r="A176" s="112"/>
      <c r="B176" s="112"/>
      <c r="C176" s="112"/>
      <c r="D176" s="112"/>
      <c r="E176" s="112"/>
      <c r="F176" s="112"/>
      <c r="G176" s="113" t="str">
        <f aca="false">IF(AND(E176&lt;&gt;"",F176&lt;&gt;""),E176*F176,"")</f>
        <v/>
      </c>
      <c r="H176" s="113" t="str">
        <f aca="false">IF(B176&lt;&gt;"",SUMIF(B:B,B176,G:G),"")</f>
        <v/>
      </c>
      <c r="I176" s="112"/>
      <c r="J176" s="114" t="str">
        <f aca="false">IF(AND(I176&lt;&gt;"",H176&lt;&gt;""),IFERROR((I176-H176)/I176,""),"")</f>
        <v/>
      </c>
      <c r="K176" s="3"/>
      <c r="L176" s="112"/>
      <c r="M176" s="112"/>
      <c r="N176" s="112"/>
      <c r="O176" s="112"/>
      <c r="P176" s="112"/>
      <c r="Q176" s="112"/>
      <c r="R176" s="113" t="str">
        <f aca="false">IF(AND(P176&lt;&gt;"",Q176&lt;&gt;""),P176*Q176,"")</f>
        <v/>
      </c>
      <c r="S176" s="113" t="str">
        <f aca="false">IF(M176&lt;&gt;"",SUMIF(M:M,M176,R:R),"")</f>
        <v/>
      </c>
      <c r="T176" s="113" t="str">
        <f aca="false">IF(I176&lt;&gt;"",I176,"")</f>
        <v/>
      </c>
      <c r="U176" s="114" t="str">
        <f aca="false">IF(AND(T176&lt;&gt;"",S176&lt;&gt;""),IFERROR((T176-S176)/T176,""),"")</f>
        <v/>
      </c>
    </row>
    <row r="177" customFormat="false" ht="18.75" hidden="false" customHeight="true" outlineLevel="0" collapsed="false">
      <c r="A177" s="109"/>
      <c r="B177" s="109"/>
      <c r="C177" s="109"/>
      <c r="D177" s="109"/>
      <c r="E177" s="109"/>
      <c r="F177" s="109"/>
      <c r="G177" s="110" t="str">
        <f aca="false">IF(AND(E177&lt;&gt;"",F177&lt;&gt;""),E177*F177,"")</f>
        <v/>
      </c>
      <c r="H177" s="110" t="str">
        <f aca="false">IF(B177&lt;&gt;"",SUMIF(B:B,B177,G:G),"")</f>
        <v/>
      </c>
      <c r="I177" s="109"/>
      <c r="J177" s="111" t="str">
        <f aca="false">IF(AND(I177&lt;&gt;"",H177&lt;&gt;""),IFERROR((I177-H177)/I177,""),"")</f>
        <v/>
      </c>
      <c r="K177" s="3"/>
      <c r="L177" s="109"/>
      <c r="M177" s="109"/>
      <c r="N177" s="109"/>
      <c r="O177" s="109"/>
      <c r="P177" s="109"/>
      <c r="Q177" s="109"/>
      <c r="R177" s="110" t="str">
        <f aca="false">IF(AND(P177&lt;&gt;"",Q177&lt;&gt;""),P177*Q177,"")</f>
        <v/>
      </c>
      <c r="S177" s="110" t="str">
        <f aca="false">IF(M177&lt;&gt;"",SUMIF(M:M,M177,R:R),"")</f>
        <v/>
      </c>
      <c r="T177" s="110" t="str">
        <f aca="false">IF(I177&lt;&gt;"",I177,"")</f>
        <v/>
      </c>
      <c r="U177" s="111" t="str">
        <f aca="false">IF(AND(T177&lt;&gt;"",S177&lt;&gt;""),IFERROR((T177-S177)/T177,""),"")</f>
        <v/>
      </c>
    </row>
    <row r="178" customFormat="false" ht="18.75" hidden="false" customHeight="true" outlineLevel="0" collapsed="false">
      <c r="A178" s="112"/>
      <c r="B178" s="112"/>
      <c r="C178" s="112"/>
      <c r="D178" s="112"/>
      <c r="E178" s="112"/>
      <c r="F178" s="112"/>
      <c r="G178" s="113" t="str">
        <f aca="false">IF(AND(E178&lt;&gt;"",F178&lt;&gt;""),E178*F178,"")</f>
        <v/>
      </c>
      <c r="H178" s="113" t="str">
        <f aca="false">IF(B178&lt;&gt;"",SUMIF(B:B,B178,G:G),"")</f>
        <v/>
      </c>
      <c r="I178" s="112"/>
      <c r="J178" s="114" t="str">
        <f aca="false">IF(AND(I178&lt;&gt;"",H178&lt;&gt;""),IFERROR((I178-H178)/I178,""),"")</f>
        <v/>
      </c>
      <c r="K178" s="3"/>
      <c r="L178" s="112"/>
      <c r="M178" s="112"/>
      <c r="N178" s="112"/>
      <c r="O178" s="112"/>
      <c r="P178" s="112"/>
      <c r="Q178" s="112"/>
      <c r="R178" s="113" t="str">
        <f aca="false">IF(AND(P178&lt;&gt;"",Q178&lt;&gt;""),P178*Q178,"")</f>
        <v/>
      </c>
      <c r="S178" s="113" t="str">
        <f aca="false">IF(M178&lt;&gt;"",SUMIF(M:M,M178,R:R),"")</f>
        <v/>
      </c>
      <c r="T178" s="113" t="str">
        <f aca="false">IF(I178&lt;&gt;"",I178,"")</f>
        <v/>
      </c>
      <c r="U178" s="114" t="str">
        <f aca="false">IF(AND(T178&lt;&gt;"",S178&lt;&gt;""),IFERROR((T178-S178)/T178,""),"")</f>
        <v/>
      </c>
    </row>
    <row r="179" customFormat="false" ht="18.75" hidden="false" customHeight="true" outlineLevel="0" collapsed="false">
      <c r="A179" s="109"/>
      <c r="B179" s="109"/>
      <c r="C179" s="109"/>
      <c r="D179" s="109"/>
      <c r="E179" s="109"/>
      <c r="F179" s="109"/>
      <c r="G179" s="110" t="str">
        <f aca="false">IF(AND(E179&lt;&gt;"",F179&lt;&gt;""),E179*F179,"")</f>
        <v/>
      </c>
      <c r="H179" s="110" t="str">
        <f aca="false">IF(B179&lt;&gt;"",SUMIF(B:B,B179,G:G),"")</f>
        <v/>
      </c>
      <c r="I179" s="109"/>
      <c r="J179" s="111" t="str">
        <f aca="false">IF(AND(I179&lt;&gt;"",H179&lt;&gt;""),IFERROR((I179-H179)/I179,""),"")</f>
        <v/>
      </c>
      <c r="K179" s="3"/>
      <c r="L179" s="109"/>
      <c r="M179" s="109"/>
      <c r="N179" s="109"/>
      <c r="O179" s="109"/>
      <c r="P179" s="109"/>
      <c r="Q179" s="109"/>
      <c r="R179" s="110" t="str">
        <f aca="false">IF(AND(P179&lt;&gt;"",Q179&lt;&gt;""),P179*Q179,"")</f>
        <v/>
      </c>
      <c r="S179" s="110" t="str">
        <f aca="false">IF(M179&lt;&gt;"",SUMIF(M:M,M179,R:R),"")</f>
        <v/>
      </c>
      <c r="T179" s="110" t="str">
        <f aca="false">IF(I179&lt;&gt;"",I179,"")</f>
        <v/>
      </c>
      <c r="U179" s="111" t="str">
        <f aca="false">IF(AND(T179&lt;&gt;"",S179&lt;&gt;""),IFERROR((T179-S179)/T179,""),"")</f>
        <v/>
      </c>
    </row>
    <row r="180" customFormat="false" ht="18.75" hidden="false" customHeight="true" outlineLevel="0" collapsed="false">
      <c r="A180" s="112"/>
      <c r="B180" s="112"/>
      <c r="C180" s="112"/>
      <c r="D180" s="112"/>
      <c r="E180" s="112"/>
      <c r="F180" s="112"/>
      <c r="G180" s="113" t="str">
        <f aca="false">IF(AND(E180&lt;&gt;"",F180&lt;&gt;""),E180*F180,"")</f>
        <v/>
      </c>
      <c r="H180" s="113" t="str">
        <f aca="false">IF(B180&lt;&gt;"",SUMIF(B:B,B180,G:G),"")</f>
        <v/>
      </c>
      <c r="I180" s="112"/>
      <c r="J180" s="114" t="str">
        <f aca="false">IF(AND(I180&lt;&gt;"",H180&lt;&gt;""),IFERROR((I180-H180)/I180,""),"")</f>
        <v/>
      </c>
      <c r="K180" s="3"/>
      <c r="L180" s="112"/>
      <c r="M180" s="112"/>
      <c r="N180" s="112"/>
      <c r="O180" s="112"/>
      <c r="P180" s="112"/>
      <c r="Q180" s="112"/>
      <c r="R180" s="113" t="str">
        <f aca="false">IF(AND(P180&lt;&gt;"",Q180&lt;&gt;""),P180*Q180,"")</f>
        <v/>
      </c>
      <c r="S180" s="113" t="str">
        <f aca="false">IF(M180&lt;&gt;"",SUMIF(M:M,M180,R:R),"")</f>
        <v/>
      </c>
      <c r="T180" s="113" t="str">
        <f aca="false">IF(I180&lt;&gt;"",I180,"")</f>
        <v/>
      </c>
      <c r="U180" s="114" t="str">
        <f aca="false">IF(AND(T180&lt;&gt;"",S180&lt;&gt;""),IFERROR((T180-S180)/T180,""),"")</f>
        <v/>
      </c>
    </row>
    <row r="181" customFormat="false" ht="18.75" hidden="false" customHeight="true" outlineLevel="0" collapsed="false">
      <c r="A181" s="109"/>
      <c r="B181" s="109"/>
      <c r="C181" s="109"/>
      <c r="D181" s="109"/>
      <c r="E181" s="109"/>
      <c r="F181" s="109"/>
      <c r="G181" s="110" t="str">
        <f aca="false">IF(AND(E181&lt;&gt;"",F181&lt;&gt;""),E181*F181,"")</f>
        <v/>
      </c>
      <c r="H181" s="110" t="str">
        <f aca="false">IF(B181&lt;&gt;"",SUMIF(B:B,B181,G:G),"")</f>
        <v/>
      </c>
      <c r="I181" s="109"/>
      <c r="J181" s="111" t="str">
        <f aca="false">IF(AND(I181&lt;&gt;"",H181&lt;&gt;""),IFERROR((I181-H181)/I181,""),"")</f>
        <v/>
      </c>
      <c r="K181" s="3"/>
      <c r="L181" s="109"/>
      <c r="M181" s="109"/>
      <c r="N181" s="109"/>
      <c r="O181" s="109"/>
      <c r="P181" s="109"/>
      <c r="Q181" s="109"/>
      <c r="R181" s="110" t="str">
        <f aca="false">IF(AND(P181&lt;&gt;"",Q181&lt;&gt;""),P181*Q181,"")</f>
        <v/>
      </c>
      <c r="S181" s="110" t="str">
        <f aca="false">IF(M181&lt;&gt;"",SUMIF(M:M,M181,R:R),"")</f>
        <v/>
      </c>
      <c r="T181" s="110" t="str">
        <f aca="false">IF(I181&lt;&gt;"",I181,"")</f>
        <v/>
      </c>
      <c r="U181" s="111" t="str">
        <f aca="false">IF(AND(T181&lt;&gt;"",S181&lt;&gt;""),IFERROR((T181-S181)/T181,""),"")</f>
        <v/>
      </c>
    </row>
    <row r="182" customFormat="false" ht="18.75" hidden="false" customHeight="true" outlineLevel="0" collapsed="false">
      <c r="A182" s="112"/>
      <c r="B182" s="112"/>
      <c r="C182" s="112"/>
      <c r="D182" s="112"/>
      <c r="E182" s="112"/>
      <c r="F182" s="112"/>
      <c r="G182" s="113" t="str">
        <f aca="false">IF(AND(E182&lt;&gt;"",F182&lt;&gt;""),E182*F182,"")</f>
        <v/>
      </c>
      <c r="H182" s="113" t="str">
        <f aca="false">IF(B182&lt;&gt;"",SUMIF(B:B,B182,G:G),"")</f>
        <v/>
      </c>
      <c r="I182" s="112"/>
      <c r="J182" s="114" t="str">
        <f aca="false">IF(AND(I182&lt;&gt;"",H182&lt;&gt;""),IFERROR((I182-H182)/I182,""),"")</f>
        <v/>
      </c>
      <c r="K182" s="3"/>
      <c r="L182" s="112"/>
      <c r="M182" s="112"/>
      <c r="N182" s="112"/>
      <c r="O182" s="112"/>
      <c r="P182" s="112"/>
      <c r="Q182" s="112"/>
      <c r="R182" s="113" t="str">
        <f aca="false">IF(AND(P182&lt;&gt;"",Q182&lt;&gt;""),P182*Q182,"")</f>
        <v/>
      </c>
      <c r="S182" s="113" t="str">
        <f aca="false">IF(M182&lt;&gt;"",SUMIF(M:M,M182,R:R),"")</f>
        <v/>
      </c>
      <c r="T182" s="113" t="str">
        <f aca="false">IF(I182&lt;&gt;"",I182,"")</f>
        <v/>
      </c>
      <c r="U182" s="114" t="str">
        <f aca="false">IF(AND(T182&lt;&gt;"",S182&lt;&gt;""),IFERROR((T182-S182)/T182,""),"")</f>
        <v/>
      </c>
    </row>
    <row r="183" customFormat="false" ht="18.75" hidden="false" customHeight="true" outlineLevel="0" collapsed="false">
      <c r="A183" s="109"/>
      <c r="B183" s="109"/>
      <c r="C183" s="109"/>
      <c r="D183" s="109"/>
      <c r="E183" s="109"/>
      <c r="F183" s="109"/>
      <c r="G183" s="110" t="str">
        <f aca="false">IF(AND(E183&lt;&gt;"",F183&lt;&gt;""),E183*F183,"")</f>
        <v/>
      </c>
      <c r="H183" s="110" t="str">
        <f aca="false">IF(B183&lt;&gt;"",SUMIF(B:B,B183,G:G),"")</f>
        <v/>
      </c>
      <c r="I183" s="109"/>
      <c r="J183" s="111" t="str">
        <f aca="false">IF(AND(I183&lt;&gt;"",H183&lt;&gt;""),IFERROR((I183-H183)/I183,""),"")</f>
        <v/>
      </c>
      <c r="K183" s="3"/>
      <c r="L183" s="109"/>
      <c r="M183" s="109"/>
      <c r="N183" s="109"/>
      <c r="O183" s="109"/>
      <c r="P183" s="109"/>
      <c r="Q183" s="109"/>
      <c r="R183" s="110" t="str">
        <f aca="false">IF(AND(P183&lt;&gt;"",Q183&lt;&gt;""),P183*Q183,"")</f>
        <v/>
      </c>
      <c r="S183" s="110" t="str">
        <f aca="false">IF(M183&lt;&gt;"",SUMIF(M:M,M183,R:R),"")</f>
        <v/>
      </c>
      <c r="T183" s="110" t="str">
        <f aca="false">IF(I183&lt;&gt;"",I183,"")</f>
        <v/>
      </c>
      <c r="U183" s="111" t="str">
        <f aca="false">IF(AND(T183&lt;&gt;"",S183&lt;&gt;""),IFERROR((T183-S183)/T183,""),"")</f>
        <v/>
      </c>
    </row>
    <row r="184" customFormat="false" ht="18.75" hidden="false" customHeight="true" outlineLevel="0" collapsed="false">
      <c r="A184" s="112"/>
      <c r="B184" s="112"/>
      <c r="C184" s="112"/>
      <c r="D184" s="112"/>
      <c r="E184" s="112"/>
      <c r="F184" s="112"/>
      <c r="G184" s="113" t="str">
        <f aca="false">IF(AND(E184&lt;&gt;"",F184&lt;&gt;""),E184*F184,"")</f>
        <v/>
      </c>
      <c r="H184" s="113" t="str">
        <f aca="false">IF(B184&lt;&gt;"",SUMIF(B:B,B184,G:G),"")</f>
        <v/>
      </c>
      <c r="I184" s="112"/>
      <c r="J184" s="114" t="str">
        <f aca="false">IF(AND(I184&lt;&gt;"",H184&lt;&gt;""),IFERROR((I184-H184)/I184,""),"")</f>
        <v/>
      </c>
      <c r="K184" s="3"/>
      <c r="L184" s="112"/>
      <c r="M184" s="112"/>
      <c r="N184" s="112"/>
      <c r="O184" s="112"/>
      <c r="P184" s="112"/>
      <c r="Q184" s="112"/>
      <c r="R184" s="113" t="str">
        <f aca="false">IF(AND(P184&lt;&gt;"",Q184&lt;&gt;""),P184*Q184,"")</f>
        <v/>
      </c>
      <c r="S184" s="113" t="str">
        <f aca="false">IF(M184&lt;&gt;"",SUMIF(M:M,M184,R:R),"")</f>
        <v/>
      </c>
      <c r="T184" s="113" t="str">
        <f aca="false">IF(I184&lt;&gt;"",I184,"")</f>
        <v/>
      </c>
      <c r="U184" s="114" t="str">
        <f aca="false">IF(AND(T184&lt;&gt;"",S184&lt;&gt;""),IFERROR((T184-S184)/T184,""),"")</f>
        <v/>
      </c>
    </row>
    <row r="185" customFormat="false" ht="18.75" hidden="false" customHeight="true" outlineLevel="0" collapsed="false">
      <c r="A185" s="109"/>
      <c r="B185" s="109"/>
      <c r="C185" s="109"/>
      <c r="D185" s="109"/>
      <c r="E185" s="109"/>
      <c r="F185" s="109"/>
      <c r="G185" s="110" t="str">
        <f aca="false">IF(AND(E185&lt;&gt;"",F185&lt;&gt;""),E185*F185,"")</f>
        <v/>
      </c>
      <c r="H185" s="110" t="str">
        <f aca="false">IF(B185&lt;&gt;"",SUMIF(B:B,B185,G:G),"")</f>
        <v/>
      </c>
      <c r="I185" s="109"/>
      <c r="J185" s="111" t="str">
        <f aca="false">IF(AND(I185&lt;&gt;"",H185&lt;&gt;""),IFERROR((I185-H185)/I185,""),"")</f>
        <v/>
      </c>
      <c r="K185" s="3"/>
      <c r="L185" s="109"/>
      <c r="M185" s="109"/>
      <c r="N185" s="109"/>
      <c r="O185" s="109"/>
      <c r="P185" s="109"/>
      <c r="Q185" s="109"/>
      <c r="R185" s="110" t="str">
        <f aca="false">IF(AND(P185&lt;&gt;"",Q185&lt;&gt;""),P185*Q185,"")</f>
        <v/>
      </c>
      <c r="S185" s="110" t="str">
        <f aca="false">IF(M185&lt;&gt;"",SUMIF(M:M,M185,R:R),"")</f>
        <v/>
      </c>
      <c r="T185" s="110" t="str">
        <f aca="false">IF(I185&lt;&gt;"",I185,"")</f>
        <v/>
      </c>
      <c r="U185" s="111" t="str">
        <f aca="false">IF(AND(T185&lt;&gt;"",S185&lt;&gt;""),IFERROR((T185-S185)/T185,""),"")</f>
        <v/>
      </c>
    </row>
    <row r="186" customFormat="false" ht="18.75" hidden="false" customHeight="true" outlineLevel="0" collapsed="false">
      <c r="A186" s="112"/>
      <c r="B186" s="112"/>
      <c r="C186" s="112"/>
      <c r="D186" s="112"/>
      <c r="E186" s="112"/>
      <c r="F186" s="112"/>
      <c r="G186" s="113" t="str">
        <f aca="false">IF(AND(E186&lt;&gt;"",F186&lt;&gt;""),E186*F186,"")</f>
        <v/>
      </c>
      <c r="H186" s="113" t="str">
        <f aca="false">IF(B186&lt;&gt;"",SUMIF(B:B,B186,G:G),"")</f>
        <v/>
      </c>
      <c r="I186" s="112"/>
      <c r="J186" s="114" t="str">
        <f aca="false">IF(AND(I186&lt;&gt;"",H186&lt;&gt;""),IFERROR((I186-H186)/I186,""),"")</f>
        <v/>
      </c>
      <c r="K186" s="3"/>
      <c r="L186" s="112"/>
      <c r="M186" s="112"/>
      <c r="N186" s="112"/>
      <c r="O186" s="112"/>
      <c r="P186" s="112"/>
      <c r="Q186" s="112"/>
      <c r="R186" s="113" t="str">
        <f aca="false">IF(AND(P186&lt;&gt;"",Q186&lt;&gt;""),P186*Q186,"")</f>
        <v/>
      </c>
      <c r="S186" s="113" t="str">
        <f aca="false">IF(M186&lt;&gt;"",SUMIF(M:M,M186,R:R),"")</f>
        <v/>
      </c>
      <c r="T186" s="113" t="str">
        <f aca="false">IF(I186&lt;&gt;"",I186,"")</f>
        <v/>
      </c>
      <c r="U186" s="114" t="str">
        <f aca="false">IF(AND(T186&lt;&gt;"",S186&lt;&gt;""),IFERROR((T186-S186)/T186,""),"")</f>
        <v/>
      </c>
    </row>
    <row r="187" customFormat="false" ht="18.75" hidden="false" customHeight="true" outlineLevel="0" collapsed="false">
      <c r="A187" s="109"/>
      <c r="B187" s="109"/>
      <c r="C187" s="109"/>
      <c r="D187" s="109"/>
      <c r="E187" s="109"/>
      <c r="F187" s="109"/>
      <c r="G187" s="110" t="str">
        <f aca="false">IF(AND(E187&lt;&gt;"",F187&lt;&gt;""),E187*F187,"")</f>
        <v/>
      </c>
      <c r="H187" s="110" t="str">
        <f aca="false">IF(B187&lt;&gt;"",SUMIF(B:B,B187,G:G),"")</f>
        <v/>
      </c>
      <c r="I187" s="109"/>
      <c r="J187" s="111" t="str">
        <f aca="false">IF(AND(I187&lt;&gt;"",H187&lt;&gt;""),IFERROR((I187-H187)/I187,""),"")</f>
        <v/>
      </c>
      <c r="K187" s="3"/>
      <c r="L187" s="109"/>
      <c r="M187" s="109"/>
      <c r="N187" s="109"/>
      <c r="O187" s="109"/>
      <c r="P187" s="109"/>
      <c r="Q187" s="109"/>
      <c r="R187" s="110" t="str">
        <f aca="false">IF(AND(P187&lt;&gt;"",Q187&lt;&gt;""),P187*Q187,"")</f>
        <v/>
      </c>
      <c r="S187" s="110" t="str">
        <f aca="false">IF(M187&lt;&gt;"",SUMIF(M:M,M187,R:R),"")</f>
        <v/>
      </c>
      <c r="T187" s="110" t="str">
        <f aca="false">IF(I187&lt;&gt;"",I187,"")</f>
        <v/>
      </c>
      <c r="U187" s="111" t="str">
        <f aca="false">IF(AND(T187&lt;&gt;"",S187&lt;&gt;""),IFERROR((T187-S187)/T187,""),"")</f>
        <v/>
      </c>
    </row>
    <row r="188" customFormat="false" ht="18.75" hidden="false" customHeight="true" outlineLevel="0" collapsed="false">
      <c r="A188" s="112"/>
      <c r="B188" s="112"/>
      <c r="C188" s="112"/>
      <c r="D188" s="112"/>
      <c r="E188" s="112"/>
      <c r="F188" s="112"/>
      <c r="G188" s="113" t="str">
        <f aca="false">IF(AND(E188&lt;&gt;"",F188&lt;&gt;""),E188*F188,"")</f>
        <v/>
      </c>
      <c r="H188" s="113" t="str">
        <f aca="false">IF(B188&lt;&gt;"",SUMIF(B:B,B188,G:G),"")</f>
        <v/>
      </c>
      <c r="I188" s="112"/>
      <c r="J188" s="114" t="str">
        <f aca="false">IF(AND(I188&lt;&gt;"",H188&lt;&gt;""),IFERROR((I188-H188)/I188,""),"")</f>
        <v/>
      </c>
      <c r="K188" s="3"/>
      <c r="L188" s="112"/>
      <c r="M188" s="112"/>
      <c r="N188" s="112"/>
      <c r="O188" s="112"/>
      <c r="P188" s="112"/>
      <c r="Q188" s="112"/>
      <c r="R188" s="113" t="str">
        <f aca="false">IF(AND(P188&lt;&gt;"",Q188&lt;&gt;""),P188*Q188,"")</f>
        <v/>
      </c>
      <c r="S188" s="113" t="str">
        <f aca="false">IF(M188&lt;&gt;"",SUMIF(M:M,M188,R:R),"")</f>
        <v/>
      </c>
      <c r="T188" s="113" t="str">
        <f aca="false">IF(I188&lt;&gt;"",I188,"")</f>
        <v/>
      </c>
      <c r="U188" s="114" t="str">
        <f aca="false">IF(AND(T188&lt;&gt;"",S188&lt;&gt;""),IFERROR((T188-S188)/T188,""),"")</f>
        <v/>
      </c>
    </row>
    <row r="189" customFormat="false" ht="18.75" hidden="false" customHeight="true" outlineLevel="0" collapsed="false">
      <c r="A189" s="109"/>
      <c r="B189" s="109"/>
      <c r="C189" s="109"/>
      <c r="D189" s="109"/>
      <c r="E189" s="109"/>
      <c r="F189" s="109"/>
      <c r="G189" s="110" t="str">
        <f aca="false">IF(AND(E189&lt;&gt;"",F189&lt;&gt;""),E189*F189,"")</f>
        <v/>
      </c>
      <c r="H189" s="110" t="str">
        <f aca="false">IF(B189&lt;&gt;"",SUMIF(B:B,B189,G:G),"")</f>
        <v/>
      </c>
      <c r="I189" s="109"/>
      <c r="J189" s="111" t="str">
        <f aca="false">IF(AND(I189&lt;&gt;"",H189&lt;&gt;""),IFERROR((I189-H189)/I189,""),"")</f>
        <v/>
      </c>
      <c r="K189" s="3"/>
      <c r="L189" s="109"/>
      <c r="M189" s="109"/>
      <c r="N189" s="109"/>
      <c r="O189" s="109"/>
      <c r="P189" s="109"/>
      <c r="Q189" s="109"/>
      <c r="R189" s="110" t="str">
        <f aca="false">IF(AND(P189&lt;&gt;"",Q189&lt;&gt;""),P189*Q189,"")</f>
        <v/>
      </c>
      <c r="S189" s="110" t="str">
        <f aca="false">IF(M189&lt;&gt;"",SUMIF(M:M,M189,R:R),"")</f>
        <v/>
      </c>
      <c r="T189" s="110" t="str">
        <f aca="false">IF(I189&lt;&gt;"",I189,"")</f>
        <v/>
      </c>
      <c r="U189" s="111" t="str">
        <f aca="false">IF(AND(T189&lt;&gt;"",S189&lt;&gt;""),IFERROR((T189-S189)/T189,""),"")</f>
        <v/>
      </c>
    </row>
    <row r="190" customFormat="false" ht="18.75" hidden="false" customHeight="true" outlineLevel="0" collapsed="false">
      <c r="A190" s="112"/>
      <c r="B190" s="112"/>
      <c r="C190" s="112"/>
      <c r="D190" s="112"/>
      <c r="E190" s="112"/>
      <c r="F190" s="112"/>
      <c r="G190" s="113" t="str">
        <f aca="false">IF(AND(E190&lt;&gt;"",F190&lt;&gt;""),E190*F190,"")</f>
        <v/>
      </c>
      <c r="H190" s="113" t="str">
        <f aca="false">IF(B190&lt;&gt;"",SUMIF(B:B,B190,G:G),"")</f>
        <v/>
      </c>
      <c r="I190" s="112"/>
      <c r="J190" s="114" t="str">
        <f aca="false">IF(AND(I190&lt;&gt;"",H190&lt;&gt;""),IFERROR((I190-H190)/I190,""),"")</f>
        <v/>
      </c>
      <c r="K190" s="3"/>
      <c r="L190" s="112"/>
      <c r="M190" s="112"/>
      <c r="N190" s="112"/>
      <c r="O190" s="112"/>
      <c r="P190" s="112"/>
      <c r="Q190" s="112"/>
      <c r="R190" s="113" t="str">
        <f aca="false">IF(AND(P190&lt;&gt;"",Q190&lt;&gt;""),P190*Q190,"")</f>
        <v/>
      </c>
      <c r="S190" s="113" t="str">
        <f aca="false">IF(M190&lt;&gt;"",SUMIF(M:M,M190,R:R),"")</f>
        <v/>
      </c>
      <c r="T190" s="113" t="str">
        <f aca="false">IF(I190&lt;&gt;"",I190,"")</f>
        <v/>
      </c>
      <c r="U190" s="114" t="str">
        <f aca="false">IF(AND(T190&lt;&gt;"",S190&lt;&gt;""),IFERROR((T190-S190)/T190,""),"")</f>
        <v/>
      </c>
    </row>
    <row r="191" customFormat="false" ht="18.75" hidden="false" customHeight="true" outlineLevel="0" collapsed="false">
      <c r="A191" s="109"/>
      <c r="B191" s="109"/>
      <c r="C191" s="109"/>
      <c r="D191" s="109"/>
      <c r="E191" s="109"/>
      <c r="F191" s="109"/>
      <c r="G191" s="110" t="str">
        <f aca="false">IF(AND(E191&lt;&gt;"",F191&lt;&gt;""),E191*F191,"")</f>
        <v/>
      </c>
      <c r="H191" s="110" t="str">
        <f aca="false">IF(B191&lt;&gt;"",SUMIF(B:B,B191,G:G),"")</f>
        <v/>
      </c>
      <c r="I191" s="109"/>
      <c r="J191" s="111" t="str">
        <f aca="false">IF(AND(I191&lt;&gt;"",H191&lt;&gt;""),IFERROR((I191-H191)/I191,""),"")</f>
        <v/>
      </c>
      <c r="K191" s="3"/>
      <c r="L191" s="109"/>
      <c r="M191" s="109"/>
      <c r="N191" s="109"/>
      <c r="O191" s="109"/>
      <c r="P191" s="109"/>
      <c r="Q191" s="109"/>
      <c r="R191" s="110" t="str">
        <f aca="false">IF(AND(P191&lt;&gt;"",Q191&lt;&gt;""),P191*Q191,"")</f>
        <v/>
      </c>
      <c r="S191" s="110" t="str">
        <f aca="false">IF(M191&lt;&gt;"",SUMIF(M:M,M191,R:R),"")</f>
        <v/>
      </c>
      <c r="T191" s="110" t="str">
        <f aca="false">IF(I191&lt;&gt;"",I191,"")</f>
        <v/>
      </c>
      <c r="U191" s="111" t="str">
        <f aca="false">IF(AND(T191&lt;&gt;"",S191&lt;&gt;""),IFERROR((T191-S191)/T191,""),"")</f>
        <v/>
      </c>
    </row>
    <row r="192" customFormat="false" ht="18.75" hidden="false" customHeight="true" outlineLevel="0" collapsed="false">
      <c r="A192" s="112"/>
      <c r="B192" s="112"/>
      <c r="C192" s="112"/>
      <c r="D192" s="112"/>
      <c r="E192" s="112"/>
      <c r="F192" s="112"/>
      <c r="G192" s="113" t="str">
        <f aca="false">IF(AND(E192&lt;&gt;"",F192&lt;&gt;""),E192*F192,"")</f>
        <v/>
      </c>
      <c r="H192" s="113" t="str">
        <f aca="false">IF(B192&lt;&gt;"",SUMIF(B:B,B192,G:G),"")</f>
        <v/>
      </c>
      <c r="I192" s="112"/>
      <c r="J192" s="114" t="str">
        <f aca="false">IF(AND(I192&lt;&gt;"",H192&lt;&gt;""),IFERROR((I192-H192)/I192,""),"")</f>
        <v/>
      </c>
      <c r="K192" s="3"/>
      <c r="L192" s="112"/>
      <c r="M192" s="112"/>
      <c r="N192" s="112"/>
      <c r="O192" s="112"/>
      <c r="P192" s="112"/>
      <c r="Q192" s="112"/>
      <c r="R192" s="113" t="str">
        <f aca="false">IF(AND(P192&lt;&gt;"",Q192&lt;&gt;""),P192*Q192,"")</f>
        <v/>
      </c>
      <c r="S192" s="113" t="str">
        <f aca="false">IF(M192&lt;&gt;"",SUMIF(M:M,M192,R:R),"")</f>
        <v/>
      </c>
      <c r="T192" s="113" t="str">
        <f aca="false">IF(I192&lt;&gt;"",I192,"")</f>
        <v/>
      </c>
      <c r="U192" s="114" t="str">
        <f aca="false">IF(AND(T192&lt;&gt;"",S192&lt;&gt;""),IFERROR((T192-S192)/T192,""),"")</f>
        <v/>
      </c>
    </row>
    <row r="193" customFormat="false" ht="18.75" hidden="false" customHeight="true" outlineLevel="0" collapsed="false">
      <c r="K193" s="3"/>
    </row>
    <row r="194" customFormat="false" ht="18.75" hidden="false" customHeight="true" outlineLevel="0" collapsed="false">
      <c r="K194" s="3"/>
    </row>
    <row r="195" customFormat="false" ht="18.75" hidden="false" customHeight="true" outlineLevel="0" collapsed="false">
      <c r="K195" s="3"/>
    </row>
    <row r="196" customFormat="false" ht="18.75" hidden="false" customHeight="true" outlineLevel="0" collapsed="false">
      <c r="K196" s="3"/>
    </row>
    <row r="197" customFormat="false" ht="18.75" hidden="false" customHeight="true" outlineLevel="0" collapsed="false">
      <c r="K197" s="3"/>
    </row>
    <row r="198" customFormat="false" ht="18.75" hidden="false" customHeight="true" outlineLevel="0" collapsed="false">
      <c r="K198" s="3"/>
    </row>
    <row r="199" customFormat="false" ht="18.75" hidden="false" customHeight="true" outlineLevel="0" collapsed="false">
      <c r="K199" s="3"/>
    </row>
    <row r="200" customFormat="false" ht="18.75" hidden="false" customHeight="true" outlineLevel="0" collapsed="false">
      <c r="K200" s="3"/>
    </row>
    <row r="201" customFormat="false" ht="18.75" hidden="false" customHeight="true" outlineLevel="0" collapsed="false">
      <c r="K201" s="3"/>
    </row>
    <row r="202" customFormat="false" ht="18.75" hidden="false" customHeight="true" outlineLevel="0" collapsed="false">
      <c r="K202" s="3"/>
    </row>
    <row r="203" customFormat="false" ht="18.75" hidden="false" customHeight="true" outlineLevel="0" collapsed="false">
      <c r="K203" s="3"/>
    </row>
    <row r="204" customFormat="false" ht="18.75" hidden="false" customHeight="true" outlineLevel="0" collapsed="false">
      <c r="K204" s="3"/>
    </row>
    <row r="205" customFormat="false" ht="18.75" hidden="false" customHeight="true" outlineLevel="0" collapsed="false">
      <c r="K205" s="3"/>
    </row>
    <row r="206" customFormat="false" ht="18.75" hidden="false" customHeight="true" outlineLevel="0" collapsed="false">
      <c r="K206" s="3"/>
    </row>
    <row r="207" customFormat="false" ht="18.75" hidden="false" customHeight="true" outlineLevel="0" collapsed="false">
      <c r="K207" s="3"/>
    </row>
    <row r="208" customFormat="false" ht="18.75" hidden="false" customHeight="true" outlineLevel="0" collapsed="false">
      <c r="K208" s="3"/>
    </row>
    <row r="209" customFormat="false" ht="18.75" hidden="false" customHeight="true" outlineLevel="0" collapsed="false">
      <c r="K209" s="3"/>
    </row>
    <row r="210" customFormat="false" ht="18.75" hidden="false" customHeight="true" outlineLevel="0" collapsed="false">
      <c r="K210" s="3"/>
    </row>
    <row r="211" customFormat="false" ht="18.75" hidden="false" customHeight="true" outlineLevel="0" collapsed="false">
      <c r="K211" s="3"/>
    </row>
    <row r="212" customFormat="false" ht="18.75" hidden="false" customHeight="true" outlineLevel="0" collapsed="false">
      <c r="K212" s="3"/>
    </row>
    <row r="213" customFormat="false" ht="18.75" hidden="false" customHeight="true" outlineLevel="0" collapsed="false">
      <c r="K213" s="3"/>
    </row>
    <row r="214" customFormat="false" ht="18.75" hidden="false" customHeight="true" outlineLevel="0" collapsed="false">
      <c r="K214" s="3"/>
    </row>
    <row r="215" customFormat="false" ht="18.75" hidden="false" customHeight="true" outlineLevel="0" collapsed="false">
      <c r="K215" s="3"/>
    </row>
    <row r="216" customFormat="false" ht="18.75" hidden="false" customHeight="true" outlineLevel="0" collapsed="false">
      <c r="K216" s="3"/>
    </row>
    <row r="217" customFormat="false" ht="18.75" hidden="false" customHeight="true" outlineLevel="0" collapsed="false">
      <c r="K217" s="3"/>
    </row>
    <row r="218" customFormat="false" ht="18.75" hidden="false" customHeight="true" outlineLevel="0" collapsed="false">
      <c r="K218" s="3"/>
    </row>
    <row r="219" customFormat="false" ht="18.75" hidden="false" customHeight="true" outlineLevel="0" collapsed="false">
      <c r="K219" s="3"/>
    </row>
    <row r="220" customFormat="false" ht="18.75" hidden="false" customHeight="true" outlineLevel="0" collapsed="false">
      <c r="K220" s="3"/>
    </row>
    <row r="221" customFormat="false" ht="18.75" hidden="false" customHeight="true" outlineLevel="0" collapsed="false">
      <c r="K221" s="3"/>
    </row>
    <row r="222" customFormat="false" ht="18.75" hidden="false" customHeight="true" outlineLevel="0" collapsed="false">
      <c r="K222" s="3"/>
    </row>
    <row r="223" customFormat="false" ht="18.75" hidden="false" customHeight="true" outlineLevel="0" collapsed="false">
      <c r="K223" s="3"/>
    </row>
    <row r="224" customFormat="false" ht="18.75" hidden="false" customHeight="true" outlineLevel="0" collapsed="false">
      <c r="K224" s="3"/>
    </row>
    <row r="225" customFormat="false" ht="18.75" hidden="false" customHeight="true" outlineLevel="0" collapsed="false">
      <c r="K225" s="3"/>
    </row>
    <row r="226" customFormat="false" ht="18.75" hidden="false" customHeight="true" outlineLevel="0" collapsed="false">
      <c r="K226" s="3"/>
    </row>
    <row r="227" customFormat="false" ht="18.75" hidden="false" customHeight="true" outlineLevel="0" collapsed="false">
      <c r="K227" s="3"/>
    </row>
    <row r="228" customFormat="false" ht="18.75" hidden="false" customHeight="true" outlineLevel="0" collapsed="false">
      <c r="K228" s="3"/>
    </row>
    <row r="229" customFormat="false" ht="18.75" hidden="false" customHeight="true" outlineLevel="0" collapsed="false">
      <c r="K229" s="3"/>
    </row>
    <row r="230" customFormat="false" ht="18.75" hidden="false" customHeight="true" outlineLevel="0" collapsed="false">
      <c r="K230" s="3"/>
    </row>
    <row r="231" customFormat="false" ht="18.75" hidden="false" customHeight="true" outlineLevel="0" collapsed="false">
      <c r="K231" s="3"/>
    </row>
    <row r="232" customFormat="false" ht="18.75" hidden="false" customHeight="true" outlineLevel="0" collapsed="false">
      <c r="K232" s="3"/>
    </row>
    <row r="233" customFormat="false" ht="18.75" hidden="false" customHeight="true" outlineLevel="0" collapsed="false">
      <c r="K233" s="3"/>
    </row>
    <row r="234" customFormat="false" ht="18.75" hidden="false" customHeight="true" outlineLevel="0" collapsed="false">
      <c r="K234" s="3"/>
    </row>
    <row r="235" customFormat="false" ht="18.75" hidden="false" customHeight="true" outlineLevel="0" collapsed="false">
      <c r="K235" s="3"/>
    </row>
    <row r="236" customFormat="false" ht="18.75" hidden="false" customHeight="true" outlineLevel="0" collapsed="false">
      <c r="K236" s="3"/>
    </row>
    <row r="237" customFormat="false" ht="18.75" hidden="false" customHeight="true" outlineLevel="0" collapsed="false">
      <c r="K237" s="3"/>
    </row>
    <row r="238" customFormat="false" ht="18.75" hidden="false" customHeight="true" outlineLevel="0" collapsed="false">
      <c r="K238" s="3"/>
    </row>
    <row r="239" customFormat="false" ht="18.75" hidden="false" customHeight="true" outlineLevel="0" collapsed="false">
      <c r="K239" s="3"/>
    </row>
    <row r="240" customFormat="false" ht="18.75" hidden="false" customHeight="true" outlineLevel="0" collapsed="false">
      <c r="K240" s="3"/>
    </row>
    <row r="241" customFormat="false" ht="18.75" hidden="false" customHeight="true" outlineLevel="0" collapsed="false">
      <c r="K241" s="3"/>
    </row>
    <row r="242" customFormat="false" ht="18.75" hidden="false" customHeight="true" outlineLevel="0" collapsed="false">
      <c r="K242" s="3"/>
    </row>
    <row r="243" customFormat="false" ht="18.75" hidden="false" customHeight="true" outlineLevel="0" collapsed="false">
      <c r="K243" s="3"/>
    </row>
    <row r="244" customFormat="false" ht="18.75" hidden="false" customHeight="true" outlineLevel="0" collapsed="false">
      <c r="K244" s="3"/>
    </row>
    <row r="245" customFormat="false" ht="18.75" hidden="false" customHeight="true" outlineLevel="0" collapsed="false">
      <c r="K245" s="3"/>
    </row>
    <row r="246" customFormat="false" ht="18.75" hidden="false" customHeight="true" outlineLevel="0" collapsed="false">
      <c r="K246" s="3"/>
    </row>
    <row r="247" customFormat="false" ht="18.75" hidden="false" customHeight="true" outlineLevel="0" collapsed="false">
      <c r="K247" s="3"/>
    </row>
    <row r="248" customFormat="false" ht="18.75" hidden="false" customHeight="true" outlineLevel="0" collapsed="false">
      <c r="K248" s="3"/>
    </row>
    <row r="249" customFormat="false" ht="18.75" hidden="false" customHeight="true" outlineLevel="0" collapsed="false">
      <c r="K249" s="3"/>
    </row>
    <row r="250" customFormat="false" ht="18.75" hidden="false" customHeight="true" outlineLevel="0" collapsed="false">
      <c r="K250" s="3"/>
    </row>
    <row r="251" customFormat="false" ht="18.75" hidden="false" customHeight="true" outlineLevel="0" collapsed="false">
      <c r="K251" s="3"/>
    </row>
    <row r="252" customFormat="false" ht="18.75" hidden="false" customHeight="true" outlineLevel="0" collapsed="false">
      <c r="K252" s="3"/>
    </row>
    <row r="253" customFormat="false" ht="18.75" hidden="false" customHeight="true" outlineLevel="0" collapsed="false">
      <c r="K253" s="3"/>
    </row>
    <row r="254" customFormat="false" ht="18.75" hidden="false" customHeight="true" outlineLevel="0" collapsed="false">
      <c r="K254" s="3"/>
    </row>
    <row r="255" customFormat="false" ht="18.75" hidden="false" customHeight="true" outlineLevel="0" collapsed="false">
      <c r="K255" s="3"/>
    </row>
    <row r="256" customFormat="false" ht="18.75" hidden="false" customHeight="true" outlineLevel="0" collapsed="false">
      <c r="K256" s="3"/>
    </row>
    <row r="257" customFormat="false" ht="18.75" hidden="false" customHeight="true" outlineLevel="0" collapsed="false">
      <c r="K257" s="3"/>
    </row>
    <row r="258" customFormat="false" ht="18.75" hidden="false" customHeight="true" outlineLevel="0" collapsed="false">
      <c r="K258" s="3"/>
    </row>
    <row r="259" customFormat="false" ht="18.75" hidden="false" customHeight="true" outlineLevel="0" collapsed="false">
      <c r="K259" s="3"/>
    </row>
    <row r="260" customFormat="false" ht="18.75" hidden="false" customHeight="true" outlineLevel="0" collapsed="false">
      <c r="K260" s="3"/>
    </row>
    <row r="261" customFormat="false" ht="18.75" hidden="false" customHeight="true" outlineLevel="0" collapsed="false">
      <c r="K261" s="3"/>
    </row>
    <row r="262" customFormat="false" ht="18.75" hidden="false" customHeight="true" outlineLevel="0" collapsed="false">
      <c r="K262" s="3"/>
    </row>
    <row r="263" customFormat="false" ht="18.75" hidden="false" customHeight="true" outlineLevel="0" collapsed="false">
      <c r="K263" s="3"/>
    </row>
    <row r="264" customFormat="false" ht="18.75" hidden="false" customHeight="true" outlineLevel="0" collapsed="false">
      <c r="K264" s="3"/>
    </row>
    <row r="265" customFormat="false" ht="18.75" hidden="false" customHeight="true" outlineLevel="0" collapsed="false">
      <c r="K265" s="3"/>
    </row>
    <row r="266" customFormat="false" ht="18.75" hidden="false" customHeight="true" outlineLevel="0" collapsed="false">
      <c r="K266" s="3"/>
    </row>
    <row r="267" customFormat="false" ht="18.75" hidden="false" customHeight="true" outlineLevel="0" collapsed="false">
      <c r="K267" s="3"/>
    </row>
    <row r="268" customFormat="false" ht="18.75" hidden="false" customHeight="true" outlineLevel="0" collapsed="false">
      <c r="K268" s="3"/>
    </row>
    <row r="269" customFormat="false" ht="18.75" hidden="false" customHeight="true" outlineLevel="0" collapsed="false">
      <c r="K269" s="3"/>
    </row>
    <row r="270" customFormat="false" ht="18.75" hidden="false" customHeight="true" outlineLevel="0" collapsed="false">
      <c r="K270" s="3"/>
    </row>
    <row r="271" customFormat="false" ht="18.75" hidden="false" customHeight="true" outlineLevel="0" collapsed="false">
      <c r="K271" s="3"/>
    </row>
    <row r="272" customFormat="false" ht="18.75" hidden="false" customHeight="true" outlineLevel="0" collapsed="false">
      <c r="K272" s="3"/>
    </row>
    <row r="273" customFormat="false" ht="18.75" hidden="false" customHeight="true" outlineLevel="0" collapsed="false">
      <c r="K273" s="3"/>
    </row>
    <row r="274" customFormat="false" ht="18.75" hidden="false" customHeight="true" outlineLevel="0" collapsed="false">
      <c r="K274" s="3"/>
    </row>
    <row r="275" customFormat="false" ht="18.75" hidden="false" customHeight="true" outlineLevel="0" collapsed="false">
      <c r="K275" s="3"/>
    </row>
    <row r="276" customFormat="false" ht="18.75" hidden="false" customHeight="true" outlineLevel="0" collapsed="false">
      <c r="K276" s="3"/>
    </row>
    <row r="277" customFormat="false" ht="18.75" hidden="false" customHeight="true" outlineLevel="0" collapsed="false">
      <c r="K277" s="3"/>
    </row>
    <row r="278" customFormat="false" ht="18.75" hidden="false" customHeight="true" outlineLevel="0" collapsed="false">
      <c r="K278" s="3"/>
    </row>
    <row r="279" customFormat="false" ht="18.75" hidden="false" customHeight="true" outlineLevel="0" collapsed="false">
      <c r="K279" s="3"/>
    </row>
    <row r="280" customFormat="false" ht="18.75" hidden="false" customHeight="true" outlineLevel="0" collapsed="false">
      <c r="K280" s="3"/>
    </row>
    <row r="281" customFormat="false" ht="18.75" hidden="false" customHeight="true" outlineLevel="0" collapsed="false">
      <c r="K281" s="3"/>
    </row>
    <row r="282" customFormat="false" ht="18.75" hidden="false" customHeight="true" outlineLevel="0" collapsed="false">
      <c r="K282" s="3"/>
    </row>
    <row r="283" customFormat="false" ht="18.75" hidden="false" customHeight="true" outlineLevel="0" collapsed="false">
      <c r="K283" s="3"/>
    </row>
    <row r="284" customFormat="false" ht="18.75" hidden="false" customHeight="true" outlineLevel="0" collapsed="false">
      <c r="K284" s="3"/>
    </row>
    <row r="285" customFormat="false" ht="18.75" hidden="false" customHeight="true" outlineLevel="0" collapsed="false">
      <c r="K285" s="3"/>
    </row>
    <row r="286" customFormat="false" ht="18.75" hidden="false" customHeight="true" outlineLevel="0" collapsed="false">
      <c r="K286" s="3"/>
    </row>
    <row r="287" customFormat="false" ht="18.75" hidden="false" customHeight="true" outlineLevel="0" collapsed="false">
      <c r="K287" s="3"/>
    </row>
    <row r="288" customFormat="false" ht="18.75" hidden="false" customHeight="true" outlineLevel="0" collapsed="false">
      <c r="K288" s="3"/>
    </row>
    <row r="289" customFormat="false" ht="18.75" hidden="false" customHeight="true" outlineLevel="0" collapsed="false">
      <c r="K289" s="3"/>
    </row>
    <row r="290" customFormat="false" ht="18.75" hidden="false" customHeight="true" outlineLevel="0" collapsed="false">
      <c r="K290" s="3"/>
    </row>
    <row r="291" customFormat="false" ht="18.75" hidden="false" customHeight="true" outlineLevel="0" collapsed="false">
      <c r="K291" s="3"/>
    </row>
    <row r="292" customFormat="false" ht="18.75" hidden="false" customHeight="true" outlineLevel="0" collapsed="false">
      <c r="K292" s="3"/>
    </row>
    <row r="293" customFormat="false" ht="18.75" hidden="false" customHeight="true" outlineLevel="0" collapsed="false">
      <c r="K293" s="3"/>
    </row>
    <row r="294" customFormat="false" ht="18.75" hidden="false" customHeight="true" outlineLevel="0" collapsed="false">
      <c r="K294" s="3"/>
    </row>
    <row r="295" customFormat="false" ht="18.75" hidden="false" customHeight="true" outlineLevel="0" collapsed="false">
      <c r="K295" s="3"/>
    </row>
    <row r="296" customFormat="false" ht="18.75" hidden="false" customHeight="true" outlineLevel="0" collapsed="false">
      <c r="K296" s="3"/>
    </row>
    <row r="297" customFormat="false" ht="18.75" hidden="false" customHeight="true" outlineLevel="0" collapsed="false">
      <c r="K297" s="3"/>
    </row>
    <row r="298" customFormat="false" ht="18.75" hidden="false" customHeight="true" outlineLevel="0" collapsed="false">
      <c r="K298" s="3"/>
    </row>
    <row r="299" customFormat="false" ht="18.75" hidden="false" customHeight="true" outlineLevel="0" collapsed="false">
      <c r="K299" s="3"/>
    </row>
    <row r="300" customFormat="false" ht="18.75" hidden="false" customHeight="true" outlineLevel="0" collapsed="false">
      <c r="K300" s="3"/>
    </row>
    <row r="301" customFormat="false" ht="18.75" hidden="false" customHeight="true" outlineLevel="0" collapsed="false">
      <c r="K301" s="3"/>
    </row>
    <row r="302" customFormat="false" ht="18.75" hidden="false" customHeight="true" outlineLevel="0" collapsed="false">
      <c r="K302" s="3"/>
    </row>
    <row r="303" customFormat="false" ht="18.75" hidden="false" customHeight="true" outlineLevel="0" collapsed="false">
      <c r="K303" s="3"/>
    </row>
    <row r="304" customFormat="false" ht="18.75" hidden="false" customHeight="true" outlineLevel="0" collapsed="false">
      <c r="K304" s="3"/>
    </row>
    <row r="305" customFormat="false" ht="18.75" hidden="false" customHeight="true" outlineLevel="0" collapsed="false">
      <c r="K305" s="3"/>
    </row>
    <row r="306" customFormat="false" ht="18.75" hidden="false" customHeight="true" outlineLevel="0" collapsed="false">
      <c r="K306" s="3"/>
    </row>
    <row r="307" customFormat="false" ht="18.75" hidden="false" customHeight="true" outlineLevel="0" collapsed="false">
      <c r="K307" s="3"/>
    </row>
    <row r="308" customFormat="false" ht="18.75" hidden="false" customHeight="true" outlineLevel="0" collapsed="false">
      <c r="K308" s="3"/>
    </row>
    <row r="309" customFormat="false" ht="18.75" hidden="false" customHeight="true" outlineLevel="0" collapsed="false">
      <c r="K309" s="3"/>
    </row>
    <row r="310" customFormat="false" ht="18.75" hidden="false" customHeight="true" outlineLevel="0" collapsed="false">
      <c r="K310" s="3"/>
    </row>
    <row r="311" customFormat="false" ht="18.75" hidden="false" customHeight="true" outlineLevel="0" collapsed="false">
      <c r="K311" s="3"/>
    </row>
    <row r="312" customFormat="false" ht="18.75" hidden="false" customHeight="true" outlineLevel="0" collapsed="false">
      <c r="K312" s="3"/>
    </row>
    <row r="313" customFormat="false" ht="18.75" hidden="false" customHeight="true" outlineLevel="0" collapsed="false">
      <c r="K313" s="3"/>
    </row>
    <row r="314" customFormat="false" ht="18.75" hidden="false" customHeight="true" outlineLevel="0" collapsed="false">
      <c r="K314" s="3"/>
    </row>
    <row r="315" customFormat="false" ht="18.75" hidden="false" customHeight="true" outlineLevel="0" collapsed="false">
      <c r="K315" s="3"/>
    </row>
    <row r="316" customFormat="false" ht="18.75" hidden="false" customHeight="true" outlineLevel="0" collapsed="false">
      <c r="K316" s="3"/>
    </row>
    <row r="317" customFormat="false" ht="18.75" hidden="false" customHeight="true" outlineLevel="0" collapsed="false">
      <c r="K317" s="3"/>
    </row>
    <row r="318" customFormat="false" ht="18.75" hidden="false" customHeight="true" outlineLevel="0" collapsed="false">
      <c r="K318" s="3"/>
    </row>
    <row r="319" customFormat="false" ht="18.75" hidden="false" customHeight="true" outlineLevel="0" collapsed="false">
      <c r="K319" s="3"/>
    </row>
    <row r="320" customFormat="false" ht="18.75" hidden="false" customHeight="true" outlineLevel="0" collapsed="false">
      <c r="K320" s="3"/>
    </row>
    <row r="321" customFormat="false" ht="18.75" hidden="false" customHeight="true" outlineLevel="0" collapsed="false">
      <c r="K321" s="3"/>
    </row>
    <row r="322" customFormat="false" ht="18.75" hidden="false" customHeight="true" outlineLevel="0" collapsed="false">
      <c r="K322" s="3"/>
    </row>
    <row r="323" customFormat="false" ht="18.75" hidden="false" customHeight="true" outlineLevel="0" collapsed="false">
      <c r="K323" s="3"/>
    </row>
    <row r="324" customFormat="false" ht="18.75" hidden="false" customHeight="true" outlineLevel="0" collapsed="false">
      <c r="K324" s="3"/>
    </row>
    <row r="325" customFormat="false" ht="18.75" hidden="false" customHeight="true" outlineLevel="0" collapsed="false">
      <c r="K325" s="3"/>
    </row>
    <row r="326" customFormat="false" ht="18.75" hidden="false" customHeight="true" outlineLevel="0" collapsed="false">
      <c r="K326" s="3"/>
    </row>
    <row r="327" customFormat="false" ht="18.75" hidden="false" customHeight="true" outlineLevel="0" collapsed="false">
      <c r="K327" s="3"/>
    </row>
    <row r="328" customFormat="false" ht="18.75" hidden="false" customHeight="true" outlineLevel="0" collapsed="false">
      <c r="K328" s="3"/>
    </row>
    <row r="329" customFormat="false" ht="18.75" hidden="false" customHeight="true" outlineLevel="0" collapsed="false">
      <c r="K329" s="3"/>
    </row>
    <row r="330" customFormat="false" ht="18.75" hidden="false" customHeight="true" outlineLevel="0" collapsed="false">
      <c r="K330" s="3"/>
    </row>
    <row r="331" customFormat="false" ht="18.75" hidden="false" customHeight="true" outlineLevel="0" collapsed="false">
      <c r="K331" s="3"/>
    </row>
    <row r="332" customFormat="false" ht="18.75" hidden="false" customHeight="true" outlineLevel="0" collapsed="false">
      <c r="K332" s="3"/>
    </row>
    <row r="333" customFormat="false" ht="18.75" hidden="false" customHeight="true" outlineLevel="0" collapsed="false">
      <c r="K333" s="3"/>
    </row>
    <row r="334" customFormat="false" ht="18.75" hidden="false" customHeight="true" outlineLevel="0" collapsed="false">
      <c r="K334" s="3"/>
    </row>
    <row r="335" customFormat="false" ht="18.75" hidden="false" customHeight="true" outlineLevel="0" collapsed="false">
      <c r="K335" s="3"/>
    </row>
    <row r="336" customFormat="false" ht="18.75" hidden="false" customHeight="true" outlineLevel="0" collapsed="false">
      <c r="K336" s="3"/>
    </row>
    <row r="337" customFormat="false" ht="18.75" hidden="false" customHeight="true" outlineLevel="0" collapsed="false">
      <c r="K337" s="3"/>
    </row>
    <row r="338" customFormat="false" ht="18.75" hidden="false" customHeight="true" outlineLevel="0" collapsed="false">
      <c r="K338" s="3"/>
    </row>
    <row r="339" customFormat="false" ht="18.75" hidden="false" customHeight="true" outlineLevel="0" collapsed="false">
      <c r="K339" s="3"/>
    </row>
    <row r="340" customFormat="false" ht="18.75" hidden="false" customHeight="true" outlineLevel="0" collapsed="false">
      <c r="K340" s="3"/>
    </row>
    <row r="341" customFormat="false" ht="18.75" hidden="false" customHeight="true" outlineLevel="0" collapsed="false">
      <c r="K341" s="3"/>
    </row>
    <row r="342" customFormat="false" ht="18.75" hidden="false" customHeight="true" outlineLevel="0" collapsed="false">
      <c r="K342" s="3"/>
    </row>
    <row r="343" customFormat="false" ht="18.75" hidden="false" customHeight="true" outlineLevel="0" collapsed="false">
      <c r="K343" s="3"/>
    </row>
    <row r="344" customFormat="false" ht="18.75" hidden="false" customHeight="true" outlineLevel="0" collapsed="false">
      <c r="K344" s="3"/>
    </row>
    <row r="345" customFormat="false" ht="18.75" hidden="false" customHeight="true" outlineLevel="0" collapsed="false">
      <c r="K345" s="3"/>
    </row>
    <row r="346" customFormat="false" ht="18.75" hidden="false" customHeight="true" outlineLevel="0" collapsed="false">
      <c r="K346" s="3"/>
    </row>
    <row r="347" customFormat="false" ht="18.75" hidden="false" customHeight="true" outlineLevel="0" collapsed="false">
      <c r="K347" s="3"/>
    </row>
    <row r="348" customFormat="false" ht="18.75" hidden="false" customHeight="true" outlineLevel="0" collapsed="false">
      <c r="K348" s="3"/>
    </row>
    <row r="349" customFormat="false" ht="18.75" hidden="false" customHeight="true" outlineLevel="0" collapsed="false">
      <c r="K349" s="3"/>
    </row>
    <row r="350" customFormat="false" ht="18.75" hidden="false" customHeight="true" outlineLevel="0" collapsed="false">
      <c r="K350" s="3"/>
    </row>
    <row r="351" customFormat="false" ht="18.75" hidden="false" customHeight="true" outlineLevel="0" collapsed="false">
      <c r="K351" s="3"/>
    </row>
    <row r="352" customFormat="false" ht="18.75" hidden="false" customHeight="true" outlineLevel="0" collapsed="false">
      <c r="K352" s="3"/>
    </row>
    <row r="353" customFormat="false" ht="18.75" hidden="false" customHeight="true" outlineLevel="0" collapsed="false">
      <c r="K353" s="3"/>
    </row>
    <row r="354" customFormat="false" ht="18.75" hidden="false" customHeight="true" outlineLevel="0" collapsed="false">
      <c r="K354" s="3"/>
    </row>
    <row r="355" customFormat="false" ht="18.75" hidden="false" customHeight="true" outlineLevel="0" collapsed="false">
      <c r="K355" s="3"/>
    </row>
    <row r="356" customFormat="false" ht="18.75" hidden="false" customHeight="true" outlineLevel="0" collapsed="false">
      <c r="K356" s="3"/>
    </row>
    <row r="357" customFormat="false" ht="18.75" hidden="false" customHeight="true" outlineLevel="0" collapsed="false">
      <c r="K357" s="3"/>
    </row>
    <row r="358" customFormat="false" ht="18.75" hidden="false" customHeight="true" outlineLevel="0" collapsed="false">
      <c r="K358" s="3"/>
    </row>
    <row r="359" customFormat="false" ht="18.75" hidden="false" customHeight="true" outlineLevel="0" collapsed="false">
      <c r="K359" s="3"/>
    </row>
    <row r="360" customFormat="false" ht="18.75" hidden="false" customHeight="true" outlineLevel="0" collapsed="false">
      <c r="K360" s="3"/>
    </row>
    <row r="361" customFormat="false" ht="18.75" hidden="false" customHeight="true" outlineLevel="0" collapsed="false">
      <c r="K361" s="3"/>
    </row>
    <row r="362" customFormat="false" ht="18.75" hidden="false" customHeight="true" outlineLevel="0" collapsed="false">
      <c r="K362" s="3"/>
    </row>
    <row r="363" customFormat="false" ht="18.75" hidden="false" customHeight="true" outlineLevel="0" collapsed="false">
      <c r="K363" s="3"/>
    </row>
    <row r="364" customFormat="false" ht="18.75" hidden="false" customHeight="true" outlineLevel="0" collapsed="false">
      <c r="K364" s="3"/>
    </row>
    <row r="365" customFormat="false" ht="18.75" hidden="false" customHeight="true" outlineLevel="0" collapsed="false">
      <c r="K365" s="3"/>
    </row>
    <row r="366" customFormat="false" ht="18.75" hidden="false" customHeight="true" outlineLevel="0" collapsed="false">
      <c r="K366" s="3"/>
    </row>
    <row r="367" customFormat="false" ht="18.75" hidden="false" customHeight="true" outlineLevel="0" collapsed="false">
      <c r="K367" s="3"/>
    </row>
    <row r="368" customFormat="false" ht="18.75" hidden="false" customHeight="true" outlineLevel="0" collapsed="false">
      <c r="K368" s="3"/>
    </row>
    <row r="369" customFormat="false" ht="18.75" hidden="false" customHeight="true" outlineLevel="0" collapsed="false">
      <c r="K369" s="3"/>
    </row>
    <row r="370" customFormat="false" ht="18.75" hidden="false" customHeight="true" outlineLevel="0" collapsed="false">
      <c r="K370" s="3"/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/>
    <row r="597" customFormat="false" ht="18.75" hidden="false" customHeight="true" outlineLevel="0" collapsed="false"/>
    <row r="598" customFormat="false" ht="18.75" hidden="false" customHeight="true" outlineLevel="0" collapsed="false"/>
    <row r="599" customFormat="false" ht="18.75" hidden="false" customHeight="true" outlineLevel="0" collapsed="false"/>
    <row r="604" customFormat="false" ht="15.75" hidden="false" customHeight="true" outlineLevel="0" collapsed="false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</row>
    <row r="605" customFormat="false" ht="18" hidden="false" customHeight="tru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18" t="s">
        <v>334</v>
      </c>
      <c r="M605" s="118" t="s">
        <v>256</v>
      </c>
      <c r="N605" s="118" t="s">
        <v>335</v>
      </c>
      <c r="O605" s="118" t="s">
        <v>336</v>
      </c>
      <c r="P605" s="118" t="s">
        <v>24</v>
      </c>
    </row>
    <row r="606" customFormat="false" ht="18" hidden="false" customHeight="true" outlineLevel="0" collapsed="false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 t="n">
        <f aca="false">J88</f>
        <v>-0.343109243697479</v>
      </c>
      <c r="M606" s="125" t="n">
        <f aca="false">J96</f>
        <v>0.066155462184874</v>
      </c>
      <c r="N606" s="125" t="n">
        <f aca="false">J105</f>
        <v>0.304163074712644</v>
      </c>
      <c r="O606" s="125" t="n">
        <f aca="false">J115</f>
        <v>-0.0538515406162464</v>
      </c>
      <c r="P606" s="125" t="n">
        <f aca="false">J124</f>
        <v>-0.0436484593837535</v>
      </c>
    </row>
  </sheetData>
  <mergeCells count="27">
    <mergeCell ref="A2:U2"/>
    <mergeCell ref="A4:J4"/>
    <mergeCell ref="L4:U4"/>
    <mergeCell ref="W4:A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W5:X5"/>
    <mergeCell ref="Z5:AA5"/>
    <mergeCell ref="A604:J604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AH6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  <col collapsed="false" customWidth="true" hidden="false" outlineLevel="0" max="36" min="23" style="1" width="8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386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1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  <c r="W4" s="115" t="s">
        <v>387</v>
      </c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customFormat="false" ht="18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  <c r="W5" s="116" t="s">
        <v>75</v>
      </c>
      <c r="X5" s="116"/>
      <c r="Z5" s="117" t="s">
        <v>76</v>
      </c>
      <c r="AA5" s="117"/>
    </row>
    <row r="6" customFormat="false" ht="18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  <c r="W6" s="118" t="s">
        <v>388</v>
      </c>
      <c r="X6" s="118" t="s">
        <v>388</v>
      </c>
      <c r="Y6" s="118" t="s">
        <v>388</v>
      </c>
      <c r="Z6" s="118" t="s">
        <v>388</v>
      </c>
      <c r="AA6" s="118" t="s">
        <v>388</v>
      </c>
      <c r="AB6" s="118" t="s">
        <v>388</v>
      </c>
      <c r="AC6" s="118" t="s">
        <v>388</v>
      </c>
      <c r="AD6" s="118" t="s">
        <v>388</v>
      </c>
      <c r="AE6" s="118" t="s">
        <v>388</v>
      </c>
      <c r="AF6" s="118" t="s">
        <v>388</v>
      </c>
      <c r="AG6" s="118" t="s">
        <v>33</v>
      </c>
      <c r="AH6" s="119" t="n">
        <f aca="false">J14</f>
        <v>0.546467336683417</v>
      </c>
    </row>
    <row r="7" customFormat="false" ht="18" hidden="false" customHeight="true" outlineLevel="0" collapsed="false">
      <c r="A7" s="82" t="s">
        <v>33</v>
      </c>
      <c r="B7" s="83" t="s">
        <v>389</v>
      </c>
      <c r="C7" s="97" t="s">
        <v>91</v>
      </c>
      <c r="D7" s="98" t="s">
        <v>55</v>
      </c>
      <c r="E7" s="99" t="n">
        <v>14</v>
      </c>
      <c r="F7" s="99" t="n">
        <v>18</v>
      </c>
      <c r="G7" s="100" t="n">
        <f aca="false">E7*F7</f>
        <v>252</v>
      </c>
      <c r="H7" s="88" t="n">
        <f aca="false">SUMIF(B:B,B7,G:G)</f>
        <v>1589.87</v>
      </c>
      <c r="I7" s="89" t="n">
        <v>3980</v>
      </c>
      <c r="J7" s="90" t="n">
        <f aca="false">IFERROR((I7-H7)/I7,"")</f>
        <v>0.600535175879397</v>
      </c>
      <c r="K7" s="3"/>
      <c r="L7" s="82" t="s">
        <v>33</v>
      </c>
      <c r="M7" s="83" t="s">
        <v>389</v>
      </c>
      <c r="N7" s="97" t="s">
        <v>91</v>
      </c>
      <c r="O7" s="98" t="s">
        <v>55</v>
      </c>
      <c r="P7" s="101"/>
      <c r="Q7" s="101"/>
      <c r="R7" s="102" t="n">
        <v>0</v>
      </c>
      <c r="S7" s="88" t="n">
        <f aca="false">SUMIF(M:M,M7,R:R)</f>
        <v>1337.87</v>
      </c>
      <c r="T7" s="89" t="n">
        <f aca="false">I7</f>
        <v>3980</v>
      </c>
      <c r="U7" s="90" t="n">
        <f aca="false">IFERROR((T7-S7)/T7,"")</f>
        <v>0.66385175879397</v>
      </c>
      <c r="W7" s="121" t="n">
        <f aca="false">J7</f>
        <v>0.600535175879397</v>
      </c>
      <c r="X7" s="121" t="n">
        <f aca="false">J14</f>
        <v>0.546467336683417</v>
      </c>
      <c r="Y7" s="121" t="n">
        <f aca="false">J21</f>
        <v>0.17928391959799</v>
      </c>
      <c r="Z7" s="121" t="n">
        <f aca="false">J29</f>
        <v>0.51927135678392</v>
      </c>
      <c r="AA7" s="121" t="n">
        <f aca="false">J37</f>
        <v>0.217130653266332</v>
      </c>
      <c r="AB7" s="121" t="n">
        <f aca="false">J45</f>
        <v>0.252856783919598</v>
      </c>
      <c r="AC7" s="121" t="n">
        <f aca="false">J53</f>
        <v>0.00194723618090452</v>
      </c>
      <c r="AD7" s="121" t="n">
        <f aca="false">J63</f>
        <v>0.206974874371859</v>
      </c>
      <c r="AE7" s="121" t="n">
        <f aca="false">J73</f>
        <v>0.671947236180905</v>
      </c>
      <c r="AF7" s="121" t="n">
        <f aca="false">J80</f>
        <v>0.318517587939698</v>
      </c>
      <c r="AG7" s="121" t="n">
        <f aca="false">J605</f>
        <v>0</v>
      </c>
      <c r="AH7" s="121" t="n">
        <f aca="false">J606</f>
        <v>0</v>
      </c>
    </row>
    <row r="8" customFormat="false" ht="18" hidden="false" customHeight="true" outlineLevel="0" collapsed="false">
      <c r="A8" s="91"/>
      <c r="B8" s="92" t="s">
        <v>389</v>
      </c>
      <c r="C8" s="84" t="s">
        <v>102</v>
      </c>
      <c r="D8" s="85" t="s">
        <v>56</v>
      </c>
      <c r="E8" s="86" t="n">
        <v>12.85</v>
      </c>
      <c r="F8" s="86" t="n">
        <v>15</v>
      </c>
      <c r="G8" s="87" t="n">
        <f aca="false">E8*F8</f>
        <v>192.75</v>
      </c>
      <c r="H8" s="93"/>
      <c r="I8" s="94"/>
      <c r="J8" s="95"/>
      <c r="K8" s="3"/>
      <c r="L8" s="91"/>
      <c r="M8" s="92" t="s">
        <v>389</v>
      </c>
      <c r="N8" s="84" t="s">
        <v>102</v>
      </c>
      <c r="O8" s="85" t="s">
        <v>56</v>
      </c>
      <c r="P8" s="86" t="n">
        <v>12.85</v>
      </c>
      <c r="Q8" s="86" t="n">
        <v>15</v>
      </c>
      <c r="R8" s="87" t="n">
        <f aca="false">P8*Q8</f>
        <v>192.75</v>
      </c>
      <c r="S8" s="93"/>
      <c r="T8" s="94"/>
      <c r="U8" s="95"/>
      <c r="W8" s="122" t="n">
        <f aca="false">U7</f>
        <v>0.66385175879397</v>
      </c>
      <c r="X8" s="122" t="n">
        <f aca="false">U14</f>
        <v>0.546467336683417</v>
      </c>
      <c r="Y8" s="122" t="n">
        <f aca="false">U21</f>
        <v>0.17928391959799</v>
      </c>
      <c r="Z8" s="122" t="n">
        <f aca="false">U29</f>
        <v>0.582587939698492</v>
      </c>
      <c r="AA8" s="122" t="n">
        <f aca="false">U37</f>
        <v>0.217130653266332</v>
      </c>
      <c r="AB8" s="122" t="n">
        <f aca="false">U45</f>
        <v>0.252856783919598</v>
      </c>
      <c r="AC8" s="122" t="n">
        <f aca="false">U53</f>
        <v>0.00194723618090452</v>
      </c>
      <c r="AD8" s="122" t="n">
        <f aca="false">U63</f>
        <v>0.206974874371859</v>
      </c>
      <c r="AE8" s="122" t="n">
        <f aca="false">U73</f>
        <v>0.671947236180905</v>
      </c>
      <c r="AF8" s="122" t="n">
        <f aca="false">U80</f>
        <v>0.318517587939698</v>
      </c>
      <c r="AG8" s="122" t="n">
        <f aca="false">U605</f>
        <v>0</v>
      </c>
      <c r="AH8" s="122" t="n">
        <f aca="false">U606</f>
        <v>0</v>
      </c>
    </row>
    <row r="9" customFormat="false" ht="18.75" hidden="false" customHeight="true" outlineLevel="0" collapsed="false">
      <c r="A9" s="91"/>
      <c r="B9" s="92" t="s">
        <v>389</v>
      </c>
      <c r="C9" s="84" t="s">
        <v>390</v>
      </c>
      <c r="D9" s="85" t="s">
        <v>56</v>
      </c>
      <c r="E9" s="86" t="n">
        <v>43.76</v>
      </c>
      <c r="F9" s="86" t="n">
        <v>17</v>
      </c>
      <c r="G9" s="87" t="n">
        <f aca="false">E9*F9</f>
        <v>743.92</v>
      </c>
      <c r="H9" s="93"/>
      <c r="I9" s="94"/>
      <c r="J9" s="95"/>
      <c r="K9" s="3"/>
      <c r="L9" s="91"/>
      <c r="M9" s="92" t="s">
        <v>389</v>
      </c>
      <c r="N9" s="84" t="s">
        <v>390</v>
      </c>
      <c r="O9" s="85" t="s">
        <v>56</v>
      </c>
      <c r="P9" s="86" t="n">
        <v>43.76</v>
      </c>
      <c r="Q9" s="86" t="n">
        <v>17</v>
      </c>
      <c r="R9" s="87" t="n">
        <f aca="false">P9*Q9</f>
        <v>743.92</v>
      </c>
      <c r="S9" s="93"/>
      <c r="T9" s="94"/>
      <c r="U9" s="95"/>
    </row>
    <row r="10" customFormat="false" ht="18.75" hidden="false" customHeight="true" outlineLevel="0" collapsed="false">
      <c r="A10" s="91"/>
      <c r="B10" s="92" t="s">
        <v>389</v>
      </c>
      <c r="C10" s="84" t="s">
        <v>92</v>
      </c>
      <c r="D10" s="103" t="s">
        <v>58</v>
      </c>
      <c r="E10" s="91"/>
      <c r="F10" s="91"/>
      <c r="G10" s="87" t="n">
        <v>150</v>
      </c>
      <c r="H10" s="93"/>
      <c r="I10" s="94"/>
      <c r="J10" s="95"/>
      <c r="K10" s="3"/>
      <c r="L10" s="91"/>
      <c r="M10" s="92" t="s">
        <v>389</v>
      </c>
      <c r="N10" s="84" t="s">
        <v>92</v>
      </c>
      <c r="O10" s="103" t="s">
        <v>58</v>
      </c>
      <c r="P10" s="91"/>
      <c r="Q10" s="91"/>
      <c r="R10" s="87" t="n">
        <v>150</v>
      </c>
      <c r="S10" s="93"/>
      <c r="T10" s="94"/>
      <c r="U10" s="95"/>
    </row>
    <row r="11" customFormat="false" ht="18.75" hidden="false" customHeight="true" outlineLevel="0" collapsed="false">
      <c r="A11" s="91"/>
      <c r="B11" s="92" t="s">
        <v>389</v>
      </c>
      <c r="C11" s="84" t="s">
        <v>93</v>
      </c>
      <c r="D11" s="103" t="s">
        <v>58</v>
      </c>
      <c r="E11" s="91"/>
      <c r="F11" s="91"/>
      <c r="G11" s="87" t="n">
        <v>18.9</v>
      </c>
      <c r="H11" s="93"/>
      <c r="I11" s="94"/>
      <c r="J11" s="95"/>
      <c r="K11" s="3"/>
      <c r="L11" s="91"/>
      <c r="M11" s="92" t="s">
        <v>389</v>
      </c>
      <c r="N11" s="84" t="s">
        <v>93</v>
      </c>
      <c r="O11" s="103" t="s">
        <v>58</v>
      </c>
      <c r="P11" s="91"/>
      <c r="Q11" s="91"/>
      <c r="R11" s="87" t="n">
        <v>18.9</v>
      </c>
      <c r="S11" s="93"/>
      <c r="T11" s="94"/>
      <c r="U11" s="95"/>
    </row>
    <row r="12" customFormat="false" ht="18.75" hidden="false" customHeight="true" outlineLevel="0" collapsed="false">
      <c r="A12" s="91"/>
      <c r="B12" s="92" t="s">
        <v>389</v>
      </c>
      <c r="C12" s="84" t="s">
        <v>95</v>
      </c>
      <c r="D12" s="103" t="s">
        <v>58</v>
      </c>
      <c r="E12" s="91"/>
      <c r="F12" s="91"/>
      <c r="G12" s="87" t="n">
        <v>67.85</v>
      </c>
      <c r="H12" s="93"/>
      <c r="I12" s="94"/>
      <c r="J12" s="95"/>
      <c r="K12" s="3"/>
      <c r="L12" s="91"/>
      <c r="M12" s="92" t="s">
        <v>389</v>
      </c>
      <c r="N12" s="84" t="s">
        <v>95</v>
      </c>
      <c r="O12" s="103" t="s">
        <v>58</v>
      </c>
      <c r="P12" s="91"/>
      <c r="Q12" s="91"/>
      <c r="R12" s="87" t="n">
        <v>67.85</v>
      </c>
      <c r="S12" s="93"/>
      <c r="T12" s="94"/>
      <c r="U12" s="95"/>
    </row>
    <row r="13" customFormat="false" ht="18.75" hidden="false" customHeight="true" outlineLevel="0" collapsed="false">
      <c r="A13" s="91"/>
      <c r="B13" s="92" t="s">
        <v>389</v>
      </c>
      <c r="C13" s="84" t="s">
        <v>94</v>
      </c>
      <c r="D13" s="103" t="s">
        <v>58</v>
      </c>
      <c r="E13" s="91"/>
      <c r="F13" s="91"/>
      <c r="G13" s="87" t="n">
        <v>164.45</v>
      </c>
      <c r="H13" s="93"/>
      <c r="I13" s="94"/>
      <c r="J13" s="95"/>
      <c r="K13" s="3"/>
      <c r="L13" s="91"/>
      <c r="M13" s="92" t="s">
        <v>389</v>
      </c>
      <c r="N13" s="84" t="s">
        <v>94</v>
      </c>
      <c r="O13" s="103" t="s">
        <v>58</v>
      </c>
      <c r="P13" s="91"/>
      <c r="Q13" s="91"/>
      <c r="R13" s="87" t="n">
        <v>164.45</v>
      </c>
      <c r="S13" s="93"/>
      <c r="T13" s="94"/>
      <c r="U13" s="95"/>
    </row>
    <row r="14" customFormat="false" ht="18.75" hidden="false" customHeight="true" outlineLevel="0" collapsed="false">
      <c r="A14" s="82" t="s">
        <v>33</v>
      </c>
      <c r="B14" s="83" t="s">
        <v>391</v>
      </c>
      <c r="C14" s="84" t="s">
        <v>371</v>
      </c>
      <c r="D14" s="85" t="s">
        <v>56</v>
      </c>
      <c r="E14" s="86" t="n">
        <v>21</v>
      </c>
      <c r="F14" s="86" t="n">
        <v>18</v>
      </c>
      <c r="G14" s="87" t="n">
        <f aca="false">E14*F14</f>
        <v>378</v>
      </c>
      <c r="H14" s="88" t="n">
        <f aca="false">SUMIF(B:B,B14,G:G)</f>
        <v>1805.06</v>
      </c>
      <c r="I14" s="89" t="n">
        <v>3980</v>
      </c>
      <c r="J14" s="90" t="n">
        <f aca="false">IFERROR((I14-H14)/I14,"")</f>
        <v>0.546467336683417</v>
      </c>
      <c r="K14" s="3"/>
      <c r="L14" s="82" t="s">
        <v>33</v>
      </c>
      <c r="M14" s="83" t="s">
        <v>391</v>
      </c>
      <c r="N14" s="84" t="s">
        <v>371</v>
      </c>
      <c r="O14" s="85" t="s">
        <v>56</v>
      </c>
      <c r="P14" s="86" t="n">
        <v>21</v>
      </c>
      <c r="Q14" s="86" t="n">
        <v>18</v>
      </c>
      <c r="R14" s="87" t="n">
        <f aca="false">P14*Q14</f>
        <v>378</v>
      </c>
      <c r="S14" s="88" t="n">
        <f aca="false">SUMIF(M:M,M14,R:R)</f>
        <v>1805.06</v>
      </c>
      <c r="T14" s="89" t="n">
        <f aca="false">I14</f>
        <v>3980</v>
      </c>
      <c r="U14" s="90" t="n">
        <f aca="false">IFERROR((T14-S14)/T14,"")</f>
        <v>0.546467336683417</v>
      </c>
    </row>
    <row r="15" customFormat="false" ht="18.75" hidden="false" customHeight="true" outlineLevel="0" collapsed="false">
      <c r="A15" s="91"/>
      <c r="B15" s="92" t="s">
        <v>391</v>
      </c>
      <c r="C15" s="84" t="s">
        <v>137</v>
      </c>
      <c r="D15" s="85" t="s">
        <v>56</v>
      </c>
      <c r="E15" s="86" t="n">
        <v>12.85</v>
      </c>
      <c r="F15" s="86" t="n">
        <v>15</v>
      </c>
      <c r="G15" s="87" t="n">
        <f aca="false">E15*F15</f>
        <v>192.75</v>
      </c>
      <c r="H15" s="93"/>
      <c r="I15" s="94"/>
      <c r="J15" s="95"/>
      <c r="K15" s="3"/>
      <c r="L15" s="91"/>
      <c r="M15" s="92" t="s">
        <v>391</v>
      </c>
      <c r="N15" s="84" t="s">
        <v>137</v>
      </c>
      <c r="O15" s="85" t="s">
        <v>56</v>
      </c>
      <c r="P15" s="86" t="n">
        <v>12.85</v>
      </c>
      <c r="Q15" s="86" t="n">
        <v>15</v>
      </c>
      <c r="R15" s="87" t="n">
        <f aca="false">P15*Q15</f>
        <v>192.75</v>
      </c>
      <c r="S15" s="93"/>
      <c r="T15" s="94"/>
      <c r="U15" s="95"/>
    </row>
    <row r="16" customFormat="false" ht="18.75" hidden="false" customHeight="true" outlineLevel="0" collapsed="false">
      <c r="A16" s="91"/>
      <c r="B16" s="92" t="s">
        <v>391</v>
      </c>
      <c r="C16" s="84" t="s">
        <v>390</v>
      </c>
      <c r="D16" s="85" t="s">
        <v>56</v>
      </c>
      <c r="E16" s="86" t="n">
        <v>42.39</v>
      </c>
      <c r="F16" s="86" t="n">
        <v>17</v>
      </c>
      <c r="G16" s="87" t="n">
        <f aca="false">E16*F16</f>
        <v>720.63</v>
      </c>
      <c r="H16" s="93"/>
      <c r="I16" s="94"/>
      <c r="J16" s="95"/>
      <c r="K16" s="3"/>
      <c r="L16" s="91"/>
      <c r="M16" s="92" t="s">
        <v>391</v>
      </c>
      <c r="N16" s="84" t="s">
        <v>390</v>
      </c>
      <c r="O16" s="85" t="s">
        <v>56</v>
      </c>
      <c r="P16" s="86" t="n">
        <v>42.39</v>
      </c>
      <c r="Q16" s="86" t="n">
        <v>17</v>
      </c>
      <c r="R16" s="87" t="n">
        <f aca="false">P16*Q16</f>
        <v>720.63</v>
      </c>
      <c r="S16" s="93"/>
      <c r="T16" s="94"/>
      <c r="U16" s="95"/>
    </row>
    <row r="17" customFormat="false" ht="18.75" hidden="false" customHeight="true" outlineLevel="0" collapsed="false">
      <c r="A17" s="91"/>
      <c r="B17" s="92" t="s">
        <v>391</v>
      </c>
      <c r="C17" s="84" t="s">
        <v>92</v>
      </c>
      <c r="D17" s="103" t="s">
        <v>58</v>
      </c>
      <c r="E17" s="91"/>
      <c r="F17" s="91"/>
      <c r="G17" s="87" t="n">
        <v>150</v>
      </c>
      <c r="H17" s="93"/>
      <c r="I17" s="94"/>
      <c r="J17" s="95"/>
      <c r="K17" s="3"/>
      <c r="L17" s="91"/>
      <c r="M17" s="92" t="s">
        <v>391</v>
      </c>
      <c r="N17" s="84" t="s">
        <v>92</v>
      </c>
      <c r="O17" s="103" t="s">
        <v>58</v>
      </c>
      <c r="P17" s="91"/>
      <c r="Q17" s="91"/>
      <c r="R17" s="87" t="n">
        <v>150</v>
      </c>
      <c r="S17" s="93"/>
      <c r="T17" s="94"/>
      <c r="U17" s="95"/>
    </row>
    <row r="18" customFormat="false" ht="18.75" hidden="false" customHeight="true" outlineLevel="0" collapsed="false">
      <c r="A18" s="91"/>
      <c r="B18" s="92" t="s">
        <v>391</v>
      </c>
      <c r="C18" s="84" t="s">
        <v>93</v>
      </c>
      <c r="D18" s="103" t="s">
        <v>58</v>
      </c>
      <c r="E18" s="91"/>
      <c r="F18" s="91"/>
      <c r="G18" s="87" t="n">
        <v>37.8</v>
      </c>
      <c r="H18" s="93"/>
      <c r="I18" s="94"/>
      <c r="J18" s="95"/>
      <c r="K18" s="3"/>
      <c r="L18" s="91"/>
      <c r="M18" s="92" t="s">
        <v>391</v>
      </c>
      <c r="N18" s="84" t="s">
        <v>93</v>
      </c>
      <c r="O18" s="103" t="s">
        <v>58</v>
      </c>
      <c r="P18" s="91"/>
      <c r="Q18" s="91"/>
      <c r="R18" s="87" t="n">
        <v>37.8</v>
      </c>
      <c r="S18" s="93"/>
      <c r="T18" s="94"/>
      <c r="U18" s="95"/>
    </row>
    <row r="19" customFormat="false" ht="18.75" hidden="false" customHeight="true" outlineLevel="0" collapsed="false">
      <c r="A19" s="91"/>
      <c r="B19" s="92" t="s">
        <v>391</v>
      </c>
      <c r="C19" s="84" t="s">
        <v>95</v>
      </c>
      <c r="D19" s="103" t="s">
        <v>58</v>
      </c>
      <c r="E19" s="91"/>
      <c r="F19" s="91"/>
      <c r="G19" s="87" t="n">
        <v>97.34</v>
      </c>
      <c r="H19" s="93"/>
      <c r="I19" s="94"/>
      <c r="J19" s="95"/>
      <c r="K19" s="3"/>
      <c r="L19" s="91"/>
      <c r="M19" s="92" t="s">
        <v>391</v>
      </c>
      <c r="N19" s="84" t="s">
        <v>95</v>
      </c>
      <c r="O19" s="103" t="s">
        <v>58</v>
      </c>
      <c r="P19" s="91"/>
      <c r="Q19" s="91"/>
      <c r="R19" s="87" t="n">
        <v>97.34</v>
      </c>
      <c r="S19" s="93"/>
      <c r="T19" s="94"/>
      <c r="U19" s="95"/>
    </row>
    <row r="20" customFormat="false" ht="18.75" hidden="false" customHeight="true" outlineLevel="0" collapsed="false">
      <c r="A20" s="91"/>
      <c r="B20" s="92" t="s">
        <v>391</v>
      </c>
      <c r="C20" s="84" t="s">
        <v>94</v>
      </c>
      <c r="D20" s="103" t="s">
        <v>58</v>
      </c>
      <c r="E20" s="91"/>
      <c r="F20" s="91"/>
      <c r="G20" s="87" t="n">
        <v>228.54</v>
      </c>
      <c r="H20" s="93"/>
      <c r="I20" s="94"/>
      <c r="J20" s="95"/>
      <c r="K20" s="3"/>
      <c r="L20" s="91"/>
      <c r="M20" s="92" t="s">
        <v>391</v>
      </c>
      <c r="N20" s="84" t="s">
        <v>94</v>
      </c>
      <c r="O20" s="103" t="s">
        <v>58</v>
      </c>
      <c r="P20" s="91"/>
      <c r="Q20" s="91"/>
      <c r="R20" s="87" t="n">
        <v>228.54</v>
      </c>
      <c r="S20" s="93"/>
      <c r="T20" s="94"/>
      <c r="U20" s="95"/>
    </row>
    <row r="21" customFormat="false" ht="18.75" hidden="false" customHeight="true" outlineLevel="0" collapsed="false">
      <c r="A21" s="82" t="s">
        <v>35</v>
      </c>
      <c r="B21" s="83" t="s">
        <v>392</v>
      </c>
      <c r="C21" s="84" t="s">
        <v>371</v>
      </c>
      <c r="D21" s="85" t="s">
        <v>56</v>
      </c>
      <c r="E21" s="86" t="n">
        <v>35</v>
      </c>
      <c r="F21" s="86" t="n">
        <v>18</v>
      </c>
      <c r="G21" s="87" t="n">
        <f aca="false">E21*F21</f>
        <v>630</v>
      </c>
      <c r="H21" s="88" t="n">
        <f aca="false">SUMIF(B:B,B21,G:G)</f>
        <v>3266.45</v>
      </c>
      <c r="I21" s="89" t="n">
        <v>3980</v>
      </c>
      <c r="J21" s="90" t="n">
        <f aca="false">IFERROR((I21-H21)/I21,"")</f>
        <v>0.17928391959799</v>
      </c>
      <c r="K21" s="3"/>
      <c r="L21" s="82" t="s">
        <v>35</v>
      </c>
      <c r="M21" s="83" t="s">
        <v>392</v>
      </c>
      <c r="N21" s="84" t="s">
        <v>371</v>
      </c>
      <c r="O21" s="85" t="s">
        <v>56</v>
      </c>
      <c r="P21" s="86" t="n">
        <v>35</v>
      </c>
      <c r="Q21" s="86" t="n">
        <v>18</v>
      </c>
      <c r="R21" s="87" t="n">
        <f aca="false">P21*Q21</f>
        <v>630</v>
      </c>
      <c r="S21" s="88" t="n">
        <f aca="false">SUMIF(M:M,M21,R:R)</f>
        <v>3266.45</v>
      </c>
      <c r="T21" s="89" t="n">
        <f aca="false">I21</f>
        <v>3980</v>
      </c>
      <c r="U21" s="90" t="n">
        <f aca="false">IFERROR((T21-S21)/T21,"")</f>
        <v>0.17928391959799</v>
      </c>
    </row>
    <row r="22" customFormat="false" ht="18.75" hidden="false" customHeight="true" outlineLevel="0" collapsed="false">
      <c r="A22" s="91"/>
      <c r="B22" s="92" t="s">
        <v>392</v>
      </c>
      <c r="C22" s="84" t="s">
        <v>89</v>
      </c>
      <c r="D22" s="85" t="s">
        <v>56</v>
      </c>
      <c r="E22" s="86" t="n">
        <v>33.82</v>
      </c>
      <c r="F22" s="86" t="n">
        <v>15</v>
      </c>
      <c r="G22" s="87" t="n">
        <f aca="false">E22*F22</f>
        <v>507.3</v>
      </c>
      <c r="H22" s="93"/>
      <c r="I22" s="94"/>
      <c r="J22" s="95"/>
      <c r="K22" s="3"/>
      <c r="L22" s="91"/>
      <c r="M22" s="92" t="s">
        <v>392</v>
      </c>
      <c r="N22" s="84" t="s">
        <v>89</v>
      </c>
      <c r="O22" s="85" t="s">
        <v>56</v>
      </c>
      <c r="P22" s="86" t="n">
        <v>33.82</v>
      </c>
      <c r="Q22" s="86" t="n">
        <v>15</v>
      </c>
      <c r="R22" s="87" t="n">
        <f aca="false">P22*Q22</f>
        <v>507.3</v>
      </c>
      <c r="S22" s="93"/>
      <c r="T22" s="94"/>
      <c r="U22" s="95"/>
    </row>
    <row r="23" customFormat="false" ht="18.75" hidden="false" customHeight="true" outlineLevel="0" collapsed="false">
      <c r="A23" s="91"/>
      <c r="B23" s="92" t="s">
        <v>392</v>
      </c>
      <c r="C23" s="84" t="s">
        <v>137</v>
      </c>
      <c r="D23" s="85" t="s">
        <v>56</v>
      </c>
      <c r="E23" s="86" t="n">
        <v>32</v>
      </c>
      <c r="F23" s="86" t="n">
        <v>15</v>
      </c>
      <c r="G23" s="87" t="n">
        <f aca="false">E23*F23</f>
        <v>480</v>
      </c>
      <c r="H23" s="93"/>
      <c r="I23" s="94"/>
      <c r="J23" s="95"/>
      <c r="K23" s="3"/>
      <c r="L23" s="91"/>
      <c r="M23" s="92" t="s">
        <v>392</v>
      </c>
      <c r="N23" s="84" t="s">
        <v>137</v>
      </c>
      <c r="O23" s="85" t="s">
        <v>56</v>
      </c>
      <c r="P23" s="86" t="n">
        <v>32</v>
      </c>
      <c r="Q23" s="86" t="n">
        <v>15</v>
      </c>
      <c r="R23" s="87" t="n">
        <f aca="false">P23*Q23</f>
        <v>480</v>
      </c>
      <c r="S23" s="93"/>
      <c r="T23" s="94"/>
      <c r="U23" s="95"/>
    </row>
    <row r="24" customFormat="false" ht="18.75" hidden="false" customHeight="true" outlineLevel="0" collapsed="false">
      <c r="A24" s="91"/>
      <c r="B24" s="92" t="s">
        <v>392</v>
      </c>
      <c r="C24" s="84" t="s">
        <v>390</v>
      </c>
      <c r="D24" s="85" t="s">
        <v>56</v>
      </c>
      <c r="E24" s="86" t="n">
        <v>43.12</v>
      </c>
      <c r="F24" s="86" t="n">
        <v>17</v>
      </c>
      <c r="G24" s="87" t="n">
        <f aca="false">E24*F24</f>
        <v>733.04</v>
      </c>
      <c r="H24" s="93"/>
      <c r="I24" s="94"/>
      <c r="J24" s="95"/>
      <c r="K24" s="3"/>
      <c r="L24" s="91"/>
      <c r="M24" s="92" t="s">
        <v>392</v>
      </c>
      <c r="N24" s="84" t="s">
        <v>390</v>
      </c>
      <c r="O24" s="85" t="s">
        <v>56</v>
      </c>
      <c r="P24" s="86" t="n">
        <v>43.12</v>
      </c>
      <c r="Q24" s="86" t="n">
        <v>17</v>
      </c>
      <c r="R24" s="87" t="n">
        <f aca="false">P24*Q24</f>
        <v>733.04</v>
      </c>
      <c r="S24" s="93"/>
      <c r="T24" s="94"/>
      <c r="U24" s="95"/>
    </row>
    <row r="25" customFormat="false" ht="18.75" hidden="false" customHeight="true" outlineLevel="0" collapsed="false">
      <c r="A25" s="91"/>
      <c r="B25" s="92" t="s">
        <v>392</v>
      </c>
      <c r="C25" s="84" t="s">
        <v>92</v>
      </c>
      <c r="D25" s="103" t="s">
        <v>58</v>
      </c>
      <c r="E25" s="91"/>
      <c r="F25" s="91"/>
      <c r="G25" s="87" t="n">
        <v>180</v>
      </c>
      <c r="H25" s="93"/>
      <c r="I25" s="94"/>
      <c r="J25" s="95"/>
      <c r="K25" s="3"/>
      <c r="L25" s="91"/>
      <c r="M25" s="92" t="s">
        <v>392</v>
      </c>
      <c r="N25" s="84" t="s">
        <v>92</v>
      </c>
      <c r="O25" s="103" t="s">
        <v>58</v>
      </c>
      <c r="P25" s="91"/>
      <c r="Q25" s="91"/>
      <c r="R25" s="87" t="n">
        <v>180</v>
      </c>
      <c r="S25" s="93"/>
      <c r="T25" s="94"/>
      <c r="U25" s="95"/>
    </row>
    <row r="26" customFormat="false" ht="18.75" hidden="false" customHeight="true" outlineLevel="0" collapsed="false">
      <c r="A26" s="91"/>
      <c r="B26" s="92" t="s">
        <v>392</v>
      </c>
      <c r="C26" s="84" t="s">
        <v>93</v>
      </c>
      <c r="D26" s="103" t="s">
        <v>58</v>
      </c>
      <c r="E26" s="91"/>
      <c r="F26" s="91"/>
      <c r="G26" s="87" t="n">
        <v>37.8</v>
      </c>
      <c r="H26" s="93"/>
      <c r="I26" s="94"/>
      <c r="J26" s="95"/>
      <c r="K26" s="3"/>
      <c r="L26" s="91"/>
      <c r="M26" s="92" t="s">
        <v>392</v>
      </c>
      <c r="N26" s="84" t="s">
        <v>93</v>
      </c>
      <c r="O26" s="103" t="s">
        <v>58</v>
      </c>
      <c r="P26" s="91"/>
      <c r="Q26" s="91"/>
      <c r="R26" s="87" t="n">
        <v>37.8</v>
      </c>
      <c r="S26" s="93"/>
      <c r="T26" s="94"/>
      <c r="U26" s="95"/>
    </row>
    <row r="27" customFormat="false" ht="18.75" hidden="false" customHeight="true" outlineLevel="0" collapsed="false">
      <c r="A27" s="91"/>
      <c r="B27" s="92" t="s">
        <v>392</v>
      </c>
      <c r="C27" s="84" t="s">
        <v>95</v>
      </c>
      <c r="D27" s="103" t="s">
        <v>58</v>
      </c>
      <c r="E27" s="91"/>
      <c r="F27" s="91"/>
      <c r="G27" s="87" t="n">
        <v>229.17</v>
      </c>
      <c r="H27" s="93"/>
      <c r="I27" s="94"/>
      <c r="J27" s="95"/>
      <c r="K27" s="3"/>
      <c r="L27" s="91"/>
      <c r="M27" s="92" t="s">
        <v>392</v>
      </c>
      <c r="N27" s="84" t="s">
        <v>95</v>
      </c>
      <c r="O27" s="103" t="s">
        <v>58</v>
      </c>
      <c r="P27" s="91"/>
      <c r="Q27" s="91"/>
      <c r="R27" s="87" t="n">
        <v>229.17</v>
      </c>
      <c r="S27" s="93"/>
      <c r="T27" s="94"/>
      <c r="U27" s="95"/>
    </row>
    <row r="28" customFormat="false" ht="18.75" hidden="false" customHeight="true" outlineLevel="0" collapsed="false">
      <c r="A28" s="91"/>
      <c r="B28" s="92" t="s">
        <v>392</v>
      </c>
      <c r="C28" s="84" t="s">
        <v>94</v>
      </c>
      <c r="D28" s="103" t="s">
        <v>58</v>
      </c>
      <c r="E28" s="91"/>
      <c r="F28" s="91"/>
      <c r="G28" s="87" t="n">
        <v>469.14</v>
      </c>
      <c r="H28" s="93"/>
      <c r="I28" s="94"/>
      <c r="J28" s="95"/>
      <c r="K28" s="3"/>
      <c r="L28" s="91"/>
      <c r="M28" s="92" t="s">
        <v>392</v>
      </c>
      <c r="N28" s="84" t="s">
        <v>94</v>
      </c>
      <c r="O28" s="103" t="s">
        <v>58</v>
      </c>
      <c r="P28" s="91"/>
      <c r="Q28" s="91"/>
      <c r="R28" s="87" t="n">
        <v>469.14</v>
      </c>
      <c r="S28" s="93"/>
      <c r="T28" s="94"/>
      <c r="U28" s="95"/>
    </row>
    <row r="29" customFormat="false" ht="18.75" hidden="false" customHeight="true" outlineLevel="0" collapsed="false">
      <c r="A29" s="82" t="s">
        <v>35</v>
      </c>
      <c r="B29" s="83" t="s">
        <v>393</v>
      </c>
      <c r="C29" s="97" t="s">
        <v>91</v>
      </c>
      <c r="D29" s="98" t="s">
        <v>55</v>
      </c>
      <c r="E29" s="99" t="n">
        <v>14</v>
      </c>
      <c r="F29" s="99" t="n">
        <v>18</v>
      </c>
      <c r="G29" s="100" t="n">
        <f aca="false">E29*F29</f>
        <v>252</v>
      </c>
      <c r="H29" s="88" t="n">
        <f aca="false">SUMIF(B:B,B29,G:G)</f>
        <v>1913.3</v>
      </c>
      <c r="I29" s="89" t="n">
        <v>3980</v>
      </c>
      <c r="J29" s="90" t="n">
        <f aca="false">IFERROR((I29-H29)/I29,"")</f>
        <v>0.51927135678392</v>
      </c>
      <c r="K29" s="3"/>
      <c r="L29" s="82" t="s">
        <v>35</v>
      </c>
      <c r="M29" s="83" t="s">
        <v>393</v>
      </c>
      <c r="N29" s="97" t="s">
        <v>91</v>
      </c>
      <c r="O29" s="98" t="s">
        <v>55</v>
      </c>
      <c r="P29" s="101"/>
      <c r="Q29" s="101"/>
      <c r="R29" s="102" t="n">
        <v>0</v>
      </c>
      <c r="S29" s="88" t="n">
        <f aca="false">SUMIF(M:M,M29,R:R)</f>
        <v>1661.3</v>
      </c>
      <c r="T29" s="89" t="n">
        <f aca="false">I29</f>
        <v>3980</v>
      </c>
      <c r="U29" s="90" t="n">
        <f aca="false">IFERROR((T29-S29)/T29,"")</f>
        <v>0.582587939698492</v>
      </c>
    </row>
    <row r="30" customFormat="false" ht="18.75" hidden="false" customHeight="true" outlineLevel="0" collapsed="false">
      <c r="A30" s="91"/>
      <c r="B30" s="92" t="s">
        <v>393</v>
      </c>
      <c r="C30" s="84" t="s">
        <v>98</v>
      </c>
      <c r="D30" s="85" t="s">
        <v>56</v>
      </c>
      <c r="E30" s="86" t="n">
        <v>19.13</v>
      </c>
      <c r="F30" s="86" t="n">
        <v>15</v>
      </c>
      <c r="G30" s="87" t="n">
        <f aca="false">E30*F30</f>
        <v>286.95</v>
      </c>
      <c r="H30" s="93"/>
      <c r="I30" s="94"/>
      <c r="J30" s="95"/>
      <c r="K30" s="3"/>
      <c r="L30" s="91"/>
      <c r="M30" s="92" t="s">
        <v>393</v>
      </c>
      <c r="N30" s="84" t="s">
        <v>98</v>
      </c>
      <c r="O30" s="85" t="s">
        <v>56</v>
      </c>
      <c r="P30" s="86" t="n">
        <v>19.13</v>
      </c>
      <c r="Q30" s="86" t="n">
        <v>15</v>
      </c>
      <c r="R30" s="87" t="n">
        <f aca="false">P30*Q30</f>
        <v>286.95</v>
      </c>
      <c r="S30" s="93"/>
      <c r="T30" s="94"/>
      <c r="U30" s="95"/>
    </row>
    <row r="31" customFormat="false" ht="18.75" hidden="false" customHeight="true" outlineLevel="0" collapsed="false">
      <c r="A31" s="91"/>
      <c r="B31" s="92" t="s">
        <v>393</v>
      </c>
      <c r="C31" s="84" t="s">
        <v>89</v>
      </c>
      <c r="D31" s="85" t="s">
        <v>56</v>
      </c>
      <c r="E31" s="86" t="n">
        <v>13</v>
      </c>
      <c r="F31" s="86" t="n">
        <v>15</v>
      </c>
      <c r="G31" s="87" t="n">
        <f aca="false">E31*F31</f>
        <v>195</v>
      </c>
      <c r="H31" s="93"/>
      <c r="I31" s="94"/>
      <c r="J31" s="95"/>
      <c r="K31" s="3"/>
      <c r="L31" s="91"/>
      <c r="M31" s="92" t="s">
        <v>393</v>
      </c>
      <c r="N31" s="84" t="s">
        <v>89</v>
      </c>
      <c r="O31" s="85" t="s">
        <v>56</v>
      </c>
      <c r="P31" s="86" t="n">
        <v>13</v>
      </c>
      <c r="Q31" s="86" t="n">
        <v>15</v>
      </c>
      <c r="R31" s="87" t="n">
        <f aca="false">P31*Q31</f>
        <v>195</v>
      </c>
      <c r="S31" s="93"/>
      <c r="T31" s="94"/>
      <c r="U31" s="95"/>
    </row>
    <row r="32" customFormat="false" ht="18.75" hidden="false" customHeight="true" outlineLevel="0" collapsed="false">
      <c r="A32" s="91"/>
      <c r="B32" s="92" t="s">
        <v>393</v>
      </c>
      <c r="C32" s="84" t="s">
        <v>390</v>
      </c>
      <c r="D32" s="85" t="s">
        <v>56</v>
      </c>
      <c r="E32" s="86" t="n">
        <v>40.85</v>
      </c>
      <c r="F32" s="86" t="n">
        <v>17</v>
      </c>
      <c r="G32" s="87" t="n">
        <f aca="false">E32*F32</f>
        <v>694.45</v>
      </c>
      <c r="H32" s="93"/>
      <c r="I32" s="94"/>
      <c r="J32" s="95"/>
      <c r="K32" s="3"/>
      <c r="L32" s="91"/>
      <c r="M32" s="92" t="s">
        <v>393</v>
      </c>
      <c r="N32" s="84" t="s">
        <v>390</v>
      </c>
      <c r="O32" s="85" t="s">
        <v>56</v>
      </c>
      <c r="P32" s="86" t="n">
        <v>40.85</v>
      </c>
      <c r="Q32" s="86" t="n">
        <v>17</v>
      </c>
      <c r="R32" s="87" t="n">
        <f aca="false">P32*Q32</f>
        <v>694.45</v>
      </c>
      <c r="S32" s="93"/>
      <c r="T32" s="94"/>
      <c r="U32" s="95"/>
    </row>
    <row r="33" customFormat="false" ht="18.75" hidden="false" customHeight="true" outlineLevel="0" collapsed="false">
      <c r="A33" s="91"/>
      <c r="B33" s="92" t="s">
        <v>393</v>
      </c>
      <c r="C33" s="84" t="s">
        <v>92</v>
      </c>
      <c r="D33" s="103" t="s">
        <v>58</v>
      </c>
      <c r="E33" s="91"/>
      <c r="F33" s="91"/>
      <c r="G33" s="87" t="n">
        <v>200</v>
      </c>
      <c r="H33" s="93"/>
      <c r="I33" s="94"/>
      <c r="J33" s="95"/>
      <c r="K33" s="3"/>
      <c r="L33" s="91"/>
      <c r="M33" s="92" t="s">
        <v>393</v>
      </c>
      <c r="N33" s="84" t="s">
        <v>92</v>
      </c>
      <c r="O33" s="103" t="s">
        <v>58</v>
      </c>
      <c r="P33" s="91"/>
      <c r="Q33" s="91"/>
      <c r="R33" s="87" t="n">
        <v>200</v>
      </c>
      <c r="S33" s="93"/>
      <c r="T33" s="94"/>
      <c r="U33" s="95"/>
    </row>
    <row r="34" customFormat="false" ht="18.75" hidden="false" customHeight="true" outlineLevel="0" collapsed="false">
      <c r="A34" s="91"/>
      <c r="B34" s="92" t="s">
        <v>393</v>
      </c>
      <c r="C34" s="84" t="s">
        <v>93</v>
      </c>
      <c r="D34" s="103" t="s">
        <v>58</v>
      </c>
      <c r="E34" s="91"/>
      <c r="F34" s="91"/>
      <c r="G34" s="87" t="n">
        <v>37.8</v>
      </c>
      <c r="H34" s="93"/>
      <c r="I34" s="94"/>
      <c r="J34" s="95"/>
      <c r="K34" s="3"/>
      <c r="L34" s="91"/>
      <c r="M34" s="92" t="s">
        <v>393</v>
      </c>
      <c r="N34" s="84" t="s">
        <v>93</v>
      </c>
      <c r="O34" s="103" t="s">
        <v>58</v>
      </c>
      <c r="P34" s="91"/>
      <c r="Q34" s="91"/>
      <c r="R34" s="87" t="n">
        <v>37.8</v>
      </c>
      <c r="S34" s="93"/>
      <c r="T34" s="94"/>
      <c r="U34" s="95"/>
    </row>
    <row r="35" customFormat="false" ht="18.75" hidden="false" customHeight="true" outlineLevel="0" collapsed="false">
      <c r="A35" s="91"/>
      <c r="B35" s="92" t="s">
        <v>393</v>
      </c>
      <c r="C35" s="84" t="s">
        <v>95</v>
      </c>
      <c r="D35" s="103" t="s">
        <v>58</v>
      </c>
      <c r="E35" s="91"/>
      <c r="F35" s="91"/>
      <c r="G35" s="87" t="n">
        <v>122.45</v>
      </c>
      <c r="H35" s="93"/>
      <c r="I35" s="94"/>
      <c r="J35" s="95"/>
      <c r="K35" s="3"/>
      <c r="L35" s="91"/>
      <c r="M35" s="92" t="s">
        <v>393</v>
      </c>
      <c r="N35" s="84" t="s">
        <v>95</v>
      </c>
      <c r="O35" s="103" t="s">
        <v>58</v>
      </c>
      <c r="P35" s="91"/>
      <c r="Q35" s="91"/>
      <c r="R35" s="87" t="n">
        <v>122.45</v>
      </c>
      <c r="S35" s="93"/>
      <c r="T35" s="94"/>
      <c r="U35" s="95"/>
    </row>
    <row r="36" customFormat="false" ht="18.75" hidden="false" customHeight="true" outlineLevel="0" collapsed="false">
      <c r="A36" s="91"/>
      <c r="B36" s="92" t="s">
        <v>393</v>
      </c>
      <c r="C36" s="84" t="s">
        <v>94</v>
      </c>
      <c r="D36" s="103" t="s">
        <v>58</v>
      </c>
      <c r="E36" s="91"/>
      <c r="F36" s="91"/>
      <c r="G36" s="87" t="n">
        <v>124.65</v>
      </c>
      <c r="H36" s="93"/>
      <c r="I36" s="94"/>
      <c r="J36" s="95"/>
      <c r="K36" s="3"/>
      <c r="L36" s="91"/>
      <c r="M36" s="92" t="s">
        <v>393</v>
      </c>
      <c r="N36" s="84" t="s">
        <v>94</v>
      </c>
      <c r="O36" s="103" t="s">
        <v>58</v>
      </c>
      <c r="P36" s="91"/>
      <c r="Q36" s="91"/>
      <c r="R36" s="87" t="n">
        <v>124.65</v>
      </c>
      <c r="S36" s="93"/>
      <c r="T36" s="94"/>
      <c r="U36" s="95"/>
    </row>
    <row r="37" customFormat="false" ht="18.75" hidden="false" customHeight="true" outlineLevel="0" collapsed="false">
      <c r="A37" s="82" t="s">
        <v>35</v>
      </c>
      <c r="B37" s="83" t="s">
        <v>394</v>
      </c>
      <c r="C37" s="84" t="s">
        <v>371</v>
      </c>
      <c r="D37" s="85" t="s">
        <v>56</v>
      </c>
      <c r="E37" s="86" t="n">
        <v>28</v>
      </c>
      <c r="F37" s="86" t="n">
        <v>18</v>
      </c>
      <c r="G37" s="87" t="n">
        <f aca="false">E37*F37</f>
        <v>504</v>
      </c>
      <c r="H37" s="88" t="n">
        <f aca="false">SUMIF(B:B,B37,G:G)</f>
        <v>3115.82</v>
      </c>
      <c r="I37" s="89" t="n">
        <v>3980</v>
      </c>
      <c r="J37" s="90" t="n">
        <f aca="false">IFERROR((I37-H37)/I37,"")</f>
        <v>0.217130653266332</v>
      </c>
      <c r="K37" s="3"/>
      <c r="L37" s="82" t="s">
        <v>35</v>
      </c>
      <c r="M37" s="83" t="s">
        <v>394</v>
      </c>
      <c r="N37" s="84" t="s">
        <v>371</v>
      </c>
      <c r="O37" s="85" t="s">
        <v>56</v>
      </c>
      <c r="P37" s="86" t="n">
        <v>28</v>
      </c>
      <c r="Q37" s="86" t="n">
        <v>18</v>
      </c>
      <c r="R37" s="87" t="n">
        <f aca="false">P37*Q37</f>
        <v>504</v>
      </c>
      <c r="S37" s="88" t="n">
        <f aca="false">SUMIF(M:M,M37,R:R)</f>
        <v>3115.82</v>
      </c>
      <c r="T37" s="89" t="n">
        <f aca="false">I37</f>
        <v>3980</v>
      </c>
      <c r="U37" s="90" t="n">
        <f aca="false">IFERROR((T37-S37)/T37,"")</f>
        <v>0.217130653266332</v>
      </c>
    </row>
    <row r="38" customFormat="false" ht="18.75" hidden="false" customHeight="true" outlineLevel="0" collapsed="false">
      <c r="A38" s="91"/>
      <c r="B38" s="92" t="s">
        <v>394</v>
      </c>
      <c r="C38" s="84" t="s">
        <v>81</v>
      </c>
      <c r="D38" s="85" t="s">
        <v>56</v>
      </c>
      <c r="E38" s="86" t="n">
        <v>30.38</v>
      </c>
      <c r="F38" s="86" t="n">
        <v>15</v>
      </c>
      <c r="G38" s="87" t="n">
        <f aca="false">E38*F38</f>
        <v>455.7</v>
      </c>
      <c r="H38" s="93"/>
      <c r="I38" s="94"/>
      <c r="J38" s="95"/>
      <c r="K38" s="3"/>
      <c r="L38" s="91"/>
      <c r="M38" s="92" t="s">
        <v>394</v>
      </c>
      <c r="N38" s="84" t="s">
        <v>81</v>
      </c>
      <c r="O38" s="85" t="s">
        <v>56</v>
      </c>
      <c r="P38" s="86" t="n">
        <v>30.38</v>
      </c>
      <c r="Q38" s="86" t="n">
        <v>15</v>
      </c>
      <c r="R38" s="87" t="n">
        <f aca="false">P38*Q38</f>
        <v>455.7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394</v>
      </c>
      <c r="C39" s="84" t="s">
        <v>137</v>
      </c>
      <c r="D39" s="85" t="s">
        <v>56</v>
      </c>
      <c r="E39" s="86" t="n">
        <v>27.8</v>
      </c>
      <c r="F39" s="86" t="n">
        <v>15</v>
      </c>
      <c r="G39" s="87" t="n">
        <f aca="false">E39*F39</f>
        <v>417</v>
      </c>
      <c r="H39" s="93"/>
      <c r="I39" s="94"/>
      <c r="J39" s="95"/>
      <c r="K39" s="3"/>
      <c r="L39" s="91"/>
      <c r="M39" s="92" t="s">
        <v>394</v>
      </c>
      <c r="N39" s="84" t="s">
        <v>137</v>
      </c>
      <c r="O39" s="85" t="s">
        <v>56</v>
      </c>
      <c r="P39" s="86" t="n">
        <v>27.8</v>
      </c>
      <c r="Q39" s="86" t="n">
        <v>15</v>
      </c>
      <c r="R39" s="87" t="n">
        <f aca="false">P39*Q39</f>
        <v>417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394</v>
      </c>
      <c r="C40" s="84" t="s">
        <v>390</v>
      </c>
      <c r="D40" s="85" t="s">
        <v>56</v>
      </c>
      <c r="E40" s="86" t="n">
        <v>54.66</v>
      </c>
      <c r="F40" s="86" t="n">
        <v>17</v>
      </c>
      <c r="G40" s="87" t="n">
        <f aca="false">E40*F40</f>
        <v>929.22</v>
      </c>
      <c r="H40" s="93"/>
      <c r="I40" s="94"/>
      <c r="J40" s="95"/>
      <c r="K40" s="3"/>
      <c r="L40" s="91"/>
      <c r="M40" s="92" t="s">
        <v>394</v>
      </c>
      <c r="N40" s="84" t="s">
        <v>390</v>
      </c>
      <c r="O40" s="85" t="s">
        <v>56</v>
      </c>
      <c r="P40" s="86" t="n">
        <v>54.66</v>
      </c>
      <c r="Q40" s="86" t="n">
        <v>17</v>
      </c>
      <c r="R40" s="87" t="n">
        <f aca="false">P40*Q40</f>
        <v>929.22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394</v>
      </c>
      <c r="C41" s="84" t="s">
        <v>92</v>
      </c>
      <c r="D41" s="103" t="s">
        <v>58</v>
      </c>
      <c r="E41" s="91"/>
      <c r="F41" s="91"/>
      <c r="G41" s="87" t="n">
        <v>150</v>
      </c>
      <c r="H41" s="93"/>
      <c r="I41" s="94"/>
      <c r="J41" s="95"/>
      <c r="K41" s="3"/>
      <c r="L41" s="91"/>
      <c r="M41" s="92" t="s">
        <v>394</v>
      </c>
      <c r="N41" s="84" t="s">
        <v>92</v>
      </c>
      <c r="O41" s="103" t="s">
        <v>58</v>
      </c>
      <c r="P41" s="91"/>
      <c r="Q41" s="91"/>
      <c r="R41" s="87" t="n">
        <v>150</v>
      </c>
      <c r="S41" s="93"/>
      <c r="T41" s="94"/>
      <c r="U41" s="95"/>
    </row>
    <row r="42" customFormat="false" ht="18.75" hidden="false" customHeight="true" outlineLevel="0" collapsed="false">
      <c r="A42" s="91"/>
      <c r="B42" s="92" t="s">
        <v>394</v>
      </c>
      <c r="C42" s="84" t="s">
        <v>93</v>
      </c>
      <c r="D42" s="103" t="s">
        <v>58</v>
      </c>
      <c r="E42" s="91"/>
      <c r="F42" s="91"/>
      <c r="G42" s="87" t="n">
        <v>37.8</v>
      </c>
      <c r="H42" s="93"/>
      <c r="I42" s="94"/>
      <c r="J42" s="95"/>
      <c r="K42" s="3"/>
      <c r="L42" s="91"/>
      <c r="M42" s="92" t="s">
        <v>394</v>
      </c>
      <c r="N42" s="84" t="s">
        <v>93</v>
      </c>
      <c r="O42" s="103" t="s">
        <v>58</v>
      </c>
      <c r="P42" s="91"/>
      <c r="Q42" s="91"/>
      <c r="R42" s="87" t="n">
        <v>37.8</v>
      </c>
      <c r="S42" s="93"/>
      <c r="T42" s="94"/>
      <c r="U42" s="95"/>
    </row>
    <row r="43" customFormat="false" ht="18.75" hidden="false" customHeight="true" outlineLevel="0" collapsed="false">
      <c r="A43" s="91"/>
      <c r="B43" s="92" t="s">
        <v>394</v>
      </c>
      <c r="C43" s="84" t="s">
        <v>95</v>
      </c>
      <c r="D43" s="103" t="s">
        <v>58</v>
      </c>
      <c r="E43" s="91"/>
      <c r="F43" s="91"/>
      <c r="G43" s="87" t="n">
        <v>252.65</v>
      </c>
      <c r="H43" s="93"/>
      <c r="I43" s="94"/>
      <c r="J43" s="95"/>
      <c r="K43" s="3"/>
      <c r="L43" s="91"/>
      <c r="M43" s="92" t="s">
        <v>394</v>
      </c>
      <c r="N43" s="84" t="s">
        <v>95</v>
      </c>
      <c r="O43" s="103" t="s">
        <v>58</v>
      </c>
      <c r="P43" s="91"/>
      <c r="Q43" s="91"/>
      <c r="R43" s="87" t="n">
        <v>252.65</v>
      </c>
      <c r="S43" s="93"/>
      <c r="T43" s="94"/>
      <c r="U43" s="95"/>
    </row>
    <row r="44" customFormat="false" ht="18.75" hidden="false" customHeight="true" outlineLevel="0" collapsed="false">
      <c r="A44" s="91"/>
      <c r="B44" s="92" t="s">
        <v>394</v>
      </c>
      <c r="C44" s="84" t="s">
        <v>94</v>
      </c>
      <c r="D44" s="103" t="s">
        <v>58</v>
      </c>
      <c r="E44" s="91"/>
      <c r="F44" s="91"/>
      <c r="G44" s="87" t="n">
        <v>369.45</v>
      </c>
      <c r="H44" s="93"/>
      <c r="I44" s="94"/>
      <c r="J44" s="95"/>
      <c r="K44" s="3"/>
      <c r="L44" s="91"/>
      <c r="M44" s="92" t="s">
        <v>394</v>
      </c>
      <c r="N44" s="84" t="s">
        <v>94</v>
      </c>
      <c r="O44" s="103" t="s">
        <v>58</v>
      </c>
      <c r="P44" s="91"/>
      <c r="Q44" s="91"/>
      <c r="R44" s="87" t="n">
        <v>369.45</v>
      </c>
      <c r="S44" s="93"/>
      <c r="T44" s="94"/>
      <c r="U44" s="95"/>
    </row>
    <row r="45" customFormat="false" ht="18.75" hidden="false" customHeight="true" outlineLevel="0" collapsed="false">
      <c r="A45" s="82" t="s">
        <v>35</v>
      </c>
      <c r="B45" s="83" t="s">
        <v>395</v>
      </c>
      <c r="C45" s="84" t="s">
        <v>371</v>
      </c>
      <c r="D45" s="85" t="s">
        <v>56</v>
      </c>
      <c r="E45" s="86" t="n">
        <v>35</v>
      </c>
      <c r="F45" s="86" t="n">
        <v>18</v>
      </c>
      <c r="G45" s="87" t="n">
        <f aca="false">E45*F45</f>
        <v>630</v>
      </c>
      <c r="H45" s="88" t="n">
        <f aca="false">SUMIF(B:B,B45,G:G)</f>
        <v>2973.63</v>
      </c>
      <c r="I45" s="89" t="n">
        <v>3980</v>
      </c>
      <c r="J45" s="90" t="n">
        <f aca="false">IFERROR((I45-H45)/I45,"")</f>
        <v>0.252856783919598</v>
      </c>
      <c r="K45" s="3"/>
      <c r="L45" s="82" t="s">
        <v>35</v>
      </c>
      <c r="M45" s="83" t="s">
        <v>395</v>
      </c>
      <c r="N45" s="84" t="s">
        <v>371</v>
      </c>
      <c r="O45" s="85" t="s">
        <v>56</v>
      </c>
      <c r="P45" s="86" t="n">
        <v>35</v>
      </c>
      <c r="Q45" s="86" t="n">
        <v>18</v>
      </c>
      <c r="R45" s="87" t="n">
        <f aca="false">P45*Q45</f>
        <v>630</v>
      </c>
      <c r="S45" s="88" t="n">
        <f aca="false">SUMIF(M:M,M45,R:R)</f>
        <v>2973.63</v>
      </c>
      <c r="T45" s="89" t="n">
        <f aca="false">I45</f>
        <v>3980</v>
      </c>
      <c r="U45" s="90" t="n">
        <f aca="false">IFERROR((T45-S45)/T45,"")</f>
        <v>0.252856783919598</v>
      </c>
    </row>
    <row r="46" customFormat="false" ht="18.75" hidden="false" customHeight="true" outlineLevel="0" collapsed="false">
      <c r="A46" s="91"/>
      <c r="B46" s="92" t="s">
        <v>395</v>
      </c>
      <c r="C46" s="84" t="s">
        <v>89</v>
      </c>
      <c r="D46" s="85" t="s">
        <v>56</v>
      </c>
      <c r="E46" s="86" t="n">
        <v>28.5</v>
      </c>
      <c r="F46" s="86" t="n">
        <v>15</v>
      </c>
      <c r="G46" s="87" t="n">
        <f aca="false">E46*F46</f>
        <v>427.5</v>
      </c>
      <c r="H46" s="93"/>
      <c r="I46" s="94"/>
      <c r="J46" s="95"/>
      <c r="K46" s="3"/>
      <c r="L46" s="91"/>
      <c r="M46" s="92" t="s">
        <v>395</v>
      </c>
      <c r="N46" s="84" t="s">
        <v>89</v>
      </c>
      <c r="O46" s="85" t="s">
        <v>56</v>
      </c>
      <c r="P46" s="86" t="n">
        <v>28.5</v>
      </c>
      <c r="Q46" s="86" t="n">
        <v>15</v>
      </c>
      <c r="R46" s="87" t="n">
        <f aca="false">P46*Q46</f>
        <v>427.5</v>
      </c>
      <c r="S46" s="93"/>
      <c r="T46" s="94"/>
      <c r="U46" s="95"/>
    </row>
    <row r="47" customFormat="false" ht="18.75" hidden="false" customHeight="true" outlineLevel="0" collapsed="false">
      <c r="A47" s="91"/>
      <c r="B47" s="92" t="s">
        <v>395</v>
      </c>
      <c r="C47" s="84" t="s">
        <v>294</v>
      </c>
      <c r="D47" s="85" t="s">
        <v>56</v>
      </c>
      <c r="E47" s="86" t="n">
        <v>30</v>
      </c>
      <c r="F47" s="86" t="n">
        <v>15</v>
      </c>
      <c r="G47" s="87" t="n">
        <f aca="false">E47*F47</f>
        <v>450</v>
      </c>
      <c r="H47" s="93"/>
      <c r="I47" s="94"/>
      <c r="J47" s="95"/>
      <c r="K47" s="3"/>
      <c r="L47" s="91"/>
      <c r="M47" s="92" t="s">
        <v>395</v>
      </c>
      <c r="N47" s="84" t="s">
        <v>294</v>
      </c>
      <c r="O47" s="85" t="s">
        <v>56</v>
      </c>
      <c r="P47" s="86" t="n">
        <v>30</v>
      </c>
      <c r="Q47" s="86" t="n">
        <v>15</v>
      </c>
      <c r="R47" s="87" t="n">
        <f aca="false">P47*Q47</f>
        <v>450</v>
      </c>
      <c r="S47" s="93"/>
      <c r="T47" s="94"/>
      <c r="U47" s="95"/>
    </row>
    <row r="48" customFormat="false" ht="18.75" hidden="false" customHeight="true" outlineLevel="0" collapsed="false">
      <c r="A48" s="91"/>
      <c r="B48" s="92" t="s">
        <v>395</v>
      </c>
      <c r="C48" s="84" t="s">
        <v>390</v>
      </c>
      <c r="D48" s="85" t="s">
        <v>56</v>
      </c>
      <c r="E48" s="86" t="n">
        <v>38.25</v>
      </c>
      <c r="F48" s="86" t="n">
        <v>17</v>
      </c>
      <c r="G48" s="87" t="n">
        <f aca="false">E48*F48</f>
        <v>650.25</v>
      </c>
      <c r="H48" s="93"/>
      <c r="I48" s="94"/>
      <c r="J48" s="95"/>
      <c r="K48" s="3"/>
      <c r="L48" s="91"/>
      <c r="M48" s="92" t="s">
        <v>395</v>
      </c>
      <c r="N48" s="84" t="s">
        <v>390</v>
      </c>
      <c r="O48" s="85" t="s">
        <v>56</v>
      </c>
      <c r="P48" s="86" t="n">
        <v>38.25</v>
      </c>
      <c r="Q48" s="86" t="n">
        <v>17</v>
      </c>
      <c r="R48" s="87" t="n">
        <f aca="false">P48*Q48</f>
        <v>650.25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395</v>
      </c>
      <c r="C49" s="84" t="s">
        <v>92</v>
      </c>
      <c r="D49" s="103" t="s">
        <v>58</v>
      </c>
      <c r="E49" s="91"/>
      <c r="F49" s="91"/>
      <c r="G49" s="87" t="n">
        <v>200</v>
      </c>
      <c r="H49" s="93"/>
      <c r="I49" s="94"/>
      <c r="J49" s="95"/>
      <c r="K49" s="3"/>
      <c r="L49" s="91"/>
      <c r="M49" s="92" t="s">
        <v>395</v>
      </c>
      <c r="N49" s="84" t="s">
        <v>92</v>
      </c>
      <c r="O49" s="103" t="s">
        <v>58</v>
      </c>
      <c r="P49" s="91"/>
      <c r="Q49" s="91"/>
      <c r="R49" s="87" t="n">
        <v>200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395</v>
      </c>
      <c r="C50" s="84" t="s">
        <v>93</v>
      </c>
      <c r="D50" s="103" t="s">
        <v>58</v>
      </c>
      <c r="E50" s="91"/>
      <c r="F50" s="91"/>
      <c r="G50" s="87" t="n">
        <v>37.8</v>
      </c>
      <c r="H50" s="93"/>
      <c r="I50" s="94"/>
      <c r="J50" s="95"/>
      <c r="K50" s="3"/>
      <c r="L50" s="91"/>
      <c r="M50" s="92" t="s">
        <v>395</v>
      </c>
      <c r="N50" s="84" t="s">
        <v>93</v>
      </c>
      <c r="O50" s="103" t="s">
        <v>58</v>
      </c>
      <c r="P50" s="91"/>
      <c r="Q50" s="91"/>
      <c r="R50" s="87" t="n">
        <v>37.8</v>
      </c>
      <c r="S50" s="93"/>
      <c r="T50" s="94"/>
      <c r="U50" s="95"/>
    </row>
    <row r="51" customFormat="false" ht="18.75" hidden="false" customHeight="true" outlineLevel="0" collapsed="false">
      <c r="A51" s="91"/>
      <c r="B51" s="92" t="s">
        <v>395</v>
      </c>
      <c r="C51" s="84" t="s">
        <v>95</v>
      </c>
      <c r="D51" s="103" t="s">
        <v>58</v>
      </c>
      <c r="E51" s="91"/>
      <c r="F51" s="91"/>
      <c r="G51" s="87" t="n">
        <v>175.67</v>
      </c>
      <c r="H51" s="93"/>
      <c r="I51" s="94"/>
      <c r="J51" s="95"/>
      <c r="K51" s="3"/>
      <c r="L51" s="91"/>
      <c r="M51" s="92" t="s">
        <v>395</v>
      </c>
      <c r="N51" s="84" t="s">
        <v>95</v>
      </c>
      <c r="O51" s="103" t="s">
        <v>58</v>
      </c>
      <c r="P51" s="91"/>
      <c r="Q51" s="91"/>
      <c r="R51" s="87" t="n">
        <v>175.67</v>
      </c>
      <c r="S51" s="93"/>
      <c r="T51" s="94"/>
      <c r="U51" s="95"/>
    </row>
    <row r="52" customFormat="false" ht="18.75" hidden="false" customHeight="true" outlineLevel="0" collapsed="false">
      <c r="A52" s="91"/>
      <c r="B52" s="92" t="s">
        <v>395</v>
      </c>
      <c r="C52" s="84" t="s">
        <v>94</v>
      </c>
      <c r="D52" s="103" t="s">
        <v>58</v>
      </c>
      <c r="E52" s="91"/>
      <c r="F52" s="91"/>
      <c r="G52" s="87" t="n">
        <v>402.41</v>
      </c>
      <c r="H52" s="93"/>
      <c r="I52" s="94"/>
      <c r="J52" s="95"/>
      <c r="K52" s="3"/>
      <c r="L52" s="91"/>
      <c r="M52" s="92" t="s">
        <v>395</v>
      </c>
      <c r="N52" s="84" t="s">
        <v>94</v>
      </c>
      <c r="O52" s="103" t="s">
        <v>58</v>
      </c>
      <c r="P52" s="91"/>
      <c r="Q52" s="91"/>
      <c r="R52" s="87" t="n">
        <v>402.41</v>
      </c>
      <c r="S52" s="93"/>
      <c r="T52" s="94"/>
      <c r="U52" s="95"/>
    </row>
    <row r="53" customFormat="false" ht="18.75" hidden="false" customHeight="true" outlineLevel="0" collapsed="false">
      <c r="A53" s="82" t="s">
        <v>37</v>
      </c>
      <c r="B53" s="83" t="s">
        <v>396</v>
      </c>
      <c r="C53" s="84" t="s">
        <v>371</v>
      </c>
      <c r="D53" s="85" t="s">
        <v>56</v>
      </c>
      <c r="E53" s="86" t="n">
        <v>35</v>
      </c>
      <c r="F53" s="86" t="n">
        <v>18</v>
      </c>
      <c r="G53" s="87" t="n">
        <f aca="false">E53*F53</f>
        <v>630</v>
      </c>
      <c r="H53" s="88" t="n">
        <f aca="false">SUMIF(B:B,B53,G:G)</f>
        <v>3972.25</v>
      </c>
      <c r="I53" s="89" t="n">
        <v>3980</v>
      </c>
      <c r="J53" s="90" t="n">
        <f aca="false">IFERROR((I53-H53)/I53,"")</f>
        <v>0.00194723618090452</v>
      </c>
      <c r="K53" s="3"/>
      <c r="L53" s="82" t="s">
        <v>37</v>
      </c>
      <c r="M53" s="83" t="s">
        <v>396</v>
      </c>
      <c r="N53" s="84" t="s">
        <v>371</v>
      </c>
      <c r="O53" s="85" t="s">
        <v>56</v>
      </c>
      <c r="P53" s="86" t="n">
        <v>35</v>
      </c>
      <c r="Q53" s="86" t="n">
        <v>18</v>
      </c>
      <c r="R53" s="87" t="n">
        <f aca="false">P53*Q53</f>
        <v>630</v>
      </c>
      <c r="S53" s="88" t="n">
        <f aca="false">SUMIF(M:M,M53,R:R)</f>
        <v>3972.25</v>
      </c>
      <c r="T53" s="89" t="n">
        <f aca="false">I53</f>
        <v>3980</v>
      </c>
      <c r="U53" s="90" t="n">
        <f aca="false">IFERROR((T53-S53)/T53,"")</f>
        <v>0.00194723618090452</v>
      </c>
    </row>
    <row r="54" customFormat="false" ht="18.75" hidden="false" customHeight="true" outlineLevel="0" collapsed="false">
      <c r="A54" s="91"/>
      <c r="B54" s="92" t="s">
        <v>396</v>
      </c>
      <c r="C54" s="84" t="s">
        <v>89</v>
      </c>
      <c r="D54" s="85" t="s">
        <v>56</v>
      </c>
      <c r="E54" s="86" t="n">
        <v>23.08</v>
      </c>
      <c r="F54" s="86" t="n">
        <v>15</v>
      </c>
      <c r="G54" s="87" t="n">
        <f aca="false">E54*F54</f>
        <v>346.2</v>
      </c>
      <c r="H54" s="93"/>
      <c r="I54" s="94"/>
      <c r="J54" s="95"/>
      <c r="K54" s="3"/>
      <c r="L54" s="91"/>
      <c r="M54" s="92" t="s">
        <v>396</v>
      </c>
      <c r="N54" s="84" t="s">
        <v>89</v>
      </c>
      <c r="O54" s="85" t="s">
        <v>56</v>
      </c>
      <c r="P54" s="86" t="n">
        <v>23.08</v>
      </c>
      <c r="Q54" s="86" t="n">
        <v>15</v>
      </c>
      <c r="R54" s="87" t="n">
        <f aca="false">P54*Q54</f>
        <v>346.2</v>
      </c>
      <c r="S54" s="93"/>
      <c r="T54" s="94"/>
      <c r="U54" s="95"/>
    </row>
    <row r="55" customFormat="false" ht="18.75" hidden="false" customHeight="true" outlineLevel="0" collapsed="false">
      <c r="A55" s="91"/>
      <c r="B55" s="92" t="s">
        <v>396</v>
      </c>
      <c r="C55" s="84" t="s">
        <v>294</v>
      </c>
      <c r="D55" s="85" t="s">
        <v>56</v>
      </c>
      <c r="E55" s="86" t="n">
        <v>23.83</v>
      </c>
      <c r="F55" s="86" t="n">
        <v>15</v>
      </c>
      <c r="G55" s="87" t="n">
        <f aca="false">E55*F55</f>
        <v>357.45</v>
      </c>
      <c r="H55" s="93"/>
      <c r="I55" s="94"/>
      <c r="J55" s="95"/>
      <c r="K55" s="3"/>
      <c r="L55" s="91"/>
      <c r="M55" s="92" t="s">
        <v>396</v>
      </c>
      <c r="N55" s="84" t="s">
        <v>294</v>
      </c>
      <c r="O55" s="85" t="s">
        <v>56</v>
      </c>
      <c r="P55" s="86" t="n">
        <v>23.83</v>
      </c>
      <c r="Q55" s="86" t="n">
        <v>15</v>
      </c>
      <c r="R55" s="87" t="n">
        <f aca="false">P55*Q55</f>
        <v>357.45</v>
      </c>
      <c r="S55" s="93"/>
      <c r="T55" s="94"/>
      <c r="U55" s="95"/>
    </row>
    <row r="56" customFormat="false" ht="18.75" hidden="false" customHeight="true" outlineLevel="0" collapsed="false">
      <c r="A56" s="91"/>
      <c r="B56" s="92" t="s">
        <v>396</v>
      </c>
      <c r="C56" s="84" t="s">
        <v>397</v>
      </c>
      <c r="D56" s="85" t="s">
        <v>56</v>
      </c>
      <c r="E56" s="86" t="n">
        <v>28.88</v>
      </c>
      <c r="F56" s="86" t="n">
        <v>15</v>
      </c>
      <c r="G56" s="87" t="n">
        <f aca="false">E56*F56</f>
        <v>433.2</v>
      </c>
      <c r="H56" s="93"/>
      <c r="I56" s="94"/>
      <c r="J56" s="95"/>
      <c r="K56" s="3"/>
      <c r="L56" s="91"/>
      <c r="M56" s="92" t="s">
        <v>396</v>
      </c>
      <c r="N56" s="84" t="s">
        <v>397</v>
      </c>
      <c r="O56" s="85" t="s">
        <v>56</v>
      </c>
      <c r="P56" s="86" t="n">
        <v>28.88</v>
      </c>
      <c r="Q56" s="86" t="n">
        <v>15</v>
      </c>
      <c r="R56" s="87" t="n">
        <f aca="false">P56*Q56</f>
        <v>433.2</v>
      </c>
      <c r="S56" s="93"/>
      <c r="T56" s="94"/>
      <c r="U56" s="95"/>
    </row>
    <row r="57" customFormat="false" ht="18.75" hidden="false" customHeight="true" outlineLevel="0" collapsed="false">
      <c r="A57" s="91"/>
      <c r="B57" s="92" t="s">
        <v>396</v>
      </c>
      <c r="C57" s="84" t="s">
        <v>148</v>
      </c>
      <c r="D57" s="85" t="s">
        <v>56</v>
      </c>
      <c r="E57" s="86" t="n">
        <v>29.46</v>
      </c>
      <c r="F57" s="86" t="n">
        <v>15</v>
      </c>
      <c r="G57" s="87" t="n">
        <f aca="false">E57*F57</f>
        <v>441.9</v>
      </c>
      <c r="H57" s="93"/>
      <c r="I57" s="94"/>
      <c r="J57" s="95"/>
      <c r="K57" s="3"/>
      <c r="L57" s="91"/>
      <c r="M57" s="92" t="s">
        <v>396</v>
      </c>
      <c r="N57" s="84" t="s">
        <v>148</v>
      </c>
      <c r="O57" s="85" t="s">
        <v>56</v>
      </c>
      <c r="P57" s="86" t="n">
        <v>29.46</v>
      </c>
      <c r="Q57" s="86" t="n">
        <v>15</v>
      </c>
      <c r="R57" s="87" t="n">
        <f aca="false">P57*Q57</f>
        <v>441.9</v>
      </c>
      <c r="S57" s="93"/>
      <c r="T57" s="94"/>
      <c r="U57" s="95"/>
    </row>
    <row r="58" customFormat="false" ht="18.75" hidden="false" customHeight="true" outlineLevel="0" collapsed="false">
      <c r="A58" s="91"/>
      <c r="B58" s="92" t="s">
        <v>396</v>
      </c>
      <c r="C58" s="84" t="s">
        <v>390</v>
      </c>
      <c r="D58" s="85" t="s">
        <v>56</v>
      </c>
      <c r="E58" s="86" t="n">
        <v>47.27</v>
      </c>
      <c r="F58" s="86" t="n">
        <v>17</v>
      </c>
      <c r="G58" s="87" t="n">
        <f aca="false">E58*F58</f>
        <v>803.59</v>
      </c>
      <c r="H58" s="93"/>
      <c r="I58" s="94"/>
      <c r="J58" s="95"/>
      <c r="K58" s="3"/>
      <c r="L58" s="91"/>
      <c r="M58" s="92" t="s">
        <v>396</v>
      </c>
      <c r="N58" s="84" t="s">
        <v>390</v>
      </c>
      <c r="O58" s="85" t="s">
        <v>56</v>
      </c>
      <c r="P58" s="86" t="n">
        <v>47.27</v>
      </c>
      <c r="Q58" s="86" t="n">
        <v>17</v>
      </c>
      <c r="R58" s="87" t="n">
        <f aca="false">P58*Q58</f>
        <v>803.59</v>
      </c>
      <c r="S58" s="93"/>
      <c r="T58" s="94"/>
      <c r="U58" s="95"/>
    </row>
    <row r="59" customFormat="false" ht="18.75" hidden="false" customHeight="true" outlineLevel="0" collapsed="false">
      <c r="A59" s="91"/>
      <c r="B59" s="92" t="s">
        <v>396</v>
      </c>
      <c r="C59" s="84" t="s">
        <v>92</v>
      </c>
      <c r="D59" s="103" t="s">
        <v>58</v>
      </c>
      <c r="E59" s="91"/>
      <c r="F59" s="91"/>
      <c r="G59" s="87" t="n">
        <v>150</v>
      </c>
      <c r="H59" s="93"/>
      <c r="I59" s="94"/>
      <c r="J59" s="95"/>
      <c r="K59" s="3"/>
      <c r="L59" s="91"/>
      <c r="M59" s="92" t="s">
        <v>396</v>
      </c>
      <c r="N59" s="84" t="s">
        <v>92</v>
      </c>
      <c r="O59" s="103" t="s">
        <v>58</v>
      </c>
      <c r="P59" s="91"/>
      <c r="Q59" s="91"/>
      <c r="R59" s="87" t="n">
        <v>150</v>
      </c>
      <c r="S59" s="93"/>
      <c r="T59" s="94"/>
      <c r="U59" s="95"/>
    </row>
    <row r="60" customFormat="false" ht="18.75" hidden="false" customHeight="true" outlineLevel="0" collapsed="false">
      <c r="A60" s="91"/>
      <c r="B60" s="92" t="s">
        <v>396</v>
      </c>
      <c r="C60" s="84" t="s">
        <v>93</v>
      </c>
      <c r="D60" s="103" t="s">
        <v>58</v>
      </c>
      <c r="E60" s="91"/>
      <c r="F60" s="91"/>
      <c r="G60" s="87" t="n">
        <v>37.8</v>
      </c>
      <c r="H60" s="93"/>
      <c r="I60" s="94"/>
      <c r="J60" s="95"/>
      <c r="K60" s="3"/>
      <c r="L60" s="91"/>
      <c r="M60" s="92" t="s">
        <v>396</v>
      </c>
      <c r="N60" s="84" t="s">
        <v>93</v>
      </c>
      <c r="O60" s="103" t="s">
        <v>58</v>
      </c>
      <c r="P60" s="91"/>
      <c r="Q60" s="91"/>
      <c r="R60" s="87" t="n">
        <v>37.8</v>
      </c>
      <c r="S60" s="93"/>
      <c r="T60" s="94"/>
      <c r="U60" s="95"/>
    </row>
    <row r="61" customFormat="false" ht="18.75" hidden="false" customHeight="true" outlineLevel="0" collapsed="false">
      <c r="A61" s="91"/>
      <c r="B61" s="92" t="s">
        <v>396</v>
      </c>
      <c r="C61" s="84" t="s">
        <v>95</v>
      </c>
      <c r="D61" s="103" t="s">
        <v>58</v>
      </c>
      <c r="E61" s="91"/>
      <c r="F61" s="91"/>
      <c r="G61" s="87" t="n">
        <v>335.66</v>
      </c>
      <c r="H61" s="93"/>
      <c r="I61" s="94"/>
      <c r="J61" s="95"/>
      <c r="K61" s="3"/>
      <c r="L61" s="91"/>
      <c r="M61" s="92" t="s">
        <v>396</v>
      </c>
      <c r="N61" s="84" t="s">
        <v>95</v>
      </c>
      <c r="O61" s="103" t="s">
        <v>58</v>
      </c>
      <c r="P61" s="91"/>
      <c r="Q61" s="91"/>
      <c r="R61" s="87" t="n">
        <v>335.66</v>
      </c>
      <c r="S61" s="93"/>
      <c r="T61" s="94"/>
      <c r="U61" s="95"/>
    </row>
    <row r="62" customFormat="false" ht="18.75" hidden="false" customHeight="true" outlineLevel="0" collapsed="false">
      <c r="A62" s="91"/>
      <c r="B62" s="92" t="s">
        <v>396</v>
      </c>
      <c r="C62" s="84" t="s">
        <v>94</v>
      </c>
      <c r="D62" s="103" t="s">
        <v>58</v>
      </c>
      <c r="E62" s="91"/>
      <c r="F62" s="91"/>
      <c r="G62" s="87" t="n">
        <v>436.45</v>
      </c>
      <c r="H62" s="93"/>
      <c r="I62" s="94"/>
      <c r="J62" s="95"/>
      <c r="K62" s="3"/>
      <c r="L62" s="91"/>
      <c r="M62" s="92" t="s">
        <v>396</v>
      </c>
      <c r="N62" s="84" t="s">
        <v>94</v>
      </c>
      <c r="O62" s="103" t="s">
        <v>58</v>
      </c>
      <c r="P62" s="91"/>
      <c r="Q62" s="91"/>
      <c r="R62" s="87" t="n">
        <v>436.45</v>
      </c>
      <c r="S62" s="93"/>
      <c r="T62" s="94"/>
      <c r="U62" s="95"/>
    </row>
    <row r="63" customFormat="false" ht="18.75" hidden="false" customHeight="true" outlineLevel="0" collapsed="false">
      <c r="A63" s="82" t="s">
        <v>37</v>
      </c>
      <c r="B63" s="83" t="s">
        <v>398</v>
      </c>
      <c r="C63" s="84" t="s">
        <v>371</v>
      </c>
      <c r="D63" s="85" t="s">
        <v>56</v>
      </c>
      <c r="E63" s="86" t="n">
        <v>28</v>
      </c>
      <c r="F63" s="86" t="n">
        <v>18</v>
      </c>
      <c r="G63" s="87" t="n">
        <f aca="false">E63*F63</f>
        <v>504</v>
      </c>
      <c r="H63" s="88" t="n">
        <f aca="false">SUMIF(B:B,B63,G:G)</f>
        <v>3156.24</v>
      </c>
      <c r="I63" s="89" t="n">
        <v>3980</v>
      </c>
      <c r="J63" s="90" t="n">
        <f aca="false">IFERROR((I63-H63)/I63,"")</f>
        <v>0.206974874371859</v>
      </c>
      <c r="K63" s="3"/>
      <c r="L63" s="82" t="s">
        <v>37</v>
      </c>
      <c r="M63" s="83" t="s">
        <v>398</v>
      </c>
      <c r="N63" s="84" t="s">
        <v>371</v>
      </c>
      <c r="O63" s="85" t="s">
        <v>56</v>
      </c>
      <c r="P63" s="86" t="n">
        <v>28</v>
      </c>
      <c r="Q63" s="86" t="n">
        <v>18</v>
      </c>
      <c r="R63" s="87" t="n">
        <f aca="false">P63*Q63</f>
        <v>504</v>
      </c>
      <c r="S63" s="88" t="n">
        <f aca="false">SUMIF(M:M,M63,R:R)</f>
        <v>3156.24</v>
      </c>
      <c r="T63" s="89" t="n">
        <f aca="false">I63</f>
        <v>3980</v>
      </c>
      <c r="U63" s="90" t="n">
        <f aca="false">IFERROR((T63-S63)/T63,"")</f>
        <v>0.206974874371859</v>
      </c>
    </row>
    <row r="64" customFormat="false" ht="18.75" hidden="false" customHeight="true" outlineLevel="0" collapsed="false">
      <c r="A64" s="91"/>
      <c r="B64" s="92" t="s">
        <v>398</v>
      </c>
      <c r="C64" s="84" t="s">
        <v>89</v>
      </c>
      <c r="D64" s="85" t="s">
        <v>56</v>
      </c>
      <c r="E64" s="86" t="n">
        <v>16</v>
      </c>
      <c r="F64" s="86" t="n">
        <v>15</v>
      </c>
      <c r="G64" s="87" t="n">
        <f aca="false">E64*F64</f>
        <v>240</v>
      </c>
      <c r="H64" s="93"/>
      <c r="I64" s="94"/>
      <c r="J64" s="95"/>
      <c r="K64" s="3"/>
      <c r="L64" s="91"/>
      <c r="M64" s="92" t="s">
        <v>398</v>
      </c>
      <c r="N64" s="84" t="s">
        <v>89</v>
      </c>
      <c r="O64" s="85" t="s">
        <v>56</v>
      </c>
      <c r="P64" s="86" t="n">
        <v>16</v>
      </c>
      <c r="Q64" s="86" t="n">
        <v>15</v>
      </c>
      <c r="R64" s="87" t="n">
        <f aca="false">P64*Q64</f>
        <v>240</v>
      </c>
      <c r="S64" s="93"/>
      <c r="T64" s="94"/>
      <c r="U64" s="95"/>
    </row>
    <row r="65" customFormat="false" ht="18.75" hidden="false" customHeight="true" outlineLevel="0" collapsed="false">
      <c r="A65" s="91"/>
      <c r="B65" s="92" t="s">
        <v>398</v>
      </c>
      <c r="C65" s="84" t="s">
        <v>294</v>
      </c>
      <c r="D65" s="85" t="s">
        <v>56</v>
      </c>
      <c r="E65" s="86" t="n">
        <v>17.77</v>
      </c>
      <c r="F65" s="86" t="n">
        <v>15</v>
      </c>
      <c r="G65" s="87" t="n">
        <f aca="false">E65*F65</f>
        <v>266.55</v>
      </c>
      <c r="H65" s="93"/>
      <c r="I65" s="94"/>
      <c r="J65" s="95"/>
      <c r="K65" s="3"/>
      <c r="L65" s="91"/>
      <c r="M65" s="92" t="s">
        <v>398</v>
      </c>
      <c r="N65" s="84" t="s">
        <v>294</v>
      </c>
      <c r="O65" s="85" t="s">
        <v>56</v>
      </c>
      <c r="P65" s="86" t="n">
        <v>17.77</v>
      </c>
      <c r="Q65" s="86" t="n">
        <v>15</v>
      </c>
      <c r="R65" s="87" t="n">
        <f aca="false">P65*Q65</f>
        <v>266.55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398</v>
      </c>
      <c r="C66" s="84" t="s">
        <v>397</v>
      </c>
      <c r="D66" s="85" t="s">
        <v>56</v>
      </c>
      <c r="E66" s="86" t="n">
        <v>6.55</v>
      </c>
      <c r="F66" s="86" t="n">
        <v>15</v>
      </c>
      <c r="G66" s="87" t="n">
        <f aca="false">E66*F66</f>
        <v>98.25</v>
      </c>
      <c r="H66" s="93"/>
      <c r="I66" s="94"/>
      <c r="J66" s="95"/>
      <c r="K66" s="3"/>
      <c r="L66" s="91"/>
      <c r="M66" s="92" t="s">
        <v>398</v>
      </c>
      <c r="N66" s="84" t="s">
        <v>397</v>
      </c>
      <c r="O66" s="85" t="s">
        <v>56</v>
      </c>
      <c r="P66" s="86" t="n">
        <v>6.55</v>
      </c>
      <c r="Q66" s="86" t="n">
        <v>15</v>
      </c>
      <c r="R66" s="87" t="n">
        <f aca="false">P66*Q66</f>
        <v>98.25</v>
      </c>
      <c r="S66" s="93"/>
      <c r="T66" s="94"/>
      <c r="U66" s="95"/>
    </row>
    <row r="67" customFormat="false" ht="18.75" hidden="false" customHeight="true" outlineLevel="0" collapsed="false">
      <c r="A67" s="91"/>
      <c r="B67" s="92" t="s">
        <v>398</v>
      </c>
      <c r="C67" s="84" t="s">
        <v>148</v>
      </c>
      <c r="D67" s="85" t="s">
        <v>56</v>
      </c>
      <c r="E67" s="86" t="n">
        <v>20.11</v>
      </c>
      <c r="F67" s="86" t="n">
        <v>15</v>
      </c>
      <c r="G67" s="87" t="n">
        <f aca="false">E67*F67</f>
        <v>301.65</v>
      </c>
      <c r="H67" s="93"/>
      <c r="I67" s="94"/>
      <c r="J67" s="95"/>
      <c r="K67" s="3"/>
      <c r="L67" s="91"/>
      <c r="M67" s="92" t="s">
        <v>398</v>
      </c>
      <c r="N67" s="84" t="s">
        <v>148</v>
      </c>
      <c r="O67" s="85" t="s">
        <v>56</v>
      </c>
      <c r="P67" s="86" t="n">
        <v>20.11</v>
      </c>
      <c r="Q67" s="86" t="n">
        <v>15</v>
      </c>
      <c r="R67" s="87" t="n">
        <f aca="false">P67*Q67</f>
        <v>301.65</v>
      </c>
      <c r="S67" s="93"/>
      <c r="T67" s="94"/>
      <c r="U67" s="95"/>
    </row>
    <row r="68" customFormat="false" ht="18.75" hidden="false" customHeight="true" outlineLevel="0" collapsed="false">
      <c r="A68" s="91"/>
      <c r="B68" s="92" t="s">
        <v>398</v>
      </c>
      <c r="C68" s="84" t="s">
        <v>390</v>
      </c>
      <c r="D68" s="85" t="s">
        <v>56</v>
      </c>
      <c r="E68" s="86" t="n">
        <v>47.57</v>
      </c>
      <c r="F68" s="86" t="n">
        <v>17</v>
      </c>
      <c r="G68" s="87" t="n">
        <f aca="false">E68*F68</f>
        <v>808.69</v>
      </c>
      <c r="H68" s="93"/>
      <c r="I68" s="94"/>
      <c r="J68" s="95"/>
      <c r="K68" s="3"/>
      <c r="L68" s="91"/>
      <c r="M68" s="92" t="s">
        <v>398</v>
      </c>
      <c r="N68" s="84" t="s">
        <v>390</v>
      </c>
      <c r="O68" s="85" t="s">
        <v>56</v>
      </c>
      <c r="P68" s="86" t="n">
        <v>47.57</v>
      </c>
      <c r="Q68" s="86" t="n">
        <v>17</v>
      </c>
      <c r="R68" s="87" t="n">
        <f aca="false">P68*Q68</f>
        <v>808.69</v>
      </c>
      <c r="S68" s="93"/>
      <c r="T68" s="94"/>
      <c r="U68" s="95"/>
    </row>
    <row r="69" customFormat="false" ht="18.75" hidden="false" customHeight="true" outlineLevel="0" collapsed="false">
      <c r="A69" s="91"/>
      <c r="B69" s="92" t="s">
        <v>398</v>
      </c>
      <c r="C69" s="84" t="s">
        <v>92</v>
      </c>
      <c r="D69" s="103" t="s">
        <v>58</v>
      </c>
      <c r="E69" s="91"/>
      <c r="F69" s="91"/>
      <c r="G69" s="87" t="n">
        <v>142.37</v>
      </c>
      <c r="H69" s="93"/>
      <c r="I69" s="94"/>
      <c r="J69" s="95"/>
      <c r="K69" s="3"/>
      <c r="L69" s="91"/>
      <c r="M69" s="92" t="s">
        <v>398</v>
      </c>
      <c r="N69" s="84" t="s">
        <v>92</v>
      </c>
      <c r="O69" s="103" t="s">
        <v>58</v>
      </c>
      <c r="P69" s="91"/>
      <c r="Q69" s="91"/>
      <c r="R69" s="87" t="n">
        <v>142.37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398</v>
      </c>
      <c r="C70" s="84" t="s">
        <v>93</v>
      </c>
      <c r="D70" s="103" t="s">
        <v>58</v>
      </c>
      <c r="E70" s="91"/>
      <c r="F70" s="91"/>
      <c r="G70" s="87" t="n">
        <v>37.8</v>
      </c>
      <c r="H70" s="93"/>
      <c r="I70" s="94"/>
      <c r="J70" s="95"/>
      <c r="K70" s="3"/>
      <c r="L70" s="91"/>
      <c r="M70" s="92" t="s">
        <v>398</v>
      </c>
      <c r="N70" s="84" t="s">
        <v>93</v>
      </c>
      <c r="O70" s="103" t="s">
        <v>58</v>
      </c>
      <c r="P70" s="91"/>
      <c r="Q70" s="91"/>
      <c r="R70" s="87" t="n">
        <v>37.8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398</v>
      </c>
      <c r="C71" s="84" t="s">
        <v>95</v>
      </c>
      <c r="D71" s="103" t="s">
        <v>58</v>
      </c>
      <c r="E71" s="91"/>
      <c r="F71" s="91"/>
      <c r="G71" s="87" t="n">
        <v>229.08</v>
      </c>
      <c r="H71" s="93"/>
      <c r="I71" s="94"/>
      <c r="J71" s="95"/>
      <c r="K71" s="3"/>
      <c r="L71" s="91"/>
      <c r="M71" s="92" t="s">
        <v>398</v>
      </c>
      <c r="N71" s="84" t="s">
        <v>95</v>
      </c>
      <c r="O71" s="103" t="s">
        <v>58</v>
      </c>
      <c r="P71" s="91"/>
      <c r="Q71" s="91"/>
      <c r="R71" s="87" t="n">
        <v>229.08</v>
      </c>
      <c r="S71" s="93"/>
      <c r="T71" s="94"/>
      <c r="U71" s="95"/>
    </row>
    <row r="72" customFormat="false" ht="18.75" hidden="false" customHeight="true" outlineLevel="0" collapsed="false">
      <c r="A72" s="91"/>
      <c r="B72" s="92" t="s">
        <v>398</v>
      </c>
      <c r="C72" s="84" t="s">
        <v>94</v>
      </c>
      <c r="D72" s="103" t="s">
        <v>58</v>
      </c>
      <c r="E72" s="91"/>
      <c r="F72" s="91"/>
      <c r="G72" s="87" t="n">
        <v>527.85</v>
      </c>
      <c r="H72" s="93"/>
      <c r="I72" s="94"/>
      <c r="J72" s="95"/>
      <c r="K72" s="3"/>
      <c r="L72" s="91"/>
      <c r="M72" s="92" t="s">
        <v>398</v>
      </c>
      <c r="N72" s="84" t="s">
        <v>94</v>
      </c>
      <c r="O72" s="103" t="s">
        <v>58</v>
      </c>
      <c r="P72" s="91"/>
      <c r="Q72" s="91"/>
      <c r="R72" s="87" t="n">
        <v>527.85</v>
      </c>
      <c r="S72" s="93"/>
      <c r="T72" s="94"/>
      <c r="U72" s="95"/>
    </row>
    <row r="73" customFormat="false" ht="18.75" hidden="false" customHeight="true" outlineLevel="0" collapsed="false">
      <c r="A73" s="82" t="s">
        <v>37</v>
      </c>
      <c r="B73" s="83" t="s">
        <v>399</v>
      </c>
      <c r="C73" s="84" t="s">
        <v>371</v>
      </c>
      <c r="D73" s="85" t="s">
        <v>56</v>
      </c>
      <c r="E73" s="86" t="n">
        <v>14</v>
      </c>
      <c r="F73" s="86" t="n">
        <v>18</v>
      </c>
      <c r="G73" s="87" t="n">
        <f aca="false">E73*F73</f>
        <v>252</v>
      </c>
      <c r="H73" s="88" t="n">
        <f aca="false">SUMIF(B:B,B73,G:G)</f>
        <v>1305.65</v>
      </c>
      <c r="I73" s="89" t="n">
        <v>3980</v>
      </c>
      <c r="J73" s="90" t="n">
        <f aca="false">IFERROR((I73-H73)/I73,"")</f>
        <v>0.671947236180905</v>
      </c>
      <c r="K73" s="3"/>
      <c r="L73" s="82" t="s">
        <v>37</v>
      </c>
      <c r="M73" s="83" t="s">
        <v>399</v>
      </c>
      <c r="N73" s="84" t="s">
        <v>371</v>
      </c>
      <c r="O73" s="85" t="s">
        <v>56</v>
      </c>
      <c r="P73" s="86" t="n">
        <v>14</v>
      </c>
      <c r="Q73" s="86" t="n">
        <v>18</v>
      </c>
      <c r="R73" s="87" t="n">
        <f aca="false">P73*Q73</f>
        <v>252</v>
      </c>
      <c r="S73" s="88" t="n">
        <f aca="false">SUMIF(M:M,M73,R:R)</f>
        <v>1305.65</v>
      </c>
      <c r="T73" s="89" t="n">
        <f aca="false">I73</f>
        <v>3980</v>
      </c>
      <c r="U73" s="90" t="n">
        <f aca="false">IFERROR((T73-S73)/T73,"")</f>
        <v>0.671947236180905</v>
      </c>
    </row>
    <row r="74" customFormat="false" ht="18.75" hidden="false" customHeight="true" outlineLevel="0" collapsed="false">
      <c r="A74" s="91"/>
      <c r="B74" s="92" t="s">
        <v>399</v>
      </c>
      <c r="C74" s="84" t="s">
        <v>89</v>
      </c>
      <c r="D74" s="85" t="s">
        <v>56</v>
      </c>
      <c r="E74" s="86" t="n">
        <v>1.75</v>
      </c>
      <c r="F74" s="86" t="n">
        <v>15</v>
      </c>
      <c r="G74" s="87" t="n">
        <f aca="false">E74*F74</f>
        <v>26.25</v>
      </c>
      <c r="H74" s="93"/>
      <c r="I74" s="94"/>
      <c r="J74" s="95"/>
      <c r="K74" s="3"/>
      <c r="L74" s="91"/>
      <c r="M74" s="92" t="s">
        <v>399</v>
      </c>
      <c r="N74" s="84" t="s">
        <v>89</v>
      </c>
      <c r="O74" s="85" t="s">
        <v>56</v>
      </c>
      <c r="P74" s="86" t="n">
        <v>1.75</v>
      </c>
      <c r="Q74" s="86" t="n">
        <v>15</v>
      </c>
      <c r="R74" s="87" t="n">
        <f aca="false">P74*Q74</f>
        <v>26.25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399</v>
      </c>
      <c r="C75" s="84" t="s">
        <v>390</v>
      </c>
      <c r="D75" s="85" t="s">
        <v>56</v>
      </c>
      <c r="E75" s="86" t="n">
        <v>43.8</v>
      </c>
      <c r="F75" s="86" t="n">
        <v>17</v>
      </c>
      <c r="G75" s="87" t="n">
        <f aca="false">E75*F75</f>
        <v>744.6</v>
      </c>
      <c r="H75" s="93"/>
      <c r="I75" s="94"/>
      <c r="J75" s="95"/>
      <c r="K75" s="3"/>
      <c r="L75" s="91"/>
      <c r="M75" s="92" t="s">
        <v>399</v>
      </c>
      <c r="N75" s="84" t="s">
        <v>390</v>
      </c>
      <c r="O75" s="85" t="s">
        <v>56</v>
      </c>
      <c r="P75" s="86" t="n">
        <v>43.8</v>
      </c>
      <c r="Q75" s="86" t="n">
        <v>17</v>
      </c>
      <c r="R75" s="87" t="n">
        <f aca="false">P75*Q75</f>
        <v>744.6</v>
      </c>
      <c r="S75" s="93"/>
      <c r="T75" s="94"/>
      <c r="U75" s="95"/>
    </row>
    <row r="76" customFormat="false" ht="18.75" hidden="false" customHeight="true" outlineLevel="0" collapsed="false">
      <c r="A76" s="91"/>
      <c r="B76" s="92" t="s">
        <v>399</v>
      </c>
      <c r="C76" s="84" t="s">
        <v>92</v>
      </c>
      <c r="D76" s="103" t="s">
        <v>58</v>
      </c>
      <c r="E76" s="91"/>
      <c r="F76" s="91"/>
      <c r="G76" s="87" t="n">
        <v>90</v>
      </c>
      <c r="H76" s="93"/>
      <c r="I76" s="94"/>
      <c r="J76" s="95"/>
      <c r="K76" s="3"/>
      <c r="L76" s="91"/>
      <c r="M76" s="92" t="s">
        <v>399</v>
      </c>
      <c r="N76" s="84" t="s">
        <v>92</v>
      </c>
      <c r="O76" s="103" t="s">
        <v>58</v>
      </c>
      <c r="P76" s="91"/>
      <c r="Q76" s="91"/>
      <c r="R76" s="87" t="n">
        <v>90</v>
      </c>
      <c r="S76" s="93"/>
      <c r="T76" s="94"/>
      <c r="U76" s="95"/>
    </row>
    <row r="77" customFormat="false" ht="18.75" hidden="false" customHeight="true" outlineLevel="0" collapsed="false">
      <c r="A77" s="91"/>
      <c r="B77" s="92" t="s">
        <v>399</v>
      </c>
      <c r="C77" s="84" t="s">
        <v>93</v>
      </c>
      <c r="D77" s="103" t="s">
        <v>58</v>
      </c>
      <c r="E77" s="91"/>
      <c r="F77" s="91"/>
      <c r="G77" s="87" t="n">
        <v>37.8</v>
      </c>
      <c r="H77" s="93"/>
      <c r="I77" s="94"/>
      <c r="J77" s="95"/>
      <c r="K77" s="3"/>
      <c r="L77" s="91"/>
      <c r="M77" s="92" t="s">
        <v>399</v>
      </c>
      <c r="N77" s="84" t="s">
        <v>93</v>
      </c>
      <c r="O77" s="103" t="s">
        <v>58</v>
      </c>
      <c r="P77" s="91"/>
      <c r="Q77" s="91"/>
      <c r="R77" s="87" t="n">
        <v>37.8</v>
      </c>
      <c r="S77" s="93"/>
      <c r="T77" s="94"/>
      <c r="U77" s="95"/>
    </row>
    <row r="78" customFormat="false" ht="18.75" hidden="false" customHeight="true" outlineLevel="0" collapsed="false">
      <c r="A78" s="91"/>
      <c r="B78" s="92" t="s">
        <v>399</v>
      </c>
      <c r="C78" s="84" t="s">
        <v>95</v>
      </c>
      <c r="D78" s="103" t="s">
        <v>58</v>
      </c>
      <c r="E78" s="91"/>
      <c r="F78" s="91"/>
      <c r="G78" s="87" t="n">
        <v>35</v>
      </c>
      <c r="H78" s="93"/>
      <c r="I78" s="94"/>
      <c r="J78" s="95"/>
      <c r="K78" s="3"/>
      <c r="L78" s="91"/>
      <c r="M78" s="92" t="s">
        <v>399</v>
      </c>
      <c r="N78" s="84" t="s">
        <v>95</v>
      </c>
      <c r="O78" s="103" t="s">
        <v>58</v>
      </c>
      <c r="P78" s="91"/>
      <c r="Q78" s="91"/>
      <c r="R78" s="87" t="n">
        <v>35</v>
      </c>
      <c r="S78" s="93"/>
      <c r="T78" s="94"/>
      <c r="U78" s="95"/>
    </row>
    <row r="79" customFormat="false" ht="18.75" hidden="false" customHeight="true" outlineLevel="0" collapsed="false">
      <c r="A79" s="91"/>
      <c r="B79" s="92" t="s">
        <v>399</v>
      </c>
      <c r="C79" s="84" t="s">
        <v>94</v>
      </c>
      <c r="D79" s="103" t="s">
        <v>58</v>
      </c>
      <c r="E79" s="91"/>
      <c r="F79" s="91"/>
      <c r="G79" s="87" t="n">
        <v>120</v>
      </c>
      <c r="H79" s="93"/>
      <c r="I79" s="94"/>
      <c r="J79" s="95"/>
      <c r="K79" s="3"/>
      <c r="L79" s="91"/>
      <c r="M79" s="92" t="s">
        <v>399</v>
      </c>
      <c r="N79" s="84" t="s">
        <v>94</v>
      </c>
      <c r="O79" s="103" t="s">
        <v>58</v>
      </c>
      <c r="P79" s="91"/>
      <c r="Q79" s="91"/>
      <c r="R79" s="87" t="n">
        <v>120</v>
      </c>
      <c r="S79" s="93"/>
      <c r="T79" s="94"/>
      <c r="U79" s="95"/>
    </row>
    <row r="80" customFormat="false" ht="18.75" hidden="false" customHeight="true" outlineLevel="0" collapsed="false">
      <c r="A80" s="82" t="s">
        <v>37</v>
      </c>
      <c r="B80" s="83" t="s">
        <v>400</v>
      </c>
      <c r="C80" s="84" t="s">
        <v>371</v>
      </c>
      <c r="D80" s="85" t="s">
        <v>56</v>
      </c>
      <c r="E80" s="86" t="n">
        <v>35</v>
      </c>
      <c r="F80" s="86" t="n">
        <v>18</v>
      </c>
      <c r="G80" s="87" t="n">
        <f aca="false">E80*F80</f>
        <v>630</v>
      </c>
      <c r="H80" s="88" t="n">
        <f aca="false">SUMIF(B:B,B80,G:G)</f>
        <v>2712.3</v>
      </c>
      <c r="I80" s="89" t="n">
        <v>3980</v>
      </c>
      <c r="J80" s="90" t="n">
        <f aca="false">IFERROR((I80-H80)/I80,"")</f>
        <v>0.318517587939698</v>
      </c>
      <c r="K80" s="3"/>
      <c r="L80" s="82" t="s">
        <v>37</v>
      </c>
      <c r="M80" s="83" t="s">
        <v>400</v>
      </c>
      <c r="N80" s="84" t="s">
        <v>371</v>
      </c>
      <c r="O80" s="85" t="s">
        <v>56</v>
      </c>
      <c r="P80" s="86" t="n">
        <v>35</v>
      </c>
      <c r="Q80" s="86" t="n">
        <v>18</v>
      </c>
      <c r="R80" s="87" t="n">
        <f aca="false">P80*Q80</f>
        <v>630</v>
      </c>
      <c r="S80" s="88" t="n">
        <f aca="false">SUMIF(M:M,M80,R:R)</f>
        <v>2712.3</v>
      </c>
      <c r="T80" s="89" t="n">
        <f aca="false">I80</f>
        <v>3980</v>
      </c>
      <c r="U80" s="90" t="n">
        <f aca="false">IFERROR((T80-S80)/T80,"")</f>
        <v>0.318517587939698</v>
      </c>
    </row>
    <row r="81" customFormat="false" ht="18.75" hidden="false" customHeight="true" outlineLevel="0" collapsed="false">
      <c r="A81" s="91"/>
      <c r="B81" s="92" t="s">
        <v>400</v>
      </c>
      <c r="C81" s="84" t="s">
        <v>89</v>
      </c>
      <c r="D81" s="85" t="s">
        <v>56</v>
      </c>
      <c r="E81" s="86" t="n">
        <v>8.1</v>
      </c>
      <c r="F81" s="86" t="n">
        <v>15</v>
      </c>
      <c r="G81" s="87" t="n">
        <f aca="false">E81*F81</f>
        <v>121.5</v>
      </c>
      <c r="H81" s="93"/>
      <c r="I81" s="94"/>
      <c r="J81" s="95"/>
      <c r="K81" s="3"/>
      <c r="L81" s="91"/>
      <c r="M81" s="92" t="s">
        <v>400</v>
      </c>
      <c r="N81" s="84" t="s">
        <v>89</v>
      </c>
      <c r="O81" s="85" t="s">
        <v>56</v>
      </c>
      <c r="P81" s="86" t="n">
        <v>8.1</v>
      </c>
      <c r="Q81" s="86" t="n">
        <v>15</v>
      </c>
      <c r="R81" s="87" t="n">
        <f aca="false">P81*Q81</f>
        <v>121.5</v>
      </c>
      <c r="S81" s="93"/>
      <c r="T81" s="94"/>
      <c r="U81" s="95"/>
    </row>
    <row r="82" customFormat="false" ht="18.75" hidden="false" customHeight="true" outlineLevel="0" collapsed="false">
      <c r="A82" s="91"/>
      <c r="B82" s="92" t="s">
        <v>400</v>
      </c>
      <c r="C82" s="84" t="s">
        <v>390</v>
      </c>
      <c r="D82" s="85" t="s">
        <v>56</v>
      </c>
      <c r="E82" s="86" t="n">
        <v>51</v>
      </c>
      <c r="F82" s="86" t="n">
        <v>17</v>
      </c>
      <c r="G82" s="87" t="n">
        <f aca="false">E82*F82</f>
        <v>867</v>
      </c>
      <c r="H82" s="93"/>
      <c r="I82" s="94"/>
      <c r="J82" s="95"/>
      <c r="K82" s="3"/>
      <c r="L82" s="91"/>
      <c r="M82" s="92" t="s">
        <v>400</v>
      </c>
      <c r="N82" s="84" t="s">
        <v>390</v>
      </c>
      <c r="O82" s="85" t="s">
        <v>56</v>
      </c>
      <c r="P82" s="86" t="n">
        <v>51</v>
      </c>
      <c r="Q82" s="86" t="n">
        <v>17</v>
      </c>
      <c r="R82" s="87" t="n">
        <f aca="false">P82*Q82</f>
        <v>867</v>
      </c>
      <c r="S82" s="93"/>
      <c r="T82" s="94"/>
      <c r="U82" s="95"/>
    </row>
    <row r="83" customFormat="false" ht="18.75" hidden="false" customHeight="true" outlineLevel="0" collapsed="false">
      <c r="A83" s="91"/>
      <c r="B83" s="92" t="s">
        <v>400</v>
      </c>
      <c r="C83" s="84" t="s">
        <v>92</v>
      </c>
      <c r="D83" s="103" t="s">
        <v>58</v>
      </c>
      <c r="E83" s="91"/>
      <c r="F83" s="91"/>
      <c r="G83" s="87" t="n">
        <v>150</v>
      </c>
      <c r="H83" s="93"/>
      <c r="I83" s="94"/>
      <c r="J83" s="95"/>
      <c r="K83" s="3"/>
      <c r="L83" s="91"/>
      <c r="M83" s="92" t="s">
        <v>400</v>
      </c>
      <c r="N83" s="84" t="s">
        <v>92</v>
      </c>
      <c r="O83" s="103" t="s">
        <v>58</v>
      </c>
      <c r="P83" s="91"/>
      <c r="Q83" s="91"/>
      <c r="R83" s="87" t="n">
        <v>150</v>
      </c>
      <c r="S83" s="93"/>
      <c r="T83" s="94"/>
      <c r="U83" s="95"/>
    </row>
    <row r="84" customFormat="false" ht="18.75" hidden="false" customHeight="true" outlineLevel="0" collapsed="false">
      <c r="A84" s="91"/>
      <c r="B84" s="92" t="s">
        <v>400</v>
      </c>
      <c r="C84" s="84" t="s">
        <v>93</v>
      </c>
      <c r="D84" s="103" t="s">
        <v>58</v>
      </c>
      <c r="E84" s="91"/>
      <c r="F84" s="91"/>
      <c r="G84" s="87" t="n">
        <v>37.8</v>
      </c>
      <c r="H84" s="93"/>
      <c r="I84" s="94"/>
      <c r="J84" s="95"/>
      <c r="K84" s="3"/>
      <c r="L84" s="91"/>
      <c r="M84" s="92" t="s">
        <v>400</v>
      </c>
      <c r="N84" s="84" t="s">
        <v>93</v>
      </c>
      <c r="O84" s="103" t="s">
        <v>58</v>
      </c>
      <c r="P84" s="91"/>
      <c r="Q84" s="91"/>
      <c r="R84" s="87" t="n">
        <v>37.8</v>
      </c>
      <c r="S84" s="93"/>
      <c r="T84" s="94"/>
      <c r="U84" s="95"/>
    </row>
    <row r="85" customFormat="false" ht="18.75" hidden="false" customHeight="true" outlineLevel="0" collapsed="false">
      <c r="A85" s="91"/>
      <c r="B85" s="92" t="s">
        <v>400</v>
      </c>
      <c r="C85" s="84" t="s">
        <v>401</v>
      </c>
      <c r="D85" s="96" t="s">
        <v>57</v>
      </c>
      <c r="E85" s="91"/>
      <c r="F85" s="91"/>
      <c r="G85" s="87" t="n">
        <v>226</v>
      </c>
      <c r="H85" s="93"/>
      <c r="I85" s="94"/>
      <c r="J85" s="95"/>
      <c r="K85" s="3"/>
      <c r="L85" s="91"/>
      <c r="M85" s="92" t="s">
        <v>400</v>
      </c>
      <c r="N85" s="84" t="s">
        <v>401</v>
      </c>
      <c r="O85" s="96" t="s">
        <v>57</v>
      </c>
      <c r="P85" s="91"/>
      <c r="Q85" s="91"/>
      <c r="R85" s="87" t="n">
        <v>226</v>
      </c>
      <c r="S85" s="93"/>
      <c r="T85" s="94"/>
      <c r="U85" s="95"/>
    </row>
    <row r="86" customFormat="false" ht="18.75" hidden="false" customHeight="true" outlineLevel="0" collapsed="false">
      <c r="A86" s="91"/>
      <c r="B86" s="92" t="s">
        <v>400</v>
      </c>
      <c r="C86" s="84" t="s">
        <v>95</v>
      </c>
      <c r="D86" s="103" t="s">
        <v>58</v>
      </c>
      <c r="E86" s="91"/>
      <c r="F86" s="91"/>
      <c r="G86" s="87" t="n">
        <v>138</v>
      </c>
      <c r="H86" s="93"/>
      <c r="I86" s="94"/>
      <c r="J86" s="95"/>
      <c r="K86" s="3"/>
      <c r="L86" s="91"/>
      <c r="M86" s="92" t="s">
        <v>400</v>
      </c>
      <c r="N86" s="84" t="s">
        <v>95</v>
      </c>
      <c r="O86" s="103" t="s">
        <v>58</v>
      </c>
      <c r="P86" s="91"/>
      <c r="Q86" s="91"/>
      <c r="R86" s="87" t="n">
        <v>138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400</v>
      </c>
      <c r="C87" s="84" t="s">
        <v>94</v>
      </c>
      <c r="D87" s="103" t="s">
        <v>58</v>
      </c>
      <c r="E87" s="91"/>
      <c r="F87" s="91"/>
      <c r="G87" s="87" t="n">
        <v>542</v>
      </c>
      <c r="H87" s="93"/>
      <c r="I87" s="94"/>
      <c r="J87" s="95"/>
      <c r="K87" s="3"/>
      <c r="L87" s="91"/>
      <c r="M87" s="92" t="s">
        <v>400</v>
      </c>
      <c r="N87" s="84" t="s">
        <v>94</v>
      </c>
      <c r="O87" s="103" t="s">
        <v>58</v>
      </c>
      <c r="P87" s="91"/>
      <c r="Q87" s="91"/>
      <c r="R87" s="87" t="n">
        <v>542</v>
      </c>
      <c r="S87" s="93"/>
      <c r="T87" s="94"/>
      <c r="U87" s="95"/>
    </row>
    <row r="88" customFormat="false" ht="18.75" hidden="false" customHeight="true" outlineLevel="0" collapsed="false">
      <c r="A88" s="112"/>
      <c r="B88" s="112"/>
      <c r="C88" s="112"/>
      <c r="D88" s="112"/>
      <c r="E88" s="112"/>
      <c r="F88" s="112"/>
      <c r="G88" s="113" t="str">
        <f aca="false">IF(AND(E88&lt;&gt;"",F88&lt;&gt;""),E88*F88,"")</f>
        <v/>
      </c>
      <c r="H88" s="113" t="str">
        <f aca="false">IF(B88&lt;&gt;"",SUMIF(B:B,B88,G:G),"")</f>
        <v/>
      </c>
      <c r="I88" s="112"/>
      <c r="J88" s="114" t="str">
        <f aca="false">IF(AND(I88&lt;&gt;"",H88&lt;&gt;""),IFERROR((I88-H88)/I88,""),"")</f>
        <v/>
      </c>
      <c r="K88" s="3"/>
      <c r="L88" s="112"/>
      <c r="M88" s="112"/>
      <c r="N88" s="112"/>
      <c r="O88" s="112"/>
      <c r="P88" s="112"/>
      <c r="Q88" s="112"/>
      <c r="R88" s="113" t="str">
        <f aca="false">IF(AND(P88&lt;&gt;"",Q88&lt;&gt;""),P88*Q88,"")</f>
        <v/>
      </c>
      <c r="S88" s="113" t="str">
        <f aca="false">IF(M88&lt;&gt;"",SUMIF(M:M,M88,R:R),"")</f>
        <v/>
      </c>
      <c r="T88" s="113" t="str">
        <f aca="false">IF(I88&lt;&gt;"",I88,"")</f>
        <v/>
      </c>
      <c r="U88" s="114" t="str">
        <f aca="false">IF(AND(T88&lt;&gt;"",S88&lt;&gt;""),IFERROR((T88-S88)/T88,""),"")</f>
        <v/>
      </c>
    </row>
    <row r="89" customFormat="false" ht="18.75" hidden="false" customHeight="true" outlineLevel="0" collapsed="false">
      <c r="A89" s="109"/>
      <c r="B89" s="109"/>
      <c r="C89" s="109"/>
      <c r="D89" s="109"/>
      <c r="E89" s="109"/>
      <c r="F89" s="109"/>
      <c r="G89" s="110" t="str">
        <f aca="false">IF(AND(E89&lt;&gt;"",F89&lt;&gt;""),E89*F89,"")</f>
        <v/>
      </c>
      <c r="H89" s="110" t="str">
        <f aca="false">IF(B89&lt;&gt;"",SUMIF(B:B,B89,G:G),"")</f>
        <v/>
      </c>
      <c r="I89" s="109"/>
      <c r="J89" s="111" t="str">
        <f aca="false">IF(AND(I89&lt;&gt;"",H89&lt;&gt;""),IFERROR((I89-H89)/I89,""),"")</f>
        <v/>
      </c>
      <c r="K89" s="3"/>
      <c r="L89" s="109"/>
      <c r="M89" s="109"/>
      <c r="N89" s="109"/>
      <c r="O89" s="109"/>
      <c r="P89" s="109"/>
      <c r="Q89" s="109"/>
      <c r="R89" s="110" t="str">
        <f aca="false">IF(AND(P89&lt;&gt;"",Q89&lt;&gt;""),P89*Q89,"")</f>
        <v/>
      </c>
      <c r="S89" s="110" t="str">
        <f aca="false">IF(M89&lt;&gt;"",SUMIF(M:M,M89,R:R),"")</f>
        <v/>
      </c>
      <c r="T89" s="110" t="str">
        <f aca="false">IF(I89&lt;&gt;"",I89,"")</f>
        <v/>
      </c>
      <c r="U89" s="111" t="str">
        <f aca="false">IF(AND(T89&lt;&gt;"",S89&lt;&gt;""),IFERROR((T89-S89)/T89,""),"")</f>
        <v/>
      </c>
    </row>
    <row r="90" customFormat="false" ht="18.75" hidden="false" customHeight="true" outlineLevel="0" collapsed="false">
      <c r="A90" s="112"/>
      <c r="B90" s="112"/>
      <c r="C90" s="112"/>
      <c r="D90" s="112"/>
      <c r="E90" s="112"/>
      <c r="F90" s="112"/>
      <c r="G90" s="113" t="str">
        <f aca="false">IF(AND(E90&lt;&gt;"",F90&lt;&gt;""),E90*F90,"")</f>
        <v/>
      </c>
      <c r="H90" s="113" t="str">
        <f aca="false">IF(B90&lt;&gt;"",SUMIF(B:B,B90,G:G),"")</f>
        <v/>
      </c>
      <c r="I90" s="112"/>
      <c r="J90" s="114" t="str">
        <f aca="false">IF(AND(I90&lt;&gt;"",H90&lt;&gt;""),IFERROR((I90-H90)/I90,""),"")</f>
        <v/>
      </c>
      <c r="K90" s="3"/>
      <c r="L90" s="112"/>
      <c r="M90" s="112"/>
      <c r="N90" s="112"/>
      <c r="O90" s="112"/>
      <c r="P90" s="112"/>
      <c r="Q90" s="112"/>
      <c r="R90" s="113" t="str">
        <f aca="false">IF(AND(P90&lt;&gt;"",Q90&lt;&gt;""),P90*Q90,"")</f>
        <v/>
      </c>
      <c r="S90" s="113" t="str">
        <f aca="false">IF(M90&lt;&gt;"",SUMIF(M:M,M90,R:R),"")</f>
        <v/>
      </c>
      <c r="T90" s="113" t="str">
        <f aca="false">IF(I90&lt;&gt;"",I90,"")</f>
        <v/>
      </c>
      <c r="U90" s="114" t="str">
        <f aca="false">IF(AND(T90&lt;&gt;"",S90&lt;&gt;""),IFERROR((T90-S90)/T90,""),"")</f>
        <v/>
      </c>
    </row>
    <row r="91" customFormat="false" ht="18.75" hidden="false" customHeight="true" outlineLevel="0" collapsed="false">
      <c r="A91" s="109"/>
      <c r="B91" s="109"/>
      <c r="C91" s="109"/>
      <c r="D91" s="109"/>
      <c r="E91" s="109"/>
      <c r="F91" s="109"/>
      <c r="G91" s="110" t="str">
        <f aca="false">IF(AND(E91&lt;&gt;"",F91&lt;&gt;""),E91*F91,"")</f>
        <v/>
      </c>
      <c r="H91" s="110" t="str">
        <f aca="false">IF(B91&lt;&gt;"",SUMIF(B:B,B91,G:G),"")</f>
        <v/>
      </c>
      <c r="I91" s="109"/>
      <c r="J91" s="111" t="str">
        <f aca="false">IF(AND(I91&lt;&gt;"",H91&lt;&gt;""),IFERROR((I91-H91)/I91,""),"")</f>
        <v/>
      </c>
      <c r="K91" s="3"/>
      <c r="L91" s="109"/>
      <c r="M91" s="109"/>
      <c r="N91" s="109"/>
      <c r="O91" s="109"/>
      <c r="P91" s="109"/>
      <c r="Q91" s="109"/>
      <c r="R91" s="110" t="str">
        <f aca="false">IF(AND(P91&lt;&gt;"",Q91&lt;&gt;""),P91*Q91,"")</f>
        <v/>
      </c>
      <c r="S91" s="110" t="str">
        <f aca="false">IF(M91&lt;&gt;"",SUMIF(M:M,M91,R:R),"")</f>
        <v/>
      </c>
      <c r="T91" s="110" t="str">
        <f aca="false">IF(I91&lt;&gt;"",I91,"")</f>
        <v/>
      </c>
      <c r="U91" s="111" t="str">
        <f aca="false">IF(AND(T91&lt;&gt;"",S91&lt;&gt;""),IFERROR((T91-S91)/T91,""),"")</f>
        <v/>
      </c>
    </row>
    <row r="92" customFormat="false" ht="18.75" hidden="false" customHeight="true" outlineLevel="0" collapsed="false">
      <c r="A92" s="112"/>
      <c r="B92" s="112"/>
      <c r="C92" s="112"/>
      <c r="D92" s="112"/>
      <c r="E92" s="112"/>
      <c r="F92" s="112"/>
      <c r="G92" s="113" t="str">
        <f aca="false">IF(AND(E92&lt;&gt;"",F92&lt;&gt;""),E92*F92,"")</f>
        <v/>
      </c>
      <c r="H92" s="113" t="str">
        <f aca="false">IF(B92&lt;&gt;"",SUMIF(B:B,B92,G:G),"")</f>
        <v/>
      </c>
      <c r="I92" s="112"/>
      <c r="J92" s="114" t="str">
        <f aca="false">IF(AND(I92&lt;&gt;"",H92&lt;&gt;""),IFERROR((I92-H92)/I92,""),"")</f>
        <v/>
      </c>
      <c r="K92" s="3"/>
      <c r="L92" s="112"/>
      <c r="M92" s="112"/>
      <c r="N92" s="112"/>
      <c r="O92" s="112"/>
      <c r="P92" s="112"/>
      <c r="Q92" s="112"/>
      <c r="R92" s="113" t="str">
        <f aca="false">IF(AND(P92&lt;&gt;"",Q92&lt;&gt;""),P92*Q92,"")</f>
        <v/>
      </c>
      <c r="S92" s="113" t="str">
        <f aca="false">IF(M92&lt;&gt;"",SUMIF(M:M,M92,R:R),"")</f>
        <v/>
      </c>
      <c r="T92" s="113" t="str">
        <f aca="false">IF(I92&lt;&gt;"",I92,"")</f>
        <v/>
      </c>
      <c r="U92" s="114" t="str">
        <f aca="false">IF(AND(T92&lt;&gt;"",S92&lt;&gt;""),IFERROR((T92-S92)/T92,""),"")</f>
        <v/>
      </c>
    </row>
    <row r="93" customFormat="false" ht="18.75" hidden="false" customHeight="true" outlineLevel="0" collapsed="false">
      <c r="A93" s="109"/>
      <c r="B93" s="109"/>
      <c r="C93" s="109"/>
      <c r="D93" s="109"/>
      <c r="E93" s="109"/>
      <c r="F93" s="109"/>
      <c r="G93" s="110" t="str">
        <f aca="false">IF(AND(E93&lt;&gt;"",F93&lt;&gt;""),E93*F93,"")</f>
        <v/>
      </c>
      <c r="H93" s="110" t="str">
        <f aca="false">IF(B93&lt;&gt;"",SUMIF(B:B,B93,G:G),"")</f>
        <v/>
      </c>
      <c r="I93" s="109"/>
      <c r="J93" s="111" t="str">
        <f aca="false">IF(AND(I93&lt;&gt;"",H93&lt;&gt;""),IFERROR((I93-H93)/I93,""),"")</f>
        <v/>
      </c>
      <c r="K93" s="3"/>
      <c r="L93" s="109"/>
      <c r="M93" s="109"/>
      <c r="N93" s="109"/>
      <c r="O93" s="109"/>
      <c r="P93" s="109"/>
      <c r="Q93" s="109"/>
      <c r="R93" s="110" t="str">
        <f aca="false">IF(AND(P93&lt;&gt;"",Q93&lt;&gt;""),P93*Q93,"")</f>
        <v/>
      </c>
      <c r="S93" s="110" t="str">
        <f aca="false">IF(M93&lt;&gt;"",SUMIF(M:M,M93,R:R),"")</f>
        <v/>
      </c>
      <c r="T93" s="110" t="str">
        <f aca="false">IF(I93&lt;&gt;"",I93,"")</f>
        <v/>
      </c>
      <c r="U93" s="111" t="str">
        <f aca="false">IF(AND(T93&lt;&gt;"",S93&lt;&gt;""),IFERROR((T93-S93)/T93,""),"")</f>
        <v/>
      </c>
    </row>
    <row r="94" customFormat="false" ht="18.75" hidden="false" customHeight="true" outlineLevel="0" collapsed="false">
      <c r="A94" s="112"/>
      <c r="B94" s="112"/>
      <c r="C94" s="112"/>
      <c r="D94" s="112"/>
      <c r="E94" s="112"/>
      <c r="F94" s="112"/>
      <c r="G94" s="113" t="str">
        <f aca="false">IF(AND(E94&lt;&gt;"",F94&lt;&gt;""),E94*F94,"")</f>
        <v/>
      </c>
      <c r="H94" s="113" t="str">
        <f aca="false">IF(B94&lt;&gt;"",SUMIF(B:B,B94,G:G),"")</f>
        <v/>
      </c>
      <c r="I94" s="112"/>
      <c r="J94" s="114" t="str">
        <f aca="false">IF(AND(I94&lt;&gt;"",H94&lt;&gt;""),IFERROR((I94-H94)/I94,""),"")</f>
        <v/>
      </c>
      <c r="K94" s="3"/>
      <c r="L94" s="112"/>
      <c r="M94" s="112"/>
      <c r="N94" s="112"/>
      <c r="O94" s="112"/>
      <c r="P94" s="112"/>
      <c r="Q94" s="112"/>
      <c r="R94" s="113" t="str">
        <f aca="false">IF(AND(P94&lt;&gt;"",Q94&lt;&gt;""),P94*Q94,"")</f>
        <v/>
      </c>
      <c r="S94" s="113" t="str">
        <f aca="false">IF(M94&lt;&gt;"",SUMIF(M:M,M94,R:R),"")</f>
        <v/>
      </c>
      <c r="T94" s="113" t="str">
        <f aca="false">IF(I94&lt;&gt;"",I94,"")</f>
        <v/>
      </c>
      <c r="U94" s="114" t="str">
        <f aca="false">IF(AND(T94&lt;&gt;"",S94&lt;&gt;""),IFERROR((T94-S94)/T94,""),"")</f>
        <v/>
      </c>
    </row>
    <row r="95" customFormat="false" ht="18.75" hidden="false" customHeight="true" outlineLevel="0" collapsed="false">
      <c r="A95" s="109"/>
      <c r="B95" s="109"/>
      <c r="C95" s="109"/>
      <c r="D95" s="109"/>
      <c r="E95" s="109"/>
      <c r="F95" s="109"/>
      <c r="G95" s="110" t="str">
        <f aca="false">IF(AND(E95&lt;&gt;"",F95&lt;&gt;""),E95*F95,"")</f>
        <v/>
      </c>
      <c r="H95" s="110" t="str">
        <f aca="false">IF(B95&lt;&gt;"",SUMIF(B:B,B95,G:G),"")</f>
        <v/>
      </c>
      <c r="I95" s="109"/>
      <c r="J95" s="111" t="str">
        <f aca="false">IF(AND(I95&lt;&gt;"",H95&lt;&gt;""),IFERROR((I95-H95)/I95,""),"")</f>
        <v/>
      </c>
      <c r="K95" s="3"/>
      <c r="L95" s="109"/>
      <c r="M95" s="109"/>
      <c r="N95" s="109"/>
      <c r="O95" s="109"/>
      <c r="P95" s="109"/>
      <c r="Q95" s="109"/>
      <c r="R95" s="110" t="str">
        <f aca="false">IF(AND(P95&lt;&gt;"",Q95&lt;&gt;""),P95*Q95,"")</f>
        <v/>
      </c>
      <c r="S95" s="110" t="str">
        <f aca="false">IF(M95&lt;&gt;"",SUMIF(M:M,M95,R:R),"")</f>
        <v/>
      </c>
      <c r="T95" s="110" t="str">
        <f aca="false">IF(I95&lt;&gt;"",I95,"")</f>
        <v/>
      </c>
      <c r="U95" s="111" t="str">
        <f aca="false">IF(AND(T95&lt;&gt;"",S95&lt;&gt;""),IFERROR((T95-S95)/T95,""),"")</f>
        <v/>
      </c>
    </row>
    <row r="96" customFormat="false" ht="18.75" hidden="false" customHeight="true" outlineLevel="0" collapsed="false">
      <c r="A96" s="112"/>
      <c r="B96" s="112"/>
      <c r="C96" s="112"/>
      <c r="D96" s="112"/>
      <c r="E96" s="112"/>
      <c r="F96" s="112"/>
      <c r="G96" s="113" t="str">
        <f aca="false">IF(AND(E96&lt;&gt;"",F96&lt;&gt;""),E96*F96,"")</f>
        <v/>
      </c>
      <c r="H96" s="113" t="str">
        <f aca="false">IF(B96&lt;&gt;"",SUMIF(B:B,B96,G:G),"")</f>
        <v/>
      </c>
      <c r="I96" s="112"/>
      <c r="J96" s="114" t="str">
        <f aca="false">IF(AND(I96&lt;&gt;"",H96&lt;&gt;""),IFERROR((I96-H96)/I96,""),"")</f>
        <v/>
      </c>
      <c r="K96" s="3"/>
      <c r="L96" s="112"/>
      <c r="M96" s="112"/>
      <c r="N96" s="112"/>
      <c r="O96" s="112"/>
      <c r="P96" s="112"/>
      <c r="Q96" s="112"/>
      <c r="R96" s="113" t="str">
        <f aca="false">IF(AND(P96&lt;&gt;"",Q96&lt;&gt;""),P96*Q96,"")</f>
        <v/>
      </c>
      <c r="S96" s="113" t="str">
        <f aca="false">IF(M96&lt;&gt;"",SUMIF(M:M,M96,R:R),"")</f>
        <v/>
      </c>
      <c r="T96" s="113" t="str">
        <f aca="false">IF(I96&lt;&gt;"",I96,"")</f>
        <v/>
      </c>
      <c r="U96" s="114" t="str">
        <f aca="false">IF(AND(T96&lt;&gt;"",S96&lt;&gt;""),IFERROR((T96-S96)/T96,""),"")</f>
        <v/>
      </c>
    </row>
    <row r="97" customFormat="false" ht="18.75" hidden="false" customHeight="true" outlineLevel="0" collapsed="false">
      <c r="A97" s="109"/>
      <c r="B97" s="109"/>
      <c r="C97" s="109"/>
      <c r="D97" s="109"/>
      <c r="E97" s="109"/>
      <c r="F97" s="109"/>
      <c r="G97" s="110" t="str">
        <f aca="false">IF(AND(E97&lt;&gt;"",F97&lt;&gt;""),E97*F97,"")</f>
        <v/>
      </c>
      <c r="H97" s="110" t="str">
        <f aca="false">IF(B97&lt;&gt;"",SUMIF(B:B,B97,G:G),"")</f>
        <v/>
      </c>
      <c r="I97" s="109"/>
      <c r="J97" s="111" t="str">
        <f aca="false">IF(AND(I97&lt;&gt;"",H97&lt;&gt;""),IFERROR((I97-H97)/I97,""),"")</f>
        <v/>
      </c>
      <c r="K97" s="3"/>
      <c r="L97" s="109"/>
      <c r="M97" s="109"/>
      <c r="N97" s="109"/>
      <c r="O97" s="109"/>
      <c r="P97" s="109"/>
      <c r="Q97" s="109"/>
      <c r="R97" s="110" t="str">
        <f aca="false">IF(AND(P97&lt;&gt;"",Q97&lt;&gt;""),P97*Q97,"")</f>
        <v/>
      </c>
      <c r="S97" s="110" t="str">
        <f aca="false">IF(M97&lt;&gt;"",SUMIF(M:M,M97,R:R),"")</f>
        <v/>
      </c>
      <c r="T97" s="110" t="str">
        <f aca="false">IF(I97&lt;&gt;"",I97,"")</f>
        <v/>
      </c>
      <c r="U97" s="111" t="str">
        <f aca="false">IF(AND(T97&lt;&gt;"",S97&lt;&gt;""),IFERROR((T97-S97)/T97,""),"")</f>
        <v/>
      </c>
    </row>
    <row r="98" customFormat="false" ht="18.75" hidden="false" customHeight="true" outlineLevel="0" collapsed="false">
      <c r="A98" s="112"/>
      <c r="B98" s="112"/>
      <c r="C98" s="112"/>
      <c r="D98" s="112"/>
      <c r="E98" s="112"/>
      <c r="F98" s="112"/>
      <c r="G98" s="113" t="str">
        <f aca="false">IF(AND(E98&lt;&gt;"",F98&lt;&gt;""),E98*F98,"")</f>
        <v/>
      </c>
      <c r="H98" s="113" t="str">
        <f aca="false">IF(B98&lt;&gt;"",SUMIF(B:B,B98,G:G),"")</f>
        <v/>
      </c>
      <c r="I98" s="112"/>
      <c r="J98" s="114" t="str">
        <f aca="false">IF(AND(I98&lt;&gt;"",H98&lt;&gt;""),IFERROR((I98-H98)/I98,""),"")</f>
        <v/>
      </c>
      <c r="K98" s="3"/>
      <c r="L98" s="112"/>
      <c r="M98" s="112"/>
      <c r="N98" s="112"/>
      <c r="O98" s="112"/>
      <c r="P98" s="112"/>
      <c r="Q98" s="112"/>
      <c r="R98" s="113" t="str">
        <f aca="false">IF(AND(P98&lt;&gt;"",Q98&lt;&gt;""),P98*Q98,"")</f>
        <v/>
      </c>
      <c r="S98" s="113" t="str">
        <f aca="false">IF(M98&lt;&gt;"",SUMIF(M:M,M98,R:R),"")</f>
        <v/>
      </c>
      <c r="T98" s="113" t="str">
        <f aca="false">IF(I98&lt;&gt;"",I98,"")</f>
        <v/>
      </c>
      <c r="U98" s="114" t="str">
        <f aca="false">IF(AND(T98&lt;&gt;"",S98&lt;&gt;""),IFERROR((T98-S98)/T98,""),"")</f>
        <v/>
      </c>
    </row>
    <row r="99" customFormat="false" ht="18.75" hidden="false" customHeight="true" outlineLevel="0" collapsed="false">
      <c r="A99" s="109"/>
      <c r="B99" s="109"/>
      <c r="C99" s="109"/>
      <c r="D99" s="109"/>
      <c r="E99" s="109"/>
      <c r="F99" s="109"/>
      <c r="G99" s="110" t="str">
        <f aca="false">IF(AND(E99&lt;&gt;"",F99&lt;&gt;""),E99*F99,"")</f>
        <v/>
      </c>
      <c r="H99" s="110" t="str">
        <f aca="false">IF(B99&lt;&gt;"",SUMIF(B:B,B99,G:G),"")</f>
        <v/>
      </c>
      <c r="I99" s="109"/>
      <c r="J99" s="111" t="str">
        <f aca="false">IF(AND(I99&lt;&gt;"",H99&lt;&gt;""),IFERROR((I99-H99)/I99,""),"")</f>
        <v/>
      </c>
      <c r="K99" s="3"/>
      <c r="L99" s="109"/>
      <c r="M99" s="109"/>
      <c r="N99" s="109"/>
      <c r="O99" s="109"/>
      <c r="P99" s="109"/>
      <c r="Q99" s="109"/>
      <c r="R99" s="110" t="str">
        <f aca="false">IF(AND(P99&lt;&gt;"",Q99&lt;&gt;""),P99*Q99,"")</f>
        <v/>
      </c>
      <c r="S99" s="110" t="str">
        <f aca="false">IF(M99&lt;&gt;"",SUMIF(M:M,M99,R:R),"")</f>
        <v/>
      </c>
      <c r="T99" s="110" t="str">
        <f aca="false">IF(I99&lt;&gt;"",I99,"")</f>
        <v/>
      </c>
      <c r="U99" s="111" t="str">
        <f aca="false">IF(AND(T99&lt;&gt;"",S99&lt;&gt;""),IFERROR((T99-S99)/T99,""),"")</f>
        <v/>
      </c>
    </row>
    <row r="100" customFormat="false" ht="18.75" hidden="false" customHeight="true" outlineLevel="0" collapsed="false">
      <c r="A100" s="112"/>
      <c r="B100" s="112"/>
      <c r="C100" s="112"/>
      <c r="D100" s="112"/>
      <c r="E100" s="112"/>
      <c r="F100" s="112"/>
      <c r="G100" s="113" t="str">
        <f aca="false">IF(AND(E100&lt;&gt;"",F100&lt;&gt;""),E100*F100,"")</f>
        <v/>
      </c>
      <c r="H100" s="113" t="str">
        <f aca="false">IF(B100&lt;&gt;"",SUMIF(B:B,B100,G:G),"")</f>
        <v/>
      </c>
      <c r="I100" s="112"/>
      <c r="J100" s="114" t="str">
        <f aca="false">IF(AND(I100&lt;&gt;"",H100&lt;&gt;""),IFERROR((I100-H100)/I100,""),"")</f>
        <v/>
      </c>
      <c r="K100" s="3"/>
      <c r="L100" s="112"/>
      <c r="M100" s="112"/>
      <c r="N100" s="112"/>
      <c r="O100" s="112"/>
      <c r="P100" s="112"/>
      <c r="Q100" s="112"/>
      <c r="R100" s="113" t="str">
        <f aca="false">IF(AND(P100&lt;&gt;"",Q100&lt;&gt;""),P100*Q100,"")</f>
        <v/>
      </c>
      <c r="S100" s="113" t="str">
        <f aca="false">IF(M100&lt;&gt;"",SUMIF(M:M,M100,R:R),"")</f>
        <v/>
      </c>
      <c r="T100" s="113" t="str">
        <f aca="false">IF(I100&lt;&gt;"",I100,"")</f>
        <v/>
      </c>
      <c r="U100" s="114" t="str">
        <f aca="false">IF(AND(T100&lt;&gt;"",S100&lt;&gt;""),IFERROR((T100-S100)/T100,""),"")</f>
        <v/>
      </c>
    </row>
    <row r="101" customFormat="false" ht="18.75" hidden="false" customHeight="true" outlineLevel="0" collapsed="false">
      <c r="A101" s="109"/>
      <c r="B101" s="109"/>
      <c r="C101" s="109"/>
      <c r="D101" s="109"/>
      <c r="E101" s="109"/>
      <c r="F101" s="109"/>
      <c r="G101" s="110" t="str">
        <f aca="false">IF(AND(E101&lt;&gt;"",F101&lt;&gt;""),E101*F101,"")</f>
        <v/>
      </c>
      <c r="H101" s="110" t="str">
        <f aca="false">IF(B101&lt;&gt;"",SUMIF(B:B,B101,G:G),"")</f>
        <v/>
      </c>
      <c r="I101" s="109"/>
      <c r="J101" s="111" t="str">
        <f aca="false">IF(AND(I101&lt;&gt;"",H101&lt;&gt;""),IFERROR((I101-H101)/I101,""),"")</f>
        <v/>
      </c>
      <c r="K101" s="3"/>
      <c r="L101" s="109"/>
      <c r="M101" s="109"/>
      <c r="N101" s="109"/>
      <c r="O101" s="109"/>
      <c r="P101" s="109"/>
      <c r="Q101" s="109"/>
      <c r="R101" s="110" t="str">
        <f aca="false">IF(AND(P101&lt;&gt;"",Q101&lt;&gt;""),P101*Q101,"")</f>
        <v/>
      </c>
      <c r="S101" s="110" t="str">
        <f aca="false">IF(M101&lt;&gt;"",SUMIF(M:M,M101,R:R),"")</f>
        <v/>
      </c>
      <c r="T101" s="110" t="str">
        <f aca="false">IF(I101&lt;&gt;"",I101,"")</f>
        <v/>
      </c>
      <c r="U101" s="111" t="str">
        <f aca="false">IF(AND(T101&lt;&gt;"",S101&lt;&gt;""),IFERROR((T101-S101)/T101,""),"")</f>
        <v/>
      </c>
    </row>
    <row r="102" customFormat="false" ht="18.75" hidden="false" customHeight="true" outlineLevel="0" collapsed="false">
      <c r="A102" s="112"/>
      <c r="B102" s="112"/>
      <c r="C102" s="112"/>
      <c r="D102" s="112"/>
      <c r="E102" s="112"/>
      <c r="F102" s="112"/>
      <c r="G102" s="113" t="str">
        <f aca="false">IF(AND(E102&lt;&gt;"",F102&lt;&gt;""),E102*F102,"")</f>
        <v/>
      </c>
      <c r="H102" s="113" t="str">
        <f aca="false">IF(B102&lt;&gt;"",SUMIF(B:B,B102,G:G),"")</f>
        <v/>
      </c>
      <c r="I102" s="112"/>
      <c r="J102" s="114" t="str">
        <f aca="false">IF(AND(I102&lt;&gt;"",H102&lt;&gt;""),IFERROR((I102-H102)/I102,""),"")</f>
        <v/>
      </c>
      <c r="K102" s="3"/>
      <c r="L102" s="112"/>
      <c r="M102" s="112"/>
      <c r="N102" s="112"/>
      <c r="O102" s="112"/>
      <c r="P102" s="112"/>
      <c r="Q102" s="112"/>
      <c r="R102" s="113" t="str">
        <f aca="false">IF(AND(P102&lt;&gt;"",Q102&lt;&gt;""),P102*Q102,"")</f>
        <v/>
      </c>
      <c r="S102" s="113" t="str">
        <f aca="false">IF(M102&lt;&gt;"",SUMIF(M:M,M102,R:R),"")</f>
        <v/>
      </c>
      <c r="T102" s="113" t="str">
        <f aca="false">IF(I102&lt;&gt;"",I102,"")</f>
        <v/>
      </c>
      <c r="U102" s="114" t="str">
        <f aca="false">IF(AND(T102&lt;&gt;"",S102&lt;&gt;""),IFERROR((T102-S102)/T102,""),"")</f>
        <v/>
      </c>
    </row>
    <row r="103" customFormat="false" ht="18.75" hidden="false" customHeight="true" outlineLevel="0" collapsed="false">
      <c r="A103" s="109"/>
      <c r="B103" s="109"/>
      <c r="C103" s="109"/>
      <c r="D103" s="109"/>
      <c r="E103" s="109"/>
      <c r="F103" s="109"/>
      <c r="G103" s="110" t="str">
        <f aca="false">IF(AND(E103&lt;&gt;"",F103&lt;&gt;""),E103*F103,"")</f>
        <v/>
      </c>
      <c r="H103" s="110" t="str">
        <f aca="false">IF(B103&lt;&gt;"",SUMIF(B:B,B103,G:G),"")</f>
        <v/>
      </c>
      <c r="I103" s="109"/>
      <c r="J103" s="111" t="str">
        <f aca="false">IF(AND(I103&lt;&gt;"",H103&lt;&gt;""),IFERROR((I103-H103)/I103,""),"")</f>
        <v/>
      </c>
      <c r="K103" s="3"/>
      <c r="L103" s="109"/>
      <c r="M103" s="109"/>
      <c r="N103" s="109"/>
      <c r="O103" s="109"/>
      <c r="P103" s="109"/>
      <c r="Q103" s="109"/>
      <c r="R103" s="110" t="str">
        <f aca="false">IF(AND(P103&lt;&gt;"",Q103&lt;&gt;""),P103*Q103,"")</f>
        <v/>
      </c>
      <c r="S103" s="110" t="str">
        <f aca="false">IF(M103&lt;&gt;"",SUMIF(M:M,M103,R:R),"")</f>
        <v/>
      </c>
      <c r="T103" s="110" t="str">
        <f aca="false">IF(I103&lt;&gt;"",I103,"")</f>
        <v/>
      </c>
      <c r="U103" s="111" t="str">
        <f aca="false">IF(AND(T103&lt;&gt;"",S103&lt;&gt;""),IFERROR((T103-S103)/T103,""),"")</f>
        <v/>
      </c>
    </row>
    <row r="104" customFormat="false" ht="18.75" hidden="false" customHeight="true" outlineLevel="0" collapsed="false">
      <c r="A104" s="112"/>
      <c r="B104" s="112"/>
      <c r="C104" s="112"/>
      <c r="D104" s="112"/>
      <c r="E104" s="112"/>
      <c r="F104" s="112"/>
      <c r="G104" s="113" t="str">
        <f aca="false">IF(AND(E104&lt;&gt;"",F104&lt;&gt;""),E104*F104,"")</f>
        <v/>
      </c>
      <c r="H104" s="113" t="str">
        <f aca="false">IF(B104&lt;&gt;"",SUMIF(B:B,B104,G:G),"")</f>
        <v/>
      </c>
      <c r="I104" s="112"/>
      <c r="J104" s="114" t="str">
        <f aca="false">IF(AND(I104&lt;&gt;"",H104&lt;&gt;""),IFERROR((I104-H104)/I104,""),"")</f>
        <v/>
      </c>
      <c r="K104" s="3"/>
      <c r="L104" s="112"/>
      <c r="M104" s="112"/>
      <c r="N104" s="112"/>
      <c r="O104" s="112"/>
      <c r="P104" s="112"/>
      <c r="Q104" s="112"/>
      <c r="R104" s="113" t="str">
        <f aca="false">IF(AND(P104&lt;&gt;"",Q104&lt;&gt;""),P104*Q104,"")</f>
        <v/>
      </c>
      <c r="S104" s="113" t="str">
        <f aca="false">IF(M104&lt;&gt;"",SUMIF(M:M,M104,R:R),"")</f>
        <v/>
      </c>
      <c r="T104" s="113" t="str">
        <f aca="false">IF(I104&lt;&gt;"",I104,"")</f>
        <v/>
      </c>
      <c r="U104" s="114" t="str">
        <f aca="false">IF(AND(T104&lt;&gt;"",S104&lt;&gt;""),IFERROR((T104-S104)/T104,""),"")</f>
        <v/>
      </c>
    </row>
    <row r="105" customFormat="false" ht="18.75" hidden="false" customHeight="true" outlineLevel="0" collapsed="false">
      <c r="A105" s="109"/>
      <c r="B105" s="109"/>
      <c r="C105" s="109"/>
      <c r="D105" s="109"/>
      <c r="E105" s="109"/>
      <c r="F105" s="109"/>
      <c r="G105" s="110" t="str">
        <f aca="false">IF(AND(E105&lt;&gt;"",F105&lt;&gt;""),E105*F105,"")</f>
        <v/>
      </c>
      <c r="H105" s="110" t="str">
        <f aca="false">IF(B105&lt;&gt;"",SUMIF(B:B,B105,G:G),"")</f>
        <v/>
      </c>
      <c r="I105" s="109"/>
      <c r="J105" s="111" t="str">
        <f aca="false">IF(AND(I105&lt;&gt;"",H105&lt;&gt;""),IFERROR((I105-H105)/I105,""),"")</f>
        <v/>
      </c>
      <c r="K105" s="3"/>
      <c r="L105" s="109"/>
      <c r="M105" s="109"/>
      <c r="N105" s="109"/>
      <c r="O105" s="109"/>
      <c r="P105" s="109"/>
      <c r="Q105" s="109"/>
      <c r="R105" s="110" t="str">
        <f aca="false">IF(AND(P105&lt;&gt;"",Q105&lt;&gt;""),P105*Q105,"")</f>
        <v/>
      </c>
      <c r="S105" s="110" t="str">
        <f aca="false">IF(M105&lt;&gt;"",SUMIF(M:M,M105,R:R),"")</f>
        <v/>
      </c>
      <c r="T105" s="110" t="str">
        <f aca="false">IF(I105&lt;&gt;"",I105,"")</f>
        <v/>
      </c>
      <c r="U105" s="111" t="str">
        <f aca="false">IF(AND(T105&lt;&gt;"",S105&lt;&gt;""),IFERROR((T105-S105)/T105,""),"")</f>
        <v/>
      </c>
    </row>
    <row r="106" customFormat="false" ht="18.75" hidden="false" customHeight="true" outlineLevel="0" collapsed="false">
      <c r="A106" s="112"/>
      <c r="B106" s="112"/>
      <c r="C106" s="112"/>
      <c r="D106" s="112"/>
      <c r="E106" s="112"/>
      <c r="F106" s="112"/>
      <c r="G106" s="113" t="str">
        <f aca="false">IF(AND(E106&lt;&gt;"",F106&lt;&gt;""),E106*F106,"")</f>
        <v/>
      </c>
      <c r="H106" s="113" t="str">
        <f aca="false">IF(B106&lt;&gt;"",SUMIF(B:B,B106,G:G),"")</f>
        <v/>
      </c>
      <c r="I106" s="112"/>
      <c r="J106" s="114" t="str">
        <f aca="false">IF(AND(I106&lt;&gt;"",H106&lt;&gt;""),IFERROR((I106-H106)/I106,""),"")</f>
        <v/>
      </c>
      <c r="K106" s="3"/>
      <c r="L106" s="112"/>
      <c r="M106" s="112"/>
      <c r="N106" s="112"/>
      <c r="O106" s="112"/>
      <c r="P106" s="112"/>
      <c r="Q106" s="112"/>
      <c r="R106" s="113" t="str">
        <f aca="false">IF(AND(P106&lt;&gt;"",Q106&lt;&gt;""),P106*Q106,"")</f>
        <v/>
      </c>
      <c r="S106" s="113" t="str">
        <f aca="false">IF(M106&lt;&gt;"",SUMIF(M:M,M106,R:R),"")</f>
        <v/>
      </c>
      <c r="T106" s="113" t="str">
        <f aca="false">IF(I106&lt;&gt;"",I106,"")</f>
        <v/>
      </c>
      <c r="U106" s="114" t="str">
        <f aca="false">IF(AND(T106&lt;&gt;"",S106&lt;&gt;""),IFERROR((T106-S106)/T106,""),"")</f>
        <v/>
      </c>
    </row>
    <row r="107" customFormat="false" ht="18.75" hidden="false" customHeight="true" outlineLevel="0" collapsed="false">
      <c r="A107" s="109"/>
      <c r="B107" s="109"/>
      <c r="C107" s="109"/>
      <c r="D107" s="109"/>
      <c r="E107" s="109"/>
      <c r="F107" s="109"/>
      <c r="G107" s="110" t="str">
        <f aca="false">IF(AND(E107&lt;&gt;"",F107&lt;&gt;""),E107*F107,"")</f>
        <v/>
      </c>
      <c r="H107" s="110" t="str">
        <f aca="false">IF(B107&lt;&gt;"",SUMIF(B:B,B107,G:G),"")</f>
        <v/>
      </c>
      <c r="I107" s="109"/>
      <c r="J107" s="111" t="str">
        <f aca="false">IF(AND(I107&lt;&gt;"",H107&lt;&gt;""),IFERROR((I107-H107)/I107,""),"")</f>
        <v/>
      </c>
      <c r="K107" s="3"/>
      <c r="L107" s="109"/>
      <c r="M107" s="109"/>
      <c r="N107" s="109"/>
      <c r="O107" s="109"/>
      <c r="P107" s="109"/>
      <c r="Q107" s="109"/>
      <c r="R107" s="110" t="str">
        <f aca="false">IF(AND(P107&lt;&gt;"",Q107&lt;&gt;""),P107*Q107,"")</f>
        <v/>
      </c>
      <c r="S107" s="110" t="str">
        <f aca="false">IF(M107&lt;&gt;"",SUMIF(M:M,M107,R:R),"")</f>
        <v/>
      </c>
      <c r="T107" s="110" t="str">
        <f aca="false">IF(I107&lt;&gt;"",I107,"")</f>
        <v/>
      </c>
      <c r="U107" s="111" t="str">
        <f aca="false">IF(AND(T107&lt;&gt;"",S107&lt;&gt;""),IFERROR((T107-S107)/T107,""),"")</f>
        <v/>
      </c>
    </row>
    <row r="108" customFormat="false" ht="18.75" hidden="false" customHeight="true" outlineLevel="0" collapsed="false">
      <c r="A108" s="112"/>
      <c r="B108" s="112"/>
      <c r="C108" s="112"/>
      <c r="D108" s="112"/>
      <c r="E108" s="112"/>
      <c r="F108" s="112"/>
      <c r="G108" s="113" t="str">
        <f aca="false">IF(AND(E108&lt;&gt;"",F108&lt;&gt;""),E108*F108,"")</f>
        <v/>
      </c>
      <c r="H108" s="113" t="str">
        <f aca="false">IF(B108&lt;&gt;"",SUMIF(B:B,B108,G:G),"")</f>
        <v/>
      </c>
      <c r="I108" s="112"/>
      <c r="J108" s="114" t="str">
        <f aca="false">IF(AND(I108&lt;&gt;"",H108&lt;&gt;""),IFERROR((I108-H108)/I108,""),"")</f>
        <v/>
      </c>
      <c r="K108" s="3"/>
      <c r="L108" s="112"/>
      <c r="M108" s="112"/>
      <c r="N108" s="112"/>
      <c r="O108" s="112"/>
      <c r="P108" s="112"/>
      <c r="Q108" s="112"/>
      <c r="R108" s="113" t="str">
        <f aca="false">IF(AND(P108&lt;&gt;"",Q108&lt;&gt;""),P108*Q108,"")</f>
        <v/>
      </c>
      <c r="S108" s="113" t="str">
        <f aca="false">IF(M108&lt;&gt;"",SUMIF(M:M,M108,R:R),"")</f>
        <v/>
      </c>
      <c r="T108" s="113" t="str">
        <f aca="false">IF(I108&lt;&gt;"",I108,"")</f>
        <v/>
      </c>
      <c r="U108" s="114" t="str">
        <f aca="false">IF(AND(T108&lt;&gt;"",S108&lt;&gt;""),IFERROR((T108-S108)/T108,""),"")</f>
        <v/>
      </c>
    </row>
    <row r="109" customFormat="false" ht="18.75" hidden="false" customHeight="true" outlineLevel="0" collapsed="false">
      <c r="A109" s="109"/>
      <c r="B109" s="109"/>
      <c r="C109" s="109"/>
      <c r="D109" s="109"/>
      <c r="E109" s="109"/>
      <c r="F109" s="109"/>
      <c r="G109" s="110" t="str">
        <f aca="false">IF(AND(E109&lt;&gt;"",F109&lt;&gt;""),E109*F109,"")</f>
        <v/>
      </c>
      <c r="H109" s="110" t="str">
        <f aca="false">IF(B109&lt;&gt;"",SUMIF(B:B,B109,G:G),"")</f>
        <v/>
      </c>
      <c r="I109" s="109"/>
      <c r="J109" s="111" t="str">
        <f aca="false">IF(AND(I109&lt;&gt;"",H109&lt;&gt;""),IFERROR((I109-H109)/I109,""),"")</f>
        <v/>
      </c>
      <c r="K109" s="3"/>
      <c r="L109" s="109"/>
      <c r="M109" s="109"/>
      <c r="N109" s="109"/>
      <c r="O109" s="109"/>
      <c r="P109" s="109"/>
      <c r="Q109" s="109"/>
      <c r="R109" s="110" t="str">
        <f aca="false">IF(AND(P109&lt;&gt;"",Q109&lt;&gt;""),P109*Q109,"")</f>
        <v/>
      </c>
      <c r="S109" s="110" t="str">
        <f aca="false">IF(M109&lt;&gt;"",SUMIF(M:M,M109,R:R),"")</f>
        <v/>
      </c>
      <c r="T109" s="110" t="str">
        <f aca="false">IF(I109&lt;&gt;"",I109,"")</f>
        <v/>
      </c>
      <c r="U109" s="111" t="str">
        <f aca="false">IF(AND(T109&lt;&gt;"",S109&lt;&gt;""),IFERROR((T109-S109)/T109,""),"")</f>
        <v/>
      </c>
    </row>
    <row r="110" customFormat="false" ht="18.75" hidden="false" customHeight="true" outlineLevel="0" collapsed="false">
      <c r="A110" s="112"/>
      <c r="B110" s="112"/>
      <c r="C110" s="112"/>
      <c r="D110" s="112"/>
      <c r="E110" s="112"/>
      <c r="F110" s="112"/>
      <c r="G110" s="113" t="str">
        <f aca="false">IF(AND(E110&lt;&gt;"",F110&lt;&gt;""),E110*F110,"")</f>
        <v/>
      </c>
      <c r="H110" s="113" t="str">
        <f aca="false">IF(B110&lt;&gt;"",SUMIF(B:B,B110,G:G),"")</f>
        <v/>
      </c>
      <c r="I110" s="112"/>
      <c r="J110" s="114" t="str">
        <f aca="false">IF(AND(I110&lt;&gt;"",H110&lt;&gt;""),IFERROR((I110-H110)/I110,""),"")</f>
        <v/>
      </c>
      <c r="K110" s="3"/>
      <c r="L110" s="112"/>
      <c r="M110" s="112"/>
      <c r="N110" s="112"/>
      <c r="O110" s="112"/>
      <c r="P110" s="112"/>
      <c r="Q110" s="112"/>
      <c r="R110" s="113" t="str">
        <f aca="false">IF(AND(P110&lt;&gt;"",Q110&lt;&gt;""),P110*Q110,"")</f>
        <v/>
      </c>
      <c r="S110" s="113" t="str">
        <f aca="false">IF(M110&lt;&gt;"",SUMIF(M:M,M110,R:R),"")</f>
        <v/>
      </c>
      <c r="T110" s="113" t="str">
        <f aca="false">IF(I110&lt;&gt;"",I110,"")</f>
        <v/>
      </c>
      <c r="U110" s="114" t="str">
        <f aca="false">IF(AND(T110&lt;&gt;"",S110&lt;&gt;""),IFERROR((T110-S110)/T110,""),"")</f>
        <v/>
      </c>
    </row>
    <row r="111" customFormat="false" ht="18.75" hidden="false" customHeight="true" outlineLevel="0" collapsed="false">
      <c r="A111" s="109"/>
      <c r="B111" s="109"/>
      <c r="C111" s="109"/>
      <c r="D111" s="109"/>
      <c r="E111" s="109"/>
      <c r="F111" s="109"/>
      <c r="G111" s="110" t="str">
        <f aca="false">IF(AND(E111&lt;&gt;"",F111&lt;&gt;""),E111*F111,"")</f>
        <v/>
      </c>
      <c r="H111" s="110" t="str">
        <f aca="false">IF(B111&lt;&gt;"",SUMIF(B:B,B111,G:G),"")</f>
        <v/>
      </c>
      <c r="I111" s="109"/>
      <c r="J111" s="111" t="str">
        <f aca="false">IF(AND(I111&lt;&gt;"",H111&lt;&gt;""),IFERROR((I111-H111)/I111,""),"")</f>
        <v/>
      </c>
      <c r="K111" s="3"/>
      <c r="L111" s="109"/>
      <c r="M111" s="109"/>
      <c r="N111" s="109"/>
      <c r="O111" s="109"/>
      <c r="P111" s="109"/>
      <c r="Q111" s="109"/>
      <c r="R111" s="110" t="str">
        <f aca="false">IF(AND(P111&lt;&gt;"",Q111&lt;&gt;""),P111*Q111,"")</f>
        <v/>
      </c>
      <c r="S111" s="110" t="str">
        <f aca="false">IF(M111&lt;&gt;"",SUMIF(M:M,M111,R:R),"")</f>
        <v/>
      </c>
      <c r="T111" s="110" t="str">
        <f aca="false">IF(I111&lt;&gt;"",I111,"")</f>
        <v/>
      </c>
      <c r="U111" s="111" t="str">
        <f aca="false">IF(AND(T111&lt;&gt;"",S111&lt;&gt;""),IFERROR((T111-S111)/T111,""),"")</f>
        <v/>
      </c>
    </row>
    <row r="112" customFormat="false" ht="18.75" hidden="false" customHeight="true" outlineLevel="0" collapsed="false">
      <c r="A112" s="112"/>
      <c r="B112" s="112"/>
      <c r="C112" s="112"/>
      <c r="D112" s="112"/>
      <c r="E112" s="112"/>
      <c r="F112" s="112"/>
      <c r="G112" s="113" t="str">
        <f aca="false">IF(AND(E112&lt;&gt;"",F112&lt;&gt;""),E112*F112,"")</f>
        <v/>
      </c>
      <c r="H112" s="113" t="str">
        <f aca="false">IF(B112&lt;&gt;"",SUMIF(B:B,B112,G:G),"")</f>
        <v/>
      </c>
      <c r="I112" s="112"/>
      <c r="J112" s="114" t="str">
        <f aca="false">IF(AND(I112&lt;&gt;"",H112&lt;&gt;""),IFERROR((I112-H112)/I112,""),"")</f>
        <v/>
      </c>
      <c r="K112" s="3"/>
      <c r="L112" s="112"/>
      <c r="M112" s="112"/>
      <c r="N112" s="112"/>
      <c r="O112" s="112"/>
      <c r="P112" s="112"/>
      <c r="Q112" s="112"/>
      <c r="R112" s="113" t="str">
        <f aca="false">IF(AND(P112&lt;&gt;"",Q112&lt;&gt;""),P112*Q112,"")</f>
        <v/>
      </c>
      <c r="S112" s="113" t="str">
        <f aca="false">IF(M112&lt;&gt;"",SUMIF(M:M,M112,R:R),"")</f>
        <v/>
      </c>
      <c r="T112" s="113" t="str">
        <f aca="false">IF(I112&lt;&gt;"",I112,"")</f>
        <v/>
      </c>
      <c r="U112" s="114" t="str">
        <f aca="false">IF(AND(T112&lt;&gt;"",S112&lt;&gt;""),IFERROR((T112-S112)/T112,""),"")</f>
        <v/>
      </c>
    </row>
    <row r="113" customFormat="false" ht="18.75" hidden="false" customHeight="true" outlineLevel="0" collapsed="false">
      <c r="A113" s="109"/>
      <c r="B113" s="109"/>
      <c r="C113" s="109"/>
      <c r="D113" s="109"/>
      <c r="E113" s="109"/>
      <c r="F113" s="109"/>
      <c r="G113" s="110" t="str">
        <f aca="false">IF(AND(E113&lt;&gt;"",F113&lt;&gt;""),E113*F113,"")</f>
        <v/>
      </c>
      <c r="H113" s="110" t="str">
        <f aca="false">IF(B113&lt;&gt;"",SUMIF(B:B,B113,G:G),"")</f>
        <v/>
      </c>
      <c r="I113" s="109"/>
      <c r="J113" s="111" t="str">
        <f aca="false">IF(AND(I113&lt;&gt;"",H113&lt;&gt;""),IFERROR((I113-H113)/I113,""),"")</f>
        <v/>
      </c>
      <c r="K113" s="3"/>
      <c r="L113" s="109"/>
      <c r="M113" s="109"/>
      <c r="N113" s="109"/>
      <c r="O113" s="109"/>
      <c r="P113" s="109"/>
      <c r="Q113" s="109"/>
      <c r="R113" s="110" t="str">
        <f aca="false">IF(AND(P113&lt;&gt;"",Q113&lt;&gt;""),P113*Q113,"")</f>
        <v/>
      </c>
      <c r="S113" s="110" t="str">
        <f aca="false">IF(M113&lt;&gt;"",SUMIF(M:M,M113,R:R),"")</f>
        <v/>
      </c>
      <c r="T113" s="110" t="str">
        <f aca="false">IF(I113&lt;&gt;"",I113,"")</f>
        <v/>
      </c>
      <c r="U113" s="111" t="str">
        <f aca="false">IF(AND(T113&lt;&gt;"",S113&lt;&gt;""),IFERROR((T113-S113)/T113,""),"")</f>
        <v/>
      </c>
    </row>
    <row r="114" customFormat="false" ht="18.75" hidden="false" customHeight="true" outlineLevel="0" collapsed="false">
      <c r="A114" s="112"/>
      <c r="B114" s="112"/>
      <c r="C114" s="112"/>
      <c r="D114" s="112"/>
      <c r="E114" s="112"/>
      <c r="F114" s="112"/>
      <c r="G114" s="113" t="str">
        <f aca="false">IF(AND(E114&lt;&gt;"",F114&lt;&gt;""),E114*F114,"")</f>
        <v/>
      </c>
      <c r="H114" s="113" t="str">
        <f aca="false">IF(B114&lt;&gt;"",SUMIF(B:B,B114,G:G),"")</f>
        <v/>
      </c>
      <c r="I114" s="112"/>
      <c r="J114" s="114" t="str">
        <f aca="false">IF(AND(I114&lt;&gt;"",H114&lt;&gt;""),IFERROR((I114-H114)/I114,""),"")</f>
        <v/>
      </c>
      <c r="K114" s="3"/>
      <c r="L114" s="112"/>
      <c r="M114" s="112"/>
      <c r="N114" s="112"/>
      <c r="O114" s="112"/>
      <c r="P114" s="112"/>
      <c r="Q114" s="112"/>
      <c r="R114" s="113" t="str">
        <f aca="false">IF(AND(P114&lt;&gt;"",Q114&lt;&gt;""),P114*Q114,"")</f>
        <v/>
      </c>
      <c r="S114" s="113" t="str">
        <f aca="false">IF(M114&lt;&gt;"",SUMIF(M:M,M114,R:R),"")</f>
        <v/>
      </c>
      <c r="T114" s="113" t="str">
        <f aca="false">IF(I114&lt;&gt;"",I114,"")</f>
        <v/>
      </c>
      <c r="U114" s="114" t="str">
        <f aca="false">IF(AND(T114&lt;&gt;"",S114&lt;&gt;""),IFERROR((T114-S114)/T114,""),"")</f>
        <v/>
      </c>
    </row>
    <row r="115" customFormat="false" ht="18.75" hidden="false" customHeight="true" outlineLevel="0" collapsed="false">
      <c r="A115" s="109"/>
      <c r="B115" s="109"/>
      <c r="C115" s="109"/>
      <c r="D115" s="109"/>
      <c r="E115" s="109"/>
      <c r="F115" s="109"/>
      <c r="G115" s="110" t="str">
        <f aca="false">IF(AND(E115&lt;&gt;"",F115&lt;&gt;""),E115*F115,"")</f>
        <v/>
      </c>
      <c r="H115" s="110" t="str">
        <f aca="false">IF(B115&lt;&gt;"",SUMIF(B:B,B115,G:G),"")</f>
        <v/>
      </c>
      <c r="I115" s="109"/>
      <c r="J115" s="111" t="str">
        <f aca="false">IF(AND(I115&lt;&gt;"",H115&lt;&gt;""),IFERROR((I115-H115)/I115,""),"")</f>
        <v/>
      </c>
      <c r="K115" s="3"/>
      <c r="L115" s="109"/>
      <c r="M115" s="109"/>
      <c r="N115" s="109"/>
      <c r="O115" s="109"/>
      <c r="P115" s="109"/>
      <c r="Q115" s="109"/>
      <c r="R115" s="110" t="str">
        <f aca="false">IF(AND(P115&lt;&gt;"",Q115&lt;&gt;""),P115*Q115,"")</f>
        <v/>
      </c>
      <c r="S115" s="110" t="str">
        <f aca="false">IF(M115&lt;&gt;"",SUMIF(M:M,M115,R:R),"")</f>
        <v/>
      </c>
      <c r="T115" s="110" t="str">
        <f aca="false">IF(I115&lt;&gt;"",I115,"")</f>
        <v/>
      </c>
      <c r="U115" s="111" t="str">
        <f aca="false">IF(AND(T115&lt;&gt;"",S115&lt;&gt;""),IFERROR((T115-S115)/T115,""),"")</f>
        <v/>
      </c>
    </row>
    <row r="116" customFormat="false" ht="18.75" hidden="false" customHeight="true" outlineLevel="0" collapsed="false">
      <c r="A116" s="112"/>
      <c r="B116" s="112"/>
      <c r="C116" s="112"/>
      <c r="D116" s="112"/>
      <c r="E116" s="112"/>
      <c r="F116" s="112"/>
      <c r="G116" s="113" t="str">
        <f aca="false">IF(AND(E116&lt;&gt;"",F116&lt;&gt;""),E116*F116,"")</f>
        <v/>
      </c>
      <c r="H116" s="113" t="str">
        <f aca="false">IF(B116&lt;&gt;"",SUMIF(B:B,B116,G:G),"")</f>
        <v/>
      </c>
      <c r="I116" s="112"/>
      <c r="J116" s="114" t="str">
        <f aca="false">IF(AND(I116&lt;&gt;"",H116&lt;&gt;""),IFERROR((I116-H116)/I116,""),"")</f>
        <v/>
      </c>
      <c r="K116" s="3"/>
      <c r="L116" s="112"/>
      <c r="M116" s="112"/>
      <c r="N116" s="112"/>
      <c r="O116" s="112"/>
      <c r="P116" s="112"/>
      <c r="Q116" s="112"/>
      <c r="R116" s="113" t="str">
        <f aca="false">IF(AND(P116&lt;&gt;"",Q116&lt;&gt;""),P116*Q116,"")</f>
        <v/>
      </c>
      <c r="S116" s="113" t="str">
        <f aca="false">IF(M116&lt;&gt;"",SUMIF(M:M,M116,R:R),"")</f>
        <v/>
      </c>
      <c r="T116" s="113" t="str">
        <f aca="false">IF(I116&lt;&gt;"",I116,"")</f>
        <v/>
      </c>
      <c r="U116" s="114" t="str">
        <f aca="false">IF(AND(T116&lt;&gt;"",S116&lt;&gt;""),IFERROR((T116-S116)/T116,""),"")</f>
        <v/>
      </c>
    </row>
    <row r="117" customFormat="false" ht="18.75" hidden="false" customHeight="true" outlineLevel="0" collapsed="false">
      <c r="A117" s="109"/>
      <c r="B117" s="109"/>
      <c r="C117" s="109"/>
      <c r="D117" s="109"/>
      <c r="E117" s="109"/>
      <c r="F117" s="109"/>
      <c r="G117" s="110" t="str">
        <f aca="false">IF(AND(E117&lt;&gt;"",F117&lt;&gt;""),E117*F117,"")</f>
        <v/>
      </c>
      <c r="H117" s="110" t="str">
        <f aca="false">IF(B117&lt;&gt;"",SUMIF(B:B,B117,G:G),"")</f>
        <v/>
      </c>
      <c r="I117" s="109"/>
      <c r="J117" s="111" t="str">
        <f aca="false">IF(AND(I117&lt;&gt;"",H117&lt;&gt;""),IFERROR((I117-H117)/I117,""),"")</f>
        <v/>
      </c>
      <c r="K117" s="3"/>
      <c r="L117" s="109"/>
      <c r="M117" s="109"/>
      <c r="N117" s="109"/>
      <c r="O117" s="109"/>
      <c r="P117" s="109"/>
      <c r="Q117" s="109"/>
      <c r="R117" s="110" t="str">
        <f aca="false">IF(AND(P117&lt;&gt;"",Q117&lt;&gt;""),P117*Q117,"")</f>
        <v/>
      </c>
      <c r="S117" s="110" t="str">
        <f aca="false">IF(M117&lt;&gt;"",SUMIF(M:M,M117,R:R),"")</f>
        <v/>
      </c>
      <c r="T117" s="110" t="str">
        <f aca="false">IF(I117&lt;&gt;"",I117,"")</f>
        <v/>
      </c>
      <c r="U117" s="111" t="str">
        <f aca="false">IF(AND(T117&lt;&gt;"",S117&lt;&gt;""),IFERROR((T117-S117)/T117,""),"")</f>
        <v/>
      </c>
    </row>
    <row r="118" customFormat="false" ht="18.75" hidden="false" customHeight="true" outlineLevel="0" collapsed="false">
      <c r="A118" s="112"/>
      <c r="B118" s="112"/>
      <c r="C118" s="112"/>
      <c r="D118" s="112"/>
      <c r="E118" s="112"/>
      <c r="F118" s="112"/>
      <c r="G118" s="113" t="str">
        <f aca="false">IF(AND(E118&lt;&gt;"",F118&lt;&gt;""),E118*F118,"")</f>
        <v/>
      </c>
      <c r="H118" s="113" t="str">
        <f aca="false">IF(B118&lt;&gt;"",SUMIF(B:B,B118,G:G),"")</f>
        <v/>
      </c>
      <c r="I118" s="112"/>
      <c r="J118" s="114" t="str">
        <f aca="false">IF(AND(I118&lt;&gt;"",H118&lt;&gt;""),IFERROR((I118-H118)/I118,""),"")</f>
        <v/>
      </c>
      <c r="K118" s="3"/>
      <c r="L118" s="112"/>
      <c r="M118" s="112"/>
      <c r="N118" s="112"/>
      <c r="O118" s="112"/>
      <c r="P118" s="112"/>
      <c r="Q118" s="112"/>
      <c r="R118" s="113" t="str">
        <f aca="false">IF(AND(P118&lt;&gt;"",Q118&lt;&gt;""),P118*Q118,"")</f>
        <v/>
      </c>
      <c r="S118" s="113" t="str">
        <f aca="false">IF(M118&lt;&gt;"",SUMIF(M:M,M118,R:R),"")</f>
        <v/>
      </c>
      <c r="T118" s="113" t="str">
        <f aca="false">IF(I118&lt;&gt;"",I118,"")</f>
        <v/>
      </c>
      <c r="U118" s="114" t="str">
        <f aca="false">IF(AND(T118&lt;&gt;"",S118&lt;&gt;""),IFERROR((T118-S118)/T118,""),"")</f>
        <v/>
      </c>
    </row>
    <row r="119" customFormat="false" ht="18.75" hidden="false" customHeight="true" outlineLevel="0" collapsed="false">
      <c r="A119" s="109"/>
      <c r="B119" s="109"/>
      <c r="C119" s="109"/>
      <c r="D119" s="109"/>
      <c r="E119" s="109"/>
      <c r="F119" s="109"/>
      <c r="G119" s="110" t="str">
        <f aca="false">IF(AND(E119&lt;&gt;"",F119&lt;&gt;""),E119*F119,"")</f>
        <v/>
      </c>
      <c r="H119" s="110" t="str">
        <f aca="false">IF(B119&lt;&gt;"",SUMIF(B:B,B119,G:G),"")</f>
        <v/>
      </c>
      <c r="I119" s="109"/>
      <c r="J119" s="111" t="str">
        <f aca="false">IF(AND(I119&lt;&gt;"",H119&lt;&gt;""),IFERROR((I119-H119)/I119,""),"")</f>
        <v/>
      </c>
      <c r="K119" s="3"/>
      <c r="L119" s="109"/>
      <c r="M119" s="109"/>
      <c r="N119" s="109"/>
      <c r="O119" s="109"/>
      <c r="P119" s="109"/>
      <c r="Q119" s="109"/>
      <c r="R119" s="110" t="str">
        <f aca="false">IF(AND(P119&lt;&gt;"",Q119&lt;&gt;""),P119*Q119,"")</f>
        <v/>
      </c>
      <c r="S119" s="110" t="str">
        <f aca="false">IF(M119&lt;&gt;"",SUMIF(M:M,M119,R:R),"")</f>
        <v/>
      </c>
      <c r="T119" s="110" t="str">
        <f aca="false">IF(I119&lt;&gt;"",I119,"")</f>
        <v/>
      </c>
      <c r="U119" s="111" t="str">
        <f aca="false">IF(AND(T119&lt;&gt;"",S119&lt;&gt;""),IFERROR((T119-S119)/T119,""),"")</f>
        <v/>
      </c>
    </row>
    <row r="120" customFormat="false" ht="18.75" hidden="false" customHeight="true" outlineLevel="0" collapsed="false">
      <c r="A120" s="112"/>
      <c r="B120" s="112"/>
      <c r="C120" s="112"/>
      <c r="D120" s="112"/>
      <c r="E120" s="112"/>
      <c r="F120" s="112"/>
      <c r="G120" s="113" t="str">
        <f aca="false">IF(AND(E120&lt;&gt;"",F120&lt;&gt;""),E120*F120,"")</f>
        <v/>
      </c>
      <c r="H120" s="113" t="str">
        <f aca="false">IF(B120&lt;&gt;"",SUMIF(B:B,B120,G:G),"")</f>
        <v/>
      </c>
      <c r="I120" s="112"/>
      <c r="J120" s="114" t="str">
        <f aca="false">IF(AND(I120&lt;&gt;"",H120&lt;&gt;""),IFERROR((I120-H120)/I120,""),"")</f>
        <v/>
      </c>
      <c r="K120" s="3"/>
      <c r="L120" s="112"/>
      <c r="M120" s="112"/>
      <c r="N120" s="112"/>
      <c r="O120" s="112"/>
      <c r="P120" s="112"/>
      <c r="Q120" s="112"/>
      <c r="R120" s="113" t="str">
        <f aca="false">IF(AND(P120&lt;&gt;"",Q120&lt;&gt;""),P120*Q120,"")</f>
        <v/>
      </c>
      <c r="S120" s="113" t="str">
        <f aca="false">IF(M120&lt;&gt;"",SUMIF(M:M,M120,R:R),"")</f>
        <v/>
      </c>
      <c r="T120" s="113" t="str">
        <f aca="false">IF(I120&lt;&gt;"",I120,"")</f>
        <v/>
      </c>
      <c r="U120" s="114" t="str">
        <f aca="false">IF(AND(T120&lt;&gt;"",S120&lt;&gt;""),IFERROR((T120-S120)/T120,""),"")</f>
        <v/>
      </c>
    </row>
    <row r="121" customFormat="false" ht="18.75" hidden="false" customHeight="true" outlineLevel="0" collapsed="false">
      <c r="A121" s="109"/>
      <c r="B121" s="109"/>
      <c r="C121" s="109"/>
      <c r="D121" s="109"/>
      <c r="E121" s="109"/>
      <c r="F121" s="109"/>
      <c r="G121" s="110" t="str">
        <f aca="false">IF(AND(E121&lt;&gt;"",F121&lt;&gt;""),E121*F121,"")</f>
        <v/>
      </c>
      <c r="H121" s="110" t="str">
        <f aca="false">IF(B121&lt;&gt;"",SUMIF(B:B,B121,G:G),"")</f>
        <v/>
      </c>
      <c r="I121" s="109"/>
      <c r="J121" s="111" t="str">
        <f aca="false">IF(AND(I121&lt;&gt;"",H121&lt;&gt;""),IFERROR((I121-H121)/I121,""),"")</f>
        <v/>
      </c>
      <c r="K121" s="3"/>
      <c r="L121" s="109"/>
      <c r="M121" s="109"/>
      <c r="N121" s="109"/>
      <c r="O121" s="109"/>
      <c r="P121" s="109"/>
      <c r="Q121" s="109"/>
      <c r="R121" s="110" t="str">
        <f aca="false">IF(AND(P121&lt;&gt;"",Q121&lt;&gt;""),P121*Q121,"")</f>
        <v/>
      </c>
      <c r="S121" s="110" t="str">
        <f aca="false">IF(M121&lt;&gt;"",SUMIF(M:M,M121,R:R),"")</f>
        <v/>
      </c>
      <c r="T121" s="110" t="str">
        <f aca="false">IF(I121&lt;&gt;"",I121,"")</f>
        <v/>
      </c>
      <c r="U121" s="111" t="str">
        <f aca="false">IF(AND(T121&lt;&gt;"",S121&lt;&gt;""),IFERROR((T121-S121)/T121,""),"")</f>
        <v/>
      </c>
    </row>
    <row r="122" customFormat="false" ht="18.75" hidden="false" customHeight="true" outlineLevel="0" collapsed="false">
      <c r="A122" s="112"/>
      <c r="B122" s="112"/>
      <c r="C122" s="112"/>
      <c r="D122" s="112"/>
      <c r="E122" s="112"/>
      <c r="F122" s="112"/>
      <c r="G122" s="113" t="str">
        <f aca="false">IF(AND(E122&lt;&gt;"",F122&lt;&gt;""),E122*F122,"")</f>
        <v/>
      </c>
      <c r="H122" s="113" t="str">
        <f aca="false">IF(B122&lt;&gt;"",SUMIF(B:B,B122,G:G),"")</f>
        <v/>
      </c>
      <c r="I122" s="112"/>
      <c r="J122" s="114" t="str">
        <f aca="false">IF(AND(I122&lt;&gt;"",H122&lt;&gt;""),IFERROR((I122-H122)/I122,""),"")</f>
        <v/>
      </c>
      <c r="K122" s="3"/>
      <c r="L122" s="112"/>
      <c r="M122" s="112"/>
      <c r="N122" s="112"/>
      <c r="O122" s="112"/>
      <c r="P122" s="112"/>
      <c r="Q122" s="112"/>
      <c r="R122" s="113" t="str">
        <f aca="false">IF(AND(P122&lt;&gt;"",Q122&lt;&gt;""),P122*Q122,"")</f>
        <v/>
      </c>
      <c r="S122" s="113" t="str">
        <f aca="false">IF(M122&lt;&gt;"",SUMIF(M:M,M122,R:R),"")</f>
        <v/>
      </c>
      <c r="T122" s="113" t="str">
        <f aca="false">IF(I122&lt;&gt;"",I122,"")</f>
        <v/>
      </c>
      <c r="U122" s="114" t="str">
        <f aca="false">IF(AND(T122&lt;&gt;"",S122&lt;&gt;""),IFERROR((T122-S122)/T122,""),"")</f>
        <v/>
      </c>
    </row>
    <row r="123" customFormat="false" ht="18.75" hidden="false" customHeight="true" outlineLevel="0" collapsed="false">
      <c r="A123" s="109"/>
      <c r="B123" s="109"/>
      <c r="C123" s="109"/>
      <c r="D123" s="109"/>
      <c r="E123" s="109"/>
      <c r="F123" s="109"/>
      <c r="G123" s="110" t="str">
        <f aca="false">IF(AND(E123&lt;&gt;"",F123&lt;&gt;""),E123*F123,"")</f>
        <v/>
      </c>
      <c r="H123" s="110" t="str">
        <f aca="false">IF(B123&lt;&gt;"",SUMIF(B:B,B123,G:G),"")</f>
        <v/>
      </c>
      <c r="I123" s="109"/>
      <c r="J123" s="111" t="str">
        <f aca="false">IF(AND(I123&lt;&gt;"",H123&lt;&gt;""),IFERROR((I123-H123)/I123,""),"")</f>
        <v/>
      </c>
      <c r="K123" s="3"/>
      <c r="L123" s="109"/>
      <c r="M123" s="109"/>
      <c r="N123" s="109"/>
      <c r="O123" s="109"/>
      <c r="P123" s="109"/>
      <c r="Q123" s="109"/>
      <c r="R123" s="110" t="str">
        <f aca="false">IF(AND(P123&lt;&gt;"",Q123&lt;&gt;""),P123*Q123,"")</f>
        <v/>
      </c>
      <c r="S123" s="110" t="str">
        <f aca="false">IF(M123&lt;&gt;"",SUMIF(M:M,M123,R:R),"")</f>
        <v/>
      </c>
      <c r="T123" s="110" t="str">
        <f aca="false">IF(I123&lt;&gt;"",I123,"")</f>
        <v/>
      </c>
      <c r="U123" s="111" t="str">
        <f aca="false">IF(AND(T123&lt;&gt;"",S123&lt;&gt;""),IFERROR((T123-S123)/T123,""),"")</f>
        <v/>
      </c>
    </row>
    <row r="124" customFormat="false" ht="18.75" hidden="false" customHeight="true" outlineLevel="0" collapsed="false">
      <c r="A124" s="112"/>
      <c r="B124" s="112"/>
      <c r="C124" s="112"/>
      <c r="D124" s="112"/>
      <c r="E124" s="112"/>
      <c r="F124" s="112"/>
      <c r="G124" s="113" t="str">
        <f aca="false">IF(AND(E124&lt;&gt;"",F124&lt;&gt;""),E124*F124,"")</f>
        <v/>
      </c>
      <c r="H124" s="113" t="str">
        <f aca="false">IF(B124&lt;&gt;"",SUMIF(B:B,B124,G:G),"")</f>
        <v/>
      </c>
      <c r="I124" s="112"/>
      <c r="J124" s="114" t="str">
        <f aca="false">IF(AND(I124&lt;&gt;"",H124&lt;&gt;""),IFERROR((I124-H124)/I124,""),"")</f>
        <v/>
      </c>
      <c r="K124" s="3"/>
      <c r="L124" s="112"/>
      <c r="M124" s="112"/>
      <c r="N124" s="112"/>
      <c r="O124" s="112"/>
      <c r="P124" s="112"/>
      <c r="Q124" s="112"/>
      <c r="R124" s="113" t="str">
        <f aca="false">IF(AND(P124&lt;&gt;"",Q124&lt;&gt;""),P124*Q124,"")</f>
        <v/>
      </c>
      <c r="S124" s="113" t="str">
        <f aca="false">IF(M124&lt;&gt;"",SUMIF(M:M,M124,R:R),"")</f>
        <v/>
      </c>
      <c r="T124" s="113" t="str">
        <f aca="false">IF(I124&lt;&gt;"",I124,"")</f>
        <v/>
      </c>
      <c r="U124" s="114" t="str">
        <f aca="false">IF(AND(T124&lt;&gt;"",S124&lt;&gt;""),IFERROR((T124-S124)/T124,""),"")</f>
        <v/>
      </c>
    </row>
    <row r="125" customFormat="false" ht="18.75" hidden="false" customHeight="true" outlineLevel="0" collapsed="false">
      <c r="A125" s="109"/>
      <c r="B125" s="109"/>
      <c r="C125" s="109"/>
      <c r="D125" s="109"/>
      <c r="E125" s="109"/>
      <c r="F125" s="109"/>
      <c r="G125" s="110" t="str">
        <f aca="false">IF(AND(E125&lt;&gt;"",F125&lt;&gt;""),E125*F125,"")</f>
        <v/>
      </c>
      <c r="H125" s="110" t="str">
        <f aca="false">IF(B125&lt;&gt;"",SUMIF(B:B,B125,G:G),"")</f>
        <v/>
      </c>
      <c r="I125" s="109"/>
      <c r="J125" s="111" t="str">
        <f aca="false">IF(AND(I125&lt;&gt;"",H125&lt;&gt;""),IFERROR((I125-H125)/I125,""),"")</f>
        <v/>
      </c>
      <c r="K125" s="3"/>
      <c r="L125" s="109"/>
      <c r="M125" s="109"/>
      <c r="N125" s="109"/>
      <c r="O125" s="109"/>
      <c r="P125" s="109"/>
      <c r="Q125" s="109"/>
      <c r="R125" s="110" t="str">
        <f aca="false">IF(AND(P125&lt;&gt;"",Q125&lt;&gt;""),P125*Q125,"")</f>
        <v/>
      </c>
      <c r="S125" s="110" t="str">
        <f aca="false">IF(M125&lt;&gt;"",SUMIF(M:M,M125,R:R),"")</f>
        <v/>
      </c>
      <c r="T125" s="110" t="str">
        <f aca="false">IF(I125&lt;&gt;"",I125,"")</f>
        <v/>
      </c>
      <c r="U125" s="111" t="str">
        <f aca="false">IF(AND(T125&lt;&gt;"",S125&lt;&gt;""),IFERROR((T125-S125)/T125,""),"")</f>
        <v/>
      </c>
    </row>
    <row r="126" customFormat="false" ht="18.75" hidden="false" customHeight="true" outlineLevel="0" collapsed="false">
      <c r="A126" s="112"/>
      <c r="B126" s="112"/>
      <c r="C126" s="112"/>
      <c r="D126" s="112"/>
      <c r="E126" s="112"/>
      <c r="F126" s="112"/>
      <c r="G126" s="113" t="str">
        <f aca="false">IF(AND(E126&lt;&gt;"",F126&lt;&gt;""),E126*F126,"")</f>
        <v/>
      </c>
      <c r="H126" s="113" t="str">
        <f aca="false">IF(B126&lt;&gt;"",SUMIF(B:B,B126,G:G),"")</f>
        <v/>
      </c>
      <c r="I126" s="112"/>
      <c r="J126" s="114" t="str">
        <f aca="false">IF(AND(I126&lt;&gt;"",H126&lt;&gt;""),IFERROR((I126-H126)/I126,""),"")</f>
        <v/>
      </c>
      <c r="K126" s="3"/>
      <c r="L126" s="112"/>
      <c r="M126" s="112"/>
      <c r="N126" s="112"/>
      <c r="O126" s="112"/>
      <c r="P126" s="112"/>
      <c r="Q126" s="112"/>
      <c r="R126" s="113" t="str">
        <f aca="false">IF(AND(P126&lt;&gt;"",Q126&lt;&gt;""),P126*Q126,"")</f>
        <v/>
      </c>
      <c r="S126" s="113" t="str">
        <f aca="false">IF(M126&lt;&gt;"",SUMIF(M:M,M126,R:R),"")</f>
        <v/>
      </c>
      <c r="T126" s="113" t="str">
        <f aca="false">IF(I126&lt;&gt;"",I126,"")</f>
        <v/>
      </c>
      <c r="U126" s="114" t="str">
        <f aca="false">IF(AND(T126&lt;&gt;"",S126&lt;&gt;""),IFERROR((T126-S126)/T126,""),"")</f>
        <v/>
      </c>
    </row>
    <row r="127" customFormat="false" ht="18.75" hidden="false" customHeight="true" outlineLevel="0" collapsed="false">
      <c r="A127" s="109"/>
      <c r="B127" s="109"/>
      <c r="C127" s="109"/>
      <c r="D127" s="109"/>
      <c r="E127" s="109"/>
      <c r="F127" s="109"/>
      <c r="G127" s="110" t="str">
        <f aca="false">IF(AND(E127&lt;&gt;"",F127&lt;&gt;""),E127*F127,"")</f>
        <v/>
      </c>
      <c r="H127" s="110" t="str">
        <f aca="false">IF(B127&lt;&gt;"",SUMIF(B:B,B127,G:G),"")</f>
        <v/>
      </c>
      <c r="I127" s="109"/>
      <c r="J127" s="111" t="str">
        <f aca="false">IF(AND(I127&lt;&gt;"",H127&lt;&gt;""),IFERROR((I127-H127)/I127,""),"")</f>
        <v/>
      </c>
      <c r="K127" s="3"/>
      <c r="L127" s="109"/>
      <c r="M127" s="109"/>
      <c r="N127" s="109"/>
      <c r="O127" s="109"/>
      <c r="P127" s="109"/>
      <c r="Q127" s="109"/>
      <c r="R127" s="110" t="str">
        <f aca="false">IF(AND(P127&lt;&gt;"",Q127&lt;&gt;""),P127*Q127,"")</f>
        <v/>
      </c>
      <c r="S127" s="110" t="str">
        <f aca="false">IF(M127&lt;&gt;"",SUMIF(M:M,M127,R:R),"")</f>
        <v/>
      </c>
      <c r="T127" s="110" t="str">
        <f aca="false">IF(I127&lt;&gt;"",I127,"")</f>
        <v/>
      </c>
      <c r="U127" s="111" t="str">
        <f aca="false">IF(AND(T127&lt;&gt;"",S127&lt;&gt;""),IFERROR((T127-S127)/T127,""),"")</f>
        <v/>
      </c>
    </row>
    <row r="128" customFormat="false" ht="18.75" hidden="false" customHeight="true" outlineLevel="0" collapsed="false">
      <c r="A128" s="112"/>
      <c r="B128" s="112"/>
      <c r="C128" s="112"/>
      <c r="D128" s="112"/>
      <c r="E128" s="112"/>
      <c r="F128" s="112"/>
      <c r="G128" s="113" t="str">
        <f aca="false">IF(AND(E128&lt;&gt;"",F128&lt;&gt;""),E128*F128,"")</f>
        <v/>
      </c>
      <c r="H128" s="113" t="str">
        <f aca="false">IF(B128&lt;&gt;"",SUMIF(B:B,B128,G:G),"")</f>
        <v/>
      </c>
      <c r="I128" s="112"/>
      <c r="J128" s="114" t="str">
        <f aca="false">IF(AND(I128&lt;&gt;"",H128&lt;&gt;""),IFERROR((I128-H128)/I128,""),"")</f>
        <v/>
      </c>
      <c r="K128" s="3"/>
      <c r="L128" s="112"/>
      <c r="M128" s="112"/>
      <c r="N128" s="112"/>
      <c r="O128" s="112"/>
      <c r="P128" s="112"/>
      <c r="Q128" s="112"/>
      <c r="R128" s="113" t="str">
        <f aca="false">IF(AND(P128&lt;&gt;"",Q128&lt;&gt;""),P128*Q128,"")</f>
        <v/>
      </c>
      <c r="S128" s="113" t="str">
        <f aca="false">IF(M128&lt;&gt;"",SUMIF(M:M,M128,R:R),"")</f>
        <v/>
      </c>
      <c r="T128" s="113" t="str">
        <f aca="false">IF(I128&lt;&gt;"",I128,"")</f>
        <v/>
      </c>
      <c r="U128" s="114" t="str">
        <f aca="false">IF(AND(T128&lt;&gt;"",S128&lt;&gt;""),IFERROR((T128-S128)/T128,""),"")</f>
        <v/>
      </c>
    </row>
    <row r="129" customFormat="false" ht="18.75" hidden="false" customHeight="true" outlineLevel="0" collapsed="false">
      <c r="A129" s="109"/>
      <c r="B129" s="109"/>
      <c r="C129" s="109"/>
      <c r="D129" s="109"/>
      <c r="E129" s="109"/>
      <c r="F129" s="109"/>
      <c r="G129" s="110" t="str">
        <f aca="false">IF(AND(E129&lt;&gt;"",F129&lt;&gt;""),E129*F129,"")</f>
        <v/>
      </c>
      <c r="H129" s="110" t="str">
        <f aca="false">IF(B129&lt;&gt;"",SUMIF(B:B,B129,G:G),"")</f>
        <v/>
      </c>
      <c r="I129" s="109"/>
      <c r="J129" s="111" t="str">
        <f aca="false">IF(AND(I129&lt;&gt;"",H129&lt;&gt;""),IFERROR((I129-H129)/I129,""),"")</f>
        <v/>
      </c>
      <c r="K129" s="3"/>
      <c r="L129" s="109"/>
      <c r="M129" s="109"/>
      <c r="N129" s="109"/>
      <c r="O129" s="109"/>
      <c r="P129" s="109"/>
      <c r="Q129" s="109"/>
      <c r="R129" s="110" t="str">
        <f aca="false">IF(AND(P129&lt;&gt;"",Q129&lt;&gt;""),P129*Q129,"")</f>
        <v/>
      </c>
      <c r="S129" s="110" t="str">
        <f aca="false">IF(M129&lt;&gt;"",SUMIF(M:M,M129,R:R),"")</f>
        <v/>
      </c>
      <c r="T129" s="110" t="str">
        <f aca="false">IF(I129&lt;&gt;"",I129,"")</f>
        <v/>
      </c>
      <c r="U129" s="111" t="str">
        <f aca="false">IF(AND(T129&lt;&gt;"",S129&lt;&gt;""),IFERROR((T129-S129)/T129,""),"")</f>
        <v/>
      </c>
    </row>
    <row r="130" customFormat="false" ht="18.75" hidden="false" customHeight="true" outlineLevel="0" collapsed="false">
      <c r="A130" s="112"/>
      <c r="B130" s="112"/>
      <c r="C130" s="112"/>
      <c r="D130" s="112"/>
      <c r="E130" s="112"/>
      <c r="F130" s="112"/>
      <c r="G130" s="113" t="str">
        <f aca="false">IF(AND(E130&lt;&gt;"",F130&lt;&gt;""),E130*F130,"")</f>
        <v/>
      </c>
      <c r="H130" s="113" t="str">
        <f aca="false">IF(B130&lt;&gt;"",SUMIF(B:B,B130,G:G),"")</f>
        <v/>
      </c>
      <c r="I130" s="112"/>
      <c r="J130" s="114" t="str">
        <f aca="false">IF(AND(I130&lt;&gt;"",H130&lt;&gt;""),IFERROR((I130-H130)/I130,""),"")</f>
        <v/>
      </c>
      <c r="K130" s="3"/>
      <c r="L130" s="112"/>
      <c r="M130" s="112"/>
      <c r="N130" s="112"/>
      <c r="O130" s="112"/>
      <c r="P130" s="112"/>
      <c r="Q130" s="112"/>
      <c r="R130" s="113" t="str">
        <f aca="false">IF(AND(P130&lt;&gt;"",Q130&lt;&gt;""),P130*Q130,"")</f>
        <v/>
      </c>
      <c r="S130" s="113" t="str">
        <f aca="false">IF(M130&lt;&gt;"",SUMIF(M:M,M130,R:R),"")</f>
        <v/>
      </c>
      <c r="T130" s="113" t="str">
        <f aca="false">IF(I130&lt;&gt;"",I130,"")</f>
        <v/>
      </c>
      <c r="U130" s="114" t="str">
        <f aca="false">IF(AND(T130&lt;&gt;"",S130&lt;&gt;""),IFERROR((T130-S130)/T130,""),"")</f>
        <v/>
      </c>
    </row>
    <row r="131" customFormat="false" ht="18.75" hidden="false" customHeight="true" outlineLevel="0" collapsed="false">
      <c r="A131" s="109"/>
      <c r="B131" s="109"/>
      <c r="C131" s="109"/>
      <c r="D131" s="109"/>
      <c r="E131" s="109"/>
      <c r="F131" s="109"/>
      <c r="G131" s="110" t="str">
        <f aca="false">IF(AND(E131&lt;&gt;"",F131&lt;&gt;""),E131*F131,"")</f>
        <v/>
      </c>
      <c r="H131" s="110" t="str">
        <f aca="false">IF(B131&lt;&gt;"",SUMIF(B:B,B131,G:G),"")</f>
        <v/>
      </c>
      <c r="I131" s="109"/>
      <c r="J131" s="111" t="str">
        <f aca="false">IF(AND(I131&lt;&gt;"",H131&lt;&gt;""),IFERROR((I131-H131)/I131,""),"")</f>
        <v/>
      </c>
      <c r="K131" s="3"/>
      <c r="L131" s="109"/>
      <c r="M131" s="109"/>
      <c r="N131" s="109"/>
      <c r="O131" s="109"/>
      <c r="P131" s="109"/>
      <c r="Q131" s="109"/>
      <c r="R131" s="110" t="str">
        <f aca="false">IF(AND(P131&lt;&gt;"",Q131&lt;&gt;""),P131*Q131,"")</f>
        <v/>
      </c>
      <c r="S131" s="110" t="str">
        <f aca="false">IF(M131&lt;&gt;"",SUMIF(M:M,M131,R:R),"")</f>
        <v/>
      </c>
      <c r="T131" s="110" t="str">
        <f aca="false">IF(I131&lt;&gt;"",I131,"")</f>
        <v/>
      </c>
      <c r="U131" s="111" t="str">
        <f aca="false">IF(AND(T131&lt;&gt;"",S131&lt;&gt;""),IFERROR((T131-S131)/T131,""),"")</f>
        <v/>
      </c>
    </row>
    <row r="132" customFormat="false" ht="18.75" hidden="false" customHeight="true" outlineLevel="0" collapsed="false">
      <c r="A132" s="112"/>
      <c r="B132" s="112"/>
      <c r="C132" s="112"/>
      <c r="D132" s="112"/>
      <c r="E132" s="112"/>
      <c r="F132" s="112"/>
      <c r="G132" s="113" t="str">
        <f aca="false">IF(AND(E132&lt;&gt;"",F132&lt;&gt;""),E132*F132,"")</f>
        <v/>
      </c>
      <c r="H132" s="113" t="str">
        <f aca="false">IF(B132&lt;&gt;"",SUMIF(B:B,B132,G:G),"")</f>
        <v/>
      </c>
      <c r="I132" s="112"/>
      <c r="J132" s="114" t="str">
        <f aca="false">IF(AND(I132&lt;&gt;"",H132&lt;&gt;""),IFERROR((I132-H132)/I132,""),"")</f>
        <v/>
      </c>
      <c r="K132" s="3"/>
      <c r="L132" s="112"/>
      <c r="M132" s="112"/>
      <c r="N132" s="112"/>
      <c r="O132" s="112"/>
      <c r="P132" s="112"/>
      <c r="Q132" s="112"/>
      <c r="R132" s="113" t="str">
        <f aca="false">IF(AND(P132&lt;&gt;"",Q132&lt;&gt;""),P132*Q132,"")</f>
        <v/>
      </c>
      <c r="S132" s="113" t="str">
        <f aca="false">IF(M132&lt;&gt;"",SUMIF(M:M,M132,R:R),"")</f>
        <v/>
      </c>
      <c r="T132" s="113" t="str">
        <f aca="false">IF(I132&lt;&gt;"",I132,"")</f>
        <v/>
      </c>
      <c r="U132" s="114" t="str">
        <f aca="false">IF(AND(T132&lt;&gt;"",S132&lt;&gt;""),IFERROR((T132-S132)/T132,""),"")</f>
        <v/>
      </c>
    </row>
    <row r="133" customFormat="false" ht="18.75" hidden="false" customHeight="true" outlineLevel="0" collapsed="false">
      <c r="A133" s="109"/>
      <c r="B133" s="109"/>
      <c r="C133" s="109"/>
      <c r="D133" s="109"/>
      <c r="E133" s="109"/>
      <c r="F133" s="109"/>
      <c r="G133" s="110" t="str">
        <f aca="false">IF(AND(E133&lt;&gt;"",F133&lt;&gt;""),E133*F133,"")</f>
        <v/>
      </c>
      <c r="H133" s="110" t="str">
        <f aca="false">IF(B133&lt;&gt;"",SUMIF(B:B,B133,G:G),"")</f>
        <v/>
      </c>
      <c r="I133" s="109"/>
      <c r="J133" s="111" t="str">
        <f aca="false">IF(AND(I133&lt;&gt;"",H133&lt;&gt;""),IFERROR((I133-H133)/I133,""),"")</f>
        <v/>
      </c>
      <c r="K133" s="3"/>
      <c r="L133" s="109"/>
      <c r="M133" s="109"/>
      <c r="N133" s="109"/>
      <c r="O133" s="109"/>
      <c r="P133" s="109"/>
      <c r="Q133" s="109"/>
      <c r="R133" s="110" t="str">
        <f aca="false">IF(AND(P133&lt;&gt;"",Q133&lt;&gt;""),P133*Q133,"")</f>
        <v/>
      </c>
      <c r="S133" s="110" t="str">
        <f aca="false">IF(M133&lt;&gt;"",SUMIF(M:M,M133,R:R),"")</f>
        <v/>
      </c>
      <c r="T133" s="110" t="str">
        <f aca="false">IF(I133&lt;&gt;"",I133,"")</f>
        <v/>
      </c>
      <c r="U133" s="111" t="str">
        <f aca="false">IF(AND(T133&lt;&gt;"",S133&lt;&gt;""),IFERROR((T133-S133)/T133,""),"")</f>
        <v/>
      </c>
    </row>
    <row r="134" customFormat="false" ht="18.75" hidden="false" customHeight="true" outlineLevel="0" collapsed="false">
      <c r="A134" s="112"/>
      <c r="B134" s="112"/>
      <c r="C134" s="112"/>
      <c r="D134" s="112"/>
      <c r="E134" s="112"/>
      <c r="F134" s="112"/>
      <c r="G134" s="113" t="str">
        <f aca="false">IF(AND(E134&lt;&gt;"",F134&lt;&gt;""),E134*F134,"")</f>
        <v/>
      </c>
      <c r="H134" s="113" t="str">
        <f aca="false">IF(B134&lt;&gt;"",SUMIF(B:B,B134,G:G),"")</f>
        <v/>
      </c>
      <c r="I134" s="112"/>
      <c r="J134" s="114" t="str">
        <f aca="false">IF(AND(I134&lt;&gt;"",H134&lt;&gt;""),IFERROR((I134-H134)/I134,""),"")</f>
        <v/>
      </c>
      <c r="K134" s="3"/>
      <c r="L134" s="112"/>
      <c r="M134" s="112"/>
      <c r="N134" s="112"/>
      <c r="O134" s="112"/>
      <c r="P134" s="112"/>
      <c r="Q134" s="112"/>
      <c r="R134" s="113" t="str">
        <f aca="false">IF(AND(P134&lt;&gt;"",Q134&lt;&gt;""),P134*Q134,"")</f>
        <v/>
      </c>
      <c r="S134" s="113" t="str">
        <f aca="false">IF(M134&lt;&gt;"",SUMIF(M:M,M134,R:R),"")</f>
        <v/>
      </c>
      <c r="T134" s="113" t="str">
        <f aca="false">IF(I134&lt;&gt;"",I134,"")</f>
        <v/>
      </c>
      <c r="U134" s="114" t="str">
        <f aca="false">IF(AND(T134&lt;&gt;"",S134&lt;&gt;""),IFERROR((T134-S134)/T134,""),"")</f>
        <v/>
      </c>
    </row>
    <row r="135" customFormat="false" ht="18.75" hidden="false" customHeight="true" outlineLevel="0" collapsed="false">
      <c r="A135" s="109"/>
      <c r="B135" s="109"/>
      <c r="C135" s="109"/>
      <c r="D135" s="109"/>
      <c r="E135" s="109"/>
      <c r="F135" s="109"/>
      <c r="G135" s="110" t="str">
        <f aca="false">IF(AND(E135&lt;&gt;"",F135&lt;&gt;""),E135*F135,"")</f>
        <v/>
      </c>
      <c r="H135" s="110" t="str">
        <f aca="false">IF(B135&lt;&gt;"",SUMIF(B:B,B135,G:G),"")</f>
        <v/>
      </c>
      <c r="I135" s="109"/>
      <c r="J135" s="111" t="str">
        <f aca="false">IF(AND(I135&lt;&gt;"",H135&lt;&gt;""),IFERROR((I135-H135)/I135,""),"")</f>
        <v/>
      </c>
      <c r="K135" s="3"/>
      <c r="L135" s="109"/>
      <c r="M135" s="109"/>
      <c r="N135" s="109"/>
      <c r="O135" s="109"/>
      <c r="P135" s="109"/>
      <c r="Q135" s="109"/>
      <c r="R135" s="110" t="str">
        <f aca="false">IF(AND(P135&lt;&gt;"",Q135&lt;&gt;""),P135*Q135,"")</f>
        <v/>
      </c>
      <c r="S135" s="110" t="str">
        <f aca="false">IF(M135&lt;&gt;"",SUMIF(M:M,M135,R:R),"")</f>
        <v/>
      </c>
      <c r="T135" s="110" t="str">
        <f aca="false">IF(I135&lt;&gt;"",I135,"")</f>
        <v/>
      </c>
      <c r="U135" s="111" t="str">
        <f aca="false">IF(AND(T135&lt;&gt;"",S135&lt;&gt;""),IFERROR((T135-S135)/T135,""),"")</f>
        <v/>
      </c>
    </row>
    <row r="136" customFormat="false" ht="18.75" hidden="false" customHeight="true" outlineLevel="0" collapsed="false">
      <c r="A136" s="112"/>
      <c r="B136" s="112"/>
      <c r="C136" s="112"/>
      <c r="D136" s="112"/>
      <c r="E136" s="112"/>
      <c r="F136" s="112"/>
      <c r="G136" s="113" t="str">
        <f aca="false">IF(AND(E136&lt;&gt;"",F136&lt;&gt;""),E136*F136,"")</f>
        <v/>
      </c>
      <c r="H136" s="113" t="str">
        <f aca="false">IF(B136&lt;&gt;"",SUMIF(B:B,B136,G:G),"")</f>
        <v/>
      </c>
      <c r="I136" s="112"/>
      <c r="J136" s="114" t="str">
        <f aca="false">IF(AND(I136&lt;&gt;"",H136&lt;&gt;""),IFERROR((I136-H136)/I136,""),"")</f>
        <v/>
      </c>
      <c r="K136" s="3"/>
      <c r="L136" s="112"/>
      <c r="M136" s="112"/>
      <c r="N136" s="112"/>
      <c r="O136" s="112"/>
      <c r="P136" s="112"/>
      <c r="Q136" s="112"/>
      <c r="R136" s="113" t="str">
        <f aca="false">IF(AND(P136&lt;&gt;"",Q136&lt;&gt;""),P136*Q136,"")</f>
        <v/>
      </c>
      <c r="S136" s="113" t="str">
        <f aca="false">IF(M136&lt;&gt;"",SUMIF(M:M,M136,R:R),"")</f>
        <v/>
      </c>
      <c r="T136" s="113" t="str">
        <f aca="false">IF(I136&lt;&gt;"",I136,"")</f>
        <v/>
      </c>
      <c r="U136" s="114" t="str">
        <f aca="false">IF(AND(T136&lt;&gt;"",S136&lt;&gt;""),IFERROR((T136-S136)/T136,""),"")</f>
        <v/>
      </c>
    </row>
    <row r="137" customFormat="false" ht="18.75" hidden="false" customHeight="true" outlineLevel="0" collapsed="false">
      <c r="A137" s="109"/>
      <c r="B137" s="109"/>
      <c r="C137" s="109"/>
      <c r="D137" s="109"/>
      <c r="E137" s="109"/>
      <c r="F137" s="109"/>
      <c r="G137" s="110" t="str">
        <f aca="false">IF(AND(E137&lt;&gt;"",F137&lt;&gt;""),E137*F137,"")</f>
        <v/>
      </c>
      <c r="H137" s="110" t="str">
        <f aca="false">IF(B137&lt;&gt;"",SUMIF(B:B,B137,G:G),"")</f>
        <v/>
      </c>
      <c r="I137" s="109"/>
      <c r="J137" s="111" t="str">
        <f aca="false">IF(AND(I137&lt;&gt;"",H137&lt;&gt;""),IFERROR((I137-H137)/I137,""),"")</f>
        <v/>
      </c>
      <c r="K137" s="3"/>
      <c r="L137" s="109"/>
      <c r="M137" s="109"/>
      <c r="N137" s="109"/>
      <c r="O137" s="109"/>
      <c r="P137" s="109"/>
      <c r="Q137" s="109"/>
      <c r="R137" s="110" t="str">
        <f aca="false">IF(AND(P137&lt;&gt;"",Q137&lt;&gt;""),P137*Q137,"")</f>
        <v/>
      </c>
      <c r="S137" s="110" t="str">
        <f aca="false">IF(M137&lt;&gt;"",SUMIF(M:M,M137,R:R),"")</f>
        <v/>
      </c>
      <c r="T137" s="110" t="str">
        <f aca="false">IF(I137&lt;&gt;"",I137,"")</f>
        <v/>
      </c>
      <c r="U137" s="111" t="str">
        <f aca="false">IF(AND(T137&lt;&gt;"",S137&lt;&gt;""),IFERROR((T137-S137)/T137,""),"")</f>
        <v/>
      </c>
    </row>
    <row r="138" customFormat="false" ht="18.75" hidden="false" customHeight="true" outlineLevel="0" collapsed="false">
      <c r="A138" s="112"/>
      <c r="B138" s="112"/>
      <c r="C138" s="112"/>
      <c r="D138" s="112"/>
      <c r="E138" s="112"/>
      <c r="F138" s="112"/>
      <c r="G138" s="113" t="str">
        <f aca="false">IF(AND(E138&lt;&gt;"",F138&lt;&gt;""),E138*F138,"")</f>
        <v/>
      </c>
      <c r="H138" s="113" t="str">
        <f aca="false">IF(B138&lt;&gt;"",SUMIF(B:B,B138,G:G),"")</f>
        <v/>
      </c>
      <c r="I138" s="112"/>
      <c r="J138" s="114" t="str">
        <f aca="false">IF(AND(I138&lt;&gt;"",H138&lt;&gt;""),IFERROR((I138-H138)/I138,""),"")</f>
        <v/>
      </c>
      <c r="K138" s="3"/>
      <c r="L138" s="112"/>
      <c r="M138" s="112"/>
      <c r="N138" s="112"/>
      <c r="O138" s="112"/>
      <c r="P138" s="112"/>
      <c r="Q138" s="112"/>
      <c r="R138" s="113" t="str">
        <f aca="false">IF(AND(P138&lt;&gt;"",Q138&lt;&gt;""),P138*Q138,"")</f>
        <v/>
      </c>
      <c r="S138" s="113" t="str">
        <f aca="false">IF(M138&lt;&gt;"",SUMIF(M:M,M138,R:R),"")</f>
        <v/>
      </c>
      <c r="T138" s="113" t="str">
        <f aca="false">IF(I138&lt;&gt;"",I138,"")</f>
        <v/>
      </c>
      <c r="U138" s="114" t="str">
        <f aca="false">IF(AND(T138&lt;&gt;"",S138&lt;&gt;""),IFERROR((T138-S138)/T138,""),"")</f>
        <v/>
      </c>
    </row>
    <row r="139" customFormat="false" ht="18.75" hidden="false" customHeight="true" outlineLevel="0" collapsed="false">
      <c r="A139" s="109"/>
      <c r="B139" s="109"/>
      <c r="C139" s="109"/>
      <c r="D139" s="109"/>
      <c r="E139" s="109"/>
      <c r="F139" s="109"/>
      <c r="G139" s="110" t="str">
        <f aca="false">IF(AND(E139&lt;&gt;"",F139&lt;&gt;""),E139*F139,"")</f>
        <v/>
      </c>
      <c r="H139" s="110" t="str">
        <f aca="false">IF(B139&lt;&gt;"",SUMIF(B:B,B139,G:G),"")</f>
        <v/>
      </c>
      <c r="I139" s="109"/>
      <c r="J139" s="111" t="str">
        <f aca="false">IF(AND(I139&lt;&gt;"",H139&lt;&gt;""),IFERROR((I139-H139)/I139,""),"")</f>
        <v/>
      </c>
      <c r="K139" s="3"/>
      <c r="L139" s="109"/>
      <c r="M139" s="109"/>
      <c r="N139" s="109"/>
      <c r="O139" s="109"/>
      <c r="P139" s="109"/>
      <c r="Q139" s="109"/>
      <c r="R139" s="110" t="str">
        <f aca="false">IF(AND(P139&lt;&gt;"",Q139&lt;&gt;""),P139*Q139,"")</f>
        <v/>
      </c>
      <c r="S139" s="110" t="str">
        <f aca="false">IF(M139&lt;&gt;"",SUMIF(M:M,M139,R:R),"")</f>
        <v/>
      </c>
      <c r="T139" s="110" t="str">
        <f aca="false">IF(I139&lt;&gt;"",I139,"")</f>
        <v/>
      </c>
      <c r="U139" s="111" t="str">
        <f aca="false">IF(AND(T139&lt;&gt;"",S139&lt;&gt;""),IFERROR((T139-S139)/T139,""),"")</f>
        <v/>
      </c>
    </row>
    <row r="140" customFormat="false" ht="18.75" hidden="false" customHeight="true" outlineLevel="0" collapsed="false">
      <c r="A140" s="112"/>
      <c r="B140" s="112"/>
      <c r="C140" s="112"/>
      <c r="D140" s="112"/>
      <c r="E140" s="112"/>
      <c r="F140" s="112"/>
      <c r="G140" s="113" t="str">
        <f aca="false">IF(AND(E140&lt;&gt;"",F140&lt;&gt;""),E140*F140,"")</f>
        <v/>
      </c>
      <c r="H140" s="113" t="str">
        <f aca="false">IF(B140&lt;&gt;"",SUMIF(B:B,B140,G:G),"")</f>
        <v/>
      </c>
      <c r="I140" s="112"/>
      <c r="J140" s="114" t="str">
        <f aca="false">IF(AND(I140&lt;&gt;"",H140&lt;&gt;""),IFERROR((I140-H140)/I140,""),"")</f>
        <v/>
      </c>
      <c r="K140" s="3"/>
      <c r="L140" s="112"/>
      <c r="M140" s="112"/>
      <c r="N140" s="112"/>
      <c r="O140" s="112"/>
      <c r="P140" s="112"/>
      <c r="Q140" s="112"/>
      <c r="R140" s="113" t="str">
        <f aca="false">IF(AND(P140&lt;&gt;"",Q140&lt;&gt;""),P140*Q140,"")</f>
        <v/>
      </c>
      <c r="S140" s="113" t="str">
        <f aca="false">IF(M140&lt;&gt;"",SUMIF(M:M,M140,R:R),"")</f>
        <v/>
      </c>
      <c r="T140" s="113" t="str">
        <f aca="false">IF(I140&lt;&gt;"",I140,"")</f>
        <v/>
      </c>
      <c r="U140" s="114" t="str">
        <f aca="false">IF(AND(T140&lt;&gt;"",S140&lt;&gt;""),IFERROR((T140-S140)/T140,""),"")</f>
        <v/>
      </c>
    </row>
    <row r="141" customFormat="false" ht="18.75" hidden="false" customHeight="true" outlineLevel="0" collapsed="false">
      <c r="A141" s="109"/>
      <c r="B141" s="109"/>
      <c r="C141" s="109"/>
      <c r="D141" s="109"/>
      <c r="E141" s="109"/>
      <c r="F141" s="109"/>
      <c r="G141" s="110" t="str">
        <f aca="false">IF(AND(E141&lt;&gt;"",F141&lt;&gt;""),E141*F141,"")</f>
        <v/>
      </c>
      <c r="H141" s="110" t="str">
        <f aca="false">IF(B141&lt;&gt;"",SUMIF(B:B,B141,G:G),"")</f>
        <v/>
      </c>
      <c r="I141" s="109"/>
      <c r="J141" s="111" t="str">
        <f aca="false">IF(AND(I141&lt;&gt;"",H141&lt;&gt;""),IFERROR((I141-H141)/I141,""),"")</f>
        <v/>
      </c>
      <c r="K141" s="3"/>
      <c r="L141" s="109"/>
      <c r="M141" s="109"/>
      <c r="N141" s="109"/>
      <c r="O141" s="109"/>
      <c r="P141" s="109"/>
      <c r="Q141" s="109"/>
      <c r="R141" s="110" t="str">
        <f aca="false">IF(AND(P141&lt;&gt;"",Q141&lt;&gt;""),P141*Q141,"")</f>
        <v/>
      </c>
      <c r="S141" s="110" t="str">
        <f aca="false">IF(M141&lt;&gt;"",SUMIF(M:M,M141,R:R),"")</f>
        <v/>
      </c>
      <c r="T141" s="110" t="str">
        <f aca="false">IF(I141&lt;&gt;"",I141,"")</f>
        <v/>
      </c>
      <c r="U141" s="111" t="str">
        <f aca="false">IF(AND(T141&lt;&gt;"",S141&lt;&gt;""),IFERROR((T141-S141)/T141,""),"")</f>
        <v/>
      </c>
    </row>
    <row r="142" customFormat="false" ht="18.75" hidden="false" customHeight="true" outlineLevel="0" collapsed="false">
      <c r="A142" s="112"/>
      <c r="B142" s="112"/>
      <c r="C142" s="112"/>
      <c r="D142" s="112"/>
      <c r="E142" s="112"/>
      <c r="F142" s="112"/>
      <c r="G142" s="113" t="str">
        <f aca="false">IF(AND(E142&lt;&gt;"",F142&lt;&gt;""),E142*F142,"")</f>
        <v/>
      </c>
      <c r="H142" s="113" t="str">
        <f aca="false">IF(B142&lt;&gt;"",SUMIF(B:B,B142,G:G),"")</f>
        <v/>
      </c>
      <c r="I142" s="112"/>
      <c r="J142" s="114" t="str">
        <f aca="false">IF(AND(I142&lt;&gt;"",H142&lt;&gt;""),IFERROR((I142-H142)/I142,""),"")</f>
        <v/>
      </c>
      <c r="K142" s="3"/>
      <c r="L142" s="112"/>
      <c r="M142" s="112"/>
      <c r="N142" s="112"/>
      <c r="O142" s="112"/>
      <c r="P142" s="112"/>
      <c r="Q142" s="112"/>
      <c r="R142" s="113" t="str">
        <f aca="false">IF(AND(P142&lt;&gt;"",Q142&lt;&gt;""),P142*Q142,"")</f>
        <v/>
      </c>
      <c r="S142" s="113" t="str">
        <f aca="false">IF(M142&lt;&gt;"",SUMIF(M:M,M142,R:R),"")</f>
        <v/>
      </c>
      <c r="T142" s="113" t="str">
        <f aca="false">IF(I142&lt;&gt;"",I142,"")</f>
        <v/>
      </c>
      <c r="U142" s="114" t="str">
        <f aca="false">IF(AND(T142&lt;&gt;"",S142&lt;&gt;""),IFERROR((T142-S142)/T142,""),"")</f>
        <v/>
      </c>
    </row>
    <row r="143" customFormat="false" ht="18.75" hidden="false" customHeight="true" outlineLevel="0" collapsed="false">
      <c r="A143" s="109"/>
      <c r="B143" s="109"/>
      <c r="C143" s="109"/>
      <c r="D143" s="109"/>
      <c r="E143" s="109"/>
      <c r="F143" s="109"/>
      <c r="G143" s="110" t="str">
        <f aca="false">IF(AND(E143&lt;&gt;"",F143&lt;&gt;""),E143*F143,"")</f>
        <v/>
      </c>
      <c r="H143" s="110" t="str">
        <f aca="false">IF(B143&lt;&gt;"",SUMIF(B:B,B143,G:G),"")</f>
        <v/>
      </c>
      <c r="I143" s="109"/>
      <c r="J143" s="111" t="str">
        <f aca="false">IF(AND(I143&lt;&gt;"",H143&lt;&gt;""),IFERROR((I143-H143)/I143,""),"")</f>
        <v/>
      </c>
      <c r="K143" s="3"/>
      <c r="L143" s="109"/>
      <c r="M143" s="109"/>
      <c r="N143" s="109"/>
      <c r="O143" s="109"/>
      <c r="P143" s="109"/>
      <c r="Q143" s="109"/>
      <c r="R143" s="110" t="str">
        <f aca="false">IF(AND(P143&lt;&gt;"",Q143&lt;&gt;""),P143*Q143,"")</f>
        <v/>
      </c>
      <c r="S143" s="110" t="str">
        <f aca="false">IF(M143&lt;&gt;"",SUMIF(M:M,M143,R:R),"")</f>
        <v/>
      </c>
      <c r="T143" s="110" t="str">
        <f aca="false">IF(I143&lt;&gt;"",I143,"")</f>
        <v/>
      </c>
      <c r="U143" s="111" t="str">
        <f aca="false">IF(AND(T143&lt;&gt;"",S143&lt;&gt;""),IFERROR((T143-S143)/T143,""),"")</f>
        <v/>
      </c>
    </row>
    <row r="144" customFormat="false" ht="18.75" hidden="false" customHeight="true" outlineLevel="0" collapsed="false">
      <c r="A144" s="112"/>
      <c r="B144" s="112"/>
      <c r="C144" s="112"/>
      <c r="D144" s="112"/>
      <c r="E144" s="112"/>
      <c r="F144" s="112"/>
      <c r="G144" s="113" t="str">
        <f aca="false">IF(AND(E144&lt;&gt;"",F144&lt;&gt;""),E144*F144,"")</f>
        <v/>
      </c>
      <c r="H144" s="113" t="str">
        <f aca="false">IF(B144&lt;&gt;"",SUMIF(B:B,B144,G:G),"")</f>
        <v/>
      </c>
      <c r="I144" s="112"/>
      <c r="J144" s="114" t="str">
        <f aca="false">IF(AND(I144&lt;&gt;"",H144&lt;&gt;""),IFERROR((I144-H144)/I144,""),"")</f>
        <v/>
      </c>
      <c r="K144" s="3"/>
      <c r="L144" s="112"/>
      <c r="M144" s="112"/>
      <c r="N144" s="112"/>
      <c r="O144" s="112"/>
      <c r="P144" s="112"/>
      <c r="Q144" s="112"/>
      <c r="R144" s="113" t="str">
        <f aca="false">IF(AND(P144&lt;&gt;"",Q144&lt;&gt;""),P144*Q144,"")</f>
        <v/>
      </c>
      <c r="S144" s="113" t="str">
        <f aca="false">IF(M144&lt;&gt;"",SUMIF(M:M,M144,R:R),"")</f>
        <v/>
      </c>
      <c r="T144" s="113" t="str">
        <f aca="false">IF(I144&lt;&gt;"",I144,"")</f>
        <v/>
      </c>
      <c r="U144" s="114" t="str">
        <f aca="false">IF(AND(T144&lt;&gt;"",S144&lt;&gt;""),IFERROR((T144-S144)/T144,""),"")</f>
        <v/>
      </c>
    </row>
    <row r="145" customFormat="false" ht="18.75" hidden="false" customHeight="true" outlineLevel="0" collapsed="false">
      <c r="A145" s="109"/>
      <c r="B145" s="109"/>
      <c r="C145" s="109"/>
      <c r="D145" s="109"/>
      <c r="E145" s="109"/>
      <c r="F145" s="109"/>
      <c r="G145" s="110" t="str">
        <f aca="false">IF(AND(E145&lt;&gt;"",F145&lt;&gt;""),E145*F145,"")</f>
        <v/>
      </c>
      <c r="H145" s="110" t="str">
        <f aca="false">IF(B145&lt;&gt;"",SUMIF(B:B,B145,G:G),"")</f>
        <v/>
      </c>
      <c r="I145" s="109"/>
      <c r="J145" s="111" t="str">
        <f aca="false">IF(AND(I145&lt;&gt;"",H145&lt;&gt;""),IFERROR((I145-H145)/I145,""),"")</f>
        <v/>
      </c>
      <c r="K145" s="3"/>
      <c r="L145" s="109"/>
      <c r="M145" s="109"/>
      <c r="N145" s="109"/>
      <c r="O145" s="109"/>
      <c r="P145" s="109"/>
      <c r="Q145" s="109"/>
      <c r="R145" s="110" t="str">
        <f aca="false">IF(AND(P145&lt;&gt;"",Q145&lt;&gt;""),P145*Q145,"")</f>
        <v/>
      </c>
      <c r="S145" s="110" t="str">
        <f aca="false">IF(M145&lt;&gt;"",SUMIF(M:M,M145,R:R),"")</f>
        <v/>
      </c>
      <c r="T145" s="110" t="str">
        <f aca="false">IF(I145&lt;&gt;"",I145,"")</f>
        <v/>
      </c>
      <c r="U145" s="111" t="str">
        <f aca="false">IF(AND(T145&lt;&gt;"",S145&lt;&gt;""),IFERROR((T145-S145)/T145,""),"")</f>
        <v/>
      </c>
    </row>
    <row r="146" customFormat="false" ht="18.75" hidden="false" customHeight="true" outlineLevel="0" collapsed="false">
      <c r="A146" s="112"/>
      <c r="B146" s="112"/>
      <c r="C146" s="112"/>
      <c r="D146" s="112"/>
      <c r="E146" s="112"/>
      <c r="F146" s="112"/>
      <c r="G146" s="113" t="str">
        <f aca="false">IF(AND(E146&lt;&gt;"",F146&lt;&gt;""),E146*F146,"")</f>
        <v/>
      </c>
      <c r="H146" s="113" t="str">
        <f aca="false">IF(B146&lt;&gt;"",SUMIF(B:B,B146,G:G),"")</f>
        <v/>
      </c>
      <c r="I146" s="112"/>
      <c r="J146" s="114" t="str">
        <f aca="false">IF(AND(I146&lt;&gt;"",H146&lt;&gt;""),IFERROR((I146-H146)/I146,""),"")</f>
        <v/>
      </c>
      <c r="K146" s="3"/>
      <c r="L146" s="112"/>
      <c r="M146" s="112"/>
      <c r="N146" s="112"/>
      <c r="O146" s="112"/>
      <c r="P146" s="112"/>
      <c r="Q146" s="112"/>
      <c r="R146" s="113" t="str">
        <f aca="false">IF(AND(P146&lt;&gt;"",Q146&lt;&gt;""),P146*Q146,"")</f>
        <v/>
      </c>
      <c r="S146" s="113" t="str">
        <f aca="false">IF(M146&lt;&gt;"",SUMIF(M:M,M146,R:R),"")</f>
        <v/>
      </c>
      <c r="T146" s="113" t="str">
        <f aca="false">IF(I146&lt;&gt;"",I146,"")</f>
        <v/>
      </c>
      <c r="U146" s="114" t="str">
        <f aca="false">IF(AND(T146&lt;&gt;"",S146&lt;&gt;""),IFERROR((T146-S146)/T146,""),"")</f>
        <v/>
      </c>
    </row>
    <row r="147" customFormat="false" ht="18.75" hidden="false" customHeight="true" outlineLevel="0" collapsed="false">
      <c r="A147" s="109"/>
      <c r="B147" s="109"/>
      <c r="C147" s="109"/>
      <c r="D147" s="109"/>
      <c r="E147" s="109"/>
      <c r="F147" s="109"/>
      <c r="G147" s="110" t="str">
        <f aca="false">IF(AND(E147&lt;&gt;"",F147&lt;&gt;""),E147*F147,"")</f>
        <v/>
      </c>
      <c r="H147" s="110" t="str">
        <f aca="false">IF(B147&lt;&gt;"",SUMIF(B:B,B147,G:G),"")</f>
        <v/>
      </c>
      <c r="I147" s="109"/>
      <c r="J147" s="111" t="str">
        <f aca="false">IF(AND(I147&lt;&gt;"",H147&lt;&gt;""),IFERROR((I147-H147)/I147,""),"")</f>
        <v/>
      </c>
      <c r="K147" s="3"/>
      <c r="L147" s="109"/>
      <c r="M147" s="109"/>
      <c r="N147" s="109"/>
      <c r="O147" s="109"/>
      <c r="P147" s="109"/>
      <c r="Q147" s="109"/>
      <c r="R147" s="110" t="str">
        <f aca="false">IF(AND(P147&lt;&gt;"",Q147&lt;&gt;""),P147*Q147,"")</f>
        <v/>
      </c>
      <c r="S147" s="110" t="str">
        <f aca="false">IF(M147&lt;&gt;"",SUMIF(M:M,M147,R:R),"")</f>
        <v/>
      </c>
      <c r="T147" s="110" t="str">
        <f aca="false">IF(I147&lt;&gt;"",I147,"")</f>
        <v/>
      </c>
      <c r="U147" s="111" t="str">
        <f aca="false">IF(AND(T147&lt;&gt;"",S147&lt;&gt;""),IFERROR((T147-S147)/T147,""),"")</f>
        <v/>
      </c>
    </row>
    <row r="148" customFormat="false" ht="18.75" hidden="false" customHeight="true" outlineLevel="0" collapsed="false">
      <c r="K148" s="3"/>
    </row>
    <row r="149" customFormat="false" ht="18.75" hidden="false" customHeight="true" outlineLevel="0" collapsed="false">
      <c r="K149" s="3"/>
    </row>
    <row r="150" customFormat="false" ht="18.75" hidden="false" customHeight="true" outlineLevel="0" collapsed="false">
      <c r="K150" s="3"/>
    </row>
    <row r="151" customFormat="false" ht="18.75" hidden="false" customHeight="true" outlineLevel="0" collapsed="false">
      <c r="K151" s="3"/>
    </row>
    <row r="152" customFormat="false" ht="18.75" hidden="false" customHeight="true" outlineLevel="0" collapsed="false">
      <c r="K152" s="3"/>
    </row>
    <row r="153" customFormat="false" ht="18.75" hidden="false" customHeight="true" outlineLevel="0" collapsed="false">
      <c r="K153" s="3"/>
    </row>
    <row r="154" customFormat="false" ht="18.75" hidden="false" customHeight="true" outlineLevel="0" collapsed="false">
      <c r="K154" s="3"/>
    </row>
    <row r="155" customFormat="false" ht="18.75" hidden="false" customHeight="true" outlineLevel="0" collapsed="false">
      <c r="K155" s="3"/>
    </row>
    <row r="156" customFormat="false" ht="18.75" hidden="false" customHeight="true" outlineLevel="0" collapsed="false">
      <c r="K156" s="3"/>
    </row>
    <row r="157" customFormat="false" ht="18.75" hidden="false" customHeight="true" outlineLevel="0" collapsed="false">
      <c r="K157" s="3"/>
    </row>
    <row r="158" customFormat="false" ht="18.75" hidden="false" customHeight="true" outlineLevel="0" collapsed="false">
      <c r="K158" s="3"/>
    </row>
    <row r="159" customFormat="false" ht="18.75" hidden="false" customHeight="true" outlineLevel="0" collapsed="false">
      <c r="K159" s="3"/>
    </row>
    <row r="160" customFormat="false" ht="18.75" hidden="false" customHeight="true" outlineLevel="0" collapsed="false">
      <c r="K160" s="3"/>
    </row>
    <row r="161" customFormat="false" ht="18.75" hidden="false" customHeight="true" outlineLevel="0" collapsed="false">
      <c r="K161" s="3"/>
    </row>
    <row r="162" customFormat="false" ht="18.75" hidden="false" customHeight="true" outlineLevel="0" collapsed="false">
      <c r="K162" s="3"/>
    </row>
    <row r="163" customFormat="false" ht="18.75" hidden="false" customHeight="true" outlineLevel="0" collapsed="false">
      <c r="K163" s="3"/>
    </row>
    <row r="164" customFormat="false" ht="18.75" hidden="false" customHeight="true" outlineLevel="0" collapsed="false">
      <c r="K164" s="3"/>
    </row>
    <row r="165" customFormat="false" ht="18.75" hidden="false" customHeight="true" outlineLevel="0" collapsed="false">
      <c r="K165" s="3"/>
    </row>
    <row r="166" customFormat="false" ht="18.75" hidden="false" customHeight="true" outlineLevel="0" collapsed="false">
      <c r="K166" s="3"/>
    </row>
    <row r="167" customFormat="false" ht="18.75" hidden="false" customHeight="true" outlineLevel="0" collapsed="false">
      <c r="K167" s="3"/>
    </row>
    <row r="168" customFormat="false" ht="18.75" hidden="false" customHeight="true" outlineLevel="0" collapsed="false">
      <c r="K168" s="3"/>
    </row>
    <row r="169" customFormat="false" ht="18.75" hidden="false" customHeight="true" outlineLevel="0" collapsed="false">
      <c r="K169" s="3"/>
    </row>
    <row r="170" customFormat="false" ht="18.75" hidden="false" customHeight="true" outlineLevel="0" collapsed="false">
      <c r="K170" s="3"/>
    </row>
    <row r="171" customFormat="false" ht="18.75" hidden="false" customHeight="true" outlineLevel="0" collapsed="false">
      <c r="K171" s="3"/>
    </row>
    <row r="172" customFormat="false" ht="18.75" hidden="false" customHeight="true" outlineLevel="0" collapsed="false">
      <c r="K172" s="3"/>
    </row>
    <row r="173" customFormat="false" ht="18.75" hidden="false" customHeight="true" outlineLevel="0" collapsed="false">
      <c r="K173" s="3"/>
    </row>
    <row r="174" customFormat="false" ht="18.75" hidden="false" customHeight="true" outlineLevel="0" collapsed="false">
      <c r="K174" s="3"/>
    </row>
    <row r="175" customFormat="false" ht="18.75" hidden="false" customHeight="true" outlineLevel="0" collapsed="false">
      <c r="K175" s="3"/>
    </row>
    <row r="176" customFormat="false" ht="18.75" hidden="false" customHeight="true" outlineLevel="0" collapsed="false">
      <c r="K176" s="3"/>
    </row>
    <row r="177" customFormat="false" ht="18.75" hidden="false" customHeight="true" outlineLevel="0" collapsed="false">
      <c r="K177" s="3"/>
    </row>
    <row r="178" customFormat="false" ht="18.75" hidden="false" customHeight="true" outlineLevel="0" collapsed="false">
      <c r="K178" s="3"/>
    </row>
    <row r="179" customFormat="false" ht="18.75" hidden="false" customHeight="true" outlineLevel="0" collapsed="false">
      <c r="K179" s="3"/>
    </row>
    <row r="180" customFormat="false" ht="18.75" hidden="false" customHeight="true" outlineLevel="0" collapsed="false">
      <c r="K180" s="3"/>
    </row>
    <row r="181" customFormat="false" ht="18.75" hidden="false" customHeight="true" outlineLevel="0" collapsed="false">
      <c r="K181" s="3"/>
    </row>
    <row r="182" customFormat="false" ht="18.75" hidden="false" customHeight="true" outlineLevel="0" collapsed="false">
      <c r="K182" s="3"/>
    </row>
    <row r="183" customFormat="false" ht="18.75" hidden="false" customHeight="true" outlineLevel="0" collapsed="false">
      <c r="K183" s="3"/>
    </row>
    <row r="184" customFormat="false" ht="18.75" hidden="false" customHeight="true" outlineLevel="0" collapsed="false">
      <c r="K184" s="3"/>
    </row>
    <row r="185" customFormat="false" ht="18.75" hidden="false" customHeight="true" outlineLevel="0" collapsed="false">
      <c r="K185" s="3"/>
    </row>
    <row r="186" customFormat="false" ht="18.75" hidden="false" customHeight="true" outlineLevel="0" collapsed="false">
      <c r="K186" s="3"/>
    </row>
    <row r="187" customFormat="false" ht="18.75" hidden="false" customHeight="true" outlineLevel="0" collapsed="false">
      <c r="K187" s="3"/>
    </row>
    <row r="188" customFormat="false" ht="18.75" hidden="false" customHeight="true" outlineLevel="0" collapsed="false">
      <c r="K188" s="3"/>
    </row>
    <row r="189" customFormat="false" ht="18.75" hidden="false" customHeight="true" outlineLevel="0" collapsed="false">
      <c r="K189" s="3"/>
    </row>
    <row r="190" customFormat="false" ht="18.75" hidden="false" customHeight="true" outlineLevel="0" collapsed="false">
      <c r="K190" s="3"/>
    </row>
    <row r="191" customFormat="false" ht="18.75" hidden="false" customHeight="true" outlineLevel="0" collapsed="false">
      <c r="K191" s="3"/>
    </row>
    <row r="192" customFormat="false" ht="18.75" hidden="false" customHeight="true" outlineLevel="0" collapsed="false">
      <c r="K192" s="3"/>
    </row>
    <row r="193" customFormat="false" ht="18.75" hidden="false" customHeight="true" outlineLevel="0" collapsed="false">
      <c r="K193" s="3"/>
    </row>
    <row r="194" customFormat="false" ht="18.75" hidden="false" customHeight="true" outlineLevel="0" collapsed="false">
      <c r="K194" s="3"/>
    </row>
    <row r="195" customFormat="false" ht="18.75" hidden="false" customHeight="true" outlineLevel="0" collapsed="false">
      <c r="K195" s="3"/>
    </row>
    <row r="196" customFormat="false" ht="18.75" hidden="false" customHeight="true" outlineLevel="0" collapsed="false">
      <c r="K196" s="3"/>
    </row>
    <row r="197" customFormat="false" ht="18.75" hidden="false" customHeight="true" outlineLevel="0" collapsed="false">
      <c r="K197" s="3"/>
    </row>
    <row r="198" customFormat="false" ht="18.75" hidden="false" customHeight="true" outlineLevel="0" collapsed="false">
      <c r="K198" s="3"/>
    </row>
    <row r="199" customFormat="false" ht="18.75" hidden="false" customHeight="true" outlineLevel="0" collapsed="false">
      <c r="K199" s="3"/>
    </row>
    <row r="200" customFormat="false" ht="18.75" hidden="false" customHeight="true" outlineLevel="0" collapsed="false">
      <c r="K200" s="3"/>
    </row>
    <row r="201" customFormat="false" ht="18.75" hidden="false" customHeight="true" outlineLevel="0" collapsed="false">
      <c r="K201" s="3"/>
    </row>
    <row r="202" customFormat="false" ht="18.75" hidden="false" customHeight="true" outlineLevel="0" collapsed="false">
      <c r="K202" s="3"/>
    </row>
    <row r="203" customFormat="false" ht="18.75" hidden="false" customHeight="true" outlineLevel="0" collapsed="false">
      <c r="K203" s="3"/>
    </row>
    <row r="204" customFormat="false" ht="18.75" hidden="false" customHeight="true" outlineLevel="0" collapsed="false">
      <c r="K204" s="3"/>
    </row>
    <row r="205" customFormat="false" ht="18.75" hidden="false" customHeight="true" outlineLevel="0" collapsed="false">
      <c r="K205" s="3"/>
    </row>
    <row r="206" customFormat="false" ht="18.75" hidden="false" customHeight="true" outlineLevel="0" collapsed="false">
      <c r="K206" s="3"/>
    </row>
    <row r="207" customFormat="false" ht="18.75" hidden="false" customHeight="true" outlineLevel="0" collapsed="false">
      <c r="K207" s="3"/>
    </row>
    <row r="208" customFormat="false" ht="18.75" hidden="false" customHeight="true" outlineLevel="0" collapsed="false">
      <c r="K208" s="3"/>
    </row>
    <row r="209" customFormat="false" ht="18.75" hidden="false" customHeight="true" outlineLevel="0" collapsed="false">
      <c r="K209" s="3"/>
    </row>
    <row r="210" customFormat="false" ht="18.75" hidden="false" customHeight="true" outlineLevel="0" collapsed="false">
      <c r="K210" s="3"/>
    </row>
    <row r="211" customFormat="false" ht="18.75" hidden="false" customHeight="true" outlineLevel="0" collapsed="false">
      <c r="K211" s="3"/>
    </row>
    <row r="212" customFormat="false" ht="18.75" hidden="false" customHeight="true" outlineLevel="0" collapsed="false">
      <c r="K212" s="3"/>
    </row>
    <row r="213" customFormat="false" ht="18.75" hidden="false" customHeight="true" outlineLevel="0" collapsed="false">
      <c r="K213" s="3"/>
    </row>
    <row r="214" customFormat="false" ht="18.75" hidden="false" customHeight="true" outlineLevel="0" collapsed="false">
      <c r="K214" s="3"/>
    </row>
    <row r="215" customFormat="false" ht="18.75" hidden="false" customHeight="true" outlineLevel="0" collapsed="false">
      <c r="K215" s="3"/>
    </row>
    <row r="216" customFormat="false" ht="18.75" hidden="false" customHeight="true" outlineLevel="0" collapsed="false">
      <c r="K216" s="3"/>
    </row>
    <row r="217" customFormat="false" ht="18.75" hidden="false" customHeight="true" outlineLevel="0" collapsed="false">
      <c r="K217" s="3"/>
    </row>
    <row r="218" customFormat="false" ht="18.75" hidden="false" customHeight="true" outlineLevel="0" collapsed="false">
      <c r="K218" s="3"/>
    </row>
    <row r="219" customFormat="false" ht="18.75" hidden="false" customHeight="true" outlineLevel="0" collapsed="false">
      <c r="K219" s="3"/>
    </row>
    <row r="220" customFormat="false" ht="18.75" hidden="false" customHeight="true" outlineLevel="0" collapsed="false">
      <c r="K220" s="3"/>
    </row>
    <row r="221" customFormat="false" ht="18.75" hidden="false" customHeight="true" outlineLevel="0" collapsed="false">
      <c r="K221" s="3"/>
    </row>
    <row r="222" customFormat="false" ht="18.75" hidden="false" customHeight="true" outlineLevel="0" collapsed="false">
      <c r="K222" s="3"/>
    </row>
    <row r="223" customFormat="false" ht="18.75" hidden="false" customHeight="true" outlineLevel="0" collapsed="false">
      <c r="K223" s="3"/>
    </row>
    <row r="224" customFormat="false" ht="18.75" hidden="false" customHeight="true" outlineLevel="0" collapsed="false">
      <c r="K224" s="3"/>
    </row>
    <row r="225" customFormat="false" ht="18.75" hidden="false" customHeight="true" outlineLevel="0" collapsed="false">
      <c r="K225" s="3"/>
    </row>
    <row r="226" customFormat="false" ht="18.75" hidden="false" customHeight="true" outlineLevel="0" collapsed="false">
      <c r="K226" s="3"/>
    </row>
    <row r="227" customFormat="false" ht="18.75" hidden="false" customHeight="true" outlineLevel="0" collapsed="false">
      <c r="K227" s="3"/>
    </row>
    <row r="228" customFormat="false" ht="18.75" hidden="false" customHeight="true" outlineLevel="0" collapsed="false">
      <c r="K228" s="3"/>
    </row>
    <row r="229" customFormat="false" ht="18.75" hidden="false" customHeight="true" outlineLevel="0" collapsed="false">
      <c r="K229" s="3"/>
    </row>
    <row r="230" customFormat="false" ht="18.75" hidden="false" customHeight="true" outlineLevel="0" collapsed="false">
      <c r="K230" s="3"/>
    </row>
    <row r="231" customFormat="false" ht="18.75" hidden="false" customHeight="true" outlineLevel="0" collapsed="false">
      <c r="K231" s="3"/>
    </row>
    <row r="232" customFormat="false" ht="18.75" hidden="false" customHeight="true" outlineLevel="0" collapsed="false">
      <c r="K232" s="3"/>
    </row>
    <row r="233" customFormat="false" ht="18.75" hidden="false" customHeight="true" outlineLevel="0" collapsed="false">
      <c r="K233" s="3"/>
    </row>
    <row r="234" customFormat="false" ht="18.75" hidden="false" customHeight="true" outlineLevel="0" collapsed="false">
      <c r="K234" s="3"/>
    </row>
    <row r="235" customFormat="false" ht="18.75" hidden="false" customHeight="true" outlineLevel="0" collapsed="false">
      <c r="K235" s="3"/>
    </row>
    <row r="236" customFormat="false" ht="18.75" hidden="false" customHeight="true" outlineLevel="0" collapsed="false">
      <c r="K236" s="3"/>
    </row>
    <row r="237" customFormat="false" ht="18.75" hidden="false" customHeight="true" outlineLevel="0" collapsed="false">
      <c r="K237" s="3"/>
    </row>
    <row r="238" customFormat="false" ht="18.75" hidden="false" customHeight="true" outlineLevel="0" collapsed="false">
      <c r="K238" s="3"/>
    </row>
    <row r="239" customFormat="false" ht="18.75" hidden="false" customHeight="true" outlineLevel="0" collapsed="false">
      <c r="K239" s="3"/>
    </row>
    <row r="240" customFormat="false" ht="18.75" hidden="false" customHeight="true" outlineLevel="0" collapsed="false">
      <c r="K240" s="3"/>
    </row>
    <row r="241" customFormat="false" ht="18.75" hidden="false" customHeight="true" outlineLevel="0" collapsed="false">
      <c r="K241" s="3"/>
    </row>
    <row r="242" customFormat="false" ht="18.75" hidden="false" customHeight="true" outlineLevel="0" collapsed="false">
      <c r="K242" s="3"/>
    </row>
    <row r="243" customFormat="false" ht="18.75" hidden="false" customHeight="true" outlineLevel="0" collapsed="false">
      <c r="K243" s="3"/>
    </row>
    <row r="244" customFormat="false" ht="18.75" hidden="false" customHeight="true" outlineLevel="0" collapsed="false">
      <c r="K244" s="3"/>
    </row>
    <row r="245" customFormat="false" ht="18.75" hidden="false" customHeight="true" outlineLevel="0" collapsed="false">
      <c r="K245" s="3"/>
    </row>
    <row r="246" customFormat="false" ht="18.75" hidden="false" customHeight="true" outlineLevel="0" collapsed="false">
      <c r="K246" s="3"/>
    </row>
    <row r="247" customFormat="false" ht="18.75" hidden="false" customHeight="true" outlineLevel="0" collapsed="false">
      <c r="K247" s="3"/>
    </row>
    <row r="248" customFormat="false" ht="18.75" hidden="false" customHeight="true" outlineLevel="0" collapsed="false">
      <c r="K248" s="3"/>
    </row>
    <row r="249" customFormat="false" ht="18.75" hidden="false" customHeight="true" outlineLevel="0" collapsed="false">
      <c r="K249" s="3"/>
    </row>
    <row r="250" customFormat="false" ht="18.75" hidden="false" customHeight="true" outlineLevel="0" collapsed="false">
      <c r="K250" s="3"/>
    </row>
    <row r="251" customFormat="false" ht="18.75" hidden="false" customHeight="true" outlineLevel="0" collapsed="false">
      <c r="K251" s="3"/>
    </row>
    <row r="252" customFormat="false" ht="18.75" hidden="false" customHeight="true" outlineLevel="0" collapsed="false">
      <c r="K252" s="3"/>
    </row>
    <row r="253" customFormat="false" ht="18.75" hidden="false" customHeight="true" outlineLevel="0" collapsed="false">
      <c r="K253" s="3"/>
    </row>
    <row r="254" customFormat="false" ht="18.75" hidden="false" customHeight="true" outlineLevel="0" collapsed="false">
      <c r="K254" s="3"/>
    </row>
    <row r="255" customFormat="false" ht="18.75" hidden="false" customHeight="true" outlineLevel="0" collapsed="false">
      <c r="K255" s="3"/>
    </row>
    <row r="256" customFormat="false" ht="18.75" hidden="false" customHeight="true" outlineLevel="0" collapsed="false">
      <c r="K256" s="3"/>
    </row>
    <row r="257" customFormat="false" ht="18.75" hidden="false" customHeight="true" outlineLevel="0" collapsed="false">
      <c r="K257" s="3"/>
    </row>
    <row r="258" customFormat="false" ht="18.75" hidden="false" customHeight="true" outlineLevel="0" collapsed="false">
      <c r="K258" s="3"/>
    </row>
    <row r="259" customFormat="false" ht="18.75" hidden="false" customHeight="true" outlineLevel="0" collapsed="false">
      <c r="K259" s="3"/>
    </row>
    <row r="260" customFormat="false" ht="18.75" hidden="false" customHeight="true" outlineLevel="0" collapsed="false">
      <c r="K260" s="3"/>
    </row>
    <row r="261" customFormat="false" ht="18.75" hidden="false" customHeight="true" outlineLevel="0" collapsed="false">
      <c r="K261" s="3"/>
    </row>
    <row r="262" customFormat="false" ht="18.75" hidden="false" customHeight="true" outlineLevel="0" collapsed="false">
      <c r="K262" s="3"/>
    </row>
    <row r="263" customFormat="false" ht="18.75" hidden="false" customHeight="true" outlineLevel="0" collapsed="false">
      <c r="K263" s="3"/>
    </row>
    <row r="264" customFormat="false" ht="18.75" hidden="false" customHeight="true" outlineLevel="0" collapsed="false">
      <c r="K264" s="3"/>
    </row>
    <row r="265" customFormat="false" ht="18.75" hidden="false" customHeight="true" outlineLevel="0" collapsed="false">
      <c r="K265" s="3"/>
    </row>
    <row r="266" customFormat="false" ht="18.75" hidden="false" customHeight="true" outlineLevel="0" collapsed="false">
      <c r="K266" s="3"/>
    </row>
    <row r="267" customFormat="false" ht="18.75" hidden="false" customHeight="true" outlineLevel="0" collapsed="false">
      <c r="K267" s="3"/>
    </row>
    <row r="268" customFormat="false" ht="18.75" hidden="false" customHeight="true" outlineLevel="0" collapsed="false">
      <c r="K268" s="3"/>
    </row>
    <row r="269" customFormat="false" ht="18.75" hidden="false" customHeight="true" outlineLevel="0" collapsed="false">
      <c r="K269" s="3"/>
    </row>
    <row r="270" customFormat="false" ht="18.75" hidden="false" customHeight="true" outlineLevel="0" collapsed="false">
      <c r="K270" s="3"/>
    </row>
    <row r="271" customFormat="false" ht="18.75" hidden="false" customHeight="true" outlineLevel="0" collapsed="false">
      <c r="K271" s="3"/>
    </row>
    <row r="272" customFormat="false" ht="18.75" hidden="false" customHeight="true" outlineLevel="0" collapsed="false">
      <c r="K272" s="3"/>
    </row>
    <row r="273" customFormat="false" ht="18.75" hidden="false" customHeight="true" outlineLevel="0" collapsed="false">
      <c r="K273" s="3"/>
    </row>
    <row r="274" customFormat="false" ht="18.75" hidden="false" customHeight="true" outlineLevel="0" collapsed="false">
      <c r="K274" s="3"/>
    </row>
    <row r="275" customFormat="false" ht="18.75" hidden="false" customHeight="true" outlineLevel="0" collapsed="false">
      <c r="K275" s="3"/>
    </row>
    <row r="276" customFormat="false" ht="18.75" hidden="false" customHeight="true" outlineLevel="0" collapsed="false">
      <c r="K276" s="3"/>
    </row>
    <row r="277" customFormat="false" ht="18.75" hidden="false" customHeight="true" outlineLevel="0" collapsed="false">
      <c r="K277" s="3"/>
    </row>
    <row r="278" customFormat="false" ht="18.75" hidden="false" customHeight="true" outlineLevel="0" collapsed="false">
      <c r="K278" s="3"/>
    </row>
    <row r="279" customFormat="false" ht="18.75" hidden="false" customHeight="true" outlineLevel="0" collapsed="false">
      <c r="K279" s="3"/>
    </row>
    <row r="280" customFormat="false" ht="18.75" hidden="false" customHeight="true" outlineLevel="0" collapsed="false">
      <c r="K280" s="3"/>
    </row>
    <row r="281" customFormat="false" ht="18.75" hidden="false" customHeight="true" outlineLevel="0" collapsed="false">
      <c r="K281" s="3"/>
    </row>
    <row r="282" customFormat="false" ht="18.75" hidden="false" customHeight="true" outlineLevel="0" collapsed="false">
      <c r="K282" s="3"/>
    </row>
    <row r="283" customFormat="false" ht="18.75" hidden="false" customHeight="true" outlineLevel="0" collapsed="false">
      <c r="K283" s="3"/>
    </row>
    <row r="284" customFormat="false" ht="18.75" hidden="false" customHeight="true" outlineLevel="0" collapsed="false">
      <c r="K284" s="3"/>
    </row>
    <row r="285" customFormat="false" ht="18.75" hidden="false" customHeight="true" outlineLevel="0" collapsed="false">
      <c r="K285" s="3"/>
    </row>
    <row r="286" customFormat="false" ht="18.75" hidden="false" customHeight="true" outlineLevel="0" collapsed="false">
      <c r="K286" s="3"/>
    </row>
    <row r="287" customFormat="false" ht="18.75" hidden="false" customHeight="true" outlineLevel="0" collapsed="false">
      <c r="K287" s="3"/>
    </row>
    <row r="288" customFormat="false" ht="18.75" hidden="false" customHeight="true" outlineLevel="0" collapsed="false">
      <c r="K288" s="3"/>
    </row>
    <row r="289" customFormat="false" ht="18.75" hidden="false" customHeight="true" outlineLevel="0" collapsed="false">
      <c r="K289" s="3"/>
    </row>
    <row r="290" customFormat="false" ht="18.75" hidden="false" customHeight="true" outlineLevel="0" collapsed="false">
      <c r="K290" s="3"/>
    </row>
    <row r="291" customFormat="false" ht="18.75" hidden="false" customHeight="true" outlineLevel="0" collapsed="false">
      <c r="K291" s="3"/>
    </row>
    <row r="292" customFormat="false" ht="18.75" hidden="false" customHeight="true" outlineLevel="0" collapsed="false">
      <c r="K292" s="3"/>
    </row>
    <row r="293" customFormat="false" ht="18.75" hidden="false" customHeight="true" outlineLevel="0" collapsed="false">
      <c r="K293" s="3"/>
    </row>
    <row r="294" customFormat="false" ht="18.75" hidden="false" customHeight="true" outlineLevel="0" collapsed="false">
      <c r="K294" s="3"/>
    </row>
    <row r="295" customFormat="false" ht="18.75" hidden="false" customHeight="true" outlineLevel="0" collapsed="false">
      <c r="K295" s="3"/>
    </row>
    <row r="296" customFormat="false" ht="18.75" hidden="false" customHeight="true" outlineLevel="0" collapsed="false">
      <c r="K296" s="3"/>
    </row>
    <row r="297" customFormat="false" ht="18.75" hidden="false" customHeight="true" outlineLevel="0" collapsed="false">
      <c r="K297" s="3"/>
    </row>
    <row r="298" customFormat="false" ht="18.75" hidden="false" customHeight="true" outlineLevel="0" collapsed="false">
      <c r="K298" s="3"/>
    </row>
    <row r="299" customFormat="false" ht="18.75" hidden="false" customHeight="true" outlineLevel="0" collapsed="false">
      <c r="K299" s="3"/>
    </row>
    <row r="300" customFormat="false" ht="18.75" hidden="false" customHeight="true" outlineLevel="0" collapsed="false">
      <c r="K300" s="3"/>
    </row>
    <row r="301" customFormat="false" ht="18.75" hidden="false" customHeight="true" outlineLevel="0" collapsed="false">
      <c r="K301" s="3"/>
    </row>
    <row r="302" customFormat="false" ht="18.75" hidden="false" customHeight="true" outlineLevel="0" collapsed="false">
      <c r="K302" s="3"/>
    </row>
    <row r="303" customFormat="false" ht="18.75" hidden="false" customHeight="true" outlineLevel="0" collapsed="false">
      <c r="K303" s="3"/>
    </row>
    <row r="304" customFormat="false" ht="18.75" hidden="false" customHeight="true" outlineLevel="0" collapsed="false">
      <c r="K304" s="3"/>
    </row>
    <row r="305" customFormat="false" ht="18.75" hidden="false" customHeight="true" outlineLevel="0" collapsed="false">
      <c r="K305" s="3"/>
    </row>
    <row r="306" customFormat="false" ht="18.75" hidden="false" customHeight="true" outlineLevel="0" collapsed="false">
      <c r="K306" s="3"/>
    </row>
    <row r="307" customFormat="false" ht="18.75" hidden="false" customHeight="true" outlineLevel="0" collapsed="false">
      <c r="K307" s="3"/>
    </row>
    <row r="308" customFormat="false" ht="18.75" hidden="false" customHeight="true" outlineLevel="0" collapsed="false">
      <c r="K308" s="3"/>
    </row>
    <row r="309" customFormat="false" ht="18.75" hidden="false" customHeight="true" outlineLevel="0" collapsed="false">
      <c r="K309" s="3"/>
    </row>
    <row r="310" customFormat="false" ht="18.75" hidden="false" customHeight="true" outlineLevel="0" collapsed="false">
      <c r="K310" s="3"/>
    </row>
    <row r="311" customFormat="false" ht="18.75" hidden="false" customHeight="true" outlineLevel="0" collapsed="false">
      <c r="K311" s="3"/>
    </row>
    <row r="312" customFormat="false" ht="18.75" hidden="false" customHeight="true" outlineLevel="0" collapsed="false">
      <c r="K312" s="3"/>
    </row>
    <row r="313" customFormat="false" ht="18.75" hidden="false" customHeight="true" outlineLevel="0" collapsed="false">
      <c r="K313" s="3"/>
    </row>
    <row r="314" customFormat="false" ht="18.75" hidden="false" customHeight="true" outlineLevel="0" collapsed="false">
      <c r="K314" s="3"/>
    </row>
    <row r="315" customFormat="false" ht="18.75" hidden="false" customHeight="true" outlineLevel="0" collapsed="false">
      <c r="K315" s="3"/>
    </row>
    <row r="316" customFormat="false" ht="18.75" hidden="false" customHeight="true" outlineLevel="0" collapsed="false">
      <c r="K316" s="3"/>
    </row>
    <row r="317" customFormat="false" ht="18.75" hidden="false" customHeight="true" outlineLevel="0" collapsed="false">
      <c r="K317" s="3"/>
    </row>
    <row r="318" customFormat="false" ht="18.75" hidden="false" customHeight="true" outlineLevel="0" collapsed="false">
      <c r="K318" s="3"/>
    </row>
    <row r="319" customFormat="false" ht="18.75" hidden="false" customHeight="true" outlineLevel="0" collapsed="false">
      <c r="K319" s="3"/>
    </row>
    <row r="320" customFormat="false" ht="18.75" hidden="false" customHeight="true" outlineLevel="0" collapsed="false">
      <c r="K320" s="3"/>
    </row>
    <row r="321" customFormat="false" ht="18.75" hidden="false" customHeight="true" outlineLevel="0" collapsed="false">
      <c r="K321" s="3"/>
    </row>
    <row r="322" customFormat="false" ht="18.75" hidden="false" customHeight="true" outlineLevel="0" collapsed="false">
      <c r="K322" s="3"/>
    </row>
    <row r="323" customFormat="false" ht="18.75" hidden="false" customHeight="true" outlineLevel="0" collapsed="false">
      <c r="K323" s="3"/>
    </row>
    <row r="324" customFormat="false" ht="18.75" hidden="false" customHeight="true" outlineLevel="0" collapsed="false">
      <c r="K324" s="3"/>
    </row>
    <row r="325" customFormat="false" ht="18.75" hidden="false" customHeight="true" outlineLevel="0" collapsed="false">
      <c r="K325" s="3"/>
    </row>
    <row r="326" customFormat="false" ht="18.75" hidden="false" customHeight="true" outlineLevel="0" collapsed="false">
      <c r="K326" s="3"/>
    </row>
    <row r="327" customFormat="false" ht="18.75" hidden="false" customHeight="true" outlineLevel="0" collapsed="false">
      <c r="K327" s="3"/>
    </row>
    <row r="328" customFormat="false" ht="18.75" hidden="false" customHeight="true" outlineLevel="0" collapsed="false">
      <c r="K328" s="3"/>
    </row>
    <row r="329" customFormat="false" ht="18.75" hidden="false" customHeight="true" outlineLevel="0" collapsed="false">
      <c r="K329" s="3"/>
    </row>
    <row r="330" customFormat="false" ht="18.75" hidden="false" customHeight="true" outlineLevel="0" collapsed="false">
      <c r="K330" s="3"/>
    </row>
    <row r="331" customFormat="false" ht="18.75" hidden="false" customHeight="true" outlineLevel="0" collapsed="false">
      <c r="K331" s="3"/>
    </row>
    <row r="332" customFormat="false" ht="18.75" hidden="false" customHeight="true" outlineLevel="0" collapsed="false">
      <c r="K332" s="3"/>
    </row>
    <row r="333" customFormat="false" ht="18.75" hidden="false" customHeight="true" outlineLevel="0" collapsed="false">
      <c r="K333" s="3"/>
    </row>
    <row r="334" customFormat="false" ht="18.75" hidden="false" customHeight="true" outlineLevel="0" collapsed="false">
      <c r="K334" s="3"/>
    </row>
    <row r="335" customFormat="false" ht="18.75" hidden="false" customHeight="true" outlineLevel="0" collapsed="false">
      <c r="K335" s="3"/>
    </row>
    <row r="336" customFormat="false" ht="18.75" hidden="false" customHeight="true" outlineLevel="0" collapsed="false">
      <c r="K336" s="3"/>
    </row>
    <row r="337" customFormat="false" ht="18.75" hidden="false" customHeight="true" outlineLevel="0" collapsed="false">
      <c r="K337" s="3"/>
    </row>
    <row r="338" customFormat="false" ht="18.75" hidden="false" customHeight="true" outlineLevel="0" collapsed="false">
      <c r="K338" s="3"/>
    </row>
    <row r="339" customFormat="false" ht="18.75" hidden="false" customHeight="true" outlineLevel="0" collapsed="false">
      <c r="K339" s="3"/>
    </row>
    <row r="340" customFormat="false" ht="18.75" hidden="false" customHeight="true" outlineLevel="0" collapsed="false">
      <c r="K340" s="3"/>
    </row>
    <row r="341" customFormat="false" ht="18.75" hidden="false" customHeight="true" outlineLevel="0" collapsed="false">
      <c r="K341" s="3"/>
    </row>
    <row r="342" customFormat="false" ht="18.75" hidden="false" customHeight="true" outlineLevel="0" collapsed="false">
      <c r="K342" s="3"/>
    </row>
    <row r="343" customFormat="false" ht="18.75" hidden="false" customHeight="true" outlineLevel="0" collapsed="false">
      <c r="K343" s="3"/>
    </row>
    <row r="344" customFormat="false" ht="18.75" hidden="false" customHeight="true" outlineLevel="0" collapsed="false">
      <c r="K344" s="3"/>
    </row>
    <row r="345" customFormat="false" ht="18.75" hidden="false" customHeight="true" outlineLevel="0" collapsed="false">
      <c r="K345" s="3"/>
    </row>
    <row r="346" customFormat="false" ht="18.75" hidden="false" customHeight="true" outlineLevel="0" collapsed="false">
      <c r="K346" s="3"/>
    </row>
    <row r="347" customFormat="false" ht="18.75" hidden="false" customHeight="true" outlineLevel="0" collapsed="false">
      <c r="K347" s="3"/>
    </row>
    <row r="348" customFormat="false" ht="18.75" hidden="false" customHeight="true" outlineLevel="0" collapsed="false">
      <c r="K348" s="3"/>
    </row>
    <row r="349" customFormat="false" ht="18.75" hidden="false" customHeight="true" outlineLevel="0" collapsed="false">
      <c r="K349" s="3"/>
    </row>
    <row r="350" customFormat="false" ht="18.75" hidden="false" customHeight="true" outlineLevel="0" collapsed="false">
      <c r="K350" s="3"/>
    </row>
    <row r="351" customFormat="false" ht="18.75" hidden="false" customHeight="true" outlineLevel="0" collapsed="false">
      <c r="K351" s="3"/>
    </row>
    <row r="352" customFormat="false" ht="18.75" hidden="false" customHeight="true" outlineLevel="0" collapsed="false">
      <c r="K352" s="3"/>
    </row>
    <row r="353" customFormat="false" ht="18.75" hidden="false" customHeight="true" outlineLevel="0" collapsed="false">
      <c r="K353" s="3"/>
    </row>
    <row r="354" customFormat="false" ht="18.75" hidden="false" customHeight="true" outlineLevel="0" collapsed="false">
      <c r="K354" s="3"/>
    </row>
    <row r="355" customFormat="false" ht="18.75" hidden="false" customHeight="true" outlineLevel="0" collapsed="false">
      <c r="K355" s="3"/>
    </row>
    <row r="356" customFormat="false" ht="18.75" hidden="false" customHeight="true" outlineLevel="0" collapsed="false">
      <c r="K356" s="3"/>
    </row>
    <row r="357" customFormat="false" ht="18.75" hidden="false" customHeight="true" outlineLevel="0" collapsed="false">
      <c r="K357" s="3"/>
    </row>
    <row r="358" customFormat="false" ht="18.75" hidden="false" customHeight="true" outlineLevel="0" collapsed="false">
      <c r="K358" s="3"/>
    </row>
    <row r="359" customFormat="false" ht="18.75" hidden="false" customHeight="true" outlineLevel="0" collapsed="false">
      <c r="K359" s="3"/>
    </row>
    <row r="360" customFormat="false" ht="18.75" hidden="false" customHeight="true" outlineLevel="0" collapsed="false">
      <c r="K360" s="3"/>
    </row>
    <row r="361" customFormat="false" ht="18.75" hidden="false" customHeight="true" outlineLevel="0" collapsed="false">
      <c r="K361" s="3"/>
    </row>
    <row r="362" customFormat="false" ht="18.75" hidden="false" customHeight="true" outlineLevel="0" collapsed="false">
      <c r="K362" s="3"/>
    </row>
    <row r="363" customFormat="false" ht="18.75" hidden="false" customHeight="true" outlineLevel="0" collapsed="false">
      <c r="K363" s="3"/>
    </row>
    <row r="364" customFormat="false" ht="18.75" hidden="false" customHeight="true" outlineLevel="0" collapsed="false">
      <c r="K364" s="3"/>
    </row>
    <row r="365" customFormat="false" ht="18.75" hidden="false" customHeight="true" outlineLevel="0" collapsed="false">
      <c r="K365" s="3"/>
    </row>
    <row r="366" customFormat="false" ht="18.75" hidden="false" customHeight="true" outlineLevel="0" collapsed="false">
      <c r="K366" s="3"/>
    </row>
    <row r="367" customFormat="false" ht="18.75" hidden="false" customHeight="true" outlineLevel="0" collapsed="false">
      <c r="K367" s="3"/>
    </row>
    <row r="368" customFormat="false" ht="18.75" hidden="false" customHeight="true" outlineLevel="0" collapsed="false">
      <c r="K368" s="3"/>
    </row>
    <row r="369" customFormat="false" ht="18.75" hidden="false" customHeight="true" outlineLevel="0" collapsed="false">
      <c r="K369" s="3"/>
    </row>
    <row r="370" customFormat="false" ht="18.75" hidden="false" customHeight="true" outlineLevel="0" collapsed="false">
      <c r="K370" s="3"/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/>
    <row r="597" customFormat="false" ht="18.75" hidden="false" customHeight="true" outlineLevel="0" collapsed="false"/>
    <row r="598" customFormat="false" ht="18.75" hidden="false" customHeight="true" outlineLevel="0" collapsed="false"/>
    <row r="599" customFormat="false" ht="18.75" hidden="false" customHeight="true" outlineLevel="0" collapsed="false"/>
    <row r="604" customFormat="false" ht="15.75" hidden="false" customHeight="true" outlineLevel="0" collapsed="false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</row>
    <row r="605" customFormat="false" ht="18" hidden="false" customHeight="tru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</row>
    <row r="606" customFormat="false" ht="18" hidden="false" customHeight="true" outlineLevel="0" collapsed="false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</row>
  </sheetData>
  <mergeCells count="27">
    <mergeCell ref="A2:U2"/>
    <mergeCell ref="A4:J4"/>
    <mergeCell ref="L4:U4"/>
    <mergeCell ref="W4:A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W5:X5"/>
    <mergeCell ref="Z5:AA5"/>
    <mergeCell ref="A604:J604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U5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402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</row>
    <row r="5" customFormat="false" ht="25.5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</row>
    <row r="6" customFormat="false" ht="19.5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customFormat="false" ht="18.75" hidden="false" customHeight="true" outlineLevel="0" collapsed="false">
      <c r="A7" s="91"/>
      <c r="B7" s="92"/>
      <c r="C7" s="84" t="s">
        <v>403</v>
      </c>
      <c r="D7" s="96" t="s">
        <v>57</v>
      </c>
      <c r="E7" s="91"/>
      <c r="F7" s="91"/>
      <c r="G7" s="87"/>
      <c r="H7" s="93"/>
      <c r="I7" s="94"/>
      <c r="J7" s="95"/>
      <c r="K7" s="3"/>
      <c r="L7" s="91"/>
      <c r="M7" s="92"/>
      <c r="N7" s="84" t="s">
        <v>403</v>
      </c>
      <c r="O7" s="96" t="s">
        <v>57</v>
      </c>
      <c r="P7" s="91"/>
      <c r="Q7" s="91"/>
      <c r="R7" s="120"/>
      <c r="S7" s="93"/>
      <c r="T7" s="94"/>
      <c r="U7" s="95"/>
    </row>
    <row r="8" customFormat="false" ht="18.75" hidden="false" customHeight="true" outlineLevel="0" collapsed="false">
      <c r="A8" s="82"/>
      <c r="B8" s="83" t="s">
        <v>404</v>
      </c>
      <c r="C8" s="84" t="s">
        <v>405</v>
      </c>
      <c r="D8" s="85" t="s">
        <v>56</v>
      </c>
      <c r="E8" s="86" t="n">
        <v>12.35</v>
      </c>
      <c r="F8" s="86" t="n">
        <v>13</v>
      </c>
      <c r="G8" s="87" t="n">
        <f aca="false">E8*F8</f>
        <v>160.55</v>
      </c>
      <c r="H8" s="88" t="n">
        <f aca="false">SUMIF(B:B,B8,G:G)</f>
        <v>365.55</v>
      </c>
      <c r="I8" s="89" t="n">
        <v>712.5</v>
      </c>
      <c r="J8" s="90" t="n">
        <f aca="false">IFERROR((I8-H8)/I8,"")</f>
        <v>0.486947368421053</v>
      </c>
      <c r="K8" s="3"/>
      <c r="L8" s="82"/>
      <c r="M8" s="83" t="s">
        <v>404</v>
      </c>
      <c r="N8" s="84" t="s">
        <v>405</v>
      </c>
      <c r="O8" s="85" t="s">
        <v>56</v>
      </c>
      <c r="P8" s="86" t="n">
        <v>12.35</v>
      </c>
      <c r="Q8" s="86" t="n">
        <v>13</v>
      </c>
      <c r="R8" s="87" t="n">
        <f aca="false">P8*Q8</f>
        <v>160.55</v>
      </c>
      <c r="S8" s="88" t="n">
        <f aca="false">SUMIF(M:M,M8,R:R)</f>
        <v>365.55</v>
      </c>
      <c r="T8" s="89" t="n">
        <f aca="false">I8</f>
        <v>712.5</v>
      </c>
      <c r="U8" s="90" t="n">
        <f aca="false">IFERROR((T8-S8)/T8,"")</f>
        <v>0.486947368421053</v>
      </c>
    </row>
    <row r="9" customFormat="false" ht="18.75" hidden="false" customHeight="true" outlineLevel="0" collapsed="false">
      <c r="A9" s="91"/>
      <c r="B9" s="92" t="s">
        <v>404</v>
      </c>
      <c r="C9" s="84" t="s">
        <v>406</v>
      </c>
      <c r="D9" s="85" t="s">
        <v>56</v>
      </c>
      <c r="E9" s="86" t="n">
        <v>7</v>
      </c>
      <c r="F9" s="86" t="n">
        <v>8</v>
      </c>
      <c r="G9" s="87" t="n">
        <f aca="false">E9*F9</f>
        <v>56</v>
      </c>
      <c r="H9" s="93"/>
      <c r="I9" s="94"/>
      <c r="J9" s="95"/>
      <c r="K9" s="3"/>
      <c r="L9" s="91"/>
      <c r="M9" s="92" t="s">
        <v>404</v>
      </c>
      <c r="N9" s="84" t="s">
        <v>406</v>
      </c>
      <c r="O9" s="85" t="s">
        <v>56</v>
      </c>
      <c r="P9" s="86" t="n">
        <v>7</v>
      </c>
      <c r="Q9" s="86" t="n">
        <v>8</v>
      </c>
      <c r="R9" s="87" t="n">
        <f aca="false">P9*Q9</f>
        <v>56</v>
      </c>
      <c r="S9" s="93"/>
      <c r="T9" s="94"/>
      <c r="U9" s="95"/>
    </row>
    <row r="10" customFormat="false" ht="18.75" hidden="false" customHeight="true" outlineLevel="0" collapsed="false">
      <c r="A10" s="91"/>
      <c r="B10" s="92" t="s">
        <v>404</v>
      </c>
      <c r="C10" s="84" t="s">
        <v>407</v>
      </c>
      <c r="D10" s="85" t="s">
        <v>56</v>
      </c>
      <c r="E10" s="86" t="n">
        <v>3</v>
      </c>
      <c r="F10" s="86" t="n">
        <v>18</v>
      </c>
      <c r="G10" s="87" t="n">
        <f aca="false">E10*F10</f>
        <v>54</v>
      </c>
      <c r="H10" s="93"/>
      <c r="I10" s="94"/>
      <c r="J10" s="95"/>
      <c r="K10" s="3"/>
      <c r="L10" s="91"/>
      <c r="M10" s="92" t="s">
        <v>404</v>
      </c>
      <c r="N10" s="84" t="s">
        <v>407</v>
      </c>
      <c r="O10" s="85" t="s">
        <v>56</v>
      </c>
      <c r="P10" s="86" t="n">
        <v>3</v>
      </c>
      <c r="Q10" s="86" t="n">
        <v>18</v>
      </c>
      <c r="R10" s="87" t="n">
        <f aca="false">P10*Q10</f>
        <v>54</v>
      </c>
      <c r="S10" s="93"/>
      <c r="T10" s="94"/>
      <c r="U10" s="95"/>
    </row>
    <row r="11" customFormat="false" ht="18.75" hidden="false" customHeight="true" outlineLevel="0" collapsed="false">
      <c r="A11" s="91"/>
      <c r="B11" s="92" t="s">
        <v>404</v>
      </c>
      <c r="C11" s="84" t="s">
        <v>408</v>
      </c>
      <c r="D11" s="85" t="s">
        <v>56</v>
      </c>
      <c r="E11" s="86" t="n">
        <v>3</v>
      </c>
      <c r="F11" s="86" t="n">
        <v>13</v>
      </c>
      <c r="G11" s="87" t="n">
        <f aca="false">E11*F11</f>
        <v>39</v>
      </c>
      <c r="H11" s="93"/>
      <c r="I11" s="94"/>
      <c r="J11" s="95"/>
      <c r="K11" s="3"/>
      <c r="L11" s="91"/>
      <c r="M11" s="92" t="s">
        <v>404</v>
      </c>
      <c r="N11" s="84" t="s">
        <v>408</v>
      </c>
      <c r="O11" s="85" t="s">
        <v>56</v>
      </c>
      <c r="P11" s="86" t="n">
        <v>3</v>
      </c>
      <c r="Q11" s="86" t="n">
        <v>13</v>
      </c>
      <c r="R11" s="87" t="n">
        <f aca="false">P11*Q11</f>
        <v>39</v>
      </c>
      <c r="S11" s="93"/>
      <c r="T11" s="94"/>
      <c r="U11" s="95"/>
    </row>
    <row r="12" customFormat="false" ht="18.75" hidden="false" customHeight="true" outlineLevel="0" collapsed="false">
      <c r="A12" s="91"/>
      <c r="B12" s="92" t="s">
        <v>404</v>
      </c>
      <c r="C12" s="84" t="s">
        <v>409</v>
      </c>
      <c r="D12" s="85" t="s">
        <v>56</v>
      </c>
      <c r="E12" s="86" t="n">
        <v>7</v>
      </c>
      <c r="F12" s="86" t="n">
        <v>8</v>
      </c>
      <c r="G12" s="87" t="n">
        <f aca="false">E12*F12</f>
        <v>56</v>
      </c>
      <c r="H12" s="93"/>
      <c r="I12" s="94"/>
      <c r="J12" s="95"/>
      <c r="K12" s="3"/>
      <c r="L12" s="91"/>
      <c r="M12" s="92" t="s">
        <v>404</v>
      </c>
      <c r="N12" s="84" t="s">
        <v>409</v>
      </c>
      <c r="O12" s="85" t="s">
        <v>56</v>
      </c>
      <c r="P12" s="86" t="n">
        <v>7</v>
      </c>
      <c r="Q12" s="86" t="n">
        <v>8</v>
      </c>
      <c r="R12" s="87" t="n">
        <f aca="false">P12*Q12</f>
        <v>56</v>
      </c>
      <c r="S12" s="93"/>
      <c r="T12" s="94"/>
      <c r="U12" s="95"/>
    </row>
    <row r="13" customFormat="false" ht="18.75" hidden="false" customHeight="true" outlineLevel="0" collapsed="false">
      <c r="A13" s="82"/>
      <c r="B13" s="83" t="s">
        <v>410</v>
      </c>
      <c r="C13" s="84" t="s">
        <v>359</v>
      </c>
      <c r="D13" s="85" t="s">
        <v>56</v>
      </c>
      <c r="E13" s="86" t="n">
        <v>21</v>
      </c>
      <c r="F13" s="86" t="n">
        <v>16</v>
      </c>
      <c r="G13" s="87" t="n">
        <f aca="false">E13*F13</f>
        <v>336</v>
      </c>
      <c r="H13" s="88" t="n">
        <f aca="false">SUMIF(B:B,B13,G:G)</f>
        <v>2790.65</v>
      </c>
      <c r="I13" s="89" t="n">
        <v>2427</v>
      </c>
      <c r="J13" s="90" t="n">
        <f aca="false">IFERROR((I13-H13)/I13,"")</f>
        <v>-0.149835187474248</v>
      </c>
      <c r="K13" s="3"/>
      <c r="L13" s="82"/>
      <c r="M13" s="83" t="s">
        <v>410</v>
      </c>
      <c r="N13" s="84" t="s">
        <v>359</v>
      </c>
      <c r="O13" s="85" t="s">
        <v>56</v>
      </c>
      <c r="P13" s="86" t="n">
        <v>21</v>
      </c>
      <c r="Q13" s="86" t="n">
        <v>16</v>
      </c>
      <c r="R13" s="87" t="n">
        <f aca="false">P13*Q13</f>
        <v>336</v>
      </c>
      <c r="S13" s="88" t="n">
        <f aca="false">SUMIF(M:M,M13,R:R)</f>
        <v>2790.65</v>
      </c>
      <c r="T13" s="89" t="n">
        <f aca="false">I13</f>
        <v>2427</v>
      </c>
      <c r="U13" s="90" t="n">
        <f aca="false">IFERROR((T13-S13)/T13,"")</f>
        <v>-0.149835187474248</v>
      </c>
    </row>
    <row r="14" customFormat="false" ht="18.75" hidden="false" customHeight="true" outlineLevel="0" collapsed="false">
      <c r="A14" s="91"/>
      <c r="B14" s="92" t="s">
        <v>410</v>
      </c>
      <c r="C14" s="84" t="s">
        <v>409</v>
      </c>
      <c r="D14" s="85" t="s">
        <v>56</v>
      </c>
      <c r="E14" s="86" t="n">
        <v>7</v>
      </c>
      <c r="F14" s="86" t="n">
        <v>8</v>
      </c>
      <c r="G14" s="87" t="n">
        <f aca="false">E14*F14</f>
        <v>56</v>
      </c>
      <c r="H14" s="93"/>
      <c r="I14" s="94"/>
      <c r="J14" s="95"/>
      <c r="K14" s="3"/>
      <c r="L14" s="91"/>
      <c r="M14" s="92" t="s">
        <v>410</v>
      </c>
      <c r="N14" s="84" t="s">
        <v>409</v>
      </c>
      <c r="O14" s="85" t="s">
        <v>56</v>
      </c>
      <c r="P14" s="86" t="n">
        <v>7</v>
      </c>
      <c r="Q14" s="86" t="n">
        <v>8</v>
      </c>
      <c r="R14" s="87" t="n">
        <f aca="false">P14*Q14</f>
        <v>56</v>
      </c>
      <c r="S14" s="93"/>
      <c r="T14" s="94"/>
      <c r="U14" s="95"/>
    </row>
    <row r="15" customFormat="false" ht="18.75" hidden="false" customHeight="true" outlineLevel="0" collapsed="false">
      <c r="A15" s="91"/>
      <c r="B15" s="92" t="s">
        <v>410</v>
      </c>
      <c r="C15" s="84" t="s">
        <v>411</v>
      </c>
      <c r="D15" s="85" t="s">
        <v>56</v>
      </c>
      <c r="E15" s="86" t="n">
        <v>14</v>
      </c>
      <c r="F15" s="86" t="n">
        <v>16</v>
      </c>
      <c r="G15" s="87" t="n">
        <f aca="false">E15*F15</f>
        <v>224</v>
      </c>
      <c r="H15" s="93"/>
      <c r="I15" s="94"/>
      <c r="J15" s="95"/>
      <c r="K15" s="3"/>
      <c r="L15" s="91"/>
      <c r="M15" s="92" t="s">
        <v>410</v>
      </c>
      <c r="N15" s="84" t="s">
        <v>411</v>
      </c>
      <c r="O15" s="85" t="s">
        <v>56</v>
      </c>
      <c r="P15" s="86" t="n">
        <v>14</v>
      </c>
      <c r="Q15" s="86" t="n">
        <v>16</v>
      </c>
      <c r="R15" s="87" t="n">
        <f aca="false">P15*Q15</f>
        <v>224</v>
      </c>
      <c r="S15" s="93"/>
      <c r="T15" s="94"/>
      <c r="U15" s="95"/>
    </row>
    <row r="16" customFormat="false" ht="18.75" hidden="false" customHeight="true" outlineLevel="0" collapsed="false">
      <c r="A16" s="91"/>
      <c r="B16" s="92" t="s">
        <v>410</v>
      </c>
      <c r="C16" s="84" t="s">
        <v>412</v>
      </c>
      <c r="D16" s="96" t="s">
        <v>57</v>
      </c>
      <c r="E16" s="91"/>
      <c r="F16" s="91"/>
      <c r="G16" s="87" t="n">
        <v>50</v>
      </c>
      <c r="H16" s="93"/>
      <c r="I16" s="94"/>
      <c r="J16" s="95"/>
      <c r="K16" s="3"/>
      <c r="L16" s="91"/>
      <c r="M16" s="92" t="s">
        <v>410</v>
      </c>
      <c r="N16" s="84" t="s">
        <v>412</v>
      </c>
      <c r="O16" s="96" t="s">
        <v>57</v>
      </c>
      <c r="P16" s="91"/>
      <c r="Q16" s="91"/>
      <c r="R16" s="87" t="n">
        <v>50</v>
      </c>
      <c r="S16" s="93"/>
      <c r="T16" s="94"/>
      <c r="U16" s="95"/>
    </row>
    <row r="17" customFormat="false" ht="18.75" hidden="false" customHeight="true" outlineLevel="0" collapsed="false">
      <c r="A17" s="91"/>
      <c r="B17" s="92" t="s">
        <v>410</v>
      </c>
      <c r="C17" s="84" t="s">
        <v>413</v>
      </c>
      <c r="D17" s="85" t="s">
        <v>56</v>
      </c>
      <c r="E17" s="86" t="n">
        <v>11</v>
      </c>
      <c r="F17" s="86" t="n">
        <v>13</v>
      </c>
      <c r="G17" s="87" t="n">
        <f aca="false">E17*F17</f>
        <v>143</v>
      </c>
      <c r="H17" s="93"/>
      <c r="I17" s="94"/>
      <c r="J17" s="95"/>
      <c r="K17" s="3"/>
      <c r="L17" s="91"/>
      <c r="M17" s="92" t="s">
        <v>410</v>
      </c>
      <c r="N17" s="84" t="s">
        <v>413</v>
      </c>
      <c r="O17" s="85" t="s">
        <v>56</v>
      </c>
      <c r="P17" s="86" t="n">
        <v>11</v>
      </c>
      <c r="Q17" s="86" t="n">
        <v>13</v>
      </c>
      <c r="R17" s="87" t="n">
        <f aca="false">P17*Q17</f>
        <v>143</v>
      </c>
      <c r="S17" s="93"/>
      <c r="T17" s="94"/>
      <c r="U17" s="95"/>
    </row>
    <row r="18" customFormat="false" ht="18.75" hidden="false" customHeight="true" outlineLevel="0" collapsed="false">
      <c r="A18" s="91"/>
      <c r="B18" s="92" t="s">
        <v>410</v>
      </c>
      <c r="C18" s="84" t="s">
        <v>414</v>
      </c>
      <c r="D18" s="85" t="s">
        <v>56</v>
      </c>
      <c r="E18" s="86" t="n">
        <v>9.5</v>
      </c>
      <c r="F18" s="86" t="n">
        <v>15</v>
      </c>
      <c r="G18" s="87" t="n">
        <f aca="false">E18*F18</f>
        <v>142.5</v>
      </c>
      <c r="H18" s="93"/>
      <c r="I18" s="94"/>
      <c r="J18" s="95"/>
      <c r="K18" s="3"/>
      <c r="L18" s="91"/>
      <c r="M18" s="92" t="s">
        <v>410</v>
      </c>
      <c r="N18" s="84" t="s">
        <v>414</v>
      </c>
      <c r="O18" s="85" t="s">
        <v>56</v>
      </c>
      <c r="P18" s="86" t="n">
        <v>9.5</v>
      </c>
      <c r="Q18" s="86" t="n">
        <v>15</v>
      </c>
      <c r="R18" s="87" t="n">
        <f aca="false">P18*Q18</f>
        <v>142.5</v>
      </c>
      <c r="S18" s="93"/>
      <c r="T18" s="94"/>
      <c r="U18" s="95"/>
    </row>
    <row r="19" customFormat="false" ht="18.75" hidden="false" customHeight="true" outlineLevel="0" collapsed="false">
      <c r="A19" s="91"/>
      <c r="B19" s="92" t="s">
        <v>410</v>
      </c>
      <c r="C19" s="84" t="s">
        <v>415</v>
      </c>
      <c r="D19" s="85" t="s">
        <v>56</v>
      </c>
      <c r="E19" s="86" t="n">
        <v>2</v>
      </c>
      <c r="F19" s="86" t="n">
        <v>15</v>
      </c>
      <c r="G19" s="87" t="n">
        <f aca="false">E19*F19</f>
        <v>30</v>
      </c>
      <c r="H19" s="93"/>
      <c r="I19" s="94"/>
      <c r="J19" s="95"/>
      <c r="K19" s="3"/>
      <c r="L19" s="91"/>
      <c r="M19" s="92" t="s">
        <v>410</v>
      </c>
      <c r="N19" s="84" t="s">
        <v>415</v>
      </c>
      <c r="O19" s="85" t="s">
        <v>56</v>
      </c>
      <c r="P19" s="86" t="n">
        <v>2</v>
      </c>
      <c r="Q19" s="86" t="n">
        <v>15</v>
      </c>
      <c r="R19" s="87" t="n">
        <f aca="false">P19*Q19</f>
        <v>30</v>
      </c>
      <c r="S19" s="93"/>
      <c r="T19" s="94"/>
      <c r="U19" s="95"/>
    </row>
    <row r="20" customFormat="false" ht="18.75" hidden="false" customHeight="true" outlineLevel="0" collapsed="false">
      <c r="A20" s="91"/>
      <c r="B20" s="92" t="s">
        <v>410</v>
      </c>
      <c r="C20" s="84" t="s">
        <v>416</v>
      </c>
      <c r="D20" s="85" t="s">
        <v>56</v>
      </c>
      <c r="E20" s="86" t="n">
        <v>2.5</v>
      </c>
      <c r="F20" s="86" t="n">
        <v>15</v>
      </c>
      <c r="G20" s="87" t="n">
        <f aca="false">E20*F20</f>
        <v>37.5</v>
      </c>
      <c r="H20" s="93"/>
      <c r="I20" s="94"/>
      <c r="J20" s="95"/>
      <c r="K20" s="3"/>
      <c r="L20" s="91"/>
      <c r="M20" s="92" t="s">
        <v>410</v>
      </c>
      <c r="N20" s="84" t="s">
        <v>416</v>
      </c>
      <c r="O20" s="85" t="s">
        <v>56</v>
      </c>
      <c r="P20" s="86" t="n">
        <v>2.5</v>
      </c>
      <c r="Q20" s="86" t="n">
        <v>15</v>
      </c>
      <c r="R20" s="87" t="n">
        <f aca="false">P20*Q20</f>
        <v>37.5</v>
      </c>
      <c r="S20" s="93"/>
      <c r="T20" s="94"/>
      <c r="U20" s="95"/>
    </row>
    <row r="21" customFormat="false" ht="18.75" hidden="false" customHeight="true" outlineLevel="0" collapsed="false">
      <c r="A21" s="91"/>
      <c r="B21" s="92" t="s">
        <v>410</v>
      </c>
      <c r="C21" s="84" t="s">
        <v>417</v>
      </c>
      <c r="D21" s="85" t="s">
        <v>56</v>
      </c>
      <c r="E21" s="86" t="n">
        <v>8.41</v>
      </c>
      <c r="F21" s="86" t="n">
        <v>15</v>
      </c>
      <c r="G21" s="87" t="n">
        <f aca="false">E21*F21</f>
        <v>126.15</v>
      </c>
      <c r="H21" s="93"/>
      <c r="I21" s="94"/>
      <c r="J21" s="95"/>
      <c r="K21" s="3"/>
      <c r="L21" s="91"/>
      <c r="M21" s="92" t="s">
        <v>410</v>
      </c>
      <c r="N21" s="84" t="s">
        <v>417</v>
      </c>
      <c r="O21" s="85" t="s">
        <v>56</v>
      </c>
      <c r="P21" s="86" t="n">
        <v>8.41</v>
      </c>
      <c r="Q21" s="86" t="n">
        <v>15</v>
      </c>
      <c r="R21" s="87" t="n">
        <f aca="false">P21*Q21</f>
        <v>126.15</v>
      </c>
      <c r="S21" s="93"/>
      <c r="T21" s="94"/>
      <c r="U21" s="95"/>
    </row>
    <row r="22" customFormat="false" ht="18.75" hidden="false" customHeight="true" outlineLevel="0" collapsed="false">
      <c r="A22" s="91"/>
      <c r="B22" s="92" t="s">
        <v>410</v>
      </c>
      <c r="C22" s="84" t="s">
        <v>418</v>
      </c>
      <c r="D22" s="85" t="s">
        <v>56</v>
      </c>
      <c r="E22" s="86" t="n">
        <v>22.2</v>
      </c>
      <c r="F22" s="86" t="n">
        <v>15</v>
      </c>
      <c r="G22" s="87" t="n">
        <f aca="false">E22*F22</f>
        <v>333</v>
      </c>
      <c r="H22" s="93"/>
      <c r="I22" s="94"/>
      <c r="J22" s="95"/>
      <c r="K22" s="3"/>
      <c r="L22" s="91"/>
      <c r="M22" s="92" t="s">
        <v>410</v>
      </c>
      <c r="N22" s="84" t="s">
        <v>418</v>
      </c>
      <c r="O22" s="85" t="s">
        <v>56</v>
      </c>
      <c r="P22" s="86" t="n">
        <v>22.2</v>
      </c>
      <c r="Q22" s="86" t="n">
        <v>15</v>
      </c>
      <c r="R22" s="87" t="n">
        <f aca="false">P22*Q22</f>
        <v>333</v>
      </c>
      <c r="S22" s="93"/>
      <c r="T22" s="94"/>
      <c r="U22" s="95"/>
    </row>
    <row r="23" customFormat="false" ht="18.75" hidden="false" customHeight="true" outlineLevel="0" collapsed="false">
      <c r="A23" s="91"/>
      <c r="B23" s="92" t="s">
        <v>410</v>
      </c>
      <c r="C23" s="84" t="s">
        <v>419</v>
      </c>
      <c r="D23" s="85" t="s">
        <v>56</v>
      </c>
      <c r="E23" s="86" t="n">
        <v>2</v>
      </c>
      <c r="F23" s="86" t="n">
        <v>15</v>
      </c>
      <c r="G23" s="87" t="n">
        <f aca="false">E23*F23</f>
        <v>30</v>
      </c>
      <c r="H23" s="93"/>
      <c r="I23" s="94"/>
      <c r="J23" s="95"/>
      <c r="K23" s="3"/>
      <c r="L23" s="91"/>
      <c r="M23" s="92" t="s">
        <v>410</v>
      </c>
      <c r="N23" s="84" t="s">
        <v>419</v>
      </c>
      <c r="O23" s="85" t="s">
        <v>56</v>
      </c>
      <c r="P23" s="86" t="n">
        <v>2</v>
      </c>
      <c r="Q23" s="86" t="n">
        <v>15</v>
      </c>
      <c r="R23" s="87" t="n">
        <f aca="false">P23*Q23</f>
        <v>30</v>
      </c>
      <c r="S23" s="93"/>
      <c r="T23" s="94"/>
      <c r="U23" s="95"/>
    </row>
    <row r="24" customFormat="false" ht="18.75" hidden="false" customHeight="true" outlineLevel="0" collapsed="false">
      <c r="A24" s="91"/>
      <c r="B24" s="92" t="s">
        <v>410</v>
      </c>
      <c r="C24" s="84" t="s">
        <v>420</v>
      </c>
      <c r="D24" s="85" t="s">
        <v>56</v>
      </c>
      <c r="E24" s="86" t="n">
        <v>16</v>
      </c>
      <c r="F24" s="86" t="n">
        <v>15</v>
      </c>
      <c r="G24" s="87" t="n">
        <f aca="false">E24*F24</f>
        <v>240</v>
      </c>
      <c r="H24" s="93"/>
      <c r="I24" s="94"/>
      <c r="J24" s="95"/>
      <c r="K24" s="3"/>
      <c r="L24" s="91"/>
      <c r="M24" s="92" t="s">
        <v>410</v>
      </c>
      <c r="N24" s="84" t="s">
        <v>420</v>
      </c>
      <c r="O24" s="85" t="s">
        <v>56</v>
      </c>
      <c r="P24" s="86" t="n">
        <v>16</v>
      </c>
      <c r="Q24" s="86" t="n">
        <v>15</v>
      </c>
      <c r="R24" s="87" t="n">
        <f aca="false">P24*Q24</f>
        <v>240</v>
      </c>
      <c r="S24" s="93"/>
      <c r="T24" s="94"/>
      <c r="U24" s="95"/>
    </row>
    <row r="25" customFormat="false" ht="18.75" hidden="false" customHeight="true" outlineLevel="0" collapsed="false">
      <c r="A25" s="91"/>
      <c r="B25" s="92" t="s">
        <v>410</v>
      </c>
      <c r="C25" s="84" t="s">
        <v>102</v>
      </c>
      <c r="D25" s="85" t="s">
        <v>56</v>
      </c>
      <c r="E25" s="86" t="n">
        <v>17.5</v>
      </c>
      <c r="F25" s="86" t="n">
        <v>15</v>
      </c>
      <c r="G25" s="87" t="n">
        <f aca="false">E25*F25</f>
        <v>262.5</v>
      </c>
      <c r="H25" s="93"/>
      <c r="I25" s="94"/>
      <c r="J25" s="95"/>
      <c r="K25" s="3"/>
      <c r="L25" s="91"/>
      <c r="M25" s="92" t="s">
        <v>410</v>
      </c>
      <c r="N25" s="84" t="s">
        <v>102</v>
      </c>
      <c r="O25" s="85" t="s">
        <v>56</v>
      </c>
      <c r="P25" s="86" t="n">
        <v>17.5</v>
      </c>
      <c r="Q25" s="86" t="n">
        <v>15</v>
      </c>
      <c r="R25" s="87" t="n">
        <f aca="false">P25*Q25</f>
        <v>262.5</v>
      </c>
      <c r="S25" s="93"/>
      <c r="T25" s="94"/>
      <c r="U25" s="95"/>
    </row>
    <row r="26" customFormat="false" ht="18.75" hidden="false" customHeight="true" outlineLevel="0" collapsed="false">
      <c r="A26" s="91"/>
      <c r="B26" s="92" t="s">
        <v>410</v>
      </c>
      <c r="C26" s="84" t="s">
        <v>421</v>
      </c>
      <c r="D26" s="85" t="s">
        <v>56</v>
      </c>
      <c r="E26" s="86" t="n">
        <v>2</v>
      </c>
      <c r="F26" s="86" t="n">
        <v>15</v>
      </c>
      <c r="G26" s="87" t="n">
        <f aca="false">E26*F26</f>
        <v>30</v>
      </c>
      <c r="H26" s="93"/>
      <c r="I26" s="94"/>
      <c r="J26" s="95"/>
      <c r="K26" s="3"/>
      <c r="L26" s="91"/>
      <c r="M26" s="92" t="s">
        <v>410</v>
      </c>
      <c r="N26" s="84" t="s">
        <v>421</v>
      </c>
      <c r="O26" s="85" t="s">
        <v>56</v>
      </c>
      <c r="P26" s="86" t="n">
        <v>2</v>
      </c>
      <c r="Q26" s="86" t="n">
        <v>15</v>
      </c>
      <c r="R26" s="87" t="n">
        <f aca="false">P26*Q26</f>
        <v>30</v>
      </c>
      <c r="S26" s="93"/>
      <c r="T26" s="94"/>
      <c r="U26" s="95"/>
    </row>
    <row r="27" customFormat="false" ht="18.75" hidden="false" customHeight="true" outlineLevel="0" collapsed="false">
      <c r="A27" s="91"/>
      <c r="B27" s="92" t="s">
        <v>410</v>
      </c>
      <c r="C27" s="84" t="s">
        <v>422</v>
      </c>
      <c r="D27" s="85" t="s">
        <v>56</v>
      </c>
      <c r="E27" s="86" t="n">
        <v>15.75</v>
      </c>
      <c r="F27" s="86" t="n">
        <v>15</v>
      </c>
      <c r="G27" s="87" t="n">
        <f aca="false">E27*F27</f>
        <v>236.25</v>
      </c>
      <c r="H27" s="93"/>
      <c r="I27" s="94"/>
      <c r="J27" s="95"/>
      <c r="K27" s="3"/>
      <c r="L27" s="91"/>
      <c r="M27" s="92" t="s">
        <v>410</v>
      </c>
      <c r="N27" s="84" t="s">
        <v>422</v>
      </c>
      <c r="O27" s="85" t="s">
        <v>56</v>
      </c>
      <c r="P27" s="86" t="n">
        <v>15.75</v>
      </c>
      <c r="Q27" s="86" t="n">
        <v>15</v>
      </c>
      <c r="R27" s="87" t="n">
        <f aca="false">P27*Q27</f>
        <v>236.25</v>
      </c>
      <c r="S27" s="93"/>
      <c r="T27" s="94"/>
      <c r="U27" s="95"/>
    </row>
    <row r="28" customFormat="false" ht="18.75" hidden="false" customHeight="true" outlineLevel="0" collapsed="false">
      <c r="A28" s="91"/>
      <c r="B28" s="92" t="s">
        <v>410</v>
      </c>
      <c r="C28" s="84" t="s">
        <v>423</v>
      </c>
      <c r="D28" s="85" t="s">
        <v>56</v>
      </c>
      <c r="E28" s="86" t="n">
        <v>4.75</v>
      </c>
      <c r="F28" s="86" t="n">
        <v>15</v>
      </c>
      <c r="G28" s="87" t="n">
        <f aca="false">E28*F28</f>
        <v>71.25</v>
      </c>
      <c r="H28" s="93"/>
      <c r="I28" s="94"/>
      <c r="J28" s="95"/>
      <c r="K28" s="3"/>
      <c r="L28" s="91"/>
      <c r="M28" s="92" t="s">
        <v>410</v>
      </c>
      <c r="N28" s="84" t="s">
        <v>423</v>
      </c>
      <c r="O28" s="85" t="s">
        <v>56</v>
      </c>
      <c r="P28" s="86" t="n">
        <v>4.75</v>
      </c>
      <c r="Q28" s="86" t="n">
        <v>15</v>
      </c>
      <c r="R28" s="87" t="n">
        <f aca="false">P28*Q28</f>
        <v>71.25</v>
      </c>
      <c r="S28" s="93"/>
      <c r="T28" s="94"/>
      <c r="U28" s="95"/>
    </row>
    <row r="29" customFormat="false" ht="18.75" hidden="false" customHeight="true" outlineLevel="0" collapsed="false">
      <c r="A29" s="91"/>
      <c r="B29" s="92" t="s">
        <v>410</v>
      </c>
      <c r="C29" s="84" t="s">
        <v>424</v>
      </c>
      <c r="D29" s="85" t="s">
        <v>56</v>
      </c>
      <c r="E29" s="86" t="n">
        <v>21</v>
      </c>
      <c r="F29" s="86" t="n">
        <v>15</v>
      </c>
      <c r="G29" s="87" t="n">
        <f aca="false">E29*F29</f>
        <v>315</v>
      </c>
      <c r="H29" s="93"/>
      <c r="I29" s="94"/>
      <c r="J29" s="95"/>
      <c r="K29" s="3"/>
      <c r="L29" s="91"/>
      <c r="M29" s="92" t="s">
        <v>410</v>
      </c>
      <c r="N29" s="84" t="s">
        <v>424</v>
      </c>
      <c r="O29" s="85" t="s">
        <v>56</v>
      </c>
      <c r="P29" s="86" t="n">
        <v>21</v>
      </c>
      <c r="Q29" s="86" t="n">
        <v>15</v>
      </c>
      <c r="R29" s="87" t="n">
        <f aca="false">P29*Q29</f>
        <v>315</v>
      </c>
      <c r="S29" s="93"/>
      <c r="T29" s="94"/>
      <c r="U29" s="95"/>
    </row>
    <row r="30" customFormat="false" ht="18.75" hidden="false" customHeight="true" outlineLevel="0" collapsed="false">
      <c r="A30" s="91"/>
      <c r="B30" s="92" t="s">
        <v>410</v>
      </c>
      <c r="C30" s="84" t="s">
        <v>425</v>
      </c>
      <c r="D30" s="85" t="s">
        <v>56</v>
      </c>
      <c r="E30" s="86" t="n">
        <v>2</v>
      </c>
      <c r="F30" s="86" t="n">
        <v>15</v>
      </c>
      <c r="G30" s="87" t="n">
        <f aca="false">E30*F30</f>
        <v>30</v>
      </c>
      <c r="H30" s="93"/>
      <c r="I30" s="94"/>
      <c r="J30" s="95"/>
      <c r="K30" s="3"/>
      <c r="L30" s="91"/>
      <c r="M30" s="92" t="s">
        <v>410</v>
      </c>
      <c r="N30" s="84" t="s">
        <v>425</v>
      </c>
      <c r="O30" s="85" t="s">
        <v>56</v>
      </c>
      <c r="P30" s="86" t="n">
        <v>2</v>
      </c>
      <c r="Q30" s="86" t="n">
        <v>15</v>
      </c>
      <c r="R30" s="87" t="n">
        <f aca="false">P30*Q30</f>
        <v>30</v>
      </c>
      <c r="S30" s="93"/>
      <c r="T30" s="94"/>
      <c r="U30" s="95"/>
    </row>
    <row r="31" customFormat="false" ht="18.75" hidden="false" customHeight="true" outlineLevel="0" collapsed="false">
      <c r="A31" s="91"/>
      <c r="B31" s="92" t="s">
        <v>410</v>
      </c>
      <c r="C31" s="84" t="s">
        <v>426</v>
      </c>
      <c r="D31" s="85" t="s">
        <v>56</v>
      </c>
      <c r="E31" s="86" t="n">
        <v>6.5</v>
      </c>
      <c r="F31" s="86" t="n">
        <v>15</v>
      </c>
      <c r="G31" s="87" t="n">
        <f aca="false">E31*F31</f>
        <v>97.5</v>
      </c>
      <c r="H31" s="93"/>
      <c r="I31" s="94"/>
      <c r="J31" s="95"/>
      <c r="K31" s="3"/>
      <c r="L31" s="91"/>
      <c r="M31" s="92" t="s">
        <v>410</v>
      </c>
      <c r="N31" s="84" t="s">
        <v>426</v>
      </c>
      <c r="O31" s="85" t="s">
        <v>56</v>
      </c>
      <c r="P31" s="86" t="n">
        <v>6.5</v>
      </c>
      <c r="Q31" s="86" t="n">
        <v>15</v>
      </c>
      <c r="R31" s="87" t="n">
        <f aca="false">P31*Q31</f>
        <v>97.5</v>
      </c>
      <c r="S31" s="93"/>
      <c r="T31" s="94"/>
      <c r="U31" s="95"/>
    </row>
    <row r="32" customFormat="false" ht="18.75" hidden="false" customHeight="true" outlineLevel="0" collapsed="false">
      <c r="A32" s="82" t="s">
        <v>35</v>
      </c>
      <c r="B32" s="83" t="s">
        <v>427</v>
      </c>
      <c r="C32" s="84" t="s">
        <v>359</v>
      </c>
      <c r="D32" s="85" t="s">
        <v>56</v>
      </c>
      <c r="E32" s="86" t="n">
        <v>7</v>
      </c>
      <c r="F32" s="86" t="n">
        <v>16</v>
      </c>
      <c r="G32" s="87" t="n">
        <f aca="false">E32*F32</f>
        <v>112</v>
      </c>
      <c r="H32" s="88" t="n">
        <f aca="false">SUMIF(B:B,B32,G:G)</f>
        <v>112</v>
      </c>
      <c r="I32" s="89" t="n">
        <v>484.5</v>
      </c>
      <c r="J32" s="90" t="n">
        <f aca="false">IFERROR((I32-H32)/I32,"")</f>
        <v>0.768833849329205</v>
      </c>
      <c r="K32" s="3"/>
      <c r="L32" s="82" t="s">
        <v>35</v>
      </c>
      <c r="M32" s="83" t="s">
        <v>427</v>
      </c>
      <c r="N32" s="84" t="s">
        <v>359</v>
      </c>
      <c r="O32" s="85" t="s">
        <v>56</v>
      </c>
      <c r="P32" s="86" t="n">
        <v>7</v>
      </c>
      <c r="Q32" s="86" t="n">
        <v>16</v>
      </c>
      <c r="R32" s="87" t="n">
        <f aca="false">P32*Q32</f>
        <v>112</v>
      </c>
      <c r="S32" s="88" t="n">
        <f aca="false">SUMIF(M:M,M32,R:R)</f>
        <v>112</v>
      </c>
      <c r="T32" s="89" t="n">
        <f aca="false">I32</f>
        <v>484.5</v>
      </c>
      <c r="U32" s="90" t="n">
        <f aca="false">IFERROR((T32-S32)/T32,"")</f>
        <v>0.768833849329205</v>
      </c>
    </row>
    <row r="33" customFormat="false" ht="18.75" hidden="false" customHeight="true" outlineLevel="0" collapsed="false">
      <c r="A33" s="82" t="s">
        <v>35</v>
      </c>
      <c r="B33" s="83" t="s">
        <v>428</v>
      </c>
      <c r="C33" s="84" t="s">
        <v>359</v>
      </c>
      <c r="D33" s="85" t="s">
        <v>56</v>
      </c>
      <c r="E33" s="86" t="n">
        <v>7</v>
      </c>
      <c r="F33" s="86" t="n">
        <v>16</v>
      </c>
      <c r="G33" s="87" t="n">
        <f aca="false">E33*F33</f>
        <v>112</v>
      </c>
      <c r="H33" s="88" t="n">
        <f aca="false">SUMIF(B:B,B33,G:G)</f>
        <v>184</v>
      </c>
      <c r="I33" s="89" t="n">
        <v>768.55</v>
      </c>
      <c r="J33" s="90" t="n">
        <f aca="false">IFERROR((I33-H33)/I33,"")</f>
        <v>0.760588120486631</v>
      </c>
      <c r="K33" s="3"/>
      <c r="L33" s="82" t="s">
        <v>35</v>
      </c>
      <c r="M33" s="83" t="s">
        <v>428</v>
      </c>
      <c r="N33" s="84" t="s">
        <v>359</v>
      </c>
      <c r="O33" s="85" t="s">
        <v>56</v>
      </c>
      <c r="P33" s="86" t="n">
        <v>7</v>
      </c>
      <c r="Q33" s="86" t="n">
        <v>16</v>
      </c>
      <c r="R33" s="87" t="n">
        <f aca="false">P33*Q33</f>
        <v>112</v>
      </c>
      <c r="S33" s="88" t="n">
        <f aca="false">SUMIF(M:M,M33,R:R)</f>
        <v>184</v>
      </c>
      <c r="T33" s="89" t="n">
        <f aca="false">I33</f>
        <v>768.55</v>
      </c>
      <c r="U33" s="90" t="n">
        <f aca="false">IFERROR((T33-S33)/T33,"")</f>
        <v>0.760588120486631</v>
      </c>
    </row>
    <row r="34" customFormat="false" ht="18.75" hidden="false" customHeight="true" outlineLevel="0" collapsed="false">
      <c r="A34" s="91"/>
      <c r="B34" s="92" t="s">
        <v>428</v>
      </c>
      <c r="C34" s="84" t="s">
        <v>429</v>
      </c>
      <c r="D34" s="96" t="s">
        <v>57</v>
      </c>
      <c r="E34" s="91"/>
      <c r="F34" s="91"/>
      <c r="G34" s="87"/>
      <c r="H34" s="93"/>
      <c r="I34" s="94"/>
      <c r="J34" s="95"/>
      <c r="K34" s="3"/>
      <c r="L34" s="91"/>
      <c r="M34" s="92" t="s">
        <v>428</v>
      </c>
      <c r="N34" s="84" t="s">
        <v>429</v>
      </c>
      <c r="O34" s="96" t="s">
        <v>57</v>
      </c>
      <c r="P34" s="91"/>
      <c r="Q34" s="91"/>
      <c r="R34" s="120"/>
      <c r="S34" s="93"/>
      <c r="T34" s="94"/>
      <c r="U34" s="95"/>
    </row>
    <row r="35" customFormat="false" ht="18.75" hidden="false" customHeight="true" outlineLevel="0" collapsed="false">
      <c r="A35" s="91"/>
      <c r="B35" s="92" t="s">
        <v>428</v>
      </c>
      <c r="C35" s="84" t="s">
        <v>430</v>
      </c>
      <c r="D35" s="96" t="s">
        <v>57</v>
      </c>
      <c r="E35" s="91"/>
      <c r="F35" s="91"/>
      <c r="G35" s="87"/>
      <c r="H35" s="93"/>
      <c r="I35" s="94"/>
      <c r="J35" s="95"/>
      <c r="K35" s="3"/>
      <c r="L35" s="91"/>
      <c r="M35" s="92" t="s">
        <v>428</v>
      </c>
      <c r="N35" s="84" t="s">
        <v>430</v>
      </c>
      <c r="O35" s="96" t="s">
        <v>57</v>
      </c>
      <c r="P35" s="91"/>
      <c r="Q35" s="91"/>
      <c r="R35" s="120"/>
      <c r="S35" s="93"/>
      <c r="T35" s="94"/>
      <c r="U35" s="95"/>
    </row>
    <row r="36" customFormat="false" ht="18.75" hidden="false" customHeight="true" outlineLevel="0" collapsed="false">
      <c r="A36" s="91"/>
      <c r="B36" s="92" t="s">
        <v>428</v>
      </c>
      <c r="C36" s="84" t="s">
        <v>431</v>
      </c>
      <c r="D36" s="85" t="s">
        <v>56</v>
      </c>
      <c r="E36" s="86" t="n">
        <v>4</v>
      </c>
      <c r="F36" s="86" t="n">
        <v>18</v>
      </c>
      <c r="G36" s="87" t="n">
        <f aca="false">E36*F36</f>
        <v>72</v>
      </c>
      <c r="H36" s="93"/>
      <c r="I36" s="94"/>
      <c r="J36" s="95"/>
      <c r="K36" s="3"/>
      <c r="L36" s="91"/>
      <c r="M36" s="92" t="s">
        <v>428</v>
      </c>
      <c r="N36" s="84" t="s">
        <v>431</v>
      </c>
      <c r="O36" s="85" t="s">
        <v>56</v>
      </c>
      <c r="P36" s="86" t="n">
        <v>4</v>
      </c>
      <c r="Q36" s="86" t="n">
        <v>18</v>
      </c>
      <c r="R36" s="87" t="n">
        <f aca="false">P36*Q36</f>
        <v>72</v>
      </c>
      <c r="S36" s="93"/>
      <c r="T36" s="94"/>
      <c r="U36" s="95"/>
    </row>
    <row r="37" customFormat="false" ht="18.75" hidden="false" customHeight="true" outlineLevel="0" collapsed="false">
      <c r="A37" s="82" t="s">
        <v>35</v>
      </c>
      <c r="B37" s="83" t="s">
        <v>432</v>
      </c>
      <c r="C37" s="84" t="s">
        <v>359</v>
      </c>
      <c r="D37" s="85" t="s">
        <v>56</v>
      </c>
      <c r="E37" s="86" t="n">
        <v>28</v>
      </c>
      <c r="F37" s="86" t="n">
        <v>16</v>
      </c>
      <c r="G37" s="87" t="n">
        <f aca="false">E37*F37</f>
        <v>448</v>
      </c>
      <c r="H37" s="88" t="n">
        <f aca="false">SUMIF(B:B,B37,G:G)</f>
        <v>3671.17</v>
      </c>
      <c r="I37" s="89" t="n">
        <v>4367</v>
      </c>
      <c r="J37" s="90" t="n">
        <f aca="false">IFERROR((I37-H37)/I37,"")</f>
        <v>0.159338218456606</v>
      </c>
      <c r="K37" s="3"/>
      <c r="L37" s="82" t="s">
        <v>35</v>
      </c>
      <c r="M37" s="83" t="s">
        <v>432</v>
      </c>
      <c r="N37" s="84" t="s">
        <v>359</v>
      </c>
      <c r="O37" s="85" t="s">
        <v>56</v>
      </c>
      <c r="P37" s="86" t="n">
        <v>28</v>
      </c>
      <c r="Q37" s="86" t="n">
        <v>16</v>
      </c>
      <c r="R37" s="87" t="n">
        <f aca="false">P37*Q37</f>
        <v>448</v>
      </c>
      <c r="S37" s="88" t="n">
        <f aca="false">SUMIF(M:M,M37,R:R)</f>
        <v>3671.17</v>
      </c>
      <c r="T37" s="89" t="n">
        <f aca="false">I37</f>
        <v>4367</v>
      </c>
      <c r="U37" s="90" t="n">
        <f aca="false">IFERROR((T37-S37)/T37,"")</f>
        <v>0.159338218456606</v>
      </c>
    </row>
    <row r="38" customFormat="false" ht="18.75" hidden="false" customHeight="true" outlineLevel="0" collapsed="false">
      <c r="A38" s="91"/>
      <c r="B38" s="92" t="s">
        <v>432</v>
      </c>
      <c r="C38" s="84" t="s">
        <v>433</v>
      </c>
      <c r="D38" s="85" t="s">
        <v>56</v>
      </c>
      <c r="E38" s="86" t="n">
        <v>22</v>
      </c>
      <c r="F38" s="86" t="n">
        <v>13</v>
      </c>
      <c r="G38" s="87" t="n">
        <f aca="false">E38*F38</f>
        <v>286</v>
      </c>
      <c r="H38" s="93"/>
      <c r="I38" s="94"/>
      <c r="J38" s="95"/>
      <c r="K38" s="3"/>
      <c r="L38" s="91"/>
      <c r="M38" s="92" t="s">
        <v>432</v>
      </c>
      <c r="N38" s="84" t="s">
        <v>433</v>
      </c>
      <c r="O38" s="85" t="s">
        <v>56</v>
      </c>
      <c r="P38" s="86" t="n">
        <v>22</v>
      </c>
      <c r="Q38" s="86" t="n">
        <v>13</v>
      </c>
      <c r="R38" s="87" t="n">
        <f aca="false">P38*Q38</f>
        <v>286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432</v>
      </c>
      <c r="C39" s="84" t="s">
        <v>434</v>
      </c>
      <c r="D39" s="85" t="s">
        <v>56</v>
      </c>
      <c r="E39" s="86" t="n">
        <v>7</v>
      </c>
      <c r="F39" s="86" t="n">
        <v>16</v>
      </c>
      <c r="G39" s="87" t="n">
        <f aca="false">E39*F39</f>
        <v>112</v>
      </c>
      <c r="H39" s="93"/>
      <c r="I39" s="94"/>
      <c r="J39" s="95"/>
      <c r="K39" s="3"/>
      <c r="L39" s="91"/>
      <c r="M39" s="92" t="s">
        <v>432</v>
      </c>
      <c r="N39" s="84" t="s">
        <v>434</v>
      </c>
      <c r="O39" s="85" t="s">
        <v>56</v>
      </c>
      <c r="P39" s="86" t="n">
        <v>7</v>
      </c>
      <c r="Q39" s="86" t="n">
        <v>16</v>
      </c>
      <c r="R39" s="87" t="n">
        <f aca="false">P39*Q39</f>
        <v>112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432</v>
      </c>
      <c r="C40" s="84" t="s">
        <v>435</v>
      </c>
      <c r="D40" s="85" t="s">
        <v>56</v>
      </c>
      <c r="E40" s="86" t="n">
        <v>28</v>
      </c>
      <c r="F40" s="86" t="n">
        <v>16</v>
      </c>
      <c r="G40" s="87" t="n">
        <f aca="false">E40*F40</f>
        <v>448</v>
      </c>
      <c r="H40" s="93"/>
      <c r="I40" s="94"/>
      <c r="J40" s="95"/>
      <c r="K40" s="3"/>
      <c r="L40" s="91"/>
      <c r="M40" s="92" t="s">
        <v>432</v>
      </c>
      <c r="N40" s="84" t="s">
        <v>435</v>
      </c>
      <c r="O40" s="85" t="s">
        <v>56</v>
      </c>
      <c r="P40" s="86" t="n">
        <v>28</v>
      </c>
      <c r="Q40" s="86" t="n">
        <v>16</v>
      </c>
      <c r="R40" s="87" t="n">
        <f aca="false">P40*Q40</f>
        <v>448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432</v>
      </c>
      <c r="C41" s="84" t="s">
        <v>436</v>
      </c>
      <c r="D41" s="85" t="s">
        <v>56</v>
      </c>
      <c r="E41" s="86" t="n">
        <v>7</v>
      </c>
      <c r="F41" s="86" t="n">
        <v>13</v>
      </c>
      <c r="G41" s="87" t="n">
        <f aca="false">E41*F41</f>
        <v>91</v>
      </c>
      <c r="H41" s="93"/>
      <c r="I41" s="94"/>
      <c r="J41" s="95"/>
      <c r="K41" s="3"/>
      <c r="L41" s="91"/>
      <c r="M41" s="92" t="s">
        <v>432</v>
      </c>
      <c r="N41" s="84" t="s">
        <v>436</v>
      </c>
      <c r="O41" s="85" t="s">
        <v>56</v>
      </c>
      <c r="P41" s="86" t="n">
        <v>7</v>
      </c>
      <c r="Q41" s="86" t="n">
        <v>13</v>
      </c>
      <c r="R41" s="87" t="n">
        <f aca="false">P41*Q41</f>
        <v>91</v>
      </c>
      <c r="S41" s="93"/>
      <c r="T41" s="94"/>
      <c r="U41" s="95"/>
    </row>
    <row r="42" customFormat="false" ht="18.75" hidden="false" customHeight="true" outlineLevel="0" collapsed="false">
      <c r="A42" s="91"/>
      <c r="B42" s="92" t="s">
        <v>432</v>
      </c>
      <c r="C42" s="84" t="s">
        <v>437</v>
      </c>
      <c r="D42" s="85" t="s">
        <v>56</v>
      </c>
      <c r="E42" s="86" t="n">
        <v>16</v>
      </c>
      <c r="F42" s="86" t="n">
        <v>13</v>
      </c>
      <c r="G42" s="87" t="n">
        <f aca="false">E42*F42</f>
        <v>208</v>
      </c>
      <c r="H42" s="93"/>
      <c r="I42" s="94"/>
      <c r="J42" s="95"/>
      <c r="K42" s="3"/>
      <c r="L42" s="91"/>
      <c r="M42" s="92" t="s">
        <v>432</v>
      </c>
      <c r="N42" s="84" t="s">
        <v>437</v>
      </c>
      <c r="O42" s="85" t="s">
        <v>56</v>
      </c>
      <c r="P42" s="86" t="n">
        <v>16</v>
      </c>
      <c r="Q42" s="86" t="n">
        <v>13</v>
      </c>
      <c r="R42" s="87" t="n">
        <f aca="false">P42*Q42</f>
        <v>208</v>
      </c>
      <c r="S42" s="93"/>
      <c r="T42" s="94"/>
      <c r="U42" s="95"/>
    </row>
    <row r="43" customFormat="false" ht="18.75" hidden="false" customHeight="true" outlineLevel="0" collapsed="false">
      <c r="A43" s="91"/>
      <c r="B43" s="92" t="s">
        <v>432</v>
      </c>
      <c r="C43" s="84" t="s">
        <v>151</v>
      </c>
      <c r="D43" s="85" t="s">
        <v>56</v>
      </c>
      <c r="E43" s="86" t="n">
        <v>8</v>
      </c>
      <c r="F43" s="86" t="n">
        <v>13</v>
      </c>
      <c r="G43" s="87" t="n">
        <f aca="false">E43*F43</f>
        <v>104</v>
      </c>
      <c r="H43" s="93"/>
      <c r="I43" s="94"/>
      <c r="J43" s="95"/>
      <c r="K43" s="3"/>
      <c r="L43" s="91"/>
      <c r="M43" s="92" t="s">
        <v>432</v>
      </c>
      <c r="N43" s="84" t="s">
        <v>151</v>
      </c>
      <c r="O43" s="85" t="s">
        <v>56</v>
      </c>
      <c r="P43" s="86" t="n">
        <v>8</v>
      </c>
      <c r="Q43" s="86" t="n">
        <v>13</v>
      </c>
      <c r="R43" s="87" t="n">
        <f aca="false">P43*Q43</f>
        <v>104</v>
      </c>
      <c r="S43" s="93"/>
      <c r="T43" s="94"/>
      <c r="U43" s="95"/>
    </row>
    <row r="44" customFormat="false" ht="18.75" hidden="false" customHeight="true" outlineLevel="0" collapsed="false">
      <c r="A44" s="91"/>
      <c r="B44" s="92" t="s">
        <v>432</v>
      </c>
      <c r="C44" s="84" t="s">
        <v>438</v>
      </c>
      <c r="D44" s="85" t="s">
        <v>56</v>
      </c>
      <c r="E44" s="86" t="n">
        <v>10.43</v>
      </c>
      <c r="F44" s="86" t="n">
        <v>13</v>
      </c>
      <c r="G44" s="87" t="n">
        <f aca="false">E44*F44</f>
        <v>135.59</v>
      </c>
      <c r="H44" s="93"/>
      <c r="I44" s="94"/>
      <c r="J44" s="95"/>
      <c r="K44" s="3"/>
      <c r="L44" s="91"/>
      <c r="M44" s="92" t="s">
        <v>432</v>
      </c>
      <c r="N44" s="84" t="s">
        <v>438</v>
      </c>
      <c r="O44" s="85" t="s">
        <v>56</v>
      </c>
      <c r="P44" s="86" t="n">
        <v>10.43</v>
      </c>
      <c r="Q44" s="86" t="n">
        <v>13</v>
      </c>
      <c r="R44" s="87" t="n">
        <f aca="false">P44*Q44</f>
        <v>135.59</v>
      </c>
      <c r="S44" s="93"/>
      <c r="T44" s="94"/>
      <c r="U44" s="95"/>
    </row>
    <row r="45" customFormat="false" ht="18.75" hidden="false" customHeight="true" outlineLevel="0" collapsed="false">
      <c r="A45" s="91"/>
      <c r="B45" s="92" t="s">
        <v>432</v>
      </c>
      <c r="C45" s="84" t="s">
        <v>439</v>
      </c>
      <c r="D45" s="85" t="s">
        <v>56</v>
      </c>
      <c r="E45" s="86" t="n">
        <v>5</v>
      </c>
      <c r="F45" s="86" t="n">
        <v>13</v>
      </c>
      <c r="G45" s="87" t="n">
        <f aca="false">E45*F45</f>
        <v>65</v>
      </c>
      <c r="H45" s="93"/>
      <c r="I45" s="94"/>
      <c r="J45" s="95"/>
      <c r="K45" s="3"/>
      <c r="L45" s="91"/>
      <c r="M45" s="92" t="s">
        <v>432</v>
      </c>
      <c r="N45" s="84" t="s">
        <v>439</v>
      </c>
      <c r="O45" s="85" t="s">
        <v>56</v>
      </c>
      <c r="P45" s="86" t="n">
        <v>5</v>
      </c>
      <c r="Q45" s="86" t="n">
        <v>13</v>
      </c>
      <c r="R45" s="87" t="n">
        <f aca="false">P45*Q45</f>
        <v>65</v>
      </c>
      <c r="S45" s="93"/>
      <c r="T45" s="94"/>
      <c r="U45" s="95"/>
    </row>
    <row r="46" customFormat="false" ht="18.75" hidden="false" customHeight="true" outlineLevel="0" collapsed="false">
      <c r="A46" s="91"/>
      <c r="B46" s="92" t="s">
        <v>432</v>
      </c>
      <c r="C46" s="84" t="s">
        <v>440</v>
      </c>
      <c r="D46" s="85" t="s">
        <v>56</v>
      </c>
      <c r="E46" s="86" t="n">
        <v>16</v>
      </c>
      <c r="F46" s="86" t="n">
        <v>13</v>
      </c>
      <c r="G46" s="87" t="n">
        <f aca="false">E46*F46</f>
        <v>208</v>
      </c>
      <c r="H46" s="93"/>
      <c r="I46" s="94"/>
      <c r="J46" s="95"/>
      <c r="K46" s="3"/>
      <c r="L46" s="91"/>
      <c r="M46" s="92" t="s">
        <v>432</v>
      </c>
      <c r="N46" s="84" t="s">
        <v>440</v>
      </c>
      <c r="O46" s="85" t="s">
        <v>56</v>
      </c>
      <c r="P46" s="86" t="n">
        <v>16</v>
      </c>
      <c r="Q46" s="86" t="n">
        <v>13</v>
      </c>
      <c r="R46" s="87" t="n">
        <f aca="false">P46*Q46</f>
        <v>208</v>
      </c>
      <c r="S46" s="93"/>
      <c r="T46" s="94"/>
      <c r="U46" s="95"/>
    </row>
    <row r="47" customFormat="false" ht="18.75" hidden="false" customHeight="true" outlineLevel="0" collapsed="false">
      <c r="A47" s="91"/>
      <c r="B47" s="92" t="s">
        <v>432</v>
      </c>
      <c r="C47" s="84" t="s">
        <v>441</v>
      </c>
      <c r="D47" s="85" t="s">
        <v>56</v>
      </c>
      <c r="E47" s="86" t="n">
        <v>4.6</v>
      </c>
      <c r="F47" s="86" t="n">
        <v>13</v>
      </c>
      <c r="G47" s="87" t="n">
        <f aca="false">E47*F47</f>
        <v>59.8</v>
      </c>
      <c r="H47" s="93"/>
      <c r="I47" s="94"/>
      <c r="J47" s="95"/>
      <c r="K47" s="3"/>
      <c r="L47" s="91"/>
      <c r="M47" s="92" t="s">
        <v>432</v>
      </c>
      <c r="N47" s="84" t="s">
        <v>441</v>
      </c>
      <c r="O47" s="85" t="s">
        <v>56</v>
      </c>
      <c r="P47" s="86" t="n">
        <v>4.6</v>
      </c>
      <c r="Q47" s="86" t="n">
        <v>13</v>
      </c>
      <c r="R47" s="87" t="n">
        <f aca="false">P47*Q47</f>
        <v>59.8</v>
      </c>
      <c r="S47" s="93"/>
      <c r="T47" s="94"/>
      <c r="U47" s="95"/>
    </row>
    <row r="48" customFormat="false" ht="18.75" hidden="false" customHeight="true" outlineLevel="0" collapsed="false">
      <c r="A48" s="91"/>
      <c r="B48" s="92" t="s">
        <v>432</v>
      </c>
      <c r="C48" s="84" t="s">
        <v>442</v>
      </c>
      <c r="D48" s="85" t="s">
        <v>56</v>
      </c>
      <c r="E48" s="86" t="n">
        <v>23.56</v>
      </c>
      <c r="F48" s="86" t="n">
        <v>13</v>
      </c>
      <c r="G48" s="87" t="n">
        <f aca="false">E48*F48</f>
        <v>306.28</v>
      </c>
      <c r="H48" s="93"/>
      <c r="I48" s="94"/>
      <c r="J48" s="95"/>
      <c r="K48" s="3"/>
      <c r="L48" s="91"/>
      <c r="M48" s="92" t="s">
        <v>432</v>
      </c>
      <c r="N48" s="84" t="s">
        <v>442</v>
      </c>
      <c r="O48" s="85" t="s">
        <v>56</v>
      </c>
      <c r="P48" s="86" t="n">
        <v>23.56</v>
      </c>
      <c r="Q48" s="86" t="n">
        <v>13</v>
      </c>
      <c r="R48" s="87" t="n">
        <f aca="false">P48*Q48</f>
        <v>306.28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432</v>
      </c>
      <c r="C49" s="84" t="s">
        <v>443</v>
      </c>
      <c r="D49" s="85" t="s">
        <v>56</v>
      </c>
      <c r="E49" s="86" t="n">
        <v>7.25</v>
      </c>
      <c r="F49" s="86" t="n">
        <v>13</v>
      </c>
      <c r="G49" s="87" t="n">
        <f aca="false">E49*F49</f>
        <v>94.25</v>
      </c>
      <c r="H49" s="93"/>
      <c r="I49" s="94"/>
      <c r="J49" s="95"/>
      <c r="K49" s="3"/>
      <c r="L49" s="91"/>
      <c r="M49" s="92" t="s">
        <v>432</v>
      </c>
      <c r="N49" s="84" t="s">
        <v>443</v>
      </c>
      <c r="O49" s="85" t="s">
        <v>56</v>
      </c>
      <c r="P49" s="86" t="n">
        <v>7.25</v>
      </c>
      <c r="Q49" s="86" t="n">
        <v>13</v>
      </c>
      <c r="R49" s="87" t="n">
        <f aca="false">P49*Q49</f>
        <v>94.25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432</v>
      </c>
      <c r="C50" s="84" t="s">
        <v>444</v>
      </c>
      <c r="D50" s="85" t="s">
        <v>56</v>
      </c>
      <c r="E50" s="86" t="n">
        <v>27.15</v>
      </c>
      <c r="F50" s="86" t="n">
        <v>13</v>
      </c>
      <c r="G50" s="87" t="n">
        <f aca="false">E50*F50</f>
        <v>352.95</v>
      </c>
      <c r="H50" s="93"/>
      <c r="I50" s="94"/>
      <c r="J50" s="95"/>
      <c r="K50" s="3"/>
      <c r="L50" s="91"/>
      <c r="M50" s="92" t="s">
        <v>432</v>
      </c>
      <c r="N50" s="84" t="s">
        <v>444</v>
      </c>
      <c r="O50" s="85" t="s">
        <v>56</v>
      </c>
      <c r="P50" s="86" t="n">
        <v>27.15</v>
      </c>
      <c r="Q50" s="86" t="n">
        <v>13</v>
      </c>
      <c r="R50" s="87" t="n">
        <f aca="false">P50*Q50</f>
        <v>352.95</v>
      </c>
      <c r="S50" s="93"/>
      <c r="T50" s="94"/>
      <c r="U50" s="95"/>
    </row>
    <row r="51" customFormat="false" ht="18.75" hidden="false" customHeight="true" outlineLevel="0" collapsed="false">
      <c r="A51" s="91"/>
      <c r="B51" s="92" t="s">
        <v>432</v>
      </c>
      <c r="C51" s="84" t="s">
        <v>445</v>
      </c>
      <c r="D51" s="85" t="s">
        <v>56</v>
      </c>
      <c r="E51" s="86" t="n">
        <v>3.7</v>
      </c>
      <c r="F51" s="86" t="n">
        <v>13</v>
      </c>
      <c r="G51" s="87" t="n">
        <f aca="false">E51*F51</f>
        <v>48.1</v>
      </c>
      <c r="H51" s="93"/>
      <c r="I51" s="94"/>
      <c r="J51" s="95"/>
      <c r="K51" s="3"/>
      <c r="L51" s="91"/>
      <c r="M51" s="92" t="s">
        <v>432</v>
      </c>
      <c r="N51" s="84" t="s">
        <v>445</v>
      </c>
      <c r="O51" s="85" t="s">
        <v>56</v>
      </c>
      <c r="P51" s="86" t="n">
        <v>3.7</v>
      </c>
      <c r="Q51" s="86" t="n">
        <v>13</v>
      </c>
      <c r="R51" s="87" t="n">
        <f aca="false">P51*Q51</f>
        <v>48.1</v>
      </c>
      <c r="S51" s="93"/>
      <c r="T51" s="94"/>
      <c r="U51" s="95"/>
    </row>
    <row r="52" customFormat="false" ht="18.75" hidden="false" customHeight="true" outlineLevel="0" collapsed="false">
      <c r="A52" s="91"/>
      <c r="B52" s="92" t="s">
        <v>432</v>
      </c>
      <c r="C52" s="84" t="s">
        <v>446</v>
      </c>
      <c r="D52" s="85" t="s">
        <v>56</v>
      </c>
      <c r="E52" s="86" t="n">
        <v>16.4</v>
      </c>
      <c r="F52" s="86" t="n">
        <v>13</v>
      </c>
      <c r="G52" s="87" t="n">
        <f aca="false">E52*F52</f>
        <v>213.2</v>
      </c>
      <c r="H52" s="93"/>
      <c r="I52" s="94"/>
      <c r="J52" s="95"/>
      <c r="K52" s="3"/>
      <c r="L52" s="91"/>
      <c r="M52" s="92" t="s">
        <v>432</v>
      </c>
      <c r="N52" s="84" t="s">
        <v>446</v>
      </c>
      <c r="O52" s="85" t="s">
        <v>56</v>
      </c>
      <c r="P52" s="86" t="n">
        <v>16.4</v>
      </c>
      <c r="Q52" s="86" t="n">
        <v>13</v>
      </c>
      <c r="R52" s="87" t="n">
        <f aca="false">P52*Q52</f>
        <v>213.2</v>
      </c>
      <c r="S52" s="93"/>
      <c r="T52" s="94"/>
      <c r="U52" s="95"/>
    </row>
    <row r="53" customFormat="false" ht="18.75" hidden="false" customHeight="true" outlineLevel="0" collapsed="false">
      <c r="A53" s="91"/>
      <c r="B53" s="92" t="s">
        <v>432</v>
      </c>
      <c r="C53" s="84" t="s">
        <v>447</v>
      </c>
      <c r="D53" s="85" t="s">
        <v>56</v>
      </c>
      <c r="E53" s="86" t="n">
        <v>3.5</v>
      </c>
      <c r="F53" s="86" t="n">
        <v>13</v>
      </c>
      <c r="G53" s="87" t="n">
        <f aca="false">E53*F53</f>
        <v>45.5</v>
      </c>
      <c r="H53" s="93"/>
      <c r="I53" s="94"/>
      <c r="J53" s="95"/>
      <c r="K53" s="3"/>
      <c r="L53" s="91"/>
      <c r="M53" s="92" t="s">
        <v>432</v>
      </c>
      <c r="N53" s="84" t="s">
        <v>447</v>
      </c>
      <c r="O53" s="85" t="s">
        <v>56</v>
      </c>
      <c r="P53" s="86" t="n">
        <v>3.5</v>
      </c>
      <c r="Q53" s="86" t="n">
        <v>13</v>
      </c>
      <c r="R53" s="87" t="n">
        <f aca="false">P53*Q53</f>
        <v>45.5</v>
      </c>
      <c r="S53" s="93"/>
      <c r="T53" s="94"/>
      <c r="U53" s="95"/>
    </row>
    <row r="54" customFormat="false" ht="18.75" hidden="false" customHeight="true" outlineLevel="0" collapsed="false">
      <c r="A54" s="91"/>
      <c r="B54" s="92" t="s">
        <v>432</v>
      </c>
      <c r="C54" s="84" t="s">
        <v>448</v>
      </c>
      <c r="D54" s="85" t="s">
        <v>56</v>
      </c>
      <c r="E54" s="86" t="n">
        <v>17.8</v>
      </c>
      <c r="F54" s="86" t="n">
        <v>13</v>
      </c>
      <c r="G54" s="87" t="n">
        <f aca="false">E54*F54</f>
        <v>231.4</v>
      </c>
      <c r="H54" s="93"/>
      <c r="I54" s="94"/>
      <c r="J54" s="95"/>
      <c r="K54" s="3"/>
      <c r="L54" s="91"/>
      <c r="M54" s="92" t="s">
        <v>432</v>
      </c>
      <c r="N54" s="84" t="s">
        <v>448</v>
      </c>
      <c r="O54" s="85" t="s">
        <v>56</v>
      </c>
      <c r="P54" s="86" t="n">
        <v>17.8</v>
      </c>
      <c r="Q54" s="86" t="n">
        <v>13</v>
      </c>
      <c r="R54" s="87" t="n">
        <f aca="false">P54*Q54</f>
        <v>231.4</v>
      </c>
      <c r="S54" s="93"/>
      <c r="T54" s="94"/>
      <c r="U54" s="95"/>
    </row>
    <row r="55" customFormat="false" ht="18.75" hidden="false" customHeight="true" outlineLevel="0" collapsed="false">
      <c r="A55" s="91"/>
      <c r="B55" s="92" t="s">
        <v>432</v>
      </c>
      <c r="C55" s="84" t="s">
        <v>417</v>
      </c>
      <c r="D55" s="85" t="s">
        <v>56</v>
      </c>
      <c r="E55" s="86" t="n">
        <v>7.7</v>
      </c>
      <c r="F55" s="86" t="n">
        <v>13</v>
      </c>
      <c r="G55" s="87" t="n">
        <f aca="false">E55*F55</f>
        <v>100.1</v>
      </c>
      <c r="H55" s="93"/>
      <c r="I55" s="94"/>
      <c r="J55" s="95"/>
      <c r="K55" s="3"/>
      <c r="L55" s="91"/>
      <c r="M55" s="92" t="s">
        <v>432</v>
      </c>
      <c r="N55" s="84" t="s">
        <v>417</v>
      </c>
      <c r="O55" s="85" t="s">
        <v>56</v>
      </c>
      <c r="P55" s="86" t="n">
        <v>7.7</v>
      </c>
      <c r="Q55" s="86" t="n">
        <v>13</v>
      </c>
      <c r="R55" s="87" t="n">
        <f aca="false">P55*Q55</f>
        <v>100.1</v>
      </c>
      <c r="S55" s="93"/>
      <c r="T55" s="94"/>
      <c r="U55" s="95"/>
    </row>
    <row r="56" customFormat="false" ht="18.75" hidden="false" customHeight="true" outlineLevel="0" collapsed="false">
      <c r="A56" s="91"/>
      <c r="B56" s="92" t="s">
        <v>432</v>
      </c>
      <c r="C56" s="84" t="s">
        <v>449</v>
      </c>
      <c r="D56" s="96" t="s">
        <v>57</v>
      </c>
      <c r="E56" s="91"/>
      <c r="F56" s="91"/>
      <c r="G56" s="87" t="n">
        <v>114</v>
      </c>
      <c r="H56" s="93"/>
      <c r="I56" s="94"/>
      <c r="J56" s="95"/>
      <c r="K56" s="3"/>
      <c r="L56" s="91"/>
      <c r="M56" s="92" t="s">
        <v>432</v>
      </c>
      <c r="N56" s="84" t="s">
        <v>449</v>
      </c>
      <c r="O56" s="96" t="s">
        <v>57</v>
      </c>
      <c r="P56" s="91"/>
      <c r="Q56" s="91"/>
      <c r="R56" s="87" t="n">
        <v>114</v>
      </c>
      <c r="S56" s="93"/>
      <c r="T56" s="94"/>
      <c r="U56" s="95"/>
    </row>
    <row r="57" customFormat="false" ht="18.75" hidden="false" customHeight="true" outlineLevel="0" collapsed="false">
      <c r="A57" s="82" t="s">
        <v>37</v>
      </c>
      <c r="B57" s="83" t="s">
        <v>450</v>
      </c>
      <c r="C57" s="84" t="s">
        <v>359</v>
      </c>
      <c r="D57" s="85" t="s">
        <v>56</v>
      </c>
      <c r="E57" s="86" t="n">
        <v>3.5</v>
      </c>
      <c r="F57" s="86" t="n">
        <v>16</v>
      </c>
      <c r="G57" s="87" t="n">
        <f aca="false">E57*F57</f>
        <v>56</v>
      </c>
      <c r="H57" s="88" t="n">
        <f aca="false">SUMIF(B:B,B57,G:G)</f>
        <v>56</v>
      </c>
      <c r="I57" s="89" t="n">
        <v>484.5</v>
      </c>
      <c r="J57" s="90" t="n">
        <f aca="false">IFERROR((I57-H57)/I57,"")</f>
        <v>0.884416924664603</v>
      </c>
      <c r="K57" s="3"/>
      <c r="L57" s="82" t="s">
        <v>37</v>
      </c>
      <c r="M57" s="83" t="s">
        <v>450</v>
      </c>
      <c r="N57" s="84" t="s">
        <v>359</v>
      </c>
      <c r="O57" s="85" t="s">
        <v>56</v>
      </c>
      <c r="P57" s="86" t="n">
        <v>3.5</v>
      </c>
      <c r="Q57" s="86" t="n">
        <v>16</v>
      </c>
      <c r="R57" s="87" t="n">
        <f aca="false">P57*Q57</f>
        <v>56</v>
      </c>
      <c r="S57" s="88" t="n">
        <f aca="false">SUMIF(M:M,M57,R:R)</f>
        <v>56</v>
      </c>
      <c r="T57" s="89" t="n">
        <f aca="false">I57</f>
        <v>484.5</v>
      </c>
      <c r="U57" s="90" t="n">
        <f aca="false">IFERROR((T57-S57)/T57,"")</f>
        <v>0.884416924664603</v>
      </c>
    </row>
    <row r="58" customFormat="false" ht="18.75" hidden="false" customHeight="true" outlineLevel="0" collapsed="false">
      <c r="A58" s="82" t="s">
        <v>37</v>
      </c>
      <c r="B58" s="83" t="s">
        <v>451</v>
      </c>
      <c r="C58" s="84" t="s">
        <v>359</v>
      </c>
      <c r="D58" s="85" t="s">
        <v>56</v>
      </c>
      <c r="E58" s="86" t="n">
        <v>3.5</v>
      </c>
      <c r="F58" s="86" t="n">
        <v>16</v>
      </c>
      <c r="G58" s="87" t="n">
        <f aca="false">E58*F58</f>
        <v>56</v>
      </c>
      <c r="H58" s="88" t="n">
        <f aca="false">SUMIF(B:B,B58,G:G)</f>
        <v>134</v>
      </c>
      <c r="I58" s="89" t="n">
        <v>712.5</v>
      </c>
      <c r="J58" s="90" t="n">
        <f aca="false">IFERROR((I58-H58)/I58,"")</f>
        <v>0.811929824561404</v>
      </c>
      <c r="K58" s="3"/>
      <c r="L58" s="82" t="s">
        <v>37</v>
      </c>
      <c r="M58" s="83" t="s">
        <v>451</v>
      </c>
      <c r="N58" s="84" t="s">
        <v>359</v>
      </c>
      <c r="O58" s="85" t="s">
        <v>56</v>
      </c>
      <c r="P58" s="86" t="n">
        <v>3.5</v>
      </c>
      <c r="Q58" s="86" t="n">
        <v>16</v>
      </c>
      <c r="R58" s="87" t="n">
        <f aca="false">P58*Q58</f>
        <v>56</v>
      </c>
      <c r="S58" s="88" t="n">
        <f aca="false">SUMIF(M:M,M58,R:R)</f>
        <v>134</v>
      </c>
      <c r="T58" s="89" t="n">
        <f aca="false">I58</f>
        <v>712.5</v>
      </c>
      <c r="U58" s="90" t="n">
        <f aca="false">IFERROR((T58-S58)/T58,"")</f>
        <v>0.811929824561404</v>
      </c>
    </row>
    <row r="59" customFormat="false" ht="18.75" hidden="false" customHeight="true" outlineLevel="0" collapsed="false">
      <c r="A59" s="91"/>
      <c r="B59" s="92" t="s">
        <v>451</v>
      </c>
      <c r="C59" s="84" t="s">
        <v>418</v>
      </c>
      <c r="D59" s="85" t="s">
        <v>56</v>
      </c>
      <c r="E59" s="86" t="n">
        <v>6</v>
      </c>
      <c r="F59" s="86" t="n">
        <v>13</v>
      </c>
      <c r="G59" s="87" t="n">
        <f aca="false">E59*F59</f>
        <v>78</v>
      </c>
      <c r="H59" s="93"/>
      <c r="I59" s="94"/>
      <c r="J59" s="95"/>
      <c r="K59" s="3"/>
      <c r="L59" s="91"/>
      <c r="M59" s="92" t="s">
        <v>451</v>
      </c>
      <c r="N59" s="84" t="s">
        <v>418</v>
      </c>
      <c r="O59" s="85" t="s">
        <v>56</v>
      </c>
      <c r="P59" s="86" t="n">
        <v>6</v>
      </c>
      <c r="Q59" s="86" t="n">
        <v>13</v>
      </c>
      <c r="R59" s="87" t="n">
        <f aca="false">P59*Q59</f>
        <v>78</v>
      </c>
      <c r="S59" s="93"/>
      <c r="T59" s="94"/>
      <c r="U59" s="95"/>
    </row>
    <row r="60" customFormat="false" ht="18.75" hidden="false" customHeight="true" outlineLevel="0" collapsed="false">
      <c r="A60" s="82" t="s">
        <v>37</v>
      </c>
      <c r="B60" s="83" t="s">
        <v>452</v>
      </c>
      <c r="C60" s="84" t="s">
        <v>359</v>
      </c>
      <c r="D60" s="85" t="s">
        <v>56</v>
      </c>
      <c r="E60" s="86" t="n">
        <v>3.5</v>
      </c>
      <c r="F60" s="86" t="n">
        <v>16</v>
      </c>
      <c r="G60" s="87" t="n">
        <f aca="false">E60*F60</f>
        <v>56</v>
      </c>
      <c r="H60" s="88" t="n">
        <f aca="false">SUMIF(B:B,B60,G:G)</f>
        <v>56</v>
      </c>
      <c r="I60" s="89" t="n">
        <v>484.5</v>
      </c>
      <c r="J60" s="90" t="n">
        <f aca="false">IFERROR((I60-H60)/I60,"")</f>
        <v>0.884416924664603</v>
      </c>
      <c r="K60" s="3"/>
      <c r="L60" s="82" t="s">
        <v>37</v>
      </c>
      <c r="M60" s="83" t="s">
        <v>452</v>
      </c>
      <c r="N60" s="84" t="s">
        <v>359</v>
      </c>
      <c r="O60" s="85" t="s">
        <v>56</v>
      </c>
      <c r="P60" s="86" t="n">
        <v>3.5</v>
      </c>
      <c r="Q60" s="86" t="n">
        <v>16</v>
      </c>
      <c r="R60" s="87" t="n">
        <f aca="false">P60*Q60</f>
        <v>56</v>
      </c>
      <c r="S60" s="88" t="n">
        <f aca="false">SUMIF(M:M,M60,R:R)</f>
        <v>56</v>
      </c>
      <c r="T60" s="89" t="n">
        <f aca="false">I60</f>
        <v>484.5</v>
      </c>
      <c r="U60" s="90" t="n">
        <f aca="false">IFERROR((T60-S60)/T60,"")</f>
        <v>0.884416924664603</v>
      </c>
    </row>
    <row r="61" customFormat="false" ht="18.75" hidden="false" customHeight="true" outlineLevel="0" collapsed="false">
      <c r="A61" s="82" t="s">
        <v>37</v>
      </c>
      <c r="B61" s="83" t="s">
        <v>453</v>
      </c>
      <c r="C61" s="84" t="s">
        <v>359</v>
      </c>
      <c r="D61" s="85" t="s">
        <v>56</v>
      </c>
      <c r="E61" s="86" t="n">
        <v>3.5</v>
      </c>
      <c r="F61" s="86" t="n">
        <v>16</v>
      </c>
      <c r="G61" s="87" t="n">
        <f aca="false">E61*F61</f>
        <v>56</v>
      </c>
      <c r="H61" s="88" t="n">
        <f aca="false">SUMIF(B:B,B61,G:G)</f>
        <v>100.2</v>
      </c>
      <c r="I61" s="89" t="n">
        <v>712.5</v>
      </c>
      <c r="J61" s="90" t="n">
        <f aca="false">IFERROR((I61-H61)/I61,"")</f>
        <v>0.859368421052632</v>
      </c>
      <c r="K61" s="3"/>
      <c r="L61" s="82" t="s">
        <v>37</v>
      </c>
      <c r="M61" s="83" t="s">
        <v>453</v>
      </c>
      <c r="N61" s="84" t="s">
        <v>359</v>
      </c>
      <c r="O61" s="85" t="s">
        <v>56</v>
      </c>
      <c r="P61" s="86" t="n">
        <v>3.5</v>
      </c>
      <c r="Q61" s="86" t="n">
        <v>16</v>
      </c>
      <c r="R61" s="87" t="n">
        <f aca="false">P61*Q61</f>
        <v>56</v>
      </c>
      <c r="S61" s="88" t="n">
        <f aca="false">SUMIF(M:M,M61,R:R)</f>
        <v>100.2</v>
      </c>
      <c r="T61" s="89" t="n">
        <f aca="false">I61</f>
        <v>712.5</v>
      </c>
      <c r="U61" s="90" t="n">
        <f aca="false">IFERROR((T61-S61)/T61,"")</f>
        <v>0.859368421052632</v>
      </c>
    </row>
    <row r="62" customFormat="false" ht="18.75" hidden="false" customHeight="true" outlineLevel="0" collapsed="false">
      <c r="A62" s="91"/>
      <c r="B62" s="92" t="s">
        <v>453</v>
      </c>
      <c r="C62" s="84" t="s">
        <v>420</v>
      </c>
      <c r="D62" s="85" t="s">
        <v>56</v>
      </c>
      <c r="E62" s="86" t="n">
        <v>3.4</v>
      </c>
      <c r="F62" s="86" t="n">
        <v>13</v>
      </c>
      <c r="G62" s="87" t="n">
        <f aca="false">E62*F62</f>
        <v>44.2</v>
      </c>
      <c r="H62" s="93"/>
      <c r="I62" s="94"/>
      <c r="J62" s="95"/>
      <c r="K62" s="3"/>
      <c r="L62" s="91"/>
      <c r="M62" s="92" t="s">
        <v>453</v>
      </c>
      <c r="N62" s="84" t="s">
        <v>420</v>
      </c>
      <c r="O62" s="85" t="s">
        <v>56</v>
      </c>
      <c r="P62" s="86" t="n">
        <v>3.4</v>
      </c>
      <c r="Q62" s="86" t="n">
        <v>13</v>
      </c>
      <c r="R62" s="87" t="n">
        <f aca="false">P62*Q62</f>
        <v>44.2</v>
      </c>
      <c r="S62" s="93"/>
      <c r="T62" s="94"/>
      <c r="U62" s="95"/>
    </row>
    <row r="63" customFormat="false" ht="18.75" hidden="false" customHeight="true" outlineLevel="0" collapsed="false">
      <c r="A63" s="82" t="s">
        <v>37</v>
      </c>
      <c r="B63" s="83" t="s">
        <v>454</v>
      </c>
      <c r="C63" s="84" t="s">
        <v>359</v>
      </c>
      <c r="D63" s="85" t="s">
        <v>56</v>
      </c>
      <c r="E63" s="86" t="n">
        <v>21</v>
      </c>
      <c r="F63" s="86" t="n">
        <v>16</v>
      </c>
      <c r="G63" s="87" t="n">
        <f aca="false">E63*F63</f>
        <v>336</v>
      </c>
      <c r="H63" s="88" t="n">
        <f aca="false">SUMIF(B:B,B63,G:G)</f>
        <v>2766.17</v>
      </c>
      <c r="I63" s="89" t="n">
        <v>2427</v>
      </c>
      <c r="J63" s="90" t="n">
        <f aca="false">IFERROR((I63-H63)/I63,"")</f>
        <v>-0.139748660898228</v>
      </c>
      <c r="K63" s="3"/>
      <c r="L63" s="82" t="s">
        <v>37</v>
      </c>
      <c r="M63" s="83" t="s">
        <v>454</v>
      </c>
      <c r="N63" s="84" t="s">
        <v>359</v>
      </c>
      <c r="O63" s="85" t="s">
        <v>56</v>
      </c>
      <c r="P63" s="86" t="n">
        <v>21</v>
      </c>
      <c r="Q63" s="86" t="n">
        <v>16</v>
      </c>
      <c r="R63" s="87" t="n">
        <f aca="false">P63*Q63</f>
        <v>336</v>
      </c>
      <c r="S63" s="88" t="n">
        <f aca="false">SUMIF(M:M,M63,R:R)</f>
        <v>2766.17</v>
      </c>
      <c r="T63" s="89" t="n">
        <f aca="false">I63</f>
        <v>2427</v>
      </c>
      <c r="U63" s="90" t="n">
        <f aca="false">IFERROR((T63-S63)/T63,"")</f>
        <v>-0.139748660898228</v>
      </c>
    </row>
    <row r="64" customFormat="false" ht="18.75" hidden="false" customHeight="true" outlineLevel="0" collapsed="false">
      <c r="A64" s="91"/>
      <c r="B64" s="92" t="s">
        <v>454</v>
      </c>
      <c r="C64" s="84" t="s">
        <v>455</v>
      </c>
      <c r="D64" s="85" t="s">
        <v>56</v>
      </c>
      <c r="E64" s="86" t="n">
        <v>18.25</v>
      </c>
      <c r="F64" s="86" t="n">
        <v>13</v>
      </c>
      <c r="G64" s="87" t="n">
        <f aca="false">E64*F64</f>
        <v>237.25</v>
      </c>
      <c r="H64" s="93"/>
      <c r="I64" s="94"/>
      <c r="J64" s="95"/>
      <c r="K64" s="3"/>
      <c r="L64" s="91"/>
      <c r="M64" s="92" t="s">
        <v>454</v>
      </c>
      <c r="N64" s="84" t="s">
        <v>455</v>
      </c>
      <c r="O64" s="85" t="s">
        <v>56</v>
      </c>
      <c r="P64" s="86" t="n">
        <v>18.25</v>
      </c>
      <c r="Q64" s="86" t="n">
        <v>13</v>
      </c>
      <c r="R64" s="87" t="n">
        <f aca="false">P64*Q64</f>
        <v>237.25</v>
      </c>
      <c r="S64" s="93"/>
      <c r="T64" s="94"/>
      <c r="U64" s="95"/>
    </row>
    <row r="65" customFormat="false" ht="18.75" hidden="false" customHeight="true" outlineLevel="0" collapsed="false">
      <c r="A65" s="91"/>
      <c r="B65" s="92" t="s">
        <v>454</v>
      </c>
      <c r="C65" s="84" t="s">
        <v>411</v>
      </c>
      <c r="D65" s="85" t="s">
        <v>56</v>
      </c>
      <c r="E65" s="86" t="n">
        <v>21</v>
      </c>
      <c r="F65" s="86" t="n">
        <v>16</v>
      </c>
      <c r="G65" s="87" t="n">
        <f aca="false">E65*F65</f>
        <v>336</v>
      </c>
      <c r="H65" s="93"/>
      <c r="I65" s="94"/>
      <c r="J65" s="95"/>
      <c r="K65" s="3"/>
      <c r="L65" s="91"/>
      <c r="M65" s="92" t="s">
        <v>454</v>
      </c>
      <c r="N65" s="84" t="s">
        <v>411</v>
      </c>
      <c r="O65" s="85" t="s">
        <v>56</v>
      </c>
      <c r="P65" s="86" t="n">
        <v>21</v>
      </c>
      <c r="Q65" s="86" t="n">
        <v>16</v>
      </c>
      <c r="R65" s="87" t="n">
        <f aca="false">P65*Q65</f>
        <v>336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454</v>
      </c>
      <c r="C66" s="84" t="s">
        <v>456</v>
      </c>
      <c r="D66" s="85" t="s">
        <v>56</v>
      </c>
      <c r="E66" s="86" t="n">
        <v>5.25</v>
      </c>
      <c r="F66" s="86" t="n">
        <v>13</v>
      </c>
      <c r="G66" s="87" t="n">
        <f aca="false">E66*F66</f>
        <v>68.25</v>
      </c>
      <c r="H66" s="93"/>
      <c r="I66" s="94"/>
      <c r="J66" s="95"/>
      <c r="K66" s="3"/>
      <c r="L66" s="91"/>
      <c r="M66" s="92" t="s">
        <v>454</v>
      </c>
      <c r="N66" s="84" t="s">
        <v>456</v>
      </c>
      <c r="O66" s="85" t="s">
        <v>56</v>
      </c>
      <c r="P66" s="86" t="n">
        <v>5.25</v>
      </c>
      <c r="Q66" s="86" t="n">
        <v>13</v>
      </c>
      <c r="R66" s="87" t="n">
        <f aca="false">P66*Q66</f>
        <v>68.25</v>
      </c>
      <c r="S66" s="93"/>
      <c r="T66" s="94"/>
      <c r="U66" s="95"/>
    </row>
    <row r="67" customFormat="false" ht="18.75" hidden="false" customHeight="true" outlineLevel="0" collapsed="false">
      <c r="A67" s="91"/>
      <c r="B67" s="92" t="s">
        <v>454</v>
      </c>
      <c r="C67" s="84" t="s">
        <v>151</v>
      </c>
      <c r="D67" s="85" t="s">
        <v>56</v>
      </c>
      <c r="E67" s="86" t="n">
        <v>7.75</v>
      </c>
      <c r="F67" s="86" t="n">
        <v>13</v>
      </c>
      <c r="G67" s="87" t="n">
        <f aca="false">E67*F67</f>
        <v>100.75</v>
      </c>
      <c r="H67" s="93"/>
      <c r="I67" s="94"/>
      <c r="J67" s="95"/>
      <c r="K67" s="3"/>
      <c r="L67" s="91"/>
      <c r="M67" s="92" t="s">
        <v>454</v>
      </c>
      <c r="N67" s="84" t="s">
        <v>151</v>
      </c>
      <c r="O67" s="85" t="s">
        <v>56</v>
      </c>
      <c r="P67" s="86" t="n">
        <v>7.75</v>
      </c>
      <c r="Q67" s="86" t="n">
        <v>13</v>
      </c>
      <c r="R67" s="87" t="n">
        <f aca="false">P67*Q67</f>
        <v>100.75</v>
      </c>
      <c r="S67" s="93"/>
      <c r="T67" s="94"/>
      <c r="U67" s="95"/>
    </row>
    <row r="68" customFormat="false" ht="18.75" hidden="false" customHeight="true" outlineLevel="0" collapsed="false">
      <c r="A68" s="91"/>
      <c r="B68" s="92" t="s">
        <v>454</v>
      </c>
      <c r="C68" s="84" t="s">
        <v>438</v>
      </c>
      <c r="D68" s="85" t="s">
        <v>56</v>
      </c>
      <c r="E68" s="86" t="n">
        <v>9.66</v>
      </c>
      <c r="F68" s="86" t="n">
        <v>13</v>
      </c>
      <c r="G68" s="87" t="n">
        <f aca="false">E68*F68</f>
        <v>125.58</v>
      </c>
      <c r="H68" s="93"/>
      <c r="I68" s="94"/>
      <c r="J68" s="95"/>
      <c r="K68" s="3"/>
      <c r="L68" s="91"/>
      <c r="M68" s="92" t="s">
        <v>454</v>
      </c>
      <c r="N68" s="84" t="s">
        <v>438</v>
      </c>
      <c r="O68" s="85" t="s">
        <v>56</v>
      </c>
      <c r="P68" s="86" t="n">
        <v>9.66</v>
      </c>
      <c r="Q68" s="86" t="n">
        <v>13</v>
      </c>
      <c r="R68" s="87" t="n">
        <f aca="false">P68*Q68</f>
        <v>125.58</v>
      </c>
      <c r="S68" s="93"/>
      <c r="T68" s="94"/>
      <c r="U68" s="95"/>
    </row>
    <row r="69" customFormat="false" ht="18.75" hidden="false" customHeight="true" outlineLevel="0" collapsed="false">
      <c r="A69" s="91"/>
      <c r="B69" s="92" t="s">
        <v>454</v>
      </c>
      <c r="C69" s="84" t="s">
        <v>137</v>
      </c>
      <c r="D69" s="85" t="s">
        <v>56</v>
      </c>
      <c r="E69" s="86" t="n">
        <v>15.1</v>
      </c>
      <c r="F69" s="86" t="n">
        <v>13</v>
      </c>
      <c r="G69" s="87" t="n">
        <f aca="false">E69*F69</f>
        <v>196.3</v>
      </c>
      <c r="H69" s="93"/>
      <c r="I69" s="94"/>
      <c r="J69" s="95"/>
      <c r="K69" s="3"/>
      <c r="L69" s="91"/>
      <c r="M69" s="92" t="s">
        <v>454</v>
      </c>
      <c r="N69" s="84" t="s">
        <v>137</v>
      </c>
      <c r="O69" s="85" t="s">
        <v>56</v>
      </c>
      <c r="P69" s="86" t="n">
        <v>15.1</v>
      </c>
      <c r="Q69" s="86" t="n">
        <v>13</v>
      </c>
      <c r="R69" s="87" t="n">
        <f aca="false">P69*Q69</f>
        <v>196.3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454</v>
      </c>
      <c r="C70" s="84" t="s">
        <v>160</v>
      </c>
      <c r="D70" s="85" t="s">
        <v>56</v>
      </c>
      <c r="E70" s="86" t="n">
        <v>21</v>
      </c>
      <c r="F70" s="86" t="n">
        <v>13</v>
      </c>
      <c r="G70" s="87" t="n">
        <f aca="false">E70*F70</f>
        <v>273</v>
      </c>
      <c r="H70" s="93"/>
      <c r="I70" s="94"/>
      <c r="J70" s="95"/>
      <c r="K70" s="3"/>
      <c r="L70" s="91"/>
      <c r="M70" s="92" t="s">
        <v>454</v>
      </c>
      <c r="N70" s="84" t="s">
        <v>160</v>
      </c>
      <c r="O70" s="85" t="s">
        <v>56</v>
      </c>
      <c r="P70" s="86" t="n">
        <v>21</v>
      </c>
      <c r="Q70" s="86" t="n">
        <v>13</v>
      </c>
      <c r="R70" s="87" t="n">
        <f aca="false">P70*Q70</f>
        <v>273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454</v>
      </c>
      <c r="C71" s="84" t="s">
        <v>418</v>
      </c>
      <c r="D71" s="85" t="s">
        <v>56</v>
      </c>
      <c r="E71" s="86" t="n">
        <v>24.55</v>
      </c>
      <c r="F71" s="86" t="n">
        <v>13</v>
      </c>
      <c r="G71" s="87" t="n">
        <f aca="false">E71*F71</f>
        <v>319.15</v>
      </c>
      <c r="H71" s="93"/>
      <c r="I71" s="94"/>
      <c r="J71" s="95"/>
      <c r="K71" s="3"/>
      <c r="L71" s="91"/>
      <c r="M71" s="92" t="s">
        <v>454</v>
      </c>
      <c r="N71" s="84" t="s">
        <v>418</v>
      </c>
      <c r="O71" s="85" t="s">
        <v>56</v>
      </c>
      <c r="P71" s="86" t="n">
        <v>24.55</v>
      </c>
      <c r="Q71" s="86" t="n">
        <v>13</v>
      </c>
      <c r="R71" s="87" t="n">
        <f aca="false">P71*Q71</f>
        <v>319.15</v>
      </c>
      <c r="S71" s="93"/>
      <c r="T71" s="94"/>
      <c r="U71" s="95"/>
    </row>
    <row r="72" customFormat="false" ht="18.75" hidden="false" customHeight="true" outlineLevel="0" collapsed="false">
      <c r="A72" s="91"/>
      <c r="B72" s="92" t="s">
        <v>454</v>
      </c>
      <c r="C72" s="84" t="s">
        <v>457</v>
      </c>
      <c r="D72" s="85" t="s">
        <v>56</v>
      </c>
      <c r="E72" s="86" t="n">
        <v>5</v>
      </c>
      <c r="F72" s="86" t="n">
        <v>13</v>
      </c>
      <c r="G72" s="87" t="n">
        <f aca="false">E72*F72</f>
        <v>65</v>
      </c>
      <c r="H72" s="93"/>
      <c r="I72" s="94"/>
      <c r="J72" s="95"/>
      <c r="K72" s="3"/>
      <c r="L72" s="91"/>
      <c r="M72" s="92" t="s">
        <v>454</v>
      </c>
      <c r="N72" s="84" t="s">
        <v>457</v>
      </c>
      <c r="O72" s="85" t="s">
        <v>56</v>
      </c>
      <c r="P72" s="86" t="n">
        <v>5</v>
      </c>
      <c r="Q72" s="86" t="n">
        <v>13</v>
      </c>
      <c r="R72" s="87" t="n">
        <f aca="false">P72*Q72</f>
        <v>65</v>
      </c>
      <c r="S72" s="93"/>
      <c r="T72" s="94"/>
      <c r="U72" s="95"/>
    </row>
    <row r="73" customFormat="false" ht="18.75" hidden="false" customHeight="true" outlineLevel="0" collapsed="false">
      <c r="A73" s="91"/>
      <c r="B73" s="92" t="s">
        <v>454</v>
      </c>
      <c r="C73" s="84" t="s">
        <v>458</v>
      </c>
      <c r="D73" s="85" t="s">
        <v>56</v>
      </c>
      <c r="E73" s="86" t="n">
        <v>2.83</v>
      </c>
      <c r="F73" s="86" t="n">
        <v>13</v>
      </c>
      <c r="G73" s="87" t="n">
        <f aca="false">E73*F73</f>
        <v>36.79</v>
      </c>
      <c r="H73" s="93"/>
      <c r="I73" s="94"/>
      <c r="J73" s="95"/>
      <c r="K73" s="3"/>
      <c r="L73" s="91"/>
      <c r="M73" s="92" t="s">
        <v>454</v>
      </c>
      <c r="N73" s="84" t="s">
        <v>458</v>
      </c>
      <c r="O73" s="85" t="s">
        <v>56</v>
      </c>
      <c r="P73" s="86" t="n">
        <v>2.83</v>
      </c>
      <c r="Q73" s="86" t="n">
        <v>13</v>
      </c>
      <c r="R73" s="87" t="n">
        <f aca="false">P73*Q73</f>
        <v>36.79</v>
      </c>
      <c r="S73" s="93"/>
      <c r="T73" s="94"/>
      <c r="U73" s="95"/>
    </row>
    <row r="74" customFormat="false" ht="18.75" hidden="false" customHeight="true" outlineLevel="0" collapsed="false">
      <c r="A74" s="91"/>
      <c r="B74" s="92" t="s">
        <v>454</v>
      </c>
      <c r="C74" s="84" t="s">
        <v>102</v>
      </c>
      <c r="D74" s="85" t="s">
        <v>56</v>
      </c>
      <c r="E74" s="86" t="n">
        <v>19.65</v>
      </c>
      <c r="F74" s="86" t="n">
        <v>13</v>
      </c>
      <c r="G74" s="87" t="n">
        <f aca="false">E74*F74</f>
        <v>255.45</v>
      </c>
      <c r="H74" s="93"/>
      <c r="I74" s="94"/>
      <c r="J74" s="95"/>
      <c r="K74" s="3"/>
      <c r="L74" s="91"/>
      <c r="M74" s="92" t="s">
        <v>454</v>
      </c>
      <c r="N74" s="84" t="s">
        <v>102</v>
      </c>
      <c r="O74" s="85" t="s">
        <v>56</v>
      </c>
      <c r="P74" s="86" t="n">
        <v>19.65</v>
      </c>
      <c r="Q74" s="86" t="n">
        <v>13</v>
      </c>
      <c r="R74" s="87" t="n">
        <f aca="false">P74*Q74</f>
        <v>255.45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454</v>
      </c>
      <c r="C75" s="84" t="s">
        <v>459</v>
      </c>
      <c r="D75" s="85" t="s">
        <v>56</v>
      </c>
      <c r="E75" s="86" t="n">
        <v>11.25</v>
      </c>
      <c r="F75" s="86" t="n">
        <v>13</v>
      </c>
      <c r="G75" s="87" t="n">
        <f aca="false">E75*F75</f>
        <v>146.25</v>
      </c>
      <c r="H75" s="93"/>
      <c r="I75" s="94"/>
      <c r="J75" s="95"/>
      <c r="K75" s="3"/>
      <c r="L75" s="91"/>
      <c r="M75" s="92" t="s">
        <v>454</v>
      </c>
      <c r="N75" s="84" t="s">
        <v>459</v>
      </c>
      <c r="O75" s="85" t="s">
        <v>56</v>
      </c>
      <c r="P75" s="86" t="n">
        <v>11.25</v>
      </c>
      <c r="Q75" s="86" t="n">
        <v>13</v>
      </c>
      <c r="R75" s="87" t="n">
        <f aca="false">P75*Q75</f>
        <v>146.25</v>
      </c>
      <c r="S75" s="93"/>
      <c r="T75" s="94"/>
      <c r="U75" s="95"/>
    </row>
    <row r="76" customFormat="false" ht="18.75" hidden="false" customHeight="true" outlineLevel="0" collapsed="false">
      <c r="A76" s="91"/>
      <c r="B76" s="92" t="s">
        <v>454</v>
      </c>
      <c r="C76" s="84" t="s">
        <v>417</v>
      </c>
      <c r="D76" s="85" t="s">
        <v>56</v>
      </c>
      <c r="E76" s="86" t="n">
        <v>6.8</v>
      </c>
      <c r="F76" s="86" t="n">
        <v>13</v>
      </c>
      <c r="G76" s="87" t="n">
        <f aca="false">E76*F76</f>
        <v>88.4</v>
      </c>
      <c r="H76" s="93"/>
      <c r="I76" s="94"/>
      <c r="J76" s="95"/>
      <c r="K76" s="3"/>
      <c r="L76" s="91"/>
      <c r="M76" s="92" t="s">
        <v>454</v>
      </c>
      <c r="N76" s="84" t="s">
        <v>417</v>
      </c>
      <c r="O76" s="85" t="s">
        <v>56</v>
      </c>
      <c r="P76" s="86" t="n">
        <v>6.8</v>
      </c>
      <c r="Q76" s="86" t="n">
        <v>13</v>
      </c>
      <c r="R76" s="87" t="n">
        <f aca="false">P76*Q76</f>
        <v>88.4</v>
      </c>
      <c r="S76" s="93"/>
      <c r="T76" s="94"/>
      <c r="U76" s="95"/>
    </row>
    <row r="77" customFormat="false" ht="18.75" hidden="false" customHeight="true" outlineLevel="0" collapsed="false">
      <c r="A77" s="91"/>
      <c r="B77" s="92" t="s">
        <v>454</v>
      </c>
      <c r="C77" s="84" t="s">
        <v>449</v>
      </c>
      <c r="D77" s="96" t="s">
        <v>57</v>
      </c>
      <c r="E77" s="91"/>
      <c r="F77" s="91"/>
      <c r="G77" s="87" t="n">
        <v>182</v>
      </c>
      <c r="H77" s="93"/>
      <c r="I77" s="94"/>
      <c r="J77" s="95"/>
      <c r="K77" s="3"/>
      <c r="L77" s="91"/>
      <c r="M77" s="92" t="s">
        <v>454</v>
      </c>
      <c r="N77" s="84" t="s">
        <v>449</v>
      </c>
      <c r="O77" s="96" t="s">
        <v>57</v>
      </c>
      <c r="P77" s="91"/>
      <c r="Q77" s="91"/>
      <c r="R77" s="87" t="n">
        <v>182</v>
      </c>
      <c r="S77" s="93"/>
      <c r="T77" s="94"/>
      <c r="U77" s="95"/>
    </row>
    <row r="78" customFormat="false" ht="18.75" hidden="false" customHeight="true" outlineLevel="0" collapsed="false">
      <c r="A78" s="82" t="s">
        <v>39</v>
      </c>
      <c r="B78" s="83" t="s">
        <v>460</v>
      </c>
      <c r="C78" s="84" t="s">
        <v>461</v>
      </c>
      <c r="D78" s="85" t="s">
        <v>56</v>
      </c>
      <c r="E78" s="86" t="n">
        <v>2</v>
      </c>
      <c r="F78" s="86" t="n">
        <v>16</v>
      </c>
      <c r="G78" s="87" t="n">
        <f aca="false">E78*F78</f>
        <v>32</v>
      </c>
      <c r="H78" s="88" t="n">
        <f aca="false">SUMIF(B:B,B78,G:G)</f>
        <v>194.89</v>
      </c>
      <c r="I78" s="89" t="n">
        <v>712.5</v>
      </c>
      <c r="J78" s="90" t="n">
        <f aca="false">IFERROR((I78-H78)/I78,"")</f>
        <v>0.726470175438597</v>
      </c>
      <c r="K78" s="3"/>
      <c r="L78" s="82" t="s">
        <v>39</v>
      </c>
      <c r="M78" s="83" t="s">
        <v>460</v>
      </c>
      <c r="N78" s="84" t="s">
        <v>461</v>
      </c>
      <c r="O78" s="85" t="s">
        <v>56</v>
      </c>
      <c r="P78" s="86" t="n">
        <v>2</v>
      </c>
      <c r="Q78" s="86" t="n">
        <v>16</v>
      </c>
      <c r="R78" s="87" t="n">
        <f aca="false">P78*Q78</f>
        <v>32</v>
      </c>
      <c r="S78" s="88" t="n">
        <f aca="false">SUMIF(M:M,M78,R:R)</f>
        <v>194.89</v>
      </c>
      <c r="T78" s="89" t="n">
        <f aca="false">I78</f>
        <v>712.5</v>
      </c>
      <c r="U78" s="90" t="n">
        <f aca="false">IFERROR((T78-S78)/T78,"")</f>
        <v>0.726470175438597</v>
      </c>
    </row>
    <row r="79" customFormat="false" ht="18.75" hidden="false" customHeight="true" outlineLevel="0" collapsed="false">
      <c r="A79" s="91"/>
      <c r="B79" s="92" t="s">
        <v>460</v>
      </c>
      <c r="C79" s="84" t="s">
        <v>102</v>
      </c>
      <c r="D79" s="85" t="s">
        <v>56</v>
      </c>
      <c r="E79" s="86" t="n">
        <v>4.03</v>
      </c>
      <c r="F79" s="86" t="n">
        <v>13</v>
      </c>
      <c r="G79" s="87" t="n">
        <f aca="false">E79*F79</f>
        <v>52.39</v>
      </c>
      <c r="H79" s="93"/>
      <c r="I79" s="94"/>
      <c r="J79" s="95"/>
      <c r="K79" s="3"/>
      <c r="L79" s="91"/>
      <c r="M79" s="92" t="s">
        <v>460</v>
      </c>
      <c r="N79" s="84" t="s">
        <v>102</v>
      </c>
      <c r="O79" s="85" t="s">
        <v>56</v>
      </c>
      <c r="P79" s="86" t="n">
        <v>4.03</v>
      </c>
      <c r="Q79" s="86" t="n">
        <v>13</v>
      </c>
      <c r="R79" s="87" t="n">
        <f aca="false">P79*Q79</f>
        <v>52.39</v>
      </c>
      <c r="S79" s="93"/>
      <c r="T79" s="94"/>
      <c r="U79" s="95"/>
    </row>
    <row r="80" customFormat="false" ht="18.75" hidden="false" customHeight="true" outlineLevel="0" collapsed="false">
      <c r="A80" s="91"/>
      <c r="B80" s="92" t="s">
        <v>460</v>
      </c>
      <c r="C80" s="84" t="s">
        <v>160</v>
      </c>
      <c r="D80" s="85" t="s">
        <v>56</v>
      </c>
      <c r="E80" s="86" t="n">
        <v>4.5</v>
      </c>
      <c r="F80" s="86" t="n">
        <v>13</v>
      </c>
      <c r="G80" s="87" t="n">
        <f aca="false">E80*F80</f>
        <v>58.5</v>
      </c>
      <c r="H80" s="93"/>
      <c r="I80" s="94"/>
      <c r="J80" s="95"/>
      <c r="K80" s="3"/>
      <c r="L80" s="91"/>
      <c r="M80" s="92" t="s">
        <v>460</v>
      </c>
      <c r="N80" s="84" t="s">
        <v>160</v>
      </c>
      <c r="O80" s="85" t="s">
        <v>56</v>
      </c>
      <c r="P80" s="86" t="n">
        <v>4.5</v>
      </c>
      <c r="Q80" s="86" t="n">
        <v>13</v>
      </c>
      <c r="R80" s="87" t="n">
        <f aca="false">P80*Q80</f>
        <v>58.5</v>
      </c>
      <c r="S80" s="93"/>
      <c r="T80" s="94"/>
      <c r="U80" s="95"/>
    </row>
    <row r="81" customFormat="false" ht="18.75" hidden="false" customHeight="true" outlineLevel="0" collapsed="false">
      <c r="A81" s="91"/>
      <c r="B81" s="92" t="s">
        <v>460</v>
      </c>
      <c r="C81" s="84" t="s">
        <v>137</v>
      </c>
      <c r="D81" s="85" t="s">
        <v>56</v>
      </c>
      <c r="E81" s="86" t="n">
        <v>4</v>
      </c>
      <c r="F81" s="86" t="n">
        <v>13</v>
      </c>
      <c r="G81" s="87" t="n">
        <f aca="false">E81*F81</f>
        <v>52</v>
      </c>
      <c r="H81" s="93"/>
      <c r="I81" s="94"/>
      <c r="J81" s="95"/>
      <c r="K81" s="3"/>
      <c r="L81" s="91"/>
      <c r="M81" s="92" t="s">
        <v>460</v>
      </c>
      <c r="N81" s="84" t="s">
        <v>137</v>
      </c>
      <c r="O81" s="85" t="s">
        <v>56</v>
      </c>
      <c r="P81" s="86" t="n">
        <v>4</v>
      </c>
      <c r="Q81" s="86" t="n">
        <v>13</v>
      </c>
      <c r="R81" s="87" t="n">
        <f aca="false">P81*Q81</f>
        <v>52</v>
      </c>
      <c r="S81" s="93"/>
      <c r="T81" s="94"/>
      <c r="U81" s="95"/>
    </row>
    <row r="82" customFormat="false" ht="18.75" hidden="false" customHeight="true" outlineLevel="0" collapsed="false">
      <c r="A82" s="82" t="s">
        <v>39</v>
      </c>
      <c r="B82" s="83" t="s">
        <v>462</v>
      </c>
      <c r="C82" s="84" t="s">
        <v>420</v>
      </c>
      <c r="D82" s="85" t="s">
        <v>56</v>
      </c>
      <c r="E82" s="86" t="n">
        <v>4.25</v>
      </c>
      <c r="F82" s="86" t="n">
        <v>13</v>
      </c>
      <c r="G82" s="87" t="n">
        <f aca="false">E82*F82</f>
        <v>55.25</v>
      </c>
      <c r="H82" s="88" t="n">
        <f aca="false">SUMIF(B:B,B82,G:G)</f>
        <v>55.25</v>
      </c>
      <c r="I82" s="89" t="n">
        <v>484.5</v>
      </c>
      <c r="J82" s="90" t="n">
        <f aca="false">IFERROR((I82-H82)/I82,"")</f>
        <v>0.885964912280702</v>
      </c>
      <c r="K82" s="3"/>
      <c r="L82" s="82" t="s">
        <v>39</v>
      </c>
      <c r="M82" s="83" t="s">
        <v>462</v>
      </c>
      <c r="N82" s="84" t="s">
        <v>420</v>
      </c>
      <c r="O82" s="85" t="s">
        <v>56</v>
      </c>
      <c r="P82" s="86" t="n">
        <v>4.25</v>
      </c>
      <c r="Q82" s="86" t="n">
        <v>13</v>
      </c>
      <c r="R82" s="87" t="n">
        <f aca="false">P82*Q82</f>
        <v>55.25</v>
      </c>
      <c r="S82" s="88" t="n">
        <f aca="false">SUMIF(M:M,M82,R:R)</f>
        <v>55.25</v>
      </c>
      <c r="T82" s="89" t="n">
        <f aca="false">I82</f>
        <v>484.5</v>
      </c>
      <c r="U82" s="90" t="n">
        <f aca="false">IFERROR((T82-S82)/T82,"")</f>
        <v>0.885964912280702</v>
      </c>
    </row>
    <row r="83" customFormat="false" ht="18.75" hidden="false" customHeight="true" outlineLevel="0" collapsed="false">
      <c r="A83" s="82" t="s">
        <v>39</v>
      </c>
      <c r="B83" s="83" t="s">
        <v>463</v>
      </c>
      <c r="C83" s="84" t="s">
        <v>420</v>
      </c>
      <c r="D83" s="85" t="s">
        <v>56</v>
      </c>
      <c r="E83" s="86" t="n">
        <v>4.02</v>
      </c>
      <c r="F83" s="86" t="n">
        <v>13</v>
      </c>
      <c r="G83" s="87" t="n">
        <f aca="false">E83*F83</f>
        <v>52.26</v>
      </c>
      <c r="H83" s="88" t="n">
        <f aca="false">SUMIF(B:B,B83,G:G)</f>
        <v>52.26</v>
      </c>
      <c r="I83" s="89" t="n">
        <v>275.5</v>
      </c>
      <c r="J83" s="90" t="n">
        <f aca="false">IFERROR((I83-H83)/I83,"")</f>
        <v>0.810308529945554</v>
      </c>
      <c r="K83" s="3"/>
      <c r="L83" s="82" t="s">
        <v>39</v>
      </c>
      <c r="M83" s="83" t="s">
        <v>463</v>
      </c>
      <c r="N83" s="84" t="s">
        <v>420</v>
      </c>
      <c r="O83" s="85" t="s">
        <v>56</v>
      </c>
      <c r="P83" s="86" t="n">
        <v>4.02</v>
      </c>
      <c r="Q83" s="86" t="n">
        <v>13</v>
      </c>
      <c r="R83" s="87" t="n">
        <f aca="false">P83*Q83</f>
        <v>52.26</v>
      </c>
      <c r="S83" s="88" t="n">
        <f aca="false">SUMIF(M:M,M83,R:R)</f>
        <v>52.26</v>
      </c>
      <c r="T83" s="89" t="n">
        <f aca="false">I83</f>
        <v>275.5</v>
      </c>
      <c r="U83" s="90" t="n">
        <f aca="false">IFERROR((T83-S83)/T83,"")</f>
        <v>0.810308529945554</v>
      </c>
    </row>
    <row r="84" customFormat="false" ht="18.75" hidden="false" customHeight="true" outlineLevel="0" collapsed="false">
      <c r="A84" s="82" t="s">
        <v>39</v>
      </c>
      <c r="B84" s="83" t="s">
        <v>464</v>
      </c>
      <c r="C84" s="84" t="s">
        <v>465</v>
      </c>
      <c r="D84" s="85" t="s">
        <v>56</v>
      </c>
      <c r="E84" s="86" t="n">
        <v>7</v>
      </c>
      <c r="F84" s="86" t="n">
        <v>8</v>
      </c>
      <c r="G84" s="87" t="n">
        <f aca="false">E84*F84</f>
        <v>56</v>
      </c>
      <c r="H84" s="88" t="n">
        <f aca="false">SUMIF(B:B,B84,G:G)</f>
        <v>56</v>
      </c>
      <c r="I84" s="89" t="n">
        <v>712.5</v>
      </c>
      <c r="J84" s="90" t="n">
        <f aca="false">IFERROR((I84-H84)/I84,"")</f>
        <v>0.92140350877193</v>
      </c>
      <c r="K84" s="3"/>
      <c r="L84" s="82" t="s">
        <v>39</v>
      </c>
      <c r="M84" s="83" t="s">
        <v>464</v>
      </c>
      <c r="N84" s="84" t="s">
        <v>465</v>
      </c>
      <c r="O84" s="85" t="s">
        <v>56</v>
      </c>
      <c r="P84" s="86" t="n">
        <v>7</v>
      </c>
      <c r="Q84" s="86" t="n">
        <v>8</v>
      </c>
      <c r="R84" s="87" t="n">
        <f aca="false">P84*Q84</f>
        <v>56</v>
      </c>
      <c r="S84" s="88" t="n">
        <f aca="false">SUMIF(M:M,M84,R:R)</f>
        <v>56</v>
      </c>
      <c r="T84" s="89" t="n">
        <f aca="false">I84</f>
        <v>712.5</v>
      </c>
      <c r="U84" s="90" t="n">
        <f aca="false">IFERROR((T84-S84)/T84,"")</f>
        <v>0.92140350877193</v>
      </c>
    </row>
    <row r="85" customFormat="false" ht="18.75" hidden="false" customHeight="true" outlineLevel="0" collapsed="false">
      <c r="A85" s="82" t="s">
        <v>39</v>
      </c>
      <c r="B85" s="83" t="s">
        <v>466</v>
      </c>
      <c r="C85" s="84" t="s">
        <v>359</v>
      </c>
      <c r="D85" s="85" t="s">
        <v>56</v>
      </c>
      <c r="E85" s="86" t="n">
        <v>24.5</v>
      </c>
      <c r="F85" s="86" t="n">
        <v>16</v>
      </c>
      <c r="G85" s="87" t="n">
        <f aca="false">E85*F85</f>
        <v>392</v>
      </c>
      <c r="H85" s="88" t="n">
        <f aca="false">SUMIF(B:B,B85,G:G)</f>
        <v>2905.68</v>
      </c>
      <c r="I85" s="89" t="n">
        <v>2427</v>
      </c>
      <c r="J85" s="90" t="n">
        <f aca="false">IFERROR((I85-H85)/I85,"")</f>
        <v>-0.197231149567367</v>
      </c>
      <c r="K85" s="3"/>
      <c r="L85" s="82" t="s">
        <v>39</v>
      </c>
      <c r="M85" s="83" t="s">
        <v>466</v>
      </c>
      <c r="N85" s="84" t="s">
        <v>359</v>
      </c>
      <c r="O85" s="85" t="s">
        <v>56</v>
      </c>
      <c r="P85" s="86" t="n">
        <v>24.5</v>
      </c>
      <c r="Q85" s="86" t="n">
        <v>16</v>
      </c>
      <c r="R85" s="87" t="n">
        <f aca="false">P85*Q85</f>
        <v>392</v>
      </c>
      <c r="S85" s="88" t="n">
        <f aca="false">SUMIF(M:M,M85,R:R)</f>
        <v>2905.68</v>
      </c>
      <c r="T85" s="89" t="n">
        <f aca="false">I85</f>
        <v>2427</v>
      </c>
      <c r="U85" s="90" t="n">
        <f aca="false">IFERROR((T85-S85)/T85,"")</f>
        <v>-0.197231149567367</v>
      </c>
    </row>
    <row r="86" customFormat="false" ht="18.75" hidden="false" customHeight="true" outlineLevel="0" collapsed="false">
      <c r="A86" s="91"/>
      <c r="B86" s="92" t="s">
        <v>466</v>
      </c>
      <c r="C86" s="84" t="s">
        <v>455</v>
      </c>
      <c r="D86" s="85" t="s">
        <v>56</v>
      </c>
      <c r="E86" s="86" t="n">
        <v>16.48</v>
      </c>
      <c r="F86" s="86" t="n">
        <v>13</v>
      </c>
      <c r="G86" s="87" t="n">
        <f aca="false">E86*F86</f>
        <v>214.24</v>
      </c>
      <c r="H86" s="93"/>
      <c r="I86" s="94"/>
      <c r="J86" s="95"/>
      <c r="K86" s="3"/>
      <c r="L86" s="91"/>
      <c r="M86" s="92" t="s">
        <v>466</v>
      </c>
      <c r="N86" s="84" t="s">
        <v>455</v>
      </c>
      <c r="O86" s="85" t="s">
        <v>56</v>
      </c>
      <c r="P86" s="86" t="n">
        <v>16.48</v>
      </c>
      <c r="Q86" s="86" t="n">
        <v>13</v>
      </c>
      <c r="R86" s="87" t="n">
        <f aca="false">P86*Q86</f>
        <v>214.24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466</v>
      </c>
      <c r="C87" s="84" t="s">
        <v>467</v>
      </c>
      <c r="D87" s="85" t="s">
        <v>56</v>
      </c>
      <c r="E87" s="86" t="n">
        <v>10</v>
      </c>
      <c r="F87" s="86" t="n">
        <v>13</v>
      </c>
      <c r="G87" s="87" t="n">
        <f aca="false">E87*F87</f>
        <v>130</v>
      </c>
      <c r="H87" s="93"/>
      <c r="I87" s="94"/>
      <c r="J87" s="95"/>
      <c r="K87" s="3"/>
      <c r="L87" s="91"/>
      <c r="M87" s="92" t="s">
        <v>466</v>
      </c>
      <c r="N87" s="84" t="s">
        <v>467</v>
      </c>
      <c r="O87" s="85" t="s">
        <v>56</v>
      </c>
      <c r="P87" s="86" t="n">
        <v>10</v>
      </c>
      <c r="Q87" s="86" t="n">
        <v>13</v>
      </c>
      <c r="R87" s="87" t="n">
        <f aca="false">P87*Q87</f>
        <v>130</v>
      </c>
      <c r="S87" s="93"/>
      <c r="T87" s="94"/>
      <c r="U87" s="95"/>
    </row>
    <row r="88" customFormat="false" ht="18.75" hidden="false" customHeight="true" outlineLevel="0" collapsed="false">
      <c r="A88" s="91"/>
      <c r="B88" s="92" t="s">
        <v>466</v>
      </c>
      <c r="C88" s="84" t="s">
        <v>411</v>
      </c>
      <c r="D88" s="85" t="s">
        <v>56</v>
      </c>
      <c r="E88" s="86" t="n">
        <v>21</v>
      </c>
      <c r="F88" s="86" t="n">
        <v>16</v>
      </c>
      <c r="G88" s="87" t="n">
        <f aca="false">E88*F88</f>
        <v>336</v>
      </c>
      <c r="H88" s="93"/>
      <c r="I88" s="94"/>
      <c r="J88" s="95"/>
      <c r="K88" s="3"/>
      <c r="L88" s="91"/>
      <c r="M88" s="92" t="s">
        <v>466</v>
      </c>
      <c r="N88" s="84" t="s">
        <v>411</v>
      </c>
      <c r="O88" s="85" t="s">
        <v>56</v>
      </c>
      <c r="P88" s="86" t="n">
        <v>21</v>
      </c>
      <c r="Q88" s="86" t="n">
        <v>16</v>
      </c>
      <c r="R88" s="87" t="n">
        <f aca="false">P88*Q88</f>
        <v>336</v>
      </c>
      <c r="S88" s="93"/>
      <c r="T88" s="94"/>
      <c r="U88" s="95"/>
    </row>
    <row r="89" customFormat="false" ht="18.75" hidden="false" customHeight="true" outlineLevel="0" collapsed="false">
      <c r="A89" s="91"/>
      <c r="B89" s="92" t="s">
        <v>466</v>
      </c>
      <c r="C89" s="84" t="s">
        <v>468</v>
      </c>
      <c r="D89" s="85" t="s">
        <v>56</v>
      </c>
      <c r="E89" s="86" t="n">
        <v>4.25</v>
      </c>
      <c r="F89" s="86" t="n">
        <v>8</v>
      </c>
      <c r="G89" s="87" t="n">
        <f aca="false">E89*F89</f>
        <v>34</v>
      </c>
      <c r="H89" s="93"/>
      <c r="I89" s="94"/>
      <c r="J89" s="95"/>
      <c r="K89" s="3"/>
      <c r="L89" s="91"/>
      <c r="M89" s="92" t="s">
        <v>466</v>
      </c>
      <c r="N89" s="84" t="s">
        <v>468</v>
      </c>
      <c r="O89" s="85" t="s">
        <v>56</v>
      </c>
      <c r="P89" s="86" t="n">
        <v>4.25</v>
      </c>
      <c r="Q89" s="86" t="n">
        <v>8</v>
      </c>
      <c r="R89" s="87" t="n">
        <f aca="false">P89*Q89</f>
        <v>34</v>
      </c>
      <c r="S89" s="93"/>
      <c r="T89" s="94"/>
      <c r="U89" s="95"/>
    </row>
    <row r="90" customFormat="false" ht="18.75" hidden="false" customHeight="true" outlineLevel="0" collapsed="false">
      <c r="A90" s="91"/>
      <c r="B90" s="92" t="s">
        <v>466</v>
      </c>
      <c r="C90" s="84" t="s">
        <v>420</v>
      </c>
      <c r="D90" s="85" t="s">
        <v>56</v>
      </c>
      <c r="E90" s="86" t="n">
        <v>13.78</v>
      </c>
      <c r="F90" s="86" t="n">
        <v>13</v>
      </c>
      <c r="G90" s="87" t="n">
        <f aca="false">E90*F90</f>
        <v>179.14</v>
      </c>
      <c r="H90" s="93"/>
      <c r="I90" s="94"/>
      <c r="J90" s="95"/>
      <c r="K90" s="3"/>
      <c r="L90" s="91"/>
      <c r="M90" s="92" t="s">
        <v>466</v>
      </c>
      <c r="N90" s="84" t="s">
        <v>420</v>
      </c>
      <c r="O90" s="85" t="s">
        <v>56</v>
      </c>
      <c r="P90" s="86" t="n">
        <v>13.78</v>
      </c>
      <c r="Q90" s="86" t="n">
        <v>13</v>
      </c>
      <c r="R90" s="87" t="n">
        <f aca="false">P90*Q90</f>
        <v>179.14</v>
      </c>
      <c r="S90" s="93"/>
      <c r="T90" s="94"/>
      <c r="U90" s="95"/>
    </row>
    <row r="91" customFormat="false" ht="18.75" hidden="false" customHeight="true" outlineLevel="0" collapsed="false">
      <c r="A91" s="91"/>
      <c r="B91" s="92" t="s">
        <v>466</v>
      </c>
      <c r="C91" s="84" t="s">
        <v>137</v>
      </c>
      <c r="D91" s="85" t="s">
        <v>56</v>
      </c>
      <c r="E91" s="86" t="n">
        <v>14.8</v>
      </c>
      <c r="F91" s="86" t="n">
        <v>13</v>
      </c>
      <c r="G91" s="87" t="n">
        <f aca="false">E91*F91</f>
        <v>192.4</v>
      </c>
      <c r="H91" s="93"/>
      <c r="I91" s="94"/>
      <c r="J91" s="95"/>
      <c r="K91" s="3"/>
      <c r="L91" s="91"/>
      <c r="M91" s="92" t="s">
        <v>466</v>
      </c>
      <c r="N91" s="84" t="s">
        <v>137</v>
      </c>
      <c r="O91" s="85" t="s">
        <v>56</v>
      </c>
      <c r="P91" s="86" t="n">
        <v>14.8</v>
      </c>
      <c r="Q91" s="86" t="n">
        <v>13</v>
      </c>
      <c r="R91" s="87" t="n">
        <f aca="false">P91*Q91</f>
        <v>192.4</v>
      </c>
      <c r="S91" s="93"/>
      <c r="T91" s="94"/>
      <c r="U91" s="95"/>
    </row>
    <row r="92" customFormat="false" ht="18.75" hidden="false" customHeight="true" outlineLevel="0" collapsed="false">
      <c r="A92" s="91"/>
      <c r="B92" s="92" t="s">
        <v>466</v>
      </c>
      <c r="C92" s="84" t="s">
        <v>160</v>
      </c>
      <c r="D92" s="85" t="s">
        <v>56</v>
      </c>
      <c r="E92" s="86" t="n">
        <v>18.38</v>
      </c>
      <c r="F92" s="86" t="n">
        <v>13</v>
      </c>
      <c r="G92" s="87" t="n">
        <f aca="false">E92*F92</f>
        <v>238.94</v>
      </c>
      <c r="H92" s="93"/>
      <c r="I92" s="94"/>
      <c r="J92" s="95"/>
      <c r="K92" s="3"/>
      <c r="L92" s="91"/>
      <c r="M92" s="92" t="s">
        <v>466</v>
      </c>
      <c r="N92" s="84" t="s">
        <v>160</v>
      </c>
      <c r="O92" s="85" t="s">
        <v>56</v>
      </c>
      <c r="P92" s="86" t="n">
        <v>18.38</v>
      </c>
      <c r="Q92" s="86" t="n">
        <v>13</v>
      </c>
      <c r="R92" s="87" t="n">
        <f aca="false">P92*Q92</f>
        <v>238.94</v>
      </c>
      <c r="S92" s="93"/>
      <c r="T92" s="94"/>
      <c r="U92" s="95"/>
    </row>
    <row r="93" customFormat="false" ht="18.75" hidden="false" customHeight="true" outlineLevel="0" collapsed="false">
      <c r="A93" s="91"/>
      <c r="B93" s="92" t="s">
        <v>466</v>
      </c>
      <c r="C93" s="84" t="s">
        <v>469</v>
      </c>
      <c r="D93" s="85" t="s">
        <v>56</v>
      </c>
      <c r="E93" s="86" t="n">
        <v>14.4</v>
      </c>
      <c r="F93" s="86" t="n">
        <v>13</v>
      </c>
      <c r="G93" s="87" t="n">
        <f aca="false">E93*F93</f>
        <v>187.2</v>
      </c>
      <c r="H93" s="93"/>
      <c r="I93" s="94"/>
      <c r="J93" s="95"/>
      <c r="K93" s="3"/>
      <c r="L93" s="91"/>
      <c r="M93" s="92" t="s">
        <v>466</v>
      </c>
      <c r="N93" s="84" t="s">
        <v>469</v>
      </c>
      <c r="O93" s="85" t="s">
        <v>56</v>
      </c>
      <c r="P93" s="86" t="n">
        <v>14.4</v>
      </c>
      <c r="Q93" s="86" t="n">
        <v>13</v>
      </c>
      <c r="R93" s="87" t="n">
        <f aca="false">P93*Q93</f>
        <v>187.2</v>
      </c>
      <c r="S93" s="93"/>
      <c r="T93" s="94"/>
      <c r="U93" s="95"/>
    </row>
    <row r="94" customFormat="false" ht="18.75" hidden="false" customHeight="true" outlineLevel="0" collapsed="false">
      <c r="A94" s="91"/>
      <c r="B94" s="92" t="s">
        <v>466</v>
      </c>
      <c r="C94" s="84" t="s">
        <v>470</v>
      </c>
      <c r="D94" s="85" t="s">
        <v>56</v>
      </c>
      <c r="E94" s="86" t="n">
        <v>8.61</v>
      </c>
      <c r="F94" s="86" t="n">
        <v>13</v>
      </c>
      <c r="G94" s="87" t="n">
        <f aca="false">E94*F94</f>
        <v>111.93</v>
      </c>
      <c r="H94" s="93"/>
      <c r="I94" s="94"/>
      <c r="J94" s="95"/>
      <c r="K94" s="3"/>
      <c r="L94" s="91"/>
      <c r="M94" s="92" t="s">
        <v>466</v>
      </c>
      <c r="N94" s="84" t="s">
        <v>470</v>
      </c>
      <c r="O94" s="85" t="s">
        <v>56</v>
      </c>
      <c r="P94" s="86" t="n">
        <v>8.61</v>
      </c>
      <c r="Q94" s="86" t="n">
        <v>13</v>
      </c>
      <c r="R94" s="87" t="n">
        <f aca="false">P94*Q94</f>
        <v>111.93</v>
      </c>
      <c r="S94" s="93"/>
      <c r="T94" s="94"/>
      <c r="U94" s="95"/>
    </row>
    <row r="95" customFormat="false" ht="18.75" hidden="false" customHeight="true" outlineLevel="0" collapsed="false">
      <c r="A95" s="91"/>
      <c r="B95" s="92" t="s">
        <v>466</v>
      </c>
      <c r="C95" s="84" t="s">
        <v>101</v>
      </c>
      <c r="D95" s="85" t="s">
        <v>56</v>
      </c>
      <c r="E95" s="86" t="n">
        <v>9.75</v>
      </c>
      <c r="F95" s="86" t="n">
        <v>13</v>
      </c>
      <c r="G95" s="87" t="n">
        <f aca="false">E95*F95</f>
        <v>126.75</v>
      </c>
      <c r="H95" s="93"/>
      <c r="I95" s="94"/>
      <c r="J95" s="95"/>
      <c r="K95" s="3"/>
      <c r="L95" s="91"/>
      <c r="M95" s="92" t="s">
        <v>466</v>
      </c>
      <c r="N95" s="84" t="s">
        <v>101</v>
      </c>
      <c r="O95" s="85" t="s">
        <v>56</v>
      </c>
      <c r="P95" s="86" t="n">
        <v>9.75</v>
      </c>
      <c r="Q95" s="86" t="n">
        <v>13</v>
      </c>
      <c r="R95" s="87" t="n">
        <f aca="false">P95*Q95</f>
        <v>126.75</v>
      </c>
      <c r="S95" s="93"/>
      <c r="T95" s="94"/>
      <c r="U95" s="95"/>
    </row>
    <row r="96" customFormat="false" ht="18.75" hidden="false" customHeight="true" outlineLevel="0" collapsed="false">
      <c r="A96" s="91"/>
      <c r="B96" s="92" t="s">
        <v>466</v>
      </c>
      <c r="C96" s="84" t="s">
        <v>471</v>
      </c>
      <c r="D96" s="85" t="s">
        <v>56</v>
      </c>
      <c r="E96" s="86" t="n">
        <v>18.5</v>
      </c>
      <c r="F96" s="86" t="n">
        <v>13</v>
      </c>
      <c r="G96" s="87" t="n">
        <f aca="false">E96*F96</f>
        <v>240.5</v>
      </c>
      <c r="H96" s="93"/>
      <c r="I96" s="94"/>
      <c r="J96" s="95"/>
      <c r="K96" s="3"/>
      <c r="L96" s="91"/>
      <c r="M96" s="92" t="s">
        <v>466</v>
      </c>
      <c r="N96" s="84" t="s">
        <v>471</v>
      </c>
      <c r="O96" s="85" t="s">
        <v>56</v>
      </c>
      <c r="P96" s="86" t="n">
        <v>18.5</v>
      </c>
      <c r="Q96" s="86" t="n">
        <v>13</v>
      </c>
      <c r="R96" s="87" t="n">
        <f aca="false">P96*Q96</f>
        <v>240.5</v>
      </c>
      <c r="S96" s="93"/>
      <c r="T96" s="94"/>
      <c r="U96" s="95"/>
    </row>
    <row r="97" customFormat="false" ht="18.75" hidden="false" customHeight="true" outlineLevel="0" collapsed="false">
      <c r="A97" s="91"/>
      <c r="B97" s="92" t="s">
        <v>466</v>
      </c>
      <c r="C97" s="84" t="s">
        <v>424</v>
      </c>
      <c r="D97" s="85" t="s">
        <v>56</v>
      </c>
      <c r="E97" s="86" t="n">
        <v>16.66</v>
      </c>
      <c r="F97" s="86" t="n">
        <v>13</v>
      </c>
      <c r="G97" s="87" t="n">
        <f aca="false">E97*F97</f>
        <v>216.58</v>
      </c>
      <c r="H97" s="93"/>
      <c r="I97" s="94"/>
      <c r="J97" s="95"/>
      <c r="K97" s="3"/>
      <c r="L97" s="91"/>
      <c r="M97" s="92" t="s">
        <v>466</v>
      </c>
      <c r="N97" s="84" t="s">
        <v>424</v>
      </c>
      <c r="O97" s="85" t="s">
        <v>56</v>
      </c>
      <c r="P97" s="86" t="n">
        <v>16.66</v>
      </c>
      <c r="Q97" s="86" t="n">
        <v>13</v>
      </c>
      <c r="R97" s="87" t="n">
        <f aca="false">P97*Q97</f>
        <v>216.58</v>
      </c>
      <c r="S97" s="93"/>
      <c r="T97" s="94"/>
      <c r="U97" s="95"/>
    </row>
    <row r="98" customFormat="false" ht="18.75" hidden="false" customHeight="true" outlineLevel="0" collapsed="false">
      <c r="A98" s="91"/>
      <c r="B98" s="92" t="s">
        <v>466</v>
      </c>
      <c r="C98" s="84" t="s">
        <v>417</v>
      </c>
      <c r="D98" s="85" t="s">
        <v>56</v>
      </c>
      <c r="E98" s="86" t="n">
        <v>10</v>
      </c>
      <c r="F98" s="86" t="n">
        <v>13</v>
      </c>
      <c r="G98" s="87" t="n">
        <f aca="false">E98*F98</f>
        <v>130</v>
      </c>
      <c r="H98" s="93"/>
      <c r="I98" s="94"/>
      <c r="J98" s="95"/>
      <c r="K98" s="3"/>
      <c r="L98" s="91"/>
      <c r="M98" s="92" t="s">
        <v>466</v>
      </c>
      <c r="N98" s="84" t="s">
        <v>417</v>
      </c>
      <c r="O98" s="85" t="s">
        <v>56</v>
      </c>
      <c r="P98" s="86" t="n">
        <v>10</v>
      </c>
      <c r="Q98" s="86" t="n">
        <v>13</v>
      </c>
      <c r="R98" s="87" t="n">
        <f aca="false">P98*Q98</f>
        <v>130</v>
      </c>
      <c r="S98" s="93"/>
      <c r="T98" s="94"/>
      <c r="U98" s="95"/>
    </row>
    <row r="99" customFormat="false" ht="18.75" hidden="false" customHeight="true" outlineLevel="0" collapsed="false">
      <c r="A99" s="91"/>
      <c r="B99" s="92" t="s">
        <v>466</v>
      </c>
      <c r="C99" s="84" t="s">
        <v>472</v>
      </c>
      <c r="D99" s="96" t="s">
        <v>57</v>
      </c>
      <c r="E99" s="91"/>
      <c r="F99" s="91"/>
      <c r="G99" s="87" t="n">
        <v>28</v>
      </c>
      <c r="H99" s="93"/>
      <c r="I99" s="94"/>
      <c r="J99" s="95"/>
      <c r="K99" s="3"/>
      <c r="L99" s="91"/>
      <c r="M99" s="92" t="s">
        <v>466</v>
      </c>
      <c r="N99" s="84" t="s">
        <v>472</v>
      </c>
      <c r="O99" s="96" t="s">
        <v>57</v>
      </c>
      <c r="P99" s="91"/>
      <c r="Q99" s="91"/>
      <c r="R99" s="87" t="n">
        <v>28</v>
      </c>
      <c r="S99" s="93"/>
      <c r="T99" s="94"/>
      <c r="U99" s="95"/>
    </row>
    <row r="100" customFormat="false" ht="18.75" hidden="false" customHeight="true" outlineLevel="0" collapsed="false">
      <c r="A100" s="91"/>
      <c r="B100" s="92" t="s">
        <v>466</v>
      </c>
      <c r="C100" s="84" t="s">
        <v>449</v>
      </c>
      <c r="D100" s="96" t="s">
        <v>57</v>
      </c>
      <c r="E100" s="91"/>
      <c r="F100" s="91"/>
      <c r="G100" s="87" t="n">
        <v>148</v>
      </c>
      <c r="H100" s="93"/>
      <c r="I100" s="94"/>
      <c r="J100" s="95"/>
      <c r="K100" s="3"/>
      <c r="L100" s="91"/>
      <c r="M100" s="92" t="s">
        <v>466</v>
      </c>
      <c r="N100" s="84" t="s">
        <v>449</v>
      </c>
      <c r="O100" s="96" t="s">
        <v>57</v>
      </c>
      <c r="P100" s="91"/>
      <c r="Q100" s="91"/>
      <c r="R100" s="87" t="n">
        <v>148</v>
      </c>
      <c r="S100" s="93"/>
      <c r="T100" s="94"/>
      <c r="U100" s="95"/>
    </row>
    <row r="101" customFormat="false" ht="18.75" hidden="false" customHeight="true" outlineLevel="0" collapsed="false">
      <c r="A101" s="82" t="s">
        <v>39</v>
      </c>
      <c r="B101" s="83" t="s">
        <v>473</v>
      </c>
      <c r="C101" s="84" t="s">
        <v>411</v>
      </c>
      <c r="D101" s="85" t="s">
        <v>56</v>
      </c>
      <c r="E101" s="86" t="n">
        <v>21</v>
      </c>
      <c r="F101" s="86" t="n">
        <v>16</v>
      </c>
      <c r="G101" s="87" t="n">
        <f aca="false">E101*F101</f>
        <v>336</v>
      </c>
      <c r="H101" s="88" t="n">
        <f aca="false">SUMIF(B:B,B101,G:G)</f>
        <v>2083.79</v>
      </c>
      <c r="I101" s="89" t="n">
        <v>2110</v>
      </c>
      <c r="J101" s="90" t="n">
        <f aca="false">IFERROR((I101-H101)/I101,"")</f>
        <v>0.0124218009478673</v>
      </c>
      <c r="K101" s="3"/>
      <c r="L101" s="82" t="s">
        <v>39</v>
      </c>
      <c r="M101" s="83" t="s">
        <v>473</v>
      </c>
      <c r="N101" s="84" t="s">
        <v>411</v>
      </c>
      <c r="O101" s="85" t="s">
        <v>56</v>
      </c>
      <c r="P101" s="86" t="n">
        <v>21</v>
      </c>
      <c r="Q101" s="86" t="n">
        <v>16</v>
      </c>
      <c r="R101" s="87" t="n">
        <f aca="false">P101*Q101</f>
        <v>336</v>
      </c>
      <c r="S101" s="88" t="n">
        <f aca="false">SUMIF(M:M,M101,R:R)</f>
        <v>2083.79</v>
      </c>
      <c r="T101" s="89" t="n">
        <f aca="false">I101</f>
        <v>2110</v>
      </c>
      <c r="U101" s="90" t="n">
        <f aca="false">IFERROR((T101-S101)/T101,"")</f>
        <v>0.0124218009478673</v>
      </c>
    </row>
    <row r="102" customFormat="false" ht="18.75" hidden="false" customHeight="true" outlineLevel="0" collapsed="false">
      <c r="A102" s="91"/>
      <c r="B102" s="92" t="s">
        <v>473</v>
      </c>
      <c r="C102" s="84" t="s">
        <v>474</v>
      </c>
      <c r="D102" s="85" t="s">
        <v>56</v>
      </c>
      <c r="E102" s="86" t="n">
        <v>14</v>
      </c>
      <c r="F102" s="86" t="n">
        <v>8</v>
      </c>
      <c r="G102" s="87" t="n">
        <f aca="false">E102*F102</f>
        <v>112</v>
      </c>
      <c r="H102" s="93"/>
      <c r="I102" s="94"/>
      <c r="J102" s="95"/>
      <c r="K102" s="3"/>
      <c r="L102" s="91"/>
      <c r="M102" s="92" t="s">
        <v>473</v>
      </c>
      <c r="N102" s="84" t="s">
        <v>474</v>
      </c>
      <c r="O102" s="85" t="s">
        <v>56</v>
      </c>
      <c r="P102" s="86" t="n">
        <v>14</v>
      </c>
      <c r="Q102" s="86" t="n">
        <v>8</v>
      </c>
      <c r="R102" s="87" t="n">
        <f aca="false">P102*Q102</f>
        <v>112</v>
      </c>
      <c r="S102" s="93"/>
      <c r="T102" s="94"/>
      <c r="U102" s="95"/>
    </row>
    <row r="103" customFormat="false" ht="18.75" hidden="false" customHeight="true" outlineLevel="0" collapsed="false">
      <c r="A103" s="91"/>
      <c r="B103" s="92" t="s">
        <v>473</v>
      </c>
      <c r="C103" s="84" t="s">
        <v>455</v>
      </c>
      <c r="D103" s="85" t="s">
        <v>56</v>
      </c>
      <c r="E103" s="86" t="n">
        <v>10.16</v>
      </c>
      <c r="F103" s="86" t="n">
        <v>13</v>
      </c>
      <c r="G103" s="87" t="n">
        <f aca="false">E103*F103</f>
        <v>132.08</v>
      </c>
      <c r="H103" s="93"/>
      <c r="I103" s="94"/>
      <c r="J103" s="95"/>
      <c r="K103" s="3"/>
      <c r="L103" s="91"/>
      <c r="M103" s="92" t="s">
        <v>473</v>
      </c>
      <c r="N103" s="84" t="s">
        <v>455</v>
      </c>
      <c r="O103" s="85" t="s">
        <v>56</v>
      </c>
      <c r="P103" s="86" t="n">
        <v>10.16</v>
      </c>
      <c r="Q103" s="86" t="n">
        <v>13</v>
      </c>
      <c r="R103" s="87" t="n">
        <f aca="false">P103*Q103</f>
        <v>132.08</v>
      </c>
      <c r="S103" s="93"/>
      <c r="T103" s="94"/>
      <c r="U103" s="95"/>
    </row>
    <row r="104" customFormat="false" ht="18.75" hidden="false" customHeight="true" outlineLevel="0" collapsed="false">
      <c r="A104" s="91"/>
      <c r="B104" s="92" t="s">
        <v>473</v>
      </c>
      <c r="C104" s="84" t="s">
        <v>475</v>
      </c>
      <c r="D104" s="85" t="s">
        <v>56</v>
      </c>
      <c r="E104" s="86" t="n">
        <v>4</v>
      </c>
      <c r="F104" s="86" t="n">
        <v>13</v>
      </c>
      <c r="G104" s="87" t="n">
        <f aca="false">E104*F104</f>
        <v>52</v>
      </c>
      <c r="H104" s="93"/>
      <c r="I104" s="94"/>
      <c r="J104" s="95"/>
      <c r="K104" s="3"/>
      <c r="L104" s="91"/>
      <c r="M104" s="92" t="s">
        <v>473</v>
      </c>
      <c r="N104" s="84" t="s">
        <v>475</v>
      </c>
      <c r="O104" s="85" t="s">
        <v>56</v>
      </c>
      <c r="P104" s="86" t="n">
        <v>4</v>
      </c>
      <c r="Q104" s="86" t="n">
        <v>13</v>
      </c>
      <c r="R104" s="87" t="n">
        <f aca="false">P104*Q104</f>
        <v>52</v>
      </c>
      <c r="S104" s="93"/>
      <c r="T104" s="94"/>
      <c r="U104" s="95"/>
    </row>
    <row r="105" customFormat="false" ht="18.75" hidden="false" customHeight="true" outlineLevel="0" collapsed="false">
      <c r="A105" s="91"/>
      <c r="B105" s="92" t="s">
        <v>473</v>
      </c>
      <c r="C105" s="84" t="s">
        <v>476</v>
      </c>
      <c r="D105" s="85" t="s">
        <v>56</v>
      </c>
      <c r="E105" s="86" t="n">
        <v>6</v>
      </c>
      <c r="F105" s="86" t="n">
        <v>13</v>
      </c>
      <c r="G105" s="87" t="n">
        <f aca="false">E105*F105</f>
        <v>78</v>
      </c>
      <c r="H105" s="93"/>
      <c r="I105" s="94"/>
      <c r="J105" s="95"/>
      <c r="K105" s="3"/>
      <c r="L105" s="91"/>
      <c r="M105" s="92" t="s">
        <v>473</v>
      </c>
      <c r="N105" s="84" t="s">
        <v>476</v>
      </c>
      <c r="O105" s="85" t="s">
        <v>56</v>
      </c>
      <c r="P105" s="86" t="n">
        <v>6</v>
      </c>
      <c r="Q105" s="86" t="n">
        <v>13</v>
      </c>
      <c r="R105" s="87" t="n">
        <f aca="false">P105*Q105</f>
        <v>78</v>
      </c>
      <c r="S105" s="93"/>
      <c r="T105" s="94"/>
      <c r="U105" s="95"/>
    </row>
    <row r="106" customFormat="false" ht="18.75" hidden="false" customHeight="true" outlineLevel="0" collapsed="false">
      <c r="A106" s="91"/>
      <c r="B106" s="92" t="s">
        <v>473</v>
      </c>
      <c r="C106" s="84" t="s">
        <v>162</v>
      </c>
      <c r="D106" s="85" t="s">
        <v>56</v>
      </c>
      <c r="E106" s="86" t="n">
        <v>3.75</v>
      </c>
      <c r="F106" s="86" t="n">
        <v>13</v>
      </c>
      <c r="G106" s="87" t="n">
        <f aca="false">E106*F106</f>
        <v>48.75</v>
      </c>
      <c r="H106" s="93"/>
      <c r="I106" s="94"/>
      <c r="J106" s="95"/>
      <c r="K106" s="3"/>
      <c r="L106" s="91"/>
      <c r="M106" s="92" t="s">
        <v>473</v>
      </c>
      <c r="N106" s="84" t="s">
        <v>162</v>
      </c>
      <c r="O106" s="85" t="s">
        <v>56</v>
      </c>
      <c r="P106" s="86" t="n">
        <v>3.75</v>
      </c>
      <c r="Q106" s="86" t="n">
        <v>13</v>
      </c>
      <c r="R106" s="87" t="n">
        <f aca="false">P106*Q106</f>
        <v>48.75</v>
      </c>
      <c r="S106" s="93"/>
      <c r="T106" s="94"/>
      <c r="U106" s="95"/>
    </row>
    <row r="107" customFormat="false" ht="18.75" hidden="false" customHeight="true" outlineLevel="0" collapsed="false">
      <c r="A107" s="91"/>
      <c r="B107" s="92" t="s">
        <v>473</v>
      </c>
      <c r="C107" s="84" t="s">
        <v>477</v>
      </c>
      <c r="D107" s="85" t="s">
        <v>56</v>
      </c>
      <c r="E107" s="86" t="n">
        <v>17.15</v>
      </c>
      <c r="F107" s="86" t="n">
        <v>13</v>
      </c>
      <c r="G107" s="87" t="n">
        <f aca="false">E107*F107</f>
        <v>222.95</v>
      </c>
      <c r="H107" s="93"/>
      <c r="I107" s="94"/>
      <c r="J107" s="95"/>
      <c r="K107" s="3"/>
      <c r="L107" s="91"/>
      <c r="M107" s="92" t="s">
        <v>473</v>
      </c>
      <c r="N107" s="84" t="s">
        <v>477</v>
      </c>
      <c r="O107" s="85" t="s">
        <v>56</v>
      </c>
      <c r="P107" s="86" t="n">
        <v>17.15</v>
      </c>
      <c r="Q107" s="86" t="n">
        <v>13</v>
      </c>
      <c r="R107" s="87" t="n">
        <f aca="false">P107*Q107</f>
        <v>222.95</v>
      </c>
      <c r="S107" s="93"/>
      <c r="T107" s="94"/>
      <c r="U107" s="95"/>
    </row>
    <row r="108" customFormat="false" ht="18.75" hidden="false" customHeight="true" outlineLevel="0" collapsed="false">
      <c r="A108" s="91"/>
      <c r="B108" s="92" t="s">
        <v>473</v>
      </c>
      <c r="C108" s="84" t="s">
        <v>424</v>
      </c>
      <c r="D108" s="85" t="s">
        <v>56</v>
      </c>
      <c r="E108" s="86" t="n">
        <v>10.9</v>
      </c>
      <c r="F108" s="86" t="n">
        <v>13</v>
      </c>
      <c r="G108" s="87" t="n">
        <f aca="false">E108*F108</f>
        <v>141.7</v>
      </c>
      <c r="H108" s="93"/>
      <c r="I108" s="94"/>
      <c r="J108" s="95"/>
      <c r="K108" s="3"/>
      <c r="L108" s="91"/>
      <c r="M108" s="92" t="s">
        <v>473</v>
      </c>
      <c r="N108" s="84" t="s">
        <v>424</v>
      </c>
      <c r="O108" s="85" t="s">
        <v>56</v>
      </c>
      <c r="P108" s="86" t="n">
        <v>10.9</v>
      </c>
      <c r="Q108" s="86" t="n">
        <v>13</v>
      </c>
      <c r="R108" s="87" t="n">
        <f aca="false">P108*Q108</f>
        <v>141.7</v>
      </c>
      <c r="S108" s="93"/>
      <c r="T108" s="94"/>
      <c r="U108" s="95"/>
    </row>
    <row r="109" customFormat="false" ht="18.75" hidden="false" customHeight="true" outlineLevel="0" collapsed="false">
      <c r="A109" s="91"/>
      <c r="B109" s="92" t="s">
        <v>473</v>
      </c>
      <c r="C109" s="84" t="s">
        <v>137</v>
      </c>
      <c r="D109" s="85" t="s">
        <v>56</v>
      </c>
      <c r="E109" s="86" t="n">
        <v>8</v>
      </c>
      <c r="F109" s="86" t="n">
        <v>13</v>
      </c>
      <c r="G109" s="87" t="n">
        <f aca="false">E109*F109</f>
        <v>104</v>
      </c>
      <c r="H109" s="93"/>
      <c r="I109" s="94"/>
      <c r="J109" s="95"/>
      <c r="K109" s="3"/>
      <c r="L109" s="91"/>
      <c r="M109" s="92" t="s">
        <v>473</v>
      </c>
      <c r="N109" s="84" t="s">
        <v>137</v>
      </c>
      <c r="O109" s="85" t="s">
        <v>56</v>
      </c>
      <c r="P109" s="86" t="n">
        <v>8</v>
      </c>
      <c r="Q109" s="86" t="n">
        <v>13</v>
      </c>
      <c r="R109" s="87" t="n">
        <f aca="false">P109*Q109</f>
        <v>104</v>
      </c>
      <c r="S109" s="93"/>
      <c r="T109" s="94"/>
      <c r="U109" s="95"/>
    </row>
    <row r="110" customFormat="false" ht="18.75" hidden="false" customHeight="true" outlineLevel="0" collapsed="false">
      <c r="A110" s="91"/>
      <c r="B110" s="92" t="s">
        <v>473</v>
      </c>
      <c r="C110" s="84" t="s">
        <v>478</v>
      </c>
      <c r="D110" s="85" t="s">
        <v>56</v>
      </c>
      <c r="E110" s="86" t="n">
        <v>12</v>
      </c>
      <c r="F110" s="86" t="n">
        <v>13</v>
      </c>
      <c r="G110" s="87" t="n">
        <f aca="false">E110*F110</f>
        <v>156</v>
      </c>
      <c r="H110" s="93"/>
      <c r="I110" s="94"/>
      <c r="J110" s="95"/>
      <c r="K110" s="3"/>
      <c r="L110" s="91"/>
      <c r="M110" s="92" t="s">
        <v>473</v>
      </c>
      <c r="N110" s="84" t="s">
        <v>478</v>
      </c>
      <c r="O110" s="85" t="s">
        <v>56</v>
      </c>
      <c r="P110" s="86" t="n">
        <v>12</v>
      </c>
      <c r="Q110" s="86" t="n">
        <v>13</v>
      </c>
      <c r="R110" s="87" t="n">
        <f aca="false">P110*Q110</f>
        <v>156</v>
      </c>
      <c r="S110" s="93"/>
      <c r="T110" s="94"/>
      <c r="U110" s="95"/>
    </row>
    <row r="111" customFormat="false" ht="18.75" hidden="false" customHeight="true" outlineLevel="0" collapsed="false">
      <c r="A111" s="91"/>
      <c r="B111" s="92" t="s">
        <v>473</v>
      </c>
      <c r="C111" s="84" t="s">
        <v>151</v>
      </c>
      <c r="D111" s="85" t="s">
        <v>56</v>
      </c>
      <c r="E111" s="86" t="n">
        <v>6.92</v>
      </c>
      <c r="F111" s="86" t="n">
        <v>13</v>
      </c>
      <c r="G111" s="87" t="n">
        <f aca="false">E111*F111</f>
        <v>89.96</v>
      </c>
      <c r="H111" s="93"/>
      <c r="I111" s="94"/>
      <c r="J111" s="95"/>
      <c r="K111" s="3"/>
      <c r="L111" s="91"/>
      <c r="M111" s="92" t="s">
        <v>473</v>
      </c>
      <c r="N111" s="84" t="s">
        <v>151</v>
      </c>
      <c r="O111" s="85" t="s">
        <v>56</v>
      </c>
      <c r="P111" s="86" t="n">
        <v>6.92</v>
      </c>
      <c r="Q111" s="86" t="n">
        <v>13</v>
      </c>
      <c r="R111" s="87" t="n">
        <f aca="false">P111*Q111</f>
        <v>89.96</v>
      </c>
      <c r="S111" s="93"/>
      <c r="T111" s="94"/>
      <c r="U111" s="95"/>
    </row>
    <row r="112" customFormat="false" ht="18.75" hidden="false" customHeight="true" outlineLevel="0" collapsed="false">
      <c r="A112" s="91"/>
      <c r="B112" s="92" t="s">
        <v>473</v>
      </c>
      <c r="C112" s="84" t="s">
        <v>420</v>
      </c>
      <c r="D112" s="85" t="s">
        <v>56</v>
      </c>
      <c r="E112" s="86" t="n">
        <v>11.5</v>
      </c>
      <c r="F112" s="86" t="n">
        <v>13</v>
      </c>
      <c r="G112" s="87" t="n">
        <f aca="false">E112*F112</f>
        <v>149.5</v>
      </c>
      <c r="H112" s="93"/>
      <c r="I112" s="94"/>
      <c r="J112" s="95"/>
      <c r="K112" s="3"/>
      <c r="L112" s="91"/>
      <c r="M112" s="92" t="s">
        <v>473</v>
      </c>
      <c r="N112" s="84" t="s">
        <v>420</v>
      </c>
      <c r="O112" s="85" t="s">
        <v>56</v>
      </c>
      <c r="P112" s="86" t="n">
        <v>11.5</v>
      </c>
      <c r="Q112" s="86" t="n">
        <v>13</v>
      </c>
      <c r="R112" s="87" t="n">
        <f aca="false">P112*Q112</f>
        <v>149.5</v>
      </c>
      <c r="S112" s="93"/>
      <c r="T112" s="94"/>
      <c r="U112" s="95"/>
    </row>
    <row r="113" customFormat="false" ht="18.75" hidden="false" customHeight="true" outlineLevel="0" collapsed="false">
      <c r="A113" s="91"/>
      <c r="B113" s="92" t="s">
        <v>473</v>
      </c>
      <c r="C113" s="84" t="s">
        <v>479</v>
      </c>
      <c r="D113" s="85" t="s">
        <v>56</v>
      </c>
      <c r="E113" s="86" t="n">
        <v>5.3</v>
      </c>
      <c r="F113" s="86" t="n">
        <v>13</v>
      </c>
      <c r="G113" s="87" t="n">
        <f aca="false">E113*F113</f>
        <v>68.9</v>
      </c>
      <c r="H113" s="93"/>
      <c r="I113" s="94"/>
      <c r="J113" s="95"/>
      <c r="K113" s="3"/>
      <c r="L113" s="91"/>
      <c r="M113" s="92" t="s">
        <v>473</v>
      </c>
      <c r="N113" s="84" t="s">
        <v>479</v>
      </c>
      <c r="O113" s="85" t="s">
        <v>56</v>
      </c>
      <c r="P113" s="86" t="n">
        <v>5.3</v>
      </c>
      <c r="Q113" s="86" t="n">
        <v>13</v>
      </c>
      <c r="R113" s="87" t="n">
        <f aca="false">P113*Q113</f>
        <v>68.9</v>
      </c>
      <c r="S113" s="93"/>
      <c r="T113" s="94"/>
      <c r="U113" s="95"/>
    </row>
    <row r="114" customFormat="false" ht="18.75" hidden="false" customHeight="true" outlineLevel="0" collapsed="false">
      <c r="A114" s="91"/>
      <c r="B114" s="92" t="s">
        <v>473</v>
      </c>
      <c r="C114" s="84" t="s">
        <v>318</v>
      </c>
      <c r="D114" s="85" t="s">
        <v>56</v>
      </c>
      <c r="E114" s="86" t="n">
        <v>15.73</v>
      </c>
      <c r="F114" s="86" t="n">
        <v>13</v>
      </c>
      <c r="G114" s="87" t="n">
        <f aca="false">E114*F114</f>
        <v>204.49</v>
      </c>
      <c r="H114" s="93"/>
      <c r="I114" s="94"/>
      <c r="J114" s="95"/>
      <c r="K114" s="3"/>
      <c r="L114" s="91"/>
      <c r="M114" s="92" t="s">
        <v>473</v>
      </c>
      <c r="N114" s="84" t="s">
        <v>318</v>
      </c>
      <c r="O114" s="85" t="s">
        <v>56</v>
      </c>
      <c r="P114" s="86" t="n">
        <v>15.73</v>
      </c>
      <c r="Q114" s="86" t="n">
        <v>13</v>
      </c>
      <c r="R114" s="87" t="n">
        <f aca="false">P114*Q114</f>
        <v>204.49</v>
      </c>
      <c r="S114" s="93"/>
      <c r="T114" s="94"/>
      <c r="U114" s="95"/>
    </row>
    <row r="115" customFormat="false" ht="18.75" hidden="false" customHeight="true" outlineLevel="0" collapsed="false">
      <c r="A115" s="91"/>
      <c r="B115" s="92" t="s">
        <v>473</v>
      </c>
      <c r="C115" s="84" t="s">
        <v>480</v>
      </c>
      <c r="D115" s="85" t="s">
        <v>56</v>
      </c>
      <c r="E115" s="86" t="n">
        <v>14.42</v>
      </c>
      <c r="F115" s="86" t="n">
        <v>13</v>
      </c>
      <c r="G115" s="87" t="n">
        <f aca="false">E115*F115</f>
        <v>187.46</v>
      </c>
      <c r="H115" s="93"/>
      <c r="I115" s="94"/>
      <c r="J115" s="95"/>
      <c r="K115" s="3"/>
      <c r="L115" s="91"/>
      <c r="M115" s="92" t="s">
        <v>473</v>
      </c>
      <c r="N115" s="84" t="s">
        <v>480</v>
      </c>
      <c r="O115" s="85" t="s">
        <v>56</v>
      </c>
      <c r="P115" s="86" t="n">
        <v>14.42</v>
      </c>
      <c r="Q115" s="86" t="n">
        <v>13</v>
      </c>
      <c r="R115" s="87" t="n">
        <f aca="false">P115*Q115</f>
        <v>187.46</v>
      </c>
      <c r="S115" s="93"/>
      <c r="T115" s="94"/>
      <c r="U115" s="95"/>
    </row>
    <row r="116" customFormat="false" ht="18.75" hidden="false" customHeight="true" outlineLevel="0" collapsed="false">
      <c r="A116" s="82" t="s">
        <v>20</v>
      </c>
      <c r="B116" s="83" t="s">
        <v>481</v>
      </c>
      <c r="C116" s="84" t="s">
        <v>411</v>
      </c>
      <c r="D116" s="85" t="s">
        <v>56</v>
      </c>
      <c r="E116" s="86" t="n">
        <v>21</v>
      </c>
      <c r="F116" s="86" t="n">
        <v>18</v>
      </c>
      <c r="G116" s="87" t="n">
        <f aca="false">E116*F116</f>
        <v>378</v>
      </c>
      <c r="H116" s="88" t="n">
        <f aca="false">SUMIF(B:B,B116,G:G)</f>
        <v>2485.23</v>
      </c>
      <c r="I116" s="89" t="n">
        <v>2427</v>
      </c>
      <c r="J116" s="90" t="n">
        <f aca="false">IFERROR((I116-H116)/I116,"")</f>
        <v>-0.0239925834363412</v>
      </c>
      <c r="K116" s="3"/>
      <c r="L116" s="82" t="s">
        <v>20</v>
      </c>
      <c r="M116" s="83" t="s">
        <v>481</v>
      </c>
      <c r="N116" s="84" t="s">
        <v>411</v>
      </c>
      <c r="O116" s="85" t="s">
        <v>56</v>
      </c>
      <c r="P116" s="86" t="n">
        <v>21</v>
      </c>
      <c r="Q116" s="86" t="n">
        <v>18</v>
      </c>
      <c r="R116" s="87" t="n">
        <f aca="false">P116*Q116</f>
        <v>378</v>
      </c>
      <c r="S116" s="88" t="n">
        <f aca="false">SUMIF(M:M,M116,R:R)</f>
        <v>2485.23</v>
      </c>
      <c r="T116" s="89" t="n">
        <f aca="false">I116</f>
        <v>2427</v>
      </c>
      <c r="U116" s="90" t="n">
        <f aca="false">IFERROR((T116-S116)/T116,"")</f>
        <v>-0.0239925834363412</v>
      </c>
    </row>
    <row r="117" customFormat="false" ht="18.75" hidden="false" customHeight="true" outlineLevel="0" collapsed="false">
      <c r="A117" s="91"/>
      <c r="B117" s="92" t="s">
        <v>481</v>
      </c>
      <c r="C117" s="84" t="s">
        <v>482</v>
      </c>
      <c r="D117" s="96" t="s">
        <v>57</v>
      </c>
      <c r="E117" s="91"/>
      <c r="F117" s="91"/>
      <c r="G117" s="87" t="n">
        <v>42.4</v>
      </c>
      <c r="H117" s="93"/>
      <c r="I117" s="94"/>
      <c r="J117" s="95"/>
      <c r="K117" s="3"/>
      <c r="L117" s="91"/>
      <c r="M117" s="92" t="s">
        <v>481</v>
      </c>
      <c r="N117" s="84" t="s">
        <v>482</v>
      </c>
      <c r="O117" s="96" t="s">
        <v>57</v>
      </c>
      <c r="P117" s="91"/>
      <c r="Q117" s="91"/>
      <c r="R117" s="87" t="n">
        <v>42.4</v>
      </c>
      <c r="S117" s="93"/>
      <c r="T117" s="94"/>
      <c r="U117" s="95"/>
    </row>
    <row r="118" customFormat="false" ht="18.75" hidden="false" customHeight="true" outlineLevel="0" collapsed="false">
      <c r="A118" s="91"/>
      <c r="B118" s="92" t="s">
        <v>481</v>
      </c>
      <c r="C118" s="84" t="s">
        <v>474</v>
      </c>
      <c r="D118" s="85" t="s">
        <v>56</v>
      </c>
      <c r="E118" s="86" t="n">
        <v>21</v>
      </c>
      <c r="F118" s="86" t="n">
        <v>8</v>
      </c>
      <c r="G118" s="87" t="n">
        <f aca="false">E118*F118</f>
        <v>168</v>
      </c>
      <c r="H118" s="93"/>
      <c r="I118" s="94"/>
      <c r="J118" s="95"/>
      <c r="K118" s="3"/>
      <c r="L118" s="91"/>
      <c r="M118" s="92" t="s">
        <v>481</v>
      </c>
      <c r="N118" s="84" t="s">
        <v>474</v>
      </c>
      <c r="O118" s="85" t="s">
        <v>56</v>
      </c>
      <c r="P118" s="86" t="n">
        <v>21</v>
      </c>
      <c r="Q118" s="86" t="n">
        <v>8</v>
      </c>
      <c r="R118" s="87" t="n">
        <f aca="false">P118*Q118</f>
        <v>168</v>
      </c>
      <c r="S118" s="93"/>
      <c r="T118" s="94"/>
      <c r="U118" s="95"/>
    </row>
    <row r="119" customFormat="false" ht="18.75" hidden="false" customHeight="true" outlineLevel="0" collapsed="false">
      <c r="A119" s="91"/>
      <c r="B119" s="92" t="s">
        <v>481</v>
      </c>
      <c r="C119" s="84" t="s">
        <v>483</v>
      </c>
      <c r="D119" s="85" t="s">
        <v>56</v>
      </c>
      <c r="E119" s="86" t="n">
        <v>3.5</v>
      </c>
      <c r="F119" s="86" t="n">
        <v>13</v>
      </c>
      <c r="G119" s="87" t="n">
        <f aca="false">E119*F119</f>
        <v>45.5</v>
      </c>
      <c r="H119" s="93"/>
      <c r="I119" s="94"/>
      <c r="J119" s="95"/>
      <c r="K119" s="3"/>
      <c r="L119" s="91"/>
      <c r="M119" s="92" t="s">
        <v>481</v>
      </c>
      <c r="N119" s="84" t="s">
        <v>483</v>
      </c>
      <c r="O119" s="85" t="s">
        <v>56</v>
      </c>
      <c r="P119" s="86" t="n">
        <v>3.5</v>
      </c>
      <c r="Q119" s="86" t="n">
        <v>13</v>
      </c>
      <c r="R119" s="87" t="n">
        <f aca="false">P119*Q119</f>
        <v>45.5</v>
      </c>
      <c r="S119" s="93"/>
      <c r="T119" s="94"/>
      <c r="U119" s="95"/>
    </row>
    <row r="120" customFormat="false" ht="18.75" hidden="false" customHeight="true" outlineLevel="0" collapsed="false">
      <c r="A120" s="91"/>
      <c r="B120" s="92" t="s">
        <v>481</v>
      </c>
      <c r="C120" s="84" t="s">
        <v>455</v>
      </c>
      <c r="D120" s="85" t="s">
        <v>56</v>
      </c>
      <c r="E120" s="86" t="n">
        <v>16.9</v>
      </c>
      <c r="F120" s="86" t="n">
        <v>13</v>
      </c>
      <c r="G120" s="87" t="n">
        <f aca="false">E120*F120</f>
        <v>219.7</v>
      </c>
      <c r="H120" s="93"/>
      <c r="I120" s="94"/>
      <c r="J120" s="95"/>
      <c r="K120" s="3"/>
      <c r="L120" s="91"/>
      <c r="M120" s="92" t="s">
        <v>481</v>
      </c>
      <c r="N120" s="84" t="s">
        <v>455</v>
      </c>
      <c r="O120" s="85" t="s">
        <v>56</v>
      </c>
      <c r="P120" s="86" t="n">
        <v>16.9</v>
      </c>
      <c r="Q120" s="86" t="n">
        <v>13</v>
      </c>
      <c r="R120" s="87" t="n">
        <f aca="false">P120*Q120</f>
        <v>219.7</v>
      </c>
      <c r="S120" s="93"/>
      <c r="T120" s="94"/>
      <c r="U120" s="95"/>
    </row>
    <row r="121" customFormat="false" ht="18.75" hidden="false" customHeight="true" outlineLevel="0" collapsed="false">
      <c r="A121" s="91"/>
      <c r="B121" s="92" t="s">
        <v>481</v>
      </c>
      <c r="C121" s="84" t="s">
        <v>475</v>
      </c>
      <c r="D121" s="85" t="s">
        <v>56</v>
      </c>
      <c r="E121" s="86" t="n">
        <v>3.94</v>
      </c>
      <c r="F121" s="86" t="n">
        <v>13</v>
      </c>
      <c r="G121" s="87" t="n">
        <f aca="false">E121*F121</f>
        <v>51.22</v>
      </c>
      <c r="H121" s="93"/>
      <c r="I121" s="94"/>
      <c r="J121" s="95"/>
      <c r="K121" s="3"/>
      <c r="L121" s="91"/>
      <c r="M121" s="92" t="s">
        <v>481</v>
      </c>
      <c r="N121" s="84" t="s">
        <v>475</v>
      </c>
      <c r="O121" s="85" t="s">
        <v>56</v>
      </c>
      <c r="P121" s="86" t="n">
        <v>3.94</v>
      </c>
      <c r="Q121" s="86" t="n">
        <v>13</v>
      </c>
      <c r="R121" s="87" t="n">
        <f aca="false">P121*Q121</f>
        <v>51.22</v>
      </c>
      <c r="S121" s="93"/>
      <c r="T121" s="94"/>
      <c r="U121" s="95"/>
    </row>
    <row r="122" customFormat="false" ht="18.75" hidden="false" customHeight="true" outlineLevel="0" collapsed="false">
      <c r="A122" s="91"/>
      <c r="B122" s="92" t="s">
        <v>481</v>
      </c>
      <c r="C122" s="84" t="s">
        <v>476</v>
      </c>
      <c r="D122" s="85" t="s">
        <v>56</v>
      </c>
      <c r="E122" s="86" t="n">
        <v>14.6</v>
      </c>
      <c r="F122" s="86" t="n">
        <v>13</v>
      </c>
      <c r="G122" s="87" t="n">
        <f aca="false">E122*F122</f>
        <v>189.8</v>
      </c>
      <c r="H122" s="93"/>
      <c r="I122" s="94"/>
      <c r="J122" s="95"/>
      <c r="K122" s="3"/>
      <c r="L122" s="91"/>
      <c r="M122" s="92" t="s">
        <v>481</v>
      </c>
      <c r="N122" s="84" t="s">
        <v>476</v>
      </c>
      <c r="O122" s="85" t="s">
        <v>56</v>
      </c>
      <c r="P122" s="86" t="n">
        <v>14.6</v>
      </c>
      <c r="Q122" s="86" t="n">
        <v>13</v>
      </c>
      <c r="R122" s="87" t="n">
        <f aca="false">P122*Q122</f>
        <v>189.8</v>
      </c>
      <c r="S122" s="93"/>
      <c r="T122" s="94"/>
      <c r="U122" s="95"/>
    </row>
    <row r="123" customFormat="false" ht="18.75" hidden="false" customHeight="true" outlineLevel="0" collapsed="false">
      <c r="A123" s="91"/>
      <c r="B123" s="92" t="s">
        <v>481</v>
      </c>
      <c r="C123" s="84" t="s">
        <v>162</v>
      </c>
      <c r="D123" s="85" t="s">
        <v>56</v>
      </c>
      <c r="E123" s="86" t="n">
        <v>8.5</v>
      </c>
      <c r="F123" s="86" t="n">
        <v>13</v>
      </c>
      <c r="G123" s="87" t="n">
        <f aca="false">E123*F123</f>
        <v>110.5</v>
      </c>
      <c r="H123" s="93"/>
      <c r="I123" s="94"/>
      <c r="J123" s="95"/>
      <c r="K123" s="3"/>
      <c r="L123" s="91"/>
      <c r="M123" s="92" t="s">
        <v>481</v>
      </c>
      <c r="N123" s="84" t="s">
        <v>162</v>
      </c>
      <c r="O123" s="85" t="s">
        <v>56</v>
      </c>
      <c r="P123" s="86" t="n">
        <v>8.5</v>
      </c>
      <c r="Q123" s="86" t="n">
        <v>13</v>
      </c>
      <c r="R123" s="87" t="n">
        <f aca="false">P123*Q123</f>
        <v>110.5</v>
      </c>
      <c r="S123" s="93"/>
      <c r="T123" s="94"/>
      <c r="U123" s="95"/>
    </row>
    <row r="124" customFormat="false" ht="18.75" hidden="false" customHeight="true" outlineLevel="0" collapsed="false">
      <c r="A124" s="91"/>
      <c r="B124" s="92" t="s">
        <v>481</v>
      </c>
      <c r="C124" s="84" t="s">
        <v>477</v>
      </c>
      <c r="D124" s="85" t="s">
        <v>56</v>
      </c>
      <c r="E124" s="86" t="n">
        <v>10.15</v>
      </c>
      <c r="F124" s="86" t="n">
        <v>13</v>
      </c>
      <c r="G124" s="87" t="n">
        <f aca="false">E124*F124</f>
        <v>131.95</v>
      </c>
      <c r="H124" s="93"/>
      <c r="I124" s="94"/>
      <c r="J124" s="95"/>
      <c r="K124" s="3"/>
      <c r="L124" s="91"/>
      <c r="M124" s="92" t="s">
        <v>481</v>
      </c>
      <c r="N124" s="84" t="s">
        <v>477</v>
      </c>
      <c r="O124" s="85" t="s">
        <v>56</v>
      </c>
      <c r="P124" s="86" t="n">
        <v>10.15</v>
      </c>
      <c r="Q124" s="86" t="n">
        <v>13</v>
      </c>
      <c r="R124" s="87" t="n">
        <f aca="false">P124*Q124</f>
        <v>131.95</v>
      </c>
      <c r="S124" s="93"/>
      <c r="T124" s="94"/>
      <c r="U124" s="95"/>
    </row>
    <row r="125" customFormat="false" ht="18.75" hidden="false" customHeight="true" outlineLevel="0" collapsed="false">
      <c r="A125" s="91"/>
      <c r="B125" s="92" t="s">
        <v>481</v>
      </c>
      <c r="C125" s="84" t="s">
        <v>424</v>
      </c>
      <c r="D125" s="85" t="s">
        <v>56</v>
      </c>
      <c r="E125" s="86" t="n">
        <v>13.5</v>
      </c>
      <c r="F125" s="86" t="n">
        <v>13</v>
      </c>
      <c r="G125" s="87" t="n">
        <f aca="false">E125*F125</f>
        <v>175.5</v>
      </c>
      <c r="H125" s="93"/>
      <c r="I125" s="94"/>
      <c r="J125" s="95"/>
      <c r="K125" s="3"/>
      <c r="L125" s="91"/>
      <c r="M125" s="92" t="s">
        <v>481</v>
      </c>
      <c r="N125" s="84" t="s">
        <v>424</v>
      </c>
      <c r="O125" s="85" t="s">
        <v>56</v>
      </c>
      <c r="P125" s="86" t="n">
        <v>13.5</v>
      </c>
      <c r="Q125" s="86" t="n">
        <v>13</v>
      </c>
      <c r="R125" s="87" t="n">
        <f aca="false">P125*Q125</f>
        <v>175.5</v>
      </c>
      <c r="S125" s="93"/>
      <c r="T125" s="94"/>
      <c r="U125" s="95"/>
    </row>
    <row r="126" customFormat="false" ht="18.75" hidden="false" customHeight="true" outlineLevel="0" collapsed="false">
      <c r="A126" s="91"/>
      <c r="B126" s="92" t="s">
        <v>481</v>
      </c>
      <c r="C126" s="84" t="s">
        <v>137</v>
      </c>
      <c r="D126" s="85" t="s">
        <v>56</v>
      </c>
      <c r="E126" s="86" t="n">
        <v>10.56</v>
      </c>
      <c r="F126" s="86" t="n">
        <v>13</v>
      </c>
      <c r="G126" s="87" t="n">
        <f aca="false">E126*F126</f>
        <v>137.28</v>
      </c>
      <c r="H126" s="93"/>
      <c r="I126" s="94"/>
      <c r="J126" s="95"/>
      <c r="K126" s="3"/>
      <c r="L126" s="91"/>
      <c r="M126" s="92" t="s">
        <v>481</v>
      </c>
      <c r="N126" s="84" t="s">
        <v>137</v>
      </c>
      <c r="O126" s="85" t="s">
        <v>56</v>
      </c>
      <c r="P126" s="86" t="n">
        <v>10.56</v>
      </c>
      <c r="Q126" s="86" t="n">
        <v>13</v>
      </c>
      <c r="R126" s="87" t="n">
        <f aca="false">P126*Q126</f>
        <v>137.28</v>
      </c>
      <c r="S126" s="93"/>
      <c r="T126" s="94"/>
      <c r="U126" s="95"/>
    </row>
    <row r="127" customFormat="false" ht="18.75" hidden="false" customHeight="true" outlineLevel="0" collapsed="false">
      <c r="A127" s="91"/>
      <c r="B127" s="92" t="s">
        <v>481</v>
      </c>
      <c r="C127" s="84" t="s">
        <v>151</v>
      </c>
      <c r="D127" s="85" t="s">
        <v>56</v>
      </c>
      <c r="E127" s="86" t="n">
        <v>7.93</v>
      </c>
      <c r="F127" s="86" t="n">
        <v>13</v>
      </c>
      <c r="G127" s="87" t="n">
        <f aca="false">E127*F127</f>
        <v>103.09</v>
      </c>
      <c r="H127" s="93"/>
      <c r="I127" s="94"/>
      <c r="J127" s="95"/>
      <c r="K127" s="3"/>
      <c r="L127" s="91"/>
      <c r="M127" s="92" t="s">
        <v>481</v>
      </c>
      <c r="N127" s="84" t="s">
        <v>151</v>
      </c>
      <c r="O127" s="85" t="s">
        <v>56</v>
      </c>
      <c r="P127" s="86" t="n">
        <v>7.93</v>
      </c>
      <c r="Q127" s="86" t="n">
        <v>13</v>
      </c>
      <c r="R127" s="87" t="n">
        <f aca="false">P127*Q127</f>
        <v>103.09</v>
      </c>
      <c r="S127" s="93"/>
      <c r="T127" s="94"/>
      <c r="U127" s="95"/>
    </row>
    <row r="128" customFormat="false" ht="18.75" hidden="false" customHeight="true" outlineLevel="0" collapsed="false">
      <c r="A128" s="91"/>
      <c r="B128" s="92" t="s">
        <v>481</v>
      </c>
      <c r="C128" s="84" t="s">
        <v>420</v>
      </c>
      <c r="D128" s="85" t="s">
        <v>56</v>
      </c>
      <c r="E128" s="86" t="n">
        <v>8</v>
      </c>
      <c r="F128" s="86" t="n">
        <v>13</v>
      </c>
      <c r="G128" s="87" t="n">
        <f aca="false">E128*F128</f>
        <v>104</v>
      </c>
      <c r="H128" s="93"/>
      <c r="I128" s="94"/>
      <c r="J128" s="95"/>
      <c r="K128" s="3"/>
      <c r="L128" s="91"/>
      <c r="M128" s="92" t="s">
        <v>481</v>
      </c>
      <c r="N128" s="84" t="s">
        <v>420</v>
      </c>
      <c r="O128" s="85" t="s">
        <v>56</v>
      </c>
      <c r="P128" s="86" t="n">
        <v>8</v>
      </c>
      <c r="Q128" s="86" t="n">
        <v>13</v>
      </c>
      <c r="R128" s="87" t="n">
        <f aca="false">P128*Q128</f>
        <v>104</v>
      </c>
      <c r="S128" s="93"/>
      <c r="T128" s="94"/>
      <c r="U128" s="95"/>
    </row>
    <row r="129" customFormat="false" ht="18.75" hidden="false" customHeight="true" outlineLevel="0" collapsed="false">
      <c r="A129" s="91"/>
      <c r="B129" s="92" t="s">
        <v>481</v>
      </c>
      <c r="C129" s="84" t="s">
        <v>417</v>
      </c>
      <c r="D129" s="85" t="s">
        <v>56</v>
      </c>
      <c r="E129" s="86" t="n">
        <v>9.23</v>
      </c>
      <c r="F129" s="86" t="n">
        <v>13</v>
      </c>
      <c r="G129" s="87" t="n">
        <f aca="false">E129*F129</f>
        <v>119.99</v>
      </c>
      <c r="H129" s="93"/>
      <c r="I129" s="94"/>
      <c r="J129" s="95"/>
      <c r="K129" s="3"/>
      <c r="L129" s="91"/>
      <c r="M129" s="92" t="s">
        <v>481</v>
      </c>
      <c r="N129" s="84" t="s">
        <v>417</v>
      </c>
      <c r="O129" s="85" t="s">
        <v>56</v>
      </c>
      <c r="P129" s="86" t="n">
        <v>9.23</v>
      </c>
      <c r="Q129" s="86" t="n">
        <v>13</v>
      </c>
      <c r="R129" s="87" t="n">
        <f aca="false">P129*Q129</f>
        <v>119.99</v>
      </c>
      <c r="S129" s="93"/>
      <c r="T129" s="94"/>
      <c r="U129" s="95"/>
    </row>
    <row r="130" customFormat="false" ht="18.75" hidden="false" customHeight="true" outlineLevel="0" collapsed="false">
      <c r="A130" s="91"/>
      <c r="B130" s="92" t="s">
        <v>481</v>
      </c>
      <c r="C130" s="84" t="s">
        <v>318</v>
      </c>
      <c r="D130" s="85" t="s">
        <v>56</v>
      </c>
      <c r="E130" s="86" t="n">
        <v>19.45</v>
      </c>
      <c r="F130" s="86" t="n">
        <v>13</v>
      </c>
      <c r="G130" s="87" t="n">
        <f aca="false">E130*F130</f>
        <v>252.85</v>
      </c>
      <c r="H130" s="93"/>
      <c r="I130" s="94"/>
      <c r="J130" s="95"/>
      <c r="K130" s="3"/>
      <c r="L130" s="91"/>
      <c r="M130" s="92" t="s">
        <v>481</v>
      </c>
      <c r="N130" s="84" t="s">
        <v>318</v>
      </c>
      <c r="O130" s="85" t="s">
        <v>56</v>
      </c>
      <c r="P130" s="86" t="n">
        <v>19.45</v>
      </c>
      <c r="Q130" s="86" t="n">
        <v>13</v>
      </c>
      <c r="R130" s="87" t="n">
        <f aca="false">P130*Q130</f>
        <v>252.85</v>
      </c>
      <c r="S130" s="93"/>
      <c r="T130" s="94"/>
      <c r="U130" s="95"/>
    </row>
    <row r="131" customFormat="false" ht="18.75" hidden="false" customHeight="true" outlineLevel="0" collapsed="false">
      <c r="A131" s="91"/>
      <c r="B131" s="92" t="s">
        <v>481</v>
      </c>
      <c r="C131" s="84" t="s">
        <v>480</v>
      </c>
      <c r="D131" s="85" t="s">
        <v>56</v>
      </c>
      <c r="E131" s="86" t="n">
        <v>19.65</v>
      </c>
      <c r="F131" s="86" t="n">
        <v>13</v>
      </c>
      <c r="G131" s="87" t="n">
        <f aca="false">E131*F131</f>
        <v>255.45</v>
      </c>
      <c r="H131" s="93"/>
      <c r="I131" s="94"/>
      <c r="J131" s="95"/>
      <c r="K131" s="3"/>
      <c r="L131" s="91"/>
      <c r="M131" s="92" t="s">
        <v>481</v>
      </c>
      <c r="N131" s="84" t="s">
        <v>480</v>
      </c>
      <c r="O131" s="85" t="s">
        <v>56</v>
      </c>
      <c r="P131" s="86" t="n">
        <v>19.65</v>
      </c>
      <c r="Q131" s="86" t="n">
        <v>13</v>
      </c>
      <c r="R131" s="87" t="n">
        <f aca="false">P131*Q131</f>
        <v>255.45</v>
      </c>
      <c r="S131" s="93"/>
      <c r="T131" s="94"/>
      <c r="U131" s="95"/>
    </row>
    <row r="132" customFormat="false" ht="18.75" hidden="false" customHeight="true" outlineLevel="0" collapsed="false">
      <c r="A132" s="82" t="s">
        <v>20</v>
      </c>
      <c r="B132" s="83" t="s">
        <v>484</v>
      </c>
      <c r="C132" s="84" t="s">
        <v>411</v>
      </c>
      <c r="D132" s="85" t="s">
        <v>56</v>
      </c>
      <c r="E132" s="86" t="n">
        <v>14</v>
      </c>
      <c r="F132" s="86" t="n">
        <v>18</v>
      </c>
      <c r="G132" s="87" t="n">
        <f aca="false">E132*F132</f>
        <v>252</v>
      </c>
      <c r="H132" s="88" t="n">
        <f aca="false">SUMIF(B:B,B132,G:G)</f>
        <v>2045.38</v>
      </c>
      <c r="I132" s="89" t="n">
        <v>1940</v>
      </c>
      <c r="J132" s="90" t="n">
        <f aca="false">IFERROR((I132-H132)/I132,"")</f>
        <v>-0.0543195876288659</v>
      </c>
      <c r="K132" s="3"/>
      <c r="L132" s="82" t="s">
        <v>20</v>
      </c>
      <c r="M132" s="83" t="s">
        <v>484</v>
      </c>
      <c r="N132" s="84" t="s">
        <v>411</v>
      </c>
      <c r="O132" s="85" t="s">
        <v>56</v>
      </c>
      <c r="P132" s="86" t="n">
        <v>14</v>
      </c>
      <c r="Q132" s="86" t="n">
        <v>18</v>
      </c>
      <c r="R132" s="87" t="n">
        <f aca="false">P132*Q132</f>
        <v>252</v>
      </c>
      <c r="S132" s="88" t="n">
        <f aca="false">SUMIF(M:M,M132,R:R)</f>
        <v>2045.38</v>
      </c>
      <c r="T132" s="89" t="n">
        <f aca="false">I132</f>
        <v>1940</v>
      </c>
      <c r="U132" s="90" t="n">
        <f aca="false">IFERROR((T132-S132)/T132,"")</f>
        <v>-0.0543195876288659</v>
      </c>
    </row>
    <row r="133" customFormat="false" ht="18.75" hidden="false" customHeight="true" outlineLevel="0" collapsed="false">
      <c r="A133" s="91"/>
      <c r="B133" s="92" t="s">
        <v>484</v>
      </c>
      <c r="C133" s="84" t="s">
        <v>359</v>
      </c>
      <c r="D133" s="85" t="s">
        <v>56</v>
      </c>
      <c r="E133" s="86" t="n">
        <v>7</v>
      </c>
      <c r="F133" s="86" t="n">
        <v>18</v>
      </c>
      <c r="G133" s="87" t="n">
        <f aca="false">E133*F133</f>
        <v>126</v>
      </c>
      <c r="H133" s="93"/>
      <c r="I133" s="94"/>
      <c r="J133" s="95"/>
      <c r="K133" s="3"/>
      <c r="L133" s="91"/>
      <c r="M133" s="92" t="s">
        <v>484</v>
      </c>
      <c r="N133" s="84" t="s">
        <v>359</v>
      </c>
      <c r="O133" s="85" t="s">
        <v>56</v>
      </c>
      <c r="P133" s="86" t="n">
        <v>7</v>
      </c>
      <c r="Q133" s="86" t="n">
        <v>18</v>
      </c>
      <c r="R133" s="87" t="n">
        <f aca="false">P133*Q133</f>
        <v>126</v>
      </c>
      <c r="S133" s="93"/>
      <c r="T133" s="94"/>
      <c r="U133" s="95"/>
    </row>
    <row r="134" customFormat="false" ht="18.75" hidden="false" customHeight="true" outlineLevel="0" collapsed="false">
      <c r="A134" s="91"/>
      <c r="B134" s="92" t="s">
        <v>484</v>
      </c>
      <c r="C134" s="84" t="s">
        <v>455</v>
      </c>
      <c r="D134" s="85" t="s">
        <v>56</v>
      </c>
      <c r="E134" s="86" t="n">
        <v>17.42</v>
      </c>
      <c r="F134" s="86" t="n">
        <v>13</v>
      </c>
      <c r="G134" s="87" t="n">
        <f aca="false">E134*F134</f>
        <v>226.46</v>
      </c>
      <c r="H134" s="93"/>
      <c r="I134" s="94"/>
      <c r="J134" s="95"/>
      <c r="K134" s="3"/>
      <c r="L134" s="91"/>
      <c r="M134" s="92" t="s">
        <v>484</v>
      </c>
      <c r="N134" s="84" t="s">
        <v>455</v>
      </c>
      <c r="O134" s="85" t="s">
        <v>56</v>
      </c>
      <c r="P134" s="86" t="n">
        <v>17.42</v>
      </c>
      <c r="Q134" s="86" t="n">
        <v>13</v>
      </c>
      <c r="R134" s="87" t="n">
        <f aca="false">P134*Q134</f>
        <v>226.46</v>
      </c>
      <c r="S134" s="93"/>
      <c r="T134" s="94"/>
      <c r="U134" s="95"/>
    </row>
    <row r="135" customFormat="false" ht="18.75" hidden="false" customHeight="true" outlineLevel="0" collapsed="false">
      <c r="A135" s="91"/>
      <c r="B135" s="92" t="s">
        <v>484</v>
      </c>
      <c r="C135" s="84" t="s">
        <v>476</v>
      </c>
      <c r="D135" s="85" t="s">
        <v>56</v>
      </c>
      <c r="E135" s="86" t="n">
        <v>5.25</v>
      </c>
      <c r="F135" s="86" t="n">
        <v>13</v>
      </c>
      <c r="G135" s="87" t="n">
        <f aca="false">E135*F135</f>
        <v>68.25</v>
      </c>
      <c r="H135" s="93"/>
      <c r="I135" s="94"/>
      <c r="J135" s="95"/>
      <c r="K135" s="3"/>
      <c r="L135" s="91"/>
      <c r="M135" s="92" t="s">
        <v>484</v>
      </c>
      <c r="N135" s="84" t="s">
        <v>476</v>
      </c>
      <c r="O135" s="85" t="s">
        <v>56</v>
      </c>
      <c r="P135" s="86" t="n">
        <v>5.25</v>
      </c>
      <c r="Q135" s="86" t="n">
        <v>13</v>
      </c>
      <c r="R135" s="87" t="n">
        <f aca="false">P135*Q135</f>
        <v>68.25</v>
      </c>
      <c r="S135" s="93"/>
      <c r="T135" s="94"/>
      <c r="U135" s="95"/>
    </row>
    <row r="136" customFormat="false" ht="18.75" hidden="false" customHeight="true" outlineLevel="0" collapsed="false">
      <c r="A136" s="91"/>
      <c r="B136" s="92" t="s">
        <v>484</v>
      </c>
      <c r="C136" s="84" t="s">
        <v>477</v>
      </c>
      <c r="D136" s="85" t="s">
        <v>56</v>
      </c>
      <c r="E136" s="86" t="n">
        <v>14.35</v>
      </c>
      <c r="F136" s="86" t="n">
        <v>13</v>
      </c>
      <c r="G136" s="87" t="n">
        <f aca="false">E136*F136</f>
        <v>186.55</v>
      </c>
      <c r="H136" s="93"/>
      <c r="I136" s="94"/>
      <c r="J136" s="95"/>
      <c r="K136" s="3"/>
      <c r="L136" s="91"/>
      <c r="M136" s="92" t="s">
        <v>484</v>
      </c>
      <c r="N136" s="84" t="s">
        <v>477</v>
      </c>
      <c r="O136" s="85" t="s">
        <v>56</v>
      </c>
      <c r="P136" s="86" t="n">
        <v>14.35</v>
      </c>
      <c r="Q136" s="86" t="n">
        <v>13</v>
      </c>
      <c r="R136" s="87" t="n">
        <f aca="false">P136*Q136</f>
        <v>186.55</v>
      </c>
      <c r="S136" s="93"/>
      <c r="T136" s="94"/>
      <c r="U136" s="95"/>
    </row>
    <row r="137" customFormat="false" ht="18.75" hidden="false" customHeight="true" outlineLevel="0" collapsed="false">
      <c r="A137" s="91"/>
      <c r="B137" s="92" t="s">
        <v>484</v>
      </c>
      <c r="C137" s="84" t="s">
        <v>424</v>
      </c>
      <c r="D137" s="85" t="s">
        <v>56</v>
      </c>
      <c r="E137" s="86" t="n">
        <v>14.25</v>
      </c>
      <c r="F137" s="86" t="n">
        <v>13</v>
      </c>
      <c r="G137" s="87" t="n">
        <f aca="false">E137*F137</f>
        <v>185.25</v>
      </c>
      <c r="H137" s="93"/>
      <c r="I137" s="94"/>
      <c r="J137" s="95"/>
      <c r="K137" s="3"/>
      <c r="L137" s="91"/>
      <c r="M137" s="92" t="s">
        <v>484</v>
      </c>
      <c r="N137" s="84" t="s">
        <v>424</v>
      </c>
      <c r="O137" s="85" t="s">
        <v>56</v>
      </c>
      <c r="P137" s="86" t="n">
        <v>14.25</v>
      </c>
      <c r="Q137" s="86" t="n">
        <v>13</v>
      </c>
      <c r="R137" s="87" t="n">
        <f aca="false">P137*Q137</f>
        <v>185.25</v>
      </c>
      <c r="S137" s="93"/>
      <c r="T137" s="94"/>
      <c r="U137" s="95"/>
    </row>
    <row r="138" customFormat="false" ht="18.75" hidden="false" customHeight="true" outlineLevel="0" collapsed="false">
      <c r="A138" s="91"/>
      <c r="B138" s="92" t="s">
        <v>484</v>
      </c>
      <c r="C138" s="84" t="s">
        <v>137</v>
      </c>
      <c r="D138" s="85" t="s">
        <v>56</v>
      </c>
      <c r="E138" s="86" t="n">
        <v>12.5</v>
      </c>
      <c r="F138" s="86" t="n">
        <v>13</v>
      </c>
      <c r="G138" s="87" t="n">
        <f aca="false">E138*F138</f>
        <v>162.5</v>
      </c>
      <c r="H138" s="93"/>
      <c r="I138" s="94"/>
      <c r="J138" s="95"/>
      <c r="K138" s="3"/>
      <c r="L138" s="91"/>
      <c r="M138" s="92" t="s">
        <v>484</v>
      </c>
      <c r="N138" s="84" t="s">
        <v>137</v>
      </c>
      <c r="O138" s="85" t="s">
        <v>56</v>
      </c>
      <c r="P138" s="86" t="n">
        <v>12.5</v>
      </c>
      <c r="Q138" s="86" t="n">
        <v>13</v>
      </c>
      <c r="R138" s="87" t="n">
        <f aca="false">P138*Q138</f>
        <v>162.5</v>
      </c>
      <c r="S138" s="93"/>
      <c r="T138" s="94"/>
      <c r="U138" s="95"/>
    </row>
    <row r="139" customFormat="false" ht="18.75" hidden="false" customHeight="true" outlineLevel="0" collapsed="false">
      <c r="A139" s="91"/>
      <c r="B139" s="92" t="s">
        <v>484</v>
      </c>
      <c r="C139" s="84" t="s">
        <v>151</v>
      </c>
      <c r="D139" s="85" t="s">
        <v>56</v>
      </c>
      <c r="E139" s="86" t="n">
        <v>12.2</v>
      </c>
      <c r="F139" s="86" t="n">
        <v>13</v>
      </c>
      <c r="G139" s="87" t="n">
        <f aca="false">E139*F139</f>
        <v>158.6</v>
      </c>
      <c r="H139" s="93"/>
      <c r="I139" s="94"/>
      <c r="J139" s="95"/>
      <c r="K139" s="3"/>
      <c r="L139" s="91"/>
      <c r="M139" s="92" t="s">
        <v>484</v>
      </c>
      <c r="N139" s="84" t="s">
        <v>151</v>
      </c>
      <c r="O139" s="85" t="s">
        <v>56</v>
      </c>
      <c r="P139" s="86" t="n">
        <v>12.2</v>
      </c>
      <c r="Q139" s="86" t="n">
        <v>13</v>
      </c>
      <c r="R139" s="87" t="n">
        <f aca="false">P139*Q139</f>
        <v>158.6</v>
      </c>
      <c r="S139" s="93"/>
      <c r="T139" s="94"/>
      <c r="U139" s="95"/>
    </row>
    <row r="140" customFormat="false" ht="18.75" hidden="false" customHeight="true" outlineLevel="0" collapsed="false">
      <c r="A140" s="91"/>
      <c r="B140" s="92" t="s">
        <v>484</v>
      </c>
      <c r="C140" s="84" t="s">
        <v>438</v>
      </c>
      <c r="D140" s="85" t="s">
        <v>56</v>
      </c>
      <c r="E140" s="86" t="n">
        <v>4.9</v>
      </c>
      <c r="F140" s="86" t="n">
        <v>13</v>
      </c>
      <c r="G140" s="87" t="n">
        <f aca="false">E140*F140</f>
        <v>63.7</v>
      </c>
      <c r="H140" s="93"/>
      <c r="I140" s="94"/>
      <c r="J140" s="95"/>
      <c r="K140" s="3"/>
      <c r="L140" s="91"/>
      <c r="M140" s="92" t="s">
        <v>484</v>
      </c>
      <c r="N140" s="84" t="s">
        <v>438</v>
      </c>
      <c r="O140" s="85" t="s">
        <v>56</v>
      </c>
      <c r="P140" s="86" t="n">
        <v>4.9</v>
      </c>
      <c r="Q140" s="86" t="n">
        <v>13</v>
      </c>
      <c r="R140" s="87" t="n">
        <f aca="false">P140*Q140</f>
        <v>63.7</v>
      </c>
      <c r="S140" s="93"/>
      <c r="T140" s="94"/>
      <c r="U140" s="95"/>
    </row>
    <row r="141" customFormat="false" ht="18.75" hidden="false" customHeight="true" outlineLevel="0" collapsed="false">
      <c r="A141" s="91"/>
      <c r="B141" s="92" t="s">
        <v>484</v>
      </c>
      <c r="C141" s="84" t="s">
        <v>417</v>
      </c>
      <c r="D141" s="85" t="s">
        <v>56</v>
      </c>
      <c r="E141" s="86" t="n">
        <v>10.09</v>
      </c>
      <c r="F141" s="86" t="n">
        <v>13</v>
      </c>
      <c r="G141" s="87" t="n">
        <f aca="false">E141*F141</f>
        <v>131.17</v>
      </c>
      <c r="H141" s="93"/>
      <c r="I141" s="94"/>
      <c r="J141" s="95"/>
      <c r="K141" s="3"/>
      <c r="L141" s="91"/>
      <c r="M141" s="92" t="s">
        <v>484</v>
      </c>
      <c r="N141" s="84" t="s">
        <v>417</v>
      </c>
      <c r="O141" s="85" t="s">
        <v>56</v>
      </c>
      <c r="P141" s="86" t="n">
        <v>10.09</v>
      </c>
      <c r="Q141" s="86" t="n">
        <v>13</v>
      </c>
      <c r="R141" s="87" t="n">
        <f aca="false">P141*Q141</f>
        <v>131.17</v>
      </c>
      <c r="S141" s="93"/>
      <c r="T141" s="94"/>
      <c r="U141" s="95"/>
    </row>
    <row r="142" customFormat="false" ht="18.75" hidden="false" customHeight="true" outlineLevel="0" collapsed="false">
      <c r="A142" s="91"/>
      <c r="B142" s="92" t="s">
        <v>484</v>
      </c>
      <c r="C142" s="84" t="s">
        <v>318</v>
      </c>
      <c r="D142" s="85" t="s">
        <v>56</v>
      </c>
      <c r="E142" s="86" t="n">
        <v>17.9</v>
      </c>
      <c r="F142" s="86" t="n">
        <v>13</v>
      </c>
      <c r="G142" s="87" t="n">
        <f aca="false">E142*F142</f>
        <v>232.7</v>
      </c>
      <c r="H142" s="93"/>
      <c r="I142" s="94"/>
      <c r="J142" s="95"/>
      <c r="K142" s="3"/>
      <c r="L142" s="91"/>
      <c r="M142" s="92" t="s">
        <v>484</v>
      </c>
      <c r="N142" s="84" t="s">
        <v>318</v>
      </c>
      <c r="O142" s="85" t="s">
        <v>56</v>
      </c>
      <c r="P142" s="86" t="n">
        <v>17.9</v>
      </c>
      <c r="Q142" s="86" t="n">
        <v>13</v>
      </c>
      <c r="R142" s="87" t="n">
        <f aca="false">P142*Q142</f>
        <v>232.7</v>
      </c>
      <c r="S142" s="93"/>
      <c r="T142" s="94"/>
      <c r="U142" s="95"/>
    </row>
    <row r="143" customFormat="false" ht="18.75" hidden="false" customHeight="true" outlineLevel="0" collapsed="false">
      <c r="A143" s="91"/>
      <c r="B143" s="92" t="s">
        <v>484</v>
      </c>
      <c r="C143" s="84" t="s">
        <v>480</v>
      </c>
      <c r="D143" s="85" t="s">
        <v>56</v>
      </c>
      <c r="E143" s="86" t="n">
        <v>19.4</v>
      </c>
      <c r="F143" s="86" t="n">
        <v>13</v>
      </c>
      <c r="G143" s="87" t="n">
        <f aca="false">E143*F143</f>
        <v>252.2</v>
      </c>
      <c r="H143" s="93"/>
      <c r="I143" s="94"/>
      <c r="J143" s="95"/>
      <c r="K143" s="3"/>
      <c r="L143" s="91"/>
      <c r="M143" s="92" t="s">
        <v>484</v>
      </c>
      <c r="N143" s="84" t="s">
        <v>480</v>
      </c>
      <c r="O143" s="85" t="s">
        <v>56</v>
      </c>
      <c r="P143" s="86" t="n">
        <v>19.4</v>
      </c>
      <c r="Q143" s="86" t="n">
        <v>13</v>
      </c>
      <c r="R143" s="87" t="n">
        <f aca="false">P143*Q143</f>
        <v>252.2</v>
      </c>
      <c r="S143" s="93"/>
      <c r="T143" s="94"/>
      <c r="U143" s="95"/>
    </row>
    <row r="144" customFormat="false" ht="18.75" hidden="false" customHeight="true" outlineLevel="0" collapsed="false">
      <c r="A144" s="82" t="s">
        <v>20</v>
      </c>
      <c r="B144" s="83" t="s">
        <v>485</v>
      </c>
      <c r="C144" s="84" t="s">
        <v>137</v>
      </c>
      <c r="D144" s="85" t="s">
        <v>56</v>
      </c>
      <c r="E144" s="86" t="n">
        <v>4</v>
      </c>
      <c r="F144" s="86" t="n">
        <v>13</v>
      </c>
      <c r="G144" s="87" t="n">
        <f aca="false">E144*F144</f>
        <v>52</v>
      </c>
      <c r="H144" s="88" t="n">
        <f aca="false">SUMIF(B:B,B144,G:G)</f>
        <v>52</v>
      </c>
      <c r="I144" s="89" t="n">
        <v>484.5</v>
      </c>
      <c r="J144" s="90" t="n">
        <f aca="false">IFERROR((I144-H144)/I144,"")</f>
        <v>0.892672858617131</v>
      </c>
      <c r="K144" s="3"/>
      <c r="L144" s="82" t="s">
        <v>20</v>
      </c>
      <c r="M144" s="83" t="s">
        <v>485</v>
      </c>
      <c r="N144" s="84" t="s">
        <v>137</v>
      </c>
      <c r="O144" s="85" t="s">
        <v>56</v>
      </c>
      <c r="P144" s="86" t="n">
        <v>4</v>
      </c>
      <c r="Q144" s="86" t="n">
        <v>13</v>
      </c>
      <c r="R144" s="87" t="n">
        <f aca="false">P144*Q144</f>
        <v>52</v>
      </c>
      <c r="S144" s="88" t="n">
        <f aca="false">SUMIF(M:M,M144,R:R)</f>
        <v>52</v>
      </c>
      <c r="T144" s="89" t="n">
        <f aca="false">I144</f>
        <v>484.5</v>
      </c>
      <c r="U144" s="90" t="n">
        <f aca="false">IFERROR((T144-S144)/T144,"")</f>
        <v>0.892672858617131</v>
      </c>
    </row>
    <row r="145" customFormat="false" ht="18.75" hidden="false" customHeight="true" outlineLevel="0" collapsed="false">
      <c r="A145" s="82" t="s">
        <v>20</v>
      </c>
      <c r="B145" s="83" t="s">
        <v>486</v>
      </c>
      <c r="C145" s="84" t="s">
        <v>411</v>
      </c>
      <c r="D145" s="85" t="s">
        <v>56</v>
      </c>
      <c r="E145" s="86" t="n">
        <v>7</v>
      </c>
      <c r="F145" s="86" t="n">
        <v>18</v>
      </c>
      <c r="G145" s="87" t="n">
        <f aca="false">E145*F145</f>
        <v>126</v>
      </c>
      <c r="H145" s="88" t="n">
        <f aca="false">SUMIF(B:B,B145,G:G)</f>
        <v>181.25</v>
      </c>
      <c r="I145" s="89" t="n">
        <v>712.5</v>
      </c>
      <c r="J145" s="90" t="n">
        <f aca="false">IFERROR((I145-H145)/I145,"")</f>
        <v>0.745614035087719</v>
      </c>
      <c r="K145" s="3"/>
      <c r="L145" s="82" t="s">
        <v>20</v>
      </c>
      <c r="M145" s="83" t="s">
        <v>486</v>
      </c>
      <c r="N145" s="84" t="s">
        <v>411</v>
      </c>
      <c r="O145" s="85" t="s">
        <v>56</v>
      </c>
      <c r="P145" s="86" t="n">
        <v>7</v>
      </c>
      <c r="Q145" s="86" t="n">
        <v>18</v>
      </c>
      <c r="R145" s="87" t="n">
        <f aca="false">P145*Q145</f>
        <v>126</v>
      </c>
      <c r="S145" s="88" t="n">
        <f aca="false">SUMIF(M:M,M145,R:R)</f>
        <v>181.25</v>
      </c>
      <c r="T145" s="89" t="n">
        <f aca="false">I145</f>
        <v>712.5</v>
      </c>
      <c r="U145" s="90" t="n">
        <f aca="false">IFERROR((T145-S145)/T145,"")</f>
        <v>0.745614035087719</v>
      </c>
    </row>
    <row r="146" customFormat="false" ht="18.75" hidden="false" customHeight="true" outlineLevel="0" collapsed="false">
      <c r="A146" s="91"/>
      <c r="B146" s="92" t="s">
        <v>486</v>
      </c>
      <c r="C146" s="84" t="s">
        <v>455</v>
      </c>
      <c r="D146" s="85" t="s">
        <v>56</v>
      </c>
      <c r="E146" s="86" t="n">
        <v>4.25</v>
      </c>
      <c r="F146" s="86" t="n">
        <v>13</v>
      </c>
      <c r="G146" s="87" t="n">
        <f aca="false">E146*F146</f>
        <v>55.25</v>
      </c>
      <c r="H146" s="93"/>
      <c r="I146" s="94"/>
      <c r="J146" s="95"/>
      <c r="K146" s="3"/>
      <c r="L146" s="91"/>
      <c r="M146" s="92" t="s">
        <v>486</v>
      </c>
      <c r="N146" s="84" t="s">
        <v>455</v>
      </c>
      <c r="O146" s="85" t="s">
        <v>56</v>
      </c>
      <c r="P146" s="86" t="n">
        <v>4.25</v>
      </c>
      <c r="Q146" s="86" t="n">
        <v>13</v>
      </c>
      <c r="R146" s="87" t="n">
        <f aca="false">P146*Q146</f>
        <v>55.25</v>
      </c>
      <c r="S146" s="93"/>
      <c r="T146" s="94"/>
      <c r="U146" s="95"/>
    </row>
    <row r="147" customFormat="false" ht="18.75" hidden="false" customHeight="true" outlineLevel="0" collapsed="false">
      <c r="A147" s="82" t="s">
        <v>20</v>
      </c>
      <c r="B147" s="83" t="s">
        <v>487</v>
      </c>
      <c r="C147" s="84" t="s">
        <v>411</v>
      </c>
      <c r="D147" s="85" t="s">
        <v>56</v>
      </c>
      <c r="E147" s="86" t="n">
        <v>14</v>
      </c>
      <c r="F147" s="86" t="n">
        <v>18</v>
      </c>
      <c r="G147" s="87" t="n">
        <f aca="false">E147*F147</f>
        <v>252</v>
      </c>
      <c r="H147" s="88" t="n">
        <f aca="false">SUMIF(B:B,B147,G:G)</f>
        <v>1992.86</v>
      </c>
      <c r="I147" s="89" t="n">
        <v>1940</v>
      </c>
      <c r="J147" s="90" t="n">
        <f aca="false">IFERROR((I147-H147)/I147,"")</f>
        <v>-0.0272474226804123</v>
      </c>
      <c r="K147" s="3"/>
      <c r="L147" s="82" t="s">
        <v>20</v>
      </c>
      <c r="M147" s="83" t="s">
        <v>487</v>
      </c>
      <c r="N147" s="84" t="s">
        <v>411</v>
      </c>
      <c r="O147" s="85" t="s">
        <v>56</v>
      </c>
      <c r="P147" s="86" t="n">
        <v>14</v>
      </c>
      <c r="Q147" s="86" t="n">
        <v>18</v>
      </c>
      <c r="R147" s="87" t="n">
        <f aca="false">P147*Q147</f>
        <v>252</v>
      </c>
      <c r="S147" s="88" t="n">
        <f aca="false">SUMIF(M:M,M147,R:R)</f>
        <v>1992.86</v>
      </c>
      <c r="T147" s="89" t="n">
        <f aca="false">I147</f>
        <v>1940</v>
      </c>
      <c r="U147" s="90" t="n">
        <f aca="false">IFERROR((T147-S147)/T147,"")</f>
        <v>-0.0272474226804123</v>
      </c>
    </row>
    <row r="148" customFormat="false" ht="18.75" hidden="false" customHeight="true" outlineLevel="0" collapsed="false">
      <c r="A148" s="91"/>
      <c r="B148" s="92" t="s">
        <v>487</v>
      </c>
      <c r="C148" s="84" t="s">
        <v>359</v>
      </c>
      <c r="D148" s="85" t="s">
        <v>56</v>
      </c>
      <c r="E148" s="86" t="n">
        <v>7</v>
      </c>
      <c r="F148" s="86" t="n">
        <v>18</v>
      </c>
      <c r="G148" s="87" t="n">
        <f aca="false">E148*F148</f>
        <v>126</v>
      </c>
      <c r="H148" s="93"/>
      <c r="I148" s="94"/>
      <c r="J148" s="95"/>
      <c r="K148" s="3"/>
      <c r="L148" s="91"/>
      <c r="M148" s="92" t="s">
        <v>487</v>
      </c>
      <c r="N148" s="84" t="s">
        <v>359</v>
      </c>
      <c r="O148" s="85" t="s">
        <v>56</v>
      </c>
      <c r="P148" s="86" t="n">
        <v>7</v>
      </c>
      <c r="Q148" s="86" t="n">
        <v>18</v>
      </c>
      <c r="R148" s="87" t="n">
        <f aca="false">P148*Q148</f>
        <v>126</v>
      </c>
      <c r="S148" s="93"/>
      <c r="T148" s="94"/>
      <c r="U148" s="95"/>
    </row>
    <row r="149" customFormat="false" ht="18.75" hidden="false" customHeight="true" outlineLevel="0" collapsed="false">
      <c r="A149" s="91"/>
      <c r="B149" s="92" t="s">
        <v>487</v>
      </c>
      <c r="C149" s="84" t="s">
        <v>455</v>
      </c>
      <c r="D149" s="85" t="s">
        <v>56</v>
      </c>
      <c r="E149" s="86" t="n">
        <v>14.57</v>
      </c>
      <c r="F149" s="86" t="n">
        <v>13</v>
      </c>
      <c r="G149" s="87" t="n">
        <f aca="false">E149*F149</f>
        <v>189.41</v>
      </c>
      <c r="H149" s="93"/>
      <c r="I149" s="94"/>
      <c r="J149" s="95"/>
      <c r="K149" s="3"/>
      <c r="L149" s="91"/>
      <c r="M149" s="92" t="s">
        <v>487</v>
      </c>
      <c r="N149" s="84" t="s">
        <v>455</v>
      </c>
      <c r="O149" s="85" t="s">
        <v>56</v>
      </c>
      <c r="P149" s="86" t="n">
        <v>14.57</v>
      </c>
      <c r="Q149" s="86" t="n">
        <v>13</v>
      </c>
      <c r="R149" s="87" t="n">
        <f aca="false">P149*Q149</f>
        <v>189.41</v>
      </c>
      <c r="S149" s="93"/>
      <c r="T149" s="94"/>
      <c r="U149" s="95"/>
    </row>
    <row r="150" customFormat="false" ht="18.75" hidden="false" customHeight="true" outlineLevel="0" collapsed="false">
      <c r="A150" s="91"/>
      <c r="B150" s="92" t="s">
        <v>487</v>
      </c>
      <c r="C150" s="84" t="s">
        <v>476</v>
      </c>
      <c r="D150" s="85" t="s">
        <v>56</v>
      </c>
      <c r="E150" s="86" t="n">
        <v>11.2</v>
      </c>
      <c r="F150" s="86" t="n">
        <v>13</v>
      </c>
      <c r="G150" s="87" t="n">
        <f aca="false">E150*F150</f>
        <v>145.6</v>
      </c>
      <c r="H150" s="93"/>
      <c r="I150" s="94"/>
      <c r="J150" s="95"/>
      <c r="K150" s="3"/>
      <c r="L150" s="91"/>
      <c r="M150" s="92" t="s">
        <v>487</v>
      </c>
      <c r="N150" s="84" t="s">
        <v>476</v>
      </c>
      <c r="O150" s="85" t="s">
        <v>56</v>
      </c>
      <c r="P150" s="86" t="n">
        <v>11.2</v>
      </c>
      <c r="Q150" s="86" t="n">
        <v>13</v>
      </c>
      <c r="R150" s="87" t="n">
        <f aca="false">P150*Q150</f>
        <v>145.6</v>
      </c>
      <c r="S150" s="93"/>
      <c r="T150" s="94"/>
      <c r="U150" s="95"/>
    </row>
    <row r="151" customFormat="false" ht="18.75" hidden="false" customHeight="true" outlineLevel="0" collapsed="false">
      <c r="A151" s="91"/>
      <c r="B151" s="92" t="s">
        <v>487</v>
      </c>
      <c r="C151" s="84" t="s">
        <v>477</v>
      </c>
      <c r="D151" s="85" t="s">
        <v>56</v>
      </c>
      <c r="E151" s="86" t="n">
        <v>8.6</v>
      </c>
      <c r="F151" s="86" t="n">
        <v>13</v>
      </c>
      <c r="G151" s="87" t="n">
        <f aca="false">E151*F151</f>
        <v>111.8</v>
      </c>
      <c r="H151" s="93"/>
      <c r="I151" s="94"/>
      <c r="J151" s="95"/>
      <c r="K151" s="3"/>
      <c r="L151" s="91"/>
      <c r="M151" s="92" t="s">
        <v>487</v>
      </c>
      <c r="N151" s="84" t="s">
        <v>477</v>
      </c>
      <c r="O151" s="85" t="s">
        <v>56</v>
      </c>
      <c r="P151" s="86" t="n">
        <v>8.6</v>
      </c>
      <c r="Q151" s="86" t="n">
        <v>13</v>
      </c>
      <c r="R151" s="87" t="n">
        <f aca="false">P151*Q151</f>
        <v>111.8</v>
      </c>
      <c r="S151" s="93"/>
      <c r="T151" s="94"/>
      <c r="U151" s="95"/>
    </row>
    <row r="152" customFormat="false" ht="18.75" hidden="false" customHeight="true" outlineLevel="0" collapsed="false">
      <c r="A152" s="91"/>
      <c r="B152" s="92" t="s">
        <v>487</v>
      </c>
      <c r="C152" s="84" t="s">
        <v>424</v>
      </c>
      <c r="D152" s="85" t="s">
        <v>56</v>
      </c>
      <c r="E152" s="86" t="n">
        <v>8.75</v>
      </c>
      <c r="F152" s="86" t="n">
        <v>13</v>
      </c>
      <c r="G152" s="87" t="n">
        <f aca="false">E152*F152</f>
        <v>113.75</v>
      </c>
      <c r="H152" s="93"/>
      <c r="I152" s="94"/>
      <c r="J152" s="95"/>
      <c r="K152" s="3"/>
      <c r="L152" s="91"/>
      <c r="M152" s="92" t="s">
        <v>487</v>
      </c>
      <c r="N152" s="84" t="s">
        <v>424</v>
      </c>
      <c r="O152" s="85" t="s">
        <v>56</v>
      </c>
      <c r="P152" s="86" t="n">
        <v>8.75</v>
      </c>
      <c r="Q152" s="86" t="n">
        <v>13</v>
      </c>
      <c r="R152" s="87" t="n">
        <f aca="false">P152*Q152</f>
        <v>113.75</v>
      </c>
      <c r="S152" s="93"/>
      <c r="T152" s="94"/>
      <c r="U152" s="95"/>
    </row>
    <row r="153" customFormat="false" ht="18.75" hidden="false" customHeight="true" outlineLevel="0" collapsed="false">
      <c r="A153" s="91"/>
      <c r="B153" s="92" t="s">
        <v>487</v>
      </c>
      <c r="C153" s="84" t="s">
        <v>137</v>
      </c>
      <c r="D153" s="85" t="s">
        <v>56</v>
      </c>
      <c r="E153" s="86" t="n">
        <v>9.2</v>
      </c>
      <c r="F153" s="86" t="n">
        <v>13</v>
      </c>
      <c r="G153" s="87" t="n">
        <f aca="false">E153*F153</f>
        <v>119.6</v>
      </c>
      <c r="H153" s="93"/>
      <c r="I153" s="94"/>
      <c r="J153" s="95"/>
      <c r="K153" s="3"/>
      <c r="L153" s="91"/>
      <c r="M153" s="92" t="s">
        <v>487</v>
      </c>
      <c r="N153" s="84" t="s">
        <v>137</v>
      </c>
      <c r="O153" s="85" t="s">
        <v>56</v>
      </c>
      <c r="P153" s="86" t="n">
        <v>9.2</v>
      </c>
      <c r="Q153" s="86" t="n">
        <v>13</v>
      </c>
      <c r="R153" s="87" t="n">
        <f aca="false">P153*Q153</f>
        <v>119.6</v>
      </c>
      <c r="S153" s="93"/>
      <c r="T153" s="94"/>
      <c r="U153" s="95"/>
    </row>
    <row r="154" customFormat="false" ht="18.75" hidden="false" customHeight="true" outlineLevel="0" collapsed="false">
      <c r="A154" s="91"/>
      <c r="B154" s="92" t="s">
        <v>487</v>
      </c>
      <c r="C154" s="84" t="s">
        <v>488</v>
      </c>
      <c r="D154" s="85" t="s">
        <v>56</v>
      </c>
      <c r="E154" s="86" t="n">
        <v>4.1</v>
      </c>
      <c r="F154" s="86" t="n">
        <v>13</v>
      </c>
      <c r="G154" s="87" t="n">
        <f aca="false">E154*F154</f>
        <v>53.3</v>
      </c>
      <c r="H154" s="93"/>
      <c r="I154" s="94"/>
      <c r="J154" s="95"/>
      <c r="K154" s="3"/>
      <c r="L154" s="91"/>
      <c r="M154" s="92" t="s">
        <v>487</v>
      </c>
      <c r="N154" s="84" t="s">
        <v>488</v>
      </c>
      <c r="O154" s="85" t="s">
        <v>56</v>
      </c>
      <c r="P154" s="86" t="n">
        <v>4.1</v>
      </c>
      <c r="Q154" s="86" t="n">
        <v>13</v>
      </c>
      <c r="R154" s="87" t="n">
        <f aca="false">P154*Q154</f>
        <v>53.3</v>
      </c>
      <c r="S154" s="93"/>
      <c r="T154" s="94"/>
      <c r="U154" s="95"/>
    </row>
    <row r="155" customFormat="false" ht="18.75" hidden="false" customHeight="true" outlineLevel="0" collapsed="false">
      <c r="A155" s="91"/>
      <c r="B155" s="92" t="s">
        <v>487</v>
      </c>
      <c r="C155" s="84" t="s">
        <v>467</v>
      </c>
      <c r="D155" s="85" t="s">
        <v>56</v>
      </c>
      <c r="E155" s="86" t="n">
        <v>9.15</v>
      </c>
      <c r="F155" s="86" t="n">
        <v>13</v>
      </c>
      <c r="G155" s="87" t="n">
        <f aca="false">E155*F155</f>
        <v>118.95</v>
      </c>
      <c r="H155" s="93"/>
      <c r="I155" s="94"/>
      <c r="J155" s="95"/>
      <c r="K155" s="3"/>
      <c r="L155" s="91"/>
      <c r="M155" s="92" t="s">
        <v>487</v>
      </c>
      <c r="N155" s="84" t="s">
        <v>467</v>
      </c>
      <c r="O155" s="85" t="s">
        <v>56</v>
      </c>
      <c r="P155" s="86" t="n">
        <v>9.15</v>
      </c>
      <c r="Q155" s="86" t="n">
        <v>13</v>
      </c>
      <c r="R155" s="87" t="n">
        <f aca="false">P155*Q155</f>
        <v>118.95</v>
      </c>
      <c r="S155" s="93"/>
      <c r="T155" s="94"/>
      <c r="U155" s="95"/>
    </row>
    <row r="156" customFormat="false" ht="18.75" hidden="false" customHeight="true" outlineLevel="0" collapsed="false">
      <c r="A156" s="91"/>
      <c r="B156" s="92" t="s">
        <v>487</v>
      </c>
      <c r="C156" s="84" t="s">
        <v>438</v>
      </c>
      <c r="D156" s="85" t="s">
        <v>56</v>
      </c>
      <c r="E156" s="86" t="n">
        <v>11.5</v>
      </c>
      <c r="F156" s="86" t="n">
        <v>13</v>
      </c>
      <c r="G156" s="87" t="n">
        <f aca="false">E156*F156</f>
        <v>149.5</v>
      </c>
      <c r="H156" s="93"/>
      <c r="I156" s="94"/>
      <c r="J156" s="95"/>
      <c r="K156" s="3"/>
      <c r="L156" s="91"/>
      <c r="M156" s="92" t="s">
        <v>487</v>
      </c>
      <c r="N156" s="84" t="s">
        <v>438</v>
      </c>
      <c r="O156" s="85" t="s">
        <v>56</v>
      </c>
      <c r="P156" s="86" t="n">
        <v>11.5</v>
      </c>
      <c r="Q156" s="86" t="n">
        <v>13</v>
      </c>
      <c r="R156" s="87" t="n">
        <f aca="false">P156*Q156</f>
        <v>149.5</v>
      </c>
      <c r="S156" s="93"/>
      <c r="T156" s="94"/>
      <c r="U156" s="95"/>
    </row>
    <row r="157" customFormat="false" ht="18.75" hidden="false" customHeight="true" outlineLevel="0" collapsed="false">
      <c r="A157" s="91"/>
      <c r="B157" s="92" t="s">
        <v>487</v>
      </c>
      <c r="C157" s="84" t="s">
        <v>420</v>
      </c>
      <c r="D157" s="85" t="s">
        <v>56</v>
      </c>
      <c r="E157" s="86" t="n">
        <v>7.5</v>
      </c>
      <c r="F157" s="86" t="n">
        <v>13</v>
      </c>
      <c r="G157" s="87" t="n">
        <f aca="false">E157*F157</f>
        <v>97.5</v>
      </c>
      <c r="H157" s="93"/>
      <c r="I157" s="94"/>
      <c r="J157" s="95"/>
      <c r="K157" s="3"/>
      <c r="L157" s="91"/>
      <c r="M157" s="92" t="s">
        <v>487</v>
      </c>
      <c r="N157" s="84" t="s">
        <v>420</v>
      </c>
      <c r="O157" s="85" t="s">
        <v>56</v>
      </c>
      <c r="P157" s="86" t="n">
        <v>7.5</v>
      </c>
      <c r="Q157" s="86" t="n">
        <v>13</v>
      </c>
      <c r="R157" s="87" t="n">
        <f aca="false">P157*Q157</f>
        <v>97.5</v>
      </c>
      <c r="S157" s="93"/>
      <c r="T157" s="94"/>
      <c r="U157" s="95"/>
    </row>
    <row r="158" customFormat="false" ht="18.75" hidden="false" customHeight="true" outlineLevel="0" collapsed="false">
      <c r="A158" s="91"/>
      <c r="B158" s="92" t="s">
        <v>487</v>
      </c>
      <c r="C158" s="84" t="s">
        <v>433</v>
      </c>
      <c r="D158" s="85" t="s">
        <v>56</v>
      </c>
      <c r="E158" s="86" t="n">
        <v>6.4</v>
      </c>
      <c r="F158" s="86" t="n">
        <v>13</v>
      </c>
      <c r="G158" s="87" t="n">
        <f aca="false">E158*F158</f>
        <v>83.2</v>
      </c>
      <c r="H158" s="93"/>
      <c r="I158" s="94"/>
      <c r="J158" s="95"/>
      <c r="K158" s="3"/>
      <c r="L158" s="91"/>
      <c r="M158" s="92" t="s">
        <v>487</v>
      </c>
      <c r="N158" s="84" t="s">
        <v>433</v>
      </c>
      <c r="O158" s="85" t="s">
        <v>56</v>
      </c>
      <c r="P158" s="86" t="n">
        <v>6.4</v>
      </c>
      <c r="Q158" s="86" t="n">
        <v>13</v>
      </c>
      <c r="R158" s="87" t="n">
        <f aca="false">P158*Q158</f>
        <v>83.2</v>
      </c>
      <c r="S158" s="93"/>
      <c r="T158" s="94"/>
      <c r="U158" s="95"/>
    </row>
    <row r="159" customFormat="false" ht="18.75" hidden="false" customHeight="true" outlineLevel="0" collapsed="false">
      <c r="A159" s="91"/>
      <c r="B159" s="92" t="s">
        <v>487</v>
      </c>
      <c r="C159" s="84" t="s">
        <v>318</v>
      </c>
      <c r="D159" s="85" t="s">
        <v>56</v>
      </c>
      <c r="E159" s="86" t="n">
        <v>17</v>
      </c>
      <c r="F159" s="86" t="n">
        <v>13</v>
      </c>
      <c r="G159" s="87" t="n">
        <f aca="false">E159*F159</f>
        <v>221</v>
      </c>
      <c r="H159" s="93"/>
      <c r="I159" s="94"/>
      <c r="J159" s="95"/>
      <c r="K159" s="3"/>
      <c r="L159" s="91"/>
      <c r="M159" s="92" t="s">
        <v>487</v>
      </c>
      <c r="N159" s="84" t="s">
        <v>318</v>
      </c>
      <c r="O159" s="85" t="s">
        <v>56</v>
      </c>
      <c r="P159" s="86" t="n">
        <v>17</v>
      </c>
      <c r="Q159" s="86" t="n">
        <v>13</v>
      </c>
      <c r="R159" s="87" t="n">
        <f aca="false">P159*Q159</f>
        <v>221</v>
      </c>
      <c r="S159" s="93"/>
      <c r="T159" s="94"/>
      <c r="U159" s="95"/>
    </row>
    <row r="160" customFormat="false" ht="18.75" hidden="false" customHeight="true" outlineLevel="0" collapsed="false">
      <c r="A160" s="91"/>
      <c r="B160" s="92" t="s">
        <v>487</v>
      </c>
      <c r="C160" s="84" t="s">
        <v>480</v>
      </c>
      <c r="D160" s="85" t="s">
        <v>56</v>
      </c>
      <c r="E160" s="86" t="n">
        <v>16.25</v>
      </c>
      <c r="F160" s="86" t="n">
        <v>13</v>
      </c>
      <c r="G160" s="87" t="n">
        <f aca="false">E160*F160</f>
        <v>211.25</v>
      </c>
      <c r="H160" s="93"/>
      <c r="I160" s="94"/>
      <c r="J160" s="95"/>
      <c r="K160" s="3"/>
      <c r="L160" s="91"/>
      <c r="M160" s="92" t="s">
        <v>487</v>
      </c>
      <c r="N160" s="84" t="s">
        <v>480</v>
      </c>
      <c r="O160" s="85" t="s">
        <v>56</v>
      </c>
      <c r="P160" s="86" t="n">
        <v>16.25</v>
      </c>
      <c r="Q160" s="86" t="n">
        <v>13</v>
      </c>
      <c r="R160" s="87" t="n">
        <f aca="false">P160*Q160</f>
        <v>211.25</v>
      </c>
      <c r="S160" s="93"/>
      <c r="T160" s="94"/>
      <c r="U160" s="95"/>
    </row>
    <row r="161" customFormat="false" ht="18.75" hidden="false" customHeight="true" outlineLevel="0" collapsed="false">
      <c r="A161" s="82" t="s">
        <v>24</v>
      </c>
      <c r="B161" s="83" t="s">
        <v>489</v>
      </c>
      <c r="C161" s="84" t="s">
        <v>411</v>
      </c>
      <c r="D161" s="85" t="s">
        <v>56</v>
      </c>
      <c r="E161" s="86" t="n">
        <v>21</v>
      </c>
      <c r="F161" s="86" t="n">
        <v>18</v>
      </c>
      <c r="G161" s="87" t="n">
        <f aca="false">E161*F161</f>
        <v>378</v>
      </c>
      <c r="H161" s="88" t="n">
        <f aca="false">SUMIF(B:B,B161,G:G)</f>
        <v>2584.29</v>
      </c>
      <c r="I161" s="89" t="n">
        <v>2427</v>
      </c>
      <c r="J161" s="90" t="n">
        <f aca="false">IFERROR((I161-H161)/I161,"")</f>
        <v>-0.0648084054388133</v>
      </c>
      <c r="K161" s="3"/>
      <c r="L161" s="82" t="s">
        <v>24</v>
      </c>
      <c r="M161" s="83" t="s">
        <v>489</v>
      </c>
      <c r="N161" s="84" t="s">
        <v>411</v>
      </c>
      <c r="O161" s="85" t="s">
        <v>56</v>
      </c>
      <c r="P161" s="86" t="n">
        <v>21</v>
      </c>
      <c r="Q161" s="86" t="n">
        <v>18</v>
      </c>
      <c r="R161" s="87" t="n">
        <f aca="false">P161*Q161</f>
        <v>378</v>
      </c>
      <c r="S161" s="88" t="n">
        <f aca="false">SUMIF(M:M,M161,R:R)</f>
        <v>2584.29</v>
      </c>
      <c r="T161" s="89" t="n">
        <f aca="false">I161</f>
        <v>2427</v>
      </c>
      <c r="U161" s="90" t="n">
        <f aca="false">IFERROR((T161-S161)/T161,"")</f>
        <v>-0.0648084054388133</v>
      </c>
    </row>
    <row r="162" customFormat="false" ht="18.75" hidden="false" customHeight="true" outlineLevel="0" collapsed="false">
      <c r="A162" s="91"/>
      <c r="B162" s="92" t="s">
        <v>489</v>
      </c>
      <c r="C162" s="84" t="s">
        <v>482</v>
      </c>
      <c r="D162" s="96" t="s">
        <v>57</v>
      </c>
      <c r="E162" s="91"/>
      <c r="F162" s="91"/>
      <c r="G162" s="87" t="n">
        <v>115.5</v>
      </c>
      <c r="H162" s="93"/>
      <c r="I162" s="94"/>
      <c r="J162" s="95"/>
      <c r="K162" s="3"/>
      <c r="L162" s="91"/>
      <c r="M162" s="92" t="s">
        <v>489</v>
      </c>
      <c r="N162" s="84" t="s">
        <v>482</v>
      </c>
      <c r="O162" s="96" t="s">
        <v>57</v>
      </c>
      <c r="P162" s="91"/>
      <c r="Q162" s="91"/>
      <c r="R162" s="87" t="n">
        <v>115.5</v>
      </c>
      <c r="S162" s="93"/>
      <c r="T162" s="94"/>
      <c r="U162" s="95"/>
    </row>
    <row r="163" customFormat="false" ht="18.75" hidden="false" customHeight="true" outlineLevel="0" collapsed="false">
      <c r="A163" s="91"/>
      <c r="B163" s="92" t="s">
        <v>489</v>
      </c>
      <c r="C163" s="84" t="s">
        <v>455</v>
      </c>
      <c r="D163" s="85" t="s">
        <v>56</v>
      </c>
      <c r="E163" s="86" t="n">
        <v>18.38</v>
      </c>
      <c r="F163" s="86" t="n">
        <v>13</v>
      </c>
      <c r="G163" s="87" t="n">
        <f aca="false">E163*F163</f>
        <v>238.94</v>
      </c>
      <c r="H163" s="93"/>
      <c r="I163" s="94"/>
      <c r="J163" s="95"/>
      <c r="K163" s="3"/>
      <c r="L163" s="91"/>
      <c r="M163" s="92" t="s">
        <v>489</v>
      </c>
      <c r="N163" s="84" t="s">
        <v>455</v>
      </c>
      <c r="O163" s="85" t="s">
        <v>56</v>
      </c>
      <c r="P163" s="86" t="n">
        <v>18.38</v>
      </c>
      <c r="Q163" s="86" t="n">
        <v>13</v>
      </c>
      <c r="R163" s="87" t="n">
        <f aca="false">P163*Q163</f>
        <v>238.94</v>
      </c>
      <c r="S163" s="93"/>
      <c r="T163" s="94"/>
      <c r="U163" s="95"/>
    </row>
    <row r="164" customFormat="false" ht="18.75" hidden="false" customHeight="true" outlineLevel="0" collapsed="false">
      <c r="A164" s="91"/>
      <c r="B164" s="92" t="s">
        <v>489</v>
      </c>
      <c r="C164" s="84" t="s">
        <v>477</v>
      </c>
      <c r="D164" s="85" t="s">
        <v>56</v>
      </c>
      <c r="E164" s="86" t="n">
        <v>10.07</v>
      </c>
      <c r="F164" s="86" t="n">
        <v>13</v>
      </c>
      <c r="G164" s="87" t="n">
        <f aca="false">E164*F164</f>
        <v>130.91</v>
      </c>
      <c r="H164" s="93"/>
      <c r="I164" s="94"/>
      <c r="J164" s="95"/>
      <c r="K164" s="3"/>
      <c r="L164" s="91"/>
      <c r="M164" s="92" t="s">
        <v>489</v>
      </c>
      <c r="N164" s="84" t="s">
        <v>477</v>
      </c>
      <c r="O164" s="85" t="s">
        <v>56</v>
      </c>
      <c r="P164" s="86" t="n">
        <v>10.07</v>
      </c>
      <c r="Q164" s="86" t="n">
        <v>13</v>
      </c>
      <c r="R164" s="87" t="n">
        <f aca="false">P164*Q164</f>
        <v>130.91</v>
      </c>
      <c r="S164" s="93"/>
      <c r="T164" s="94"/>
      <c r="U164" s="95"/>
    </row>
    <row r="165" customFormat="false" ht="18.75" hidden="false" customHeight="true" outlineLevel="0" collapsed="false">
      <c r="A165" s="91"/>
      <c r="B165" s="92" t="s">
        <v>489</v>
      </c>
      <c r="C165" s="84" t="s">
        <v>424</v>
      </c>
      <c r="D165" s="85" t="s">
        <v>56</v>
      </c>
      <c r="E165" s="86" t="n">
        <v>9.25</v>
      </c>
      <c r="F165" s="86" t="n">
        <v>13</v>
      </c>
      <c r="G165" s="87" t="n">
        <f aca="false">E165*F165</f>
        <v>120.25</v>
      </c>
      <c r="H165" s="93"/>
      <c r="I165" s="94"/>
      <c r="J165" s="95"/>
      <c r="K165" s="3"/>
      <c r="L165" s="91"/>
      <c r="M165" s="92" t="s">
        <v>489</v>
      </c>
      <c r="N165" s="84" t="s">
        <v>424</v>
      </c>
      <c r="O165" s="85" t="s">
        <v>56</v>
      </c>
      <c r="P165" s="86" t="n">
        <v>9.25</v>
      </c>
      <c r="Q165" s="86" t="n">
        <v>13</v>
      </c>
      <c r="R165" s="87" t="n">
        <f aca="false">P165*Q165</f>
        <v>120.25</v>
      </c>
      <c r="S165" s="93"/>
      <c r="T165" s="94"/>
      <c r="U165" s="95"/>
    </row>
    <row r="166" customFormat="false" ht="18.75" hidden="false" customHeight="true" outlineLevel="0" collapsed="false">
      <c r="A166" s="91"/>
      <c r="B166" s="92" t="s">
        <v>489</v>
      </c>
      <c r="C166" s="84" t="s">
        <v>490</v>
      </c>
      <c r="D166" s="85" t="s">
        <v>56</v>
      </c>
      <c r="E166" s="86" t="n">
        <v>10.1</v>
      </c>
      <c r="F166" s="86" t="n">
        <v>13</v>
      </c>
      <c r="G166" s="87" t="n">
        <f aca="false">E166*F166</f>
        <v>131.3</v>
      </c>
      <c r="H166" s="93"/>
      <c r="I166" s="94"/>
      <c r="J166" s="95"/>
      <c r="K166" s="3"/>
      <c r="L166" s="91"/>
      <c r="M166" s="92" t="s">
        <v>489</v>
      </c>
      <c r="N166" s="84" t="s">
        <v>490</v>
      </c>
      <c r="O166" s="85" t="s">
        <v>56</v>
      </c>
      <c r="P166" s="86" t="n">
        <v>10.1</v>
      </c>
      <c r="Q166" s="86" t="n">
        <v>13</v>
      </c>
      <c r="R166" s="87" t="n">
        <f aca="false">P166*Q166</f>
        <v>131.3</v>
      </c>
      <c r="S166" s="93"/>
      <c r="T166" s="94"/>
      <c r="U166" s="95"/>
    </row>
    <row r="167" customFormat="false" ht="18.75" hidden="false" customHeight="true" outlineLevel="0" collapsed="false">
      <c r="A167" s="91"/>
      <c r="B167" s="92" t="s">
        <v>489</v>
      </c>
      <c r="C167" s="84" t="s">
        <v>480</v>
      </c>
      <c r="D167" s="85" t="s">
        <v>56</v>
      </c>
      <c r="E167" s="86" t="n">
        <v>15.53</v>
      </c>
      <c r="F167" s="86" t="n">
        <v>13</v>
      </c>
      <c r="G167" s="87" t="n">
        <f aca="false">E167*F167</f>
        <v>201.89</v>
      </c>
      <c r="H167" s="93"/>
      <c r="I167" s="94"/>
      <c r="J167" s="95"/>
      <c r="K167" s="3"/>
      <c r="L167" s="91"/>
      <c r="M167" s="92" t="s">
        <v>489</v>
      </c>
      <c r="N167" s="84" t="s">
        <v>480</v>
      </c>
      <c r="O167" s="85" t="s">
        <v>56</v>
      </c>
      <c r="P167" s="86" t="n">
        <v>15.53</v>
      </c>
      <c r="Q167" s="86" t="n">
        <v>13</v>
      </c>
      <c r="R167" s="87" t="n">
        <f aca="false">P167*Q167</f>
        <v>201.89</v>
      </c>
      <c r="S167" s="93"/>
      <c r="T167" s="94"/>
      <c r="U167" s="95"/>
    </row>
    <row r="168" customFormat="false" ht="18.75" hidden="false" customHeight="true" outlineLevel="0" collapsed="false">
      <c r="A168" s="91"/>
      <c r="B168" s="92" t="s">
        <v>489</v>
      </c>
      <c r="C168" s="84" t="s">
        <v>420</v>
      </c>
      <c r="D168" s="85" t="s">
        <v>56</v>
      </c>
      <c r="E168" s="86" t="n">
        <v>9.7</v>
      </c>
      <c r="F168" s="86" t="n">
        <v>13</v>
      </c>
      <c r="G168" s="87" t="n">
        <f aca="false">E168*F168</f>
        <v>126.1</v>
      </c>
      <c r="H168" s="93"/>
      <c r="I168" s="94"/>
      <c r="J168" s="95"/>
      <c r="K168" s="3"/>
      <c r="L168" s="91"/>
      <c r="M168" s="92" t="s">
        <v>489</v>
      </c>
      <c r="N168" s="84" t="s">
        <v>420</v>
      </c>
      <c r="O168" s="85" t="s">
        <v>56</v>
      </c>
      <c r="P168" s="86" t="n">
        <v>9.7</v>
      </c>
      <c r="Q168" s="86" t="n">
        <v>13</v>
      </c>
      <c r="R168" s="87" t="n">
        <f aca="false">P168*Q168</f>
        <v>126.1</v>
      </c>
      <c r="S168" s="93"/>
      <c r="T168" s="94"/>
      <c r="U168" s="95"/>
    </row>
    <row r="169" customFormat="false" ht="18.75" hidden="false" customHeight="true" outlineLevel="0" collapsed="false">
      <c r="A169" s="91"/>
      <c r="B169" s="92" t="s">
        <v>489</v>
      </c>
      <c r="C169" s="84" t="s">
        <v>151</v>
      </c>
      <c r="D169" s="85" t="s">
        <v>56</v>
      </c>
      <c r="E169" s="86" t="n">
        <v>8.12</v>
      </c>
      <c r="F169" s="86" t="n">
        <v>13</v>
      </c>
      <c r="G169" s="87" t="n">
        <f aca="false">E169*F169</f>
        <v>105.56</v>
      </c>
      <c r="H169" s="93"/>
      <c r="I169" s="94"/>
      <c r="J169" s="95"/>
      <c r="K169" s="3"/>
      <c r="L169" s="91"/>
      <c r="M169" s="92" t="s">
        <v>489</v>
      </c>
      <c r="N169" s="84" t="s">
        <v>151</v>
      </c>
      <c r="O169" s="85" t="s">
        <v>56</v>
      </c>
      <c r="P169" s="86" t="n">
        <v>8.12</v>
      </c>
      <c r="Q169" s="86" t="n">
        <v>13</v>
      </c>
      <c r="R169" s="87" t="n">
        <f aca="false">P169*Q169</f>
        <v>105.56</v>
      </c>
      <c r="S169" s="93"/>
      <c r="T169" s="94"/>
      <c r="U169" s="95"/>
    </row>
    <row r="170" customFormat="false" ht="18.75" hidden="false" customHeight="true" outlineLevel="0" collapsed="false">
      <c r="A170" s="91"/>
      <c r="B170" s="92" t="s">
        <v>489</v>
      </c>
      <c r="C170" s="84" t="s">
        <v>470</v>
      </c>
      <c r="D170" s="85" t="s">
        <v>56</v>
      </c>
      <c r="E170" s="86" t="n">
        <v>12.4</v>
      </c>
      <c r="F170" s="86" t="n">
        <v>13</v>
      </c>
      <c r="G170" s="87" t="n">
        <f aca="false">E170*F170</f>
        <v>161.2</v>
      </c>
      <c r="H170" s="93"/>
      <c r="I170" s="94"/>
      <c r="J170" s="95"/>
      <c r="K170" s="3"/>
      <c r="L170" s="91"/>
      <c r="M170" s="92" t="s">
        <v>489</v>
      </c>
      <c r="N170" s="84" t="s">
        <v>470</v>
      </c>
      <c r="O170" s="85" t="s">
        <v>56</v>
      </c>
      <c r="P170" s="86" t="n">
        <v>12.4</v>
      </c>
      <c r="Q170" s="86" t="n">
        <v>13</v>
      </c>
      <c r="R170" s="87" t="n">
        <f aca="false">P170*Q170</f>
        <v>161.2</v>
      </c>
      <c r="S170" s="93"/>
      <c r="T170" s="94"/>
      <c r="U170" s="95"/>
    </row>
    <row r="171" customFormat="false" ht="18.75" hidden="false" customHeight="true" outlineLevel="0" collapsed="false">
      <c r="A171" s="91"/>
      <c r="B171" s="92" t="s">
        <v>489</v>
      </c>
      <c r="C171" s="84" t="s">
        <v>491</v>
      </c>
      <c r="D171" s="85" t="s">
        <v>56</v>
      </c>
      <c r="E171" s="86" t="n">
        <v>8.44</v>
      </c>
      <c r="F171" s="86" t="n">
        <v>13</v>
      </c>
      <c r="G171" s="87" t="n">
        <f aca="false">E171*F171</f>
        <v>109.72</v>
      </c>
      <c r="H171" s="93"/>
      <c r="I171" s="94"/>
      <c r="J171" s="95"/>
      <c r="K171" s="3"/>
      <c r="L171" s="91"/>
      <c r="M171" s="92" t="s">
        <v>489</v>
      </c>
      <c r="N171" s="84" t="s">
        <v>491</v>
      </c>
      <c r="O171" s="85" t="s">
        <v>56</v>
      </c>
      <c r="P171" s="86" t="n">
        <v>8.44</v>
      </c>
      <c r="Q171" s="86" t="n">
        <v>13</v>
      </c>
      <c r="R171" s="87" t="n">
        <f aca="false">P171*Q171</f>
        <v>109.72</v>
      </c>
      <c r="S171" s="93"/>
      <c r="T171" s="94"/>
      <c r="U171" s="95"/>
    </row>
    <row r="172" customFormat="false" ht="18.75" hidden="false" customHeight="true" outlineLevel="0" collapsed="false">
      <c r="A172" s="91"/>
      <c r="B172" s="92" t="s">
        <v>489</v>
      </c>
      <c r="C172" s="84" t="s">
        <v>360</v>
      </c>
      <c r="D172" s="85" t="s">
        <v>56</v>
      </c>
      <c r="E172" s="86" t="n">
        <v>16.8</v>
      </c>
      <c r="F172" s="86" t="n">
        <v>13</v>
      </c>
      <c r="G172" s="87" t="n">
        <f aca="false">E172*F172</f>
        <v>218.4</v>
      </c>
      <c r="H172" s="93"/>
      <c r="I172" s="94"/>
      <c r="J172" s="95"/>
      <c r="K172" s="3"/>
      <c r="L172" s="91"/>
      <c r="M172" s="92" t="s">
        <v>489</v>
      </c>
      <c r="N172" s="84" t="s">
        <v>360</v>
      </c>
      <c r="O172" s="85" t="s">
        <v>56</v>
      </c>
      <c r="P172" s="86" t="n">
        <v>16.8</v>
      </c>
      <c r="Q172" s="86" t="n">
        <v>13</v>
      </c>
      <c r="R172" s="87" t="n">
        <f aca="false">P172*Q172</f>
        <v>218.4</v>
      </c>
      <c r="S172" s="93"/>
      <c r="T172" s="94"/>
      <c r="U172" s="95"/>
    </row>
    <row r="173" customFormat="false" ht="18.75" hidden="false" customHeight="true" outlineLevel="0" collapsed="false">
      <c r="A173" s="91"/>
      <c r="B173" s="92" t="s">
        <v>489</v>
      </c>
      <c r="C173" s="84" t="s">
        <v>100</v>
      </c>
      <c r="D173" s="85" t="s">
        <v>56</v>
      </c>
      <c r="E173" s="86" t="n">
        <v>17.53</v>
      </c>
      <c r="F173" s="86" t="n">
        <v>13</v>
      </c>
      <c r="G173" s="87" t="n">
        <f aca="false">E173*F173</f>
        <v>227.89</v>
      </c>
      <c r="H173" s="93"/>
      <c r="I173" s="94"/>
      <c r="J173" s="95"/>
      <c r="K173" s="3"/>
      <c r="L173" s="91"/>
      <c r="M173" s="92" t="s">
        <v>489</v>
      </c>
      <c r="N173" s="84" t="s">
        <v>100</v>
      </c>
      <c r="O173" s="85" t="s">
        <v>56</v>
      </c>
      <c r="P173" s="86" t="n">
        <v>17.53</v>
      </c>
      <c r="Q173" s="86" t="n">
        <v>13</v>
      </c>
      <c r="R173" s="87" t="n">
        <f aca="false">P173*Q173</f>
        <v>227.89</v>
      </c>
      <c r="S173" s="93"/>
      <c r="T173" s="94"/>
      <c r="U173" s="95"/>
    </row>
    <row r="174" customFormat="false" ht="18.75" hidden="false" customHeight="true" outlineLevel="0" collapsed="false">
      <c r="A174" s="91"/>
      <c r="B174" s="92" t="s">
        <v>489</v>
      </c>
      <c r="C174" s="84" t="s">
        <v>137</v>
      </c>
      <c r="D174" s="85" t="s">
        <v>56</v>
      </c>
      <c r="E174" s="86" t="n">
        <v>10.51</v>
      </c>
      <c r="F174" s="86" t="n">
        <v>13</v>
      </c>
      <c r="G174" s="87" t="n">
        <f aca="false">E174*F174</f>
        <v>136.63</v>
      </c>
      <c r="H174" s="93"/>
      <c r="I174" s="94"/>
      <c r="J174" s="95"/>
      <c r="K174" s="3"/>
      <c r="L174" s="91"/>
      <c r="M174" s="92" t="s">
        <v>489</v>
      </c>
      <c r="N174" s="84" t="s">
        <v>137</v>
      </c>
      <c r="O174" s="85" t="s">
        <v>56</v>
      </c>
      <c r="P174" s="86" t="n">
        <v>10.51</v>
      </c>
      <c r="Q174" s="86" t="n">
        <v>13</v>
      </c>
      <c r="R174" s="87" t="n">
        <f aca="false">P174*Q174</f>
        <v>136.63</v>
      </c>
      <c r="S174" s="93"/>
      <c r="T174" s="94"/>
      <c r="U174" s="95"/>
    </row>
    <row r="175" customFormat="false" ht="18.75" hidden="false" customHeight="true" outlineLevel="0" collapsed="false">
      <c r="A175" s="91"/>
      <c r="B175" s="92" t="s">
        <v>489</v>
      </c>
      <c r="C175" s="84" t="s">
        <v>465</v>
      </c>
      <c r="D175" s="85" t="s">
        <v>56</v>
      </c>
      <c r="E175" s="86" t="n">
        <v>7</v>
      </c>
      <c r="F175" s="86" t="n">
        <v>13</v>
      </c>
      <c r="G175" s="87" t="n">
        <f aca="false">E175*F175</f>
        <v>91</v>
      </c>
      <c r="H175" s="93"/>
      <c r="I175" s="94"/>
      <c r="J175" s="95"/>
      <c r="K175" s="3"/>
      <c r="L175" s="91"/>
      <c r="M175" s="92" t="s">
        <v>489</v>
      </c>
      <c r="N175" s="84" t="s">
        <v>465</v>
      </c>
      <c r="O175" s="85" t="s">
        <v>56</v>
      </c>
      <c r="P175" s="86" t="n">
        <v>7</v>
      </c>
      <c r="Q175" s="86" t="n">
        <v>13</v>
      </c>
      <c r="R175" s="87" t="n">
        <f aca="false">P175*Q175</f>
        <v>91</v>
      </c>
      <c r="S175" s="93"/>
      <c r="T175" s="94"/>
      <c r="U175" s="95"/>
    </row>
    <row r="176" customFormat="false" ht="18.75" hidden="false" customHeight="true" outlineLevel="0" collapsed="false">
      <c r="A176" s="91"/>
      <c r="B176" s="92" t="s">
        <v>489</v>
      </c>
      <c r="C176" s="84" t="s">
        <v>492</v>
      </c>
      <c r="D176" s="85" t="s">
        <v>56</v>
      </c>
      <c r="E176" s="86" t="n">
        <v>7</v>
      </c>
      <c r="F176" s="86" t="n">
        <v>13</v>
      </c>
      <c r="G176" s="87" t="n">
        <f aca="false">E176*F176</f>
        <v>91</v>
      </c>
      <c r="H176" s="93"/>
      <c r="I176" s="94"/>
      <c r="J176" s="95"/>
      <c r="K176" s="3"/>
      <c r="L176" s="91"/>
      <c r="M176" s="92" t="s">
        <v>489</v>
      </c>
      <c r="N176" s="84" t="s">
        <v>492</v>
      </c>
      <c r="O176" s="85" t="s">
        <v>56</v>
      </c>
      <c r="P176" s="86" t="n">
        <v>7</v>
      </c>
      <c r="Q176" s="86" t="n">
        <v>13</v>
      </c>
      <c r="R176" s="87" t="n">
        <f aca="false">P176*Q176</f>
        <v>91</v>
      </c>
      <c r="S176" s="93"/>
      <c r="T176" s="94"/>
      <c r="U176" s="95"/>
    </row>
    <row r="177" customFormat="false" ht="18.75" hidden="false" customHeight="true" outlineLevel="0" collapsed="false">
      <c r="A177" s="82" t="s">
        <v>24</v>
      </c>
      <c r="B177" s="83" t="s">
        <v>493</v>
      </c>
      <c r="C177" s="84" t="s">
        <v>151</v>
      </c>
      <c r="D177" s="85" t="s">
        <v>56</v>
      </c>
      <c r="E177" s="86" t="n">
        <v>4.25</v>
      </c>
      <c r="F177" s="86" t="n">
        <v>13</v>
      </c>
      <c r="G177" s="87" t="n">
        <f aca="false">E177*F177</f>
        <v>55.25</v>
      </c>
      <c r="H177" s="88" t="n">
        <f aca="false">SUMIF(B:B,B177,G:G)</f>
        <v>181.25</v>
      </c>
      <c r="I177" s="89" t="n">
        <v>484.5</v>
      </c>
      <c r="J177" s="90" t="n">
        <f aca="false">IFERROR((I177-H177)/I177,"")</f>
        <v>0.625902992776058</v>
      </c>
      <c r="K177" s="3"/>
      <c r="L177" s="82" t="s">
        <v>24</v>
      </c>
      <c r="M177" s="83" t="s">
        <v>493</v>
      </c>
      <c r="N177" s="84" t="s">
        <v>151</v>
      </c>
      <c r="O177" s="85" t="s">
        <v>56</v>
      </c>
      <c r="P177" s="86" t="n">
        <v>4.25</v>
      </c>
      <c r="Q177" s="86" t="n">
        <v>13</v>
      </c>
      <c r="R177" s="87" t="n">
        <f aca="false">P177*Q177</f>
        <v>55.25</v>
      </c>
      <c r="S177" s="88" t="n">
        <f aca="false">SUMIF(M:M,M177,R:R)</f>
        <v>181.25</v>
      </c>
      <c r="T177" s="89" t="n">
        <f aca="false">I177</f>
        <v>484.5</v>
      </c>
      <c r="U177" s="90" t="n">
        <f aca="false">IFERROR((T177-S177)/T177,"")</f>
        <v>0.625902992776058</v>
      </c>
    </row>
    <row r="178" customFormat="false" ht="18.75" hidden="false" customHeight="true" outlineLevel="0" collapsed="false">
      <c r="A178" s="82" t="s">
        <v>24</v>
      </c>
      <c r="B178" s="126" t="s">
        <v>494</v>
      </c>
      <c r="C178" s="84" t="s">
        <v>474</v>
      </c>
      <c r="D178" s="85" t="s">
        <v>56</v>
      </c>
      <c r="E178" s="86" t="n">
        <v>3</v>
      </c>
      <c r="F178" s="86" t="n">
        <v>15</v>
      </c>
      <c r="G178" s="87" t="n">
        <f aca="false">E178*F178</f>
        <v>45</v>
      </c>
      <c r="H178" s="88" t="n">
        <f aca="false">SUMIF(B:B,B178,G:G)</f>
        <v>90</v>
      </c>
      <c r="I178" s="89" t="n">
        <v>437</v>
      </c>
      <c r="J178" s="90" t="n">
        <f aca="false">IFERROR((I178-H178)/I178,"")</f>
        <v>0.794050343249428</v>
      </c>
      <c r="K178" s="3"/>
      <c r="L178" s="82" t="s">
        <v>24</v>
      </c>
      <c r="M178" s="126" t="s">
        <v>494</v>
      </c>
      <c r="N178" s="84" t="s">
        <v>474</v>
      </c>
      <c r="O178" s="85" t="s">
        <v>56</v>
      </c>
      <c r="P178" s="86" t="n">
        <v>3</v>
      </c>
      <c r="Q178" s="86" t="n">
        <v>15</v>
      </c>
      <c r="R178" s="87" t="n">
        <f aca="false">P178*Q178</f>
        <v>45</v>
      </c>
      <c r="S178" s="88" t="n">
        <f aca="false">SUMIF(M:M,M178,R:R)</f>
        <v>90</v>
      </c>
      <c r="T178" s="89" t="n">
        <f aca="false">I178</f>
        <v>437</v>
      </c>
      <c r="U178" s="90" t="n">
        <f aca="false">IFERROR((T178-S178)/T178,"")</f>
        <v>0.794050343249428</v>
      </c>
    </row>
    <row r="179" customFormat="false" ht="18.75" hidden="false" customHeight="true" outlineLevel="0" collapsed="false">
      <c r="A179" s="91"/>
      <c r="B179" s="127" t="s">
        <v>494</v>
      </c>
      <c r="C179" s="84" t="s">
        <v>495</v>
      </c>
      <c r="D179" s="85" t="s">
        <v>56</v>
      </c>
      <c r="E179" s="86" t="n">
        <v>3</v>
      </c>
      <c r="F179" s="86" t="n">
        <v>15</v>
      </c>
      <c r="G179" s="87" t="n">
        <f aca="false">E179*F179</f>
        <v>45</v>
      </c>
      <c r="H179" s="93"/>
      <c r="I179" s="94"/>
      <c r="J179" s="95"/>
      <c r="K179" s="3"/>
      <c r="L179" s="91"/>
      <c r="M179" s="127" t="s">
        <v>494</v>
      </c>
      <c r="N179" s="84" t="s">
        <v>495</v>
      </c>
      <c r="O179" s="85" t="s">
        <v>56</v>
      </c>
      <c r="P179" s="86" t="n">
        <v>3</v>
      </c>
      <c r="Q179" s="86" t="n">
        <v>15</v>
      </c>
      <c r="R179" s="87" t="n">
        <f aca="false">P179*Q179</f>
        <v>45</v>
      </c>
      <c r="S179" s="93"/>
      <c r="T179" s="94"/>
      <c r="U179" s="95"/>
    </row>
    <row r="180" customFormat="false" ht="18.75" hidden="false" customHeight="true" outlineLevel="0" collapsed="false">
      <c r="A180" s="82" t="s">
        <v>24</v>
      </c>
      <c r="B180" s="83" t="s">
        <v>496</v>
      </c>
      <c r="C180" s="84" t="s">
        <v>359</v>
      </c>
      <c r="D180" s="85" t="s">
        <v>56</v>
      </c>
      <c r="E180" s="86" t="n">
        <v>21</v>
      </c>
      <c r="F180" s="86" t="n">
        <v>18</v>
      </c>
      <c r="G180" s="87" t="n">
        <f aca="false">E180*F180</f>
        <v>378</v>
      </c>
      <c r="H180" s="88" t="n">
        <f aca="false">SUMIF(B:B,B180,G:G)</f>
        <v>1976.35</v>
      </c>
      <c r="I180" s="89" t="n">
        <v>2110</v>
      </c>
      <c r="J180" s="90" t="n">
        <f aca="false">IFERROR((I180-H180)/I180,"")</f>
        <v>0.0633412322274882</v>
      </c>
      <c r="K180" s="3"/>
      <c r="L180" s="82" t="s">
        <v>24</v>
      </c>
      <c r="M180" s="83" t="s">
        <v>496</v>
      </c>
      <c r="N180" s="84" t="s">
        <v>359</v>
      </c>
      <c r="O180" s="85" t="s">
        <v>56</v>
      </c>
      <c r="P180" s="86" t="n">
        <v>21</v>
      </c>
      <c r="Q180" s="86" t="n">
        <v>18</v>
      </c>
      <c r="R180" s="87" t="n">
        <f aca="false">P180*Q180</f>
        <v>378</v>
      </c>
      <c r="S180" s="88" t="n">
        <f aca="false">SUMIF(M:M,M180,R:R)</f>
        <v>1976.35</v>
      </c>
      <c r="T180" s="89" t="n">
        <f aca="false">I180</f>
        <v>2110</v>
      </c>
      <c r="U180" s="90" t="n">
        <f aca="false">IFERROR((T180-S180)/T180,"")</f>
        <v>0.0633412322274882</v>
      </c>
    </row>
    <row r="181" customFormat="false" ht="18.75" hidden="false" customHeight="true" outlineLevel="0" collapsed="false">
      <c r="A181" s="91"/>
      <c r="B181" s="92" t="s">
        <v>496</v>
      </c>
      <c r="C181" s="84" t="s">
        <v>497</v>
      </c>
      <c r="D181" s="85" t="s">
        <v>56</v>
      </c>
      <c r="E181" s="86" t="n">
        <v>10.47</v>
      </c>
      <c r="F181" s="86" t="n">
        <v>13</v>
      </c>
      <c r="G181" s="87" t="n">
        <f aca="false">E181*F181</f>
        <v>136.11</v>
      </c>
      <c r="H181" s="93"/>
      <c r="I181" s="94"/>
      <c r="J181" s="95"/>
      <c r="K181" s="3"/>
      <c r="L181" s="91"/>
      <c r="M181" s="92" t="s">
        <v>496</v>
      </c>
      <c r="N181" s="84" t="s">
        <v>497</v>
      </c>
      <c r="O181" s="85" t="s">
        <v>56</v>
      </c>
      <c r="P181" s="86" t="n">
        <v>10.47</v>
      </c>
      <c r="Q181" s="86" t="n">
        <v>13</v>
      </c>
      <c r="R181" s="87" t="n">
        <f aca="false">P181*Q181</f>
        <v>136.11</v>
      </c>
      <c r="S181" s="93"/>
      <c r="T181" s="94"/>
      <c r="U181" s="95"/>
    </row>
    <row r="182" customFormat="false" ht="18.75" hidden="false" customHeight="true" outlineLevel="0" collapsed="false">
      <c r="A182" s="91"/>
      <c r="B182" s="92" t="s">
        <v>496</v>
      </c>
      <c r="C182" s="84" t="s">
        <v>498</v>
      </c>
      <c r="D182" s="85" t="s">
        <v>56</v>
      </c>
      <c r="E182" s="86" t="n">
        <v>10.37</v>
      </c>
      <c r="F182" s="86" t="n">
        <v>13</v>
      </c>
      <c r="G182" s="87" t="n">
        <f aca="false">E182*F182</f>
        <v>134.81</v>
      </c>
      <c r="H182" s="93"/>
      <c r="I182" s="94"/>
      <c r="J182" s="95"/>
      <c r="K182" s="3"/>
      <c r="L182" s="91"/>
      <c r="M182" s="92" t="s">
        <v>496</v>
      </c>
      <c r="N182" s="84" t="s">
        <v>498</v>
      </c>
      <c r="O182" s="85" t="s">
        <v>56</v>
      </c>
      <c r="P182" s="86" t="n">
        <v>10.37</v>
      </c>
      <c r="Q182" s="86" t="n">
        <v>13</v>
      </c>
      <c r="R182" s="87" t="n">
        <f aca="false">P182*Q182</f>
        <v>134.81</v>
      </c>
      <c r="S182" s="93"/>
      <c r="T182" s="94"/>
      <c r="U182" s="95"/>
    </row>
    <row r="183" customFormat="false" ht="18.75" hidden="false" customHeight="true" outlineLevel="0" collapsed="false">
      <c r="A183" s="91"/>
      <c r="B183" s="92" t="s">
        <v>496</v>
      </c>
      <c r="C183" s="84" t="s">
        <v>499</v>
      </c>
      <c r="D183" s="85" t="s">
        <v>56</v>
      </c>
      <c r="E183" s="86" t="n">
        <v>5.3</v>
      </c>
      <c r="F183" s="86" t="n">
        <v>13</v>
      </c>
      <c r="G183" s="87" t="n">
        <f aca="false">E183*F183</f>
        <v>68.9</v>
      </c>
      <c r="H183" s="93"/>
      <c r="I183" s="94"/>
      <c r="J183" s="95"/>
      <c r="K183" s="3"/>
      <c r="L183" s="91"/>
      <c r="M183" s="92" t="s">
        <v>496</v>
      </c>
      <c r="N183" s="84" t="s">
        <v>499</v>
      </c>
      <c r="O183" s="85" t="s">
        <v>56</v>
      </c>
      <c r="P183" s="86" t="n">
        <v>5.3</v>
      </c>
      <c r="Q183" s="86" t="n">
        <v>13</v>
      </c>
      <c r="R183" s="87" t="n">
        <f aca="false">P183*Q183</f>
        <v>68.9</v>
      </c>
      <c r="S183" s="93"/>
      <c r="T183" s="94"/>
      <c r="U183" s="95"/>
    </row>
    <row r="184" customFormat="false" ht="18.75" hidden="false" customHeight="true" outlineLevel="0" collapsed="false">
      <c r="A184" s="91"/>
      <c r="B184" s="92" t="s">
        <v>496</v>
      </c>
      <c r="C184" s="84" t="s">
        <v>500</v>
      </c>
      <c r="D184" s="85" t="s">
        <v>56</v>
      </c>
      <c r="E184" s="86" t="n">
        <v>6.88</v>
      </c>
      <c r="F184" s="86" t="n">
        <v>13</v>
      </c>
      <c r="G184" s="87" t="n">
        <f aca="false">E184*F184</f>
        <v>89.44</v>
      </c>
      <c r="H184" s="93"/>
      <c r="I184" s="94"/>
      <c r="J184" s="95"/>
      <c r="K184" s="3"/>
      <c r="L184" s="91"/>
      <c r="M184" s="92" t="s">
        <v>496</v>
      </c>
      <c r="N184" s="84" t="s">
        <v>500</v>
      </c>
      <c r="O184" s="85" t="s">
        <v>56</v>
      </c>
      <c r="P184" s="86" t="n">
        <v>6.88</v>
      </c>
      <c r="Q184" s="86" t="n">
        <v>13</v>
      </c>
      <c r="R184" s="87" t="n">
        <f aca="false">P184*Q184</f>
        <v>89.44</v>
      </c>
      <c r="S184" s="93"/>
      <c r="T184" s="94"/>
      <c r="U184" s="95"/>
    </row>
    <row r="185" customFormat="false" ht="18.75" hidden="false" customHeight="true" outlineLevel="0" collapsed="false">
      <c r="A185" s="91"/>
      <c r="B185" s="92" t="s">
        <v>496</v>
      </c>
      <c r="C185" s="84" t="s">
        <v>501</v>
      </c>
      <c r="D185" s="85" t="s">
        <v>56</v>
      </c>
      <c r="E185" s="86" t="n">
        <v>10.28</v>
      </c>
      <c r="F185" s="86" t="n">
        <v>13</v>
      </c>
      <c r="G185" s="87" t="n">
        <f aca="false">E185*F185</f>
        <v>133.64</v>
      </c>
      <c r="H185" s="93"/>
      <c r="I185" s="94"/>
      <c r="J185" s="95"/>
      <c r="K185" s="3"/>
      <c r="L185" s="91"/>
      <c r="M185" s="92" t="s">
        <v>496</v>
      </c>
      <c r="N185" s="84" t="s">
        <v>501</v>
      </c>
      <c r="O185" s="85" t="s">
        <v>56</v>
      </c>
      <c r="P185" s="86" t="n">
        <v>10.28</v>
      </c>
      <c r="Q185" s="86" t="n">
        <v>13</v>
      </c>
      <c r="R185" s="87" t="n">
        <f aca="false">P185*Q185</f>
        <v>133.64</v>
      </c>
      <c r="S185" s="93"/>
      <c r="T185" s="94"/>
      <c r="U185" s="95"/>
    </row>
    <row r="186" customFormat="false" ht="18.75" hidden="false" customHeight="true" outlineLevel="0" collapsed="false">
      <c r="A186" s="91"/>
      <c r="B186" s="92" t="s">
        <v>496</v>
      </c>
      <c r="C186" s="84" t="s">
        <v>502</v>
      </c>
      <c r="D186" s="85" t="s">
        <v>56</v>
      </c>
      <c r="E186" s="86" t="n">
        <v>14.45</v>
      </c>
      <c r="F186" s="86" t="n">
        <v>13</v>
      </c>
      <c r="G186" s="87" t="n">
        <f aca="false">E186*F186</f>
        <v>187.85</v>
      </c>
      <c r="H186" s="93"/>
      <c r="I186" s="94"/>
      <c r="J186" s="95"/>
      <c r="K186" s="3"/>
      <c r="L186" s="91"/>
      <c r="M186" s="92" t="s">
        <v>496</v>
      </c>
      <c r="N186" s="84" t="s">
        <v>502</v>
      </c>
      <c r="O186" s="85" t="s">
        <v>56</v>
      </c>
      <c r="P186" s="86" t="n">
        <v>14.45</v>
      </c>
      <c r="Q186" s="86" t="n">
        <v>13</v>
      </c>
      <c r="R186" s="87" t="n">
        <f aca="false">P186*Q186</f>
        <v>187.85</v>
      </c>
      <c r="S186" s="93"/>
      <c r="T186" s="94"/>
      <c r="U186" s="95"/>
    </row>
    <row r="187" customFormat="false" ht="18.75" hidden="false" customHeight="true" outlineLevel="0" collapsed="false">
      <c r="A187" s="91"/>
      <c r="B187" s="92" t="s">
        <v>496</v>
      </c>
      <c r="C187" s="84" t="s">
        <v>503</v>
      </c>
      <c r="D187" s="85" t="s">
        <v>56</v>
      </c>
      <c r="E187" s="86" t="n">
        <v>9.97</v>
      </c>
      <c r="F187" s="86" t="n">
        <v>13</v>
      </c>
      <c r="G187" s="87" t="n">
        <f aca="false">E187*F187</f>
        <v>129.61</v>
      </c>
      <c r="H187" s="93"/>
      <c r="I187" s="94"/>
      <c r="J187" s="95"/>
      <c r="K187" s="3"/>
      <c r="L187" s="91"/>
      <c r="M187" s="92" t="s">
        <v>496</v>
      </c>
      <c r="N187" s="84" t="s">
        <v>503</v>
      </c>
      <c r="O187" s="85" t="s">
        <v>56</v>
      </c>
      <c r="P187" s="86" t="n">
        <v>9.97</v>
      </c>
      <c r="Q187" s="86" t="n">
        <v>13</v>
      </c>
      <c r="R187" s="87" t="n">
        <f aca="false">P187*Q187</f>
        <v>129.61</v>
      </c>
      <c r="S187" s="93"/>
      <c r="T187" s="94"/>
      <c r="U187" s="95"/>
    </row>
    <row r="188" customFormat="false" ht="18.75" hidden="false" customHeight="true" outlineLevel="0" collapsed="false">
      <c r="A188" s="91"/>
      <c r="B188" s="92" t="s">
        <v>496</v>
      </c>
      <c r="C188" s="84" t="s">
        <v>504</v>
      </c>
      <c r="D188" s="85" t="s">
        <v>56</v>
      </c>
      <c r="E188" s="86" t="n">
        <v>16.12</v>
      </c>
      <c r="F188" s="86" t="n">
        <v>13</v>
      </c>
      <c r="G188" s="87" t="n">
        <f aca="false">E188*F188</f>
        <v>209.56</v>
      </c>
      <c r="H188" s="93"/>
      <c r="I188" s="94"/>
      <c r="J188" s="95"/>
      <c r="K188" s="3"/>
      <c r="L188" s="91"/>
      <c r="M188" s="92" t="s">
        <v>496</v>
      </c>
      <c r="N188" s="84" t="s">
        <v>504</v>
      </c>
      <c r="O188" s="85" t="s">
        <v>56</v>
      </c>
      <c r="P188" s="86" t="n">
        <v>16.12</v>
      </c>
      <c r="Q188" s="86" t="n">
        <v>13</v>
      </c>
      <c r="R188" s="87" t="n">
        <f aca="false">P188*Q188</f>
        <v>209.56</v>
      </c>
      <c r="S188" s="93"/>
      <c r="T188" s="94"/>
      <c r="U188" s="95"/>
    </row>
    <row r="189" customFormat="false" ht="18.75" hidden="false" customHeight="true" outlineLevel="0" collapsed="false">
      <c r="A189" s="91"/>
      <c r="B189" s="92" t="s">
        <v>496</v>
      </c>
      <c r="C189" s="84" t="s">
        <v>302</v>
      </c>
      <c r="D189" s="85" t="s">
        <v>56</v>
      </c>
      <c r="E189" s="86" t="n">
        <v>16.64</v>
      </c>
      <c r="F189" s="86" t="n">
        <v>13</v>
      </c>
      <c r="G189" s="87" t="n">
        <f aca="false">E189*F189</f>
        <v>216.32</v>
      </c>
      <c r="H189" s="93"/>
      <c r="I189" s="94"/>
      <c r="J189" s="95"/>
      <c r="K189" s="3"/>
      <c r="L189" s="91"/>
      <c r="M189" s="92" t="s">
        <v>496</v>
      </c>
      <c r="N189" s="84" t="s">
        <v>302</v>
      </c>
      <c r="O189" s="85" t="s">
        <v>56</v>
      </c>
      <c r="P189" s="86" t="n">
        <v>16.64</v>
      </c>
      <c r="Q189" s="86" t="n">
        <v>13</v>
      </c>
      <c r="R189" s="87" t="n">
        <f aca="false">P189*Q189</f>
        <v>216.32</v>
      </c>
      <c r="S189" s="93"/>
      <c r="T189" s="94"/>
      <c r="U189" s="95"/>
    </row>
    <row r="190" customFormat="false" ht="18.75" hidden="false" customHeight="true" outlineLevel="0" collapsed="false">
      <c r="A190" s="91"/>
      <c r="B190" s="92" t="s">
        <v>496</v>
      </c>
      <c r="C190" s="84" t="s">
        <v>505</v>
      </c>
      <c r="D190" s="85" t="s">
        <v>56</v>
      </c>
      <c r="E190" s="86" t="n">
        <v>5.47</v>
      </c>
      <c r="F190" s="86" t="n">
        <v>13</v>
      </c>
      <c r="G190" s="87" t="n">
        <f aca="false">E190*F190</f>
        <v>71.11</v>
      </c>
      <c r="H190" s="93"/>
      <c r="I190" s="94"/>
      <c r="J190" s="95"/>
      <c r="K190" s="3"/>
      <c r="L190" s="91"/>
      <c r="M190" s="92" t="s">
        <v>496</v>
      </c>
      <c r="N190" s="84" t="s">
        <v>505</v>
      </c>
      <c r="O190" s="85" t="s">
        <v>56</v>
      </c>
      <c r="P190" s="86" t="n">
        <v>5.47</v>
      </c>
      <c r="Q190" s="86" t="n">
        <v>13</v>
      </c>
      <c r="R190" s="87" t="n">
        <f aca="false">P190*Q190</f>
        <v>71.11</v>
      </c>
      <c r="S190" s="93"/>
      <c r="T190" s="94"/>
      <c r="U190" s="95"/>
    </row>
    <row r="191" customFormat="false" ht="18.75" hidden="false" customHeight="true" outlineLevel="0" collapsed="false">
      <c r="A191" s="91"/>
      <c r="B191" s="92" t="s">
        <v>496</v>
      </c>
      <c r="C191" s="84" t="s">
        <v>506</v>
      </c>
      <c r="D191" s="85" t="s">
        <v>56</v>
      </c>
      <c r="E191" s="86" t="n">
        <v>6.5</v>
      </c>
      <c r="F191" s="86" t="n">
        <v>13</v>
      </c>
      <c r="G191" s="87" t="n">
        <f aca="false">E191*F191</f>
        <v>84.5</v>
      </c>
      <c r="H191" s="93"/>
      <c r="I191" s="94"/>
      <c r="J191" s="95"/>
      <c r="K191" s="3"/>
      <c r="L191" s="91"/>
      <c r="M191" s="92" t="s">
        <v>496</v>
      </c>
      <c r="N191" s="84" t="s">
        <v>506</v>
      </c>
      <c r="O191" s="85" t="s">
        <v>56</v>
      </c>
      <c r="P191" s="86" t="n">
        <v>6.5</v>
      </c>
      <c r="Q191" s="86" t="n">
        <v>13</v>
      </c>
      <c r="R191" s="87" t="n">
        <f aca="false">P191*Q191</f>
        <v>84.5</v>
      </c>
      <c r="S191" s="93"/>
      <c r="T191" s="94"/>
      <c r="U191" s="95"/>
    </row>
    <row r="192" customFormat="false" ht="18.75" hidden="false" customHeight="true" outlineLevel="0" collapsed="false">
      <c r="A192" s="91"/>
      <c r="B192" s="92" t="s">
        <v>496</v>
      </c>
      <c r="C192" s="84" t="s">
        <v>507</v>
      </c>
      <c r="D192" s="85" t="s">
        <v>56</v>
      </c>
      <c r="E192" s="86" t="n">
        <v>10.5</v>
      </c>
      <c r="F192" s="86" t="n">
        <v>13</v>
      </c>
      <c r="G192" s="87" t="n">
        <f aca="false">E192*F192</f>
        <v>136.5</v>
      </c>
      <c r="H192" s="93"/>
      <c r="I192" s="94"/>
      <c r="J192" s="95"/>
      <c r="K192" s="3"/>
      <c r="L192" s="91"/>
      <c r="M192" s="92" t="s">
        <v>496</v>
      </c>
      <c r="N192" s="84" t="s">
        <v>507</v>
      </c>
      <c r="O192" s="85" t="s">
        <v>56</v>
      </c>
      <c r="P192" s="86" t="n">
        <v>10.5</v>
      </c>
      <c r="Q192" s="86" t="n">
        <v>13</v>
      </c>
      <c r="R192" s="87" t="n">
        <f aca="false">P192*Q192</f>
        <v>136.5</v>
      </c>
      <c r="S192" s="93"/>
      <c r="T192" s="94"/>
      <c r="U192" s="95"/>
    </row>
    <row r="193" customFormat="false" ht="18.75" hidden="false" customHeight="true" outlineLevel="0" collapsed="false">
      <c r="A193" s="82" t="s">
        <v>24</v>
      </c>
      <c r="B193" s="83" t="s">
        <v>493</v>
      </c>
      <c r="C193" s="84" t="s">
        <v>359</v>
      </c>
      <c r="D193" s="85" t="s">
        <v>56</v>
      </c>
      <c r="E193" s="86" t="n">
        <v>7</v>
      </c>
      <c r="F193" s="86" t="n">
        <v>18</v>
      </c>
      <c r="G193" s="87" t="n">
        <f aca="false">E193*F193</f>
        <v>126</v>
      </c>
      <c r="H193" s="88" t="n">
        <f aca="false">SUMIF(B:B,B193,G:G)</f>
        <v>181.25</v>
      </c>
      <c r="I193" s="89" t="n">
        <v>484.5</v>
      </c>
      <c r="J193" s="90" t="n">
        <f aca="false">IFERROR((I193-H193)/I193,"")</f>
        <v>0.625902992776058</v>
      </c>
      <c r="K193" s="3"/>
      <c r="L193" s="82" t="s">
        <v>24</v>
      </c>
      <c r="M193" s="83" t="s">
        <v>493</v>
      </c>
      <c r="N193" s="84" t="s">
        <v>359</v>
      </c>
      <c r="O193" s="85" t="s">
        <v>56</v>
      </c>
      <c r="P193" s="86" t="n">
        <v>7</v>
      </c>
      <c r="Q193" s="86" t="n">
        <v>18</v>
      </c>
      <c r="R193" s="87" t="n">
        <f aca="false">P193*Q193</f>
        <v>126</v>
      </c>
      <c r="S193" s="88" t="n">
        <f aca="false">SUMIF(M:M,M193,R:R)</f>
        <v>181.25</v>
      </c>
      <c r="T193" s="89" t="n">
        <f aca="false">I193</f>
        <v>484.5</v>
      </c>
      <c r="U193" s="90" t="n">
        <f aca="false">IFERROR((T193-S193)/T193,"")</f>
        <v>0.625902992776058</v>
      </c>
    </row>
    <row r="194" customFormat="false" ht="18.75" hidden="false" customHeight="true" outlineLevel="0" collapsed="false">
      <c r="A194" s="82" t="s">
        <v>26</v>
      </c>
      <c r="B194" s="83" t="s">
        <v>508</v>
      </c>
      <c r="C194" s="84" t="s">
        <v>509</v>
      </c>
      <c r="D194" s="85" t="s">
        <v>56</v>
      </c>
      <c r="E194" s="86" t="n">
        <v>21</v>
      </c>
      <c r="F194" s="86" t="n">
        <v>18</v>
      </c>
      <c r="G194" s="87" t="n">
        <f aca="false">E194*F194</f>
        <v>378</v>
      </c>
      <c r="H194" s="88" t="n">
        <f aca="false">SUMIF(B:B,B194,G:G)</f>
        <v>2396.68</v>
      </c>
      <c r="I194" s="89" t="n">
        <v>2427</v>
      </c>
      <c r="J194" s="90" t="n">
        <f aca="false">IFERROR((I194-H194)/I194,"")</f>
        <v>0.0124927894519984</v>
      </c>
      <c r="K194" s="3"/>
      <c r="L194" s="82" t="s">
        <v>26</v>
      </c>
      <c r="M194" s="83" t="s">
        <v>508</v>
      </c>
      <c r="N194" s="84" t="s">
        <v>509</v>
      </c>
      <c r="O194" s="85" t="s">
        <v>56</v>
      </c>
      <c r="P194" s="86" t="n">
        <v>21</v>
      </c>
      <c r="Q194" s="86" t="n">
        <v>18</v>
      </c>
      <c r="R194" s="87" t="n">
        <f aca="false">P194*Q194</f>
        <v>378</v>
      </c>
      <c r="S194" s="88" t="n">
        <f aca="false">SUMIF(M:M,M194,R:R)</f>
        <v>2396.68</v>
      </c>
      <c r="T194" s="89" t="n">
        <f aca="false">I194</f>
        <v>2427</v>
      </c>
      <c r="U194" s="90" t="n">
        <f aca="false">IFERROR((T194-S194)/T194,"")</f>
        <v>0.0124927894519984</v>
      </c>
    </row>
    <row r="195" customFormat="false" ht="18.75" hidden="false" customHeight="true" outlineLevel="0" collapsed="false">
      <c r="A195" s="91"/>
      <c r="B195" s="92" t="s">
        <v>508</v>
      </c>
      <c r="C195" s="84" t="s">
        <v>455</v>
      </c>
      <c r="D195" s="85" t="s">
        <v>56</v>
      </c>
      <c r="E195" s="86" t="n">
        <v>18.51</v>
      </c>
      <c r="F195" s="86" t="n">
        <v>13</v>
      </c>
      <c r="G195" s="87" t="n">
        <f aca="false">E195*F195</f>
        <v>240.63</v>
      </c>
      <c r="H195" s="93"/>
      <c r="I195" s="94"/>
      <c r="J195" s="95"/>
      <c r="K195" s="3"/>
      <c r="L195" s="91"/>
      <c r="M195" s="92" t="s">
        <v>508</v>
      </c>
      <c r="N195" s="84" t="s">
        <v>455</v>
      </c>
      <c r="O195" s="85" t="s">
        <v>56</v>
      </c>
      <c r="P195" s="86" t="n">
        <v>18.51</v>
      </c>
      <c r="Q195" s="86" t="n">
        <v>13</v>
      </c>
      <c r="R195" s="87" t="n">
        <f aca="false">P195*Q195</f>
        <v>240.63</v>
      </c>
      <c r="S195" s="93"/>
      <c r="T195" s="94"/>
      <c r="U195" s="95"/>
    </row>
    <row r="196" customFormat="false" ht="18.75" hidden="false" customHeight="true" outlineLevel="0" collapsed="false">
      <c r="A196" s="91"/>
      <c r="B196" s="92" t="s">
        <v>508</v>
      </c>
      <c r="C196" s="84" t="s">
        <v>477</v>
      </c>
      <c r="D196" s="85" t="s">
        <v>56</v>
      </c>
      <c r="E196" s="86" t="n">
        <v>10.55</v>
      </c>
      <c r="F196" s="86" t="n">
        <v>13</v>
      </c>
      <c r="G196" s="87" t="n">
        <f aca="false">E196*F196</f>
        <v>137.15</v>
      </c>
      <c r="H196" s="93"/>
      <c r="I196" s="94"/>
      <c r="J196" s="95"/>
      <c r="K196" s="3"/>
      <c r="L196" s="91"/>
      <c r="M196" s="92" t="s">
        <v>508</v>
      </c>
      <c r="N196" s="84" t="s">
        <v>477</v>
      </c>
      <c r="O196" s="85" t="s">
        <v>56</v>
      </c>
      <c r="P196" s="86" t="n">
        <v>10.55</v>
      </c>
      <c r="Q196" s="86" t="n">
        <v>13</v>
      </c>
      <c r="R196" s="87" t="n">
        <f aca="false">P196*Q196</f>
        <v>137.15</v>
      </c>
      <c r="S196" s="93"/>
      <c r="T196" s="94"/>
      <c r="U196" s="95"/>
    </row>
    <row r="197" customFormat="false" ht="18.75" hidden="false" customHeight="true" outlineLevel="0" collapsed="false">
      <c r="A197" s="91"/>
      <c r="B197" s="92" t="s">
        <v>508</v>
      </c>
      <c r="C197" s="84" t="s">
        <v>510</v>
      </c>
      <c r="D197" s="85" t="s">
        <v>56</v>
      </c>
      <c r="E197" s="86" t="n">
        <v>11</v>
      </c>
      <c r="F197" s="86" t="n">
        <v>13</v>
      </c>
      <c r="G197" s="87" t="n">
        <f aca="false">E197*F197</f>
        <v>143</v>
      </c>
      <c r="H197" s="93"/>
      <c r="I197" s="94"/>
      <c r="J197" s="95"/>
      <c r="K197" s="3"/>
      <c r="L197" s="91"/>
      <c r="M197" s="92" t="s">
        <v>508</v>
      </c>
      <c r="N197" s="84" t="s">
        <v>510</v>
      </c>
      <c r="O197" s="85" t="s">
        <v>56</v>
      </c>
      <c r="P197" s="86" t="n">
        <v>11</v>
      </c>
      <c r="Q197" s="86" t="n">
        <v>13</v>
      </c>
      <c r="R197" s="87" t="n">
        <f aca="false">P197*Q197</f>
        <v>143</v>
      </c>
      <c r="S197" s="93"/>
      <c r="T197" s="94"/>
      <c r="U197" s="95"/>
    </row>
    <row r="198" customFormat="false" ht="18.75" hidden="false" customHeight="true" outlineLevel="0" collapsed="false">
      <c r="A198" s="91"/>
      <c r="B198" s="92" t="s">
        <v>508</v>
      </c>
      <c r="C198" s="84" t="s">
        <v>511</v>
      </c>
      <c r="D198" s="85" t="s">
        <v>56</v>
      </c>
      <c r="E198" s="86" t="n">
        <v>11.92</v>
      </c>
      <c r="F198" s="86" t="n">
        <v>13</v>
      </c>
      <c r="G198" s="87" t="n">
        <f aca="false">E198*F198</f>
        <v>154.96</v>
      </c>
      <c r="H198" s="93"/>
      <c r="I198" s="94"/>
      <c r="J198" s="95"/>
      <c r="K198" s="3"/>
      <c r="L198" s="91"/>
      <c r="M198" s="92" t="s">
        <v>508</v>
      </c>
      <c r="N198" s="84" t="s">
        <v>511</v>
      </c>
      <c r="O198" s="85" t="s">
        <v>56</v>
      </c>
      <c r="P198" s="86" t="n">
        <v>11.92</v>
      </c>
      <c r="Q198" s="86" t="n">
        <v>13</v>
      </c>
      <c r="R198" s="87" t="n">
        <f aca="false">P198*Q198</f>
        <v>154.96</v>
      </c>
      <c r="S198" s="93"/>
      <c r="T198" s="94"/>
      <c r="U198" s="95"/>
    </row>
    <row r="199" customFormat="false" ht="18.75" hidden="false" customHeight="true" outlineLevel="0" collapsed="false">
      <c r="A199" s="91"/>
      <c r="B199" s="92" t="s">
        <v>508</v>
      </c>
      <c r="C199" s="84" t="s">
        <v>512</v>
      </c>
      <c r="D199" s="85" t="s">
        <v>56</v>
      </c>
      <c r="E199" s="86" t="n">
        <v>14.63</v>
      </c>
      <c r="F199" s="86" t="n">
        <v>13</v>
      </c>
      <c r="G199" s="87" t="n">
        <f aca="false">E199*F199</f>
        <v>190.19</v>
      </c>
      <c r="H199" s="93"/>
      <c r="I199" s="94"/>
      <c r="J199" s="95"/>
      <c r="K199" s="3"/>
      <c r="L199" s="91"/>
      <c r="M199" s="92" t="s">
        <v>508</v>
      </c>
      <c r="N199" s="84" t="s">
        <v>512</v>
      </c>
      <c r="O199" s="85" t="s">
        <v>56</v>
      </c>
      <c r="P199" s="86" t="n">
        <v>14.63</v>
      </c>
      <c r="Q199" s="86" t="n">
        <v>13</v>
      </c>
      <c r="R199" s="87" t="n">
        <f aca="false">P199*Q199</f>
        <v>190.19</v>
      </c>
      <c r="S199" s="93"/>
      <c r="T199" s="94"/>
      <c r="U199" s="95"/>
    </row>
    <row r="200" customFormat="false" ht="18.75" hidden="false" customHeight="true" outlineLevel="0" collapsed="false">
      <c r="A200" s="91"/>
      <c r="B200" s="92" t="s">
        <v>508</v>
      </c>
      <c r="C200" s="84" t="s">
        <v>513</v>
      </c>
      <c r="D200" s="85" t="s">
        <v>56</v>
      </c>
      <c r="E200" s="86" t="n">
        <v>11.32</v>
      </c>
      <c r="F200" s="86" t="n">
        <v>13</v>
      </c>
      <c r="G200" s="87" t="n">
        <f aca="false">E200*F200</f>
        <v>147.16</v>
      </c>
      <c r="H200" s="93"/>
      <c r="I200" s="94"/>
      <c r="J200" s="95"/>
      <c r="K200" s="3"/>
      <c r="L200" s="91"/>
      <c r="M200" s="92" t="s">
        <v>508</v>
      </c>
      <c r="N200" s="84" t="s">
        <v>513</v>
      </c>
      <c r="O200" s="85" t="s">
        <v>56</v>
      </c>
      <c r="P200" s="86" t="n">
        <v>11.32</v>
      </c>
      <c r="Q200" s="86" t="n">
        <v>13</v>
      </c>
      <c r="R200" s="87" t="n">
        <f aca="false">P200*Q200</f>
        <v>147.16</v>
      </c>
      <c r="S200" s="93"/>
      <c r="T200" s="94"/>
      <c r="U200" s="95"/>
    </row>
    <row r="201" customFormat="false" ht="18.75" hidden="false" customHeight="true" outlineLevel="0" collapsed="false">
      <c r="A201" s="91"/>
      <c r="B201" s="92" t="s">
        <v>508</v>
      </c>
      <c r="C201" s="84" t="s">
        <v>503</v>
      </c>
      <c r="D201" s="85" t="s">
        <v>56</v>
      </c>
      <c r="E201" s="86" t="n">
        <v>11.75</v>
      </c>
      <c r="F201" s="86" t="n">
        <v>13</v>
      </c>
      <c r="G201" s="87" t="n">
        <f aca="false">E201*F201</f>
        <v>152.75</v>
      </c>
      <c r="H201" s="93"/>
      <c r="I201" s="94"/>
      <c r="J201" s="95"/>
      <c r="K201" s="3"/>
      <c r="L201" s="91"/>
      <c r="M201" s="92" t="s">
        <v>508</v>
      </c>
      <c r="N201" s="84" t="s">
        <v>503</v>
      </c>
      <c r="O201" s="85" t="s">
        <v>56</v>
      </c>
      <c r="P201" s="86" t="n">
        <v>11.75</v>
      </c>
      <c r="Q201" s="86" t="n">
        <v>13</v>
      </c>
      <c r="R201" s="87" t="n">
        <f aca="false">P201*Q201</f>
        <v>152.75</v>
      </c>
      <c r="S201" s="93"/>
      <c r="T201" s="94"/>
      <c r="U201" s="95"/>
    </row>
    <row r="202" customFormat="false" ht="18.75" hidden="false" customHeight="true" outlineLevel="0" collapsed="false">
      <c r="A202" s="91"/>
      <c r="B202" s="92" t="s">
        <v>508</v>
      </c>
      <c r="C202" s="84" t="s">
        <v>360</v>
      </c>
      <c r="D202" s="85" t="s">
        <v>56</v>
      </c>
      <c r="E202" s="86" t="n">
        <v>12.33</v>
      </c>
      <c r="F202" s="86" t="n">
        <v>13</v>
      </c>
      <c r="G202" s="87" t="n">
        <f aca="false">E202*F202</f>
        <v>160.29</v>
      </c>
      <c r="H202" s="93"/>
      <c r="I202" s="94"/>
      <c r="J202" s="95"/>
      <c r="K202" s="3"/>
      <c r="L202" s="91"/>
      <c r="M202" s="92" t="s">
        <v>508</v>
      </c>
      <c r="N202" s="84" t="s">
        <v>360</v>
      </c>
      <c r="O202" s="85" t="s">
        <v>56</v>
      </c>
      <c r="P202" s="86" t="n">
        <v>12.33</v>
      </c>
      <c r="Q202" s="86" t="n">
        <v>13</v>
      </c>
      <c r="R202" s="87" t="n">
        <f aca="false">P202*Q202</f>
        <v>160.29</v>
      </c>
      <c r="S202" s="93"/>
      <c r="T202" s="94"/>
      <c r="U202" s="95"/>
    </row>
    <row r="203" customFormat="false" ht="18.75" hidden="false" customHeight="true" outlineLevel="0" collapsed="false">
      <c r="A203" s="91"/>
      <c r="B203" s="92" t="s">
        <v>508</v>
      </c>
      <c r="C203" s="84" t="s">
        <v>318</v>
      </c>
      <c r="D203" s="85" t="s">
        <v>56</v>
      </c>
      <c r="E203" s="86" t="n">
        <v>12.38</v>
      </c>
      <c r="F203" s="86" t="n">
        <v>13</v>
      </c>
      <c r="G203" s="87" t="n">
        <f aca="false">E203*F203</f>
        <v>160.94</v>
      </c>
      <c r="H203" s="93"/>
      <c r="I203" s="94"/>
      <c r="J203" s="95"/>
      <c r="K203" s="3"/>
      <c r="L203" s="91"/>
      <c r="M203" s="92" t="s">
        <v>508</v>
      </c>
      <c r="N203" s="84" t="s">
        <v>318</v>
      </c>
      <c r="O203" s="85" t="s">
        <v>56</v>
      </c>
      <c r="P203" s="86" t="n">
        <v>12.38</v>
      </c>
      <c r="Q203" s="86" t="n">
        <v>13</v>
      </c>
      <c r="R203" s="87" t="n">
        <f aca="false">P203*Q203</f>
        <v>160.94</v>
      </c>
      <c r="S203" s="93"/>
      <c r="T203" s="94"/>
      <c r="U203" s="95"/>
    </row>
    <row r="204" customFormat="false" ht="18.75" hidden="false" customHeight="true" outlineLevel="0" collapsed="false">
      <c r="A204" s="91"/>
      <c r="B204" s="92" t="s">
        <v>508</v>
      </c>
      <c r="C204" s="84" t="s">
        <v>514</v>
      </c>
      <c r="D204" s="85" t="s">
        <v>56</v>
      </c>
      <c r="E204" s="86" t="n">
        <v>11.88</v>
      </c>
      <c r="F204" s="86" t="n">
        <v>13</v>
      </c>
      <c r="G204" s="87" t="n">
        <f aca="false">E204*F204</f>
        <v>154.44</v>
      </c>
      <c r="H204" s="93"/>
      <c r="I204" s="94"/>
      <c r="J204" s="95"/>
      <c r="K204" s="3"/>
      <c r="L204" s="91"/>
      <c r="M204" s="92" t="s">
        <v>508</v>
      </c>
      <c r="N204" s="84" t="s">
        <v>514</v>
      </c>
      <c r="O204" s="85" t="s">
        <v>56</v>
      </c>
      <c r="P204" s="86" t="n">
        <v>11.88</v>
      </c>
      <c r="Q204" s="86" t="n">
        <v>13</v>
      </c>
      <c r="R204" s="87" t="n">
        <f aca="false">P204*Q204</f>
        <v>154.44</v>
      </c>
      <c r="S204" s="93"/>
      <c r="T204" s="94"/>
      <c r="U204" s="95"/>
    </row>
    <row r="205" customFormat="false" ht="18.75" hidden="false" customHeight="true" outlineLevel="0" collapsed="false">
      <c r="A205" s="91"/>
      <c r="B205" s="92" t="s">
        <v>508</v>
      </c>
      <c r="C205" s="84" t="s">
        <v>137</v>
      </c>
      <c r="D205" s="85" t="s">
        <v>56</v>
      </c>
      <c r="E205" s="86" t="n">
        <v>17.09</v>
      </c>
      <c r="F205" s="86" t="n">
        <v>13</v>
      </c>
      <c r="G205" s="87" t="n">
        <f aca="false">E205*F205</f>
        <v>222.17</v>
      </c>
      <c r="H205" s="93"/>
      <c r="I205" s="94"/>
      <c r="J205" s="95"/>
      <c r="K205" s="3"/>
      <c r="L205" s="91"/>
      <c r="M205" s="92" t="s">
        <v>508</v>
      </c>
      <c r="N205" s="84" t="s">
        <v>137</v>
      </c>
      <c r="O205" s="85" t="s">
        <v>56</v>
      </c>
      <c r="P205" s="86" t="n">
        <v>17.09</v>
      </c>
      <c r="Q205" s="86" t="n">
        <v>13</v>
      </c>
      <c r="R205" s="87" t="n">
        <f aca="false">P205*Q205</f>
        <v>222.17</v>
      </c>
      <c r="S205" s="93"/>
      <c r="T205" s="94"/>
      <c r="U205" s="95"/>
    </row>
    <row r="206" customFormat="false" ht="18.75" hidden="false" customHeight="true" outlineLevel="0" collapsed="false">
      <c r="A206" s="91"/>
      <c r="B206" s="92" t="s">
        <v>508</v>
      </c>
      <c r="C206" s="84" t="s">
        <v>515</v>
      </c>
      <c r="D206" s="96" t="s">
        <v>57</v>
      </c>
      <c r="E206" s="91"/>
      <c r="F206" s="91"/>
      <c r="G206" s="87" t="n">
        <v>155</v>
      </c>
      <c r="H206" s="93"/>
      <c r="I206" s="94"/>
      <c r="J206" s="95"/>
      <c r="K206" s="3"/>
      <c r="L206" s="91"/>
      <c r="M206" s="92" t="s">
        <v>508</v>
      </c>
      <c r="N206" s="84" t="s">
        <v>515</v>
      </c>
      <c r="O206" s="96" t="s">
        <v>57</v>
      </c>
      <c r="P206" s="91"/>
      <c r="Q206" s="91"/>
      <c r="R206" s="87" t="n">
        <v>155</v>
      </c>
      <c r="S206" s="93"/>
      <c r="T206" s="94"/>
      <c r="U206" s="95"/>
    </row>
    <row r="207" customFormat="false" ht="18.75" hidden="false" customHeight="true" outlineLevel="0" collapsed="false">
      <c r="A207" s="82" t="s">
        <v>26</v>
      </c>
      <c r="B207" s="83" t="s">
        <v>516</v>
      </c>
      <c r="C207" s="84" t="s">
        <v>509</v>
      </c>
      <c r="D207" s="85" t="s">
        <v>56</v>
      </c>
      <c r="E207" s="86" t="n">
        <v>7</v>
      </c>
      <c r="F207" s="86" t="n">
        <v>18</v>
      </c>
      <c r="G207" s="87" t="n">
        <f aca="false">E207*F207</f>
        <v>126</v>
      </c>
      <c r="H207" s="88" t="n">
        <f aca="false">SUMIF(B:B,B207,G:G)</f>
        <v>255.09</v>
      </c>
      <c r="I207" s="89" t="n">
        <v>803.25</v>
      </c>
      <c r="J207" s="90" t="n">
        <f aca="false">IFERROR((I207-H207)/I207,"")</f>
        <v>0.682427637721755</v>
      </c>
      <c r="K207" s="3"/>
      <c r="L207" s="82" t="s">
        <v>26</v>
      </c>
      <c r="M207" s="83" t="s">
        <v>516</v>
      </c>
      <c r="N207" s="84" t="s">
        <v>509</v>
      </c>
      <c r="O207" s="85" t="s">
        <v>56</v>
      </c>
      <c r="P207" s="86" t="n">
        <v>7</v>
      </c>
      <c r="Q207" s="86" t="n">
        <v>18</v>
      </c>
      <c r="R207" s="87" t="n">
        <f aca="false">P207*Q207</f>
        <v>126</v>
      </c>
      <c r="S207" s="88" t="n">
        <f aca="false">SUMIF(M:M,M207,R:R)</f>
        <v>255.09</v>
      </c>
      <c r="T207" s="89" t="n">
        <f aca="false">I207</f>
        <v>803.25</v>
      </c>
      <c r="U207" s="90" t="n">
        <f aca="false">IFERROR((T207-S207)/T207,"")</f>
        <v>0.682427637721755</v>
      </c>
    </row>
    <row r="208" customFormat="false" ht="18.75" hidden="false" customHeight="true" outlineLevel="0" collapsed="false">
      <c r="A208" s="91"/>
      <c r="B208" s="92" t="s">
        <v>516</v>
      </c>
      <c r="C208" s="84" t="s">
        <v>514</v>
      </c>
      <c r="D208" s="85" t="s">
        <v>56</v>
      </c>
      <c r="E208" s="86" t="n">
        <v>3.38</v>
      </c>
      <c r="F208" s="86" t="n">
        <v>13</v>
      </c>
      <c r="G208" s="87" t="n">
        <f aca="false">E208*F208</f>
        <v>43.94</v>
      </c>
      <c r="H208" s="93"/>
      <c r="I208" s="94"/>
      <c r="J208" s="95"/>
      <c r="K208" s="3"/>
      <c r="L208" s="91"/>
      <c r="M208" s="92" t="s">
        <v>516</v>
      </c>
      <c r="N208" s="84" t="s">
        <v>514</v>
      </c>
      <c r="O208" s="85" t="s">
        <v>56</v>
      </c>
      <c r="P208" s="86" t="n">
        <v>3.38</v>
      </c>
      <c r="Q208" s="86" t="n">
        <v>13</v>
      </c>
      <c r="R208" s="87" t="n">
        <f aca="false">P208*Q208</f>
        <v>43.94</v>
      </c>
      <c r="S208" s="93"/>
      <c r="T208" s="94"/>
      <c r="U208" s="95"/>
    </row>
    <row r="209" customFormat="false" ht="18.75" hidden="false" customHeight="true" outlineLevel="0" collapsed="false">
      <c r="A209" s="91"/>
      <c r="B209" s="92" t="s">
        <v>516</v>
      </c>
      <c r="C209" s="84" t="s">
        <v>510</v>
      </c>
      <c r="D209" s="85" t="s">
        <v>56</v>
      </c>
      <c r="E209" s="86" t="n">
        <v>3.55</v>
      </c>
      <c r="F209" s="86" t="n">
        <v>13</v>
      </c>
      <c r="G209" s="87" t="n">
        <f aca="false">E209*F209</f>
        <v>46.15</v>
      </c>
      <c r="H209" s="93"/>
      <c r="I209" s="94"/>
      <c r="J209" s="95"/>
      <c r="K209" s="3"/>
      <c r="L209" s="91"/>
      <c r="M209" s="92" t="s">
        <v>516</v>
      </c>
      <c r="N209" s="84" t="s">
        <v>510</v>
      </c>
      <c r="O209" s="85" t="s">
        <v>56</v>
      </c>
      <c r="P209" s="86" t="n">
        <v>3.55</v>
      </c>
      <c r="Q209" s="86" t="n">
        <v>13</v>
      </c>
      <c r="R209" s="87" t="n">
        <f aca="false">P209*Q209</f>
        <v>46.15</v>
      </c>
      <c r="S209" s="93"/>
      <c r="T209" s="94"/>
      <c r="U209" s="95"/>
    </row>
    <row r="210" customFormat="false" ht="18.75" hidden="false" customHeight="true" outlineLevel="0" collapsed="false">
      <c r="A210" s="91"/>
      <c r="B210" s="92" t="s">
        <v>516</v>
      </c>
      <c r="C210" s="84" t="s">
        <v>517</v>
      </c>
      <c r="D210" s="85" t="s">
        <v>56</v>
      </c>
      <c r="E210" s="86" t="n">
        <v>3</v>
      </c>
      <c r="F210" s="86" t="n">
        <v>13</v>
      </c>
      <c r="G210" s="87" t="n">
        <f aca="false">E210*F210</f>
        <v>39</v>
      </c>
      <c r="H210" s="93"/>
      <c r="I210" s="94"/>
      <c r="J210" s="95"/>
      <c r="K210" s="3"/>
      <c r="L210" s="91"/>
      <c r="M210" s="92" t="s">
        <v>516</v>
      </c>
      <c r="N210" s="84" t="s">
        <v>517</v>
      </c>
      <c r="O210" s="85" t="s">
        <v>56</v>
      </c>
      <c r="P210" s="86" t="n">
        <v>3</v>
      </c>
      <c r="Q210" s="86" t="n">
        <v>13</v>
      </c>
      <c r="R210" s="87" t="n">
        <f aca="false">P210*Q210</f>
        <v>39</v>
      </c>
      <c r="S210" s="93"/>
      <c r="T210" s="94"/>
      <c r="U210" s="95"/>
    </row>
    <row r="211" customFormat="false" ht="18.75" hidden="false" customHeight="true" outlineLevel="0" collapsed="false">
      <c r="A211" s="82" t="s">
        <v>26</v>
      </c>
      <c r="B211" s="83" t="s">
        <v>518</v>
      </c>
      <c r="C211" s="84" t="s">
        <v>318</v>
      </c>
      <c r="D211" s="85" t="s">
        <v>56</v>
      </c>
      <c r="E211" s="86" t="n">
        <v>3</v>
      </c>
      <c r="F211" s="86" t="n">
        <v>13</v>
      </c>
      <c r="G211" s="87" t="n">
        <f aca="false">E211*F211</f>
        <v>39</v>
      </c>
      <c r="H211" s="88" t="n">
        <f aca="false">SUMIF(B:B,B211,G:G)</f>
        <v>165</v>
      </c>
      <c r="I211" s="89" t="n">
        <v>484.5</v>
      </c>
      <c r="J211" s="90" t="n">
        <f aca="false">IFERROR((I211-H211)/I211,"")</f>
        <v>0.659442724458204</v>
      </c>
      <c r="K211" s="3"/>
      <c r="L211" s="82" t="s">
        <v>26</v>
      </c>
      <c r="M211" s="83" t="s">
        <v>518</v>
      </c>
      <c r="N211" s="84" t="s">
        <v>318</v>
      </c>
      <c r="O211" s="85" t="s">
        <v>56</v>
      </c>
      <c r="P211" s="86" t="n">
        <v>3</v>
      </c>
      <c r="Q211" s="86" t="n">
        <v>13</v>
      </c>
      <c r="R211" s="87" t="n">
        <f aca="false">P211*Q211</f>
        <v>39</v>
      </c>
      <c r="S211" s="88" t="n">
        <f aca="false">SUMIF(M:M,M211,R:R)</f>
        <v>165</v>
      </c>
      <c r="T211" s="89" t="n">
        <f aca="false">I211</f>
        <v>484.5</v>
      </c>
      <c r="U211" s="90" t="n">
        <f aca="false">IFERROR((T211-S211)/T211,"")</f>
        <v>0.659442724458204</v>
      </c>
    </row>
    <row r="212" customFormat="false" ht="18.75" hidden="false" customHeight="true" outlineLevel="0" collapsed="false">
      <c r="A212" s="82" t="s">
        <v>26</v>
      </c>
      <c r="B212" s="83" t="s">
        <v>519</v>
      </c>
      <c r="C212" s="84" t="s">
        <v>455</v>
      </c>
      <c r="D212" s="85" t="s">
        <v>56</v>
      </c>
      <c r="E212" s="86" t="n">
        <v>8.45</v>
      </c>
      <c r="F212" s="86" t="n">
        <v>13</v>
      </c>
      <c r="G212" s="87" t="n">
        <f aca="false">E212*F212</f>
        <v>109.85</v>
      </c>
      <c r="H212" s="88" t="n">
        <f aca="false">SUMIF(B:B,B212,G:G)</f>
        <v>219.18</v>
      </c>
      <c r="I212" s="89" t="n">
        <v>712.5</v>
      </c>
      <c r="J212" s="90" t="n">
        <f aca="false">IFERROR((I212-H212)/I212,"")</f>
        <v>0.692378947368421</v>
      </c>
      <c r="K212" s="3"/>
      <c r="L212" s="82" t="s">
        <v>26</v>
      </c>
      <c r="M212" s="83" t="s">
        <v>519</v>
      </c>
      <c r="N212" s="84" t="s">
        <v>455</v>
      </c>
      <c r="O212" s="85" t="s">
        <v>56</v>
      </c>
      <c r="P212" s="86" t="n">
        <v>8.45</v>
      </c>
      <c r="Q212" s="86" t="n">
        <v>13</v>
      </c>
      <c r="R212" s="87" t="n">
        <f aca="false">P212*Q212</f>
        <v>109.85</v>
      </c>
      <c r="S212" s="88" t="n">
        <f aca="false">SUMIF(M:M,M212,R:R)</f>
        <v>219.18</v>
      </c>
      <c r="T212" s="89" t="n">
        <f aca="false">I212</f>
        <v>712.5</v>
      </c>
      <c r="U212" s="90" t="n">
        <f aca="false">IFERROR((T212-S212)/T212,"")</f>
        <v>0.692378947368421</v>
      </c>
    </row>
    <row r="213" customFormat="false" ht="18.75" hidden="false" customHeight="true" outlineLevel="0" collapsed="false">
      <c r="A213" s="91"/>
      <c r="B213" s="92" t="s">
        <v>519</v>
      </c>
      <c r="C213" s="84" t="s">
        <v>510</v>
      </c>
      <c r="D213" s="85" t="s">
        <v>56</v>
      </c>
      <c r="E213" s="86" t="n">
        <v>5.63</v>
      </c>
      <c r="F213" s="86" t="n">
        <v>13</v>
      </c>
      <c r="G213" s="87" t="n">
        <f aca="false">E213*F213</f>
        <v>73.19</v>
      </c>
      <c r="H213" s="93"/>
      <c r="I213" s="94"/>
      <c r="J213" s="95"/>
      <c r="K213" s="3"/>
      <c r="L213" s="91"/>
      <c r="M213" s="92" t="s">
        <v>519</v>
      </c>
      <c r="N213" s="84" t="s">
        <v>510</v>
      </c>
      <c r="O213" s="85" t="s">
        <v>56</v>
      </c>
      <c r="P213" s="86" t="n">
        <v>5.63</v>
      </c>
      <c r="Q213" s="86" t="n">
        <v>13</v>
      </c>
      <c r="R213" s="87" t="n">
        <f aca="false">P213*Q213</f>
        <v>73.19</v>
      </c>
      <c r="S213" s="93"/>
      <c r="T213" s="94"/>
      <c r="U213" s="95"/>
    </row>
    <row r="214" customFormat="false" ht="18.75" hidden="false" customHeight="true" outlineLevel="0" collapsed="false">
      <c r="A214" s="91"/>
      <c r="B214" s="92" t="s">
        <v>519</v>
      </c>
      <c r="C214" s="84" t="s">
        <v>520</v>
      </c>
      <c r="D214" s="85" t="s">
        <v>56</v>
      </c>
      <c r="E214" s="86" t="n">
        <v>2.78</v>
      </c>
      <c r="F214" s="86" t="n">
        <v>13</v>
      </c>
      <c r="G214" s="87" t="n">
        <f aca="false">E214*F214</f>
        <v>36.14</v>
      </c>
      <c r="H214" s="93"/>
      <c r="I214" s="94"/>
      <c r="J214" s="95"/>
      <c r="K214" s="3"/>
      <c r="L214" s="91"/>
      <c r="M214" s="92" t="s">
        <v>519</v>
      </c>
      <c r="N214" s="84" t="s">
        <v>520</v>
      </c>
      <c r="O214" s="85" t="s">
        <v>56</v>
      </c>
      <c r="P214" s="86" t="n">
        <v>2.78</v>
      </c>
      <c r="Q214" s="86" t="n">
        <v>13</v>
      </c>
      <c r="R214" s="87" t="n">
        <f aca="false">P214*Q214</f>
        <v>36.14</v>
      </c>
      <c r="S214" s="93"/>
      <c r="T214" s="94"/>
      <c r="U214" s="95"/>
    </row>
    <row r="215" customFormat="false" ht="18.75" hidden="false" customHeight="true" outlineLevel="0" collapsed="false">
      <c r="A215" s="82" t="s">
        <v>28</v>
      </c>
      <c r="B215" s="83" t="s">
        <v>518</v>
      </c>
      <c r="C215" s="84" t="s">
        <v>411</v>
      </c>
      <c r="D215" s="85" t="s">
        <v>56</v>
      </c>
      <c r="E215" s="86" t="n">
        <v>7</v>
      </c>
      <c r="F215" s="86" t="n">
        <v>18</v>
      </c>
      <c r="G215" s="87" t="n">
        <f aca="false">E215*F215</f>
        <v>126</v>
      </c>
      <c r="H215" s="88" t="n">
        <f aca="false">SUMIF(B:B,B215,G:G)</f>
        <v>165</v>
      </c>
      <c r="I215" s="89" t="n">
        <v>281.5</v>
      </c>
      <c r="J215" s="90" t="n">
        <f aca="false">IFERROR((I215-H215)/I215,"")</f>
        <v>0.413854351687389</v>
      </c>
      <c r="K215" s="3"/>
      <c r="L215" s="82" t="s">
        <v>28</v>
      </c>
      <c r="M215" s="83" t="s">
        <v>518</v>
      </c>
      <c r="N215" s="84" t="s">
        <v>411</v>
      </c>
      <c r="O215" s="85" t="s">
        <v>56</v>
      </c>
      <c r="P215" s="86" t="n">
        <v>7</v>
      </c>
      <c r="Q215" s="86" t="n">
        <v>18</v>
      </c>
      <c r="R215" s="87" t="n">
        <f aca="false">P215*Q215</f>
        <v>126</v>
      </c>
      <c r="S215" s="88" t="n">
        <f aca="false">SUMIF(M:M,M215,R:R)</f>
        <v>165</v>
      </c>
      <c r="T215" s="89" t="n">
        <f aca="false">I215</f>
        <v>281.5</v>
      </c>
      <c r="U215" s="90" t="n">
        <f aca="false">IFERROR((T215-S215)/T215,"")</f>
        <v>0.413854351687389</v>
      </c>
    </row>
    <row r="216" customFormat="false" ht="18.75" hidden="false" customHeight="true" outlineLevel="0" collapsed="false">
      <c r="A216" s="82" t="s">
        <v>28</v>
      </c>
      <c r="B216" s="83" t="s">
        <v>521</v>
      </c>
      <c r="C216" s="84" t="s">
        <v>455</v>
      </c>
      <c r="D216" s="85" t="s">
        <v>56</v>
      </c>
      <c r="E216" s="86" t="n">
        <v>5.63</v>
      </c>
      <c r="F216" s="86" t="n">
        <v>13</v>
      </c>
      <c r="G216" s="87" t="n">
        <f aca="false">E216*F216</f>
        <v>73.19</v>
      </c>
      <c r="H216" s="88" t="n">
        <f aca="false">SUMIF(B:B,B216,G:G)</f>
        <v>2285.55</v>
      </c>
      <c r="I216" s="89" t="n">
        <v>2427</v>
      </c>
      <c r="J216" s="90" t="n">
        <f aca="false">IFERROR((I216-H216)/I216,"")</f>
        <v>0.0582818294190358</v>
      </c>
      <c r="K216" s="3"/>
      <c r="L216" s="82" t="s">
        <v>28</v>
      </c>
      <c r="M216" s="83" t="s">
        <v>521</v>
      </c>
      <c r="N216" s="84" t="s">
        <v>455</v>
      </c>
      <c r="O216" s="85" t="s">
        <v>56</v>
      </c>
      <c r="P216" s="86" t="n">
        <v>5.63</v>
      </c>
      <c r="Q216" s="86" t="n">
        <v>13</v>
      </c>
      <c r="R216" s="87" t="n">
        <f aca="false">P216*Q216</f>
        <v>73.19</v>
      </c>
      <c r="S216" s="88" t="n">
        <f aca="false">SUMIF(M:M,M216,R:R)</f>
        <v>2285.55</v>
      </c>
      <c r="T216" s="89" t="n">
        <f aca="false">I216</f>
        <v>2427</v>
      </c>
      <c r="U216" s="90" t="n">
        <f aca="false">IFERROR((T216-S216)/T216,"")</f>
        <v>0.0582818294190358</v>
      </c>
    </row>
    <row r="217" customFormat="false" ht="18.75" hidden="false" customHeight="true" outlineLevel="0" collapsed="false">
      <c r="A217" s="91"/>
      <c r="B217" s="92" t="s">
        <v>521</v>
      </c>
      <c r="C217" s="84" t="s">
        <v>522</v>
      </c>
      <c r="D217" s="85" t="s">
        <v>56</v>
      </c>
      <c r="E217" s="86" t="n">
        <v>11.57</v>
      </c>
      <c r="F217" s="86" t="n">
        <v>13</v>
      </c>
      <c r="G217" s="87" t="n">
        <f aca="false">E217*F217</f>
        <v>150.41</v>
      </c>
      <c r="H217" s="93"/>
      <c r="I217" s="94"/>
      <c r="J217" s="95"/>
      <c r="K217" s="3"/>
      <c r="L217" s="91"/>
      <c r="M217" s="92" t="s">
        <v>521</v>
      </c>
      <c r="N217" s="84" t="s">
        <v>522</v>
      </c>
      <c r="O217" s="85" t="s">
        <v>56</v>
      </c>
      <c r="P217" s="86" t="n">
        <v>11.57</v>
      </c>
      <c r="Q217" s="86" t="n">
        <v>13</v>
      </c>
      <c r="R217" s="87" t="n">
        <f aca="false">P217*Q217</f>
        <v>150.41</v>
      </c>
      <c r="S217" s="93"/>
      <c r="T217" s="94"/>
      <c r="U217" s="95"/>
    </row>
    <row r="218" customFormat="false" ht="18.75" hidden="false" customHeight="true" outlineLevel="0" collapsed="false">
      <c r="A218" s="91"/>
      <c r="B218" s="92" t="s">
        <v>521</v>
      </c>
      <c r="C218" s="84" t="s">
        <v>523</v>
      </c>
      <c r="D218" s="85" t="s">
        <v>56</v>
      </c>
      <c r="E218" s="86" t="n">
        <v>4.93</v>
      </c>
      <c r="F218" s="86" t="n">
        <v>13</v>
      </c>
      <c r="G218" s="87" t="n">
        <f aca="false">E218*F218</f>
        <v>64.09</v>
      </c>
      <c r="H218" s="93"/>
      <c r="I218" s="94"/>
      <c r="J218" s="95"/>
      <c r="K218" s="3"/>
      <c r="L218" s="91"/>
      <c r="M218" s="92" t="s">
        <v>521</v>
      </c>
      <c r="N218" s="84" t="s">
        <v>523</v>
      </c>
      <c r="O218" s="85" t="s">
        <v>56</v>
      </c>
      <c r="P218" s="86" t="n">
        <v>4.93</v>
      </c>
      <c r="Q218" s="86" t="n">
        <v>13</v>
      </c>
      <c r="R218" s="87" t="n">
        <f aca="false">P218*Q218</f>
        <v>64.09</v>
      </c>
      <c r="S218" s="93"/>
      <c r="T218" s="94"/>
      <c r="U218" s="95"/>
    </row>
    <row r="219" customFormat="false" ht="18.75" hidden="false" customHeight="true" outlineLevel="0" collapsed="false">
      <c r="A219" s="91"/>
      <c r="B219" s="92" t="s">
        <v>521</v>
      </c>
      <c r="C219" s="84" t="s">
        <v>490</v>
      </c>
      <c r="D219" s="85" t="s">
        <v>56</v>
      </c>
      <c r="E219" s="86" t="n">
        <v>19.27</v>
      </c>
      <c r="F219" s="86" t="n">
        <v>13</v>
      </c>
      <c r="G219" s="87" t="n">
        <f aca="false">E219*F219</f>
        <v>250.51</v>
      </c>
      <c r="H219" s="93"/>
      <c r="I219" s="94"/>
      <c r="J219" s="95"/>
      <c r="K219" s="3"/>
      <c r="L219" s="91"/>
      <c r="M219" s="92" t="s">
        <v>521</v>
      </c>
      <c r="N219" s="84" t="s">
        <v>490</v>
      </c>
      <c r="O219" s="85" t="s">
        <v>56</v>
      </c>
      <c r="P219" s="86" t="n">
        <v>19.27</v>
      </c>
      <c r="Q219" s="86" t="n">
        <v>13</v>
      </c>
      <c r="R219" s="87" t="n">
        <f aca="false">P219*Q219</f>
        <v>250.51</v>
      </c>
      <c r="S219" s="93"/>
      <c r="T219" s="94"/>
      <c r="U219" s="95"/>
    </row>
    <row r="220" customFormat="false" ht="18.75" hidden="false" customHeight="true" outlineLevel="0" collapsed="false">
      <c r="A220" s="91"/>
      <c r="B220" s="92" t="s">
        <v>521</v>
      </c>
      <c r="C220" s="84" t="s">
        <v>367</v>
      </c>
      <c r="D220" s="85" t="s">
        <v>56</v>
      </c>
      <c r="E220" s="86" t="n">
        <v>8.63</v>
      </c>
      <c r="F220" s="86" t="n">
        <v>13</v>
      </c>
      <c r="G220" s="87" t="n">
        <f aca="false">E220*F220</f>
        <v>112.19</v>
      </c>
      <c r="H220" s="93"/>
      <c r="I220" s="94"/>
      <c r="J220" s="95"/>
      <c r="K220" s="3"/>
      <c r="L220" s="91"/>
      <c r="M220" s="92" t="s">
        <v>521</v>
      </c>
      <c r="N220" s="84" t="s">
        <v>367</v>
      </c>
      <c r="O220" s="85" t="s">
        <v>56</v>
      </c>
      <c r="P220" s="86" t="n">
        <v>8.63</v>
      </c>
      <c r="Q220" s="86" t="n">
        <v>13</v>
      </c>
      <c r="R220" s="87" t="n">
        <f aca="false">P220*Q220</f>
        <v>112.19</v>
      </c>
      <c r="S220" s="93"/>
      <c r="T220" s="94"/>
      <c r="U220" s="95"/>
    </row>
    <row r="221" customFormat="false" ht="18.75" hidden="false" customHeight="true" outlineLevel="0" collapsed="false">
      <c r="A221" s="91"/>
      <c r="B221" s="92" t="s">
        <v>521</v>
      </c>
      <c r="C221" s="84" t="s">
        <v>470</v>
      </c>
      <c r="D221" s="85" t="s">
        <v>56</v>
      </c>
      <c r="E221" s="86" t="n">
        <v>13.05</v>
      </c>
      <c r="F221" s="86" t="n">
        <v>13</v>
      </c>
      <c r="G221" s="87" t="n">
        <f aca="false">E221*F221</f>
        <v>169.65</v>
      </c>
      <c r="H221" s="93"/>
      <c r="I221" s="94"/>
      <c r="J221" s="95"/>
      <c r="K221" s="3"/>
      <c r="L221" s="91"/>
      <c r="M221" s="92" t="s">
        <v>521</v>
      </c>
      <c r="N221" s="84" t="s">
        <v>470</v>
      </c>
      <c r="O221" s="85" t="s">
        <v>56</v>
      </c>
      <c r="P221" s="86" t="n">
        <v>13.05</v>
      </c>
      <c r="Q221" s="86" t="n">
        <v>13</v>
      </c>
      <c r="R221" s="87" t="n">
        <f aca="false">P221*Q221</f>
        <v>169.65</v>
      </c>
      <c r="S221" s="93"/>
      <c r="T221" s="94"/>
      <c r="U221" s="95"/>
    </row>
    <row r="222" customFormat="false" ht="18.75" hidden="false" customHeight="true" outlineLevel="0" collapsed="false">
      <c r="A222" s="91"/>
      <c r="B222" s="92" t="s">
        <v>521</v>
      </c>
      <c r="C222" s="84" t="s">
        <v>524</v>
      </c>
      <c r="D222" s="85" t="s">
        <v>56</v>
      </c>
      <c r="E222" s="86" t="n">
        <v>16.32</v>
      </c>
      <c r="F222" s="86" t="n">
        <v>13</v>
      </c>
      <c r="G222" s="87" t="n">
        <f aca="false">E222*F222</f>
        <v>212.16</v>
      </c>
      <c r="H222" s="93"/>
      <c r="I222" s="94"/>
      <c r="J222" s="95"/>
      <c r="K222" s="3"/>
      <c r="L222" s="91"/>
      <c r="M222" s="92" t="s">
        <v>521</v>
      </c>
      <c r="N222" s="84" t="s">
        <v>524</v>
      </c>
      <c r="O222" s="85" t="s">
        <v>56</v>
      </c>
      <c r="P222" s="86" t="n">
        <v>16.32</v>
      </c>
      <c r="Q222" s="86" t="n">
        <v>13</v>
      </c>
      <c r="R222" s="87" t="n">
        <f aca="false">P222*Q222</f>
        <v>212.16</v>
      </c>
      <c r="S222" s="93"/>
      <c r="T222" s="94"/>
      <c r="U222" s="95"/>
    </row>
    <row r="223" customFormat="false" ht="18.75" hidden="false" customHeight="true" outlineLevel="0" collapsed="false">
      <c r="A223" s="91"/>
      <c r="B223" s="92" t="s">
        <v>521</v>
      </c>
      <c r="C223" s="84" t="s">
        <v>160</v>
      </c>
      <c r="D223" s="85" t="s">
        <v>56</v>
      </c>
      <c r="E223" s="86" t="n">
        <v>16.12</v>
      </c>
      <c r="F223" s="86" t="n">
        <v>13</v>
      </c>
      <c r="G223" s="87" t="n">
        <f aca="false">E223*F223</f>
        <v>209.56</v>
      </c>
      <c r="H223" s="93"/>
      <c r="I223" s="94"/>
      <c r="J223" s="95"/>
      <c r="K223" s="3"/>
      <c r="L223" s="91"/>
      <c r="M223" s="92" t="s">
        <v>521</v>
      </c>
      <c r="N223" s="84" t="s">
        <v>160</v>
      </c>
      <c r="O223" s="85" t="s">
        <v>56</v>
      </c>
      <c r="P223" s="86" t="n">
        <v>16.12</v>
      </c>
      <c r="Q223" s="86" t="n">
        <v>13</v>
      </c>
      <c r="R223" s="87" t="n">
        <f aca="false">P223*Q223</f>
        <v>209.56</v>
      </c>
      <c r="S223" s="93"/>
      <c r="T223" s="94"/>
      <c r="U223" s="95"/>
    </row>
    <row r="224" customFormat="false" ht="18.75" hidden="false" customHeight="true" outlineLevel="0" collapsed="false">
      <c r="A224" s="91"/>
      <c r="B224" s="92" t="s">
        <v>521</v>
      </c>
      <c r="C224" s="84" t="s">
        <v>474</v>
      </c>
      <c r="D224" s="85" t="s">
        <v>56</v>
      </c>
      <c r="E224" s="86" t="n">
        <v>7</v>
      </c>
      <c r="F224" s="86" t="n">
        <v>20</v>
      </c>
      <c r="G224" s="87" t="n">
        <f aca="false">E224*F224</f>
        <v>140</v>
      </c>
      <c r="H224" s="93"/>
      <c r="I224" s="94"/>
      <c r="J224" s="95"/>
      <c r="K224" s="3"/>
      <c r="L224" s="91"/>
      <c r="M224" s="92" t="s">
        <v>521</v>
      </c>
      <c r="N224" s="84" t="s">
        <v>474</v>
      </c>
      <c r="O224" s="85" t="s">
        <v>56</v>
      </c>
      <c r="P224" s="86" t="n">
        <v>7</v>
      </c>
      <c r="Q224" s="86" t="n">
        <v>20</v>
      </c>
      <c r="R224" s="87" t="n">
        <f aca="false">P224*Q224</f>
        <v>140</v>
      </c>
      <c r="S224" s="93"/>
      <c r="T224" s="94"/>
      <c r="U224" s="95"/>
    </row>
    <row r="225" customFormat="false" ht="18.75" hidden="false" customHeight="true" outlineLevel="0" collapsed="false">
      <c r="A225" s="91"/>
      <c r="B225" s="92" t="s">
        <v>521</v>
      </c>
      <c r="C225" s="84" t="s">
        <v>411</v>
      </c>
      <c r="D225" s="85" t="s">
        <v>56</v>
      </c>
      <c r="E225" s="86" t="n">
        <v>7</v>
      </c>
      <c r="F225" s="86" t="n">
        <v>18</v>
      </c>
      <c r="G225" s="87" t="n">
        <f aca="false">E225*F225</f>
        <v>126</v>
      </c>
      <c r="H225" s="93"/>
      <c r="I225" s="94"/>
      <c r="J225" s="95"/>
      <c r="K225" s="3"/>
      <c r="L225" s="91"/>
      <c r="M225" s="92" t="s">
        <v>521</v>
      </c>
      <c r="N225" s="84" t="s">
        <v>411</v>
      </c>
      <c r="O225" s="85" t="s">
        <v>56</v>
      </c>
      <c r="P225" s="86" t="n">
        <v>7</v>
      </c>
      <c r="Q225" s="86" t="n">
        <v>18</v>
      </c>
      <c r="R225" s="87" t="n">
        <f aca="false">P225*Q225</f>
        <v>126</v>
      </c>
      <c r="S225" s="93"/>
      <c r="T225" s="94"/>
      <c r="U225" s="95"/>
    </row>
    <row r="226" customFormat="false" ht="18.75" hidden="false" customHeight="true" outlineLevel="0" collapsed="false">
      <c r="A226" s="91"/>
      <c r="B226" s="92" t="s">
        <v>521</v>
      </c>
      <c r="C226" s="84" t="s">
        <v>525</v>
      </c>
      <c r="D226" s="85" t="s">
        <v>56</v>
      </c>
      <c r="E226" s="86" t="n">
        <v>17.62</v>
      </c>
      <c r="F226" s="86" t="n">
        <v>13</v>
      </c>
      <c r="G226" s="87" t="n">
        <f aca="false">E226*F226</f>
        <v>229.06</v>
      </c>
      <c r="H226" s="93"/>
      <c r="I226" s="94"/>
      <c r="J226" s="95"/>
      <c r="K226" s="3"/>
      <c r="L226" s="91"/>
      <c r="M226" s="92" t="s">
        <v>521</v>
      </c>
      <c r="N226" s="84" t="s">
        <v>525</v>
      </c>
      <c r="O226" s="85" t="s">
        <v>56</v>
      </c>
      <c r="P226" s="86" t="n">
        <v>17.62</v>
      </c>
      <c r="Q226" s="86" t="n">
        <v>13</v>
      </c>
      <c r="R226" s="87" t="n">
        <f aca="false">P226*Q226</f>
        <v>229.06</v>
      </c>
      <c r="S226" s="93"/>
      <c r="T226" s="94"/>
      <c r="U226" s="95"/>
    </row>
    <row r="227" customFormat="false" ht="18.75" hidden="false" customHeight="true" outlineLevel="0" collapsed="false">
      <c r="A227" s="91"/>
      <c r="B227" s="92" t="s">
        <v>521</v>
      </c>
      <c r="C227" s="84" t="s">
        <v>129</v>
      </c>
      <c r="D227" s="85" t="s">
        <v>56</v>
      </c>
      <c r="E227" s="86" t="n">
        <v>13.35</v>
      </c>
      <c r="F227" s="86" t="n">
        <v>13</v>
      </c>
      <c r="G227" s="87" t="n">
        <f aca="false">E227*F227</f>
        <v>173.55</v>
      </c>
      <c r="H227" s="93"/>
      <c r="I227" s="94"/>
      <c r="J227" s="95"/>
      <c r="K227" s="3"/>
      <c r="L227" s="91"/>
      <c r="M227" s="92" t="s">
        <v>521</v>
      </c>
      <c r="N227" s="84" t="s">
        <v>129</v>
      </c>
      <c r="O227" s="85" t="s">
        <v>56</v>
      </c>
      <c r="P227" s="86" t="n">
        <v>13.35</v>
      </c>
      <c r="Q227" s="86" t="n">
        <v>13</v>
      </c>
      <c r="R227" s="87" t="n">
        <f aca="false">P227*Q227</f>
        <v>173.55</v>
      </c>
      <c r="S227" s="93"/>
      <c r="T227" s="94"/>
      <c r="U227" s="95"/>
    </row>
    <row r="228" customFormat="false" ht="18.75" hidden="false" customHeight="true" outlineLevel="0" collapsed="false">
      <c r="A228" s="91"/>
      <c r="B228" s="92" t="s">
        <v>521</v>
      </c>
      <c r="C228" s="84" t="s">
        <v>137</v>
      </c>
      <c r="D228" s="85" t="s">
        <v>56</v>
      </c>
      <c r="E228" s="86" t="n">
        <v>5.65</v>
      </c>
      <c r="F228" s="86" t="n">
        <v>13</v>
      </c>
      <c r="G228" s="87" t="n">
        <f aca="false">E228*F228</f>
        <v>73.45</v>
      </c>
      <c r="H228" s="93"/>
      <c r="I228" s="94"/>
      <c r="J228" s="95"/>
      <c r="K228" s="3"/>
      <c r="L228" s="91"/>
      <c r="M228" s="92" t="s">
        <v>521</v>
      </c>
      <c r="N228" s="84" t="s">
        <v>137</v>
      </c>
      <c r="O228" s="85" t="s">
        <v>56</v>
      </c>
      <c r="P228" s="86" t="n">
        <v>5.65</v>
      </c>
      <c r="Q228" s="86" t="n">
        <v>13</v>
      </c>
      <c r="R228" s="87" t="n">
        <f aca="false">P228*Q228</f>
        <v>73.45</v>
      </c>
      <c r="S228" s="93"/>
      <c r="T228" s="94"/>
      <c r="U228" s="95"/>
    </row>
    <row r="229" customFormat="false" ht="18.75" hidden="false" customHeight="true" outlineLevel="0" collapsed="false">
      <c r="A229" s="91"/>
      <c r="B229" s="92" t="s">
        <v>521</v>
      </c>
      <c r="C229" s="84" t="s">
        <v>526</v>
      </c>
      <c r="D229" s="85" t="s">
        <v>56</v>
      </c>
      <c r="E229" s="86" t="n">
        <v>9.88</v>
      </c>
      <c r="F229" s="86" t="n">
        <v>13</v>
      </c>
      <c r="G229" s="87" t="n">
        <f aca="false">E229*F229</f>
        <v>128.44</v>
      </c>
      <c r="H229" s="93"/>
      <c r="I229" s="94"/>
      <c r="J229" s="95"/>
      <c r="K229" s="3"/>
      <c r="L229" s="91"/>
      <c r="M229" s="92" t="s">
        <v>521</v>
      </c>
      <c r="N229" s="84" t="s">
        <v>526</v>
      </c>
      <c r="O229" s="85" t="s">
        <v>56</v>
      </c>
      <c r="P229" s="86" t="n">
        <v>9.88</v>
      </c>
      <c r="Q229" s="86" t="n">
        <v>13</v>
      </c>
      <c r="R229" s="87" t="n">
        <f aca="false">P229*Q229</f>
        <v>128.44</v>
      </c>
      <c r="S229" s="93"/>
      <c r="T229" s="94"/>
      <c r="U229" s="95"/>
    </row>
    <row r="230" customFormat="false" ht="18.75" hidden="false" customHeight="true" outlineLevel="0" collapsed="false">
      <c r="A230" s="91"/>
      <c r="B230" s="92" t="s">
        <v>521</v>
      </c>
      <c r="C230" s="84" t="s">
        <v>527</v>
      </c>
      <c r="D230" s="85" t="s">
        <v>56</v>
      </c>
      <c r="E230" s="86" t="n">
        <v>13.33</v>
      </c>
      <c r="F230" s="86" t="n">
        <v>13</v>
      </c>
      <c r="G230" s="87" t="n">
        <f aca="false">E230*F230</f>
        <v>173.29</v>
      </c>
      <c r="H230" s="93"/>
      <c r="I230" s="94"/>
      <c r="J230" s="95"/>
      <c r="K230" s="3"/>
      <c r="L230" s="91"/>
      <c r="M230" s="92" t="s">
        <v>521</v>
      </c>
      <c r="N230" s="84" t="s">
        <v>527</v>
      </c>
      <c r="O230" s="85" t="s">
        <v>56</v>
      </c>
      <c r="P230" s="86" t="n">
        <v>13.33</v>
      </c>
      <c r="Q230" s="86" t="n">
        <v>13</v>
      </c>
      <c r="R230" s="87" t="n">
        <f aca="false">P230*Q230</f>
        <v>173.29</v>
      </c>
      <c r="S230" s="93"/>
      <c r="T230" s="94"/>
      <c r="U230" s="95"/>
    </row>
    <row r="231" customFormat="false" ht="18.75" hidden="false" customHeight="true" outlineLevel="0" collapsed="false">
      <c r="A231" s="82" t="s">
        <v>28</v>
      </c>
      <c r="B231" s="83" t="s">
        <v>528</v>
      </c>
      <c r="C231" s="84" t="s">
        <v>168</v>
      </c>
      <c r="D231" s="85" t="s">
        <v>56</v>
      </c>
      <c r="E231" s="86" t="n">
        <v>6.6</v>
      </c>
      <c r="F231" s="86" t="n">
        <v>13</v>
      </c>
      <c r="G231" s="87" t="n">
        <f aca="false">E231*F231</f>
        <v>85.8</v>
      </c>
      <c r="H231" s="88" t="n">
        <f aca="false">SUMIF(B:B,B231,G:G)</f>
        <v>1437.22</v>
      </c>
      <c r="I231" s="89" t="n">
        <v>1940</v>
      </c>
      <c r="J231" s="90" t="n">
        <f aca="false">IFERROR((I231-H231)/I231,"")</f>
        <v>0.259164948453608</v>
      </c>
      <c r="K231" s="3"/>
      <c r="L231" s="82" t="s">
        <v>28</v>
      </c>
      <c r="M231" s="83" t="s">
        <v>528</v>
      </c>
      <c r="N231" s="84" t="s">
        <v>168</v>
      </c>
      <c r="O231" s="85" t="s">
        <v>56</v>
      </c>
      <c r="P231" s="86" t="n">
        <v>6.6</v>
      </c>
      <c r="Q231" s="86" t="n">
        <v>13</v>
      </c>
      <c r="R231" s="87" t="n">
        <f aca="false">P231*Q231</f>
        <v>85.8</v>
      </c>
      <c r="S231" s="88" t="n">
        <f aca="false">SUMIF(M:M,M231,R:R)</f>
        <v>1101.36</v>
      </c>
      <c r="T231" s="89" t="n">
        <f aca="false">I231</f>
        <v>1940</v>
      </c>
      <c r="U231" s="90" t="n">
        <f aca="false">IFERROR((T231-S231)/T231,"")</f>
        <v>0.432288659793814</v>
      </c>
    </row>
    <row r="232" customFormat="false" ht="18.75" hidden="false" customHeight="true" outlineLevel="0" collapsed="false">
      <c r="A232" s="91"/>
      <c r="B232" s="92" t="s">
        <v>528</v>
      </c>
      <c r="C232" s="84" t="s">
        <v>529</v>
      </c>
      <c r="D232" s="85" t="s">
        <v>56</v>
      </c>
      <c r="E232" s="86" t="n">
        <v>9.4</v>
      </c>
      <c r="F232" s="86" t="n">
        <v>13</v>
      </c>
      <c r="G232" s="87" t="n">
        <f aca="false">E232*F232</f>
        <v>122.2</v>
      </c>
      <c r="H232" s="93"/>
      <c r="I232" s="94"/>
      <c r="J232" s="95"/>
      <c r="K232" s="3"/>
      <c r="L232" s="91"/>
      <c r="M232" s="92" t="s">
        <v>528</v>
      </c>
      <c r="N232" s="84" t="s">
        <v>529</v>
      </c>
      <c r="O232" s="85" t="s">
        <v>56</v>
      </c>
      <c r="P232" s="86" t="n">
        <v>9.4</v>
      </c>
      <c r="Q232" s="86" t="n">
        <v>13</v>
      </c>
      <c r="R232" s="87" t="n">
        <f aca="false">P232*Q232</f>
        <v>122.2</v>
      </c>
      <c r="S232" s="93"/>
      <c r="T232" s="94"/>
      <c r="U232" s="95"/>
    </row>
    <row r="233" customFormat="false" ht="18.75" hidden="false" customHeight="true" outlineLevel="0" collapsed="false">
      <c r="A233" s="91"/>
      <c r="B233" s="92" t="s">
        <v>528</v>
      </c>
      <c r="C233" s="84" t="s">
        <v>522</v>
      </c>
      <c r="D233" s="85" t="s">
        <v>56</v>
      </c>
      <c r="E233" s="86" t="n">
        <v>7</v>
      </c>
      <c r="F233" s="86" t="n">
        <v>13</v>
      </c>
      <c r="G233" s="87" t="n">
        <f aca="false">E233*F233</f>
        <v>91</v>
      </c>
      <c r="H233" s="93"/>
      <c r="I233" s="94"/>
      <c r="J233" s="95"/>
      <c r="K233" s="3"/>
      <c r="L233" s="91"/>
      <c r="M233" s="92" t="s">
        <v>528</v>
      </c>
      <c r="N233" s="84" t="s">
        <v>522</v>
      </c>
      <c r="O233" s="85" t="s">
        <v>56</v>
      </c>
      <c r="P233" s="86" t="n">
        <v>7</v>
      </c>
      <c r="Q233" s="86" t="n">
        <v>13</v>
      </c>
      <c r="R233" s="87" t="n">
        <f aca="false">P233*Q233</f>
        <v>91</v>
      </c>
      <c r="S233" s="93"/>
      <c r="T233" s="94"/>
      <c r="U233" s="95"/>
    </row>
    <row r="234" customFormat="false" ht="18.75" hidden="false" customHeight="true" outlineLevel="0" collapsed="false">
      <c r="A234" s="91"/>
      <c r="B234" s="92" t="s">
        <v>528</v>
      </c>
      <c r="C234" s="84" t="s">
        <v>530</v>
      </c>
      <c r="D234" s="85" t="s">
        <v>56</v>
      </c>
      <c r="E234" s="86" t="n">
        <v>3</v>
      </c>
      <c r="F234" s="86" t="n">
        <v>13</v>
      </c>
      <c r="G234" s="87" t="n">
        <f aca="false">E234*F234</f>
        <v>39</v>
      </c>
      <c r="H234" s="93"/>
      <c r="I234" s="94"/>
      <c r="J234" s="95"/>
      <c r="K234" s="3"/>
      <c r="L234" s="91"/>
      <c r="M234" s="92" t="s">
        <v>528</v>
      </c>
      <c r="N234" s="84" t="s">
        <v>530</v>
      </c>
      <c r="O234" s="85" t="s">
        <v>56</v>
      </c>
      <c r="P234" s="86" t="n">
        <v>3</v>
      </c>
      <c r="Q234" s="86" t="n">
        <v>13</v>
      </c>
      <c r="R234" s="87" t="n">
        <f aca="false">P234*Q234</f>
        <v>39</v>
      </c>
      <c r="S234" s="93"/>
      <c r="T234" s="94"/>
      <c r="U234" s="95"/>
    </row>
    <row r="235" customFormat="false" ht="18.75" hidden="false" customHeight="true" outlineLevel="0" collapsed="false">
      <c r="A235" s="91"/>
      <c r="B235" s="92" t="s">
        <v>528</v>
      </c>
      <c r="C235" s="84" t="s">
        <v>490</v>
      </c>
      <c r="D235" s="85" t="s">
        <v>56</v>
      </c>
      <c r="E235" s="86" t="n">
        <v>8.42</v>
      </c>
      <c r="F235" s="86" t="n">
        <v>13</v>
      </c>
      <c r="G235" s="87" t="n">
        <f aca="false">E235*F235</f>
        <v>109.46</v>
      </c>
      <c r="H235" s="93"/>
      <c r="I235" s="94"/>
      <c r="J235" s="95"/>
      <c r="K235" s="3"/>
      <c r="L235" s="91"/>
      <c r="M235" s="92" t="s">
        <v>528</v>
      </c>
      <c r="N235" s="84" t="s">
        <v>490</v>
      </c>
      <c r="O235" s="85" t="s">
        <v>56</v>
      </c>
      <c r="P235" s="86" t="n">
        <v>8.42</v>
      </c>
      <c r="Q235" s="86" t="n">
        <v>13</v>
      </c>
      <c r="R235" s="87" t="n">
        <f aca="false">P235*Q235</f>
        <v>109.46</v>
      </c>
      <c r="S235" s="93"/>
      <c r="T235" s="94"/>
      <c r="U235" s="95"/>
    </row>
    <row r="236" customFormat="false" ht="18.75" hidden="false" customHeight="true" outlineLevel="0" collapsed="false">
      <c r="A236" s="91"/>
      <c r="B236" s="92" t="s">
        <v>528</v>
      </c>
      <c r="C236" s="84" t="s">
        <v>417</v>
      </c>
      <c r="D236" s="85" t="s">
        <v>56</v>
      </c>
      <c r="E236" s="86" t="n">
        <v>10.9</v>
      </c>
      <c r="F236" s="86" t="n">
        <v>13</v>
      </c>
      <c r="G236" s="87" t="n">
        <f aca="false">E236*F236</f>
        <v>141.7</v>
      </c>
      <c r="H236" s="93"/>
      <c r="I236" s="94"/>
      <c r="J236" s="95"/>
      <c r="K236" s="3"/>
      <c r="L236" s="91"/>
      <c r="M236" s="92" t="s">
        <v>528</v>
      </c>
      <c r="N236" s="84" t="s">
        <v>417</v>
      </c>
      <c r="O236" s="85" t="s">
        <v>56</v>
      </c>
      <c r="P236" s="86" t="n">
        <v>10.9</v>
      </c>
      <c r="Q236" s="86" t="n">
        <v>13</v>
      </c>
      <c r="R236" s="87" t="n">
        <f aca="false">P236*Q236</f>
        <v>141.7</v>
      </c>
      <c r="S236" s="93"/>
      <c r="T236" s="94"/>
      <c r="U236" s="95"/>
    </row>
    <row r="237" customFormat="false" ht="18.75" hidden="false" customHeight="true" outlineLevel="0" collapsed="false">
      <c r="A237" s="91"/>
      <c r="B237" s="92" t="s">
        <v>528</v>
      </c>
      <c r="C237" s="84" t="s">
        <v>420</v>
      </c>
      <c r="D237" s="85" t="s">
        <v>56</v>
      </c>
      <c r="E237" s="86" t="n">
        <v>4.25</v>
      </c>
      <c r="F237" s="86" t="n">
        <v>13</v>
      </c>
      <c r="G237" s="87" t="n">
        <f aca="false">E237*F237</f>
        <v>55.25</v>
      </c>
      <c r="H237" s="93"/>
      <c r="I237" s="94"/>
      <c r="J237" s="95"/>
      <c r="K237" s="3"/>
      <c r="L237" s="91"/>
      <c r="M237" s="92" t="s">
        <v>528</v>
      </c>
      <c r="N237" s="84" t="s">
        <v>420</v>
      </c>
      <c r="O237" s="85" t="s">
        <v>56</v>
      </c>
      <c r="P237" s="86" t="n">
        <v>4.25</v>
      </c>
      <c r="Q237" s="86" t="n">
        <v>13</v>
      </c>
      <c r="R237" s="87" t="n">
        <f aca="false">P237*Q237</f>
        <v>55.25</v>
      </c>
      <c r="S237" s="93"/>
      <c r="T237" s="94"/>
      <c r="U237" s="95"/>
    </row>
    <row r="238" customFormat="false" ht="18.75" hidden="false" customHeight="true" outlineLevel="0" collapsed="false">
      <c r="A238" s="91"/>
      <c r="B238" s="92" t="s">
        <v>528</v>
      </c>
      <c r="C238" s="84" t="s">
        <v>524</v>
      </c>
      <c r="D238" s="85" t="s">
        <v>56</v>
      </c>
      <c r="E238" s="86" t="n">
        <v>8</v>
      </c>
      <c r="F238" s="86" t="n">
        <v>13</v>
      </c>
      <c r="G238" s="87" t="n">
        <f aca="false">E238*F238</f>
        <v>104</v>
      </c>
      <c r="H238" s="93"/>
      <c r="I238" s="94"/>
      <c r="J238" s="95"/>
      <c r="K238" s="3"/>
      <c r="L238" s="91"/>
      <c r="M238" s="92" t="s">
        <v>528</v>
      </c>
      <c r="N238" s="84" t="s">
        <v>524</v>
      </c>
      <c r="O238" s="85" t="s">
        <v>56</v>
      </c>
      <c r="P238" s="86" t="n">
        <v>8</v>
      </c>
      <c r="Q238" s="86" t="n">
        <v>13</v>
      </c>
      <c r="R238" s="87" t="n">
        <f aca="false">P238*Q238</f>
        <v>104</v>
      </c>
      <c r="S238" s="93"/>
      <c r="T238" s="94"/>
      <c r="U238" s="95"/>
    </row>
    <row r="239" customFormat="false" ht="18.75" hidden="false" customHeight="true" outlineLevel="0" collapsed="false">
      <c r="A239" s="104"/>
      <c r="B239" s="105" t="s">
        <v>528</v>
      </c>
      <c r="C239" s="97" t="s">
        <v>91</v>
      </c>
      <c r="D239" s="98" t="s">
        <v>55</v>
      </c>
      <c r="E239" s="99" t="n">
        <v>18.58</v>
      </c>
      <c r="F239" s="99" t="n">
        <v>17</v>
      </c>
      <c r="G239" s="100" t="n">
        <f aca="false">E239*F239</f>
        <v>315.86</v>
      </c>
      <c r="H239" s="106"/>
      <c r="I239" s="107"/>
      <c r="J239" s="108"/>
      <c r="K239" s="3"/>
      <c r="L239" s="104"/>
      <c r="M239" s="105" t="s">
        <v>528</v>
      </c>
      <c r="N239" s="97" t="s">
        <v>91</v>
      </c>
      <c r="O239" s="98" t="s">
        <v>55</v>
      </c>
      <c r="P239" s="101"/>
      <c r="Q239" s="101"/>
      <c r="R239" s="102" t="n">
        <v>0</v>
      </c>
      <c r="S239" s="106"/>
      <c r="T239" s="107"/>
      <c r="U239" s="108"/>
    </row>
    <row r="240" customFormat="false" ht="18.75" hidden="false" customHeight="true" outlineLevel="0" collapsed="false">
      <c r="A240" s="91"/>
      <c r="B240" s="92" t="s">
        <v>528</v>
      </c>
      <c r="C240" s="84" t="s">
        <v>531</v>
      </c>
      <c r="D240" s="85" t="s">
        <v>56</v>
      </c>
      <c r="E240" s="86" t="n">
        <v>4.5</v>
      </c>
      <c r="F240" s="86" t="n">
        <v>13</v>
      </c>
      <c r="G240" s="87" t="n">
        <f aca="false">E240*F240</f>
        <v>58.5</v>
      </c>
      <c r="H240" s="93"/>
      <c r="I240" s="94"/>
      <c r="J240" s="95"/>
      <c r="K240" s="3"/>
      <c r="L240" s="91"/>
      <c r="M240" s="92" t="s">
        <v>528</v>
      </c>
      <c r="N240" s="84" t="s">
        <v>531</v>
      </c>
      <c r="O240" s="85" t="s">
        <v>56</v>
      </c>
      <c r="P240" s="86" t="n">
        <v>4.5</v>
      </c>
      <c r="Q240" s="86" t="n">
        <v>13</v>
      </c>
      <c r="R240" s="87" t="n">
        <f aca="false">P240*Q240</f>
        <v>58.5</v>
      </c>
      <c r="S240" s="93"/>
      <c r="T240" s="94"/>
      <c r="U240" s="95"/>
    </row>
    <row r="241" customFormat="false" ht="18.75" hidden="false" customHeight="true" outlineLevel="0" collapsed="false">
      <c r="A241" s="104"/>
      <c r="B241" s="105" t="s">
        <v>528</v>
      </c>
      <c r="C241" s="97" t="s">
        <v>532</v>
      </c>
      <c r="D241" s="98" t="s">
        <v>55</v>
      </c>
      <c r="E241" s="104"/>
      <c r="F241" s="104"/>
      <c r="G241" s="100" t="n">
        <v>20</v>
      </c>
      <c r="H241" s="106"/>
      <c r="I241" s="107"/>
      <c r="J241" s="108"/>
      <c r="K241" s="3"/>
      <c r="L241" s="104"/>
      <c r="M241" s="105" t="s">
        <v>528</v>
      </c>
      <c r="N241" s="97" t="s">
        <v>532</v>
      </c>
      <c r="O241" s="98" t="s">
        <v>55</v>
      </c>
      <c r="P241" s="101"/>
      <c r="Q241" s="101"/>
      <c r="R241" s="102" t="n">
        <v>0</v>
      </c>
      <c r="S241" s="106"/>
      <c r="T241" s="107"/>
      <c r="U241" s="108"/>
    </row>
    <row r="242" customFormat="false" ht="18.75" hidden="false" customHeight="true" outlineLevel="0" collapsed="false">
      <c r="A242" s="91"/>
      <c r="B242" s="92" t="s">
        <v>528</v>
      </c>
      <c r="C242" s="84" t="s">
        <v>129</v>
      </c>
      <c r="D242" s="85" t="s">
        <v>56</v>
      </c>
      <c r="E242" s="86" t="n">
        <v>7.25</v>
      </c>
      <c r="F242" s="86" t="n">
        <v>13</v>
      </c>
      <c r="G242" s="87" t="n">
        <f aca="false">E242*F242</f>
        <v>94.25</v>
      </c>
      <c r="H242" s="93"/>
      <c r="I242" s="94"/>
      <c r="J242" s="95"/>
      <c r="K242" s="3"/>
      <c r="L242" s="91"/>
      <c r="M242" s="92" t="s">
        <v>528</v>
      </c>
      <c r="N242" s="84" t="s">
        <v>129</v>
      </c>
      <c r="O242" s="85" t="s">
        <v>56</v>
      </c>
      <c r="P242" s="86" t="n">
        <v>7.25</v>
      </c>
      <c r="Q242" s="86" t="n">
        <v>13</v>
      </c>
      <c r="R242" s="87" t="n">
        <f aca="false">P242*Q242</f>
        <v>94.25</v>
      </c>
      <c r="S242" s="93"/>
      <c r="T242" s="94"/>
      <c r="U242" s="95"/>
    </row>
    <row r="243" customFormat="false" ht="18.75" hidden="false" customHeight="true" outlineLevel="0" collapsed="false">
      <c r="A243" s="91"/>
      <c r="B243" s="92" t="s">
        <v>528</v>
      </c>
      <c r="C243" s="84" t="s">
        <v>137</v>
      </c>
      <c r="D243" s="85" t="s">
        <v>56</v>
      </c>
      <c r="E243" s="86" t="n">
        <v>9.5</v>
      </c>
      <c r="F243" s="86" t="n">
        <v>13</v>
      </c>
      <c r="G243" s="87" t="n">
        <f aca="false">E243*F243</f>
        <v>123.5</v>
      </c>
      <c r="H243" s="93"/>
      <c r="I243" s="94"/>
      <c r="J243" s="95"/>
      <c r="K243" s="3"/>
      <c r="L243" s="91"/>
      <c r="M243" s="92" t="s">
        <v>528</v>
      </c>
      <c r="N243" s="84" t="s">
        <v>137</v>
      </c>
      <c r="O243" s="85" t="s">
        <v>56</v>
      </c>
      <c r="P243" s="86" t="n">
        <v>9.5</v>
      </c>
      <c r="Q243" s="86" t="n">
        <v>13</v>
      </c>
      <c r="R243" s="87" t="n">
        <f aca="false">P243*Q243</f>
        <v>123.5</v>
      </c>
      <c r="S243" s="93"/>
      <c r="T243" s="94"/>
      <c r="U243" s="95"/>
    </row>
    <row r="244" customFormat="false" ht="18.75" hidden="false" customHeight="true" outlineLevel="0" collapsed="false">
      <c r="A244" s="91"/>
      <c r="B244" s="92" t="s">
        <v>528</v>
      </c>
      <c r="C244" s="84" t="s">
        <v>526</v>
      </c>
      <c r="D244" s="85" t="s">
        <v>56</v>
      </c>
      <c r="E244" s="86" t="n">
        <v>5.9</v>
      </c>
      <c r="F244" s="86" t="n">
        <v>13</v>
      </c>
      <c r="G244" s="87" t="n">
        <f aca="false">E244*F244</f>
        <v>76.7</v>
      </c>
      <c r="H244" s="93"/>
      <c r="I244" s="94"/>
      <c r="J244" s="95"/>
      <c r="K244" s="3"/>
      <c r="L244" s="91"/>
      <c r="M244" s="92" t="s">
        <v>528</v>
      </c>
      <c r="N244" s="84" t="s">
        <v>526</v>
      </c>
      <c r="O244" s="85" t="s">
        <v>56</v>
      </c>
      <c r="P244" s="86" t="n">
        <v>5.9</v>
      </c>
      <c r="Q244" s="86" t="n">
        <v>13</v>
      </c>
      <c r="R244" s="87" t="n">
        <f aca="false">P244*Q244</f>
        <v>76.7</v>
      </c>
      <c r="S244" s="93"/>
      <c r="T244" s="94"/>
      <c r="U244" s="95"/>
    </row>
    <row r="245" customFormat="false" ht="18.75" hidden="false" customHeight="true" outlineLevel="0" collapsed="false">
      <c r="A245" s="82" t="s">
        <v>28</v>
      </c>
      <c r="B245" s="83" t="s">
        <v>533</v>
      </c>
      <c r="C245" s="84" t="s">
        <v>198</v>
      </c>
      <c r="D245" s="85" t="s">
        <v>56</v>
      </c>
      <c r="E245" s="86" t="n">
        <v>7</v>
      </c>
      <c r="F245" s="86" t="n">
        <v>13</v>
      </c>
      <c r="G245" s="87" t="n">
        <f aca="false">E245*F245</f>
        <v>91</v>
      </c>
      <c r="H245" s="88" t="n">
        <f aca="false">SUMIF(B:B,B245,G:G)</f>
        <v>161</v>
      </c>
      <c r="I245" s="89" t="n">
        <v>712.5</v>
      </c>
      <c r="J245" s="90" t="n">
        <f aca="false">IFERROR((I245-H245)/I245,"")</f>
        <v>0.774035087719298</v>
      </c>
      <c r="K245" s="3"/>
      <c r="L245" s="82" t="s">
        <v>28</v>
      </c>
      <c r="M245" s="83" t="s">
        <v>533</v>
      </c>
      <c r="N245" s="84" t="s">
        <v>198</v>
      </c>
      <c r="O245" s="85" t="s">
        <v>56</v>
      </c>
      <c r="P245" s="86" t="n">
        <v>7</v>
      </c>
      <c r="Q245" s="86" t="n">
        <v>13</v>
      </c>
      <c r="R245" s="87" t="n">
        <f aca="false">P245*Q245</f>
        <v>91</v>
      </c>
      <c r="S245" s="88" t="n">
        <f aca="false">SUMIF(M:M,M245,R:R)</f>
        <v>161</v>
      </c>
      <c r="T245" s="89" t="n">
        <f aca="false">I245</f>
        <v>712.5</v>
      </c>
      <c r="U245" s="90" t="n">
        <f aca="false">IFERROR((T245-S245)/T245,"")</f>
        <v>0.774035087719298</v>
      </c>
    </row>
    <row r="246" customFormat="false" ht="18.75" hidden="false" customHeight="true" outlineLevel="0" collapsed="false">
      <c r="A246" s="91"/>
      <c r="B246" s="92" t="s">
        <v>533</v>
      </c>
      <c r="C246" s="84" t="s">
        <v>531</v>
      </c>
      <c r="D246" s="96" t="s">
        <v>57</v>
      </c>
      <c r="E246" s="91"/>
      <c r="F246" s="91"/>
      <c r="G246" s="87" t="n">
        <v>70</v>
      </c>
      <c r="H246" s="93"/>
      <c r="I246" s="94"/>
      <c r="J246" s="95"/>
      <c r="K246" s="3"/>
      <c r="L246" s="91"/>
      <c r="M246" s="92" t="s">
        <v>533</v>
      </c>
      <c r="N246" s="84" t="s">
        <v>531</v>
      </c>
      <c r="O246" s="96" t="s">
        <v>57</v>
      </c>
      <c r="P246" s="91"/>
      <c r="Q246" s="91"/>
      <c r="R246" s="87" t="n">
        <v>70</v>
      </c>
      <c r="S246" s="93"/>
      <c r="T246" s="94"/>
      <c r="U246" s="95"/>
    </row>
    <row r="247" customFormat="false" ht="18.75" hidden="false" customHeight="true" outlineLevel="0" collapsed="false">
      <c r="A247" s="82" t="s">
        <v>28</v>
      </c>
      <c r="B247" s="83" t="s">
        <v>534</v>
      </c>
      <c r="C247" s="84" t="s">
        <v>470</v>
      </c>
      <c r="D247" s="85" t="s">
        <v>56</v>
      </c>
      <c r="E247" s="86" t="n">
        <v>3.92</v>
      </c>
      <c r="F247" s="86" t="n">
        <v>13</v>
      </c>
      <c r="G247" s="87" t="n">
        <f aca="false">E247*F247</f>
        <v>50.96</v>
      </c>
      <c r="H247" s="88" t="n">
        <f aca="false">SUMIF(B:B,B247,G:G)</f>
        <v>239.72</v>
      </c>
      <c r="I247" s="89" t="n">
        <v>884.58</v>
      </c>
      <c r="J247" s="90" t="n">
        <f aca="false">IFERROR((I247-H247)/I247,"")</f>
        <v>0.729001333966402</v>
      </c>
      <c r="K247" s="3"/>
      <c r="L247" s="82" t="s">
        <v>28</v>
      </c>
      <c r="M247" s="83" t="s">
        <v>534</v>
      </c>
      <c r="N247" s="84" t="s">
        <v>470</v>
      </c>
      <c r="O247" s="85" t="s">
        <v>56</v>
      </c>
      <c r="P247" s="86" t="n">
        <v>3.92</v>
      </c>
      <c r="Q247" s="86" t="n">
        <v>13</v>
      </c>
      <c r="R247" s="87" t="n">
        <f aca="false">P247*Q247</f>
        <v>50.96</v>
      </c>
      <c r="S247" s="88" t="n">
        <f aca="false">SUMIF(M:M,M247,R:R)</f>
        <v>239.72</v>
      </c>
      <c r="T247" s="89" t="n">
        <f aca="false">I247</f>
        <v>884.58</v>
      </c>
      <c r="U247" s="90" t="n">
        <f aca="false">IFERROR((T247-S247)/T247,"")</f>
        <v>0.729001333966402</v>
      </c>
    </row>
    <row r="248" customFormat="false" ht="18.75" hidden="false" customHeight="true" outlineLevel="0" collapsed="false">
      <c r="A248" s="91"/>
      <c r="B248" s="92" t="s">
        <v>534</v>
      </c>
      <c r="C248" s="84" t="s">
        <v>137</v>
      </c>
      <c r="D248" s="85" t="s">
        <v>56</v>
      </c>
      <c r="E248" s="86" t="n">
        <v>5.25</v>
      </c>
      <c r="F248" s="86" t="n">
        <v>13</v>
      </c>
      <c r="G248" s="87" t="n">
        <f aca="false">E248*F248</f>
        <v>68.25</v>
      </c>
      <c r="H248" s="93"/>
      <c r="I248" s="94"/>
      <c r="J248" s="95"/>
      <c r="K248" s="3"/>
      <c r="L248" s="91"/>
      <c r="M248" s="92" t="s">
        <v>534</v>
      </c>
      <c r="N248" s="84" t="s">
        <v>137</v>
      </c>
      <c r="O248" s="85" t="s">
        <v>56</v>
      </c>
      <c r="P248" s="86" t="n">
        <v>5.25</v>
      </c>
      <c r="Q248" s="86" t="n">
        <v>13</v>
      </c>
      <c r="R248" s="87" t="n">
        <f aca="false">P248*Q248</f>
        <v>68.25</v>
      </c>
      <c r="S248" s="93"/>
      <c r="T248" s="94"/>
      <c r="U248" s="95"/>
    </row>
    <row r="249" customFormat="false" ht="18.75" hidden="false" customHeight="true" outlineLevel="0" collapsed="false">
      <c r="A249" s="91"/>
      <c r="B249" s="92" t="s">
        <v>534</v>
      </c>
      <c r="C249" s="84" t="s">
        <v>520</v>
      </c>
      <c r="D249" s="85" t="s">
        <v>56</v>
      </c>
      <c r="E249" s="86" t="n">
        <v>4.82</v>
      </c>
      <c r="F249" s="86" t="n">
        <v>13</v>
      </c>
      <c r="G249" s="87" t="n">
        <f aca="false">E249*F249</f>
        <v>62.66</v>
      </c>
      <c r="H249" s="93"/>
      <c r="I249" s="94"/>
      <c r="J249" s="95"/>
      <c r="K249" s="3"/>
      <c r="L249" s="91"/>
      <c r="M249" s="92" t="s">
        <v>534</v>
      </c>
      <c r="N249" s="84" t="s">
        <v>520</v>
      </c>
      <c r="O249" s="85" t="s">
        <v>56</v>
      </c>
      <c r="P249" s="86" t="n">
        <v>4.82</v>
      </c>
      <c r="Q249" s="86" t="n">
        <v>13</v>
      </c>
      <c r="R249" s="87" t="n">
        <f aca="false">P249*Q249</f>
        <v>62.66</v>
      </c>
      <c r="S249" s="93"/>
      <c r="T249" s="94"/>
      <c r="U249" s="95"/>
    </row>
    <row r="250" customFormat="false" ht="18.75" hidden="false" customHeight="true" outlineLevel="0" collapsed="false">
      <c r="A250" s="91"/>
      <c r="B250" s="92" t="s">
        <v>534</v>
      </c>
      <c r="C250" s="84" t="s">
        <v>99</v>
      </c>
      <c r="D250" s="85" t="s">
        <v>56</v>
      </c>
      <c r="E250" s="86" t="n">
        <v>4.45</v>
      </c>
      <c r="F250" s="86" t="n">
        <v>13</v>
      </c>
      <c r="G250" s="87" t="n">
        <f aca="false">E250*F250</f>
        <v>57.85</v>
      </c>
      <c r="H250" s="93"/>
      <c r="I250" s="94"/>
      <c r="J250" s="95"/>
      <c r="K250" s="3"/>
      <c r="L250" s="91"/>
      <c r="M250" s="92" t="s">
        <v>534</v>
      </c>
      <c r="N250" s="84" t="s">
        <v>99</v>
      </c>
      <c r="O250" s="85" t="s">
        <v>56</v>
      </c>
      <c r="P250" s="86" t="n">
        <v>4.45</v>
      </c>
      <c r="Q250" s="86" t="n">
        <v>13</v>
      </c>
      <c r="R250" s="87" t="n">
        <f aca="false">P250*Q250</f>
        <v>57.85</v>
      </c>
      <c r="S250" s="93"/>
      <c r="T250" s="94"/>
      <c r="U250" s="95"/>
    </row>
    <row r="251" customFormat="false" ht="18.75" hidden="false" customHeight="true" outlineLevel="0" collapsed="false">
      <c r="A251" s="82" t="s">
        <v>28</v>
      </c>
      <c r="B251" s="83" t="s">
        <v>535</v>
      </c>
      <c r="C251" s="84" t="s">
        <v>360</v>
      </c>
      <c r="D251" s="85" t="s">
        <v>56</v>
      </c>
      <c r="E251" s="86" t="n">
        <v>6.8</v>
      </c>
      <c r="F251" s="86" t="n">
        <v>13</v>
      </c>
      <c r="G251" s="87" t="n">
        <f aca="false">E251*F251</f>
        <v>88.4</v>
      </c>
      <c r="H251" s="88" t="n">
        <f aca="false">SUMIF(B:B,B251,G:G)</f>
        <v>340.99</v>
      </c>
      <c r="I251" s="89" t="n">
        <v>1900.5</v>
      </c>
      <c r="J251" s="90" t="n">
        <f aca="false">IFERROR((I251-H251)/I251,"")</f>
        <v>0.820578795053933</v>
      </c>
      <c r="K251" s="3"/>
      <c r="L251" s="82" t="s">
        <v>28</v>
      </c>
      <c r="M251" s="83" t="s">
        <v>535</v>
      </c>
      <c r="N251" s="84" t="s">
        <v>360</v>
      </c>
      <c r="O251" s="85" t="s">
        <v>56</v>
      </c>
      <c r="P251" s="86" t="n">
        <v>6.8</v>
      </c>
      <c r="Q251" s="86" t="n">
        <v>13</v>
      </c>
      <c r="R251" s="87" t="n">
        <f aca="false">P251*Q251</f>
        <v>88.4</v>
      </c>
      <c r="S251" s="88" t="n">
        <f aca="false">SUMIF(M:M,M251,R:R)</f>
        <v>340.99</v>
      </c>
      <c r="T251" s="89" t="n">
        <f aca="false">I251</f>
        <v>1900.5</v>
      </c>
      <c r="U251" s="90" t="n">
        <f aca="false">IFERROR((T251-S251)/T251,"")</f>
        <v>0.820578795053933</v>
      </c>
    </row>
    <row r="252" customFormat="false" ht="18.75" hidden="false" customHeight="true" outlineLevel="0" collapsed="false">
      <c r="A252" s="91"/>
      <c r="B252" s="92" t="s">
        <v>535</v>
      </c>
      <c r="C252" s="84" t="s">
        <v>522</v>
      </c>
      <c r="D252" s="85" t="s">
        <v>56</v>
      </c>
      <c r="E252" s="86" t="n">
        <v>5.82</v>
      </c>
      <c r="F252" s="86" t="n">
        <v>13</v>
      </c>
      <c r="G252" s="87" t="n">
        <f aca="false">E252*F252</f>
        <v>75.66</v>
      </c>
      <c r="H252" s="93"/>
      <c r="I252" s="94"/>
      <c r="J252" s="95"/>
      <c r="K252" s="3"/>
      <c r="L252" s="91"/>
      <c r="M252" s="92" t="s">
        <v>535</v>
      </c>
      <c r="N252" s="84" t="s">
        <v>522</v>
      </c>
      <c r="O252" s="85" t="s">
        <v>56</v>
      </c>
      <c r="P252" s="86" t="n">
        <v>5.82</v>
      </c>
      <c r="Q252" s="86" t="n">
        <v>13</v>
      </c>
      <c r="R252" s="87" t="n">
        <f aca="false">P252*Q252</f>
        <v>75.66</v>
      </c>
      <c r="S252" s="93"/>
      <c r="T252" s="94"/>
      <c r="U252" s="95"/>
    </row>
    <row r="253" customFormat="false" ht="18.75" hidden="false" customHeight="true" outlineLevel="0" collapsed="false">
      <c r="A253" s="91"/>
      <c r="B253" s="92" t="s">
        <v>535</v>
      </c>
      <c r="C253" s="84" t="s">
        <v>89</v>
      </c>
      <c r="D253" s="85" t="s">
        <v>56</v>
      </c>
      <c r="E253" s="86" t="n">
        <v>3.07</v>
      </c>
      <c r="F253" s="86" t="n">
        <v>13</v>
      </c>
      <c r="G253" s="87" t="n">
        <f aca="false">E253*F253</f>
        <v>39.91</v>
      </c>
      <c r="H253" s="93"/>
      <c r="I253" s="94"/>
      <c r="J253" s="95"/>
      <c r="K253" s="3"/>
      <c r="L253" s="91"/>
      <c r="M253" s="92" t="s">
        <v>535</v>
      </c>
      <c r="N253" s="84" t="s">
        <v>89</v>
      </c>
      <c r="O253" s="85" t="s">
        <v>56</v>
      </c>
      <c r="P253" s="86" t="n">
        <v>3.07</v>
      </c>
      <c r="Q253" s="86" t="n">
        <v>13</v>
      </c>
      <c r="R253" s="87" t="n">
        <f aca="false">P253*Q253</f>
        <v>39.91</v>
      </c>
      <c r="S253" s="93"/>
      <c r="T253" s="94"/>
      <c r="U253" s="95"/>
    </row>
    <row r="254" customFormat="false" ht="18.75" hidden="false" customHeight="true" outlineLevel="0" collapsed="false">
      <c r="A254" s="91"/>
      <c r="B254" s="92" t="s">
        <v>535</v>
      </c>
      <c r="C254" s="84" t="s">
        <v>490</v>
      </c>
      <c r="D254" s="85" t="s">
        <v>56</v>
      </c>
      <c r="E254" s="86" t="n">
        <v>4.04</v>
      </c>
      <c r="F254" s="86" t="n">
        <v>13</v>
      </c>
      <c r="G254" s="87" t="n">
        <f aca="false">E254*F254</f>
        <v>52.52</v>
      </c>
      <c r="H254" s="93"/>
      <c r="I254" s="94"/>
      <c r="J254" s="95"/>
      <c r="K254" s="3"/>
      <c r="L254" s="91"/>
      <c r="M254" s="92" t="s">
        <v>535</v>
      </c>
      <c r="N254" s="84" t="s">
        <v>490</v>
      </c>
      <c r="O254" s="85" t="s">
        <v>56</v>
      </c>
      <c r="P254" s="86" t="n">
        <v>4.04</v>
      </c>
      <c r="Q254" s="86" t="n">
        <v>13</v>
      </c>
      <c r="R254" s="87" t="n">
        <f aca="false">P254*Q254</f>
        <v>52.52</v>
      </c>
      <c r="S254" s="93"/>
      <c r="T254" s="94"/>
      <c r="U254" s="95"/>
    </row>
    <row r="255" customFormat="false" ht="18.75" hidden="false" customHeight="true" outlineLevel="0" collapsed="false">
      <c r="A255" s="91"/>
      <c r="B255" s="92" t="s">
        <v>535</v>
      </c>
      <c r="C255" s="84" t="s">
        <v>129</v>
      </c>
      <c r="D255" s="85" t="s">
        <v>56</v>
      </c>
      <c r="E255" s="86" t="n">
        <v>6.5</v>
      </c>
      <c r="F255" s="86" t="n">
        <v>13</v>
      </c>
      <c r="G255" s="87" t="n">
        <f aca="false">E255*F255</f>
        <v>84.5</v>
      </c>
      <c r="H255" s="93"/>
      <c r="I255" s="94"/>
      <c r="J255" s="95"/>
      <c r="K255" s="3"/>
      <c r="L255" s="91"/>
      <c r="M255" s="92" t="s">
        <v>535</v>
      </c>
      <c r="N255" s="84" t="s">
        <v>129</v>
      </c>
      <c r="O255" s="85" t="s">
        <v>56</v>
      </c>
      <c r="P255" s="86" t="n">
        <v>6.5</v>
      </c>
      <c r="Q255" s="86" t="n">
        <v>13</v>
      </c>
      <c r="R255" s="87" t="n">
        <f aca="false">P255*Q255</f>
        <v>84.5</v>
      </c>
      <c r="S255" s="93"/>
      <c r="T255" s="94"/>
      <c r="U255" s="95"/>
    </row>
    <row r="256" customFormat="false" ht="18.75" hidden="false" customHeight="true" outlineLevel="0" collapsed="false">
      <c r="A256" s="82" t="s">
        <v>29</v>
      </c>
      <c r="B256" s="83" t="s">
        <v>536</v>
      </c>
      <c r="C256" s="84" t="s">
        <v>100</v>
      </c>
      <c r="D256" s="85" t="s">
        <v>56</v>
      </c>
      <c r="E256" s="86" t="n">
        <v>3.78</v>
      </c>
      <c r="F256" s="86" t="n">
        <v>13</v>
      </c>
      <c r="G256" s="87" t="n">
        <f aca="false">E256*F256</f>
        <v>49.14</v>
      </c>
      <c r="H256" s="88" t="n">
        <f aca="false">SUMIF(B:B,B256,G:G)</f>
        <v>141.16</v>
      </c>
      <c r="I256" s="89" t="n">
        <v>836.16</v>
      </c>
      <c r="J256" s="90" t="n">
        <f aca="false">IFERROR((I256-H256)/I256,"")</f>
        <v>0.831180635285113</v>
      </c>
      <c r="K256" s="3"/>
      <c r="L256" s="82" t="s">
        <v>29</v>
      </c>
      <c r="M256" s="83" t="s">
        <v>536</v>
      </c>
      <c r="N256" s="84" t="s">
        <v>100</v>
      </c>
      <c r="O256" s="85" t="s">
        <v>56</v>
      </c>
      <c r="P256" s="86" t="n">
        <v>3.78</v>
      </c>
      <c r="Q256" s="86" t="n">
        <v>13</v>
      </c>
      <c r="R256" s="87" t="n">
        <f aca="false">P256*Q256</f>
        <v>49.14</v>
      </c>
      <c r="S256" s="88" t="n">
        <f aca="false">SUMIF(M:M,M256,R:R)</f>
        <v>141.16</v>
      </c>
      <c r="T256" s="89" t="n">
        <f aca="false">I256</f>
        <v>836.16</v>
      </c>
      <c r="U256" s="90" t="n">
        <f aca="false">IFERROR((T256-S256)/T256,"")</f>
        <v>0.831180635285113</v>
      </c>
    </row>
    <row r="257" customFormat="false" ht="18.75" hidden="false" customHeight="true" outlineLevel="0" collapsed="false">
      <c r="A257" s="91"/>
      <c r="B257" s="92" t="s">
        <v>536</v>
      </c>
      <c r="C257" s="84" t="s">
        <v>137</v>
      </c>
      <c r="D257" s="85" t="s">
        <v>56</v>
      </c>
      <c r="E257" s="86" t="n">
        <v>2.26</v>
      </c>
      <c r="F257" s="86" t="n">
        <v>13</v>
      </c>
      <c r="G257" s="87" t="n">
        <f aca="false">E257*F257</f>
        <v>29.38</v>
      </c>
      <c r="H257" s="93"/>
      <c r="I257" s="94"/>
      <c r="J257" s="95"/>
      <c r="K257" s="3"/>
      <c r="L257" s="91"/>
      <c r="M257" s="92" t="s">
        <v>536</v>
      </c>
      <c r="N257" s="84" t="s">
        <v>137</v>
      </c>
      <c r="O257" s="85" t="s">
        <v>56</v>
      </c>
      <c r="P257" s="86" t="n">
        <v>2.26</v>
      </c>
      <c r="Q257" s="86" t="n">
        <v>13</v>
      </c>
      <c r="R257" s="87" t="n">
        <f aca="false">P257*Q257</f>
        <v>29.38</v>
      </c>
      <c r="S257" s="93"/>
      <c r="T257" s="94"/>
      <c r="U257" s="95"/>
    </row>
    <row r="258" customFormat="false" ht="18.75" hidden="false" customHeight="true" outlineLevel="0" collapsed="false">
      <c r="A258" s="91"/>
      <c r="B258" s="92" t="s">
        <v>536</v>
      </c>
      <c r="C258" s="84" t="s">
        <v>102</v>
      </c>
      <c r="D258" s="85" t="s">
        <v>56</v>
      </c>
      <c r="E258" s="86" t="n">
        <v>3.28</v>
      </c>
      <c r="F258" s="86" t="n">
        <v>13</v>
      </c>
      <c r="G258" s="87" t="n">
        <f aca="false">E258*F258</f>
        <v>42.64</v>
      </c>
      <c r="H258" s="93"/>
      <c r="I258" s="94"/>
      <c r="J258" s="95"/>
      <c r="K258" s="3"/>
      <c r="L258" s="91"/>
      <c r="M258" s="92" t="s">
        <v>536</v>
      </c>
      <c r="N258" s="84" t="s">
        <v>102</v>
      </c>
      <c r="O258" s="85" t="s">
        <v>56</v>
      </c>
      <c r="P258" s="86" t="n">
        <v>3.28</v>
      </c>
      <c r="Q258" s="86" t="n">
        <v>13</v>
      </c>
      <c r="R258" s="87" t="n">
        <f aca="false">P258*Q258</f>
        <v>42.64</v>
      </c>
      <c r="S258" s="93"/>
      <c r="T258" s="94"/>
      <c r="U258" s="95"/>
    </row>
    <row r="259" customFormat="false" ht="18.75" hidden="false" customHeight="true" outlineLevel="0" collapsed="false">
      <c r="A259" s="91"/>
      <c r="B259" s="92" t="s">
        <v>536</v>
      </c>
      <c r="C259" s="84" t="s">
        <v>537</v>
      </c>
      <c r="D259" s="96" t="s">
        <v>57</v>
      </c>
      <c r="E259" s="91"/>
      <c r="F259" s="91"/>
      <c r="G259" s="87" t="n">
        <v>20</v>
      </c>
      <c r="H259" s="93"/>
      <c r="I259" s="94"/>
      <c r="J259" s="95"/>
      <c r="K259" s="3"/>
      <c r="L259" s="91"/>
      <c r="M259" s="92" t="s">
        <v>536</v>
      </c>
      <c r="N259" s="84" t="s">
        <v>537</v>
      </c>
      <c r="O259" s="96" t="s">
        <v>57</v>
      </c>
      <c r="P259" s="91"/>
      <c r="Q259" s="91"/>
      <c r="R259" s="87" t="n">
        <v>20</v>
      </c>
      <c r="S259" s="93"/>
      <c r="T259" s="94"/>
      <c r="U259" s="95"/>
    </row>
    <row r="260" customFormat="false" ht="18.75" hidden="false" customHeight="true" outlineLevel="0" collapsed="false">
      <c r="A260" s="82" t="s">
        <v>29</v>
      </c>
      <c r="B260" s="83" t="s">
        <v>538</v>
      </c>
      <c r="C260" s="84" t="s">
        <v>455</v>
      </c>
      <c r="D260" s="85" t="s">
        <v>56</v>
      </c>
      <c r="E260" s="86" t="n">
        <v>13.03</v>
      </c>
      <c r="F260" s="86" t="n">
        <v>13</v>
      </c>
      <c r="G260" s="87" t="n">
        <f aca="false">E260*F260</f>
        <v>169.39</v>
      </c>
      <c r="H260" s="88" t="n">
        <f aca="false">SUMIF(B:B,B260,G:G)</f>
        <v>2240.21</v>
      </c>
      <c r="I260" s="89" t="n">
        <v>2427</v>
      </c>
      <c r="J260" s="90" t="n">
        <f aca="false">IFERROR((I260-H260)/I260,"")</f>
        <v>0.0769633292130202</v>
      </c>
      <c r="K260" s="3"/>
      <c r="L260" s="82" t="s">
        <v>29</v>
      </c>
      <c r="M260" s="83" t="s">
        <v>538</v>
      </c>
      <c r="N260" s="84" t="s">
        <v>455</v>
      </c>
      <c r="O260" s="85" t="s">
        <v>56</v>
      </c>
      <c r="P260" s="86" t="n">
        <v>13.03</v>
      </c>
      <c r="Q260" s="86" t="n">
        <v>13</v>
      </c>
      <c r="R260" s="87" t="n">
        <f aca="false">P260*Q260</f>
        <v>169.39</v>
      </c>
      <c r="S260" s="88" t="n">
        <f aca="false">SUMIF(M:M,M260,R:R)</f>
        <v>2087.21</v>
      </c>
      <c r="T260" s="89" t="n">
        <f aca="false">I260</f>
        <v>2427</v>
      </c>
      <c r="U260" s="90" t="n">
        <f aca="false">IFERROR((T260-S260)/T260,"")</f>
        <v>0.140004120313144</v>
      </c>
    </row>
    <row r="261" customFormat="false" ht="18.75" hidden="false" customHeight="true" outlineLevel="0" collapsed="false">
      <c r="A261" s="91"/>
      <c r="B261" s="92" t="s">
        <v>538</v>
      </c>
      <c r="C261" s="84" t="s">
        <v>164</v>
      </c>
      <c r="D261" s="85" t="s">
        <v>56</v>
      </c>
      <c r="E261" s="86" t="n">
        <v>16.1</v>
      </c>
      <c r="F261" s="86" t="n">
        <v>13</v>
      </c>
      <c r="G261" s="87" t="n">
        <f aca="false">E261*F261</f>
        <v>209.3</v>
      </c>
      <c r="H261" s="93"/>
      <c r="I261" s="94"/>
      <c r="J261" s="95"/>
      <c r="K261" s="3"/>
      <c r="L261" s="91"/>
      <c r="M261" s="92" t="s">
        <v>538</v>
      </c>
      <c r="N261" s="84" t="s">
        <v>164</v>
      </c>
      <c r="O261" s="85" t="s">
        <v>56</v>
      </c>
      <c r="P261" s="86" t="n">
        <v>16.1</v>
      </c>
      <c r="Q261" s="86" t="n">
        <v>13</v>
      </c>
      <c r="R261" s="87" t="n">
        <f aca="false">P261*Q261</f>
        <v>209.3</v>
      </c>
      <c r="S261" s="93"/>
      <c r="T261" s="94"/>
      <c r="U261" s="95"/>
    </row>
    <row r="262" customFormat="false" ht="18.75" hidden="false" customHeight="true" outlineLevel="0" collapsed="false">
      <c r="A262" s="91"/>
      <c r="B262" s="92" t="s">
        <v>538</v>
      </c>
      <c r="C262" s="84" t="s">
        <v>165</v>
      </c>
      <c r="D262" s="85" t="s">
        <v>56</v>
      </c>
      <c r="E262" s="86" t="n">
        <v>10.45</v>
      </c>
      <c r="F262" s="86" t="n">
        <v>13</v>
      </c>
      <c r="G262" s="87" t="n">
        <f aca="false">E262*F262</f>
        <v>135.85</v>
      </c>
      <c r="H262" s="93"/>
      <c r="I262" s="94"/>
      <c r="J262" s="95"/>
      <c r="K262" s="3"/>
      <c r="L262" s="91"/>
      <c r="M262" s="92" t="s">
        <v>538</v>
      </c>
      <c r="N262" s="84" t="s">
        <v>165</v>
      </c>
      <c r="O262" s="85" t="s">
        <v>56</v>
      </c>
      <c r="P262" s="86" t="n">
        <v>10.45</v>
      </c>
      <c r="Q262" s="86" t="n">
        <v>13</v>
      </c>
      <c r="R262" s="87" t="n">
        <f aca="false">P262*Q262</f>
        <v>135.85</v>
      </c>
      <c r="S262" s="93"/>
      <c r="T262" s="94"/>
      <c r="U262" s="95"/>
    </row>
    <row r="263" customFormat="false" ht="18.75" hidden="false" customHeight="true" outlineLevel="0" collapsed="false">
      <c r="A263" s="91"/>
      <c r="B263" s="92" t="s">
        <v>538</v>
      </c>
      <c r="C263" s="84" t="s">
        <v>490</v>
      </c>
      <c r="D263" s="85" t="s">
        <v>56</v>
      </c>
      <c r="E263" s="86" t="n">
        <v>4.18</v>
      </c>
      <c r="F263" s="86" t="n">
        <v>13</v>
      </c>
      <c r="G263" s="87" t="n">
        <f aca="false">E263*F263</f>
        <v>54.34</v>
      </c>
      <c r="H263" s="93"/>
      <c r="I263" s="94"/>
      <c r="J263" s="95"/>
      <c r="K263" s="3"/>
      <c r="L263" s="91"/>
      <c r="M263" s="92" t="s">
        <v>538</v>
      </c>
      <c r="N263" s="84" t="s">
        <v>490</v>
      </c>
      <c r="O263" s="85" t="s">
        <v>56</v>
      </c>
      <c r="P263" s="86" t="n">
        <v>4.18</v>
      </c>
      <c r="Q263" s="86" t="n">
        <v>13</v>
      </c>
      <c r="R263" s="87" t="n">
        <f aca="false">P263*Q263</f>
        <v>54.34</v>
      </c>
      <c r="S263" s="93"/>
      <c r="T263" s="94"/>
      <c r="U263" s="95"/>
    </row>
    <row r="264" customFormat="false" ht="18.75" hidden="false" customHeight="true" outlineLevel="0" collapsed="false">
      <c r="A264" s="91"/>
      <c r="B264" s="92" t="s">
        <v>538</v>
      </c>
      <c r="C264" s="84" t="s">
        <v>367</v>
      </c>
      <c r="D264" s="85" t="s">
        <v>56</v>
      </c>
      <c r="E264" s="86" t="n">
        <v>14.98</v>
      </c>
      <c r="F264" s="86" t="n">
        <v>13</v>
      </c>
      <c r="G264" s="87" t="n">
        <f aca="false">E264*F264</f>
        <v>194.74</v>
      </c>
      <c r="H264" s="93"/>
      <c r="I264" s="94"/>
      <c r="J264" s="95"/>
      <c r="K264" s="3"/>
      <c r="L264" s="91"/>
      <c r="M264" s="92" t="s">
        <v>538</v>
      </c>
      <c r="N264" s="84" t="s">
        <v>367</v>
      </c>
      <c r="O264" s="85" t="s">
        <v>56</v>
      </c>
      <c r="P264" s="86" t="n">
        <v>14.98</v>
      </c>
      <c r="Q264" s="86" t="n">
        <v>13</v>
      </c>
      <c r="R264" s="87" t="n">
        <f aca="false">P264*Q264</f>
        <v>194.74</v>
      </c>
      <c r="S264" s="93"/>
      <c r="T264" s="94"/>
      <c r="U264" s="95"/>
    </row>
    <row r="265" customFormat="false" ht="18.75" hidden="false" customHeight="true" outlineLevel="0" collapsed="false">
      <c r="A265" s="91"/>
      <c r="B265" s="92" t="s">
        <v>538</v>
      </c>
      <c r="C265" s="84" t="s">
        <v>470</v>
      </c>
      <c r="D265" s="85" t="s">
        <v>56</v>
      </c>
      <c r="E265" s="86" t="n">
        <v>13.82</v>
      </c>
      <c r="F265" s="86" t="n">
        <v>13</v>
      </c>
      <c r="G265" s="87" t="n">
        <f aca="false">E265*F265</f>
        <v>179.66</v>
      </c>
      <c r="H265" s="93"/>
      <c r="I265" s="94"/>
      <c r="J265" s="95"/>
      <c r="K265" s="3"/>
      <c r="L265" s="91"/>
      <c r="M265" s="92" t="s">
        <v>538</v>
      </c>
      <c r="N265" s="84" t="s">
        <v>470</v>
      </c>
      <c r="O265" s="85" t="s">
        <v>56</v>
      </c>
      <c r="P265" s="86" t="n">
        <v>13.82</v>
      </c>
      <c r="Q265" s="86" t="n">
        <v>13</v>
      </c>
      <c r="R265" s="87" t="n">
        <f aca="false">P265*Q265</f>
        <v>179.66</v>
      </c>
      <c r="S265" s="93"/>
      <c r="T265" s="94"/>
      <c r="U265" s="95"/>
    </row>
    <row r="266" customFormat="false" ht="18.75" hidden="false" customHeight="true" outlineLevel="0" collapsed="false">
      <c r="A266" s="91"/>
      <c r="B266" s="92" t="s">
        <v>538</v>
      </c>
      <c r="C266" s="84" t="s">
        <v>524</v>
      </c>
      <c r="D266" s="85" t="s">
        <v>56</v>
      </c>
      <c r="E266" s="86" t="n">
        <v>18.2</v>
      </c>
      <c r="F266" s="86" t="n">
        <v>13</v>
      </c>
      <c r="G266" s="87" t="n">
        <f aca="false">E266*F266</f>
        <v>236.6</v>
      </c>
      <c r="H266" s="93"/>
      <c r="I266" s="94"/>
      <c r="J266" s="95"/>
      <c r="K266" s="3"/>
      <c r="L266" s="91"/>
      <c r="M266" s="92" t="s">
        <v>538</v>
      </c>
      <c r="N266" s="84" t="s">
        <v>524</v>
      </c>
      <c r="O266" s="85" t="s">
        <v>56</v>
      </c>
      <c r="P266" s="86" t="n">
        <v>18.2</v>
      </c>
      <c r="Q266" s="86" t="n">
        <v>13</v>
      </c>
      <c r="R266" s="87" t="n">
        <f aca="false">P266*Q266</f>
        <v>236.6</v>
      </c>
      <c r="S266" s="93"/>
      <c r="T266" s="94"/>
      <c r="U266" s="95"/>
    </row>
    <row r="267" customFormat="false" ht="18.75" hidden="false" customHeight="true" outlineLevel="0" collapsed="false">
      <c r="A267" s="91"/>
      <c r="B267" s="92" t="s">
        <v>538</v>
      </c>
      <c r="C267" s="84" t="s">
        <v>160</v>
      </c>
      <c r="D267" s="85" t="s">
        <v>56</v>
      </c>
      <c r="E267" s="86" t="n">
        <v>15.75</v>
      </c>
      <c r="F267" s="86" t="n">
        <v>13</v>
      </c>
      <c r="G267" s="87" t="n">
        <f aca="false">E267*F267</f>
        <v>204.75</v>
      </c>
      <c r="H267" s="93"/>
      <c r="I267" s="94"/>
      <c r="J267" s="95"/>
      <c r="K267" s="3"/>
      <c r="L267" s="91"/>
      <c r="M267" s="92" t="s">
        <v>538</v>
      </c>
      <c r="N267" s="84" t="s">
        <v>160</v>
      </c>
      <c r="O267" s="85" t="s">
        <v>56</v>
      </c>
      <c r="P267" s="86" t="n">
        <v>15.75</v>
      </c>
      <c r="Q267" s="86" t="n">
        <v>13</v>
      </c>
      <c r="R267" s="87" t="n">
        <f aca="false">P267*Q267</f>
        <v>204.75</v>
      </c>
      <c r="S267" s="93"/>
      <c r="T267" s="94"/>
      <c r="U267" s="95"/>
    </row>
    <row r="268" customFormat="false" ht="18.75" hidden="false" customHeight="true" outlineLevel="0" collapsed="false">
      <c r="A268" s="91"/>
      <c r="B268" s="92" t="s">
        <v>538</v>
      </c>
      <c r="C268" s="84" t="s">
        <v>359</v>
      </c>
      <c r="D268" s="85" t="s">
        <v>56</v>
      </c>
      <c r="E268" s="86" t="n">
        <v>14</v>
      </c>
      <c r="F268" s="86" t="n">
        <v>18</v>
      </c>
      <c r="G268" s="87" t="n">
        <f aca="false">E268*F268</f>
        <v>252</v>
      </c>
      <c r="H268" s="93"/>
      <c r="I268" s="94"/>
      <c r="J268" s="95"/>
      <c r="K268" s="3"/>
      <c r="L268" s="91"/>
      <c r="M268" s="92" t="s">
        <v>538</v>
      </c>
      <c r="N268" s="84" t="s">
        <v>359</v>
      </c>
      <c r="O268" s="85" t="s">
        <v>56</v>
      </c>
      <c r="P268" s="86" t="n">
        <v>14</v>
      </c>
      <c r="Q268" s="86" t="n">
        <v>18</v>
      </c>
      <c r="R268" s="87" t="n">
        <f aca="false">P268*Q268</f>
        <v>252</v>
      </c>
      <c r="S268" s="93"/>
      <c r="T268" s="94"/>
      <c r="U268" s="95"/>
    </row>
    <row r="269" customFormat="false" ht="18.75" hidden="false" customHeight="true" outlineLevel="0" collapsed="false">
      <c r="A269" s="104"/>
      <c r="B269" s="105" t="s">
        <v>538</v>
      </c>
      <c r="C269" s="97" t="s">
        <v>91</v>
      </c>
      <c r="D269" s="98" t="s">
        <v>55</v>
      </c>
      <c r="E269" s="99" t="n">
        <v>9</v>
      </c>
      <c r="F269" s="99" t="n">
        <v>17</v>
      </c>
      <c r="G269" s="100" t="n">
        <f aca="false">E269*F269</f>
        <v>153</v>
      </c>
      <c r="H269" s="106"/>
      <c r="I269" s="107"/>
      <c r="J269" s="108"/>
      <c r="K269" s="3"/>
      <c r="L269" s="104"/>
      <c r="M269" s="105" t="s">
        <v>538</v>
      </c>
      <c r="N269" s="97" t="s">
        <v>91</v>
      </c>
      <c r="O269" s="98" t="s">
        <v>55</v>
      </c>
      <c r="P269" s="101"/>
      <c r="Q269" s="101"/>
      <c r="R269" s="102" t="n">
        <v>0</v>
      </c>
      <c r="S269" s="106"/>
      <c r="T269" s="107"/>
      <c r="U269" s="108"/>
    </row>
    <row r="270" customFormat="false" ht="18.75" hidden="false" customHeight="true" outlineLevel="0" collapsed="false">
      <c r="A270" s="91"/>
      <c r="B270" s="92" t="s">
        <v>538</v>
      </c>
      <c r="C270" s="84" t="s">
        <v>151</v>
      </c>
      <c r="D270" s="85" t="s">
        <v>56</v>
      </c>
      <c r="E270" s="86" t="n">
        <v>7.09</v>
      </c>
      <c r="F270" s="86" t="n">
        <v>13</v>
      </c>
      <c r="G270" s="87" t="n">
        <f aca="false">E270*F270</f>
        <v>92.17</v>
      </c>
      <c r="H270" s="93"/>
      <c r="I270" s="94"/>
      <c r="J270" s="95"/>
      <c r="K270" s="3"/>
      <c r="L270" s="91"/>
      <c r="M270" s="92" t="s">
        <v>538</v>
      </c>
      <c r="N270" s="84" t="s">
        <v>151</v>
      </c>
      <c r="O270" s="85" t="s">
        <v>56</v>
      </c>
      <c r="P270" s="86" t="n">
        <v>7.09</v>
      </c>
      <c r="Q270" s="86" t="n">
        <v>13</v>
      </c>
      <c r="R270" s="87" t="n">
        <f aca="false">P270*Q270</f>
        <v>92.17</v>
      </c>
      <c r="S270" s="93"/>
      <c r="T270" s="94"/>
      <c r="U270" s="95"/>
    </row>
    <row r="271" customFormat="false" ht="18.75" hidden="false" customHeight="true" outlineLevel="0" collapsed="false">
      <c r="A271" s="91"/>
      <c r="B271" s="92" t="s">
        <v>538</v>
      </c>
      <c r="C271" s="84" t="s">
        <v>420</v>
      </c>
      <c r="D271" s="85" t="s">
        <v>56</v>
      </c>
      <c r="E271" s="86" t="n">
        <v>12.55</v>
      </c>
      <c r="F271" s="86" t="n">
        <v>13</v>
      </c>
      <c r="G271" s="87" t="n">
        <f aca="false">E271*F271</f>
        <v>163.15</v>
      </c>
      <c r="H271" s="93"/>
      <c r="I271" s="94"/>
      <c r="J271" s="95"/>
      <c r="K271" s="3"/>
      <c r="L271" s="91"/>
      <c r="M271" s="92" t="s">
        <v>538</v>
      </c>
      <c r="N271" s="84" t="s">
        <v>420</v>
      </c>
      <c r="O271" s="85" t="s">
        <v>56</v>
      </c>
      <c r="P271" s="86" t="n">
        <v>12.55</v>
      </c>
      <c r="Q271" s="86" t="n">
        <v>13</v>
      </c>
      <c r="R271" s="87" t="n">
        <f aca="false">P271*Q271</f>
        <v>163.15</v>
      </c>
      <c r="S271" s="93"/>
      <c r="T271" s="94"/>
      <c r="U271" s="95"/>
    </row>
    <row r="272" customFormat="false" ht="18.75" hidden="false" customHeight="true" outlineLevel="0" collapsed="false">
      <c r="A272" s="91"/>
      <c r="B272" s="92" t="s">
        <v>538</v>
      </c>
      <c r="C272" s="84" t="s">
        <v>137</v>
      </c>
      <c r="D272" s="85" t="s">
        <v>56</v>
      </c>
      <c r="E272" s="86" t="n">
        <v>15.02</v>
      </c>
      <c r="F272" s="86" t="n">
        <v>13</v>
      </c>
      <c r="G272" s="87" t="n">
        <f aca="false">E272*F272</f>
        <v>195.26</v>
      </c>
      <c r="H272" s="93"/>
      <c r="I272" s="94"/>
      <c r="J272" s="95"/>
      <c r="K272" s="3"/>
      <c r="L272" s="91"/>
      <c r="M272" s="92" t="s">
        <v>538</v>
      </c>
      <c r="N272" s="84" t="s">
        <v>137</v>
      </c>
      <c r="O272" s="85" t="s">
        <v>56</v>
      </c>
      <c r="P272" s="86" t="n">
        <v>15.02</v>
      </c>
      <c r="Q272" s="86" t="n">
        <v>13</v>
      </c>
      <c r="R272" s="87" t="n">
        <f aca="false">P272*Q272</f>
        <v>195.26</v>
      </c>
      <c r="S272" s="93"/>
      <c r="T272" s="94"/>
      <c r="U272" s="95"/>
    </row>
    <row r="273" customFormat="false" ht="18.75" hidden="false" customHeight="true" outlineLevel="0" collapsed="false">
      <c r="A273" s="82" t="s">
        <v>29</v>
      </c>
      <c r="B273" s="83" t="s">
        <v>539</v>
      </c>
      <c r="C273" s="84" t="s">
        <v>540</v>
      </c>
      <c r="D273" s="85" t="s">
        <v>56</v>
      </c>
      <c r="E273" s="86" t="n">
        <v>3</v>
      </c>
      <c r="F273" s="86" t="n">
        <v>13</v>
      </c>
      <c r="G273" s="87" t="n">
        <f aca="false">E273*F273</f>
        <v>39</v>
      </c>
      <c r="H273" s="88" t="n">
        <f aca="false">SUMIF(B:B,B273,G:G)</f>
        <v>39</v>
      </c>
      <c r="I273" s="89" t="n">
        <v>712.5</v>
      </c>
      <c r="J273" s="90" t="n">
        <f aca="false">IFERROR((I273-H273)/I273,"")</f>
        <v>0.945263157894737</v>
      </c>
      <c r="K273" s="3"/>
      <c r="L273" s="82" t="s">
        <v>29</v>
      </c>
      <c r="M273" s="83" t="s">
        <v>539</v>
      </c>
      <c r="N273" s="84" t="s">
        <v>540</v>
      </c>
      <c r="O273" s="85" t="s">
        <v>56</v>
      </c>
      <c r="P273" s="86" t="n">
        <v>3</v>
      </c>
      <c r="Q273" s="86" t="n">
        <v>13</v>
      </c>
      <c r="R273" s="87" t="n">
        <f aca="false">P273*Q273</f>
        <v>39</v>
      </c>
      <c r="S273" s="88" t="n">
        <f aca="false">SUMIF(M:M,M273,R:R)</f>
        <v>39</v>
      </c>
      <c r="T273" s="89" t="n">
        <f aca="false">I273</f>
        <v>712.5</v>
      </c>
      <c r="U273" s="90" t="n">
        <f aca="false">IFERROR((T273-S273)/T273,"")</f>
        <v>0.945263157894737</v>
      </c>
    </row>
    <row r="274" customFormat="false" ht="18.75" hidden="false" customHeight="true" outlineLevel="0" collapsed="false">
      <c r="A274" s="91"/>
      <c r="B274" s="92" t="s">
        <v>539</v>
      </c>
      <c r="C274" s="84" t="s">
        <v>541</v>
      </c>
      <c r="D274" s="96" t="s">
        <v>57</v>
      </c>
      <c r="E274" s="91"/>
      <c r="F274" s="91"/>
      <c r="G274" s="87"/>
      <c r="H274" s="93"/>
      <c r="I274" s="94"/>
      <c r="J274" s="95"/>
      <c r="K274" s="3"/>
      <c r="L274" s="91"/>
      <c r="M274" s="92" t="s">
        <v>539</v>
      </c>
      <c r="N274" s="84" t="s">
        <v>541</v>
      </c>
      <c r="O274" s="96" t="s">
        <v>57</v>
      </c>
      <c r="P274" s="91"/>
      <c r="Q274" s="91"/>
      <c r="R274" s="120"/>
      <c r="S274" s="93"/>
      <c r="T274" s="94"/>
      <c r="U274" s="95"/>
    </row>
    <row r="275" customFormat="false" ht="18.75" hidden="false" customHeight="true" outlineLevel="0" collapsed="false">
      <c r="A275" s="82" t="s">
        <v>29</v>
      </c>
      <c r="B275" s="83" t="s">
        <v>542</v>
      </c>
      <c r="C275" s="84" t="s">
        <v>540</v>
      </c>
      <c r="D275" s="85" t="s">
        <v>56</v>
      </c>
      <c r="E275" s="86" t="n">
        <v>3.71</v>
      </c>
      <c r="F275" s="86" t="n">
        <v>13</v>
      </c>
      <c r="G275" s="87" t="n">
        <f aca="false">E275*F275</f>
        <v>48.23</v>
      </c>
      <c r="H275" s="88" t="n">
        <f aca="false">SUMIF(B:B,B275,G:G)</f>
        <v>48.23</v>
      </c>
      <c r="I275" s="89" t="n">
        <v>484.5</v>
      </c>
      <c r="J275" s="90" t="n">
        <f aca="false">IFERROR((I275-H275)/I275,"")</f>
        <v>0.900454076367389</v>
      </c>
      <c r="K275" s="3"/>
      <c r="L275" s="82" t="s">
        <v>29</v>
      </c>
      <c r="M275" s="83" t="s">
        <v>542</v>
      </c>
      <c r="N275" s="84" t="s">
        <v>540</v>
      </c>
      <c r="O275" s="85" t="s">
        <v>56</v>
      </c>
      <c r="P275" s="86" t="n">
        <v>3.71</v>
      </c>
      <c r="Q275" s="86" t="n">
        <v>13</v>
      </c>
      <c r="R275" s="87" t="n">
        <f aca="false">P275*Q275</f>
        <v>48.23</v>
      </c>
      <c r="S275" s="88" t="n">
        <f aca="false">SUMIF(M:M,M275,R:R)</f>
        <v>48.23</v>
      </c>
      <c r="T275" s="89" t="n">
        <f aca="false">I275</f>
        <v>484.5</v>
      </c>
      <c r="U275" s="90" t="n">
        <f aca="false">IFERROR((T275-S275)/T275,"")</f>
        <v>0.900454076367389</v>
      </c>
    </row>
    <row r="276" customFormat="false" ht="18.75" hidden="false" customHeight="true" outlineLevel="0" collapsed="false">
      <c r="A276" s="82" t="s">
        <v>29</v>
      </c>
      <c r="B276" s="83" t="s">
        <v>543</v>
      </c>
      <c r="C276" s="84" t="s">
        <v>490</v>
      </c>
      <c r="D276" s="85" t="s">
        <v>56</v>
      </c>
      <c r="E276" s="86" t="n">
        <v>5.84</v>
      </c>
      <c r="F276" s="86" t="n">
        <v>13</v>
      </c>
      <c r="G276" s="87" t="n">
        <f aca="false">E276*F276</f>
        <v>75.92</v>
      </c>
      <c r="H276" s="88" t="n">
        <f aca="false">SUMIF(B:B,B276,G:G)</f>
        <v>75.92</v>
      </c>
      <c r="I276" s="89" t="n">
        <v>712.5</v>
      </c>
      <c r="J276" s="90" t="n">
        <f aca="false">IFERROR((I276-H276)/I276,"")</f>
        <v>0.893445614035088</v>
      </c>
      <c r="K276" s="3"/>
      <c r="L276" s="82" t="s">
        <v>29</v>
      </c>
      <c r="M276" s="83" t="s">
        <v>543</v>
      </c>
      <c r="N276" s="84" t="s">
        <v>490</v>
      </c>
      <c r="O276" s="85" t="s">
        <v>56</v>
      </c>
      <c r="P276" s="86" t="n">
        <v>5.84</v>
      </c>
      <c r="Q276" s="86" t="n">
        <v>13</v>
      </c>
      <c r="R276" s="87" t="n">
        <f aca="false">P276*Q276</f>
        <v>75.92</v>
      </c>
      <c r="S276" s="88" t="n">
        <f aca="false">SUMIF(M:M,M276,R:R)</f>
        <v>75.92</v>
      </c>
      <c r="T276" s="89" t="n">
        <f aca="false">I276</f>
        <v>712.5</v>
      </c>
      <c r="U276" s="90" t="n">
        <f aca="false">IFERROR((T276-S276)/T276,"")</f>
        <v>0.893445614035088</v>
      </c>
    </row>
    <row r="277" customFormat="false" ht="18.75" hidden="false" customHeight="true" outlineLevel="0" collapsed="false">
      <c r="A277" s="82" t="s">
        <v>31</v>
      </c>
      <c r="B277" s="83" t="s">
        <v>544</v>
      </c>
      <c r="C277" s="84" t="s">
        <v>455</v>
      </c>
      <c r="D277" s="85" t="s">
        <v>56</v>
      </c>
      <c r="E277" s="86" t="n">
        <v>7.1</v>
      </c>
      <c r="F277" s="86" t="n">
        <v>13</v>
      </c>
      <c r="G277" s="87" t="n">
        <f aca="false">E277*F277</f>
        <v>92.3</v>
      </c>
      <c r="H277" s="88" t="n">
        <f aca="false">SUMIF(B:B,B277,G:G)</f>
        <v>352.14</v>
      </c>
      <c r="I277" s="89" t="n">
        <v>1495.5</v>
      </c>
      <c r="J277" s="90" t="n">
        <f aca="false">IFERROR((I277-H277)/I277,"")</f>
        <v>0.764533600802407</v>
      </c>
      <c r="K277" s="3"/>
      <c r="L277" s="82" t="s">
        <v>31</v>
      </c>
      <c r="M277" s="83" t="s">
        <v>544</v>
      </c>
      <c r="N277" s="84" t="s">
        <v>455</v>
      </c>
      <c r="O277" s="85" t="s">
        <v>56</v>
      </c>
      <c r="P277" s="86" t="n">
        <v>7.1</v>
      </c>
      <c r="Q277" s="86" t="n">
        <v>13</v>
      </c>
      <c r="R277" s="87" t="n">
        <f aca="false">P277*Q277</f>
        <v>92.3</v>
      </c>
      <c r="S277" s="88" t="n">
        <f aca="false">SUMIF(M:M,M277,R:R)</f>
        <v>224.64</v>
      </c>
      <c r="T277" s="89" t="n">
        <f aca="false">I277</f>
        <v>1495.5</v>
      </c>
      <c r="U277" s="90" t="n">
        <f aca="false">IFERROR((T277-S277)/T277,"")</f>
        <v>0.849789368104313</v>
      </c>
    </row>
    <row r="278" customFormat="false" ht="18.75" hidden="false" customHeight="true" outlineLevel="0" collapsed="false">
      <c r="A278" s="91"/>
      <c r="B278" s="92" t="s">
        <v>544</v>
      </c>
      <c r="C278" s="84" t="s">
        <v>137</v>
      </c>
      <c r="D278" s="85" t="s">
        <v>56</v>
      </c>
      <c r="E278" s="86" t="n">
        <v>5.9</v>
      </c>
      <c r="F278" s="86" t="n">
        <v>13</v>
      </c>
      <c r="G278" s="87" t="n">
        <f aca="false">E278*F278</f>
        <v>76.7</v>
      </c>
      <c r="H278" s="93"/>
      <c r="I278" s="94"/>
      <c r="J278" s="95"/>
      <c r="K278" s="3"/>
      <c r="L278" s="91"/>
      <c r="M278" s="92" t="s">
        <v>544</v>
      </c>
      <c r="N278" s="84" t="s">
        <v>137</v>
      </c>
      <c r="O278" s="85" t="s">
        <v>56</v>
      </c>
      <c r="P278" s="86" t="n">
        <v>5.9</v>
      </c>
      <c r="Q278" s="86" t="n">
        <v>13</v>
      </c>
      <c r="R278" s="87" t="n">
        <f aca="false">P278*Q278</f>
        <v>76.7</v>
      </c>
      <c r="S278" s="93"/>
      <c r="T278" s="94"/>
      <c r="U278" s="95"/>
    </row>
    <row r="279" customFormat="false" ht="18.75" hidden="false" customHeight="true" outlineLevel="0" collapsed="false">
      <c r="A279" s="91"/>
      <c r="B279" s="92" t="s">
        <v>544</v>
      </c>
      <c r="C279" s="84" t="s">
        <v>420</v>
      </c>
      <c r="D279" s="85" t="s">
        <v>56</v>
      </c>
      <c r="E279" s="86" t="n">
        <v>4.28</v>
      </c>
      <c r="F279" s="86" t="n">
        <v>13</v>
      </c>
      <c r="G279" s="87" t="n">
        <f aca="false">E279*F279</f>
        <v>55.64</v>
      </c>
      <c r="H279" s="93"/>
      <c r="I279" s="94"/>
      <c r="J279" s="95"/>
      <c r="K279" s="3"/>
      <c r="L279" s="91"/>
      <c r="M279" s="92" t="s">
        <v>544</v>
      </c>
      <c r="N279" s="84" t="s">
        <v>420</v>
      </c>
      <c r="O279" s="85" t="s">
        <v>56</v>
      </c>
      <c r="P279" s="86" t="n">
        <v>4.28</v>
      </c>
      <c r="Q279" s="86" t="n">
        <v>13</v>
      </c>
      <c r="R279" s="87" t="n">
        <f aca="false">P279*Q279</f>
        <v>55.64</v>
      </c>
      <c r="S279" s="93"/>
      <c r="T279" s="94"/>
      <c r="U279" s="95"/>
    </row>
    <row r="280" customFormat="false" ht="18.75" hidden="false" customHeight="true" outlineLevel="0" collapsed="false">
      <c r="A280" s="104"/>
      <c r="B280" s="105" t="s">
        <v>544</v>
      </c>
      <c r="C280" s="97" t="s">
        <v>91</v>
      </c>
      <c r="D280" s="98" t="s">
        <v>55</v>
      </c>
      <c r="E280" s="99" t="n">
        <v>7.5</v>
      </c>
      <c r="F280" s="99" t="n">
        <v>17</v>
      </c>
      <c r="G280" s="100" t="n">
        <f aca="false">E280*F280</f>
        <v>127.5</v>
      </c>
      <c r="H280" s="106"/>
      <c r="I280" s="107"/>
      <c r="J280" s="108"/>
      <c r="K280" s="3"/>
      <c r="L280" s="104"/>
      <c r="M280" s="105" t="s">
        <v>544</v>
      </c>
      <c r="N280" s="97" t="s">
        <v>91</v>
      </c>
      <c r="O280" s="98" t="s">
        <v>55</v>
      </c>
      <c r="P280" s="101"/>
      <c r="Q280" s="101"/>
      <c r="R280" s="102" t="n">
        <v>0</v>
      </c>
      <c r="S280" s="106"/>
      <c r="T280" s="107"/>
      <c r="U280" s="108"/>
    </row>
    <row r="281" customFormat="false" ht="18.75" hidden="false" customHeight="true" outlineLevel="0" collapsed="false">
      <c r="A281" s="82" t="s">
        <v>31</v>
      </c>
      <c r="B281" s="83" t="s">
        <v>545</v>
      </c>
      <c r="C281" s="84" t="s">
        <v>546</v>
      </c>
      <c r="D281" s="85" t="s">
        <v>56</v>
      </c>
      <c r="E281" s="86" t="n">
        <v>2.12</v>
      </c>
      <c r="F281" s="86" t="n">
        <v>13</v>
      </c>
      <c r="G281" s="87" t="n">
        <f aca="false">E281*F281</f>
        <v>27.56</v>
      </c>
      <c r="H281" s="88" t="n">
        <f aca="false">SUMIF(B:B,B281,G:G)</f>
        <v>27.56</v>
      </c>
      <c r="I281" s="89" t="n">
        <v>484.5</v>
      </c>
      <c r="J281" s="90" t="n">
        <f aca="false">IFERROR((I281-H281)/I281,"")</f>
        <v>0.943116615067079</v>
      </c>
      <c r="K281" s="3"/>
      <c r="L281" s="82" t="s">
        <v>31</v>
      </c>
      <c r="M281" s="83" t="s">
        <v>545</v>
      </c>
      <c r="N281" s="84" t="s">
        <v>546</v>
      </c>
      <c r="O281" s="85" t="s">
        <v>56</v>
      </c>
      <c r="P281" s="86" t="n">
        <v>2.12</v>
      </c>
      <c r="Q281" s="86" t="n">
        <v>13</v>
      </c>
      <c r="R281" s="87" t="n">
        <f aca="false">P281*Q281</f>
        <v>27.56</v>
      </c>
      <c r="S281" s="88" t="n">
        <f aca="false">SUMIF(M:M,M281,R:R)</f>
        <v>27.56</v>
      </c>
      <c r="T281" s="89" t="n">
        <f aca="false">I281</f>
        <v>484.5</v>
      </c>
      <c r="U281" s="90" t="n">
        <f aca="false">IFERROR((T281-S281)/T281,"")</f>
        <v>0.943116615067079</v>
      </c>
    </row>
    <row r="282" customFormat="false" ht="18.75" hidden="false" customHeight="true" outlineLevel="0" collapsed="false">
      <c r="A282" s="82" t="s">
        <v>31</v>
      </c>
      <c r="B282" s="83" t="s">
        <v>547</v>
      </c>
      <c r="C282" s="84" t="s">
        <v>455</v>
      </c>
      <c r="D282" s="85" t="s">
        <v>56</v>
      </c>
      <c r="E282" s="86" t="n">
        <v>18.57</v>
      </c>
      <c r="F282" s="86" t="n">
        <v>13</v>
      </c>
      <c r="G282" s="87" t="n">
        <f aca="false">E282*F282</f>
        <v>241.41</v>
      </c>
      <c r="H282" s="88" t="n">
        <f aca="false">SUMIF(B:B,B282,G:G)</f>
        <v>2718.2</v>
      </c>
      <c r="I282" s="89" t="n">
        <v>2427</v>
      </c>
      <c r="J282" s="90" t="n">
        <f aca="false">IFERROR((I282-H282)/I282,"")</f>
        <v>-0.119983518747425</v>
      </c>
      <c r="K282" s="3"/>
      <c r="L282" s="82" t="s">
        <v>31</v>
      </c>
      <c r="M282" s="83" t="s">
        <v>547</v>
      </c>
      <c r="N282" s="84" t="s">
        <v>455</v>
      </c>
      <c r="O282" s="85" t="s">
        <v>56</v>
      </c>
      <c r="P282" s="86" t="n">
        <v>18.57</v>
      </c>
      <c r="Q282" s="86" t="n">
        <v>13</v>
      </c>
      <c r="R282" s="87" t="n">
        <f aca="false">P282*Q282</f>
        <v>241.41</v>
      </c>
      <c r="S282" s="88" t="n">
        <f aca="false">SUMIF(M:M,M282,R:R)</f>
        <v>2297</v>
      </c>
      <c r="T282" s="89" t="n">
        <f aca="false">I282</f>
        <v>2427</v>
      </c>
      <c r="U282" s="90" t="n">
        <f aca="false">IFERROR((T282-S282)/T282,"")</f>
        <v>0.0535640708693861</v>
      </c>
    </row>
    <row r="283" customFormat="false" ht="18.75" hidden="false" customHeight="true" outlineLevel="0" collapsed="false">
      <c r="A283" s="104"/>
      <c r="B283" s="105" t="s">
        <v>547</v>
      </c>
      <c r="C283" s="97" t="s">
        <v>91</v>
      </c>
      <c r="D283" s="98" t="s">
        <v>55</v>
      </c>
      <c r="E283" s="99" t="n">
        <v>23.6</v>
      </c>
      <c r="F283" s="99" t="n">
        <v>17</v>
      </c>
      <c r="G283" s="100" t="n">
        <f aca="false">E283*F283</f>
        <v>401.2</v>
      </c>
      <c r="H283" s="106"/>
      <c r="I283" s="107"/>
      <c r="J283" s="108"/>
      <c r="K283" s="3"/>
      <c r="L283" s="104"/>
      <c r="M283" s="105" t="s">
        <v>547</v>
      </c>
      <c r="N283" s="97" t="s">
        <v>91</v>
      </c>
      <c r="O283" s="98" t="s">
        <v>55</v>
      </c>
      <c r="P283" s="101"/>
      <c r="Q283" s="101"/>
      <c r="R283" s="102" t="n">
        <v>0</v>
      </c>
      <c r="S283" s="106"/>
      <c r="T283" s="107"/>
      <c r="U283" s="108"/>
    </row>
    <row r="284" customFormat="false" ht="18.75" hidden="false" customHeight="true" outlineLevel="0" collapsed="false">
      <c r="A284" s="91"/>
      <c r="B284" s="92" t="s">
        <v>547</v>
      </c>
      <c r="C284" s="84" t="s">
        <v>165</v>
      </c>
      <c r="D284" s="85" t="s">
        <v>56</v>
      </c>
      <c r="E284" s="86" t="n">
        <v>24.57</v>
      </c>
      <c r="F284" s="86" t="n">
        <v>13</v>
      </c>
      <c r="G284" s="87" t="n">
        <f aca="false">E284*F284</f>
        <v>319.41</v>
      </c>
      <c r="H284" s="93"/>
      <c r="I284" s="94"/>
      <c r="J284" s="95"/>
      <c r="K284" s="3"/>
      <c r="L284" s="91"/>
      <c r="M284" s="92" t="s">
        <v>547</v>
      </c>
      <c r="N284" s="84" t="s">
        <v>165</v>
      </c>
      <c r="O284" s="85" t="s">
        <v>56</v>
      </c>
      <c r="P284" s="86" t="n">
        <v>24.57</v>
      </c>
      <c r="Q284" s="86" t="n">
        <v>13</v>
      </c>
      <c r="R284" s="87" t="n">
        <f aca="false">P284*Q284</f>
        <v>319.41</v>
      </c>
      <c r="S284" s="93"/>
      <c r="T284" s="94"/>
      <c r="U284" s="95"/>
    </row>
    <row r="285" customFormat="false" ht="18.75" hidden="false" customHeight="true" outlineLevel="0" collapsed="false">
      <c r="A285" s="91"/>
      <c r="B285" s="92" t="s">
        <v>547</v>
      </c>
      <c r="C285" s="84" t="s">
        <v>490</v>
      </c>
      <c r="D285" s="85" t="s">
        <v>56</v>
      </c>
      <c r="E285" s="86" t="n">
        <v>9.92</v>
      </c>
      <c r="F285" s="86" t="n">
        <v>13</v>
      </c>
      <c r="G285" s="87" t="n">
        <f aca="false">E285*F285</f>
        <v>128.96</v>
      </c>
      <c r="H285" s="93"/>
      <c r="I285" s="94"/>
      <c r="J285" s="95"/>
      <c r="K285" s="3"/>
      <c r="L285" s="91"/>
      <c r="M285" s="92" t="s">
        <v>547</v>
      </c>
      <c r="N285" s="84" t="s">
        <v>490</v>
      </c>
      <c r="O285" s="85" t="s">
        <v>56</v>
      </c>
      <c r="P285" s="86" t="n">
        <v>9.92</v>
      </c>
      <c r="Q285" s="86" t="n">
        <v>13</v>
      </c>
      <c r="R285" s="87" t="n">
        <f aca="false">P285*Q285</f>
        <v>128.96</v>
      </c>
      <c r="S285" s="93"/>
      <c r="T285" s="94"/>
      <c r="U285" s="95"/>
    </row>
    <row r="286" customFormat="false" ht="18.75" hidden="false" customHeight="true" outlineLevel="0" collapsed="false">
      <c r="A286" s="91"/>
      <c r="B286" s="92" t="s">
        <v>547</v>
      </c>
      <c r="C286" s="84" t="s">
        <v>367</v>
      </c>
      <c r="D286" s="85" t="s">
        <v>56</v>
      </c>
      <c r="E286" s="86" t="n">
        <v>14</v>
      </c>
      <c r="F286" s="86" t="n">
        <v>13</v>
      </c>
      <c r="G286" s="87" t="n">
        <f aca="false">E286*F286</f>
        <v>182</v>
      </c>
      <c r="H286" s="93"/>
      <c r="I286" s="94"/>
      <c r="J286" s="95"/>
      <c r="K286" s="3"/>
      <c r="L286" s="91"/>
      <c r="M286" s="92" t="s">
        <v>547</v>
      </c>
      <c r="N286" s="84" t="s">
        <v>367</v>
      </c>
      <c r="O286" s="85" t="s">
        <v>56</v>
      </c>
      <c r="P286" s="86" t="n">
        <v>14</v>
      </c>
      <c r="Q286" s="86" t="n">
        <v>13</v>
      </c>
      <c r="R286" s="87" t="n">
        <f aca="false">P286*Q286</f>
        <v>182</v>
      </c>
      <c r="S286" s="93"/>
      <c r="T286" s="94"/>
      <c r="U286" s="95"/>
    </row>
    <row r="287" customFormat="false" ht="18.75" hidden="false" customHeight="true" outlineLevel="0" collapsed="false">
      <c r="A287" s="91"/>
      <c r="B287" s="92" t="s">
        <v>547</v>
      </c>
      <c r="C287" s="84" t="s">
        <v>546</v>
      </c>
      <c r="D287" s="85" t="s">
        <v>56</v>
      </c>
      <c r="E287" s="86" t="n">
        <v>13.7</v>
      </c>
      <c r="F287" s="86" t="n">
        <v>13</v>
      </c>
      <c r="G287" s="87" t="n">
        <f aca="false">E287*F287</f>
        <v>178.1</v>
      </c>
      <c r="H287" s="93"/>
      <c r="I287" s="94"/>
      <c r="J287" s="95"/>
      <c r="K287" s="3"/>
      <c r="L287" s="91"/>
      <c r="M287" s="92" t="s">
        <v>547</v>
      </c>
      <c r="N287" s="84" t="s">
        <v>546</v>
      </c>
      <c r="O287" s="85" t="s">
        <v>56</v>
      </c>
      <c r="P287" s="86" t="n">
        <v>13.7</v>
      </c>
      <c r="Q287" s="86" t="n">
        <v>13</v>
      </c>
      <c r="R287" s="87" t="n">
        <f aca="false">P287*Q287</f>
        <v>178.1</v>
      </c>
      <c r="S287" s="93"/>
      <c r="T287" s="94"/>
      <c r="U287" s="95"/>
    </row>
    <row r="288" customFormat="false" ht="18.75" hidden="false" customHeight="true" outlineLevel="0" collapsed="false">
      <c r="A288" s="91"/>
      <c r="B288" s="92" t="s">
        <v>547</v>
      </c>
      <c r="C288" s="84" t="s">
        <v>524</v>
      </c>
      <c r="D288" s="85" t="s">
        <v>56</v>
      </c>
      <c r="E288" s="86" t="n">
        <v>24.7</v>
      </c>
      <c r="F288" s="86" t="n">
        <v>13</v>
      </c>
      <c r="G288" s="87" t="n">
        <f aca="false">E288*F288</f>
        <v>321.1</v>
      </c>
      <c r="H288" s="93"/>
      <c r="I288" s="94"/>
      <c r="J288" s="95"/>
      <c r="K288" s="3"/>
      <c r="L288" s="91"/>
      <c r="M288" s="92" t="s">
        <v>547</v>
      </c>
      <c r="N288" s="84" t="s">
        <v>524</v>
      </c>
      <c r="O288" s="85" t="s">
        <v>56</v>
      </c>
      <c r="P288" s="86" t="n">
        <v>24.7</v>
      </c>
      <c r="Q288" s="86" t="n">
        <v>13</v>
      </c>
      <c r="R288" s="87" t="n">
        <f aca="false">P288*Q288</f>
        <v>321.1</v>
      </c>
      <c r="S288" s="93"/>
      <c r="T288" s="94"/>
      <c r="U288" s="95"/>
    </row>
    <row r="289" customFormat="false" ht="18.75" hidden="false" customHeight="true" outlineLevel="0" collapsed="false">
      <c r="A289" s="91"/>
      <c r="B289" s="92" t="s">
        <v>547</v>
      </c>
      <c r="C289" s="84" t="s">
        <v>160</v>
      </c>
      <c r="D289" s="85" t="s">
        <v>56</v>
      </c>
      <c r="E289" s="86" t="n">
        <v>18</v>
      </c>
      <c r="F289" s="86" t="n">
        <v>13</v>
      </c>
      <c r="G289" s="87" t="n">
        <f aca="false">E289*F289</f>
        <v>234</v>
      </c>
      <c r="H289" s="93"/>
      <c r="I289" s="94"/>
      <c r="J289" s="95"/>
      <c r="K289" s="3"/>
      <c r="L289" s="91"/>
      <c r="M289" s="92" t="s">
        <v>547</v>
      </c>
      <c r="N289" s="84" t="s">
        <v>160</v>
      </c>
      <c r="O289" s="85" t="s">
        <v>56</v>
      </c>
      <c r="P289" s="86" t="n">
        <v>18</v>
      </c>
      <c r="Q289" s="86" t="n">
        <v>13</v>
      </c>
      <c r="R289" s="87" t="n">
        <f aca="false">P289*Q289</f>
        <v>234</v>
      </c>
      <c r="S289" s="93"/>
      <c r="T289" s="94"/>
      <c r="U289" s="95"/>
    </row>
    <row r="290" customFormat="false" ht="18.75" hidden="false" customHeight="true" outlineLevel="0" collapsed="false">
      <c r="A290" s="91"/>
      <c r="B290" s="92" t="s">
        <v>547</v>
      </c>
      <c r="C290" s="84" t="s">
        <v>359</v>
      </c>
      <c r="D290" s="85" t="s">
        <v>56</v>
      </c>
      <c r="E290" s="86" t="n">
        <v>7</v>
      </c>
      <c r="F290" s="86" t="n">
        <v>18</v>
      </c>
      <c r="G290" s="87" t="n">
        <f aca="false">E290*F290</f>
        <v>126</v>
      </c>
      <c r="H290" s="93"/>
      <c r="I290" s="94"/>
      <c r="J290" s="95"/>
      <c r="K290" s="3"/>
      <c r="L290" s="91"/>
      <c r="M290" s="92" t="s">
        <v>547</v>
      </c>
      <c r="N290" s="84" t="s">
        <v>359</v>
      </c>
      <c r="O290" s="85" t="s">
        <v>56</v>
      </c>
      <c r="P290" s="86" t="n">
        <v>7</v>
      </c>
      <c r="Q290" s="86" t="n">
        <v>18</v>
      </c>
      <c r="R290" s="87" t="n">
        <f aca="false">P290*Q290</f>
        <v>126</v>
      </c>
      <c r="S290" s="93"/>
      <c r="T290" s="94"/>
      <c r="U290" s="95"/>
    </row>
    <row r="291" customFormat="false" ht="18.75" hidden="false" customHeight="true" outlineLevel="0" collapsed="false">
      <c r="A291" s="91"/>
      <c r="B291" s="92" t="s">
        <v>547</v>
      </c>
      <c r="C291" s="84" t="s">
        <v>548</v>
      </c>
      <c r="D291" s="85" t="s">
        <v>56</v>
      </c>
      <c r="E291" s="86" t="n">
        <v>14.37</v>
      </c>
      <c r="F291" s="86" t="n">
        <v>13</v>
      </c>
      <c r="G291" s="87" t="n">
        <f aca="false">E291*F291</f>
        <v>186.81</v>
      </c>
      <c r="H291" s="93"/>
      <c r="I291" s="94"/>
      <c r="J291" s="95"/>
      <c r="K291" s="3"/>
      <c r="L291" s="91"/>
      <c r="M291" s="92" t="s">
        <v>547</v>
      </c>
      <c r="N291" s="84" t="s">
        <v>548</v>
      </c>
      <c r="O291" s="85" t="s">
        <v>56</v>
      </c>
      <c r="P291" s="86" t="n">
        <v>14.37</v>
      </c>
      <c r="Q291" s="86" t="n">
        <v>13</v>
      </c>
      <c r="R291" s="87" t="n">
        <f aca="false">P291*Q291</f>
        <v>186.81</v>
      </c>
      <c r="S291" s="93"/>
      <c r="T291" s="94"/>
      <c r="U291" s="95"/>
    </row>
    <row r="292" customFormat="false" ht="18.75" hidden="false" customHeight="true" outlineLevel="0" collapsed="false">
      <c r="A292" s="91"/>
      <c r="B292" s="92" t="s">
        <v>547</v>
      </c>
      <c r="C292" s="84" t="s">
        <v>549</v>
      </c>
      <c r="D292" s="85" t="s">
        <v>56</v>
      </c>
      <c r="E292" s="86" t="n">
        <v>9.4</v>
      </c>
      <c r="F292" s="86" t="n">
        <v>13</v>
      </c>
      <c r="G292" s="87" t="n">
        <f aca="false">E292*F292</f>
        <v>122.2</v>
      </c>
      <c r="H292" s="93"/>
      <c r="I292" s="94"/>
      <c r="J292" s="95"/>
      <c r="K292" s="3"/>
      <c r="L292" s="91"/>
      <c r="M292" s="92" t="s">
        <v>547</v>
      </c>
      <c r="N292" s="84" t="s">
        <v>549</v>
      </c>
      <c r="O292" s="85" t="s">
        <v>56</v>
      </c>
      <c r="P292" s="86" t="n">
        <v>9.4</v>
      </c>
      <c r="Q292" s="86" t="n">
        <v>13</v>
      </c>
      <c r="R292" s="87" t="n">
        <f aca="false">P292*Q292</f>
        <v>122.2</v>
      </c>
      <c r="S292" s="93"/>
      <c r="T292" s="94"/>
      <c r="U292" s="95"/>
    </row>
    <row r="293" customFormat="false" ht="18.75" hidden="false" customHeight="true" outlineLevel="0" collapsed="false">
      <c r="A293" s="91"/>
      <c r="B293" s="92" t="s">
        <v>547</v>
      </c>
      <c r="C293" s="84" t="s">
        <v>137</v>
      </c>
      <c r="D293" s="85" t="s">
        <v>56</v>
      </c>
      <c r="E293" s="86" t="n">
        <v>19.77</v>
      </c>
      <c r="F293" s="86" t="n">
        <v>13</v>
      </c>
      <c r="G293" s="87" t="n">
        <f aca="false">E293*F293</f>
        <v>257.01</v>
      </c>
      <c r="H293" s="93"/>
      <c r="I293" s="94"/>
      <c r="J293" s="95"/>
      <c r="K293" s="3"/>
      <c r="L293" s="91"/>
      <c r="M293" s="92" t="s">
        <v>547</v>
      </c>
      <c r="N293" s="84" t="s">
        <v>137</v>
      </c>
      <c r="O293" s="85" t="s">
        <v>56</v>
      </c>
      <c r="P293" s="86" t="n">
        <v>19.77</v>
      </c>
      <c r="Q293" s="86" t="n">
        <v>13</v>
      </c>
      <c r="R293" s="87" t="n">
        <f aca="false">P293*Q293</f>
        <v>257.01</v>
      </c>
      <c r="S293" s="93"/>
      <c r="T293" s="94"/>
      <c r="U293" s="95"/>
    </row>
    <row r="294" customFormat="false" ht="18.75" hidden="false" customHeight="true" outlineLevel="0" collapsed="false">
      <c r="A294" s="104"/>
      <c r="B294" s="105" t="s">
        <v>547</v>
      </c>
      <c r="C294" s="97" t="s">
        <v>532</v>
      </c>
      <c r="D294" s="98" t="s">
        <v>55</v>
      </c>
      <c r="E294" s="104"/>
      <c r="F294" s="104"/>
      <c r="G294" s="100" t="n">
        <v>20</v>
      </c>
      <c r="H294" s="106"/>
      <c r="I294" s="107"/>
      <c r="J294" s="108"/>
      <c r="K294" s="3"/>
      <c r="L294" s="104"/>
      <c r="M294" s="105" t="s">
        <v>547</v>
      </c>
      <c r="N294" s="97" t="s">
        <v>532</v>
      </c>
      <c r="O294" s="98" t="s">
        <v>55</v>
      </c>
      <c r="P294" s="101"/>
      <c r="Q294" s="101"/>
      <c r="R294" s="102" t="n">
        <v>0</v>
      </c>
      <c r="S294" s="106"/>
      <c r="T294" s="107"/>
      <c r="U294" s="108"/>
    </row>
    <row r="295" customFormat="false" ht="18.75" hidden="false" customHeight="true" outlineLevel="0" collapsed="false">
      <c r="A295" s="82" t="s">
        <v>31</v>
      </c>
      <c r="B295" s="83" t="s">
        <v>550</v>
      </c>
      <c r="C295" s="84" t="s">
        <v>160</v>
      </c>
      <c r="D295" s="85" t="s">
        <v>56</v>
      </c>
      <c r="E295" s="86" t="n">
        <v>3</v>
      </c>
      <c r="F295" s="86" t="n">
        <v>13</v>
      </c>
      <c r="G295" s="87" t="n">
        <f aca="false">E295*F295</f>
        <v>39</v>
      </c>
      <c r="H295" s="88" t="n">
        <f aca="false">SUMIF(B:B,B295,G:G)</f>
        <v>39</v>
      </c>
      <c r="I295" s="89" t="n">
        <v>275.5</v>
      </c>
      <c r="J295" s="90" t="n">
        <f aca="false">IFERROR((I295-H295)/I295,"")</f>
        <v>0.858439201451906</v>
      </c>
      <c r="K295" s="3"/>
      <c r="L295" s="82" t="s">
        <v>31</v>
      </c>
      <c r="M295" s="83" t="s">
        <v>550</v>
      </c>
      <c r="N295" s="84" t="s">
        <v>160</v>
      </c>
      <c r="O295" s="85" t="s">
        <v>56</v>
      </c>
      <c r="P295" s="86" t="n">
        <v>3</v>
      </c>
      <c r="Q295" s="86" t="n">
        <v>13</v>
      </c>
      <c r="R295" s="87" t="n">
        <f aca="false">P295*Q295</f>
        <v>39</v>
      </c>
      <c r="S295" s="88" t="n">
        <f aca="false">SUMIF(M:M,M295,R:R)</f>
        <v>39</v>
      </c>
      <c r="T295" s="89" t="n">
        <f aca="false">I295</f>
        <v>275.5</v>
      </c>
      <c r="U295" s="90" t="n">
        <f aca="false">IFERROR((T295-S295)/T295,"")</f>
        <v>0.858439201451906</v>
      </c>
    </row>
    <row r="296" customFormat="false" ht="18.75" hidden="false" customHeight="true" outlineLevel="0" collapsed="false">
      <c r="A296" s="82" t="s">
        <v>33</v>
      </c>
      <c r="B296" s="83" t="s">
        <v>551</v>
      </c>
      <c r="C296" s="84" t="s">
        <v>455</v>
      </c>
      <c r="D296" s="85" t="s">
        <v>56</v>
      </c>
      <c r="E296" s="86" t="n">
        <v>17.87</v>
      </c>
      <c r="F296" s="86" t="n">
        <v>13</v>
      </c>
      <c r="G296" s="87" t="n">
        <f aca="false">E296*F296</f>
        <v>232.31</v>
      </c>
      <c r="H296" s="88" t="n">
        <f aca="false">SUMIF(B:B,B296,G:G)</f>
        <v>2392.46</v>
      </c>
      <c r="I296" s="89" t="n">
        <v>2427</v>
      </c>
      <c r="J296" s="90" t="n">
        <f aca="false">IFERROR((I296-H296)/I296,"")</f>
        <v>0.0142315615986815</v>
      </c>
      <c r="K296" s="3"/>
      <c r="L296" s="82" t="s">
        <v>33</v>
      </c>
      <c r="M296" s="83" t="s">
        <v>551</v>
      </c>
      <c r="N296" s="84" t="s">
        <v>455</v>
      </c>
      <c r="O296" s="85" t="s">
        <v>56</v>
      </c>
      <c r="P296" s="86" t="n">
        <v>17.87</v>
      </c>
      <c r="Q296" s="86" t="n">
        <v>13</v>
      </c>
      <c r="R296" s="87" t="n">
        <f aca="false">P296*Q296</f>
        <v>232.31</v>
      </c>
      <c r="S296" s="88" t="n">
        <f aca="false">SUMIF(M:M,M296,R:R)</f>
        <v>2056.46</v>
      </c>
      <c r="T296" s="89" t="n">
        <f aca="false">I296</f>
        <v>2427</v>
      </c>
      <c r="U296" s="90" t="n">
        <f aca="false">IFERROR((T296-S296)/T296,"")</f>
        <v>0.152674083230326</v>
      </c>
    </row>
    <row r="297" customFormat="false" ht="18.75" hidden="false" customHeight="true" outlineLevel="0" collapsed="false">
      <c r="A297" s="91"/>
      <c r="B297" s="92" t="s">
        <v>551</v>
      </c>
      <c r="C297" s="84" t="s">
        <v>164</v>
      </c>
      <c r="D297" s="85" t="s">
        <v>56</v>
      </c>
      <c r="E297" s="86" t="n">
        <v>14.37</v>
      </c>
      <c r="F297" s="86" t="n">
        <v>13</v>
      </c>
      <c r="G297" s="87" t="n">
        <f aca="false">E297*F297</f>
        <v>186.81</v>
      </c>
      <c r="H297" s="93"/>
      <c r="I297" s="94"/>
      <c r="J297" s="95"/>
      <c r="K297" s="3"/>
      <c r="L297" s="91"/>
      <c r="M297" s="92" t="s">
        <v>551</v>
      </c>
      <c r="N297" s="84" t="s">
        <v>164</v>
      </c>
      <c r="O297" s="85" t="s">
        <v>56</v>
      </c>
      <c r="P297" s="86" t="n">
        <v>14.37</v>
      </c>
      <c r="Q297" s="86" t="n">
        <v>13</v>
      </c>
      <c r="R297" s="87" t="n">
        <f aca="false">P297*Q297</f>
        <v>186.81</v>
      </c>
      <c r="S297" s="93"/>
      <c r="T297" s="94"/>
      <c r="U297" s="95"/>
    </row>
    <row r="298" customFormat="false" ht="18.75" hidden="false" customHeight="true" outlineLevel="0" collapsed="false">
      <c r="A298" s="104"/>
      <c r="B298" s="105" t="s">
        <v>551</v>
      </c>
      <c r="C298" s="97" t="s">
        <v>91</v>
      </c>
      <c r="D298" s="98" t="s">
        <v>55</v>
      </c>
      <c r="E298" s="99" t="n">
        <v>21</v>
      </c>
      <c r="F298" s="99" t="n">
        <v>16</v>
      </c>
      <c r="G298" s="100" t="n">
        <f aca="false">E298*F298</f>
        <v>336</v>
      </c>
      <c r="H298" s="106"/>
      <c r="I298" s="107"/>
      <c r="J298" s="108"/>
      <c r="K298" s="3"/>
      <c r="L298" s="104"/>
      <c r="M298" s="105" t="s">
        <v>551</v>
      </c>
      <c r="N298" s="97" t="s">
        <v>91</v>
      </c>
      <c r="O298" s="98" t="s">
        <v>55</v>
      </c>
      <c r="P298" s="101"/>
      <c r="Q298" s="101"/>
      <c r="R298" s="102" t="n">
        <v>0</v>
      </c>
      <c r="S298" s="106"/>
      <c r="T298" s="107"/>
      <c r="U298" s="108"/>
    </row>
    <row r="299" customFormat="false" ht="18.75" hidden="false" customHeight="true" outlineLevel="0" collapsed="false">
      <c r="A299" s="91"/>
      <c r="B299" s="92" t="s">
        <v>551</v>
      </c>
      <c r="C299" s="84" t="s">
        <v>490</v>
      </c>
      <c r="D299" s="85" t="s">
        <v>56</v>
      </c>
      <c r="E299" s="86" t="n">
        <v>7.84</v>
      </c>
      <c r="F299" s="86" t="n">
        <v>13</v>
      </c>
      <c r="G299" s="87" t="n">
        <f aca="false">E299*F299</f>
        <v>101.92</v>
      </c>
      <c r="H299" s="93"/>
      <c r="I299" s="94"/>
      <c r="J299" s="95"/>
      <c r="K299" s="3"/>
      <c r="L299" s="91"/>
      <c r="M299" s="92" t="s">
        <v>551</v>
      </c>
      <c r="N299" s="84" t="s">
        <v>490</v>
      </c>
      <c r="O299" s="85" t="s">
        <v>56</v>
      </c>
      <c r="P299" s="86" t="n">
        <v>7.84</v>
      </c>
      <c r="Q299" s="86" t="n">
        <v>13</v>
      </c>
      <c r="R299" s="87" t="n">
        <f aca="false">P299*Q299</f>
        <v>101.92</v>
      </c>
      <c r="S299" s="93"/>
      <c r="T299" s="94"/>
      <c r="U299" s="95"/>
    </row>
    <row r="300" customFormat="false" ht="18.75" hidden="false" customHeight="true" outlineLevel="0" collapsed="false">
      <c r="A300" s="91"/>
      <c r="B300" s="92" t="s">
        <v>551</v>
      </c>
      <c r="C300" s="84" t="s">
        <v>367</v>
      </c>
      <c r="D300" s="85" t="s">
        <v>56</v>
      </c>
      <c r="E300" s="86" t="n">
        <v>17.35</v>
      </c>
      <c r="F300" s="86" t="n">
        <v>13</v>
      </c>
      <c r="G300" s="87" t="n">
        <f aca="false">E300*F300</f>
        <v>225.55</v>
      </c>
      <c r="H300" s="93"/>
      <c r="I300" s="94"/>
      <c r="J300" s="95"/>
      <c r="K300" s="3"/>
      <c r="L300" s="91"/>
      <c r="M300" s="92" t="s">
        <v>551</v>
      </c>
      <c r="N300" s="84" t="s">
        <v>367</v>
      </c>
      <c r="O300" s="85" t="s">
        <v>56</v>
      </c>
      <c r="P300" s="86" t="n">
        <v>17.35</v>
      </c>
      <c r="Q300" s="86" t="n">
        <v>13</v>
      </c>
      <c r="R300" s="87" t="n">
        <f aca="false">P300*Q300</f>
        <v>225.55</v>
      </c>
      <c r="S300" s="93"/>
      <c r="T300" s="94"/>
      <c r="U300" s="95"/>
    </row>
    <row r="301" customFormat="false" ht="18.75" hidden="false" customHeight="true" outlineLevel="0" collapsed="false">
      <c r="A301" s="91"/>
      <c r="B301" s="92" t="s">
        <v>551</v>
      </c>
      <c r="C301" s="84" t="s">
        <v>552</v>
      </c>
      <c r="D301" s="85" t="s">
        <v>56</v>
      </c>
      <c r="E301" s="86" t="n">
        <v>16.75</v>
      </c>
      <c r="F301" s="86" t="n">
        <v>13</v>
      </c>
      <c r="G301" s="87" t="n">
        <f aca="false">E301*F301</f>
        <v>217.75</v>
      </c>
      <c r="H301" s="93"/>
      <c r="I301" s="94"/>
      <c r="J301" s="95"/>
      <c r="K301" s="3"/>
      <c r="L301" s="91"/>
      <c r="M301" s="92" t="s">
        <v>551</v>
      </c>
      <c r="N301" s="84" t="s">
        <v>552</v>
      </c>
      <c r="O301" s="85" t="s">
        <v>56</v>
      </c>
      <c r="P301" s="86" t="n">
        <v>16.75</v>
      </c>
      <c r="Q301" s="86" t="n">
        <v>13</v>
      </c>
      <c r="R301" s="87" t="n">
        <f aca="false">P301*Q301</f>
        <v>217.75</v>
      </c>
      <c r="S301" s="93"/>
      <c r="T301" s="94"/>
      <c r="U301" s="95"/>
    </row>
    <row r="302" customFormat="false" ht="18.75" hidden="false" customHeight="true" outlineLevel="0" collapsed="false">
      <c r="A302" s="91"/>
      <c r="B302" s="92" t="s">
        <v>551</v>
      </c>
      <c r="C302" s="84" t="s">
        <v>553</v>
      </c>
      <c r="D302" s="85" t="s">
        <v>56</v>
      </c>
      <c r="E302" s="86" t="n">
        <v>6.45</v>
      </c>
      <c r="F302" s="86" t="n">
        <v>13</v>
      </c>
      <c r="G302" s="87" t="n">
        <f aca="false">E302*F302</f>
        <v>83.85</v>
      </c>
      <c r="H302" s="93"/>
      <c r="I302" s="94"/>
      <c r="J302" s="95"/>
      <c r="K302" s="3"/>
      <c r="L302" s="91"/>
      <c r="M302" s="92" t="s">
        <v>551</v>
      </c>
      <c r="N302" s="84" t="s">
        <v>553</v>
      </c>
      <c r="O302" s="85" t="s">
        <v>56</v>
      </c>
      <c r="P302" s="86" t="n">
        <v>6.45</v>
      </c>
      <c r="Q302" s="86" t="n">
        <v>13</v>
      </c>
      <c r="R302" s="87" t="n">
        <f aca="false">P302*Q302</f>
        <v>83.85</v>
      </c>
      <c r="S302" s="93"/>
      <c r="T302" s="94"/>
      <c r="U302" s="95"/>
    </row>
    <row r="303" customFormat="false" ht="18.75" hidden="false" customHeight="true" outlineLevel="0" collapsed="false">
      <c r="A303" s="91"/>
      <c r="B303" s="92" t="s">
        <v>551</v>
      </c>
      <c r="C303" s="84" t="s">
        <v>160</v>
      </c>
      <c r="D303" s="85" t="s">
        <v>56</v>
      </c>
      <c r="E303" s="86" t="n">
        <v>15.52</v>
      </c>
      <c r="F303" s="86" t="n">
        <v>13</v>
      </c>
      <c r="G303" s="87" t="n">
        <f aca="false">E303*F303</f>
        <v>201.76</v>
      </c>
      <c r="H303" s="93"/>
      <c r="I303" s="94"/>
      <c r="J303" s="95"/>
      <c r="K303" s="3"/>
      <c r="L303" s="91"/>
      <c r="M303" s="92" t="s">
        <v>551</v>
      </c>
      <c r="N303" s="84" t="s">
        <v>160</v>
      </c>
      <c r="O303" s="85" t="s">
        <v>56</v>
      </c>
      <c r="P303" s="86" t="n">
        <v>15.52</v>
      </c>
      <c r="Q303" s="86" t="n">
        <v>13</v>
      </c>
      <c r="R303" s="87" t="n">
        <f aca="false">P303*Q303</f>
        <v>201.76</v>
      </c>
      <c r="S303" s="93"/>
      <c r="T303" s="94"/>
      <c r="U303" s="95"/>
    </row>
    <row r="304" customFormat="false" ht="18.75" hidden="false" customHeight="true" outlineLevel="0" collapsed="false">
      <c r="A304" s="91"/>
      <c r="B304" s="92" t="s">
        <v>551</v>
      </c>
      <c r="C304" s="84" t="s">
        <v>359</v>
      </c>
      <c r="D304" s="85" t="s">
        <v>56</v>
      </c>
      <c r="E304" s="86" t="n">
        <v>28</v>
      </c>
      <c r="F304" s="86" t="n">
        <v>18</v>
      </c>
      <c r="G304" s="87" t="n">
        <f aca="false">E304*F304</f>
        <v>504</v>
      </c>
      <c r="H304" s="93"/>
      <c r="I304" s="94"/>
      <c r="J304" s="95"/>
      <c r="K304" s="3"/>
      <c r="L304" s="91"/>
      <c r="M304" s="92" t="s">
        <v>551</v>
      </c>
      <c r="N304" s="84" t="s">
        <v>359</v>
      </c>
      <c r="O304" s="85" t="s">
        <v>56</v>
      </c>
      <c r="P304" s="86" t="n">
        <v>28</v>
      </c>
      <c r="Q304" s="86" t="n">
        <v>18</v>
      </c>
      <c r="R304" s="87" t="n">
        <f aca="false">P304*Q304</f>
        <v>504</v>
      </c>
      <c r="S304" s="93"/>
      <c r="T304" s="94"/>
      <c r="U304" s="95"/>
    </row>
    <row r="305" customFormat="false" ht="18.75" hidden="false" customHeight="true" outlineLevel="0" collapsed="false">
      <c r="A305" s="91"/>
      <c r="B305" s="92" t="s">
        <v>551</v>
      </c>
      <c r="C305" s="84" t="s">
        <v>420</v>
      </c>
      <c r="D305" s="85" t="s">
        <v>56</v>
      </c>
      <c r="E305" s="86" t="n">
        <v>11.87</v>
      </c>
      <c r="F305" s="86" t="n">
        <v>13</v>
      </c>
      <c r="G305" s="87" t="n">
        <f aca="false">E305*F305</f>
        <v>154.31</v>
      </c>
      <c r="H305" s="93"/>
      <c r="I305" s="94"/>
      <c r="J305" s="95"/>
      <c r="K305" s="3"/>
      <c r="L305" s="91"/>
      <c r="M305" s="92" t="s">
        <v>551</v>
      </c>
      <c r="N305" s="84" t="s">
        <v>420</v>
      </c>
      <c r="O305" s="85" t="s">
        <v>56</v>
      </c>
      <c r="P305" s="86" t="n">
        <v>11.87</v>
      </c>
      <c r="Q305" s="86" t="n">
        <v>13</v>
      </c>
      <c r="R305" s="87" t="n">
        <f aca="false">P305*Q305</f>
        <v>154.31</v>
      </c>
      <c r="S305" s="93"/>
      <c r="T305" s="94"/>
      <c r="U305" s="95"/>
    </row>
    <row r="306" customFormat="false" ht="18.75" hidden="false" customHeight="true" outlineLevel="0" collapsed="false">
      <c r="A306" s="91"/>
      <c r="B306" s="92" t="s">
        <v>551</v>
      </c>
      <c r="C306" s="84" t="s">
        <v>137</v>
      </c>
      <c r="D306" s="85" t="s">
        <v>56</v>
      </c>
      <c r="E306" s="86" t="n">
        <v>11.4</v>
      </c>
      <c r="F306" s="86" t="n">
        <v>13</v>
      </c>
      <c r="G306" s="87" t="n">
        <f aca="false">E306*F306</f>
        <v>148.2</v>
      </c>
      <c r="H306" s="93"/>
      <c r="I306" s="94"/>
      <c r="J306" s="95"/>
      <c r="K306" s="3"/>
      <c r="L306" s="91"/>
      <c r="M306" s="92" t="s">
        <v>551</v>
      </c>
      <c r="N306" s="84" t="s">
        <v>137</v>
      </c>
      <c r="O306" s="85" t="s">
        <v>56</v>
      </c>
      <c r="P306" s="86" t="n">
        <v>11.4</v>
      </c>
      <c r="Q306" s="86" t="n">
        <v>13</v>
      </c>
      <c r="R306" s="87" t="n">
        <f aca="false">P306*Q306</f>
        <v>148.2</v>
      </c>
      <c r="S306" s="93"/>
      <c r="T306" s="94"/>
      <c r="U306" s="95"/>
    </row>
    <row r="307" customFormat="false" ht="18.75" hidden="false" customHeight="true" outlineLevel="0" collapsed="false">
      <c r="A307" s="82" t="s">
        <v>35</v>
      </c>
      <c r="B307" s="83" t="s">
        <v>554</v>
      </c>
      <c r="C307" s="97" t="s">
        <v>91</v>
      </c>
      <c r="D307" s="98" t="s">
        <v>55</v>
      </c>
      <c r="E307" s="99" t="n">
        <v>7</v>
      </c>
      <c r="F307" s="99" t="n">
        <v>16</v>
      </c>
      <c r="G307" s="100" t="n">
        <f aca="false">E307*F307</f>
        <v>112</v>
      </c>
      <c r="H307" s="88" t="n">
        <f aca="false">SUMIF(B:B,B307,G:G)</f>
        <v>112</v>
      </c>
      <c r="I307" s="89" t="n">
        <v>484.5</v>
      </c>
      <c r="J307" s="90" t="n">
        <f aca="false">IFERROR((I307-H307)/I307,"")</f>
        <v>0.768833849329205</v>
      </c>
      <c r="K307" s="3"/>
      <c r="L307" s="82" t="s">
        <v>35</v>
      </c>
      <c r="M307" s="83" t="s">
        <v>554</v>
      </c>
      <c r="N307" s="97" t="s">
        <v>91</v>
      </c>
      <c r="O307" s="98" t="s">
        <v>55</v>
      </c>
      <c r="P307" s="101"/>
      <c r="Q307" s="101"/>
      <c r="R307" s="102" t="n">
        <v>0</v>
      </c>
      <c r="S307" s="88" t="n">
        <f aca="false">SUMIF(M:M,M307,R:R)</f>
        <v>0</v>
      </c>
      <c r="T307" s="89" t="n">
        <f aca="false">I307</f>
        <v>484.5</v>
      </c>
      <c r="U307" s="90" t="n">
        <f aca="false">IFERROR((T307-S307)/T307,"")</f>
        <v>1</v>
      </c>
    </row>
    <row r="308" customFormat="false" ht="18.75" hidden="false" customHeight="true" outlineLevel="0" collapsed="false">
      <c r="A308" s="112"/>
      <c r="B308" s="112"/>
      <c r="C308" s="112"/>
      <c r="D308" s="112"/>
      <c r="E308" s="112"/>
      <c r="F308" s="112"/>
      <c r="G308" s="113" t="str">
        <f aca="false">IF(AND(E308&lt;&gt;"",F308&lt;&gt;""),E308*F308,"")</f>
        <v/>
      </c>
      <c r="H308" s="113" t="str">
        <f aca="false">IF(B308&lt;&gt;"",SUMIF(B:B,B308,G:G),"")</f>
        <v/>
      </c>
      <c r="I308" s="112"/>
      <c r="J308" s="114" t="str">
        <f aca="false">IF(AND(I308&lt;&gt;"",H308&lt;&gt;""),IFERROR((I308-H308)/I308,""),"")</f>
        <v/>
      </c>
      <c r="K308" s="3"/>
      <c r="L308" s="112"/>
      <c r="M308" s="112"/>
      <c r="N308" s="112"/>
      <c r="O308" s="112"/>
      <c r="P308" s="112"/>
      <c r="Q308" s="112"/>
      <c r="R308" s="113" t="str">
        <f aca="false">IF(AND(P308&lt;&gt;"",Q308&lt;&gt;""),P308*Q308,"")</f>
        <v/>
      </c>
      <c r="S308" s="113" t="str">
        <f aca="false">IF(M308&lt;&gt;"",SUMIF(M:M,M308,R:R),"")</f>
        <v/>
      </c>
      <c r="T308" s="113" t="str">
        <f aca="false">IF(I308&lt;&gt;"",I308,"")</f>
        <v/>
      </c>
      <c r="U308" s="114" t="str">
        <f aca="false">IF(AND(T308&lt;&gt;"",S308&lt;&gt;""),IFERROR((T308-S308)/T308,""),"")</f>
        <v/>
      </c>
    </row>
    <row r="309" customFormat="false" ht="18.75" hidden="false" customHeight="true" outlineLevel="0" collapsed="false">
      <c r="A309" s="109"/>
      <c r="B309" s="109"/>
      <c r="C309" s="109"/>
      <c r="D309" s="109"/>
      <c r="E309" s="109"/>
      <c r="F309" s="109"/>
      <c r="G309" s="110" t="str">
        <f aca="false">IF(AND(E309&lt;&gt;"",F309&lt;&gt;""),E309*F309,"")</f>
        <v/>
      </c>
      <c r="H309" s="110" t="str">
        <f aca="false">IF(B309&lt;&gt;"",SUMIF(B:B,B309,G:G),"")</f>
        <v/>
      </c>
      <c r="I309" s="109"/>
      <c r="J309" s="111" t="str">
        <f aca="false">IF(AND(I309&lt;&gt;"",H309&lt;&gt;""),IFERROR((I309-H309)/I309,""),"")</f>
        <v/>
      </c>
      <c r="K309" s="3"/>
      <c r="L309" s="109"/>
      <c r="M309" s="109"/>
      <c r="N309" s="109"/>
      <c r="O309" s="109"/>
      <c r="P309" s="109"/>
      <c r="Q309" s="109"/>
      <c r="R309" s="110" t="str">
        <f aca="false">IF(AND(P309&lt;&gt;"",Q309&lt;&gt;""),P309*Q309,"")</f>
        <v/>
      </c>
      <c r="S309" s="110" t="str">
        <f aca="false">IF(M309&lt;&gt;"",SUMIF(M:M,M309,R:R),"")</f>
        <v/>
      </c>
      <c r="T309" s="110" t="str">
        <f aca="false">IF(I309&lt;&gt;"",I309,"")</f>
        <v/>
      </c>
      <c r="U309" s="111" t="str">
        <f aca="false">IF(AND(T309&lt;&gt;"",S309&lt;&gt;""),IFERROR((T309-S309)/T309,""),"")</f>
        <v/>
      </c>
    </row>
    <row r="310" customFormat="false" ht="18.75" hidden="false" customHeight="true" outlineLevel="0" collapsed="false">
      <c r="A310" s="112"/>
      <c r="B310" s="112"/>
      <c r="C310" s="112"/>
      <c r="D310" s="112"/>
      <c r="E310" s="112"/>
      <c r="F310" s="112"/>
      <c r="G310" s="113" t="str">
        <f aca="false">IF(AND(E310&lt;&gt;"",F310&lt;&gt;""),E310*F310,"")</f>
        <v/>
      </c>
      <c r="H310" s="113" t="str">
        <f aca="false">IF(B310&lt;&gt;"",SUMIF(B:B,B310,G:G),"")</f>
        <v/>
      </c>
      <c r="I310" s="112"/>
      <c r="J310" s="114" t="str">
        <f aca="false">IF(AND(I310&lt;&gt;"",H310&lt;&gt;""),IFERROR((I310-H310)/I310,""),"")</f>
        <v/>
      </c>
      <c r="K310" s="3"/>
      <c r="L310" s="112"/>
      <c r="M310" s="112"/>
      <c r="N310" s="112"/>
      <c r="O310" s="112"/>
      <c r="P310" s="112"/>
      <c r="Q310" s="112"/>
      <c r="R310" s="113" t="str">
        <f aca="false">IF(AND(P310&lt;&gt;"",Q310&lt;&gt;""),P310*Q310,"")</f>
        <v/>
      </c>
      <c r="S310" s="113" t="str">
        <f aca="false">IF(M310&lt;&gt;"",SUMIF(M:M,M310,R:R),"")</f>
        <v/>
      </c>
      <c r="T310" s="113" t="str">
        <f aca="false">IF(I310&lt;&gt;"",I310,"")</f>
        <v/>
      </c>
      <c r="U310" s="114" t="str">
        <f aca="false">IF(AND(T310&lt;&gt;"",S310&lt;&gt;""),IFERROR((T310-S310)/T310,""),"")</f>
        <v/>
      </c>
    </row>
    <row r="311" customFormat="false" ht="18.75" hidden="false" customHeight="true" outlineLevel="0" collapsed="false">
      <c r="A311" s="109"/>
      <c r="B311" s="109"/>
      <c r="C311" s="109"/>
      <c r="D311" s="109"/>
      <c r="E311" s="109"/>
      <c r="F311" s="109"/>
      <c r="G311" s="110" t="str">
        <f aca="false">IF(AND(E311&lt;&gt;"",F311&lt;&gt;""),E311*F311,"")</f>
        <v/>
      </c>
      <c r="H311" s="110" t="str">
        <f aca="false">IF(B311&lt;&gt;"",SUMIF(B:B,B311,G:G),"")</f>
        <v/>
      </c>
      <c r="I311" s="109"/>
      <c r="J311" s="111" t="str">
        <f aca="false">IF(AND(I311&lt;&gt;"",H311&lt;&gt;""),IFERROR((I311-H311)/I311,""),"")</f>
        <v/>
      </c>
      <c r="K311" s="3"/>
      <c r="L311" s="109"/>
      <c r="M311" s="109"/>
      <c r="N311" s="109"/>
      <c r="O311" s="109"/>
      <c r="P311" s="109"/>
      <c r="Q311" s="109"/>
      <c r="R311" s="110" t="str">
        <f aca="false">IF(AND(P311&lt;&gt;"",Q311&lt;&gt;""),P311*Q311,"")</f>
        <v/>
      </c>
      <c r="S311" s="110" t="str">
        <f aca="false">IF(M311&lt;&gt;"",SUMIF(M:M,M311,R:R),"")</f>
        <v/>
      </c>
      <c r="T311" s="110" t="str">
        <f aca="false">IF(I311&lt;&gt;"",I311,"")</f>
        <v/>
      </c>
      <c r="U311" s="111" t="str">
        <f aca="false">IF(AND(T311&lt;&gt;"",S311&lt;&gt;""),IFERROR((T311-S311)/T311,""),"")</f>
        <v/>
      </c>
    </row>
    <row r="312" customFormat="false" ht="18.75" hidden="false" customHeight="true" outlineLevel="0" collapsed="false">
      <c r="A312" s="112"/>
      <c r="B312" s="112"/>
      <c r="C312" s="112"/>
      <c r="D312" s="112"/>
      <c r="E312" s="112"/>
      <c r="F312" s="112"/>
      <c r="G312" s="113" t="str">
        <f aca="false">IF(AND(E312&lt;&gt;"",F312&lt;&gt;""),E312*F312,"")</f>
        <v/>
      </c>
      <c r="H312" s="113" t="str">
        <f aca="false">IF(B312&lt;&gt;"",SUMIF(B:B,B312,G:G),"")</f>
        <v/>
      </c>
      <c r="I312" s="112"/>
      <c r="J312" s="114" t="str">
        <f aca="false">IF(AND(I312&lt;&gt;"",H312&lt;&gt;""),IFERROR((I312-H312)/I312,""),"")</f>
        <v/>
      </c>
      <c r="K312" s="3"/>
      <c r="L312" s="112"/>
      <c r="M312" s="112"/>
      <c r="N312" s="112"/>
      <c r="O312" s="112"/>
      <c r="P312" s="112"/>
      <c r="Q312" s="112"/>
      <c r="R312" s="113" t="str">
        <f aca="false">IF(AND(P312&lt;&gt;"",Q312&lt;&gt;""),P312*Q312,"")</f>
        <v/>
      </c>
      <c r="S312" s="113" t="str">
        <f aca="false">IF(M312&lt;&gt;"",SUMIF(M:M,M312,R:R),"")</f>
        <v/>
      </c>
      <c r="T312" s="113" t="str">
        <f aca="false">IF(I312&lt;&gt;"",I312,"")</f>
        <v/>
      </c>
      <c r="U312" s="114" t="str">
        <f aca="false">IF(AND(T312&lt;&gt;"",S312&lt;&gt;""),IFERROR((T312-S312)/T312,""),"")</f>
        <v/>
      </c>
    </row>
    <row r="313" customFormat="false" ht="18.75" hidden="false" customHeight="true" outlineLevel="0" collapsed="false">
      <c r="A313" s="109"/>
      <c r="B313" s="109"/>
      <c r="C313" s="109"/>
      <c r="D313" s="109"/>
      <c r="E313" s="109"/>
      <c r="F313" s="109"/>
      <c r="G313" s="110" t="str">
        <f aca="false">IF(AND(E313&lt;&gt;"",F313&lt;&gt;""),E313*F313,"")</f>
        <v/>
      </c>
      <c r="H313" s="110" t="str">
        <f aca="false">IF(B313&lt;&gt;"",SUMIF(B:B,B313,G:G),"")</f>
        <v/>
      </c>
      <c r="I313" s="109"/>
      <c r="J313" s="111" t="str">
        <f aca="false">IF(AND(I313&lt;&gt;"",H313&lt;&gt;""),IFERROR((I313-H313)/I313,""),"")</f>
        <v/>
      </c>
      <c r="K313" s="3"/>
      <c r="L313" s="109"/>
      <c r="M313" s="109"/>
      <c r="N313" s="109"/>
      <c r="O313" s="109"/>
      <c r="P313" s="109"/>
      <c r="Q313" s="109"/>
      <c r="R313" s="110" t="str">
        <f aca="false">IF(AND(P313&lt;&gt;"",Q313&lt;&gt;""),P313*Q313,"")</f>
        <v/>
      </c>
      <c r="S313" s="110" t="str">
        <f aca="false">IF(M313&lt;&gt;"",SUMIF(M:M,M313,R:R),"")</f>
        <v/>
      </c>
      <c r="T313" s="110" t="str">
        <f aca="false">IF(I313&lt;&gt;"",I313,"")</f>
        <v/>
      </c>
      <c r="U313" s="111" t="str">
        <f aca="false">IF(AND(T313&lt;&gt;"",S313&lt;&gt;""),IFERROR((T313-S313)/T313,""),"")</f>
        <v/>
      </c>
    </row>
    <row r="314" customFormat="false" ht="18.75" hidden="false" customHeight="true" outlineLevel="0" collapsed="false">
      <c r="A314" s="112"/>
      <c r="B314" s="112"/>
      <c r="C314" s="112"/>
      <c r="D314" s="112"/>
      <c r="E314" s="112"/>
      <c r="F314" s="112"/>
      <c r="G314" s="113" t="str">
        <f aca="false">IF(AND(E314&lt;&gt;"",F314&lt;&gt;""),E314*F314,"")</f>
        <v/>
      </c>
      <c r="H314" s="113" t="str">
        <f aca="false">IF(B314&lt;&gt;"",SUMIF(B:B,B314,G:G),"")</f>
        <v/>
      </c>
      <c r="I314" s="112"/>
      <c r="J314" s="114" t="str">
        <f aca="false">IF(AND(I314&lt;&gt;"",H314&lt;&gt;""),IFERROR((I314-H314)/I314,""),"")</f>
        <v/>
      </c>
      <c r="K314" s="3"/>
      <c r="L314" s="112"/>
      <c r="M314" s="112"/>
      <c r="N314" s="112"/>
      <c r="O314" s="112"/>
      <c r="P314" s="112"/>
      <c r="Q314" s="112"/>
      <c r="R314" s="113" t="str">
        <f aca="false">IF(AND(P314&lt;&gt;"",Q314&lt;&gt;""),P314*Q314,"")</f>
        <v/>
      </c>
      <c r="S314" s="113" t="str">
        <f aca="false">IF(M314&lt;&gt;"",SUMIF(M:M,M314,R:R),"")</f>
        <v/>
      </c>
      <c r="T314" s="113" t="str">
        <f aca="false">IF(I314&lt;&gt;"",I314,"")</f>
        <v/>
      </c>
      <c r="U314" s="114" t="str">
        <f aca="false">IF(AND(T314&lt;&gt;"",S314&lt;&gt;""),IFERROR((T314-S314)/T314,""),"")</f>
        <v/>
      </c>
    </row>
    <row r="315" customFormat="false" ht="18.75" hidden="false" customHeight="true" outlineLevel="0" collapsed="false">
      <c r="A315" s="109"/>
      <c r="B315" s="109"/>
      <c r="C315" s="109"/>
      <c r="D315" s="109"/>
      <c r="E315" s="109"/>
      <c r="F315" s="109"/>
      <c r="G315" s="110" t="str">
        <f aca="false">IF(AND(E315&lt;&gt;"",F315&lt;&gt;""),E315*F315,"")</f>
        <v/>
      </c>
      <c r="H315" s="110" t="str">
        <f aca="false">IF(B315&lt;&gt;"",SUMIF(B:B,B315,G:G),"")</f>
        <v/>
      </c>
      <c r="I315" s="109"/>
      <c r="J315" s="111" t="str">
        <f aca="false">IF(AND(I315&lt;&gt;"",H315&lt;&gt;""),IFERROR((I315-H315)/I315,""),"")</f>
        <v/>
      </c>
      <c r="K315" s="3"/>
      <c r="L315" s="109"/>
      <c r="M315" s="109"/>
      <c r="N315" s="109"/>
      <c r="O315" s="109"/>
      <c r="P315" s="109"/>
      <c r="Q315" s="109"/>
      <c r="R315" s="110" t="str">
        <f aca="false">IF(AND(P315&lt;&gt;"",Q315&lt;&gt;""),P315*Q315,"")</f>
        <v/>
      </c>
      <c r="S315" s="110" t="str">
        <f aca="false">IF(M315&lt;&gt;"",SUMIF(M:M,M315,R:R),"")</f>
        <v/>
      </c>
      <c r="T315" s="110" t="str">
        <f aca="false">IF(I315&lt;&gt;"",I315,"")</f>
        <v/>
      </c>
      <c r="U315" s="111" t="str">
        <f aca="false">IF(AND(T315&lt;&gt;"",S315&lt;&gt;""),IFERROR((T315-S315)/T315,""),"")</f>
        <v/>
      </c>
    </row>
    <row r="316" customFormat="false" ht="18.75" hidden="false" customHeight="true" outlineLevel="0" collapsed="false">
      <c r="A316" s="112"/>
      <c r="B316" s="112"/>
      <c r="C316" s="112"/>
      <c r="D316" s="112"/>
      <c r="E316" s="112"/>
      <c r="F316" s="112"/>
      <c r="G316" s="113" t="str">
        <f aca="false">IF(AND(E316&lt;&gt;"",F316&lt;&gt;""),E316*F316,"")</f>
        <v/>
      </c>
      <c r="H316" s="113" t="str">
        <f aca="false">IF(B316&lt;&gt;"",SUMIF(B:B,B316,G:G),"")</f>
        <v/>
      </c>
      <c r="I316" s="112"/>
      <c r="J316" s="114" t="str">
        <f aca="false">IF(AND(I316&lt;&gt;"",H316&lt;&gt;""),IFERROR((I316-H316)/I316,""),"")</f>
        <v/>
      </c>
      <c r="K316" s="3"/>
      <c r="L316" s="112"/>
      <c r="M316" s="112"/>
      <c r="N316" s="112"/>
      <c r="O316" s="112"/>
      <c r="P316" s="112"/>
      <c r="Q316" s="112"/>
      <c r="R316" s="113" t="str">
        <f aca="false">IF(AND(P316&lt;&gt;"",Q316&lt;&gt;""),P316*Q316,"")</f>
        <v/>
      </c>
      <c r="S316" s="113" t="str">
        <f aca="false">IF(M316&lt;&gt;"",SUMIF(M:M,M316,R:R),"")</f>
        <v/>
      </c>
      <c r="T316" s="113" t="str">
        <f aca="false">IF(I316&lt;&gt;"",I316,"")</f>
        <v/>
      </c>
      <c r="U316" s="114" t="str">
        <f aca="false">IF(AND(T316&lt;&gt;"",S316&lt;&gt;""),IFERROR((T316-S316)/T316,""),"")</f>
        <v/>
      </c>
    </row>
    <row r="317" customFormat="false" ht="18.75" hidden="false" customHeight="true" outlineLevel="0" collapsed="false">
      <c r="A317" s="109"/>
      <c r="B317" s="109"/>
      <c r="C317" s="109"/>
      <c r="D317" s="109"/>
      <c r="E317" s="109"/>
      <c r="F317" s="109"/>
      <c r="G317" s="110" t="str">
        <f aca="false">IF(AND(E317&lt;&gt;"",F317&lt;&gt;""),E317*F317,"")</f>
        <v/>
      </c>
      <c r="H317" s="110" t="str">
        <f aca="false">IF(B317&lt;&gt;"",SUMIF(B:B,B317,G:G),"")</f>
        <v/>
      </c>
      <c r="I317" s="109"/>
      <c r="J317" s="111" t="str">
        <f aca="false">IF(AND(I317&lt;&gt;"",H317&lt;&gt;""),IFERROR((I317-H317)/I317,""),"")</f>
        <v/>
      </c>
      <c r="K317" s="3"/>
      <c r="L317" s="109"/>
      <c r="M317" s="109"/>
      <c r="N317" s="109"/>
      <c r="O317" s="109"/>
      <c r="P317" s="109"/>
      <c r="Q317" s="109"/>
      <c r="R317" s="110" t="str">
        <f aca="false">IF(AND(P317&lt;&gt;"",Q317&lt;&gt;""),P317*Q317,"")</f>
        <v/>
      </c>
      <c r="S317" s="110" t="str">
        <f aca="false">IF(M317&lt;&gt;"",SUMIF(M:M,M317,R:R),"")</f>
        <v/>
      </c>
      <c r="T317" s="110" t="str">
        <f aca="false">IF(I317&lt;&gt;"",I317,"")</f>
        <v/>
      </c>
      <c r="U317" s="111" t="str">
        <f aca="false">IF(AND(T317&lt;&gt;"",S317&lt;&gt;""),IFERROR((T317-S317)/T317,""),"")</f>
        <v/>
      </c>
    </row>
    <row r="318" customFormat="false" ht="18.75" hidden="false" customHeight="true" outlineLevel="0" collapsed="false">
      <c r="A318" s="112"/>
      <c r="B318" s="112"/>
      <c r="C318" s="112"/>
      <c r="D318" s="112"/>
      <c r="E318" s="112"/>
      <c r="F318" s="112"/>
      <c r="G318" s="113" t="str">
        <f aca="false">IF(AND(E318&lt;&gt;"",F318&lt;&gt;""),E318*F318,"")</f>
        <v/>
      </c>
      <c r="H318" s="113" t="str">
        <f aca="false">IF(B318&lt;&gt;"",SUMIF(B:B,B318,G:G),"")</f>
        <v/>
      </c>
      <c r="I318" s="112"/>
      <c r="J318" s="114" t="str">
        <f aca="false">IF(AND(I318&lt;&gt;"",H318&lt;&gt;""),IFERROR((I318-H318)/I318,""),"")</f>
        <v/>
      </c>
      <c r="K318" s="3"/>
      <c r="L318" s="112"/>
      <c r="M318" s="112"/>
      <c r="N318" s="112"/>
      <c r="O318" s="112"/>
      <c r="P318" s="112"/>
      <c r="Q318" s="112"/>
      <c r="R318" s="113" t="str">
        <f aca="false">IF(AND(P318&lt;&gt;"",Q318&lt;&gt;""),P318*Q318,"")</f>
        <v/>
      </c>
      <c r="S318" s="113" t="str">
        <f aca="false">IF(M318&lt;&gt;"",SUMIF(M:M,M318,R:R),"")</f>
        <v/>
      </c>
      <c r="T318" s="113" t="str">
        <f aca="false">IF(I318&lt;&gt;"",I318,"")</f>
        <v/>
      </c>
      <c r="U318" s="114" t="str">
        <f aca="false">IF(AND(T318&lt;&gt;"",S318&lt;&gt;""),IFERROR((T318-S318)/T318,""),"")</f>
        <v/>
      </c>
    </row>
    <row r="319" customFormat="false" ht="18.75" hidden="false" customHeight="true" outlineLevel="0" collapsed="false">
      <c r="A319" s="109"/>
      <c r="B319" s="109"/>
      <c r="C319" s="109"/>
      <c r="D319" s="109"/>
      <c r="E319" s="109"/>
      <c r="F319" s="109"/>
      <c r="G319" s="110" t="str">
        <f aca="false">IF(AND(E319&lt;&gt;"",F319&lt;&gt;""),E319*F319,"")</f>
        <v/>
      </c>
      <c r="H319" s="110" t="str">
        <f aca="false">IF(B319&lt;&gt;"",SUMIF(B:B,B319,G:G),"")</f>
        <v/>
      </c>
      <c r="I319" s="109"/>
      <c r="J319" s="111" t="str">
        <f aca="false">IF(AND(I319&lt;&gt;"",H319&lt;&gt;""),IFERROR((I319-H319)/I319,""),"")</f>
        <v/>
      </c>
      <c r="K319" s="3"/>
      <c r="L319" s="109"/>
      <c r="M319" s="109"/>
      <c r="N319" s="109"/>
      <c r="O319" s="109"/>
      <c r="P319" s="109"/>
      <c r="Q319" s="109"/>
      <c r="R319" s="110" t="str">
        <f aca="false">IF(AND(P319&lt;&gt;"",Q319&lt;&gt;""),P319*Q319,"")</f>
        <v/>
      </c>
      <c r="S319" s="110" t="str">
        <f aca="false">IF(M319&lt;&gt;"",SUMIF(M:M,M319,R:R),"")</f>
        <v/>
      </c>
      <c r="T319" s="110" t="str">
        <f aca="false">IF(I319&lt;&gt;"",I319,"")</f>
        <v/>
      </c>
      <c r="U319" s="111" t="str">
        <f aca="false">IF(AND(T319&lt;&gt;"",S319&lt;&gt;""),IFERROR((T319-S319)/T319,""),"")</f>
        <v/>
      </c>
    </row>
    <row r="320" customFormat="false" ht="18.75" hidden="false" customHeight="true" outlineLevel="0" collapsed="false">
      <c r="A320" s="112"/>
      <c r="B320" s="112"/>
      <c r="C320" s="112"/>
      <c r="D320" s="112"/>
      <c r="E320" s="112"/>
      <c r="F320" s="112"/>
      <c r="G320" s="113" t="str">
        <f aca="false">IF(AND(E320&lt;&gt;"",F320&lt;&gt;""),E320*F320,"")</f>
        <v/>
      </c>
      <c r="H320" s="113" t="str">
        <f aca="false">IF(B320&lt;&gt;"",SUMIF(B:B,B320,G:G),"")</f>
        <v/>
      </c>
      <c r="I320" s="112"/>
      <c r="J320" s="114" t="str">
        <f aca="false">IF(AND(I320&lt;&gt;"",H320&lt;&gt;""),IFERROR((I320-H320)/I320,""),"")</f>
        <v/>
      </c>
      <c r="K320" s="3"/>
      <c r="L320" s="112"/>
      <c r="M320" s="112"/>
      <c r="N320" s="112"/>
      <c r="O320" s="112"/>
      <c r="P320" s="112"/>
      <c r="Q320" s="112"/>
      <c r="R320" s="113" t="str">
        <f aca="false">IF(AND(P320&lt;&gt;"",Q320&lt;&gt;""),P320*Q320,"")</f>
        <v/>
      </c>
      <c r="S320" s="113" t="str">
        <f aca="false">IF(M320&lt;&gt;"",SUMIF(M:M,M320,R:R),"")</f>
        <v/>
      </c>
      <c r="T320" s="113" t="str">
        <f aca="false">IF(I320&lt;&gt;"",I320,"")</f>
        <v/>
      </c>
      <c r="U320" s="114" t="str">
        <f aca="false">IF(AND(T320&lt;&gt;"",S320&lt;&gt;""),IFERROR((T320-S320)/T320,""),"")</f>
        <v/>
      </c>
    </row>
    <row r="321" customFormat="false" ht="18.75" hidden="false" customHeight="true" outlineLevel="0" collapsed="false">
      <c r="A321" s="109"/>
      <c r="B321" s="109"/>
      <c r="C321" s="109"/>
      <c r="D321" s="109"/>
      <c r="E321" s="109"/>
      <c r="F321" s="109"/>
      <c r="G321" s="110" t="str">
        <f aca="false">IF(AND(E321&lt;&gt;"",F321&lt;&gt;""),E321*F321,"")</f>
        <v/>
      </c>
      <c r="H321" s="110" t="str">
        <f aca="false">IF(B321&lt;&gt;"",SUMIF(B:B,B321,G:G),"")</f>
        <v/>
      </c>
      <c r="I321" s="109"/>
      <c r="J321" s="111" t="str">
        <f aca="false">IF(AND(I321&lt;&gt;"",H321&lt;&gt;""),IFERROR((I321-H321)/I321,""),"")</f>
        <v/>
      </c>
      <c r="K321" s="3"/>
      <c r="L321" s="109"/>
      <c r="M321" s="109"/>
      <c r="N321" s="109"/>
      <c r="O321" s="109"/>
      <c r="P321" s="109"/>
      <c r="Q321" s="109"/>
      <c r="R321" s="110" t="str">
        <f aca="false">IF(AND(P321&lt;&gt;"",Q321&lt;&gt;""),P321*Q321,"")</f>
        <v/>
      </c>
      <c r="S321" s="110" t="str">
        <f aca="false">IF(M321&lt;&gt;"",SUMIF(M:M,M321,R:R),"")</f>
        <v/>
      </c>
      <c r="T321" s="110" t="str">
        <f aca="false">IF(I321&lt;&gt;"",I321,"")</f>
        <v/>
      </c>
      <c r="U321" s="111" t="str">
        <f aca="false">IF(AND(T321&lt;&gt;"",S321&lt;&gt;""),IFERROR((T321-S321)/T321,""),"")</f>
        <v/>
      </c>
    </row>
    <row r="322" customFormat="false" ht="18.75" hidden="false" customHeight="true" outlineLevel="0" collapsed="false">
      <c r="A322" s="112"/>
      <c r="B322" s="112"/>
      <c r="C322" s="112"/>
      <c r="D322" s="112"/>
      <c r="E322" s="112"/>
      <c r="F322" s="112"/>
      <c r="G322" s="113" t="str">
        <f aca="false">IF(AND(E322&lt;&gt;"",F322&lt;&gt;""),E322*F322,"")</f>
        <v/>
      </c>
      <c r="H322" s="113" t="str">
        <f aca="false">IF(B322&lt;&gt;"",SUMIF(B:B,B322,G:G),"")</f>
        <v/>
      </c>
      <c r="I322" s="112"/>
      <c r="J322" s="114" t="str">
        <f aca="false">IF(AND(I322&lt;&gt;"",H322&lt;&gt;""),IFERROR((I322-H322)/I322,""),"")</f>
        <v/>
      </c>
      <c r="K322" s="3"/>
      <c r="L322" s="112"/>
      <c r="M322" s="112"/>
      <c r="N322" s="112"/>
      <c r="O322" s="112"/>
      <c r="P322" s="112"/>
      <c r="Q322" s="112"/>
      <c r="R322" s="113" t="str">
        <f aca="false">IF(AND(P322&lt;&gt;"",Q322&lt;&gt;""),P322*Q322,"")</f>
        <v/>
      </c>
      <c r="S322" s="113" t="str">
        <f aca="false">IF(M322&lt;&gt;"",SUMIF(M:M,M322,R:R),"")</f>
        <v/>
      </c>
      <c r="T322" s="113" t="str">
        <f aca="false">IF(I322&lt;&gt;"",I322,"")</f>
        <v/>
      </c>
      <c r="U322" s="114" t="str">
        <f aca="false">IF(AND(T322&lt;&gt;"",S322&lt;&gt;""),IFERROR((T322-S322)/T322,""),"")</f>
        <v/>
      </c>
    </row>
    <row r="323" customFormat="false" ht="18.75" hidden="false" customHeight="true" outlineLevel="0" collapsed="false">
      <c r="A323" s="109"/>
      <c r="B323" s="109"/>
      <c r="C323" s="109"/>
      <c r="D323" s="109"/>
      <c r="E323" s="109"/>
      <c r="F323" s="109"/>
      <c r="G323" s="110" t="str">
        <f aca="false">IF(AND(E323&lt;&gt;"",F323&lt;&gt;""),E323*F323,"")</f>
        <v/>
      </c>
      <c r="H323" s="110" t="str">
        <f aca="false">IF(B323&lt;&gt;"",SUMIF(B:B,B323,G:G),"")</f>
        <v/>
      </c>
      <c r="I323" s="109"/>
      <c r="J323" s="111" t="str">
        <f aca="false">IF(AND(I323&lt;&gt;"",H323&lt;&gt;""),IFERROR((I323-H323)/I323,""),"")</f>
        <v/>
      </c>
      <c r="K323" s="3"/>
      <c r="L323" s="109"/>
      <c r="M323" s="109"/>
      <c r="N323" s="109"/>
      <c r="O323" s="109"/>
      <c r="P323" s="109"/>
      <c r="Q323" s="109"/>
      <c r="R323" s="110" t="str">
        <f aca="false">IF(AND(P323&lt;&gt;"",Q323&lt;&gt;""),P323*Q323,"")</f>
        <v/>
      </c>
      <c r="S323" s="110" t="str">
        <f aca="false">IF(M323&lt;&gt;"",SUMIF(M:M,M323,R:R),"")</f>
        <v/>
      </c>
      <c r="T323" s="110" t="str">
        <f aca="false">IF(I323&lt;&gt;"",I323,"")</f>
        <v/>
      </c>
      <c r="U323" s="111" t="str">
        <f aca="false">IF(AND(T323&lt;&gt;"",S323&lt;&gt;""),IFERROR((T323-S323)/T323,""),"")</f>
        <v/>
      </c>
    </row>
    <row r="324" customFormat="false" ht="18.75" hidden="false" customHeight="true" outlineLevel="0" collapsed="false">
      <c r="A324" s="112"/>
      <c r="B324" s="112"/>
      <c r="C324" s="112"/>
      <c r="D324" s="112"/>
      <c r="E324" s="112"/>
      <c r="F324" s="112"/>
      <c r="G324" s="113" t="str">
        <f aca="false">IF(AND(E324&lt;&gt;"",F324&lt;&gt;""),E324*F324,"")</f>
        <v/>
      </c>
      <c r="H324" s="113" t="str">
        <f aca="false">IF(B324&lt;&gt;"",SUMIF(B:B,B324,G:G),"")</f>
        <v/>
      </c>
      <c r="I324" s="112"/>
      <c r="J324" s="114" t="str">
        <f aca="false">IF(AND(I324&lt;&gt;"",H324&lt;&gt;""),IFERROR((I324-H324)/I324,""),"")</f>
        <v/>
      </c>
      <c r="K324" s="3"/>
      <c r="L324" s="112"/>
      <c r="M324" s="112"/>
      <c r="N324" s="112"/>
      <c r="O324" s="112"/>
      <c r="P324" s="112"/>
      <c r="Q324" s="112"/>
      <c r="R324" s="113" t="str">
        <f aca="false">IF(AND(P324&lt;&gt;"",Q324&lt;&gt;""),P324*Q324,"")</f>
        <v/>
      </c>
      <c r="S324" s="113" t="str">
        <f aca="false">IF(M324&lt;&gt;"",SUMIF(M:M,M324,R:R),"")</f>
        <v/>
      </c>
      <c r="T324" s="113" t="str">
        <f aca="false">IF(I324&lt;&gt;"",I324,"")</f>
        <v/>
      </c>
      <c r="U324" s="114" t="str">
        <f aca="false">IF(AND(T324&lt;&gt;"",S324&lt;&gt;""),IFERROR((T324-S324)/T324,""),"")</f>
        <v/>
      </c>
    </row>
    <row r="325" customFormat="false" ht="18.75" hidden="false" customHeight="true" outlineLevel="0" collapsed="false">
      <c r="A325" s="109"/>
      <c r="B325" s="109"/>
      <c r="C325" s="109"/>
      <c r="D325" s="109"/>
      <c r="E325" s="109"/>
      <c r="F325" s="109"/>
      <c r="G325" s="110" t="str">
        <f aca="false">IF(AND(E325&lt;&gt;"",F325&lt;&gt;""),E325*F325,"")</f>
        <v/>
      </c>
      <c r="H325" s="110" t="str">
        <f aca="false">IF(B325&lt;&gt;"",SUMIF(B:B,B325,G:G),"")</f>
        <v/>
      </c>
      <c r="I325" s="109"/>
      <c r="J325" s="111" t="str">
        <f aca="false">IF(AND(I325&lt;&gt;"",H325&lt;&gt;""),IFERROR((I325-H325)/I325,""),"")</f>
        <v/>
      </c>
      <c r="K325" s="3"/>
      <c r="L325" s="109"/>
      <c r="M325" s="109"/>
      <c r="N325" s="109"/>
      <c r="O325" s="109"/>
      <c r="P325" s="109"/>
      <c r="Q325" s="109"/>
      <c r="R325" s="110" t="str">
        <f aca="false">IF(AND(P325&lt;&gt;"",Q325&lt;&gt;""),P325*Q325,"")</f>
        <v/>
      </c>
      <c r="S325" s="110" t="str">
        <f aca="false">IF(M325&lt;&gt;"",SUMIF(M:M,M325,R:R),"")</f>
        <v/>
      </c>
      <c r="T325" s="110" t="str">
        <f aca="false">IF(I325&lt;&gt;"",I325,"")</f>
        <v/>
      </c>
      <c r="U325" s="111" t="str">
        <f aca="false">IF(AND(T325&lt;&gt;"",S325&lt;&gt;""),IFERROR((T325-S325)/T325,""),"")</f>
        <v/>
      </c>
    </row>
    <row r="326" customFormat="false" ht="18.75" hidden="false" customHeight="true" outlineLevel="0" collapsed="false">
      <c r="A326" s="112"/>
      <c r="B326" s="112"/>
      <c r="C326" s="112"/>
      <c r="D326" s="112"/>
      <c r="E326" s="112"/>
      <c r="F326" s="112"/>
      <c r="G326" s="113" t="str">
        <f aca="false">IF(AND(E326&lt;&gt;"",F326&lt;&gt;""),E326*F326,"")</f>
        <v/>
      </c>
      <c r="H326" s="113" t="str">
        <f aca="false">IF(B326&lt;&gt;"",SUMIF(B:B,B326,G:G),"")</f>
        <v/>
      </c>
      <c r="I326" s="112"/>
      <c r="J326" s="114" t="str">
        <f aca="false">IF(AND(I326&lt;&gt;"",H326&lt;&gt;""),IFERROR((I326-H326)/I326,""),"")</f>
        <v/>
      </c>
      <c r="K326" s="3"/>
      <c r="L326" s="112"/>
      <c r="M326" s="112"/>
      <c r="N326" s="112"/>
      <c r="O326" s="112"/>
      <c r="P326" s="112"/>
      <c r="Q326" s="112"/>
      <c r="R326" s="113" t="str">
        <f aca="false">IF(AND(P326&lt;&gt;"",Q326&lt;&gt;""),P326*Q326,"")</f>
        <v/>
      </c>
      <c r="S326" s="113" t="str">
        <f aca="false">IF(M326&lt;&gt;"",SUMIF(M:M,M326,R:R),"")</f>
        <v/>
      </c>
      <c r="T326" s="113" t="str">
        <f aca="false">IF(I326&lt;&gt;"",I326,"")</f>
        <v/>
      </c>
      <c r="U326" s="114" t="str">
        <f aca="false">IF(AND(T326&lt;&gt;"",S326&lt;&gt;""),IFERROR((T326-S326)/T326,""),"")</f>
        <v/>
      </c>
    </row>
    <row r="327" customFormat="false" ht="18.75" hidden="false" customHeight="true" outlineLevel="0" collapsed="false">
      <c r="A327" s="109"/>
      <c r="B327" s="109"/>
      <c r="C327" s="109"/>
      <c r="D327" s="109"/>
      <c r="E327" s="109"/>
      <c r="F327" s="109"/>
      <c r="G327" s="110" t="str">
        <f aca="false">IF(AND(E327&lt;&gt;"",F327&lt;&gt;""),E327*F327,"")</f>
        <v/>
      </c>
      <c r="H327" s="110" t="str">
        <f aca="false">IF(B327&lt;&gt;"",SUMIF(B:B,B327,G:G),"")</f>
        <v/>
      </c>
      <c r="I327" s="109"/>
      <c r="J327" s="111" t="str">
        <f aca="false">IF(AND(I327&lt;&gt;"",H327&lt;&gt;""),IFERROR((I327-H327)/I327,""),"")</f>
        <v/>
      </c>
      <c r="K327" s="3"/>
      <c r="L327" s="109"/>
      <c r="M327" s="109"/>
      <c r="N327" s="109"/>
      <c r="O327" s="109"/>
      <c r="P327" s="109"/>
      <c r="Q327" s="109"/>
      <c r="R327" s="110" t="str">
        <f aca="false">IF(AND(P327&lt;&gt;"",Q327&lt;&gt;""),P327*Q327,"")</f>
        <v/>
      </c>
      <c r="S327" s="110" t="str">
        <f aca="false">IF(M327&lt;&gt;"",SUMIF(M:M,M327,R:R),"")</f>
        <v/>
      </c>
      <c r="T327" s="110" t="str">
        <f aca="false">IF(I327&lt;&gt;"",I327,"")</f>
        <v/>
      </c>
      <c r="U327" s="111" t="str">
        <f aca="false">IF(AND(T327&lt;&gt;"",S327&lt;&gt;""),IFERROR((T327-S327)/T327,""),"")</f>
        <v/>
      </c>
    </row>
    <row r="328" customFormat="false" ht="18.75" hidden="false" customHeight="true" outlineLevel="0" collapsed="false">
      <c r="A328" s="112"/>
      <c r="B328" s="112"/>
      <c r="C328" s="112"/>
      <c r="D328" s="112"/>
      <c r="E328" s="112"/>
      <c r="F328" s="112"/>
      <c r="G328" s="113" t="str">
        <f aca="false">IF(AND(E328&lt;&gt;"",F328&lt;&gt;""),E328*F328,"")</f>
        <v/>
      </c>
      <c r="H328" s="113" t="str">
        <f aca="false">IF(B328&lt;&gt;"",SUMIF(B:B,B328,G:G),"")</f>
        <v/>
      </c>
      <c r="I328" s="112"/>
      <c r="J328" s="114" t="str">
        <f aca="false">IF(AND(I328&lt;&gt;"",H328&lt;&gt;""),IFERROR((I328-H328)/I328,""),"")</f>
        <v/>
      </c>
      <c r="K328" s="3"/>
      <c r="L328" s="112"/>
      <c r="M328" s="112"/>
      <c r="N328" s="112"/>
      <c r="O328" s="112"/>
      <c r="P328" s="112"/>
      <c r="Q328" s="112"/>
      <c r="R328" s="113" t="str">
        <f aca="false">IF(AND(P328&lt;&gt;"",Q328&lt;&gt;""),P328*Q328,"")</f>
        <v/>
      </c>
      <c r="S328" s="113" t="str">
        <f aca="false">IF(M328&lt;&gt;"",SUMIF(M:M,M328,R:R),"")</f>
        <v/>
      </c>
      <c r="T328" s="113" t="str">
        <f aca="false">IF(I328&lt;&gt;"",I328,"")</f>
        <v/>
      </c>
      <c r="U328" s="114" t="str">
        <f aca="false">IF(AND(T328&lt;&gt;"",S328&lt;&gt;""),IFERROR((T328-S328)/T328,""),"")</f>
        <v/>
      </c>
    </row>
    <row r="329" customFormat="false" ht="18.75" hidden="false" customHeight="true" outlineLevel="0" collapsed="false">
      <c r="A329" s="109"/>
      <c r="B329" s="109"/>
      <c r="C329" s="109"/>
      <c r="D329" s="109"/>
      <c r="E329" s="109"/>
      <c r="F329" s="109"/>
      <c r="G329" s="110" t="str">
        <f aca="false">IF(AND(E329&lt;&gt;"",F329&lt;&gt;""),E329*F329,"")</f>
        <v/>
      </c>
      <c r="H329" s="110" t="str">
        <f aca="false">IF(B329&lt;&gt;"",SUMIF(B:B,B329,G:G),"")</f>
        <v/>
      </c>
      <c r="I329" s="109"/>
      <c r="J329" s="111" t="str">
        <f aca="false">IF(AND(I329&lt;&gt;"",H329&lt;&gt;""),IFERROR((I329-H329)/I329,""),"")</f>
        <v/>
      </c>
      <c r="K329" s="3"/>
      <c r="L329" s="109"/>
      <c r="M329" s="109"/>
      <c r="N329" s="109"/>
      <c r="O329" s="109"/>
      <c r="P329" s="109"/>
      <c r="Q329" s="109"/>
      <c r="R329" s="110" t="str">
        <f aca="false">IF(AND(P329&lt;&gt;"",Q329&lt;&gt;""),P329*Q329,"")</f>
        <v/>
      </c>
      <c r="S329" s="110" t="str">
        <f aca="false">IF(M329&lt;&gt;"",SUMIF(M:M,M329,R:R),"")</f>
        <v/>
      </c>
      <c r="T329" s="110" t="str">
        <f aca="false">IF(I329&lt;&gt;"",I329,"")</f>
        <v/>
      </c>
      <c r="U329" s="111" t="str">
        <f aca="false">IF(AND(T329&lt;&gt;"",S329&lt;&gt;""),IFERROR((T329-S329)/T329,""),"")</f>
        <v/>
      </c>
    </row>
    <row r="330" customFormat="false" ht="18.75" hidden="false" customHeight="true" outlineLevel="0" collapsed="false">
      <c r="A330" s="112"/>
      <c r="B330" s="112"/>
      <c r="C330" s="112"/>
      <c r="D330" s="112"/>
      <c r="E330" s="112"/>
      <c r="F330" s="112"/>
      <c r="G330" s="113" t="str">
        <f aca="false">IF(AND(E330&lt;&gt;"",F330&lt;&gt;""),E330*F330,"")</f>
        <v/>
      </c>
      <c r="H330" s="113" t="str">
        <f aca="false">IF(B330&lt;&gt;"",SUMIF(B:B,B330,G:G),"")</f>
        <v/>
      </c>
      <c r="I330" s="112"/>
      <c r="J330" s="114" t="str">
        <f aca="false">IF(AND(I330&lt;&gt;"",H330&lt;&gt;""),IFERROR((I330-H330)/I330,""),"")</f>
        <v/>
      </c>
      <c r="K330" s="3"/>
      <c r="L330" s="112"/>
      <c r="M330" s="112"/>
      <c r="N330" s="112"/>
      <c r="O330" s="112"/>
      <c r="P330" s="112"/>
      <c r="Q330" s="112"/>
      <c r="R330" s="113" t="str">
        <f aca="false">IF(AND(P330&lt;&gt;"",Q330&lt;&gt;""),P330*Q330,"")</f>
        <v/>
      </c>
      <c r="S330" s="113" t="str">
        <f aca="false">IF(M330&lt;&gt;"",SUMIF(M:M,M330,R:R),"")</f>
        <v/>
      </c>
      <c r="T330" s="113" t="str">
        <f aca="false">IF(I330&lt;&gt;"",I330,"")</f>
        <v/>
      </c>
      <c r="U330" s="114" t="str">
        <f aca="false">IF(AND(T330&lt;&gt;"",S330&lt;&gt;""),IFERROR((T330-S330)/T330,""),"")</f>
        <v/>
      </c>
    </row>
    <row r="331" customFormat="false" ht="18.75" hidden="false" customHeight="true" outlineLevel="0" collapsed="false">
      <c r="A331" s="109"/>
      <c r="B331" s="109"/>
      <c r="C331" s="109"/>
      <c r="D331" s="109"/>
      <c r="E331" s="109"/>
      <c r="F331" s="109"/>
      <c r="G331" s="110" t="str">
        <f aca="false">IF(AND(E331&lt;&gt;"",F331&lt;&gt;""),E331*F331,"")</f>
        <v/>
      </c>
      <c r="H331" s="110" t="str">
        <f aca="false">IF(B331&lt;&gt;"",SUMIF(B:B,B331,G:G),"")</f>
        <v/>
      </c>
      <c r="I331" s="109"/>
      <c r="J331" s="111" t="str">
        <f aca="false">IF(AND(I331&lt;&gt;"",H331&lt;&gt;""),IFERROR((I331-H331)/I331,""),"")</f>
        <v/>
      </c>
      <c r="K331" s="3"/>
      <c r="L331" s="109"/>
      <c r="M331" s="109"/>
      <c r="N331" s="109"/>
      <c r="O331" s="109"/>
      <c r="P331" s="109"/>
      <c r="Q331" s="109"/>
      <c r="R331" s="110" t="str">
        <f aca="false">IF(AND(P331&lt;&gt;"",Q331&lt;&gt;""),P331*Q331,"")</f>
        <v/>
      </c>
      <c r="S331" s="110" t="str">
        <f aca="false">IF(M331&lt;&gt;"",SUMIF(M:M,M331,R:R),"")</f>
        <v/>
      </c>
      <c r="T331" s="110" t="str">
        <f aca="false">IF(I331&lt;&gt;"",I331,"")</f>
        <v/>
      </c>
      <c r="U331" s="111" t="str">
        <f aca="false">IF(AND(T331&lt;&gt;"",S331&lt;&gt;""),IFERROR((T331-S331)/T331,""),"")</f>
        <v/>
      </c>
    </row>
    <row r="332" customFormat="false" ht="18.75" hidden="false" customHeight="true" outlineLevel="0" collapsed="false">
      <c r="A332" s="112"/>
      <c r="B332" s="112"/>
      <c r="C332" s="112"/>
      <c r="D332" s="112"/>
      <c r="E332" s="112"/>
      <c r="F332" s="112"/>
      <c r="G332" s="113" t="str">
        <f aca="false">IF(AND(E332&lt;&gt;"",F332&lt;&gt;""),E332*F332,"")</f>
        <v/>
      </c>
      <c r="H332" s="113" t="str">
        <f aca="false">IF(B332&lt;&gt;"",SUMIF(B:B,B332,G:G),"")</f>
        <v/>
      </c>
      <c r="I332" s="112"/>
      <c r="J332" s="114" t="str">
        <f aca="false">IF(AND(I332&lt;&gt;"",H332&lt;&gt;""),IFERROR((I332-H332)/I332,""),"")</f>
        <v/>
      </c>
      <c r="K332" s="3"/>
      <c r="L332" s="112"/>
      <c r="M332" s="112"/>
      <c r="N332" s="112"/>
      <c r="O332" s="112"/>
      <c r="P332" s="112"/>
      <c r="Q332" s="112"/>
      <c r="R332" s="113" t="str">
        <f aca="false">IF(AND(P332&lt;&gt;"",Q332&lt;&gt;""),P332*Q332,"")</f>
        <v/>
      </c>
      <c r="S332" s="113" t="str">
        <f aca="false">IF(M332&lt;&gt;"",SUMIF(M:M,M332,R:R),"")</f>
        <v/>
      </c>
      <c r="T332" s="113" t="str">
        <f aca="false">IF(I332&lt;&gt;"",I332,"")</f>
        <v/>
      </c>
      <c r="U332" s="114" t="str">
        <f aca="false">IF(AND(T332&lt;&gt;"",S332&lt;&gt;""),IFERROR((T332-S332)/T332,""),"")</f>
        <v/>
      </c>
    </row>
    <row r="333" customFormat="false" ht="18.75" hidden="false" customHeight="true" outlineLevel="0" collapsed="false">
      <c r="A333" s="109"/>
      <c r="B333" s="109"/>
      <c r="C333" s="109"/>
      <c r="D333" s="109"/>
      <c r="E333" s="109"/>
      <c r="F333" s="109"/>
      <c r="G333" s="110" t="str">
        <f aca="false">IF(AND(E333&lt;&gt;"",F333&lt;&gt;""),E333*F333,"")</f>
        <v/>
      </c>
      <c r="H333" s="110" t="str">
        <f aca="false">IF(B333&lt;&gt;"",SUMIF(B:B,B333,G:G),"")</f>
        <v/>
      </c>
      <c r="I333" s="109"/>
      <c r="J333" s="111" t="str">
        <f aca="false">IF(AND(I333&lt;&gt;"",H333&lt;&gt;""),IFERROR((I333-H333)/I333,""),"")</f>
        <v/>
      </c>
      <c r="K333" s="3"/>
      <c r="L333" s="109"/>
      <c r="M333" s="109"/>
      <c r="N333" s="109"/>
      <c r="O333" s="109"/>
      <c r="P333" s="109"/>
      <c r="Q333" s="109"/>
      <c r="R333" s="110" t="str">
        <f aca="false">IF(AND(P333&lt;&gt;"",Q333&lt;&gt;""),P333*Q333,"")</f>
        <v/>
      </c>
      <c r="S333" s="110" t="str">
        <f aca="false">IF(M333&lt;&gt;"",SUMIF(M:M,M333,R:R),"")</f>
        <v/>
      </c>
      <c r="T333" s="110" t="str">
        <f aca="false">IF(I333&lt;&gt;"",I333,"")</f>
        <v/>
      </c>
      <c r="U333" s="111" t="str">
        <f aca="false">IF(AND(T333&lt;&gt;"",S333&lt;&gt;""),IFERROR((T333-S333)/T333,""),"")</f>
        <v/>
      </c>
    </row>
    <row r="334" customFormat="false" ht="18.75" hidden="false" customHeight="true" outlineLevel="0" collapsed="false">
      <c r="A334" s="112"/>
      <c r="B334" s="112"/>
      <c r="C334" s="112"/>
      <c r="D334" s="112"/>
      <c r="E334" s="112"/>
      <c r="F334" s="112"/>
      <c r="G334" s="113" t="str">
        <f aca="false">IF(AND(E334&lt;&gt;"",F334&lt;&gt;""),E334*F334,"")</f>
        <v/>
      </c>
      <c r="H334" s="113" t="str">
        <f aca="false">IF(B334&lt;&gt;"",SUMIF(B:B,B334,G:G),"")</f>
        <v/>
      </c>
      <c r="I334" s="112"/>
      <c r="J334" s="114" t="str">
        <f aca="false">IF(AND(I334&lt;&gt;"",H334&lt;&gt;""),IFERROR((I334-H334)/I334,""),"")</f>
        <v/>
      </c>
      <c r="K334" s="3"/>
      <c r="L334" s="112"/>
      <c r="M334" s="112"/>
      <c r="N334" s="112"/>
      <c r="O334" s="112"/>
      <c r="P334" s="112"/>
      <c r="Q334" s="112"/>
      <c r="R334" s="113" t="str">
        <f aca="false">IF(AND(P334&lt;&gt;"",Q334&lt;&gt;""),P334*Q334,"")</f>
        <v/>
      </c>
      <c r="S334" s="113" t="str">
        <f aca="false">IF(M334&lt;&gt;"",SUMIF(M:M,M334,R:R),"")</f>
        <v/>
      </c>
      <c r="T334" s="113" t="str">
        <f aca="false">IF(I334&lt;&gt;"",I334,"")</f>
        <v/>
      </c>
      <c r="U334" s="114" t="str">
        <f aca="false">IF(AND(T334&lt;&gt;"",S334&lt;&gt;""),IFERROR((T334-S334)/T334,""),"")</f>
        <v/>
      </c>
    </row>
    <row r="335" customFormat="false" ht="18.75" hidden="false" customHeight="true" outlineLevel="0" collapsed="false">
      <c r="A335" s="109"/>
      <c r="B335" s="109"/>
      <c r="C335" s="109"/>
      <c r="D335" s="109"/>
      <c r="E335" s="109"/>
      <c r="F335" s="109"/>
      <c r="G335" s="110" t="str">
        <f aca="false">IF(AND(E335&lt;&gt;"",F335&lt;&gt;""),E335*F335,"")</f>
        <v/>
      </c>
      <c r="H335" s="110" t="str">
        <f aca="false">IF(B335&lt;&gt;"",SUMIF(B:B,B335,G:G),"")</f>
        <v/>
      </c>
      <c r="I335" s="109"/>
      <c r="J335" s="111" t="str">
        <f aca="false">IF(AND(I335&lt;&gt;"",H335&lt;&gt;""),IFERROR((I335-H335)/I335,""),"")</f>
        <v/>
      </c>
      <c r="K335" s="3"/>
      <c r="L335" s="109"/>
      <c r="M335" s="109"/>
      <c r="N335" s="109"/>
      <c r="O335" s="109"/>
      <c r="P335" s="109"/>
      <c r="Q335" s="109"/>
      <c r="R335" s="110" t="str">
        <f aca="false">IF(AND(P335&lt;&gt;"",Q335&lt;&gt;""),P335*Q335,"")</f>
        <v/>
      </c>
      <c r="S335" s="110" t="str">
        <f aca="false">IF(M335&lt;&gt;"",SUMIF(M:M,M335,R:R),"")</f>
        <v/>
      </c>
      <c r="T335" s="110" t="str">
        <f aca="false">IF(I335&lt;&gt;"",I335,"")</f>
        <v/>
      </c>
      <c r="U335" s="111" t="str">
        <f aca="false">IF(AND(T335&lt;&gt;"",S335&lt;&gt;""),IFERROR((T335-S335)/T335,""),"")</f>
        <v/>
      </c>
    </row>
    <row r="336" customFormat="false" ht="18.75" hidden="false" customHeight="true" outlineLevel="0" collapsed="false">
      <c r="A336" s="112"/>
      <c r="B336" s="112"/>
      <c r="C336" s="112"/>
      <c r="D336" s="112"/>
      <c r="E336" s="112"/>
      <c r="F336" s="112"/>
      <c r="G336" s="113" t="str">
        <f aca="false">IF(AND(E336&lt;&gt;"",F336&lt;&gt;""),E336*F336,"")</f>
        <v/>
      </c>
      <c r="H336" s="113" t="str">
        <f aca="false">IF(B336&lt;&gt;"",SUMIF(B:B,B336,G:G),"")</f>
        <v/>
      </c>
      <c r="I336" s="112"/>
      <c r="J336" s="114" t="str">
        <f aca="false">IF(AND(I336&lt;&gt;"",H336&lt;&gt;""),IFERROR((I336-H336)/I336,""),"")</f>
        <v/>
      </c>
      <c r="K336" s="3"/>
      <c r="L336" s="112"/>
      <c r="M336" s="112"/>
      <c r="N336" s="112"/>
      <c r="O336" s="112"/>
      <c r="P336" s="112"/>
      <c r="Q336" s="112"/>
      <c r="R336" s="113" t="str">
        <f aca="false">IF(AND(P336&lt;&gt;"",Q336&lt;&gt;""),P336*Q336,"")</f>
        <v/>
      </c>
      <c r="S336" s="113" t="str">
        <f aca="false">IF(M336&lt;&gt;"",SUMIF(M:M,M336,R:R),"")</f>
        <v/>
      </c>
      <c r="T336" s="113" t="str">
        <f aca="false">IF(I336&lt;&gt;"",I336,"")</f>
        <v/>
      </c>
      <c r="U336" s="114" t="str">
        <f aca="false">IF(AND(T336&lt;&gt;"",S336&lt;&gt;""),IFERROR((T336-S336)/T336,""),"")</f>
        <v/>
      </c>
    </row>
    <row r="337" customFormat="false" ht="18.75" hidden="false" customHeight="true" outlineLevel="0" collapsed="false">
      <c r="A337" s="109"/>
      <c r="B337" s="109"/>
      <c r="C337" s="109"/>
      <c r="D337" s="109"/>
      <c r="E337" s="109"/>
      <c r="F337" s="109"/>
      <c r="G337" s="110" t="str">
        <f aca="false">IF(AND(E337&lt;&gt;"",F337&lt;&gt;""),E337*F337,"")</f>
        <v/>
      </c>
      <c r="H337" s="110" t="str">
        <f aca="false">IF(B337&lt;&gt;"",SUMIF(B:B,B337,G:G),"")</f>
        <v/>
      </c>
      <c r="I337" s="109"/>
      <c r="J337" s="111" t="str">
        <f aca="false">IF(AND(I337&lt;&gt;"",H337&lt;&gt;""),IFERROR((I337-H337)/I337,""),"")</f>
        <v/>
      </c>
      <c r="K337" s="3"/>
      <c r="L337" s="109"/>
      <c r="M337" s="109"/>
      <c r="N337" s="109"/>
      <c r="O337" s="109"/>
      <c r="P337" s="109"/>
      <c r="Q337" s="109"/>
      <c r="R337" s="110" t="str">
        <f aca="false">IF(AND(P337&lt;&gt;"",Q337&lt;&gt;""),P337*Q337,"")</f>
        <v/>
      </c>
      <c r="S337" s="110" t="str">
        <f aca="false">IF(M337&lt;&gt;"",SUMIF(M:M,M337,R:R),"")</f>
        <v/>
      </c>
      <c r="T337" s="110" t="str">
        <f aca="false">IF(I337&lt;&gt;"",I337,"")</f>
        <v/>
      </c>
      <c r="U337" s="111" t="str">
        <f aca="false">IF(AND(T337&lt;&gt;"",S337&lt;&gt;""),IFERROR((T337-S337)/T337,""),"")</f>
        <v/>
      </c>
    </row>
    <row r="338" customFormat="false" ht="18.75" hidden="false" customHeight="true" outlineLevel="0" collapsed="false">
      <c r="A338" s="112"/>
      <c r="B338" s="112"/>
      <c r="C338" s="112"/>
      <c r="D338" s="112"/>
      <c r="E338" s="112"/>
      <c r="F338" s="112"/>
      <c r="G338" s="113" t="str">
        <f aca="false">IF(AND(E338&lt;&gt;"",F338&lt;&gt;""),E338*F338,"")</f>
        <v/>
      </c>
      <c r="H338" s="113" t="str">
        <f aca="false">IF(B338&lt;&gt;"",SUMIF(B:B,B338,G:G),"")</f>
        <v/>
      </c>
      <c r="I338" s="112"/>
      <c r="J338" s="114" t="str">
        <f aca="false">IF(AND(I338&lt;&gt;"",H338&lt;&gt;""),IFERROR((I338-H338)/I338,""),"")</f>
        <v/>
      </c>
      <c r="K338" s="3"/>
      <c r="L338" s="112"/>
      <c r="M338" s="112"/>
      <c r="N338" s="112"/>
      <c r="O338" s="112"/>
      <c r="P338" s="112"/>
      <c r="Q338" s="112"/>
      <c r="R338" s="113" t="str">
        <f aca="false">IF(AND(P338&lt;&gt;"",Q338&lt;&gt;""),P338*Q338,"")</f>
        <v/>
      </c>
      <c r="S338" s="113" t="str">
        <f aca="false">IF(M338&lt;&gt;"",SUMIF(M:M,M338,R:R),"")</f>
        <v/>
      </c>
      <c r="T338" s="113" t="str">
        <f aca="false">IF(I338&lt;&gt;"",I338,"")</f>
        <v/>
      </c>
      <c r="U338" s="114" t="str">
        <f aca="false">IF(AND(T338&lt;&gt;"",S338&lt;&gt;""),IFERROR((T338-S338)/T338,""),"")</f>
        <v/>
      </c>
    </row>
    <row r="339" customFormat="false" ht="18.75" hidden="false" customHeight="true" outlineLevel="0" collapsed="false">
      <c r="A339" s="109"/>
      <c r="B339" s="109"/>
      <c r="C339" s="109"/>
      <c r="D339" s="109"/>
      <c r="E339" s="109"/>
      <c r="F339" s="109"/>
      <c r="G339" s="110" t="str">
        <f aca="false">IF(AND(E339&lt;&gt;"",F339&lt;&gt;""),E339*F339,"")</f>
        <v/>
      </c>
      <c r="H339" s="110" t="str">
        <f aca="false">IF(B339&lt;&gt;"",SUMIF(B:B,B339,G:G),"")</f>
        <v/>
      </c>
      <c r="I339" s="109"/>
      <c r="J339" s="111" t="str">
        <f aca="false">IF(AND(I339&lt;&gt;"",H339&lt;&gt;""),IFERROR((I339-H339)/I339,""),"")</f>
        <v/>
      </c>
      <c r="K339" s="3"/>
      <c r="L339" s="109"/>
      <c r="M339" s="109"/>
      <c r="N339" s="109"/>
      <c r="O339" s="109"/>
      <c r="P339" s="109"/>
      <c r="Q339" s="109"/>
      <c r="R339" s="110" t="str">
        <f aca="false">IF(AND(P339&lt;&gt;"",Q339&lt;&gt;""),P339*Q339,"")</f>
        <v/>
      </c>
      <c r="S339" s="110" t="str">
        <f aca="false">IF(M339&lt;&gt;"",SUMIF(M:M,M339,R:R),"")</f>
        <v/>
      </c>
      <c r="T339" s="110" t="str">
        <f aca="false">IF(I339&lt;&gt;"",I339,"")</f>
        <v/>
      </c>
      <c r="U339" s="111" t="str">
        <f aca="false">IF(AND(T339&lt;&gt;"",S339&lt;&gt;""),IFERROR((T339-S339)/T339,""),"")</f>
        <v/>
      </c>
    </row>
    <row r="340" customFormat="false" ht="18.75" hidden="false" customHeight="true" outlineLevel="0" collapsed="false">
      <c r="A340" s="112"/>
      <c r="B340" s="112"/>
      <c r="C340" s="112"/>
      <c r="D340" s="112"/>
      <c r="E340" s="112"/>
      <c r="F340" s="112"/>
      <c r="G340" s="113" t="str">
        <f aca="false">IF(AND(E340&lt;&gt;"",F340&lt;&gt;""),E340*F340,"")</f>
        <v/>
      </c>
      <c r="H340" s="113" t="str">
        <f aca="false">IF(B340&lt;&gt;"",SUMIF(B:B,B340,G:G),"")</f>
        <v/>
      </c>
      <c r="I340" s="112"/>
      <c r="J340" s="114" t="str">
        <f aca="false">IF(AND(I340&lt;&gt;"",H340&lt;&gt;""),IFERROR((I340-H340)/I340,""),"")</f>
        <v/>
      </c>
      <c r="K340" s="3"/>
      <c r="L340" s="112"/>
      <c r="M340" s="112"/>
      <c r="N340" s="112"/>
      <c r="O340" s="112"/>
      <c r="P340" s="112"/>
      <c r="Q340" s="112"/>
      <c r="R340" s="113" t="str">
        <f aca="false">IF(AND(P340&lt;&gt;"",Q340&lt;&gt;""),P340*Q340,"")</f>
        <v/>
      </c>
      <c r="S340" s="113" t="str">
        <f aca="false">IF(M340&lt;&gt;"",SUMIF(M:M,M340,R:R),"")</f>
        <v/>
      </c>
      <c r="T340" s="113" t="str">
        <f aca="false">IF(I340&lt;&gt;"",I340,"")</f>
        <v/>
      </c>
      <c r="U340" s="114" t="str">
        <f aca="false">IF(AND(T340&lt;&gt;"",S340&lt;&gt;""),IFERROR((T340-S340)/T340,""),"")</f>
        <v/>
      </c>
    </row>
    <row r="341" customFormat="false" ht="18.75" hidden="false" customHeight="true" outlineLevel="0" collapsed="false">
      <c r="A341" s="109"/>
      <c r="B341" s="109"/>
      <c r="C341" s="109"/>
      <c r="D341" s="109"/>
      <c r="E341" s="109"/>
      <c r="F341" s="109"/>
      <c r="G341" s="110" t="str">
        <f aca="false">IF(AND(E341&lt;&gt;"",F341&lt;&gt;""),E341*F341,"")</f>
        <v/>
      </c>
      <c r="H341" s="110" t="str">
        <f aca="false">IF(B341&lt;&gt;"",SUMIF(B:B,B341,G:G),"")</f>
        <v/>
      </c>
      <c r="I341" s="109"/>
      <c r="J341" s="111" t="str">
        <f aca="false">IF(AND(I341&lt;&gt;"",H341&lt;&gt;""),IFERROR((I341-H341)/I341,""),"")</f>
        <v/>
      </c>
      <c r="K341" s="3"/>
      <c r="L341" s="109"/>
      <c r="M341" s="109"/>
      <c r="N341" s="109"/>
      <c r="O341" s="109"/>
      <c r="P341" s="109"/>
      <c r="Q341" s="109"/>
      <c r="R341" s="110" t="str">
        <f aca="false">IF(AND(P341&lt;&gt;"",Q341&lt;&gt;""),P341*Q341,"")</f>
        <v/>
      </c>
      <c r="S341" s="110" t="str">
        <f aca="false">IF(M341&lt;&gt;"",SUMIF(M:M,M341,R:R),"")</f>
        <v/>
      </c>
      <c r="T341" s="110" t="str">
        <f aca="false">IF(I341&lt;&gt;"",I341,"")</f>
        <v/>
      </c>
      <c r="U341" s="111" t="str">
        <f aca="false">IF(AND(T341&lt;&gt;"",S341&lt;&gt;""),IFERROR((T341-S341)/T341,""),"")</f>
        <v/>
      </c>
    </row>
    <row r="342" customFormat="false" ht="18.75" hidden="false" customHeight="true" outlineLevel="0" collapsed="false">
      <c r="A342" s="112"/>
      <c r="B342" s="112"/>
      <c r="C342" s="112"/>
      <c r="D342" s="112"/>
      <c r="E342" s="112"/>
      <c r="F342" s="112"/>
      <c r="G342" s="113" t="str">
        <f aca="false">IF(AND(E342&lt;&gt;"",F342&lt;&gt;""),E342*F342,"")</f>
        <v/>
      </c>
      <c r="H342" s="113" t="str">
        <f aca="false">IF(B342&lt;&gt;"",SUMIF(B:B,B342,G:G),"")</f>
        <v/>
      </c>
      <c r="I342" s="112"/>
      <c r="J342" s="114" t="str">
        <f aca="false">IF(AND(I342&lt;&gt;"",H342&lt;&gt;""),IFERROR((I342-H342)/I342,""),"")</f>
        <v/>
      </c>
      <c r="K342" s="3"/>
      <c r="L342" s="112"/>
      <c r="M342" s="112"/>
      <c r="N342" s="112"/>
      <c r="O342" s="112"/>
      <c r="P342" s="112"/>
      <c r="Q342" s="112"/>
      <c r="R342" s="113" t="str">
        <f aca="false">IF(AND(P342&lt;&gt;"",Q342&lt;&gt;""),P342*Q342,"")</f>
        <v/>
      </c>
      <c r="S342" s="113" t="str">
        <f aca="false">IF(M342&lt;&gt;"",SUMIF(M:M,M342,R:R),"")</f>
        <v/>
      </c>
      <c r="T342" s="113" t="str">
        <f aca="false">IF(I342&lt;&gt;"",I342,"")</f>
        <v/>
      </c>
      <c r="U342" s="114" t="str">
        <f aca="false">IF(AND(T342&lt;&gt;"",S342&lt;&gt;""),IFERROR((T342-S342)/T342,""),"")</f>
        <v/>
      </c>
    </row>
    <row r="343" customFormat="false" ht="18.75" hidden="false" customHeight="true" outlineLevel="0" collapsed="false">
      <c r="A343" s="109"/>
      <c r="B343" s="109"/>
      <c r="C343" s="109"/>
      <c r="D343" s="109"/>
      <c r="E343" s="109"/>
      <c r="F343" s="109"/>
      <c r="G343" s="110" t="str">
        <f aca="false">IF(AND(E343&lt;&gt;"",F343&lt;&gt;""),E343*F343,"")</f>
        <v/>
      </c>
      <c r="H343" s="110" t="str">
        <f aca="false">IF(B343&lt;&gt;"",SUMIF(B:B,B343,G:G),"")</f>
        <v/>
      </c>
      <c r="I343" s="109"/>
      <c r="J343" s="111" t="str">
        <f aca="false">IF(AND(I343&lt;&gt;"",H343&lt;&gt;""),IFERROR((I343-H343)/I343,""),"")</f>
        <v/>
      </c>
      <c r="K343" s="3"/>
      <c r="L343" s="109"/>
      <c r="M343" s="109"/>
      <c r="N343" s="109"/>
      <c r="O343" s="109"/>
      <c r="P343" s="109"/>
      <c r="Q343" s="109"/>
      <c r="R343" s="110" t="str">
        <f aca="false">IF(AND(P343&lt;&gt;"",Q343&lt;&gt;""),P343*Q343,"")</f>
        <v/>
      </c>
      <c r="S343" s="110" t="str">
        <f aca="false">IF(M343&lt;&gt;"",SUMIF(M:M,M343,R:R),"")</f>
        <v/>
      </c>
      <c r="T343" s="110" t="str">
        <f aca="false">IF(I343&lt;&gt;"",I343,"")</f>
        <v/>
      </c>
      <c r="U343" s="111" t="str">
        <f aca="false">IF(AND(T343&lt;&gt;"",S343&lt;&gt;""),IFERROR((T343-S343)/T343,""),"")</f>
        <v/>
      </c>
    </row>
    <row r="344" customFormat="false" ht="18.75" hidden="false" customHeight="true" outlineLevel="0" collapsed="false">
      <c r="A344" s="112"/>
      <c r="B344" s="112"/>
      <c r="C344" s="112"/>
      <c r="D344" s="112"/>
      <c r="E344" s="112"/>
      <c r="F344" s="112"/>
      <c r="G344" s="113" t="str">
        <f aca="false">IF(AND(E344&lt;&gt;"",F344&lt;&gt;""),E344*F344,"")</f>
        <v/>
      </c>
      <c r="H344" s="113" t="str">
        <f aca="false">IF(B344&lt;&gt;"",SUMIF(B:B,B344,G:G),"")</f>
        <v/>
      </c>
      <c r="I344" s="112"/>
      <c r="J344" s="114" t="str">
        <f aca="false">IF(AND(I344&lt;&gt;"",H344&lt;&gt;""),IFERROR((I344-H344)/I344,""),"")</f>
        <v/>
      </c>
      <c r="K344" s="3"/>
      <c r="L344" s="112"/>
      <c r="M344" s="112"/>
      <c r="N344" s="112"/>
      <c r="O344" s="112"/>
      <c r="P344" s="112"/>
      <c r="Q344" s="112"/>
      <c r="R344" s="113" t="str">
        <f aca="false">IF(AND(P344&lt;&gt;"",Q344&lt;&gt;""),P344*Q344,"")</f>
        <v/>
      </c>
      <c r="S344" s="113" t="str">
        <f aca="false">IF(M344&lt;&gt;"",SUMIF(M:M,M344,R:R),"")</f>
        <v/>
      </c>
      <c r="T344" s="113" t="str">
        <f aca="false">IF(I344&lt;&gt;"",I344,"")</f>
        <v/>
      </c>
      <c r="U344" s="114" t="str">
        <f aca="false">IF(AND(T344&lt;&gt;"",S344&lt;&gt;""),IFERROR((T344-S344)/T344,""),"")</f>
        <v/>
      </c>
    </row>
    <row r="345" customFormat="false" ht="18.75" hidden="false" customHeight="true" outlineLevel="0" collapsed="false">
      <c r="A345" s="109"/>
      <c r="B345" s="109"/>
      <c r="C345" s="109"/>
      <c r="D345" s="109"/>
      <c r="E345" s="109"/>
      <c r="F345" s="109"/>
      <c r="G345" s="110" t="str">
        <f aca="false">IF(AND(E345&lt;&gt;"",F345&lt;&gt;""),E345*F345,"")</f>
        <v/>
      </c>
      <c r="H345" s="110" t="str">
        <f aca="false">IF(B345&lt;&gt;"",SUMIF(B:B,B345,G:G),"")</f>
        <v/>
      </c>
      <c r="I345" s="109"/>
      <c r="J345" s="111" t="str">
        <f aca="false">IF(AND(I345&lt;&gt;"",H345&lt;&gt;""),IFERROR((I345-H345)/I345,""),"")</f>
        <v/>
      </c>
      <c r="K345" s="3"/>
      <c r="L345" s="109"/>
      <c r="M345" s="109"/>
      <c r="N345" s="109"/>
      <c r="O345" s="109"/>
      <c r="P345" s="109"/>
      <c r="Q345" s="109"/>
      <c r="R345" s="110" t="str">
        <f aca="false">IF(AND(P345&lt;&gt;"",Q345&lt;&gt;""),P345*Q345,"")</f>
        <v/>
      </c>
      <c r="S345" s="110" t="str">
        <f aca="false">IF(M345&lt;&gt;"",SUMIF(M:M,M345,R:R),"")</f>
        <v/>
      </c>
      <c r="T345" s="110" t="str">
        <f aca="false">IF(I345&lt;&gt;"",I345,"")</f>
        <v/>
      </c>
      <c r="U345" s="111" t="str">
        <f aca="false">IF(AND(T345&lt;&gt;"",S345&lt;&gt;""),IFERROR((T345-S345)/T345,""),"")</f>
        <v/>
      </c>
    </row>
    <row r="346" customFormat="false" ht="18.75" hidden="false" customHeight="true" outlineLevel="0" collapsed="false">
      <c r="A346" s="112"/>
      <c r="B346" s="112"/>
      <c r="C346" s="112"/>
      <c r="D346" s="112"/>
      <c r="E346" s="112"/>
      <c r="F346" s="112"/>
      <c r="G346" s="113" t="str">
        <f aca="false">IF(AND(E346&lt;&gt;"",F346&lt;&gt;""),E346*F346,"")</f>
        <v/>
      </c>
      <c r="H346" s="113" t="str">
        <f aca="false">IF(B346&lt;&gt;"",SUMIF(B:B,B346,G:G),"")</f>
        <v/>
      </c>
      <c r="I346" s="112"/>
      <c r="J346" s="114" t="str">
        <f aca="false">IF(AND(I346&lt;&gt;"",H346&lt;&gt;""),IFERROR((I346-H346)/I346,""),"")</f>
        <v/>
      </c>
      <c r="K346" s="3"/>
      <c r="L346" s="112"/>
      <c r="M346" s="112"/>
      <c r="N346" s="112"/>
      <c r="O346" s="112"/>
      <c r="P346" s="112"/>
      <c r="Q346" s="112"/>
      <c r="R346" s="113" t="str">
        <f aca="false">IF(AND(P346&lt;&gt;"",Q346&lt;&gt;""),P346*Q346,"")</f>
        <v/>
      </c>
      <c r="S346" s="113" t="str">
        <f aca="false">IF(M346&lt;&gt;"",SUMIF(M:M,M346,R:R),"")</f>
        <v/>
      </c>
      <c r="T346" s="113" t="str">
        <f aca="false">IF(I346&lt;&gt;"",I346,"")</f>
        <v/>
      </c>
      <c r="U346" s="114" t="str">
        <f aca="false">IF(AND(T346&lt;&gt;"",S346&lt;&gt;""),IFERROR((T346-S346)/T346,""),"")</f>
        <v/>
      </c>
    </row>
    <row r="347" customFormat="false" ht="18.75" hidden="false" customHeight="true" outlineLevel="0" collapsed="false">
      <c r="A347" s="109"/>
      <c r="B347" s="109"/>
      <c r="C347" s="109"/>
      <c r="D347" s="109"/>
      <c r="E347" s="109"/>
      <c r="F347" s="109"/>
      <c r="G347" s="110" t="str">
        <f aca="false">IF(AND(E347&lt;&gt;"",F347&lt;&gt;""),E347*F347,"")</f>
        <v/>
      </c>
      <c r="H347" s="110" t="str">
        <f aca="false">IF(B347&lt;&gt;"",SUMIF(B:B,B347,G:G),"")</f>
        <v/>
      </c>
      <c r="I347" s="109"/>
      <c r="J347" s="111" t="str">
        <f aca="false">IF(AND(I347&lt;&gt;"",H347&lt;&gt;""),IFERROR((I347-H347)/I347,""),"")</f>
        <v/>
      </c>
      <c r="K347" s="3"/>
      <c r="L347" s="109"/>
      <c r="M347" s="109"/>
      <c r="N347" s="109"/>
      <c r="O347" s="109"/>
      <c r="P347" s="109"/>
      <c r="Q347" s="109"/>
      <c r="R347" s="110" t="str">
        <f aca="false">IF(AND(P347&lt;&gt;"",Q347&lt;&gt;""),P347*Q347,"")</f>
        <v/>
      </c>
      <c r="S347" s="110" t="str">
        <f aca="false">IF(M347&lt;&gt;"",SUMIF(M:M,M347,R:R),"")</f>
        <v/>
      </c>
      <c r="T347" s="110" t="str">
        <f aca="false">IF(I347&lt;&gt;"",I347,"")</f>
        <v/>
      </c>
      <c r="U347" s="111" t="str">
        <f aca="false">IF(AND(T347&lt;&gt;"",S347&lt;&gt;""),IFERROR((T347-S347)/T347,""),"")</f>
        <v/>
      </c>
    </row>
    <row r="348" customFormat="false" ht="18.75" hidden="false" customHeight="true" outlineLevel="0" collapsed="false">
      <c r="A348" s="112"/>
      <c r="B348" s="112"/>
      <c r="C348" s="112"/>
      <c r="D348" s="112"/>
      <c r="E348" s="112"/>
      <c r="F348" s="112"/>
      <c r="G348" s="113" t="str">
        <f aca="false">IF(AND(E348&lt;&gt;"",F348&lt;&gt;""),E348*F348,"")</f>
        <v/>
      </c>
      <c r="H348" s="113" t="str">
        <f aca="false">IF(B348&lt;&gt;"",SUMIF(B:B,B348,G:G),"")</f>
        <v/>
      </c>
      <c r="I348" s="112"/>
      <c r="J348" s="114" t="str">
        <f aca="false">IF(AND(I348&lt;&gt;"",H348&lt;&gt;""),IFERROR((I348-H348)/I348,""),"")</f>
        <v/>
      </c>
      <c r="K348" s="3"/>
      <c r="L348" s="112"/>
      <c r="M348" s="112"/>
      <c r="N348" s="112"/>
      <c r="O348" s="112"/>
      <c r="P348" s="112"/>
      <c r="Q348" s="112"/>
      <c r="R348" s="113" t="str">
        <f aca="false">IF(AND(P348&lt;&gt;"",Q348&lt;&gt;""),P348*Q348,"")</f>
        <v/>
      </c>
      <c r="S348" s="113" t="str">
        <f aca="false">IF(M348&lt;&gt;"",SUMIF(M:M,M348,R:R),"")</f>
        <v/>
      </c>
      <c r="T348" s="113" t="str">
        <f aca="false">IF(I348&lt;&gt;"",I348,"")</f>
        <v/>
      </c>
      <c r="U348" s="114" t="str">
        <f aca="false">IF(AND(T348&lt;&gt;"",S348&lt;&gt;""),IFERROR((T348-S348)/T348,""),"")</f>
        <v/>
      </c>
    </row>
    <row r="349" customFormat="false" ht="18.75" hidden="false" customHeight="true" outlineLevel="0" collapsed="false">
      <c r="A349" s="109"/>
      <c r="B349" s="109"/>
      <c r="C349" s="109"/>
      <c r="D349" s="109"/>
      <c r="E349" s="109"/>
      <c r="F349" s="109"/>
      <c r="G349" s="110" t="str">
        <f aca="false">IF(AND(E349&lt;&gt;"",F349&lt;&gt;""),E349*F349,"")</f>
        <v/>
      </c>
      <c r="H349" s="110" t="str">
        <f aca="false">IF(B349&lt;&gt;"",SUMIF(B:B,B349,G:G),"")</f>
        <v/>
      </c>
      <c r="I349" s="109"/>
      <c r="J349" s="111" t="str">
        <f aca="false">IF(AND(I349&lt;&gt;"",H349&lt;&gt;""),IFERROR((I349-H349)/I349,""),"")</f>
        <v/>
      </c>
      <c r="K349" s="3"/>
      <c r="L349" s="109"/>
      <c r="M349" s="109"/>
      <c r="N349" s="109"/>
      <c r="O349" s="109"/>
      <c r="P349" s="109"/>
      <c r="Q349" s="109"/>
      <c r="R349" s="110" t="str">
        <f aca="false">IF(AND(P349&lt;&gt;"",Q349&lt;&gt;""),P349*Q349,"")</f>
        <v/>
      </c>
      <c r="S349" s="110" t="str">
        <f aca="false">IF(M349&lt;&gt;"",SUMIF(M:M,M349,R:R),"")</f>
        <v/>
      </c>
      <c r="T349" s="110" t="str">
        <f aca="false">IF(I349&lt;&gt;"",I349,"")</f>
        <v/>
      </c>
      <c r="U349" s="111" t="str">
        <f aca="false">IF(AND(T349&lt;&gt;"",S349&lt;&gt;""),IFERROR((T349-S349)/T349,""),"")</f>
        <v/>
      </c>
    </row>
    <row r="350" customFormat="false" ht="18.75" hidden="false" customHeight="true" outlineLevel="0" collapsed="false">
      <c r="A350" s="112"/>
      <c r="B350" s="112"/>
      <c r="C350" s="112"/>
      <c r="D350" s="112"/>
      <c r="E350" s="112"/>
      <c r="F350" s="112"/>
      <c r="G350" s="113" t="str">
        <f aca="false">IF(AND(E350&lt;&gt;"",F350&lt;&gt;""),E350*F350,"")</f>
        <v/>
      </c>
      <c r="H350" s="113" t="str">
        <f aca="false">IF(B350&lt;&gt;"",SUMIF(B:B,B350,G:G),"")</f>
        <v/>
      </c>
      <c r="I350" s="112"/>
      <c r="J350" s="114" t="str">
        <f aca="false">IF(AND(I350&lt;&gt;"",H350&lt;&gt;""),IFERROR((I350-H350)/I350,""),"")</f>
        <v/>
      </c>
      <c r="K350" s="3"/>
      <c r="L350" s="112"/>
      <c r="M350" s="112"/>
      <c r="N350" s="112"/>
      <c r="O350" s="112"/>
      <c r="P350" s="112"/>
      <c r="Q350" s="112"/>
      <c r="R350" s="113" t="str">
        <f aca="false">IF(AND(P350&lt;&gt;"",Q350&lt;&gt;""),P350*Q350,"")</f>
        <v/>
      </c>
      <c r="S350" s="113" t="str">
        <f aca="false">IF(M350&lt;&gt;"",SUMIF(M:M,M350,R:R),"")</f>
        <v/>
      </c>
      <c r="T350" s="113" t="str">
        <f aca="false">IF(I350&lt;&gt;"",I350,"")</f>
        <v/>
      </c>
      <c r="U350" s="114" t="str">
        <f aca="false">IF(AND(T350&lt;&gt;"",S350&lt;&gt;""),IFERROR((T350-S350)/T350,""),"")</f>
        <v/>
      </c>
    </row>
    <row r="351" customFormat="false" ht="18.75" hidden="false" customHeight="true" outlineLevel="0" collapsed="false">
      <c r="A351" s="109"/>
      <c r="B351" s="109"/>
      <c r="C351" s="109"/>
      <c r="D351" s="109"/>
      <c r="E351" s="109"/>
      <c r="F351" s="109"/>
      <c r="G351" s="110" t="str">
        <f aca="false">IF(AND(E351&lt;&gt;"",F351&lt;&gt;""),E351*F351,"")</f>
        <v/>
      </c>
      <c r="H351" s="110" t="str">
        <f aca="false">IF(B351&lt;&gt;"",SUMIF(B:B,B351,G:G),"")</f>
        <v/>
      </c>
      <c r="I351" s="109"/>
      <c r="J351" s="111" t="str">
        <f aca="false">IF(AND(I351&lt;&gt;"",H351&lt;&gt;""),IFERROR((I351-H351)/I351,""),"")</f>
        <v/>
      </c>
      <c r="K351" s="3"/>
      <c r="L351" s="109"/>
      <c r="M351" s="109"/>
      <c r="N351" s="109"/>
      <c r="O351" s="109"/>
      <c r="P351" s="109"/>
      <c r="Q351" s="109"/>
      <c r="R351" s="110" t="str">
        <f aca="false">IF(AND(P351&lt;&gt;"",Q351&lt;&gt;""),P351*Q351,"")</f>
        <v/>
      </c>
      <c r="S351" s="110" t="str">
        <f aca="false">IF(M351&lt;&gt;"",SUMIF(M:M,M351,R:R),"")</f>
        <v/>
      </c>
      <c r="T351" s="110" t="str">
        <f aca="false">IF(I351&lt;&gt;"",I351,"")</f>
        <v/>
      </c>
      <c r="U351" s="111" t="str">
        <f aca="false">IF(AND(T351&lt;&gt;"",S351&lt;&gt;""),IFERROR((T351-S351)/T351,""),"")</f>
        <v/>
      </c>
    </row>
    <row r="352" customFormat="false" ht="18.75" hidden="false" customHeight="true" outlineLevel="0" collapsed="false">
      <c r="A352" s="112"/>
      <c r="B352" s="112"/>
      <c r="C352" s="112"/>
      <c r="D352" s="112"/>
      <c r="E352" s="112"/>
      <c r="F352" s="112"/>
      <c r="G352" s="113" t="str">
        <f aca="false">IF(AND(E352&lt;&gt;"",F352&lt;&gt;""),E352*F352,"")</f>
        <v/>
      </c>
      <c r="H352" s="113" t="str">
        <f aca="false">IF(B352&lt;&gt;"",SUMIF(B:B,B352,G:G),"")</f>
        <v/>
      </c>
      <c r="I352" s="112"/>
      <c r="J352" s="114" t="str">
        <f aca="false">IF(AND(I352&lt;&gt;"",H352&lt;&gt;""),IFERROR((I352-H352)/I352,""),"")</f>
        <v/>
      </c>
      <c r="K352" s="3"/>
      <c r="L352" s="112"/>
      <c r="M352" s="112"/>
      <c r="N352" s="112"/>
      <c r="O352" s="112"/>
      <c r="P352" s="112"/>
      <c r="Q352" s="112"/>
      <c r="R352" s="113" t="str">
        <f aca="false">IF(AND(P352&lt;&gt;"",Q352&lt;&gt;""),P352*Q352,"")</f>
        <v/>
      </c>
      <c r="S352" s="113" t="str">
        <f aca="false">IF(M352&lt;&gt;"",SUMIF(M:M,M352,R:R),"")</f>
        <v/>
      </c>
      <c r="T352" s="113" t="str">
        <f aca="false">IF(I352&lt;&gt;"",I352,"")</f>
        <v/>
      </c>
      <c r="U352" s="114" t="str">
        <f aca="false">IF(AND(T352&lt;&gt;"",S352&lt;&gt;""),IFERROR((T352-S352)/T352,""),"")</f>
        <v/>
      </c>
    </row>
    <row r="353" customFormat="false" ht="18.75" hidden="false" customHeight="true" outlineLevel="0" collapsed="false">
      <c r="A353" s="109"/>
      <c r="B353" s="109"/>
      <c r="C353" s="109"/>
      <c r="D353" s="109"/>
      <c r="E353" s="109"/>
      <c r="F353" s="109"/>
      <c r="G353" s="110" t="str">
        <f aca="false">IF(AND(E353&lt;&gt;"",F353&lt;&gt;""),E353*F353,"")</f>
        <v/>
      </c>
      <c r="H353" s="110" t="str">
        <f aca="false">IF(B353&lt;&gt;"",SUMIF(B:B,B353,G:G),"")</f>
        <v/>
      </c>
      <c r="I353" s="109"/>
      <c r="J353" s="111" t="str">
        <f aca="false">IF(AND(I353&lt;&gt;"",H353&lt;&gt;""),IFERROR((I353-H353)/I353,""),"")</f>
        <v/>
      </c>
      <c r="K353" s="3"/>
      <c r="L353" s="109"/>
      <c r="M353" s="109"/>
      <c r="N353" s="109"/>
      <c r="O353" s="109"/>
      <c r="P353" s="109"/>
      <c r="Q353" s="109"/>
      <c r="R353" s="110" t="str">
        <f aca="false">IF(AND(P353&lt;&gt;"",Q353&lt;&gt;""),P353*Q353,"")</f>
        <v/>
      </c>
      <c r="S353" s="110" t="str">
        <f aca="false">IF(M353&lt;&gt;"",SUMIF(M:M,M353,R:R),"")</f>
        <v/>
      </c>
      <c r="T353" s="110" t="str">
        <f aca="false">IF(I353&lt;&gt;"",I353,"")</f>
        <v/>
      </c>
      <c r="U353" s="111" t="str">
        <f aca="false">IF(AND(T353&lt;&gt;"",S353&lt;&gt;""),IFERROR((T353-S353)/T353,""),"")</f>
        <v/>
      </c>
    </row>
    <row r="354" customFormat="false" ht="18.75" hidden="false" customHeight="true" outlineLevel="0" collapsed="false">
      <c r="A354" s="112"/>
      <c r="B354" s="112"/>
      <c r="C354" s="112"/>
      <c r="D354" s="112"/>
      <c r="E354" s="112"/>
      <c r="F354" s="112"/>
      <c r="G354" s="113" t="str">
        <f aca="false">IF(AND(E354&lt;&gt;"",F354&lt;&gt;""),E354*F354,"")</f>
        <v/>
      </c>
      <c r="H354" s="113" t="str">
        <f aca="false">IF(B354&lt;&gt;"",SUMIF(B:B,B354,G:G),"")</f>
        <v/>
      </c>
      <c r="I354" s="112"/>
      <c r="J354" s="114" t="str">
        <f aca="false">IF(AND(I354&lt;&gt;"",H354&lt;&gt;""),IFERROR((I354-H354)/I354,""),"")</f>
        <v/>
      </c>
      <c r="K354" s="3"/>
      <c r="L354" s="112"/>
      <c r="M354" s="112"/>
      <c r="N354" s="112"/>
      <c r="O354" s="112"/>
      <c r="P354" s="112"/>
      <c r="Q354" s="112"/>
      <c r="R354" s="113" t="str">
        <f aca="false">IF(AND(P354&lt;&gt;"",Q354&lt;&gt;""),P354*Q354,"")</f>
        <v/>
      </c>
      <c r="S354" s="113" t="str">
        <f aca="false">IF(M354&lt;&gt;"",SUMIF(M:M,M354,R:R),"")</f>
        <v/>
      </c>
      <c r="T354" s="113" t="str">
        <f aca="false">IF(I354&lt;&gt;"",I354,"")</f>
        <v/>
      </c>
      <c r="U354" s="114" t="str">
        <f aca="false">IF(AND(T354&lt;&gt;"",S354&lt;&gt;""),IFERROR((T354-S354)/T354,""),"")</f>
        <v/>
      </c>
    </row>
    <row r="355" customFormat="false" ht="18.75" hidden="false" customHeight="true" outlineLevel="0" collapsed="false">
      <c r="A355" s="109"/>
      <c r="B355" s="109"/>
      <c r="C355" s="109"/>
      <c r="D355" s="109"/>
      <c r="E355" s="109"/>
      <c r="F355" s="109"/>
      <c r="G355" s="110" t="str">
        <f aca="false">IF(AND(E355&lt;&gt;"",F355&lt;&gt;""),E355*F355,"")</f>
        <v/>
      </c>
      <c r="H355" s="110" t="str">
        <f aca="false">IF(B355&lt;&gt;"",SUMIF(B:B,B355,G:G),"")</f>
        <v/>
      </c>
      <c r="I355" s="109"/>
      <c r="J355" s="111" t="str">
        <f aca="false">IF(AND(I355&lt;&gt;"",H355&lt;&gt;""),IFERROR((I355-H355)/I355,""),"")</f>
        <v/>
      </c>
      <c r="K355" s="3"/>
      <c r="L355" s="109"/>
      <c r="M355" s="109"/>
      <c r="N355" s="109"/>
      <c r="O355" s="109"/>
      <c r="P355" s="109"/>
      <c r="Q355" s="109"/>
      <c r="R355" s="110" t="str">
        <f aca="false">IF(AND(P355&lt;&gt;"",Q355&lt;&gt;""),P355*Q355,"")</f>
        <v/>
      </c>
      <c r="S355" s="110" t="str">
        <f aca="false">IF(M355&lt;&gt;"",SUMIF(M:M,M355,R:R),"")</f>
        <v/>
      </c>
      <c r="T355" s="110" t="str">
        <f aca="false">IF(I355&lt;&gt;"",I355,"")</f>
        <v/>
      </c>
      <c r="U355" s="111" t="str">
        <f aca="false">IF(AND(T355&lt;&gt;"",S355&lt;&gt;""),IFERROR((T355-S355)/T355,""),"")</f>
        <v/>
      </c>
    </row>
    <row r="356" customFormat="false" ht="18.75" hidden="false" customHeight="true" outlineLevel="0" collapsed="false">
      <c r="A356" s="112"/>
      <c r="B356" s="112"/>
      <c r="C356" s="112"/>
      <c r="D356" s="112"/>
      <c r="E356" s="112"/>
      <c r="F356" s="112"/>
      <c r="G356" s="113" t="str">
        <f aca="false">IF(AND(E356&lt;&gt;"",F356&lt;&gt;""),E356*F356,"")</f>
        <v/>
      </c>
      <c r="H356" s="113" t="str">
        <f aca="false">IF(B356&lt;&gt;"",SUMIF(B:B,B356,G:G),"")</f>
        <v/>
      </c>
      <c r="I356" s="112"/>
      <c r="J356" s="114" t="str">
        <f aca="false">IF(AND(I356&lt;&gt;"",H356&lt;&gt;""),IFERROR((I356-H356)/I356,""),"")</f>
        <v/>
      </c>
      <c r="K356" s="3"/>
      <c r="L356" s="112"/>
      <c r="M356" s="112"/>
      <c r="N356" s="112"/>
      <c r="O356" s="112"/>
      <c r="P356" s="112"/>
      <c r="Q356" s="112"/>
      <c r="R356" s="113" t="str">
        <f aca="false">IF(AND(P356&lt;&gt;"",Q356&lt;&gt;""),P356*Q356,"")</f>
        <v/>
      </c>
      <c r="S356" s="113" t="str">
        <f aca="false">IF(M356&lt;&gt;"",SUMIF(M:M,M356,R:R),"")</f>
        <v/>
      </c>
      <c r="T356" s="113" t="str">
        <f aca="false">IF(I356&lt;&gt;"",I356,"")</f>
        <v/>
      </c>
      <c r="U356" s="114" t="str">
        <f aca="false">IF(AND(T356&lt;&gt;"",S356&lt;&gt;""),IFERROR((T356-S356)/T356,""),"")</f>
        <v/>
      </c>
    </row>
    <row r="357" customFormat="false" ht="18.75" hidden="false" customHeight="true" outlineLevel="0" collapsed="false">
      <c r="A357" s="109"/>
      <c r="B357" s="109"/>
      <c r="C357" s="109"/>
      <c r="D357" s="109"/>
      <c r="E357" s="109"/>
      <c r="F357" s="109"/>
      <c r="G357" s="110" t="str">
        <f aca="false">IF(AND(E357&lt;&gt;"",F357&lt;&gt;""),E357*F357,"")</f>
        <v/>
      </c>
      <c r="H357" s="110" t="str">
        <f aca="false">IF(B357&lt;&gt;"",SUMIF(B:B,B357,G:G),"")</f>
        <v/>
      </c>
      <c r="I357" s="109"/>
      <c r="J357" s="111" t="str">
        <f aca="false">IF(AND(I357&lt;&gt;"",H357&lt;&gt;""),IFERROR((I357-H357)/I357,""),"")</f>
        <v/>
      </c>
      <c r="K357" s="3"/>
      <c r="L357" s="109"/>
      <c r="M357" s="109"/>
      <c r="N357" s="109"/>
      <c r="O357" s="109"/>
      <c r="P357" s="109"/>
      <c r="Q357" s="109"/>
      <c r="R357" s="110" t="str">
        <f aca="false">IF(AND(P357&lt;&gt;"",Q357&lt;&gt;""),P357*Q357,"")</f>
        <v/>
      </c>
      <c r="S357" s="110" t="str">
        <f aca="false">IF(M357&lt;&gt;"",SUMIF(M:M,M357,R:R),"")</f>
        <v/>
      </c>
      <c r="T357" s="110" t="str">
        <f aca="false">IF(I357&lt;&gt;"",I357,"")</f>
        <v/>
      </c>
      <c r="U357" s="111" t="str">
        <f aca="false">IF(AND(T357&lt;&gt;"",S357&lt;&gt;""),IFERROR((T357-S357)/T357,""),"")</f>
        <v/>
      </c>
    </row>
    <row r="358" customFormat="false" ht="18.75" hidden="false" customHeight="true" outlineLevel="0" collapsed="false">
      <c r="A358" s="112"/>
      <c r="B358" s="112"/>
      <c r="C358" s="112"/>
      <c r="D358" s="112"/>
      <c r="E358" s="112"/>
      <c r="F358" s="112"/>
      <c r="G358" s="113" t="str">
        <f aca="false">IF(AND(E358&lt;&gt;"",F358&lt;&gt;""),E358*F358,"")</f>
        <v/>
      </c>
      <c r="H358" s="113" t="str">
        <f aca="false">IF(B358&lt;&gt;"",SUMIF(B:B,B358,G:G),"")</f>
        <v/>
      </c>
      <c r="I358" s="112"/>
      <c r="J358" s="114" t="str">
        <f aca="false">IF(AND(I358&lt;&gt;"",H358&lt;&gt;""),IFERROR((I358-H358)/I358,""),"")</f>
        <v/>
      </c>
      <c r="K358" s="3"/>
      <c r="L358" s="112"/>
      <c r="M358" s="112"/>
      <c r="N358" s="112"/>
      <c r="O358" s="112"/>
      <c r="P358" s="112"/>
      <c r="Q358" s="112"/>
      <c r="R358" s="113" t="str">
        <f aca="false">IF(AND(P358&lt;&gt;"",Q358&lt;&gt;""),P358*Q358,"")</f>
        <v/>
      </c>
      <c r="S358" s="113" t="str">
        <f aca="false">IF(M358&lt;&gt;"",SUMIF(M:M,M358,R:R),"")</f>
        <v/>
      </c>
      <c r="T358" s="113" t="str">
        <f aca="false">IF(I358&lt;&gt;"",I358,"")</f>
        <v/>
      </c>
      <c r="U358" s="114" t="str">
        <f aca="false">IF(AND(T358&lt;&gt;"",S358&lt;&gt;""),IFERROR((T358-S358)/T358,""),"")</f>
        <v/>
      </c>
    </row>
    <row r="359" customFormat="false" ht="18.75" hidden="false" customHeight="true" outlineLevel="0" collapsed="false">
      <c r="A359" s="109"/>
      <c r="B359" s="109"/>
      <c r="C359" s="109"/>
      <c r="D359" s="109"/>
      <c r="E359" s="109"/>
      <c r="F359" s="109"/>
      <c r="G359" s="110" t="str">
        <f aca="false">IF(AND(E359&lt;&gt;"",F359&lt;&gt;""),E359*F359,"")</f>
        <v/>
      </c>
      <c r="H359" s="110" t="str">
        <f aca="false">IF(B359&lt;&gt;"",SUMIF(B:B,B359,G:G),"")</f>
        <v/>
      </c>
      <c r="I359" s="109"/>
      <c r="J359" s="111" t="str">
        <f aca="false">IF(AND(I359&lt;&gt;"",H359&lt;&gt;""),IFERROR((I359-H359)/I359,""),"")</f>
        <v/>
      </c>
      <c r="K359" s="3"/>
      <c r="L359" s="109"/>
      <c r="M359" s="109"/>
      <c r="N359" s="109"/>
      <c r="O359" s="109"/>
      <c r="P359" s="109"/>
      <c r="Q359" s="109"/>
      <c r="R359" s="110" t="str">
        <f aca="false">IF(AND(P359&lt;&gt;"",Q359&lt;&gt;""),P359*Q359,"")</f>
        <v/>
      </c>
      <c r="S359" s="110" t="str">
        <f aca="false">IF(M359&lt;&gt;"",SUMIF(M:M,M359,R:R),"")</f>
        <v/>
      </c>
      <c r="T359" s="110" t="str">
        <f aca="false">IF(I359&lt;&gt;"",I359,"")</f>
        <v/>
      </c>
      <c r="U359" s="111" t="str">
        <f aca="false">IF(AND(T359&lt;&gt;"",S359&lt;&gt;""),IFERROR((T359-S359)/T359,""),"")</f>
        <v/>
      </c>
    </row>
    <row r="360" customFormat="false" ht="18.75" hidden="false" customHeight="true" outlineLevel="0" collapsed="false">
      <c r="A360" s="112"/>
      <c r="B360" s="112"/>
      <c r="C360" s="112"/>
      <c r="D360" s="112"/>
      <c r="E360" s="112"/>
      <c r="F360" s="112"/>
      <c r="G360" s="113" t="str">
        <f aca="false">IF(AND(E360&lt;&gt;"",F360&lt;&gt;""),E360*F360,"")</f>
        <v/>
      </c>
      <c r="H360" s="113" t="str">
        <f aca="false">IF(B360&lt;&gt;"",SUMIF(B:B,B360,G:G),"")</f>
        <v/>
      </c>
      <c r="I360" s="112"/>
      <c r="J360" s="114" t="str">
        <f aca="false">IF(AND(I360&lt;&gt;"",H360&lt;&gt;""),IFERROR((I360-H360)/I360,""),"")</f>
        <v/>
      </c>
      <c r="K360" s="3"/>
      <c r="L360" s="112"/>
      <c r="M360" s="112"/>
      <c r="N360" s="112"/>
      <c r="O360" s="112"/>
      <c r="P360" s="112"/>
      <c r="Q360" s="112"/>
      <c r="R360" s="113" t="str">
        <f aca="false">IF(AND(P360&lt;&gt;"",Q360&lt;&gt;""),P360*Q360,"")</f>
        <v/>
      </c>
      <c r="S360" s="113" t="str">
        <f aca="false">IF(M360&lt;&gt;"",SUMIF(M:M,M360,R:R),"")</f>
        <v/>
      </c>
      <c r="T360" s="113" t="str">
        <f aca="false">IF(I360&lt;&gt;"",I360,"")</f>
        <v/>
      </c>
      <c r="U360" s="114" t="str">
        <f aca="false">IF(AND(T360&lt;&gt;"",S360&lt;&gt;""),IFERROR((T360-S360)/T360,""),"")</f>
        <v/>
      </c>
    </row>
    <row r="361" customFormat="false" ht="18.75" hidden="false" customHeight="true" outlineLevel="0" collapsed="false">
      <c r="A361" s="109"/>
      <c r="B361" s="109"/>
      <c r="C361" s="109"/>
      <c r="D361" s="109"/>
      <c r="E361" s="109"/>
      <c r="F361" s="109"/>
      <c r="G361" s="110" t="str">
        <f aca="false">IF(AND(E361&lt;&gt;"",F361&lt;&gt;""),E361*F361,"")</f>
        <v/>
      </c>
      <c r="H361" s="110" t="str">
        <f aca="false">IF(B361&lt;&gt;"",SUMIF(B:B,B361,G:G),"")</f>
        <v/>
      </c>
      <c r="I361" s="109"/>
      <c r="J361" s="111" t="str">
        <f aca="false">IF(AND(I361&lt;&gt;"",H361&lt;&gt;""),IFERROR((I361-H361)/I361,""),"")</f>
        <v/>
      </c>
      <c r="K361" s="3"/>
      <c r="L361" s="109"/>
      <c r="M361" s="109"/>
      <c r="N361" s="109"/>
      <c r="O361" s="109"/>
      <c r="P361" s="109"/>
      <c r="Q361" s="109"/>
      <c r="R361" s="110" t="str">
        <f aca="false">IF(AND(P361&lt;&gt;"",Q361&lt;&gt;""),P361*Q361,"")</f>
        <v/>
      </c>
      <c r="S361" s="110" t="str">
        <f aca="false">IF(M361&lt;&gt;"",SUMIF(M:M,M361,R:R),"")</f>
        <v/>
      </c>
      <c r="T361" s="110" t="str">
        <f aca="false">IF(I361&lt;&gt;"",I361,"")</f>
        <v/>
      </c>
      <c r="U361" s="111" t="str">
        <f aca="false">IF(AND(T361&lt;&gt;"",S361&lt;&gt;""),IFERROR((T361-S361)/T361,""),"")</f>
        <v/>
      </c>
    </row>
    <row r="362" customFormat="false" ht="18.75" hidden="false" customHeight="true" outlineLevel="0" collapsed="false">
      <c r="A362" s="112"/>
      <c r="B362" s="112"/>
      <c r="C362" s="112"/>
      <c r="D362" s="112"/>
      <c r="E362" s="112"/>
      <c r="F362" s="112"/>
      <c r="G362" s="113" t="str">
        <f aca="false">IF(AND(E362&lt;&gt;"",F362&lt;&gt;""),E362*F362,"")</f>
        <v/>
      </c>
      <c r="H362" s="113" t="str">
        <f aca="false">IF(B362&lt;&gt;"",SUMIF(B:B,B362,G:G),"")</f>
        <v/>
      </c>
      <c r="I362" s="112"/>
      <c r="J362" s="114" t="str">
        <f aca="false">IF(AND(I362&lt;&gt;"",H362&lt;&gt;""),IFERROR((I362-H362)/I362,""),"")</f>
        <v/>
      </c>
      <c r="K362" s="3"/>
      <c r="L362" s="112"/>
      <c r="M362" s="112"/>
      <c r="N362" s="112"/>
      <c r="O362" s="112"/>
      <c r="P362" s="112"/>
      <c r="Q362" s="112"/>
      <c r="R362" s="113" t="str">
        <f aca="false">IF(AND(P362&lt;&gt;"",Q362&lt;&gt;""),P362*Q362,"")</f>
        <v/>
      </c>
      <c r="S362" s="113" t="str">
        <f aca="false">IF(M362&lt;&gt;"",SUMIF(M:M,M362,R:R),"")</f>
        <v/>
      </c>
      <c r="T362" s="113" t="str">
        <f aca="false">IF(I362&lt;&gt;"",I362,"")</f>
        <v/>
      </c>
      <c r="U362" s="114" t="str">
        <f aca="false">IF(AND(T362&lt;&gt;"",S362&lt;&gt;""),IFERROR((T362-S362)/T362,""),"")</f>
        <v/>
      </c>
    </row>
    <row r="363" customFormat="false" ht="18.75" hidden="false" customHeight="true" outlineLevel="0" collapsed="false">
      <c r="A363" s="109"/>
      <c r="B363" s="109"/>
      <c r="C363" s="109"/>
      <c r="D363" s="109"/>
      <c r="E363" s="109"/>
      <c r="F363" s="109"/>
      <c r="G363" s="110" t="str">
        <f aca="false">IF(AND(E363&lt;&gt;"",F363&lt;&gt;""),E363*F363,"")</f>
        <v/>
      </c>
      <c r="H363" s="110" t="str">
        <f aca="false">IF(B363&lt;&gt;"",SUMIF(B:B,B363,G:G),"")</f>
        <v/>
      </c>
      <c r="I363" s="109"/>
      <c r="J363" s="111" t="str">
        <f aca="false">IF(AND(I363&lt;&gt;"",H363&lt;&gt;""),IFERROR((I363-H363)/I363,""),"")</f>
        <v/>
      </c>
      <c r="K363" s="3"/>
      <c r="L363" s="109"/>
      <c r="M363" s="109"/>
      <c r="N363" s="109"/>
      <c r="O363" s="109"/>
      <c r="P363" s="109"/>
      <c r="Q363" s="109"/>
      <c r="R363" s="110" t="str">
        <f aca="false">IF(AND(P363&lt;&gt;"",Q363&lt;&gt;""),P363*Q363,"")</f>
        <v/>
      </c>
      <c r="S363" s="110" t="str">
        <f aca="false">IF(M363&lt;&gt;"",SUMIF(M:M,M363,R:R),"")</f>
        <v/>
      </c>
      <c r="T363" s="110" t="str">
        <f aca="false">IF(I363&lt;&gt;"",I363,"")</f>
        <v/>
      </c>
      <c r="U363" s="111" t="str">
        <f aca="false">IF(AND(T363&lt;&gt;"",S363&lt;&gt;""),IFERROR((T363-S363)/T363,""),"")</f>
        <v/>
      </c>
    </row>
    <row r="364" customFormat="false" ht="18.75" hidden="false" customHeight="true" outlineLevel="0" collapsed="false">
      <c r="A364" s="112"/>
      <c r="B364" s="112"/>
      <c r="C364" s="112"/>
      <c r="D364" s="112"/>
      <c r="E364" s="112"/>
      <c r="F364" s="112"/>
      <c r="G364" s="113" t="str">
        <f aca="false">IF(AND(E364&lt;&gt;"",F364&lt;&gt;""),E364*F364,"")</f>
        <v/>
      </c>
      <c r="H364" s="113" t="str">
        <f aca="false">IF(B364&lt;&gt;"",SUMIF(B:B,B364,G:G),"")</f>
        <v/>
      </c>
      <c r="I364" s="112"/>
      <c r="J364" s="114" t="str">
        <f aca="false">IF(AND(I364&lt;&gt;"",H364&lt;&gt;""),IFERROR((I364-H364)/I364,""),"")</f>
        <v/>
      </c>
      <c r="K364" s="3"/>
      <c r="L364" s="112"/>
      <c r="M364" s="112"/>
      <c r="N364" s="112"/>
      <c r="O364" s="112"/>
      <c r="P364" s="112"/>
      <c r="Q364" s="112"/>
      <c r="R364" s="113" t="str">
        <f aca="false">IF(AND(P364&lt;&gt;"",Q364&lt;&gt;""),P364*Q364,"")</f>
        <v/>
      </c>
      <c r="S364" s="113" t="str">
        <f aca="false">IF(M364&lt;&gt;"",SUMIF(M:M,M364,R:R),"")</f>
        <v/>
      </c>
      <c r="T364" s="113" t="str">
        <f aca="false">IF(I364&lt;&gt;"",I364,"")</f>
        <v/>
      </c>
      <c r="U364" s="114" t="str">
        <f aca="false">IF(AND(T364&lt;&gt;"",S364&lt;&gt;""),IFERROR((T364-S364)/T364,""),"")</f>
        <v/>
      </c>
    </row>
    <row r="365" customFormat="false" ht="18.75" hidden="false" customHeight="true" outlineLevel="0" collapsed="false">
      <c r="A365" s="109"/>
      <c r="B365" s="109"/>
      <c r="C365" s="109"/>
      <c r="D365" s="109"/>
      <c r="E365" s="109"/>
      <c r="F365" s="109"/>
      <c r="G365" s="110" t="str">
        <f aca="false">IF(AND(E365&lt;&gt;"",F365&lt;&gt;""),E365*F365,"")</f>
        <v/>
      </c>
      <c r="H365" s="110" t="str">
        <f aca="false">IF(B365&lt;&gt;"",SUMIF(B:B,B365,G:G),"")</f>
        <v/>
      </c>
      <c r="I365" s="109"/>
      <c r="J365" s="111" t="str">
        <f aca="false">IF(AND(I365&lt;&gt;"",H365&lt;&gt;""),IFERROR((I365-H365)/I365,""),"")</f>
        <v/>
      </c>
      <c r="K365" s="3"/>
      <c r="L365" s="109"/>
      <c r="M365" s="109"/>
      <c r="N365" s="109"/>
      <c r="O365" s="109"/>
      <c r="P365" s="109"/>
      <c r="Q365" s="109"/>
      <c r="R365" s="110" t="str">
        <f aca="false">IF(AND(P365&lt;&gt;"",Q365&lt;&gt;""),P365*Q365,"")</f>
        <v/>
      </c>
      <c r="S365" s="110" t="str">
        <f aca="false">IF(M365&lt;&gt;"",SUMIF(M:M,M365,R:R),"")</f>
        <v/>
      </c>
      <c r="T365" s="110" t="str">
        <f aca="false">IF(I365&lt;&gt;"",I365,"")</f>
        <v/>
      </c>
      <c r="U365" s="111" t="str">
        <f aca="false">IF(AND(T365&lt;&gt;"",S365&lt;&gt;""),IFERROR((T365-S365)/T365,""),"")</f>
        <v/>
      </c>
    </row>
    <row r="366" customFormat="false" ht="18.75" hidden="false" customHeight="true" outlineLevel="0" collapsed="false">
      <c r="A366" s="112"/>
      <c r="B366" s="112"/>
      <c r="C366" s="112"/>
      <c r="D366" s="112"/>
      <c r="E366" s="112"/>
      <c r="F366" s="112"/>
      <c r="G366" s="113" t="str">
        <f aca="false">IF(AND(E366&lt;&gt;"",F366&lt;&gt;""),E366*F366,"")</f>
        <v/>
      </c>
      <c r="H366" s="113" t="str">
        <f aca="false">IF(B366&lt;&gt;"",SUMIF(B:B,B366,G:G),"")</f>
        <v/>
      </c>
      <c r="I366" s="112"/>
      <c r="J366" s="114" t="str">
        <f aca="false">IF(AND(I366&lt;&gt;"",H366&lt;&gt;""),IFERROR((I366-H366)/I366,""),"")</f>
        <v/>
      </c>
      <c r="K366" s="3"/>
      <c r="L366" s="112"/>
      <c r="M366" s="112"/>
      <c r="N366" s="112"/>
      <c r="O366" s="112"/>
      <c r="P366" s="112"/>
      <c r="Q366" s="112"/>
      <c r="R366" s="113" t="str">
        <f aca="false">IF(AND(P366&lt;&gt;"",Q366&lt;&gt;""),P366*Q366,"")</f>
        <v/>
      </c>
      <c r="S366" s="113" t="str">
        <f aca="false">IF(M366&lt;&gt;"",SUMIF(M:M,M366,R:R),"")</f>
        <v/>
      </c>
      <c r="T366" s="113" t="str">
        <f aca="false">IF(I366&lt;&gt;"",I366,"")</f>
        <v/>
      </c>
      <c r="U366" s="114" t="str">
        <f aca="false">IF(AND(T366&lt;&gt;"",S366&lt;&gt;""),IFERROR((T366-S366)/T366,""),"")</f>
        <v/>
      </c>
    </row>
    <row r="367" customFormat="false" ht="18.75" hidden="false" customHeight="true" outlineLevel="0" collapsed="false">
      <c r="A367" s="109"/>
      <c r="B367" s="109"/>
      <c r="C367" s="109"/>
      <c r="D367" s="109"/>
      <c r="E367" s="109"/>
      <c r="F367" s="109"/>
      <c r="G367" s="110" t="str">
        <f aca="false">IF(AND(E367&lt;&gt;"",F367&lt;&gt;""),E367*F367,"")</f>
        <v/>
      </c>
      <c r="H367" s="110" t="str">
        <f aca="false">IF(B367&lt;&gt;"",SUMIF(B:B,B367,G:G),"")</f>
        <v/>
      </c>
      <c r="I367" s="109"/>
      <c r="J367" s="111" t="str">
        <f aca="false">IF(AND(I367&lt;&gt;"",H367&lt;&gt;""),IFERROR((I367-H367)/I367,""),"")</f>
        <v/>
      </c>
      <c r="K367" s="3"/>
      <c r="L367" s="109"/>
      <c r="M367" s="109"/>
      <c r="N367" s="109"/>
      <c r="O367" s="109"/>
      <c r="P367" s="109"/>
      <c r="Q367" s="109"/>
      <c r="R367" s="110" t="str">
        <f aca="false">IF(AND(P367&lt;&gt;"",Q367&lt;&gt;""),P367*Q367,"")</f>
        <v/>
      </c>
      <c r="S367" s="110" t="str">
        <f aca="false">IF(M367&lt;&gt;"",SUMIF(M:M,M367,R:R),"")</f>
        <v/>
      </c>
      <c r="T367" s="110" t="str">
        <f aca="false">IF(I367&lt;&gt;"",I367,"")</f>
        <v/>
      </c>
      <c r="U367" s="111" t="str">
        <f aca="false">IF(AND(T367&lt;&gt;"",S367&lt;&gt;""),IFERROR((T367-S367)/T367,""),"")</f>
        <v/>
      </c>
    </row>
    <row r="368" customFormat="false" ht="18.75" hidden="false" customHeight="true" outlineLevel="0" collapsed="false">
      <c r="K368" s="3"/>
    </row>
    <row r="369" customFormat="false" ht="18.75" hidden="false" customHeight="true" outlineLevel="0" collapsed="false">
      <c r="K369" s="3"/>
    </row>
    <row r="370" customFormat="false" ht="18.75" hidden="false" customHeight="true" outlineLevel="0" collapsed="false">
      <c r="K370" s="3"/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>
      <c r="K596" s="3"/>
    </row>
    <row r="597" customFormat="false" ht="18.75" hidden="false" customHeight="true" outlineLevel="0" collapsed="false">
      <c r="K597" s="3"/>
    </row>
    <row r="598" customFormat="false" ht="18.75" hidden="false" customHeight="true" outlineLevel="0" collapsed="false">
      <c r="K598" s="3"/>
    </row>
    <row r="599" customFormat="false" ht="18.75" hidden="false" customHeight="true" outlineLevel="0" collapsed="false">
      <c r="K599" s="3"/>
    </row>
  </sheetData>
  <mergeCells count="23">
    <mergeCell ref="A2:U2"/>
    <mergeCell ref="A4:J4"/>
    <mergeCell ref="L4:U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U5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555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</row>
    <row r="5" customFormat="false" ht="25.5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</row>
    <row r="6" customFormat="false" ht="19.5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customFormat="false" ht="18.75" hidden="false" customHeight="true" outlineLevel="0" collapsed="false">
      <c r="A7" s="91"/>
      <c r="B7" s="92"/>
      <c r="C7" s="84" t="s">
        <v>556</v>
      </c>
      <c r="D7" s="96" t="s">
        <v>57</v>
      </c>
      <c r="E7" s="91"/>
      <c r="F7" s="91"/>
      <c r="G7" s="87"/>
      <c r="H7" s="93"/>
      <c r="I7" s="94"/>
      <c r="J7" s="95"/>
      <c r="K7" s="3"/>
      <c r="L7" s="91"/>
      <c r="M7" s="92"/>
      <c r="N7" s="84" t="s">
        <v>556</v>
      </c>
      <c r="O7" s="96" t="s">
        <v>57</v>
      </c>
      <c r="P7" s="91"/>
      <c r="Q7" s="91"/>
      <c r="R7" s="120"/>
      <c r="S7" s="93"/>
      <c r="T7" s="94"/>
      <c r="U7" s="95"/>
    </row>
    <row r="8" customFormat="false" ht="18.75" hidden="false" customHeight="true" outlineLevel="0" collapsed="false">
      <c r="A8" s="82"/>
      <c r="B8" s="83" t="s">
        <v>20</v>
      </c>
      <c r="C8" s="84" t="s">
        <v>557</v>
      </c>
      <c r="D8" s="96" t="s">
        <v>57</v>
      </c>
      <c r="E8" s="91"/>
      <c r="F8" s="86" t="n">
        <v>3</v>
      </c>
      <c r="G8" s="87" t="n">
        <v>13</v>
      </c>
      <c r="H8" s="88" t="n">
        <f aca="false">SUMIF(B:B,B8,G:G)</f>
        <v>211</v>
      </c>
      <c r="I8" s="89" t="n">
        <v>240.24</v>
      </c>
      <c r="J8" s="90" t="n">
        <f aca="false">IFERROR((I8-H8)/I8,"")</f>
        <v>0.121711621711622</v>
      </c>
      <c r="K8" s="3"/>
      <c r="L8" s="82"/>
      <c r="M8" s="83" t="s">
        <v>20</v>
      </c>
      <c r="N8" s="84" t="s">
        <v>557</v>
      </c>
      <c r="O8" s="96" t="s">
        <v>57</v>
      </c>
      <c r="P8" s="91"/>
      <c r="Q8" s="86" t="n">
        <v>3</v>
      </c>
      <c r="R8" s="87" t="n">
        <v>13</v>
      </c>
      <c r="S8" s="88" t="n">
        <f aca="false">SUMIF(M:M,M8,R:R)</f>
        <v>211</v>
      </c>
      <c r="T8" s="89" t="n">
        <f aca="false">I8</f>
        <v>240.24</v>
      </c>
      <c r="U8" s="90" t="n">
        <f aca="false">IFERROR((T8-S8)/T8,"")</f>
        <v>0.121711621711622</v>
      </c>
    </row>
    <row r="9" customFormat="false" ht="18.75" hidden="false" customHeight="true" outlineLevel="0" collapsed="false">
      <c r="A9" s="91"/>
      <c r="B9" s="92" t="s">
        <v>20</v>
      </c>
      <c r="C9" s="128" t="s">
        <v>558</v>
      </c>
      <c r="D9" s="96" t="s">
        <v>57</v>
      </c>
      <c r="E9" s="91"/>
      <c r="F9" s="86" t="n">
        <v>7</v>
      </c>
      <c r="G9" s="87" t="n">
        <v>18</v>
      </c>
      <c r="H9" s="93"/>
      <c r="I9" s="94"/>
      <c r="J9" s="95"/>
      <c r="K9" s="3"/>
      <c r="L9" s="91"/>
      <c r="M9" s="92" t="s">
        <v>20</v>
      </c>
      <c r="N9" s="128" t="s">
        <v>558</v>
      </c>
      <c r="O9" s="96" t="s">
        <v>57</v>
      </c>
      <c r="P9" s="91"/>
      <c r="Q9" s="86" t="n">
        <v>7</v>
      </c>
      <c r="R9" s="87" t="n">
        <v>18</v>
      </c>
      <c r="S9" s="93"/>
      <c r="T9" s="94"/>
      <c r="U9" s="95"/>
    </row>
    <row r="10" customFormat="false" ht="18.75" hidden="false" customHeight="true" outlineLevel="0" collapsed="false">
      <c r="A10" s="91"/>
      <c r="B10" s="92" t="s">
        <v>20</v>
      </c>
      <c r="C10" s="128" t="s">
        <v>559</v>
      </c>
      <c r="D10" s="96" t="s">
        <v>57</v>
      </c>
      <c r="E10" s="91"/>
      <c r="F10" s="86" t="n">
        <v>7</v>
      </c>
      <c r="G10" s="87" t="n">
        <v>18</v>
      </c>
      <c r="H10" s="93"/>
      <c r="I10" s="94"/>
      <c r="J10" s="95"/>
      <c r="K10" s="3"/>
      <c r="L10" s="91"/>
      <c r="M10" s="92" t="s">
        <v>20</v>
      </c>
      <c r="N10" s="128" t="s">
        <v>559</v>
      </c>
      <c r="O10" s="96" t="s">
        <v>57</v>
      </c>
      <c r="P10" s="91"/>
      <c r="Q10" s="86" t="n">
        <v>7</v>
      </c>
      <c r="R10" s="87" t="n">
        <v>18</v>
      </c>
      <c r="S10" s="93"/>
      <c r="T10" s="94"/>
      <c r="U10" s="95"/>
    </row>
    <row r="11" customFormat="false" ht="18.75" hidden="false" customHeight="true" outlineLevel="0" collapsed="false">
      <c r="A11" s="91"/>
      <c r="B11" s="92" t="s">
        <v>20</v>
      </c>
      <c r="C11" s="128" t="s">
        <v>560</v>
      </c>
      <c r="D11" s="96" t="s">
        <v>57</v>
      </c>
      <c r="E11" s="91"/>
      <c r="F11" s="86" t="n">
        <v>7</v>
      </c>
      <c r="G11" s="87" t="n">
        <v>18</v>
      </c>
      <c r="H11" s="93"/>
      <c r="I11" s="94"/>
      <c r="J11" s="95"/>
      <c r="K11" s="3"/>
      <c r="L11" s="91"/>
      <c r="M11" s="92" t="s">
        <v>20</v>
      </c>
      <c r="N11" s="128" t="s">
        <v>560</v>
      </c>
      <c r="O11" s="96" t="s">
        <v>57</v>
      </c>
      <c r="P11" s="91"/>
      <c r="Q11" s="86" t="n">
        <v>7</v>
      </c>
      <c r="R11" s="87" t="n">
        <v>18</v>
      </c>
      <c r="S11" s="93"/>
      <c r="T11" s="94"/>
      <c r="U11" s="95"/>
    </row>
    <row r="12" customFormat="false" ht="18.75" hidden="false" customHeight="true" outlineLevel="0" collapsed="false">
      <c r="A12" s="91"/>
      <c r="B12" s="92" t="s">
        <v>20</v>
      </c>
      <c r="C12" s="128" t="s">
        <v>561</v>
      </c>
      <c r="D12" s="96" t="s">
        <v>57</v>
      </c>
      <c r="E12" s="91"/>
      <c r="F12" s="91"/>
      <c r="G12" s="87"/>
      <c r="H12" s="93"/>
      <c r="I12" s="94"/>
      <c r="J12" s="95"/>
      <c r="K12" s="3"/>
      <c r="L12" s="91"/>
      <c r="M12" s="92" t="s">
        <v>20</v>
      </c>
      <c r="N12" s="128" t="s">
        <v>561</v>
      </c>
      <c r="O12" s="96" t="s">
        <v>57</v>
      </c>
      <c r="P12" s="91"/>
      <c r="Q12" s="91"/>
      <c r="R12" s="120"/>
      <c r="S12" s="93"/>
      <c r="T12" s="94"/>
      <c r="U12" s="95"/>
    </row>
    <row r="13" customFormat="false" ht="18.75" hidden="false" customHeight="true" outlineLevel="0" collapsed="false">
      <c r="A13" s="91"/>
      <c r="B13" s="92" t="s">
        <v>20</v>
      </c>
      <c r="C13" s="128" t="s">
        <v>562</v>
      </c>
      <c r="D13" s="96" t="s">
        <v>57</v>
      </c>
      <c r="E13" s="91"/>
      <c r="F13" s="86" t="n">
        <v>17.5</v>
      </c>
      <c r="G13" s="87" t="n">
        <v>18</v>
      </c>
      <c r="H13" s="93"/>
      <c r="I13" s="94"/>
      <c r="J13" s="95"/>
      <c r="K13" s="3"/>
      <c r="L13" s="91"/>
      <c r="M13" s="92" t="s">
        <v>20</v>
      </c>
      <c r="N13" s="128" t="s">
        <v>562</v>
      </c>
      <c r="O13" s="96" t="s">
        <v>57</v>
      </c>
      <c r="P13" s="91"/>
      <c r="Q13" s="86" t="n">
        <v>17.5</v>
      </c>
      <c r="R13" s="87" t="n">
        <v>18</v>
      </c>
      <c r="S13" s="93"/>
      <c r="T13" s="94"/>
      <c r="U13" s="95"/>
    </row>
    <row r="14" customFormat="false" ht="18.75" hidden="false" customHeight="true" outlineLevel="0" collapsed="false">
      <c r="A14" s="91"/>
      <c r="B14" s="92" t="s">
        <v>20</v>
      </c>
      <c r="C14" s="128" t="s">
        <v>563</v>
      </c>
      <c r="D14" s="96" t="s">
        <v>57</v>
      </c>
      <c r="E14" s="91"/>
      <c r="F14" s="86" t="n">
        <v>7</v>
      </c>
      <c r="G14" s="87" t="n">
        <v>18</v>
      </c>
      <c r="H14" s="93"/>
      <c r="I14" s="94"/>
      <c r="J14" s="95"/>
      <c r="K14" s="3"/>
      <c r="L14" s="91"/>
      <c r="M14" s="92" t="s">
        <v>20</v>
      </c>
      <c r="N14" s="128" t="s">
        <v>563</v>
      </c>
      <c r="O14" s="96" t="s">
        <v>57</v>
      </c>
      <c r="P14" s="91"/>
      <c r="Q14" s="86" t="n">
        <v>7</v>
      </c>
      <c r="R14" s="87" t="n">
        <v>18</v>
      </c>
      <c r="S14" s="93"/>
      <c r="T14" s="94"/>
      <c r="U14" s="95"/>
    </row>
    <row r="15" customFormat="false" ht="18.75" hidden="false" customHeight="true" outlineLevel="0" collapsed="false">
      <c r="A15" s="91"/>
      <c r="B15" s="92" t="s">
        <v>20</v>
      </c>
      <c r="C15" s="128" t="s">
        <v>564</v>
      </c>
      <c r="D15" s="96" t="s">
        <v>57</v>
      </c>
      <c r="E15" s="91"/>
      <c r="F15" s="86" t="n">
        <v>42</v>
      </c>
      <c r="G15" s="87" t="n">
        <v>18</v>
      </c>
      <c r="H15" s="93"/>
      <c r="I15" s="94"/>
      <c r="J15" s="95"/>
      <c r="K15" s="3"/>
      <c r="L15" s="91"/>
      <c r="M15" s="92" t="s">
        <v>20</v>
      </c>
      <c r="N15" s="128" t="s">
        <v>564</v>
      </c>
      <c r="O15" s="96" t="s">
        <v>57</v>
      </c>
      <c r="P15" s="91"/>
      <c r="Q15" s="86" t="n">
        <v>42</v>
      </c>
      <c r="R15" s="87" t="n">
        <v>18</v>
      </c>
      <c r="S15" s="93"/>
      <c r="T15" s="94"/>
      <c r="U15" s="95"/>
    </row>
    <row r="16" customFormat="false" ht="18.75" hidden="false" customHeight="true" outlineLevel="0" collapsed="false">
      <c r="A16" s="91"/>
      <c r="B16" s="92" t="s">
        <v>20</v>
      </c>
      <c r="C16" s="128" t="s">
        <v>565</v>
      </c>
      <c r="D16" s="96" t="s">
        <v>57</v>
      </c>
      <c r="E16" s="91"/>
      <c r="F16" s="86" t="n">
        <v>7</v>
      </c>
      <c r="G16" s="87" t="n">
        <v>18</v>
      </c>
      <c r="H16" s="93"/>
      <c r="I16" s="94"/>
      <c r="J16" s="95"/>
      <c r="K16" s="3"/>
      <c r="L16" s="91"/>
      <c r="M16" s="92" t="s">
        <v>20</v>
      </c>
      <c r="N16" s="128" t="s">
        <v>565</v>
      </c>
      <c r="O16" s="96" t="s">
        <v>57</v>
      </c>
      <c r="P16" s="91"/>
      <c r="Q16" s="86" t="n">
        <v>7</v>
      </c>
      <c r="R16" s="87" t="n">
        <v>18</v>
      </c>
      <c r="S16" s="93"/>
      <c r="T16" s="94"/>
      <c r="U16" s="95"/>
    </row>
    <row r="17" customFormat="false" ht="18.75" hidden="false" customHeight="true" outlineLevel="0" collapsed="false">
      <c r="A17" s="91"/>
      <c r="B17" s="92" t="s">
        <v>20</v>
      </c>
      <c r="C17" s="128" t="s">
        <v>566</v>
      </c>
      <c r="D17" s="96" t="s">
        <v>57</v>
      </c>
      <c r="E17" s="91"/>
      <c r="F17" s="86" t="n">
        <v>7</v>
      </c>
      <c r="G17" s="87" t="n">
        <v>18</v>
      </c>
      <c r="H17" s="93"/>
      <c r="I17" s="94"/>
      <c r="J17" s="95"/>
      <c r="K17" s="3"/>
      <c r="L17" s="91"/>
      <c r="M17" s="92" t="s">
        <v>20</v>
      </c>
      <c r="N17" s="128" t="s">
        <v>566</v>
      </c>
      <c r="O17" s="96" t="s">
        <v>57</v>
      </c>
      <c r="P17" s="91"/>
      <c r="Q17" s="86" t="n">
        <v>7</v>
      </c>
      <c r="R17" s="87" t="n">
        <v>18</v>
      </c>
      <c r="S17" s="93"/>
      <c r="T17" s="94"/>
      <c r="U17" s="95"/>
    </row>
    <row r="18" customFormat="false" ht="18.75" hidden="false" customHeight="true" outlineLevel="0" collapsed="false">
      <c r="A18" s="91"/>
      <c r="B18" s="92" t="s">
        <v>20</v>
      </c>
      <c r="C18" s="128" t="s">
        <v>567</v>
      </c>
      <c r="D18" s="96" t="s">
        <v>57</v>
      </c>
      <c r="E18" s="91"/>
      <c r="F18" s="86" t="n">
        <v>7</v>
      </c>
      <c r="G18" s="87" t="n">
        <v>18</v>
      </c>
      <c r="H18" s="93"/>
      <c r="I18" s="94"/>
      <c r="J18" s="95"/>
      <c r="K18" s="3"/>
      <c r="L18" s="91"/>
      <c r="M18" s="92" t="s">
        <v>20</v>
      </c>
      <c r="N18" s="128" t="s">
        <v>567</v>
      </c>
      <c r="O18" s="96" t="s">
        <v>57</v>
      </c>
      <c r="P18" s="91"/>
      <c r="Q18" s="86" t="n">
        <v>7</v>
      </c>
      <c r="R18" s="87" t="n">
        <v>18</v>
      </c>
      <c r="S18" s="93"/>
      <c r="T18" s="94"/>
      <c r="U18" s="95"/>
    </row>
    <row r="19" customFormat="false" ht="18.75" hidden="false" customHeight="true" outlineLevel="0" collapsed="false">
      <c r="A19" s="91"/>
      <c r="B19" s="92" t="s">
        <v>20</v>
      </c>
      <c r="C19" s="84" t="s">
        <v>568</v>
      </c>
      <c r="D19" s="96" t="s">
        <v>57</v>
      </c>
      <c r="E19" s="91"/>
      <c r="F19" s="91"/>
      <c r="G19" s="87"/>
      <c r="H19" s="93"/>
      <c r="I19" s="94"/>
      <c r="J19" s="95"/>
      <c r="K19" s="3"/>
      <c r="L19" s="91"/>
      <c r="M19" s="92" t="s">
        <v>20</v>
      </c>
      <c r="N19" s="84" t="s">
        <v>568</v>
      </c>
      <c r="O19" s="96" t="s">
        <v>57</v>
      </c>
      <c r="P19" s="91"/>
      <c r="Q19" s="91"/>
      <c r="R19" s="120"/>
      <c r="S19" s="93"/>
      <c r="T19" s="94"/>
      <c r="U19" s="95"/>
    </row>
    <row r="20" customFormat="false" ht="18.75" hidden="false" customHeight="true" outlineLevel="0" collapsed="false">
      <c r="A20" s="91"/>
      <c r="B20" s="92" t="s">
        <v>20</v>
      </c>
      <c r="C20" s="84" t="s">
        <v>569</v>
      </c>
      <c r="D20" s="96" t="s">
        <v>57</v>
      </c>
      <c r="E20" s="91"/>
      <c r="F20" s="86" t="n">
        <v>14</v>
      </c>
      <c r="G20" s="87" t="n">
        <v>18</v>
      </c>
      <c r="H20" s="93"/>
      <c r="I20" s="94"/>
      <c r="J20" s="95"/>
      <c r="K20" s="3"/>
      <c r="L20" s="91"/>
      <c r="M20" s="92" t="s">
        <v>20</v>
      </c>
      <c r="N20" s="84" t="s">
        <v>569</v>
      </c>
      <c r="O20" s="96" t="s">
        <v>57</v>
      </c>
      <c r="P20" s="91"/>
      <c r="Q20" s="86" t="n">
        <v>14</v>
      </c>
      <c r="R20" s="87" t="n">
        <v>18</v>
      </c>
      <c r="S20" s="93"/>
      <c r="T20" s="94"/>
      <c r="U20" s="95"/>
    </row>
    <row r="21" customFormat="false" ht="18.75" hidden="false" customHeight="true" outlineLevel="0" collapsed="false">
      <c r="A21" s="91"/>
      <c r="B21" s="92" t="s">
        <v>20</v>
      </c>
      <c r="C21" s="84" t="s">
        <v>570</v>
      </c>
      <c r="D21" s="96" t="s">
        <v>57</v>
      </c>
      <c r="E21" s="91"/>
      <c r="F21" s="86" t="n">
        <v>3.5</v>
      </c>
      <c r="G21" s="87" t="n">
        <v>18</v>
      </c>
      <c r="H21" s="93"/>
      <c r="I21" s="94"/>
      <c r="J21" s="95"/>
      <c r="K21" s="3"/>
      <c r="L21" s="91"/>
      <c r="M21" s="92" t="s">
        <v>20</v>
      </c>
      <c r="N21" s="84" t="s">
        <v>570</v>
      </c>
      <c r="O21" s="96" t="s">
        <v>57</v>
      </c>
      <c r="P21" s="91"/>
      <c r="Q21" s="86" t="n">
        <v>3.5</v>
      </c>
      <c r="R21" s="87" t="n">
        <v>18</v>
      </c>
      <c r="S21" s="93"/>
      <c r="T21" s="94"/>
      <c r="U21" s="95"/>
    </row>
    <row r="22" customFormat="false" ht="18.75" hidden="false" customHeight="true" outlineLevel="0" collapsed="false">
      <c r="A22" s="82"/>
      <c r="B22" s="83" t="s">
        <v>571</v>
      </c>
      <c r="C22" s="84" t="s">
        <v>572</v>
      </c>
      <c r="D22" s="96" t="s">
        <v>57</v>
      </c>
      <c r="E22" s="91"/>
      <c r="F22" s="86" t="n">
        <v>10.5</v>
      </c>
      <c r="G22" s="87" t="n">
        <v>18</v>
      </c>
      <c r="H22" s="88" t="n">
        <f aca="false">SUMIF(B:B,B22,G:G)</f>
        <v>377</v>
      </c>
      <c r="I22" s="89" t="n">
        <v>360.85</v>
      </c>
      <c r="J22" s="90" t="n">
        <f aca="false">IFERROR((I22-H22)/I22,"")</f>
        <v>-0.044755438547873</v>
      </c>
      <c r="K22" s="3"/>
      <c r="L22" s="82"/>
      <c r="M22" s="83" t="s">
        <v>571</v>
      </c>
      <c r="N22" s="84" t="s">
        <v>572</v>
      </c>
      <c r="O22" s="96" t="s">
        <v>57</v>
      </c>
      <c r="P22" s="91"/>
      <c r="Q22" s="86" t="n">
        <v>10.5</v>
      </c>
      <c r="R22" s="87" t="n">
        <v>18</v>
      </c>
      <c r="S22" s="88" t="n">
        <f aca="false">SUMIF(M:M,M22,R:R)</f>
        <v>377</v>
      </c>
      <c r="T22" s="89" t="n">
        <f aca="false">I22</f>
        <v>360.85</v>
      </c>
      <c r="U22" s="90" t="n">
        <f aca="false">IFERROR((T22-S22)/T22,"")</f>
        <v>-0.044755438547873</v>
      </c>
    </row>
    <row r="23" customFormat="false" ht="18.75" hidden="false" customHeight="true" outlineLevel="0" collapsed="false">
      <c r="A23" s="91"/>
      <c r="B23" s="92" t="s">
        <v>571</v>
      </c>
      <c r="C23" s="128" t="s">
        <v>573</v>
      </c>
      <c r="D23" s="103" t="s">
        <v>58</v>
      </c>
      <c r="E23" s="91"/>
      <c r="F23" s="86" t="n">
        <v>7</v>
      </c>
      <c r="G23" s="87" t="n">
        <v>18</v>
      </c>
      <c r="H23" s="93"/>
      <c r="I23" s="94"/>
      <c r="J23" s="95"/>
      <c r="K23" s="3"/>
      <c r="L23" s="91"/>
      <c r="M23" s="92" t="s">
        <v>571</v>
      </c>
      <c r="N23" s="128" t="s">
        <v>573</v>
      </c>
      <c r="O23" s="103" t="s">
        <v>58</v>
      </c>
      <c r="P23" s="91"/>
      <c r="Q23" s="86" t="n">
        <v>7</v>
      </c>
      <c r="R23" s="87" t="n">
        <v>18</v>
      </c>
      <c r="S23" s="93"/>
      <c r="T23" s="94"/>
      <c r="U23" s="95"/>
    </row>
    <row r="24" customFormat="false" ht="18.75" hidden="false" customHeight="true" outlineLevel="0" collapsed="false">
      <c r="A24" s="91"/>
      <c r="B24" s="92" t="s">
        <v>571</v>
      </c>
      <c r="C24" s="84" t="s">
        <v>574</v>
      </c>
      <c r="D24" s="96" t="s">
        <v>57</v>
      </c>
      <c r="E24" s="91"/>
      <c r="F24" s="91"/>
      <c r="G24" s="87"/>
      <c r="H24" s="93"/>
      <c r="I24" s="94"/>
      <c r="J24" s="95"/>
      <c r="K24" s="3"/>
      <c r="L24" s="91"/>
      <c r="M24" s="92" t="s">
        <v>571</v>
      </c>
      <c r="N24" s="84" t="s">
        <v>574</v>
      </c>
      <c r="O24" s="96" t="s">
        <v>57</v>
      </c>
      <c r="P24" s="91"/>
      <c r="Q24" s="91"/>
      <c r="R24" s="120"/>
      <c r="S24" s="93"/>
      <c r="T24" s="94"/>
      <c r="U24" s="95"/>
    </row>
    <row r="25" customFormat="false" ht="18.75" hidden="false" customHeight="true" outlineLevel="0" collapsed="false">
      <c r="A25" s="91"/>
      <c r="B25" s="92" t="s">
        <v>571</v>
      </c>
      <c r="C25" s="128" t="s">
        <v>575</v>
      </c>
      <c r="D25" s="96" t="s">
        <v>57</v>
      </c>
      <c r="E25" s="91"/>
      <c r="F25" s="91"/>
      <c r="G25" s="87"/>
      <c r="H25" s="93"/>
      <c r="I25" s="94"/>
      <c r="J25" s="95"/>
      <c r="K25" s="3"/>
      <c r="L25" s="91"/>
      <c r="M25" s="92" t="s">
        <v>571</v>
      </c>
      <c r="N25" s="128" t="s">
        <v>575</v>
      </c>
      <c r="O25" s="96" t="s">
        <v>57</v>
      </c>
      <c r="P25" s="91"/>
      <c r="Q25" s="91"/>
      <c r="R25" s="120"/>
      <c r="S25" s="93"/>
      <c r="T25" s="94"/>
      <c r="U25" s="95"/>
    </row>
    <row r="26" customFormat="false" ht="18.75" hidden="false" customHeight="true" outlineLevel="0" collapsed="false">
      <c r="A26" s="91"/>
      <c r="B26" s="92" t="s">
        <v>571</v>
      </c>
      <c r="C26" s="84" t="s">
        <v>576</v>
      </c>
      <c r="D26" s="96" t="s">
        <v>57</v>
      </c>
      <c r="E26" s="91"/>
      <c r="F26" s="86" t="n">
        <v>10.5</v>
      </c>
      <c r="G26" s="87" t="n">
        <v>18</v>
      </c>
      <c r="H26" s="93"/>
      <c r="I26" s="94"/>
      <c r="J26" s="95"/>
      <c r="K26" s="3"/>
      <c r="L26" s="91"/>
      <c r="M26" s="92" t="s">
        <v>571</v>
      </c>
      <c r="N26" s="84" t="s">
        <v>576</v>
      </c>
      <c r="O26" s="96" t="s">
        <v>57</v>
      </c>
      <c r="P26" s="91"/>
      <c r="Q26" s="86" t="n">
        <v>10.5</v>
      </c>
      <c r="R26" s="87" t="n">
        <v>18</v>
      </c>
      <c r="S26" s="93"/>
      <c r="T26" s="94"/>
      <c r="U26" s="95"/>
    </row>
    <row r="27" customFormat="false" ht="18.75" hidden="false" customHeight="true" outlineLevel="0" collapsed="false">
      <c r="A27" s="91"/>
      <c r="B27" s="92" t="s">
        <v>571</v>
      </c>
      <c r="C27" s="84" t="s">
        <v>577</v>
      </c>
      <c r="D27" s="96" t="s">
        <v>57</v>
      </c>
      <c r="E27" s="91"/>
      <c r="F27" s="86" t="n">
        <v>2</v>
      </c>
      <c r="G27" s="87" t="n">
        <v>13</v>
      </c>
      <c r="H27" s="93"/>
      <c r="I27" s="94"/>
      <c r="J27" s="95"/>
      <c r="K27" s="3"/>
      <c r="L27" s="91"/>
      <c r="M27" s="92" t="s">
        <v>571</v>
      </c>
      <c r="N27" s="84" t="s">
        <v>577</v>
      </c>
      <c r="O27" s="96" t="s">
        <v>57</v>
      </c>
      <c r="P27" s="91"/>
      <c r="Q27" s="86" t="n">
        <v>2</v>
      </c>
      <c r="R27" s="87" t="n">
        <v>13</v>
      </c>
      <c r="S27" s="93"/>
      <c r="T27" s="94"/>
      <c r="U27" s="95"/>
    </row>
    <row r="28" customFormat="false" ht="18.75" hidden="false" customHeight="true" outlineLevel="0" collapsed="false">
      <c r="A28" s="91"/>
      <c r="B28" s="92" t="s">
        <v>571</v>
      </c>
      <c r="C28" s="84" t="s">
        <v>578</v>
      </c>
      <c r="D28" s="96" t="s">
        <v>57</v>
      </c>
      <c r="E28" s="91"/>
      <c r="F28" s="91"/>
      <c r="G28" s="87"/>
      <c r="H28" s="93"/>
      <c r="I28" s="94"/>
      <c r="J28" s="95"/>
      <c r="K28" s="3"/>
      <c r="L28" s="91"/>
      <c r="M28" s="92" t="s">
        <v>571</v>
      </c>
      <c r="N28" s="84" t="s">
        <v>578</v>
      </c>
      <c r="O28" s="96" t="s">
        <v>57</v>
      </c>
      <c r="P28" s="91"/>
      <c r="Q28" s="91"/>
      <c r="R28" s="120"/>
      <c r="S28" s="93"/>
      <c r="T28" s="94"/>
      <c r="U28" s="95"/>
    </row>
    <row r="29" customFormat="false" ht="18.75" hidden="false" customHeight="true" outlineLevel="0" collapsed="false">
      <c r="A29" s="91"/>
      <c r="B29" s="92" t="s">
        <v>571</v>
      </c>
      <c r="C29" s="84" t="s">
        <v>579</v>
      </c>
      <c r="D29" s="96" t="s">
        <v>57</v>
      </c>
      <c r="E29" s="91"/>
      <c r="F29" s="86" t="n">
        <v>21</v>
      </c>
      <c r="G29" s="87" t="n">
        <v>18</v>
      </c>
      <c r="H29" s="93"/>
      <c r="I29" s="94"/>
      <c r="J29" s="95"/>
      <c r="K29" s="3"/>
      <c r="L29" s="91"/>
      <c r="M29" s="92" t="s">
        <v>571</v>
      </c>
      <c r="N29" s="84" t="s">
        <v>579</v>
      </c>
      <c r="O29" s="96" t="s">
        <v>57</v>
      </c>
      <c r="P29" s="91"/>
      <c r="Q29" s="86" t="n">
        <v>21</v>
      </c>
      <c r="R29" s="87" t="n">
        <v>18</v>
      </c>
      <c r="S29" s="93"/>
      <c r="T29" s="94"/>
      <c r="U29" s="95"/>
    </row>
    <row r="30" customFormat="false" ht="18.75" hidden="false" customHeight="true" outlineLevel="0" collapsed="false">
      <c r="A30" s="91"/>
      <c r="B30" s="92" t="s">
        <v>571</v>
      </c>
      <c r="C30" s="84" t="s">
        <v>580</v>
      </c>
      <c r="D30" s="96" t="s">
        <v>57</v>
      </c>
      <c r="E30" s="91"/>
      <c r="F30" s="86" t="n">
        <v>10.5</v>
      </c>
      <c r="G30" s="87" t="n">
        <v>18</v>
      </c>
      <c r="H30" s="93"/>
      <c r="I30" s="94"/>
      <c r="J30" s="95"/>
      <c r="K30" s="3"/>
      <c r="L30" s="91"/>
      <c r="M30" s="92" t="s">
        <v>571</v>
      </c>
      <c r="N30" s="84" t="s">
        <v>580</v>
      </c>
      <c r="O30" s="96" t="s">
        <v>57</v>
      </c>
      <c r="P30" s="91"/>
      <c r="Q30" s="86" t="n">
        <v>10.5</v>
      </c>
      <c r="R30" s="87" t="n">
        <v>18</v>
      </c>
      <c r="S30" s="93"/>
      <c r="T30" s="94"/>
      <c r="U30" s="95"/>
    </row>
    <row r="31" customFormat="false" ht="18.75" hidden="false" customHeight="true" outlineLevel="0" collapsed="false">
      <c r="A31" s="91"/>
      <c r="B31" s="92" t="s">
        <v>571</v>
      </c>
      <c r="C31" s="84" t="s">
        <v>581</v>
      </c>
      <c r="D31" s="96" t="s">
        <v>57</v>
      </c>
      <c r="E31" s="91"/>
      <c r="F31" s="86" t="n">
        <v>10.5</v>
      </c>
      <c r="G31" s="87" t="n">
        <v>18</v>
      </c>
      <c r="H31" s="93"/>
      <c r="I31" s="94"/>
      <c r="J31" s="95"/>
      <c r="K31" s="3"/>
      <c r="L31" s="91"/>
      <c r="M31" s="92" t="s">
        <v>571</v>
      </c>
      <c r="N31" s="84" t="s">
        <v>581</v>
      </c>
      <c r="O31" s="96" t="s">
        <v>57</v>
      </c>
      <c r="P31" s="91"/>
      <c r="Q31" s="86" t="n">
        <v>10.5</v>
      </c>
      <c r="R31" s="87" t="n">
        <v>18</v>
      </c>
      <c r="S31" s="93"/>
      <c r="T31" s="94"/>
      <c r="U31" s="95"/>
    </row>
    <row r="32" customFormat="false" ht="18.75" hidden="false" customHeight="true" outlineLevel="0" collapsed="false">
      <c r="A32" s="91"/>
      <c r="B32" s="92" t="s">
        <v>571</v>
      </c>
      <c r="C32" s="84" t="s">
        <v>582</v>
      </c>
      <c r="D32" s="96" t="s">
        <v>57</v>
      </c>
      <c r="E32" s="91"/>
      <c r="F32" s="86" t="n">
        <v>10.5</v>
      </c>
      <c r="G32" s="87" t="n">
        <v>18</v>
      </c>
      <c r="H32" s="93"/>
      <c r="I32" s="94"/>
      <c r="J32" s="95"/>
      <c r="K32" s="3"/>
      <c r="L32" s="91"/>
      <c r="M32" s="92" t="s">
        <v>571</v>
      </c>
      <c r="N32" s="84" t="s">
        <v>582</v>
      </c>
      <c r="O32" s="96" t="s">
        <v>57</v>
      </c>
      <c r="P32" s="91"/>
      <c r="Q32" s="86" t="n">
        <v>10.5</v>
      </c>
      <c r="R32" s="87" t="n">
        <v>18</v>
      </c>
      <c r="S32" s="93"/>
      <c r="T32" s="94"/>
      <c r="U32" s="95"/>
    </row>
    <row r="33" customFormat="false" ht="18.75" hidden="false" customHeight="true" outlineLevel="0" collapsed="false">
      <c r="A33" s="91"/>
      <c r="B33" s="92" t="s">
        <v>571</v>
      </c>
      <c r="C33" s="128" t="s">
        <v>583</v>
      </c>
      <c r="D33" s="96" t="s">
        <v>57</v>
      </c>
      <c r="E33" s="91"/>
      <c r="F33" s="86" t="n">
        <v>7</v>
      </c>
      <c r="G33" s="87" t="n">
        <v>18</v>
      </c>
      <c r="H33" s="93"/>
      <c r="I33" s="94"/>
      <c r="J33" s="95"/>
      <c r="K33" s="3"/>
      <c r="L33" s="91"/>
      <c r="M33" s="92" t="s">
        <v>571</v>
      </c>
      <c r="N33" s="128" t="s">
        <v>583</v>
      </c>
      <c r="O33" s="96" t="s">
        <v>57</v>
      </c>
      <c r="P33" s="91"/>
      <c r="Q33" s="86" t="n">
        <v>7</v>
      </c>
      <c r="R33" s="87" t="n">
        <v>18</v>
      </c>
      <c r="S33" s="93"/>
      <c r="T33" s="94"/>
      <c r="U33" s="95"/>
    </row>
    <row r="34" customFormat="false" ht="18.75" hidden="false" customHeight="true" outlineLevel="0" collapsed="false">
      <c r="A34" s="91"/>
      <c r="B34" s="92" t="s">
        <v>571</v>
      </c>
      <c r="C34" s="84" t="s">
        <v>584</v>
      </c>
      <c r="D34" s="96" t="s">
        <v>57</v>
      </c>
      <c r="E34" s="91"/>
      <c r="F34" s="91"/>
      <c r="G34" s="87"/>
      <c r="H34" s="93"/>
      <c r="I34" s="94"/>
      <c r="J34" s="95"/>
      <c r="K34" s="3"/>
      <c r="L34" s="91"/>
      <c r="M34" s="92" t="s">
        <v>571</v>
      </c>
      <c r="N34" s="84" t="s">
        <v>584</v>
      </c>
      <c r="O34" s="96" t="s">
        <v>57</v>
      </c>
      <c r="P34" s="91"/>
      <c r="Q34" s="91"/>
      <c r="R34" s="120"/>
      <c r="S34" s="93"/>
      <c r="T34" s="94"/>
      <c r="U34" s="95"/>
    </row>
    <row r="35" customFormat="false" ht="18.75" hidden="false" customHeight="true" outlineLevel="0" collapsed="false">
      <c r="A35" s="91"/>
      <c r="B35" s="92" t="s">
        <v>571</v>
      </c>
      <c r="C35" s="84" t="s">
        <v>585</v>
      </c>
      <c r="D35" s="96" t="s">
        <v>57</v>
      </c>
      <c r="E35" s="91"/>
      <c r="F35" s="86" t="n">
        <v>21</v>
      </c>
      <c r="G35" s="87" t="n">
        <v>18</v>
      </c>
      <c r="H35" s="93"/>
      <c r="I35" s="94"/>
      <c r="J35" s="95"/>
      <c r="K35" s="3"/>
      <c r="L35" s="91"/>
      <c r="M35" s="92" t="s">
        <v>571</v>
      </c>
      <c r="N35" s="84" t="s">
        <v>585</v>
      </c>
      <c r="O35" s="96" t="s">
        <v>57</v>
      </c>
      <c r="P35" s="91"/>
      <c r="Q35" s="86" t="n">
        <v>21</v>
      </c>
      <c r="R35" s="87" t="n">
        <v>18</v>
      </c>
      <c r="S35" s="93"/>
      <c r="T35" s="94"/>
      <c r="U35" s="95"/>
    </row>
    <row r="36" customFormat="false" ht="18.75" hidden="false" customHeight="true" outlineLevel="0" collapsed="false">
      <c r="A36" s="91"/>
      <c r="B36" s="92" t="s">
        <v>571</v>
      </c>
      <c r="C36" s="84" t="s">
        <v>586</v>
      </c>
      <c r="D36" s="96" t="s">
        <v>57</v>
      </c>
      <c r="E36" s="91"/>
      <c r="F36" s="86" t="n">
        <v>10.5</v>
      </c>
      <c r="G36" s="87" t="n">
        <v>18</v>
      </c>
      <c r="H36" s="93"/>
      <c r="I36" s="94"/>
      <c r="J36" s="95"/>
      <c r="K36" s="3"/>
      <c r="L36" s="91"/>
      <c r="M36" s="92" t="s">
        <v>571</v>
      </c>
      <c r="N36" s="84" t="s">
        <v>586</v>
      </c>
      <c r="O36" s="96" t="s">
        <v>57</v>
      </c>
      <c r="P36" s="91"/>
      <c r="Q36" s="86" t="n">
        <v>10.5</v>
      </c>
      <c r="R36" s="87" t="n">
        <v>18</v>
      </c>
      <c r="S36" s="93"/>
      <c r="T36" s="94"/>
      <c r="U36" s="95"/>
    </row>
    <row r="37" customFormat="false" ht="18.75" hidden="false" customHeight="true" outlineLevel="0" collapsed="false">
      <c r="A37" s="91"/>
      <c r="B37" s="92" t="s">
        <v>571</v>
      </c>
      <c r="C37" s="84" t="s">
        <v>587</v>
      </c>
      <c r="D37" s="96" t="s">
        <v>57</v>
      </c>
      <c r="E37" s="91"/>
      <c r="F37" s="86" t="n">
        <v>3.5</v>
      </c>
      <c r="G37" s="87" t="n">
        <v>18</v>
      </c>
      <c r="H37" s="93"/>
      <c r="I37" s="94"/>
      <c r="J37" s="95"/>
      <c r="K37" s="3"/>
      <c r="L37" s="91"/>
      <c r="M37" s="92" t="s">
        <v>571</v>
      </c>
      <c r="N37" s="84" t="s">
        <v>587</v>
      </c>
      <c r="O37" s="96" t="s">
        <v>57</v>
      </c>
      <c r="P37" s="91"/>
      <c r="Q37" s="86" t="n">
        <v>3.5</v>
      </c>
      <c r="R37" s="87" t="n">
        <v>18</v>
      </c>
      <c r="S37" s="93"/>
      <c r="T37" s="94"/>
      <c r="U37" s="95"/>
    </row>
    <row r="38" customFormat="false" ht="18.75" hidden="false" customHeight="true" outlineLevel="0" collapsed="false">
      <c r="A38" s="91"/>
      <c r="B38" s="92" t="s">
        <v>571</v>
      </c>
      <c r="C38" s="84" t="s">
        <v>588</v>
      </c>
      <c r="D38" s="96" t="s">
        <v>57</v>
      </c>
      <c r="E38" s="91"/>
      <c r="F38" s="86" t="n">
        <v>71.88</v>
      </c>
      <c r="G38" s="87" t="n">
        <v>15</v>
      </c>
      <c r="H38" s="93"/>
      <c r="I38" s="94"/>
      <c r="J38" s="95"/>
      <c r="K38" s="3"/>
      <c r="L38" s="91"/>
      <c r="M38" s="92" t="s">
        <v>571</v>
      </c>
      <c r="N38" s="84" t="s">
        <v>588</v>
      </c>
      <c r="O38" s="96" t="s">
        <v>57</v>
      </c>
      <c r="P38" s="91"/>
      <c r="Q38" s="86" t="n">
        <v>71.88</v>
      </c>
      <c r="R38" s="87" t="n">
        <v>15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571</v>
      </c>
      <c r="C39" s="84" t="s">
        <v>589</v>
      </c>
      <c r="D39" s="96" t="s">
        <v>57</v>
      </c>
      <c r="E39" s="91"/>
      <c r="F39" s="86" t="n">
        <v>10.5</v>
      </c>
      <c r="G39" s="87" t="n">
        <v>18</v>
      </c>
      <c r="H39" s="93"/>
      <c r="I39" s="94"/>
      <c r="J39" s="95"/>
      <c r="K39" s="3"/>
      <c r="L39" s="91"/>
      <c r="M39" s="92" t="s">
        <v>571</v>
      </c>
      <c r="N39" s="84" t="s">
        <v>589</v>
      </c>
      <c r="O39" s="96" t="s">
        <v>57</v>
      </c>
      <c r="P39" s="91"/>
      <c r="Q39" s="86" t="n">
        <v>10.5</v>
      </c>
      <c r="R39" s="87" t="n">
        <v>18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571</v>
      </c>
      <c r="C40" s="84" t="s">
        <v>590</v>
      </c>
      <c r="D40" s="96" t="s">
        <v>57</v>
      </c>
      <c r="E40" s="91"/>
      <c r="F40" s="86" t="n">
        <v>7</v>
      </c>
      <c r="G40" s="87" t="n">
        <v>25</v>
      </c>
      <c r="H40" s="93"/>
      <c r="I40" s="94"/>
      <c r="J40" s="95"/>
      <c r="K40" s="3"/>
      <c r="L40" s="91"/>
      <c r="M40" s="92" t="s">
        <v>571</v>
      </c>
      <c r="N40" s="84" t="s">
        <v>590</v>
      </c>
      <c r="O40" s="96" t="s">
        <v>57</v>
      </c>
      <c r="P40" s="91"/>
      <c r="Q40" s="86" t="n">
        <v>7</v>
      </c>
      <c r="R40" s="87" t="n">
        <v>25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571</v>
      </c>
      <c r="C41" s="84" t="s">
        <v>591</v>
      </c>
      <c r="D41" s="96" t="s">
        <v>57</v>
      </c>
      <c r="E41" s="91"/>
      <c r="F41" s="86" t="n">
        <v>7</v>
      </c>
      <c r="G41" s="87" t="n">
        <v>18</v>
      </c>
      <c r="H41" s="93"/>
      <c r="I41" s="94"/>
      <c r="J41" s="95"/>
      <c r="K41" s="3"/>
      <c r="L41" s="91"/>
      <c r="M41" s="92" t="s">
        <v>571</v>
      </c>
      <c r="N41" s="84" t="s">
        <v>591</v>
      </c>
      <c r="O41" s="96" t="s">
        <v>57</v>
      </c>
      <c r="P41" s="91"/>
      <c r="Q41" s="86" t="n">
        <v>7</v>
      </c>
      <c r="R41" s="87" t="n">
        <v>18</v>
      </c>
      <c r="S41" s="93"/>
      <c r="T41" s="94"/>
      <c r="U41" s="95"/>
    </row>
    <row r="42" customFormat="false" ht="18.75" hidden="false" customHeight="true" outlineLevel="0" collapsed="false">
      <c r="A42" s="91"/>
      <c r="B42" s="92" t="s">
        <v>571</v>
      </c>
      <c r="C42" s="84" t="s">
        <v>592</v>
      </c>
      <c r="D42" s="96" t="s">
        <v>57</v>
      </c>
      <c r="E42" s="91"/>
      <c r="F42" s="86" t="n">
        <v>7</v>
      </c>
      <c r="G42" s="87" t="n">
        <v>18</v>
      </c>
      <c r="H42" s="93"/>
      <c r="I42" s="94"/>
      <c r="J42" s="95"/>
      <c r="K42" s="3"/>
      <c r="L42" s="91"/>
      <c r="M42" s="92" t="s">
        <v>571</v>
      </c>
      <c r="N42" s="84" t="s">
        <v>592</v>
      </c>
      <c r="O42" s="96" t="s">
        <v>57</v>
      </c>
      <c r="P42" s="91"/>
      <c r="Q42" s="86" t="n">
        <v>7</v>
      </c>
      <c r="R42" s="87" t="n">
        <v>18</v>
      </c>
      <c r="S42" s="93"/>
      <c r="T42" s="94"/>
      <c r="U42" s="95"/>
    </row>
    <row r="43" customFormat="false" ht="18.75" hidden="false" customHeight="true" outlineLevel="0" collapsed="false">
      <c r="A43" s="91"/>
      <c r="B43" s="92" t="s">
        <v>571</v>
      </c>
      <c r="C43" s="84" t="s">
        <v>593</v>
      </c>
      <c r="D43" s="96" t="s">
        <v>57</v>
      </c>
      <c r="E43" s="91"/>
      <c r="F43" s="86" t="n">
        <v>14</v>
      </c>
      <c r="G43" s="87" t="n">
        <v>18</v>
      </c>
      <c r="H43" s="93"/>
      <c r="I43" s="94"/>
      <c r="J43" s="95"/>
      <c r="K43" s="3"/>
      <c r="L43" s="91"/>
      <c r="M43" s="92" t="s">
        <v>571</v>
      </c>
      <c r="N43" s="84" t="s">
        <v>593</v>
      </c>
      <c r="O43" s="96" t="s">
        <v>57</v>
      </c>
      <c r="P43" s="91"/>
      <c r="Q43" s="86" t="n">
        <v>14</v>
      </c>
      <c r="R43" s="87" t="n">
        <v>18</v>
      </c>
      <c r="S43" s="93"/>
      <c r="T43" s="94"/>
      <c r="U43" s="95"/>
    </row>
    <row r="44" customFormat="false" ht="18.75" hidden="false" customHeight="true" outlineLevel="0" collapsed="false">
      <c r="A44" s="91"/>
      <c r="B44" s="92" t="s">
        <v>571</v>
      </c>
      <c r="C44" s="84" t="s">
        <v>594</v>
      </c>
      <c r="D44" s="96" t="s">
        <v>57</v>
      </c>
      <c r="E44" s="91"/>
      <c r="F44" s="86" t="n">
        <v>7</v>
      </c>
      <c r="G44" s="87" t="n">
        <v>18</v>
      </c>
      <c r="H44" s="93"/>
      <c r="I44" s="94"/>
      <c r="J44" s="95"/>
      <c r="K44" s="3"/>
      <c r="L44" s="91"/>
      <c r="M44" s="92" t="s">
        <v>571</v>
      </c>
      <c r="N44" s="84" t="s">
        <v>594</v>
      </c>
      <c r="O44" s="96" t="s">
        <v>57</v>
      </c>
      <c r="P44" s="91"/>
      <c r="Q44" s="86" t="n">
        <v>7</v>
      </c>
      <c r="R44" s="87" t="n">
        <v>18</v>
      </c>
      <c r="S44" s="93"/>
      <c r="T44" s="94"/>
      <c r="U44" s="95"/>
    </row>
    <row r="45" customFormat="false" ht="18.75" hidden="false" customHeight="true" outlineLevel="0" collapsed="false">
      <c r="A45" s="91"/>
      <c r="B45" s="92" t="s">
        <v>571</v>
      </c>
      <c r="C45" s="84" t="s">
        <v>595</v>
      </c>
      <c r="D45" s="96" t="s">
        <v>57</v>
      </c>
      <c r="E45" s="91"/>
      <c r="F45" s="86" t="n">
        <v>3.5</v>
      </c>
      <c r="G45" s="87" t="n">
        <v>18</v>
      </c>
      <c r="H45" s="93"/>
      <c r="I45" s="94"/>
      <c r="J45" s="95"/>
      <c r="K45" s="3"/>
      <c r="L45" s="91"/>
      <c r="M45" s="92" t="s">
        <v>571</v>
      </c>
      <c r="N45" s="84" t="s">
        <v>595</v>
      </c>
      <c r="O45" s="96" t="s">
        <v>57</v>
      </c>
      <c r="P45" s="91"/>
      <c r="Q45" s="86" t="n">
        <v>3.5</v>
      </c>
      <c r="R45" s="87" t="n">
        <v>18</v>
      </c>
      <c r="S45" s="93"/>
      <c r="T45" s="94"/>
      <c r="U45" s="95"/>
    </row>
    <row r="46" customFormat="false" ht="18.75" hidden="false" customHeight="true" outlineLevel="0" collapsed="false">
      <c r="A46" s="91"/>
      <c r="B46" s="92" t="s">
        <v>571</v>
      </c>
      <c r="C46" s="84" t="s">
        <v>596</v>
      </c>
      <c r="D46" s="96" t="s">
        <v>57</v>
      </c>
      <c r="E46" s="91"/>
      <c r="F46" s="86" t="n">
        <v>7</v>
      </c>
      <c r="G46" s="87" t="n">
        <v>18</v>
      </c>
      <c r="H46" s="93"/>
      <c r="I46" s="94"/>
      <c r="J46" s="95"/>
      <c r="K46" s="3"/>
      <c r="L46" s="91"/>
      <c r="M46" s="92" t="s">
        <v>571</v>
      </c>
      <c r="N46" s="84" t="s">
        <v>596</v>
      </c>
      <c r="O46" s="96" t="s">
        <v>57</v>
      </c>
      <c r="P46" s="91"/>
      <c r="Q46" s="86" t="n">
        <v>7</v>
      </c>
      <c r="R46" s="87" t="n">
        <v>18</v>
      </c>
      <c r="S46" s="93"/>
      <c r="T46" s="94"/>
      <c r="U46" s="95"/>
    </row>
    <row r="47" customFormat="false" ht="18.75" hidden="false" customHeight="true" outlineLevel="0" collapsed="false">
      <c r="A47" s="82"/>
      <c r="B47" s="83" t="s">
        <v>597</v>
      </c>
      <c r="C47" s="84" t="s">
        <v>598</v>
      </c>
      <c r="D47" s="96" t="s">
        <v>57</v>
      </c>
      <c r="E47" s="91"/>
      <c r="F47" s="86" t="n">
        <v>3.5</v>
      </c>
      <c r="G47" s="87" t="n">
        <v>18</v>
      </c>
      <c r="H47" s="88" t="n">
        <f aca="false">SUMIF(B:B,B47,G:G)</f>
        <v>365</v>
      </c>
      <c r="I47" s="89" t="n">
        <v>175.81</v>
      </c>
      <c r="J47" s="90" t="n">
        <f aca="false">IFERROR((I47-H47)/I47,"")</f>
        <v>-1.07610488595643</v>
      </c>
      <c r="K47" s="3"/>
      <c r="L47" s="82"/>
      <c r="M47" s="83" t="s">
        <v>597</v>
      </c>
      <c r="N47" s="84" t="s">
        <v>598</v>
      </c>
      <c r="O47" s="96" t="s">
        <v>57</v>
      </c>
      <c r="P47" s="91"/>
      <c r="Q47" s="86" t="n">
        <v>3.5</v>
      </c>
      <c r="R47" s="87" t="n">
        <v>18</v>
      </c>
      <c r="S47" s="88" t="n">
        <f aca="false">SUMIF(M:M,M47,R:R)</f>
        <v>365</v>
      </c>
      <c r="T47" s="89" t="n">
        <f aca="false">I47</f>
        <v>175.81</v>
      </c>
      <c r="U47" s="90" t="n">
        <f aca="false">IFERROR((T47-S47)/T47,"")</f>
        <v>-1.07610488595643</v>
      </c>
    </row>
    <row r="48" customFormat="false" ht="18.75" hidden="false" customHeight="true" outlineLevel="0" collapsed="false">
      <c r="A48" s="91"/>
      <c r="B48" s="92" t="s">
        <v>597</v>
      </c>
      <c r="C48" s="84" t="s">
        <v>599</v>
      </c>
      <c r="D48" s="96" t="s">
        <v>57</v>
      </c>
      <c r="E48" s="91"/>
      <c r="F48" s="86" t="n">
        <v>3</v>
      </c>
      <c r="G48" s="87" t="n">
        <v>15</v>
      </c>
      <c r="H48" s="93"/>
      <c r="I48" s="94"/>
      <c r="J48" s="95"/>
      <c r="K48" s="3"/>
      <c r="L48" s="91"/>
      <c r="M48" s="92" t="s">
        <v>597</v>
      </c>
      <c r="N48" s="84" t="s">
        <v>599</v>
      </c>
      <c r="O48" s="96" t="s">
        <v>57</v>
      </c>
      <c r="P48" s="91"/>
      <c r="Q48" s="86" t="n">
        <v>3</v>
      </c>
      <c r="R48" s="87" t="n">
        <v>15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597</v>
      </c>
      <c r="C49" s="84" t="s">
        <v>600</v>
      </c>
      <c r="D49" s="96" t="s">
        <v>57</v>
      </c>
      <c r="E49" s="91"/>
      <c r="F49" s="86" t="n">
        <v>12</v>
      </c>
      <c r="G49" s="87" t="n">
        <v>15</v>
      </c>
      <c r="H49" s="93"/>
      <c r="I49" s="94"/>
      <c r="J49" s="95"/>
      <c r="K49" s="3"/>
      <c r="L49" s="91"/>
      <c r="M49" s="92" t="s">
        <v>597</v>
      </c>
      <c r="N49" s="84" t="s">
        <v>600</v>
      </c>
      <c r="O49" s="96" t="s">
        <v>57</v>
      </c>
      <c r="P49" s="91"/>
      <c r="Q49" s="86" t="n">
        <v>12</v>
      </c>
      <c r="R49" s="87" t="n">
        <v>15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597</v>
      </c>
      <c r="C50" s="84" t="s">
        <v>601</v>
      </c>
      <c r="D50" s="96" t="s">
        <v>57</v>
      </c>
      <c r="E50" s="91"/>
      <c r="F50" s="86" t="n">
        <v>5</v>
      </c>
      <c r="G50" s="87" t="n">
        <v>13</v>
      </c>
      <c r="H50" s="93"/>
      <c r="I50" s="94"/>
      <c r="J50" s="95"/>
      <c r="K50" s="3"/>
      <c r="L50" s="91"/>
      <c r="M50" s="92" t="s">
        <v>597</v>
      </c>
      <c r="N50" s="84" t="s">
        <v>601</v>
      </c>
      <c r="O50" s="96" t="s">
        <v>57</v>
      </c>
      <c r="P50" s="91"/>
      <c r="Q50" s="86" t="n">
        <v>5</v>
      </c>
      <c r="R50" s="87" t="n">
        <v>13</v>
      </c>
      <c r="S50" s="93"/>
      <c r="T50" s="94"/>
      <c r="U50" s="95"/>
    </row>
    <row r="51" customFormat="false" ht="18.75" hidden="false" customHeight="true" outlineLevel="0" collapsed="false">
      <c r="A51" s="91"/>
      <c r="B51" s="92" t="s">
        <v>597</v>
      </c>
      <c r="C51" s="84" t="s">
        <v>602</v>
      </c>
      <c r="D51" s="96" t="s">
        <v>57</v>
      </c>
      <c r="E51" s="91"/>
      <c r="F51" s="91"/>
      <c r="G51" s="87"/>
      <c r="H51" s="93"/>
      <c r="I51" s="94"/>
      <c r="J51" s="95"/>
      <c r="K51" s="3"/>
      <c r="L51" s="91"/>
      <c r="M51" s="92" t="s">
        <v>597</v>
      </c>
      <c r="N51" s="84" t="s">
        <v>602</v>
      </c>
      <c r="O51" s="96" t="s">
        <v>57</v>
      </c>
      <c r="P51" s="91"/>
      <c r="Q51" s="91"/>
      <c r="R51" s="120"/>
      <c r="S51" s="93"/>
      <c r="T51" s="94"/>
      <c r="U51" s="95"/>
    </row>
    <row r="52" customFormat="false" ht="18.75" hidden="false" customHeight="true" outlineLevel="0" collapsed="false">
      <c r="A52" s="91"/>
      <c r="B52" s="92" t="s">
        <v>597</v>
      </c>
      <c r="C52" s="84" t="s">
        <v>603</v>
      </c>
      <c r="D52" s="96" t="s">
        <v>57</v>
      </c>
      <c r="E52" s="91"/>
      <c r="F52" s="86" t="n">
        <v>21</v>
      </c>
      <c r="G52" s="87" t="n">
        <v>18</v>
      </c>
      <c r="H52" s="93"/>
      <c r="I52" s="94"/>
      <c r="J52" s="95"/>
      <c r="K52" s="3"/>
      <c r="L52" s="91"/>
      <c r="M52" s="92" t="s">
        <v>597</v>
      </c>
      <c r="N52" s="84" t="s">
        <v>603</v>
      </c>
      <c r="O52" s="96" t="s">
        <v>57</v>
      </c>
      <c r="P52" s="91"/>
      <c r="Q52" s="86" t="n">
        <v>21</v>
      </c>
      <c r="R52" s="87" t="n">
        <v>18</v>
      </c>
      <c r="S52" s="93"/>
      <c r="T52" s="94"/>
      <c r="U52" s="95"/>
    </row>
    <row r="53" customFormat="false" ht="18.75" hidden="false" customHeight="true" outlineLevel="0" collapsed="false">
      <c r="A53" s="91"/>
      <c r="B53" s="92" t="s">
        <v>597</v>
      </c>
      <c r="C53" s="84" t="s">
        <v>604</v>
      </c>
      <c r="D53" s="96" t="s">
        <v>57</v>
      </c>
      <c r="E53" s="91"/>
      <c r="F53" s="91"/>
      <c r="G53" s="87"/>
      <c r="H53" s="93"/>
      <c r="I53" s="94"/>
      <c r="J53" s="95"/>
      <c r="K53" s="3"/>
      <c r="L53" s="91"/>
      <c r="M53" s="92" t="s">
        <v>597</v>
      </c>
      <c r="N53" s="84" t="s">
        <v>604</v>
      </c>
      <c r="O53" s="96" t="s">
        <v>57</v>
      </c>
      <c r="P53" s="91"/>
      <c r="Q53" s="91"/>
      <c r="R53" s="120"/>
      <c r="S53" s="93"/>
      <c r="T53" s="94"/>
      <c r="U53" s="95"/>
    </row>
    <row r="54" customFormat="false" ht="18.75" hidden="false" customHeight="true" outlineLevel="0" collapsed="false">
      <c r="A54" s="91"/>
      <c r="B54" s="92" t="s">
        <v>597</v>
      </c>
      <c r="C54" s="128" t="s">
        <v>605</v>
      </c>
      <c r="D54" s="96" t="s">
        <v>57</v>
      </c>
      <c r="E54" s="91"/>
      <c r="F54" s="86" t="n">
        <v>9.77</v>
      </c>
      <c r="G54" s="87" t="n">
        <v>13</v>
      </c>
      <c r="H54" s="93"/>
      <c r="I54" s="94"/>
      <c r="J54" s="95"/>
      <c r="K54" s="3"/>
      <c r="L54" s="91"/>
      <c r="M54" s="92" t="s">
        <v>597</v>
      </c>
      <c r="N54" s="128" t="s">
        <v>605</v>
      </c>
      <c r="O54" s="96" t="s">
        <v>57</v>
      </c>
      <c r="P54" s="91"/>
      <c r="Q54" s="86" t="n">
        <v>9.77</v>
      </c>
      <c r="R54" s="87" t="n">
        <v>13</v>
      </c>
      <c r="S54" s="93"/>
      <c r="T54" s="94"/>
      <c r="U54" s="95"/>
    </row>
    <row r="55" customFormat="false" ht="18.75" hidden="false" customHeight="true" outlineLevel="0" collapsed="false">
      <c r="A55" s="91"/>
      <c r="B55" s="92" t="s">
        <v>597</v>
      </c>
      <c r="C55" s="128" t="s">
        <v>606</v>
      </c>
      <c r="D55" s="96" t="s">
        <v>57</v>
      </c>
      <c r="E55" s="91"/>
      <c r="F55" s="86" t="n">
        <v>14</v>
      </c>
      <c r="G55" s="87" t="n">
        <v>18</v>
      </c>
      <c r="H55" s="93"/>
      <c r="I55" s="94"/>
      <c r="J55" s="95"/>
      <c r="K55" s="3"/>
      <c r="L55" s="91"/>
      <c r="M55" s="92" t="s">
        <v>597</v>
      </c>
      <c r="N55" s="128" t="s">
        <v>606</v>
      </c>
      <c r="O55" s="96" t="s">
        <v>57</v>
      </c>
      <c r="P55" s="91"/>
      <c r="Q55" s="86" t="n">
        <v>14</v>
      </c>
      <c r="R55" s="87" t="n">
        <v>18</v>
      </c>
      <c r="S55" s="93"/>
      <c r="T55" s="94"/>
      <c r="U55" s="95"/>
    </row>
    <row r="56" customFormat="false" ht="18.75" hidden="false" customHeight="true" outlineLevel="0" collapsed="false">
      <c r="A56" s="91"/>
      <c r="B56" s="92" t="s">
        <v>597</v>
      </c>
      <c r="C56" s="128" t="s">
        <v>607</v>
      </c>
      <c r="D56" s="96" t="s">
        <v>57</v>
      </c>
      <c r="E56" s="91"/>
      <c r="F56" s="86" t="n">
        <v>7</v>
      </c>
      <c r="G56" s="87" t="n">
        <v>18</v>
      </c>
      <c r="H56" s="93"/>
      <c r="I56" s="94"/>
      <c r="J56" s="95"/>
      <c r="K56" s="3"/>
      <c r="L56" s="91"/>
      <c r="M56" s="92" t="s">
        <v>597</v>
      </c>
      <c r="N56" s="128" t="s">
        <v>607</v>
      </c>
      <c r="O56" s="96" t="s">
        <v>57</v>
      </c>
      <c r="P56" s="91"/>
      <c r="Q56" s="86" t="n">
        <v>7</v>
      </c>
      <c r="R56" s="87" t="n">
        <v>18</v>
      </c>
      <c r="S56" s="93"/>
      <c r="T56" s="94"/>
      <c r="U56" s="95"/>
    </row>
    <row r="57" customFormat="false" ht="18.75" hidden="false" customHeight="true" outlineLevel="0" collapsed="false">
      <c r="A57" s="91"/>
      <c r="B57" s="92" t="s">
        <v>597</v>
      </c>
      <c r="C57" s="128" t="s">
        <v>608</v>
      </c>
      <c r="D57" s="96" t="s">
        <v>57</v>
      </c>
      <c r="E57" s="91"/>
      <c r="F57" s="86" t="n">
        <v>14</v>
      </c>
      <c r="G57" s="87" t="n">
        <v>18</v>
      </c>
      <c r="H57" s="93"/>
      <c r="I57" s="94"/>
      <c r="J57" s="95"/>
      <c r="K57" s="3"/>
      <c r="L57" s="91"/>
      <c r="M57" s="92" t="s">
        <v>597</v>
      </c>
      <c r="N57" s="128" t="s">
        <v>608</v>
      </c>
      <c r="O57" s="96" t="s">
        <v>57</v>
      </c>
      <c r="P57" s="91"/>
      <c r="Q57" s="86" t="n">
        <v>14</v>
      </c>
      <c r="R57" s="87" t="n">
        <v>18</v>
      </c>
      <c r="S57" s="93"/>
      <c r="T57" s="94"/>
      <c r="U57" s="95"/>
    </row>
    <row r="58" customFormat="false" ht="18.75" hidden="false" customHeight="true" outlineLevel="0" collapsed="false">
      <c r="A58" s="91"/>
      <c r="B58" s="92" t="s">
        <v>597</v>
      </c>
      <c r="C58" s="128" t="s">
        <v>609</v>
      </c>
      <c r="D58" s="96" t="s">
        <v>57</v>
      </c>
      <c r="E58" s="91"/>
      <c r="F58" s="86" t="n">
        <v>7</v>
      </c>
      <c r="G58" s="87" t="n">
        <v>18</v>
      </c>
      <c r="H58" s="93"/>
      <c r="I58" s="94"/>
      <c r="J58" s="95"/>
      <c r="K58" s="3"/>
      <c r="L58" s="91"/>
      <c r="M58" s="92" t="s">
        <v>597</v>
      </c>
      <c r="N58" s="128" t="s">
        <v>609</v>
      </c>
      <c r="O58" s="96" t="s">
        <v>57</v>
      </c>
      <c r="P58" s="91"/>
      <c r="Q58" s="86" t="n">
        <v>7</v>
      </c>
      <c r="R58" s="87" t="n">
        <v>18</v>
      </c>
      <c r="S58" s="93"/>
      <c r="T58" s="94"/>
      <c r="U58" s="95"/>
    </row>
    <row r="59" customFormat="false" ht="18.75" hidden="false" customHeight="true" outlineLevel="0" collapsed="false">
      <c r="A59" s="91"/>
      <c r="B59" s="92" t="s">
        <v>597</v>
      </c>
      <c r="C59" s="128" t="s">
        <v>610</v>
      </c>
      <c r="D59" s="96" t="s">
        <v>57</v>
      </c>
      <c r="E59" s="91"/>
      <c r="F59" s="86" t="n">
        <v>4.6</v>
      </c>
      <c r="G59" s="87" t="n">
        <v>13</v>
      </c>
      <c r="H59" s="93"/>
      <c r="I59" s="94"/>
      <c r="J59" s="95"/>
      <c r="K59" s="3"/>
      <c r="L59" s="91"/>
      <c r="M59" s="92" t="s">
        <v>597</v>
      </c>
      <c r="N59" s="128" t="s">
        <v>610</v>
      </c>
      <c r="O59" s="96" t="s">
        <v>57</v>
      </c>
      <c r="P59" s="91"/>
      <c r="Q59" s="86" t="n">
        <v>4.6</v>
      </c>
      <c r="R59" s="87" t="n">
        <v>13</v>
      </c>
      <c r="S59" s="93"/>
      <c r="T59" s="94"/>
      <c r="U59" s="95"/>
    </row>
    <row r="60" customFormat="false" ht="18.75" hidden="false" customHeight="true" outlineLevel="0" collapsed="false">
      <c r="A60" s="91"/>
      <c r="B60" s="92" t="s">
        <v>597</v>
      </c>
      <c r="C60" s="128" t="s">
        <v>611</v>
      </c>
      <c r="D60" s="96" t="s">
        <v>57</v>
      </c>
      <c r="E60" s="91"/>
      <c r="F60" s="86" t="n">
        <v>14</v>
      </c>
      <c r="G60" s="87" t="n">
        <v>18</v>
      </c>
      <c r="H60" s="93"/>
      <c r="I60" s="94"/>
      <c r="J60" s="95"/>
      <c r="K60" s="3"/>
      <c r="L60" s="91"/>
      <c r="M60" s="92" t="s">
        <v>597</v>
      </c>
      <c r="N60" s="128" t="s">
        <v>611</v>
      </c>
      <c r="O60" s="96" t="s">
        <v>57</v>
      </c>
      <c r="P60" s="91"/>
      <c r="Q60" s="86" t="n">
        <v>14</v>
      </c>
      <c r="R60" s="87" t="n">
        <v>18</v>
      </c>
      <c r="S60" s="93"/>
      <c r="T60" s="94"/>
      <c r="U60" s="95"/>
    </row>
    <row r="61" customFormat="false" ht="18.75" hidden="false" customHeight="true" outlineLevel="0" collapsed="false">
      <c r="A61" s="91"/>
      <c r="B61" s="92" t="s">
        <v>597</v>
      </c>
      <c r="C61" s="128" t="s">
        <v>612</v>
      </c>
      <c r="D61" s="96" t="s">
        <v>57</v>
      </c>
      <c r="E61" s="91"/>
      <c r="F61" s="86" t="n">
        <v>8.25</v>
      </c>
      <c r="G61" s="87" t="n">
        <v>13</v>
      </c>
      <c r="H61" s="93"/>
      <c r="I61" s="94"/>
      <c r="J61" s="95"/>
      <c r="K61" s="3"/>
      <c r="L61" s="91"/>
      <c r="M61" s="92" t="s">
        <v>597</v>
      </c>
      <c r="N61" s="128" t="s">
        <v>612</v>
      </c>
      <c r="O61" s="96" t="s">
        <v>57</v>
      </c>
      <c r="P61" s="91"/>
      <c r="Q61" s="86" t="n">
        <v>8.25</v>
      </c>
      <c r="R61" s="87" t="n">
        <v>13</v>
      </c>
      <c r="S61" s="93"/>
      <c r="T61" s="94"/>
      <c r="U61" s="95"/>
    </row>
    <row r="62" customFormat="false" ht="18.75" hidden="false" customHeight="true" outlineLevel="0" collapsed="false">
      <c r="A62" s="91"/>
      <c r="B62" s="92" t="s">
        <v>597</v>
      </c>
      <c r="C62" s="84" t="s">
        <v>613</v>
      </c>
      <c r="D62" s="96" t="s">
        <v>57</v>
      </c>
      <c r="E62" s="91"/>
      <c r="F62" s="91"/>
      <c r="G62" s="87"/>
      <c r="H62" s="93"/>
      <c r="I62" s="94"/>
      <c r="J62" s="95"/>
      <c r="K62" s="3"/>
      <c r="L62" s="91"/>
      <c r="M62" s="92" t="s">
        <v>597</v>
      </c>
      <c r="N62" s="84" t="s">
        <v>613</v>
      </c>
      <c r="O62" s="96" t="s">
        <v>57</v>
      </c>
      <c r="P62" s="91"/>
      <c r="Q62" s="91"/>
      <c r="R62" s="120"/>
      <c r="S62" s="93"/>
      <c r="T62" s="94"/>
      <c r="U62" s="95"/>
    </row>
    <row r="63" customFormat="false" ht="18.75" hidden="false" customHeight="true" outlineLevel="0" collapsed="false">
      <c r="A63" s="91"/>
      <c r="B63" s="92" t="s">
        <v>597</v>
      </c>
      <c r="C63" s="84" t="s">
        <v>614</v>
      </c>
      <c r="D63" s="96" t="s">
        <v>57</v>
      </c>
      <c r="E63" s="91"/>
      <c r="F63" s="86" t="n">
        <v>14</v>
      </c>
      <c r="G63" s="87" t="n">
        <v>18</v>
      </c>
      <c r="H63" s="93"/>
      <c r="I63" s="94"/>
      <c r="J63" s="95"/>
      <c r="K63" s="3"/>
      <c r="L63" s="91"/>
      <c r="M63" s="92" t="s">
        <v>597</v>
      </c>
      <c r="N63" s="84" t="s">
        <v>614</v>
      </c>
      <c r="O63" s="96" t="s">
        <v>57</v>
      </c>
      <c r="P63" s="91"/>
      <c r="Q63" s="86" t="n">
        <v>14</v>
      </c>
      <c r="R63" s="87" t="n">
        <v>18</v>
      </c>
      <c r="S63" s="93"/>
      <c r="T63" s="94"/>
      <c r="U63" s="95"/>
    </row>
    <row r="64" customFormat="false" ht="18.75" hidden="false" customHeight="true" outlineLevel="0" collapsed="false">
      <c r="A64" s="91"/>
      <c r="B64" s="92" t="s">
        <v>597</v>
      </c>
      <c r="C64" s="84" t="s">
        <v>615</v>
      </c>
      <c r="D64" s="96" t="s">
        <v>57</v>
      </c>
      <c r="E64" s="91"/>
      <c r="F64" s="86" t="n">
        <v>14</v>
      </c>
      <c r="G64" s="87" t="n">
        <v>18</v>
      </c>
      <c r="H64" s="93"/>
      <c r="I64" s="94"/>
      <c r="J64" s="95"/>
      <c r="K64" s="3"/>
      <c r="L64" s="91"/>
      <c r="M64" s="92" t="s">
        <v>597</v>
      </c>
      <c r="N64" s="84" t="s">
        <v>615</v>
      </c>
      <c r="O64" s="96" t="s">
        <v>57</v>
      </c>
      <c r="P64" s="91"/>
      <c r="Q64" s="86" t="n">
        <v>14</v>
      </c>
      <c r="R64" s="87" t="n">
        <v>18</v>
      </c>
      <c r="S64" s="93"/>
      <c r="T64" s="94"/>
      <c r="U64" s="95"/>
    </row>
    <row r="65" customFormat="false" ht="18.75" hidden="false" customHeight="true" outlineLevel="0" collapsed="false">
      <c r="A65" s="91"/>
      <c r="B65" s="92" t="s">
        <v>597</v>
      </c>
      <c r="C65" s="84" t="s">
        <v>616</v>
      </c>
      <c r="D65" s="96" t="s">
        <v>57</v>
      </c>
      <c r="E65" s="91"/>
      <c r="F65" s="86" t="n">
        <v>7</v>
      </c>
      <c r="G65" s="87" t="n">
        <v>18</v>
      </c>
      <c r="H65" s="93"/>
      <c r="I65" s="94"/>
      <c r="J65" s="95"/>
      <c r="K65" s="3"/>
      <c r="L65" s="91"/>
      <c r="M65" s="92" t="s">
        <v>597</v>
      </c>
      <c r="N65" s="84" t="s">
        <v>616</v>
      </c>
      <c r="O65" s="96" t="s">
        <v>57</v>
      </c>
      <c r="P65" s="91"/>
      <c r="Q65" s="86" t="n">
        <v>7</v>
      </c>
      <c r="R65" s="87" t="n">
        <v>18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597</v>
      </c>
      <c r="C66" s="128" t="s">
        <v>617</v>
      </c>
      <c r="D66" s="96" t="s">
        <v>57</v>
      </c>
      <c r="E66" s="91"/>
      <c r="F66" s="86" t="n">
        <v>10.5</v>
      </c>
      <c r="G66" s="87" t="n">
        <v>18</v>
      </c>
      <c r="H66" s="93"/>
      <c r="I66" s="94"/>
      <c r="J66" s="95"/>
      <c r="K66" s="3"/>
      <c r="L66" s="91"/>
      <c r="M66" s="92" t="s">
        <v>597</v>
      </c>
      <c r="N66" s="128" t="s">
        <v>617</v>
      </c>
      <c r="O66" s="96" t="s">
        <v>57</v>
      </c>
      <c r="P66" s="91"/>
      <c r="Q66" s="86" t="n">
        <v>10.5</v>
      </c>
      <c r="R66" s="87" t="n">
        <v>18</v>
      </c>
      <c r="S66" s="93"/>
      <c r="T66" s="94"/>
      <c r="U66" s="95"/>
    </row>
    <row r="67" customFormat="false" ht="18.75" hidden="false" customHeight="true" outlineLevel="0" collapsed="false">
      <c r="A67" s="91"/>
      <c r="B67" s="92" t="s">
        <v>597</v>
      </c>
      <c r="C67" s="128" t="s">
        <v>618</v>
      </c>
      <c r="D67" s="96" t="s">
        <v>57</v>
      </c>
      <c r="E67" s="91"/>
      <c r="F67" s="86" t="n">
        <v>10.5</v>
      </c>
      <c r="G67" s="87" t="n">
        <v>18</v>
      </c>
      <c r="H67" s="93"/>
      <c r="I67" s="94"/>
      <c r="J67" s="95"/>
      <c r="K67" s="3"/>
      <c r="L67" s="91"/>
      <c r="M67" s="92" t="s">
        <v>597</v>
      </c>
      <c r="N67" s="128" t="s">
        <v>618</v>
      </c>
      <c r="O67" s="96" t="s">
        <v>57</v>
      </c>
      <c r="P67" s="91"/>
      <c r="Q67" s="86" t="n">
        <v>10.5</v>
      </c>
      <c r="R67" s="87" t="n">
        <v>18</v>
      </c>
      <c r="S67" s="93"/>
      <c r="T67" s="94"/>
      <c r="U67" s="95"/>
    </row>
    <row r="68" customFormat="false" ht="18.75" hidden="false" customHeight="true" outlineLevel="0" collapsed="false">
      <c r="A68" s="91"/>
      <c r="B68" s="92" t="s">
        <v>597</v>
      </c>
      <c r="C68" s="84" t="s">
        <v>619</v>
      </c>
      <c r="D68" s="96" t="s">
        <v>57</v>
      </c>
      <c r="E68" s="91"/>
      <c r="F68" s="86" t="n">
        <v>21</v>
      </c>
      <c r="G68" s="87" t="n">
        <v>18</v>
      </c>
      <c r="H68" s="93"/>
      <c r="I68" s="94"/>
      <c r="J68" s="95"/>
      <c r="K68" s="3"/>
      <c r="L68" s="91"/>
      <c r="M68" s="92" t="s">
        <v>597</v>
      </c>
      <c r="N68" s="84" t="s">
        <v>619</v>
      </c>
      <c r="O68" s="96" t="s">
        <v>57</v>
      </c>
      <c r="P68" s="91"/>
      <c r="Q68" s="86" t="n">
        <v>21</v>
      </c>
      <c r="R68" s="87" t="n">
        <v>18</v>
      </c>
      <c r="S68" s="93"/>
      <c r="T68" s="94"/>
      <c r="U68" s="95"/>
    </row>
    <row r="69" customFormat="false" ht="18.75" hidden="false" customHeight="true" outlineLevel="0" collapsed="false">
      <c r="A69" s="91"/>
      <c r="B69" s="92" t="s">
        <v>597</v>
      </c>
      <c r="C69" s="128" t="s">
        <v>620</v>
      </c>
      <c r="D69" s="96" t="s">
        <v>57</v>
      </c>
      <c r="E69" s="91"/>
      <c r="F69" s="86" t="n">
        <v>7</v>
      </c>
      <c r="G69" s="87" t="n">
        <v>18</v>
      </c>
      <c r="H69" s="93"/>
      <c r="I69" s="94"/>
      <c r="J69" s="95"/>
      <c r="K69" s="3"/>
      <c r="L69" s="91"/>
      <c r="M69" s="92" t="s">
        <v>597</v>
      </c>
      <c r="N69" s="128" t="s">
        <v>620</v>
      </c>
      <c r="O69" s="96" t="s">
        <v>57</v>
      </c>
      <c r="P69" s="91"/>
      <c r="Q69" s="86" t="n">
        <v>7</v>
      </c>
      <c r="R69" s="87" t="n">
        <v>18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597</v>
      </c>
      <c r="C70" s="128" t="s">
        <v>621</v>
      </c>
      <c r="D70" s="96" t="s">
        <v>57</v>
      </c>
      <c r="E70" s="91"/>
      <c r="F70" s="86" t="n">
        <v>4.5</v>
      </c>
      <c r="G70" s="87" t="n">
        <v>13</v>
      </c>
      <c r="H70" s="93"/>
      <c r="I70" s="94"/>
      <c r="J70" s="95"/>
      <c r="K70" s="3"/>
      <c r="L70" s="91"/>
      <c r="M70" s="92" t="s">
        <v>597</v>
      </c>
      <c r="N70" s="128" t="s">
        <v>621</v>
      </c>
      <c r="O70" s="96" t="s">
        <v>57</v>
      </c>
      <c r="P70" s="91"/>
      <c r="Q70" s="86" t="n">
        <v>4.5</v>
      </c>
      <c r="R70" s="87" t="n">
        <v>13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597</v>
      </c>
      <c r="C71" s="128" t="s">
        <v>622</v>
      </c>
      <c r="D71" s="96" t="s">
        <v>57</v>
      </c>
      <c r="E71" s="91"/>
      <c r="F71" s="86" t="n">
        <v>14</v>
      </c>
      <c r="G71" s="87" t="n">
        <v>18</v>
      </c>
      <c r="H71" s="93"/>
      <c r="I71" s="94"/>
      <c r="J71" s="95"/>
      <c r="K71" s="3"/>
      <c r="L71" s="91"/>
      <c r="M71" s="92" t="s">
        <v>597</v>
      </c>
      <c r="N71" s="128" t="s">
        <v>622</v>
      </c>
      <c r="O71" s="96" t="s">
        <v>57</v>
      </c>
      <c r="P71" s="91"/>
      <c r="Q71" s="86" t="n">
        <v>14</v>
      </c>
      <c r="R71" s="87" t="n">
        <v>18</v>
      </c>
      <c r="S71" s="93"/>
      <c r="T71" s="94"/>
      <c r="U71" s="95"/>
    </row>
    <row r="72" customFormat="false" ht="18.75" hidden="false" customHeight="true" outlineLevel="0" collapsed="false">
      <c r="A72" s="82"/>
      <c r="B72" s="83" t="s">
        <v>623</v>
      </c>
      <c r="C72" s="84" t="s">
        <v>624</v>
      </c>
      <c r="D72" s="96" t="s">
        <v>57</v>
      </c>
      <c r="E72" s="91"/>
      <c r="F72" s="86" t="n">
        <v>7</v>
      </c>
      <c r="G72" s="87" t="n">
        <v>18</v>
      </c>
      <c r="H72" s="88" t="n">
        <f aca="false">SUMIF(B:B,B72,G:G)</f>
        <v>398</v>
      </c>
      <c r="I72" s="89" t="n">
        <v>256</v>
      </c>
      <c r="J72" s="90" t="n">
        <f aca="false">IFERROR((I72-H72)/I72,"")</f>
        <v>-0.5546875</v>
      </c>
      <c r="K72" s="3"/>
      <c r="L72" s="82"/>
      <c r="M72" s="83" t="s">
        <v>623</v>
      </c>
      <c r="N72" s="84" t="s">
        <v>624</v>
      </c>
      <c r="O72" s="96" t="s">
        <v>57</v>
      </c>
      <c r="P72" s="91"/>
      <c r="Q72" s="86" t="n">
        <v>7</v>
      </c>
      <c r="R72" s="87" t="n">
        <v>18</v>
      </c>
      <c r="S72" s="88" t="n">
        <f aca="false">SUMIF(M:M,M72,R:R)</f>
        <v>398</v>
      </c>
      <c r="T72" s="89" t="n">
        <f aca="false">I72</f>
        <v>256</v>
      </c>
      <c r="U72" s="90" t="n">
        <f aca="false">IFERROR((T72-S72)/T72,"")</f>
        <v>-0.5546875</v>
      </c>
    </row>
    <row r="73" customFormat="false" ht="18.75" hidden="false" customHeight="true" outlineLevel="0" collapsed="false">
      <c r="A73" s="91"/>
      <c r="B73" s="92" t="s">
        <v>623</v>
      </c>
      <c r="C73" s="84" t="s">
        <v>625</v>
      </c>
      <c r="D73" s="96" t="s">
        <v>57</v>
      </c>
      <c r="E73" s="91"/>
      <c r="F73" s="86" t="n">
        <v>6</v>
      </c>
      <c r="G73" s="87" t="n">
        <v>15</v>
      </c>
      <c r="H73" s="93"/>
      <c r="I73" s="94"/>
      <c r="J73" s="95"/>
      <c r="K73" s="3"/>
      <c r="L73" s="91"/>
      <c r="M73" s="92" t="s">
        <v>623</v>
      </c>
      <c r="N73" s="84" t="s">
        <v>625</v>
      </c>
      <c r="O73" s="96" t="s">
        <v>57</v>
      </c>
      <c r="P73" s="91"/>
      <c r="Q73" s="86" t="n">
        <v>6</v>
      </c>
      <c r="R73" s="87" t="n">
        <v>15</v>
      </c>
      <c r="S73" s="93"/>
      <c r="T73" s="94"/>
      <c r="U73" s="95"/>
    </row>
    <row r="74" customFormat="false" ht="18.75" hidden="false" customHeight="true" outlineLevel="0" collapsed="false">
      <c r="A74" s="91"/>
      <c r="B74" s="92" t="s">
        <v>623</v>
      </c>
      <c r="C74" s="128" t="s">
        <v>626</v>
      </c>
      <c r="D74" s="96" t="s">
        <v>57</v>
      </c>
      <c r="E74" s="91"/>
      <c r="F74" s="86" t="n">
        <v>14</v>
      </c>
      <c r="G74" s="87" t="n">
        <v>18</v>
      </c>
      <c r="H74" s="93"/>
      <c r="I74" s="94"/>
      <c r="J74" s="95"/>
      <c r="K74" s="3"/>
      <c r="L74" s="91"/>
      <c r="M74" s="92" t="s">
        <v>623</v>
      </c>
      <c r="N74" s="128" t="s">
        <v>626</v>
      </c>
      <c r="O74" s="96" t="s">
        <v>57</v>
      </c>
      <c r="P74" s="91"/>
      <c r="Q74" s="86" t="n">
        <v>14</v>
      </c>
      <c r="R74" s="87" t="n">
        <v>18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623</v>
      </c>
      <c r="C75" s="128" t="s">
        <v>627</v>
      </c>
      <c r="D75" s="96" t="s">
        <v>57</v>
      </c>
      <c r="E75" s="91"/>
      <c r="F75" s="86" t="n">
        <v>7</v>
      </c>
      <c r="G75" s="87" t="n">
        <v>18</v>
      </c>
      <c r="H75" s="93"/>
      <c r="I75" s="94"/>
      <c r="J75" s="95"/>
      <c r="K75" s="3"/>
      <c r="L75" s="91"/>
      <c r="M75" s="92" t="s">
        <v>623</v>
      </c>
      <c r="N75" s="128" t="s">
        <v>627</v>
      </c>
      <c r="O75" s="96" t="s">
        <v>57</v>
      </c>
      <c r="P75" s="91"/>
      <c r="Q75" s="86" t="n">
        <v>7</v>
      </c>
      <c r="R75" s="87" t="n">
        <v>18</v>
      </c>
      <c r="S75" s="93"/>
      <c r="T75" s="94"/>
      <c r="U75" s="95"/>
    </row>
    <row r="76" customFormat="false" ht="18.75" hidden="false" customHeight="true" outlineLevel="0" collapsed="false">
      <c r="A76" s="91"/>
      <c r="B76" s="92" t="s">
        <v>623</v>
      </c>
      <c r="C76" s="128" t="s">
        <v>628</v>
      </c>
      <c r="D76" s="96" t="s">
        <v>57</v>
      </c>
      <c r="E76" s="91"/>
      <c r="F76" s="86" t="n">
        <v>4.5</v>
      </c>
      <c r="G76" s="87" t="n">
        <v>13</v>
      </c>
      <c r="H76" s="93"/>
      <c r="I76" s="94"/>
      <c r="J76" s="95"/>
      <c r="K76" s="3"/>
      <c r="L76" s="91"/>
      <c r="M76" s="92" t="s">
        <v>623</v>
      </c>
      <c r="N76" s="128" t="s">
        <v>628</v>
      </c>
      <c r="O76" s="96" t="s">
        <v>57</v>
      </c>
      <c r="P76" s="91"/>
      <c r="Q76" s="86" t="n">
        <v>4.5</v>
      </c>
      <c r="R76" s="87" t="n">
        <v>13</v>
      </c>
      <c r="S76" s="93"/>
      <c r="T76" s="94"/>
      <c r="U76" s="95"/>
    </row>
    <row r="77" customFormat="false" ht="18.75" hidden="false" customHeight="true" outlineLevel="0" collapsed="false">
      <c r="A77" s="91"/>
      <c r="B77" s="92" t="s">
        <v>623</v>
      </c>
      <c r="C77" s="84" t="s">
        <v>629</v>
      </c>
      <c r="D77" s="96" t="s">
        <v>57</v>
      </c>
      <c r="E77" s="91"/>
      <c r="F77" s="86" t="n">
        <v>14</v>
      </c>
      <c r="G77" s="87" t="n">
        <v>18</v>
      </c>
      <c r="H77" s="93"/>
      <c r="I77" s="94"/>
      <c r="J77" s="95"/>
      <c r="K77" s="3"/>
      <c r="L77" s="91"/>
      <c r="M77" s="92" t="s">
        <v>623</v>
      </c>
      <c r="N77" s="84" t="s">
        <v>629</v>
      </c>
      <c r="O77" s="96" t="s">
        <v>57</v>
      </c>
      <c r="P77" s="91"/>
      <c r="Q77" s="86" t="n">
        <v>14</v>
      </c>
      <c r="R77" s="87" t="n">
        <v>18</v>
      </c>
      <c r="S77" s="93"/>
      <c r="T77" s="94"/>
      <c r="U77" s="95"/>
    </row>
    <row r="78" customFormat="false" ht="18.75" hidden="false" customHeight="true" outlineLevel="0" collapsed="false">
      <c r="A78" s="91"/>
      <c r="B78" s="92" t="s">
        <v>623</v>
      </c>
      <c r="C78" s="128" t="s">
        <v>630</v>
      </c>
      <c r="D78" s="96" t="s">
        <v>57</v>
      </c>
      <c r="E78" s="91"/>
      <c r="F78" s="86" t="n">
        <v>7</v>
      </c>
      <c r="G78" s="87" t="n">
        <v>18</v>
      </c>
      <c r="H78" s="93"/>
      <c r="I78" s="94"/>
      <c r="J78" s="95"/>
      <c r="K78" s="3"/>
      <c r="L78" s="91"/>
      <c r="M78" s="92" t="s">
        <v>623</v>
      </c>
      <c r="N78" s="128" t="s">
        <v>630</v>
      </c>
      <c r="O78" s="96" t="s">
        <v>57</v>
      </c>
      <c r="P78" s="91"/>
      <c r="Q78" s="86" t="n">
        <v>7</v>
      </c>
      <c r="R78" s="87" t="n">
        <v>18</v>
      </c>
      <c r="S78" s="93"/>
      <c r="T78" s="94"/>
      <c r="U78" s="95"/>
    </row>
    <row r="79" customFormat="false" ht="18.75" hidden="false" customHeight="true" outlineLevel="0" collapsed="false">
      <c r="A79" s="91"/>
      <c r="B79" s="92" t="s">
        <v>623</v>
      </c>
      <c r="C79" s="84" t="s">
        <v>631</v>
      </c>
      <c r="D79" s="96" t="s">
        <v>57</v>
      </c>
      <c r="E79" s="91"/>
      <c r="F79" s="86" t="n">
        <v>12.2</v>
      </c>
      <c r="G79" s="87" t="n">
        <v>13</v>
      </c>
      <c r="H79" s="93"/>
      <c r="I79" s="94"/>
      <c r="J79" s="95"/>
      <c r="K79" s="3"/>
      <c r="L79" s="91"/>
      <c r="M79" s="92" t="s">
        <v>623</v>
      </c>
      <c r="N79" s="84" t="s">
        <v>631</v>
      </c>
      <c r="O79" s="96" t="s">
        <v>57</v>
      </c>
      <c r="P79" s="91"/>
      <c r="Q79" s="86" t="n">
        <v>12.2</v>
      </c>
      <c r="R79" s="87" t="n">
        <v>13</v>
      </c>
      <c r="S79" s="93"/>
      <c r="T79" s="94"/>
      <c r="U79" s="95"/>
    </row>
    <row r="80" customFormat="false" ht="18.75" hidden="false" customHeight="true" outlineLevel="0" collapsed="false">
      <c r="A80" s="91"/>
      <c r="B80" s="92" t="s">
        <v>623</v>
      </c>
      <c r="C80" s="84" t="s">
        <v>632</v>
      </c>
      <c r="D80" s="96" t="s">
        <v>57</v>
      </c>
      <c r="E80" s="91"/>
      <c r="F80" s="86" t="n">
        <v>3</v>
      </c>
      <c r="G80" s="87" t="n">
        <v>25</v>
      </c>
      <c r="H80" s="93"/>
      <c r="I80" s="94"/>
      <c r="J80" s="95"/>
      <c r="K80" s="3"/>
      <c r="L80" s="91"/>
      <c r="M80" s="92" t="s">
        <v>623</v>
      </c>
      <c r="N80" s="84" t="s">
        <v>632</v>
      </c>
      <c r="O80" s="96" t="s">
        <v>57</v>
      </c>
      <c r="P80" s="91"/>
      <c r="Q80" s="86" t="n">
        <v>3</v>
      </c>
      <c r="R80" s="87" t="n">
        <v>25</v>
      </c>
      <c r="S80" s="93"/>
      <c r="T80" s="94"/>
      <c r="U80" s="95"/>
    </row>
    <row r="81" customFormat="false" ht="18.75" hidden="false" customHeight="true" outlineLevel="0" collapsed="false">
      <c r="A81" s="91"/>
      <c r="B81" s="92" t="s">
        <v>623</v>
      </c>
      <c r="C81" s="128" t="s">
        <v>633</v>
      </c>
      <c r="D81" s="96" t="s">
        <v>57</v>
      </c>
      <c r="E81" s="91"/>
      <c r="F81" s="86" t="n">
        <v>11.66</v>
      </c>
      <c r="G81" s="87" t="n">
        <v>13</v>
      </c>
      <c r="H81" s="93"/>
      <c r="I81" s="94"/>
      <c r="J81" s="95"/>
      <c r="K81" s="3"/>
      <c r="L81" s="91"/>
      <c r="M81" s="92" t="s">
        <v>623</v>
      </c>
      <c r="N81" s="128" t="s">
        <v>633</v>
      </c>
      <c r="O81" s="96" t="s">
        <v>57</v>
      </c>
      <c r="P81" s="91"/>
      <c r="Q81" s="86" t="n">
        <v>11.66</v>
      </c>
      <c r="R81" s="87" t="n">
        <v>13</v>
      </c>
      <c r="S81" s="93"/>
      <c r="T81" s="94"/>
      <c r="U81" s="95"/>
    </row>
    <row r="82" customFormat="false" ht="18.75" hidden="false" customHeight="true" outlineLevel="0" collapsed="false">
      <c r="A82" s="91"/>
      <c r="B82" s="92" t="s">
        <v>623</v>
      </c>
      <c r="C82" s="84" t="s">
        <v>634</v>
      </c>
      <c r="D82" s="96" t="s">
        <v>57</v>
      </c>
      <c r="E82" s="91"/>
      <c r="F82" s="86" t="n">
        <v>21</v>
      </c>
      <c r="G82" s="87" t="n">
        <v>18</v>
      </c>
      <c r="H82" s="93"/>
      <c r="I82" s="94"/>
      <c r="J82" s="95"/>
      <c r="K82" s="3"/>
      <c r="L82" s="91"/>
      <c r="M82" s="92" t="s">
        <v>623</v>
      </c>
      <c r="N82" s="84" t="s">
        <v>634</v>
      </c>
      <c r="O82" s="96" t="s">
        <v>57</v>
      </c>
      <c r="P82" s="91"/>
      <c r="Q82" s="86" t="n">
        <v>21</v>
      </c>
      <c r="R82" s="87" t="n">
        <v>18</v>
      </c>
      <c r="S82" s="93"/>
      <c r="T82" s="94"/>
      <c r="U82" s="95"/>
    </row>
    <row r="83" customFormat="false" ht="18.75" hidden="false" customHeight="true" outlineLevel="0" collapsed="false">
      <c r="A83" s="91"/>
      <c r="B83" s="92" t="s">
        <v>623</v>
      </c>
      <c r="C83" s="84" t="s">
        <v>635</v>
      </c>
      <c r="D83" s="96" t="s">
        <v>57</v>
      </c>
      <c r="E83" s="91"/>
      <c r="F83" s="86" t="n">
        <v>7</v>
      </c>
      <c r="G83" s="87" t="n">
        <v>18</v>
      </c>
      <c r="H83" s="93"/>
      <c r="I83" s="94"/>
      <c r="J83" s="95"/>
      <c r="K83" s="3"/>
      <c r="L83" s="91"/>
      <c r="M83" s="92" t="s">
        <v>623</v>
      </c>
      <c r="N83" s="84" t="s">
        <v>635</v>
      </c>
      <c r="O83" s="96" t="s">
        <v>57</v>
      </c>
      <c r="P83" s="91"/>
      <c r="Q83" s="86" t="n">
        <v>7</v>
      </c>
      <c r="R83" s="87" t="n">
        <v>18</v>
      </c>
      <c r="S83" s="93"/>
      <c r="T83" s="94"/>
      <c r="U83" s="95"/>
    </row>
    <row r="84" customFormat="false" ht="18.75" hidden="false" customHeight="true" outlineLevel="0" collapsed="false">
      <c r="A84" s="91"/>
      <c r="B84" s="92" t="s">
        <v>623</v>
      </c>
      <c r="C84" s="84" t="s">
        <v>636</v>
      </c>
      <c r="D84" s="96" t="s">
        <v>57</v>
      </c>
      <c r="E84" s="91"/>
      <c r="F84" s="86" t="n">
        <v>7</v>
      </c>
      <c r="G84" s="87" t="n">
        <v>18</v>
      </c>
      <c r="H84" s="93"/>
      <c r="I84" s="94"/>
      <c r="J84" s="95"/>
      <c r="K84" s="3"/>
      <c r="L84" s="91"/>
      <c r="M84" s="92" t="s">
        <v>623</v>
      </c>
      <c r="N84" s="84" t="s">
        <v>636</v>
      </c>
      <c r="O84" s="96" t="s">
        <v>57</v>
      </c>
      <c r="P84" s="91"/>
      <c r="Q84" s="86" t="n">
        <v>7</v>
      </c>
      <c r="R84" s="87" t="n">
        <v>18</v>
      </c>
      <c r="S84" s="93"/>
      <c r="T84" s="94"/>
      <c r="U84" s="95"/>
    </row>
    <row r="85" customFormat="false" ht="18.75" hidden="false" customHeight="true" outlineLevel="0" collapsed="false">
      <c r="A85" s="91"/>
      <c r="B85" s="92" t="s">
        <v>623</v>
      </c>
      <c r="C85" s="84" t="s">
        <v>637</v>
      </c>
      <c r="D85" s="96" t="s">
        <v>57</v>
      </c>
      <c r="E85" s="91"/>
      <c r="F85" s="86" t="n">
        <v>1.28</v>
      </c>
      <c r="G85" s="87" t="n">
        <v>18</v>
      </c>
      <c r="H85" s="93"/>
      <c r="I85" s="94"/>
      <c r="J85" s="95"/>
      <c r="K85" s="3"/>
      <c r="L85" s="91"/>
      <c r="M85" s="92" t="s">
        <v>623</v>
      </c>
      <c r="N85" s="84" t="s">
        <v>637</v>
      </c>
      <c r="O85" s="96" t="s">
        <v>57</v>
      </c>
      <c r="P85" s="91"/>
      <c r="Q85" s="86" t="n">
        <v>1.28</v>
      </c>
      <c r="R85" s="87" t="n">
        <v>18</v>
      </c>
      <c r="S85" s="93"/>
      <c r="T85" s="94"/>
      <c r="U85" s="95"/>
    </row>
    <row r="86" customFormat="false" ht="18.75" hidden="false" customHeight="true" outlineLevel="0" collapsed="false">
      <c r="A86" s="91"/>
      <c r="B86" s="92" t="s">
        <v>623</v>
      </c>
      <c r="C86" s="84" t="s">
        <v>638</v>
      </c>
      <c r="D86" s="96" t="s">
        <v>57</v>
      </c>
      <c r="E86" s="91"/>
      <c r="F86" s="86" t="n">
        <v>14</v>
      </c>
      <c r="G86" s="87" t="n">
        <v>18</v>
      </c>
      <c r="H86" s="93"/>
      <c r="I86" s="94"/>
      <c r="J86" s="95"/>
      <c r="K86" s="3"/>
      <c r="L86" s="91"/>
      <c r="M86" s="92" t="s">
        <v>623</v>
      </c>
      <c r="N86" s="84" t="s">
        <v>638</v>
      </c>
      <c r="O86" s="96" t="s">
        <v>57</v>
      </c>
      <c r="P86" s="91"/>
      <c r="Q86" s="86" t="n">
        <v>14</v>
      </c>
      <c r="R86" s="87" t="n">
        <v>18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623</v>
      </c>
      <c r="C87" s="84" t="s">
        <v>639</v>
      </c>
      <c r="D87" s="96" t="s">
        <v>57</v>
      </c>
      <c r="E87" s="91"/>
      <c r="F87" s="86" t="n">
        <v>7.51</v>
      </c>
      <c r="G87" s="87" t="n">
        <v>13</v>
      </c>
      <c r="H87" s="93"/>
      <c r="I87" s="94"/>
      <c r="J87" s="95"/>
      <c r="K87" s="3"/>
      <c r="L87" s="91"/>
      <c r="M87" s="92" t="s">
        <v>623</v>
      </c>
      <c r="N87" s="84" t="s">
        <v>639</v>
      </c>
      <c r="O87" s="96" t="s">
        <v>57</v>
      </c>
      <c r="P87" s="91"/>
      <c r="Q87" s="86" t="n">
        <v>7.51</v>
      </c>
      <c r="R87" s="87" t="n">
        <v>13</v>
      </c>
      <c r="S87" s="93"/>
      <c r="T87" s="94"/>
      <c r="U87" s="95"/>
    </row>
    <row r="88" customFormat="false" ht="18.75" hidden="false" customHeight="true" outlineLevel="0" collapsed="false">
      <c r="A88" s="91"/>
      <c r="B88" s="92" t="s">
        <v>623</v>
      </c>
      <c r="C88" s="128" t="s">
        <v>640</v>
      </c>
      <c r="D88" s="96" t="s">
        <v>57</v>
      </c>
      <c r="E88" s="91"/>
      <c r="F88" s="91"/>
      <c r="G88" s="87"/>
      <c r="H88" s="93"/>
      <c r="I88" s="94"/>
      <c r="J88" s="95"/>
      <c r="K88" s="3"/>
      <c r="L88" s="91"/>
      <c r="M88" s="92" t="s">
        <v>623</v>
      </c>
      <c r="N88" s="128" t="s">
        <v>640</v>
      </c>
      <c r="O88" s="96" t="s">
        <v>57</v>
      </c>
      <c r="P88" s="91"/>
      <c r="Q88" s="91"/>
      <c r="R88" s="120"/>
      <c r="S88" s="93"/>
      <c r="T88" s="94"/>
      <c r="U88" s="95"/>
    </row>
    <row r="89" customFormat="false" ht="18.75" hidden="false" customHeight="true" outlineLevel="0" collapsed="false">
      <c r="A89" s="91"/>
      <c r="B89" s="92" t="s">
        <v>623</v>
      </c>
      <c r="C89" s="128" t="s">
        <v>641</v>
      </c>
      <c r="D89" s="96" t="s">
        <v>57</v>
      </c>
      <c r="E89" s="91"/>
      <c r="F89" s="86" t="n">
        <v>21</v>
      </c>
      <c r="G89" s="87" t="n">
        <v>18</v>
      </c>
      <c r="H89" s="93"/>
      <c r="I89" s="94"/>
      <c r="J89" s="95"/>
      <c r="K89" s="3"/>
      <c r="L89" s="91"/>
      <c r="M89" s="92" t="s">
        <v>623</v>
      </c>
      <c r="N89" s="128" t="s">
        <v>641</v>
      </c>
      <c r="O89" s="96" t="s">
        <v>57</v>
      </c>
      <c r="P89" s="91"/>
      <c r="Q89" s="86" t="n">
        <v>21</v>
      </c>
      <c r="R89" s="87" t="n">
        <v>18</v>
      </c>
      <c r="S89" s="93"/>
      <c r="T89" s="94"/>
      <c r="U89" s="95"/>
    </row>
    <row r="90" customFormat="false" ht="18.75" hidden="false" customHeight="true" outlineLevel="0" collapsed="false">
      <c r="A90" s="91"/>
      <c r="B90" s="92" t="s">
        <v>623</v>
      </c>
      <c r="C90" s="84" t="s">
        <v>642</v>
      </c>
      <c r="D90" s="96" t="s">
        <v>57</v>
      </c>
      <c r="E90" s="91"/>
      <c r="F90" s="86" t="n">
        <v>7</v>
      </c>
      <c r="G90" s="87" t="n">
        <v>18</v>
      </c>
      <c r="H90" s="93"/>
      <c r="I90" s="94"/>
      <c r="J90" s="95"/>
      <c r="K90" s="3"/>
      <c r="L90" s="91"/>
      <c r="M90" s="92" t="s">
        <v>623</v>
      </c>
      <c r="N90" s="84" t="s">
        <v>642</v>
      </c>
      <c r="O90" s="96" t="s">
        <v>57</v>
      </c>
      <c r="P90" s="91"/>
      <c r="Q90" s="86" t="n">
        <v>7</v>
      </c>
      <c r="R90" s="87" t="n">
        <v>18</v>
      </c>
      <c r="S90" s="93"/>
      <c r="T90" s="94"/>
      <c r="U90" s="95"/>
    </row>
    <row r="91" customFormat="false" ht="18.75" hidden="false" customHeight="true" outlineLevel="0" collapsed="false">
      <c r="A91" s="91"/>
      <c r="B91" s="92" t="s">
        <v>623</v>
      </c>
      <c r="C91" s="84" t="s">
        <v>624</v>
      </c>
      <c r="D91" s="96" t="s">
        <v>57</v>
      </c>
      <c r="E91" s="91"/>
      <c r="F91" s="86" t="n">
        <v>3.5</v>
      </c>
      <c r="G91" s="87" t="n">
        <v>18</v>
      </c>
      <c r="H91" s="93"/>
      <c r="I91" s="94"/>
      <c r="J91" s="95"/>
      <c r="K91" s="3"/>
      <c r="L91" s="91"/>
      <c r="M91" s="92" t="s">
        <v>623</v>
      </c>
      <c r="N91" s="84" t="s">
        <v>624</v>
      </c>
      <c r="O91" s="96" t="s">
        <v>57</v>
      </c>
      <c r="P91" s="91"/>
      <c r="Q91" s="86" t="n">
        <v>3.5</v>
      </c>
      <c r="R91" s="87" t="n">
        <v>18</v>
      </c>
      <c r="S91" s="93"/>
      <c r="T91" s="94"/>
      <c r="U91" s="95"/>
    </row>
    <row r="92" customFormat="false" ht="18.75" hidden="false" customHeight="true" outlineLevel="0" collapsed="false">
      <c r="A92" s="91"/>
      <c r="B92" s="92" t="s">
        <v>623</v>
      </c>
      <c r="C92" s="84" t="s">
        <v>643</v>
      </c>
      <c r="D92" s="96" t="s">
        <v>57</v>
      </c>
      <c r="E92" s="91"/>
      <c r="F92" s="86" t="n">
        <v>21</v>
      </c>
      <c r="G92" s="87" t="n">
        <v>18</v>
      </c>
      <c r="H92" s="93"/>
      <c r="I92" s="94"/>
      <c r="J92" s="95"/>
      <c r="K92" s="3"/>
      <c r="L92" s="91"/>
      <c r="M92" s="92" t="s">
        <v>623</v>
      </c>
      <c r="N92" s="84" t="s">
        <v>643</v>
      </c>
      <c r="O92" s="96" t="s">
        <v>57</v>
      </c>
      <c r="P92" s="91"/>
      <c r="Q92" s="86" t="n">
        <v>21</v>
      </c>
      <c r="R92" s="87" t="n">
        <v>18</v>
      </c>
      <c r="S92" s="93"/>
      <c r="T92" s="94"/>
      <c r="U92" s="95"/>
    </row>
    <row r="93" customFormat="false" ht="18.75" hidden="false" customHeight="true" outlineLevel="0" collapsed="false">
      <c r="A93" s="91"/>
      <c r="B93" s="92" t="s">
        <v>623</v>
      </c>
      <c r="C93" s="128" t="s">
        <v>644</v>
      </c>
      <c r="D93" s="96" t="s">
        <v>57</v>
      </c>
      <c r="E93" s="91"/>
      <c r="F93" s="86" t="n">
        <v>7</v>
      </c>
      <c r="G93" s="87" t="n">
        <v>18</v>
      </c>
      <c r="H93" s="93"/>
      <c r="I93" s="94"/>
      <c r="J93" s="95"/>
      <c r="K93" s="3"/>
      <c r="L93" s="91"/>
      <c r="M93" s="92" t="s">
        <v>623</v>
      </c>
      <c r="N93" s="128" t="s">
        <v>644</v>
      </c>
      <c r="O93" s="96" t="s">
        <v>57</v>
      </c>
      <c r="P93" s="91"/>
      <c r="Q93" s="86" t="n">
        <v>7</v>
      </c>
      <c r="R93" s="87" t="n">
        <v>18</v>
      </c>
      <c r="S93" s="93"/>
      <c r="T93" s="94"/>
      <c r="U93" s="95"/>
    </row>
    <row r="94" customFormat="false" ht="18.75" hidden="false" customHeight="true" outlineLevel="0" collapsed="false">
      <c r="A94" s="91"/>
      <c r="B94" s="92" t="s">
        <v>623</v>
      </c>
      <c r="C94" s="84" t="s">
        <v>645</v>
      </c>
      <c r="D94" s="96" t="s">
        <v>57</v>
      </c>
      <c r="E94" s="91"/>
      <c r="F94" s="86" t="n">
        <v>7</v>
      </c>
      <c r="G94" s="87" t="n">
        <v>18</v>
      </c>
      <c r="H94" s="93"/>
      <c r="I94" s="94"/>
      <c r="J94" s="95"/>
      <c r="K94" s="3"/>
      <c r="L94" s="91"/>
      <c r="M94" s="92" t="s">
        <v>623</v>
      </c>
      <c r="N94" s="84" t="s">
        <v>645</v>
      </c>
      <c r="O94" s="96" t="s">
        <v>57</v>
      </c>
      <c r="P94" s="91"/>
      <c r="Q94" s="86" t="n">
        <v>7</v>
      </c>
      <c r="R94" s="87" t="n">
        <v>18</v>
      </c>
      <c r="S94" s="93"/>
      <c r="T94" s="94"/>
      <c r="U94" s="95"/>
    </row>
    <row r="95" customFormat="false" ht="18.75" hidden="false" customHeight="true" outlineLevel="0" collapsed="false">
      <c r="A95" s="91"/>
      <c r="B95" s="92" t="s">
        <v>623</v>
      </c>
      <c r="C95" s="84" t="s">
        <v>646</v>
      </c>
      <c r="D95" s="96" t="s">
        <v>57</v>
      </c>
      <c r="E95" s="91"/>
      <c r="F95" s="86" t="n">
        <v>7</v>
      </c>
      <c r="G95" s="87" t="n">
        <v>18</v>
      </c>
      <c r="H95" s="93"/>
      <c r="I95" s="94"/>
      <c r="J95" s="95"/>
      <c r="K95" s="3"/>
      <c r="L95" s="91"/>
      <c r="M95" s="92" t="s">
        <v>623</v>
      </c>
      <c r="N95" s="84" t="s">
        <v>646</v>
      </c>
      <c r="O95" s="96" t="s">
        <v>57</v>
      </c>
      <c r="P95" s="91"/>
      <c r="Q95" s="86" t="n">
        <v>7</v>
      </c>
      <c r="R95" s="87" t="n">
        <v>18</v>
      </c>
      <c r="S95" s="93"/>
      <c r="T95" s="94"/>
      <c r="U95" s="95"/>
    </row>
    <row r="96" customFormat="false" ht="18.75" hidden="false" customHeight="true" outlineLevel="0" collapsed="false">
      <c r="A96" s="91"/>
      <c r="B96" s="92" t="s">
        <v>623</v>
      </c>
      <c r="C96" s="128" t="s">
        <v>647</v>
      </c>
      <c r="D96" s="96" t="s">
        <v>57</v>
      </c>
      <c r="E96" s="91"/>
      <c r="F96" s="91"/>
      <c r="G96" s="87"/>
      <c r="H96" s="93"/>
      <c r="I96" s="94"/>
      <c r="J96" s="95"/>
      <c r="K96" s="3"/>
      <c r="L96" s="91"/>
      <c r="M96" s="92" t="s">
        <v>623</v>
      </c>
      <c r="N96" s="128" t="s">
        <v>647</v>
      </c>
      <c r="O96" s="96" t="s">
        <v>57</v>
      </c>
      <c r="P96" s="91"/>
      <c r="Q96" s="91"/>
      <c r="R96" s="120"/>
      <c r="S96" s="93"/>
      <c r="T96" s="94"/>
      <c r="U96" s="95"/>
    </row>
    <row r="97" customFormat="false" ht="18.75" hidden="false" customHeight="true" outlineLevel="0" collapsed="false">
      <c r="A97" s="82"/>
      <c r="B97" s="83" t="s">
        <v>648</v>
      </c>
      <c r="C97" s="128" t="s">
        <v>649</v>
      </c>
      <c r="D97" s="96" t="s">
        <v>57</v>
      </c>
      <c r="E97" s="91"/>
      <c r="F97" s="91"/>
      <c r="G97" s="87"/>
      <c r="H97" s="88" t="n">
        <f aca="false">SUMIF(B:B,B97,G:G)</f>
        <v>236</v>
      </c>
      <c r="I97" s="89" t="n">
        <v>1126.4</v>
      </c>
      <c r="J97" s="90" t="n">
        <f aca="false">IFERROR((I97-H97)/I97,"")</f>
        <v>0.790482954545455</v>
      </c>
      <c r="K97" s="3"/>
      <c r="L97" s="82"/>
      <c r="M97" s="83" t="s">
        <v>648</v>
      </c>
      <c r="N97" s="128" t="s">
        <v>649</v>
      </c>
      <c r="O97" s="96" t="s">
        <v>57</v>
      </c>
      <c r="P97" s="91"/>
      <c r="Q97" s="91"/>
      <c r="R97" s="120"/>
      <c r="S97" s="88" t="n">
        <f aca="false">SUMIF(M:M,M97,R:R)</f>
        <v>236</v>
      </c>
      <c r="T97" s="89" t="n">
        <f aca="false">I97</f>
        <v>1126.4</v>
      </c>
      <c r="U97" s="90" t="n">
        <f aca="false">IFERROR((T97-S97)/T97,"")</f>
        <v>0.790482954545455</v>
      </c>
    </row>
    <row r="98" customFormat="false" ht="18.75" hidden="false" customHeight="true" outlineLevel="0" collapsed="false">
      <c r="A98" s="91"/>
      <c r="B98" s="92" t="s">
        <v>648</v>
      </c>
      <c r="C98" s="84" t="s">
        <v>650</v>
      </c>
      <c r="D98" s="96" t="s">
        <v>57</v>
      </c>
      <c r="E98" s="91"/>
      <c r="F98" s="86" t="n">
        <v>14</v>
      </c>
      <c r="G98" s="87" t="n">
        <v>18</v>
      </c>
      <c r="H98" s="93"/>
      <c r="I98" s="94"/>
      <c r="J98" s="95"/>
      <c r="K98" s="3"/>
      <c r="L98" s="91"/>
      <c r="M98" s="92" t="s">
        <v>648</v>
      </c>
      <c r="N98" s="84" t="s">
        <v>650</v>
      </c>
      <c r="O98" s="96" t="s">
        <v>57</v>
      </c>
      <c r="P98" s="91"/>
      <c r="Q98" s="86" t="n">
        <v>14</v>
      </c>
      <c r="R98" s="87" t="n">
        <v>18</v>
      </c>
      <c r="S98" s="93"/>
      <c r="T98" s="94"/>
      <c r="U98" s="95"/>
    </row>
    <row r="99" customFormat="false" ht="18.75" hidden="false" customHeight="true" outlineLevel="0" collapsed="false">
      <c r="A99" s="91"/>
      <c r="B99" s="92" t="s">
        <v>648</v>
      </c>
      <c r="C99" s="128" t="s">
        <v>651</v>
      </c>
      <c r="D99" s="96" t="s">
        <v>57</v>
      </c>
      <c r="E99" s="91"/>
      <c r="F99" s="86" t="n">
        <v>12</v>
      </c>
      <c r="G99" s="87" t="n">
        <v>13</v>
      </c>
      <c r="H99" s="93"/>
      <c r="I99" s="94"/>
      <c r="J99" s="95"/>
      <c r="K99" s="3"/>
      <c r="L99" s="91"/>
      <c r="M99" s="92" t="s">
        <v>648</v>
      </c>
      <c r="N99" s="128" t="s">
        <v>651</v>
      </c>
      <c r="O99" s="96" t="s">
        <v>57</v>
      </c>
      <c r="P99" s="91"/>
      <c r="Q99" s="86" t="n">
        <v>12</v>
      </c>
      <c r="R99" s="87" t="n">
        <v>13</v>
      </c>
      <c r="S99" s="93"/>
      <c r="T99" s="94"/>
      <c r="U99" s="95"/>
    </row>
    <row r="100" customFormat="false" ht="18.75" hidden="false" customHeight="true" outlineLevel="0" collapsed="false">
      <c r="A100" s="91"/>
      <c r="B100" s="92" t="s">
        <v>648</v>
      </c>
      <c r="C100" s="128" t="s">
        <v>652</v>
      </c>
      <c r="D100" s="96" t="s">
        <v>57</v>
      </c>
      <c r="E100" s="91"/>
      <c r="F100" s="86" t="n">
        <v>7</v>
      </c>
      <c r="G100" s="87" t="n">
        <v>18</v>
      </c>
      <c r="H100" s="93"/>
      <c r="I100" s="94"/>
      <c r="J100" s="95"/>
      <c r="K100" s="3"/>
      <c r="L100" s="91"/>
      <c r="M100" s="92" t="s">
        <v>648</v>
      </c>
      <c r="N100" s="128" t="s">
        <v>652</v>
      </c>
      <c r="O100" s="96" t="s">
        <v>57</v>
      </c>
      <c r="P100" s="91"/>
      <c r="Q100" s="86" t="n">
        <v>7</v>
      </c>
      <c r="R100" s="87" t="n">
        <v>18</v>
      </c>
      <c r="S100" s="93"/>
      <c r="T100" s="94"/>
      <c r="U100" s="95"/>
    </row>
    <row r="101" customFormat="false" ht="18.75" hidden="false" customHeight="true" outlineLevel="0" collapsed="false">
      <c r="A101" s="91"/>
      <c r="B101" s="92" t="s">
        <v>648</v>
      </c>
      <c r="C101" s="84" t="s">
        <v>653</v>
      </c>
      <c r="D101" s="96" t="s">
        <v>57</v>
      </c>
      <c r="E101" s="91"/>
      <c r="F101" s="86" t="n">
        <v>7</v>
      </c>
      <c r="G101" s="87" t="n">
        <v>18</v>
      </c>
      <c r="H101" s="93"/>
      <c r="I101" s="94"/>
      <c r="J101" s="95"/>
      <c r="K101" s="3"/>
      <c r="L101" s="91"/>
      <c r="M101" s="92" t="s">
        <v>648</v>
      </c>
      <c r="N101" s="84" t="s">
        <v>653</v>
      </c>
      <c r="O101" s="96" t="s">
        <v>57</v>
      </c>
      <c r="P101" s="91"/>
      <c r="Q101" s="86" t="n">
        <v>7</v>
      </c>
      <c r="R101" s="87" t="n">
        <v>18</v>
      </c>
      <c r="S101" s="93"/>
      <c r="T101" s="94"/>
      <c r="U101" s="95"/>
    </row>
    <row r="102" customFormat="false" ht="18.75" hidden="false" customHeight="true" outlineLevel="0" collapsed="false">
      <c r="A102" s="91"/>
      <c r="B102" s="92" t="s">
        <v>648</v>
      </c>
      <c r="C102" s="84" t="s">
        <v>654</v>
      </c>
      <c r="D102" s="96" t="s">
        <v>57</v>
      </c>
      <c r="E102" s="91"/>
      <c r="F102" s="86" t="n">
        <v>21</v>
      </c>
      <c r="G102" s="87" t="n">
        <v>18</v>
      </c>
      <c r="H102" s="93"/>
      <c r="I102" s="94"/>
      <c r="J102" s="95"/>
      <c r="K102" s="3"/>
      <c r="L102" s="91"/>
      <c r="M102" s="92" t="s">
        <v>648</v>
      </c>
      <c r="N102" s="84" t="s">
        <v>654</v>
      </c>
      <c r="O102" s="96" t="s">
        <v>57</v>
      </c>
      <c r="P102" s="91"/>
      <c r="Q102" s="86" t="n">
        <v>21</v>
      </c>
      <c r="R102" s="87" t="n">
        <v>18</v>
      </c>
      <c r="S102" s="93"/>
      <c r="T102" s="94"/>
      <c r="U102" s="95"/>
    </row>
    <row r="103" customFormat="false" ht="18.75" hidden="false" customHeight="true" outlineLevel="0" collapsed="false">
      <c r="A103" s="91"/>
      <c r="B103" s="92" t="s">
        <v>648</v>
      </c>
      <c r="C103" s="84" t="s">
        <v>655</v>
      </c>
      <c r="D103" s="96" t="s">
        <v>57</v>
      </c>
      <c r="E103" s="91"/>
      <c r="F103" s="86" t="n">
        <v>7</v>
      </c>
      <c r="G103" s="87" t="n">
        <v>18</v>
      </c>
      <c r="H103" s="93"/>
      <c r="I103" s="94"/>
      <c r="J103" s="95"/>
      <c r="K103" s="3"/>
      <c r="L103" s="91"/>
      <c r="M103" s="92" t="s">
        <v>648</v>
      </c>
      <c r="N103" s="84" t="s">
        <v>655</v>
      </c>
      <c r="O103" s="96" t="s">
        <v>57</v>
      </c>
      <c r="P103" s="91"/>
      <c r="Q103" s="86" t="n">
        <v>7</v>
      </c>
      <c r="R103" s="87" t="n">
        <v>18</v>
      </c>
      <c r="S103" s="93"/>
      <c r="T103" s="94"/>
      <c r="U103" s="95"/>
    </row>
    <row r="104" customFormat="false" ht="18.75" hidden="false" customHeight="true" outlineLevel="0" collapsed="false">
      <c r="A104" s="91"/>
      <c r="B104" s="92" t="s">
        <v>648</v>
      </c>
      <c r="C104" s="84" t="s">
        <v>656</v>
      </c>
      <c r="D104" s="96" t="s">
        <v>57</v>
      </c>
      <c r="E104" s="91"/>
      <c r="F104" s="86" t="n">
        <v>21</v>
      </c>
      <c r="G104" s="87" t="n">
        <v>18</v>
      </c>
      <c r="H104" s="93"/>
      <c r="I104" s="94"/>
      <c r="J104" s="95"/>
      <c r="K104" s="3"/>
      <c r="L104" s="91"/>
      <c r="M104" s="92" t="s">
        <v>648</v>
      </c>
      <c r="N104" s="84" t="s">
        <v>656</v>
      </c>
      <c r="O104" s="96" t="s">
        <v>57</v>
      </c>
      <c r="P104" s="91"/>
      <c r="Q104" s="86" t="n">
        <v>21</v>
      </c>
      <c r="R104" s="87" t="n">
        <v>18</v>
      </c>
      <c r="S104" s="93"/>
      <c r="T104" s="94"/>
      <c r="U104" s="95"/>
    </row>
    <row r="105" customFormat="false" ht="18.75" hidden="false" customHeight="true" outlineLevel="0" collapsed="false">
      <c r="A105" s="91"/>
      <c r="B105" s="92" t="s">
        <v>648</v>
      </c>
      <c r="C105" s="84" t="s">
        <v>657</v>
      </c>
      <c r="D105" s="96" t="s">
        <v>57</v>
      </c>
      <c r="E105" s="91"/>
      <c r="F105" s="86" t="n">
        <v>7</v>
      </c>
      <c r="G105" s="87" t="n">
        <v>18</v>
      </c>
      <c r="H105" s="93"/>
      <c r="I105" s="94"/>
      <c r="J105" s="95"/>
      <c r="K105" s="3"/>
      <c r="L105" s="91"/>
      <c r="M105" s="92" t="s">
        <v>648</v>
      </c>
      <c r="N105" s="84" t="s">
        <v>657</v>
      </c>
      <c r="O105" s="96" t="s">
        <v>57</v>
      </c>
      <c r="P105" s="91"/>
      <c r="Q105" s="86" t="n">
        <v>7</v>
      </c>
      <c r="R105" s="87" t="n">
        <v>18</v>
      </c>
      <c r="S105" s="93"/>
      <c r="T105" s="94"/>
      <c r="U105" s="95"/>
    </row>
    <row r="106" customFormat="false" ht="18.75" hidden="false" customHeight="true" outlineLevel="0" collapsed="false">
      <c r="A106" s="91"/>
      <c r="B106" s="92" t="s">
        <v>648</v>
      </c>
      <c r="C106" s="128" t="s">
        <v>658</v>
      </c>
      <c r="D106" s="96" t="s">
        <v>57</v>
      </c>
      <c r="E106" s="91"/>
      <c r="F106" s="86" t="n">
        <v>6</v>
      </c>
      <c r="G106" s="87" t="n">
        <v>15</v>
      </c>
      <c r="H106" s="93"/>
      <c r="I106" s="94"/>
      <c r="J106" s="95"/>
      <c r="K106" s="3"/>
      <c r="L106" s="91"/>
      <c r="M106" s="92" t="s">
        <v>648</v>
      </c>
      <c r="N106" s="128" t="s">
        <v>658</v>
      </c>
      <c r="O106" s="96" t="s">
        <v>57</v>
      </c>
      <c r="P106" s="91"/>
      <c r="Q106" s="86" t="n">
        <v>6</v>
      </c>
      <c r="R106" s="87" t="n">
        <v>15</v>
      </c>
      <c r="S106" s="93"/>
      <c r="T106" s="94"/>
      <c r="U106" s="95"/>
    </row>
    <row r="107" customFormat="false" ht="18.75" hidden="false" customHeight="true" outlineLevel="0" collapsed="false">
      <c r="A107" s="91"/>
      <c r="B107" s="92" t="s">
        <v>648</v>
      </c>
      <c r="C107" s="84" t="s">
        <v>659</v>
      </c>
      <c r="D107" s="96" t="s">
        <v>57</v>
      </c>
      <c r="E107" s="91"/>
      <c r="F107" s="86" t="n">
        <v>9</v>
      </c>
      <c r="G107" s="87" t="n">
        <v>15</v>
      </c>
      <c r="H107" s="93"/>
      <c r="I107" s="94"/>
      <c r="J107" s="95"/>
      <c r="K107" s="3"/>
      <c r="L107" s="91"/>
      <c r="M107" s="92" t="s">
        <v>648</v>
      </c>
      <c r="N107" s="84" t="s">
        <v>659</v>
      </c>
      <c r="O107" s="96" t="s">
        <v>57</v>
      </c>
      <c r="P107" s="91"/>
      <c r="Q107" s="86" t="n">
        <v>9</v>
      </c>
      <c r="R107" s="87" t="n">
        <v>15</v>
      </c>
      <c r="S107" s="93"/>
      <c r="T107" s="94"/>
      <c r="U107" s="95"/>
    </row>
    <row r="108" customFormat="false" ht="18.75" hidden="false" customHeight="true" outlineLevel="0" collapsed="false">
      <c r="A108" s="91"/>
      <c r="B108" s="92" t="s">
        <v>648</v>
      </c>
      <c r="C108" s="84" t="s">
        <v>660</v>
      </c>
      <c r="D108" s="96" t="s">
        <v>57</v>
      </c>
      <c r="E108" s="91"/>
      <c r="F108" s="91"/>
      <c r="G108" s="87"/>
      <c r="H108" s="93"/>
      <c r="I108" s="94"/>
      <c r="J108" s="95"/>
      <c r="K108" s="3"/>
      <c r="L108" s="91"/>
      <c r="M108" s="92" t="s">
        <v>648</v>
      </c>
      <c r="N108" s="84" t="s">
        <v>660</v>
      </c>
      <c r="O108" s="96" t="s">
        <v>57</v>
      </c>
      <c r="P108" s="91"/>
      <c r="Q108" s="91"/>
      <c r="R108" s="120"/>
      <c r="S108" s="93"/>
      <c r="T108" s="94"/>
      <c r="U108" s="95"/>
    </row>
    <row r="109" customFormat="false" ht="18.75" hidden="false" customHeight="true" outlineLevel="0" collapsed="false">
      <c r="A109" s="91"/>
      <c r="B109" s="92" t="s">
        <v>648</v>
      </c>
      <c r="C109" s="84" t="s">
        <v>661</v>
      </c>
      <c r="D109" s="96" t="s">
        <v>57</v>
      </c>
      <c r="E109" s="91"/>
      <c r="F109" s="86" t="n">
        <v>7</v>
      </c>
      <c r="G109" s="87" t="n">
        <v>18</v>
      </c>
      <c r="H109" s="93"/>
      <c r="I109" s="94"/>
      <c r="J109" s="95"/>
      <c r="K109" s="3"/>
      <c r="L109" s="91"/>
      <c r="M109" s="92" t="s">
        <v>648</v>
      </c>
      <c r="N109" s="84" t="s">
        <v>661</v>
      </c>
      <c r="O109" s="96" t="s">
        <v>57</v>
      </c>
      <c r="P109" s="91"/>
      <c r="Q109" s="86" t="n">
        <v>7</v>
      </c>
      <c r="R109" s="87" t="n">
        <v>18</v>
      </c>
      <c r="S109" s="93"/>
      <c r="T109" s="94"/>
      <c r="U109" s="95"/>
    </row>
    <row r="110" customFormat="false" ht="18.75" hidden="false" customHeight="true" outlineLevel="0" collapsed="false">
      <c r="A110" s="91"/>
      <c r="B110" s="92" t="s">
        <v>648</v>
      </c>
      <c r="C110" s="84" t="s">
        <v>662</v>
      </c>
      <c r="D110" s="96" t="s">
        <v>57</v>
      </c>
      <c r="E110" s="91"/>
      <c r="F110" s="86" t="n">
        <v>3.35</v>
      </c>
      <c r="G110" s="87" t="n">
        <v>13</v>
      </c>
      <c r="H110" s="93"/>
      <c r="I110" s="94"/>
      <c r="J110" s="95"/>
      <c r="K110" s="3"/>
      <c r="L110" s="91"/>
      <c r="M110" s="92" t="s">
        <v>648</v>
      </c>
      <c r="N110" s="84" t="s">
        <v>662</v>
      </c>
      <c r="O110" s="96" t="s">
        <v>57</v>
      </c>
      <c r="P110" s="91"/>
      <c r="Q110" s="86" t="n">
        <v>3.35</v>
      </c>
      <c r="R110" s="87" t="n">
        <v>13</v>
      </c>
      <c r="S110" s="93"/>
      <c r="T110" s="94"/>
      <c r="U110" s="95"/>
    </row>
    <row r="111" customFormat="false" ht="18.75" hidden="false" customHeight="true" outlineLevel="0" collapsed="false">
      <c r="A111" s="91"/>
      <c r="B111" s="92" t="s">
        <v>648</v>
      </c>
      <c r="C111" s="84" t="s">
        <v>663</v>
      </c>
      <c r="D111" s="96" t="s">
        <v>57</v>
      </c>
      <c r="E111" s="91"/>
      <c r="F111" s="86" t="n">
        <v>7</v>
      </c>
      <c r="G111" s="87" t="n">
        <v>18</v>
      </c>
      <c r="H111" s="93"/>
      <c r="I111" s="94"/>
      <c r="J111" s="95"/>
      <c r="K111" s="3"/>
      <c r="L111" s="91"/>
      <c r="M111" s="92" t="s">
        <v>648</v>
      </c>
      <c r="N111" s="84" t="s">
        <v>663</v>
      </c>
      <c r="O111" s="96" t="s">
        <v>57</v>
      </c>
      <c r="P111" s="91"/>
      <c r="Q111" s="86" t="n">
        <v>7</v>
      </c>
      <c r="R111" s="87" t="n">
        <v>18</v>
      </c>
      <c r="S111" s="93"/>
      <c r="T111" s="94"/>
      <c r="U111" s="95"/>
    </row>
    <row r="112" customFormat="false" ht="18.75" hidden="false" customHeight="true" outlineLevel="0" collapsed="false">
      <c r="A112" s="91"/>
      <c r="B112" s="92" t="s">
        <v>648</v>
      </c>
      <c r="C112" s="84" t="s">
        <v>664</v>
      </c>
      <c r="D112" s="96" t="s">
        <v>57</v>
      </c>
      <c r="E112" s="91"/>
      <c r="F112" s="86" t="n">
        <v>7</v>
      </c>
      <c r="G112" s="87" t="n">
        <v>18</v>
      </c>
      <c r="H112" s="93"/>
      <c r="I112" s="94"/>
      <c r="J112" s="95"/>
      <c r="K112" s="3"/>
      <c r="L112" s="91"/>
      <c r="M112" s="92" t="s">
        <v>648</v>
      </c>
      <c r="N112" s="84" t="s">
        <v>664</v>
      </c>
      <c r="O112" s="96" t="s">
        <v>57</v>
      </c>
      <c r="P112" s="91"/>
      <c r="Q112" s="86" t="n">
        <v>7</v>
      </c>
      <c r="R112" s="87" t="n">
        <v>18</v>
      </c>
      <c r="S112" s="93"/>
      <c r="T112" s="94"/>
      <c r="U112" s="95"/>
    </row>
    <row r="113" customFormat="false" ht="18.75" hidden="false" customHeight="true" outlineLevel="0" collapsed="false">
      <c r="A113" s="82"/>
      <c r="B113" s="83" t="s">
        <v>665</v>
      </c>
      <c r="C113" s="84" t="s">
        <v>666</v>
      </c>
      <c r="D113" s="96" t="s">
        <v>57</v>
      </c>
      <c r="E113" s="91"/>
      <c r="F113" s="86" t="n">
        <v>7</v>
      </c>
      <c r="G113" s="87" t="n">
        <v>18</v>
      </c>
      <c r="H113" s="88" t="n">
        <f aca="false">SUMIF(B:B,B113,G:G)</f>
        <v>376</v>
      </c>
      <c r="I113" s="89" t="n">
        <v>318.03</v>
      </c>
      <c r="J113" s="90" t="n">
        <f aca="false">IFERROR((I113-H113)/I113,"")</f>
        <v>-0.182278401408672</v>
      </c>
      <c r="K113" s="3"/>
      <c r="L113" s="82"/>
      <c r="M113" s="83" t="s">
        <v>665</v>
      </c>
      <c r="N113" s="84" t="s">
        <v>666</v>
      </c>
      <c r="O113" s="96" t="s">
        <v>57</v>
      </c>
      <c r="P113" s="91"/>
      <c r="Q113" s="86" t="n">
        <v>7</v>
      </c>
      <c r="R113" s="87" t="n">
        <v>18</v>
      </c>
      <c r="S113" s="88" t="n">
        <f aca="false">SUMIF(M:M,M113,R:R)</f>
        <v>376</v>
      </c>
      <c r="T113" s="89" t="n">
        <f aca="false">I113</f>
        <v>318.03</v>
      </c>
      <c r="U113" s="90" t="n">
        <f aca="false">IFERROR((T113-S113)/T113,"")</f>
        <v>-0.182278401408672</v>
      </c>
    </row>
    <row r="114" customFormat="false" ht="18.75" hidden="false" customHeight="true" outlineLevel="0" collapsed="false">
      <c r="A114" s="91"/>
      <c r="B114" s="92" t="s">
        <v>665</v>
      </c>
      <c r="C114" s="84" t="s">
        <v>667</v>
      </c>
      <c r="D114" s="96" t="s">
        <v>57</v>
      </c>
      <c r="E114" s="91"/>
      <c r="F114" s="86" t="n">
        <v>12.81</v>
      </c>
      <c r="G114" s="87" t="n">
        <v>13</v>
      </c>
      <c r="H114" s="93"/>
      <c r="I114" s="94"/>
      <c r="J114" s="95"/>
      <c r="K114" s="3"/>
      <c r="L114" s="91"/>
      <c r="M114" s="92" t="s">
        <v>665</v>
      </c>
      <c r="N114" s="84" t="s">
        <v>667</v>
      </c>
      <c r="O114" s="96" t="s">
        <v>57</v>
      </c>
      <c r="P114" s="91"/>
      <c r="Q114" s="86" t="n">
        <v>12.81</v>
      </c>
      <c r="R114" s="87" t="n">
        <v>13</v>
      </c>
      <c r="S114" s="93"/>
      <c r="T114" s="94"/>
      <c r="U114" s="95"/>
    </row>
    <row r="115" customFormat="false" ht="18.75" hidden="false" customHeight="true" outlineLevel="0" collapsed="false">
      <c r="A115" s="91"/>
      <c r="B115" s="92" t="s">
        <v>665</v>
      </c>
      <c r="C115" s="84" t="s">
        <v>668</v>
      </c>
      <c r="D115" s="96" t="s">
        <v>57</v>
      </c>
      <c r="E115" s="91"/>
      <c r="F115" s="86" t="n">
        <v>6.93</v>
      </c>
      <c r="G115" s="87" t="n">
        <v>13</v>
      </c>
      <c r="H115" s="93"/>
      <c r="I115" s="94"/>
      <c r="J115" s="95"/>
      <c r="K115" s="3"/>
      <c r="L115" s="91"/>
      <c r="M115" s="92" t="s">
        <v>665</v>
      </c>
      <c r="N115" s="84" t="s">
        <v>668</v>
      </c>
      <c r="O115" s="96" t="s">
        <v>57</v>
      </c>
      <c r="P115" s="91"/>
      <c r="Q115" s="86" t="n">
        <v>6.93</v>
      </c>
      <c r="R115" s="87" t="n">
        <v>13</v>
      </c>
      <c r="S115" s="93"/>
      <c r="T115" s="94"/>
      <c r="U115" s="95"/>
    </row>
    <row r="116" customFormat="false" ht="18.75" hidden="false" customHeight="true" outlineLevel="0" collapsed="false">
      <c r="A116" s="91"/>
      <c r="B116" s="92" t="s">
        <v>665</v>
      </c>
      <c r="C116" s="84" t="s">
        <v>669</v>
      </c>
      <c r="D116" s="96" t="s">
        <v>57</v>
      </c>
      <c r="E116" s="91"/>
      <c r="F116" s="86" t="n">
        <v>25.76</v>
      </c>
      <c r="G116" s="87" t="n">
        <v>15</v>
      </c>
      <c r="H116" s="93"/>
      <c r="I116" s="94"/>
      <c r="J116" s="95"/>
      <c r="K116" s="3"/>
      <c r="L116" s="91"/>
      <c r="M116" s="92" t="s">
        <v>665</v>
      </c>
      <c r="N116" s="84" t="s">
        <v>669</v>
      </c>
      <c r="O116" s="96" t="s">
        <v>57</v>
      </c>
      <c r="P116" s="91"/>
      <c r="Q116" s="86" t="n">
        <v>25.76</v>
      </c>
      <c r="R116" s="87" t="n">
        <v>15</v>
      </c>
      <c r="S116" s="93"/>
      <c r="T116" s="94"/>
      <c r="U116" s="95"/>
    </row>
    <row r="117" customFormat="false" ht="18.75" hidden="false" customHeight="true" outlineLevel="0" collapsed="false">
      <c r="A117" s="91"/>
      <c r="B117" s="92" t="s">
        <v>665</v>
      </c>
      <c r="C117" s="84" t="s">
        <v>670</v>
      </c>
      <c r="D117" s="96" t="s">
        <v>57</v>
      </c>
      <c r="E117" s="91"/>
      <c r="F117" s="86" t="n">
        <v>16.25</v>
      </c>
      <c r="G117" s="87" t="n">
        <v>13</v>
      </c>
      <c r="H117" s="93"/>
      <c r="I117" s="94"/>
      <c r="J117" s="95"/>
      <c r="K117" s="3"/>
      <c r="L117" s="91"/>
      <c r="M117" s="92" t="s">
        <v>665</v>
      </c>
      <c r="N117" s="84" t="s">
        <v>670</v>
      </c>
      <c r="O117" s="96" t="s">
        <v>57</v>
      </c>
      <c r="P117" s="91"/>
      <c r="Q117" s="86" t="n">
        <v>16.25</v>
      </c>
      <c r="R117" s="87" t="n">
        <v>13</v>
      </c>
      <c r="S117" s="93"/>
      <c r="T117" s="94"/>
      <c r="U117" s="95"/>
    </row>
    <row r="118" customFormat="false" ht="18.75" hidden="false" customHeight="true" outlineLevel="0" collapsed="false">
      <c r="A118" s="91"/>
      <c r="B118" s="92" t="s">
        <v>665</v>
      </c>
      <c r="C118" s="84" t="s">
        <v>671</v>
      </c>
      <c r="D118" s="96" t="s">
        <v>57</v>
      </c>
      <c r="E118" s="91"/>
      <c r="F118" s="91"/>
      <c r="G118" s="87"/>
      <c r="H118" s="93"/>
      <c r="I118" s="94"/>
      <c r="J118" s="95"/>
      <c r="K118" s="3"/>
      <c r="L118" s="91"/>
      <c r="M118" s="92" t="s">
        <v>665</v>
      </c>
      <c r="N118" s="84" t="s">
        <v>671</v>
      </c>
      <c r="O118" s="96" t="s">
        <v>57</v>
      </c>
      <c r="P118" s="91"/>
      <c r="Q118" s="91"/>
      <c r="R118" s="120"/>
      <c r="S118" s="93"/>
      <c r="T118" s="94"/>
      <c r="U118" s="95"/>
    </row>
    <row r="119" customFormat="false" ht="18.75" hidden="false" customHeight="true" outlineLevel="0" collapsed="false">
      <c r="A119" s="91"/>
      <c r="B119" s="92" t="s">
        <v>665</v>
      </c>
      <c r="C119" s="84" t="s">
        <v>672</v>
      </c>
      <c r="D119" s="96" t="s">
        <v>57</v>
      </c>
      <c r="E119" s="91"/>
      <c r="F119" s="86" t="n">
        <v>19</v>
      </c>
      <c r="G119" s="87" t="n">
        <v>17</v>
      </c>
      <c r="H119" s="93"/>
      <c r="I119" s="94"/>
      <c r="J119" s="95"/>
      <c r="K119" s="3"/>
      <c r="L119" s="91"/>
      <c r="M119" s="92" t="s">
        <v>665</v>
      </c>
      <c r="N119" s="84" t="s">
        <v>672</v>
      </c>
      <c r="O119" s="96" t="s">
        <v>57</v>
      </c>
      <c r="P119" s="91"/>
      <c r="Q119" s="86" t="n">
        <v>19</v>
      </c>
      <c r="R119" s="87" t="n">
        <v>17</v>
      </c>
      <c r="S119" s="93"/>
      <c r="T119" s="94"/>
      <c r="U119" s="95"/>
    </row>
    <row r="120" customFormat="false" ht="18.75" hidden="false" customHeight="true" outlineLevel="0" collapsed="false">
      <c r="A120" s="91"/>
      <c r="B120" s="92" t="s">
        <v>665</v>
      </c>
      <c r="C120" s="84" t="s">
        <v>673</v>
      </c>
      <c r="D120" s="96" t="s">
        <v>57</v>
      </c>
      <c r="E120" s="91"/>
      <c r="F120" s="86" t="n">
        <v>7</v>
      </c>
      <c r="G120" s="87" t="n">
        <v>20</v>
      </c>
      <c r="H120" s="93"/>
      <c r="I120" s="94"/>
      <c r="J120" s="95"/>
      <c r="K120" s="3"/>
      <c r="L120" s="91"/>
      <c r="M120" s="92" t="s">
        <v>665</v>
      </c>
      <c r="N120" s="84" t="s">
        <v>673</v>
      </c>
      <c r="O120" s="96" t="s">
        <v>57</v>
      </c>
      <c r="P120" s="91"/>
      <c r="Q120" s="86" t="n">
        <v>7</v>
      </c>
      <c r="R120" s="87" t="n">
        <v>20</v>
      </c>
      <c r="S120" s="93"/>
      <c r="T120" s="94"/>
      <c r="U120" s="95"/>
    </row>
    <row r="121" customFormat="false" ht="18.75" hidden="false" customHeight="true" outlineLevel="0" collapsed="false">
      <c r="A121" s="91"/>
      <c r="B121" s="92" t="s">
        <v>665</v>
      </c>
      <c r="C121" s="128" t="s">
        <v>674</v>
      </c>
      <c r="D121" s="96" t="s">
        <v>57</v>
      </c>
      <c r="E121" s="91"/>
      <c r="F121" s="86" t="n">
        <v>35</v>
      </c>
      <c r="G121" s="87" t="n">
        <v>18</v>
      </c>
      <c r="H121" s="93"/>
      <c r="I121" s="94"/>
      <c r="J121" s="95"/>
      <c r="K121" s="3"/>
      <c r="L121" s="91"/>
      <c r="M121" s="92" t="s">
        <v>665</v>
      </c>
      <c r="N121" s="128" t="s">
        <v>674</v>
      </c>
      <c r="O121" s="96" t="s">
        <v>57</v>
      </c>
      <c r="P121" s="91"/>
      <c r="Q121" s="86" t="n">
        <v>35</v>
      </c>
      <c r="R121" s="87" t="n">
        <v>18</v>
      </c>
      <c r="S121" s="93"/>
      <c r="T121" s="94"/>
      <c r="U121" s="95"/>
    </row>
    <row r="122" customFormat="false" ht="18.75" hidden="false" customHeight="true" outlineLevel="0" collapsed="false">
      <c r="A122" s="91"/>
      <c r="B122" s="92" t="s">
        <v>665</v>
      </c>
      <c r="C122" s="84" t="s">
        <v>675</v>
      </c>
      <c r="D122" s="96" t="s">
        <v>57</v>
      </c>
      <c r="E122" s="91"/>
      <c r="F122" s="86" t="n">
        <v>12</v>
      </c>
      <c r="G122" s="87" t="n">
        <v>13</v>
      </c>
      <c r="H122" s="93"/>
      <c r="I122" s="94"/>
      <c r="J122" s="95"/>
      <c r="K122" s="3"/>
      <c r="L122" s="91"/>
      <c r="M122" s="92" t="s">
        <v>665</v>
      </c>
      <c r="N122" s="84" t="s">
        <v>675</v>
      </c>
      <c r="O122" s="96" t="s">
        <v>57</v>
      </c>
      <c r="P122" s="91"/>
      <c r="Q122" s="86" t="n">
        <v>12</v>
      </c>
      <c r="R122" s="87" t="n">
        <v>13</v>
      </c>
      <c r="S122" s="93"/>
      <c r="T122" s="94"/>
      <c r="U122" s="95"/>
    </row>
    <row r="123" customFormat="false" ht="18.75" hidden="false" customHeight="true" outlineLevel="0" collapsed="false">
      <c r="A123" s="91"/>
      <c r="B123" s="92" t="s">
        <v>665</v>
      </c>
      <c r="C123" s="128" t="s">
        <v>676</v>
      </c>
      <c r="D123" s="96" t="s">
        <v>57</v>
      </c>
      <c r="E123" s="91"/>
      <c r="F123" s="91"/>
      <c r="G123" s="87"/>
      <c r="H123" s="93"/>
      <c r="I123" s="94"/>
      <c r="J123" s="95"/>
      <c r="K123" s="3"/>
      <c r="L123" s="91"/>
      <c r="M123" s="92" t="s">
        <v>665</v>
      </c>
      <c r="N123" s="128" t="s">
        <v>676</v>
      </c>
      <c r="O123" s="96" t="s">
        <v>57</v>
      </c>
      <c r="P123" s="91"/>
      <c r="Q123" s="91"/>
      <c r="R123" s="120"/>
      <c r="S123" s="93"/>
      <c r="T123" s="94"/>
      <c r="U123" s="95"/>
    </row>
    <row r="124" customFormat="false" ht="18.75" hidden="false" customHeight="true" outlineLevel="0" collapsed="false">
      <c r="A124" s="91"/>
      <c r="B124" s="92" t="s">
        <v>665</v>
      </c>
      <c r="C124" s="84" t="s">
        <v>677</v>
      </c>
      <c r="D124" s="96" t="s">
        <v>57</v>
      </c>
      <c r="E124" s="91"/>
      <c r="F124" s="86" t="n">
        <v>3</v>
      </c>
      <c r="G124" s="87" t="n">
        <v>13</v>
      </c>
      <c r="H124" s="93"/>
      <c r="I124" s="94"/>
      <c r="J124" s="95"/>
      <c r="K124" s="3"/>
      <c r="L124" s="91"/>
      <c r="M124" s="92" t="s">
        <v>665</v>
      </c>
      <c r="N124" s="84" t="s">
        <v>677</v>
      </c>
      <c r="O124" s="96" t="s">
        <v>57</v>
      </c>
      <c r="P124" s="91"/>
      <c r="Q124" s="86" t="n">
        <v>3</v>
      </c>
      <c r="R124" s="87" t="n">
        <v>13</v>
      </c>
      <c r="S124" s="93"/>
      <c r="T124" s="94"/>
      <c r="U124" s="95"/>
    </row>
    <row r="125" customFormat="false" ht="18.75" hidden="false" customHeight="true" outlineLevel="0" collapsed="false">
      <c r="A125" s="91"/>
      <c r="B125" s="92" t="s">
        <v>665</v>
      </c>
      <c r="C125" s="84" t="s">
        <v>678</v>
      </c>
      <c r="D125" s="96" t="s">
        <v>57</v>
      </c>
      <c r="E125" s="91"/>
      <c r="F125" s="86" t="n">
        <v>9</v>
      </c>
      <c r="G125" s="87" t="n">
        <v>15</v>
      </c>
      <c r="H125" s="93"/>
      <c r="I125" s="94"/>
      <c r="J125" s="95"/>
      <c r="K125" s="3"/>
      <c r="L125" s="91"/>
      <c r="M125" s="92" t="s">
        <v>665</v>
      </c>
      <c r="N125" s="84" t="s">
        <v>678</v>
      </c>
      <c r="O125" s="96" t="s">
        <v>57</v>
      </c>
      <c r="P125" s="91"/>
      <c r="Q125" s="86" t="n">
        <v>9</v>
      </c>
      <c r="R125" s="87" t="n">
        <v>15</v>
      </c>
      <c r="S125" s="93"/>
      <c r="T125" s="94"/>
      <c r="U125" s="95"/>
    </row>
    <row r="126" customFormat="false" ht="18.75" hidden="false" customHeight="true" outlineLevel="0" collapsed="false">
      <c r="A126" s="91"/>
      <c r="B126" s="92" t="s">
        <v>665</v>
      </c>
      <c r="C126" s="84" t="s">
        <v>662</v>
      </c>
      <c r="D126" s="96" t="s">
        <v>57</v>
      </c>
      <c r="E126" s="91"/>
      <c r="F126" s="86" t="n">
        <v>9.95</v>
      </c>
      <c r="G126" s="87" t="n">
        <v>17</v>
      </c>
      <c r="H126" s="93"/>
      <c r="I126" s="94"/>
      <c r="J126" s="95"/>
      <c r="K126" s="3"/>
      <c r="L126" s="91"/>
      <c r="M126" s="92" t="s">
        <v>665</v>
      </c>
      <c r="N126" s="84" t="s">
        <v>662</v>
      </c>
      <c r="O126" s="96" t="s">
        <v>57</v>
      </c>
      <c r="P126" s="91"/>
      <c r="Q126" s="86" t="n">
        <v>9.95</v>
      </c>
      <c r="R126" s="87" t="n">
        <v>17</v>
      </c>
      <c r="S126" s="93"/>
      <c r="T126" s="94"/>
      <c r="U126" s="95"/>
    </row>
    <row r="127" customFormat="false" ht="18.75" hidden="false" customHeight="true" outlineLevel="0" collapsed="false">
      <c r="A127" s="91"/>
      <c r="B127" s="92" t="s">
        <v>665</v>
      </c>
      <c r="C127" s="84" t="s">
        <v>679</v>
      </c>
      <c r="D127" s="96" t="s">
        <v>57</v>
      </c>
      <c r="E127" s="91"/>
      <c r="F127" s="86" t="n">
        <v>14.88</v>
      </c>
      <c r="G127" s="87" t="n">
        <v>13</v>
      </c>
      <c r="H127" s="93"/>
      <c r="I127" s="94"/>
      <c r="J127" s="95"/>
      <c r="K127" s="3"/>
      <c r="L127" s="91"/>
      <c r="M127" s="92" t="s">
        <v>665</v>
      </c>
      <c r="N127" s="84" t="s">
        <v>679</v>
      </c>
      <c r="O127" s="96" t="s">
        <v>57</v>
      </c>
      <c r="P127" s="91"/>
      <c r="Q127" s="86" t="n">
        <v>14.88</v>
      </c>
      <c r="R127" s="87" t="n">
        <v>13</v>
      </c>
      <c r="S127" s="93"/>
      <c r="T127" s="94"/>
      <c r="U127" s="95"/>
    </row>
    <row r="128" customFormat="false" ht="18.75" hidden="false" customHeight="true" outlineLevel="0" collapsed="false">
      <c r="A128" s="91"/>
      <c r="B128" s="92" t="s">
        <v>665</v>
      </c>
      <c r="C128" s="84" t="s">
        <v>680</v>
      </c>
      <c r="D128" s="96" t="s">
        <v>57</v>
      </c>
      <c r="E128" s="91"/>
      <c r="F128" s="86" t="n">
        <v>17.03</v>
      </c>
      <c r="G128" s="87" t="n">
        <v>13</v>
      </c>
      <c r="H128" s="93"/>
      <c r="I128" s="94"/>
      <c r="J128" s="95"/>
      <c r="K128" s="3"/>
      <c r="L128" s="91"/>
      <c r="M128" s="92" t="s">
        <v>665</v>
      </c>
      <c r="N128" s="84" t="s">
        <v>680</v>
      </c>
      <c r="O128" s="96" t="s">
        <v>57</v>
      </c>
      <c r="P128" s="91"/>
      <c r="Q128" s="86" t="n">
        <v>17.03</v>
      </c>
      <c r="R128" s="87" t="n">
        <v>13</v>
      </c>
      <c r="S128" s="93"/>
      <c r="T128" s="94"/>
      <c r="U128" s="95"/>
    </row>
    <row r="129" customFormat="false" ht="18.75" hidden="false" customHeight="true" outlineLevel="0" collapsed="false">
      <c r="A129" s="91"/>
      <c r="B129" s="92" t="s">
        <v>665</v>
      </c>
      <c r="C129" s="128" t="s">
        <v>681</v>
      </c>
      <c r="D129" s="96" t="s">
        <v>57</v>
      </c>
      <c r="E129" s="91"/>
      <c r="F129" s="91"/>
      <c r="G129" s="87"/>
      <c r="H129" s="93"/>
      <c r="I129" s="94"/>
      <c r="J129" s="95"/>
      <c r="K129" s="3"/>
      <c r="L129" s="91"/>
      <c r="M129" s="92" t="s">
        <v>665</v>
      </c>
      <c r="N129" s="128" t="s">
        <v>681</v>
      </c>
      <c r="O129" s="96" t="s">
        <v>57</v>
      </c>
      <c r="P129" s="91"/>
      <c r="Q129" s="91"/>
      <c r="R129" s="120"/>
      <c r="S129" s="93"/>
      <c r="T129" s="94"/>
      <c r="U129" s="95"/>
    </row>
    <row r="130" customFormat="false" ht="18.75" hidden="false" customHeight="true" outlineLevel="0" collapsed="false">
      <c r="A130" s="91"/>
      <c r="B130" s="92" t="s">
        <v>665</v>
      </c>
      <c r="C130" s="128" t="s">
        <v>682</v>
      </c>
      <c r="D130" s="96" t="s">
        <v>57</v>
      </c>
      <c r="E130" s="91"/>
      <c r="F130" s="86" t="n">
        <v>3.5</v>
      </c>
      <c r="G130" s="87" t="n">
        <v>18</v>
      </c>
      <c r="H130" s="93"/>
      <c r="I130" s="94"/>
      <c r="J130" s="95"/>
      <c r="K130" s="3"/>
      <c r="L130" s="91"/>
      <c r="M130" s="92" t="s">
        <v>665</v>
      </c>
      <c r="N130" s="128" t="s">
        <v>682</v>
      </c>
      <c r="O130" s="96" t="s">
        <v>57</v>
      </c>
      <c r="P130" s="91"/>
      <c r="Q130" s="86" t="n">
        <v>3.5</v>
      </c>
      <c r="R130" s="87" t="n">
        <v>18</v>
      </c>
      <c r="S130" s="93"/>
      <c r="T130" s="94"/>
      <c r="U130" s="95"/>
    </row>
    <row r="131" customFormat="false" ht="18.75" hidden="false" customHeight="true" outlineLevel="0" collapsed="false">
      <c r="A131" s="91"/>
      <c r="B131" s="92" t="s">
        <v>665</v>
      </c>
      <c r="C131" s="128" t="s">
        <v>683</v>
      </c>
      <c r="D131" s="96" t="s">
        <v>57</v>
      </c>
      <c r="E131" s="91"/>
      <c r="F131" s="86" t="n">
        <v>3.5</v>
      </c>
      <c r="G131" s="87" t="n">
        <v>18</v>
      </c>
      <c r="H131" s="93"/>
      <c r="I131" s="94"/>
      <c r="J131" s="95"/>
      <c r="K131" s="3"/>
      <c r="L131" s="91"/>
      <c r="M131" s="92" t="s">
        <v>665</v>
      </c>
      <c r="N131" s="128" t="s">
        <v>683</v>
      </c>
      <c r="O131" s="96" t="s">
        <v>57</v>
      </c>
      <c r="P131" s="91"/>
      <c r="Q131" s="86" t="n">
        <v>3.5</v>
      </c>
      <c r="R131" s="87" t="n">
        <v>18</v>
      </c>
      <c r="S131" s="93"/>
      <c r="T131" s="94"/>
      <c r="U131" s="95"/>
    </row>
    <row r="132" customFormat="false" ht="18.75" hidden="false" customHeight="true" outlineLevel="0" collapsed="false">
      <c r="A132" s="91"/>
      <c r="B132" s="92" t="s">
        <v>665</v>
      </c>
      <c r="C132" s="84" t="s">
        <v>684</v>
      </c>
      <c r="D132" s="96" t="s">
        <v>57</v>
      </c>
      <c r="E132" s="91"/>
      <c r="F132" s="86" t="n">
        <v>7.8</v>
      </c>
      <c r="G132" s="87" t="n">
        <v>15</v>
      </c>
      <c r="H132" s="93"/>
      <c r="I132" s="94"/>
      <c r="J132" s="95"/>
      <c r="K132" s="3"/>
      <c r="L132" s="91"/>
      <c r="M132" s="92" t="s">
        <v>665</v>
      </c>
      <c r="N132" s="84" t="s">
        <v>684</v>
      </c>
      <c r="O132" s="96" t="s">
        <v>57</v>
      </c>
      <c r="P132" s="91"/>
      <c r="Q132" s="86" t="n">
        <v>7.8</v>
      </c>
      <c r="R132" s="87" t="n">
        <v>15</v>
      </c>
      <c r="S132" s="93"/>
      <c r="T132" s="94"/>
      <c r="U132" s="95"/>
    </row>
    <row r="133" customFormat="false" ht="18.75" hidden="false" customHeight="true" outlineLevel="0" collapsed="false">
      <c r="A133" s="91"/>
      <c r="B133" s="92" t="s">
        <v>665</v>
      </c>
      <c r="C133" s="84" t="s">
        <v>685</v>
      </c>
      <c r="D133" s="96" t="s">
        <v>57</v>
      </c>
      <c r="E133" s="91"/>
      <c r="F133" s="86" t="n">
        <v>11</v>
      </c>
      <c r="G133" s="87" t="n">
        <v>13</v>
      </c>
      <c r="H133" s="93"/>
      <c r="I133" s="94"/>
      <c r="J133" s="95"/>
      <c r="K133" s="3"/>
      <c r="L133" s="91"/>
      <c r="M133" s="92" t="s">
        <v>665</v>
      </c>
      <c r="N133" s="84" t="s">
        <v>685</v>
      </c>
      <c r="O133" s="96" t="s">
        <v>57</v>
      </c>
      <c r="P133" s="91"/>
      <c r="Q133" s="86" t="n">
        <v>11</v>
      </c>
      <c r="R133" s="87" t="n">
        <v>13</v>
      </c>
      <c r="S133" s="93"/>
      <c r="T133" s="94"/>
      <c r="U133" s="95"/>
    </row>
    <row r="134" customFormat="false" ht="18.75" hidden="false" customHeight="true" outlineLevel="0" collapsed="false">
      <c r="A134" s="91"/>
      <c r="B134" s="92" t="s">
        <v>665</v>
      </c>
      <c r="C134" s="84" t="s">
        <v>686</v>
      </c>
      <c r="D134" s="96" t="s">
        <v>57</v>
      </c>
      <c r="E134" s="91"/>
      <c r="F134" s="86" t="n">
        <v>1.58</v>
      </c>
      <c r="G134" s="87" t="n">
        <v>13</v>
      </c>
      <c r="H134" s="93"/>
      <c r="I134" s="94"/>
      <c r="J134" s="95"/>
      <c r="K134" s="3"/>
      <c r="L134" s="91"/>
      <c r="M134" s="92" t="s">
        <v>665</v>
      </c>
      <c r="N134" s="84" t="s">
        <v>686</v>
      </c>
      <c r="O134" s="96" t="s">
        <v>57</v>
      </c>
      <c r="P134" s="91"/>
      <c r="Q134" s="86" t="n">
        <v>1.58</v>
      </c>
      <c r="R134" s="87" t="n">
        <v>13</v>
      </c>
      <c r="S134" s="93"/>
      <c r="T134" s="94"/>
      <c r="U134" s="95"/>
    </row>
    <row r="135" customFormat="false" ht="18.75" hidden="false" customHeight="true" outlineLevel="0" collapsed="false">
      <c r="A135" s="91"/>
      <c r="B135" s="92" t="s">
        <v>665</v>
      </c>
      <c r="C135" s="84" t="s">
        <v>687</v>
      </c>
      <c r="D135" s="96" t="s">
        <v>57</v>
      </c>
      <c r="E135" s="91"/>
      <c r="F135" s="86" t="n">
        <v>20.46</v>
      </c>
      <c r="G135" s="87" t="n">
        <v>13</v>
      </c>
      <c r="H135" s="93"/>
      <c r="I135" s="94"/>
      <c r="J135" s="95"/>
      <c r="K135" s="3"/>
      <c r="L135" s="91"/>
      <c r="M135" s="92" t="s">
        <v>665</v>
      </c>
      <c r="N135" s="84" t="s">
        <v>687</v>
      </c>
      <c r="O135" s="96" t="s">
        <v>57</v>
      </c>
      <c r="P135" s="91"/>
      <c r="Q135" s="86" t="n">
        <v>20.46</v>
      </c>
      <c r="R135" s="87" t="n">
        <v>13</v>
      </c>
      <c r="S135" s="93"/>
      <c r="T135" s="94"/>
      <c r="U135" s="95"/>
    </row>
    <row r="136" customFormat="false" ht="18.75" hidden="false" customHeight="true" outlineLevel="0" collapsed="false">
      <c r="A136" s="91"/>
      <c r="B136" s="92" t="s">
        <v>665</v>
      </c>
      <c r="C136" s="84" t="s">
        <v>688</v>
      </c>
      <c r="D136" s="96" t="s">
        <v>57</v>
      </c>
      <c r="E136" s="91"/>
      <c r="F136" s="86" t="n">
        <v>6.44</v>
      </c>
      <c r="G136" s="87" t="n">
        <v>13</v>
      </c>
      <c r="H136" s="93"/>
      <c r="I136" s="94"/>
      <c r="J136" s="95"/>
      <c r="K136" s="3"/>
      <c r="L136" s="91"/>
      <c r="M136" s="92" t="s">
        <v>665</v>
      </c>
      <c r="N136" s="84" t="s">
        <v>688</v>
      </c>
      <c r="O136" s="96" t="s">
        <v>57</v>
      </c>
      <c r="P136" s="91"/>
      <c r="Q136" s="86" t="n">
        <v>6.44</v>
      </c>
      <c r="R136" s="87" t="n">
        <v>13</v>
      </c>
      <c r="S136" s="93"/>
      <c r="T136" s="94"/>
      <c r="U136" s="95"/>
    </row>
    <row r="137" customFormat="false" ht="18.75" hidden="false" customHeight="true" outlineLevel="0" collapsed="false">
      <c r="A137" s="91"/>
      <c r="B137" s="92" t="s">
        <v>665</v>
      </c>
      <c r="C137" s="128" t="s">
        <v>689</v>
      </c>
      <c r="D137" s="96" t="s">
        <v>57</v>
      </c>
      <c r="E137" s="91"/>
      <c r="F137" s="86" t="n">
        <v>1.5</v>
      </c>
      <c r="G137" s="87" t="n">
        <v>13</v>
      </c>
      <c r="H137" s="93"/>
      <c r="I137" s="94"/>
      <c r="J137" s="95"/>
      <c r="K137" s="3"/>
      <c r="L137" s="91"/>
      <c r="M137" s="92" t="s">
        <v>665</v>
      </c>
      <c r="N137" s="128" t="s">
        <v>689</v>
      </c>
      <c r="O137" s="96" t="s">
        <v>57</v>
      </c>
      <c r="P137" s="91"/>
      <c r="Q137" s="86" t="n">
        <v>1.5</v>
      </c>
      <c r="R137" s="87" t="n">
        <v>13</v>
      </c>
      <c r="S137" s="93"/>
      <c r="T137" s="94"/>
      <c r="U137" s="95"/>
    </row>
    <row r="138" customFormat="false" ht="18.75" hidden="false" customHeight="true" outlineLevel="0" collapsed="false">
      <c r="A138" s="91"/>
      <c r="B138" s="92" t="s">
        <v>665</v>
      </c>
      <c r="C138" s="128" t="s">
        <v>690</v>
      </c>
      <c r="D138" s="96" t="s">
        <v>57</v>
      </c>
      <c r="E138" s="91"/>
      <c r="F138" s="86" t="n">
        <v>7</v>
      </c>
      <c r="G138" s="87" t="n">
        <v>18</v>
      </c>
      <c r="H138" s="93"/>
      <c r="I138" s="94"/>
      <c r="J138" s="95"/>
      <c r="K138" s="3"/>
      <c r="L138" s="91"/>
      <c r="M138" s="92" t="s">
        <v>665</v>
      </c>
      <c r="N138" s="128" t="s">
        <v>690</v>
      </c>
      <c r="O138" s="96" t="s">
        <v>57</v>
      </c>
      <c r="P138" s="91"/>
      <c r="Q138" s="86" t="n">
        <v>7</v>
      </c>
      <c r="R138" s="87" t="n">
        <v>18</v>
      </c>
      <c r="S138" s="93"/>
      <c r="T138" s="94"/>
      <c r="U138" s="95"/>
    </row>
    <row r="139" customFormat="false" ht="18.75" hidden="false" customHeight="true" outlineLevel="0" collapsed="false">
      <c r="A139" s="91"/>
      <c r="B139" s="92" t="s">
        <v>665</v>
      </c>
      <c r="C139" s="128" t="s">
        <v>691</v>
      </c>
      <c r="D139" s="96" t="s">
        <v>57</v>
      </c>
      <c r="E139" s="91"/>
      <c r="F139" s="86" t="n">
        <v>1.5</v>
      </c>
      <c r="G139" s="87" t="n">
        <v>13</v>
      </c>
      <c r="H139" s="93"/>
      <c r="I139" s="94"/>
      <c r="J139" s="95"/>
      <c r="K139" s="3"/>
      <c r="L139" s="91"/>
      <c r="M139" s="92" t="s">
        <v>665</v>
      </c>
      <c r="N139" s="128" t="s">
        <v>691</v>
      </c>
      <c r="O139" s="96" t="s">
        <v>57</v>
      </c>
      <c r="P139" s="91"/>
      <c r="Q139" s="86" t="n">
        <v>1.5</v>
      </c>
      <c r="R139" s="87" t="n">
        <v>13</v>
      </c>
      <c r="S139" s="93"/>
      <c r="T139" s="94"/>
      <c r="U139" s="95"/>
    </row>
    <row r="140" customFormat="false" ht="18.75" hidden="false" customHeight="true" outlineLevel="0" collapsed="false">
      <c r="A140" s="91"/>
      <c r="B140" s="92" t="s">
        <v>665</v>
      </c>
      <c r="C140" s="128" t="s">
        <v>692</v>
      </c>
      <c r="D140" s="96" t="s">
        <v>57</v>
      </c>
      <c r="E140" s="91"/>
      <c r="F140" s="86" t="n">
        <v>14</v>
      </c>
      <c r="G140" s="87" t="n">
        <v>18</v>
      </c>
      <c r="H140" s="93"/>
      <c r="I140" s="94"/>
      <c r="J140" s="95"/>
      <c r="K140" s="3"/>
      <c r="L140" s="91"/>
      <c r="M140" s="92" t="s">
        <v>665</v>
      </c>
      <c r="N140" s="128" t="s">
        <v>692</v>
      </c>
      <c r="O140" s="96" t="s">
        <v>57</v>
      </c>
      <c r="P140" s="91"/>
      <c r="Q140" s="86" t="n">
        <v>14</v>
      </c>
      <c r="R140" s="87" t="n">
        <v>18</v>
      </c>
      <c r="S140" s="93"/>
      <c r="T140" s="94"/>
      <c r="U140" s="95"/>
    </row>
    <row r="141" customFormat="false" ht="18.75" hidden="false" customHeight="true" outlineLevel="0" collapsed="false">
      <c r="A141" s="82"/>
      <c r="B141" s="83" t="s">
        <v>693</v>
      </c>
      <c r="C141" s="128" t="s">
        <v>694</v>
      </c>
      <c r="D141" s="96" t="s">
        <v>57</v>
      </c>
      <c r="E141" s="91"/>
      <c r="F141" s="86" t="n">
        <v>14.5</v>
      </c>
      <c r="G141" s="87" t="n">
        <v>17</v>
      </c>
      <c r="H141" s="88" t="n">
        <f aca="false">SUMIF(B:B,B141,G:G)</f>
        <v>209</v>
      </c>
      <c r="I141" s="89" t="n">
        <v>1728.02</v>
      </c>
      <c r="J141" s="90" t="n">
        <f aca="false">IFERROR((I141-H141)/I141,"")</f>
        <v>0.879052325783266</v>
      </c>
      <c r="K141" s="3"/>
      <c r="L141" s="82"/>
      <c r="M141" s="83" t="s">
        <v>693</v>
      </c>
      <c r="N141" s="128" t="s">
        <v>694</v>
      </c>
      <c r="O141" s="96" t="s">
        <v>57</v>
      </c>
      <c r="P141" s="91"/>
      <c r="Q141" s="86" t="n">
        <v>14.5</v>
      </c>
      <c r="R141" s="87" t="n">
        <v>17</v>
      </c>
      <c r="S141" s="88" t="n">
        <f aca="false">SUMIF(M:M,M141,R:R)</f>
        <v>209</v>
      </c>
      <c r="T141" s="89" t="n">
        <f aca="false">I141</f>
        <v>1728.02</v>
      </c>
      <c r="U141" s="90" t="n">
        <f aca="false">IFERROR((T141-S141)/T141,"")</f>
        <v>0.879052325783266</v>
      </c>
    </row>
    <row r="142" customFormat="false" ht="18.75" hidden="false" customHeight="true" outlineLevel="0" collapsed="false">
      <c r="A142" s="91"/>
      <c r="B142" s="92" t="s">
        <v>693</v>
      </c>
      <c r="C142" s="128" t="s">
        <v>695</v>
      </c>
      <c r="D142" s="96" t="s">
        <v>57</v>
      </c>
      <c r="E142" s="91"/>
      <c r="F142" s="86" t="n">
        <v>17.5</v>
      </c>
      <c r="G142" s="87" t="n">
        <v>18</v>
      </c>
      <c r="H142" s="93"/>
      <c r="I142" s="94"/>
      <c r="J142" s="95"/>
      <c r="K142" s="3"/>
      <c r="L142" s="91"/>
      <c r="M142" s="92" t="s">
        <v>693</v>
      </c>
      <c r="N142" s="128" t="s">
        <v>695</v>
      </c>
      <c r="O142" s="96" t="s">
        <v>57</v>
      </c>
      <c r="P142" s="91"/>
      <c r="Q142" s="86" t="n">
        <v>17.5</v>
      </c>
      <c r="R142" s="87" t="n">
        <v>18</v>
      </c>
      <c r="S142" s="93"/>
      <c r="T142" s="94"/>
      <c r="U142" s="95"/>
    </row>
    <row r="143" customFormat="false" ht="18.75" hidden="false" customHeight="true" outlineLevel="0" collapsed="false">
      <c r="A143" s="91"/>
      <c r="B143" s="92" t="s">
        <v>693</v>
      </c>
      <c r="C143" s="128" t="s">
        <v>696</v>
      </c>
      <c r="D143" s="96" t="s">
        <v>57</v>
      </c>
      <c r="E143" s="91"/>
      <c r="F143" s="86" t="n">
        <v>6.45</v>
      </c>
      <c r="G143" s="87" t="n">
        <v>13</v>
      </c>
      <c r="H143" s="93"/>
      <c r="I143" s="94"/>
      <c r="J143" s="95"/>
      <c r="K143" s="3"/>
      <c r="L143" s="91"/>
      <c r="M143" s="92" t="s">
        <v>693</v>
      </c>
      <c r="N143" s="128" t="s">
        <v>696</v>
      </c>
      <c r="O143" s="96" t="s">
        <v>57</v>
      </c>
      <c r="P143" s="91"/>
      <c r="Q143" s="86" t="n">
        <v>6.45</v>
      </c>
      <c r="R143" s="87" t="n">
        <v>13</v>
      </c>
      <c r="S143" s="93"/>
      <c r="T143" s="94"/>
      <c r="U143" s="95"/>
    </row>
    <row r="144" customFormat="false" ht="18.75" hidden="false" customHeight="true" outlineLevel="0" collapsed="false">
      <c r="A144" s="91"/>
      <c r="B144" s="92" t="s">
        <v>693</v>
      </c>
      <c r="C144" s="128" t="s">
        <v>697</v>
      </c>
      <c r="D144" s="96" t="s">
        <v>57</v>
      </c>
      <c r="E144" s="91"/>
      <c r="F144" s="86" t="n">
        <v>3.5</v>
      </c>
      <c r="G144" s="87" t="n">
        <v>17</v>
      </c>
      <c r="H144" s="93"/>
      <c r="I144" s="94"/>
      <c r="J144" s="95"/>
      <c r="K144" s="3"/>
      <c r="L144" s="91"/>
      <c r="M144" s="92" t="s">
        <v>693</v>
      </c>
      <c r="N144" s="128" t="s">
        <v>697</v>
      </c>
      <c r="O144" s="96" t="s">
        <v>57</v>
      </c>
      <c r="P144" s="91"/>
      <c r="Q144" s="86" t="n">
        <v>3.5</v>
      </c>
      <c r="R144" s="87" t="n">
        <v>17</v>
      </c>
      <c r="S144" s="93"/>
      <c r="T144" s="94"/>
      <c r="U144" s="95"/>
    </row>
    <row r="145" customFormat="false" ht="18.75" hidden="false" customHeight="true" outlineLevel="0" collapsed="false">
      <c r="A145" s="91"/>
      <c r="B145" s="92" t="s">
        <v>693</v>
      </c>
      <c r="C145" s="128" t="s">
        <v>698</v>
      </c>
      <c r="D145" s="96" t="s">
        <v>57</v>
      </c>
      <c r="E145" s="91"/>
      <c r="F145" s="86" t="n">
        <v>5.5</v>
      </c>
      <c r="G145" s="87" t="n">
        <v>17</v>
      </c>
      <c r="H145" s="93"/>
      <c r="I145" s="94"/>
      <c r="J145" s="95"/>
      <c r="K145" s="3"/>
      <c r="L145" s="91"/>
      <c r="M145" s="92" t="s">
        <v>693</v>
      </c>
      <c r="N145" s="128" t="s">
        <v>698</v>
      </c>
      <c r="O145" s="96" t="s">
        <v>57</v>
      </c>
      <c r="P145" s="91"/>
      <c r="Q145" s="86" t="n">
        <v>5.5</v>
      </c>
      <c r="R145" s="87" t="n">
        <v>17</v>
      </c>
      <c r="S145" s="93"/>
      <c r="T145" s="94"/>
      <c r="U145" s="95"/>
    </row>
    <row r="146" customFormat="false" ht="18.75" hidden="false" customHeight="true" outlineLevel="0" collapsed="false">
      <c r="A146" s="91"/>
      <c r="B146" s="92" t="s">
        <v>693</v>
      </c>
      <c r="C146" s="128" t="s">
        <v>699</v>
      </c>
      <c r="D146" s="96" t="s">
        <v>57</v>
      </c>
      <c r="E146" s="91"/>
      <c r="F146" s="86" t="n">
        <v>4.75</v>
      </c>
      <c r="G146" s="87" t="n">
        <v>17</v>
      </c>
      <c r="H146" s="93"/>
      <c r="I146" s="94"/>
      <c r="J146" s="95"/>
      <c r="K146" s="3"/>
      <c r="L146" s="91"/>
      <c r="M146" s="92" t="s">
        <v>693</v>
      </c>
      <c r="N146" s="128" t="s">
        <v>699</v>
      </c>
      <c r="O146" s="96" t="s">
        <v>57</v>
      </c>
      <c r="P146" s="91"/>
      <c r="Q146" s="86" t="n">
        <v>4.75</v>
      </c>
      <c r="R146" s="87" t="n">
        <v>17</v>
      </c>
      <c r="S146" s="93"/>
      <c r="T146" s="94"/>
      <c r="U146" s="95"/>
    </row>
    <row r="147" customFormat="false" ht="18.75" hidden="false" customHeight="true" outlineLevel="0" collapsed="false">
      <c r="A147" s="91"/>
      <c r="B147" s="92" t="s">
        <v>693</v>
      </c>
      <c r="C147" s="128" t="s">
        <v>700</v>
      </c>
      <c r="D147" s="96" t="s">
        <v>57</v>
      </c>
      <c r="E147" s="91"/>
      <c r="F147" s="86" t="n">
        <v>14</v>
      </c>
      <c r="G147" s="87" t="n">
        <v>18</v>
      </c>
      <c r="H147" s="93"/>
      <c r="I147" s="94"/>
      <c r="J147" s="95"/>
      <c r="K147" s="3"/>
      <c r="L147" s="91"/>
      <c r="M147" s="92" t="s">
        <v>693</v>
      </c>
      <c r="N147" s="128" t="s">
        <v>700</v>
      </c>
      <c r="O147" s="96" t="s">
        <v>57</v>
      </c>
      <c r="P147" s="91"/>
      <c r="Q147" s="86" t="n">
        <v>14</v>
      </c>
      <c r="R147" s="87" t="n">
        <v>18</v>
      </c>
      <c r="S147" s="93"/>
      <c r="T147" s="94"/>
      <c r="U147" s="95"/>
    </row>
    <row r="148" customFormat="false" ht="18.75" hidden="false" customHeight="true" outlineLevel="0" collapsed="false">
      <c r="A148" s="91"/>
      <c r="B148" s="92" t="s">
        <v>693</v>
      </c>
      <c r="C148" s="84" t="s">
        <v>701</v>
      </c>
      <c r="D148" s="96" t="s">
        <v>57</v>
      </c>
      <c r="E148" s="91"/>
      <c r="F148" s="86" t="n">
        <v>3</v>
      </c>
      <c r="G148" s="87" t="n">
        <v>25</v>
      </c>
      <c r="H148" s="93"/>
      <c r="I148" s="94"/>
      <c r="J148" s="95"/>
      <c r="K148" s="3"/>
      <c r="L148" s="91"/>
      <c r="M148" s="92" t="s">
        <v>693</v>
      </c>
      <c r="N148" s="84" t="s">
        <v>701</v>
      </c>
      <c r="O148" s="96" t="s">
        <v>57</v>
      </c>
      <c r="P148" s="91"/>
      <c r="Q148" s="86" t="n">
        <v>3</v>
      </c>
      <c r="R148" s="87" t="n">
        <v>25</v>
      </c>
      <c r="S148" s="93"/>
      <c r="T148" s="94"/>
      <c r="U148" s="95"/>
    </row>
    <row r="149" customFormat="false" ht="18.75" hidden="false" customHeight="true" outlineLevel="0" collapsed="false">
      <c r="A149" s="91"/>
      <c r="B149" s="92" t="s">
        <v>693</v>
      </c>
      <c r="C149" s="128" t="s">
        <v>702</v>
      </c>
      <c r="D149" s="96" t="s">
        <v>57</v>
      </c>
      <c r="E149" s="91"/>
      <c r="F149" s="86" t="n">
        <v>14</v>
      </c>
      <c r="G149" s="87" t="n">
        <v>18</v>
      </c>
      <c r="H149" s="93"/>
      <c r="I149" s="94"/>
      <c r="J149" s="95"/>
      <c r="K149" s="3"/>
      <c r="L149" s="91"/>
      <c r="M149" s="92" t="s">
        <v>693</v>
      </c>
      <c r="N149" s="128" t="s">
        <v>702</v>
      </c>
      <c r="O149" s="96" t="s">
        <v>57</v>
      </c>
      <c r="P149" s="91"/>
      <c r="Q149" s="86" t="n">
        <v>14</v>
      </c>
      <c r="R149" s="87" t="n">
        <v>18</v>
      </c>
      <c r="S149" s="93"/>
      <c r="T149" s="94"/>
      <c r="U149" s="95"/>
    </row>
    <row r="150" customFormat="false" ht="18.75" hidden="false" customHeight="true" outlineLevel="0" collapsed="false">
      <c r="A150" s="91"/>
      <c r="B150" s="92" t="s">
        <v>693</v>
      </c>
      <c r="C150" s="128" t="s">
        <v>703</v>
      </c>
      <c r="D150" s="96" t="s">
        <v>57</v>
      </c>
      <c r="E150" s="91"/>
      <c r="F150" s="86" t="n">
        <v>3.5</v>
      </c>
      <c r="G150" s="87" t="n">
        <v>18</v>
      </c>
      <c r="H150" s="93"/>
      <c r="I150" s="94"/>
      <c r="J150" s="95"/>
      <c r="K150" s="3"/>
      <c r="L150" s="91"/>
      <c r="M150" s="92" t="s">
        <v>693</v>
      </c>
      <c r="N150" s="128" t="s">
        <v>703</v>
      </c>
      <c r="O150" s="96" t="s">
        <v>57</v>
      </c>
      <c r="P150" s="91"/>
      <c r="Q150" s="86" t="n">
        <v>3.5</v>
      </c>
      <c r="R150" s="87" t="n">
        <v>18</v>
      </c>
      <c r="S150" s="93"/>
      <c r="T150" s="94"/>
      <c r="U150" s="95"/>
    </row>
    <row r="151" customFormat="false" ht="18.75" hidden="false" customHeight="true" outlineLevel="0" collapsed="false">
      <c r="A151" s="91"/>
      <c r="B151" s="92" t="s">
        <v>693</v>
      </c>
      <c r="C151" s="128" t="s">
        <v>704</v>
      </c>
      <c r="D151" s="96" t="s">
        <v>57</v>
      </c>
      <c r="E151" s="91"/>
      <c r="F151" s="86" t="n">
        <v>3.5</v>
      </c>
      <c r="G151" s="87" t="n">
        <v>18</v>
      </c>
      <c r="H151" s="93"/>
      <c r="I151" s="94"/>
      <c r="J151" s="95"/>
      <c r="K151" s="3"/>
      <c r="L151" s="91"/>
      <c r="M151" s="92" t="s">
        <v>693</v>
      </c>
      <c r="N151" s="128" t="s">
        <v>704</v>
      </c>
      <c r="O151" s="96" t="s">
        <v>57</v>
      </c>
      <c r="P151" s="91"/>
      <c r="Q151" s="86" t="n">
        <v>3.5</v>
      </c>
      <c r="R151" s="87" t="n">
        <v>18</v>
      </c>
      <c r="S151" s="93"/>
      <c r="T151" s="94"/>
      <c r="U151" s="95"/>
    </row>
    <row r="152" customFormat="false" ht="18.75" hidden="false" customHeight="true" outlineLevel="0" collapsed="false">
      <c r="A152" s="91"/>
      <c r="B152" s="92" t="s">
        <v>693</v>
      </c>
      <c r="C152" s="84" t="s">
        <v>705</v>
      </c>
      <c r="D152" s="96" t="s">
        <v>57</v>
      </c>
      <c r="E152" s="91"/>
      <c r="F152" s="91"/>
      <c r="G152" s="87"/>
      <c r="H152" s="93"/>
      <c r="I152" s="94"/>
      <c r="J152" s="95"/>
      <c r="K152" s="3"/>
      <c r="L152" s="91"/>
      <c r="M152" s="92" t="s">
        <v>693</v>
      </c>
      <c r="N152" s="84" t="s">
        <v>705</v>
      </c>
      <c r="O152" s="96" t="s">
        <v>57</v>
      </c>
      <c r="P152" s="91"/>
      <c r="Q152" s="91"/>
      <c r="R152" s="120"/>
      <c r="S152" s="93"/>
      <c r="T152" s="94"/>
      <c r="U152" s="95"/>
    </row>
    <row r="153" customFormat="false" ht="18.75" hidden="false" customHeight="true" outlineLevel="0" collapsed="false">
      <c r="A153" s="91"/>
      <c r="B153" s="92" t="s">
        <v>693</v>
      </c>
      <c r="C153" s="84" t="s">
        <v>706</v>
      </c>
      <c r="D153" s="96" t="s">
        <v>57</v>
      </c>
      <c r="E153" s="91"/>
      <c r="F153" s="86" t="n">
        <v>3.5</v>
      </c>
      <c r="G153" s="87" t="n">
        <v>13</v>
      </c>
      <c r="H153" s="93"/>
      <c r="I153" s="94"/>
      <c r="J153" s="95"/>
      <c r="K153" s="3"/>
      <c r="L153" s="91"/>
      <c r="M153" s="92" t="s">
        <v>693</v>
      </c>
      <c r="N153" s="84" t="s">
        <v>706</v>
      </c>
      <c r="O153" s="96" t="s">
        <v>57</v>
      </c>
      <c r="P153" s="91"/>
      <c r="Q153" s="86" t="n">
        <v>3.5</v>
      </c>
      <c r="R153" s="87" t="n">
        <v>13</v>
      </c>
      <c r="S153" s="93"/>
      <c r="T153" s="94"/>
      <c r="U153" s="95"/>
    </row>
    <row r="154" customFormat="false" ht="18.75" hidden="false" customHeight="true" outlineLevel="0" collapsed="false">
      <c r="A154" s="82"/>
      <c r="B154" s="83" t="s">
        <v>707</v>
      </c>
      <c r="C154" s="84" t="s">
        <v>708</v>
      </c>
      <c r="D154" s="96" t="s">
        <v>57</v>
      </c>
      <c r="E154" s="91"/>
      <c r="F154" s="86" t="n">
        <v>5.5</v>
      </c>
      <c r="G154" s="87" t="n">
        <v>25</v>
      </c>
      <c r="H154" s="88" t="n">
        <f aca="false">SUMIF(B:B,B154,G:G)</f>
        <v>126</v>
      </c>
      <c r="I154" s="89" t="n">
        <v>412.5</v>
      </c>
      <c r="J154" s="90" t="n">
        <f aca="false">IFERROR((I154-H154)/I154,"")</f>
        <v>0.694545454545455</v>
      </c>
      <c r="K154" s="3"/>
      <c r="L154" s="82"/>
      <c r="M154" s="83" t="s">
        <v>707</v>
      </c>
      <c r="N154" s="84" t="s">
        <v>708</v>
      </c>
      <c r="O154" s="96" t="s">
        <v>57</v>
      </c>
      <c r="P154" s="91"/>
      <c r="Q154" s="86" t="n">
        <v>5.5</v>
      </c>
      <c r="R154" s="87" t="n">
        <v>25</v>
      </c>
      <c r="S154" s="88" t="n">
        <f aca="false">SUMIF(M:M,M154,R:R)</f>
        <v>126</v>
      </c>
      <c r="T154" s="89" t="n">
        <f aca="false">I154</f>
        <v>412.5</v>
      </c>
      <c r="U154" s="90" t="n">
        <f aca="false">IFERROR((T154-S154)/T154,"")</f>
        <v>0.694545454545455</v>
      </c>
    </row>
    <row r="155" customFormat="false" ht="18.75" hidden="false" customHeight="true" outlineLevel="0" collapsed="false">
      <c r="A155" s="91"/>
      <c r="B155" s="92" t="s">
        <v>707</v>
      </c>
      <c r="C155" s="84" t="s">
        <v>709</v>
      </c>
      <c r="D155" s="96" t="s">
        <v>57</v>
      </c>
      <c r="E155" s="91"/>
      <c r="F155" s="86" t="n">
        <v>14</v>
      </c>
      <c r="G155" s="87" t="n">
        <v>18</v>
      </c>
      <c r="H155" s="93"/>
      <c r="I155" s="94"/>
      <c r="J155" s="95"/>
      <c r="K155" s="3"/>
      <c r="L155" s="91"/>
      <c r="M155" s="92" t="s">
        <v>707</v>
      </c>
      <c r="N155" s="84" t="s">
        <v>709</v>
      </c>
      <c r="O155" s="96" t="s">
        <v>57</v>
      </c>
      <c r="P155" s="91"/>
      <c r="Q155" s="86" t="n">
        <v>14</v>
      </c>
      <c r="R155" s="87" t="n">
        <v>18</v>
      </c>
      <c r="S155" s="93"/>
      <c r="T155" s="94"/>
      <c r="U155" s="95"/>
    </row>
    <row r="156" customFormat="false" ht="18.75" hidden="false" customHeight="true" outlineLevel="0" collapsed="false">
      <c r="A156" s="91"/>
      <c r="B156" s="92" t="s">
        <v>707</v>
      </c>
      <c r="C156" s="84" t="s">
        <v>710</v>
      </c>
      <c r="D156" s="96" t="s">
        <v>57</v>
      </c>
      <c r="E156" s="91"/>
      <c r="F156" s="86" t="n">
        <v>7</v>
      </c>
      <c r="G156" s="87" t="n">
        <v>18</v>
      </c>
      <c r="H156" s="93"/>
      <c r="I156" s="94"/>
      <c r="J156" s="95"/>
      <c r="K156" s="3"/>
      <c r="L156" s="91"/>
      <c r="M156" s="92" t="s">
        <v>707</v>
      </c>
      <c r="N156" s="84" t="s">
        <v>710</v>
      </c>
      <c r="O156" s="96" t="s">
        <v>57</v>
      </c>
      <c r="P156" s="91"/>
      <c r="Q156" s="86" t="n">
        <v>7</v>
      </c>
      <c r="R156" s="87" t="n">
        <v>18</v>
      </c>
      <c r="S156" s="93"/>
      <c r="T156" s="94"/>
      <c r="U156" s="95"/>
    </row>
    <row r="157" customFormat="false" ht="18.75" hidden="false" customHeight="true" outlineLevel="0" collapsed="false">
      <c r="A157" s="91"/>
      <c r="B157" s="92" t="s">
        <v>707</v>
      </c>
      <c r="C157" s="84" t="s">
        <v>711</v>
      </c>
      <c r="D157" s="96" t="s">
        <v>57</v>
      </c>
      <c r="E157" s="91"/>
      <c r="F157" s="86" t="n">
        <v>3.35</v>
      </c>
      <c r="G157" s="87" t="n">
        <v>13</v>
      </c>
      <c r="H157" s="93"/>
      <c r="I157" s="94"/>
      <c r="J157" s="95"/>
      <c r="K157" s="3"/>
      <c r="L157" s="91"/>
      <c r="M157" s="92" t="s">
        <v>707</v>
      </c>
      <c r="N157" s="84" t="s">
        <v>711</v>
      </c>
      <c r="O157" s="96" t="s">
        <v>57</v>
      </c>
      <c r="P157" s="91"/>
      <c r="Q157" s="86" t="n">
        <v>3.35</v>
      </c>
      <c r="R157" s="87" t="n">
        <v>13</v>
      </c>
      <c r="S157" s="93"/>
      <c r="T157" s="94"/>
      <c r="U157" s="95"/>
    </row>
    <row r="158" customFormat="false" ht="18.75" hidden="false" customHeight="true" outlineLevel="0" collapsed="false">
      <c r="A158" s="91"/>
      <c r="B158" s="92" t="s">
        <v>707</v>
      </c>
      <c r="C158" s="84" t="s">
        <v>712</v>
      </c>
      <c r="D158" s="96" t="s">
        <v>57</v>
      </c>
      <c r="E158" s="91"/>
      <c r="F158" s="86" t="n">
        <v>7</v>
      </c>
      <c r="G158" s="87" t="n">
        <v>18</v>
      </c>
      <c r="H158" s="93"/>
      <c r="I158" s="94"/>
      <c r="J158" s="95"/>
      <c r="K158" s="3"/>
      <c r="L158" s="91"/>
      <c r="M158" s="92" t="s">
        <v>707</v>
      </c>
      <c r="N158" s="84" t="s">
        <v>712</v>
      </c>
      <c r="O158" s="96" t="s">
        <v>57</v>
      </c>
      <c r="P158" s="91"/>
      <c r="Q158" s="86" t="n">
        <v>7</v>
      </c>
      <c r="R158" s="87" t="n">
        <v>18</v>
      </c>
      <c r="S158" s="93"/>
      <c r="T158" s="94"/>
      <c r="U158" s="95"/>
    </row>
    <row r="159" customFormat="false" ht="18.75" hidden="false" customHeight="true" outlineLevel="0" collapsed="false">
      <c r="A159" s="91"/>
      <c r="B159" s="92" t="s">
        <v>707</v>
      </c>
      <c r="C159" s="84" t="s">
        <v>713</v>
      </c>
      <c r="D159" s="96" t="s">
        <v>57</v>
      </c>
      <c r="E159" s="91"/>
      <c r="F159" s="86" t="n">
        <v>21</v>
      </c>
      <c r="G159" s="87" t="n">
        <v>18</v>
      </c>
      <c r="H159" s="93"/>
      <c r="I159" s="94"/>
      <c r="J159" s="95"/>
      <c r="K159" s="3"/>
      <c r="L159" s="91"/>
      <c r="M159" s="92" t="s">
        <v>707</v>
      </c>
      <c r="N159" s="84" t="s">
        <v>713</v>
      </c>
      <c r="O159" s="96" t="s">
        <v>57</v>
      </c>
      <c r="P159" s="91"/>
      <c r="Q159" s="86" t="n">
        <v>21</v>
      </c>
      <c r="R159" s="87" t="n">
        <v>18</v>
      </c>
      <c r="S159" s="93"/>
      <c r="T159" s="94"/>
      <c r="U159" s="95"/>
    </row>
    <row r="160" customFormat="false" ht="18.75" hidden="false" customHeight="true" outlineLevel="0" collapsed="false">
      <c r="A160" s="91"/>
      <c r="B160" s="92" t="s">
        <v>707</v>
      </c>
      <c r="C160" s="84" t="s">
        <v>714</v>
      </c>
      <c r="D160" s="96" t="s">
        <v>57</v>
      </c>
      <c r="E160" s="91"/>
      <c r="F160" s="86" t="n">
        <v>7</v>
      </c>
      <c r="G160" s="87" t="n">
        <v>16</v>
      </c>
      <c r="H160" s="93"/>
      <c r="I160" s="94"/>
      <c r="J160" s="95"/>
      <c r="K160" s="3"/>
      <c r="L160" s="91"/>
      <c r="M160" s="92" t="s">
        <v>707</v>
      </c>
      <c r="N160" s="84" t="s">
        <v>714</v>
      </c>
      <c r="O160" s="96" t="s">
        <v>57</v>
      </c>
      <c r="P160" s="91"/>
      <c r="Q160" s="86" t="n">
        <v>7</v>
      </c>
      <c r="R160" s="87" t="n">
        <v>16</v>
      </c>
      <c r="S160" s="93"/>
      <c r="T160" s="94"/>
      <c r="U160" s="95"/>
    </row>
    <row r="161" customFormat="false" ht="18.75" hidden="false" customHeight="true" outlineLevel="0" collapsed="false">
      <c r="A161" s="82"/>
      <c r="B161" s="83" t="s">
        <v>715</v>
      </c>
      <c r="C161" s="84" t="s">
        <v>716</v>
      </c>
      <c r="D161" s="96" t="s">
        <v>57</v>
      </c>
      <c r="E161" s="91"/>
      <c r="F161" s="86" t="n">
        <v>3</v>
      </c>
      <c r="G161" s="87" t="n">
        <v>13</v>
      </c>
      <c r="H161" s="88" t="n">
        <f aca="false">SUMIF(B:B,B161,G:G)</f>
        <v>224</v>
      </c>
      <c r="I161" s="89" t="n">
        <v>87.44</v>
      </c>
      <c r="J161" s="90" t="n">
        <f aca="false">IFERROR((I161-H161)/I161,"")</f>
        <v>-1.56175663311985</v>
      </c>
      <c r="K161" s="3"/>
      <c r="L161" s="82"/>
      <c r="M161" s="83" t="s">
        <v>715</v>
      </c>
      <c r="N161" s="84" t="s">
        <v>716</v>
      </c>
      <c r="O161" s="96" t="s">
        <v>57</v>
      </c>
      <c r="P161" s="91"/>
      <c r="Q161" s="86" t="n">
        <v>3</v>
      </c>
      <c r="R161" s="87" t="n">
        <v>13</v>
      </c>
      <c r="S161" s="88" t="n">
        <f aca="false">SUMIF(M:M,M161,R:R)</f>
        <v>224</v>
      </c>
      <c r="T161" s="89" t="n">
        <f aca="false">I161</f>
        <v>87.44</v>
      </c>
      <c r="U161" s="90" t="n">
        <f aca="false">IFERROR((T161-S161)/T161,"")</f>
        <v>-1.56175663311985</v>
      </c>
    </row>
    <row r="162" customFormat="false" ht="18.75" hidden="false" customHeight="true" outlineLevel="0" collapsed="false">
      <c r="A162" s="91"/>
      <c r="B162" s="92" t="s">
        <v>715</v>
      </c>
      <c r="C162" s="84" t="s">
        <v>717</v>
      </c>
      <c r="D162" s="96" t="s">
        <v>57</v>
      </c>
      <c r="E162" s="91"/>
      <c r="F162" s="86" t="n">
        <v>7</v>
      </c>
      <c r="G162" s="87" t="n">
        <v>18</v>
      </c>
      <c r="H162" s="93"/>
      <c r="I162" s="94"/>
      <c r="J162" s="95"/>
      <c r="K162" s="3"/>
      <c r="L162" s="91"/>
      <c r="M162" s="92" t="s">
        <v>715</v>
      </c>
      <c r="N162" s="84" t="s">
        <v>717</v>
      </c>
      <c r="O162" s="96" t="s">
        <v>57</v>
      </c>
      <c r="P162" s="91"/>
      <c r="Q162" s="86" t="n">
        <v>7</v>
      </c>
      <c r="R162" s="87" t="n">
        <v>18</v>
      </c>
      <c r="S162" s="93"/>
      <c r="T162" s="94"/>
      <c r="U162" s="95"/>
    </row>
    <row r="163" customFormat="false" ht="18.75" hidden="false" customHeight="true" outlineLevel="0" collapsed="false">
      <c r="A163" s="91"/>
      <c r="B163" s="92" t="s">
        <v>715</v>
      </c>
      <c r="C163" s="84" t="s">
        <v>718</v>
      </c>
      <c r="D163" s="96" t="s">
        <v>57</v>
      </c>
      <c r="E163" s="91"/>
      <c r="F163" s="86" t="n">
        <v>7</v>
      </c>
      <c r="G163" s="87" t="n">
        <v>18</v>
      </c>
      <c r="H163" s="93"/>
      <c r="I163" s="94"/>
      <c r="J163" s="95"/>
      <c r="K163" s="3"/>
      <c r="L163" s="91"/>
      <c r="M163" s="92" t="s">
        <v>715</v>
      </c>
      <c r="N163" s="84" t="s">
        <v>718</v>
      </c>
      <c r="O163" s="96" t="s">
        <v>57</v>
      </c>
      <c r="P163" s="91"/>
      <c r="Q163" s="86" t="n">
        <v>7</v>
      </c>
      <c r="R163" s="87" t="n">
        <v>18</v>
      </c>
      <c r="S163" s="93"/>
      <c r="T163" s="94"/>
      <c r="U163" s="95"/>
    </row>
    <row r="164" customFormat="false" ht="18.75" hidden="false" customHeight="true" outlineLevel="0" collapsed="false">
      <c r="A164" s="91"/>
      <c r="B164" s="92" t="s">
        <v>715</v>
      </c>
      <c r="C164" s="84" t="s">
        <v>719</v>
      </c>
      <c r="D164" s="96" t="s">
        <v>57</v>
      </c>
      <c r="E164" s="91"/>
      <c r="F164" s="86" t="n">
        <v>21</v>
      </c>
      <c r="G164" s="87" t="n">
        <v>16</v>
      </c>
      <c r="H164" s="93"/>
      <c r="I164" s="94"/>
      <c r="J164" s="95"/>
      <c r="K164" s="3"/>
      <c r="L164" s="91"/>
      <c r="M164" s="92" t="s">
        <v>715</v>
      </c>
      <c r="N164" s="84" t="s">
        <v>719</v>
      </c>
      <c r="O164" s="96" t="s">
        <v>57</v>
      </c>
      <c r="P164" s="91"/>
      <c r="Q164" s="86" t="n">
        <v>21</v>
      </c>
      <c r="R164" s="87" t="n">
        <v>16</v>
      </c>
      <c r="S164" s="93"/>
      <c r="T164" s="94"/>
      <c r="U164" s="95"/>
    </row>
    <row r="165" customFormat="false" ht="18.75" hidden="false" customHeight="true" outlineLevel="0" collapsed="false">
      <c r="A165" s="91"/>
      <c r="B165" s="92" t="s">
        <v>715</v>
      </c>
      <c r="C165" s="84" t="s">
        <v>720</v>
      </c>
      <c r="D165" s="96" t="s">
        <v>57</v>
      </c>
      <c r="E165" s="91"/>
      <c r="F165" s="86" t="n">
        <v>3.5</v>
      </c>
      <c r="G165" s="87" t="n">
        <v>16</v>
      </c>
      <c r="H165" s="93"/>
      <c r="I165" s="94"/>
      <c r="J165" s="95"/>
      <c r="K165" s="3"/>
      <c r="L165" s="91"/>
      <c r="M165" s="92" t="s">
        <v>715</v>
      </c>
      <c r="N165" s="84" t="s">
        <v>720</v>
      </c>
      <c r="O165" s="96" t="s">
        <v>57</v>
      </c>
      <c r="P165" s="91"/>
      <c r="Q165" s="86" t="n">
        <v>3.5</v>
      </c>
      <c r="R165" s="87" t="n">
        <v>16</v>
      </c>
      <c r="S165" s="93"/>
      <c r="T165" s="94"/>
      <c r="U165" s="95"/>
    </row>
    <row r="166" customFormat="false" ht="18.75" hidden="false" customHeight="true" outlineLevel="0" collapsed="false">
      <c r="A166" s="91"/>
      <c r="B166" s="92" t="s">
        <v>715</v>
      </c>
      <c r="C166" s="84" t="s">
        <v>721</v>
      </c>
      <c r="D166" s="96" t="s">
        <v>57</v>
      </c>
      <c r="E166" s="91"/>
      <c r="F166" s="86" t="n">
        <v>7</v>
      </c>
      <c r="G166" s="87" t="n">
        <v>16</v>
      </c>
      <c r="H166" s="93"/>
      <c r="I166" s="94"/>
      <c r="J166" s="95"/>
      <c r="K166" s="3"/>
      <c r="L166" s="91"/>
      <c r="M166" s="92" t="s">
        <v>715</v>
      </c>
      <c r="N166" s="84" t="s">
        <v>721</v>
      </c>
      <c r="O166" s="96" t="s">
        <v>57</v>
      </c>
      <c r="P166" s="91"/>
      <c r="Q166" s="86" t="n">
        <v>7</v>
      </c>
      <c r="R166" s="87" t="n">
        <v>16</v>
      </c>
      <c r="S166" s="93"/>
      <c r="T166" s="94"/>
      <c r="U166" s="95"/>
    </row>
    <row r="167" customFormat="false" ht="18.75" hidden="false" customHeight="true" outlineLevel="0" collapsed="false">
      <c r="A167" s="91"/>
      <c r="B167" s="92" t="s">
        <v>715</v>
      </c>
      <c r="C167" s="84" t="s">
        <v>722</v>
      </c>
      <c r="D167" s="96" t="s">
        <v>57</v>
      </c>
      <c r="E167" s="91"/>
      <c r="F167" s="86" t="n">
        <v>7</v>
      </c>
      <c r="G167" s="87" t="n">
        <v>16</v>
      </c>
      <c r="H167" s="93"/>
      <c r="I167" s="94"/>
      <c r="J167" s="95"/>
      <c r="K167" s="3"/>
      <c r="L167" s="91"/>
      <c r="M167" s="92" t="s">
        <v>715</v>
      </c>
      <c r="N167" s="84" t="s">
        <v>722</v>
      </c>
      <c r="O167" s="96" t="s">
        <v>57</v>
      </c>
      <c r="P167" s="91"/>
      <c r="Q167" s="86" t="n">
        <v>7</v>
      </c>
      <c r="R167" s="87" t="n">
        <v>16</v>
      </c>
      <c r="S167" s="93"/>
      <c r="T167" s="94"/>
      <c r="U167" s="95"/>
    </row>
    <row r="168" customFormat="false" ht="18.75" hidden="false" customHeight="true" outlineLevel="0" collapsed="false">
      <c r="A168" s="91"/>
      <c r="B168" s="92" t="s">
        <v>715</v>
      </c>
      <c r="C168" s="84" t="s">
        <v>723</v>
      </c>
      <c r="D168" s="96" t="s">
        <v>57</v>
      </c>
      <c r="E168" s="91"/>
      <c r="F168" s="86" t="n">
        <v>3</v>
      </c>
      <c r="G168" s="87" t="n">
        <v>13</v>
      </c>
      <c r="H168" s="93"/>
      <c r="I168" s="94"/>
      <c r="J168" s="95"/>
      <c r="K168" s="3"/>
      <c r="L168" s="91"/>
      <c r="M168" s="92" t="s">
        <v>715</v>
      </c>
      <c r="N168" s="84" t="s">
        <v>723</v>
      </c>
      <c r="O168" s="96" t="s">
        <v>57</v>
      </c>
      <c r="P168" s="91"/>
      <c r="Q168" s="86" t="n">
        <v>3</v>
      </c>
      <c r="R168" s="87" t="n">
        <v>13</v>
      </c>
      <c r="S168" s="93"/>
      <c r="T168" s="94"/>
      <c r="U168" s="95"/>
    </row>
    <row r="169" customFormat="false" ht="18.75" hidden="false" customHeight="true" outlineLevel="0" collapsed="false">
      <c r="A169" s="91"/>
      <c r="B169" s="92" t="s">
        <v>715</v>
      </c>
      <c r="C169" s="84" t="s">
        <v>724</v>
      </c>
      <c r="D169" s="96" t="s">
        <v>57</v>
      </c>
      <c r="E169" s="91"/>
      <c r="F169" s="86" t="n">
        <v>14</v>
      </c>
      <c r="G169" s="87" t="n">
        <v>18</v>
      </c>
      <c r="H169" s="93"/>
      <c r="I169" s="94"/>
      <c r="J169" s="95"/>
      <c r="K169" s="3"/>
      <c r="L169" s="91"/>
      <c r="M169" s="92" t="s">
        <v>715</v>
      </c>
      <c r="N169" s="84" t="s">
        <v>724</v>
      </c>
      <c r="O169" s="96" t="s">
        <v>57</v>
      </c>
      <c r="P169" s="91"/>
      <c r="Q169" s="86" t="n">
        <v>14</v>
      </c>
      <c r="R169" s="87" t="n">
        <v>18</v>
      </c>
      <c r="S169" s="93"/>
      <c r="T169" s="94"/>
      <c r="U169" s="95"/>
    </row>
    <row r="170" customFormat="false" ht="18.75" hidden="false" customHeight="true" outlineLevel="0" collapsed="false">
      <c r="A170" s="91"/>
      <c r="B170" s="92" t="s">
        <v>715</v>
      </c>
      <c r="C170" s="84" t="s">
        <v>725</v>
      </c>
      <c r="D170" s="96" t="s">
        <v>57</v>
      </c>
      <c r="E170" s="91"/>
      <c r="F170" s="91"/>
      <c r="G170" s="87"/>
      <c r="H170" s="93"/>
      <c r="I170" s="94"/>
      <c r="J170" s="95"/>
      <c r="K170" s="3"/>
      <c r="L170" s="91"/>
      <c r="M170" s="92" t="s">
        <v>715</v>
      </c>
      <c r="N170" s="84" t="s">
        <v>725</v>
      </c>
      <c r="O170" s="96" t="s">
        <v>57</v>
      </c>
      <c r="P170" s="91"/>
      <c r="Q170" s="91"/>
      <c r="R170" s="120"/>
      <c r="S170" s="93"/>
      <c r="T170" s="94"/>
      <c r="U170" s="95"/>
    </row>
    <row r="171" customFormat="false" ht="18.75" hidden="false" customHeight="true" outlineLevel="0" collapsed="false">
      <c r="A171" s="91"/>
      <c r="B171" s="92" t="s">
        <v>715</v>
      </c>
      <c r="C171" s="84" t="s">
        <v>726</v>
      </c>
      <c r="D171" s="96" t="s">
        <v>57</v>
      </c>
      <c r="E171" s="91"/>
      <c r="F171" s="86" t="n">
        <v>4.17</v>
      </c>
      <c r="G171" s="87" t="n">
        <v>13</v>
      </c>
      <c r="H171" s="93"/>
      <c r="I171" s="94"/>
      <c r="J171" s="95"/>
      <c r="K171" s="3"/>
      <c r="L171" s="91"/>
      <c r="M171" s="92" t="s">
        <v>715</v>
      </c>
      <c r="N171" s="84" t="s">
        <v>726</v>
      </c>
      <c r="O171" s="96" t="s">
        <v>57</v>
      </c>
      <c r="P171" s="91"/>
      <c r="Q171" s="86" t="n">
        <v>4.17</v>
      </c>
      <c r="R171" s="87" t="n">
        <v>13</v>
      </c>
      <c r="S171" s="93"/>
      <c r="T171" s="94"/>
      <c r="U171" s="95"/>
    </row>
    <row r="172" customFormat="false" ht="18.75" hidden="false" customHeight="true" outlineLevel="0" collapsed="false">
      <c r="A172" s="91"/>
      <c r="B172" s="92" t="s">
        <v>715</v>
      </c>
      <c r="C172" s="84" t="s">
        <v>727</v>
      </c>
      <c r="D172" s="96" t="s">
        <v>57</v>
      </c>
      <c r="E172" s="91"/>
      <c r="F172" s="91"/>
      <c r="G172" s="87"/>
      <c r="H172" s="93"/>
      <c r="I172" s="94"/>
      <c r="J172" s="95"/>
      <c r="K172" s="3"/>
      <c r="L172" s="91"/>
      <c r="M172" s="92" t="s">
        <v>715</v>
      </c>
      <c r="N172" s="84" t="s">
        <v>727</v>
      </c>
      <c r="O172" s="96" t="s">
        <v>57</v>
      </c>
      <c r="P172" s="91"/>
      <c r="Q172" s="91"/>
      <c r="R172" s="120"/>
      <c r="S172" s="93"/>
      <c r="T172" s="94"/>
      <c r="U172" s="95"/>
    </row>
    <row r="173" customFormat="false" ht="18.75" hidden="false" customHeight="true" outlineLevel="0" collapsed="false">
      <c r="A173" s="91"/>
      <c r="B173" s="92" t="s">
        <v>715</v>
      </c>
      <c r="C173" s="84" t="s">
        <v>728</v>
      </c>
      <c r="D173" s="96" t="s">
        <v>57</v>
      </c>
      <c r="E173" s="91"/>
      <c r="F173" s="86" t="n">
        <v>7</v>
      </c>
      <c r="G173" s="87" t="n">
        <v>18</v>
      </c>
      <c r="H173" s="93"/>
      <c r="I173" s="94"/>
      <c r="J173" s="95"/>
      <c r="K173" s="3"/>
      <c r="L173" s="91"/>
      <c r="M173" s="92" t="s">
        <v>715</v>
      </c>
      <c r="N173" s="84" t="s">
        <v>728</v>
      </c>
      <c r="O173" s="96" t="s">
        <v>57</v>
      </c>
      <c r="P173" s="91"/>
      <c r="Q173" s="86" t="n">
        <v>7</v>
      </c>
      <c r="R173" s="87" t="n">
        <v>18</v>
      </c>
      <c r="S173" s="93"/>
      <c r="T173" s="94"/>
      <c r="U173" s="95"/>
    </row>
    <row r="174" customFormat="false" ht="18.75" hidden="false" customHeight="true" outlineLevel="0" collapsed="false">
      <c r="A174" s="91"/>
      <c r="B174" s="92" t="s">
        <v>715</v>
      </c>
      <c r="C174" s="84" t="s">
        <v>729</v>
      </c>
      <c r="D174" s="96" t="s">
        <v>57</v>
      </c>
      <c r="E174" s="91"/>
      <c r="F174" s="86" t="n">
        <v>7</v>
      </c>
      <c r="G174" s="87" t="n">
        <v>18</v>
      </c>
      <c r="H174" s="93"/>
      <c r="I174" s="94"/>
      <c r="J174" s="95"/>
      <c r="K174" s="3"/>
      <c r="L174" s="91"/>
      <c r="M174" s="92" t="s">
        <v>715</v>
      </c>
      <c r="N174" s="84" t="s">
        <v>729</v>
      </c>
      <c r="O174" s="96" t="s">
        <v>57</v>
      </c>
      <c r="P174" s="91"/>
      <c r="Q174" s="86" t="n">
        <v>7</v>
      </c>
      <c r="R174" s="87" t="n">
        <v>18</v>
      </c>
      <c r="S174" s="93"/>
      <c r="T174" s="94"/>
      <c r="U174" s="95"/>
    </row>
    <row r="175" customFormat="false" ht="18.75" hidden="false" customHeight="true" outlineLevel="0" collapsed="false">
      <c r="A175" s="91"/>
      <c r="B175" s="92" t="s">
        <v>715</v>
      </c>
      <c r="C175" s="84" t="s">
        <v>730</v>
      </c>
      <c r="D175" s="96" t="s">
        <v>57</v>
      </c>
      <c r="E175" s="91"/>
      <c r="F175" s="91"/>
      <c r="G175" s="87"/>
      <c r="H175" s="93"/>
      <c r="I175" s="94"/>
      <c r="J175" s="95"/>
      <c r="K175" s="3"/>
      <c r="L175" s="91"/>
      <c r="M175" s="92" t="s">
        <v>715</v>
      </c>
      <c r="N175" s="84" t="s">
        <v>730</v>
      </c>
      <c r="O175" s="96" t="s">
        <v>57</v>
      </c>
      <c r="P175" s="91"/>
      <c r="Q175" s="91"/>
      <c r="R175" s="120"/>
      <c r="S175" s="93"/>
      <c r="T175" s="94"/>
      <c r="U175" s="95"/>
    </row>
    <row r="176" customFormat="false" ht="18.75" hidden="false" customHeight="true" outlineLevel="0" collapsed="false">
      <c r="A176" s="91"/>
      <c r="B176" s="92" t="s">
        <v>715</v>
      </c>
      <c r="C176" s="84" t="s">
        <v>731</v>
      </c>
      <c r="D176" s="96" t="s">
        <v>57</v>
      </c>
      <c r="E176" s="91"/>
      <c r="F176" s="91"/>
      <c r="G176" s="87"/>
      <c r="H176" s="93"/>
      <c r="I176" s="94"/>
      <c r="J176" s="95"/>
      <c r="K176" s="3"/>
      <c r="L176" s="91"/>
      <c r="M176" s="92" t="s">
        <v>715</v>
      </c>
      <c r="N176" s="84" t="s">
        <v>731</v>
      </c>
      <c r="O176" s="96" t="s">
        <v>57</v>
      </c>
      <c r="P176" s="91"/>
      <c r="Q176" s="91"/>
      <c r="R176" s="120"/>
      <c r="S176" s="93"/>
      <c r="T176" s="94"/>
      <c r="U176" s="95"/>
    </row>
    <row r="177" customFormat="false" ht="18.75" hidden="false" customHeight="true" outlineLevel="0" collapsed="false">
      <c r="A177" s="91"/>
      <c r="B177" s="92" t="s">
        <v>715</v>
      </c>
      <c r="C177" s="84" t="s">
        <v>732</v>
      </c>
      <c r="D177" s="96" t="s">
        <v>57</v>
      </c>
      <c r="E177" s="91"/>
      <c r="F177" s="86" t="n">
        <v>21</v>
      </c>
      <c r="G177" s="87" t="n">
        <v>16</v>
      </c>
      <c r="H177" s="93"/>
      <c r="I177" s="94"/>
      <c r="J177" s="95"/>
      <c r="K177" s="3"/>
      <c r="L177" s="91"/>
      <c r="M177" s="92" t="s">
        <v>715</v>
      </c>
      <c r="N177" s="84" t="s">
        <v>732</v>
      </c>
      <c r="O177" s="96" t="s">
        <v>57</v>
      </c>
      <c r="P177" s="91"/>
      <c r="Q177" s="86" t="n">
        <v>21</v>
      </c>
      <c r="R177" s="87" t="n">
        <v>16</v>
      </c>
      <c r="S177" s="93"/>
      <c r="T177" s="94"/>
      <c r="U177" s="95"/>
    </row>
    <row r="178" customFormat="false" ht="18.75" hidden="false" customHeight="true" outlineLevel="0" collapsed="false">
      <c r="A178" s="91"/>
      <c r="B178" s="92" t="s">
        <v>715</v>
      </c>
      <c r="C178" s="84" t="s">
        <v>733</v>
      </c>
      <c r="D178" s="96" t="s">
        <v>57</v>
      </c>
      <c r="E178" s="91"/>
      <c r="F178" s="86" t="n">
        <v>17.83</v>
      </c>
      <c r="G178" s="87" t="n">
        <v>15</v>
      </c>
      <c r="H178" s="93"/>
      <c r="I178" s="94"/>
      <c r="J178" s="95"/>
      <c r="K178" s="3"/>
      <c r="L178" s="91"/>
      <c r="M178" s="92" t="s">
        <v>715</v>
      </c>
      <c r="N178" s="84" t="s">
        <v>733</v>
      </c>
      <c r="O178" s="96" t="s">
        <v>57</v>
      </c>
      <c r="P178" s="91"/>
      <c r="Q178" s="86" t="n">
        <v>17.83</v>
      </c>
      <c r="R178" s="87" t="n">
        <v>15</v>
      </c>
      <c r="S178" s="93"/>
      <c r="T178" s="94"/>
      <c r="U178" s="95"/>
    </row>
    <row r="179" customFormat="false" ht="18.75" hidden="false" customHeight="true" outlineLevel="0" collapsed="false">
      <c r="A179" s="82"/>
      <c r="B179" s="83" t="s">
        <v>734</v>
      </c>
      <c r="C179" s="84" t="s">
        <v>735</v>
      </c>
      <c r="D179" s="96" t="s">
        <v>57</v>
      </c>
      <c r="E179" s="91"/>
      <c r="F179" s="91"/>
      <c r="G179" s="87"/>
      <c r="H179" s="88" t="n">
        <f aca="false">SUMIF(B:B,B179,G:G)</f>
        <v>204</v>
      </c>
      <c r="I179" s="89" t="n">
        <v>368.1</v>
      </c>
      <c r="J179" s="90" t="n">
        <f aca="false">IFERROR((I179-H179)/I179,"")</f>
        <v>0.445802770986145</v>
      </c>
      <c r="K179" s="3"/>
      <c r="L179" s="82"/>
      <c r="M179" s="83" t="s">
        <v>734</v>
      </c>
      <c r="N179" s="84" t="s">
        <v>735</v>
      </c>
      <c r="O179" s="96" t="s">
        <v>57</v>
      </c>
      <c r="P179" s="91"/>
      <c r="Q179" s="91"/>
      <c r="R179" s="120"/>
      <c r="S179" s="88" t="n">
        <f aca="false">SUMIF(M:M,M179,R:R)</f>
        <v>204</v>
      </c>
      <c r="T179" s="89" t="n">
        <f aca="false">I179</f>
        <v>368.1</v>
      </c>
      <c r="U179" s="90" t="n">
        <f aca="false">IFERROR((T179-S179)/T179,"")</f>
        <v>0.445802770986145</v>
      </c>
    </row>
    <row r="180" customFormat="false" ht="18.75" hidden="false" customHeight="true" outlineLevel="0" collapsed="false">
      <c r="A180" s="91"/>
      <c r="B180" s="92" t="s">
        <v>734</v>
      </c>
      <c r="C180" s="84" t="s">
        <v>736</v>
      </c>
      <c r="D180" s="96" t="s">
        <v>57</v>
      </c>
      <c r="E180" s="91"/>
      <c r="F180" s="86" t="n">
        <v>14</v>
      </c>
      <c r="G180" s="87" t="n">
        <v>18</v>
      </c>
      <c r="H180" s="93"/>
      <c r="I180" s="94"/>
      <c r="J180" s="95"/>
      <c r="K180" s="3"/>
      <c r="L180" s="91"/>
      <c r="M180" s="92" t="s">
        <v>734</v>
      </c>
      <c r="N180" s="84" t="s">
        <v>736</v>
      </c>
      <c r="O180" s="96" t="s">
        <v>57</v>
      </c>
      <c r="P180" s="91"/>
      <c r="Q180" s="86" t="n">
        <v>14</v>
      </c>
      <c r="R180" s="87" t="n">
        <v>18</v>
      </c>
      <c r="S180" s="93"/>
      <c r="T180" s="94"/>
      <c r="U180" s="95"/>
    </row>
    <row r="181" customFormat="false" ht="18.75" hidden="false" customHeight="true" outlineLevel="0" collapsed="false">
      <c r="A181" s="91"/>
      <c r="B181" s="92" t="s">
        <v>734</v>
      </c>
      <c r="C181" s="84" t="s">
        <v>737</v>
      </c>
      <c r="D181" s="96" t="s">
        <v>57</v>
      </c>
      <c r="E181" s="91"/>
      <c r="F181" s="86" t="n">
        <v>21</v>
      </c>
      <c r="G181" s="87" t="n">
        <v>16</v>
      </c>
      <c r="H181" s="93"/>
      <c r="I181" s="94"/>
      <c r="J181" s="95"/>
      <c r="K181" s="3"/>
      <c r="L181" s="91"/>
      <c r="M181" s="92" t="s">
        <v>734</v>
      </c>
      <c r="N181" s="84" t="s">
        <v>737</v>
      </c>
      <c r="O181" s="96" t="s">
        <v>57</v>
      </c>
      <c r="P181" s="91"/>
      <c r="Q181" s="86" t="n">
        <v>21</v>
      </c>
      <c r="R181" s="87" t="n">
        <v>16</v>
      </c>
      <c r="S181" s="93"/>
      <c r="T181" s="94"/>
      <c r="U181" s="95"/>
    </row>
    <row r="182" customFormat="false" ht="18.75" hidden="false" customHeight="true" outlineLevel="0" collapsed="false">
      <c r="A182" s="91"/>
      <c r="B182" s="92" t="s">
        <v>734</v>
      </c>
      <c r="C182" s="84" t="s">
        <v>738</v>
      </c>
      <c r="D182" s="96" t="s">
        <v>57</v>
      </c>
      <c r="E182" s="91"/>
      <c r="F182" s="86" t="n">
        <v>17.09</v>
      </c>
      <c r="G182" s="87" t="n">
        <v>15</v>
      </c>
      <c r="H182" s="93"/>
      <c r="I182" s="94"/>
      <c r="J182" s="95"/>
      <c r="K182" s="3"/>
      <c r="L182" s="91"/>
      <c r="M182" s="92" t="s">
        <v>734</v>
      </c>
      <c r="N182" s="84" t="s">
        <v>738</v>
      </c>
      <c r="O182" s="96" t="s">
        <v>57</v>
      </c>
      <c r="P182" s="91"/>
      <c r="Q182" s="86" t="n">
        <v>17.09</v>
      </c>
      <c r="R182" s="87" t="n">
        <v>15</v>
      </c>
      <c r="S182" s="93"/>
      <c r="T182" s="94"/>
      <c r="U182" s="95"/>
    </row>
    <row r="183" customFormat="false" ht="18.75" hidden="false" customHeight="true" outlineLevel="0" collapsed="false">
      <c r="A183" s="91"/>
      <c r="B183" s="92" t="s">
        <v>734</v>
      </c>
      <c r="C183" s="84" t="s">
        <v>739</v>
      </c>
      <c r="D183" s="96" t="s">
        <v>57</v>
      </c>
      <c r="E183" s="91"/>
      <c r="F183" s="86" t="n">
        <v>5</v>
      </c>
      <c r="G183" s="87" t="n">
        <v>25</v>
      </c>
      <c r="H183" s="93"/>
      <c r="I183" s="94"/>
      <c r="J183" s="95"/>
      <c r="K183" s="3"/>
      <c r="L183" s="91"/>
      <c r="M183" s="92" t="s">
        <v>734</v>
      </c>
      <c r="N183" s="84" t="s">
        <v>739</v>
      </c>
      <c r="O183" s="96" t="s">
        <v>57</v>
      </c>
      <c r="P183" s="91"/>
      <c r="Q183" s="86" t="n">
        <v>5</v>
      </c>
      <c r="R183" s="87" t="n">
        <v>25</v>
      </c>
      <c r="S183" s="93"/>
      <c r="T183" s="94"/>
      <c r="U183" s="95"/>
    </row>
    <row r="184" customFormat="false" ht="18.75" hidden="false" customHeight="true" outlineLevel="0" collapsed="false">
      <c r="A184" s="91"/>
      <c r="B184" s="92" t="s">
        <v>734</v>
      </c>
      <c r="C184" s="84" t="s">
        <v>740</v>
      </c>
      <c r="D184" s="96" t="s">
        <v>57</v>
      </c>
      <c r="E184" s="91"/>
      <c r="F184" s="86" t="n">
        <v>14</v>
      </c>
      <c r="G184" s="87" t="n">
        <v>16</v>
      </c>
      <c r="H184" s="93"/>
      <c r="I184" s="94"/>
      <c r="J184" s="95"/>
      <c r="K184" s="3"/>
      <c r="L184" s="91"/>
      <c r="M184" s="92" t="s">
        <v>734</v>
      </c>
      <c r="N184" s="84" t="s">
        <v>740</v>
      </c>
      <c r="O184" s="96" t="s">
        <v>57</v>
      </c>
      <c r="P184" s="91"/>
      <c r="Q184" s="86" t="n">
        <v>14</v>
      </c>
      <c r="R184" s="87" t="n">
        <v>16</v>
      </c>
      <c r="S184" s="93"/>
      <c r="T184" s="94"/>
      <c r="U184" s="95"/>
    </row>
    <row r="185" customFormat="false" ht="18.75" hidden="false" customHeight="true" outlineLevel="0" collapsed="false">
      <c r="A185" s="91"/>
      <c r="B185" s="92" t="s">
        <v>734</v>
      </c>
      <c r="C185" s="84" t="s">
        <v>741</v>
      </c>
      <c r="D185" s="96" t="s">
        <v>57</v>
      </c>
      <c r="E185" s="91"/>
      <c r="F185" s="86" t="n">
        <v>14</v>
      </c>
      <c r="G185" s="87" t="n">
        <v>18</v>
      </c>
      <c r="H185" s="93"/>
      <c r="I185" s="94"/>
      <c r="J185" s="95"/>
      <c r="K185" s="3"/>
      <c r="L185" s="91"/>
      <c r="M185" s="92" t="s">
        <v>734</v>
      </c>
      <c r="N185" s="84" t="s">
        <v>741</v>
      </c>
      <c r="O185" s="96" t="s">
        <v>57</v>
      </c>
      <c r="P185" s="91"/>
      <c r="Q185" s="86" t="n">
        <v>14</v>
      </c>
      <c r="R185" s="87" t="n">
        <v>18</v>
      </c>
      <c r="S185" s="93"/>
      <c r="T185" s="94"/>
      <c r="U185" s="95"/>
    </row>
    <row r="186" customFormat="false" ht="18.75" hidden="false" customHeight="true" outlineLevel="0" collapsed="false">
      <c r="A186" s="91"/>
      <c r="B186" s="92" t="s">
        <v>734</v>
      </c>
      <c r="C186" s="84" t="s">
        <v>742</v>
      </c>
      <c r="D186" s="96" t="s">
        <v>57</v>
      </c>
      <c r="E186" s="91"/>
      <c r="F186" s="86" t="n">
        <v>71</v>
      </c>
      <c r="G186" s="87" t="n">
        <v>15</v>
      </c>
      <c r="H186" s="93"/>
      <c r="I186" s="94"/>
      <c r="J186" s="95"/>
      <c r="K186" s="3"/>
      <c r="L186" s="91"/>
      <c r="M186" s="92" t="s">
        <v>734</v>
      </c>
      <c r="N186" s="84" t="s">
        <v>742</v>
      </c>
      <c r="O186" s="96" t="s">
        <v>57</v>
      </c>
      <c r="P186" s="91"/>
      <c r="Q186" s="86" t="n">
        <v>71</v>
      </c>
      <c r="R186" s="87" t="n">
        <v>15</v>
      </c>
      <c r="S186" s="93"/>
      <c r="T186" s="94"/>
      <c r="U186" s="95"/>
    </row>
    <row r="187" customFormat="false" ht="18.75" hidden="false" customHeight="true" outlineLevel="0" collapsed="false">
      <c r="A187" s="91"/>
      <c r="B187" s="92" t="s">
        <v>734</v>
      </c>
      <c r="C187" s="84" t="s">
        <v>743</v>
      </c>
      <c r="D187" s="96" t="s">
        <v>57</v>
      </c>
      <c r="E187" s="91"/>
      <c r="F187" s="91"/>
      <c r="G187" s="87"/>
      <c r="H187" s="93"/>
      <c r="I187" s="94"/>
      <c r="J187" s="95"/>
      <c r="K187" s="3"/>
      <c r="L187" s="91"/>
      <c r="M187" s="92" t="s">
        <v>734</v>
      </c>
      <c r="N187" s="84" t="s">
        <v>743</v>
      </c>
      <c r="O187" s="96" t="s">
        <v>57</v>
      </c>
      <c r="P187" s="91"/>
      <c r="Q187" s="91"/>
      <c r="R187" s="120"/>
      <c r="S187" s="93"/>
      <c r="T187" s="94"/>
      <c r="U187" s="95"/>
    </row>
    <row r="188" customFormat="false" ht="18.75" hidden="false" customHeight="true" outlineLevel="0" collapsed="false">
      <c r="A188" s="91"/>
      <c r="B188" s="92" t="s">
        <v>734</v>
      </c>
      <c r="C188" s="84" t="s">
        <v>744</v>
      </c>
      <c r="D188" s="96" t="s">
        <v>57</v>
      </c>
      <c r="E188" s="91"/>
      <c r="F188" s="86" t="n">
        <v>28</v>
      </c>
      <c r="G188" s="87" t="n">
        <v>18</v>
      </c>
      <c r="H188" s="93"/>
      <c r="I188" s="94"/>
      <c r="J188" s="95"/>
      <c r="K188" s="3"/>
      <c r="L188" s="91"/>
      <c r="M188" s="92" t="s">
        <v>734</v>
      </c>
      <c r="N188" s="84" t="s">
        <v>744</v>
      </c>
      <c r="O188" s="96" t="s">
        <v>57</v>
      </c>
      <c r="P188" s="91"/>
      <c r="Q188" s="86" t="n">
        <v>28</v>
      </c>
      <c r="R188" s="87" t="n">
        <v>18</v>
      </c>
      <c r="S188" s="93"/>
      <c r="T188" s="94"/>
      <c r="U188" s="95"/>
    </row>
    <row r="189" customFormat="false" ht="18.75" hidden="false" customHeight="true" outlineLevel="0" collapsed="false">
      <c r="A189" s="91"/>
      <c r="B189" s="92" t="s">
        <v>734</v>
      </c>
      <c r="C189" s="84" t="s">
        <v>745</v>
      </c>
      <c r="D189" s="96" t="s">
        <v>57</v>
      </c>
      <c r="E189" s="91"/>
      <c r="F189" s="86" t="n">
        <v>4.5</v>
      </c>
      <c r="G189" s="87" t="n">
        <v>13</v>
      </c>
      <c r="H189" s="93"/>
      <c r="I189" s="94"/>
      <c r="J189" s="95"/>
      <c r="K189" s="3"/>
      <c r="L189" s="91"/>
      <c r="M189" s="92" t="s">
        <v>734</v>
      </c>
      <c r="N189" s="84" t="s">
        <v>745</v>
      </c>
      <c r="O189" s="96" t="s">
        <v>57</v>
      </c>
      <c r="P189" s="91"/>
      <c r="Q189" s="86" t="n">
        <v>4.5</v>
      </c>
      <c r="R189" s="87" t="n">
        <v>13</v>
      </c>
      <c r="S189" s="93"/>
      <c r="T189" s="94"/>
      <c r="U189" s="95"/>
    </row>
    <row r="190" customFormat="false" ht="18.75" hidden="false" customHeight="true" outlineLevel="0" collapsed="false">
      <c r="A190" s="91"/>
      <c r="B190" s="92" t="s">
        <v>734</v>
      </c>
      <c r="C190" s="84" t="s">
        <v>746</v>
      </c>
      <c r="D190" s="96" t="s">
        <v>57</v>
      </c>
      <c r="E190" s="91"/>
      <c r="F190" s="86" t="n">
        <v>28</v>
      </c>
      <c r="G190" s="87" t="n">
        <v>16</v>
      </c>
      <c r="H190" s="93"/>
      <c r="I190" s="94"/>
      <c r="J190" s="95"/>
      <c r="K190" s="3"/>
      <c r="L190" s="91"/>
      <c r="M190" s="92" t="s">
        <v>734</v>
      </c>
      <c r="N190" s="84" t="s">
        <v>746</v>
      </c>
      <c r="O190" s="96" t="s">
        <v>57</v>
      </c>
      <c r="P190" s="91"/>
      <c r="Q190" s="86" t="n">
        <v>28</v>
      </c>
      <c r="R190" s="87" t="n">
        <v>16</v>
      </c>
      <c r="S190" s="93"/>
      <c r="T190" s="94"/>
      <c r="U190" s="95"/>
    </row>
    <row r="191" customFormat="false" ht="18.75" hidden="false" customHeight="true" outlineLevel="0" collapsed="false">
      <c r="A191" s="91"/>
      <c r="B191" s="92" t="s">
        <v>734</v>
      </c>
      <c r="C191" s="84" t="s">
        <v>747</v>
      </c>
      <c r="D191" s="96" t="s">
        <v>57</v>
      </c>
      <c r="E191" s="91"/>
      <c r="F191" s="86" t="n">
        <v>14</v>
      </c>
      <c r="G191" s="87" t="n">
        <v>18</v>
      </c>
      <c r="H191" s="93"/>
      <c r="I191" s="94"/>
      <c r="J191" s="95"/>
      <c r="K191" s="3"/>
      <c r="L191" s="91"/>
      <c r="M191" s="92" t="s">
        <v>734</v>
      </c>
      <c r="N191" s="84" t="s">
        <v>747</v>
      </c>
      <c r="O191" s="96" t="s">
        <v>57</v>
      </c>
      <c r="P191" s="91"/>
      <c r="Q191" s="86" t="n">
        <v>14</v>
      </c>
      <c r="R191" s="87" t="n">
        <v>18</v>
      </c>
      <c r="S191" s="93"/>
      <c r="T191" s="94"/>
      <c r="U191" s="95"/>
    </row>
    <row r="192" customFormat="false" ht="18.75" hidden="false" customHeight="true" outlineLevel="0" collapsed="false">
      <c r="A192" s="91"/>
      <c r="B192" s="92" t="s">
        <v>734</v>
      </c>
      <c r="C192" s="84" t="s">
        <v>748</v>
      </c>
      <c r="D192" s="96" t="s">
        <v>57</v>
      </c>
      <c r="E192" s="91"/>
      <c r="F192" s="86" t="n">
        <v>7</v>
      </c>
      <c r="G192" s="87" t="n">
        <v>16</v>
      </c>
      <c r="H192" s="93"/>
      <c r="I192" s="94"/>
      <c r="J192" s="95"/>
      <c r="K192" s="3"/>
      <c r="L192" s="91"/>
      <c r="M192" s="92" t="s">
        <v>734</v>
      </c>
      <c r="N192" s="84" t="s">
        <v>748</v>
      </c>
      <c r="O192" s="96" t="s">
        <v>57</v>
      </c>
      <c r="P192" s="91"/>
      <c r="Q192" s="86" t="n">
        <v>7</v>
      </c>
      <c r="R192" s="87" t="n">
        <v>16</v>
      </c>
      <c r="S192" s="93"/>
      <c r="T192" s="94"/>
      <c r="U192" s="95"/>
    </row>
    <row r="193" customFormat="false" ht="18.75" hidden="false" customHeight="true" outlineLevel="0" collapsed="false">
      <c r="A193" s="82"/>
      <c r="B193" s="83" t="s">
        <v>749</v>
      </c>
      <c r="C193" s="84" t="s">
        <v>750</v>
      </c>
      <c r="D193" s="96" t="s">
        <v>57</v>
      </c>
      <c r="E193" s="91"/>
      <c r="F193" s="86" t="n">
        <v>7</v>
      </c>
      <c r="G193" s="87" t="n">
        <v>15</v>
      </c>
      <c r="H193" s="88" t="n">
        <f aca="false">SUMIF(B:B,B193,G:G)</f>
        <v>199</v>
      </c>
      <c r="I193" s="89" t="n">
        <v>1565.55</v>
      </c>
      <c r="J193" s="90" t="n">
        <f aca="false">IFERROR((I193-H193)/I193,"")</f>
        <v>0.872888122385104</v>
      </c>
      <c r="K193" s="3"/>
      <c r="L193" s="82"/>
      <c r="M193" s="83" t="s">
        <v>749</v>
      </c>
      <c r="N193" s="84" t="s">
        <v>750</v>
      </c>
      <c r="O193" s="96" t="s">
        <v>57</v>
      </c>
      <c r="P193" s="91"/>
      <c r="Q193" s="86" t="n">
        <v>7</v>
      </c>
      <c r="R193" s="87" t="n">
        <v>15</v>
      </c>
      <c r="S193" s="88" t="n">
        <f aca="false">SUMIF(M:M,M193,R:R)</f>
        <v>199</v>
      </c>
      <c r="T193" s="89" t="n">
        <f aca="false">I193</f>
        <v>1565.55</v>
      </c>
      <c r="U193" s="90" t="n">
        <f aca="false">IFERROR((T193-S193)/T193,"")</f>
        <v>0.872888122385104</v>
      </c>
    </row>
    <row r="194" customFormat="false" ht="18.75" hidden="false" customHeight="true" outlineLevel="0" collapsed="false">
      <c r="A194" s="91"/>
      <c r="B194" s="92" t="s">
        <v>749</v>
      </c>
      <c r="C194" s="84" t="s">
        <v>751</v>
      </c>
      <c r="D194" s="96" t="s">
        <v>57</v>
      </c>
      <c r="E194" s="91"/>
      <c r="F194" s="86" t="n">
        <v>14</v>
      </c>
      <c r="G194" s="87" t="n">
        <v>18</v>
      </c>
      <c r="H194" s="93"/>
      <c r="I194" s="94"/>
      <c r="J194" s="95"/>
      <c r="K194" s="3"/>
      <c r="L194" s="91"/>
      <c r="M194" s="92" t="s">
        <v>749</v>
      </c>
      <c r="N194" s="84" t="s">
        <v>751</v>
      </c>
      <c r="O194" s="96" t="s">
        <v>57</v>
      </c>
      <c r="P194" s="91"/>
      <c r="Q194" s="86" t="n">
        <v>14</v>
      </c>
      <c r="R194" s="87" t="n">
        <v>18</v>
      </c>
      <c r="S194" s="93"/>
      <c r="T194" s="94"/>
      <c r="U194" s="95"/>
    </row>
    <row r="195" customFormat="false" ht="18.75" hidden="false" customHeight="true" outlineLevel="0" collapsed="false">
      <c r="A195" s="91"/>
      <c r="B195" s="92" t="s">
        <v>749</v>
      </c>
      <c r="C195" s="84" t="s">
        <v>752</v>
      </c>
      <c r="D195" s="96" t="s">
        <v>57</v>
      </c>
      <c r="E195" s="91"/>
      <c r="F195" s="86" t="n">
        <v>21</v>
      </c>
      <c r="G195" s="87" t="n">
        <v>18</v>
      </c>
      <c r="H195" s="93"/>
      <c r="I195" s="94"/>
      <c r="J195" s="95"/>
      <c r="K195" s="3"/>
      <c r="L195" s="91"/>
      <c r="M195" s="92" t="s">
        <v>749</v>
      </c>
      <c r="N195" s="84" t="s">
        <v>752</v>
      </c>
      <c r="O195" s="96" t="s">
        <v>57</v>
      </c>
      <c r="P195" s="91"/>
      <c r="Q195" s="86" t="n">
        <v>21</v>
      </c>
      <c r="R195" s="87" t="n">
        <v>18</v>
      </c>
      <c r="S195" s="93"/>
      <c r="T195" s="94"/>
      <c r="U195" s="95"/>
    </row>
    <row r="196" customFormat="false" ht="18.75" hidden="false" customHeight="true" outlineLevel="0" collapsed="false">
      <c r="A196" s="91"/>
      <c r="B196" s="92" t="s">
        <v>749</v>
      </c>
      <c r="C196" s="84" t="s">
        <v>753</v>
      </c>
      <c r="D196" s="96" t="s">
        <v>57</v>
      </c>
      <c r="E196" s="91"/>
      <c r="F196" s="86" t="n">
        <v>3</v>
      </c>
      <c r="G196" s="87" t="n">
        <v>15</v>
      </c>
      <c r="H196" s="93"/>
      <c r="I196" s="94"/>
      <c r="J196" s="95"/>
      <c r="K196" s="3"/>
      <c r="L196" s="91"/>
      <c r="M196" s="92" t="s">
        <v>749</v>
      </c>
      <c r="N196" s="84" t="s">
        <v>753</v>
      </c>
      <c r="O196" s="96" t="s">
        <v>57</v>
      </c>
      <c r="P196" s="91"/>
      <c r="Q196" s="86" t="n">
        <v>3</v>
      </c>
      <c r="R196" s="87" t="n">
        <v>15</v>
      </c>
      <c r="S196" s="93"/>
      <c r="T196" s="94"/>
      <c r="U196" s="95"/>
    </row>
    <row r="197" customFormat="false" ht="18.75" hidden="false" customHeight="true" outlineLevel="0" collapsed="false">
      <c r="A197" s="91"/>
      <c r="B197" s="92" t="s">
        <v>749</v>
      </c>
      <c r="C197" s="84" t="s">
        <v>754</v>
      </c>
      <c r="D197" s="96" t="s">
        <v>57</v>
      </c>
      <c r="E197" s="91"/>
      <c r="F197" s="86" t="n">
        <v>14</v>
      </c>
      <c r="G197" s="87" t="n">
        <v>18</v>
      </c>
      <c r="H197" s="93"/>
      <c r="I197" s="94"/>
      <c r="J197" s="95"/>
      <c r="K197" s="3"/>
      <c r="L197" s="91"/>
      <c r="M197" s="92" t="s">
        <v>749</v>
      </c>
      <c r="N197" s="84" t="s">
        <v>754</v>
      </c>
      <c r="O197" s="96" t="s">
        <v>57</v>
      </c>
      <c r="P197" s="91"/>
      <c r="Q197" s="86" t="n">
        <v>14</v>
      </c>
      <c r="R197" s="87" t="n">
        <v>18</v>
      </c>
      <c r="S197" s="93"/>
      <c r="T197" s="94"/>
      <c r="U197" s="95"/>
    </row>
    <row r="198" customFormat="false" ht="18.75" hidden="false" customHeight="true" outlineLevel="0" collapsed="false">
      <c r="A198" s="91"/>
      <c r="B198" s="92" t="s">
        <v>749</v>
      </c>
      <c r="C198" s="84" t="s">
        <v>755</v>
      </c>
      <c r="D198" s="96" t="s">
        <v>57</v>
      </c>
      <c r="E198" s="91"/>
      <c r="F198" s="86" t="n">
        <v>7</v>
      </c>
      <c r="G198" s="87" t="n">
        <v>18</v>
      </c>
      <c r="H198" s="93"/>
      <c r="I198" s="94"/>
      <c r="J198" s="95"/>
      <c r="K198" s="3"/>
      <c r="L198" s="91"/>
      <c r="M198" s="92" t="s">
        <v>749</v>
      </c>
      <c r="N198" s="84" t="s">
        <v>755</v>
      </c>
      <c r="O198" s="96" t="s">
        <v>57</v>
      </c>
      <c r="P198" s="91"/>
      <c r="Q198" s="86" t="n">
        <v>7</v>
      </c>
      <c r="R198" s="87" t="n">
        <v>18</v>
      </c>
      <c r="S198" s="93"/>
      <c r="T198" s="94"/>
      <c r="U198" s="95"/>
    </row>
    <row r="199" customFormat="false" ht="18.75" hidden="false" customHeight="true" outlineLevel="0" collapsed="false">
      <c r="A199" s="91"/>
      <c r="B199" s="92" t="s">
        <v>749</v>
      </c>
      <c r="C199" s="84" t="s">
        <v>756</v>
      </c>
      <c r="D199" s="96" t="s">
        <v>57</v>
      </c>
      <c r="E199" s="91"/>
      <c r="F199" s="86" t="n">
        <v>15</v>
      </c>
      <c r="G199" s="87" t="n">
        <v>15</v>
      </c>
      <c r="H199" s="93"/>
      <c r="I199" s="94"/>
      <c r="J199" s="95"/>
      <c r="K199" s="3"/>
      <c r="L199" s="91"/>
      <c r="M199" s="92" t="s">
        <v>749</v>
      </c>
      <c r="N199" s="84" t="s">
        <v>756</v>
      </c>
      <c r="O199" s="96" t="s">
        <v>57</v>
      </c>
      <c r="P199" s="91"/>
      <c r="Q199" s="86" t="n">
        <v>15</v>
      </c>
      <c r="R199" s="87" t="n">
        <v>15</v>
      </c>
      <c r="S199" s="93"/>
      <c r="T199" s="94"/>
      <c r="U199" s="95"/>
    </row>
    <row r="200" customFormat="false" ht="18.75" hidden="false" customHeight="true" outlineLevel="0" collapsed="false">
      <c r="A200" s="91"/>
      <c r="B200" s="92" t="s">
        <v>749</v>
      </c>
      <c r="C200" s="84" t="s">
        <v>757</v>
      </c>
      <c r="D200" s="96" t="s">
        <v>57</v>
      </c>
      <c r="E200" s="91"/>
      <c r="F200" s="86" t="n">
        <v>21</v>
      </c>
      <c r="G200" s="87" t="n">
        <v>16</v>
      </c>
      <c r="H200" s="93"/>
      <c r="I200" s="94"/>
      <c r="J200" s="95"/>
      <c r="K200" s="3"/>
      <c r="L200" s="91"/>
      <c r="M200" s="92" t="s">
        <v>749</v>
      </c>
      <c r="N200" s="84" t="s">
        <v>757</v>
      </c>
      <c r="O200" s="96" t="s">
        <v>57</v>
      </c>
      <c r="P200" s="91"/>
      <c r="Q200" s="86" t="n">
        <v>21</v>
      </c>
      <c r="R200" s="87" t="n">
        <v>16</v>
      </c>
      <c r="S200" s="93"/>
      <c r="T200" s="94"/>
      <c r="U200" s="95"/>
    </row>
    <row r="201" customFormat="false" ht="18.75" hidden="false" customHeight="true" outlineLevel="0" collapsed="false">
      <c r="A201" s="91"/>
      <c r="B201" s="92" t="s">
        <v>749</v>
      </c>
      <c r="C201" s="84" t="s">
        <v>758</v>
      </c>
      <c r="D201" s="96" t="s">
        <v>57</v>
      </c>
      <c r="E201" s="91"/>
      <c r="F201" s="86" t="n">
        <v>21</v>
      </c>
      <c r="G201" s="87" t="n">
        <v>18</v>
      </c>
      <c r="H201" s="93"/>
      <c r="I201" s="94"/>
      <c r="J201" s="95"/>
      <c r="K201" s="3"/>
      <c r="L201" s="91"/>
      <c r="M201" s="92" t="s">
        <v>749</v>
      </c>
      <c r="N201" s="84" t="s">
        <v>758</v>
      </c>
      <c r="O201" s="96" t="s">
        <v>57</v>
      </c>
      <c r="P201" s="91"/>
      <c r="Q201" s="86" t="n">
        <v>21</v>
      </c>
      <c r="R201" s="87" t="n">
        <v>18</v>
      </c>
      <c r="S201" s="93"/>
      <c r="T201" s="94"/>
      <c r="U201" s="95"/>
    </row>
    <row r="202" customFormat="false" ht="18.75" hidden="false" customHeight="true" outlineLevel="0" collapsed="false">
      <c r="A202" s="91"/>
      <c r="B202" s="92" t="s">
        <v>749</v>
      </c>
      <c r="C202" s="84" t="s">
        <v>759</v>
      </c>
      <c r="D202" s="96" t="s">
        <v>57</v>
      </c>
      <c r="E202" s="91"/>
      <c r="F202" s="86" t="n">
        <v>14</v>
      </c>
      <c r="G202" s="87" t="n">
        <v>16</v>
      </c>
      <c r="H202" s="93"/>
      <c r="I202" s="94"/>
      <c r="J202" s="95"/>
      <c r="K202" s="3"/>
      <c r="L202" s="91"/>
      <c r="M202" s="92" t="s">
        <v>749</v>
      </c>
      <c r="N202" s="84" t="s">
        <v>759</v>
      </c>
      <c r="O202" s="96" t="s">
        <v>57</v>
      </c>
      <c r="P202" s="91"/>
      <c r="Q202" s="86" t="n">
        <v>14</v>
      </c>
      <c r="R202" s="87" t="n">
        <v>16</v>
      </c>
      <c r="S202" s="93"/>
      <c r="T202" s="94"/>
      <c r="U202" s="95"/>
    </row>
    <row r="203" customFormat="false" ht="18.75" hidden="false" customHeight="true" outlineLevel="0" collapsed="false">
      <c r="A203" s="91"/>
      <c r="B203" s="92" t="s">
        <v>749</v>
      </c>
      <c r="C203" s="84" t="s">
        <v>760</v>
      </c>
      <c r="D203" s="96" t="s">
        <v>57</v>
      </c>
      <c r="E203" s="91"/>
      <c r="F203" s="86" t="n">
        <v>7</v>
      </c>
      <c r="G203" s="87" t="n">
        <v>16</v>
      </c>
      <c r="H203" s="93"/>
      <c r="I203" s="94"/>
      <c r="J203" s="95"/>
      <c r="K203" s="3"/>
      <c r="L203" s="91"/>
      <c r="M203" s="92" t="s">
        <v>749</v>
      </c>
      <c r="N203" s="84" t="s">
        <v>760</v>
      </c>
      <c r="O203" s="96" t="s">
        <v>57</v>
      </c>
      <c r="P203" s="91"/>
      <c r="Q203" s="86" t="n">
        <v>7</v>
      </c>
      <c r="R203" s="87" t="n">
        <v>16</v>
      </c>
      <c r="S203" s="93"/>
      <c r="T203" s="94"/>
      <c r="U203" s="95"/>
    </row>
    <row r="204" customFormat="false" ht="18.75" hidden="false" customHeight="true" outlineLevel="0" collapsed="false">
      <c r="A204" s="91"/>
      <c r="B204" s="92" t="s">
        <v>749</v>
      </c>
      <c r="C204" s="84" t="s">
        <v>761</v>
      </c>
      <c r="D204" s="96" t="s">
        <v>57</v>
      </c>
      <c r="E204" s="91"/>
      <c r="F204" s="86" t="n">
        <v>7</v>
      </c>
      <c r="G204" s="87" t="n">
        <v>16</v>
      </c>
      <c r="H204" s="93"/>
      <c r="I204" s="94"/>
      <c r="J204" s="95"/>
      <c r="K204" s="3"/>
      <c r="L204" s="91"/>
      <c r="M204" s="92" t="s">
        <v>749</v>
      </c>
      <c r="N204" s="84" t="s">
        <v>761</v>
      </c>
      <c r="O204" s="96" t="s">
        <v>57</v>
      </c>
      <c r="P204" s="91"/>
      <c r="Q204" s="86" t="n">
        <v>7</v>
      </c>
      <c r="R204" s="87" t="n">
        <v>16</v>
      </c>
      <c r="S204" s="93"/>
      <c r="T204" s="94"/>
      <c r="U204" s="95"/>
    </row>
    <row r="205" customFormat="false" ht="18.75" hidden="false" customHeight="true" outlineLevel="0" collapsed="false">
      <c r="A205" s="82"/>
      <c r="B205" s="83" t="s">
        <v>762</v>
      </c>
      <c r="C205" s="84" t="s">
        <v>763</v>
      </c>
      <c r="D205" s="96" t="s">
        <v>57</v>
      </c>
      <c r="E205" s="91"/>
      <c r="F205" s="91"/>
      <c r="G205" s="87"/>
      <c r="H205" s="88" t="n">
        <f aca="false">SUMIF(B:B,B205,G:G)</f>
        <v>199</v>
      </c>
      <c r="I205" s="89" t="n">
        <v>709.98</v>
      </c>
      <c r="J205" s="90" t="n">
        <f aca="false">IFERROR((I205-H205)/I205,"")</f>
        <v>0.71971041437787</v>
      </c>
      <c r="K205" s="3"/>
      <c r="L205" s="82"/>
      <c r="M205" s="83" t="s">
        <v>762</v>
      </c>
      <c r="N205" s="84" t="s">
        <v>763</v>
      </c>
      <c r="O205" s="96" t="s">
        <v>57</v>
      </c>
      <c r="P205" s="91"/>
      <c r="Q205" s="91"/>
      <c r="R205" s="120"/>
      <c r="S205" s="88" t="n">
        <f aca="false">SUMIF(M:M,M205,R:R)</f>
        <v>199</v>
      </c>
      <c r="T205" s="89" t="n">
        <f aca="false">I205</f>
        <v>709.98</v>
      </c>
      <c r="U205" s="90" t="n">
        <f aca="false">IFERROR((T205-S205)/T205,"")</f>
        <v>0.71971041437787</v>
      </c>
    </row>
    <row r="206" customFormat="false" ht="18.75" hidden="false" customHeight="true" outlineLevel="0" collapsed="false">
      <c r="A206" s="91"/>
      <c r="B206" s="92" t="s">
        <v>762</v>
      </c>
      <c r="C206" s="84" t="s">
        <v>764</v>
      </c>
      <c r="D206" s="96" t="s">
        <v>57</v>
      </c>
      <c r="E206" s="91"/>
      <c r="F206" s="86" t="n">
        <v>14</v>
      </c>
      <c r="G206" s="87" t="n">
        <v>18</v>
      </c>
      <c r="H206" s="93"/>
      <c r="I206" s="94"/>
      <c r="J206" s="95"/>
      <c r="K206" s="3"/>
      <c r="L206" s="91"/>
      <c r="M206" s="92" t="s">
        <v>762</v>
      </c>
      <c r="N206" s="84" t="s">
        <v>764</v>
      </c>
      <c r="O206" s="96" t="s">
        <v>57</v>
      </c>
      <c r="P206" s="91"/>
      <c r="Q206" s="86" t="n">
        <v>14</v>
      </c>
      <c r="R206" s="87" t="n">
        <v>18</v>
      </c>
      <c r="S206" s="93"/>
      <c r="T206" s="94"/>
      <c r="U206" s="95"/>
    </row>
    <row r="207" customFormat="false" ht="18.75" hidden="false" customHeight="true" outlineLevel="0" collapsed="false">
      <c r="A207" s="91"/>
      <c r="B207" s="92" t="s">
        <v>762</v>
      </c>
      <c r="C207" s="84" t="s">
        <v>765</v>
      </c>
      <c r="D207" s="96" t="s">
        <v>57</v>
      </c>
      <c r="E207" s="91"/>
      <c r="F207" s="86" t="n">
        <v>21</v>
      </c>
      <c r="G207" s="87" t="n">
        <v>18</v>
      </c>
      <c r="H207" s="93"/>
      <c r="I207" s="94"/>
      <c r="J207" s="95"/>
      <c r="K207" s="3"/>
      <c r="L207" s="91"/>
      <c r="M207" s="92" t="s">
        <v>762</v>
      </c>
      <c r="N207" s="84" t="s">
        <v>765</v>
      </c>
      <c r="O207" s="96" t="s">
        <v>57</v>
      </c>
      <c r="P207" s="91"/>
      <c r="Q207" s="86" t="n">
        <v>21</v>
      </c>
      <c r="R207" s="87" t="n">
        <v>18</v>
      </c>
      <c r="S207" s="93"/>
      <c r="T207" s="94"/>
      <c r="U207" s="95"/>
    </row>
    <row r="208" customFormat="false" ht="18.75" hidden="false" customHeight="true" outlineLevel="0" collapsed="false">
      <c r="A208" s="91"/>
      <c r="B208" s="92" t="s">
        <v>762</v>
      </c>
      <c r="C208" s="84" t="s">
        <v>766</v>
      </c>
      <c r="D208" s="96" t="s">
        <v>57</v>
      </c>
      <c r="E208" s="91"/>
      <c r="F208" s="86" t="n">
        <v>21</v>
      </c>
      <c r="G208" s="87" t="n">
        <v>18</v>
      </c>
      <c r="H208" s="93"/>
      <c r="I208" s="94"/>
      <c r="J208" s="95"/>
      <c r="K208" s="3"/>
      <c r="L208" s="91"/>
      <c r="M208" s="92" t="s">
        <v>762</v>
      </c>
      <c r="N208" s="84" t="s">
        <v>766</v>
      </c>
      <c r="O208" s="96" t="s">
        <v>57</v>
      </c>
      <c r="P208" s="91"/>
      <c r="Q208" s="86" t="n">
        <v>21</v>
      </c>
      <c r="R208" s="87" t="n">
        <v>18</v>
      </c>
      <c r="S208" s="93"/>
      <c r="T208" s="94"/>
      <c r="U208" s="95"/>
    </row>
    <row r="209" customFormat="false" ht="18.75" hidden="false" customHeight="true" outlineLevel="0" collapsed="false">
      <c r="A209" s="91"/>
      <c r="B209" s="92" t="s">
        <v>762</v>
      </c>
      <c r="C209" s="84" t="s">
        <v>767</v>
      </c>
      <c r="D209" s="96" t="s">
        <v>57</v>
      </c>
      <c r="E209" s="91"/>
      <c r="F209" s="86" t="n">
        <v>15</v>
      </c>
      <c r="G209" s="87" t="n">
        <v>15</v>
      </c>
      <c r="H209" s="93"/>
      <c r="I209" s="94"/>
      <c r="J209" s="95"/>
      <c r="K209" s="3"/>
      <c r="L209" s="91"/>
      <c r="M209" s="92" t="s">
        <v>762</v>
      </c>
      <c r="N209" s="84" t="s">
        <v>767</v>
      </c>
      <c r="O209" s="96" t="s">
        <v>57</v>
      </c>
      <c r="P209" s="91"/>
      <c r="Q209" s="86" t="n">
        <v>15</v>
      </c>
      <c r="R209" s="87" t="n">
        <v>15</v>
      </c>
      <c r="S209" s="93"/>
      <c r="T209" s="94"/>
      <c r="U209" s="95"/>
    </row>
    <row r="210" customFormat="false" ht="18.75" hidden="false" customHeight="true" outlineLevel="0" collapsed="false">
      <c r="A210" s="91"/>
      <c r="B210" s="92" t="s">
        <v>762</v>
      </c>
      <c r="C210" s="84" t="s">
        <v>768</v>
      </c>
      <c r="D210" s="96" t="s">
        <v>57</v>
      </c>
      <c r="E210" s="91"/>
      <c r="F210" s="91"/>
      <c r="G210" s="87"/>
      <c r="H210" s="93"/>
      <c r="I210" s="94"/>
      <c r="J210" s="95"/>
      <c r="K210" s="3"/>
      <c r="L210" s="91"/>
      <c r="M210" s="92" t="s">
        <v>762</v>
      </c>
      <c r="N210" s="84" t="s">
        <v>768</v>
      </c>
      <c r="O210" s="96" t="s">
        <v>57</v>
      </c>
      <c r="P210" s="91"/>
      <c r="Q210" s="91"/>
      <c r="R210" s="120"/>
      <c r="S210" s="93"/>
      <c r="T210" s="94"/>
      <c r="U210" s="95"/>
    </row>
    <row r="211" customFormat="false" ht="18.75" hidden="false" customHeight="true" outlineLevel="0" collapsed="false">
      <c r="A211" s="91"/>
      <c r="B211" s="92" t="s">
        <v>762</v>
      </c>
      <c r="C211" s="84" t="s">
        <v>769</v>
      </c>
      <c r="D211" s="96" t="s">
        <v>57</v>
      </c>
      <c r="E211" s="91"/>
      <c r="F211" s="91"/>
      <c r="G211" s="87"/>
      <c r="H211" s="93"/>
      <c r="I211" s="94"/>
      <c r="J211" s="95"/>
      <c r="K211" s="3"/>
      <c r="L211" s="91"/>
      <c r="M211" s="92" t="s">
        <v>762</v>
      </c>
      <c r="N211" s="84" t="s">
        <v>769</v>
      </c>
      <c r="O211" s="96" t="s">
        <v>57</v>
      </c>
      <c r="P211" s="91"/>
      <c r="Q211" s="91"/>
      <c r="R211" s="120"/>
      <c r="S211" s="93"/>
      <c r="T211" s="94"/>
      <c r="U211" s="95"/>
    </row>
    <row r="212" customFormat="false" ht="18.75" hidden="false" customHeight="true" outlineLevel="0" collapsed="false">
      <c r="A212" s="91"/>
      <c r="B212" s="92" t="s">
        <v>762</v>
      </c>
      <c r="C212" s="84" t="s">
        <v>770</v>
      </c>
      <c r="D212" s="96" t="s">
        <v>57</v>
      </c>
      <c r="E212" s="91"/>
      <c r="F212" s="86" t="n">
        <v>35</v>
      </c>
      <c r="G212" s="87" t="n">
        <v>18</v>
      </c>
      <c r="H212" s="93"/>
      <c r="I212" s="94"/>
      <c r="J212" s="95"/>
      <c r="K212" s="3"/>
      <c r="L212" s="91"/>
      <c r="M212" s="92" t="s">
        <v>762</v>
      </c>
      <c r="N212" s="84" t="s">
        <v>770</v>
      </c>
      <c r="O212" s="96" t="s">
        <v>57</v>
      </c>
      <c r="P212" s="91"/>
      <c r="Q212" s="86" t="n">
        <v>35</v>
      </c>
      <c r="R212" s="87" t="n">
        <v>18</v>
      </c>
      <c r="S212" s="93"/>
      <c r="T212" s="94"/>
      <c r="U212" s="95"/>
    </row>
    <row r="213" customFormat="false" ht="18.75" hidden="false" customHeight="true" outlineLevel="0" collapsed="false">
      <c r="A213" s="91"/>
      <c r="B213" s="92" t="s">
        <v>762</v>
      </c>
      <c r="C213" s="84" t="s">
        <v>771</v>
      </c>
      <c r="D213" s="96" t="s">
        <v>57</v>
      </c>
      <c r="E213" s="91"/>
      <c r="F213" s="86" t="n">
        <v>20</v>
      </c>
      <c r="G213" s="87" t="n">
        <v>15</v>
      </c>
      <c r="H213" s="93"/>
      <c r="I213" s="94"/>
      <c r="J213" s="95"/>
      <c r="K213" s="3"/>
      <c r="L213" s="91"/>
      <c r="M213" s="92" t="s">
        <v>762</v>
      </c>
      <c r="N213" s="84" t="s">
        <v>771</v>
      </c>
      <c r="O213" s="96" t="s">
        <v>57</v>
      </c>
      <c r="P213" s="91"/>
      <c r="Q213" s="86" t="n">
        <v>20</v>
      </c>
      <c r="R213" s="87" t="n">
        <v>15</v>
      </c>
      <c r="S213" s="93"/>
      <c r="T213" s="94"/>
      <c r="U213" s="95"/>
    </row>
    <row r="214" customFormat="false" ht="18.75" hidden="false" customHeight="true" outlineLevel="0" collapsed="false">
      <c r="A214" s="91"/>
      <c r="B214" s="92" t="s">
        <v>762</v>
      </c>
      <c r="C214" s="84" t="s">
        <v>772</v>
      </c>
      <c r="D214" s="96" t="s">
        <v>57</v>
      </c>
      <c r="E214" s="91"/>
      <c r="F214" s="86" t="n">
        <v>14</v>
      </c>
      <c r="G214" s="87" t="n">
        <v>16</v>
      </c>
      <c r="H214" s="93"/>
      <c r="I214" s="94"/>
      <c r="J214" s="95"/>
      <c r="K214" s="3"/>
      <c r="L214" s="91"/>
      <c r="M214" s="92" t="s">
        <v>762</v>
      </c>
      <c r="N214" s="84" t="s">
        <v>772</v>
      </c>
      <c r="O214" s="96" t="s">
        <v>57</v>
      </c>
      <c r="P214" s="91"/>
      <c r="Q214" s="86" t="n">
        <v>14</v>
      </c>
      <c r="R214" s="87" t="n">
        <v>16</v>
      </c>
      <c r="S214" s="93"/>
      <c r="T214" s="94"/>
      <c r="U214" s="95"/>
    </row>
    <row r="215" customFormat="false" ht="18.75" hidden="false" customHeight="true" outlineLevel="0" collapsed="false">
      <c r="A215" s="91"/>
      <c r="B215" s="92" t="s">
        <v>762</v>
      </c>
      <c r="C215" s="84" t="s">
        <v>773</v>
      </c>
      <c r="D215" s="96" t="s">
        <v>57</v>
      </c>
      <c r="E215" s="91"/>
      <c r="F215" s="86" t="n">
        <v>1</v>
      </c>
      <c r="G215" s="87" t="n">
        <v>21</v>
      </c>
      <c r="H215" s="93"/>
      <c r="I215" s="94"/>
      <c r="J215" s="95"/>
      <c r="K215" s="3"/>
      <c r="L215" s="91"/>
      <c r="M215" s="92" t="s">
        <v>762</v>
      </c>
      <c r="N215" s="84" t="s">
        <v>773</v>
      </c>
      <c r="O215" s="96" t="s">
        <v>57</v>
      </c>
      <c r="P215" s="91"/>
      <c r="Q215" s="86" t="n">
        <v>1</v>
      </c>
      <c r="R215" s="87" t="n">
        <v>21</v>
      </c>
      <c r="S215" s="93"/>
      <c r="T215" s="94"/>
      <c r="U215" s="95"/>
    </row>
    <row r="216" customFormat="false" ht="18.75" hidden="false" customHeight="true" outlineLevel="0" collapsed="false">
      <c r="A216" s="91"/>
      <c r="B216" s="92" t="s">
        <v>762</v>
      </c>
      <c r="C216" s="84" t="s">
        <v>774</v>
      </c>
      <c r="D216" s="96" t="s">
        <v>57</v>
      </c>
      <c r="E216" s="91"/>
      <c r="F216" s="86" t="n">
        <v>1</v>
      </c>
      <c r="G216" s="87" t="n">
        <v>12</v>
      </c>
      <c r="H216" s="93"/>
      <c r="I216" s="94"/>
      <c r="J216" s="95"/>
      <c r="K216" s="3"/>
      <c r="L216" s="91"/>
      <c r="M216" s="92" t="s">
        <v>762</v>
      </c>
      <c r="N216" s="84" t="s">
        <v>774</v>
      </c>
      <c r="O216" s="96" t="s">
        <v>57</v>
      </c>
      <c r="P216" s="91"/>
      <c r="Q216" s="86" t="n">
        <v>1</v>
      </c>
      <c r="R216" s="87" t="n">
        <v>12</v>
      </c>
      <c r="S216" s="93"/>
      <c r="T216" s="94"/>
      <c r="U216" s="95"/>
    </row>
    <row r="217" customFormat="false" ht="18.75" hidden="false" customHeight="true" outlineLevel="0" collapsed="false">
      <c r="A217" s="91"/>
      <c r="B217" s="92" t="s">
        <v>762</v>
      </c>
      <c r="C217" s="84" t="s">
        <v>775</v>
      </c>
      <c r="D217" s="96" t="s">
        <v>57</v>
      </c>
      <c r="E217" s="91"/>
      <c r="F217" s="86" t="n">
        <v>7</v>
      </c>
      <c r="G217" s="87" t="n">
        <v>16</v>
      </c>
      <c r="H217" s="93"/>
      <c r="I217" s="94"/>
      <c r="J217" s="95"/>
      <c r="K217" s="3"/>
      <c r="L217" s="91"/>
      <c r="M217" s="92" t="s">
        <v>762</v>
      </c>
      <c r="N217" s="84" t="s">
        <v>775</v>
      </c>
      <c r="O217" s="96" t="s">
        <v>57</v>
      </c>
      <c r="P217" s="91"/>
      <c r="Q217" s="86" t="n">
        <v>7</v>
      </c>
      <c r="R217" s="87" t="n">
        <v>16</v>
      </c>
      <c r="S217" s="93"/>
      <c r="T217" s="94"/>
      <c r="U217" s="95"/>
    </row>
    <row r="218" customFormat="false" ht="18.75" hidden="false" customHeight="true" outlineLevel="0" collapsed="false">
      <c r="A218" s="91"/>
      <c r="B218" s="92" t="s">
        <v>762</v>
      </c>
      <c r="C218" s="84" t="s">
        <v>776</v>
      </c>
      <c r="D218" s="96" t="s">
        <v>57</v>
      </c>
      <c r="E218" s="91"/>
      <c r="F218" s="86" t="n">
        <v>7</v>
      </c>
      <c r="G218" s="87" t="n">
        <v>16</v>
      </c>
      <c r="H218" s="93"/>
      <c r="I218" s="94"/>
      <c r="J218" s="95"/>
      <c r="K218" s="3"/>
      <c r="L218" s="91"/>
      <c r="M218" s="92" t="s">
        <v>762</v>
      </c>
      <c r="N218" s="84" t="s">
        <v>776</v>
      </c>
      <c r="O218" s="96" t="s">
        <v>57</v>
      </c>
      <c r="P218" s="91"/>
      <c r="Q218" s="86" t="n">
        <v>7</v>
      </c>
      <c r="R218" s="87" t="n">
        <v>16</v>
      </c>
      <c r="S218" s="93"/>
      <c r="T218" s="94"/>
      <c r="U218" s="95"/>
    </row>
    <row r="219" customFormat="false" ht="18.75" hidden="false" customHeight="true" outlineLevel="0" collapsed="false">
      <c r="A219" s="91"/>
      <c r="B219" s="92" t="s">
        <v>762</v>
      </c>
      <c r="C219" s="84" t="s">
        <v>777</v>
      </c>
      <c r="D219" s="96" t="s">
        <v>57</v>
      </c>
      <c r="E219" s="91"/>
      <c r="F219" s="86" t="n">
        <v>7</v>
      </c>
      <c r="G219" s="87" t="n">
        <v>16</v>
      </c>
      <c r="H219" s="93"/>
      <c r="I219" s="94"/>
      <c r="J219" s="95"/>
      <c r="K219" s="3"/>
      <c r="L219" s="91"/>
      <c r="M219" s="92" t="s">
        <v>762</v>
      </c>
      <c r="N219" s="84" t="s">
        <v>777</v>
      </c>
      <c r="O219" s="96" t="s">
        <v>57</v>
      </c>
      <c r="P219" s="91"/>
      <c r="Q219" s="86" t="n">
        <v>7</v>
      </c>
      <c r="R219" s="87" t="n">
        <v>16</v>
      </c>
      <c r="S219" s="93"/>
      <c r="T219" s="94"/>
      <c r="U219" s="95"/>
    </row>
    <row r="220" customFormat="false" ht="18.75" hidden="false" customHeight="true" outlineLevel="0" collapsed="false">
      <c r="A220" s="112"/>
      <c r="B220" s="112"/>
      <c r="C220" s="112"/>
      <c r="D220" s="112"/>
      <c r="E220" s="112"/>
      <c r="F220" s="112"/>
      <c r="G220" s="113" t="str">
        <f aca="false">IF(AND(E220&lt;&gt;"",F220&lt;&gt;""),E220*F220,"")</f>
        <v/>
      </c>
      <c r="H220" s="113" t="str">
        <f aca="false">IF(B220&lt;&gt;"",SUMIF(B:B,B220,G:G),"")</f>
        <v/>
      </c>
      <c r="I220" s="112"/>
      <c r="J220" s="114" t="str">
        <f aca="false">IF(AND(I220&lt;&gt;"",H220&lt;&gt;""),IFERROR((I220-H220)/I220,""),"")</f>
        <v/>
      </c>
      <c r="K220" s="3"/>
      <c r="L220" s="112"/>
      <c r="M220" s="112"/>
      <c r="N220" s="112"/>
      <c r="O220" s="112"/>
      <c r="P220" s="112"/>
      <c r="Q220" s="112"/>
      <c r="R220" s="113" t="str">
        <f aca="false">IF(AND(P220&lt;&gt;"",Q220&lt;&gt;""),P220*Q220,"")</f>
        <v/>
      </c>
      <c r="S220" s="113" t="str">
        <f aca="false">IF(M220&lt;&gt;"",SUMIF(M:M,M220,R:R),"")</f>
        <v/>
      </c>
      <c r="T220" s="113" t="str">
        <f aca="false">IF(I220&lt;&gt;"",I220,"")</f>
        <v/>
      </c>
      <c r="U220" s="114" t="str">
        <f aca="false">IF(AND(T220&lt;&gt;"",S220&lt;&gt;""),IFERROR((T220-S220)/T220,""),"")</f>
        <v/>
      </c>
    </row>
    <row r="221" customFormat="false" ht="18.75" hidden="false" customHeight="true" outlineLevel="0" collapsed="false">
      <c r="A221" s="109"/>
      <c r="B221" s="109"/>
      <c r="C221" s="109"/>
      <c r="D221" s="109"/>
      <c r="E221" s="109"/>
      <c r="F221" s="109"/>
      <c r="G221" s="110" t="str">
        <f aca="false">IF(AND(E221&lt;&gt;"",F221&lt;&gt;""),E221*F221,"")</f>
        <v/>
      </c>
      <c r="H221" s="110" t="str">
        <f aca="false">IF(B221&lt;&gt;"",SUMIF(B:B,B221,G:G),"")</f>
        <v/>
      </c>
      <c r="I221" s="109"/>
      <c r="J221" s="111" t="str">
        <f aca="false">IF(AND(I221&lt;&gt;"",H221&lt;&gt;""),IFERROR((I221-H221)/I221,""),"")</f>
        <v/>
      </c>
      <c r="K221" s="3"/>
      <c r="L221" s="109"/>
      <c r="M221" s="109"/>
      <c r="N221" s="109"/>
      <c r="O221" s="109"/>
      <c r="P221" s="109"/>
      <c r="Q221" s="109"/>
      <c r="R221" s="110" t="str">
        <f aca="false">IF(AND(P221&lt;&gt;"",Q221&lt;&gt;""),P221*Q221,"")</f>
        <v/>
      </c>
      <c r="S221" s="110" t="str">
        <f aca="false">IF(M221&lt;&gt;"",SUMIF(M:M,M221,R:R),"")</f>
        <v/>
      </c>
      <c r="T221" s="110" t="str">
        <f aca="false">IF(I221&lt;&gt;"",I221,"")</f>
        <v/>
      </c>
      <c r="U221" s="111" t="str">
        <f aca="false">IF(AND(T221&lt;&gt;"",S221&lt;&gt;""),IFERROR((T221-S221)/T221,""),"")</f>
        <v/>
      </c>
    </row>
    <row r="222" customFormat="false" ht="18.75" hidden="false" customHeight="true" outlineLevel="0" collapsed="false">
      <c r="A222" s="112"/>
      <c r="B222" s="112"/>
      <c r="C222" s="112"/>
      <c r="D222" s="112"/>
      <c r="E222" s="112"/>
      <c r="F222" s="112"/>
      <c r="G222" s="113" t="str">
        <f aca="false">IF(AND(E222&lt;&gt;"",F222&lt;&gt;""),E222*F222,"")</f>
        <v/>
      </c>
      <c r="H222" s="113" t="str">
        <f aca="false">IF(B222&lt;&gt;"",SUMIF(B:B,B222,G:G),"")</f>
        <v/>
      </c>
      <c r="I222" s="112"/>
      <c r="J222" s="114" t="str">
        <f aca="false">IF(AND(I222&lt;&gt;"",H222&lt;&gt;""),IFERROR((I222-H222)/I222,""),"")</f>
        <v/>
      </c>
      <c r="K222" s="3"/>
      <c r="L222" s="112"/>
      <c r="M222" s="112"/>
      <c r="N222" s="112"/>
      <c r="O222" s="112"/>
      <c r="P222" s="112"/>
      <c r="Q222" s="112"/>
      <c r="R222" s="113" t="str">
        <f aca="false">IF(AND(P222&lt;&gt;"",Q222&lt;&gt;""),P222*Q222,"")</f>
        <v/>
      </c>
      <c r="S222" s="113" t="str">
        <f aca="false">IF(M222&lt;&gt;"",SUMIF(M:M,M222,R:R),"")</f>
        <v/>
      </c>
      <c r="T222" s="113" t="str">
        <f aca="false">IF(I222&lt;&gt;"",I222,"")</f>
        <v/>
      </c>
      <c r="U222" s="114" t="str">
        <f aca="false">IF(AND(T222&lt;&gt;"",S222&lt;&gt;""),IFERROR((T222-S222)/T222,""),"")</f>
        <v/>
      </c>
    </row>
    <row r="223" customFormat="false" ht="18.75" hidden="false" customHeight="true" outlineLevel="0" collapsed="false">
      <c r="A223" s="109"/>
      <c r="B223" s="109"/>
      <c r="C223" s="109"/>
      <c r="D223" s="109"/>
      <c r="E223" s="109"/>
      <c r="F223" s="109"/>
      <c r="G223" s="110" t="str">
        <f aca="false">IF(AND(E223&lt;&gt;"",F223&lt;&gt;""),E223*F223,"")</f>
        <v/>
      </c>
      <c r="H223" s="110" t="str">
        <f aca="false">IF(B223&lt;&gt;"",SUMIF(B:B,B223,G:G),"")</f>
        <v/>
      </c>
      <c r="I223" s="109"/>
      <c r="J223" s="111" t="str">
        <f aca="false">IF(AND(I223&lt;&gt;"",H223&lt;&gt;""),IFERROR((I223-H223)/I223,""),"")</f>
        <v/>
      </c>
      <c r="K223" s="3"/>
      <c r="L223" s="109"/>
      <c r="M223" s="109"/>
      <c r="N223" s="109"/>
      <c r="O223" s="109"/>
      <c r="P223" s="109"/>
      <c r="Q223" s="109"/>
      <c r="R223" s="110" t="str">
        <f aca="false">IF(AND(P223&lt;&gt;"",Q223&lt;&gt;""),P223*Q223,"")</f>
        <v/>
      </c>
      <c r="S223" s="110" t="str">
        <f aca="false">IF(M223&lt;&gt;"",SUMIF(M:M,M223,R:R),"")</f>
        <v/>
      </c>
      <c r="T223" s="110" t="str">
        <f aca="false">IF(I223&lt;&gt;"",I223,"")</f>
        <v/>
      </c>
      <c r="U223" s="111" t="str">
        <f aca="false">IF(AND(T223&lt;&gt;"",S223&lt;&gt;""),IFERROR((T223-S223)/T223,""),"")</f>
        <v/>
      </c>
    </row>
    <row r="224" customFormat="false" ht="18.75" hidden="false" customHeight="true" outlineLevel="0" collapsed="false">
      <c r="A224" s="112"/>
      <c r="B224" s="112"/>
      <c r="C224" s="112"/>
      <c r="D224" s="112"/>
      <c r="E224" s="112"/>
      <c r="F224" s="112"/>
      <c r="G224" s="113" t="str">
        <f aca="false">IF(AND(E224&lt;&gt;"",F224&lt;&gt;""),E224*F224,"")</f>
        <v/>
      </c>
      <c r="H224" s="113" t="str">
        <f aca="false">IF(B224&lt;&gt;"",SUMIF(B:B,B224,G:G),"")</f>
        <v/>
      </c>
      <c r="I224" s="112"/>
      <c r="J224" s="114" t="str">
        <f aca="false">IF(AND(I224&lt;&gt;"",H224&lt;&gt;""),IFERROR((I224-H224)/I224,""),"")</f>
        <v/>
      </c>
      <c r="K224" s="3"/>
      <c r="L224" s="112"/>
      <c r="M224" s="112"/>
      <c r="N224" s="112"/>
      <c r="O224" s="112"/>
      <c r="P224" s="112"/>
      <c r="Q224" s="112"/>
      <c r="R224" s="113" t="str">
        <f aca="false">IF(AND(P224&lt;&gt;"",Q224&lt;&gt;""),P224*Q224,"")</f>
        <v/>
      </c>
      <c r="S224" s="113" t="str">
        <f aca="false">IF(M224&lt;&gt;"",SUMIF(M:M,M224,R:R),"")</f>
        <v/>
      </c>
      <c r="T224" s="113" t="str">
        <f aca="false">IF(I224&lt;&gt;"",I224,"")</f>
        <v/>
      </c>
      <c r="U224" s="114" t="str">
        <f aca="false">IF(AND(T224&lt;&gt;"",S224&lt;&gt;""),IFERROR((T224-S224)/T224,""),"")</f>
        <v/>
      </c>
    </row>
    <row r="225" customFormat="false" ht="18.75" hidden="false" customHeight="true" outlineLevel="0" collapsed="false">
      <c r="A225" s="109"/>
      <c r="B225" s="109"/>
      <c r="C225" s="109"/>
      <c r="D225" s="109"/>
      <c r="E225" s="109"/>
      <c r="F225" s="109"/>
      <c r="G225" s="110" t="str">
        <f aca="false">IF(AND(E225&lt;&gt;"",F225&lt;&gt;""),E225*F225,"")</f>
        <v/>
      </c>
      <c r="H225" s="110" t="str">
        <f aca="false">IF(B225&lt;&gt;"",SUMIF(B:B,B225,G:G),"")</f>
        <v/>
      </c>
      <c r="I225" s="109"/>
      <c r="J225" s="111" t="str">
        <f aca="false">IF(AND(I225&lt;&gt;"",H225&lt;&gt;""),IFERROR((I225-H225)/I225,""),"")</f>
        <v/>
      </c>
      <c r="K225" s="3"/>
      <c r="L225" s="109"/>
      <c r="M225" s="109"/>
      <c r="N225" s="109"/>
      <c r="O225" s="109"/>
      <c r="P225" s="109"/>
      <c r="Q225" s="109"/>
      <c r="R225" s="110" t="str">
        <f aca="false">IF(AND(P225&lt;&gt;"",Q225&lt;&gt;""),P225*Q225,"")</f>
        <v/>
      </c>
      <c r="S225" s="110" t="str">
        <f aca="false">IF(M225&lt;&gt;"",SUMIF(M:M,M225,R:R),"")</f>
        <v/>
      </c>
      <c r="T225" s="110" t="str">
        <f aca="false">IF(I225&lt;&gt;"",I225,"")</f>
        <v/>
      </c>
      <c r="U225" s="111" t="str">
        <f aca="false">IF(AND(T225&lt;&gt;"",S225&lt;&gt;""),IFERROR((T225-S225)/T225,""),"")</f>
        <v/>
      </c>
    </row>
    <row r="226" customFormat="false" ht="18.75" hidden="false" customHeight="true" outlineLevel="0" collapsed="false">
      <c r="A226" s="112"/>
      <c r="B226" s="112"/>
      <c r="C226" s="112"/>
      <c r="D226" s="112"/>
      <c r="E226" s="112"/>
      <c r="F226" s="112"/>
      <c r="G226" s="113" t="str">
        <f aca="false">IF(AND(E226&lt;&gt;"",F226&lt;&gt;""),E226*F226,"")</f>
        <v/>
      </c>
      <c r="H226" s="113" t="str">
        <f aca="false">IF(B226&lt;&gt;"",SUMIF(B:B,B226,G:G),"")</f>
        <v/>
      </c>
      <c r="I226" s="112"/>
      <c r="J226" s="114" t="str">
        <f aca="false">IF(AND(I226&lt;&gt;"",H226&lt;&gt;""),IFERROR((I226-H226)/I226,""),"")</f>
        <v/>
      </c>
      <c r="K226" s="3"/>
      <c r="L226" s="112"/>
      <c r="M226" s="112"/>
      <c r="N226" s="112"/>
      <c r="O226" s="112"/>
      <c r="P226" s="112"/>
      <c r="Q226" s="112"/>
      <c r="R226" s="113" t="str">
        <f aca="false">IF(AND(P226&lt;&gt;"",Q226&lt;&gt;""),P226*Q226,"")</f>
        <v/>
      </c>
      <c r="S226" s="113" t="str">
        <f aca="false">IF(M226&lt;&gt;"",SUMIF(M:M,M226,R:R),"")</f>
        <v/>
      </c>
      <c r="T226" s="113" t="str">
        <f aca="false">IF(I226&lt;&gt;"",I226,"")</f>
        <v/>
      </c>
      <c r="U226" s="114" t="str">
        <f aca="false">IF(AND(T226&lt;&gt;"",S226&lt;&gt;""),IFERROR((T226-S226)/T226,""),"")</f>
        <v/>
      </c>
    </row>
    <row r="227" customFormat="false" ht="18.75" hidden="false" customHeight="true" outlineLevel="0" collapsed="false">
      <c r="A227" s="109"/>
      <c r="B227" s="109"/>
      <c r="C227" s="109"/>
      <c r="D227" s="109"/>
      <c r="E227" s="109"/>
      <c r="F227" s="109"/>
      <c r="G227" s="110" t="str">
        <f aca="false">IF(AND(E227&lt;&gt;"",F227&lt;&gt;""),E227*F227,"")</f>
        <v/>
      </c>
      <c r="H227" s="110" t="str">
        <f aca="false">IF(B227&lt;&gt;"",SUMIF(B:B,B227,G:G),"")</f>
        <v/>
      </c>
      <c r="I227" s="109"/>
      <c r="J227" s="111" t="str">
        <f aca="false">IF(AND(I227&lt;&gt;"",H227&lt;&gt;""),IFERROR((I227-H227)/I227,""),"")</f>
        <v/>
      </c>
      <c r="K227" s="3"/>
      <c r="L227" s="109"/>
      <c r="M227" s="109"/>
      <c r="N227" s="109"/>
      <c r="O227" s="109"/>
      <c r="P227" s="109"/>
      <c r="Q227" s="109"/>
      <c r="R227" s="110" t="str">
        <f aca="false">IF(AND(P227&lt;&gt;"",Q227&lt;&gt;""),P227*Q227,"")</f>
        <v/>
      </c>
      <c r="S227" s="110" t="str">
        <f aca="false">IF(M227&lt;&gt;"",SUMIF(M:M,M227,R:R),"")</f>
        <v/>
      </c>
      <c r="T227" s="110" t="str">
        <f aca="false">IF(I227&lt;&gt;"",I227,"")</f>
        <v/>
      </c>
      <c r="U227" s="111" t="str">
        <f aca="false">IF(AND(T227&lt;&gt;"",S227&lt;&gt;""),IFERROR((T227-S227)/T227,""),"")</f>
        <v/>
      </c>
    </row>
    <row r="228" customFormat="false" ht="18.75" hidden="false" customHeight="true" outlineLevel="0" collapsed="false">
      <c r="A228" s="112"/>
      <c r="B228" s="112"/>
      <c r="C228" s="112"/>
      <c r="D228" s="112"/>
      <c r="E228" s="112"/>
      <c r="F228" s="112"/>
      <c r="G228" s="113" t="str">
        <f aca="false">IF(AND(E228&lt;&gt;"",F228&lt;&gt;""),E228*F228,"")</f>
        <v/>
      </c>
      <c r="H228" s="113" t="str">
        <f aca="false">IF(B228&lt;&gt;"",SUMIF(B:B,B228,G:G),"")</f>
        <v/>
      </c>
      <c r="I228" s="112"/>
      <c r="J228" s="114" t="str">
        <f aca="false">IF(AND(I228&lt;&gt;"",H228&lt;&gt;""),IFERROR((I228-H228)/I228,""),"")</f>
        <v/>
      </c>
      <c r="K228" s="3"/>
      <c r="L228" s="112"/>
      <c r="M228" s="112"/>
      <c r="N228" s="112"/>
      <c r="O228" s="112"/>
      <c r="P228" s="112"/>
      <c r="Q228" s="112"/>
      <c r="R228" s="113" t="str">
        <f aca="false">IF(AND(P228&lt;&gt;"",Q228&lt;&gt;""),P228*Q228,"")</f>
        <v/>
      </c>
      <c r="S228" s="113" t="str">
        <f aca="false">IF(M228&lt;&gt;"",SUMIF(M:M,M228,R:R),"")</f>
        <v/>
      </c>
      <c r="T228" s="113" t="str">
        <f aca="false">IF(I228&lt;&gt;"",I228,"")</f>
        <v/>
      </c>
      <c r="U228" s="114" t="str">
        <f aca="false">IF(AND(T228&lt;&gt;"",S228&lt;&gt;""),IFERROR((T228-S228)/T228,""),"")</f>
        <v/>
      </c>
    </row>
    <row r="229" customFormat="false" ht="18.75" hidden="false" customHeight="true" outlineLevel="0" collapsed="false">
      <c r="A229" s="109"/>
      <c r="B229" s="109"/>
      <c r="C229" s="109"/>
      <c r="D229" s="109"/>
      <c r="E229" s="109"/>
      <c r="F229" s="109"/>
      <c r="G229" s="110" t="str">
        <f aca="false">IF(AND(E229&lt;&gt;"",F229&lt;&gt;""),E229*F229,"")</f>
        <v/>
      </c>
      <c r="H229" s="110" t="str">
        <f aca="false">IF(B229&lt;&gt;"",SUMIF(B:B,B229,G:G),"")</f>
        <v/>
      </c>
      <c r="I229" s="109"/>
      <c r="J229" s="111" t="str">
        <f aca="false">IF(AND(I229&lt;&gt;"",H229&lt;&gt;""),IFERROR((I229-H229)/I229,""),"")</f>
        <v/>
      </c>
      <c r="K229" s="3"/>
      <c r="L229" s="109"/>
      <c r="M229" s="109"/>
      <c r="N229" s="109"/>
      <c r="O229" s="109"/>
      <c r="P229" s="109"/>
      <c r="Q229" s="109"/>
      <c r="R229" s="110" t="str">
        <f aca="false">IF(AND(P229&lt;&gt;"",Q229&lt;&gt;""),P229*Q229,"")</f>
        <v/>
      </c>
      <c r="S229" s="110" t="str">
        <f aca="false">IF(M229&lt;&gt;"",SUMIF(M:M,M229,R:R),"")</f>
        <v/>
      </c>
      <c r="T229" s="110" t="str">
        <f aca="false">IF(I229&lt;&gt;"",I229,"")</f>
        <v/>
      </c>
      <c r="U229" s="111" t="str">
        <f aca="false">IF(AND(T229&lt;&gt;"",S229&lt;&gt;""),IFERROR((T229-S229)/T229,""),"")</f>
        <v/>
      </c>
    </row>
    <row r="230" customFormat="false" ht="18.75" hidden="false" customHeight="true" outlineLevel="0" collapsed="false">
      <c r="A230" s="112"/>
      <c r="B230" s="112"/>
      <c r="C230" s="112"/>
      <c r="D230" s="112"/>
      <c r="E230" s="112"/>
      <c r="F230" s="112"/>
      <c r="G230" s="113" t="str">
        <f aca="false">IF(AND(E230&lt;&gt;"",F230&lt;&gt;""),E230*F230,"")</f>
        <v/>
      </c>
      <c r="H230" s="113" t="str">
        <f aca="false">IF(B230&lt;&gt;"",SUMIF(B:B,B230,G:G),"")</f>
        <v/>
      </c>
      <c r="I230" s="112"/>
      <c r="J230" s="114" t="str">
        <f aca="false">IF(AND(I230&lt;&gt;"",H230&lt;&gt;""),IFERROR((I230-H230)/I230,""),"")</f>
        <v/>
      </c>
      <c r="K230" s="3"/>
      <c r="L230" s="112"/>
      <c r="M230" s="112"/>
      <c r="N230" s="112"/>
      <c r="O230" s="112"/>
      <c r="P230" s="112"/>
      <c r="Q230" s="112"/>
      <c r="R230" s="113" t="str">
        <f aca="false">IF(AND(P230&lt;&gt;"",Q230&lt;&gt;""),P230*Q230,"")</f>
        <v/>
      </c>
      <c r="S230" s="113" t="str">
        <f aca="false">IF(M230&lt;&gt;"",SUMIF(M:M,M230,R:R),"")</f>
        <v/>
      </c>
      <c r="T230" s="113" t="str">
        <f aca="false">IF(I230&lt;&gt;"",I230,"")</f>
        <v/>
      </c>
      <c r="U230" s="114" t="str">
        <f aca="false">IF(AND(T230&lt;&gt;"",S230&lt;&gt;""),IFERROR((T230-S230)/T230,""),"")</f>
        <v/>
      </c>
    </row>
    <row r="231" customFormat="false" ht="18.75" hidden="false" customHeight="true" outlineLevel="0" collapsed="false">
      <c r="A231" s="109"/>
      <c r="B231" s="109"/>
      <c r="C231" s="109"/>
      <c r="D231" s="109"/>
      <c r="E231" s="109"/>
      <c r="F231" s="109"/>
      <c r="G231" s="110" t="str">
        <f aca="false">IF(AND(E231&lt;&gt;"",F231&lt;&gt;""),E231*F231,"")</f>
        <v/>
      </c>
      <c r="H231" s="110" t="str">
        <f aca="false">IF(B231&lt;&gt;"",SUMIF(B:B,B231,G:G),"")</f>
        <v/>
      </c>
      <c r="I231" s="109"/>
      <c r="J231" s="111" t="str">
        <f aca="false">IF(AND(I231&lt;&gt;"",H231&lt;&gt;""),IFERROR((I231-H231)/I231,""),"")</f>
        <v/>
      </c>
      <c r="K231" s="3"/>
      <c r="L231" s="109"/>
      <c r="M231" s="109"/>
      <c r="N231" s="109"/>
      <c r="O231" s="109"/>
      <c r="P231" s="109"/>
      <c r="Q231" s="109"/>
      <c r="R231" s="110" t="str">
        <f aca="false">IF(AND(P231&lt;&gt;"",Q231&lt;&gt;""),P231*Q231,"")</f>
        <v/>
      </c>
      <c r="S231" s="110" t="str">
        <f aca="false">IF(M231&lt;&gt;"",SUMIF(M:M,M231,R:R),"")</f>
        <v/>
      </c>
      <c r="T231" s="110" t="str">
        <f aca="false">IF(I231&lt;&gt;"",I231,"")</f>
        <v/>
      </c>
      <c r="U231" s="111" t="str">
        <f aca="false">IF(AND(T231&lt;&gt;"",S231&lt;&gt;""),IFERROR((T231-S231)/T231,""),"")</f>
        <v/>
      </c>
    </row>
    <row r="232" customFormat="false" ht="18.75" hidden="false" customHeight="true" outlineLevel="0" collapsed="false">
      <c r="A232" s="112"/>
      <c r="B232" s="112"/>
      <c r="C232" s="112"/>
      <c r="D232" s="112"/>
      <c r="E232" s="112"/>
      <c r="F232" s="112"/>
      <c r="G232" s="113" t="str">
        <f aca="false">IF(AND(E232&lt;&gt;"",F232&lt;&gt;""),E232*F232,"")</f>
        <v/>
      </c>
      <c r="H232" s="113" t="str">
        <f aca="false">IF(B232&lt;&gt;"",SUMIF(B:B,B232,G:G),"")</f>
        <v/>
      </c>
      <c r="I232" s="112"/>
      <c r="J232" s="114" t="str">
        <f aca="false">IF(AND(I232&lt;&gt;"",H232&lt;&gt;""),IFERROR((I232-H232)/I232,""),"")</f>
        <v/>
      </c>
      <c r="K232" s="3"/>
      <c r="L232" s="112"/>
      <c r="M232" s="112"/>
      <c r="N232" s="112"/>
      <c r="O232" s="112"/>
      <c r="P232" s="112"/>
      <c r="Q232" s="112"/>
      <c r="R232" s="113" t="str">
        <f aca="false">IF(AND(P232&lt;&gt;"",Q232&lt;&gt;""),P232*Q232,"")</f>
        <v/>
      </c>
      <c r="S232" s="113" t="str">
        <f aca="false">IF(M232&lt;&gt;"",SUMIF(M:M,M232,R:R),"")</f>
        <v/>
      </c>
      <c r="T232" s="113" t="str">
        <f aca="false">IF(I232&lt;&gt;"",I232,"")</f>
        <v/>
      </c>
      <c r="U232" s="114" t="str">
        <f aca="false">IF(AND(T232&lt;&gt;"",S232&lt;&gt;""),IFERROR((T232-S232)/T232,""),"")</f>
        <v/>
      </c>
    </row>
    <row r="233" customFormat="false" ht="18.75" hidden="false" customHeight="true" outlineLevel="0" collapsed="false">
      <c r="A233" s="109"/>
      <c r="B233" s="109"/>
      <c r="C233" s="109"/>
      <c r="D233" s="109"/>
      <c r="E233" s="109"/>
      <c r="F233" s="109"/>
      <c r="G233" s="110" t="str">
        <f aca="false">IF(AND(E233&lt;&gt;"",F233&lt;&gt;""),E233*F233,"")</f>
        <v/>
      </c>
      <c r="H233" s="110" t="str">
        <f aca="false">IF(B233&lt;&gt;"",SUMIF(B:B,B233,G:G),"")</f>
        <v/>
      </c>
      <c r="I233" s="109"/>
      <c r="J233" s="111" t="str">
        <f aca="false">IF(AND(I233&lt;&gt;"",H233&lt;&gt;""),IFERROR((I233-H233)/I233,""),"")</f>
        <v/>
      </c>
      <c r="K233" s="3"/>
      <c r="L233" s="109"/>
      <c r="M233" s="109"/>
      <c r="N233" s="109"/>
      <c r="O233" s="109"/>
      <c r="P233" s="109"/>
      <c r="Q233" s="109"/>
      <c r="R233" s="110" t="str">
        <f aca="false">IF(AND(P233&lt;&gt;"",Q233&lt;&gt;""),P233*Q233,"")</f>
        <v/>
      </c>
      <c r="S233" s="110" t="str">
        <f aca="false">IF(M233&lt;&gt;"",SUMIF(M:M,M233,R:R),"")</f>
        <v/>
      </c>
      <c r="T233" s="110" t="str">
        <f aca="false">IF(I233&lt;&gt;"",I233,"")</f>
        <v/>
      </c>
      <c r="U233" s="111" t="str">
        <f aca="false">IF(AND(T233&lt;&gt;"",S233&lt;&gt;""),IFERROR((T233-S233)/T233,""),"")</f>
        <v/>
      </c>
    </row>
    <row r="234" customFormat="false" ht="18.75" hidden="false" customHeight="true" outlineLevel="0" collapsed="false">
      <c r="A234" s="112"/>
      <c r="B234" s="112"/>
      <c r="C234" s="112"/>
      <c r="D234" s="112"/>
      <c r="E234" s="112"/>
      <c r="F234" s="112"/>
      <c r="G234" s="113" t="str">
        <f aca="false">IF(AND(E234&lt;&gt;"",F234&lt;&gt;""),E234*F234,"")</f>
        <v/>
      </c>
      <c r="H234" s="113" t="str">
        <f aca="false">IF(B234&lt;&gt;"",SUMIF(B:B,B234,G:G),"")</f>
        <v/>
      </c>
      <c r="I234" s="112"/>
      <c r="J234" s="114" t="str">
        <f aca="false">IF(AND(I234&lt;&gt;"",H234&lt;&gt;""),IFERROR((I234-H234)/I234,""),"")</f>
        <v/>
      </c>
      <c r="K234" s="3"/>
      <c r="L234" s="112"/>
      <c r="M234" s="112"/>
      <c r="N234" s="112"/>
      <c r="O234" s="112"/>
      <c r="P234" s="112"/>
      <c r="Q234" s="112"/>
      <c r="R234" s="113" t="str">
        <f aca="false">IF(AND(P234&lt;&gt;"",Q234&lt;&gt;""),P234*Q234,"")</f>
        <v/>
      </c>
      <c r="S234" s="113" t="str">
        <f aca="false">IF(M234&lt;&gt;"",SUMIF(M:M,M234,R:R),"")</f>
        <v/>
      </c>
      <c r="T234" s="113" t="str">
        <f aca="false">IF(I234&lt;&gt;"",I234,"")</f>
        <v/>
      </c>
      <c r="U234" s="114" t="str">
        <f aca="false">IF(AND(T234&lt;&gt;"",S234&lt;&gt;""),IFERROR((T234-S234)/T234,""),"")</f>
        <v/>
      </c>
    </row>
    <row r="235" customFormat="false" ht="18.75" hidden="false" customHeight="true" outlineLevel="0" collapsed="false">
      <c r="A235" s="109"/>
      <c r="B235" s="109"/>
      <c r="C235" s="109"/>
      <c r="D235" s="109"/>
      <c r="E235" s="109"/>
      <c r="F235" s="109"/>
      <c r="G235" s="110" t="str">
        <f aca="false">IF(AND(E235&lt;&gt;"",F235&lt;&gt;""),E235*F235,"")</f>
        <v/>
      </c>
      <c r="H235" s="110" t="str">
        <f aca="false">IF(B235&lt;&gt;"",SUMIF(B:B,B235,G:G),"")</f>
        <v/>
      </c>
      <c r="I235" s="109"/>
      <c r="J235" s="111" t="str">
        <f aca="false">IF(AND(I235&lt;&gt;"",H235&lt;&gt;""),IFERROR((I235-H235)/I235,""),"")</f>
        <v/>
      </c>
      <c r="K235" s="3"/>
      <c r="L235" s="109"/>
      <c r="M235" s="109"/>
      <c r="N235" s="109"/>
      <c r="O235" s="109"/>
      <c r="P235" s="109"/>
      <c r="Q235" s="109"/>
      <c r="R235" s="110" t="str">
        <f aca="false">IF(AND(P235&lt;&gt;"",Q235&lt;&gt;""),P235*Q235,"")</f>
        <v/>
      </c>
      <c r="S235" s="110" t="str">
        <f aca="false">IF(M235&lt;&gt;"",SUMIF(M:M,M235,R:R),"")</f>
        <v/>
      </c>
      <c r="T235" s="110" t="str">
        <f aca="false">IF(I235&lt;&gt;"",I235,"")</f>
        <v/>
      </c>
      <c r="U235" s="111" t="str">
        <f aca="false">IF(AND(T235&lt;&gt;"",S235&lt;&gt;""),IFERROR((T235-S235)/T235,""),"")</f>
        <v/>
      </c>
    </row>
    <row r="236" customFormat="false" ht="18.75" hidden="false" customHeight="true" outlineLevel="0" collapsed="false">
      <c r="A236" s="112"/>
      <c r="B236" s="112"/>
      <c r="C236" s="112"/>
      <c r="D236" s="112"/>
      <c r="E236" s="112"/>
      <c r="F236" s="112"/>
      <c r="G236" s="113" t="str">
        <f aca="false">IF(AND(E236&lt;&gt;"",F236&lt;&gt;""),E236*F236,"")</f>
        <v/>
      </c>
      <c r="H236" s="113" t="str">
        <f aca="false">IF(B236&lt;&gt;"",SUMIF(B:B,B236,G:G),"")</f>
        <v/>
      </c>
      <c r="I236" s="112"/>
      <c r="J236" s="114" t="str">
        <f aca="false">IF(AND(I236&lt;&gt;"",H236&lt;&gt;""),IFERROR((I236-H236)/I236,""),"")</f>
        <v/>
      </c>
      <c r="K236" s="3"/>
      <c r="L236" s="112"/>
      <c r="M236" s="112"/>
      <c r="N236" s="112"/>
      <c r="O236" s="112"/>
      <c r="P236" s="112"/>
      <c r="Q236" s="112"/>
      <c r="R236" s="113" t="str">
        <f aca="false">IF(AND(P236&lt;&gt;"",Q236&lt;&gt;""),P236*Q236,"")</f>
        <v/>
      </c>
      <c r="S236" s="113" t="str">
        <f aca="false">IF(M236&lt;&gt;"",SUMIF(M:M,M236,R:R),"")</f>
        <v/>
      </c>
      <c r="T236" s="113" t="str">
        <f aca="false">IF(I236&lt;&gt;"",I236,"")</f>
        <v/>
      </c>
      <c r="U236" s="114" t="str">
        <f aca="false">IF(AND(T236&lt;&gt;"",S236&lt;&gt;""),IFERROR((T236-S236)/T236,""),"")</f>
        <v/>
      </c>
    </row>
    <row r="237" customFormat="false" ht="18.75" hidden="false" customHeight="true" outlineLevel="0" collapsed="false">
      <c r="A237" s="109"/>
      <c r="B237" s="109"/>
      <c r="C237" s="109"/>
      <c r="D237" s="109"/>
      <c r="E237" s="109"/>
      <c r="F237" s="109"/>
      <c r="G237" s="110" t="str">
        <f aca="false">IF(AND(E237&lt;&gt;"",F237&lt;&gt;""),E237*F237,"")</f>
        <v/>
      </c>
      <c r="H237" s="110" t="str">
        <f aca="false">IF(B237&lt;&gt;"",SUMIF(B:B,B237,G:G),"")</f>
        <v/>
      </c>
      <c r="I237" s="109"/>
      <c r="J237" s="111" t="str">
        <f aca="false">IF(AND(I237&lt;&gt;"",H237&lt;&gt;""),IFERROR((I237-H237)/I237,""),"")</f>
        <v/>
      </c>
      <c r="K237" s="3"/>
      <c r="L237" s="109"/>
      <c r="M237" s="109"/>
      <c r="N237" s="109"/>
      <c r="O237" s="109"/>
      <c r="P237" s="109"/>
      <c r="Q237" s="109"/>
      <c r="R237" s="110" t="str">
        <f aca="false">IF(AND(P237&lt;&gt;"",Q237&lt;&gt;""),P237*Q237,"")</f>
        <v/>
      </c>
      <c r="S237" s="110" t="str">
        <f aca="false">IF(M237&lt;&gt;"",SUMIF(M:M,M237,R:R),"")</f>
        <v/>
      </c>
      <c r="T237" s="110" t="str">
        <f aca="false">IF(I237&lt;&gt;"",I237,"")</f>
        <v/>
      </c>
      <c r="U237" s="111" t="str">
        <f aca="false">IF(AND(T237&lt;&gt;"",S237&lt;&gt;""),IFERROR((T237-S237)/T237,""),"")</f>
        <v/>
      </c>
    </row>
    <row r="238" customFormat="false" ht="18.75" hidden="false" customHeight="true" outlineLevel="0" collapsed="false">
      <c r="A238" s="112"/>
      <c r="B238" s="112"/>
      <c r="C238" s="112"/>
      <c r="D238" s="112"/>
      <c r="E238" s="112"/>
      <c r="F238" s="112"/>
      <c r="G238" s="113" t="str">
        <f aca="false">IF(AND(E238&lt;&gt;"",F238&lt;&gt;""),E238*F238,"")</f>
        <v/>
      </c>
      <c r="H238" s="113" t="str">
        <f aca="false">IF(B238&lt;&gt;"",SUMIF(B:B,B238,G:G),"")</f>
        <v/>
      </c>
      <c r="I238" s="112"/>
      <c r="J238" s="114" t="str">
        <f aca="false">IF(AND(I238&lt;&gt;"",H238&lt;&gt;""),IFERROR((I238-H238)/I238,""),"")</f>
        <v/>
      </c>
      <c r="K238" s="3"/>
      <c r="L238" s="112"/>
      <c r="M238" s="112"/>
      <c r="N238" s="112"/>
      <c r="O238" s="112"/>
      <c r="P238" s="112"/>
      <c r="Q238" s="112"/>
      <c r="R238" s="113" t="str">
        <f aca="false">IF(AND(P238&lt;&gt;"",Q238&lt;&gt;""),P238*Q238,"")</f>
        <v/>
      </c>
      <c r="S238" s="113" t="str">
        <f aca="false">IF(M238&lt;&gt;"",SUMIF(M:M,M238,R:R),"")</f>
        <v/>
      </c>
      <c r="T238" s="113" t="str">
        <f aca="false">IF(I238&lt;&gt;"",I238,"")</f>
        <v/>
      </c>
      <c r="U238" s="114" t="str">
        <f aca="false">IF(AND(T238&lt;&gt;"",S238&lt;&gt;""),IFERROR((T238-S238)/T238,""),"")</f>
        <v/>
      </c>
    </row>
    <row r="239" customFormat="false" ht="18.75" hidden="false" customHeight="true" outlineLevel="0" collapsed="false">
      <c r="A239" s="109"/>
      <c r="B239" s="109"/>
      <c r="C239" s="109"/>
      <c r="D239" s="109"/>
      <c r="E239" s="109"/>
      <c r="F239" s="109"/>
      <c r="G239" s="110" t="str">
        <f aca="false">IF(AND(E239&lt;&gt;"",F239&lt;&gt;""),E239*F239,"")</f>
        <v/>
      </c>
      <c r="H239" s="110" t="str">
        <f aca="false">IF(B239&lt;&gt;"",SUMIF(B:B,B239,G:G),"")</f>
        <v/>
      </c>
      <c r="I239" s="109"/>
      <c r="J239" s="111" t="str">
        <f aca="false">IF(AND(I239&lt;&gt;"",H239&lt;&gt;""),IFERROR((I239-H239)/I239,""),"")</f>
        <v/>
      </c>
      <c r="K239" s="3"/>
      <c r="L239" s="109"/>
      <c r="M239" s="109"/>
      <c r="N239" s="109"/>
      <c r="O239" s="109"/>
      <c r="P239" s="109"/>
      <c r="Q239" s="109"/>
      <c r="R239" s="110" t="str">
        <f aca="false">IF(AND(P239&lt;&gt;"",Q239&lt;&gt;""),P239*Q239,"")</f>
        <v/>
      </c>
      <c r="S239" s="110" t="str">
        <f aca="false">IF(M239&lt;&gt;"",SUMIF(M:M,M239,R:R),"")</f>
        <v/>
      </c>
      <c r="T239" s="110" t="str">
        <f aca="false">IF(I239&lt;&gt;"",I239,"")</f>
        <v/>
      </c>
      <c r="U239" s="111" t="str">
        <f aca="false">IF(AND(T239&lt;&gt;"",S239&lt;&gt;""),IFERROR((T239-S239)/T239,""),"")</f>
        <v/>
      </c>
    </row>
    <row r="240" customFormat="false" ht="18.75" hidden="false" customHeight="true" outlineLevel="0" collapsed="false">
      <c r="A240" s="112"/>
      <c r="B240" s="112"/>
      <c r="C240" s="112"/>
      <c r="D240" s="112"/>
      <c r="E240" s="112"/>
      <c r="F240" s="112"/>
      <c r="G240" s="113" t="str">
        <f aca="false">IF(AND(E240&lt;&gt;"",F240&lt;&gt;""),E240*F240,"")</f>
        <v/>
      </c>
      <c r="H240" s="113" t="str">
        <f aca="false">IF(B240&lt;&gt;"",SUMIF(B:B,B240,G:G),"")</f>
        <v/>
      </c>
      <c r="I240" s="112"/>
      <c r="J240" s="114" t="str">
        <f aca="false">IF(AND(I240&lt;&gt;"",H240&lt;&gt;""),IFERROR((I240-H240)/I240,""),"")</f>
        <v/>
      </c>
      <c r="K240" s="3"/>
      <c r="L240" s="112"/>
      <c r="M240" s="112"/>
      <c r="N240" s="112"/>
      <c r="O240" s="112"/>
      <c r="P240" s="112"/>
      <c r="Q240" s="112"/>
      <c r="R240" s="113" t="str">
        <f aca="false">IF(AND(P240&lt;&gt;"",Q240&lt;&gt;""),P240*Q240,"")</f>
        <v/>
      </c>
      <c r="S240" s="113" t="str">
        <f aca="false">IF(M240&lt;&gt;"",SUMIF(M:M,M240,R:R),"")</f>
        <v/>
      </c>
      <c r="T240" s="113" t="str">
        <f aca="false">IF(I240&lt;&gt;"",I240,"")</f>
        <v/>
      </c>
      <c r="U240" s="114" t="str">
        <f aca="false">IF(AND(T240&lt;&gt;"",S240&lt;&gt;""),IFERROR((T240-S240)/T240,""),"")</f>
        <v/>
      </c>
    </row>
    <row r="241" customFormat="false" ht="18.75" hidden="false" customHeight="true" outlineLevel="0" collapsed="false">
      <c r="A241" s="109"/>
      <c r="B241" s="109"/>
      <c r="C241" s="109"/>
      <c r="D241" s="109"/>
      <c r="E241" s="109"/>
      <c r="F241" s="109"/>
      <c r="G241" s="110" t="str">
        <f aca="false">IF(AND(E241&lt;&gt;"",F241&lt;&gt;""),E241*F241,"")</f>
        <v/>
      </c>
      <c r="H241" s="110" t="str">
        <f aca="false">IF(B241&lt;&gt;"",SUMIF(B:B,B241,G:G),"")</f>
        <v/>
      </c>
      <c r="I241" s="109"/>
      <c r="J241" s="111" t="str">
        <f aca="false">IF(AND(I241&lt;&gt;"",H241&lt;&gt;""),IFERROR((I241-H241)/I241,""),"")</f>
        <v/>
      </c>
      <c r="K241" s="3"/>
      <c r="L241" s="109"/>
      <c r="M241" s="109"/>
      <c r="N241" s="109"/>
      <c r="O241" s="109"/>
      <c r="P241" s="109"/>
      <c r="Q241" s="109"/>
      <c r="R241" s="110" t="str">
        <f aca="false">IF(AND(P241&lt;&gt;"",Q241&lt;&gt;""),P241*Q241,"")</f>
        <v/>
      </c>
      <c r="S241" s="110" t="str">
        <f aca="false">IF(M241&lt;&gt;"",SUMIF(M:M,M241,R:R),"")</f>
        <v/>
      </c>
      <c r="T241" s="110" t="str">
        <f aca="false">IF(I241&lt;&gt;"",I241,"")</f>
        <v/>
      </c>
      <c r="U241" s="111" t="str">
        <f aca="false">IF(AND(T241&lt;&gt;"",S241&lt;&gt;""),IFERROR((T241-S241)/T241,""),"")</f>
        <v/>
      </c>
    </row>
    <row r="242" customFormat="false" ht="18.75" hidden="false" customHeight="true" outlineLevel="0" collapsed="false">
      <c r="A242" s="112"/>
      <c r="B242" s="112"/>
      <c r="C242" s="112"/>
      <c r="D242" s="112"/>
      <c r="E242" s="112"/>
      <c r="F242" s="112"/>
      <c r="G242" s="113" t="str">
        <f aca="false">IF(AND(E242&lt;&gt;"",F242&lt;&gt;""),E242*F242,"")</f>
        <v/>
      </c>
      <c r="H242" s="113" t="str">
        <f aca="false">IF(B242&lt;&gt;"",SUMIF(B:B,B242,G:G),"")</f>
        <v/>
      </c>
      <c r="I242" s="112"/>
      <c r="J242" s="114" t="str">
        <f aca="false">IF(AND(I242&lt;&gt;"",H242&lt;&gt;""),IFERROR((I242-H242)/I242,""),"")</f>
        <v/>
      </c>
      <c r="K242" s="3"/>
      <c r="L242" s="112"/>
      <c r="M242" s="112"/>
      <c r="N242" s="112"/>
      <c r="O242" s="112"/>
      <c r="P242" s="112"/>
      <c r="Q242" s="112"/>
      <c r="R242" s="113" t="str">
        <f aca="false">IF(AND(P242&lt;&gt;"",Q242&lt;&gt;""),P242*Q242,"")</f>
        <v/>
      </c>
      <c r="S242" s="113" t="str">
        <f aca="false">IF(M242&lt;&gt;"",SUMIF(M:M,M242,R:R),"")</f>
        <v/>
      </c>
      <c r="T242" s="113" t="str">
        <f aca="false">IF(I242&lt;&gt;"",I242,"")</f>
        <v/>
      </c>
      <c r="U242" s="114" t="str">
        <f aca="false">IF(AND(T242&lt;&gt;"",S242&lt;&gt;""),IFERROR((T242-S242)/T242,""),"")</f>
        <v/>
      </c>
    </row>
    <row r="243" customFormat="false" ht="18.75" hidden="false" customHeight="true" outlineLevel="0" collapsed="false">
      <c r="A243" s="109"/>
      <c r="B243" s="109"/>
      <c r="C243" s="109"/>
      <c r="D243" s="109"/>
      <c r="E243" s="109"/>
      <c r="F243" s="109"/>
      <c r="G243" s="110" t="str">
        <f aca="false">IF(AND(E243&lt;&gt;"",F243&lt;&gt;""),E243*F243,"")</f>
        <v/>
      </c>
      <c r="H243" s="110" t="str">
        <f aca="false">IF(B243&lt;&gt;"",SUMIF(B:B,B243,G:G),"")</f>
        <v/>
      </c>
      <c r="I243" s="109"/>
      <c r="J243" s="111" t="str">
        <f aca="false">IF(AND(I243&lt;&gt;"",H243&lt;&gt;""),IFERROR((I243-H243)/I243,""),"")</f>
        <v/>
      </c>
      <c r="K243" s="3"/>
      <c r="L243" s="109"/>
      <c r="M243" s="109"/>
      <c r="N243" s="109"/>
      <c r="O243" s="109"/>
      <c r="P243" s="109"/>
      <c r="Q243" s="109"/>
      <c r="R243" s="110" t="str">
        <f aca="false">IF(AND(P243&lt;&gt;"",Q243&lt;&gt;""),P243*Q243,"")</f>
        <v/>
      </c>
      <c r="S243" s="110" t="str">
        <f aca="false">IF(M243&lt;&gt;"",SUMIF(M:M,M243,R:R),"")</f>
        <v/>
      </c>
      <c r="T243" s="110" t="str">
        <f aca="false">IF(I243&lt;&gt;"",I243,"")</f>
        <v/>
      </c>
      <c r="U243" s="111" t="str">
        <f aca="false">IF(AND(T243&lt;&gt;"",S243&lt;&gt;""),IFERROR((T243-S243)/T243,""),"")</f>
        <v/>
      </c>
    </row>
    <row r="244" customFormat="false" ht="18.75" hidden="false" customHeight="true" outlineLevel="0" collapsed="false">
      <c r="A244" s="112"/>
      <c r="B244" s="112"/>
      <c r="C244" s="112"/>
      <c r="D244" s="112"/>
      <c r="E244" s="112"/>
      <c r="F244" s="112"/>
      <c r="G244" s="113" t="str">
        <f aca="false">IF(AND(E244&lt;&gt;"",F244&lt;&gt;""),E244*F244,"")</f>
        <v/>
      </c>
      <c r="H244" s="113" t="str">
        <f aca="false">IF(B244&lt;&gt;"",SUMIF(B:B,B244,G:G),"")</f>
        <v/>
      </c>
      <c r="I244" s="112"/>
      <c r="J244" s="114" t="str">
        <f aca="false">IF(AND(I244&lt;&gt;"",H244&lt;&gt;""),IFERROR((I244-H244)/I244,""),"")</f>
        <v/>
      </c>
      <c r="K244" s="3"/>
      <c r="L244" s="112"/>
      <c r="M244" s="112"/>
      <c r="N244" s="112"/>
      <c r="O244" s="112"/>
      <c r="P244" s="112"/>
      <c r="Q244" s="112"/>
      <c r="R244" s="113" t="str">
        <f aca="false">IF(AND(P244&lt;&gt;"",Q244&lt;&gt;""),P244*Q244,"")</f>
        <v/>
      </c>
      <c r="S244" s="113" t="str">
        <f aca="false">IF(M244&lt;&gt;"",SUMIF(M:M,M244,R:R),"")</f>
        <v/>
      </c>
      <c r="T244" s="113" t="str">
        <f aca="false">IF(I244&lt;&gt;"",I244,"")</f>
        <v/>
      </c>
      <c r="U244" s="114" t="str">
        <f aca="false">IF(AND(T244&lt;&gt;"",S244&lt;&gt;""),IFERROR((T244-S244)/T244,""),"")</f>
        <v/>
      </c>
    </row>
    <row r="245" customFormat="false" ht="18.75" hidden="false" customHeight="true" outlineLevel="0" collapsed="false">
      <c r="A245" s="109"/>
      <c r="B245" s="109"/>
      <c r="C245" s="109"/>
      <c r="D245" s="109"/>
      <c r="E245" s="109"/>
      <c r="F245" s="109"/>
      <c r="G245" s="110" t="str">
        <f aca="false">IF(AND(E245&lt;&gt;"",F245&lt;&gt;""),E245*F245,"")</f>
        <v/>
      </c>
      <c r="H245" s="110" t="str">
        <f aca="false">IF(B245&lt;&gt;"",SUMIF(B:B,B245,G:G),"")</f>
        <v/>
      </c>
      <c r="I245" s="109"/>
      <c r="J245" s="111" t="str">
        <f aca="false">IF(AND(I245&lt;&gt;"",H245&lt;&gt;""),IFERROR((I245-H245)/I245,""),"")</f>
        <v/>
      </c>
      <c r="K245" s="3"/>
      <c r="L245" s="109"/>
      <c r="M245" s="109"/>
      <c r="N245" s="109"/>
      <c r="O245" s="109"/>
      <c r="P245" s="109"/>
      <c r="Q245" s="109"/>
      <c r="R245" s="110" t="str">
        <f aca="false">IF(AND(P245&lt;&gt;"",Q245&lt;&gt;""),P245*Q245,"")</f>
        <v/>
      </c>
      <c r="S245" s="110" t="str">
        <f aca="false">IF(M245&lt;&gt;"",SUMIF(M:M,M245,R:R),"")</f>
        <v/>
      </c>
      <c r="T245" s="110" t="str">
        <f aca="false">IF(I245&lt;&gt;"",I245,"")</f>
        <v/>
      </c>
      <c r="U245" s="111" t="str">
        <f aca="false">IF(AND(T245&lt;&gt;"",S245&lt;&gt;""),IFERROR((T245-S245)/T245,""),"")</f>
        <v/>
      </c>
    </row>
    <row r="246" customFormat="false" ht="18.75" hidden="false" customHeight="true" outlineLevel="0" collapsed="false">
      <c r="A246" s="112"/>
      <c r="B246" s="112"/>
      <c r="C246" s="112"/>
      <c r="D246" s="112"/>
      <c r="E246" s="112"/>
      <c r="F246" s="112"/>
      <c r="G246" s="113" t="str">
        <f aca="false">IF(AND(E246&lt;&gt;"",F246&lt;&gt;""),E246*F246,"")</f>
        <v/>
      </c>
      <c r="H246" s="113" t="str">
        <f aca="false">IF(B246&lt;&gt;"",SUMIF(B:B,B246,G:G),"")</f>
        <v/>
      </c>
      <c r="I246" s="112"/>
      <c r="J246" s="114" t="str">
        <f aca="false">IF(AND(I246&lt;&gt;"",H246&lt;&gt;""),IFERROR((I246-H246)/I246,""),"")</f>
        <v/>
      </c>
      <c r="K246" s="3"/>
      <c r="L246" s="112"/>
      <c r="M246" s="112"/>
      <c r="N246" s="112"/>
      <c r="O246" s="112"/>
      <c r="P246" s="112"/>
      <c r="Q246" s="112"/>
      <c r="R246" s="113" t="str">
        <f aca="false">IF(AND(P246&lt;&gt;"",Q246&lt;&gt;""),P246*Q246,"")</f>
        <v/>
      </c>
      <c r="S246" s="113" t="str">
        <f aca="false">IF(M246&lt;&gt;"",SUMIF(M:M,M246,R:R),"")</f>
        <v/>
      </c>
      <c r="T246" s="113" t="str">
        <f aca="false">IF(I246&lt;&gt;"",I246,"")</f>
        <v/>
      </c>
      <c r="U246" s="114" t="str">
        <f aca="false">IF(AND(T246&lt;&gt;"",S246&lt;&gt;""),IFERROR((T246-S246)/T246,""),"")</f>
        <v/>
      </c>
    </row>
    <row r="247" customFormat="false" ht="18.75" hidden="false" customHeight="true" outlineLevel="0" collapsed="false">
      <c r="A247" s="109"/>
      <c r="B247" s="109"/>
      <c r="C247" s="109"/>
      <c r="D247" s="109"/>
      <c r="E247" s="109"/>
      <c r="F247" s="109"/>
      <c r="G247" s="110" t="str">
        <f aca="false">IF(AND(E247&lt;&gt;"",F247&lt;&gt;""),E247*F247,"")</f>
        <v/>
      </c>
      <c r="H247" s="110" t="str">
        <f aca="false">IF(B247&lt;&gt;"",SUMIF(B:B,B247,G:G),"")</f>
        <v/>
      </c>
      <c r="I247" s="109"/>
      <c r="J247" s="111" t="str">
        <f aca="false">IF(AND(I247&lt;&gt;"",H247&lt;&gt;""),IFERROR((I247-H247)/I247,""),"")</f>
        <v/>
      </c>
      <c r="K247" s="3"/>
      <c r="L247" s="109"/>
      <c r="M247" s="109"/>
      <c r="N247" s="109"/>
      <c r="O247" s="109"/>
      <c r="P247" s="109"/>
      <c r="Q247" s="109"/>
      <c r="R247" s="110" t="str">
        <f aca="false">IF(AND(P247&lt;&gt;"",Q247&lt;&gt;""),P247*Q247,"")</f>
        <v/>
      </c>
      <c r="S247" s="110" t="str">
        <f aca="false">IF(M247&lt;&gt;"",SUMIF(M:M,M247,R:R),"")</f>
        <v/>
      </c>
      <c r="T247" s="110" t="str">
        <f aca="false">IF(I247&lt;&gt;"",I247,"")</f>
        <v/>
      </c>
      <c r="U247" s="111" t="str">
        <f aca="false">IF(AND(T247&lt;&gt;"",S247&lt;&gt;""),IFERROR((T247-S247)/T247,""),"")</f>
        <v/>
      </c>
    </row>
    <row r="248" customFormat="false" ht="18.75" hidden="false" customHeight="true" outlineLevel="0" collapsed="false">
      <c r="A248" s="112"/>
      <c r="B248" s="112"/>
      <c r="C248" s="112"/>
      <c r="D248" s="112"/>
      <c r="E248" s="112"/>
      <c r="F248" s="112"/>
      <c r="G248" s="113" t="str">
        <f aca="false">IF(AND(E248&lt;&gt;"",F248&lt;&gt;""),E248*F248,"")</f>
        <v/>
      </c>
      <c r="H248" s="113" t="str">
        <f aca="false">IF(B248&lt;&gt;"",SUMIF(B:B,B248,G:G),"")</f>
        <v/>
      </c>
      <c r="I248" s="112"/>
      <c r="J248" s="114" t="str">
        <f aca="false">IF(AND(I248&lt;&gt;"",H248&lt;&gt;""),IFERROR((I248-H248)/I248,""),"")</f>
        <v/>
      </c>
      <c r="K248" s="3"/>
      <c r="L248" s="112"/>
      <c r="M248" s="112"/>
      <c r="N248" s="112"/>
      <c r="O248" s="112"/>
      <c r="P248" s="112"/>
      <c r="Q248" s="112"/>
      <c r="R248" s="113" t="str">
        <f aca="false">IF(AND(P248&lt;&gt;"",Q248&lt;&gt;""),P248*Q248,"")</f>
        <v/>
      </c>
      <c r="S248" s="113" t="str">
        <f aca="false">IF(M248&lt;&gt;"",SUMIF(M:M,M248,R:R),"")</f>
        <v/>
      </c>
      <c r="T248" s="113" t="str">
        <f aca="false">IF(I248&lt;&gt;"",I248,"")</f>
        <v/>
      </c>
      <c r="U248" s="114" t="str">
        <f aca="false">IF(AND(T248&lt;&gt;"",S248&lt;&gt;""),IFERROR((T248-S248)/T248,""),"")</f>
        <v/>
      </c>
    </row>
    <row r="249" customFormat="false" ht="18.75" hidden="false" customHeight="true" outlineLevel="0" collapsed="false">
      <c r="A249" s="109"/>
      <c r="B249" s="109"/>
      <c r="C249" s="109"/>
      <c r="D249" s="109"/>
      <c r="E249" s="109"/>
      <c r="F249" s="109"/>
      <c r="G249" s="110" t="str">
        <f aca="false">IF(AND(E249&lt;&gt;"",F249&lt;&gt;""),E249*F249,"")</f>
        <v/>
      </c>
      <c r="H249" s="110" t="str">
        <f aca="false">IF(B249&lt;&gt;"",SUMIF(B:B,B249,G:G),"")</f>
        <v/>
      </c>
      <c r="I249" s="109"/>
      <c r="J249" s="111" t="str">
        <f aca="false">IF(AND(I249&lt;&gt;"",H249&lt;&gt;""),IFERROR((I249-H249)/I249,""),"")</f>
        <v/>
      </c>
      <c r="K249" s="3"/>
      <c r="L249" s="109"/>
      <c r="M249" s="109"/>
      <c r="N249" s="109"/>
      <c r="O249" s="109"/>
      <c r="P249" s="109"/>
      <c r="Q249" s="109"/>
      <c r="R249" s="110" t="str">
        <f aca="false">IF(AND(P249&lt;&gt;"",Q249&lt;&gt;""),P249*Q249,"")</f>
        <v/>
      </c>
      <c r="S249" s="110" t="str">
        <f aca="false">IF(M249&lt;&gt;"",SUMIF(M:M,M249,R:R),"")</f>
        <v/>
      </c>
      <c r="T249" s="110" t="str">
        <f aca="false">IF(I249&lt;&gt;"",I249,"")</f>
        <v/>
      </c>
      <c r="U249" s="111" t="str">
        <f aca="false">IF(AND(T249&lt;&gt;"",S249&lt;&gt;""),IFERROR((T249-S249)/T249,""),"")</f>
        <v/>
      </c>
    </row>
    <row r="250" customFormat="false" ht="18.75" hidden="false" customHeight="true" outlineLevel="0" collapsed="false">
      <c r="A250" s="112"/>
      <c r="B250" s="112"/>
      <c r="C250" s="112"/>
      <c r="D250" s="112"/>
      <c r="E250" s="112"/>
      <c r="F250" s="112"/>
      <c r="G250" s="113" t="str">
        <f aca="false">IF(AND(E250&lt;&gt;"",F250&lt;&gt;""),E250*F250,"")</f>
        <v/>
      </c>
      <c r="H250" s="113" t="str">
        <f aca="false">IF(B250&lt;&gt;"",SUMIF(B:B,B250,G:G),"")</f>
        <v/>
      </c>
      <c r="I250" s="112"/>
      <c r="J250" s="114" t="str">
        <f aca="false">IF(AND(I250&lt;&gt;"",H250&lt;&gt;""),IFERROR((I250-H250)/I250,""),"")</f>
        <v/>
      </c>
      <c r="K250" s="3"/>
      <c r="L250" s="112"/>
      <c r="M250" s="112"/>
      <c r="N250" s="112"/>
      <c r="O250" s="112"/>
      <c r="P250" s="112"/>
      <c r="Q250" s="112"/>
      <c r="R250" s="113" t="str">
        <f aca="false">IF(AND(P250&lt;&gt;"",Q250&lt;&gt;""),P250*Q250,"")</f>
        <v/>
      </c>
      <c r="S250" s="113" t="str">
        <f aca="false">IF(M250&lt;&gt;"",SUMIF(M:M,M250,R:R),"")</f>
        <v/>
      </c>
      <c r="T250" s="113" t="str">
        <f aca="false">IF(I250&lt;&gt;"",I250,"")</f>
        <v/>
      </c>
      <c r="U250" s="114" t="str">
        <f aca="false">IF(AND(T250&lt;&gt;"",S250&lt;&gt;""),IFERROR((T250-S250)/T250,""),"")</f>
        <v/>
      </c>
    </row>
    <row r="251" customFormat="false" ht="18.75" hidden="false" customHeight="true" outlineLevel="0" collapsed="false">
      <c r="A251" s="109"/>
      <c r="B251" s="109"/>
      <c r="C251" s="109"/>
      <c r="D251" s="109"/>
      <c r="E251" s="109"/>
      <c r="F251" s="109"/>
      <c r="G251" s="110" t="str">
        <f aca="false">IF(AND(E251&lt;&gt;"",F251&lt;&gt;""),E251*F251,"")</f>
        <v/>
      </c>
      <c r="H251" s="110" t="str">
        <f aca="false">IF(B251&lt;&gt;"",SUMIF(B:B,B251,G:G),"")</f>
        <v/>
      </c>
      <c r="I251" s="109"/>
      <c r="J251" s="111" t="str">
        <f aca="false">IF(AND(I251&lt;&gt;"",H251&lt;&gt;""),IFERROR((I251-H251)/I251,""),"")</f>
        <v/>
      </c>
      <c r="K251" s="3"/>
      <c r="L251" s="109"/>
      <c r="M251" s="109"/>
      <c r="N251" s="109"/>
      <c r="O251" s="109"/>
      <c r="P251" s="109"/>
      <c r="Q251" s="109"/>
      <c r="R251" s="110" t="str">
        <f aca="false">IF(AND(P251&lt;&gt;"",Q251&lt;&gt;""),P251*Q251,"")</f>
        <v/>
      </c>
      <c r="S251" s="110" t="str">
        <f aca="false">IF(M251&lt;&gt;"",SUMIF(M:M,M251,R:R),"")</f>
        <v/>
      </c>
      <c r="T251" s="110" t="str">
        <f aca="false">IF(I251&lt;&gt;"",I251,"")</f>
        <v/>
      </c>
      <c r="U251" s="111" t="str">
        <f aca="false">IF(AND(T251&lt;&gt;"",S251&lt;&gt;""),IFERROR((T251-S251)/T251,""),"")</f>
        <v/>
      </c>
    </row>
    <row r="252" customFormat="false" ht="18.75" hidden="false" customHeight="true" outlineLevel="0" collapsed="false">
      <c r="A252" s="112"/>
      <c r="B252" s="112"/>
      <c r="C252" s="112"/>
      <c r="D252" s="112"/>
      <c r="E252" s="112"/>
      <c r="F252" s="112"/>
      <c r="G252" s="113" t="str">
        <f aca="false">IF(AND(E252&lt;&gt;"",F252&lt;&gt;""),E252*F252,"")</f>
        <v/>
      </c>
      <c r="H252" s="113" t="str">
        <f aca="false">IF(B252&lt;&gt;"",SUMIF(B:B,B252,G:G),"")</f>
        <v/>
      </c>
      <c r="I252" s="112"/>
      <c r="J252" s="114" t="str">
        <f aca="false">IF(AND(I252&lt;&gt;"",H252&lt;&gt;""),IFERROR((I252-H252)/I252,""),"")</f>
        <v/>
      </c>
      <c r="K252" s="3"/>
      <c r="L252" s="112"/>
      <c r="M252" s="112"/>
      <c r="N252" s="112"/>
      <c r="O252" s="112"/>
      <c r="P252" s="112"/>
      <c r="Q252" s="112"/>
      <c r="R252" s="113" t="str">
        <f aca="false">IF(AND(P252&lt;&gt;"",Q252&lt;&gt;""),P252*Q252,"")</f>
        <v/>
      </c>
      <c r="S252" s="113" t="str">
        <f aca="false">IF(M252&lt;&gt;"",SUMIF(M:M,M252,R:R),"")</f>
        <v/>
      </c>
      <c r="T252" s="113" t="str">
        <f aca="false">IF(I252&lt;&gt;"",I252,"")</f>
        <v/>
      </c>
      <c r="U252" s="114" t="str">
        <f aca="false">IF(AND(T252&lt;&gt;"",S252&lt;&gt;""),IFERROR((T252-S252)/T252,""),"")</f>
        <v/>
      </c>
    </row>
    <row r="253" customFormat="false" ht="18.75" hidden="false" customHeight="true" outlineLevel="0" collapsed="false">
      <c r="A253" s="109"/>
      <c r="B253" s="109"/>
      <c r="C253" s="109"/>
      <c r="D253" s="109"/>
      <c r="E253" s="109"/>
      <c r="F253" s="109"/>
      <c r="G253" s="110" t="str">
        <f aca="false">IF(AND(E253&lt;&gt;"",F253&lt;&gt;""),E253*F253,"")</f>
        <v/>
      </c>
      <c r="H253" s="110" t="str">
        <f aca="false">IF(B253&lt;&gt;"",SUMIF(B:B,B253,G:G),"")</f>
        <v/>
      </c>
      <c r="I253" s="109"/>
      <c r="J253" s="111" t="str">
        <f aca="false">IF(AND(I253&lt;&gt;"",H253&lt;&gt;""),IFERROR((I253-H253)/I253,""),"")</f>
        <v/>
      </c>
      <c r="K253" s="3"/>
      <c r="L253" s="109"/>
      <c r="M253" s="109"/>
      <c r="N253" s="109"/>
      <c r="O253" s="109"/>
      <c r="P253" s="109"/>
      <c r="Q253" s="109"/>
      <c r="R253" s="110" t="str">
        <f aca="false">IF(AND(P253&lt;&gt;"",Q253&lt;&gt;""),P253*Q253,"")</f>
        <v/>
      </c>
      <c r="S253" s="110" t="str">
        <f aca="false">IF(M253&lt;&gt;"",SUMIF(M:M,M253,R:R),"")</f>
        <v/>
      </c>
      <c r="T253" s="110" t="str">
        <f aca="false">IF(I253&lt;&gt;"",I253,"")</f>
        <v/>
      </c>
      <c r="U253" s="111" t="str">
        <f aca="false">IF(AND(T253&lt;&gt;"",S253&lt;&gt;""),IFERROR((T253-S253)/T253,""),"")</f>
        <v/>
      </c>
    </row>
    <row r="254" customFormat="false" ht="18.75" hidden="false" customHeight="true" outlineLevel="0" collapsed="false">
      <c r="A254" s="112"/>
      <c r="B254" s="112"/>
      <c r="C254" s="112"/>
      <c r="D254" s="112"/>
      <c r="E254" s="112"/>
      <c r="F254" s="112"/>
      <c r="G254" s="113" t="str">
        <f aca="false">IF(AND(E254&lt;&gt;"",F254&lt;&gt;""),E254*F254,"")</f>
        <v/>
      </c>
      <c r="H254" s="113" t="str">
        <f aca="false">IF(B254&lt;&gt;"",SUMIF(B:B,B254,G:G),"")</f>
        <v/>
      </c>
      <c r="I254" s="112"/>
      <c r="J254" s="114" t="str">
        <f aca="false">IF(AND(I254&lt;&gt;"",H254&lt;&gt;""),IFERROR((I254-H254)/I254,""),"")</f>
        <v/>
      </c>
      <c r="K254" s="3"/>
      <c r="L254" s="112"/>
      <c r="M254" s="112"/>
      <c r="N254" s="112"/>
      <c r="O254" s="112"/>
      <c r="P254" s="112"/>
      <c r="Q254" s="112"/>
      <c r="R254" s="113" t="str">
        <f aca="false">IF(AND(P254&lt;&gt;"",Q254&lt;&gt;""),P254*Q254,"")</f>
        <v/>
      </c>
      <c r="S254" s="113" t="str">
        <f aca="false">IF(M254&lt;&gt;"",SUMIF(M:M,M254,R:R),"")</f>
        <v/>
      </c>
      <c r="T254" s="113" t="str">
        <f aca="false">IF(I254&lt;&gt;"",I254,"")</f>
        <v/>
      </c>
      <c r="U254" s="114" t="str">
        <f aca="false">IF(AND(T254&lt;&gt;"",S254&lt;&gt;""),IFERROR((T254-S254)/T254,""),"")</f>
        <v/>
      </c>
    </row>
    <row r="255" customFormat="false" ht="18.75" hidden="false" customHeight="true" outlineLevel="0" collapsed="false">
      <c r="A255" s="109"/>
      <c r="B255" s="109"/>
      <c r="C255" s="109"/>
      <c r="D255" s="109"/>
      <c r="E255" s="109"/>
      <c r="F255" s="109"/>
      <c r="G255" s="110" t="str">
        <f aca="false">IF(AND(E255&lt;&gt;"",F255&lt;&gt;""),E255*F255,"")</f>
        <v/>
      </c>
      <c r="H255" s="110" t="str">
        <f aca="false">IF(B255&lt;&gt;"",SUMIF(B:B,B255,G:G),"")</f>
        <v/>
      </c>
      <c r="I255" s="109"/>
      <c r="J255" s="111" t="str">
        <f aca="false">IF(AND(I255&lt;&gt;"",H255&lt;&gt;""),IFERROR((I255-H255)/I255,""),"")</f>
        <v/>
      </c>
      <c r="K255" s="3"/>
      <c r="L255" s="109"/>
      <c r="M255" s="109"/>
      <c r="N255" s="109"/>
      <c r="O255" s="109"/>
      <c r="P255" s="109"/>
      <c r="Q255" s="109"/>
      <c r="R255" s="110" t="str">
        <f aca="false">IF(AND(P255&lt;&gt;"",Q255&lt;&gt;""),P255*Q255,"")</f>
        <v/>
      </c>
      <c r="S255" s="110" t="str">
        <f aca="false">IF(M255&lt;&gt;"",SUMIF(M:M,M255,R:R),"")</f>
        <v/>
      </c>
      <c r="T255" s="110" t="str">
        <f aca="false">IF(I255&lt;&gt;"",I255,"")</f>
        <v/>
      </c>
      <c r="U255" s="111" t="str">
        <f aca="false">IF(AND(T255&lt;&gt;"",S255&lt;&gt;""),IFERROR((T255-S255)/T255,""),"")</f>
        <v/>
      </c>
    </row>
    <row r="256" customFormat="false" ht="18.75" hidden="false" customHeight="true" outlineLevel="0" collapsed="false">
      <c r="A256" s="112"/>
      <c r="B256" s="112"/>
      <c r="C256" s="112"/>
      <c r="D256" s="112"/>
      <c r="E256" s="112"/>
      <c r="F256" s="112"/>
      <c r="G256" s="113" t="str">
        <f aca="false">IF(AND(E256&lt;&gt;"",F256&lt;&gt;""),E256*F256,"")</f>
        <v/>
      </c>
      <c r="H256" s="113" t="str">
        <f aca="false">IF(B256&lt;&gt;"",SUMIF(B:B,B256,G:G),"")</f>
        <v/>
      </c>
      <c r="I256" s="112"/>
      <c r="J256" s="114" t="str">
        <f aca="false">IF(AND(I256&lt;&gt;"",H256&lt;&gt;""),IFERROR((I256-H256)/I256,""),"")</f>
        <v/>
      </c>
      <c r="K256" s="3"/>
      <c r="L256" s="112"/>
      <c r="M256" s="112"/>
      <c r="N256" s="112"/>
      <c r="O256" s="112"/>
      <c r="P256" s="112"/>
      <c r="Q256" s="112"/>
      <c r="R256" s="113" t="str">
        <f aca="false">IF(AND(P256&lt;&gt;"",Q256&lt;&gt;""),P256*Q256,"")</f>
        <v/>
      </c>
      <c r="S256" s="113" t="str">
        <f aca="false">IF(M256&lt;&gt;"",SUMIF(M:M,M256,R:R),"")</f>
        <v/>
      </c>
      <c r="T256" s="113" t="str">
        <f aca="false">IF(I256&lt;&gt;"",I256,"")</f>
        <v/>
      </c>
      <c r="U256" s="114" t="str">
        <f aca="false">IF(AND(T256&lt;&gt;"",S256&lt;&gt;""),IFERROR((T256-S256)/T256,""),"")</f>
        <v/>
      </c>
    </row>
    <row r="257" customFormat="false" ht="18.75" hidden="false" customHeight="true" outlineLevel="0" collapsed="false">
      <c r="A257" s="109"/>
      <c r="B257" s="109"/>
      <c r="C257" s="109"/>
      <c r="D257" s="109"/>
      <c r="E257" s="109"/>
      <c r="F257" s="109"/>
      <c r="G257" s="110" t="str">
        <f aca="false">IF(AND(E257&lt;&gt;"",F257&lt;&gt;""),E257*F257,"")</f>
        <v/>
      </c>
      <c r="H257" s="110" t="str">
        <f aca="false">IF(B257&lt;&gt;"",SUMIF(B:B,B257,G:G),"")</f>
        <v/>
      </c>
      <c r="I257" s="109"/>
      <c r="J257" s="111" t="str">
        <f aca="false">IF(AND(I257&lt;&gt;"",H257&lt;&gt;""),IFERROR((I257-H257)/I257,""),"")</f>
        <v/>
      </c>
      <c r="K257" s="3"/>
      <c r="L257" s="109"/>
      <c r="M257" s="109"/>
      <c r="N257" s="109"/>
      <c r="O257" s="109"/>
      <c r="P257" s="109"/>
      <c r="Q257" s="109"/>
      <c r="R257" s="110" t="str">
        <f aca="false">IF(AND(P257&lt;&gt;"",Q257&lt;&gt;""),P257*Q257,"")</f>
        <v/>
      </c>
      <c r="S257" s="110" t="str">
        <f aca="false">IF(M257&lt;&gt;"",SUMIF(M:M,M257,R:R),"")</f>
        <v/>
      </c>
      <c r="T257" s="110" t="str">
        <f aca="false">IF(I257&lt;&gt;"",I257,"")</f>
        <v/>
      </c>
      <c r="U257" s="111" t="str">
        <f aca="false">IF(AND(T257&lt;&gt;"",S257&lt;&gt;""),IFERROR((T257-S257)/T257,""),"")</f>
        <v/>
      </c>
    </row>
    <row r="258" customFormat="false" ht="18.75" hidden="false" customHeight="true" outlineLevel="0" collapsed="false">
      <c r="A258" s="112"/>
      <c r="B258" s="112"/>
      <c r="C258" s="112"/>
      <c r="D258" s="112"/>
      <c r="E258" s="112"/>
      <c r="F258" s="112"/>
      <c r="G258" s="113" t="str">
        <f aca="false">IF(AND(E258&lt;&gt;"",F258&lt;&gt;""),E258*F258,"")</f>
        <v/>
      </c>
      <c r="H258" s="113" t="str">
        <f aca="false">IF(B258&lt;&gt;"",SUMIF(B:B,B258,G:G),"")</f>
        <v/>
      </c>
      <c r="I258" s="112"/>
      <c r="J258" s="114" t="str">
        <f aca="false">IF(AND(I258&lt;&gt;"",H258&lt;&gt;""),IFERROR((I258-H258)/I258,""),"")</f>
        <v/>
      </c>
      <c r="K258" s="3"/>
      <c r="L258" s="112"/>
      <c r="M258" s="112"/>
      <c r="N258" s="112"/>
      <c r="O258" s="112"/>
      <c r="P258" s="112"/>
      <c r="Q258" s="112"/>
      <c r="R258" s="113" t="str">
        <f aca="false">IF(AND(P258&lt;&gt;"",Q258&lt;&gt;""),P258*Q258,"")</f>
        <v/>
      </c>
      <c r="S258" s="113" t="str">
        <f aca="false">IF(M258&lt;&gt;"",SUMIF(M:M,M258,R:R),"")</f>
        <v/>
      </c>
      <c r="T258" s="113" t="str">
        <f aca="false">IF(I258&lt;&gt;"",I258,"")</f>
        <v/>
      </c>
      <c r="U258" s="114" t="str">
        <f aca="false">IF(AND(T258&lt;&gt;"",S258&lt;&gt;""),IFERROR((T258-S258)/T258,""),"")</f>
        <v/>
      </c>
    </row>
    <row r="259" customFormat="false" ht="18.75" hidden="false" customHeight="true" outlineLevel="0" collapsed="false">
      <c r="A259" s="109"/>
      <c r="B259" s="109"/>
      <c r="C259" s="109"/>
      <c r="D259" s="109"/>
      <c r="E259" s="109"/>
      <c r="F259" s="109"/>
      <c r="G259" s="110" t="str">
        <f aca="false">IF(AND(E259&lt;&gt;"",F259&lt;&gt;""),E259*F259,"")</f>
        <v/>
      </c>
      <c r="H259" s="110" t="str">
        <f aca="false">IF(B259&lt;&gt;"",SUMIF(B:B,B259,G:G),"")</f>
        <v/>
      </c>
      <c r="I259" s="109"/>
      <c r="J259" s="111" t="str">
        <f aca="false">IF(AND(I259&lt;&gt;"",H259&lt;&gt;""),IFERROR((I259-H259)/I259,""),"")</f>
        <v/>
      </c>
      <c r="K259" s="3"/>
      <c r="L259" s="109"/>
      <c r="M259" s="109"/>
      <c r="N259" s="109"/>
      <c r="O259" s="109"/>
      <c r="P259" s="109"/>
      <c r="Q259" s="109"/>
      <c r="R259" s="110" t="str">
        <f aca="false">IF(AND(P259&lt;&gt;"",Q259&lt;&gt;""),P259*Q259,"")</f>
        <v/>
      </c>
      <c r="S259" s="110" t="str">
        <f aca="false">IF(M259&lt;&gt;"",SUMIF(M:M,M259,R:R),"")</f>
        <v/>
      </c>
      <c r="T259" s="110" t="str">
        <f aca="false">IF(I259&lt;&gt;"",I259,"")</f>
        <v/>
      </c>
      <c r="U259" s="111" t="str">
        <f aca="false">IF(AND(T259&lt;&gt;"",S259&lt;&gt;""),IFERROR((T259-S259)/T259,""),"")</f>
        <v/>
      </c>
    </row>
    <row r="260" customFormat="false" ht="18.75" hidden="false" customHeight="true" outlineLevel="0" collapsed="false">
      <c r="A260" s="112"/>
      <c r="B260" s="112"/>
      <c r="C260" s="112"/>
      <c r="D260" s="112"/>
      <c r="E260" s="112"/>
      <c r="F260" s="112"/>
      <c r="G260" s="113" t="str">
        <f aca="false">IF(AND(E260&lt;&gt;"",F260&lt;&gt;""),E260*F260,"")</f>
        <v/>
      </c>
      <c r="H260" s="113" t="str">
        <f aca="false">IF(B260&lt;&gt;"",SUMIF(B:B,B260,G:G),"")</f>
        <v/>
      </c>
      <c r="I260" s="112"/>
      <c r="J260" s="114" t="str">
        <f aca="false">IF(AND(I260&lt;&gt;"",H260&lt;&gt;""),IFERROR((I260-H260)/I260,""),"")</f>
        <v/>
      </c>
      <c r="K260" s="3"/>
      <c r="L260" s="112"/>
      <c r="M260" s="112"/>
      <c r="N260" s="112"/>
      <c r="O260" s="112"/>
      <c r="P260" s="112"/>
      <c r="Q260" s="112"/>
      <c r="R260" s="113" t="str">
        <f aca="false">IF(AND(P260&lt;&gt;"",Q260&lt;&gt;""),P260*Q260,"")</f>
        <v/>
      </c>
      <c r="S260" s="113" t="str">
        <f aca="false">IF(M260&lt;&gt;"",SUMIF(M:M,M260,R:R),"")</f>
        <v/>
      </c>
      <c r="T260" s="113" t="str">
        <f aca="false">IF(I260&lt;&gt;"",I260,"")</f>
        <v/>
      </c>
      <c r="U260" s="114" t="str">
        <f aca="false">IF(AND(T260&lt;&gt;"",S260&lt;&gt;""),IFERROR((T260-S260)/T260,""),"")</f>
        <v/>
      </c>
    </row>
    <row r="261" customFormat="false" ht="18.75" hidden="false" customHeight="true" outlineLevel="0" collapsed="false">
      <c r="A261" s="109"/>
      <c r="B261" s="109"/>
      <c r="C261" s="109"/>
      <c r="D261" s="109"/>
      <c r="E261" s="109"/>
      <c r="F261" s="109"/>
      <c r="G261" s="110" t="str">
        <f aca="false">IF(AND(E261&lt;&gt;"",F261&lt;&gt;""),E261*F261,"")</f>
        <v/>
      </c>
      <c r="H261" s="110" t="str">
        <f aca="false">IF(B261&lt;&gt;"",SUMIF(B:B,B261,G:G),"")</f>
        <v/>
      </c>
      <c r="I261" s="109"/>
      <c r="J261" s="111" t="str">
        <f aca="false">IF(AND(I261&lt;&gt;"",H261&lt;&gt;""),IFERROR((I261-H261)/I261,""),"")</f>
        <v/>
      </c>
      <c r="K261" s="3"/>
      <c r="L261" s="109"/>
      <c r="M261" s="109"/>
      <c r="N261" s="109"/>
      <c r="O261" s="109"/>
      <c r="P261" s="109"/>
      <c r="Q261" s="109"/>
      <c r="R261" s="110" t="str">
        <f aca="false">IF(AND(P261&lt;&gt;"",Q261&lt;&gt;""),P261*Q261,"")</f>
        <v/>
      </c>
      <c r="S261" s="110" t="str">
        <f aca="false">IF(M261&lt;&gt;"",SUMIF(M:M,M261,R:R),"")</f>
        <v/>
      </c>
      <c r="T261" s="110" t="str">
        <f aca="false">IF(I261&lt;&gt;"",I261,"")</f>
        <v/>
      </c>
      <c r="U261" s="111" t="str">
        <f aca="false">IF(AND(T261&lt;&gt;"",S261&lt;&gt;""),IFERROR((T261-S261)/T261,""),"")</f>
        <v/>
      </c>
    </row>
    <row r="262" customFormat="false" ht="18.75" hidden="false" customHeight="true" outlineLevel="0" collapsed="false">
      <c r="A262" s="112"/>
      <c r="B262" s="112"/>
      <c r="C262" s="112"/>
      <c r="D262" s="112"/>
      <c r="E262" s="112"/>
      <c r="F262" s="112"/>
      <c r="G262" s="113" t="str">
        <f aca="false">IF(AND(E262&lt;&gt;"",F262&lt;&gt;""),E262*F262,"")</f>
        <v/>
      </c>
      <c r="H262" s="113" t="str">
        <f aca="false">IF(B262&lt;&gt;"",SUMIF(B:B,B262,G:G),"")</f>
        <v/>
      </c>
      <c r="I262" s="112"/>
      <c r="J262" s="114" t="str">
        <f aca="false">IF(AND(I262&lt;&gt;"",H262&lt;&gt;""),IFERROR((I262-H262)/I262,""),"")</f>
        <v/>
      </c>
      <c r="K262" s="3"/>
      <c r="L262" s="112"/>
      <c r="M262" s="112"/>
      <c r="N262" s="112"/>
      <c r="O262" s="112"/>
      <c r="P262" s="112"/>
      <c r="Q262" s="112"/>
      <c r="R262" s="113" t="str">
        <f aca="false">IF(AND(P262&lt;&gt;"",Q262&lt;&gt;""),P262*Q262,"")</f>
        <v/>
      </c>
      <c r="S262" s="113" t="str">
        <f aca="false">IF(M262&lt;&gt;"",SUMIF(M:M,M262,R:R),"")</f>
        <v/>
      </c>
      <c r="T262" s="113" t="str">
        <f aca="false">IF(I262&lt;&gt;"",I262,"")</f>
        <v/>
      </c>
      <c r="U262" s="114" t="str">
        <f aca="false">IF(AND(T262&lt;&gt;"",S262&lt;&gt;""),IFERROR((T262-S262)/T262,""),"")</f>
        <v/>
      </c>
    </row>
    <row r="263" customFormat="false" ht="18.75" hidden="false" customHeight="true" outlineLevel="0" collapsed="false">
      <c r="A263" s="109"/>
      <c r="B263" s="109"/>
      <c r="C263" s="109"/>
      <c r="D263" s="109"/>
      <c r="E263" s="109"/>
      <c r="F263" s="109"/>
      <c r="G263" s="110" t="str">
        <f aca="false">IF(AND(E263&lt;&gt;"",F263&lt;&gt;""),E263*F263,"")</f>
        <v/>
      </c>
      <c r="H263" s="110" t="str">
        <f aca="false">IF(B263&lt;&gt;"",SUMIF(B:B,B263,G:G),"")</f>
        <v/>
      </c>
      <c r="I263" s="109"/>
      <c r="J263" s="111" t="str">
        <f aca="false">IF(AND(I263&lt;&gt;"",H263&lt;&gt;""),IFERROR((I263-H263)/I263,""),"")</f>
        <v/>
      </c>
      <c r="K263" s="3"/>
      <c r="L263" s="109"/>
      <c r="M263" s="109"/>
      <c r="N263" s="109"/>
      <c r="O263" s="109"/>
      <c r="P263" s="109"/>
      <c r="Q263" s="109"/>
      <c r="R263" s="110" t="str">
        <f aca="false">IF(AND(P263&lt;&gt;"",Q263&lt;&gt;""),P263*Q263,"")</f>
        <v/>
      </c>
      <c r="S263" s="110" t="str">
        <f aca="false">IF(M263&lt;&gt;"",SUMIF(M:M,M263,R:R),"")</f>
        <v/>
      </c>
      <c r="T263" s="110" t="str">
        <f aca="false">IF(I263&lt;&gt;"",I263,"")</f>
        <v/>
      </c>
      <c r="U263" s="111" t="str">
        <f aca="false">IF(AND(T263&lt;&gt;"",S263&lt;&gt;""),IFERROR((T263-S263)/T263,""),"")</f>
        <v/>
      </c>
    </row>
    <row r="264" customFormat="false" ht="18.75" hidden="false" customHeight="true" outlineLevel="0" collapsed="false">
      <c r="A264" s="112"/>
      <c r="B264" s="112"/>
      <c r="C264" s="112"/>
      <c r="D264" s="112"/>
      <c r="E264" s="112"/>
      <c r="F264" s="112"/>
      <c r="G264" s="113" t="str">
        <f aca="false">IF(AND(E264&lt;&gt;"",F264&lt;&gt;""),E264*F264,"")</f>
        <v/>
      </c>
      <c r="H264" s="113" t="str">
        <f aca="false">IF(B264&lt;&gt;"",SUMIF(B:B,B264,G:G),"")</f>
        <v/>
      </c>
      <c r="I264" s="112"/>
      <c r="J264" s="114" t="str">
        <f aca="false">IF(AND(I264&lt;&gt;"",H264&lt;&gt;""),IFERROR((I264-H264)/I264,""),"")</f>
        <v/>
      </c>
      <c r="K264" s="3"/>
      <c r="L264" s="112"/>
      <c r="M264" s="112"/>
      <c r="N264" s="112"/>
      <c r="O264" s="112"/>
      <c r="P264" s="112"/>
      <c r="Q264" s="112"/>
      <c r="R264" s="113" t="str">
        <f aca="false">IF(AND(P264&lt;&gt;"",Q264&lt;&gt;""),P264*Q264,"")</f>
        <v/>
      </c>
      <c r="S264" s="113" t="str">
        <f aca="false">IF(M264&lt;&gt;"",SUMIF(M:M,M264,R:R),"")</f>
        <v/>
      </c>
      <c r="T264" s="113" t="str">
        <f aca="false">IF(I264&lt;&gt;"",I264,"")</f>
        <v/>
      </c>
      <c r="U264" s="114" t="str">
        <f aca="false">IF(AND(T264&lt;&gt;"",S264&lt;&gt;""),IFERROR((T264-S264)/T264,""),"")</f>
        <v/>
      </c>
    </row>
    <row r="265" customFormat="false" ht="18.75" hidden="false" customHeight="true" outlineLevel="0" collapsed="false">
      <c r="A265" s="109"/>
      <c r="B265" s="109"/>
      <c r="C265" s="109"/>
      <c r="D265" s="109"/>
      <c r="E265" s="109"/>
      <c r="F265" s="109"/>
      <c r="G265" s="110" t="str">
        <f aca="false">IF(AND(E265&lt;&gt;"",F265&lt;&gt;""),E265*F265,"")</f>
        <v/>
      </c>
      <c r="H265" s="110" t="str">
        <f aca="false">IF(B265&lt;&gt;"",SUMIF(B:B,B265,G:G),"")</f>
        <v/>
      </c>
      <c r="I265" s="109"/>
      <c r="J265" s="111" t="str">
        <f aca="false">IF(AND(I265&lt;&gt;"",H265&lt;&gt;""),IFERROR((I265-H265)/I265,""),"")</f>
        <v/>
      </c>
      <c r="K265" s="3"/>
      <c r="L265" s="109"/>
      <c r="M265" s="109"/>
      <c r="N265" s="109"/>
      <c r="O265" s="109"/>
      <c r="P265" s="109"/>
      <c r="Q265" s="109"/>
      <c r="R265" s="110" t="str">
        <f aca="false">IF(AND(P265&lt;&gt;"",Q265&lt;&gt;""),P265*Q265,"")</f>
        <v/>
      </c>
      <c r="S265" s="110" t="str">
        <f aca="false">IF(M265&lt;&gt;"",SUMIF(M:M,M265,R:R),"")</f>
        <v/>
      </c>
      <c r="T265" s="110" t="str">
        <f aca="false">IF(I265&lt;&gt;"",I265,"")</f>
        <v/>
      </c>
      <c r="U265" s="111" t="str">
        <f aca="false">IF(AND(T265&lt;&gt;"",S265&lt;&gt;""),IFERROR((T265-S265)/T265,""),"")</f>
        <v/>
      </c>
    </row>
    <row r="266" customFormat="false" ht="18.75" hidden="false" customHeight="true" outlineLevel="0" collapsed="false">
      <c r="A266" s="112"/>
      <c r="B266" s="112"/>
      <c r="C266" s="112"/>
      <c r="D266" s="112"/>
      <c r="E266" s="112"/>
      <c r="F266" s="112"/>
      <c r="G266" s="113" t="str">
        <f aca="false">IF(AND(E266&lt;&gt;"",F266&lt;&gt;""),E266*F266,"")</f>
        <v/>
      </c>
      <c r="H266" s="113" t="str">
        <f aca="false">IF(B266&lt;&gt;"",SUMIF(B:B,B266,G:G),"")</f>
        <v/>
      </c>
      <c r="I266" s="112"/>
      <c r="J266" s="114" t="str">
        <f aca="false">IF(AND(I266&lt;&gt;"",H266&lt;&gt;""),IFERROR((I266-H266)/I266,""),"")</f>
        <v/>
      </c>
      <c r="K266" s="3"/>
      <c r="L266" s="112"/>
      <c r="M266" s="112"/>
      <c r="N266" s="112"/>
      <c r="O266" s="112"/>
      <c r="P266" s="112"/>
      <c r="Q266" s="112"/>
      <c r="R266" s="113" t="str">
        <f aca="false">IF(AND(P266&lt;&gt;"",Q266&lt;&gt;""),P266*Q266,"")</f>
        <v/>
      </c>
      <c r="S266" s="113" t="str">
        <f aca="false">IF(M266&lt;&gt;"",SUMIF(M:M,M266,R:R),"")</f>
        <v/>
      </c>
      <c r="T266" s="113" t="str">
        <f aca="false">IF(I266&lt;&gt;"",I266,"")</f>
        <v/>
      </c>
      <c r="U266" s="114" t="str">
        <f aca="false">IF(AND(T266&lt;&gt;"",S266&lt;&gt;""),IFERROR((T266-S266)/T266,""),"")</f>
        <v/>
      </c>
    </row>
    <row r="267" customFormat="false" ht="18.75" hidden="false" customHeight="true" outlineLevel="0" collapsed="false">
      <c r="A267" s="109"/>
      <c r="B267" s="109"/>
      <c r="C267" s="109"/>
      <c r="D267" s="109"/>
      <c r="E267" s="109"/>
      <c r="F267" s="109"/>
      <c r="G267" s="110" t="str">
        <f aca="false">IF(AND(E267&lt;&gt;"",F267&lt;&gt;""),E267*F267,"")</f>
        <v/>
      </c>
      <c r="H267" s="110" t="str">
        <f aca="false">IF(B267&lt;&gt;"",SUMIF(B:B,B267,G:G),"")</f>
        <v/>
      </c>
      <c r="I267" s="109"/>
      <c r="J267" s="111" t="str">
        <f aca="false">IF(AND(I267&lt;&gt;"",H267&lt;&gt;""),IFERROR((I267-H267)/I267,""),"")</f>
        <v/>
      </c>
      <c r="K267" s="3"/>
      <c r="L267" s="109"/>
      <c r="M267" s="109"/>
      <c r="N267" s="109"/>
      <c r="O267" s="109"/>
      <c r="P267" s="109"/>
      <c r="Q267" s="109"/>
      <c r="R267" s="110" t="str">
        <f aca="false">IF(AND(P267&lt;&gt;"",Q267&lt;&gt;""),P267*Q267,"")</f>
        <v/>
      </c>
      <c r="S267" s="110" t="str">
        <f aca="false">IF(M267&lt;&gt;"",SUMIF(M:M,M267,R:R),"")</f>
        <v/>
      </c>
      <c r="T267" s="110" t="str">
        <f aca="false">IF(I267&lt;&gt;"",I267,"")</f>
        <v/>
      </c>
      <c r="U267" s="111" t="str">
        <f aca="false">IF(AND(T267&lt;&gt;"",S267&lt;&gt;""),IFERROR((T267-S267)/T267,""),"")</f>
        <v/>
      </c>
    </row>
    <row r="268" customFormat="false" ht="18.75" hidden="false" customHeight="true" outlineLevel="0" collapsed="false">
      <c r="A268" s="112"/>
      <c r="B268" s="112"/>
      <c r="C268" s="112"/>
      <c r="D268" s="112"/>
      <c r="E268" s="112"/>
      <c r="F268" s="112"/>
      <c r="G268" s="113" t="str">
        <f aca="false">IF(AND(E268&lt;&gt;"",F268&lt;&gt;""),E268*F268,"")</f>
        <v/>
      </c>
      <c r="H268" s="113" t="str">
        <f aca="false">IF(B268&lt;&gt;"",SUMIF(B:B,B268,G:G),"")</f>
        <v/>
      </c>
      <c r="I268" s="112"/>
      <c r="J268" s="114" t="str">
        <f aca="false">IF(AND(I268&lt;&gt;"",H268&lt;&gt;""),IFERROR((I268-H268)/I268,""),"")</f>
        <v/>
      </c>
      <c r="K268" s="3"/>
      <c r="L268" s="112"/>
      <c r="M268" s="112"/>
      <c r="N268" s="112"/>
      <c r="O268" s="112"/>
      <c r="P268" s="112"/>
      <c r="Q268" s="112"/>
      <c r="R268" s="113" t="str">
        <f aca="false">IF(AND(P268&lt;&gt;"",Q268&lt;&gt;""),P268*Q268,"")</f>
        <v/>
      </c>
      <c r="S268" s="113" t="str">
        <f aca="false">IF(M268&lt;&gt;"",SUMIF(M:M,M268,R:R),"")</f>
        <v/>
      </c>
      <c r="T268" s="113" t="str">
        <f aca="false">IF(I268&lt;&gt;"",I268,"")</f>
        <v/>
      </c>
      <c r="U268" s="114" t="str">
        <f aca="false">IF(AND(T268&lt;&gt;"",S268&lt;&gt;""),IFERROR((T268-S268)/T268,""),"")</f>
        <v/>
      </c>
    </row>
    <row r="269" customFormat="false" ht="18.75" hidden="false" customHeight="true" outlineLevel="0" collapsed="false">
      <c r="A269" s="109"/>
      <c r="B269" s="109"/>
      <c r="C269" s="109"/>
      <c r="D269" s="109"/>
      <c r="E269" s="109"/>
      <c r="F269" s="109"/>
      <c r="G269" s="110" t="str">
        <f aca="false">IF(AND(E269&lt;&gt;"",F269&lt;&gt;""),E269*F269,"")</f>
        <v/>
      </c>
      <c r="H269" s="110" t="str">
        <f aca="false">IF(B269&lt;&gt;"",SUMIF(B:B,B269,G:G),"")</f>
        <v/>
      </c>
      <c r="I269" s="109"/>
      <c r="J269" s="111" t="str">
        <f aca="false">IF(AND(I269&lt;&gt;"",H269&lt;&gt;""),IFERROR((I269-H269)/I269,""),"")</f>
        <v/>
      </c>
      <c r="K269" s="3"/>
      <c r="L269" s="109"/>
      <c r="M269" s="109"/>
      <c r="N269" s="109"/>
      <c r="O269" s="109"/>
      <c r="P269" s="109"/>
      <c r="Q269" s="109"/>
      <c r="R269" s="110" t="str">
        <f aca="false">IF(AND(P269&lt;&gt;"",Q269&lt;&gt;""),P269*Q269,"")</f>
        <v/>
      </c>
      <c r="S269" s="110" t="str">
        <f aca="false">IF(M269&lt;&gt;"",SUMIF(M:M,M269,R:R),"")</f>
        <v/>
      </c>
      <c r="T269" s="110" t="str">
        <f aca="false">IF(I269&lt;&gt;"",I269,"")</f>
        <v/>
      </c>
      <c r="U269" s="111" t="str">
        <f aca="false">IF(AND(T269&lt;&gt;"",S269&lt;&gt;""),IFERROR((T269-S269)/T269,""),"")</f>
        <v/>
      </c>
    </row>
    <row r="270" customFormat="false" ht="18.75" hidden="false" customHeight="true" outlineLevel="0" collapsed="false">
      <c r="A270" s="112"/>
      <c r="B270" s="112"/>
      <c r="C270" s="112"/>
      <c r="D270" s="112"/>
      <c r="E270" s="112"/>
      <c r="F270" s="112"/>
      <c r="G270" s="113" t="str">
        <f aca="false">IF(AND(E270&lt;&gt;"",F270&lt;&gt;""),E270*F270,"")</f>
        <v/>
      </c>
      <c r="H270" s="113" t="str">
        <f aca="false">IF(B270&lt;&gt;"",SUMIF(B:B,B270,G:G),"")</f>
        <v/>
      </c>
      <c r="I270" s="112"/>
      <c r="J270" s="114" t="str">
        <f aca="false">IF(AND(I270&lt;&gt;"",H270&lt;&gt;""),IFERROR((I270-H270)/I270,""),"")</f>
        <v/>
      </c>
      <c r="K270" s="3"/>
      <c r="L270" s="112"/>
      <c r="M270" s="112"/>
      <c r="N270" s="112"/>
      <c r="O270" s="112"/>
      <c r="P270" s="112"/>
      <c r="Q270" s="112"/>
      <c r="R270" s="113" t="str">
        <f aca="false">IF(AND(P270&lt;&gt;"",Q270&lt;&gt;""),P270*Q270,"")</f>
        <v/>
      </c>
      <c r="S270" s="113" t="str">
        <f aca="false">IF(M270&lt;&gt;"",SUMIF(M:M,M270,R:R),"")</f>
        <v/>
      </c>
      <c r="T270" s="113" t="str">
        <f aca="false">IF(I270&lt;&gt;"",I270,"")</f>
        <v/>
      </c>
      <c r="U270" s="114" t="str">
        <f aca="false">IF(AND(T270&lt;&gt;"",S270&lt;&gt;""),IFERROR((T270-S270)/T270,""),"")</f>
        <v/>
      </c>
    </row>
    <row r="271" customFormat="false" ht="18.75" hidden="false" customHeight="true" outlineLevel="0" collapsed="false">
      <c r="A271" s="109"/>
      <c r="B271" s="109"/>
      <c r="C271" s="109"/>
      <c r="D271" s="109"/>
      <c r="E271" s="109"/>
      <c r="F271" s="109"/>
      <c r="G271" s="110" t="str">
        <f aca="false">IF(AND(E271&lt;&gt;"",F271&lt;&gt;""),E271*F271,"")</f>
        <v/>
      </c>
      <c r="H271" s="110" t="str">
        <f aca="false">IF(B271&lt;&gt;"",SUMIF(B:B,B271,G:G),"")</f>
        <v/>
      </c>
      <c r="I271" s="109"/>
      <c r="J271" s="111" t="str">
        <f aca="false">IF(AND(I271&lt;&gt;"",H271&lt;&gt;""),IFERROR((I271-H271)/I271,""),"")</f>
        <v/>
      </c>
      <c r="K271" s="3"/>
      <c r="L271" s="109"/>
      <c r="M271" s="109"/>
      <c r="N271" s="109"/>
      <c r="O271" s="109"/>
      <c r="P271" s="109"/>
      <c r="Q271" s="109"/>
      <c r="R271" s="110" t="str">
        <f aca="false">IF(AND(P271&lt;&gt;"",Q271&lt;&gt;""),P271*Q271,"")</f>
        <v/>
      </c>
      <c r="S271" s="110" t="str">
        <f aca="false">IF(M271&lt;&gt;"",SUMIF(M:M,M271,R:R),"")</f>
        <v/>
      </c>
      <c r="T271" s="110" t="str">
        <f aca="false">IF(I271&lt;&gt;"",I271,"")</f>
        <v/>
      </c>
      <c r="U271" s="111" t="str">
        <f aca="false">IF(AND(T271&lt;&gt;"",S271&lt;&gt;""),IFERROR((T271-S271)/T271,""),"")</f>
        <v/>
      </c>
    </row>
    <row r="272" customFormat="false" ht="18.75" hidden="false" customHeight="true" outlineLevel="0" collapsed="false">
      <c r="A272" s="112"/>
      <c r="B272" s="112"/>
      <c r="C272" s="112"/>
      <c r="D272" s="112"/>
      <c r="E272" s="112"/>
      <c r="F272" s="112"/>
      <c r="G272" s="113" t="str">
        <f aca="false">IF(AND(E272&lt;&gt;"",F272&lt;&gt;""),E272*F272,"")</f>
        <v/>
      </c>
      <c r="H272" s="113" t="str">
        <f aca="false">IF(B272&lt;&gt;"",SUMIF(B:B,B272,G:G),"")</f>
        <v/>
      </c>
      <c r="I272" s="112"/>
      <c r="J272" s="114" t="str">
        <f aca="false">IF(AND(I272&lt;&gt;"",H272&lt;&gt;""),IFERROR((I272-H272)/I272,""),"")</f>
        <v/>
      </c>
      <c r="K272" s="3"/>
      <c r="L272" s="112"/>
      <c r="M272" s="112"/>
      <c r="N272" s="112"/>
      <c r="O272" s="112"/>
      <c r="P272" s="112"/>
      <c r="Q272" s="112"/>
      <c r="R272" s="113" t="str">
        <f aca="false">IF(AND(P272&lt;&gt;"",Q272&lt;&gt;""),P272*Q272,"")</f>
        <v/>
      </c>
      <c r="S272" s="113" t="str">
        <f aca="false">IF(M272&lt;&gt;"",SUMIF(M:M,M272,R:R),"")</f>
        <v/>
      </c>
      <c r="T272" s="113" t="str">
        <f aca="false">IF(I272&lt;&gt;"",I272,"")</f>
        <v/>
      </c>
      <c r="U272" s="114" t="str">
        <f aca="false">IF(AND(T272&lt;&gt;"",S272&lt;&gt;""),IFERROR((T272-S272)/T272,""),"")</f>
        <v/>
      </c>
    </row>
    <row r="273" customFormat="false" ht="18.75" hidden="false" customHeight="true" outlineLevel="0" collapsed="false">
      <c r="A273" s="109"/>
      <c r="B273" s="109"/>
      <c r="C273" s="109"/>
      <c r="D273" s="109"/>
      <c r="E273" s="109"/>
      <c r="F273" s="109"/>
      <c r="G273" s="110" t="str">
        <f aca="false">IF(AND(E273&lt;&gt;"",F273&lt;&gt;""),E273*F273,"")</f>
        <v/>
      </c>
      <c r="H273" s="110" t="str">
        <f aca="false">IF(B273&lt;&gt;"",SUMIF(B:B,B273,G:G),"")</f>
        <v/>
      </c>
      <c r="I273" s="109"/>
      <c r="J273" s="111" t="str">
        <f aca="false">IF(AND(I273&lt;&gt;"",H273&lt;&gt;""),IFERROR((I273-H273)/I273,""),"")</f>
        <v/>
      </c>
      <c r="K273" s="3"/>
      <c r="L273" s="109"/>
      <c r="M273" s="109"/>
      <c r="N273" s="109"/>
      <c r="O273" s="109"/>
      <c r="P273" s="109"/>
      <c r="Q273" s="109"/>
      <c r="R273" s="110" t="str">
        <f aca="false">IF(AND(P273&lt;&gt;"",Q273&lt;&gt;""),P273*Q273,"")</f>
        <v/>
      </c>
      <c r="S273" s="110" t="str">
        <f aca="false">IF(M273&lt;&gt;"",SUMIF(M:M,M273,R:R),"")</f>
        <v/>
      </c>
      <c r="T273" s="110" t="str">
        <f aca="false">IF(I273&lt;&gt;"",I273,"")</f>
        <v/>
      </c>
      <c r="U273" s="111" t="str">
        <f aca="false">IF(AND(T273&lt;&gt;"",S273&lt;&gt;""),IFERROR((T273-S273)/T273,""),"")</f>
        <v/>
      </c>
    </row>
    <row r="274" customFormat="false" ht="18.75" hidden="false" customHeight="true" outlineLevel="0" collapsed="false">
      <c r="A274" s="112"/>
      <c r="B274" s="112"/>
      <c r="C274" s="112"/>
      <c r="D274" s="112"/>
      <c r="E274" s="112"/>
      <c r="F274" s="112"/>
      <c r="G274" s="113" t="str">
        <f aca="false">IF(AND(E274&lt;&gt;"",F274&lt;&gt;""),E274*F274,"")</f>
        <v/>
      </c>
      <c r="H274" s="113" t="str">
        <f aca="false">IF(B274&lt;&gt;"",SUMIF(B:B,B274,G:G),"")</f>
        <v/>
      </c>
      <c r="I274" s="112"/>
      <c r="J274" s="114" t="str">
        <f aca="false">IF(AND(I274&lt;&gt;"",H274&lt;&gt;""),IFERROR((I274-H274)/I274,""),"")</f>
        <v/>
      </c>
      <c r="K274" s="3"/>
      <c r="L274" s="112"/>
      <c r="M274" s="112"/>
      <c r="N274" s="112"/>
      <c r="O274" s="112"/>
      <c r="P274" s="112"/>
      <c r="Q274" s="112"/>
      <c r="R274" s="113" t="str">
        <f aca="false">IF(AND(P274&lt;&gt;"",Q274&lt;&gt;""),P274*Q274,"")</f>
        <v/>
      </c>
      <c r="S274" s="113" t="str">
        <f aca="false">IF(M274&lt;&gt;"",SUMIF(M:M,M274,R:R),"")</f>
        <v/>
      </c>
      <c r="T274" s="113" t="str">
        <f aca="false">IF(I274&lt;&gt;"",I274,"")</f>
        <v/>
      </c>
      <c r="U274" s="114" t="str">
        <f aca="false">IF(AND(T274&lt;&gt;"",S274&lt;&gt;""),IFERROR((T274-S274)/T274,""),"")</f>
        <v/>
      </c>
    </row>
    <row r="275" customFormat="false" ht="18.75" hidden="false" customHeight="true" outlineLevel="0" collapsed="false">
      <c r="A275" s="109"/>
      <c r="B275" s="109"/>
      <c r="C275" s="109"/>
      <c r="D275" s="109"/>
      <c r="E275" s="109"/>
      <c r="F275" s="109"/>
      <c r="G275" s="110" t="str">
        <f aca="false">IF(AND(E275&lt;&gt;"",F275&lt;&gt;""),E275*F275,"")</f>
        <v/>
      </c>
      <c r="H275" s="110" t="str">
        <f aca="false">IF(B275&lt;&gt;"",SUMIF(B:B,B275,G:G),"")</f>
        <v/>
      </c>
      <c r="I275" s="109"/>
      <c r="J275" s="111" t="str">
        <f aca="false">IF(AND(I275&lt;&gt;"",H275&lt;&gt;""),IFERROR((I275-H275)/I275,""),"")</f>
        <v/>
      </c>
      <c r="K275" s="3"/>
      <c r="L275" s="109"/>
      <c r="M275" s="109"/>
      <c r="N275" s="109"/>
      <c r="O275" s="109"/>
      <c r="P275" s="109"/>
      <c r="Q275" s="109"/>
      <c r="R275" s="110" t="str">
        <f aca="false">IF(AND(P275&lt;&gt;"",Q275&lt;&gt;""),P275*Q275,"")</f>
        <v/>
      </c>
      <c r="S275" s="110" t="str">
        <f aca="false">IF(M275&lt;&gt;"",SUMIF(M:M,M275,R:R),"")</f>
        <v/>
      </c>
      <c r="T275" s="110" t="str">
        <f aca="false">IF(I275&lt;&gt;"",I275,"")</f>
        <v/>
      </c>
      <c r="U275" s="111" t="str">
        <f aca="false">IF(AND(T275&lt;&gt;"",S275&lt;&gt;""),IFERROR((T275-S275)/T275,""),"")</f>
        <v/>
      </c>
    </row>
    <row r="276" customFormat="false" ht="18.75" hidden="false" customHeight="true" outlineLevel="0" collapsed="false">
      <c r="A276" s="112"/>
      <c r="B276" s="112"/>
      <c r="C276" s="112"/>
      <c r="D276" s="112"/>
      <c r="E276" s="112"/>
      <c r="F276" s="112"/>
      <c r="G276" s="113" t="str">
        <f aca="false">IF(AND(E276&lt;&gt;"",F276&lt;&gt;""),E276*F276,"")</f>
        <v/>
      </c>
      <c r="H276" s="113" t="str">
        <f aca="false">IF(B276&lt;&gt;"",SUMIF(B:B,B276,G:G),"")</f>
        <v/>
      </c>
      <c r="I276" s="112"/>
      <c r="J276" s="114" t="str">
        <f aca="false">IF(AND(I276&lt;&gt;"",H276&lt;&gt;""),IFERROR((I276-H276)/I276,""),"")</f>
        <v/>
      </c>
      <c r="K276" s="3"/>
      <c r="L276" s="112"/>
      <c r="M276" s="112"/>
      <c r="N276" s="112"/>
      <c r="O276" s="112"/>
      <c r="P276" s="112"/>
      <c r="Q276" s="112"/>
      <c r="R276" s="113" t="str">
        <f aca="false">IF(AND(P276&lt;&gt;"",Q276&lt;&gt;""),P276*Q276,"")</f>
        <v/>
      </c>
      <c r="S276" s="113" t="str">
        <f aca="false">IF(M276&lt;&gt;"",SUMIF(M:M,M276,R:R),"")</f>
        <v/>
      </c>
      <c r="T276" s="113" t="str">
        <f aca="false">IF(I276&lt;&gt;"",I276,"")</f>
        <v/>
      </c>
      <c r="U276" s="114" t="str">
        <f aca="false">IF(AND(T276&lt;&gt;"",S276&lt;&gt;""),IFERROR((T276-S276)/T276,""),"")</f>
        <v/>
      </c>
    </row>
    <row r="277" customFormat="false" ht="18.75" hidden="false" customHeight="true" outlineLevel="0" collapsed="false">
      <c r="A277" s="109"/>
      <c r="B277" s="109"/>
      <c r="C277" s="109"/>
      <c r="D277" s="109"/>
      <c r="E277" s="109"/>
      <c r="F277" s="109"/>
      <c r="G277" s="110" t="str">
        <f aca="false">IF(AND(E277&lt;&gt;"",F277&lt;&gt;""),E277*F277,"")</f>
        <v/>
      </c>
      <c r="H277" s="110" t="str">
        <f aca="false">IF(B277&lt;&gt;"",SUMIF(B:B,B277,G:G),"")</f>
        <v/>
      </c>
      <c r="I277" s="109"/>
      <c r="J277" s="111" t="str">
        <f aca="false">IF(AND(I277&lt;&gt;"",H277&lt;&gt;""),IFERROR((I277-H277)/I277,""),"")</f>
        <v/>
      </c>
      <c r="K277" s="3"/>
      <c r="L277" s="109"/>
      <c r="M277" s="109"/>
      <c r="N277" s="109"/>
      <c r="O277" s="109"/>
      <c r="P277" s="109"/>
      <c r="Q277" s="109"/>
      <c r="R277" s="110" t="str">
        <f aca="false">IF(AND(P277&lt;&gt;"",Q277&lt;&gt;""),P277*Q277,"")</f>
        <v/>
      </c>
      <c r="S277" s="110" t="str">
        <f aca="false">IF(M277&lt;&gt;"",SUMIF(M:M,M277,R:R),"")</f>
        <v/>
      </c>
      <c r="T277" s="110" t="str">
        <f aca="false">IF(I277&lt;&gt;"",I277,"")</f>
        <v/>
      </c>
      <c r="U277" s="111" t="str">
        <f aca="false">IF(AND(T277&lt;&gt;"",S277&lt;&gt;""),IFERROR((T277-S277)/T277,""),"")</f>
        <v/>
      </c>
    </row>
    <row r="278" customFormat="false" ht="18.75" hidden="false" customHeight="true" outlineLevel="0" collapsed="false">
      <c r="A278" s="112"/>
      <c r="B278" s="112"/>
      <c r="C278" s="112"/>
      <c r="D278" s="112"/>
      <c r="E278" s="112"/>
      <c r="F278" s="112"/>
      <c r="G278" s="113" t="str">
        <f aca="false">IF(AND(E278&lt;&gt;"",F278&lt;&gt;""),E278*F278,"")</f>
        <v/>
      </c>
      <c r="H278" s="113" t="str">
        <f aca="false">IF(B278&lt;&gt;"",SUMIF(B:B,B278,G:G),"")</f>
        <v/>
      </c>
      <c r="I278" s="112"/>
      <c r="J278" s="114" t="str">
        <f aca="false">IF(AND(I278&lt;&gt;"",H278&lt;&gt;""),IFERROR((I278-H278)/I278,""),"")</f>
        <v/>
      </c>
      <c r="K278" s="3"/>
      <c r="L278" s="112"/>
      <c r="M278" s="112"/>
      <c r="N278" s="112"/>
      <c r="O278" s="112"/>
      <c r="P278" s="112"/>
      <c r="Q278" s="112"/>
      <c r="R278" s="113" t="str">
        <f aca="false">IF(AND(P278&lt;&gt;"",Q278&lt;&gt;""),P278*Q278,"")</f>
        <v/>
      </c>
      <c r="S278" s="113" t="str">
        <f aca="false">IF(M278&lt;&gt;"",SUMIF(M:M,M278,R:R),"")</f>
        <v/>
      </c>
      <c r="T278" s="113" t="str">
        <f aca="false">IF(I278&lt;&gt;"",I278,"")</f>
        <v/>
      </c>
      <c r="U278" s="114" t="str">
        <f aca="false">IF(AND(T278&lt;&gt;"",S278&lt;&gt;""),IFERROR((T278-S278)/T278,""),"")</f>
        <v/>
      </c>
    </row>
    <row r="279" customFormat="false" ht="18.75" hidden="false" customHeight="true" outlineLevel="0" collapsed="false">
      <c r="A279" s="109"/>
      <c r="B279" s="109"/>
      <c r="C279" s="109"/>
      <c r="D279" s="109"/>
      <c r="E279" s="109"/>
      <c r="F279" s="109"/>
      <c r="G279" s="110" t="str">
        <f aca="false">IF(AND(E279&lt;&gt;"",F279&lt;&gt;""),E279*F279,"")</f>
        <v/>
      </c>
      <c r="H279" s="110" t="str">
        <f aca="false">IF(B279&lt;&gt;"",SUMIF(B:B,B279,G:G),"")</f>
        <v/>
      </c>
      <c r="I279" s="109"/>
      <c r="J279" s="111" t="str">
        <f aca="false">IF(AND(I279&lt;&gt;"",H279&lt;&gt;""),IFERROR((I279-H279)/I279,""),"")</f>
        <v/>
      </c>
      <c r="K279" s="3"/>
      <c r="L279" s="109"/>
      <c r="M279" s="109"/>
      <c r="N279" s="109"/>
      <c r="O279" s="109"/>
      <c r="P279" s="109"/>
      <c r="Q279" s="109"/>
      <c r="R279" s="110" t="str">
        <f aca="false">IF(AND(P279&lt;&gt;"",Q279&lt;&gt;""),P279*Q279,"")</f>
        <v/>
      </c>
      <c r="S279" s="110" t="str">
        <f aca="false">IF(M279&lt;&gt;"",SUMIF(M:M,M279,R:R),"")</f>
        <v/>
      </c>
      <c r="T279" s="110" t="str">
        <f aca="false">IF(I279&lt;&gt;"",I279,"")</f>
        <v/>
      </c>
      <c r="U279" s="111" t="str">
        <f aca="false">IF(AND(T279&lt;&gt;"",S279&lt;&gt;""),IFERROR((T279-S279)/T279,""),"")</f>
        <v/>
      </c>
    </row>
    <row r="280" customFormat="false" ht="18.75" hidden="false" customHeight="true" outlineLevel="0" collapsed="false">
      <c r="K280" s="3"/>
    </row>
    <row r="281" customFormat="false" ht="18.75" hidden="false" customHeight="true" outlineLevel="0" collapsed="false">
      <c r="K281" s="3"/>
    </row>
    <row r="282" customFormat="false" ht="18.75" hidden="false" customHeight="true" outlineLevel="0" collapsed="false">
      <c r="K282" s="3"/>
    </row>
    <row r="283" customFormat="false" ht="18.75" hidden="false" customHeight="true" outlineLevel="0" collapsed="false">
      <c r="K283" s="3"/>
    </row>
    <row r="284" customFormat="false" ht="18.75" hidden="false" customHeight="true" outlineLevel="0" collapsed="false">
      <c r="K284" s="3"/>
    </row>
    <row r="285" customFormat="false" ht="18.75" hidden="false" customHeight="true" outlineLevel="0" collapsed="false">
      <c r="K285" s="3"/>
    </row>
    <row r="286" customFormat="false" ht="18.75" hidden="false" customHeight="true" outlineLevel="0" collapsed="false">
      <c r="K286" s="3"/>
    </row>
    <row r="287" customFormat="false" ht="18.75" hidden="false" customHeight="true" outlineLevel="0" collapsed="false">
      <c r="K287" s="3"/>
    </row>
    <row r="288" customFormat="false" ht="18.75" hidden="false" customHeight="true" outlineLevel="0" collapsed="false">
      <c r="K288" s="3"/>
    </row>
    <row r="289" customFormat="false" ht="18.75" hidden="false" customHeight="true" outlineLevel="0" collapsed="false">
      <c r="K289" s="3"/>
    </row>
    <row r="290" customFormat="false" ht="18.75" hidden="false" customHeight="true" outlineLevel="0" collapsed="false">
      <c r="K290" s="3"/>
    </row>
    <row r="291" customFormat="false" ht="18.75" hidden="false" customHeight="true" outlineLevel="0" collapsed="false">
      <c r="K291" s="3"/>
    </row>
    <row r="292" customFormat="false" ht="18.75" hidden="false" customHeight="true" outlineLevel="0" collapsed="false">
      <c r="K292" s="3"/>
    </row>
    <row r="293" customFormat="false" ht="18.75" hidden="false" customHeight="true" outlineLevel="0" collapsed="false">
      <c r="K293" s="3"/>
    </row>
    <row r="294" customFormat="false" ht="18.75" hidden="false" customHeight="true" outlineLevel="0" collapsed="false">
      <c r="K294" s="3"/>
    </row>
    <row r="295" customFormat="false" ht="18.75" hidden="false" customHeight="true" outlineLevel="0" collapsed="false">
      <c r="K295" s="3"/>
    </row>
    <row r="296" customFormat="false" ht="18.75" hidden="false" customHeight="true" outlineLevel="0" collapsed="false">
      <c r="K296" s="3"/>
    </row>
    <row r="297" customFormat="false" ht="18.75" hidden="false" customHeight="true" outlineLevel="0" collapsed="false">
      <c r="K297" s="3"/>
    </row>
    <row r="298" customFormat="false" ht="18.75" hidden="false" customHeight="true" outlineLevel="0" collapsed="false">
      <c r="K298" s="3"/>
    </row>
    <row r="299" customFormat="false" ht="18.75" hidden="false" customHeight="true" outlineLevel="0" collapsed="false">
      <c r="K299" s="3"/>
    </row>
    <row r="300" customFormat="false" ht="18.75" hidden="false" customHeight="true" outlineLevel="0" collapsed="false">
      <c r="K300" s="3"/>
    </row>
    <row r="301" customFormat="false" ht="18.75" hidden="false" customHeight="true" outlineLevel="0" collapsed="false">
      <c r="K301" s="3"/>
    </row>
    <row r="302" customFormat="false" ht="18.75" hidden="false" customHeight="true" outlineLevel="0" collapsed="false">
      <c r="K302" s="3"/>
    </row>
    <row r="303" customFormat="false" ht="18.75" hidden="false" customHeight="true" outlineLevel="0" collapsed="false">
      <c r="K303" s="3"/>
    </row>
    <row r="304" customFormat="false" ht="18.75" hidden="false" customHeight="true" outlineLevel="0" collapsed="false">
      <c r="K304" s="3"/>
    </row>
    <row r="305" customFormat="false" ht="18.75" hidden="false" customHeight="true" outlineLevel="0" collapsed="false">
      <c r="K305" s="3"/>
    </row>
    <row r="306" customFormat="false" ht="18.75" hidden="false" customHeight="true" outlineLevel="0" collapsed="false">
      <c r="K306" s="3"/>
    </row>
    <row r="307" customFormat="false" ht="18.75" hidden="false" customHeight="true" outlineLevel="0" collapsed="false">
      <c r="K307" s="3"/>
    </row>
    <row r="308" customFormat="false" ht="18.75" hidden="false" customHeight="true" outlineLevel="0" collapsed="false">
      <c r="K308" s="3"/>
    </row>
    <row r="309" customFormat="false" ht="18.75" hidden="false" customHeight="true" outlineLevel="0" collapsed="false">
      <c r="K309" s="3"/>
    </row>
    <row r="310" customFormat="false" ht="18.75" hidden="false" customHeight="true" outlineLevel="0" collapsed="false">
      <c r="K310" s="3"/>
    </row>
    <row r="311" customFormat="false" ht="18.75" hidden="false" customHeight="true" outlineLevel="0" collapsed="false">
      <c r="K311" s="3"/>
    </row>
    <row r="312" customFormat="false" ht="18.75" hidden="false" customHeight="true" outlineLevel="0" collapsed="false">
      <c r="K312" s="3"/>
    </row>
    <row r="313" customFormat="false" ht="18.75" hidden="false" customHeight="true" outlineLevel="0" collapsed="false">
      <c r="K313" s="3"/>
    </row>
    <row r="314" customFormat="false" ht="18.75" hidden="false" customHeight="true" outlineLevel="0" collapsed="false">
      <c r="K314" s="3"/>
    </row>
    <row r="315" customFormat="false" ht="18.75" hidden="false" customHeight="true" outlineLevel="0" collapsed="false">
      <c r="K315" s="3"/>
    </row>
    <row r="316" customFormat="false" ht="18.75" hidden="false" customHeight="true" outlineLevel="0" collapsed="false">
      <c r="K316" s="3"/>
    </row>
    <row r="317" customFormat="false" ht="18.75" hidden="false" customHeight="true" outlineLevel="0" collapsed="false">
      <c r="K317" s="3"/>
    </row>
    <row r="318" customFormat="false" ht="18.75" hidden="false" customHeight="true" outlineLevel="0" collapsed="false">
      <c r="K318" s="3"/>
    </row>
    <row r="319" customFormat="false" ht="18.75" hidden="false" customHeight="true" outlineLevel="0" collapsed="false">
      <c r="K319" s="3"/>
    </row>
    <row r="320" customFormat="false" ht="18.75" hidden="false" customHeight="true" outlineLevel="0" collapsed="false">
      <c r="K320" s="3"/>
    </row>
    <row r="321" customFormat="false" ht="18.75" hidden="false" customHeight="true" outlineLevel="0" collapsed="false">
      <c r="K321" s="3"/>
    </row>
    <row r="322" customFormat="false" ht="18.75" hidden="false" customHeight="true" outlineLevel="0" collapsed="false">
      <c r="K322" s="3"/>
    </row>
    <row r="323" customFormat="false" ht="18.75" hidden="false" customHeight="true" outlineLevel="0" collapsed="false">
      <c r="K323" s="3"/>
    </row>
    <row r="324" customFormat="false" ht="18.75" hidden="false" customHeight="true" outlineLevel="0" collapsed="false">
      <c r="K324" s="3"/>
    </row>
    <row r="325" customFormat="false" ht="18.75" hidden="false" customHeight="true" outlineLevel="0" collapsed="false">
      <c r="K325" s="3"/>
    </row>
    <row r="326" customFormat="false" ht="18.75" hidden="false" customHeight="true" outlineLevel="0" collapsed="false">
      <c r="K326" s="3"/>
    </row>
    <row r="327" customFormat="false" ht="18.75" hidden="false" customHeight="true" outlineLevel="0" collapsed="false">
      <c r="K327" s="3"/>
    </row>
    <row r="328" customFormat="false" ht="18.75" hidden="false" customHeight="true" outlineLevel="0" collapsed="false">
      <c r="K328" s="3"/>
    </row>
    <row r="329" customFormat="false" ht="18.75" hidden="false" customHeight="true" outlineLevel="0" collapsed="false">
      <c r="K329" s="3"/>
    </row>
    <row r="330" customFormat="false" ht="18.75" hidden="false" customHeight="true" outlineLevel="0" collapsed="false">
      <c r="K330" s="3"/>
    </row>
    <row r="331" customFormat="false" ht="18.75" hidden="false" customHeight="true" outlineLevel="0" collapsed="false">
      <c r="K331" s="3"/>
    </row>
    <row r="332" customFormat="false" ht="18.75" hidden="false" customHeight="true" outlineLevel="0" collapsed="false">
      <c r="K332" s="3"/>
    </row>
    <row r="333" customFormat="false" ht="18.75" hidden="false" customHeight="true" outlineLevel="0" collapsed="false">
      <c r="K333" s="3"/>
    </row>
    <row r="334" customFormat="false" ht="18.75" hidden="false" customHeight="true" outlineLevel="0" collapsed="false">
      <c r="K334" s="3"/>
    </row>
    <row r="335" customFormat="false" ht="18.75" hidden="false" customHeight="true" outlineLevel="0" collapsed="false">
      <c r="K335" s="3"/>
    </row>
    <row r="336" customFormat="false" ht="18.75" hidden="false" customHeight="true" outlineLevel="0" collapsed="false">
      <c r="K336" s="3"/>
    </row>
    <row r="337" customFormat="false" ht="18.75" hidden="false" customHeight="true" outlineLevel="0" collapsed="false">
      <c r="K337" s="3"/>
    </row>
    <row r="338" customFormat="false" ht="18.75" hidden="false" customHeight="true" outlineLevel="0" collapsed="false">
      <c r="K338" s="3"/>
    </row>
    <row r="339" customFormat="false" ht="18.75" hidden="false" customHeight="true" outlineLevel="0" collapsed="false">
      <c r="K339" s="3"/>
    </row>
    <row r="340" customFormat="false" ht="18.75" hidden="false" customHeight="true" outlineLevel="0" collapsed="false">
      <c r="K340" s="3"/>
    </row>
    <row r="341" customFormat="false" ht="18.75" hidden="false" customHeight="true" outlineLevel="0" collapsed="false">
      <c r="K341" s="3"/>
    </row>
    <row r="342" customFormat="false" ht="18.75" hidden="false" customHeight="true" outlineLevel="0" collapsed="false">
      <c r="K342" s="3"/>
    </row>
    <row r="343" customFormat="false" ht="18.75" hidden="false" customHeight="true" outlineLevel="0" collapsed="false">
      <c r="K343" s="3"/>
    </row>
    <row r="344" customFormat="false" ht="18.75" hidden="false" customHeight="true" outlineLevel="0" collapsed="false">
      <c r="K344" s="3"/>
    </row>
    <row r="345" customFormat="false" ht="18.75" hidden="false" customHeight="true" outlineLevel="0" collapsed="false">
      <c r="K345" s="3"/>
    </row>
    <row r="346" customFormat="false" ht="18.75" hidden="false" customHeight="true" outlineLevel="0" collapsed="false">
      <c r="K346" s="3"/>
    </row>
    <row r="347" customFormat="false" ht="18.75" hidden="false" customHeight="true" outlineLevel="0" collapsed="false">
      <c r="K347" s="3"/>
    </row>
    <row r="348" customFormat="false" ht="18.75" hidden="false" customHeight="true" outlineLevel="0" collapsed="false">
      <c r="K348" s="3"/>
    </row>
    <row r="349" customFormat="false" ht="18.75" hidden="false" customHeight="true" outlineLevel="0" collapsed="false">
      <c r="K349" s="3"/>
    </row>
    <row r="350" customFormat="false" ht="18.75" hidden="false" customHeight="true" outlineLevel="0" collapsed="false">
      <c r="K350" s="3"/>
    </row>
    <row r="351" customFormat="false" ht="18.75" hidden="false" customHeight="true" outlineLevel="0" collapsed="false">
      <c r="K351" s="3"/>
    </row>
    <row r="352" customFormat="false" ht="18.75" hidden="false" customHeight="true" outlineLevel="0" collapsed="false">
      <c r="K352" s="3"/>
    </row>
    <row r="353" customFormat="false" ht="18.75" hidden="false" customHeight="true" outlineLevel="0" collapsed="false">
      <c r="K353" s="3"/>
    </row>
    <row r="354" customFormat="false" ht="18.75" hidden="false" customHeight="true" outlineLevel="0" collapsed="false">
      <c r="K354" s="3"/>
    </row>
    <row r="355" customFormat="false" ht="18.75" hidden="false" customHeight="true" outlineLevel="0" collapsed="false">
      <c r="K355" s="3"/>
    </row>
    <row r="356" customFormat="false" ht="18.75" hidden="false" customHeight="true" outlineLevel="0" collapsed="false">
      <c r="K356" s="3"/>
    </row>
    <row r="357" customFormat="false" ht="18.75" hidden="false" customHeight="true" outlineLevel="0" collapsed="false">
      <c r="K357" s="3"/>
    </row>
    <row r="358" customFormat="false" ht="18.75" hidden="false" customHeight="true" outlineLevel="0" collapsed="false">
      <c r="K358" s="3"/>
    </row>
    <row r="359" customFormat="false" ht="18.75" hidden="false" customHeight="true" outlineLevel="0" collapsed="false">
      <c r="K359" s="3"/>
    </row>
    <row r="360" customFormat="false" ht="18.75" hidden="false" customHeight="true" outlineLevel="0" collapsed="false">
      <c r="K360" s="3"/>
    </row>
    <row r="361" customFormat="false" ht="18.75" hidden="false" customHeight="true" outlineLevel="0" collapsed="false">
      <c r="K361" s="3"/>
    </row>
    <row r="362" customFormat="false" ht="18.75" hidden="false" customHeight="true" outlineLevel="0" collapsed="false">
      <c r="K362" s="3"/>
    </row>
    <row r="363" customFormat="false" ht="18.75" hidden="false" customHeight="true" outlineLevel="0" collapsed="false">
      <c r="K363" s="3"/>
    </row>
    <row r="364" customFormat="false" ht="18.75" hidden="false" customHeight="true" outlineLevel="0" collapsed="false">
      <c r="K364" s="3"/>
    </row>
    <row r="365" customFormat="false" ht="18.75" hidden="false" customHeight="true" outlineLevel="0" collapsed="false">
      <c r="K365" s="3"/>
    </row>
    <row r="366" customFormat="false" ht="18.75" hidden="false" customHeight="true" outlineLevel="0" collapsed="false">
      <c r="K366" s="3"/>
    </row>
    <row r="367" customFormat="false" ht="18.75" hidden="false" customHeight="true" outlineLevel="0" collapsed="false">
      <c r="K367" s="3"/>
    </row>
    <row r="368" customFormat="false" ht="18.75" hidden="false" customHeight="true" outlineLevel="0" collapsed="false">
      <c r="K368" s="3"/>
    </row>
    <row r="369" customFormat="false" ht="18.75" hidden="false" customHeight="true" outlineLevel="0" collapsed="false">
      <c r="K369" s="3"/>
    </row>
    <row r="370" customFormat="false" ht="18.75" hidden="false" customHeight="true" outlineLevel="0" collapsed="false">
      <c r="K370" s="3"/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>
      <c r="K596" s="3"/>
    </row>
    <row r="597" customFormat="false" ht="18.75" hidden="false" customHeight="true" outlineLevel="0" collapsed="false">
      <c r="K597" s="3"/>
    </row>
    <row r="598" customFormat="false" ht="18.75" hidden="false" customHeight="true" outlineLevel="0" collapsed="false">
      <c r="K598" s="3"/>
    </row>
    <row r="599" customFormat="false" ht="18.75" hidden="false" customHeight="true" outlineLevel="0" collapsed="false">
      <c r="K599" s="3"/>
    </row>
  </sheetData>
  <mergeCells count="23">
    <mergeCell ref="A2:U2"/>
    <mergeCell ref="A4:J4"/>
    <mergeCell ref="L4:U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U5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3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7" min="16" style="1" width="8"/>
    <col collapsed="false" customWidth="true" hidden="false" outlineLevel="0" max="18" min="18" style="1" width="11"/>
    <col collapsed="false" customWidth="true" hidden="false" outlineLevel="0" max="19" min="19" style="1" width="12"/>
    <col collapsed="false" customWidth="true" hidden="false" outlineLevel="0" max="20" min="20" style="1" width="11"/>
    <col collapsed="false" customWidth="true" hidden="false" outlineLevel="0" max="21" min="21" style="1" width="10"/>
  </cols>
  <sheetData>
    <row r="1" customFormat="false" ht="6" hidden="false" customHeight="true" outlineLevel="0" collapsed="false"/>
    <row r="2" customFormat="false" ht="36" hidden="false" customHeight="true" outlineLevel="0" collapsed="false">
      <c r="A2" s="2" t="s">
        <v>778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.75" hidden="false" customHeight="true" outlineLevel="0" collapsed="false">
      <c r="A4" s="80" t="s">
        <v>65</v>
      </c>
      <c r="B4" s="80"/>
      <c r="C4" s="80"/>
      <c r="D4" s="80"/>
      <c r="E4" s="80"/>
      <c r="F4" s="80"/>
      <c r="G4" s="80"/>
      <c r="H4" s="80"/>
      <c r="I4" s="80"/>
      <c r="J4" s="80"/>
      <c r="K4" s="3"/>
      <c r="L4" s="81" t="s">
        <v>66</v>
      </c>
      <c r="M4" s="81"/>
      <c r="N4" s="81"/>
      <c r="O4" s="81"/>
      <c r="P4" s="81"/>
      <c r="Q4" s="81"/>
      <c r="R4" s="81"/>
      <c r="S4" s="81"/>
      <c r="T4" s="81"/>
      <c r="U4" s="81"/>
    </row>
    <row r="5" customFormat="false" ht="25.5" hidden="false" customHeight="true" outlineLevel="0" collapsed="false">
      <c r="A5" s="44" t="s">
        <v>10</v>
      </c>
      <c r="B5" s="44" t="s">
        <v>67</v>
      </c>
      <c r="C5" s="44" t="s">
        <v>68</v>
      </c>
      <c r="D5" s="44" t="s">
        <v>69</v>
      </c>
      <c r="E5" s="44" t="s">
        <v>70</v>
      </c>
      <c r="F5" s="44" t="s">
        <v>71</v>
      </c>
      <c r="G5" s="44" t="s">
        <v>72</v>
      </c>
      <c r="H5" s="44" t="s">
        <v>73</v>
      </c>
      <c r="I5" s="44" t="s">
        <v>74</v>
      </c>
      <c r="J5" s="44" t="s">
        <v>75</v>
      </c>
      <c r="K5" s="3"/>
      <c r="L5" s="44" t="s">
        <v>10</v>
      </c>
      <c r="M5" s="44" t="s">
        <v>67</v>
      </c>
      <c r="N5" s="44" t="s">
        <v>68</v>
      </c>
      <c r="O5" s="44" t="s">
        <v>69</v>
      </c>
      <c r="P5" s="44" t="s">
        <v>70</v>
      </c>
      <c r="Q5" s="44" t="s">
        <v>71</v>
      </c>
      <c r="R5" s="44" t="s">
        <v>72</v>
      </c>
      <c r="S5" s="44" t="s">
        <v>73</v>
      </c>
      <c r="T5" s="44" t="s">
        <v>74</v>
      </c>
      <c r="U5" s="44" t="s">
        <v>76</v>
      </c>
    </row>
    <row r="6" customFormat="false" ht="19.5" hidden="false" customHeight="tru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3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customFormat="false" ht="18.75" hidden="false" customHeight="true" outlineLevel="0" collapsed="false">
      <c r="A7" s="91"/>
      <c r="B7" s="92"/>
      <c r="C7" s="84" t="s">
        <v>556</v>
      </c>
      <c r="D7" s="96" t="s">
        <v>57</v>
      </c>
      <c r="E7" s="91"/>
      <c r="F7" s="91"/>
      <c r="G7" s="87"/>
      <c r="H7" s="93"/>
      <c r="I7" s="94"/>
      <c r="J7" s="95"/>
      <c r="K7" s="3"/>
      <c r="L7" s="91"/>
      <c r="M7" s="92"/>
      <c r="N7" s="84" t="s">
        <v>556</v>
      </c>
      <c r="O7" s="96" t="s">
        <v>57</v>
      </c>
      <c r="P7" s="91"/>
      <c r="Q7" s="91"/>
      <c r="R7" s="120"/>
      <c r="S7" s="93"/>
      <c r="T7" s="94"/>
      <c r="U7" s="95"/>
    </row>
    <row r="8" customFormat="false" ht="18.75" hidden="false" customHeight="true" outlineLevel="0" collapsed="false">
      <c r="A8" s="91"/>
      <c r="B8" s="92"/>
      <c r="C8" s="84" t="s">
        <v>556</v>
      </c>
      <c r="D8" s="96" t="s">
        <v>57</v>
      </c>
      <c r="E8" s="91"/>
      <c r="F8" s="91"/>
      <c r="G8" s="87"/>
      <c r="H8" s="93"/>
      <c r="I8" s="94"/>
      <c r="J8" s="95"/>
      <c r="K8" s="3"/>
      <c r="L8" s="91"/>
      <c r="M8" s="92"/>
      <c r="N8" s="84" t="s">
        <v>556</v>
      </c>
      <c r="O8" s="96" t="s">
        <v>57</v>
      </c>
      <c r="P8" s="91"/>
      <c r="Q8" s="91"/>
      <c r="R8" s="120"/>
      <c r="S8" s="93"/>
      <c r="T8" s="94"/>
      <c r="U8" s="95"/>
    </row>
    <row r="9" customFormat="false" ht="18.75" hidden="false" customHeight="true" outlineLevel="0" collapsed="false">
      <c r="A9" s="91"/>
      <c r="B9" s="92"/>
      <c r="C9" s="84" t="s">
        <v>779</v>
      </c>
      <c r="D9" s="96" t="s">
        <v>57</v>
      </c>
      <c r="E9" s="91"/>
      <c r="F9" s="86" t="n">
        <v>48</v>
      </c>
      <c r="G9" s="87" t="n">
        <v>15</v>
      </c>
      <c r="H9" s="93"/>
      <c r="I9" s="94"/>
      <c r="J9" s="95"/>
      <c r="K9" s="3"/>
      <c r="L9" s="91"/>
      <c r="M9" s="92"/>
      <c r="N9" s="84" t="s">
        <v>779</v>
      </c>
      <c r="O9" s="96" t="s">
        <v>57</v>
      </c>
      <c r="P9" s="91"/>
      <c r="Q9" s="86" t="n">
        <v>48</v>
      </c>
      <c r="R9" s="87" t="n">
        <v>15</v>
      </c>
      <c r="S9" s="93"/>
      <c r="T9" s="94"/>
      <c r="U9" s="95"/>
    </row>
    <row r="10" customFormat="false" ht="18.75" hidden="false" customHeight="true" outlineLevel="0" collapsed="false">
      <c r="A10" s="91"/>
      <c r="B10" s="92"/>
      <c r="C10" s="84" t="s">
        <v>780</v>
      </c>
      <c r="D10" s="96" t="s">
        <v>57</v>
      </c>
      <c r="E10" s="91"/>
      <c r="F10" s="86" t="n">
        <v>8</v>
      </c>
      <c r="G10" s="87" t="n">
        <v>15</v>
      </c>
      <c r="H10" s="93"/>
      <c r="I10" s="94"/>
      <c r="J10" s="95"/>
      <c r="K10" s="3"/>
      <c r="L10" s="91"/>
      <c r="M10" s="92"/>
      <c r="N10" s="84" t="s">
        <v>780</v>
      </c>
      <c r="O10" s="96" t="s">
        <v>57</v>
      </c>
      <c r="P10" s="91"/>
      <c r="Q10" s="86" t="n">
        <v>8</v>
      </c>
      <c r="R10" s="87" t="n">
        <v>15</v>
      </c>
      <c r="S10" s="93"/>
      <c r="T10" s="94"/>
      <c r="U10" s="95"/>
    </row>
    <row r="11" customFormat="false" ht="18.75" hidden="false" customHeight="true" outlineLevel="0" collapsed="false">
      <c r="A11" s="91"/>
      <c r="B11" s="92"/>
      <c r="C11" s="84" t="s">
        <v>781</v>
      </c>
      <c r="D11" s="96" t="s">
        <v>57</v>
      </c>
      <c r="E11" s="91"/>
      <c r="F11" s="86" t="n">
        <v>32</v>
      </c>
      <c r="G11" s="87" t="n">
        <v>15</v>
      </c>
      <c r="H11" s="93"/>
      <c r="I11" s="94"/>
      <c r="J11" s="95"/>
      <c r="K11" s="3"/>
      <c r="L11" s="91"/>
      <c r="M11" s="92"/>
      <c r="N11" s="84" t="s">
        <v>781</v>
      </c>
      <c r="O11" s="96" t="s">
        <v>57</v>
      </c>
      <c r="P11" s="91"/>
      <c r="Q11" s="86" t="n">
        <v>32</v>
      </c>
      <c r="R11" s="87" t="n">
        <v>15</v>
      </c>
      <c r="S11" s="93"/>
      <c r="T11" s="94"/>
      <c r="U11" s="95"/>
    </row>
    <row r="12" customFormat="false" ht="18.75" hidden="false" customHeight="true" outlineLevel="0" collapsed="false">
      <c r="A12" s="91"/>
      <c r="B12" s="92"/>
      <c r="C12" s="84" t="s">
        <v>782</v>
      </c>
      <c r="D12" s="96" t="s">
        <v>57</v>
      </c>
      <c r="E12" s="91"/>
      <c r="F12" s="86" t="n">
        <v>40</v>
      </c>
      <c r="G12" s="87" t="n">
        <v>15</v>
      </c>
      <c r="H12" s="93"/>
      <c r="I12" s="94"/>
      <c r="J12" s="95"/>
      <c r="K12" s="3"/>
      <c r="L12" s="91"/>
      <c r="M12" s="92"/>
      <c r="N12" s="84" t="s">
        <v>782</v>
      </c>
      <c r="O12" s="96" t="s">
        <v>57</v>
      </c>
      <c r="P12" s="91"/>
      <c r="Q12" s="86" t="n">
        <v>40</v>
      </c>
      <c r="R12" s="87" t="n">
        <v>15</v>
      </c>
      <c r="S12" s="93"/>
      <c r="T12" s="94"/>
      <c r="U12" s="95"/>
    </row>
    <row r="13" customFormat="false" ht="18.75" hidden="false" customHeight="true" outlineLevel="0" collapsed="false">
      <c r="A13" s="91"/>
      <c r="B13" s="92"/>
      <c r="C13" s="84" t="s">
        <v>783</v>
      </c>
      <c r="D13" s="96" t="s">
        <v>57</v>
      </c>
      <c r="E13" s="91"/>
      <c r="F13" s="86" t="n">
        <v>55</v>
      </c>
      <c r="G13" s="87" t="n">
        <v>15</v>
      </c>
      <c r="H13" s="93"/>
      <c r="I13" s="94"/>
      <c r="J13" s="95"/>
      <c r="K13" s="3"/>
      <c r="L13" s="91"/>
      <c r="M13" s="92"/>
      <c r="N13" s="84" t="s">
        <v>783</v>
      </c>
      <c r="O13" s="96" t="s">
        <v>57</v>
      </c>
      <c r="P13" s="91"/>
      <c r="Q13" s="86" t="n">
        <v>55</v>
      </c>
      <c r="R13" s="87" t="n">
        <v>15</v>
      </c>
      <c r="S13" s="93"/>
      <c r="T13" s="94"/>
      <c r="U13" s="95"/>
    </row>
    <row r="14" customFormat="false" ht="18.75" hidden="false" customHeight="true" outlineLevel="0" collapsed="false">
      <c r="A14" s="91"/>
      <c r="B14" s="92"/>
      <c r="C14" s="84" t="s">
        <v>784</v>
      </c>
      <c r="D14" s="96" t="s">
        <v>57</v>
      </c>
      <c r="E14" s="91"/>
      <c r="F14" s="86" t="n">
        <v>7</v>
      </c>
      <c r="G14" s="87" t="n">
        <v>20</v>
      </c>
      <c r="H14" s="93"/>
      <c r="I14" s="94"/>
      <c r="J14" s="95"/>
      <c r="K14" s="3"/>
      <c r="L14" s="91"/>
      <c r="M14" s="92"/>
      <c r="N14" s="84" t="s">
        <v>784</v>
      </c>
      <c r="O14" s="96" t="s">
        <v>57</v>
      </c>
      <c r="P14" s="91"/>
      <c r="Q14" s="86" t="n">
        <v>7</v>
      </c>
      <c r="R14" s="87" t="n">
        <v>20</v>
      </c>
      <c r="S14" s="93"/>
      <c r="T14" s="94"/>
      <c r="U14" s="95"/>
    </row>
    <row r="15" customFormat="false" ht="18.75" hidden="false" customHeight="true" outlineLevel="0" collapsed="false">
      <c r="A15" s="91"/>
      <c r="B15" s="92"/>
      <c r="C15" s="84" t="s">
        <v>785</v>
      </c>
      <c r="D15" s="96" t="s">
        <v>57</v>
      </c>
      <c r="E15" s="91"/>
      <c r="F15" s="86" t="n">
        <v>9.5</v>
      </c>
      <c r="G15" s="87" t="n">
        <v>14</v>
      </c>
      <c r="H15" s="93"/>
      <c r="I15" s="94"/>
      <c r="J15" s="95"/>
      <c r="K15" s="3"/>
      <c r="L15" s="91"/>
      <c r="M15" s="92"/>
      <c r="N15" s="84" t="s">
        <v>785</v>
      </c>
      <c r="O15" s="96" t="s">
        <v>57</v>
      </c>
      <c r="P15" s="91"/>
      <c r="Q15" s="86" t="n">
        <v>9.5</v>
      </c>
      <c r="R15" s="87" t="n">
        <v>14</v>
      </c>
      <c r="S15" s="93"/>
      <c r="T15" s="94"/>
      <c r="U15" s="95"/>
    </row>
    <row r="16" customFormat="false" ht="18.75" hidden="false" customHeight="true" outlineLevel="0" collapsed="false">
      <c r="A16" s="91"/>
      <c r="B16" s="92"/>
      <c r="C16" s="84" t="s">
        <v>786</v>
      </c>
      <c r="D16" s="96" t="s">
        <v>57</v>
      </c>
      <c r="E16" s="91"/>
      <c r="F16" s="86" t="n">
        <v>5.5</v>
      </c>
      <c r="G16" s="87" t="n">
        <v>15</v>
      </c>
      <c r="H16" s="93"/>
      <c r="I16" s="94"/>
      <c r="J16" s="95"/>
      <c r="K16" s="3"/>
      <c r="L16" s="91"/>
      <c r="M16" s="92"/>
      <c r="N16" s="84" t="s">
        <v>786</v>
      </c>
      <c r="O16" s="96" t="s">
        <v>57</v>
      </c>
      <c r="P16" s="91"/>
      <c r="Q16" s="86" t="n">
        <v>5.5</v>
      </c>
      <c r="R16" s="87" t="n">
        <v>15</v>
      </c>
      <c r="S16" s="93"/>
      <c r="T16" s="94"/>
      <c r="U16" s="95"/>
    </row>
    <row r="17" customFormat="false" ht="18.75" hidden="false" customHeight="true" outlineLevel="0" collapsed="false">
      <c r="A17" s="91"/>
      <c r="B17" s="92"/>
      <c r="C17" s="84" t="s">
        <v>787</v>
      </c>
      <c r="D17" s="96" t="s">
        <v>57</v>
      </c>
      <c r="E17" s="91"/>
      <c r="F17" s="86" t="n">
        <v>32</v>
      </c>
      <c r="G17" s="87" t="n">
        <v>15</v>
      </c>
      <c r="H17" s="93"/>
      <c r="I17" s="94"/>
      <c r="J17" s="95"/>
      <c r="K17" s="3"/>
      <c r="L17" s="91"/>
      <c r="M17" s="92"/>
      <c r="N17" s="84" t="s">
        <v>787</v>
      </c>
      <c r="O17" s="96" t="s">
        <v>57</v>
      </c>
      <c r="P17" s="91"/>
      <c r="Q17" s="86" t="n">
        <v>32</v>
      </c>
      <c r="R17" s="87" t="n">
        <v>15</v>
      </c>
      <c r="S17" s="93"/>
      <c r="T17" s="94"/>
      <c r="U17" s="95"/>
    </row>
    <row r="18" customFormat="false" ht="18.75" hidden="false" customHeight="true" outlineLevel="0" collapsed="false">
      <c r="A18" s="91"/>
      <c r="B18" s="92"/>
      <c r="C18" s="84" t="s">
        <v>788</v>
      </c>
      <c r="D18" s="96" t="s">
        <v>57</v>
      </c>
      <c r="E18" s="91"/>
      <c r="F18" s="86" t="n">
        <v>9</v>
      </c>
      <c r="G18" s="87" t="n">
        <v>14</v>
      </c>
      <c r="H18" s="93"/>
      <c r="I18" s="94"/>
      <c r="J18" s="95"/>
      <c r="K18" s="3"/>
      <c r="L18" s="91"/>
      <c r="M18" s="92"/>
      <c r="N18" s="84" t="s">
        <v>788</v>
      </c>
      <c r="O18" s="96" t="s">
        <v>57</v>
      </c>
      <c r="P18" s="91"/>
      <c r="Q18" s="86" t="n">
        <v>9</v>
      </c>
      <c r="R18" s="87" t="n">
        <v>14</v>
      </c>
      <c r="S18" s="93"/>
      <c r="T18" s="94"/>
      <c r="U18" s="95"/>
    </row>
    <row r="19" customFormat="false" ht="18.75" hidden="false" customHeight="true" outlineLevel="0" collapsed="false">
      <c r="A19" s="91"/>
      <c r="B19" s="92"/>
      <c r="C19" s="84" t="s">
        <v>789</v>
      </c>
      <c r="D19" s="96" t="s">
        <v>57</v>
      </c>
      <c r="E19" s="91"/>
      <c r="F19" s="86" t="n">
        <v>8</v>
      </c>
      <c r="G19" s="87" t="n">
        <v>15</v>
      </c>
      <c r="H19" s="93"/>
      <c r="I19" s="94"/>
      <c r="J19" s="95"/>
      <c r="K19" s="3"/>
      <c r="L19" s="91"/>
      <c r="M19" s="92"/>
      <c r="N19" s="84" t="s">
        <v>789</v>
      </c>
      <c r="O19" s="96" t="s">
        <v>57</v>
      </c>
      <c r="P19" s="91"/>
      <c r="Q19" s="86" t="n">
        <v>8</v>
      </c>
      <c r="R19" s="87" t="n">
        <v>15</v>
      </c>
      <c r="S19" s="93"/>
      <c r="T19" s="94"/>
      <c r="U19" s="95"/>
    </row>
    <row r="20" customFormat="false" ht="18.75" hidden="false" customHeight="true" outlineLevel="0" collapsed="false">
      <c r="A20" s="91"/>
      <c r="B20" s="92"/>
      <c r="C20" s="84" t="s">
        <v>790</v>
      </c>
      <c r="D20" s="96" t="s">
        <v>57</v>
      </c>
      <c r="E20" s="91"/>
      <c r="F20" s="86" t="n">
        <v>9</v>
      </c>
      <c r="G20" s="87" t="n">
        <v>14</v>
      </c>
      <c r="H20" s="93"/>
      <c r="I20" s="94"/>
      <c r="J20" s="95"/>
      <c r="K20" s="3"/>
      <c r="L20" s="91"/>
      <c r="M20" s="92"/>
      <c r="N20" s="84" t="s">
        <v>790</v>
      </c>
      <c r="O20" s="96" t="s">
        <v>57</v>
      </c>
      <c r="P20" s="91"/>
      <c r="Q20" s="86" t="n">
        <v>9</v>
      </c>
      <c r="R20" s="87" t="n">
        <v>14</v>
      </c>
      <c r="S20" s="93"/>
      <c r="T20" s="94"/>
      <c r="U20" s="95"/>
    </row>
    <row r="21" customFormat="false" ht="18.75" hidden="false" customHeight="true" outlineLevel="0" collapsed="false">
      <c r="A21" s="91"/>
      <c r="B21" s="92"/>
      <c r="C21" s="84" t="s">
        <v>791</v>
      </c>
      <c r="D21" s="96" t="s">
        <v>57</v>
      </c>
      <c r="E21" s="91"/>
      <c r="F21" s="86" t="n">
        <v>6</v>
      </c>
      <c r="G21" s="87"/>
      <c r="H21" s="93"/>
      <c r="I21" s="94"/>
      <c r="J21" s="95"/>
      <c r="K21" s="3"/>
      <c r="L21" s="91"/>
      <c r="M21" s="92"/>
      <c r="N21" s="84" t="s">
        <v>791</v>
      </c>
      <c r="O21" s="96" t="s">
        <v>57</v>
      </c>
      <c r="P21" s="91"/>
      <c r="Q21" s="86" t="n">
        <v>6</v>
      </c>
      <c r="R21" s="120"/>
      <c r="S21" s="93"/>
      <c r="T21" s="94"/>
      <c r="U21" s="95"/>
    </row>
    <row r="22" customFormat="false" ht="18.75" hidden="false" customHeight="true" outlineLevel="0" collapsed="false">
      <c r="A22" s="91"/>
      <c r="B22" s="92"/>
      <c r="C22" s="84" t="s">
        <v>792</v>
      </c>
      <c r="D22" s="96" t="s">
        <v>57</v>
      </c>
      <c r="E22" s="91"/>
      <c r="F22" s="86" t="n">
        <v>20</v>
      </c>
      <c r="G22" s="87" t="n">
        <v>15</v>
      </c>
      <c r="H22" s="93"/>
      <c r="I22" s="94"/>
      <c r="J22" s="95"/>
      <c r="K22" s="3"/>
      <c r="L22" s="91"/>
      <c r="M22" s="92"/>
      <c r="N22" s="84" t="s">
        <v>792</v>
      </c>
      <c r="O22" s="96" t="s">
        <v>57</v>
      </c>
      <c r="P22" s="91"/>
      <c r="Q22" s="86" t="n">
        <v>20</v>
      </c>
      <c r="R22" s="87" t="n">
        <v>15</v>
      </c>
      <c r="S22" s="93"/>
      <c r="T22" s="94"/>
      <c r="U22" s="95"/>
    </row>
    <row r="23" customFormat="false" ht="18.75" hidden="false" customHeight="true" outlineLevel="0" collapsed="false">
      <c r="A23" s="91"/>
      <c r="B23" s="92"/>
      <c r="C23" s="84" t="s">
        <v>793</v>
      </c>
      <c r="D23" s="96" t="s">
        <v>57</v>
      </c>
      <c r="E23" s="91"/>
      <c r="F23" s="91"/>
      <c r="G23" s="87"/>
      <c r="H23" s="93"/>
      <c r="I23" s="94"/>
      <c r="J23" s="95"/>
      <c r="K23" s="3"/>
      <c r="L23" s="91"/>
      <c r="M23" s="92"/>
      <c r="N23" s="84" t="s">
        <v>793</v>
      </c>
      <c r="O23" s="96" t="s">
        <v>57</v>
      </c>
      <c r="P23" s="91"/>
      <c r="Q23" s="91"/>
      <c r="R23" s="120"/>
      <c r="S23" s="93"/>
      <c r="T23" s="94"/>
      <c r="U23" s="95"/>
    </row>
    <row r="24" customFormat="false" ht="18.75" hidden="false" customHeight="true" outlineLevel="0" collapsed="false">
      <c r="A24" s="91"/>
      <c r="B24" s="92"/>
      <c r="C24" s="84" t="s">
        <v>794</v>
      </c>
      <c r="D24" s="96" t="s">
        <v>57</v>
      </c>
      <c r="E24" s="91"/>
      <c r="F24" s="86" t="n">
        <v>12</v>
      </c>
      <c r="G24" s="87" t="n">
        <v>15</v>
      </c>
      <c r="H24" s="93"/>
      <c r="I24" s="94"/>
      <c r="J24" s="95"/>
      <c r="K24" s="3"/>
      <c r="L24" s="91"/>
      <c r="M24" s="92"/>
      <c r="N24" s="84" t="s">
        <v>794</v>
      </c>
      <c r="O24" s="96" t="s">
        <v>57</v>
      </c>
      <c r="P24" s="91"/>
      <c r="Q24" s="86" t="n">
        <v>12</v>
      </c>
      <c r="R24" s="87" t="n">
        <v>15</v>
      </c>
      <c r="S24" s="93"/>
      <c r="T24" s="94"/>
      <c r="U24" s="95"/>
    </row>
    <row r="25" customFormat="false" ht="18.75" hidden="false" customHeight="true" outlineLevel="0" collapsed="false">
      <c r="A25" s="91"/>
      <c r="B25" s="92"/>
      <c r="C25" s="84" t="s">
        <v>795</v>
      </c>
      <c r="D25" s="96" t="s">
        <v>57</v>
      </c>
      <c r="E25" s="91"/>
      <c r="F25" s="86" t="n">
        <v>14</v>
      </c>
      <c r="G25" s="87" t="n">
        <v>20</v>
      </c>
      <c r="H25" s="93"/>
      <c r="I25" s="94"/>
      <c r="J25" s="95"/>
      <c r="K25" s="3"/>
      <c r="L25" s="91"/>
      <c r="M25" s="92"/>
      <c r="N25" s="84" t="s">
        <v>795</v>
      </c>
      <c r="O25" s="96" t="s">
        <v>57</v>
      </c>
      <c r="P25" s="91"/>
      <c r="Q25" s="86" t="n">
        <v>14</v>
      </c>
      <c r="R25" s="87" t="n">
        <v>20</v>
      </c>
      <c r="S25" s="93"/>
      <c r="T25" s="94"/>
      <c r="U25" s="95"/>
    </row>
    <row r="26" customFormat="false" ht="18.75" hidden="false" customHeight="true" outlineLevel="0" collapsed="false">
      <c r="A26" s="91"/>
      <c r="B26" s="92"/>
      <c r="C26" s="84" t="s">
        <v>796</v>
      </c>
      <c r="D26" s="96" t="s">
        <v>57</v>
      </c>
      <c r="E26" s="91"/>
      <c r="F26" s="86" t="n">
        <v>8</v>
      </c>
      <c r="G26" s="87" t="n">
        <v>15</v>
      </c>
      <c r="H26" s="93"/>
      <c r="I26" s="94"/>
      <c r="J26" s="95"/>
      <c r="K26" s="3"/>
      <c r="L26" s="91"/>
      <c r="M26" s="92"/>
      <c r="N26" s="84" t="s">
        <v>796</v>
      </c>
      <c r="O26" s="96" t="s">
        <v>57</v>
      </c>
      <c r="P26" s="91"/>
      <c r="Q26" s="86" t="n">
        <v>8</v>
      </c>
      <c r="R26" s="87" t="n">
        <v>15</v>
      </c>
      <c r="S26" s="93"/>
      <c r="T26" s="94"/>
      <c r="U26" s="95"/>
    </row>
    <row r="27" customFormat="false" ht="18.75" hidden="false" customHeight="true" outlineLevel="0" collapsed="false">
      <c r="A27" s="91"/>
      <c r="B27" s="92"/>
      <c r="C27" s="84" t="s">
        <v>797</v>
      </c>
      <c r="D27" s="96" t="s">
        <v>57</v>
      </c>
      <c r="E27" s="91"/>
      <c r="F27" s="86" t="n">
        <v>36</v>
      </c>
      <c r="G27" s="87" t="n">
        <v>12.5</v>
      </c>
      <c r="H27" s="93"/>
      <c r="I27" s="94"/>
      <c r="J27" s="95"/>
      <c r="K27" s="3"/>
      <c r="L27" s="91"/>
      <c r="M27" s="92"/>
      <c r="N27" s="84" t="s">
        <v>797</v>
      </c>
      <c r="O27" s="96" t="s">
        <v>57</v>
      </c>
      <c r="P27" s="91"/>
      <c r="Q27" s="86" t="n">
        <v>36</v>
      </c>
      <c r="R27" s="87" t="n">
        <v>12.5</v>
      </c>
      <c r="S27" s="93"/>
      <c r="T27" s="94"/>
      <c r="U27" s="95"/>
    </row>
    <row r="28" customFormat="false" ht="18.75" hidden="false" customHeight="true" outlineLevel="0" collapsed="false">
      <c r="A28" s="91"/>
      <c r="B28" s="92"/>
      <c r="C28" s="84" t="s">
        <v>798</v>
      </c>
      <c r="D28" s="96" t="s">
        <v>57</v>
      </c>
      <c r="E28" s="91"/>
      <c r="F28" s="86" t="n">
        <v>8</v>
      </c>
      <c r="G28" s="87" t="n">
        <v>15</v>
      </c>
      <c r="H28" s="93"/>
      <c r="I28" s="94"/>
      <c r="J28" s="95"/>
      <c r="K28" s="3"/>
      <c r="L28" s="91"/>
      <c r="M28" s="92"/>
      <c r="N28" s="84" t="s">
        <v>798</v>
      </c>
      <c r="O28" s="96" t="s">
        <v>57</v>
      </c>
      <c r="P28" s="91"/>
      <c r="Q28" s="86" t="n">
        <v>8</v>
      </c>
      <c r="R28" s="87" t="n">
        <v>15</v>
      </c>
      <c r="S28" s="93"/>
      <c r="T28" s="94"/>
      <c r="U28" s="95"/>
    </row>
    <row r="29" customFormat="false" ht="18.75" hidden="false" customHeight="true" outlineLevel="0" collapsed="false">
      <c r="A29" s="91"/>
      <c r="B29" s="92"/>
      <c r="C29" s="84" t="s">
        <v>799</v>
      </c>
      <c r="D29" s="96" t="s">
        <v>57</v>
      </c>
      <c r="E29" s="91"/>
      <c r="F29" s="86" t="n">
        <v>16</v>
      </c>
      <c r="G29" s="87" t="n">
        <v>15</v>
      </c>
      <c r="H29" s="93"/>
      <c r="I29" s="94"/>
      <c r="J29" s="95"/>
      <c r="K29" s="3"/>
      <c r="L29" s="91"/>
      <c r="M29" s="92"/>
      <c r="N29" s="84" t="s">
        <v>799</v>
      </c>
      <c r="O29" s="96" t="s">
        <v>57</v>
      </c>
      <c r="P29" s="91"/>
      <c r="Q29" s="86" t="n">
        <v>16</v>
      </c>
      <c r="R29" s="87" t="n">
        <v>15</v>
      </c>
      <c r="S29" s="93"/>
      <c r="T29" s="94"/>
      <c r="U29" s="95"/>
    </row>
    <row r="30" customFormat="false" ht="18.75" hidden="false" customHeight="true" outlineLevel="0" collapsed="false">
      <c r="A30" s="82"/>
      <c r="B30" s="83" t="s">
        <v>22</v>
      </c>
      <c r="C30" s="84" t="s">
        <v>800</v>
      </c>
      <c r="D30" s="96" t="s">
        <v>57</v>
      </c>
      <c r="E30" s="91"/>
      <c r="F30" s="86" t="n">
        <v>24.3</v>
      </c>
      <c r="G30" s="87" t="n">
        <v>15</v>
      </c>
      <c r="H30" s="88" t="n">
        <f aca="false">SUMIF(B:B,B30,G:G)</f>
        <v>275.9</v>
      </c>
      <c r="I30" s="89" t="n">
        <v>1523.12</v>
      </c>
      <c r="J30" s="90" t="n">
        <f aca="false">IFERROR((I30-H30)/I30,"")</f>
        <v>0.818858658542991</v>
      </c>
      <c r="K30" s="3"/>
      <c r="L30" s="82"/>
      <c r="M30" s="83" t="s">
        <v>22</v>
      </c>
      <c r="N30" s="84" t="s">
        <v>800</v>
      </c>
      <c r="O30" s="96" t="s">
        <v>57</v>
      </c>
      <c r="P30" s="91"/>
      <c r="Q30" s="86" t="n">
        <v>24.3</v>
      </c>
      <c r="R30" s="87" t="n">
        <v>15</v>
      </c>
      <c r="S30" s="88" t="n">
        <f aca="false">SUMIF(M:M,M30,R:R)</f>
        <v>275.9</v>
      </c>
      <c r="T30" s="89" t="n">
        <f aca="false">I30</f>
        <v>1523.12</v>
      </c>
      <c r="U30" s="90" t="n">
        <f aca="false">IFERROR((T30-S30)/T30,"")</f>
        <v>0.818858658542991</v>
      </c>
    </row>
    <row r="31" customFormat="false" ht="18.75" hidden="false" customHeight="true" outlineLevel="0" collapsed="false">
      <c r="A31" s="91"/>
      <c r="B31" s="92" t="s">
        <v>22</v>
      </c>
      <c r="C31" s="84" t="s">
        <v>801</v>
      </c>
      <c r="D31" s="96" t="s">
        <v>57</v>
      </c>
      <c r="E31" s="91"/>
      <c r="F31" s="91"/>
      <c r="G31" s="87"/>
      <c r="H31" s="93"/>
      <c r="I31" s="94"/>
      <c r="J31" s="95"/>
      <c r="K31" s="3"/>
      <c r="L31" s="91"/>
      <c r="M31" s="92" t="s">
        <v>22</v>
      </c>
      <c r="N31" s="84" t="s">
        <v>801</v>
      </c>
      <c r="O31" s="96" t="s">
        <v>57</v>
      </c>
      <c r="P31" s="91"/>
      <c r="Q31" s="91"/>
      <c r="R31" s="120"/>
      <c r="S31" s="93"/>
      <c r="T31" s="94"/>
      <c r="U31" s="95"/>
    </row>
    <row r="32" customFormat="false" ht="18.75" hidden="false" customHeight="true" outlineLevel="0" collapsed="false">
      <c r="A32" s="91"/>
      <c r="B32" s="92" t="s">
        <v>22</v>
      </c>
      <c r="C32" s="84" t="s">
        <v>802</v>
      </c>
      <c r="D32" s="96" t="s">
        <v>57</v>
      </c>
      <c r="E32" s="91"/>
      <c r="F32" s="91"/>
      <c r="G32" s="87"/>
      <c r="H32" s="93"/>
      <c r="I32" s="94"/>
      <c r="J32" s="95"/>
      <c r="K32" s="3"/>
      <c r="L32" s="91"/>
      <c r="M32" s="92" t="s">
        <v>22</v>
      </c>
      <c r="N32" s="84" t="s">
        <v>802</v>
      </c>
      <c r="O32" s="96" t="s">
        <v>57</v>
      </c>
      <c r="P32" s="91"/>
      <c r="Q32" s="91"/>
      <c r="R32" s="120"/>
      <c r="S32" s="93"/>
      <c r="T32" s="94"/>
      <c r="U32" s="95"/>
    </row>
    <row r="33" customFormat="false" ht="18.75" hidden="false" customHeight="true" outlineLevel="0" collapsed="false">
      <c r="A33" s="91"/>
      <c r="B33" s="92" t="s">
        <v>22</v>
      </c>
      <c r="C33" s="84" t="s">
        <v>803</v>
      </c>
      <c r="D33" s="96" t="s">
        <v>57</v>
      </c>
      <c r="E33" s="91"/>
      <c r="F33" s="86" t="n">
        <v>20.9</v>
      </c>
      <c r="G33" s="87" t="n">
        <v>15</v>
      </c>
      <c r="H33" s="93"/>
      <c r="I33" s="94"/>
      <c r="J33" s="95"/>
      <c r="K33" s="3"/>
      <c r="L33" s="91"/>
      <c r="M33" s="92" t="s">
        <v>22</v>
      </c>
      <c r="N33" s="84" t="s">
        <v>803</v>
      </c>
      <c r="O33" s="96" t="s">
        <v>57</v>
      </c>
      <c r="P33" s="91"/>
      <c r="Q33" s="86" t="n">
        <v>20.9</v>
      </c>
      <c r="R33" s="87" t="n">
        <v>15</v>
      </c>
      <c r="S33" s="93"/>
      <c r="T33" s="94"/>
      <c r="U33" s="95"/>
    </row>
    <row r="34" customFormat="false" ht="18.75" hidden="false" customHeight="true" outlineLevel="0" collapsed="false">
      <c r="A34" s="91"/>
      <c r="B34" s="92" t="s">
        <v>22</v>
      </c>
      <c r="C34" s="84" t="s">
        <v>804</v>
      </c>
      <c r="D34" s="96" t="s">
        <v>57</v>
      </c>
      <c r="E34" s="91"/>
      <c r="F34" s="86" t="n">
        <v>12</v>
      </c>
      <c r="G34" s="87" t="n">
        <v>15</v>
      </c>
      <c r="H34" s="93"/>
      <c r="I34" s="94"/>
      <c r="J34" s="95"/>
      <c r="K34" s="3"/>
      <c r="L34" s="91"/>
      <c r="M34" s="92" t="s">
        <v>22</v>
      </c>
      <c r="N34" s="84" t="s">
        <v>804</v>
      </c>
      <c r="O34" s="96" t="s">
        <v>57</v>
      </c>
      <c r="P34" s="91"/>
      <c r="Q34" s="86" t="n">
        <v>12</v>
      </c>
      <c r="R34" s="87" t="n">
        <v>15</v>
      </c>
      <c r="S34" s="93"/>
      <c r="T34" s="94"/>
      <c r="U34" s="95"/>
    </row>
    <row r="35" customFormat="false" ht="18.75" hidden="false" customHeight="true" outlineLevel="0" collapsed="false">
      <c r="A35" s="91"/>
      <c r="B35" s="92" t="s">
        <v>22</v>
      </c>
      <c r="C35" s="84" t="s">
        <v>805</v>
      </c>
      <c r="D35" s="96" t="s">
        <v>57</v>
      </c>
      <c r="E35" s="91"/>
      <c r="F35" s="86" t="n">
        <v>17.5</v>
      </c>
      <c r="G35" s="87" t="n">
        <v>15</v>
      </c>
      <c r="H35" s="93"/>
      <c r="I35" s="94"/>
      <c r="J35" s="95"/>
      <c r="K35" s="3"/>
      <c r="L35" s="91"/>
      <c r="M35" s="92" t="s">
        <v>22</v>
      </c>
      <c r="N35" s="84" t="s">
        <v>805</v>
      </c>
      <c r="O35" s="96" t="s">
        <v>57</v>
      </c>
      <c r="P35" s="91"/>
      <c r="Q35" s="86" t="n">
        <v>17.5</v>
      </c>
      <c r="R35" s="87" t="n">
        <v>15</v>
      </c>
      <c r="S35" s="93"/>
      <c r="T35" s="94"/>
      <c r="U35" s="95"/>
    </row>
    <row r="36" customFormat="false" ht="18.75" hidden="false" customHeight="true" outlineLevel="0" collapsed="false">
      <c r="A36" s="91"/>
      <c r="B36" s="92" t="s">
        <v>22</v>
      </c>
      <c r="C36" s="84" t="s">
        <v>806</v>
      </c>
      <c r="D36" s="96" t="s">
        <v>57</v>
      </c>
      <c r="E36" s="91"/>
      <c r="F36" s="86" t="n">
        <v>3</v>
      </c>
      <c r="G36" s="87" t="n">
        <v>14</v>
      </c>
      <c r="H36" s="93"/>
      <c r="I36" s="94"/>
      <c r="J36" s="95"/>
      <c r="K36" s="3"/>
      <c r="L36" s="91"/>
      <c r="M36" s="92" t="s">
        <v>22</v>
      </c>
      <c r="N36" s="84" t="s">
        <v>806</v>
      </c>
      <c r="O36" s="96" t="s">
        <v>57</v>
      </c>
      <c r="P36" s="91"/>
      <c r="Q36" s="86" t="n">
        <v>3</v>
      </c>
      <c r="R36" s="87" t="n">
        <v>14</v>
      </c>
      <c r="S36" s="93"/>
      <c r="T36" s="94"/>
      <c r="U36" s="95"/>
    </row>
    <row r="37" customFormat="false" ht="18.75" hidden="false" customHeight="true" outlineLevel="0" collapsed="false">
      <c r="A37" s="91"/>
      <c r="B37" s="92" t="s">
        <v>22</v>
      </c>
      <c r="C37" s="84" t="s">
        <v>807</v>
      </c>
      <c r="D37" s="96" t="s">
        <v>57</v>
      </c>
      <c r="E37" s="91"/>
      <c r="F37" s="86" t="n">
        <v>7.5</v>
      </c>
      <c r="G37" s="87" t="n">
        <v>15</v>
      </c>
      <c r="H37" s="93"/>
      <c r="I37" s="94"/>
      <c r="J37" s="95"/>
      <c r="K37" s="3"/>
      <c r="L37" s="91"/>
      <c r="M37" s="92" t="s">
        <v>22</v>
      </c>
      <c r="N37" s="84" t="s">
        <v>807</v>
      </c>
      <c r="O37" s="96" t="s">
        <v>57</v>
      </c>
      <c r="P37" s="91"/>
      <c r="Q37" s="86" t="n">
        <v>7.5</v>
      </c>
      <c r="R37" s="87" t="n">
        <v>15</v>
      </c>
      <c r="S37" s="93"/>
      <c r="T37" s="94"/>
      <c r="U37" s="95"/>
    </row>
    <row r="38" customFormat="false" ht="18.75" hidden="false" customHeight="true" outlineLevel="0" collapsed="false">
      <c r="A38" s="91"/>
      <c r="B38" s="92" t="s">
        <v>22</v>
      </c>
      <c r="C38" s="84" t="s">
        <v>807</v>
      </c>
      <c r="D38" s="96" t="s">
        <v>57</v>
      </c>
      <c r="E38" s="91"/>
      <c r="F38" s="86" t="n">
        <v>5</v>
      </c>
      <c r="G38" s="87" t="n">
        <v>15</v>
      </c>
      <c r="H38" s="93"/>
      <c r="I38" s="94"/>
      <c r="J38" s="95"/>
      <c r="K38" s="3"/>
      <c r="L38" s="91"/>
      <c r="M38" s="92" t="s">
        <v>22</v>
      </c>
      <c r="N38" s="84" t="s">
        <v>807</v>
      </c>
      <c r="O38" s="96" t="s">
        <v>57</v>
      </c>
      <c r="P38" s="91"/>
      <c r="Q38" s="86" t="n">
        <v>5</v>
      </c>
      <c r="R38" s="87" t="n">
        <v>15</v>
      </c>
      <c r="S38" s="93"/>
      <c r="T38" s="94"/>
      <c r="U38" s="95"/>
    </row>
    <row r="39" customFormat="false" ht="18.75" hidden="false" customHeight="true" outlineLevel="0" collapsed="false">
      <c r="A39" s="91"/>
      <c r="B39" s="92" t="s">
        <v>22</v>
      </c>
      <c r="C39" s="84" t="s">
        <v>808</v>
      </c>
      <c r="D39" s="96" t="s">
        <v>57</v>
      </c>
      <c r="E39" s="91"/>
      <c r="F39" s="86" t="n">
        <v>11.53</v>
      </c>
      <c r="G39" s="87" t="n">
        <v>15</v>
      </c>
      <c r="H39" s="93"/>
      <c r="I39" s="94"/>
      <c r="J39" s="95"/>
      <c r="K39" s="3"/>
      <c r="L39" s="91"/>
      <c r="M39" s="92" t="s">
        <v>22</v>
      </c>
      <c r="N39" s="84" t="s">
        <v>808</v>
      </c>
      <c r="O39" s="96" t="s">
        <v>57</v>
      </c>
      <c r="P39" s="91"/>
      <c r="Q39" s="86" t="n">
        <v>11.53</v>
      </c>
      <c r="R39" s="87" t="n">
        <v>15</v>
      </c>
      <c r="S39" s="93"/>
      <c r="T39" s="94"/>
      <c r="U39" s="95"/>
    </row>
    <row r="40" customFormat="false" ht="18.75" hidden="false" customHeight="true" outlineLevel="0" collapsed="false">
      <c r="A40" s="91"/>
      <c r="B40" s="92" t="s">
        <v>22</v>
      </c>
      <c r="C40" s="84" t="s">
        <v>809</v>
      </c>
      <c r="D40" s="96" t="s">
        <v>57</v>
      </c>
      <c r="E40" s="91"/>
      <c r="F40" s="86" t="n">
        <v>5</v>
      </c>
      <c r="G40" s="87" t="n">
        <v>12.5</v>
      </c>
      <c r="H40" s="93"/>
      <c r="I40" s="94"/>
      <c r="J40" s="95"/>
      <c r="K40" s="3"/>
      <c r="L40" s="91"/>
      <c r="M40" s="92" t="s">
        <v>22</v>
      </c>
      <c r="N40" s="84" t="s">
        <v>809</v>
      </c>
      <c r="O40" s="96" t="s">
        <v>57</v>
      </c>
      <c r="P40" s="91"/>
      <c r="Q40" s="86" t="n">
        <v>5</v>
      </c>
      <c r="R40" s="87" t="n">
        <v>12.5</v>
      </c>
      <c r="S40" s="93"/>
      <c r="T40" s="94"/>
      <c r="U40" s="95"/>
    </row>
    <row r="41" customFormat="false" ht="18.75" hidden="false" customHeight="true" outlineLevel="0" collapsed="false">
      <c r="A41" s="91"/>
      <c r="B41" s="92" t="s">
        <v>22</v>
      </c>
      <c r="C41" s="84" t="s">
        <v>810</v>
      </c>
      <c r="D41" s="96" t="s">
        <v>57</v>
      </c>
      <c r="E41" s="91"/>
      <c r="F41" s="86" t="n">
        <v>16</v>
      </c>
      <c r="G41" s="87"/>
      <c r="H41" s="93"/>
      <c r="I41" s="94"/>
      <c r="J41" s="95"/>
      <c r="K41" s="3"/>
      <c r="L41" s="91"/>
      <c r="M41" s="92" t="s">
        <v>22</v>
      </c>
      <c r="N41" s="84" t="s">
        <v>810</v>
      </c>
      <c r="O41" s="96" t="s">
        <v>57</v>
      </c>
      <c r="P41" s="91"/>
      <c r="Q41" s="86" t="n">
        <v>16</v>
      </c>
      <c r="R41" s="120"/>
      <c r="S41" s="93"/>
      <c r="T41" s="94"/>
      <c r="U41" s="95"/>
    </row>
    <row r="42" customFormat="false" ht="18.75" hidden="false" customHeight="true" outlineLevel="0" collapsed="false">
      <c r="A42" s="91"/>
      <c r="B42" s="92" t="s">
        <v>22</v>
      </c>
      <c r="C42" s="84" t="s">
        <v>811</v>
      </c>
      <c r="D42" s="96" t="s">
        <v>57</v>
      </c>
      <c r="E42" s="91"/>
      <c r="F42" s="86" t="n">
        <v>6.9</v>
      </c>
      <c r="G42" s="87" t="n">
        <v>12.5</v>
      </c>
      <c r="H42" s="93"/>
      <c r="I42" s="94"/>
      <c r="J42" s="95"/>
      <c r="K42" s="3"/>
      <c r="L42" s="91"/>
      <c r="M42" s="92" t="s">
        <v>22</v>
      </c>
      <c r="N42" s="84" t="s">
        <v>811</v>
      </c>
      <c r="O42" s="96" t="s">
        <v>57</v>
      </c>
      <c r="P42" s="91"/>
      <c r="Q42" s="86" t="n">
        <v>6.9</v>
      </c>
      <c r="R42" s="87" t="n">
        <v>12.5</v>
      </c>
      <c r="S42" s="93"/>
      <c r="T42" s="94"/>
      <c r="U42" s="95"/>
    </row>
    <row r="43" customFormat="false" ht="18.75" hidden="false" customHeight="true" outlineLevel="0" collapsed="false">
      <c r="A43" s="91"/>
      <c r="B43" s="92" t="s">
        <v>22</v>
      </c>
      <c r="C43" s="84" t="s">
        <v>812</v>
      </c>
      <c r="D43" s="96" t="s">
        <v>57</v>
      </c>
      <c r="E43" s="91"/>
      <c r="F43" s="86" t="n">
        <v>16</v>
      </c>
      <c r="G43" s="87" t="n">
        <v>15</v>
      </c>
      <c r="H43" s="93"/>
      <c r="I43" s="94"/>
      <c r="J43" s="95"/>
      <c r="K43" s="3"/>
      <c r="L43" s="91"/>
      <c r="M43" s="92" t="s">
        <v>22</v>
      </c>
      <c r="N43" s="84" t="s">
        <v>812</v>
      </c>
      <c r="O43" s="96" t="s">
        <v>57</v>
      </c>
      <c r="P43" s="91"/>
      <c r="Q43" s="86" t="n">
        <v>16</v>
      </c>
      <c r="R43" s="87" t="n">
        <v>15</v>
      </c>
      <c r="S43" s="93"/>
      <c r="T43" s="94"/>
      <c r="U43" s="95"/>
    </row>
    <row r="44" customFormat="false" ht="18.75" hidden="false" customHeight="true" outlineLevel="0" collapsed="false">
      <c r="A44" s="91"/>
      <c r="B44" s="92" t="s">
        <v>22</v>
      </c>
      <c r="C44" s="84" t="s">
        <v>813</v>
      </c>
      <c r="D44" s="96" t="s">
        <v>57</v>
      </c>
      <c r="E44" s="91"/>
      <c r="F44" s="86" t="n">
        <v>4</v>
      </c>
      <c r="G44" s="87" t="n">
        <v>12.5</v>
      </c>
      <c r="H44" s="93"/>
      <c r="I44" s="94"/>
      <c r="J44" s="95"/>
      <c r="K44" s="3"/>
      <c r="L44" s="91"/>
      <c r="M44" s="92" t="s">
        <v>22</v>
      </c>
      <c r="N44" s="84" t="s">
        <v>813</v>
      </c>
      <c r="O44" s="96" t="s">
        <v>57</v>
      </c>
      <c r="P44" s="91"/>
      <c r="Q44" s="86" t="n">
        <v>4</v>
      </c>
      <c r="R44" s="87" t="n">
        <v>12.5</v>
      </c>
      <c r="S44" s="93"/>
      <c r="T44" s="94"/>
      <c r="U44" s="95"/>
    </row>
    <row r="45" customFormat="false" ht="18.75" hidden="false" customHeight="true" outlineLevel="0" collapsed="false">
      <c r="A45" s="91"/>
      <c r="B45" s="92" t="s">
        <v>22</v>
      </c>
      <c r="C45" s="84" t="s">
        <v>814</v>
      </c>
      <c r="D45" s="96" t="s">
        <v>57</v>
      </c>
      <c r="E45" s="91"/>
      <c r="F45" s="86" t="n">
        <v>7</v>
      </c>
      <c r="G45" s="87" t="n">
        <v>12.5</v>
      </c>
      <c r="H45" s="93"/>
      <c r="I45" s="94"/>
      <c r="J45" s="95"/>
      <c r="K45" s="3"/>
      <c r="L45" s="91"/>
      <c r="M45" s="92" t="s">
        <v>22</v>
      </c>
      <c r="N45" s="84" t="s">
        <v>814</v>
      </c>
      <c r="O45" s="96" t="s">
        <v>57</v>
      </c>
      <c r="P45" s="91"/>
      <c r="Q45" s="86" t="n">
        <v>7</v>
      </c>
      <c r="R45" s="87" t="n">
        <v>12.5</v>
      </c>
      <c r="S45" s="93"/>
      <c r="T45" s="94"/>
      <c r="U45" s="95"/>
    </row>
    <row r="46" customFormat="false" ht="18.75" hidden="false" customHeight="true" outlineLevel="0" collapsed="false">
      <c r="A46" s="91"/>
      <c r="B46" s="92" t="s">
        <v>22</v>
      </c>
      <c r="C46" s="84" t="s">
        <v>815</v>
      </c>
      <c r="D46" s="96" t="s">
        <v>57</v>
      </c>
      <c r="E46" s="91"/>
      <c r="F46" s="86" t="n">
        <v>15</v>
      </c>
      <c r="G46" s="87" t="n">
        <v>19.9</v>
      </c>
      <c r="H46" s="93"/>
      <c r="I46" s="94"/>
      <c r="J46" s="95"/>
      <c r="K46" s="3"/>
      <c r="L46" s="91"/>
      <c r="M46" s="92" t="s">
        <v>22</v>
      </c>
      <c r="N46" s="84" t="s">
        <v>815</v>
      </c>
      <c r="O46" s="96" t="s">
        <v>57</v>
      </c>
      <c r="P46" s="91"/>
      <c r="Q46" s="86" t="n">
        <v>15</v>
      </c>
      <c r="R46" s="87" t="n">
        <v>19.9</v>
      </c>
      <c r="S46" s="93"/>
      <c r="T46" s="94"/>
      <c r="U46" s="95"/>
    </row>
    <row r="47" customFormat="false" ht="18.75" hidden="false" customHeight="true" outlineLevel="0" collapsed="false">
      <c r="A47" s="91"/>
      <c r="B47" s="92" t="s">
        <v>22</v>
      </c>
      <c r="C47" s="84" t="s">
        <v>816</v>
      </c>
      <c r="D47" s="96" t="s">
        <v>57</v>
      </c>
      <c r="E47" s="91"/>
      <c r="F47" s="86" t="n">
        <v>18.5</v>
      </c>
      <c r="G47" s="87" t="n">
        <v>20</v>
      </c>
      <c r="H47" s="93"/>
      <c r="I47" s="94"/>
      <c r="J47" s="95"/>
      <c r="K47" s="3"/>
      <c r="L47" s="91"/>
      <c r="M47" s="92" t="s">
        <v>22</v>
      </c>
      <c r="N47" s="84" t="s">
        <v>816</v>
      </c>
      <c r="O47" s="96" t="s">
        <v>57</v>
      </c>
      <c r="P47" s="91"/>
      <c r="Q47" s="86" t="n">
        <v>18.5</v>
      </c>
      <c r="R47" s="87" t="n">
        <v>20</v>
      </c>
      <c r="S47" s="93"/>
      <c r="T47" s="94"/>
      <c r="U47" s="95"/>
    </row>
    <row r="48" customFormat="false" ht="18.75" hidden="false" customHeight="true" outlineLevel="0" collapsed="false">
      <c r="A48" s="91"/>
      <c r="B48" s="92" t="s">
        <v>22</v>
      </c>
      <c r="C48" s="84" t="s">
        <v>817</v>
      </c>
      <c r="D48" s="96" t="s">
        <v>57</v>
      </c>
      <c r="E48" s="91"/>
      <c r="F48" s="86" t="n">
        <v>7.5</v>
      </c>
      <c r="G48" s="87" t="n">
        <v>17</v>
      </c>
      <c r="H48" s="93"/>
      <c r="I48" s="94"/>
      <c r="J48" s="95"/>
      <c r="K48" s="3"/>
      <c r="L48" s="91"/>
      <c r="M48" s="92" t="s">
        <v>22</v>
      </c>
      <c r="N48" s="84" t="s">
        <v>817</v>
      </c>
      <c r="O48" s="96" t="s">
        <v>57</v>
      </c>
      <c r="P48" s="91"/>
      <c r="Q48" s="86" t="n">
        <v>7.5</v>
      </c>
      <c r="R48" s="87" t="n">
        <v>17</v>
      </c>
      <c r="S48" s="93"/>
      <c r="T48" s="94"/>
      <c r="U48" s="95"/>
    </row>
    <row r="49" customFormat="false" ht="18.75" hidden="false" customHeight="true" outlineLevel="0" collapsed="false">
      <c r="A49" s="91"/>
      <c r="B49" s="92" t="s">
        <v>22</v>
      </c>
      <c r="C49" s="84" t="s">
        <v>818</v>
      </c>
      <c r="D49" s="96" t="s">
        <v>57</v>
      </c>
      <c r="E49" s="91"/>
      <c r="F49" s="86" t="n">
        <v>5</v>
      </c>
      <c r="G49" s="87" t="n">
        <v>15</v>
      </c>
      <c r="H49" s="93"/>
      <c r="I49" s="94"/>
      <c r="J49" s="95"/>
      <c r="K49" s="3"/>
      <c r="L49" s="91"/>
      <c r="M49" s="92" t="s">
        <v>22</v>
      </c>
      <c r="N49" s="84" t="s">
        <v>818</v>
      </c>
      <c r="O49" s="96" t="s">
        <v>57</v>
      </c>
      <c r="P49" s="91"/>
      <c r="Q49" s="86" t="n">
        <v>5</v>
      </c>
      <c r="R49" s="87" t="n">
        <v>15</v>
      </c>
      <c r="S49" s="93"/>
      <c r="T49" s="94"/>
      <c r="U49" s="95"/>
    </row>
    <row r="50" customFormat="false" ht="18.75" hidden="false" customHeight="true" outlineLevel="0" collapsed="false">
      <c r="A50" s="91"/>
      <c r="B50" s="92" t="s">
        <v>22</v>
      </c>
      <c r="C50" s="84" t="s">
        <v>819</v>
      </c>
      <c r="D50" s="96" t="s">
        <v>57</v>
      </c>
      <c r="E50" s="91"/>
      <c r="F50" s="86" t="n">
        <v>36</v>
      </c>
      <c r="G50" s="87" t="n">
        <v>20</v>
      </c>
      <c r="H50" s="93"/>
      <c r="I50" s="94"/>
      <c r="J50" s="95"/>
      <c r="K50" s="3"/>
      <c r="L50" s="91"/>
      <c r="M50" s="92" t="s">
        <v>22</v>
      </c>
      <c r="N50" s="84" t="s">
        <v>819</v>
      </c>
      <c r="O50" s="96" t="s">
        <v>57</v>
      </c>
      <c r="P50" s="91"/>
      <c r="Q50" s="86" t="n">
        <v>36</v>
      </c>
      <c r="R50" s="87" t="n">
        <v>20</v>
      </c>
      <c r="S50" s="93"/>
      <c r="T50" s="94"/>
      <c r="U50" s="95"/>
    </row>
    <row r="51" customFormat="false" ht="18.75" hidden="false" customHeight="true" outlineLevel="0" collapsed="false">
      <c r="A51" s="82"/>
      <c r="B51" s="83" t="s">
        <v>24</v>
      </c>
      <c r="C51" s="84" t="s">
        <v>820</v>
      </c>
      <c r="D51" s="96" t="s">
        <v>57</v>
      </c>
      <c r="E51" s="91"/>
      <c r="F51" s="86" t="n">
        <v>5</v>
      </c>
      <c r="G51" s="87" t="n">
        <v>12.5</v>
      </c>
      <c r="H51" s="88" t="n">
        <f aca="false">SUMIF(B:B,B51,G:G)</f>
        <v>439.5</v>
      </c>
      <c r="I51" s="89" t="n">
        <v>62.5</v>
      </c>
      <c r="J51" s="90" t="n">
        <f aca="false">IFERROR((I51-H51)/I51,"")</f>
        <v>-6.032</v>
      </c>
      <c r="K51" s="3"/>
      <c r="L51" s="82"/>
      <c r="M51" s="83" t="s">
        <v>24</v>
      </c>
      <c r="N51" s="84" t="s">
        <v>820</v>
      </c>
      <c r="O51" s="96" t="s">
        <v>57</v>
      </c>
      <c r="P51" s="91"/>
      <c r="Q51" s="86" t="n">
        <v>5</v>
      </c>
      <c r="R51" s="87" t="n">
        <v>12.5</v>
      </c>
      <c r="S51" s="88" t="n">
        <f aca="false">SUMIF(M:M,M51,R:R)</f>
        <v>439.5</v>
      </c>
      <c r="T51" s="89" t="n">
        <f aca="false">I51</f>
        <v>62.5</v>
      </c>
      <c r="U51" s="90" t="n">
        <f aca="false">IFERROR((T51-S51)/T51,"")</f>
        <v>-6.032</v>
      </c>
    </row>
    <row r="52" customFormat="false" ht="18.75" hidden="false" customHeight="true" outlineLevel="0" collapsed="false">
      <c r="A52" s="91"/>
      <c r="B52" s="92" t="s">
        <v>24</v>
      </c>
      <c r="C52" s="84" t="s">
        <v>821</v>
      </c>
      <c r="D52" s="96" t="s">
        <v>57</v>
      </c>
      <c r="E52" s="91"/>
      <c r="F52" s="86" t="n">
        <v>6</v>
      </c>
      <c r="G52" s="87" t="n">
        <v>15</v>
      </c>
      <c r="H52" s="93"/>
      <c r="I52" s="94"/>
      <c r="J52" s="95"/>
      <c r="K52" s="3"/>
      <c r="L52" s="91"/>
      <c r="M52" s="92" t="s">
        <v>24</v>
      </c>
      <c r="N52" s="84" t="s">
        <v>821</v>
      </c>
      <c r="O52" s="96" t="s">
        <v>57</v>
      </c>
      <c r="P52" s="91"/>
      <c r="Q52" s="86" t="n">
        <v>6</v>
      </c>
      <c r="R52" s="87" t="n">
        <v>15</v>
      </c>
      <c r="S52" s="93"/>
      <c r="T52" s="94"/>
      <c r="U52" s="95"/>
    </row>
    <row r="53" customFormat="false" ht="18.75" hidden="false" customHeight="true" outlineLevel="0" collapsed="false">
      <c r="A53" s="91"/>
      <c r="B53" s="92" t="s">
        <v>24</v>
      </c>
      <c r="C53" s="84" t="s">
        <v>822</v>
      </c>
      <c r="D53" s="96" t="s">
        <v>57</v>
      </c>
      <c r="E53" s="91"/>
      <c r="F53" s="86" t="n">
        <v>19.3</v>
      </c>
      <c r="G53" s="87" t="n">
        <v>15</v>
      </c>
      <c r="H53" s="93"/>
      <c r="I53" s="94"/>
      <c r="J53" s="95"/>
      <c r="K53" s="3"/>
      <c r="L53" s="91"/>
      <c r="M53" s="92" t="s">
        <v>24</v>
      </c>
      <c r="N53" s="84" t="s">
        <v>822</v>
      </c>
      <c r="O53" s="96" t="s">
        <v>57</v>
      </c>
      <c r="P53" s="91"/>
      <c r="Q53" s="86" t="n">
        <v>19.3</v>
      </c>
      <c r="R53" s="87" t="n">
        <v>15</v>
      </c>
      <c r="S53" s="93"/>
      <c r="T53" s="94"/>
      <c r="U53" s="95"/>
    </row>
    <row r="54" customFormat="false" ht="18.75" hidden="false" customHeight="true" outlineLevel="0" collapsed="false">
      <c r="A54" s="91"/>
      <c r="B54" s="92" t="s">
        <v>24</v>
      </c>
      <c r="C54" s="84" t="s">
        <v>823</v>
      </c>
      <c r="D54" s="96" t="s">
        <v>57</v>
      </c>
      <c r="E54" s="91"/>
      <c r="F54" s="86" t="n">
        <v>32</v>
      </c>
      <c r="G54" s="87" t="n">
        <v>15</v>
      </c>
      <c r="H54" s="93"/>
      <c r="I54" s="94"/>
      <c r="J54" s="95"/>
      <c r="K54" s="3"/>
      <c r="L54" s="91"/>
      <c r="M54" s="92" t="s">
        <v>24</v>
      </c>
      <c r="N54" s="84" t="s">
        <v>823</v>
      </c>
      <c r="O54" s="96" t="s">
        <v>57</v>
      </c>
      <c r="P54" s="91"/>
      <c r="Q54" s="86" t="n">
        <v>32</v>
      </c>
      <c r="R54" s="87" t="n">
        <v>15</v>
      </c>
      <c r="S54" s="93"/>
      <c r="T54" s="94"/>
      <c r="U54" s="95"/>
    </row>
    <row r="55" customFormat="false" ht="18.75" hidden="false" customHeight="true" outlineLevel="0" collapsed="false">
      <c r="A55" s="91"/>
      <c r="B55" s="92" t="s">
        <v>24</v>
      </c>
      <c r="C55" s="84" t="s">
        <v>824</v>
      </c>
      <c r="D55" s="96" t="s">
        <v>57</v>
      </c>
      <c r="E55" s="91"/>
      <c r="F55" s="86" t="n">
        <v>19.3</v>
      </c>
      <c r="G55" s="87" t="n">
        <v>15</v>
      </c>
      <c r="H55" s="93"/>
      <c r="I55" s="94"/>
      <c r="J55" s="95"/>
      <c r="K55" s="3"/>
      <c r="L55" s="91"/>
      <c r="M55" s="92" t="s">
        <v>24</v>
      </c>
      <c r="N55" s="84" t="s">
        <v>824</v>
      </c>
      <c r="O55" s="96" t="s">
        <v>57</v>
      </c>
      <c r="P55" s="91"/>
      <c r="Q55" s="86" t="n">
        <v>19.3</v>
      </c>
      <c r="R55" s="87" t="n">
        <v>15</v>
      </c>
      <c r="S55" s="93"/>
      <c r="T55" s="94"/>
      <c r="U55" s="95"/>
    </row>
    <row r="56" customFormat="false" ht="18.75" hidden="false" customHeight="true" outlineLevel="0" collapsed="false">
      <c r="A56" s="91"/>
      <c r="B56" s="92" t="s">
        <v>24</v>
      </c>
      <c r="C56" s="84" t="s">
        <v>825</v>
      </c>
      <c r="D56" s="96" t="s">
        <v>57</v>
      </c>
      <c r="E56" s="91"/>
      <c r="F56" s="86" t="n">
        <v>24</v>
      </c>
      <c r="G56" s="87" t="n">
        <v>15</v>
      </c>
      <c r="H56" s="93"/>
      <c r="I56" s="94"/>
      <c r="J56" s="95"/>
      <c r="K56" s="3"/>
      <c r="L56" s="91"/>
      <c r="M56" s="92" t="s">
        <v>24</v>
      </c>
      <c r="N56" s="84" t="s">
        <v>825</v>
      </c>
      <c r="O56" s="96" t="s">
        <v>57</v>
      </c>
      <c r="P56" s="91"/>
      <c r="Q56" s="86" t="n">
        <v>24</v>
      </c>
      <c r="R56" s="87" t="n">
        <v>15</v>
      </c>
      <c r="S56" s="93"/>
      <c r="T56" s="94"/>
      <c r="U56" s="95"/>
    </row>
    <row r="57" customFormat="false" ht="18.75" hidden="false" customHeight="true" outlineLevel="0" collapsed="false">
      <c r="A57" s="91"/>
      <c r="B57" s="92" t="s">
        <v>24</v>
      </c>
      <c r="C57" s="84" t="s">
        <v>826</v>
      </c>
      <c r="D57" s="96" t="s">
        <v>57</v>
      </c>
      <c r="E57" s="91"/>
      <c r="F57" s="86" t="n">
        <v>16</v>
      </c>
      <c r="G57" s="87" t="n">
        <v>15</v>
      </c>
      <c r="H57" s="93"/>
      <c r="I57" s="94"/>
      <c r="J57" s="95"/>
      <c r="K57" s="3"/>
      <c r="L57" s="91"/>
      <c r="M57" s="92" t="s">
        <v>24</v>
      </c>
      <c r="N57" s="84" t="s">
        <v>826</v>
      </c>
      <c r="O57" s="96" t="s">
        <v>57</v>
      </c>
      <c r="P57" s="91"/>
      <c r="Q57" s="86" t="n">
        <v>16</v>
      </c>
      <c r="R57" s="87" t="n">
        <v>15</v>
      </c>
      <c r="S57" s="93"/>
      <c r="T57" s="94"/>
      <c r="U57" s="95"/>
    </row>
    <row r="58" customFormat="false" ht="18.75" hidden="false" customHeight="true" outlineLevel="0" collapsed="false">
      <c r="A58" s="91"/>
      <c r="B58" s="92" t="s">
        <v>24</v>
      </c>
      <c r="C58" s="84" t="s">
        <v>827</v>
      </c>
      <c r="D58" s="96" t="s">
        <v>57</v>
      </c>
      <c r="E58" s="91"/>
      <c r="F58" s="86" t="n">
        <v>16</v>
      </c>
      <c r="G58" s="87" t="n">
        <v>15</v>
      </c>
      <c r="H58" s="93"/>
      <c r="I58" s="94"/>
      <c r="J58" s="95"/>
      <c r="K58" s="3"/>
      <c r="L58" s="91"/>
      <c r="M58" s="92" t="s">
        <v>24</v>
      </c>
      <c r="N58" s="84" t="s">
        <v>827</v>
      </c>
      <c r="O58" s="96" t="s">
        <v>57</v>
      </c>
      <c r="P58" s="91"/>
      <c r="Q58" s="86" t="n">
        <v>16</v>
      </c>
      <c r="R58" s="87" t="n">
        <v>15</v>
      </c>
      <c r="S58" s="93"/>
      <c r="T58" s="94"/>
      <c r="U58" s="95"/>
    </row>
    <row r="59" customFormat="false" ht="18.75" hidden="false" customHeight="true" outlineLevel="0" collapsed="false">
      <c r="A59" s="91"/>
      <c r="B59" s="92" t="s">
        <v>24</v>
      </c>
      <c r="C59" s="84" t="s">
        <v>828</v>
      </c>
      <c r="D59" s="96" t="s">
        <v>57</v>
      </c>
      <c r="E59" s="91"/>
      <c r="F59" s="86" t="n">
        <v>8</v>
      </c>
      <c r="G59" s="87" t="n">
        <v>15</v>
      </c>
      <c r="H59" s="93"/>
      <c r="I59" s="94"/>
      <c r="J59" s="95"/>
      <c r="K59" s="3"/>
      <c r="L59" s="91"/>
      <c r="M59" s="92" t="s">
        <v>24</v>
      </c>
      <c r="N59" s="84" t="s">
        <v>828</v>
      </c>
      <c r="O59" s="96" t="s">
        <v>57</v>
      </c>
      <c r="P59" s="91"/>
      <c r="Q59" s="86" t="n">
        <v>8</v>
      </c>
      <c r="R59" s="87" t="n">
        <v>15</v>
      </c>
      <c r="S59" s="93"/>
      <c r="T59" s="94"/>
      <c r="U59" s="95"/>
    </row>
    <row r="60" customFormat="false" ht="18.75" hidden="false" customHeight="true" outlineLevel="0" collapsed="false">
      <c r="A60" s="91"/>
      <c r="B60" s="92" t="s">
        <v>24</v>
      </c>
      <c r="C60" s="84" t="s">
        <v>829</v>
      </c>
      <c r="D60" s="96" t="s">
        <v>57</v>
      </c>
      <c r="E60" s="91"/>
      <c r="F60" s="86" t="n">
        <v>32</v>
      </c>
      <c r="G60" s="87" t="n">
        <v>15</v>
      </c>
      <c r="H60" s="93"/>
      <c r="I60" s="94"/>
      <c r="J60" s="95"/>
      <c r="K60" s="3"/>
      <c r="L60" s="91"/>
      <c r="M60" s="92" t="s">
        <v>24</v>
      </c>
      <c r="N60" s="84" t="s">
        <v>829</v>
      </c>
      <c r="O60" s="96" t="s">
        <v>57</v>
      </c>
      <c r="P60" s="91"/>
      <c r="Q60" s="86" t="n">
        <v>32</v>
      </c>
      <c r="R60" s="87" t="n">
        <v>15</v>
      </c>
      <c r="S60" s="93"/>
      <c r="T60" s="94"/>
      <c r="U60" s="95"/>
    </row>
    <row r="61" customFormat="false" ht="18.75" hidden="false" customHeight="true" outlineLevel="0" collapsed="false">
      <c r="A61" s="91"/>
      <c r="B61" s="92" t="s">
        <v>24</v>
      </c>
      <c r="C61" s="84" t="s">
        <v>830</v>
      </c>
      <c r="D61" s="96" t="s">
        <v>57</v>
      </c>
      <c r="E61" s="91"/>
      <c r="F61" s="86" t="n">
        <v>5</v>
      </c>
      <c r="G61" s="87" t="n">
        <v>15</v>
      </c>
      <c r="H61" s="93"/>
      <c r="I61" s="94"/>
      <c r="J61" s="95"/>
      <c r="K61" s="3"/>
      <c r="L61" s="91"/>
      <c r="M61" s="92" t="s">
        <v>24</v>
      </c>
      <c r="N61" s="84" t="s">
        <v>830</v>
      </c>
      <c r="O61" s="96" t="s">
        <v>57</v>
      </c>
      <c r="P61" s="91"/>
      <c r="Q61" s="86" t="n">
        <v>5</v>
      </c>
      <c r="R61" s="87" t="n">
        <v>15</v>
      </c>
      <c r="S61" s="93"/>
      <c r="T61" s="94"/>
      <c r="U61" s="95"/>
    </row>
    <row r="62" customFormat="false" ht="18.75" hidden="false" customHeight="true" outlineLevel="0" collapsed="false">
      <c r="A62" s="91"/>
      <c r="B62" s="92" t="s">
        <v>24</v>
      </c>
      <c r="C62" s="84" t="s">
        <v>831</v>
      </c>
      <c r="D62" s="96" t="s">
        <v>57</v>
      </c>
      <c r="E62" s="91"/>
      <c r="F62" s="86" t="n">
        <v>3.4</v>
      </c>
      <c r="G62" s="87" t="n">
        <v>14</v>
      </c>
      <c r="H62" s="93"/>
      <c r="I62" s="94"/>
      <c r="J62" s="95"/>
      <c r="K62" s="3"/>
      <c r="L62" s="91"/>
      <c r="M62" s="92" t="s">
        <v>24</v>
      </c>
      <c r="N62" s="84" t="s">
        <v>831</v>
      </c>
      <c r="O62" s="96" t="s">
        <v>57</v>
      </c>
      <c r="P62" s="91"/>
      <c r="Q62" s="86" t="n">
        <v>3.4</v>
      </c>
      <c r="R62" s="87" t="n">
        <v>14</v>
      </c>
      <c r="S62" s="93"/>
      <c r="T62" s="94"/>
      <c r="U62" s="95"/>
    </row>
    <row r="63" customFormat="false" ht="18.75" hidden="false" customHeight="true" outlineLevel="0" collapsed="false">
      <c r="A63" s="91"/>
      <c r="B63" s="92" t="s">
        <v>24</v>
      </c>
      <c r="C63" s="84" t="s">
        <v>832</v>
      </c>
      <c r="D63" s="96" t="s">
        <v>57</v>
      </c>
      <c r="E63" s="91"/>
      <c r="F63" s="86" t="n">
        <v>5</v>
      </c>
      <c r="G63" s="87" t="n">
        <v>12.5</v>
      </c>
      <c r="H63" s="93"/>
      <c r="I63" s="94"/>
      <c r="J63" s="95"/>
      <c r="K63" s="3"/>
      <c r="L63" s="91"/>
      <c r="M63" s="92" t="s">
        <v>24</v>
      </c>
      <c r="N63" s="84" t="s">
        <v>832</v>
      </c>
      <c r="O63" s="96" t="s">
        <v>57</v>
      </c>
      <c r="P63" s="91"/>
      <c r="Q63" s="86" t="n">
        <v>5</v>
      </c>
      <c r="R63" s="87" t="n">
        <v>12.5</v>
      </c>
      <c r="S63" s="93"/>
      <c r="T63" s="94"/>
      <c r="U63" s="95"/>
    </row>
    <row r="64" customFormat="false" ht="18.75" hidden="false" customHeight="true" outlineLevel="0" collapsed="false">
      <c r="A64" s="91"/>
      <c r="B64" s="92" t="s">
        <v>24</v>
      </c>
      <c r="C64" s="84" t="s">
        <v>833</v>
      </c>
      <c r="D64" s="96" t="s">
        <v>57</v>
      </c>
      <c r="E64" s="91"/>
      <c r="F64" s="86" t="n">
        <v>16</v>
      </c>
      <c r="G64" s="87" t="n">
        <v>15</v>
      </c>
      <c r="H64" s="93"/>
      <c r="I64" s="94"/>
      <c r="J64" s="95"/>
      <c r="K64" s="3"/>
      <c r="L64" s="91"/>
      <c r="M64" s="92" t="s">
        <v>24</v>
      </c>
      <c r="N64" s="84" t="s">
        <v>833</v>
      </c>
      <c r="O64" s="96" t="s">
        <v>57</v>
      </c>
      <c r="P64" s="91"/>
      <c r="Q64" s="86" t="n">
        <v>16</v>
      </c>
      <c r="R64" s="87" t="n">
        <v>15</v>
      </c>
      <c r="S64" s="93"/>
      <c r="T64" s="94"/>
      <c r="U64" s="95"/>
    </row>
    <row r="65" customFormat="false" ht="18.75" hidden="false" customHeight="true" outlineLevel="0" collapsed="false">
      <c r="A65" s="91"/>
      <c r="B65" s="92" t="s">
        <v>24</v>
      </c>
      <c r="C65" s="84" t="s">
        <v>834</v>
      </c>
      <c r="D65" s="96" t="s">
        <v>57</v>
      </c>
      <c r="E65" s="91"/>
      <c r="F65" s="86" t="n">
        <v>16</v>
      </c>
      <c r="G65" s="87" t="n">
        <v>15</v>
      </c>
      <c r="H65" s="93"/>
      <c r="I65" s="94"/>
      <c r="J65" s="95"/>
      <c r="K65" s="3"/>
      <c r="L65" s="91"/>
      <c r="M65" s="92" t="s">
        <v>24</v>
      </c>
      <c r="N65" s="84" t="s">
        <v>834</v>
      </c>
      <c r="O65" s="96" t="s">
        <v>57</v>
      </c>
      <c r="P65" s="91"/>
      <c r="Q65" s="86" t="n">
        <v>16</v>
      </c>
      <c r="R65" s="87" t="n">
        <v>15</v>
      </c>
      <c r="S65" s="93"/>
      <c r="T65" s="94"/>
      <c r="U65" s="95"/>
    </row>
    <row r="66" customFormat="false" ht="18.75" hidden="false" customHeight="true" outlineLevel="0" collapsed="false">
      <c r="A66" s="91"/>
      <c r="B66" s="92" t="s">
        <v>24</v>
      </c>
      <c r="C66" s="84" t="s">
        <v>835</v>
      </c>
      <c r="D66" s="96" t="s">
        <v>57</v>
      </c>
      <c r="E66" s="91"/>
      <c r="F66" s="86" t="n">
        <v>8</v>
      </c>
      <c r="G66" s="87" t="n">
        <v>15</v>
      </c>
      <c r="H66" s="93"/>
      <c r="I66" s="94"/>
      <c r="J66" s="95"/>
      <c r="K66" s="3"/>
      <c r="L66" s="91"/>
      <c r="M66" s="92" t="s">
        <v>24</v>
      </c>
      <c r="N66" s="84" t="s">
        <v>835</v>
      </c>
      <c r="O66" s="96" t="s">
        <v>57</v>
      </c>
      <c r="P66" s="91"/>
      <c r="Q66" s="86" t="n">
        <v>8</v>
      </c>
      <c r="R66" s="87" t="n">
        <v>15</v>
      </c>
      <c r="S66" s="93"/>
      <c r="T66" s="94"/>
      <c r="U66" s="95"/>
    </row>
    <row r="67" customFormat="false" ht="18.75" hidden="false" customHeight="true" outlineLevel="0" collapsed="false">
      <c r="A67" s="91"/>
      <c r="B67" s="92" t="s">
        <v>24</v>
      </c>
      <c r="C67" s="84" t="s">
        <v>836</v>
      </c>
      <c r="D67" s="96" t="s">
        <v>57</v>
      </c>
      <c r="E67" s="91"/>
      <c r="F67" s="86" t="n">
        <v>8</v>
      </c>
      <c r="G67" s="87" t="n">
        <v>15</v>
      </c>
      <c r="H67" s="93"/>
      <c r="I67" s="94"/>
      <c r="J67" s="95"/>
      <c r="K67" s="3"/>
      <c r="L67" s="91"/>
      <c r="M67" s="92" t="s">
        <v>24</v>
      </c>
      <c r="N67" s="84" t="s">
        <v>836</v>
      </c>
      <c r="O67" s="96" t="s">
        <v>57</v>
      </c>
      <c r="P67" s="91"/>
      <c r="Q67" s="86" t="n">
        <v>8</v>
      </c>
      <c r="R67" s="87" t="n">
        <v>15</v>
      </c>
      <c r="S67" s="93"/>
      <c r="T67" s="94"/>
      <c r="U67" s="95"/>
    </row>
    <row r="68" customFormat="false" ht="18.75" hidden="false" customHeight="true" outlineLevel="0" collapsed="false">
      <c r="A68" s="91"/>
      <c r="B68" s="92" t="s">
        <v>24</v>
      </c>
      <c r="C68" s="84" t="s">
        <v>837</v>
      </c>
      <c r="D68" s="96" t="s">
        <v>57</v>
      </c>
      <c r="E68" s="91"/>
      <c r="F68" s="91"/>
      <c r="G68" s="87" t="n">
        <v>14</v>
      </c>
      <c r="H68" s="93"/>
      <c r="I68" s="94"/>
      <c r="J68" s="95"/>
      <c r="K68" s="3"/>
      <c r="L68" s="91"/>
      <c r="M68" s="92" t="s">
        <v>24</v>
      </c>
      <c r="N68" s="84" t="s">
        <v>837</v>
      </c>
      <c r="O68" s="96" t="s">
        <v>57</v>
      </c>
      <c r="P68" s="91"/>
      <c r="Q68" s="91"/>
      <c r="R68" s="87" t="n">
        <v>14</v>
      </c>
      <c r="S68" s="93"/>
      <c r="T68" s="94"/>
      <c r="U68" s="95"/>
    </row>
    <row r="69" customFormat="false" ht="18.75" hidden="false" customHeight="true" outlineLevel="0" collapsed="false">
      <c r="A69" s="91"/>
      <c r="B69" s="92" t="s">
        <v>24</v>
      </c>
      <c r="C69" s="84" t="s">
        <v>838</v>
      </c>
      <c r="D69" s="96" t="s">
        <v>57</v>
      </c>
      <c r="E69" s="91"/>
      <c r="F69" s="86" t="n">
        <v>8</v>
      </c>
      <c r="G69" s="87" t="n">
        <v>14</v>
      </c>
      <c r="H69" s="93"/>
      <c r="I69" s="94"/>
      <c r="J69" s="95"/>
      <c r="K69" s="3"/>
      <c r="L69" s="91"/>
      <c r="M69" s="92" t="s">
        <v>24</v>
      </c>
      <c r="N69" s="84" t="s">
        <v>838</v>
      </c>
      <c r="O69" s="96" t="s">
        <v>57</v>
      </c>
      <c r="P69" s="91"/>
      <c r="Q69" s="86" t="n">
        <v>8</v>
      </c>
      <c r="R69" s="87" t="n">
        <v>14</v>
      </c>
      <c r="S69" s="93"/>
      <c r="T69" s="94"/>
      <c r="U69" s="95"/>
    </row>
    <row r="70" customFormat="false" ht="18.75" hidden="false" customHeight="true" outlineLevel="0" collapsed="false">
      <c r="A70" s="91"/>
      <c r="B70" s="92" t="s">
        <v>24</v>
      </c>
      <c r="C70" s="84" t="s">
        <v>839</v>
      </c>
      <c r="D70" s="96" t="s">
        <v>57</v>
      </c>
      <c r="E70" s="91"/>
      <c r="F70" s="86" t="n">
        <v>8</v>
      </c>
      <c r="G70" s="87" t="n">
        <v>15</v>
      </c>
      <c r="H70" s="93"/>
      <c r="I70" s="94"/>
      <c r="J70" s="95"/>
      <c r="K70" s="3"/>
      <c r="L70" s="91"/>
      <c r="M70" s="92" t="s">
        <v>24</v>
      </c>
      <c r="N70" s="84" t="s">
        <v>839</v>
      </c>
      <c r="O70" s="96" t="s">
        <v>57</v>
      </c>
      <c r="P70" s="91"/>
      <c r="Q70" s="86" t="n">
        <v>8</v>
      </c>
      <c r="R70" s="87" t="n">
        <v>15</v>
      </c>
      <c r="S70" s="93"/>
      <c r="T70" s="94"/>
      <c r="U70" s="95"/>
    </row>
    <row r="71" customFormat="false" ht="18.75" hidden="false" customHeight="true" outlineLevel="0" collapsed="false">
      <c r="A71" s="91"/>
      <c r="B71" s="92" t="s">
        <v>24</v>
      </c>
      <c r="C71" s="84" t="s">
        <v>840</v>
      </c>
      <c r="D71" s="96" t="s">
        <v>57</v>
      </c>
      <c r="E71" s="91"/>
      <c r="F71" s="86" t="n">
        <v>3</v>
      </c>
      <c r="G71" s="87"/>
      <c r="H71" s="93"/>
      <c r="I71" s="94"/>
      <c r="J71" s="95"/>
      <c r="K71" s="3"/>
      <c r="L71" s="91"/>
      <c r="M71" s="92" t="s">
        <v>24</v>
      </c>
      <c r="N71" s="84" t="s">
        <v>840</v>
      </c>
      <c r="O71" s="96" t="s">
        <v>57</v>
      </c>
      <c r="P71" s="91"/>
      <c r="Q71" s="86" t="n">
        <v>3</v>
      </c>
      <c r="R71" s="120"/>
      <c r="S71" s="93"/>
      <c r="T71" s="94"/>
      <c r="U71" s="95"/>
    </row>
    <row r="72" customFormat="false" ht="18.75" hidden="false" customHeight="true" outlineLevel="0" collapsed="false">
      <c r="A72" s="91"/>
      <c r="B72" s="92" t="s">
        <v>24</v>
      </c>
      <c r="C72" s="84" t="s">
        <v>841</v>
      </c>
      <c r="D72" s="96" t="s">
        <v>57</v>
      </c>
      <c r="E72" s="91"/>
      <c r="F72" s="86" t="n">
        <v>8</v>
      </c>
      <c r="G72" s="87" t="n">
        <v>15</v>
      </c>
      <c r="H72" s="93"/>
      <c r="I72" s="94"/>
      <c r="J72" s="95"/>
      <c r="K72" s="3"/>
      <c r="L72" s="91"/>
      <c r="M72" s="92" t="s">
        <v>24</v>
      </c>
      <c r="N72" s="84" t="s">
        <v>841</v>
      </c>
      <c r="O72" s="96" t="s">
        <v>57</v>
      </c>
      <c r="P72" s="91"/>
      <c r="Q72" s="86" t="n">
        <v>8</v>
      </c>
      <c r="R72" s="87" t="n">
        <v>15</v>
      </c>
      <c r="S72" s="93"/>
      <c r="T72" s="94"/>
      <c r="U72" s="95"/>
    </row>
    <row r="73" customFormat="false" ht="18.75" hidden="false" customHeight="true" outlineLevel="0" collapsed="false">
      <c r="A73" s="91"/>
      <c r="B73" s="92" t="s">
        <v>24</v>
      </c>
      <c r="C73" s="84" t="s">
        <v>842</v>
      </c>
      <c r="D73" s="96" t="s">
        <v>57</v>
      </c>
      <c r="E73" s="91"/>
      <c r="F73" s="86" t="n">
        <v>32</v>
      </c>
      <c r="G73" s="87" t="n">
        <v>15</v>
      </c>
      <c r="H73" s="93"/>
      <c r="I73" s="94"/>
      <c r="J73" s="95"/>
      <c r="K73" s="3"/>
      <c r="L73" s="91"/>
      <c r="M73" s="92" t="s">
        <v>24</v>
      </c>
      <c r="N73" s="84" t="s">
        <v>842</v>
      </c>
      <c r="O73" s="96" t="s">
        <v>57</v>
      </c>
      <c r="P73" s="91"/>
      <c r="Q73" s="86" t="n">
        <v>32</v>
      </c>
      <c r="R73" s="87" t="n">
        <v>15</v>
      </c>
      <c r="S73" s="93"/>
      <c r="T73" s="94"/>
      <c r="U73" s="95"/>
    </row>
    <row r="74" customFormat="false" ht="18.75" hidden="false" customHeight="true" outlineLevel="0" collapsed="false">
      <c r="A74" s="91"/>
      <c r="B74" s="92" t="s">
        <v>24</v>
      </c>
      <c r="C74" s="84" t="s">
        <v>843</v>
      </c>
      <c r="D74" s="96" t="s">
        <v>57</v>
      </c>
      <c r="E74" s="91"/>
      <c r="F74" s="86" t="n">
        <v>32</v>
      </c>
      <c r="G74" s="87" t="n">
        <v>15</v>
      </c>
      <c r="H74" s="93"/>
      <c r="I74" s="94"/>
      <c r="J74" s="95"/>
      <c r="K74" s="3"/>
      <c r="L74" s="91"/>
      <c r="M74" s="92" t="s">
        <v>24</v>
      </c>
      <c r="N74" s="84" t="s">
        <v>843</v>
      </c>
      <c r="O74" s="96" t="s">
        <v>57</v>
      </c>
      <c r="P74" s="91"/>
      <c r="Q74" s="86" t="n">
        <v>32</v>
      </c>
      <c r="R74" s="87" t="n">
        <v>15</v>
      </c>
      <c r="S74" s="93"/>
      <c r="T74" s="94"/>
      <c r="U74" s="95"/>
    </row>
    <row r="75" customFormat="false" ht="18.75" hidden="false" customHeight="true" outlineLevel="0" collapsed="false">
      <c r="A75" s="91"/>
      <c r="B75" s="92" t="s">
        <v>24</v>
      </c>
      <c r="C75" s="84" t="s">
        <v>844</v>
      </c>
      <c r="D75" s="96" t="s">
        <v>57</v>
      </c>
      <c r="E75" s="91"/>
      <c r="F75" s="86" t="n">
        <v>3</v>
      </c>
      <c r="G75" s="87"/>
      <c r="H75" s="93"/>
      <c r="I75" s="94"/>
      <c r="J75" s="95"/>
      <c r="K75" s="3"/>
      <c r="L75" s="91"/>
      <c r="M75" s="92" t="s">
        <v>24</v>
      </c>
      <c r="N75" s="84" t="s">
        <v>844</v>
      </c>
      <c r="O75" s="96" t="s">
        <v>57</v>
      </c>
      <c r="P75" s="91"/>
      <c r="Q75" s="86" t="n">
        <v>3</v>
      </c>
      <c r="R75" s="120"/>
      <c r="S75" s="93"/>
      <c r="T75" s="94"/>
      <c r="U75" s="95"/>
    </row>
    <row r="76" customFormat="false" ht="18.75" hidden="false" customHeight="true" outlineLevel="0" collapsed="false">
      <c r="A76" s="91"/>
      <c r="B76" s="92" t="s">
        <v>24</v>
      </c>
      <c r="C76" s="84" t="s">
        <v>845</v>
      </c>
      <c r="D76" s="96" t="s">
        <v>57</v>
      </c>
      <c r="E76" s="91"/>
      <c r="F76" s="86" t="n">
        <v>20</v>
      </c>
      <c r="G76" s="87" t="n">
        <v>15</v>
      </c>
      <c r="H76" s="93"/>
      <c r="I76" s="94"/>
      <c r="J76" s="95"/>
      <c r="K76" s="3"/>
      <c r="L76" s="91"/>
      <c r="M76" s="92" t="s">
        <v>24</v>
      </c>
      <c r="N76" s="84" t="s">
        <v>845</v>
      </c>
      <c r="O76" s="96" t="s">
        <v>57</v>
      </c>
      <c r="P76" s="91"/>
      <c r="Q76" s="86" t="n">
        <v>20</v>
      </c>
      <c r="R76" s="87" t="n">
        <v>15</v>
      </c>
      <c r="S76" s="93"/>
      <c r="T76" s="94"/>
      <c r="U76" s="95"/>
    </row>
    <row r="77" customFormat="false" ht="18.75" hidden="false" customHeight="true" outlineLevel="0" collapsed="false">
      <c r="A77" s="91"/>
      <c r="B77" s="92" t="s">
        <v>24</v>
      </c>
      <c r="C77" s="84" t="s">
        <v>846</v>
      </c>
      <c r="D77" s="96" t="s">
        <v>57</v>
      </c>
      <c r="E77" s="91"/>
      <c r="F77" s="86" t="n">
        <v>50.6</v>
      </c>
      <c r="G77" s="87" t="n">
        <v>12.5</v>
      </c>
      <c r="H77" s="93"/>
      <c r="I77" s="94"/>
      <c r="J77" s="95"/>
      <c r="K77" s="3"/>
      <c r="L77" s="91"/>
      <c r="M77" s="92" t="s">
        <v>24</v>
      </c>
      <c r="N77" s="84" t="s">
        <v>846</v>
      </c>
      <c r="O77" s="96" t="s">
        <v>57</v>
      </c>
      <c r="P77" s="91"/>
      <c r="Q77" s="86" t="n">
        <v>50.6</v>
      </c>
      <c r="R77" s="87" t="n">
        <v>12.5</v>
      </c>
      <c r="S77" s="93"/>
      <c r="T77" s="94"/>
      <c r="U77" s="95"/>
    </row>
    <row r="78" customFormat="false" ht="18.75" hidden="false" customHeight="true" outlineLevel="0" collapsed="false">
      <c r="A78" s="91"/>
      <c r="B78" s="92" t="s">
        <v>24</v>
      </c>
      <c r="C78" s="84" t="s">
        <v>847</v>
      </c>
      <c r="D78" s="96" t="s">
        <v>57</v>
      </c>
      <c r="E78" s="91"/>
      <c r="F78" s="86" t="n">
        <v>12</v>
      </c>
      <c r="G78" s="87" t="n">
        <v>15</v>
      </c>
      <c r="H78" s="93"/>
      <c r="I78" s="94"/>
      <c r="J78" s="95"/>
      <c r="K78" s="3"/>
      <c r="L78" s="91"/>
      <c r="M78" s="92" t="s">
        <v>24</v>
      </c>
      <c r="N78" s="84" t="s">
        <v>847</v>
      </c>
      <c r="O78" s="96" t="s">
        <v>57</v>
      </c>
      <c r="P78" s="91"/>
      <c r="Q78" s="86" t="n">
        <v>12</v>
      </c>
      <c r="R78" s="87" t="n">
        <v>15</v>
      </c>
      <c r="S78" s="93"/>
      <c r="T78" s="94"/>
      <c r="U78" s="95"/>
    </row>
    <row r="79" customFormat="false" ht="18.75" hidden="false" customHeight="true" outlineLevel="0" collapsed="false">
      <c r="A79" s="91"/>
      <c r="B79" s="92" t="s">
        <v>24</v>
      </c>
      <c r="C79" s="84" t="s">
        <v>848</v>
      </c>
      <c r="D79" s="96" t="s">
        <v>57</v>
      </c>
      <c r="E79" s="91"/>
      <c r="F79" s="86" t="n">
        <v>19</v>
      </c>
      <c r="G79" s="87" t="n">
        <v>15</v>
      </c>
      <c r="H79" s="93"/>
      <c r="I79" s="94"/>
      <c r="J79" s="95"/>
      <c r="K79" s="3"/>
      <c r="L79" s="91"/>
      <c r="M79" s="92" t="s">
        <v>24</v>
      </c>
      <c r="N79" s="84" t="s">
        <v>848</v>
      </c>
      <c r="O79" s="96" t="s">
        <v>57</v>
      </c>
      <c r="P79" s="91"/>
      <c r="Q79" s="86" t="n">
        <v>19</v>
      </c>
      <c r="R79" s="87" t="n">
        <v>15</v>
      </c>
      <c r="S79" s="93"/>
      <c r="T79" s="94"/>
      <c r="U79" s="95"/>
    </row>
    <row r="80" customFormat="false" ht="18.75" hidden="false" customHeight="true" outlineLevel="0" collapsed="false">
      <c r="A80" s="91"/>
      <c r="B80" s="92" t="s">
        <v>24</v>
      </c>
      <c r="C80" s="84" t="s">
        <v>849</v>
      </c>
      <c r="D80" s="96" t="s">
        <v>57</v>
      </c>
      <c r="E80" s="91"/>
      <c r="F80" s="86" t="n">
        <v>10.3</v>
      </c>
      <c r="G80" s="87" t="n">
        <v>15</v>
      </c>
      <c r="H80" s="93"/>
      <c r="I80" s="94"/>
      <c r="J80" s="95"/>
      <c r="K80" s="3"/>
      <c r="L80" s="91"/>
      <c r="M80" s="92" t="s">
        <v>24</v>
      </c>
      <c r="N80" s="84" t="s">
        <v>849</v>
      </c>
      <c r="O80" s="96" t="s">
        <v>57</v>
      </c>
      <c r="P80" s="91"/>
      <c r="Q80" s="86" t="n">
        <v>10.3</v>
      </c>
      <c r="R80" s="87" t="n">
        <v>15</v>
      </c>
      <c r="S80" s="93"/>
      <c r="T80" s="94"/>
      <c r="U80" s="95"/>
    </row>
    <row r="81" customFormat="false" ht="18.75" hidden="false" customHeight="true" outlineLevel="0" collapsed="false">
      <c r="A81" s="91"/>
      <c r="B81" s="92" t="s">
        <v>24</v>
      </c>
      <c r="C81" s="84" t="s">
        <v>850</v>
      </c>
      <c r="D81" s="96" t="s">
        <v>57</v>
      </c>
      <c r="E81" s="91"/>
      <c r="F81" s="86" t="n">
        <v>12.2</v>
      </c>
      <c r="G81" s="87" t="n">
        <v>15</v>
      </c>
      <c r="H81" s="93"/>
      <c r="I81" s="94"/>
      <c r="J81" s="95"/>
      <c r="K81" s="3"/>
      <c r="L81" s="91"/>
      <c r="M81" s="92" t="s">
        <v>24</v>
      </c>
      <c r="N81" s="84" t="s">
        <v>850</v>
      </c>
      <c r="O81" s="96" t="s">
        <v>57</v>
      </c>
      <c r="P81" s="91"/>
      <c r="Q81" s="86" t="n">
        <v>12.2</v>
      </c>
      <c r="R81" s="87" t="n">
        <v>15</v>
      </c>
      <c r="S81" s="93"/>
      <c r="T81" s="94"/>
      <c r="U81" s="95"/>
    </row>
    <row r="82" customFormat="false" ht="18.75" hidden="false" customHeight="true" outlineLevel="0" collapsed="false">
      <c r="A82" s="91"/>
      <c r="B82" s="92" t="s">
        <v>24</v>
      </c>
      <c r="C82" s="84" t="s">
        <v>851</v>
      </c>
      <c r="D82" s="96" t="s">
        <v>57</v>
      </c>
      <c r="E82" s="91"/>
      <c r="F82" s="86" t="n">
        <v>1.5</v>
      </c>
      <c r="G82" s="87"/>
      <c r="H82" s="93"/>
      <c r="I82" s="94"/>
      <c r="J82" s="95"/>
      <c r="K82" s="3"/>
      <c r="L82" s="91"/>
      <c r="M82" s="92" t="s">
        <v>24</v>
      </c>
      <c r="N82" s="84" t="s">
        <v>851</v>
      </c>
      <c r="O82" s="96" t="s">
        <v>57</v>
      </c>
      <c r="P82" s="91"/>
      <c r="Q82" s="86" t="n">
        <v>1.5</v>
      </c>
      <c r="R82" s="120"/>
      <c r="S82" s="93"/>
      <c r="T82" s="94"/>
      <c r="U82" s="95"/>
    </row>
    <row r="83" customFormat="false" ht="18.75" hidden="false" customHeight="true" outlineLevel="0" collapsed="false">
      <c r="A83" s="91"/>
      <c r="B83" s="92" t="s">
        <v>24</v>
      </c>
      <c r="C83" s="84" t="s">
        <v>852</v>
      </c>
      <c r="D83" s="96" t="s">
        <v>57</v>
      </c>
      <c r="E83" s="91"/>
      <c r="F83" s="86" t="n">
        <v>5</v>
      </c>
      <c r="G83" s="87" t="n">
        <v>15</v>
      </c>
      <c r="H83" s="93"/>
      <c r="I83" s="94"/>
      <c r="J83" s="95"/>
      <c r="K83" s="3"/>
      <c r="L83" s="91"/>
      <c r="M83" s="92" t="s">
        <v>24</v>
      </c>
      <c r="N83" s="84" t="s">
        <v>852</v>
      </c>
      <c r="O83" s="96" t="s">
        <v>57</v>
      </c>
      <c r="P83" s="91"/>
      <c r="Q83" s="86" t="n">
        <v>5</v>
      </c>
      <c r="R83" s="87" t="n">
        <v>15</v>
      </c>
      <c r="S83" s="93"/>
      <c r="T83" s="94"/>
      <c r="U83" s="95"/>
    </row>
    <row r="84" customFormat="false" ht="18.75" hidden="false" customHeight="true" outlineLevel="0" collapsed="false">
      <c r="A84" s="82"/>
      <c r="B84" s="83" t="s">
        <v>29</v>
      </c>
      <c r="C84" s="84" t="s">
        <v>853</v>
      </c>
      <c r="D84" s="96" t="s">
        <v>57</v>
      </c>
      <c r="E84" s="91"/>
      <c r="F84" s="86" t="n">
        <v>8.65</v>
      </c>
      <c r="G84" s="87" t="n">
        <v>15</v>
      </c>
      <c r="H84" s="88" t="n">
        <f aca="false">SUMIF(B:B,B84,G:G)</f>
        <v>282.5</v>
      </c>
      <c r="I84" s="89" t="n">
        <v>259.75</v>
      </c>
      <c r="J84" s="90" t="n">
        <f aca="false">IFERROR((I84-H84)/I84,"")</f>
        <v>-0.0875842155919153</v>
      </c>
      <c r="K84" s="3"/>
      <c r="L84" s="82"/>
      <c r="M84" s="83" t="s">
        <v>29</v>
      </c>
      <c r="N84" s="84" t="s">
        <v>853</v>
      </c>
      <c r="O84" s="96" t="s">
        <v>57</v>
      </c>
      <c r="P84" s="91"/>
      <c r="Q84" s="86" t="n">
        <v>8.65</v>
      </c>
      <c r="R84" s="87" t="n">
        <v>15</v>
      </c>
      <c r="S84" s="88" t="n">
        <f aca="false">SUMIF(M:M,M84,R:R)</f>
        <v>282.5</v>
      </c>
      <c r="T84" s="89" t="n">
        <f aca="false">I84</f>
        <v>259.75</v>
      </c>
      <c r="U84" s="90" t="n">
        <f aca="false">IFERROR((T84-S84)/T84,"")</f>
        <v>-0.0875842155919153</v>
      </c>
    </row>
    <row r="85" customFormat="false" ht="18.75" hidden="false" customHeight="true" outlineLevel="0" collapsed="false">
      <c r="A85" s="91"/>
      <c r="B85" s="92" t="s">
        <v>29</v>
      </c>
      <c r="C85" s="84" t="s">
        <v>854</v>
      </c>
      <c r="D85" s="96" t="s">
        <v>57</v>
      </c>
      <c r="E85" s="91"/>
      <c r="F85" s="86" t="n">
        <v>5</v>
      </c>
      <c r="G85" s="87" t="n">
        <v>15</v>
      </c>
      <c r="H85" s="93"/>
      <c r="I85" s="94"/>
      <c r="J85" s="95"/>
      <c r="K85" s="3"/>
      <c r="L85" s="91"/>
      <c r="M85" s="92" t="s">
        <v>29</v>
      </c>
      <c r="N85" s="84" t="s">
        <v>854</v>
      </c>
      <c r="O85" s="96" t="s">
        <v>57</v>
      </c>
      <c r="P85" s="91"/>
      <c r="Q85" s="86" t="n">
        <v>5</v>
      </c>
      <c r="R85" s="87" t="n">
        <v>15</v>
      </c>
      <c r="S85" s="93"/>
      <c r="T85" s="94"/>
      <c r="U85" s="95"/>
    </row>
    <row r="86" customFormat="false" ht="18.75" hidden="false" customHeight="true" outlineLevel="0" collapsed="false">
      <c r="A86" s="91"/>
      <c r="B86" s="92" t="s">
        <v>29</v>
      </c>
      <c r="C86" s="84" t="s">
        <v>855</v>
      </c>
      <c r="D86" s="96" t="s">
        <v>57</v>
      </c>
      <c r="E86" s="91"/>
      <c r="F86" s="86" t="n">
        <v>5</v>
      </c>
      <c r="G86" s="87" t="n">
        <v>15</v>
      </c>
      <c r="H86" s="93"/>
      <c r="I86" s="94"/>
      <c r="J86" s="95"/>
      <c r="K86" s="3"/>
      <c r="L86" s="91"/>
      <c r="M86" s="92" t="s">
        <v>29</v>
      </c>
      <c r="N86" s="84" t="s">
        <v>855</v>
      </c>
      <c r="O86" s="96" t="s">
        <v>57</v>
      </c>
      <c r="P86" s="91"/>
      <c r="Q86" s="86" t="n">
        <v>5</v>
      </c>
      <c r="R86" s="87" t="n">
        <v>15</v>
      </c>
      <c r="S86" s="93"/>
      <c r="T86" s="94"/>
      <c r="U86" s="95"/>
    </row>
    <row r="87" customFormat="false" ht="18.75" hidden="false" customHeight="true" outlineLevel="0" collapsed="false">
      <c r="A87" s="91"/>
      <c r="B87" s="92" t="s">
        <v>29</v>
      </c>
      <c r="C87" s="84" t="s">
        <v>856</v>
      </c>
      <c r="D87" s="96" t="s">
        <v>57</v>
      </c>
      <c r="E87" s="91"/>
      <c r="F87" s="86" t="n">
        <v>7</v>
      </c>
      <c r="G87" s="87" t="n">
        <v>12.5</v>
      </c>
      <c r="H87" s="93"/>
      <c r="I87" s="94"/>
      <c r="J87" s="95"/>
      <c r="K87" s="3"/>
      <c r="L87" s="91"/>
      <c r="M87" s="92" t="s">
        <v>29</v>
      </c>
      <c r="N87" s="84" t="s">
        <v>856</v>
      </c>
      <c r="O87" s="96" t="s">
        <v>57</v>
      </c>
      <c r="P87" s="91"/>
      <c r="Q87" s="86" t="n">
        <v>7</v>
      </c>
      <c r="R87" s="87" t="n">
        <v>12.5</v>
      </c>
      <c r="S87" s="93"/>
      <c r="T87" s="94"/>
      <c r="U87" s="95"/>
    </row>
    <row r="88" customFormat="false" ht="18.75" hidden="false" customHeight="true" outlineLevel="0" collapsed="false">
      <c r="A88" s="91"/>
      <c r="B88" s="92" t="s">
        <v>29</v>
      </c>
      <c r="C88" s="84" t="s">
        <v>857</v>
      </c>
      <c r="D88" s="96" t="s">
        <v>57</v>
      </c>
      <c r="E88" s="91"/>
      <c r="F88" s="86" t="n">
        <v>3</v>
      </c>
      <c r="G88" s="87" t="n">
        <v>15</v>
      </c>
      <c r="H88" s="93"/>
      <c r="I88" s="94"/>
      <c r="J88" s="95"/>
      <c r="K88" s="3"/>
      <c r="L88" s="91"/>
      <c r="M88" s="92" t="s">
        <v>29</v>
      </c>
      <c r="N88" s="84" t="s">
        <v>857</v>
      </c>
      <c r="O88" s="96" t="s">
        <v>57</v>
      </c>
      <c r="P88" s="91"/>
      <c r="Q88" s="86" t="n">
        <v>3</v>
      </c>
      <c r="R88" s="87" t="n">
        <v>15</v>
      </c>
      <c r="S88" s="93"/>
      <c r="T88" s="94"/>
      <c r="U88" s="95"/>
    </row>
    <row r="89" customFormat="false" ht="18.75" hidden="false" customHeight="true" outlineLevel="0" collapsed="false">
      <c r="A89" s="91"/>
      <c r="B89" s="92" t="s">
        <v>29</v>
      </c>
      <c r="C89" s="84" t="s">
        <v>858</v>
      </c>
      <c r="D89" s="96" t="s">
        <v>57</v>
      </c>
      <c r="E89" s="91"/>
      <c r="F89" s="86" t="n">
        <v>3</v>
      </c>
      <c r="G89" s="87" t="n">
        <v>15</v>
      </c>
      <c r="H89" s="93"/>
      <c r="I89" s="94"/>
      <c r="J89" s="95"/>
      <c r="K89" s="3"/>
      <c r="L89" s="91"/>
      <c r="M89" s="92" t="s">
        <v>29</v>
      </c>
      <c r="N89" s="84" t="s">
        <v>858</v>
      </c>
      <c r="O89" s="96" t="s">
        <v>57</v>
      </c>
      <c r="P89" s="91"/>
      <c r="Q89" s="86" t="n">
        <v>3</v>
      </c>
      <c r="R89" s="87" t="n">
        <v>15</v>
      </c>
      <c r="S89" s="93"/>
      <c r="T89" s="94"/>
      <c r="U89" s="95"/>
    </row>
    <row r="90" customFormat="false" ht="18.75" hidden="false" customHeight="true" outlineLevel="0" collapsed="false">
      <c r="A90" s="91"/>
      <c r="B90" s="92" t="s">
        <v>29</v>
      </c>
      <c r="C90" s="84" t="s">
        <v>859</v>
      </c>
      <c r="D90" s="96" t="s">
        <v>57</v>
      </c>
      <c r="E90" s="91"/>
      <c r="F90" s="86" t="n">
        <v>7</v>
      </c>
      <c r="G90" s="87" t="n">
        <v>12.5</v>
      </c>
      <c r="H90" s="93"/>
      <c r="I90" s="94"/>
      <c r="J90" s="95"/>
      <c r="K90" s="3"/>
      <c r="L90" s="91"/>
      <c r="M90" s="92" t="s">
        <v>29</v>
      </c>
      <c r="N90" s="84" t="s">
        <v>859</v>
      </c>
      <c r="O90" s="96" t="s">
        <v>57</v>
      </c>
      <c r="P90" s="91"/>
      <c r="Q90" s="86" t="n">
        <v>7</v>
      </c>
      <c r="R90" s="87" t="n">
        <v>12.5</v>
      </c>
      <c r="S90" s="93"/>
      <c r="T90" s="94"/>
      <c r="U90" s="95"/>
    </row>
    <row r="91" customFormat="false" ht="18.75" hidden="false" customHeight="true" outlineLevel="0" collapsed="false">
      <c r="A91" s="91"/>
      <c r="B91" s="92" t="s">
        <v>29</v>
      </c>
      <c r="C91" s="84" t="s">
        <v>860</v>
      </c>
      <c r="D91" s="96" t="s">
        <v>57</v>
      </c>
      <c r="E91" s="91"/>
      <c r="F91" s="86" t="n">
        <v>3</v>
      </c>
      <c r="G91" s="87" t="n">
        <v>15</v>
      </c>
      <c r="H91" s="93"/>
      <c r="I91" s="94"/>
      <c r="J91" s="95"/>
      <c r="K91" s="3"/>
      <c r="L91" s="91"/>
      <c r="M91" s="92" t="s">
        <v>29</v>
      </c>
      <c r="N91" s="84" t="s">
        <v>860</v>
      </c>
      <c r="O91" s="96" t="s">
        <v>57</v>
      </c>
      <c r="P91" s="91"/>
      <c r="Q91" s="86" t="n">
        <v>3</v>
      </c>
      <c r="R91" s="87" t="n">
        <v>15</v>
      </c>
      <c r="S91" s="93"/>
      <c r="T91" s="94"/>
      <c r="U91" s="95"/>
    </row>
    <row r="92" customFormat="false" ht="18.75" hidden="false" customHeight="true" outlineLevel="0" collapsed="false">
      <c r="A92" s="91"/>
      <c r="B92" s="92" t="s">
        <v>29</v>
      </c>
      <c r="C92" s="84" t="s">
        <v>861</v>
      </c>
      <c r="D92" s="96" t="s">
        <v>57</v>
      </c>
      <c r="E92" s="91"/>
      <c r="F92" s="86" t="n">
        <v>3</v>
      </c>
      <c r="G92" s="87" t="n">
        <v>15</v>
      </c>
      <c r="H92" s="93"/>
      <c r="I92" s="94"/>
      <c r="J92" s="95"/>
      <c r="K92" s="3"/>
      <c r="L92" s="91"/>
      <c r="M92" s="92" t="s">
        <v>29</v>
      </c>
      <c r="N92" s="84" t="s">
        <v>861</v>
      </c>
      <c r="O92" s="96" t="s">
        <v>57</v>
      </c>
      <c r="P92" s="91"/>
      <c r="Q92" s="86" t="n">
        <v>3</v>
      </c>
      <c r="R92" s="87" t="n">
        <v>15</v>
      </c>
      <c r="S92" s="93"/>
      <c r="T92" s="94"/>
      <c r="U92" s="95"/>
    </row>
    <row r="93" customFormat="false" ht="18.75" hidden="false" customHeight="true" outlineLevel="0" collapsed="false">
      <c r="A93" s="91"/>
      <c r="B93" s="92" t="s">
        <v>29</v>
      </c>
      <c r="C93" s="84" t="s">
        <v>862</v>
      </c>
      <c r="D93" s="96" t="s">
        <v>57</v>
      </c>
      <c r="E93" s="91"/>
      <c r="F93" s="86" t="n">
        <v>1</v>
      </c>
      <c r="G93" s="87" t="n">
        <v>15</v>
      </c>
      <c r="H93" s="93"/>
      <c r="I93" s="94"/>
      <c r="J93" s="95"/>
      <c r="K93" s="3"/>
      <c r="L93" s="91"/>
      <c r="M93" s="92" t="s">
        <v>29</v>
      </c>
      <c r="N93" s="84" t="s">
        <v>862</v>
      </c>
      <c r="O93" s="96" t="s">
        <v>57</v>
      </c>
      <c r="P93" s="91"/>
      <c r="Q93" s="86" t="n">
        <v>1</v>
      </c>
      <c r="R93" s="87" t="n">
        <v>15</v>
      </c>
      <c r="S93" s="93"/>
      <c r="T93" s="94"/>
      <c r="U93" s="95"/>
    </row>
    <row r="94" customFormat="false" ht="18.75" hidden="false" customHeight="true" outlineLevel="0" collapsed="false">
      <c r="A94" s="91"/>
      <c r="B94" s="92" t="s">
        <v>29</v>
      </c>
      <c r="C94" s="84" t="s">
        <v>863</v>
      </c>
      <c r="D94" s="96" t="s">
        <v>57</v>
      </c>
      <c r="E94" s="91"/>
      <c r="F94" s="91"/>
      <c r="G94" s="87"/>
      <c r="H94" s="93"/>
      <c r="I94" s="94"/>
      <c r="J94" s="95"/>
      <c r="K94" s="3"/>
      <c r="L94" s="91"/>
      <c r="M94" s="92" t="s">
        <v>29</v>
      </c>
      <c r="N94" s="84" t="s">
        <v>863</v>
      </c>
      <c r="O94" s="96" t="s">
        <v>57</v>
      </c>
      <c r="P94" s="91"/>
      <c r="Q94" s="91"/>
      <c r="R94" s="120"/>
      <c r="S94" s="93"/>
      <c r="T94" s="94"/>
      <c r="U94" s="95"/>
    </row>
    <row r="95" customFormat="false" ht="18.75" hidden="false" customHeight="true" outlineLevel="0" collapsed="false">
      <c r="A95" s="91"/>
      <c r="B95" s="92" t="s">
        <v>29</v>
      </c>
      <c r="C95" s="84" t="s">
        <v>864</v>
      </c>
      <c r="D95" s="96" t="s">
        <v>57</v>
      </c>
      <c r="E95" s="91"/>
      <c r="F95" s="86" t="n">
        <v>3</v>
      </c>
      <c r="G95" s="87" t="n">
        <v>15</v>
      </c>
      <c r="H95" s="93"/>
      <c r="I95" s="94"/>
      <c r="J95" s="95"/>
      <c r="K95" s="3"/>
      <c r="L95" s="91"/>
      <c r="M95" s="92" t="s">
        <v>29</v>
      </c>
      <c r="N95" s="84" t="s">
        <v>864</v>
      </c>
      <c r="O95" s="96" t="s">
        <v>57</v>
      </c>
      <c r="P95" s="91"/>
      <c r="Q95" s="86" t="n">
        <v>3</v>
      </c>
      <c r="R95" s="87" t="n">
        <v>15</v>
      </c>
      <c r="S95" s="93"/>
      <c r="T95" s="94"/>
      <c r="U95" s="95"/>
    </row>
    <row r="96" customFormat="false" ht="18.75" hidden="false" customHeight="true" outlineLevel="0" collapsed="false">
      <c r="A96" s="91"/>
      <c r="B96" s="92" t="s">
        <v>29</v>
      </c>
      <c r="C96" s="84" t="s">
        <v>865</v>
      </c>
      <c r="D96" s="96" t="s">
        <v>57</v>
      </c>
      <c r="E96" s="91"/>
      <c r="F96" s="86" t="n">
        <v>3</v>
      </c>
      <c r="G96" s="87" t="n">
        <v>15</v>
      </c>
      <c r="H96" s="93"/>
      <c r="I96" s="94"/>
      <c r="J96" s="95"/>
      <c r="K96" s="3"/>
      <c r="L96" s="91"/>
      <c r="M96" s="92" t="s">
        <v>29</v>
      </c>
      <c r="N96" s="84" t="s">
        <v>865</v>
      </c>
      <c r="O96" s="96" t="s">
        <v>57</v>
      </c>
      <c r="P96" s="91"/>
      <c r="Q96" s="86" t="n">
        <v>3</v>
      </c>
      <c r="R96" s="87" t="n">
        <v>15</v>
      </c>
      <c r="S96" s="93"/>
      <c r="T96" s="94"/>
      <c r="U96" s="95"/>
    </row>
    <row r="97" customFormat="false" ht="18.75" hidden="false" customHeight="true" outlineLevel="0" collapsed="false">
      <c r="A97" s="91"/>
      <c r="B97" s="92" t="s">
        <v>29</v>
      </c>
      <c r="C97" s="84" t="s">
        <v>866</v>
      </c>
      <c r="D97" s="96" t="s">
        <v>57</v>
      </c>
      <c r="E97" s="91"/>
      <c r="F97" s="86" t="n">
        <v>5</v>
      </c>
      <c r="G97" s="87" t="n">
        <v>12.5</v>
      </c>
      <c r="H97" s="93"/>
      <c r="I97" s="94"/>
      <c r="J97" s="95"/>
      <c r="K97" s="3"/>
      <c r="L97" s="91"/>
      <c r="M97" s="92" t="s">
        <v>29</v>
      </c>
      <c r="N97" s="84" t="s">
        <v>866</v>
      </c>
      <c r="O97" s="96" t="s">
        <v>57</v>
      </c>
      <c r="P97" s="91"/>
      <c r="Q97" s="86" t="n">
        <v>5</v>
      </c>
      <c r="R97" s="87" t="n">
        <v>12.5</v>
      </c>
      <c r="S97" s="93"/>
      <c r="T97" s="94"/>
      <c r="U97" s="95"/>
    </row>
    <row r="98" customFormat="false" ht="18.75" hidden="false" customHeight="true" outlineLevel="0" collapsed="false">
      <c r="A98" s="91"/>
      <c r="B98" s="92" t="s">
        <v>29</v>
      </c>
      <c r="C98" s="84" t="s">
        <v>867</v>
      </c>
      <c r="D98" s="96" t="s">
        <v>57</v>
      </c>
      <c r="E98" s="91"/>
      <c r="F98" s="86" t="n">
        <v>3</v>
      </c>
      <c r="G98" s="87" t="n">
        <v>15</v>
      </c>
      <c r="H98" s="93"/>
      <c r="I98" s="94"/>
      <c r="J98" s="95"/>
      <c r="K98" s="3"/>
      <c r="L98" s="91"/>
      <c r="M98" s="92" t="s">
        <v>29</v>
      </c>
      <c r="N98" s="84" t="s">
        <v>867</v>
      </c>
      <c r="O98" s="96" t="s">
        <v>57</v>
      </c>
      <c r="P98" s="91"/>
      <c r="Q98" s="86" t="n">
        <v>3</v>
      </c>
      <c r="R98" s="87" t="n">
        <v>15</v>
      </c>
      <c r="S98" s="93"/>
      <c r="T98" s="94"/>
      <c r="U98" s="95"/>
    </row>
    <row r="99" customFormat="false" ht="18.75" hidden="false" customHeight="true" outlineLevel="0" collapsed="false">
      <c r="A99" s="91"/>
      <c r="B99" s="92" t="s">
        <v>29</v>
      </c>
      <c r="C99" s="84" t="s">
        <v>868</v>
      </c>
      <c r="D99" s="96" t="s">
        <v>57</v>
      </c>
      <c r="E99" s="91"/>
      <c r="F99" s="86" t="n">
        <v>5.25</v>
      </c>
      <c r="G99" s="87" t="n">
        <v>12.5</v>
      </c>
      <c r="H99" s="93"/>
      <c r="I99" s="94"/>
      <c r="J99" s="95"/>
      <c r="K99" s="3"/>
      <c r="L99" s="91"/>
      <c r="M99" s="92" t="s">
        <v>29</v>
      </c>
      <c r="N99" s="84" t="s">
        <v>868</v>
      </c>
      <c r="O99" s="96" t="s">
        <v>57</v>
      </c>
      <c r="P99" s="91"/>
      <c r="Q99" s="86" t="n">
        <v>5.25</v>
      </c>
      <c r="R99" s="87" t="n">
        <v>12.5</v>
      </c>
      <c r="S99" s="93"/>
      <c r="T99" s="94"/>
      <c r="U99" s="95"/>
    </row>
    <row r="100" customFormat="false" ht="18.75" hidden="false" customHeight="true" outlineLevel="0" collapsed="false">
      <c r="A100" s="91"/>
      <c r="B100" s="92" t="s">
        <v>29</v>
      </c>
      <c r="C100" s="84" t="s">
        <v>869</v>
      </c>
      <c r="D100" s="96" t="s">
        <v>57</v>
      </c>
      <c r="E100" s="91"/>
      <c r="F100" s="86" t="n">
        <v>4.75</v>
      </c>
      <c r="G100" s="87" t="n">
        <v>15</v>
      </c>
      <c r="H100" s="93"/>
      <c r="I100" s="94"/>
      <c r="J100" s="95"/>
      <c r="K100" s="3"/>
      <c r="L100" s="91"/>
      <c r="M100" s="92" t="s">
        <v>29</v>
      </c>
      <c r="N100" s="84" t="s">
        <v>869</v>
      </c>
      <c r="O100" s="96" t="s">
        <v>57</v>
      </c>
      <c r="P100" s="91"/>
      <c r="Q100" s="86" t="n">
        <v>4.75</v>
      </c>
      <c r="R100" s="87" t="n">
        <v>15</v>
      </c>
      <c r="S100" s="93"/>
      <c r="T100" s="94"/>
      <c r="U100" s="95"/>
    </row>
    <row r="101" customFormat="false" ht="18.75" hidden="false" customHeight="true" outlineLevel="0" collapsed="false">
      <c r="A101" s="91"/>
      <c r="B101" s="92" t="s">
        <v>29</v>
      </c>
      <c r="C101" s="84" t="s">
        <v>870</v>
      </c>
      <c r="D101" s="96" t="s">
        <v>57</v>
      </c>
      <c r="E101" s="91"/>
      <c r="F101" s="86" t="n">
        <v>2</v>
      </c>
      <c r="G101" s="87" t="n">
        <v>25</v>
      </c>
      <c r="H101" s="93"/>
      <c r="I101" s="94"/>
      <c r="J101" s="95"/>
      <c r="K101" s="3"/>
      <c r="L101" s="91"/>
      <c r="M101" s="92" t="s">
        <v>29</v>
      </c>
      <c r="N101" s="84" t="s">
        <v>870</v>
      </c>
      <c r="O101" s="96" t="s">
        <v>57</v>
      </c>
      <c r="P101" s="91"/>
      <c r="Q101" s="86" t="n">
        <v>2</v>
      </c>
      <c r="R101" s="87" t="n">
        <v>25</v>
      </c>
      <c r="S101" s="93"/>
      <c r="T101" s="94"/>
      <c r="U101" s="95"/>
    </row>
    <row r="102" customFormat="false" ht="18.75" hidden="false" customHeight="true" outlineLevel="0" collapsed="false">
      <c r="A102" s="91"/>
      <c r="B102" s="92" t="s">
        <v>29</v>
      </c>
      <c r="C102" s="84" t="s">
        <v>871</v>
      </c>
      <c r="D102" s="96" t="s">
        <v>57</v>
      </c>
      <c r="E102" s="91"/>
      <c r="F102" s="86" t="n">
        <v>4.25</v>
      </c>
      <c r="G102" s="87" t="n">
        <v>12.5</v>
      </c>
      <c r="H102" s="93"/>
      <c r="I102" s="94"/>
      <c r="J102" s="95"/>
      <c r="K102" s="3"/>
      <c r="L102" s="91"/>
      <c r="M102" s="92" t="s">
        <v>29</v>
      </c>
      <c r="N102" s="84" t="s">
        <v>871</v>
      </c>
      <c r="O102" s="96" t="s">
        <v>57</v>
      </c>
      <c r="P102" s="91"/>
      <c r="Q102" s="86" t="n">
        <v>4.25</v>
      </c>
      <c r="R102" s="87" t="n">
        <v>12.5</v>
      </c>
      <c r="S102" s="93"/>
      <c r="T102" s="94"/>
      <c r="U102" s="95"/>
    </row>
    <row r="103" customFormat="false" ht="18.75" hidden="false" customHeight="true" outlineLevel="0" collapsed="false">
      <c r="A103" s="91"/>
      <c r="B103" s="92" t="s">
        <v>29</v>
      </c>
      <c r="C103" s="84" t="s">
        <v>872</v>
      </c>
      <c r="D103" s="96" t="s">
        <v>57</v>
      </c>
      <c r="E103" s="91"/>
      <c r="F103" s="86" t="n">
        <v>24</v>
      </c>
      <c r="G103" s="87" t="n">
        <v>15</v>
      </c>
      <c r="H103" s="93"/>
      <c r="I103" s="94"/>
      <c r="J103" s="95"/>
      <c r="K103" s="3"/>
      <c r="L103" s="91"/>
      <c r="M103" s="92" t="s">
        <v>29</v>
      </c>
      <c r="N103" s="84" t="s">
        <v>872</v>
      </c>
      <c r="O103" s="96" t="s">
        <v>57</v>
      </c>
      <c r="P103" s="91"/>
      <c r="Q103" s="86" t="n">
        <v>24</v>
      </c>
      <c r="R103" s="87" t="n">
        <v>15</v>
      </c>
      <c r="S103" s="93"/>
      <c r="T103" s="94"/>
      <c r="U103" s="95"/>
    </row>
    <row r="104" customFormat="false" ht="18.75" hidden="false" customHeight="true" outlineLevel="0" collapsed="false">
      <c r="A104" s="82"/>
      <c r="B104" s="83" t="s">
        <v>31</v>
      </c>
      <c r="C104" s="84" t="s">
        <v>873</v>
      </c>
      <c r="D104" s="96" t="s">
        <v>57</v>
      </c>
      <c r="E104" s="91"/>
      <c r="F104" s="86" t="n">
        <v>8</v>
      </c>
      <c r="G104" s="87" t="n">
        <v>17</v>
      </c>
      <c r="H104" s="88" t="n">
        <f aca="false">SUMIF(B:B,B104,G:G)</f>
        <v>222</v>
      </c>
      <c r="I104" s="89" t="n">
        <v>496</v>
      </c>
      <c r="J104" s="90" t="n">
        <f aca="false">IFERROR((I104-H104)/I104,"")</f>
        <v>0.55241935483871</v>
      </c>
      <c r="K104" s="3"/>
      <c r="L104" s="82"/>
      <c r="M104" s="83" t="s">
        <v>31</v>
      </c>
      <c r="N104" s="84" t="s">
        <v>873</v>
      </c>
      <c r="O104" s="96" t="s">
        <v>57</v>
      </c>
      <c r="P104" s="91"/>
      <c r="Q104" s="86" t="n">
        <v>8</v>
      </c>
      <c r="R104" s="87" t="n">
        <v>17</v>
      </c>
      <c r="S104" s="88" t="n">
        <f aca="false">SUMIF(M:M,M104,R:R)</f>
        <v>222</v>
      </c>
      <c r="T104" s="89" t="n">
        <f aca="false">I104</f>
        <v>496</v>
      </c>
      <c r="U104" s="90" t="n">
        <f aca="false">IFERROR((T104-S104)/T104,"")</f>
        <v>0.55241935483871</v>
      </c>
    </row>
    <row r="105" customFormat="false" ht="18.75" hidden="false" customHeight="true" outlineLevel="0" collapsed="false">
      <c r="A105" s="91"/>
      <c r="B105" s="92" t="s">
        <v>31</v>
      </c>
      <c r="C105" s="84" t="s">
        <v>874</v>
      </c>
      <c r="D105" s="96" t="s">
        <v>57</v>
      </c>
      <c r="E105" s="91"/>
      <c r="F105" s="86" t="n">
        <v>8</v>
      </c>
      <c r="G105" s="87" t="n">
        <v>17</v>
      </c>
      <c r="H105" s="93"/>
      <c r="I105" s="94"/>
      <c r="J105" s="95"/>
      <c r="K105" s="3"/>
      <c r="L105" s="91"/>
      <c r="M105" s="92" t="s">
        <v>31</v>
      </c>
      <c r="N105" s="84" t="s">
        <v>874</v>
      </c>
      <c r="O105" s="96" t="s">
        <v>57</v>
      </c>
      <c r="P105" s="91"/>
      <c r="Q105" s="86" t="n">
        <v>8</v>
      </c>
      <c r="R105" s="87" t="n">
        <v>17</v>
      </c>
      <c r="S105" s="93"/>
      <c r="T105" s="94"/>
      <c r="U105" s="95"/>
    </row>
    <row r="106" customFormat="false" ht="18.75" hidden="false" customHeight="true" outlineLevel="0" collapsed="false">
      <c r="A106" s="91"/>
      <c r="B106" s="92" t="s">
        <v>31</v>
      </c>
      <c r="C106" s="84" t="s">
        <v>875</v>
      </c>
      <c r="D106" s="96" t="s">
        <v>57</v>
      </c>
      <c r="E106" s="91"/>
      <c r="F106" s="86" t="n">
        <v>15</v>
      </c>
      <c r="G106" s="87" t="n">
        <v>14</v>
      </c>
      <c r="H106" s="93"/>
      <c r="I106" s="94"/>
      <c r="J106" s="95"/>
      <c r="K106" s="3"/>
      <c r="L106" s="91"/>
      <c r="M106" s="92" t="s">
        <v>31</v>
      </c>
      <c r="N106" s="84" t="s">
        <v>875</v>
      </c>
      <c r="O106" s="96" t="s">
        <v>57</v>
      </c>
      <c r="P106" s="91"/>
      <c r="Q106" s="86" t="n">
        <v>15</v>
      </c>
      <c r="R106" s="87" t="n">
        <v>14</v>
      </c>
      <c r="S106" s="93"/>
      <c r="T106" s="94"/>
      <c r="U106" s="95"/>
    </row>
    <row r="107" customFormat="false" ht="18.75" hidden="false" customHeight="true" outlineLevel="0" collapsed="false">
      <c r="A107" s="91"/>
      <c r="B107" s="92" t="s">
        <v>31</v>
      </c>
      <c r="C107" s="84" t="s">
        <v>876</v>
      </c>
      <c r="D107" s="96" t="s">
        <v>57</v>
      </c>
      <c r="E107" s="91"/>
      <c r="F107" s="86" t="n">
        <v>8</v>
      </c>
      <c r="G107" s="87"/>
      <c r="H107" s="93"/>
      <c r="I107" s="94"/>
      <c r="J107" s="95"/>
      <c r="K107" s="3"/>
      <c r="L107" s="91"/>
      <c r="M107" s="92" t="s">
        <v>31</v>
      </c>
      <c r="N107" s="84" t="s">
        <v>876</v>
      </c>
      <c r="O107" s="96" t="s">
        <v>57</v>
      </c>
      <c r="P107" s="91"/>
      <c r="Q107" s="86" t="n">
        <v>8</v>
      </c>
      <c r="R107" s="120"/>
      <c r="S107" s="93"/>
      <c r="T107" s="94"/>
      <c r="U107" s="95"/>
    </row>
    <row r="108" customFormat="false" ht="18.75" hidden="false" customHeight="true" outlineLevel="0" collapsed="false">
      <c r="A108" s="91"/>
      <c r="B108" s="92" t="s">
        <v>31</v>
      </c>
      <c r="C108" s="84" t="s">
        <v>877</v>
      </c>
      <c r="D108" s="96" t="s">
        <v>57</v>
      </c>
      <c r="E108" s="91"/>
      <c r="F108" s="91"/>
      <c r="G108" s="87"/>
      <c r="H108" s="93"/>
      <c r="I108" s="94"/>
      <c r="J108" s="95"/>
      <c r="K108" s="3"/>
      <c r="L108" s="91"/>
      <c r="M108" s="92" t="s">
        <v>31</v>
      </c>
      <c r="N108" s="84" t="s">
        <v>877</v>
      </c>
      <c r="O108" s="96" t="s">
        <v>57</v>
      </c>
      <c r="P108" s="91"/>
      <c r="Q108" s="91"/>
      <c r="R108" s="120"/>
      <c r="S108" s="93"/>
      <c r="T108" s="94"/>
      <c r="U108" s="95"/>
    </row>
    <row r="109" customFormat="false" ht="18.75" hidden="false" customHeight="true" outlineLevel="0" collapsed="false">
      <c r="A109" s="91"/>
      <c r="B109" s="92" t="s">
        <v>31</v>
      </c>
      <c r="C109" s="84" t="s">
        <v>878</v>
      </c>
      <c r="D109" s="96" t="s">
        <v>57</v>
      </c>
      <c r="E109" s="91"/>
      <c r="F109" s="86" t="n">
        <v>67.75</v>
      </c>
      <c r="G109" s="87" t="n">
        <v>15</v>
      </c>
      <c r="H109" s="93"/>
      <c r="I109" s="94"/>
      <c r="J109" s="95"/>
      <c r="K109" s="3"/>
      <c r="L109" s="91"/>
      <c r="M109" s="92" t="s">
        <v>31</v>
      </c>
      <c r="N109" s="84" t="s">
        <v>878</v>
      </c>
      <c r="O109" s="96" t="s">
        <v>57</v>
      </c>
      <c r="P109" s="91"/>
      <c r="Q109" s="86" t="n">
        <v>67.75</v>
      </c>
      <c r="R109" s="87" t="n">
        <v>15</v>
      </c>
      <c r="S109" s="93"/>
      <c r="T109" s="94"/>
      <c r="U109" s="95"/>
    </row>
    <row r="110" customFormat="false" ht="18.75" hidden="false" customHeight="true" outlineLevel="0" collapsed="false">
      <c r="A110" s="91"/>
      <c r="B110" s="92" t="s">
        <v>31</v>
      </c>
      <c r="C110" s="84" t="s">
        <v>879</v>
      </c>
      <c r="D110" s="96" t="s">
        <v>57</v>
      </c>
      <c r="E110" s="91"/>
      <c r="F110" s="86" t="n">
        <v>21</v>
      </c>
      <c r="G110" s="87" t="n">
        <v>15</v>
      </c>
      <c r="H110" s="93"/>
      <c r="I110" s="94"/>
      <c r="J110" s="95"/>
      <c r="K110" s="3"/>
      <c r="L110" s="91"/>
      <c r="M110" s="92" t="s">
        <v>31</v>
      </c>
      <c r="N110" s="84" t="s">
        <v>879</v>
      </c>
      <c r="O110" s="96" t="s">
        <v>57</v>
      </c>
      <c r="P110" s="91"/>
      <c r="Q110" s="86" t="n">
        <v>21</v>
      </c>
      <c r="R110" s="87" t="n">
        <v>15</v>
      </c>
      <c r="S110" s="93"/>
      <c r="T110" s="94"/>
      <c r="U110" s="95"/>
    </row>
    <row r="111" customFormat="false" ht="18.75" hidden="false" customHeight="true" outlineLevel="0" collapsed="false">
      <c r="A111" s="91"/>
      <c r="B111" s="92" t="s">
        <v>31</v>
      </c>
      <c r="C111" s="84" t="s">
        <v>880</v>
      </c>
      <c r="D111" s="96" t="s">
        <v>57</v>
      </c>
      <c r="E111" s="91"/>
      <c r="F111" s="86" t="n">
        <v>6</v>
      </c>
      <c r="G111" s="87" t="n">
        <v>15</v>
      </c>
      <c r="H111" s="93"/>
      <c r="I111" s="94"/>
      <c r="J111" s="95"/>
      <c r="K111" s="3"/>
      <c r="L111" s="91"/>
      <c r="M111" s="92" t="s">
        <v>31</v>
      </c>
      <c r="N111" s="84" t="s">
        <v>880</v>
      </c>
      <c r="O111" s="96" t="s">
        <v>57</v>
      </c>
      <c r="P111" s="91"/>
      <c r="Q111" s="86" t="n">
        <v>6</v>
      </c>
      <c r="R111" s="87" t="n">
        <v>15</v>
      </c>
      <c r="S111" s="93"/>
      <c r="T111" s="94"/>
      <c r="U111" s="95"/>
    </row>
    <row r="112" customFormat="false" ht="18.75" hidden="false" customHeight="true" outlineLevel="0" collapsed="false">
      <c r="A112" s="91"/>
      <c r="B112" s="92" t="s">
        <v>31</v>
      </c>
      <c r="C112" s="84" t="s">
        <v>881</v>
      </c>
      <c r="D112" s="96" t="s">
        <v>57</v>
      </c>
      <c r="E112" s="91"/>
      <c r="F112" s="86" t="n">
        <v>21.75</v>
      </c>
      <c r="G112" s="87" t="n">
        <v>15</v>
      </c>
      <c r="H112" s="93"/>
      <c r="I112" s="94"/>
      <c r="J112" s="95"/>
      <c r="K112" s="3"/>
      <c r="L112" s="91"/>
      <c r="M112" s="92" t="s">
        <v>31</v>
      </c>
      <c r="N112" s="84" t="s">
        <v>881</v>
      </c>
      <c r="O112" s="96" t="s">
        <v>57</v>
      </c>
      <c r="P112" s="91"/>
      <c r="Q112" s="86" t="n">
        <v>21.75</v>
      </c>
      <c r="R112" s="87" t="n">
        <v>15</v>
      </c>
      <c r="S112" s="93"/>
      <c r="T112" s="94"/>
      <c r="U112" s="95"/>
    </row>
    <row r="113" customFormat="false" ht="18.75" hidden="false" customHeight="true" outlineLevel="0" collapsed="false">
      <c r="A113" s="91"/>
      <c r="B113" s="92" t="s">
        <v>31</v>
      </c>
      <c r="C113" s="84" t="s">
        <v>882</v>
      </c>
      <c r="D113" s="96" t="s">
        <v>57</v>
      </c>
      <c r="E113" s="91"/>
      <c r="F113" s="86" t="n">
        <v>13.25</v>
      </c>
      <c r="G113" s="87" t="n">
        <v>15</v>
      </c>
      <c r="H113" s="93"/>
      <c r="I113" s="94"/>
      <c r="J113" s="95"/>
      <c r="K113" s="3"/>
      <c r="L113" s="91"/>
      <c r="M113" s="92" t="s">
        <v>31</v>
      </c>
      <c r="N113" s="84" t="s">
        <v>882</v>
      </c>
      <c r="O113" s="96" t="s">
        <v>57</v>
      </c>
      <c r="P113" s="91"/>
      <c r="Q113" s="86" t="n">
        <v>13.25</v>
      </c>
      <c r="R113" s="87" t="n">
        <v>15</v>
      </c>
      <c r="S113" s="93"/>
      <c r="T113" s="94"/>
      <c r="U113" s="95"/>
    </row>
    <row r="114" customFormat="false" ht="18.75" hidden="false" customHeight="true" outlineLevel="0" collapsed="false">
      <c r="A114" s="91"/>
      <c r="B114" s="92" t="s">
        <v>31</v>
      </c>
      <c r="C114" s="84" t="s">
        <v>883</v>
      </c>
      <c r="D114" s="96" t="s">
        <v>57</v>
      </c>
      <c r="E114" s="91"/>
      <c r="F114" s="86" t="n">
        <v>24</v>
      </c>
      <c r="G114" s="87"/>
      <c r="H114" s="93"/>
      <c r="I114" s="94"/>
      <c r="J114" s="95"/>
      <c r="K114" s="3"/>
      <c r="L114" s="91"/>
      <c r="M114" s="92" t="s">
        <v>31</v>
      </c>
      <c r="N114" s="84" t="s">
        <v>883</v>
      </c>
      <c r="O114" s="96" t="s">
        <v>57</v>
      </c>
      <c r="P114" s="91"/>
      <c r="Q114" s="86" t="n">
        <v>24</v>
      </c>
      <c r="R114" s="120"/>
      <c r="S114" s="93"/>
      <c r="T114" s="94"/>
      <c r="U114" s="95"/>
    </row>
    <row r="115" customFormat="false" ht="18.75" hidden="false" customHeight="true" outlineLevel="0" collapsed="false">
      <c r="A115" s="91"/>
      <c r="B115" s="92" t="s">
        <v>31</v>
      </c>
      <c r="C115" s="84" t="s">
        <v>883</v>
      </c>
      <c r="D115" s="96" t="s">
        <v>57</v>
      </c>
      <c r="E115" s="91"/>
      <c r="F115" s="86" t="n">
        <v>24</v>
      </c>
      <c r="G115" s="87"/>
      <c r="H115" s="93"/>
      <c r="I115" s="94"/>
      <c r="J115" s="95"/>
      <c r="K115" s="3"/>
      <c r="L115" s="91"/>
      <c r="M115" s="92" t="s">
        <v>31</v>
      </c>
      <c r="N115" s="84" t="s">
        <v>883</v>
      </c>
      <c r="O115" s="96" t="s">
        <v>57</v>
      </c>
      <c r="P115" s="91"/>
      <c r="Q115" s="86" t="n">
        <v>24</v>
      </c>
      <c r="R115" s="120"/>
      <c r="S115" s="93"/>
      <c r="T115" s="94"/>
      <c r="U115" s="95"/>
    </row>
    <row r="116" customFormat="false" ht="18.75" hidden="false" customHeight="true" outlineLevel="0" collapsed="false">
      <c r="A116" s="91"/>
      <c r="B116" s="92" t="s">
        <v>31</v>
      </c>
      <c r="C116" s="84" t="s">
        <v>884</v>
      </c>
      <c r="D116" s="96" t="s">
        <v>57</v>
      </c>
      <c r="E116" s="91"/>
      <c r="F116" s="86" t="n">
        <v>24</v>
      </c>
      <c r="G116" s="87"/>
      <c r="H116" s="93"/>
      <c r="I116" s="94"/>
      <c r="J116" s="95"/>
      <c r="K116" s="3"/>
      <c r="L116" s="91"/>
      <c r="M116" s="92" t="s">
        <v>31</v>
      </c>
      <c r="N116" s="84" t="s">
        <v>884</v>
      </c>
      <c r="O116" s="96" t="s">
        <v>57</v>
      </c>
      <c r="P116" s="91"/>
      <c r="Q116" s="86" t="n">
        <v>24</v>
      </c>
      <c r="R116" s="120"/>
      <c r="S116" s="93"/>
      <c r="T116" s="94"/>
      <c r="U116" s="95"/>
    </row>
    <row r="117" customFormat="false" ht="18.75" hidden="false" customHeight="true" outlineLevel="0" collapsed="false">
      <c r="A117" s="91"/>
      <c r="B117" s="92" t="s">
        <v>31</v>
      </c>
      <c r="C117" s="84" t="s">
        <v>885</v>
      </c>
      <c r="D117" s="96" t="s">
        <v>57</v>
      </c>
      <c r="E117" s="91"/>
      <c r="F117" s="86" t="n">
        <v>25</v>
      </c>
      <c r="G117" s="87" t="n">
        <v>17</v>
      </c>
      <c r="H117" s="93"/>
      <c r="I117" s="94"/>
      <c r="J117" s="95"/>
      <c r="K117" s="3"/>
      <c r="L117" s="91"/>
      <c r="M117" s="92" t="s">
        <v>31</v>
      </c>
      <c r="N117" s="84" t="s">
        <v>885</v>
      </c>
      <c r="O117" s="96" t="s">
        <v>57</v>
      </c>
      <c r="P117" s="91"/>
      <c r="Q117" s="86" t="n">
        <v>25</v>
      </c>
      <c r="R117" s="87" t="n">
        <v>17</v>
      </c>
      <c r="S117" s="93"/>
      <c r="T117" s="94"/>
      <c r="U117" s="95"/>
    </row>
    <row r="118" customFormat="false" ht="18.75" hidden="false" customHeight="true" outlineLevel="0" collapsed="false">
      <c r="A118" s="91"/>
      <c r="B118" s="92" t="s">
        <v>31</v>
      </c>
      <c r="C118" s="84" t="s">
        <v>886</v>
      </c>
      <c r="D118" s="96" t="s">
        <v>57</v>
      </c>
      <c r="E118" s="91"/>
      <c r="F118" s="86" t="n">
        <v>3</v>
      </c>
      <c r="G118" s="87" t="n">
        <v>14</v>
      </c>
      <c r="H118" s="93"/>
      <c r="I118" s="94"/>
      <c r="J118" s="95"/>
      <c r="K118" s="3"/>
      <c r="L118" s="91"/>
      <c r="M118" s="92" t="s">
        <v>31</v>
      </c>
      <c r="N118" s="84" t="s">
        <v>886</v>
      </c>
      <c r="O118" s="96" t="s">
        <v>57</v>
      </c>
      <c r="P118" s="91"/>
      <c r="Q118" s="86" t="n">
        <v>3</v>
      </c>
      <c r="R118" s="87" t="n">
        <v>14</v>
      </c>
      <c r="S118" s="93"/>
      <c r="T118" s="94"/>
      <c r="U118" s="95"/>
    </row>
    <row r="119" customFormat="false" ht="18.75" hidden="false" customHeight="true" outlineLevel="0" collapsed="false">
      <c r="A119" s="91"/>
      <c r="B119" s="92" t="s">
        <v>31</v>
      </c>
      <c r="C119" s="84" t="s">
        <v>887</v>
      </c>
      <c r="D119" s="96" t="s">
        <v>57</v>
      </c>
      <c r="E119" s="91"/>
      <c r="F119" s="86" t="n">
        <v>7</v>
      </c>
      <c r="G119" s="87" t="n">
        <v>13</v>
      </c>
      <c r="H119" s="93"/>
      <c r="I119" s="94"/>
      <c r="J119" s="95"/>
      <c r="K119" s="3"/>
      <c r="L119" s="91"/>
      <c r="M119" s="92" t="s">
        <v>31</v>
      </c>
      <c r="N119" s="84" t="s">
        <v>887</v>
      </c>
      <c r="O119" s="96" t="s">
        <v>57</v>
      </c>
      <c r="P119" s="91"/>
      <c r="Q119" s="86" t="n">
        <v>7</v>
      </c>
      <c r="R119" s="87" t="n">
        <v>13</v>
      </c>
      <c r="S119" s="93"/>
      <c r="T119" s="94"/>
      <c r="U119" s="95"/>
    </row>
    <row r="120" customFormat="false" ht="18.75" hidden="false" customHeight="true" outlineLevel="0" collapsed="false">
      <c r="A120" s="91"/>
      <c r="B120" s="92" t="s">
        <v>31</v>
      </c>
      <c r="C120" s="84" t="s">
        <v>888</v>
      </c>
      <c r="D120" s="96" t="s">
        <v>57</v>
      </c>
      <c r="E120" s="91"/>
      <c r="F120" s="86" t="n">
        <v>4</v>
      </c>
      <c r="G120" s="87"/>
      <c r="H120" s="93"/>
      <c r="I120" s="94"/>
      <c r="J120" s="95"/>
      <c r="K120" s="3"/>
      <c r="L120" s="91"/>
      <c r="M120" s="92" t="s">
        <v>31</v>
      </c>
      <c r="N120" s="84" t="s">
        <v>888</v>
      </c>
      <c r="O120" s="96" t="s">
        <v>57</v>
      </c>
      <c r="P120" s="91"/>
      <c r="Q120" s="86" t="n">
        <v>4</v>
      </c>
      <c r="R120" s="120"/>
      <c r="S120" s="93"/>
      <c r="T120" s="94"/>
      <c r="U120" s="95"/>
    </row>
    <row r="121" customFormat="false" ht="18.75" hidden="false" customHeight="true" outlineLevel="0" collapsed="false">
      <c r="A121" s="91"/>
      <c r="B121" s="92" t="s">
        <v>31</v>
      </c>
      <c r="C121" s="84" t="s">
        <v>889</v>
      </c>
      <c r="D121" s="96" t="s">
        <v>57</v>
      </c>
      <c r="E121" s="91"/>
      <c r="F121" s="86" t="n">
        <v>6</v>
      </c>
      <c r="G121" s="87" t="n">
        <v>15</v>
      </c>
      <c r="H121" s="93"/>
      <c r="I121" s="94"/>
      <c r="J121" s="95"/>
      <c r="K121" s="3"/>
      <c r="L121" s="91"/>
      <c r="M121" s="92" t="s">
        <v>31</v>
      </c>
      <c r="N121" s="84" t="s">
        <v>889</v>
      </c>
      <c r="O121" s="96" t="s">
        <v>57</v>
      </c>
      <c r="P121" s="91"/>
      <c r="Q121" s="86" t="n">
        <v>6</v>
      </c>
      <c r="R121" s="87" t="n">
        <v>15</v>
      </c>
      <c r="S121" s="93"/>
      <c r="T121" s="94"/>
      <c r="U121" s="95"/>
    </row>
    <row r="122" customFormat="false" ht="18.75" hidden="false" customHeight="true" outlineLevel="0" collapsed="false">
      <c r="A122" s="91"/>
      <c r="B122" s="92" t="s">
        <v>31</v>
      </c>
      <c r="C122" s="84" t="s">
        <v>890</v>
      </c>
      <c r="D122" s="96" t="s">
        <v>57</v>
      </c>
      <c r="E122" s="91"/>
      <c r="F122" s="86" t="n">
        <v>91.5</v>
      </c>
      <c r="G122" s="87" t="n">
        <v>13</v>
      </c>
      <c r="H122" s="93"/>
      <c r="I122" s="94"/>
      <c r="J122" s="95"/>
      <c r="K122" s="3"/>
      <c r="L122" s="91"/>
      <c r="M122" s="92" t="s">
        <v>31</v>
      </c>
      <c r="N122" s="84" t="s">
        <v>890</v>
      </c>
      <c r="O122" s="96" t="s">
        <v>57</v>
      </c>
      <c r="P122" s="91"/>
      <c r="Q122" s="86" t="n">
        <v>91.5</v>
      </c>
      <c r="R122" s="87" t="n">
        <v>13</v>
      </c>
      <c r="S122" s="93"/>
      <c r="T122" s="94"/>
      <c r="U122" s="95"/>
    </row>
    <row r="123" customFormat="false" ht="18.75" hidden="false" customHeight="true" outlineLevel="0" collapsed="false">
      <c r="A123" s="91"/>
      <c r="B123" s="92" t="s">
        <v>31</v>
      </c>
      <c r="C123" s="84" t="s">
        <v>891</v>
      </c>
      <c r="D123" s="96" t="s">
        <v>57</v>
      </c>
      <c r="E123" s="91"/>
      <c r="F123" s="86" t="n">
        <v>4</v>
      </c>
      <c r="G123" s="87" t="n">
        <v>14</v>
      </c>
      <c r="H123" s="93"/>
      <c r="I123" s="94"/>
      <c r="J123" s="95"/>
      <c r="K123" s="3"/>
      <c r="L123" s="91"/>
      <c r="M123" s="92" t="s">
        <v>31</v>
      </c>
      <c r="N123" s="84" t="s">
        <v>891</v>
      </c>
      <c r="O123" s="96" t="s">
        <v>57</v>
      </c>
      <c r="P123" s="91"/>
      <c r="Q123" s="86" t="n">
        <v>4</v>
      </c>
      <c r="R123" s="87" t="n">
        <v>14</v>
      </c>
      <c r="S123" s="93"/>
      <c r="T123" s="94"/>
      <c r="U123" s="95"/>
    </row>
    <row r="124" customFormat="false" ht="18.75" hidden="false" customHeight="true" outlineLevel="0" collapsed="false">
      <c r="A124" s="91"/>
      <c r="B124" s="92" t="s">
        <v>31</v>
      </c>
      <c r="C124" s="84" t="s">
        <v>892</v>
      </c>
      <c r="D124" s="96" t="s">
        <v>57</v>
      </c>
      <c r="E124" s="91"/>
      <c r="F124" s="91"/>
      <c r="G124" s="87"/>
      <c r="H124" s="93"/>
      <c r="I124" s="94"/>
      <c r="J124" s="95"/>
      <c r="K124" s="3"/>
      <c r="L124" s="91"/>
      <c r="M124" s="92" t="s">
        <v>31</v>
      </c>
      <c r="N124" s="84" t="s">
        <v>892</v>
      </c>
      <c r="O124" s="96" t="s">
        <v>57</v>
      </c>
      <c r="P124" s="91"/>
      <c r="Q124" s="91"/>
      <c r="R124" s="120"/>
      <c r="S124" s="93"/>
      <c r="T124" s="94"/>
      <c r="U124" s="95"/>
    </row>
    <row r="125" customFormat="false" ht="18.75" hidden="false" customHeight="true" outlineLevel="0" collapsed="false">
      <c r="A125" s="91"/>
      <c r="B125" s="92" t="s">
        <v>31</v>
      </c>
      <c r="C125" s="84" t="s">
        <v>893</v>
      </c>
      <c r="D125" s="96" t="s">
        <v>57</v>
      </c>
      <c r="E125" s="91"/>
      <c r="F125" s="86" t="n">
        <v>14</v>
      </c>
      <c r="G125" s="87"/>
      <c r="H125" s="93"/>
      <c r="I125" s="94"/>
      <c r="J125" s="95"/>
      <c r="K125" s="3"/>
      <c r="L125" s="91"/>
      <c r="M125" s="92" t="s">
        <v>31</v>
      </c>
      <c r="N125" s="84" t="s">
        <v>893</v>
      </c>
      <c r="O125" s="96" t="s">
        <v>57</v>
      </c>
      <c r="P125" s="91"/>
      <c r="Q125" s="86" t="n">
        <v>14</v>
      </c>
      <c r="R125" s="120"/>
      <c r="S125" s="93"/>
      <c r="T125" s="94"/>
      <c r="U125" s="95"/>
    </row>
    <row r="126" customFormat="false" ht="18.75" hidden="false" customHeight="true" outlineLevel="0" collapsed="false">
      <c r="A126" s="91"/>
      <c r="B126" s="92" t="s">
        <v>31</v>
      </c>
      <c r="C126" s="84" t="s">
        <v>894</v>
      </c>
      <c r="D126" s="96" t="s">
        <v>57</v>
      </c>
      <c r="E126" s="91"/>
      <c r="F126" s="86" t="n">
        <v>8</v>
      </c>
      <c r="G126" s="87" t="n">
        <v>13</v>
      </c>
      <c r="H126" s="93"/>
      <c r="I126" s="94"/>
      <c r="J126" s="95"/>
      <c r="K126" s="3"/>
      <c r="L126" s="91"/>
      <c r="M126" s="92" t="s">
        <v>31</v>
      </c>
      <c r="N126" s="84" t="s">
        <v>894</v>
      </c>
      <c r="O126" s="96" t="s">
        <v>57</v>
      </c>
      <c r="P126" s="91"/>
      <c r="Q126" s="86" t="n">
        <v>8</v>
      </c>
      <c r="R126" s="87" t="n">
        <v>13</v>
      </c>
      <c r="S126" s="93"/>
      <c r="T126" s="94"/>
      <c r="U126" s="95"/>
    </row>
    <row r="127" customFormat="false" ht="18.75" hidden="false" customHeight="true" outlineLevel="0" collapsed="false">
      <c r="A127" s="91"/>
      <c r="B127" s="92" t="s">
        <v>31</v>
      </c>
      <c r="C127" s="84" t="s">
        <v>895</v>
      </c>
      <c r="D127" s="96" t="s">
        <v>57</v>
      </c>
      <c r="E127" s="91"/>
      <c r="F127" s="86" t="n">
        <v>4</v>
      </c>
      <c r="G127" s="87"/>
      <c r="H127" s="93"/>
      <c r="I127" s="94"/>
      <c r="J127" s="95"/>
      <c r="K127" s="3"/>
      <c r="L127" s="91"/>
      <c r="M127" s="92" t="s">
        <v>31</v>
      </c>
      <c r="N127" s="84" t="s">
        <v>895</v>
      </c>
      <c r="O127" s="96" t="s">
        <v>57</v>
      </c>
      <c r="P127" s="91"/>
      <c r="Q127" s="86" t="n">
        <v>4</v>
      </c>
      <c r="R127" s="120"/>
      <c r="S127" s="93"/>
      <c r="T127" s="94"/>
      <c r="U127" s="95"/>
    </row>
    <row r="128" customFormat="false" ht="18.75" hidden="false" customHeight="true" outlineLevel="0" collapsed="false">
      <c r="A128" s="82"/>
      <c r="B128" s="83" t="s">
        <v>37</v>
      </c>
      <c r="C128" s="84" t="s">
        <v>896</v>
      </c>
      <c r="D128" s="96" t="s">
        <v>57</v>
      </c>
      <c r="E128" s="91"/>
      <c r="F128" s="86" t="n">
        <v>7</v>
      </c>
      <c r="G128" s="87" t="n">
        <v>15</v>
      </c>
      <c r="H128" s="88" t="n">
        <f aca="false">SUMIF(B:B,B128,G:G)</f>
        <v>416</v>
      </c>
      <c r="I128" s="89" t="n">
        <v>155</v>
      </c>
      <c r="J128" s="90" t="n">
        <f aca="false">IFERROR((I128-H128)/I128,"")</f>
        <v>-1.68387096774194</v>
      </c>
      <c r="K128" s="3"/>
      <c r="L128" s="82"/>
      <c r="M128" s="83" t="s">
        <v>37</v>
      </c>
      <c r="N128" s="84" t="s">
        <v>896</v>
      </c>
      <c r="O128" s="96" t="s">
        <v>57</v>
      </c>
      <c r="P128" s="91"/>
      <c r="Q128" s="86" t="n">
        <v>7</v>
      </c>
      <c r="R128" s="87" t="n">
        <v>15</v>
      </c>
      <c r="S128" s="88" t="n">
        <f aca="false">SUMIF(M:M,M128,R:R)</f>
        <v>416</v>
      </c>
      <c r="T128" s="89" t="n">
        <f aca="false">I128</f>
        <v>155</v>
      </c>
      <c r="U128" s="90" t="n">
        <f aca="false">IFERROR((T128-S128)/T128,"")</f>
        <v>-1.68387096774194</v>
      </c>
    </row>
    <row r="129" customFormat="false" ht="18.75" hidden="false" customHeight="true" outlineLevel="0" collapsed="false">
      <c r="A129" s="91"/>
      <c r="B129" s="92" t="s">
        <v>37</v>
      </c>
      <c r="C129" s="84" t="s">
        <v>897</v>
      </c>
      <c r="D129" s="96" t="s">
        <v>57</v>
      </c>
      <c r="E129" s="91"/>
      <c r="F129" s="86" t="n">
        <v>30</v>
      </c>
      <c r="G129" s="87" t="n">
        <v>13</v>
      </c>
      <c r="H129" s="93"/>
      <c r="I129" s="94"/>
      <c r="J129" s="95"/>
      <c r="K129" s="3"/>
      <c r="L129" s="91"/>
      <c r="M129" s="92" t="s">
        <v>37</v>
      </c>
      <c r="N129" s="84" t="s">
        <v>897</v>
      </c>
      <c r="O129" s="96" t="s">
        <v>57</v>
      </c>
      <c r="P129" s="91"/>
      <c r="Q129" s="86" t="n">
        <v>30</v>
      </c>
      <c r="R129" s="87" t="n">
        <v>13</v>
      </c>
      <c r="S129" s="93"/>
      <c r="T129" s="94"/>
      <c r="U129" s="95"/>
    </row>
    <row r="130" customFormat="false" ht="18.75" hidden="false" customHeight="true" outlineLevel="0" collapsed="false">
      <c r="A130" s="91"/>
      <c r="B130" s="92" t="s">
        <v>37</v>
      </c>
      <c r="C130" s="84" t="s">
        <v>898</v>
      </c>
      <c r="D130" s="96" t="s">
        <v>57</v>
      </c>
      <c r="E130" s="91"/>
      <c r="F130" s="86" t="n">
        <v>3</v>
      </c>
      <c r="G130" s="87"/>
      <c r="H130" s="93"/>
      <c r="I130" s="94"/>
      <c r="J130" s="95"/>
      <c r="K130" s="3"/>
      <c r="L130" s="91"/>
      <c r="M130" s="92" t="s">
        <v>37</v>
      </c>
      <c r="N130" s="84" t="s">
        <v>898</v>
      </c>
      <c r="O130" s="96" t="s">
        <v>57</v>
      </c>
      <c r="P130" s="91"/>
      <c r="Q130" s="86" t="n">
        <v>3</v>
      </c>
      <c r="R130" s="120"/>
      <c r="S130" s="93"/>
      <c r="T130" s="94"/>
      <c r="U130" s="95"/>
    </row>
    <row r="131" customFormat="false" ht="18.75" hidden="false" customHeight="true" outlineLevel="0" collapsed="false">
      <c r="A131" s="91"/>
      <c r="B131" s="92" t="s">
        <v>37</v>
      </c>
      <c r="C131" s="84" t="s">
        <v>899</v>
      </c>
      <c r="D131" s="96" t="s">
        <v>57</v>
      </c>
      <c r="E131" s="91"/>
      <c r="F131" s="86" t="n">
        <v>7.15</v>
      </c>
      <c r="G131" s="87"/>
      <c r="H131" s="93"/>
      <c r="I131" s="94"/>
      <c r="J131" s="95"/>
      <c r="K131" s="3"/>
      <c r="L131" s="91"/>
      <c r="M131" s="92" t="s">
        <v>37</v>
      </c>
      <c r="N131" s="84" t="s">
        <v>899</v>
      </c>
      <c r="O131" s="96" t="s">
        <v>57</v>
      </c>
      <c r="P131" s="91"/>
      <c r="Q131" s="86" t="n">
        <v>7.15</v>
      </c>
      <c r="R131" s="120"/>
      <c r="S131" s="93"/>
      <c r="T131" s="94"/>
      <c r="U131" s="95"/>
    </row>
    <row r="132" customFormat="false" ht="18.75" hidden="false" customHeight="true" outlineLevel="0" collapsed="false">
      <c r="A132" s="91"/>
      <c r="B132" s="92" t="s">
        <v>37</v>
      </c>
      <c r="C132" s="84" t="s">
        <v>900</v>
      </c>
      <c r="D132" s="96" t="s">
        <v>57</v>
      </c>
      <c r="E132" s="91"/>
      <c r="F132" s="86" t="n">
        <v>54.45</v>
      </c>
      <c r="G132" s="87" t="n">
        <v>15</v>
      </c>
      <c r="H132" s="93"/>
      <c r="I132" s="94"/>
      <c r="J132" s="95"/>
      <c r="K132" s="3"/>
      <c r="L132" s="91"/>
      <c r="M132" s="92" t="s">
        <v>37</v>
      </c>
      <c r="N132" s="84" t="s">
        <v>900</v>
      </c>
      <c r="O132" s="96" t="s">
        <v>57</v>
      </c>
      <c r="P132" s="91"/>
      <c r="Q132" s="86" t="n">
        <v>54.45</v>
      </c>
      <c r="R132" s="87" t="n">
        <v>15</v>
      </c>
      <c r="S132" s="93"/>
      <c r="T132" s="94"/>
      <c r="U132" s="95"/>
    </row>
    <row r="133" customFormat="false" ht="18.75" hidden="false" customHeight="true" outlineLevel="0" collapsed="false">
      <c r="A133" s="91"/>
      <c r="B133" s="92" t="s">
        <v>37</v>
      </c>
      <c r="C133" s="84" t="s">
        <v>901</v>
      </c>
      <c r="D133" s="96" t="s">
        <v>57</v>
      </c>
      <c r="E133" s="91"/>
      <c r="F133" s="86" t="n">
        <v>1</v>
      </c>
      <c r="G133" s="87" t="n">
        <v>250</v>
      </c>
      <c r="H133" s="93"/>
      <c r="I133" s="94"/>
      <c r="J133" s="95"/>
      <c r="K133" s="3"/>
      <c r="L133" s="91"/>
      <c r="M133" s="92" t="s">
        <v>37</v>
      </c>
      <c r="N133" s="84" t="s">
        <v>901</v>
      </c>
      <c r="O133" s="96" t="s">
        <v>57</v>
      </c>
      <c r="P133" s="91"/>
      <c r="Q133" s="86" t="n">
        <v>1</v>
      </c>
      <c r="R133" s="87" t="n">
        <v>250</v>
      </c>
      <c r="S133" s="93"/>
      <c r="T133" s="94"/>
      <c r="U133" s="95"/>
    </row>
    <row r="134" customFormat="false" ht="18.75" hidden="false" customHeight="true" outlineLevel="0" collapsed="false">
      <c r="A134" s="91"/>
      <c r="B134" s="92" t="s">
        <v>37</v>
      </c>
      <c r="C134" s="84" t="s">
        <v>902</v>
      </c>
      <c r="D134" s="96" t="s">
        <v>57</v>
      </c>
      <c r="E134" s="91"/>
      <c r="F134" s="86" t="n">
        <v>12</v>
      </c>
      <c r="G134" s="87"/>
      <c r="H134" s="93"/>
      <c r="I134" s="94"/>
      <c r="J134" s="95"/>
      <c r="K134" s="3"/>
      <c r="L134" s="91"/>
      <c r="M134" s="92" t="s">
        <v>37</v>
      </c>
      <c r="N134" s="84" t="s">
        <v>902</v>
      </c>
      <c r="O134" s="96" t="s">
        <v>57</v>
      </c>
      <c r="P134" s="91"/>
      <c r="Q134" s="86" t="n">
        <v>12</v>
      </c>
      <c r="R134" s="120"/>
      <c r="S134" s="93"/>
      <c r="T134" s="94"/>
      <c r="U134" s="95"/>
    </row>
    <row r="135" customFormat="false" ht="18.75" hidden="false" customHeight="true" outlineLevel="0" collapsed="false">
      <c r="A135" s="91"/>
      <c r="B135" s="92" t="s">
        <v>37</v>
      </c>
      <c r="C135" s="84" t="s">
        <v>903</v>
      </c>
      <c r="D135" s="96" t="s">
        <v>57</v>
      </c>
      <c r="E135" s="91"/>
      <c r="F135" s="86" t="n">
        <v>90</v>
      </c>
      <c r="G135" s="87" t="n">
        <v>17</v>
      </c>
      <c r="H135" s="93"/>
      <c r="I135" s="94"/>
      <c r="J135" s="95"/>
      <c r="K135" s="3"/>
      <c r="L135" s="91"/>
      <c r="M135" s="92" t="s">
        <v>37</v>
      </c>
      <c r="N135" s="84" t="s">
        <v>903</v>
      </c>
      <c r="O135" s="96" t="s">
        <v>57</v>
      </c>
      <c r="P135" s="91"/>
      <c r="Q135" s="86" t="n">
        <v>90</v>
      </c>
      <c r="R135" s="87" t="n">
        <v>17</v>
      </c>
      <c r="S135" s="93"/>
      <c r="T135" s="94"/>
      <c r="U135" s="95"/>
    </row>
    <row r="136" customFormat="false" ht="18.75" hidden="false" customHeight="true" outlineLevel="0" collapsed="false">
      <c r="A136" s="91"/>
      <c r="B136" s="92" t="s">
        <v>37</v>
      </c>
      <c r="C136" s="84" t="s">
        <v>904</v>
      </c>
      <c r="D136" s="96" t="s">
        <v>57</v>
      </c>
      <c r="E136" s="91"/>
      <c r="F136" s="86" t="n">
        <v>9</v>
      </c>
      <c r="G136" s="87" t="n">
        <v>15</v>
      </c>
      <c r="H136" s="93"/>
      <c r="I136" s="94"/>
      <c r="J136" s="95"/>
      <c r="K136" s="3"/>
      <c r="L136" s="91"/>
      <c r="M136" s="92" t="s">
        <v>37</v>
      </c>
      <c r="N136" s="84" t="s">
        <v>904</v>
      </c>
      <c r="O136" s="96" t="s">
        <v>57</v>
      </c>
      <c r="P136" s="91"/>
      <c r="Q136" s="86" t="n">
        <v>9</v>
      </c>
      <c r="R136" s="87" t="n">
        <v>15</v>
      </c>
      <c r="S136" s="93"/>
      <c r="T136" s="94"/>
      <c r="U136" s="95"/>
    </row>
    <row r="137" customFormat="false" ht="18.75" hidden="false" customHeight="true" outlineLevel="0" collapsed="false">
      <c r="A137" s="91"/>
      <c r="B137" s="92" t="s">
        <v>37</v>
      </c>
      <c r="C137" s="84" t="s">
        <v>905</v>
      </c>
      <c r="D137" s="96" t="s">
        <v>57</v>
      </c>
      <c r="E137" s="91"/>
      <c r="F137" s="86" t="n">
        <v>24</v>
      </c>
      <c r="G137" s="87" t="n">
        <v>14</v>
      </c>
      <c r="H137" s="93"/>
      <c r="I137" s="94"/>
      <c r="J137" s="95"/>
      <c r="K137" s="3"/>
      <c r="L137" s="91"/>
      <c r="M137" s="92" t="s">
        <v>37</v>
      </c>
      <c r="N137" s="84" t="s">
        <v>905</v>
      </c>
      <c r="O137" s="96" t="s">
        <v>57</v>
      </c>
      <c r="P137" s="91"/>
      <c r="Q137" s="86" t="n">
        <v>24</v>
      </c>
      <c r="R137" s="87" t="n">
        <v>14</v>
      </c>
      <c r="S137" s="93"/>
      <c r="T137" s="94"/>
      <c r="U137" s="95"/>
    </row>
    <row r="138" customFormat="false" ht="18.75" hidden="false" customHeight="true" outlineLevel="0" collapsed="false">
      <c r="A138" s="91"/>
      <c r="B138" s="92" t="s">
        <v>37</v>
      </c>
      <c r="C138" s="84" t="s">
        <v>906</v>
      </c>
      <c r="D138" s="96" t="s">
        <v>57</v>
      </c>
      <c r="E138" s="91"/>
      <c r="F138" s="86" t="n">
        <v>9</v>
      </c>
      <c r="G138" s="87" t="n">
        <v>15</v>
      </c>
      <c r="H138" s="93"/>
      <c r="I138" s="94"/>
      <c r="J138" s="95"/>
      <c r="K138" s="3"/>
      <c r="L138" s="91"/>
      <c r="M138" s="92" t="s">
        <v>37</v>
      </c>
      <c r="N138" s="84" t="s">
        <v>906</v>
      </c>
      <c r="O138" s="96" t="s">
        <v>57</v>
      </c>
      <c r="P138" s="91"/>
      <c r="Q138" s="86" t="n">
        <v>9</v>
      </c>
      <c r="R138" s="87" t="n">
        <v>15</v>
      </c>
      <c r="S138" s="93"/>
      <c r="T138" s="94"/>
      <c r="U138" s="95"/>
    </row>
    <row r="139" customFormat="false" ht="18.75" hidden="false" customHeight="true" outlineLevel="0" collapsed="false">
      <c r="A139" s="91"/>
      <c r="B139" s="92" t="s">
        <v>37</v>
      </c>
      <c r="C139" s="84" t="s">
        <v>907</v>
      </c>
      <c r="D139" s="96" t="s">
        <v>57</v>
      </c>
      <c r="E139" s="91"/>
      <c r="F139" s="86" t="n">
        <v>17.9</v>
      </c>
      <c r="G139" s="87"/>
      <c r="H139" s="93"/>
      <c r="I139" s="94"/>
      <c r="J139" s="95"/>
      <c r="K139" s="3"/>
      <c r="L139" s="91"/>
      <c r="M139" s="92" t="s">
        <v>37</v>
      </c>
      <c r="N139" s="84" t="s">
        <v>907</v>
      </c>
      <c r="O139" s="96" t="s">
        <v>57</v>
      </c>
      <c r="P139" s="91"/>
      <c r="Q139" s="86" t="n">
        <v>17.9</v>
      </c>
      <c r="R139" s="120"/>
      <c r="S139" s="93"/>
      <c r="T139" s="94"/>
      <c r="U139" s="95"/>
    </row>
    <row r="140" customFormat="false" ht="18.75" hidden="false" customHeight="true" outlineLevel="0" collapsed="false">
      <c r="A140" s="91"/>
      <c r="B140" s="92" t="s">
        <v>37</v>
      </c>
      <c r="C140" s="84" t="s">
        <v>908</v>
      </c>
      <c r="D140" s="96" t="s">
        <v>57</v>
      </c>
      <c r="E140" s="91"/>
      <c r="F140" s="86" t="n">
        <v>1.9</v>
      </c>
      <c r="G140" s="87"/>
      <c r="H140" s="93"/>
      <c r="I140" s="94"/>
      <c r="J140" s="95"/>
      <c r="K140" s="3"/>
      <c r="L140" s="91"/>
      <c r="M140" s="92" t="s">
        <v>37</v>
      </c>
      <c r="N140" s="84" t="s">
        <v>908</v>
      </c>
      <c r="O140" s="96" t="s">
        <v>57</v>
      </c>
      <c r="P140" s="91"/>
      <c r="Q140" s="86" t="n">
        <v>1.9</v>
      </c>
      <c r="R140" s="120"/>
      <c r="S140" s="93"/>
      <c r="T140" s="94"/>
      <c r="U140" s="95"/>
    </row>
    <row r="141" customFormat="false" ht="18.75" hidden="false" customHeight="true" outlineLevel="0" collapsed="false">
      <c r="A141" s="91"/>
      <c r="B141" s="92" t="s">
        <v>37</v>
      </c>
      <c r="C141" s="84" t="s">
        <v>909</v>
      </c>
      <c r="D141" s="96" t="s">
        <v>57</v>
      </c>
      <c r="E141" s="91"/>
      <c r="F141" s="86" t="n">
        <v>144</v>
      </c>
      <c r="G141" s="87" t="n">
        <v>17</v>
      </c>
      <c r="H141" s="93"/>
      <c r="I141" s="94"/>
      <c r="J141" s="95"/>
      <c r="K141" s="3"/>
      <c r="L141" s="91"/>
      <c r="M141" s="92" t="s">
        <v>37</v>
      </c>
      <c r="N141" s="84" t="s">
        <v>909</v>
      </c>
      <c r="O141" s="96" t="s">
        <v>57</v>
      </c>
      <c r="P141" s="91"/>
      <c r="Q141" s="86" t="n">
        <v>144</v>
      </c>
      <c r="R141" s="87" t="n">
        <v>17</v>
      </c>
      <c r="S141" s="93"/>
      <c r="T141" s="94"/>
      <c r="U141" s="95"/>
    </row>
    <row r="142" customFormat="false" ht="18.75" hidden="false" customHeight="true" outlineLevel="0" collapsed="false">
      <c r="A142" s="91"/>
      <c r="B142" s="92" t="s">
        <v>37</v>
      </c>
      <c r="C142" s="84" t="s">
        <v>910</v>
      </c>
      <c r="D142" s="96" t="s">
        <v>57</v>
      </c>
      <c r="E142" s="91"/>
      <c r="F142" s="86" t="n">
        <v>101</v>
      </c>
      <c r="G142" s="87" t="n">
        <v>15</v>
      </c>
      <c r="H142" s="93"/>
      <c r="I142" s="94"/>
      <c r="J142" s="95"/>
      <c r="K142" s="3"/>
      <c r="L142" s="91"/>
      <c r="M142" s="92" t="s">
        <v>37</v>
      </c>
      <c r="N142" s="84" t="s">
        <v>910</v>
      </c>
      <c r="O142" s="96" t="s">
        <v>57</v>
      </c>
      <c r="P142" s="91"/>
      <c r="Q142" s="86" t="n">
        <v>101</v>
      </c>
      <c r="R142" s="87" t="n">
        <v>15</v>
      </c>
      <c r="S142" s="93"/>
      <c r="T142" s="94"/>
      <c r="U142" s="95"/>
    </row>
    <row r="143" customFormat="false" ht="18.75" hidden="false" customHeight="true" outlineLevel="0" collapsed="false">
      <c r="A143" s="91"/>
      <c r="B143" s="92" t="s">
        <v>37</v>
      </c>
      <c r="C143" s="84" t="s">
        <v>911</v>
      </c>
      <c r="D143" s="96" t="s">
        <v>57</v>
      </c>
      <c r="E143" s="91"/>
      <c r="F143" s="86" t="n">
        <v>101</v>
      </c>
      <c r="G143" s="87" t="n">
        <v>15</v>
      </c>
      <c r="H143" s="93"/>
      <c r="I143" s="94"/>
      <c r="J143" s="95"/>
      <c r="K143" s="3"/>
      <c r="L143" s="91"/>
      <c r="M143" s="92" t="s">
        <v>37</v>
      </c>
      <c r="N143" s="84" t="s">
        <v>911</v>
      </c>
      <c r="O143" s="96" t="s">
        <v>57</v>
      </c>
      <c r="P143" s="91"/>
      <c r="Q143" s="86" t="n">
        <v>101</v>
      </c>
      <c r="R143" s="87" t="n">
        <v>15</v>
      </c>
      <c r="S143" s="93"/>
      <c r="T143" s="94"/>
      <c r="U143" s="95"/>
    </row>
    <row r="144" customFormat="false" ht="18.75" hidden="false" customHeight="true" outlineLevel="0" collapsed="false">
      <c r="A144" s="91"/>
      <c r="B144" s="92" t="s">
        <v>37</v>
      </c>
      <c r="C144" s="84" t="s">
        <v>912</v>
      </c>
      <c r="D144" s="96" t="s">
        <v>57</v>
      </c>
      <c r="E144" s="91"/>
      <c r="F144" s="86" t="n">
        <v>38.2</v>
      </c>
      <c r="G144" s="87" t="n">
        <v>15</v>
      </c>
      <c r="H144" s="93"/>
      <c r="I144" s="94"/>
      <c r="J144" s="95"/>
      <c r="K144" s="3"/>
      <c r="L144" s="91"/>
      <c r="M144" s="92" t="s">
        <v>37</v>
      </c>
      <c r="N144" s="84" t="s">
        <v>912</v>
      </c>
      <c r="O144" s="96" t="s">
        <v>57</v>
      </c>
      <c r="P144" s="91"/>
      <c r="Q144" s="86" t="n">
        <v>38.2</v>
      </c>
      <c r="R144" s="87" t="n">
        <v>15</v>
      </c>
      <c r="S144" s="93"/>
      <c r="T144" s="94"/>
      <c r="U144" s="95"/>
    </row>
    <row r="145" customFormat="false" ht="18.75" hidden="false" customHeight="true" outlineLevel="0" collapsed="false">
      <c r="A145" s="82"/>
      <c r="B145" s="83" t="s">
        <v>39</v>
      </c>
      <c r="C145" s="84" t="s">
        <v>913</v>
      </c>
      <c r="D145" s="96" t="s">
        <v>57</v>
      </c>
      <c r="E145" s="91"/>
      <c r="F145" s="86" t="n">
        <v>3</v>
      </c>
      <c r="G145" s="87" t="n">
        <v>25</v>
      </c>
      <c r="H145" s="88" t="n">
        <f aca="false">SUMIF(B:B,B145,G:G)</f>
        <v>162</v>
      </c>
      <c r="I145" s="89" t="n">
        <v>303</v>
      </c>
      <c r="J145" s="90" t="n">
        <f aca="false">IFERROR((I145-H145)/I145,"")</f>
        <v>0.465346534653465</v>
      </c>
      <c r="K145" s="3"/>
      <c r="L145" s="82"/>
      <c r="M145" s="83" t="s">
        <v>39</v>
      </c>
      <c r="N145" s="84" t="s">
        <v>913</v>
      </c>
      <c r="O145" s="96" t="s">
        <v>57</v>
      </c>
      <c r="P145" s="91"/>
      <c r="Q145" s="86" t="n">
        <v>3</v>
      </c>
      <c r="R145" s="87" t="n">
        <v>25</v>
      </c>
      <c r="S145" s="88" t="n">
        <f aca="false">SUMIF(M:M,M145,R:R)</f>
        <v>162</v>
      </c>
      <c r="T145" s="89" t="n">
        <f aca="false">I145</f>
        <v>303</v>
      </c>
      <c r="U145" s="90" t="n">
        <f aca="false">IFERROR((T145-S145)/T145,"")</f>
        <v>0.465346534653465</v>
      </c>
    </row>
    <row r="146" customFormat="false" ht="18.75" hidden="false" customHeight="true" outlineLevel="0" collapsed="false">
      <c r="A146" s="91"/>
      <c r="B146" s="92" t="s">
        <v>39</v>
      </c>
      <c r="C146" s="84" t="s">
        <v>914</v>
      </c>
      <c r="D146" s="96" t="s">
        <v>57</v>
      </c>
      <c r="E146" s="91"/>
      <c r="F146" s="86" t="n">
        <v>24</v>
      </c>
      <c r="G146" s="87" t="n">
        <v>17</v>
      </c>
      <c r="H146" s="93"/>
      <c r="I146" s="94"/>
      <c r="J146" s="95"/>
      <c r="K146" s="3"/>
      <c r="L146" s="91"/>
      <c r="M146" s="92" t="s">
        <v>39</v>
      </c>
      <c r="N146" s="84" t="s">
        <v>914</v>
      </c>
      <c r="O146" s="96" t="s">
        <v>57</v>
      </c>
      <c r="P146" s="91"/>
      <c r="Q146" s="86" t="n">
        <v>24</v>
      </c>
      <c r="R146" s="87" t="n">
        <v>17</v>
      </c>
      <c r="S146" s="93"/>
      <c r="T146" s="94"/>
      <c r="U146" s="95"/>
    </row>
    <row r="147" customFormat="false" ht="18.75" hidden="false" customHeight="true" outlineLevel="0" collapsed="false">
      <c r="A147" s="91"/>
      <c r="B147" s="92" t="s">
        <v>39</v>
      </c>
      <c r="C147" s="84" t="s">
        <v>915</v>
      </c>
      <c r="D147" s="96" t="s">
        <v>57</v>
      </c>
      <c r="E147" s="91"/>
      <c r="F147" s="86" t="n">
        <v>6</v>
      </c>
      <c r="G147" s="87" t="n">
        <v>17</v>
      </c>
      <c r="H147" s="93"/>
      <c r="I147" s="94"/>
      <c r="J147" s="95"/>
      <c r="K147" s="3"/>
      <c r="L147" s="91"/>
      <c r="M147" s="92" t="s">
        <v>39</v>
      </c>
      <c r="N147" s="84" t="s">
        <v>915</v>
      </c>
      <c r="O147" s="96" t="s">
        <v>57</v>
      </c>
      <c r="P147" s="91"/>
      <c r="Q147" s="86" t="n">
        <v>6</v>
      </c>
      <c r="R147" s="87" t="n">
        <v>17</v>
      </c>
      <c r="S147" s="93"/>
      <c r="T147" s="94"/>
      <c r="U147" s="95"/>
    </row>
    <row r="148" customFormat="false" ht="18.75" hidden="false" customHeight="true" outlineLevel="0" collapsed="false">
      <c r="A148" s="91"/>
      <c r="B148" s="92" t="s">
        <v>39</v>
      </c>
      <c r="C148" s="84" t="s">
        <v>916</v>
      </c>
      <c r="D148" s="96" t="s">
        <v>57</v>
      </c>
      <c r="E148" s="91"/>
      <c r="F148" s="86" t="n">
        <v>37</v>
      </c>
      <c r="G148" s="87" t="n">
        <v>17</v>
      </c>
      <c r="H148" s="93"/>
      <c r="I148" s="94"/>
      <c r="J148" s="95"/>
      <c r="K148" s="3"/>
      <c r="L148" s="91"/>
      <c r="M148" s="92" t="s">
        <v>39</v>
      </c>
      <c r="N148" s="84" t="s">
        <v>916</v>
      </c>
      <c r="O148" s="96" t="s">
        <v>57</v>
      </c>
      <c r="P148" s="91"/>
      <c r="Q148" s="86" t="n">
        <v>37</v>
      </c>
      <c r="R148" s="87" t="n">
        <v>17</v>
      </c>
      <c r="S148" s="93"/>
      <c r="T148" s="94"/>
      <c r="U148" s="95"/>
    </row>
    <row r="149" customFormat="false" ht="18.75" hidden="false" customHeight="true" outlineLevel="0" collapsed="false">
      <c r="A149" s="91"/>
      <c r="B149" s="92" t="s">
        <v>39</v>
      </c>
      <c r="C149" s="84" t="s">
        <v>917</v>
      </c>
      <c r="D149" s="96" t="s">
        <v>57</v>
      </c>
      <c r="E149" s="91"/>
      <c r="F149" s="86" t="n">
        <v>11.1</v>
      </c>
      <c r="G149" s="87" t="n">
        <v>15</v>
      </c>
      <c r="H149" s="93"/>
      <c r="I149" s="94"/>
      <c r="J149" s="95"/>
      <c r="K149" s="3"/>
      <c r="L149" s="91"/>
      <c r="M149" s="92" t="s">
        <v>39</v>
      </c>
      <c r="N149" s="84" t="s">
        <v>917</v>
      </c>
      <c r="O149" s="96" t="s">
        <v>57</v>
      </c>
      <c r="P149" s="91"/>
      <c r="Q149" s="86" t="n">
        <v>11.1</v>
      </c>
      <c r="R149" s="87" t="n">
        <v>15</v>
      </c>
      <c r="S149" s="93"/>
      <c r="T149" s="94"/>
      <c r="U149" s="95"/>
    </row>
    <row r="150" customFormat="false" ht="18.75" hidden="false" customHeight="true" outlineLevel="0" collapsed="false">
      <c r="A150" s="91"/>
      <c r="B150" s="92" t="s">
        <v>39</v>
      </c>
      <c r="C150" s="84" t="s">
        <v>918</v>
      </c>
      <c r="D150" s="96" t="s">
        <v>57</v>
      </c>
      <c r="E150" s="91"/>
      <c r="F150" s="86" t="n">
        <v>7.2</v>
      </c>
      <c r="G150" s="87" t="n">
        <v>13</v>
      </c>
      <c r="H150" s="93"/>
      <c r="I150" s="94"/>
      <c r="J150" s="95"/>
      <c r="K150" s="3"/>
      <c r="L150" s="91"/>
      <c r="M150" s="92" t="s">
        <v>39</v>
      </c>
      <c r="N150" s="84" t="s">
        <v>918</v>
      </c>
      <c r="O150" s="96" t="s">
        <v>57</v>
      </c>
      <c r="P150" s="91"/>
      <c r="Q150" s="86" t="n">
        <v>7.2</v>
      </c>
      <c r="R150" s="87" t="n">
        <v>13</v>
      </c>
      <c r="S150" s="93"/>
      <c r="T150" s="94"/>
      <c r="U150" s="95"/>
    </row>
    <row r="151" customFormat="false" ht="18.75" hidden="false" customHeight="true" outlineLevel="0" collapsed="false">
      <c r="A151" s="91"/>
      <c r="B151" s="92" t="s">
        <v>39</v>
      </c>
      <c r="C151" s="84" t="s">
        <v>919</v>
      </c>
      <c r="D151" s="96" t="s">
        <v>57</v>
      </c>
      <c r="E151" s="91"/>
      <c r="F151" s="86" t="n">
        <v>3.5</v>
      </c>
      <c r="G151" s="87" t="n">
        <v>13</v>
      </c>
      <c r="H151" s="93"/>
      <c r="I151" s="94"/>
      <c r="J151" s="95"/>
      <c r="K151" s="3"/>
      <c r="L151" s="91"/>
      <c r="M151" s="92" t="s">
        <v>39</v>
      </c>
      <c r="N151" s="84" t="s">
        <v>919</v>
      </c>
      <c r="O151" s="96" t="s">
        <v>57</v>
      </c>
      <c r="P151" s="91"/>
      <c r="Q151" s="86" t="n">
        <v>3.5</v>
      </c>
      <c r="R151" s="87" t="n">
        <v>13</v>
      </c>
      <c r="S151" s="93"/>
      <c r="T151" s="94"/>
      <c r="U151" s="95"/>
    </row>
    <row r="152" customFormat="false" ht="18.75" hidden="false" customHeight="true" outlineLevel="0" collapsed="false">
      <c r="A152" s="91"/>
      <c r="B152" s="92" t="s">
        <v>39</v>
      </c>
      <c r="C152" s="84" t="s">
        <v>920</v>
      </c>
      <c r="D152" s="96" t="s">
        <v>57</v>
      </c>
      <c r="E152" s="91"/>
      <c r="F152" s="86" t="n">
        <v>4.1</v>
      </c>
      <c r="G152" s="87" t="n">
        <v>13</v>
      </c>
      <c r="H152" s="93"/>
      <c r="I152" s="94"/>
      <c r="J152" s="95"/>
      <c r="K152" s="3"/>
      <c r="L152" s="91"/>
      <c r="M152" s="92" t="s">
        <v>39</v>
      </c>
      <c r="N152" s="84" t="s">
        <v>920</v>
      </c>
      <c r="O152" s="96" t="s">
        <v>57</v>
      </c>
      <c r="P152" s="91"/>
      <c r="Q152" s="86" t="n">
        <v>4.1</v>
      </c>
      <c r="R152" s="87" t="n">
        <v>13</v>
      </c>
      <c r="S152" s="93"/>
      <c r="T152" s="94"/>
      <c r="U152" s="95"/>
    </row>
    <row r="153" customFormat="false" ht="18.75" hidden="false" customHeight="true" outlineLevel="0" collapsed="false">
      <c r="A153" s="91"/>
      <c r="B153" s="92" t="s">
        <v>39</v>
      </c>
      <c r="C153" s="84" t="s">
        <v>921</v>
      </c>
      <c r="D153" s="96" t="s">
        <v>57</v>
      </c>
      <c r="E153" s="91"/>
      <c r="F153" s="86" t="n">
        <v>24</v>
      </c>
      <c r="G153" s="87" t="n">
        <v>17</v>
      </c>
      <c r="H153" s="93"/>
      <c r="I153" s="94"/>
      <c r="J153" s="95"/>
      <c r="K153" s="3"/>
      <c r="L153" s="91"/>
      <c r="M153" s="92" t="s">
        <v>39</v>
      </c>
      <c r="N153" s="84" t="s">
        <v>921</v>
      </c>
      <c r="O153" s="96" t="s">
        <v>57</v>
      </c>
      <c r="P153" s="91"/>
      <c r="Q153" s="86" t="n">
        <v>24</v>
      </c>
      <c r="R153" s="87" t="n">
        <v>17</v>
      </c>
      <c r="S153" s="93"/>
      <c r="T153" s="94"/>
      <c r="U153" s="95"/>
    </row>
    <row r="154" customFormat="false" ht="18.75" hidden="false" customHeight="true" outlineLevel="0" collapsed="false">
      <c r="A154" s="91"/>
      <c r="B154" s="92" t="s">
        <v>39</v>
      </c>
      <c r="C154" s="84" t="s">
        <v>922</v>
      </c>
      <c r="D154" s="96" t="s">
        <v>57</v>
      </c>
      <c r="E154" s="91"/>
      <c r="F154" s="86" t="n">
        <v>9</v>
      </c>
      <c r="G154" s="87" t="n">
        <v>15</v>
      </c>
      <c r="H154" s="93"/>
      <c r="I154" s="94"/>
      <c r="J154" s="95"/>
      <c r="K154" s="3"/>
      <c r="L154" s="91"/>
      <c r="M154" s="92" t="s">
        <v>39</v>
      </c>
      <c r="N154" s="84" t="s">
        <v>922</v>
      </c>
      <c r="O154" s="96" t="s">
        <v>57</v>
      </c>
      <c r="P154" s="91"/>
      <c r="Q154" s="86" t="n">
        <v>9</v>
      </c>
      <c r="R154" s="87" t="n">
        <v>15</v>
      </c>
      <c r="S154" s="93"/>
      <c r="T154" s="94"/>
      <c r="U154" s="95"/>
    </row>
    <row r="155" customFormat="false" ht="18.75" hidden="false" customHeight="true" outlineLevel="0" collapsed="false">
      <c r="A155" s="82"/>
      <c r="B155" s="83" t="s">
        <v>41</v>
      </c>
      <c r="C155" s="84" t="s">
        <v>923</v>
      </c>
      <c r="D155" s="96" t="s">
        <v>57</v>
      </c>
      <c r="E155" s="91"/>
      <c r="F155" s="86" t="n">
        <v>9.5</v>
      </c>
      <c r="G155" s="87" t="n">
        <v>13</v>
      </c>
      <c r="H155" s="88" t="n">
        <f aca="false">SUMIF(B:B,B155,G:G)</f>
        <v>7272.847598</v>
      </c>
      <c r="I155" s="89" t="n">
        <v>425.2</v>
      </c>
      <c r="J155" s="90" t="n">
        <f aca="false">IFERROR((I155-H155)/I155,"")</f>
        <v>-16.1045333913453</v>
      </c>
      <c r="K155" s="3"/>
      <c r="L155" s="82"/>
      <c r="M155" s="83" t="s">
        <v>41</v>
      </c>
      <c r="N155" s="84" t="s">
        <v>923</v>
      </c>
      <c r="O155" s="96" t="s">
        <v>57</v>
      </c>
      <c r="P155" s="91"/>
      <c r="Q155" s="86" t="n">
        <v>9.5</v>
      </c>
      <c r="R155" s="87" t="n">
        <v>13</v>
      </c>
      <c r="S155" s="88" t="n">
        <f aca="false">SUMIF(M:M,M155,R:R)</f>
        <v>7272.847598</v>
      </c>
      <c r="T155" s="89" t="n">
        <f aca="false">I155</f>
        <v>425.2</v>
      </c>
      <c r="U155" s="90" t="n">
        <f aca="false">IFERROR((T155-S155)/T155,"")</f>
        <v>-16.1045333913453</v>
      </c>
    </row>
    <row r="156" customFormat="false" ht="18.75" hidden="false" customHeight="true" outlineLevel="0" collapsed="false">
      <c r="A156" s="91"/>
      <c r="B156" s="92" t="s">
        <v>41</v>
      </c>
      <c r="C156" s="84" t="s">
        <v>924</v>
      </c>
      <c r="D156" s="96" t="s">
        <v>57</v>
      </c>
      <c r="E156" s="91"/>
      <c r="F156" s="86" t="n">
        <v>14</v>
      </c>
      <c r="G156" s="87" t="n">
        <v>15</v>
      </c>
      <c r="H156" s="93"/>
      <c r="I156" s="94"/>
      <c r="J156" s="95"/>
      <c r="K156" s="3"/>
      <c r="L156" s="91"/>
      <c r="M156" s="92" t="s">
        <v>41</v>
      </c>
      <c r="N156" s="84" t="s">
        <v>924</v>
      </c>
      <c r="O156" s="96" t="s">
        <v>57</v>
      </c>
      <c r="P156" s="91"/>
      <c r="Q156" s="86" t="n">
        <v>14</v>
      </c>
      <c r="R156" s="87" t="n">
        <v>15</v>
      </c>
      <c r="S156" s="93"/>
      <c r="T156" s="94"/>
      <c r="U156" s="95"/>
    </row>
    <row r="157" customFormat="false" ht="18.75" hidden="false" customHeight="true" outlineLevel="0" collapsed="false">
      <c r="A157" s="91"/>
      <c r="B157" s="92" t="s">
        <v>41</v>
      </c>
      <c r="C157" s="84" t="s">
        <v>925</v>
      </c>
      <c r="D157" s="96" t="s">
        <v>57</v>
      </c>
      <c r="E157" s="91"/>
      <c r="F157" s="86" t="n">
        <v>24</v>
      </c>
      <c r="G157" s="87" t="n">
        <v>17</v>
      </c>
      <c r="H157" s="93"/>
      <c r="I157" s="94"/>
      <c r="J157" s="95"/>
      <c r="K157" s="3"/>
      <c r="L157" s="91"/>
      <c r="M157" s="92" t="s">
        <v>41</v>
      </c>
      <c r="N157" s="84" t="s">
        <v>925</v>
      </c>
      <c r="O157" s="96" t="s">
        <v>57</v>
      </c>
      <c r="P157" s="91"/>
      <c r="Q157" s="86" t="n">
        <v>24</v>
      </c>
      <c r="R157" s="87" t="n">
        <v>17</v>
      </c>
      <c r="S157" s="93"/>
      <c r="T157" s="94"/>
      <c r="U157" s="95"/>
    </row>
    <row r="158" customFormat="false" ht="18.75" hidden="false" customHeight="true" outlineLevel="0" collapsed="false">
      <c r="A158" s="91"/>
      <c r="B158" s="92" t="s">
        <v>41</v>
      </c>
      <c r="C158" s="84" t="s">
        <v>926</v>
      </c>
      <c r="D158" s="96" t="s">
        <v>57</v>
      </c>
      <c r="E158" s="91"/>
      <c r="F158" s="86" t="n">
        <v>1</v>
      </c>
      <c r="G158" s="87" t="n">
        <v>92.39</v>
      </c>
      <c r="H158" s="93"/>
      <c r="I158" s="94"/>
      <c r="J158" s="95"/>
      <c r="K158" s="3"/>
      <c r="L158" s="91"/>
      <c r="M158" s="92" t="s">
        <v>41</v>
      </c>
      <c r="N158" s="84" t="s">
        <v>926</v>
      </c>
      <c r="O158" s="96" t="s">
        <v>57</v>
      </c>
      <c r="P158" s="91"/>
      <c r="Q158" s="86" t="n">
        <v>1</v>
      </c>
      <c r="R158" s="87" t="n">
        <v>92.39</v>
      </c>
      <c r="S158" s="93"/>
      <c r="T158" s="94"/>
      <c r="U158" s="95"/>
    </row>
    <row r="159" customFormat="false" ht="18.75" hidden="false" customHeight="true" outlineLevel="0" collapsed="false">
      <c r="A159" s="91"/>
      <c r="B159" s="92" t="s">
        <v>41</v>
      </c>
      <c r="C159" s="84" t="s">
        <v>927</v>
      </c>
      <c r="D159" s="96" t="s">
        <v>57</v>
      </c>
      <c r="E159" s="91"/>
      <c r="F159" s="86" t="n">
        <v>1</v>
      </c>
      <c r="G159" s="87" t="n">
        <v>68.5</v>
      </c>
      <c r="H159" s="93"/>
      <c r="I159" s="94"/>
      <c r="J159" s="95"/>
      <c r="K159" s="3"/>
      <c r="L159" s="91"/>
      <c r="M159" s="92" t="s">
        <v>41</v>
      </c>
      <c r="N159" s="84" t="s">
        <v>927</v>
      </c>
      <c r="O159" s="96" t="s">
        <v>57</v>
      </c>
      <c r="P159" s="91"/>
      <c r="Q159" s="86" t="n">
        <v>1</v>
      </c>
      <c r="R159" s="87" t="n">
        <v>68.5</v>
      </c>
      <c r="S159" s="93"/>
      <c r="T159" s="94"/>
      <c r="U159" s="95"/>
    </row>
    <row r="160" customFormat="false" ht="18.75" hidden="false" customHeight="true" outlineLevel="0" collapsed="false">
      <c r="A160" s="91"/>
      <c r="B160" s="92" t="s">
        <v>41</v>
      </c>
      <c r="C160" s="84" t="s">
        <v>928</v>
      </c>
      <c r="D160" s="96" t="s">
        <v>57</v>
      </c>
      <c r="E160" s="91"/>
      <c r="F160" s="86" t="n">
        <v>1</v>
      </c>
      <c r="G160" s="87" t="n">
        <v>410</v>
      </c>
      <c r="H160" s="93"/>
      <c r="I160" s="94"/>
      <c r="J160" s="95"/>
      <c r="K160" s="3"/>
      <c r="L160" s="91"/>
      <c r="M160" s="92" t="s">
        <v>41</v>
      </c>
      <c r="N160" s="84" t="s">
        <v>928</v>
      </c>
      <c r="O160" s="96" t="s">
        <v>57</v>
      </c>
      <c r="P160" s="91"/>
      <c r="Q160" s="86" t="n">
        <v>1</v>
      </c>
      <c r="R160" s="87" t="n">
        <v>410</v>
      </c>
      <c r="S160" s="93"/>
      <c r="T160" s="94"/>
      <c r="U160" s="95"/>
    </row>
    <row r="161" customFormat="false" ht="18.75" hidden="false" customHeight="true" outlineLevel="0" collapsed="false">
      <c r="A161" s="91"/>
      <c r="B161" s="92" t="s">
        <v>41</v>
      </c>
      <c r="C161" s="84" t="s">
        <v>929</v>
      </c>
      <c r="D161" s="96" t="s">
        <v>57</v>
      </c>
      <c r="E161" s="91"/>
      <c r="F161" s="86" t="n">
        <v>1</v>
      </c>
      <c r="G161" s="87" t="n">
        <v>50</v>
      </c>
      <c r="H161" s="93"/>
      <c r="I161" s="94"/>
      <c r="J161" s="95"/>
      <c r="K161" s="3"/>
      <c r="L161" s="91"/>
      <c r="M161" s="92" t="s">
        <v>41</v>
      </c>
      <c r="N161" s="84" t="s">
        <v>929</v>
      </c>
      <c r="O161" s="96" t="s">
        <v>57</v>
      </c>
      <c r="P161" s="91"/>
      <c r="Q161" s="86" t="n">
        <v>1</v>
      </c>
      <c r="R161" s="87" t="n">
        <v>50</v>
      </c>
      <c r="S161" s="93"/>
      <c r="T161" s="94"/>
      <c r="U161" s="95"/>
    </row>
    <row r="162" customFormat="false" ht="18.75" hidden="false" customHeight="true" outlineLevel="0" collapsed="false">
      <c r="A162" s="91"/>
      <c r="B162" s="92" t="s">
        <v>41</v>
      </c>
      <c r="C162" s="84" t="s">
        <v>930</v>
      </c>
      <c r="D162" s="96" t="s">
        <v>57</v>
      </c>
      <c r="E162" s="91"/>
      <c r="F162" s="86" t="n">
        <v>1</v>
      </c>
      <c r="G162" s="87" t="n">
        <v>231.15</v>
      </c>
      <c r="H162" s="93"/>
      <c r="I162" s="94"/>
      <c r="J162" s="95"/>
      <c r="K162" s="3"/>
      <c r="L162" s="91"/>
      <c r="M162" s="92" t="s">
        <v>41</v>
      </c>
      <c r="N162" s="84" t="s">
        <v>930</v>
      </c>
      <c r="O162" s="96" t="s">
        <v>57</v>
      </c>
      <c r="P162" s="91"/>
      <c r="Q162" s="86" t="n">
        <v>1</v>
      </c>
      <c r="R162" s="87" t="n">
        <v>231.15</v>
      </c>
      <c r="S162" s="93"/>
      <c r="T162" s="94"/>
      <c r="U162" s="95"/>
    </row>
    <row r="163" customFormat="false" ht="18.75" hidden="false" customHeight="true" outlineLevel="0" collapsed="false">
      <c r="A163" s="91"/>
      <c r="B163" s="92" t="s">
        <v>41</v>
      </c>
      <c r="C163" s="84" t="s">
        <v>931</v>
      </c>
      <c r="D163" s="96" t="s">
        <v>57</v>
      </c>
      <c r="E163" s="91"/>
      <c r="F163" s="91"/>
      <c r="G163" s="87" t="n">
        <v>106.26346</v>
      </c>
      <c r="H163" s="93"/>
      <c r="I163" s="94"/>
      <c r="J163" s="95"/>
      <c r="K163" s="3"/>
      <c r="L163" s="91"/>
      <c r="M163" s="92" t="s">
        <v>41</v>
      </c>
      <c r="N163" s="84" t="s">
        <v>931</v>
      </c>
      <c r="O163" s="96" t="s">
        <v>57</v>
      </c>
      <c r="P163" s="91"/>
      <c r="Q163" s="91"/>
      <c r="R163" s="87" t="n">
        <v>106.26346</v>
      </c>
      <c r="S163" s="93"/>
      <c r="T163" s="94"/>
      <c r="U163" s="95"/>
    </row>
    <row r="164" customFormat="false" ht="18.75" hidden="false" customHeight="true" outlineLevel="0" collapsed="false">
      <c r="A164" s="91"/>
      <c r="B164" s="92" t="s">
        <v>41</v>
      </c>
      <c r="C164" s="84" t="s">
        <v>932</v>
      </c>
      <c r="D164" s="96" t="s">
        <v>57</v>
      </c>
      <c r="E164" s="91"/>
      <c r="F164" s="91"/>
      <c r="G164" s="87" t="n">
        <v>6269.544138</v>
      </c>
      <c r="H164" s="93"/>
      <c r="I164" s="94"/>
      <c r="J164" s="95"/>
      <c r="K164" s="3"/>
      <c r="L164" s="91"/>
      <c r="M164" s="92" t="s">
        <v>41</v>
      </c>
      <c r="N164" s="84" t="s">
        <v>932</v>
      </c>
      <c r="O164" s="96" t="s">
        <v>57</v>
      </c>
      <c r="P164" s="91"/>
      <c r="Q164" s="91"/>
      <c r="R164" s="87" t="n">
        <v>6269.544138</v>
      </c>
      <c r="S164" s="93"/>
      <c r="T164" s="94"/>
      <c r="U164" s="95"/>
    </row>
    <row r="165" customFormat="false" ht="18.75" hidden="false" customHeight="true" outlineLevel="0" collapsed="false">
      <c r="A165" s="109"/>
      <c r="B165" s="109"/>
      <c r="C165" s="109"/>
      <c r="D165" s="109"/>
      <c r="E165" s="109"/>
      <c r="F165" s="109"/>
      <c r="G165" s="110" t="str">
        <f aca="false">IF(AND(E165&lt;&gt;"",F165&lt;&gt;""),E165*F165,"")</f>
        <v/>
      </c>
      <c r="H165" s="110" t="str">
        <f aca="false">IF(B165&lt;&gt;"",SUMIF(B:B,B165,G:G),"")</f>
        <v/>
      </c>
      <c r="I165" s="109"/>
      <c r="J165" s="111" t="str">
        <f aca="false">IF(AND(I165&lt;&gt;"",H165&lt;&gt;""),IFERROR((I165-H165)/I165,""),"")</f>
        <v/>
      </c>
      <c r="K165" s="3"/>
      <c r="L165" s="109"/>
      <c r="M165" s="109"/>
      <c r="N165" s="109"/>
      <c r="O165" s="109"/>
      <c r="P165" s="109"/>
      <c r="Q165" s="109"/>
      <c r="R165" s="110" t="str">
        <f aca="false">IF(AND(P165&lt;&gt;"",Q165&lt;&gt;""),P165*Q165,"")</f>
        <v/>
      </c>
      <c r="S165" s="110" t="str">
        <f aca="false">IF(M165&lt;&gt;"",SUMIF(M:M,M165,R:R),"")</f>
        <v/>
      </c>
      <c r="T165" s="110" t="str">
        <f aca="false">IF(I165&lt;&gt;"",I165,"")</f>
        <v/>
      </c>
      <c r="U165" s="111" t="str">
        <f aca="false">IF(AND(T165&lt;&gt;"",S165&lt;&gt;""),IFERROR((T165-S165)/T165,""),"")</f>
        <v/>
      </c>
    </row>
    <row r="166" customFormat="false" ht="18.75" hidden="false" customHeight="true" outlineLevel="0" collapsed="false">
      <c r="A166" s="112"/>
      <c r="B166" s="112"/>
      <c r="C166" s="112"/>
      <c r="D166" s="112"/>
      <c r="E166" s="112"/>
      <c r="F166" s="112"/>
      <c r="G166" s="113" t="str">
        <f aca="false">IF(AND(E166&lt;&gt;"",F166&lt;&gt;""),E166*F166,"")</f>
        <v/>
      </c>
      <c r="H166" s="113" t="str">
        <f aca="false">IF(B166&lt;&gt;"",SUMIF(B:B,B166,G:G),"")</f>
        <v/>
      </c>
      <c r="I166" s="112"/>
      <c r="J166" s="114" t="str">
        <f aca="false">IF(AND(I166&lt;&gt;"",H166&lt;&gt;""),IFERROR((I166-H166)/I166,""),"")</f>
        <v/>
      </c>
      <c r="K166" s="3"/>
      <c r="L166" s="112"/>
      <c r="M166" s="112"/>
      <c r="N166" s="112"/>
      <c r="O166" s="112"/>
      <c r="P166" s="112"/>
      <c r="Q166" s="112"/>
      <c r="R166" s="113" t="str">
        <f aca="false">IF(AND(P166&lt;&gt;"",Q166&lt;&gt;""),P166*Q166,"")</f>
        <v/>
      </c>
      <c r="S166" s="113" t="str">
        <f aca="false">IF(M166&lt;&gt;"",SUMIF(M:M,M166,R:R),"")</f>
        <v/>
      </c>
      <c r="T166" s="113" t="str">
        <f aca="false">IF(I166&lt;&gt;"",I166,"")</f>
        <v/>
      </c>
      <c r="U166" s="114" t="str">
        <f aca="false">IF(AND(T166&lt;&gt;"",S166&lt;&gt;""),IFERROR((T166-S166)/T166,""),"")</f>
        <v/>
      </c>
    </row>
    <row r="167" customFormat="false" ht="18.75" hidden="false" customHeight="true" outlineLevel="0" collapsed="false">
      <c r="A167" s="109"/>
      <c r="B167" s="109"/>
      <c r="C167" s="109"/>
      <c r="D167" s="109"/>
      <c r="E167" s="109"/>
      <c r="F167" s="109"/>
      <c r="G167" s="110" t="str">
        <f aca="false">IF(AND(E167&lt;&gt;"",F167&lt;&gt;""),E167*F167,"")</f>
        <v/>
      </c>
      <c r="H167" s="110" t="str">
        <f aca="false">IF(B167&lt;&gt;"",SUMIF(B:B,B167,G:G),"")</f>
        <v/>
      </c>
      <c r="I167" s="109"/>
      <c r="J167" s="111" t="str">
        <f aca="false">IF(AND(I167&lt;&gt;"",H167&lt;&gt;""),IFERROR((I167-H167)/I167,""),"")</f>
        <v/>
      </c>
      <c r="K167" s="3"/>
      <c r="L167" s="109"/>
      <c r="M167" s="109"/>
      <c r="N167" s="109"/>
      <c r="O167" s="109"/>
      <c r="P167" s="109"/>
      <c r="Q167" s="109"/>
      <c r="R167" s="110" t="str">
        <f aca="false">IF(AND(P167&lt;&gt;"",Q167&lt;&gt;""),P167*Q167,"")</f>
        <v/>
      </c>
      <c r="S167" s="110" t="str">
        <f aca="false">IF(M167&lt;&gt;"",SUMIF(M:M,M167,R:R),"")</f>
        <v/>
      </c>
      <c r="T167" s="110" t="str">
        <f aca="false">IF(I167&lt;&gt;"",I167,"")</f>
        <v/>
      </c>
      <c r="U167" s="111" t="str">
        <f aca="false">IF(AND(T167&lt;&gt;"",S167&lt;&gt;""),IFERROR((T167-S167)/T167,""),"")</f>
        <v/>
      </c>
    </row>
    <row r="168" customFormat="false" ht="18.75" hidden="false" customHeight="true" outlineLevel="0" collapsed="false">
      <c r="A168" s="112"/>
      <c r="B168" s="112"/>
      <c r="C168" s="112"/>
      <c r="D168" s="112"/>
      <c r="E168" s="112"/>
      <c r="F168" s="112"/>
      <c r="G168" s="113" t="str">
        <f aca="false">IF(AND(E168&lt;&gt;"",F168&lt;&gt;""),E168*F168,"")</f>
        <v/>
      </c>
      <c r="H168" s="113" t="str">
        <f aca="false">IF(B168&lt;&gt;"",SUMIF(B:B,B168,G:G),"")</f>
        <v/>
      </c>
      <c r="I168" s="112"/>
      <c r="J168" s="114" t="str">
        <f aca="false">IF(AND(I168&lt;&gt;"",H168&lt;&gt;""),IFERROR((I168-H168)/I168,""),"")</f>
        <v/>
      </c>
      <c r="K168" s="3"/>
      <c r="L168" s="112"/>
      <c r="M168" s="112"/>
      <c r="N168" s="112"/>
      <c r="O168" s="112"/>
      <c r="P168" s="112"/>
      <c r="Q168" s="112"/>
      <c r="R168" s="113" t="str">
        <f aca="false">IF(AND(P168&lt;&gt;"",Q168&lt;&gt;""),P168*Q168,"")</f>
        <v/>
      </c>
      <c r="S168" s="113" t="str">
        <f aca="false">IF(M168&lt;&gt;"",SUMIF(M:M,M168,R:R),"")</f>
        <v/>
      </c>
      <c r="T168" s="113" t="str">
        <f aca="false">IF(I168&lt;&gt;"",I168,"")</f>
        <v/>
      </c>
      <c r="U168" s="114" t="str">
        <f aca="false">IF(AND(T168&lt;&gt;"",S168&lt;&gt;""),IFERROR((T168-S168)/T168,""),"")</f>
        <v/>
      </c>
    </row>
    <row r="169" customFormat="false" ht="18.75" hidden="false" customHeight="true" outlineLevel="0" collapsed="false">
      <c r="A169" s="109"/>
      <c r="B169" s="109"/>
      <c r="C169" s="109"/>
      <c r="D169" s="109"/>
      <c r="E169" s="109"/>
      <c r="F169" s="109"/>
      <c r="G169" s="110" t="str">
        <f aca="false">IF(AND(E169&lt;&gt;"",F169&lt;&gt;""),E169*F169,"")</f>
        <v/>
      </c>
      <c r="H169" s="110" t="str">
        <f aca="false">IF(B169&lt;&gt;"",SUMIF(B:B,B169,G:G),"")</f>
        <v/>
      </c>
      <c r="I169" s="109"/>
      <c r="J169" s="111" t="str">
        <f aca="false">IF(AND(I169&lt;&gt;"",H169&lt;&gt;""),IFERROR((I169-H169)/I169,""),"")</f>
        <v/>
      </c>
      <c r="K169" s="3"/>
      <c r="L169" s="109"/>
      <c r="M169" s="109"/>
      <c r="N169" s="109"/>
      <c r="O169" s="109"/>
      <c r="P169" s="109"/>
      <c r="Q169" s="109"/>
      <c r="R169" s="110" t="str">
        <f aca="false">IF(AND(P169&lt;&gt;"",Q169&lt;&gt;""),P169*Q169,"")</f>
        <v/>
      </c>
      <c r="S169" s="110" t="str">
        <f aca="false">IF(M169&lt;&gt;"",SUMIF(M:M,M169,R:R),"")</f>
        <v/>
      </c>
      <c r="T169" s="110" t="str">
        <f aca="false">IF(I169&lt;&gt;"",I169,"")</f>
        <v/>
      </c>
      <c r="U169" s="111" t="str">
        <f aca="false">IF(AND(T169&lt;&gt;"",S169&lt;&gt;""),IFERROR((T169-S169)/T169,""),"")</f>
        <v/>
      </c>
    </row>
    <row r="170" customFormat="false" ht="18.75" hidden="false" customHeight="true" outlineLevel="0" collapsed="false">
      <c r="A170" s="112"/>
      <c r="B170" s="112"/>
      <c r="C170" s="112"/>
      <c r="D170" s="112"/>
      <c r="E170" s="112"/>
      <c r="F170" s="112"/>
      <c r="G170" s="113" t="str">
        <f aca="false">IF(AND(E170&lt;&gt;"",F170&lt;&gt;""),E170*F170,"")</f>
        <v/>
      </c>
      <c r="H170" s="113" t="str">
        <f aca="false">IF(B170&lt;&gt;"",SUMIF(B:B,B170,G:G),"")</f>
        <v/>
      </c>
      <c r="I170" s="112"/>
      <c r="J170" s="114" t="str">
        <f aca="false">IF(AND(I170&lt;&gt;"",H170&lt;&gt;""),IFERROR((I170-H170)/I170,""),"")</f>
        <v/>
      </c>
      <c r="K170" s="3"/>
      <c r="L170" s="112"/>
      <c r="M170" s="112"/>
      <c r="N170" s="112"/>
      <c r="O170" s="112"/>
      <c r="P170" s="112"/>
      <c r="Q170" s="112"/>
      <c r="R170" s="113" t="str">
        <f aca="false">IF(AND(P170&lt;&gt;"",Q170&lt;&gt;""),P170*Q170,"")</f>
        <v/>
      </c>
      <c r="S170" s="113" t="str">
        <f aca="false">IF(M170&lt;&gt;"",SUMIF(M:M,M170,R:R),"")</f>
        <v/>
      </c>
      <c r="T170" s="113" t="str">
        <f aca="false">IF(I170&lt;&gt;"",I170,"")</f>
        <v/>
      </c>
      <c r="U170" s="114" t="str">
        <f aca="false">IF(AND(T170&lt;&gt;"",S170&lt;&gt;""),IFERROR((T170-S170)/T170,""),"")</f>
        <v/>
      </c>
    </row>
    <row r="171" customFormat="false" ht="18.75" hidden="false" customHeight="true" outlineLevel="0" collapsed="false">
      <c r="A171" s="109"/>
      <c r="B171" s="109"/>
      <c r="C171" s="109"/>
      <c r="D171" s="109"/>
      <c r="E171" s="109"/>
      <c r="F171" s="109"/>
      <c r="G171" s="110" t="str">
        <f aca="false">IF(AND(E171&lt;&gt;"",F171&lt;&gt;""),E171*F171,"")</f>
        <v/>
      </c>
      <c r="H171" s="110" t="str">
        <f aca="false">IF(B171&lt;&gt;"",SUMIF(B:B,B171,G:G),"")</f>
        <v/>
      </c>
      <c r="I171" s="109"/>
      <c r="J171" s="111" t="str">
        <f aca="false">IF(AND(I171&lt;&gt;"",H171&lt;&gt;""),IFERROR((I171-H171)/I171,""),"")</f>
        <v/>
      </c>
      <c r="K171" s="3"/>
      <c r="L171" s="109"/>
      <c r="M171" s="109"/>
      <c r="N171" s="109"/>
      <c r="O171" s="109"/>
      <c r="P171" s="109"/>
      <c r="Q171" s="109"/>
      <c r="R171" s="110" t="str">
        <f aca="false">IF(AND(P171&lt;&gt;"",Q171&lt;&gt;""),P171*Q171,"")</f>
        <v/>
      </c>
      <c r="S171" s="110" t="str">
        <f aca="false">IF(M171&lt;&gt;"",SUMIF(M:M,M171,R:R),"")</f>
        <v/>
      </c>
      <c r="T171" s="110" t="str">
        <f aca="false">IF(I171&lt;&gt;"",I171,"")</f>
        <v/>
      </c>
      <c r="U171" s="111" t="str">
        <f aca="false">IF(AND(T171&lt;&gt;"",S171&lt;&gt;""),IFERROR((T171-S171)/T171,""),"")</f>
        <v/>
      </c>
    </row>
    <row r="172" customFormat="false" ht="18.75" hidden="false" customHeight="true" outlineLevel="0" collapsed="false">
      <c r="A172" s="112"/>
      <c r="B172" s="112"/>
      <c r="C172" s="112"/>
      <c r="D172" s="112"/>
      <c r="E172" s="112"/>
      <c r="F172" s="112"/>
      <c r="G172" s="113" t="str">
        <f aca="false">IF(AND(E172&lt;&gt;"",F172&lt;&gt;""),E172*F172,"")</f>
        <v/>
      </c>
      <c r="H172" s="113" t="str">
        <f aca="false">IF(B172&lt;&gt;"",SUMIF(B:B,B172,G:G),"")</f>
        <v/>
      </c>
      <c r="I172" s="112"/>
      <c r="J172" s="114" t="str">
        <f aca="false">IF(AND(I172&lt;&gt;"",H172&lt;&gt;""),IFERROR((I172-H172)/I172,""),"")</f>
        <v/>
      </c>
      <c r="K172" s="3"/>
      <c r="L172" s="112"/>
      <c r="M172" s="112"/>
      <c r="N172" s="112"/>
      <c r="O172" s="112"/>
      <c r="P172" s="112"/>
      <c r="Q172" s="112"/>
      <c r="R172" s="113" t="str">
        <f aca="false">IF(AND(P172&lt;&gt;"",Q172&lt;&gt;""),P172*Q172,"")</f>
        <v/>
      </c>
      <c r="S172" s="113" t="str">
        <f aca="false">IF(M172&lt;&gt;"",SUMIF(M:M,M172,R:R),"")</f>
        <v/>
      </c>
      <c r="T172" s="113" t="str">
        <f aca="false">IF(I172&lt;&gt;"",I172,"")</f>
        <v/>
      </c>
      <c r="U172" s="114" t="str">
        <f aca="false">IF(AND(T172&lt;&gt;"",S172&lt;&gt;""),IFERROR((T172-S172)/T172,""),"")</f>
        <v/>
      </c>
    </row>
    <row r="173" customFormat="false" ht="18.75" hidden="false" customHeight="true" outlineLevel="0" collapsed="false">
      <c r="A173" s="109"/>
      <c r="B173" s="109"/>
      <c r="C173" s="109"/>
      <c r="D173" s="109"/>
      <c r="E173" s="109"/>
      <c r="F173" s="109"/>
      <c r="G173" s="110" t="str">
        <f aca="false">IF(AND(E173&lt;&gt;"",F173&lt;&gt;""),E173*F173,"")</f>
        <v/>
      </c>
      <c r="H173" s="110" t="str">
        <f aca="false">IF(B173&lt;&gt;"",SUMIF(B:B,B173,G:G),"")</f>
        <v/>
      </c>
      <c r="I173" s="109"/>
      <c r="J173" s="111" t="str">
        <f aca="false">IF(AND(I173&lt;&gt;"",H173&lt;&gt;""),IFERROR((I173-H173)/I173,""),"")</f>
        <v/>
      </c>
      <c r="K173" s="3"/>
      <c r="L173" s="109"/>
      <c r="M173" s="109"/>
      <c r="N173" s="109"/>
      <c r="O173" s="109"/>
      <c r="P173" s="109"/>
      <c r="Q173" s="109"/>
      <c r="R173" s="110" t="str">
        <f aca="false">IF(AND(P173&lt;&gt;"",Q173&lt;&gt;""),P173*Q173,"")</f>
        <v/>
      </c>
      <c r="S173" s="110" t="str">
        <f aca="false">IF(M173&lt;&gt;"",SUMIF(M:M,M173,R:R),"")</f>
        <v/>
      </c>
      <c r="T173" s="110" t="str">
        <f aca="false">IF(I173&lt;&gt;"",I173,"")</f>
        <v/>
      </c>
      <c r="U173" s="111" t="str">
        <f aca="false">IF(AND(T173&lt;&gt;"",S173&lt;&gt;""),IFERROR((T173-S173)/T173,""),"")</f>
        <v/>
      </c>
    </row>
    <row r="174" customFormat="false" ht="18.75" hidden="false" customHeight="true" outlineLevel="0" collapsed="false">
      <c r="A174" s="112"/>
      <c r="B174" s="112"/>
      <c r="C174" s="112"/>
      <c r="D174" s="112"/>
      <c r="E174" s="112"/>
      <c r="F174" s="112"/>
      <c r="G174" s="113" t="str">
        <f aca="false">IF(AND(E174&lt;&gt;"",F174&lt;&gt;""),E174*F174,"")</f>
        <v/>
      </c>
      <c r="H174" s="113" t="str">
        <f aca="false">IF(B174&lt;&gt;"",SUMIF(B:B,B174,G:G),"")</f>
        <v/>
      </c>
      <c r="I174" s="112"/>
      <c r="J174" s="114" t="str">
        <f aca="false">IF(AND(I174&lt;&gt;"",H174&lt;&gt;""),IFERROR((I174-H174)/I174,""),"")</f>
        <v/>
      </c>
      <c r="K174" s="3"/>
      <c r="L174" s="112"/>
      <c r="M174" s="112"/>
      <c r="N174" s="112"/>
      <c r="O174" s="112"/>
      <c r="P174" s="112"/>
      <c r="Q174" s="112"/>
      <c r="R174" s="113" t="str">
        <f aca="false">IF(AND(P174&lt;&gt;"",Q174&lt;&gt;""),P174*Q174,"")</f>
        <v/>
      </c>
      <c r="S174" s="113" t="str">
        <f aca="false">IF(M174&lt;&gt;"",SUMIF(M:M,M174,R:R),"")</f>
        <v/>
      </c>
      <c r="T174" s="113" t="str">
        <f aca="false">IF(I174&lt;&gt;"",I174,"")</f>
        <v/>
      </c>
      <c r="U174" s="114" t="str">
        <f aca="false">IF(AND(T174&lt;&gt;"",S174&lt;&gt;""),IFERROR((T174-S174)/T174,""),"")</f>
        <v/>
      </c>
    </row>
    <row r="175" customFormat="false" ht="18.75" hidden="false" customHeight="true" outlineLevel="0" collapsed="false">
      <c r="A175" s="109"/>
      <c r="B175" s="109"/>
      <c r="C175" s="109"/>
      <c r="D175" s="109"/>
      <c r="E175" s="109"/>
      <c r="F175" s="109"/>
      <c r="G175" s="110" t="str">
        <f aca="false">IF(AND(E175&lt;&gt;"",F175&lt;&gt;""),E175*F175,"")</f>
        <v/>
      </c>
      <c r="H175" s="110" t="str">
        <f aca="false">IF(B175&lt;&gt;"",SUMIF(B:B,B175,G:G),"")</f>
        <v/>
      </c>
      <c r="I175" s="109"/>
      <c r="J175" s="111" t="str">
        <f aca="false">IF(AND(I175&lt;&gt;"",H175&lt;&gt;""),IFERROR((I175-H175)/I175,""),"")</f>
        <v/>
      </c>
      <c r="K175" s="3"/>
      <c r="L175" s="109"/>
      <c r="M175" s="109"/>
      <c r="N175" s="109"/>
      <c r="O175" s="109"/>
      <c r="P175" s="109"/>
      <c r="Q175" s="109"/>
      <c r="R175" s="110" t="str">
        <f aca="false">IF(AND(P175&lt;&gt;"",Q175&lt;&gt;""),P175*Q175,"")</f>
        <v/>
      </c>
      <c r="S175" s="110" t="str">
        <f aca="false">IF(M175&lt;&gt;"",SUMIF(M:M,M175,R:R),"")</f>
        <v/>
      </c>
      <c r="T175" s="110" t="str">
        <f aca="false">IF(I175&lt;&gt;"",I175,"")</f>
        <v/>
      </c>
      <c r="U175" s="111" t="str">
        <f aca="false">IF(AND(T175&lt;&gt;"",S175&lt;&gt;""),IFERROR((T175-S175)/T175,""),"")</f>
        <v/>
      </c>
    </row>
    <row r="176" customFormat="false" ht="18.75" hidden="false" customHeight="true" outlineLevel="0" collapsed="false">
      <c r="A176" s="112"/>
      <c r="B176" s="112"/>
      <c r="C176" s="112"/>
      <c r="D176" s="112"/>
      <c r="E176" s="112"/>
      <c r="F176" s="112"/>
      <c r="G176" s="113" t="str">
        <f aca="false">IF(AND(E176&lt;&gt;"",F176&lt;&gt;""),E176*F176,"")</f>
        <v/>
      </c>
      <c r="H176" s="113" t="str">
        <f aca="false">IF(B176&lt;&gt;"",SUMIF(B:B,B176,G:G),"")</f>
        <v/>
      </c>
      <c r="I176" s="112"/>
      <c r="J176" s="114" t="str">
        <f aca="false">IF(AND(I176&lt;&gt;"",H176&lt;&gt;""),IFERROR((I176-H176)/I176,""),"")</f>
        <v/>
      </c>
      <c r="K176" s="3"/>
      <c r="L176" s="112"/>
      <c r="M176" s="112"/>
      <c r="N176" s="112"/>
      <c r="O176" s="112"/>
      <c r="P176" s="112"/>
      <c r="Q176" s="112"/>
      <c r="R176" s="113" t="str">
        <f aca="false">IF(AND(P176&lt;&gt;"",Q176&lt;&gt;""),P176*Q176,"")</f>
        <v/>
      </c>
      <c r="S176" s="113" t="str">
        <f aca="false">IF(M176&lt;&gt;"",SUMIF(M:M,M176,R:R),"")</f>
        <v/>
      </c>
      <c r="T176" s="113" t="str">
        <f aca="false">IF(I176&lt;&gt;"",I176,"")</f>
        <v/>
      </c>
      <c r="U176" s="114" t="str">
        <f aca="false">IF(AND(T176&lt;&gt;"",S176&lt;&gt;""),IFERROR((T176-S176)/T176,""),"")</f>
        <v/>
      </c>
    </row>
    <row r="177" customFormat="false" ht="18.75" hidden="false" customHeight="true" outlineLevel="0" collapsed="false">
      <c r="A177" s="109"/>
      <c r="B177" s="109"/>
      <c r="C177" s="109"/>
      <c r="D177" s="109"/>
      <c r="E177" s="109"/>
      <c r="F177" s="109"/>
      <c r="G177" s="110" t="str">
        <f aca="false">IF(AND(E177&lt;&gt;"",F177&lt;&gt;""),E177*F177,"")</f>
        <v/>
      </c>
      <c r="H177" s="110" t="str">
        <f aca="false">IF(B177&lt;&gt;"",SUMIF(B:B,B177,G:G),"")</f>
        <v/>
      </c>
      <c r="I177" s="109"/>
      <c r="J177" s="111" t="str">
        <f aca="false">IF(AND(I177&lt;&gt;"",H177&lt;&gt;""),IFERROR((I177-H177)/I177,""),"")</f>
        <v/>
      </c>
      <c r="K177" s="3"/>
      <c r="L177" s="109"/>
      <c r="M177" s="109"/>
      <c r="N177" s="109"/>
      <c r="O177" s="109"/>
      <c r="P177" s="109"/>
      <c r="Q177" s="109"/>
      <c r="R177" s="110" t="str">
        <f aca="false">IF(AND(P177&lt;&gt;"",Q177&lt;&gt;""),P177*Q177,"")</f>
        <v/>
      </c>
      <c r="S177" s="110" t="str">
        <f aca="false">IF(M177&lt;&gt;"",SUMIF(M:M,M177,R:R),"")</f>
        <v/>
      </c>
      <c r="T177" s="110" t="str">
        <f aca="false">IF(I177&lt;&gt;"",I177,"")</f>
        <v/>
      </c>
      <c r="U177" s="111" t="str">
        <f aca="false">IF(AND(T177&lt;&gt;"",S177&lt;&gt;""),IFERROR((T177-S177)/T177,""),"")</f>
        <v/>
      </c>
    </row>
    <row r="178" customFormat="false" ht="18.75" hidden="false" customHeight="true" outlineLevel="0" collapsed="false">
      <c r="A178" s="112"/>
      <c r="B178" s="112"/>
      <c r="C178" s="112"/>
      <c r="D178" s="112"/>
      <c r="E178" s="112"/>
      <c r="F178" s="112"/>
      <c r="G178" s="113" t="str">
        <f aca="false">IF(AND(E178&lt;&gt;"",F178&lt;&gt;""),E178*F178,"")</f>
        <v/>
      </c>
      <c r="H178" s="113" t="str">
        <f aca="false">IF(B178&lt;&gt;"",SUMIF(B:B,B178,G:G),"")</f>
        <v/>
      </c>
      <c r="I178" s="112"/>
      <c r="J178" s="114" t="str">
        <f aca="false">IF(AND(I178&lt;&gt;"",H178&lt;&gt;""),IFERROR((I178-H178)/I178,""),"")</f>
        <v/>
      </c>
      <c r="K178" s="3"/>
      <c r="L178" s="112"/>
      <c r="M178" s="112"/>
      <c r="N178" s="112"/>
      <c r="O178" s="112"/>
      <c r="P178" s="112"/>
      <c r="Q178" s="112"/>
      <c r="R178" s="113" t="str">
        <f aca="false">IF(AND(P178&lt;&gt;"",Q178&lt;&gt;""),P178*Q178,"")</f>
        <v/>
      </c>
      <c r="S178" s="113" t="str">
        <f aca="false">IF(M178&lt;&gt;"",SUMIF(M:M,M178,R:R),"")</f>
        <v/>
      </c>
      <c r="T178" s="113" t="str">
        <f aca="false">IF(I178&lt;&gt;"",I178,"")</f>
        <v/>
      </c>
      <c r="U178" s="114" t="str">
        <f aca="false">IF(AND(T178&lt;&gt;"",S178&lt;&gt;""),IFERROR((T178-S178)/T178,""),"")</f>
        <v/>
      </c>
    </row>
    <row r="179" customFormat="false" ht="18.75" hidden="false" customHeight="true" outlineLevel="0" collapsed="false">
      <c r="A179" s="109"/>
      <c r="B179" s="109"/>
      <c r="C179" s="109"/>
      <c r="D179" s="109"/>
      <c r="E179" s="109"/>
      <c r="F179" s="109"/>
      <c r="G179" s="110" t="str">
        <f aca="false">IF(AND(E179&lt;&gt;"",F179&lt;&gt;""),E179*F179,"")</f>
        <v/>
      </c>
      <c r="H179" s="110" t="str">
        <f aca="false">IF(B179&lt;&gt;"",SUMIF(B:B,B179,G:G),"")</f>
        <v/>
      </c>
      <c r="I179" s="109"/>
      <c r="J179" s="111" t="str">
        <f aca="false">IF(AND(I179&lt;&gt;"",H179&lt;&gt;""),IFERROR((I179-H179)/I179,""),"")</f>
        <v/>
      </c>
      <c r="K179" s="3"/>
      <c r="L179" s="109"/>
      <c r="M179" s="109"/>
      <c r="N179" s="109"/>
      <c r="O179" s="109"/>
      <c r="P179" s="109"/>
      <c r="Q179" s="109"/>
      <c r="R179" s="110" t="str">
        <f aca="false">IF(AND(P179&lt;&gt;"",Q179&lt;&gt;""),P179*Q179,"")</f>
        <v/>
      </c>
      <c r="S179" s="110" t="str">
        <f aca="false">IF(M179&lt;&gt;"",SUMIF(M:M,M179,R:R),"")</f>
        <v/>
      </c>
      <c r="T179" s="110" t="str">
        <f aca="false">IF(I179&lt;&gt;"",I179,"")</f>
        <v/>
      </c>
      <c r="U179" s="111" t="str">
        <f aca="false">IF(AND(T179&lt;&gt;"",S179&lt;&gt;""),IFERROR((T179-S179)/T179,""),"")</f>
        <v/>
      </c>
    </row>
    <row r="180" customFormat="false" ht="18.75" hidden="false" customHeight="true" outlineLevel="0" collapsed="false">
      <c r="A180" s="112"/>
      <c r="B180" s="112"/>
      <c r="C180" s="112"/>
      <c r="D180" s="112"/>
      <c r="E180" s="112"/>
      <c r="F180" s="112"/>
      <c r="G180" s="113" t="str">
        <f aca="false">IF(AND(E180&lt;&gt;"",F180&lt;&gt;""),E180*F180,"")</f>
        <v/>
      </c>
      <c r="H180" s="113" t="str">
        <f aca="false">IF(B180&lt;&gt;"",SUMIF(B:B,B180,G:G),"")</f>
        <v/>
      </c>
      <c r="I180" s="112"/>
      <c r="J180" s="114" t="str">
        <f aca="false">IF(AND(I180&lt;&gt;"",H180&lt;&gt;""),IFERROR((I180-H180)/I180,""),"")</f>
        <v/>
      </c>
      <c r="K180" s="3"/>
      <c r="L180" s="112"/>
      <c r="M180" s="112"/>
      <c r="N180" s="112"/>
      <c r="O180" s="112"/>
      <c r="P180" s="112"/>
      <c r="Q180" s="112"/>
      <c r="R180" s="113" t="str">
        <f aca="false">IF(AND(P180&lt;&gt;"",Q180&lt;&gt;""),P180*Q180,"")</f>
        <v/>
      </c>
      <c r="S180" s="113" t="str">
        <f aca="false">IF(M180&lt;&gt;"",SUMIF(M:M,M180,R:R),"")</f>
        <v/>
      </c>
      <c r="T180" s="113" t="str">
        <f aca="false">IF(I180&lt;&gt;"",I180,"")</f>
        <v/>
      </c>
      <c r="U180" s="114" t="str">
        <f aca="false">IF(AND(T180&lt;&gt;"",S180&lt;&gt;""),IFERROR((T180-S180)/T180,""),"")</f>
        <v/>
      </c>
    </row>
    <row r="181" customFormat="false" ht="18.75" hidden="false" customHeight="true" outlineLevel="0" collapsed="false">
      <c r="A181" s="109"/>
      <c r="B181" s="109"/>
      <c r="C181" s="109"/>
      <c r="D181" s="109"/>
      <c r="E181" s="109"/>
      <c r="F181" s="109"/>
      <c r="G181" s="110" t="str">
        <f aca="false">IF(AND(E181&lt;&gt;"",F181&lt;&gt;""),E181*F181,"")</f>
        <v/>
      </c>
      <c r="H181" s="110" t="str">
        <f aca="false">IF(B181&lt;&gt;"",SUMIF(B:B,B181,G:G),"")</f>
        <v/>
      </c>
      <c r="I181" s="109"/>
      <c r="J181" s="111" t="str">
        <f aca="false">IF(AND(I181&lt;&gt;"",H181&lt;&gt;""),IFERROR((I181-H181)/I181,""),"")</f>
        <v/>
      </c>
      <c r="K181" s="3"/>
      <c r="L181" s="109"/>
      <c r="M181" s="109"/>
      <c r="N181" s="109"/>
      <c r="O181" s="109"/>
      <c r="P181" s="109"/>
      <c r="Q181" s="109"/>
      <c r="R181" s="110" t="str">
        <f aca="false">IF(AND(P181&lt;&gt;"",Q181&lt;&gt;""),P181*Q181,"")</f>
        <v/>
      </c>
      <c r="S181" s="110" t="str">
        <f aca="false">IF(M181&lt;&gt;"",SUMIF(M:M,M181,R:R),"")</f>
        <v/>
      </c>
      <c r="T181" s="110" t="str">
        <f aca="false">IF(I181&lt;&gt;"",I181,"")</f>
        <v/>
      </c>
      <c r="U181" s="111" t="str">
        <f aca="false">IF(AND(T181&lt;&gt;"",S181&lt;&gt;""),IFERROR((T181-S181)/T181,""),"")</f>
        <v/>
      </c>
    </row>
    <row r="182" customFormat="false" ht="18.75" hidden="false" customHeight="true" outlineLevel="0" collapsed="false">
      <c r="A182" s="112"/>
      <c r="B182" s="112"/>
      <c r="C182" s="112"/>
      <c r="D182" s="112"/>
      <c r="E182" s="112"/>
      <c r="F182" s="112"/>
      <c r="G182" s="113" t="str">
        <f aca="false">IF(AND(E182&lt;&gt;"",F182&lt;&gt;""),E182*F182,"")</f>
        <v/>
      </c>
      <c r="H182" s="113" t="str">
        <f aca="false">IF(B182&lt;&gt;"",SUMIF(B:B,B182,G:G),"")</f>
        <v/>
      </c>
      <c r="I182" s="112"/>
      <c r="J182" s="114" t="str">
        <f aca="false">IF(AND(I182&lt;&gt;"",H182&lt;&gt;""),IFERROR((I182-H182)/I182,""),"")</f>
        <v/>
      </c>
      <c r="K182" s="3"/>
      <c r="L182" s="112"/>
      <c r="M182" s="112"/>
      <c r="N182" s="112"/>
      <c r="O182" s="112"/>
      <c r="P182" s="112"/>
      <c r="Q182" s="112"/>
      <c r="R182" s="113" t="str">
        <f aca="false">IF(AND(P182&lt;&gt;"",Q182&lt;&gt;""),P182*Q182,"")</f>
        <v/>
      </c>
      <c r="S182" s="113" t="str">
        <f aca="false">IF(M182&lt;&gt;"",SUMIF(M:M,M182,R:R),"")</f>
        <v/>
      </c>
      <c r="T182" s="113" t="str">
        <f aca="false">IF(I182&lt;&gt;"",I182,"")</f>
        <v/>
      </c>
      <c r="U182" s="114" t="str">
        <f aca="false">IF(AND(T182&lt;&gt;"",S182&lt;&gt;""),IFERROR((T182-S182)/T182,""),"")</f>
        <v/>
      </c>
    </row>
    <row r="183" customFormat="false" ht="18.75" hidden="false" customHeight="true" outlineLevel="0" collapsed="false">
      <c r="A183" s="109"/>
      <c r="B183" s="109"/>
      <c r="C183" s="109"/>
      <c r="D183" s="109"/>
      <c r="E183" s="109"/>
      <c r="F183" s="109"/>
      <c r="G183" s="110" t="str">
        <f aca="false">IF(AND(E183&lt;&gt;"",F183&lt;&gt;""),E183*F183,"")</f>
        <v/>
      </c>
      <c r="H183" s="110" t="str">
        <f aca="false">IF(B183&lt;&gt;"",SUMIF(B:B,B183,G:G),"")</f>
        <v/>
      </c>
      <c r="I183" s="109"/>
      <c r="J183" s="111" t="str">
        <f aca="false">IF(AND(I183&lt;&gt;"",H183&lt;&gt;""),IFERROR((I183-H183)/I183,""),"")</f>
        <v/>
      </c>
      <c r="K183" s="3"/>
      <c r="L183" s="109"/>
      <c r="M183" s="109"/>
      <c r="N183" s="109"/>
      <c r="O183" s="109"/>
      <c r="P183" s="109"/>
      <c r="Q183" s="109"/>
      <c r="R183" s="110" t="str">
        <f aca="false">IF(AND(P183&lt;&gt;"",Q183&lt;&gt;""),P183*Q183,"")</f>
        <v/>
      </c>
      <c r="S183" s="110" t="str">
        <f aca="false">IF(M183&lt;&gt;"",SUMIF(M:M,M183,R:R),"")</f>
        <v/>
      </c>
      <c r="T183" s="110" t="str">
        <f aca="false">IF(I183&lt;&gt;"",I183,"")</f>
        <v/>
      </c>
      <c r="U183" s="111" t="str">
        <f aca="false">IF(AND(T183&lt;&gt;"",S183&lt;&gt;""),IFERROR((T183-S183)/T183,""),"")</f>
        <v/>
      </c>
    </row>
    <row r="184" customFormat="false" ht="18.75" hidden="false" customHeight="true" outlineLevel="0" collapsed="false">
      <c r="A184" s="112"/>
      <c r="B184" s="112"/>
      <c r="C184" s="112"/>
      <c r="D184" s="112"/>
      <c r="E184" s="112"/>
      <c r="F184" s="112"/>
      <c r="G184" s="113" t="str">
        <f aca="false">IF(AND(E184&lt;&gt;"",F184&lt;&gt;""),E184*F184,"")</f>
        <v/>
      </c>
      <c r="H184" s="113" t="str">
        <f aca="false">IF(B184&lt;&gt;"",SUMIF(B:B,B184,G:G),"")</f>
        <v/>
      </c>
      <c r="I184" s="112"/>
      <c r="J184" s="114" t="str">
        <f aca="false">IF(AND(I184&lt;&gt;"",H184&lt;&gt;""),IFERROR((I184-H184)/I184,""),"")</f>
        <v/>
      </c>
      <c r="K184" s="3"/>
      <c r="L184" s="112"/>
      <c r="M184" s="112"/>
      <c r="N184" s="112"/>
      <c r="O184" s="112"/>
      <c r="P184" s="112"/>
      <c r="Q184" s="112"/>
      <c r="R184" s="113" t="str">
        <f aca="false">IF(AND(P184&lt;&gt;"",Q184&lt;&gt;""),P184*Q184,"")</f>
        <v/>
      </c>
      <c r="S184" s="113" t="str">
        <f aca="false">IF(M184&lt;&gt;"",SUMIF(M:M,M184,R:R),"")</f>
        <v/>
      </c>
      <c r="T184" s="113" t="str">
        <f aca="false">IF(I184&lt;&gt;"",I184,"")</f>
        <v/>
      </c>
      <c r="U184" s="114" t="str">
        <f aca="false">IF(AND(T184&lt;&gt;"",S184&lt;&gt;""),IFERROR((T184-S184)/T184,""),"")</f>
        <v/>
      </c>
    </row>
    <row r="185" customFormat="false" ht="18.75" hidden="false" customHeight="true" outlineLevel="0" collapsed="false">
      <c r="A185" s="109"/>
      <c r="B185" s="109"/>
      <c r="C185" s="109"/>
      <c r="D185" s="109"/>
      <c r="E185" s="109"/>
      <c r="F185" s="109"/>
      <c r="G185" s="110" t="str">
        <f aca="false">IF(AND(E185&lt;&gt;"",F185&lt;&gt;""),E185*F185,"")</f>
        <v/>
      </c>
      <c r="H185" s="110" t="str">
        <f aca="false">IF(B185&lt;&gt;"",SUMIF(B:B,B185,G:G),"")</f>
        <v/>
      </c>
      <c r="I185" s="109"/>
      <c r="J185" s="111" t="str">
        <f aca="false">IF(AND(I185&lt;&gt;"",H185&lt;&gt;""),IFERROR((I185-H185)/I185,""),"")</f>
        <v/>
      </c>
      <c r="K185" s="3"/>
      <c r="L185" s="109"/>
      <c r="M185" s="109"/>
      <c r="N185" s="109"/>
      <c r="O185" s="109"/>
      <c r="P185" s="109"/>
      <c r="Q185" s="109"/>
      <c r="R185" s="110" t="str">
        <f aca="false">IF(AND(P185&lt;&gt;"",Q185&lt;&gt;""),P185*Q185,"")</f>
        <v/>
      </c>
      <c r="S185" s="110" t="str">
        <f aca="false">IF(M185&lt;&gt;"",SUMIF(M:M,M185,R:R),"")</f>
        <v/>
      </c>
      <c r="T185" s="110" t="str">
        <f aca="false">IF(I185&lt;&gt;"",I185,"")</f>
        <v/>
      </c>
      <c r="U185" s="111" t="str">
        <f aca="false">IF(AND(T185&lt;&gt;"",S185&lt;&gt;""),IFERROR((T185-S185)/T185,""),"")</f>
        <v/>
      </c>
    </row>
    <row r="186" customFormat="false" ht="18.75" hidden="false" customHeight="true" outlineLevel="0" collapsed="false">
      <c r="A186" s="112"/>
      <c r="B186" s="112"/>
      <c r="C186" s="112"/>
      <c r="D186" s="112"/>
      <c r="E186" s="112"/>
      <c r="F186" s="112"/>
      <c r="G186" s="113" t="str">
        <f aca="false">IF(AND(E186&lt;&gt;"",F186&lt;&gt;""),E186*F186,"")</f>
        <v/>
      </c>
      <c r="H186" s="113" t="str">
        <f aca="false">IF(B186&lt;&gt;"",SUMIF(B:B,B186,G:G),"")</f>
        <v/>
      </c>
      <c r="I186" s="112"/>
      <c r="J186" s="114" t="str">
        <f aca="false">IF(AND(I186&lt;&gt;"",H186&lt;&gt;""),IFERROR((I186-H186)/I186,""),"")</f>
        <v/>
      </c>
      <c r="K186" s="3"/>
      <c r="L186" s="112"/>
      <c r="M186" s="112"/>
      <c r="N186" s="112"/>
      <c r="O186" s="112"/>
      <c r="P186" s="112"/>
      <c r="Q186" s="112"/>
      <c r="R186" s="113" t="str">
        <f aca="false">IF(AND(P186&lt;&gt;"",Q186&lt;&gt;""),P186*Q186,"")</f>
        <v/>
      </c>
      <c r="S186" s="113" t="str">
        <f aca="false">IF(M186&lt;&gt;"",SUMIF(M:M,M186,R:R),"")</f>
        <v/>
      </c>
      <c r="T186" s="113" t="str">
        <f aca="false">IF(I186&lt;&gt;"",I186,"")</f>
        <v/>
      </c>
      <c r="U186" s="114" t="str">
        <f aca="false">IF(AND(T186&lt;&gt;"",S186&lt;&gt;""),IFERROR((T186-S186)/T186,""),"")</f>
        <v/>
      </c>
    </row>
    <row r="187" customFormat="false" ht="18.75" hidden="false" customHeight="true" outlineLevel="0" collapsed="false">
      <c r="A187" s="109"/>
      <c r="B187" s="109"/>
      <c r="C187" s="109"/>
      <c r="D187" s="109"/>
      <c r="E187" s="109"/>
      <c r="F187" s="109"/>
      <c r="G187" s="110" t="str">
        <f aca="false">IF(AND(E187&lt;&gt;"",F187&lt;&gt;""),E187*F187,"")</f>
        <v/>
      </c>
      <c r="H187" s="110" t="str">
        <f aca="false">IF(B187&lt;&gt;"",SUMIF(B:B,B187,G:G),"")</f>
        <v/>
      </c>
      <c r="I187" s="109"/>
      <c r="J187" s="111" t="str">
        <f aca="false">IF(AND(I187&lt;&gt;"",H187&lt;&gt;""),IFERROR((I187-H187)/I187,""),"")</f>
        <v/>
      </c>
      <c r="K187" s="3"/>
      <c r="L187" s="109"/>
      <c r="M187" s="109"/>
      <c r="N187" s="109"/>
      <c r="O187" s="109"/>
      <c r="P187" s="109"/>
      <c r="Q187" s="109"/>
      <c r="R187" s="110" t="str">
        <f aca="false">IF(AND(P187&lt;&gt;"",Q187&lt;&gt;""),P187*Q187,"")</f>
        <v/>
      </c>
      <c r="S187" s="110" t="str">
        <f aca="false">IF(M187&lt;&gt;"",SUMIF(M:M,M187,R:R),"")</f>
        <v/>
      </c>
      <c r="T187" s="110" t="str">
        <f aca="false">IF(I187&lt;&gt;"",I187,"")</f>
        <v/>
      </c>
      <c r="U187" s="111" t="str">
        <f aca="false">IF(AND(T187&lt;&gt;"",S187&lt;&gt;""),IFERROR((T187-S187)/T187,""),"")</f>
        <v/>
      </c>
    </row>
    <row r="188" customFormat="false" ht="18.75" hidden="false" customHeight="true" outlineLevel="0" collapsed="false">
      <c r="A188" s="112"/>
      <c r="B188" s="112"/>
      <c r="C188" s="112"/>
      <c r="D188" s="112"/>
      <c r="E188" s="112"/>
      <c r="F188" s="112"/>
      <c r="G188" s="113" t="str">
        <f aca="false">IF(AND(E188&lt;&gt;"",F188&lt;&gt;""),E188*F188,"")</f>
        <v/>
      </c>
      <c r="H188" s="113" t="str">
        <f aca="false">IF(B188&lt;&gt;"",SUMIF(B:B,B188,G:G),"")</f>
        <v/>
      </c>
      <c r="I188" s="112"/>
      <c r="J188" s="114" t="str">
        <f aca="false">IF(AND(I188&lt;&gt;"",H188&lt;&gt;""),IFERROR((I188-H188)/I188,""),"")</f>
        <v/>
      </c>
      <c r="K188" s="3"/>
      <c r="L188" s="112"/>
      <c r="M188" s="112"/>
      <c r="N188" s="112"/>
      <c r="O188" s="112"/>
      <c r="P188" s="112"/>
      <c r="Q188" s="112"/>
      <c r="R188" s="113" t="str">
        <f aca="false">IF(AND(P188&lt;&gt;"",Q188&lt;&gt;""),P188*Q188,"")</f>
        <v/>
      </c>
      <c r="S188" s="113" t="str">
        <f aca="false">IF(M188&lt;&gt;"",SUMIF(M:M,M188,R:R),"")</f>
        <v/>
      </c>
      <c r="T188" s="113" t="str">
        <f aca="false">IF(I188&lt;&gt;"",I188,"")</f>
        <v/>
      </c>
      <c r="U188" s="114" t="str">
        <f aca="false">IF(AND(T188&lt;&gt;"",S188&lt;&gt;""),IFERROR((T188-S188)/T188,""),"")</f>
        <v/>
      </c>
    </row>
    <row r="189" customFormat="false" ht="18.75" hidden="false" customHeight="true" outlineLevel="0" collapsed="false">
      <c r="A189" s="109"/>
      <c r="B189" s="109"/>
      <c r="C189" s="109"/>
      <c r="D189" s="109"/>
      <c r="E189" s="109"/>
      <c r="F189" s="109"/>
      <c r="G189" s="110" t="str">
        <f aca="false">IF(AND(E189&lt;&gt;"",F189&lt;&gt;""),E189*F189,"")</f>
        <v/>
      </c>
      <c r="H189" s="110" t="str">
        <f aca="false">IF(B189&lt;&gt;"",SUMIF(B:B,B189,G:G),"")</f>
        <v/>
      </c>
      <c r="I189" s="109"/>
      <c r="J189" s="111" t="str">
        <f aca="false">IF(AND(I189&lt;&gt;"",H189&lt;&gt;""),IFERROR((I189-H189)/I189,""),"")</f>
        <v/>
      </c>
      <c r="K189" s="3"/>
      <c r="L189" s="109"/>
      <c r="M189" s="109"/>
      <c r="N189" s="109"/>
      <c r="O189" s="109"/>
      <c r="P189" s="109"/>
      <c r="Q189" s="109"/>
      <c r="R189" s="110" t="str">
        <f aca="false">IF(AND(P189&lt;&gt;"",Q189&lt;&gt;""),P189*Q189,"")</f>
        <v/>
      </c>
      <c r="S189" s="110" t="str">
        <f aca="false">IF(M189&lt;&gt;"",SUMIF(M:M,M189,R:R),"")</f>
        <v/>
      </c>
      <c r="T189" s="110" t="str">
        <f aca="false">IF(I189&lt;&gt;"",I189,"")</f>
        <v/>
      </c>
      <c r="U189" s="111" t="str">
        <f aca="false">IF(AND(T189&lt;&gt;"",S189&lt;&gt;""),IFERROR((T189-S189)/T189,""),"")</f>
        <v/>
      </c>
    </row>
    <row r="190" customFormat="false" ht="18.75" hidden="false" customHeight="true" outlineLevel="0" collapsed="false">
      <c r="A190" s="112"/>
      <c r="B190" s="112"/>
      <c r="C190" s="112"/>
      <c r="D190" s="112"/>
      <c r="E190" s="112"/>
      <c r="F190" s="112"/>
      <c r="G190" s="113" t="str">
        <f aca="false">IF(AND(E190&lt;&gt;"",F190&lt;&gt;""),E190*F190,"")</f>
        <v/>
      </c>
      <c r="H190" s="113" t="str">
        <f aca="false">IF(B190&lt;&gt;"",SUMIF(B:B,B190,G:G),"")</f>
        <v/>
      </c>
      <c r="I190" s="112"/>
      <c r="J190" s="114" t="str">
        <f aca="false">IF(AND(I190&lt;&gt;"",H190&lt;&gt;""),IFERROR((I190-H190)/I190,""),"")</f>
        <v/>
      </c>
      <c r="K190" s="3"/>
      <c r="L190" s="112"/>
      <c r="M190" s="112"/>
      <c r="N190" s="112"/>
      <c r="O190" s="112"/>
      <c r="P190" s="112"/>
      <c r="Q190" s="112"/>
      <c r="R190" s="113" t="str">
        <f aca="false">IF(AND(P190&lt;&gt;"",Q190&lt;&gt;""),P190*Q190,"")</f>
        <v/>
      </c>
      <c r="S190" s="113" t="str">
        <f aca="false">IF(M190&lt;&gt;"",SUMIF(M:M,M190,R:R),"")</f>
        <v/>
      </c>
      <c r="T190" s="113" t="str">
        <f aca="false">IF(I190&lt;&gt;"",I190,"")</f>
        <v/>
      </c>
      <c r="U190" s="114" t="str">
        <f aca="false">IF(AND(T190&lt;&gt;"",S190&lt;&gt;""),IFERROR((T190-S190)/T190,""),"")</f>
        <v/>
      </c>
    </row>
    <row r="191" customFormat="false" ht="18.75" hidden="false" customHeight="true" outlineLevel="0" collapsed="false">
      <c r="A191" s="109"/>
      <c r="B191" s="109"/>
      <c r="C191" s="109"/>
      <c r="D191" s="109"/>
      <c r="E191" s="109"/>
      <c r="F191" s="109"/>
      <c r="G191" s="110" t="str">
        <f aca="false">IF(AND(E191&lt;&gt;"",F191&lt;&gt;""),E191*F191,"")</f>
        <v/>
      </c>
      <c r="H191" s="110" t="str">
        <f aca="false">IF(B191&lt;&gt;"",SUMIF(B:B,B191,G:G),"")</f>
        <v/>
      </c>
      <c r="I191" s="109"/>
      <c r="J191" s="111" t="str">
        <f aca="false">IF(AND(I191&lt;&gt;"",H191&lt;&gt;""),IFERROR((I191-H191)/I191,""),"")</f>
        <v/>
      </c>
      <c r="K191" s="3"/>
      <c r="L191" s="109"/>
      <c r="M191" s="109"/>
      <c r="N191" s="109"/>
      <c r="O191" s="109"/>
      <c r="P191" s="109"/>
      <c r="Q191" s="109"/>
      <c r="R191" s="110" t="str">
        <f aca="false">IF(AND(P191&lt;&gt;"",Q191&lt;&gt;""),P191*Q191,"")</f>
        <v/>
      </c>
      <c r="S191" s="110" t="str">
        <f aca="false">IF(M191&lt;&gt;"",SUMIF(M:M,M191,R:R),"")</f>
        <v/>
      </c>
      <c r="T191" s="110" t="str">
        <f aca="false">IF(I191&lt;&gt;"",I191,"")</f>
        <v/>
      </c>
      <c r="U191" s="111" t="str">
        <f aca="false">IF(AND(T191&lt;&gt;"",S191&lt;&gt;""),IFERROR((T191-S191)/T191,""),"")</f>
        <v/>
      </c>
    </row>
    <row r="192" customFormat="false" ht="18.75" hidden="false" customHeight="true" outlineLevel="0" collapsed="false">
      <c r="A192" s="112"/>
      <c r="B192" s="112"/>
      <c r="C192" s="112"/>
      <c r="D192" s="112"/>
      <c r="E192" s="112"/>
      <c r="F192" s="112"/>
      <c r="G192" s="113" t="str">
        <f aca="false">IF(AND(E192&lt;&gt;"",F192&lt;&gt;""),E192*F192,"")</f>
        <v/>
      </c>
      <c r="H192" s="113" t="str">
        <f aca="false">IF(B192&lt;&gt;"",SUMIF(B:B,B192,G:G),"")</f>
        <v/>
      </c>
      <c r="I192" s="112"/>
      <c r="J192" s="114" t="str">
        <f aca="false">IF(AND(I192&lt;&gt;"",H192&lt;&gt;""),IFERROR((I192-H192)/I192,""),"")</f>
        <v/>
      </c>
      <c r="K192" s="3"/>
      <c r="L192" s="112"/>
      <c r="M192" s="112"/>
      <c r="N192" s="112"/>
      <c r="O192" s="112"/>
      <c r="P192" s="112"/>
      <c r="Q192" s="112"/>
      <c r="R192" s="113" t="str">
        <f aca="false">IF(AND(P192&lt;&gt;"",Q192&lt;&gt;""),P192*Q192,"")</f>
        <v/>
      </c>
      <c r="S192" s="113" t="str">
        <f aca="false">IF(M192&lt;&gt;"",SUMIF(M:M,M192,R:R),"")</f>
        <v/>
      </c>
      <c r="T192" s="113" t="str">
        <f aca="false">IF(I192&lt;&gt;"",I192,"")</f>
        <v/>
      </c>
      <c r="U192" s="114" t="str">
        <f aca="false">IF(AND(T192&lt;&gt;"",S192&lt;&gt;""),IFERROR((T192-S192)/T192,""),"")</f>
        <v/>
      </c>
    </row>
    <row r="193" customFormat="false" ht="18.75" hidden="false" customHeight="true" outlineLevel="0" collapsed="false">
      <c r="A193" s="109"/>
      <c r="B193" s="109"/>
      <c r="C193" s="109"/>
      <c r="D193" s="109"/>
      <c r="E193" s="109"/>
      <c r="F193" s="109"/>
      <c r="G193" s="110" t="str">
        <f aca="false">IF(AND(E193&lt;&gt;"",F193&lt;&gt;""),E193*F193,"")</f>
        <v/>
      </c>
      <c r="H193" s="110" t="str">
        <f aca="false">IF(B193&lt;&gt;"",SUMIF(B:B,B193,G:G),"")</f>
        <v/>
      </c>
      <c r="I193" s="109"/>
      <c r="J193" s="111" t="str">
        <f aca="false">IF(AND(I193&lt;&gt;"",H193&lt;&gt;""),IFERROR((I193-H193)/I193,""),"")</f>
        <v/>
      </c>
      <c r="K193" s="3"/>
      <c r="L193" s="109"/>
      <c r="M193" s="109"/>
      <c r="N193" s="109"/>
      <c r="O193" s="109"/>
      <c r="P193" s="109"/>
      <c r="Q193" s="109"/>
      <c r="R193" s="110" t="str">
        <f aca="false">IF(AND(P193&lt;&gt;"",Q193&lt;&gt;""),P193*Q193,"")</f>
        <v/>
      </c>
      <c r="S193" s="110" t="str">
        <f aca="false">IF(M193&lt;&gt;"",SUMIF(M:M,M193,R:R),"")</f>
        <v/>
      </c>
      <c r="T193" s="110" t="str">
        <f aca="false">IF(I193&lt;&gt;"",I193,"")</f>
        <v/>
      </c>
      <c r="U193" s="111" t="str">
        <f aca="false">IF(AND(T193&lt;&gt;"",S193&lt;&gt;""),IFERROR((T193-S193)/T193,""),"")</f>
        <v/>
      </c>
    </row>
    <row r="194" customFormat="false" ht="18.75" hidden="false" customHeight="true" outlineLevel="0" collapsed="false">
      <c r="A194" s="112"/>
      <c r="B194" s="112"/>
      <c r="C194" s="112"/>
      <c r="D194" s="112"/>
      <c r="E194" s="112"/>
      <c r="F194" s="112"/>
      <c r="G194" s="113" t="str">
        <f aca="false">IF(AND(E194&lt;&gt;"",F194&lt;&gt;""),E194*F194,"")</f>
        <v/>
      </c>
      <c r="H194" s="113" t="str">
        <f aca="false">IF(B194&lt;&gt;"",SUMIF(B:B,B194,G:G),"")</f>
        <v/>
      </c>
      <c r="I194" s="112"/>
      <c r="J194" s="114" t="str">
        <f aca="false">IF(AND(I194&lt;&gt;"",H194&lt;&gt;""),IFERROR((I194-H194)/I194,""),"")</f>
        <v/>
      </c>
      <c r="K194" s="3"/>
      <c r="L194" s="112"/>
      <c r="M194" s="112"/>
      <c r="N194" s="112"/>
      <c r="O194" s="112"/>
      <c r="P194" s="112"/>
      <c r="Q194" s="112"/>
      <c r="R194" s="113" t="str">
        <f aca="false">IF(AND(P194&lt;&gt;"",Q194&lt;&gt;""),P194*Q194,"")</f>
        <v/>
      </c>
      <c r="S194" s="113" t="str">
        <f aca="false">IF(M194&lt;&gt;"",SUMIF(M:M,M194,R:R),"")</f>
        <v/>
      </c>
      <c r="T194" s="113" t="str">
        <f aca="false">IF(I194&lt;&gt;"",I194,"")</f>
        <v/>
      </c>
      <c r="U194" s="114" t="str">
        <f aca="false">IF(AND(T194&lt;&gt;"",S194&lt;&gt;""),IFERROR((T194-S194)/T194,""),"")</f>
        <v/>
      </c>
    </row>
    <row r="195" customFormat="false" ht="18.75" hidden="false" customHeight="true" outlineLevel="0" collapsed="false">
      <c r="A195" s="109"/>
      <c r="B195" s="109"/>
      <c r="C195" s="109"/>
      <c r="D195" s="109"/>
      <c r="E195" s="109"/>
      <c r="F195" s="109"/>
      <c r="G195" s="110" t="str">
        <f aca="false">IF(AND(E195&lt;&gt;"",F195&lt;&gt;""),E195*F195,"")</f>
        <v/>
      </c>
      <c r="H195" s="110" t="str">
        <f aca="false">IF(B195&lt;&gt;"",SUMIF(B:B,B195,G:G),"")</f>
        <v/>
      </c>
      <c r="I195" s="109"/>
      <c r="J195" s="111" t="str">
        <f aca="false">IF(AND(I195&lt;&gt;"",H195&lt;&gt;""),IFERROR((I195-H195)/I195,""),"")</f>
        <v/>
      </c>
      <c r="K195" s="3"/>
      <c r="L195" s="109"/>
      <c r="M195" s="109"/>
      <c r="N195" s="109"/>
      <c r="O195" s="109"/>
      <c r="P195" s="109"/>
      <c r="Q195" s="109"/>
      <c r="R195" s="110" t="str">
        <f aca="false">IF(AND(P195&lt;&gt;"",Q195&lt;&gt;""),P195*Q195,"")</f>
        <v/>
      </c>
      <c r="S195" s="110" t="str">
        <f aca="false">IF(M195&lt;&gt;"",SUMIF(M:M,M195,R:R),"")</f>
        <v/>
      </c>
      <c r="T195" s="110" t="str">
        <f aca="false">IF(I195&lt;&gt;"",I195,"")</f>
        <v/>
      </c>
      <c r="U195" s="111" t="str">
        <f aca="false">IF(AND(T195&lt;&gt;"",S195&lt;&gt;""),IFERROR((T195-S195)/T195,""),"")</f>
        <v/>
      </c>
    </row>
    <row r="196" customFormat="false" ht="18.75" hidden="false" customHeight="true" outlineLevel="0" collapsed="false">
      <c r="A196" s="112"/>
      <c r="B196" s="112"/>
      <c r="C196" s="112"/>
      <c r="D196" s="112"/>
      <c r="E196" s="112"/>
      <c r="F196" s="112"/>
      <c r="G196" s="113" t="str">
        <f aca="false">IF(AND(E196&lt;&gt;"",F196&lt;&gt;""),E196*F196,"")</f>
        <v/>
      </c>
      <c r="H196" s="113" t="str">
        <f aca="false">IF(B196&lt;&gt;"",SUMIF(B:B,B196,G:G),"")</f>
        <v/>
      </c>
      <c r="I196" s="112"/>
      <c r="J196" s="114" t="str">
        <f aca="false">IF(AND(I196&lt;&gt;"",H196&lt;&gt;""),IFERROR((I196-H196)/I196,""),"")</f>
        <v/>
      </c>
      <c r="K196" s="3"/>
      <c r="L196" s="112"/>
      <c r="M196" s="112"/>
      <c r="N196" s="112"/>
      <c r="O196" s="112"/>
      <c r="P196" s="112"/>
      <c r="Q196" s="112"/>
      <c r="R196" s="113" t="str">
        <f aca="false">IF(AND(P196&lt;&gt;"",Q196&lt;&gt;""),P196*Q196,"")</f>
        <v/>
      </c>
      <c r="S196" s="113" t="str">
        <f aca="false">IF(M196&lt;&gt;"",SUMIF(M:M,M196,R:R),"")</f>
        <v/>
      </c>
      <c r="T196" s="113" t="str">
        <f aca="false">IF(I196&lt;&gt;"",I196,"")</f>
        <v/>
      </c>
      <c r="U196" s="114" t="str">
        <f aca="false">IF(AND(T196&lt;&gt;"",S196&lt;&gt;""),IFERROR((T196-S196)/T196,""),"")</f>
        <v/>
      </c>
    </row>
    <row r="197" customFormat="false" ht="18.75" hidden="false" customHeight="true" outlineLevel="0" collapsed="false">
      <c r="A197" s="109"/>
      <c r="B197" s="109"/>
      <c r="C197" s="109"/>
      <c r="D197" s="109"/>
      <c r="E197" s="109"/>
      <c r="F197" s="109"/>
      <c r="G197" s="110" t="str">
        <f aca="false">IF(AND(E197&lt;&gt;"",F197&lt;&gt;""),E197*F197,"")</f>
        <v/>
      </c>
      <c r="H197" s="110" t="str">
        <f aca="false">IF(B197&lt;&gt;"",SUMIF(B:B,B197,G:G),"")</f>
        <v/>
      </c>
      <c r="I197" s="109"/>
      <c r="J197" s="111" t="str">
        <f aca="false">IF(AND(I197&lt;&gt;"",H197&lt;&gt;""),IFERROR((I197-H197)/I197,""),"")</f>
        <v/>
      </c>
      <c r="K197" s="3"/>
      <c r="L197" s="109"/>
      <c r="M197" s="109"/>
      <c r="N197" s="109"/>
      <c r="O197" s="109"/>
      <c r="P197" s="109"/>
      <c r="Q197" s="109"/>
      <c r="R197" s="110" t="str">
        <f aca="false">IF(AND(P197&lt;&gt;"",Q197&lt;&gt;""),P197*Q197,"")</f>
        <v/>
      </c>
      <c r="S197" s="110" t="str">
        <f aca="false">IF(M197&lt;&gt;"",SUMIF(M:M,M197,R:R),"")</f>
        <v/>
      </c>
      <c r="T197" s="110" t="str">
        <f aca="false">IF(I197&lt;&gt;"",I197,"")</f>
        <v/>
      </c>
      <c r="U197" s="111" t="str">
        <f aca="false">IF(AND(T197&lt;&gt;"",S197&lt;&gt;""),IFERROR((T197-S197)/T197,""),"")</f>
        <v/>
      </c>
    </row>
    <row r="198" customFormat="false" ht="18.75" hidden="false" customHeight="true" outlineLevel="0" collapsed="false">
      <c r="A198" s="112"/>
      <c r="B198" s="112"/>
      <c r="C198" s="112"/>
      <c r="D198" s="112"/>
      <c r="E198" s="112"/>
      <c r="F198" s="112"/>
      <c r="G198" s="113" t="str">
        <f aca="false">IF(AND(E198&lt;&gt;"",F198&lt;&gt;""),E198*F198,"")</f>
        <v/>
      </c>
      <c r="H198" s="113" t="str">
        <f aca="false">IF(B198&lt;&gt;"",SUMIF(B:B,B198,G:G),"")</f>
        <v/>
      </c>
      <c r="I198" s="112"/>
      <c r="J198" s="114" t="str">
        <f aca="false">IF(AND(I198&lt;&gt;"",H198&lt;&gt;""),IFERROR((I198-H198)/I198,""),"")</f>
        <v/>
      </c>
      <c r="K198" s="3"/>
      <c r="L198" s="112"/>
      <c r="M198" s="112"/>
      <c r="N198" s="112"/>
      <c r="O198" s="112"/>
      <c r="P198" s="112"/>
      <c r="Q198" s="112"/>
      <c r="R198" s="113" t="str">
        <f aca="false">IF(AND(P198&lt;&gt;"",Q198&lt;&gt;""),P198*Q198,"")</f>
        <v/>
      </c>
      <c r="S198" s="113" t="str">
        <f aca="false">IF(M198&lt;&gt;"",SUMIF(M:M,M198,R:R),"")</f>
        <v/>
      </c>
      <c r="T198" s="113" t="str">
        <f aca="false">IF(I198&lt;&gt;"",I198,"")</f>
        <v/>
      </c>
      <c r="U198" s="114" t="str">
        <f aca="false">IF(AND(T198&lt;&gt;"",S198&lt;&gt;""),IFERROR((T198-S198)/T198,""),"")</f>
        <v/>
      </c>
    </row>
    <row r="199" customFormat="false" ht="18.75" hidden="false" customHeight="true" outlineLevel="0" collapsed="false">
      <c r="A199" s="109"/>
      <c r="B199" s="109"/>
      <c r="C199" s="109"/>
      <c r="D199" s="109"/>
      <c r="E199" s="109"/>
      <c r="F199" s="109"/>
      <c r="G199" s="110" t="str">
        <f aca="false">IF(AND(E199&lt;&gt;"",F199&lt;&gt;""),E199*F199,"")</f>
        <v/>
      </c>
      <c r="H199" s="110" t="str">
        <f aca="false">IF(B199&lt;&gt;"",SUMIF(B:B,B199,G:G),"")</f>
        <v/>
      </c>
      <c r="I199" s="109"/>
      <c r="J199" s="111" t="str">
        <f aca="false">IF(AND(I199&lt;&gt;"",H199&lt;&gt;""),IFERROR((I199-H199)/I199,""),"")</f>
        <v/>
      </c>
      <c r="K199" s="3"/>
      <c r="L199" s="109"/>
      <c r="M199" s="109"/>
      <c r="N199" s="109"/>
      <c r="O199" s="109"/>
      <c r="P199" s="109"/>
      <c r="Q199" s="109"/>
      <c r="R199" s="110" t="str">
        <f aca="false">IF(AND(P199&lt;&gt;"",Q199&lt;&gt;""),P199*Q199,"")</f>
        <v/>
      </c>
      <c r="S199" s="110" t="str">
        <f aca="false">IF(M199&lt;&gt;"",SUMIF(M:M,M199,R:R),"")</f>
        <v/>
      </c>
      <c r="T199" s="110" t="str">
        <f aca="false">IF(I199&lt;&gt;"",I199,"")</f>
        <v/>
      </c>
      <c r="U199" s="111" t="str">
        <f aca="false">IF(AND(T199&lt;&gt;"",S199&lt;&gt;""),IFERROR((T199-S199)/T199,""),"")</f>
        <v/>
      </c>
    </row>
    <row r="200" customFormat="false" ht="18.75" hidden="false" customHeight="true" outlineLevel="0" collapsed="false">
      <c r="A200" s="112"/>
      <c r="B200" s="112"/>
      <c r="C200" s="112"/>
      <c r="D200" s="112"/>
      <c r="E200" s="112"/>
      <c r="F200" s="112"/>
      <c r="G200" s="113" t="str">
        <f aca="false">IF(AND(E200&lt;&gt;"",F200&lt;&gt;""),E200*F200,"")</f>
        <v/>
      </c>
      <c r="H200" s="113" t="str">
        <f aca="false">IF(B200&lt;&gt;"",SUMIF(B:B,B200,G:G),"")</f>
        <v/>
      </c>
      <c r="I200" s="112"/>
      <c r="J200" s="114" t="str">
        <f aca="false">IF(AND(I200&lt;&gt;"",H200&lt;&gt;""),IFERROR((I200-H200)/I200,""),"")</f>
        <v/>
      </c>
      <c r="K200" s="3"/>
      <c r="L200" s="112"/>
      <c r="M200" s="112"/>
      <c r="N200" s="112"/>
      <c r="O200" s="112"/>
      <c r="P200" s="112"/>
      <c r="Q200" s="112"/>
      <c r="R200" s="113" t="str">
        <f aca="false">IF(AND(P200&lt;&gt;"",Q200&lt;&gt;""),P200*Q200,"")</f>
        <v/>
      </c>
      <c r="S200" s="113" t="str">
        <f aca="false">IF(M200&lt;&gt;"",SUMIF(M:M,M200,R:R),"")</f>
        <v/>
      </c>
      <c r="T200" s="113" t="str">
        <f aca="false">IF(I200&lt;&gt;"",I200,"")</f>
        <v/>
      </c>
      <c r="U200" s="114" t="str">
        <f aca="false">IF(AND(T200&lt;&gt;"",S200&lt;&gt;""),IFERROR((T200-S200)/T200,""),"")</f>
        <v/>
      </c>
    </row>
    <row r="201" customFormat="false" ht="18.75" hidden="false" customHeight="true" outlineLevel="0" collapsed="false">
      <c r="A201" s="109"/>
      <c r="B201" s="109"/>
      <c r="C201" s="109"/>
      <c r="D201" s="109"/>
      <c r="E201" s="109"/>
      <c r="F201" s="109"/>
      <c r="G201" s="110" t="str">
        <f aca="false">IF(AND(E201&lt;&gt;"",F201&lt;&gt;""),E201*F201,"")</f>
        <v/>
      </c>
      <c r="H201" s="110" t="str">
        <f aca="false">IF(B201&lt;&gt;"",SUMIF(B:B,B201,G:G),"")</f>
        <v/>
      </c>
      <c r="I201" s="109"/>
      <c r="J201" s="111" t="str">
        <f aca="false">IF(AND(I201&lt;&gt;"",H201&lt;&gt;""),IFERROR((I201-H201)/I201,""),"")</f>
        <v/>
      </c>
      <c r="K201" s="3"/>
      <c r="L201" s="109"/>
      <c r="M201" s="109"/>
      <c r="N201" s="109"/>
      <c r="O201" s="109"/>
      <c r="P201" s="109"/>
      <c r="Q201" s="109"/>
      <c r="R201" s="110" t="str">
        <f aca="false">IF(AND(P201&lt;&gt;"",Q201&lt;&gt;""),P201*Q201,"")</f>
        <v/>
      </c>
      <c r="S201" s="110" t="str">
        <f aca="false">IF(M201&lt;&gt;"",SUMIF(M:M,M201,R:R),"")</f>
        <v/>
      </c>
      <c r="T201" s="110" t="str">
        <f aca="false">IF(I201&lt;&gt;"",I201,"")</f>
        <v/>
      </c>
      <c r="U201" s="111" t="str">
        <f aca="false">IF(AND(T201&lt;&gt;"",S201&lt;&gt;""),IFERROR((T201-S201)/T201,""),"")</f>
        <v/>
      </c>
    </row>
    <row r="202" customFormat="false" ht="18.75" hidden="false" customHeight="true" outlineLevel="0" collapsed="false">
      <c r="A202" s="112"/>
      <c r="B202" s="112"/>
      <c r="C202" s="112"/>
      <c r="D202" s="112"/>
      <c r="E202" s="112"/>
      <c r="F202" s="112"/>
      <c r="G202" s="113" t="str">
        <f aca="false">IF(AND(E202&lt;&gt;"",F202&lt;&gt;""),E202*F202,"")</f>
        <v/>
      </c>
      <c r="H202" s="113" t="str">
        <f aca="false">IF(B202&lt;&gt;"",SUMIF(B:B,B202,G:G),"")</f>
        <v/>
      </c>
      <c r="I202" s="112"/>
      <c r="J202" s="114" t="str">
        <f aca="false">IF(AND(I202&lt;&gt;"",H202&lt;&gt;""),IFERROR((I202-H202)/I202,""),"")</f>
        <v/>
      </c>
      <c r="K202" s="3"/>
      <c r="L202" s="112"/>
      <c r="M202" s="112"/>
      <c r="N202" s="112"/>
      <c r="O202" s="112"/>
      <c r="P202" s="112"/>
      <c r="Q202" s="112"/>
      <c r="R202" s="113" t="str">
        <f aca="false">IF(AND(P202&lt;&gt;"",Q202&lt;&gt;""),P202*Q202,"")</f>
        <v/>
      </c>
      <c r="S202" s="113" t="str">
        <f aca="false">IF(M202&lt;&gt;"",SUMIF(M:M,M202,R:R),"")</f>
        <v/>
      </c>
      <c r="T202" s="113" t="str">
        <f aca="false">IF(I202&lt;&gt;"",I202,"")</f>
        <v/>
      </c>
      <c r="U202" s="114" t="str">
        <f aca="false">IF(AND(T202&lt;&gt;"",S202&lt;&gt;""),IFERROR((T202-S202)/T202,""),"")</f>
        <v/>
      </c>
    </row>
    <row r="203" customFormat="false" ht="18.75" hidden="false" customHeight="true" outlineLevel="0" collapsed="false">
      <c r="A203" s="109"/>
      <c r="B203" s="109"/>
      <c r="C203" s="109"/>
      <c r="D203" s="109"/>
      <c r="E203" s="109"/>
      <c r="F203" s="109"/>
      <c r="G203" s="110" t="str">
        <f aca="false">IF(AND(E203&lt;&gt;"",F203&lt;&gt;""),E203*F203,"")</f>
        <v/>
      </c>
      <c r="H203" s="110" t="str">
        <f aca="false">IF(B203&lt;&gt;"",SUMIF(B:B,B203,G:G),"")</f>
        <v/>
      </c>
      <c r="I203" s="109"/>
      <c r="J203" s="111" t="str">
        <f aca="false">IF(AND(I203&lt;&gt;"",H203&lt;&gt;""),IFERROR((I203-H203)/I203,""),"")</f>
        <v/>
      </c>
      <c r="K203" s="3"/>
      <c r="L203" s="109"/>
      <c r="M203" s="109"/>
      <c r="N203" s="109"/>
      <c r="O203" s="109"/>
      <c r="P203" s="109"/>
      <c r="Q203" s="109"/>
      <c r="R203" s="110" t="str">
        <f aca="false">IF(AND(P203&lt;&gt;"",Q203&lt;&gt;""),P203*Q203,"")</f>
        <v/>
      </c>
      <c r="S203" s="110" t="str">
        <f aca="false">IF(M203&lt;&gt;"",SUMIF(M:M,M203,R:R),"")</f>
        <v/>
      </c>
      <c r="T203" s="110" t="str">
        <f aca="false">IF(I203&lt;&gt;"",I203,"")</f>
        <v/>
      </c>
      <c r="U203" s="111" t="str">
        <f aca="false">IF(AND(T203&lt;&gt;"",S203&lt;&gt;""),IFERROR((T203-S203)/T203,""),"")</f>
        <v/>
      </c>
    </row>
    <row r="204" customFormat="false" ht="18.75" hidden="false" customHeight="true" outlineLevel="0" collapsed="false">
      <c r="A204" s="112"/>
      <c r="B204" s="112"/>
      <c r="C204" s="112"/>
      <c r="D204" s="112"/>
      <c r="E204" s="112"/>
      <c r="F204" s="112"/>
      <c r="G204" s="113" t="str">
        <f aca="false">IF(AND(E204&lt;&gt;"",F204&lt;&gt;""),E204*F204,"")</f>
        <v/>
      </c>
      <c r="H204" s="113" t="str">
        <f aca="false">IF(B204&lt;&gt;"",SUMIF(B:B,B204,G:G),"")</f>
        <v/>
      </c>
      <c r="I204" s="112"/>
      <c r="J204" s="114" t="str">
        <f aca="false">IF(AND(I204&lt;&gt;"",H204&lt;&gt;""),IFERROR((I204-H204)/I204,""),"")</f>
        <v/>
      </c>
      <c r="K204" s="3"/>
      <c r="L204" s="112"/>
      <c r="M204" s="112"/>
      <c r="N204" s="112"/>
      <c r="O204" s="112"/>
      <c r="P204" s="112"/>
      <c r="Q204" s="112"/>
      <c r="R204" s="113" t="str">
        <f aca="false">IF(AND(P204&lt;&gt;"",Q204&lt;&gt;""),P204*Q204,"")</f>
        <v/>
      </c>
      <c r="S204" s="113" t="str">
        <f aca="false">IF(M204&lt;&gt;"",SUMIF(M:M,M204,R:R),"")</f>
        <v/>
      </c>
      <c r="T204" s="113" t="str">
        <f aca="false">IF(I204&lt;&gt;"",I204,"")</f>
        <v/>
      </c>
      <c r="U204" s="114" t="str">
        <f aca="false">IF(AND(T204&lt;&gt;"",S204&lt;&gt;""),IFERROR((T204-S204)/T204,""),"")</f>
        <v/>
      </c>
    </row>
    <row r="205" customFormat="false" ht="18.75" hidden="false" customHeight="true" outlineLevel="0" collapsed="false">
      <c r="A205" s="109"/>
      <c r="B205" s="109"/>
      <c r="C205" s="109"/>
      <c r="D205" s="109"/>
      <c r="E205" s="109"/>
      <c r="F205" s="109"/>
      <c r="G205" s="110" t="str">
        <f aca="false">IF(AND(E205&lt;&gt;"",F205&lt;&gt;""),E205*F205,"")</f>
        <v/>
      </c>
      <c r="H205" s="110" t="str">
        <f aca="false">IF(B205&lt;&gt;"",SUMIF(B:B,B205,G:G),"")</f>
        <v/>
      </c>
      <c r="I205" s="109"/>
      <c r="J205" s="111" t="str">
        <f aca="false">IF(AND(I205&lt;&gt;"",H205&lt;&gt;""),IFERROR((I205-H205)/I205,""),"")</f>
        <v/>
      </c>
      <c r="K205" s="3"/>
      <c r="L205" s="109"/>
      <c r="M205" s="109"/>
      <c r="N205" s="109"/>
      <c r="O205" s="109"/>
      <c r="P205" s="109"/>
      <c r="Q205" s="109"/>
      <c r="R205" s="110" t="str">
        <f aca="false">IF(AND(P205&lt;&gt;"",Q205&lt;&gt;""),P205*Q205,"")</f>
        <v/>
      </c>
      <c r="S205" s="110" t="str">
        <f aca="false">IF(M205&lt;&gt;"",SUMIF(M:M,M205,R:R),"")</f>
        <v/>
      </c>
      <c r="T205" s="110" t="str">
        <f aca="false">IF(I205&lt;&gt;"",I205,"")</f>
        <v/>
      </c>
      <c r="U205" s="111" t="str">
        <f aca="false">IF(AND(T205&lt;&gt;"",S205&lt;&gt;""),IFERROR((T205-S205)/T205,""),"")</f>
        <v/>
      </c>
    </row>
    <row r="206" customFormat="false" ht="18.75" hidden="false" customHeight="true" outlineLevel="0" collapsed="false">
      <c r="A206" s="112"/>
      <c r="B206" s="112"/>
      <c r="C206" s="112"/>
      <c r="D206" s="112"/>
      <c r="E206" s="112"/>
      <c r="F206" s="112"/>
      <c r="G206" s="113" t="str">
        <f aca="false">IF(AND(E206&lt;&gt;"",F206&lt;&gt;""),E206*F206,"")</f>
        <v/>
      </c>
      <c r="H206" s="113" t="str">
        <f aca="false">IF(B206&lt;&gt;"",SUMIF(B:B,B206,G:G),"")</f>
        <v/>
      </c>
      <c r="I206" s="112"/>
      <c r="J206" s="114" t="str">
        <f aca="false">IF(AND(I206&lt;&gt;"",H206&lt;&gt;""),IFERROR((I206-H206)/I206,""),"")</f>
        <v/>
      </c>
      <c r="K206" s="3"/>
      <c r="L206" s="112"/>
      <c r="M206" s="112"/>
      <c r="N206" s="112"/>
      <c r="O206" s="112"/>
      <c r="P206" s="112"/>
      <c r="Q206" s="112"/>
      <c r="R206" s="113" t="str">
        <f aca="false">IF(AND(P206&lt;&gt;"",Q206&lt;&gt;""),P206*Q206,"")</f>
        <v/>
      </c>
      <c r="S206" s="113" t="str">
        <f aca="false">IF(M206&lt;&gt;"",SUMIF(M:M,M206,R:R),"")</f>
        <v/>
      </c>
      <c r="T206" s="113" t="str">
        <f aca="false">IF(I206&lt;&gt;"",I206,"")</f>
        <v/>
      </c>
      <c r="U206" s="114" t="str">
        <f aca="false">IF(AND(T206&lt;&gt;"",S206&lt;&gt;""),IFERROR((T206-S206)/T206,""),"")</f>
        <v/>
      </c>
    </row>
    <row r="207" customFormat="false" ht="18.75" hidden="false" customHeight="true" outlineLevel="0" collapsed="false">
      <c r="A207" s="109"/>
      <c r="B207" s="109"/>
      <c r="C207" s="109"/>
      <c r="D207" s="109"/>
      <c r="E207" s="109"/>
      <c r="F207" s="109"/>
      <c r="G207" s="110" t="str">
        <f aca="false">IF(AND(E207&lt;&gt;"",F207&lt;&gt;""),E207*F207,"")</f>
        <v/>
      </c>
      <c r="H207" s="110" t="str">
        <f aca="false">IF(B207&lt;&gt;"",SUMIF(B:B,B207,G:G),"")</f>
        <v/>
      </c>
      <c r="I207" s="109"/>
      <c r="J207" s="111" t="str">
        <f aca="false">IF(AND(I207&lt;&gt;"",H207&lt;&gt;""),IFERROR((I207-H207)/I207,""),"")</f>
        <v/>
      </c>
      <c r="K207" s="3"/>
      <c r="L207" s="109"/>
      <c r="M207" s="109"/>
      <c r="N207" s="109"/>
      <c r="O207" s="109"/>
      <c r="P207" s="109"/>
      <c r="Q207" s="109"/>
      <c r="R207" s="110" t="str">
        <f aca="false">IF(AND(P207&lt;&gt;"",Q207&lt;&gt;""),P207*Q207,"")</f>
        <v/>
      </c>
      <c r="S207" s="110" t="str">
        <f aca="false">IF(M207&lt;&gt;"",SUMIF(M:M,M207,R:R),"")</f>
        <v/>
      </c>
      <c r="T207" s="110" t="str">
        <f aca="false">IF(I207&lt;&gt;"",I207,"")</f>
        <v/>
      </c>
      <c r="U207" s="111" t="str">
        <f aca="false">IF(AND(T207&lt;&gt;"",S207&lt;&gt;""),IFERROR((T207-S207)/T207,""),"")</f>
        <v/>
      </c>
    </row>
    <row r="208" customFormat="false" ht="18.75" hidden="false" customHeight="true" outlineLevel="0" collapsed="false">
      <c r="A208" s="112"/>
      <c r="B208" s="112"/>
      <c r="C208" s="112"/>
      <c r="D208" s="112"/>
      <c r="E208" s="112"/>
      <c r="F208" s="112"/>
      <c r="G208" s="113" t="str">
        <f aca="false">IF(AND(E208&lt;&gt;"",F208&lt;&gt;""),E208*F208,"")</f>
        <v/>
      </c>
      <c r="H208" s="113" t="str">
        <f aca="false">IF(B208&lt;&gt;"",SUMIF(B:B,B208,G:G),"")</f>
        <v/>
      </c>
      <c r="I208" s="112"/>
      <c r="J208" s="114" t="str">
        <f aca="false">IF(AND(I208&lt;&gt;"",H208&lt;&gt;""),IFERROR((I208-H208)/I208,""),"")</f>
        <v/>
      </c>
      <c r="K208" s="3"/>
      <c r="L208" s="112"/>
      <c r="M208" s="112"/>
      <c r="N208" s="112"/>
      <c r="O208" s="112"/>
      <c r="P208" s="112"/>
      <c r="Q208" s="112"/>
      <c r="R208" s="113" t="str">
        <f aca="false">IF(AND(P208&lt;&gt;"",Q208&lt;&gt;""),P208*Q208,"")</f>
        <v/>
      </c>
      <c r="S208" s="113" t="str">
        <f aca="false">IF(M208&lt;&gt;"",SUMIF(M:M,M208,R:R),"")</f>
        <v/>
      </c>
      <c r="T208" s="113" t="str">
        <f aca="false">IF(I208&lt;&gt;"",I208,"")</f>
        <v/>
      </c>
      <c r="U208" s="114" t="str">
        <f aca="false">IF(AND(T208&lt;&gt;"",S208&lt;&gt;""),IFERROR((T208-S208)/T208,""),"")</f>
        <v/>
      </c>
    </row>
    <row r="209" customFormat="false" ht="18.75" hidden="false" customHeight="true" outlineLevel="0" collapsed="false">
      <c r="A209" s="109"/>
      <c r="B209" s="109"/>
      <c r="C209" s="109"/>
      <c r="D209" s="109"/>
      <c r="E209" s="109"/>
      <c r="F209" s="109"/>
      <c r="G209" s="110" t="str">
        <f aca="false">IF(AND(E209&lt;&gt;"",F209&lt;&gt;""),E209*F209,"")</f>
        <v/>
      </c>
      <c r="H209" s="110" t="str">
        <f aca="false">IF(B209&lt;&gt;"",SUMIF(B:B,B209,G:G),"")</f>
        <v/>
      </c>
      <c r="I209" s="109"/>
      <c r="J209" s="111" t="str">
        <f aca="false">IF(AND(I209&lt;&gt;"",H209&lt;&gt;""),IFERROR((I209-H209)/I209,""),"")</f>
        <v/>
      </c>
      <c r="K209" s="3"/>
      <c r="L209" s="109"/>
      <c r="M209" s="109"/>
      <c r="N209" s="109"/>
      <c r="O209" s="109"/>
      <c r="P209" s="109"/>
      <c r="Q209" s="109"/>
      <c r="R209" s="110" t="str">
        <f aca="false">IF(AND(P209&lt;&gt;"",Q209&lt;&gt;""),P209*Q209,"")</f>
        <v/>
      </c>
      <c r="S209" s="110" t="str">
        <f aca="false">IF(M209&lt;&gt;"",SUMIF(M:M,M209,R:R),"")</f>
        <v/>
      </c>
      <c r="T209" s="110" t="str">
        <f aca="false">IF(I209&lt;&gt;"",I209,"")</f>
        <v/>
      </c>
      <c r="U209" s="111" t="str">
        <f aca="false">IF(AND(T209&lt;&gt;"",S209&lt;&gt;""),IFERROR((T209-S209)/T209,""),"")</f>
        <v/>
      </c>
    </row>
    <row r="210" customFormat="false" ht="18.75" hidden="false" customHeight="true" outlineLevel="0" collapsed="false">
      <c r="A210" s="112"/>
      <c r="B210" s="112"/>
      <c r="C210" s="112"/>
      <c r="D210" s="112"/>
      <c r="E210" s="112"/>
      <c r="F210" s="112"/>
      <c r="G210" s="113" t="str">
        <f aca="false">IF(AND(E210&lt;&gt;"",F210&lt;&gt;""),E210*F210,"")</f>
        <v/>
      </c>
      <c r="H210" s="113" t="str">
        <f aca="false">IF(B210&lt;&gt;"",SUMIF(B:B,B210,G:G),"")</f>
        <v/>
      </c>
      <c r="I210" s="112"/>
      <c r="J210" s="114" t="str">
        <f aca="false">IF(AND(I210&lt;&gt;"",H210&lt;&gt;""),IFERROR((I210-H210)/I210,""),"")</f>
        <v/>
      </c>
      <c r="K210" s="3"/>
      <c r="L210" s="112"/>
      <c r="M210" s="112"/>
      <c r="N210" s="112"/>
      <c r="O210" s="112"/>
      <c r="P210" s="112"/>
      <c r="Q210" s="112"/>
      <c r="R210" s="113" t="str">
        <f aca="false">IF(AND(P210&lt;&gt;"",Q210&lt;&gt;""),P210*Q210,"")</f>
        <v/>
      </c>
      <c r="S210" s="113" t="str">
        <f aca="false">IF(M210&lt;&gt;"",SUMIF(M:M,M210,R:R),"")</f>
        <v/>
      </c>
      <c r="T210" s="113" t="str">
        <f aca="false">IF(I210&lt;&gt;"",I210,"")</f>
        <v/>
      </c>
      <c r="U210" s="114" t="str">
        <f aca="false">IF(AND(T210&lt;&gt;"",S210&lt;&gt;""),IFERROR((T210-S210)/T210,""),"")</f>
        <v/>
      </c>
    </row>
    <row r="211" customFormat="false" ht="18.75" hidden="false" customHeight="true" outlineLevel="0" collapsed="false">
      <c r="A211" s="109"/>
      <c r="B211" s="109"/>
      <c r="C211" s="109"/>
      <c r="D211" s="109"/>
      <c r="E211" s="109"/>
      <c r="F211" s="109"/>
      <c r="G211" s="110" t="str">
        <f aca="false">IF(AND(E211&lt;&gt;"",F211&lt;&gt;""),E211*F211,"")</f>
        <v/>
      </c>
      <c r="H211" s="110" t="str">
        <f aca="false">IF(B211&lt;&gt;"",SUMIF(B:B,B211,G:G),"")</f>
        <v/>
      </c>
      <c r="I211" s="109"/>
      <c r="J211" s="111" t="str">
        <f aca="false">IF(AND(I211&lt;&gt;"",H211&lt;&gt;""),IFERROR((I211-H211)/I211,""),"")</f>
        <v/>
      </c>
      <c r="K211" s="3"/>
      <c r="L211" s="109"/>
      <c r="M211" s="109"/>
      <c r="N211" s="109"/>
      <c r="O211" s="109"/>
      <c r="P211" s="109"/>
      <c r="Q211" s="109"/>
      <c r="R211" s="110" t="str">
        <f aca="false">IF(AND(P211&lt;&gt;"",Q211&lt;&gt;""),P211*Q211,"")</f>
        <v/>
      </c>
      <c r="S211" s="110" t="str">
        <f aca="false">IF(M211&lt;&gt;"",SUMIF(M:M,M211,R:R),"")</f>
        <v/>
      </c>
      <c r="T211" s="110" t="str">
        <f aca="false">IF(I211&lt;&gt;"",I211,"")</f>
        <v/>
      </c>
      <c r="U211" s="111" t="str">
        <f aca="false">IF(AND(T211&lt;&gt;"",S211&lt;&gt;""),IFERROR((T211-S211)/T211,""),"")</f>
        <v/>
      </c>
    </row>
    <row r="212" customFormat="false" ht="18.75" hidden="false" customHeight="true" outlineLevel="0" collapsed="false">
      <c r="A212" s="112"/>
      <c r="B212" s="112"/>
      <c r="C212" s="112"/>
      <c r="D212" s="112"/>
      <c r="E212" s="112"/>
      <c r="F212" s="112"/>
      <c r="G212" s="113" t="str">
        <f aca="false">IF(AND(E212&lt;&gt;"",F212&lt;&gt;""),E212*F212,"")</f>
        <v/>
      </c>
      <c r="H212" s="113" t="str">
        <f aca="false">IF(B212&lt;&gt;"",SUMIF(B:B,B212,G:G),"")</f>
        <v/>
      </c>
      <c r="I212" s="112"/>
      <c r="J212" s="114" t="str">
        <f aca="false">IF(AND(I212&lt;&gt;"",H212&lt;&gt;""),IFERROR((I212-H212)/I212,""),"")</f>
        <v/>
      </c>
      <c r="K212" s="3"/>
      <c r="L212" s="112"/>
      <c r="M212" s="112"/>
      <c r="N212" s="112"/>
      <c r="O212" s="112"/>
      <c r="P212" s="112"/>
      <c r="Q212" s="112"/>
      <c r="R212" s="113" t="str">
        <f aca="false">IF(AND(P212&lt;&gt;"",Q212&lt;&gt;""),P212*Q212,"")</f>
        <v/>
      </c>
      <c r="S212" s="113" t="str">
        <f aca="false">IF(M212&lt;&gt;"",SUMIF(M:M,M212,R:R),"")</f>
        <v/>
      </c>
      <c r="T212" s="113" t="str">
        <f aca="false">IF(I212&lt;&gt;"",I212,"")</f>
        <v/>
      </c>
      <c r="U212" s="114" t="str">
        <f aca="false">IF(AND(T212&lt;&gt;"",S212&lt;&gt;""),IFERROR((T212-S212)/T212,""),"")</f>
        <v/>
      </c>
    </row>
    <row r="213" customFormat="false" ht="18.75" hidden="false" customHeight="true" outlineLevel="0" collapsed="false">
      <c r="A213" s="109"/>
      <c r="B213" s="109"/>
      <c r="C213" s="109"/>
      <c r="D213" s="109"/>
      <c r="E213" s="109"/>
      <c r="F213" s="109"/>
      <c r="G213" s="110" t="str">
        <f aca="false">IF(AND(E213&lt;&gt;"",F213&lt;&gt;""),E213*F213,"")</f>
        <v/>
      </c>
      <c r="H213" s="110" t="str">
        <f aca="false">IF(B213&lt;&gt;"",SUMIF(B:B,B213,G:G),"")</f>
        <v/>
      </c>
      <c r="I213" s="109"/>
      <c r="J213" s="111" t="str">
        <f aca="false">IF(AND(I213&lt;&gt;"",H213&lt;&gt;""),IFERROR((I213-H213)/I213,""),"")</f>
        <v/>
      </c>
      <c r="K213" s="3"/>
      <c r="L213" s="109"/>
      <c r="M213" s="109"/>
      <c r="N213" s="109"/>
      <c r="O213" s="109"/>
      <c r="P213" s="109"/>
      <c r="Q213" s="109"/>
      <c r="R213" s="110" t="str">
        <f aca="false">IF(AND(P213&lt;&gt;"",Q213&lt;&gt;""),P213*Q213,"")</f>
        <v/>
      </c>
      <c r="S213" s="110" t="str">
        <f aca="false">IF(M213&lt;&gt;"",SUMIF(M:M,M213,R:R),"")</f>
        <v/>
      </c>
      <c r="T213" s="110" t="str">
        <f aca="false">IF(I213&lt;&gt;"",I213,"")</f>
        <v/>
      </c>
      <c r="U213" s="111" t="str">
        <f aca="false">IF(AND(T213&lt;&gt;"",S213&lt;&gt;""),IFERROR((T213-S213)/T213,""),"")</f>
        <v/>
      </c>
    </row>
    <row r="214" customFormat="false" ht="18.75" hidden="false" customHeight="true" outlineLevel="0" collapsed="false">
      <c r="A214" s="112"/>
      <c r="B214" s="112"/>
      <c r="C214" s="112"/>
      <c r="D214" s="112"/>
      <c r="E214" s="112"/>
      <c r="F214" s="112"/>
      <c r="G214" s="113" t="str">
        <f aca="false">IF(AND(E214&lt;&gt;"",F214&lt;&gt;""),E214*F214,"")</f>
        <v/>
      </c>
      <c r="H214" s="113" t="str">
        <f aca="false">IF(B214&lt;&gt;"",SUMIF(B:B,B214,G:G),"")</f>
        <v/>
      </c>
      <c r="I214" s="112"/>
      <c r="J214" s="114" t="str">
        <f aca="false">IF(AND(I214&lt;&gt;"",H214&lt;&gt;""),IFERROR((I214-H214)/I214,""),"")</f>
        <v/>
      </c>
      <c r="K214" s="3"/>
      <c r="L214" s="112"/>
      <c r="M214" s="112"/>
      <c r="N214" s="112"/>
      <c r="O214" s="112"/>
      <c r="P214" s="112"/>
      <c r="Q214" s="112"/>
      <c r="R214" s="113" t="str">
        <f aca="false">IF(AND(P214&lt;&gt;"",Q214&lt;&gt;""),P214*Q214,"")</f>
        <v/>
      </c>
      <c r="S214" s="113" t="str">
        <f aca="false">IF(M214&lt;&gt;"",SUMIF(M:M,M214,R:R),"")</f>
        <v/>
      </c>
      <c r="T214" s="113" t="str">
        <f aca="false">IF(I214&lt;&gt;"",I214,"")</f>
        <v/>
      </c>
      <c r="U214" s="114" t="str">
        <f aca="false">IF(AND(T214&lt;&gt;"",S214&lt;&gt;""),IFERROR((T214-S214)/T214,""),"")</f>
        <v/>
      </c>
    </row>
    <row r="215" customFormat="false" ht="18.75" hidden="false" customHeight="true" outlineLevel="0" collapsed="false">
      <c r="A215" s="109"/>
      <c r="B215" s="109"/>
      <c r="C215" s="109"/>
      <c r="D215" s="109"/>
      <c r="E215" s="109"/>
      <c r="F215" s="109"/>
      <c r="G215" s="110" t="str">
        <f aca="false">IF(AND(E215&lt;&gt;"",F215&lt;&gt;""),E215*F215,"")</f>
        <v/>
      </c>
      <c r="H215" s="110" t="str">
        <f aca="false">IF(B215&lt;&gt;"",SUMIF(B:B,B215,G:G),"")</f>
        <v/>
      </c>
      <c r="I215" s="109"/>
      <c r="J215" s="111" t="str">
        <f aca="false">IF(AND(I215&lt;&gt;"",H215&lt;&gt;""),IFERROR((I215-H215)/I215,""),"")</f>
        <v/>
      </c>
      <c r="K215" s="3"/>
      <c r="L215" s="109"/>
      <c r="M215" s="109"/>
      <c r="N215" s="109"/>
      <c r="O215" s="109"/>
      <c r="P215" s="109"/>
      <c r="Q215" s="109"/>
      <c r="R215" s="110" t="str">
        <f aca="false">IF(AND(P215&lt;&gt;"",Q215&lt;&gt;""),P215*Q215,"")</f>
        <v/>
      </c>
      <c r="S215" s="110" t="str">
        <f aca="false">IF(M215&lt;&gt;"",SUMIF(M:M,M215,R:R),"")</f>
        <v/>
      </c>
      <c r="T215" s="110" t="str">
        <f aca="false">IF(I215&lt;&gt;"",I215,"")</f>
        <v/>
      </c>
      <c r="U215" s="111" t="str">
        <f aca="false">IF(AND(T215&lt;&gt;"",S215&lt;&gt;""),IFERROR((T215-S215)/T215,""),"")</f>
        <v/>
      </c>
    </row>
    <row r="216" customFormat="false" ht="18.75" hidden="false" customHeight="true" outlineLevel="0" collapsed="false">
      <c r="A216" s="112"/>
      <c r="B216" s="112"/>
      <c r="C216" s="112"/>
      <c r="D216" s="112"/>
      <c r="E216" s="112"/>
      <c r="F216" s="112"/>
      <c r="G216" s="113" t="str">
        <f aca="false">IF(AND(E216&lt;&gt;"",F216&lt;&gt;""),E216*F216,"")</f>
        <v/>
      </c>
      <c r="H216" s="113" t="str">
        <f aca="false">IF(B216&lt;&gt;"",SUMIF(B:B,B216,G:G),"")</f>
        <v/>
      </c>
      <c r="I216" s="112"/>
      <c r="J216" s="114" t="str">
        <f aca="false">IF(AND(I216&lt;&gt;"",H216&lt;&gt;""),IFERROR((I216-H216)/I216,""),"")</f>
        <v/>
      </c>
      <c r="K216" s="3"/>
      <c r="L216" s="112"/>
      <c r="M216" s="112"/>
      <c r="N216" s="112"/>
      <c r="O216" s="112"/>
      <c r="P216" s="112"/>
      <c r="Q216" s="112"/>
      <c r="R216" s="113" t="str">
        <f aca="false">IF(AND(P216&lt;&gt;"",Q216&lt;&gt;""),P216*Q216,"")</f>
        <v/>
      </c>
      <c r="S216" s="113" t="str">
        <f aca="false">IF(M216&lt;&gt;"",SUMIF(M:M,M216,R:R),"")</f>
        <v/>
      </c>
      <c r="T216" s="113" t="str">
        <f aca="false">IF(I216&lt;&gt;"",I216,"")</f>
        <v/>
      </c>
      <c r="U216" s="114" t="str">
        <f aca="false">IF(AND(T216&lt;&gt;"",S216&lt;&gt;""),IFERROR((T216-S216)/T216,""),"")</f>
        <v/>
      </c>
    </row>
    <row r="217" customFormat="false" ht="18.75" hidden="false" customHeight="true" outlineLevel="0" collapsed="false">
      <c r="A217" s="109"/>
      <c r="B217" s="109"/>
      <c r="C217" s="109"/>
      <c r="D217" s="109"/>
      <c r="E217" s="109"/>
      <c r="F217" s="109"/>
      <c r="G217" s="110" t="str">
        <f aca="false">IF(AND(E217&lt;&gt;"",F217&lt;&gt;""),E217*F217,"")</f>
        <v/>
      </c>
      <c r="H217" s="110" t="str">
        <f aca="false">IF(B217&lt;&gt;"",SUMIF(B:B,B217,G:G),"")</f>
        <v/>
      </c>
      <c r="I217" s="109"/>
      <c r="J217" s="111" t="str">
        <f aca="false">IF(AND(I217&lt;&gt;"",H217&lt;&gt;""),IFERROR((I217-H217)/I217,""),"")</f>
        <v/>
      </c>
      <c r="K217" s="3"/>
      <c r="L217" s="109"/>
      <c r="M217" s="109"/>
      <c r="N217" s="109"/>
      <c r="O217" s="109"/>
      <c r="P217" s="109"/>
      <c r="Q217" s="109"/>
      <c r="R217" s="110" t="str">
        <f aca="false">IF(AND(P217&lt;&gt;"",Q217&lt;&gt;""),P217*Q217,"")</f>
        <v/>
      </c>
      <c r="S217" s="110" t="str">
        <f aca="false">IF(M217&lt;&gt;"",SUMIF(M:M,M217,R:R),"")</f>
        <v/>
      </c>
      <c r="T217" s="110" t="str">
        <f aca="false">IF(I217&lt;&gt;"",I217,"")</f>
        <v/>
      </c>
      <c r="U217" s="111" t="str">
        <f aca="false">IF(AND(T217&lt;&gt;"",S217&lt;&gt;""),IFERROR((T217-S217)/T217,""),"")</f>
        <v/>
      </c>
    </row>
    <row r="218" customFormat="false" ht="18.75" hidden="false" customHeight="true" outlineLevel="0" collapsed="false">
      <c r="A218" s="112"/>
      <c r="B218" s="112"/>
      <c r="C218" s="112"/>
      <c r="D218" s="112"/>
      <c r="E218" s="112"/>
      <c r="F218" s="112"/>
      <c r="G218" s="113" t="str">
        <f aca="false">IF(AND(E218&lt;&gt;"",F218&lt;&gt;""),E218*F218,"")</f>
        <v/>
      </c>
      <c r="H218" s="113" t="str">
        <f aca="false">IF(B218&lt;&gt;"",SUMIF(B:B,B218,G:G),"")</f>
        <v/>
      </c>
      <c r="I218" s="112"/>
      <c r="J218" s="114" t="str">
        <f aca="false">IF(AND(I218&lt;&gt;"",H218&lt;&gt;""),IFERROR((I218-H218)/I218,""),"")</f>
        <v/>
      </c>
      <c r="K218" s="3"/>
      <c r="L218" s="112"/>
      <c r="M218" s="112"/>
      <c r="N218" s="112"/>
      <c r="O218" s="112"/>
      <c r="P218" s="112"/>
      <c r="Q218" s="112"/>
      <c r="R218" s="113" t="str">
        <f aca="false">IF(AND(P218&lt;&gt;"",Q218&lt;&gt;""),P218*Q218,"")</f>
        <v/>
      </c>
      <c r="S218" s="113" t="str">
        <f aca="false">IF(M218&lt;&gt;"",SUMIF(M:M,M218,R:R),"")</f>
        <v/>
      </c>
      <c r="T218" s="113" t="str">
        <f aca="false">IF(I218&lt;&gt;"",I218,"")</f>
        <v/>
      </c>
      <c r="U218" s="114" t="str">
        <f aca="false">IF(AND(T218&lt;&gt;"",S218&lt;&gt;""),IFERROR((T218-S218)/T218,""),"")</f>
        <v/>
      </c>
    </row>
    <row r="219" customFormat="false" ht="18.75" hidden="false" customHeight="true" outlineLevel="0" collapsed="false">
      <c r="A219" s="109"/>
      <c r="B219" s="109"/>
      <c r="C219" s="109"/>
      <c r="D219" s="109"/>
      <c r="E219" s="109"/>
      <c r="F219" s="109"/>
      <c r="G219" s="110" t="str">
        <f aca="false">IF(AND(E219&lt;&gt;"",F219&lt;&gt;""),E219*F219,"")</f>
        <v/>
      </c>
      <c r="H219" s="110" t="str">
        <f aca="false">IF(B219&lt;&gt;"",SUMIF(B:B,B219,G:G),"")</f>
        <v/>
      </c>
      <c r="I219" s="109"/>
      <c r="J219" s="111" t="str">
        <f aca="false">IF(AND(I219&lt;&gt;"",H219&lt;&gt;""),IFERROR((I219-H219)/I219,""),"")</f>
        <v/>
      </c>
      <c r="K219" s="3"/>
      <c r="L219" s="109"/>
      <c r="M219" s="109"/>
      <c r="N219" s="109"/>
      <c r="O219" s="109"/>
      <c r="P219" s="109"/>
      <c r="Q219" s="109"/>
      <c r="R219" s="110" t="str">
        <f aca="false">IF(AND(P219&lt;&gt;"",Q219&lt;&gt;""),P219*Q219,"")</f>
        <v/>
      </c>
      <c r="S219" s="110" t="str">
        <f aca="false">IF(M219&lt;&gt;"",SUMIF(M:M,M219,R:R),"")</f>
        <v/>
      </c>
      <c r="T219" s="110" t="str">
        <f aca="false">IF(I219&lt;&gt;"",I219,"")</f>
        <v/>
      </c>
      <c r="U219" s="111" t="str">
        <f aca="false">IF(AND(T219&lt;&gt;"",S219&lt;&gt;""),IFERROR((T219-S219)/T219,""),"")</f>
        <v/>
      </c>
    </row>
    <row r="220" customFormat="false" ht="18.75" hidden="false" customHeight="true" outlineLevel="0" collapsed="false">
      <c r="A220" s="112"/>
      <c r="B220" s="112"/>
      <c r="C220" s="112"/>
      <c r="D220" s="112"/>
      <c r="E220" s="112"/>
      <c r="F220" s="112"/>
      <c r="G220" s="113" t="str">
        <f aca="false">IF(AND(E220&lt;&gt;"",F220&lt;&gt;""),E220*F220,"")</f>
        <v/>
      </c>
      <c r="H220" s="113" t="str">
        <f aca="false">IF(B220&lt;&gt;"",SUMIF(B:B,B220,G:G),"")</f>
        <v/>
      </c>
      <c r="I220" s="112"/>
      <c r="J220" s="114" t="str">
        <f aca="false">IF(AND(I220&lt;&gt;"",H220&lt;&gt;""),IFERROR((I220-H220)/I220,""),"")</f>
        <v/>
      </c>
      <c r="K220" s="3"/>
      <c r="L220" s="112"/>
      <c r="M220" s="112"/>
      <c r="N220" s="112"/>
      <c r="O220" s="112"/>
      <c r="P220" s="112"/>
      <c r="Q220" s="112"/>
      <c r="R220" s="113" t="str">
        <f aca="false">IF(AND(P220&lt;&gt;"",Q220&lt;&gt;""),P220*Q220,"")</f>
        <v/>
      </c>
      <c r="S220" s="113" t="str">
        <f aca="false">IF(M220&lt;&gt;"",SUMIF(M:M,M220,R:R),"")</f>
        <v/>
      </c>
      <c r="T220" s="113" t="str">
        <f aca="false">IF(I220&lt;&gt;"",I220,"")</f>
        <v/>
      </c>
      <c r="U220" s="114" t="str">
        <f aca="false">IF(AND(T220&lt;&gt;"",S220&lt;&gt;""),IFERROR((T220-S220)/T220,""),"")</f>
        <v/>
      </c>
    </row>
    <row r="221" customFormat="false" ht="18.75" hidden="false" customHeight="true" outlineLevel="0" collapsed="false">
      <c r="A221" s="109"/>
      <c r="B221" s="109"/>
      <c r="C221" s="109"/>
      <c r="D221" s="109"/>
      <c r="E221" s="109"/>
      <c r="F221" s="109"/>
      <c r="G221" s="110" t="str">
        <f aca="false">IF(AND(E221&lt;&gt;"",F221&lt;&gt;""),E221*F221,"")</f>
        <v/>
      </c>
      <c r="H221" s="110" t="str">
        <f aca="false">IF(B221&lt;&gt;"",SUMIF(B:B,B221,G:G),"")</f>
        <v/>
      </c>
      <c r="I221" s="109"/>
      <c r="J221" s="111" t="str">
        <f aca="false">IF(AND(I221&lt;&gt;"",H221&lt;&gt;""),IFERROR((I221-H221)/I221,""),"")</f>
        <v/>
      </c>
      <c r="K221" s="3"/>
      <c r="L221" s="109"/>
      <c r="M221" s="109"/>
      <c r="N221" s="109"/>
      <c r="O221" s="109"/>
      <c r="P221" s="109"/>
      <c r="Q221" s="109"/>
      <c r="R221" s="110" t="str">
        <f aca="false">IF(AND(P221&lt;&gt;"",Q221&lt;&gt;""),P221*Q221,"")</f>
        <v/>
      </c>
      <c r="S221" s="110" t="str">
        <f aca="false">IF(M221&lt;&gt;"",SUMIF(M:M,M221,R:R),"")</f>
        <v/>
      </c>
      <c r="T221" s="110" t="str">
        <f aca="false">IF(I221&lt;&gt;"",I221,"")</f>
        <v/>
      </c>
      <c r="U221" s="111" t="str">
        <f aca="false">IF(AND(T221&lt;&gt;"",S221&lt;&gt;""),IFERROR((T221-S221)/T221,""),"")</f>
        <v/>
      </c>
    </row>
    <row r="222" customFormat="false" ht="18.75" hidden="false" customHeight="true" outlineLevel="0" collapsed="false">
      <c r="A222" s="112"/>
      <c r="B222" s="112"/>
      <c r="C222" s="112"/>
      <c r="D222" s="112"/>
      <c r="E222" s="112"/>
      <c r="F222" s="112"/>
      <c r="G222" s="113" t="str">
        <f aca="false">IF(AND(E222&lt;&gt;"",F222&lt;&gt;""),E222*F222,"")</f>
        <v/>
      </c>
      <c r="H222" s="113" t="str">
        <f aca="false">IF(B222&lt;&gt;"",SUMIF(B:B,B222,G:G),"")</f>
        <v/>
      </c>
      <c r="I222" s="112"/>
      <c r="J222" s="114" t="str">
        <f aca="false">IF(AND(I222&lt;&gt;"",H222&lt;&gt;""),IFERROR((I222-H222)/I222,""),"")</f>
        <v/>
      </c>
      <c r="K222" s="3"/>
      <c r="L222" s="112"/>
      <c r="M222" s="112"/>
      <c r="N222" s="112"/>
      <c r="O222" s="112"/>
      <c r="P222" s="112"/>
      <c r="Q222" s="112"/>
      <c r="R222" s="113" t="str">
        <f aca="false">IF(AND(P222&lt;&gt;"",Q222&lt;&gt;""),P222*Q222,"")</f>
        <v/>
      </c>
      <c r="S222" s="113" t="str">
        <f aca="false">IF(M222&lt;&gt;"",SUMIF(M:M,M222,R:R),"")</f>
        <v/>
      </c>
      <c r="T222" s="113" t="str">
        <f aca="false">IF(I222&lt;&gt;"",I222,"")</f>
        <v/>
      </c>
      <c r="U222" s="114" t="str">
        <f aca="false">IF(AND(T222&lt;&gt;"",S222&lt;&gt;""),IFERROR((T222-S222)/T222,""),"")</f>
        <v/>
      </c>
    </row>
    <row r="223" customFormat="false" ht="18.75" hidden="false" customHeight="true" outlineLevel="0" collapsed="false">
      <c r="A223" s="109"/>
      <c r="B223" s="109"/>
      <c r="C223" s="109"/>
      <c r="D223" s="109"/>
      <c r="E223" s="109"/>
      <c r="F223" s="109"/>
      <c r="G223" s="110" t="str">
        <f aca="false">IF(AND(E223&lt;&gt;"",F223&lt;&gt;""),E223*F223,"")</f>
        <v/>
      </c>
      <c r="H223" s="110" t="str">
        <f aca="false">IF(B223&lt;&gt;"",SUMIF(B:B,B223,G:G),"")</f>
        <v/>
      </c>
      <c r="I223" s="109"/>
      <c r="J223" s="111" t="str">
        <f aca="false">IF(AND(I223&lt;&gt;"",H223&lt;&gt;""),IFERROR((I223-H223)/I223,""),"")</f>
        <v/>
      </c>
      <c r="K223" s="3"/>
      <c r="L223" s="109"/>
      <c r="M223" s="109"/>
      <c r="N223" s="109"/>
      <c r="O223" s="109"/>
      <c r="P223" s="109"/>
      <c r="Q223" s="109"/>
      <c r="R223" s="110" t="str">
        <f aca="false">IF(AND(P223&lt;&gt;"",Q223&lt;&gt;""),P223*Q223,"")</f>
        <v/>
      </c>
      <c r="S223" s="110" t="str">
        <f aca="false">IF(M223&lt;&gt;"",SUMIF(M:M,M223,R:R),"")</f>
        <v/>
      </c>
      <c r="T223" s="110" t="str">
        <f aca="false">IF(I223&lt;&gt;"",I223,"")</f>
        <v/>
      </c>
      <c r="U223" s="111" t="str">
        <f aca="false">IF(AND(T223&lt;&gt;"",S223&lt;&gt;""),IFERROR((T223-S223)/T223,""),"")</f>
        <v/>
      </c>
    </row>
    <row r="224" customFormat="false" ht="18.75" hidden="false" customHeight="true" outlineLevel="0" collapsed="false">
      <c r="A224" s="112"/>
      <c r="B224" s="112"/>
      <c r="C224" s="112"/>
      <c r="D224" s="112"/>
      <c r="E224" s="112"/>
      <c r="F224" s="112"/>
      <c r="G224" s="113" t="str">
        <f aca="false">IF(AND(E224&lt;&gt;"",F224&lt;&gt;""),E224*F224,"")</f>
        <v/>
      </c>
      <c r="H224" s="113" t="str">
        <f aca="false">IF(B224&lt;&gt;"",SUMIF(B:B,B224,G:G),"")</f>
        <v/>
      </c>
      <c r="I224" s="112"/>
      <c r="J224" s="114" t="str">
        <f aca="false">IF(AND(I224&lt;&gt;"",H224&lt;&gt;""),IFERROR((I224-H224)/I224,""),"")</f>
        <v/>
      </c>
      <c r="K224" s="3"/>
      <c r="L224" s="112"/>
      <c r="M224" s="112"/>
      <c r="N224" s="112"/>
      <c r="O224" s="112"/>
      <c r="P224" s="112"/>
      <c r="Q224" s="112"/>
      <c r="R224" s="113" t="str">
        <f aca="false">IF(AND(P224&lt;&gt;"",Q224&lt;&gt;""),P224*Q224,"")</f>
        <v/>
      </c>
      <c r="S224" s="113" t="str">
        <f aca="false">IF(M224&lt;&gt;"",SUMIF(M:M,M224,R:R),"")</f>
        <v/>
      </c>
      <c r="T224" s="113" t="str">
        <f aca="false">IF(I224&lt;&gt;"",I224,"")</f>
        <v/>
      </c>
      <c r="U224" s="114" t="str">
        <f aca="false">IF(AND(T224&lt;&gt;"",S224&lt;&gt;""),IFERROR((T224-S224)/T224,""),"")</f>
        <v/>
      </c>
    </row>
    <row r="225" customFormat="false" ht="18.75" hidden="false" customHeight="true" outlineLevel="0" collapsed="false">
      <c r="K225" s="3"/>
    </row>
    <row r="226" customFormat="false" ht="18.75" hidden="false" customHeight="true" outlineLevel="0" collapsed="false">
      <c r="K226" s="3"/>
    </row>
    <row r="227" customFormat="false" ht="18.75" hidden="false" customHeight="true" outlineLevel="0" collapsed="false">
      <c r="K227" s="3"/>
    </row>
    <row r="228" customFormat="false" ht="18.75" hidden="false" customHeight="true" outlineLevel="0" collapsed="false">
      <c r="K228" s="3"/>
    </row>
    <row r="229" customFormat="false" ht="18.75" hidden="false" customHeight="true" outlineLevel="0" collapsed="false">
      <c r="K229" s="3"/>
    </row>
    <row r="230" customFormat="false" ht="18.75" hidden="false" customHeight="true" outlineLevel="0" collapsed="false">
      <c r="K230" s="3"/>
    </row>
    <row r="231" customFormat="false" ht="18.75" hidden="false" customHeight="true" outlineLevel="0" collapsed="false">
      <c r="K231" s="3"/>
    </row>
    <row r="232" customFormat="false" ht="18.75" hidden="false" customHeight="true" outlineLevel="0" collapsed="false">
      <c r="K232" s="3"/>
    </row>
    <row r="233" customFormat="false" ht="18.75" hidden="false" customHeight="true" outlineLevel="0" collapsed="false">
      <c r="K233" s="3"/>
    </row>
    <row r="234" customFormat="false" ht="18.75" hidden="false" customHeight="true" outlineLevel="0" collapsed="false">
      <c r="K234" s="3"/>
    </row>
    <row r="235" customFormat="false" ht="18.75" hidden="false" customHeight="true" outlineLevel="0" collapsed="false">
      <c r="K235" s="3"/>
    </row>
    <row r="236" customFormat="false" ht="18.75" hidden="false" customHeight="true" outlineLevel="0" collapsed="false">
      <c r="K236" s="3"/>
    </row>
    <row r="237" customFormat="false" ht="18.75" hidden="false" customHeight="true" outlineLevel="0" collapsed="false">
      <c r="K237" s="3"/>
    </row>
    <row r="238" customFormat="false" ht="18.75" hidden="false" customHeight="true" outlineLevel="0" collapsed="false">
      <c r="K238" s="3"/>
    </row>
    <row r="239" customFormat="false" ht="18.75" hidden="false" customHeight="true" outlineLevel="0" collapsed="false">
      <c r="K239" s="3"/>
    </row>
    <row r="240" customFormat="false" ht="18.75" hidden="false" customHeight="true" outlineLevel="0" collapsed="false">
      <c r="K240" s="3"/>
    </row>
    <row r="241" customFormat="false" ht="18.75" hidden="false" customHeight="true" outlineLevel="0" collapsed="false">
      <c r="K241" s="3"/>
    </row>
    <row r="242" customFormat="false" ht="18.75" hidden="false" customHeight="true" outlineLevel="0" collapsed="false">
      <c r="K242" s="3"/>
    </row>
    <row r="243" customFormat="false" ht="18.75" hidden="false" customHeight="true" outlineLevel="0" collapsed="false">
      <c r="K243" s="3"/>
    </row>
    <row r="244" customFormat="false" ht="18.75" hidden="false" customHeight="true" outlineLevel="0" collapsed="false">
      <c r="K244" s="3"/>
    </row>
    <row r="245" customFormat="false" ht="18.75" hidden="false" customHeight="true" outlineLevel="0" collapsed="false">
      <c r="K245" s="3"/>
    </row>
    <row r="246" customFormat="false" ht="18.75" hidden="false" customHeight="true" outlineLevel="0" collapsed="false">
      <c r="K246" s="3"/>
    </row>
    <row r="247" customFormat="false" ht="18.75" hidden="false" customHeight="true" outlineLevel="0" collapsed="false">
      <c r="K247" s="3"/>
    </row>
    <row r="248" customFormat="false" ht="18.75" hidden="false" customHeight="true" outlineLevel="0" collapsed="false">
      <c r="K248" s="3"/>
    </row>
    <row r="249" customFormat="false" ht="18.75" hidden="false" customHeight="true" outlineLevel="0" collapsed="false">
      <c r="K249" s="3"/>
    </row>
    <row r="250" customFormat="false" ht="18.75" hidden="false" customHeight="true" outlineLevel="0" collapsed="false">
      <c r="K250" s="3"/>
    </row>
    <row r="251" customFormat="false" ht="18.75" hidden="false" customHeight="true" outlineLevel="0" collapsed="false">
      <c r="K251" s="3"/>
    </row>
    <row r="252" customFormat="false" ht="18.75" hidden="false" customHeight="true" outlineLevel="0" collapsed="false">
      <c r="K252" s="3"/>
    </row>
    <row r="253" customFormat="false" ht="18.75" hidden="false" customHeight="true" outlineLevel="0" collapsed="false">
      <c r="K253" s="3"/>
    </row>
    <row r="254" customFormat="false" ht="18.75" hidden="false" customHeight="true" outlineLevel="0" collapsed="false">
      <c r="K254" s="3"/>
    </row>
    <row r="255" customFormat="false" ht="18.75" hidden="false" customHeight="true" outlineLevel="0" collapsed="false">
      <c r="K255" s="3"/>
    </row>
    <row r="256" customFormat="false" ht="18.75" hidden="false" customHeight="true" outlineLevel="0" collapsed="false">
      <c r="K256" s="3"/>
    </row>
    <row r="257" customFormat="false" ht="18.75" hidden="false" customHeight="true" outlineLevel="0" collapsed="false">
      <c r="K257" s="3"/>
    </row>
    <row r="258" customFormat="false" ht="18.75" hidden="false" customHeight="true" outlineLevel="0" collapsed="false">
      <c r="K258" s="3"/>
    </row>
    <row r="259" customFormat="false" ht="18.75" hidden="false" customHeight="true" outlineLevel="0" collapsed="false">
      <c r="K259" s="3"/>
    </row>
    <row r="260" customFormat="false" ht="18.75" hidden="false" customHeight="true" outlineLevel="0" collapsed="false">
      <c r="K260" s="3"/>
    </row>
    <row r="261" customFormat="false" ht="18.75" hidden="false" customHeight="true" outlineLevel="0" collapsed="false">
      <c r="K261" s="3"/>
    </row>
    <row r="262" customFormat="false" ht="18.75" hidden="false" customHeight="true" outlineLevel="0" collapsed="false">
      <c r="K262" s="3"/>
    </row>
    <row r="263" customFormat="false" ht="18.75" hidden="false" customHeight="true" outlineLevel="0" collapsed="false">
      <c r="K263" s="3"/>
    </row>
    <row r="264" customFormat="false" ht="18.75" hidden="false" customHeight="true" outlineLevel="0" collapsed="false">
      <c r="K264" s="3"/>
    </row>
    <row r="265" customFormat="false" ht="18.75" hidden="false" customHeight="true" outlineLevel="0" collapsed="false">
      <c r="K265" s="3"/>
    </row>
    <row r="266" customFormat="false" ht="18.75" hidden="false" customHeight="true" outlineLevel="0" collapsed="false">
      <c r="K266" s="3"/>
    </row>
    <row r="267" customFormat="false" ht="18.75" hidden="false" customHeight="true" outlineLevel="0" collapsed="false">
      <c r="K267" s="3"/>
    </row>
    <row r="268" customFormat="false" ht="18.75" hidden="false" customHeight="true" outlineLevel="0" collapsed="false">
      <c r="K268" s="3"/>
    </row>
    <row r="269" customFormat="false" ht="18.75" hidden="false" customHeight="true" outlineLevel="0" collapsed="false">
      <c r="K269" s="3"/>
    </row>
    <row r="270" customFormat="false" ht="18.75" hidden="false" customHeight="true" outlineLevel="0" collapsed="false">
      <c r="K270" s="3"/>
    </row>
    <row r="271" customFormat="false" ht="18.75" hidden="false" customHeight="true" outlineLevel="0" collapsed="false">
      <c r="K271" s="3"/>
    </row>
    <row r="272" customFormat="false" ht="18.75" hidden="false" customHeight="true" outlineLevel="0" collapsed="false">
      <c r="K272" s="3"/>
    </row>
    <row r="273" customFormat="false" ht="18.75" hidden="false" customHeight="true" outlineLevel="0" collapsed="false">
      <c r="K273" s="3"/>
    </row>
    <row r="274" customFormat="false" ht="18.75" hidden="false" customHeight="true" outlineLevel="0" collapsed="false">
      <c r="K274" s="3"/>
    </row>
    <row r="275" customFormat="false" ht="18.75" hidden="false" customHeight="true" outlineLevel="0" collapsed="false">
      <c r="K275" s="3"/>
    </row>
    <row r="276" customFormat="false" ht="18.75" hidden="false" customHeight="true" outlineLevel="0" collapsed="false">
      <c r="K276" s="3"/>
    </row>
    <row r="277" customFormat="false" ht="18.75" hidden="false" customHeight="true" outlineLevel="0" collapsed="false">
      <c r="K277" s="3"/>
    </row>
    <row r="278" customFormat="false" ht="18.75" hidden="false" customHeight="true" outlineLevel="0" collapsed="false">
      <c r="K278" s="3"/>
    </row>
    <row r="279" customFormat="false" ht="18.75" hidden="false" customHeight="true" outlineLevel="0" collapsed="false">
      <c r="K279" s="3"/>
    </row>
    <row r="280" customFormat="false" ht="18.75" hidden="false" customHeight="true" outlineLevel="0" collapsed="false">
      <c r="K280" s="3"/>
    </row>
    <row r="281" customFormat="false" ht="18.75" hidden="false" customHeight="true" outlineLevel="0" collapsed="false">
      <c r="K281" s="3"/>
    </row>
    <row r="282" customFormat="false" ht="18.75" hidden="false" customHeight="true" outlineLevel="0" collapsed="false">
      <c r="K282" s="3"/>
    </row>
    <row r="283" customFormat="false" ht="18.75" hidden="false" customHeight="true" outlineLevel="0" collapsed="false">
      <c r="K283" s="3"/>
    </row>
    <row r="284" customFormat="false" ht="18.75" hidden="false" customHeight="true" outlineLevel="0" collapsed="false">
      <c r="K284" s="3"/>
    </row>
    <row r="285" customFormat="false" ht="18.75" hidden="false" customHeight="true" outlineLevel="0" collapsed="false">
      <c r="K285" s="3"/>
    </row>
    <row r="286" customFormat="false" ht="18.75" hidden="false" customHeight="true" outlineLevel="0" collapsed="false">
      <c r="K286" s="3"/>
    </row>
    <row r="287" customFormat="false" ht="18.75" hidden="false" customHeight="true" outlineLevel="0" collapsed="false">
      <c r="K287" s="3"/>
    </row>
    <row r="288" customFormat="false" ht="18.75" hidden="false" customHeight="true" outlineLevel="0" collapsed="false">
      <c r="K288" s="3"/>
    </row>
    <row r="289" customFormat="false" ht="18.75" hidden="false" customHeight="true" outlineLevel="0" collapsed="false">
      <c r="K289" s="3"/>
    </row>
    <row r="290" customFormat="false" ht="18.75" hidden="false" customHeight="true" outlineLevel="0" collapsed="false">
      <c r="K290" s="3"/>
    </row>
    <row r="291" customFormat="false" ht="18.75" hidden="false" customHeight="true" outlineLevel="0" collapsed="false">
      <c r="K291" s="3"/>
    </row>
    <row r="292" customFormat="false" ht="18.75" hidden="false" customHeight="true" outlineLevel="0" collapsed="false">
      <c r="K292" s="3"/>
    </row>
    <row r="293" customFormat="false" ht="18.75" hidden="false" customHeight="true" outlineLevel="0" collapsed="false">
      <c r="K293" s="3"/>
    </row>
    <row r="294" customFormat="false" ht="18.75" hidden="false" customHeight="true" outlineLevel="0" collapsed="false">
      <c r="K294" s="3"/>
    </row>
    <row r="295" customFormat="false" ht="18.75" hidden="false" customHeight="true" outlineLevel="0" collapsed="false">
      <c r="K295" s="3"/>
    </row>
    <row r="296" customFormat="false" ht="18.75" hidden="false" customHeight="true" outlineLevel="0" collapsed="false">
      <c r="K296" s="3"/>
    </row>
    <row r="297" customFormat="false" ht="18.75" hidden="false" customHeight="true" outlineLevel="0" collapsed="false">
      <c r="K297" s="3"/>
    </row>
    <row r="298" customFormat="false" ht="18.75" hidden="false" customHeight="true" outlineLevel="0" collapsed="false">
      <c r="K298" s="3"/>
    </row>
    <row r="299" customFormat="false" ht="18.75" hidden="false" customHeight="true" outlineLevel="0" collapsed="false">
      <c r="K299" s="3"/>
    </row>
    <row r="300" customFormat="false" ht="18.75" hidden="false" customHeight="true" outlineLevel="0" collapsed="false">
      <c r="K300" s="3"/>
    </row>
    <row r="301" customFormat="false" ht="18.75" hidden="false" customHeight="true" outlineLevel="0" collapsed="false">
      <c r="K301" s="3"/>
    </row>
    <row r="302" customFormat="false" ht="18.75" hidden="false" customHeight="true" outlineLevel="0" collapsed="false">
      <c r="K302" s="3"/>
    </row>
    <row r="303" customFormat="false" ht="18.75" hidden="false" customHeight="true" outlineLevel="0" collapsed="false">
      <c r="K303" s="3"/>
    </row>
    <row r="304" customFormat="false" ht="18.75" hidden="false" customHeight="true" outlineLevel="0" collapsed="false">
      <c r="K304" s="3"/>
    </row>
    <row r="305" customFormat="false" ht="18.75" hidden="false" customHeight="true" outlineLevel="0" collapsed="false">
      <c r="K305" s="3"/>
    </row>
    <row r="306" customFormat="false" ht="18.75" hidden="false" customHeight="true" outlineLevel="0" collapsed="false">
      <c r="K306" s="3"/>
    </row>
    <row r="307" customFormat="false" ht="18.75" hidden="false" customHeight="true" outlineLevel="0" collapsed="false">
      <c r="K307" s="3"/>
    </row>
    <row r="308" customFormat="false" ht="18.75" hidden="false" customHeight="true" outlineLevel="0" collapsed="false">
      <c r="K308" s="3"/>
    </row>
    <row r="309" customFormat="false" ht="18.75" hidden="false" customHeight="true" outlineLevel="0" collapsed="false">
      <c r="K309" s="3"/>
    </row>
    <row r="310" customFormat="false" ht="18.75" hidden="false" customHeight="true" outlineLevel="0" collapsed="false">
      <c r="K310" s="3"/>
    </row>
    <row r="311" customFormat="false" ht="18.75" hidden="false" customHeight="true" outlineLevel="0" collapsed="false">
      <c r="K311" s="3"/>
    </row>
    <row r="312" customFormat="false" ht="18.75" hidden="false" customHeight="true" outlineLevel="0" collapsed="false">
      <c r="K312" s="3"/>
    </row>
    <row r="313" customFormat="false" ht="18.75" hidden="false" customHeight="true" outlineLevel="0" collapsed="false">
      <c r="K313" s="3"/>
    </row>
    <row r="314" customFormat="false" ht="18.75" hidden="false" customHeight="true" outlineLevel="0" collapsed="false">
      <c r="K314" s="3"/>
    </row>
    <row r="315" customFormat="false" ht="18.75" hidden="false" customHeight="true" outlineLevel="0" collapsed="false">
      <c r="K315" s="3"/>
    </row>
    <row r="316" customFormat="false" ht="18.75" hidden="false" customHeight="true" outlineLevel="0" collapsed="false">
      <c r="K316" s="3"/>
    </row>
    <row r="317" customFormat="false" ht="18.75" hidden="false" customHeight="true" outlineLevel="0" collapsed="false">
      <c r="K317" s="3"/>
    </row>
    <row r="318" customFormat="false" ht="18.75" hidden="false" customHeight="true" outlineLevel="0" collapsed="false">
      <c r="K318" s="3"/>
    </row>
    <row r="319" customFormat="false" ht="18.75" hidden="false" customHeight="true" outlineLevel="0" collapsed="false">
      <c r="K319" s="3"/>
    </row>
    <row r="320" customFormat="false" ht="18.75" hidden="false" customHeight="true" outlineLevel="0" collapsed="false">
      <c r="K320" s="3"/>
    </row>
    <row r="321" customFormat="false" ht="18.75" hidden="false" customHeight="true" outlineLevel="0" collapsed="false">
      <c r="K321" s="3"/>
    </row>
    <row r="322" customFormat="false" ht="18.75" hidden="false" customHeight="true" outlineLevel="0" collapsed="false">
      <c r="K322" s="3"/>
    </row>
    <row r="323" customFormat="false" ht="18.75" hidden="false" customHeight="true" outlineLevel="0" collapsed="false">
      <c r="K323" s="3"/>
    </row>
    <row r="324" customFormat="false" ht="18.75" hidden="false" customHeight="true" outlineLevel="0" collapsed="false">
      <c r="K324" s="3"/>
    </row>
    <row r="325" customFormat="false" ht="18.75" hidden="false" customHeight="true" outlineLevel="0" collapsed="false">
      <c r="K325" s="3"/>
    </row>
    <row r="326" customFormat="false" ht="18.75" hidden="false" customHeight="true" outlineLevel="0" collapsed="false">
      <c r="K326" s="3"/>
    </row>
    <row r="327" customFormat="false" ht="18.75" hidden="false" customHeight="true" outlineLevel="0" collapsed="false">
      <c r="K327" s="3"/>
    </row>
    <row r="328" customFormat="false" ht="18.75" hidden="false" customHeight="true" outlineLevel="0" collapsed="false">
      <c r="K328" s="3"/>
    </row>
    <row r="329" customFormat="false" ht="18.75" hidden="false" customHeight="true" outlineLevel="0" collapsed="false">
      <c r="K329" s="3"/>
    </row>
    <row r="330" customFormat="false" ht="18.75" hidden="false" customHeight="true" outlineLevel="0" collapsed="false">
      <c r="K330" s="3"/>
    </row>
    <row r="331" customFormat="false" ht="18.75" hidden="false" customHeight="true" outlineLevel="0" collapsed="false">
      <c r="K331" s="3"/>
    </row>
    <row r="332" customFormat="false" ht="18.75" hidden="false" customHeight="true" outlineLevel="0" collapsed="false">
      <c r="K332" s="3"/>
    </row>
    <row r="333" customFormat="false" ht="18.75" hidden="false" customHeight="true" outlineLevel="0" collapsed="false">
      <c r="K333" s="3"/>
    </row>
    <row r="334" customFormat="false" ht="18.75" hidden="false" customHeight="true" outlineLevel="0" collapsed="false">
      <c r="K334" s="3"/>
    </row>
    <row r="335" customFormat="false" ht="18.75" hidden="false" customHeight="true" outlineLevel="0" collapsed="false">
      <c r="K335" s="3"/>
    </row>
    <row r="336" customFormat="false" ht="18.75" hidden="false" customHeight="true" outlineLevel="0" collapsed="false">
      <c r="K336" s="3"/>
    </row>
    <row r="337" customFormat="false" ht="18.75" hidden="false" customHeight="true" outlineLevel="0" collapsed="false">
      <c r="K337" s="3"/>
    </row>
    <row r="338" customFormat="false" ht="18.75" hidden="false" customHeight="true" outlineLevel="0" collapsed="false">
      <c r="K338" s="3"/>
    </row>
    <row r="339" customFormat="false" ht="18.75" hidden="false" customHeight="true" outlineLevel="0" collapsed="false">
      <c r="K339" s="3"/>
    </row>
    <row r="340" customFormat="false" ht="18.75" hidden="false" customHeight="true" outlineLevel="0" collapsed="false">
      <c r="K340" s="3"/>
    </row>
    <row r="341" customFormat="false" ht="18.75" hidden="false" customHeight="true" outlineLevel="0" collapsed="false">
      <c r="K341" s="3"/>
    </row>
    <row r="342" customFormat="false" ht="18.75" hidden="false" customHeight="true" outlineLevel="0" collapsed="false">
      <c r="K342" s="3"/>
    </row>
    <row r="343" customFormat="false" ht="18.75" hidden="false" customHeight="true" outlineLevel="0" collapsed="false">
      <c r="K343" s="3"/>
    </row>
    <row r="344" customFormat="false" ht="18.75" hidden="false" customHeight="true" outlineLevel="0" collapsed="false">
      <c r="K344" s="3"/>
    </row>
    <row r="345" customFormat="false" ht="18.75" hidden="false" customHeight="true" outlineLevel="0" collapsed="false">
      <c r="K345" s="3"/>
    </row>
    <row r="346" customFormat="false" ht="18.75" hidden="false" customHeight="true" outlineLevel="0" collapsed="false">
      <c r="K346" s="3"/>
    </row>
    <row r="347" customFormat="false" ht="18.75" hidden="false" customHeight="true" outlineLevel="0" collapsed="false">
      <c r="K347" s="3"/>
    </row>
    <row r="348" customFormat="false" ht="18.75" hidden="false" customHeight="true" outlineLevel="0" collapsed="false">
      <c r="K348" s="3"/>
    </row>
    <row r="349" customFormat="false" ht="18.75" hidden="false" customHeight="true" outlineLevel="0" collapsed="false">
      <c r="K349" s="3"/>
    </row>
    <row r="350" customFormat="false" ht="18.75" hidden="false" customHeight="true" outlineLevel="0" collapsed="false">
      <c r="K350" s="3"/>
    </row>
    <row r="351" customFormat="false" ht="18.75" hidden="false" customHeight="true" outlineLevel="0" collapsed="false">
      <c r="K351" s="3"/>
    </row>
    <row r="352" customFormat="false" ht="18.75" hidden="false" customHeight="true" outlineLevel="0" collapsed="false">
      <c r="K352" s="3"/>
    </row>
    <row r="353" customFormat="false" ht="18.75" hidden="false" customHeight="true" outlineLevel="0" collapsed="false">
      <c r="K353" s="3"/>
    </row>
    <row r="354" customFormat="false" ht="18.75" hidden="false" customHeight="true" outlineLevel="0" collapsed="false">
      <c r="K354" s="3"/>
    </row>
    <row r="355" customFormat="false" ht="18.75" hidden="false" customHeight="true" outlineLevel="0" collapsed="false">
      <c r="K355" s="3"/>
    </row>
    <row r="356" customFormat="false" ht="18.75" hidden="false" customHeight="true" outlineLevel="0" collapsed="false">
      <c r="K356" s="3"/>
    </row>
    <row r="357" customFormat="false" ht="18.75" hidden="false" customHeight="true" outlineLevel="0" collapsed="false">
      <c r="K357" s="3"/>
    </row>
    <row r="358" customFormat="false" ht="18.75" hidden="false" customHeight="true" outlineLevel="0" collapsed="false">
      <c r="K358" s="3"/>
    </row>
    <row r="359" customFormat="false" ht="18.75" hidden="false" customHeight="true" outlineLevel="0" collapsed="false">
      <c r="K359" s="3"/>
    </row>
    <row r="360" customFormat="false" ht="18.75" hidden="false" customHeight="true" outlineLevel="0" collapsed="false">
      <c r="K360" s="3"/>
    </row>
    <row r="361" customFormat="false" ht="18.75" hidden="false" customHeight="true" outlineLevel="0" collapsed="false">
      <c r="K361" s="3"/>
    </row>
    <row r="362" customFormat="false" ht="18.75" hidden="false" customHeight="true" outlineLevel="0" collapsed="false">
      <c r="K362" s="3"/>
    </row>
    <row r="363" customFormat="false" ht="18.75" hidden="false" customHeight="true" outlineLevel="0" collapsed="false">
      <c r="K363" s="3"/>
    </row>
    <row r="364" customFormat="false" ht="18.75" hidden="false" customHeight="true" outlineLevel="0" collapsed="false">
      <c r="K364" s="3"/>
    </row>
    <row r="365" customFormat="false" ht="18.75" hidden="false" customHeight="true" outlineLevel="0" collapsed="false">
      <c r="K365" s="3"/>
    </row>
    <row r="366" customFormat="false" ht="18.75" hidden="false" customHeight="true" outlineLevel="0" collapsed="false">
      <c r="K366" s="3"/>
    </row>
    <row r="367" customFormat="false" ht="18.75" hidden="false" customHeight="true" outlineLevel="0" collapsed="false">
      <c r="K367" s="3"/>
    </row>
    <row r="368" customFormat="false" ht="18.75" hidden="false" customHeight="true" outlineLevel="0" collapsed="false">
      <c r="K368" s="3"/>
    </row>
    <row r="369" customFormat="false" ht="18.75" hidden="false" customHeight="true" outlineLevel="0" collapsed="false">
      <c r="K369" s="3"/>
    </row>
    <row r="370" customFormat="false" ht="18.75" hidden="false" customHeight="true" outlineLevel="0" collapsed="false">
      <c r="K370" s="3"/>
    </row>
    <row r="371" customFormat="false" ht="18.75" hidden="false" customHeight="true" outlineLevel="0" collapsed="false">
      <c r="K371" s="3"/>
    </row>
    <row r="372" customFormat="false" ht="18.75" hidden="false" customHeight="true" outlineLevel="0" collapsed="false">
      <c r="K372" s="3"/>
    </row>
    <row r="373" customFormat="false" ht="18.75" hidden="false" customHeight="true" outlineLevel="0" collapsed="false">
      <c r="K373" s="3"/>
    </row>
    <row r="374" customFormat="false" ht="18.75" hidden="false" customHeight="true" outlineLevel="0" collapsed="false">
      <c r="K374" s="3"/>
    </row>
    <row r="375" customFormat="false" ht="18.75" hidden="false" customHeight="true" outlineLevel="0" collapsed="false">
      <c r="K375" s="3"/>
    </row>
    <row r="376" customFormat="false" ht="18.75" hidden="false" customHeight="true" outlineLevel="0" collapsed="false">
      <c r="K376" s="3"/>
    </row>
    <row r="377" customFormat="false" ht="18.75" hidden="false" customHeight="true" outlineLevel="0" collapsed="false">
      <c r="K377" s="3"/>
    </row>
    <row r="378" customFormat="false" ht="18.75" hidden="false" customHeight="true" outlineLevel="0" collapsed="false">
      <c r="K378" s="3"/>
    </row>
    <row r="379" customFormat="false" ht="18.75" hidden="false" customHeight="true" outlineLevel="0" collapsed="false">
      <c r="K379" s="3"/>
    </row>
    <row r="380" customFormat="false" ht="18.75" hidden="false" customHeight="true" outlineLevel="0" collapsed="false">
      <c r="K380" s="3"/>
    </row>
    <row r="381" customFormat="false" ht="18.75" hidden="false" customHeight="true" outlineLevel="0" collapsed="false">
      <c r="K381" s="3"/>
    </row>
    <row r="382" customFormat="false" ht="18.75" hidden="false" customHeight="true" outlineLevel="0" collapsed="false">
      <c r="K382" s="3"/>
    </row>
    <row r="383" customFormat="false" ht="18.75" hidden="false" customHeight="true" outlineLevel="0" collapsed="false">
      <c r="K383" s="3"/>
    </row>
    <row r="384" customFormat="false" ht="18.75" hidden="false" customHeight="true" outlineLevel="0" collapsed="false">
      <c r="K384" s="3"/>
    </row>
    <row r="385" customFormat="false" ht="18.75" hidden="false" customHeight="true" outlineLevel="0" collapsed="false">
      <c r="K385" s="3"/>
    </row>
    <row r="386" customFormat="false" ht="18.75" hidden="false" customHeight="true" outlineLevel="0" collapsed="false">
      <c r="K386" s="3"/>
    </row>
    <row r="387" customFormat="false" ht="18.75" hidden="false" customHeight="true" outlineLevel="0" collapsed="false">
      <c r="K387" s="3"/>
    </row>
    <row r="388" customFormat="false" ht="18.75" hidden="false" customHeight="true" outlineLevel="0" collapsed="false">
      <c r="K388" s="3"/>
    </row>
    <row r="389" customFormat="false" ht="18.75" hidden="false" customHeight="true" outlineLevel="0" collapsed="false">
      <c r="K389" s="3"/>
    </row>
    <row r="390" customFormat="false" ht="18.75" hidden="false" customHeight="true" outlineLevel="0" collapsed="false">
      <c r="K390" s="3"/>
    </row>
    <row r="391" customFormat="false" ht="18.75" hidden="false" customHeight="true" outlineLevel="0" collapsed="false">
      <c r="K391" s="3"/>
    </row>
    <row r="392" customFormat="false" ht="18.75" hidden="false" customHeight="true" outlineLevel="0" collapsed="false">
      <c r="K392" s="3"/>
    </row>
    <row r="393" customFormat="false" ht="18.75" hidden="false" customHeight="true" outlineLevel="0" collapsed="false">
      <c r="K393" s="3"/>
    </row>
    <row r="394" customFormat="false" ht="18.75" hidden="false" customHeight="true" outlineLevel="0" collapsed="false">
      <c r="K394" s="3"/>
    </row>
    <row r="395" customFormat="false" ht="18.75" hidden="false" customHeight="true" outlineLevel="0" collapsed="false">
      <c r="K395" s="3"/>
    </row>
    <row r="396" customFormat="false" ht="18.75" hidden="false" customHeight="true" outlineLevel="0" collapsed="false">
      <c r="K396" s="3"/>
    </row>
    <row r="397" customFormat="false" ht="18.75" hidden="false" customHeight="true" outlineLevel="0" collapsed="false">
      <c r="K397" s="3"/>
    </row>
    <row r="398" customFormat="false" ht="18.75" hidden="false" customHeight="true" outlineLevel="0" collapsed="false">
      <c r="K398" s="3"/>
    </row>
    <row r="399" customFormat="false" ht="18.75" hidden="false" customHeight="true" outlineLevel="0" collapsed="false">
      <c r="K399" s="3"/>
    </row>
    <row r="400" customFormat="false" ht="18.75" hidden="false" customHeight="true" outlineLevel="0" collapsed="false">
      <c r="K400" s="3"/>
    </row>
    <row r="401" customFormat="false" ht="18.75" hidden="false" customHeight="true" outlineLevel="0" collapsed="false">
      <c r="K401" s="3"/>
    </row>
    <row r="402" customFormat="false" ht="18.75" hidden="false" customHeight="true" outlineLevel="0" collapsed="false">
      <c r="K402" s="3"/>
    </row>
    <row r="403" customFormat="false" ht="18.75" hidden="false" customHeight="true" outlineLevel="0" collapsed="false">
      <c r="K403" s="3"/>
    </row>
    <row r="404" customFormat="false" ht="18.75" hidden="false" customHeight="true" outlineLevel="0" collapsed="false">
      <c r="K404" s="3"/>
    </row>
    <row r="405" customFormat="false" ht="18.75" hidden="false" customHeight="true" outlineLevel="0" collapsed="false">
      <c r="K405" s="3"/>
    </row>
    <row r="406" customFormat="false" ht="18.75" hidden="false" customHeight="true" outlineLevel="0" collapsed="false">
      <c r="K406" s="3"/>
    </row>
    <row r="407" customFormat="false" ht="18.75" hidden="false" customHeight="true" outlineLevel="0" collapsed="false">
      <c r="K407" s="3"/>
    </row>
    <row r="408" customFormat="false" ht="18.75" hidden="false" customHeight="true" outlineLevel="0" collapsed="false">
      <c r="K408" s="3"/>
    </row>
    <row r="409" customFormat="false" ht="18.75" hidden="false" customHeight="true" outlineLevel="0" collapsed="false">
      <c r="K409" s="3"/>
    </row>
    <row r="410" customFormat="false" ht="18.75" hidden="false" customHeight="true" outlineLevel="0" collapsed="false">
      <c r="K410" s="3"/>
    </row>
    <row r="411" customFormat="false" ht="18.75" hidden="false" customHeight="true" outlineLevel="0" collapsed="false">
      <c r="K411" s="3"/>
    </row>
    <row r="412" customFormat="false" ht="18.75" hidden="false" customHeight="true" outlineLevel="0" collapsed="false">
      <c r="K412" s="3"/>
    </row>
    <row r="413" customFormat="false" ht="18.75" hidden="false" customHeight="true" outlineLevel="0" collapsed="false">
      <c r="K413" s="3"/>
    </row>
    <row r="414" customFormat="false" ht="18.75" hidden="false" customHeight="true" outlineLevel="0" collapsed="false">
      <c r="K414" s="3"/>
    </row>
    <row r="415" customFormat="false" ht="18.75" hidden="false" customHeight="true" outlineLevel="0" collapsed="false">
      <c r="K415" s="3"/>
    </row>
    <row r="416" customFormat="false" ht="18.75" hidden="false" customHeight="true" outlineLevel="0" collapsed="false">
      <c r="K416" s="3"/>
    </row>
    <row r="417" customFormat="false" ht="18.75" hidden="false" customHeight="true" outlineLevel="0" collapsed="false">
      <c r="K417" s="3"/>
    </row>
    <row r="418" customFormat="false" ht="18.75" hidden="false" customHeight="true" outlineLevel="0" collapsed="false">
      <c r="K418" s="3"/>
    </row>
    <row r="419" customFormat="false" ht="18.75" hidden="false" customHeight="true" outlineLevel="0" collapsed="false">
      <c r="K419" s="3"/>
    </row>
    <row r="420" customFormat="false" ht="18.75" hidden="false" customHeight="true" outlineLevel="0" collapsed="false">
      <c r="K420" s="3"/>
    </row>
    <row r="421" customFormat="false" ht="18.75" hidden="false" customHeight="true" outlineLevel="0" collapsed="false">
      <c r="K421" s="3"/>
    </row>
    <row r="422" customFormat="false" ht="18.75" hidden="false" customHeight="true" outlineLevel="0" collapsed="false">
      <c r="K422" s="3"/>
    </row>
    <row r="423" customFormat="false" ht="18.75" hidden="false" customHeight="true" outlineLevel="0" collapsed="false">
      <c r="K423" s="3"/>
    </row>
    <row r="424" customFormat="false" ht="18.75" hidden="false" customHeight="true" outlineLevel="0" collapsed="false">
      <c r="K424" s="3"/>
    </row>
    <row r="425" customFormat="false" ht="18.75" hidden="false" customHeight="true" outlineLevel="0" collapsed="false">
      <c r="K425" s="3"/>
    </row>
    <row r="426" customFormat="false" ht="18.75" hidden="false" customHeight="true" outlineLevel="0" collapsed="false">
      <c r="K426" s="3"/>
    </row>
    <row r="427" customFormat="false" ht="18.75" hidden="false" customHeight="true" outlineLevel="0" collapsed="false">
      <c r="K427" s="3"/>
    </row>
    <row r="428" customFormat="false" ht="18.75" hidden="false" customHeight="true" outlineLevel="0" collapsed="false">
      <c r="K428" s="3"/>
    </row>
    <row r="429" customFormat="false" ht="18.75" hidden="false" customHeight="true" outlineLevel="0" collapsed="false">
      <c r="K429" s="3"/>
    </row>
    <row r="430" customFormat="false" ht="18.75" hidden="false" customHeight="true" outlineLevel="0" collapsed="false">
      <c r="K430" s="3"/>
    </row>
    <row r="431" customFormat="false" ht="18.75" hidden="false" customHeight="true" outlineLevel="0" collapsed="false">
      <c r="K431" s="3"/>
    </row>
    <row r="432" customFormat="false" ht="18.75" hidden="false" customHeight="true" outlineLevel="0" collapsed="false">
      <c r="K432" s="3"/>
    </row>
    <row r="433" customFormat="false" ht="18.75" hidden="false" customHeight="true" outlineLevel="0" collapsed="false">
      <c r="K433" s="3"/>
    </row>
    <row r="434" customFormat="false" ht="18.75" hidden="false" customHeight="true" outlineLevel="0" collapsed="false">
      <c r="K434" s="3"/>
    </row>
    <row r="435" customFormat="false" ht="18.75" hidden="false" customHeight="true" outlineLevel="0" collapsed="false">
      <c r="K435" s="3"/>
    </row>
    <row r="436" customFormat="false" ht="18.75" hidden="false" customHeight="true" outlineLevel="0" collapsed="false">
      <c r="K436" s="3"/>
    </row>
    <row r="437" customFormat="false" ht="18.75" hidden="false" customHeight="true" outlineLevel="0" collapsed="false">
      <c r="K437" s="3"/>
    </row>
    <row r="438" customFormat="false" ht="18.75" hidden="false" customHeight="true" outlineLevel="0" collapsed="false">
      <c r="K438" s="3"/>
    </row>
    <row r="439" customFormat="false" ht="18.75" hidden="false" customHeight="true" outlineLevel="0" collapsed="false">
      <c r="K439" s="3"/>
    </row>
    <row r="440" customFormat="false" ht="18.75" hidden="false" customHeight="true" outlineLevel="0" collapsed="false">
      <c r="K440" s="3"/>
    </row>
    <row r="441" customFormat="false" ht="18.75" hidden="false" customHeight="true" outlineLevel="0" collapsed="false">
      <c r="K441" s="3"/>
    </row>
    <row r="442" customFormat="false" ht="18.75" hidden="false" customHeight="true" outlineLevel="0" collapsed="false">
      <c r="K442" s="3"/>
    </row>
    <row r="443" customFormat="false" ht="18.75" hidden="false" customHeight="true" outlineLevel="0" collapsed="false">
      <c r="K443" s="3"/>
    </row>
    <row r="444" customFormat="false" ht="18.75" hidden="false" customHeight="true" outlineLevel="0" collapsed="false">
      <c r="K444" s="3"/>
    </row>
    <row r="445" customFormat="false" ht="18.75" hidden="false" customHeight="true" outlineLevel="0" collapsed="false">
      <c r="K445" s="3"/>
    </row>
    <row r="446" customFormat="false" ht="18.75" hidden="false" customHeight="true" outlineLevel="0" collapsed="false">
      <c r="K446" s="3"/>
    </row>
    <row r="447" customFormat="false" ht="18.75" hidden="false" customHeight="true" outlineLevel="0" collapsed="false">
      <c r="K447" s="3"/>
    </row>
    <row r="448" customFormat="false" ht="18.75" hidden="false" customHeight="true" outlineLevel="0" collapsed="false">
      <c r="K448" s="3"/>
    </row>
    <row r="449" customFormat="false" ht="18.75" hidden="false" customHeight="true" outlineLevel="0" collapsed="false">
      <c r="K449" s="3"/>
    </row>
    <row r="450" customFormat="false" ht="18.75" hidden="false" customHeight="true" outlineLevel="0" collapsed="false">
      <c r="K450" s="3"/>
    </row>
    <row r="451" customFormat="false" ht="18.75" hidden="false" customHeight="true" outlineLevel="0" collapsed="false">
      <c r="K451" s="3"/>
    </row>
    <row r="452" customFormat="false" ht="18.75" hidden="false" customHeight="true" outlineLevel="0" collapsed="false">
      <c r="K452" s="3"/>
    </row>
    <row r="453" customFormat="false" ht="18.75" hidden="false" customHeight="true" outlineLevel="0" collapsed="false">
      <c r="K453" s="3"/>
    </row>
    <row r="454" customFormat="false" ht="18.75" hidden="false" customHeight="true" outlineLevel="0" collapsed="false">
      <c r="K454" s="3"/>
    </row>
    <row r="455" customFormat="false" ht="18.75" hidden="false" customHeight="true" outlineLevel="0" collapsed="false">
      <c r="K455" s="3"/>
    </row>
    <row r="456" customFormat="false" ht="18.75" hidden="false" customHeight="true" outlineLevel="0" collapsed="false">
      <c r="K456" s="3"/>
    </row>
    <row r="457" customFormat="false" ht="18.75" hidden="false" customHeight="true" outlineLevel="0" collapsed="false">
      <c r="K457" s="3"/>
    </row>
    <row r="458" customFormat="false" ht="18.75" hidden="false" customHeight="true" outlineLevel="0" collapsed="false">
      <c r="K458" s="3"/>
    </row>
    <row r="459" customFormat="false" ht="18.75" hidden="false" customHeight="true" outlineLevel="0" collapsed="false">
      <c r="K459" s="3"/>
    </row>
    <row r="460" customFormat="false" ht="18.75" hidden="false" customHeight="true" outlineLevel="0" collapsed="false">
      <c r="K460" s="3"/>
    </row>
    <row r="461" customFormat="false" ht="18.75" hidden="false" customHeight="true" outlineLevel="0" collapsed="false">
      <c r="K461" s="3"/>
    </row>
    <row r="462" customFormat="false" ht="18.75" hidden="false" customHeight="true" outlineLevel="0" collapsed="false">
      <c r="K462" s="3"/>
    </row>
    <row r="463" customFormat="false" ht="18.75" hidden="false" customHeight="true" outlineLevel="0" collapsed="false">
      <c r="K463" s="3"/>
    </row>
    <row r="464" customFormat="false" ht="18.75" hidden="false" customHeight="true" outlineLevel="0" collapsed="false">
      <c r="K464" s="3"/>
    </row>
    <row r="465" customFormat="false" ht="18.75" hidden="false" customHeight="true" outlineLevel="0" collapsed="false">
      <c r="K465" s="3"/>
    </row>
    <row r="466" customFormat="false" ht="18.75" hidden="false" customHeight="true" outlineLevel="0" collapsed="false">
      <c r="K466" s="3"/>
    </row>
    <row r="467" customFormat="false" ht="18.75" hidden="false" customHeight="true" outlineLevel="0" collapsed="false">
      <c r="K467" s="3"/>
    </row>
    <row r="468" customFormat="false" ht="18.75" hidden="false" customHeight="true" outlineLevel="0" collapsed="false">
      <c r="K468" s="3"/>
    </row>
    <row r="469" customFormat="false" ht="18.75" hidden="false" customHeight="true" outlineLevel="0" collapsed="false">
      <c r="K469" s="3"/>
    </row>
    <row r="470" customFormat="false" ht="18.75" hidden="false" customHeight="true" outlineLevel="0" collapsed="false">
      <c r="K470" s="3"/>
    </row>
    <row r="471" customFormat="false" ht="18.75" hidden="false" customHeight="true" outlineLevel="0" collapsed="false">
      <c r="K471" s="3"/>
    </row>
    <row r="472" customFormat="false" ht="18.75" hidden="false" customHeight="true" outlineLevel="0" collapsed="false">
      <c r="K472" s="3"/>
    </row>
    <row r="473" customFormat="false" ht="18.75" hidden="false" customHeight="true" outlineLevel="0" collapsed="false">
      <c r="K473" s="3"/>
    </row>
    <row r="474" customFormat="false" ht="18.75" hidden="false" customHeight="true" outlineLevel="0" collapsed="false">
      <c r="K474" s="3"/>
    </row>
    <row r="475" customFormat="false" ht="18.75" hidden="false" customHeight="true" outlineLevel="0" collapsed="false">
      <c r="K475" s="3"/>
    </row>
    <row r="476" customFormat="false" ht="18.75" hidden="false" customHeight="true" outlineLevel="0" collapsed="false">
      <c r="K476" s="3"/>
    </row>
    <row r="477" customFormat="false" ht="18.75" hidden="false" customHeight="true" outlineLevel="0" collapsed="false">
      <c r="K477" s="3"/>
    </row>
    <row r="478" customFormat="false" ht="18.75" hidden="false" customHeight="true" outlineLevel="0" collapsed="false">
      <c r="K478" s="3"/>
    </row>
    <row r="479" customFormat="false" ht="18.75" hidden="false" customHeight="true" outlineLevel="0" collapsed="false">
      <c r="K479" s="3"/>
    </row>
    <row r="480" customFormat="false" ht="18.75" hidden="false" customHeight="true" outlineLevel="0" collapsed="false">
      <c r="K480" s="3"/>
    </row>
    <row r="481" customFormat="false" ht="18.75" hidden="false" customHeight="true" outlineLevel="0" collapsed="false">
      <c r="K481" s="3"/>
    </row>
    <row r="482" customFormat="false" ht="18.75" hidden="false" customHeight="true" outlineLevel="0" collapsed="false">
      <c r="K482" s="3"/>
    </row>
    <row r="483" customFormat="false" ht="18.75" hidden="false" customHeight="true" outlineLevel="0" collapsed="false">
      <c r="K483" s="3"/>
    </row>
    <row r="484" customFormat="false" ht="18.75" hidden="false" customHeight="true" outlineLevel="0" collapsed="false">
      <c r="K484" s="3"/>
    </row>
    <row r="485" customFormat="false" ht="18.75" hidden="false" customHeight="true" outlineLevel="0" collapsed="false">
      <c r="K485" s="3"/>
    </row>
    <row r="486" customFormat="false" ht="18.75" hidden="false" customHeight="true" outlineLevel="0" collapsed="false">
      <c r="K486" s="3"/>
    </row>
    <row r="487" customFormat="false" ht="18.75" hidden="false" customHeight="true" outlineLevel="0" collapsed="false">
      <c r="K487" s="3"/>
    </row>
    <row r="488" customFormat="false" ht="18.75" hidden="false" customHeight="true" outlineLevel="0" collapsed="false">
      <c r="K488" s="3"/>
    </row>
    <row r="489" customFormat="false" ht="18.75" hidden="false" customHeight="true" outlineLevel="0" collapsed="false">
      <c r="K489" s="3"/>
    </row>
    <row r="490" customFormat="false" ht="18.75" hidden="false" customHeight="true" outlineLevel="0" collapsed="false">
      <c r="K490" s="3"/>
    </row>
    <row r="491" customFormat="false" ht="18.75" hidden="false" customHeight="true" outlineLevel="0" collapsed="false">
      <c r="K491" s="3"/>
    </row>
    <row r="492" customFormat="false" ht="18.75" hidden="false" customHeight="true" outlineLevel="0" collapsed="false">
      <c r="K492" s="3"/>
    </row>
    <row r="493" customFormat="false" ht="18.75" hidden="false" customHeight="true" outlineLevel="0" collapsed="false">
      <c r="K493" s="3"/>
    </row>
    <row r="494" customFormat="false" ht="18.75" hidden="false" customHeight="true" outlineLevel="0" collapsed="false">
      <c r="K494" s="3"/>
    </row>
    <row r="495" customFormat="false" ht="18.75" hidden="false" customHeight="true" outlineLevel="0" collapsed="false">
      <c r="K495" s="3"/>
    </row>
    <row r="496" customFormat="false" ht="18.75" hidden="false" customHeight="true" outlineLevel="0" collapsed="false">
      <c r="K496" s="3"/>
    </row>
    <row r="497" customFormat="false" ht="18.75" hidden="false" customHeight="true" outlineLevel="0" collapsed="false">
      <c r="K497" s="3"/>
    </row>
    <row r="498" customFormat="false" ht="18.75" hidden="false" customHeight="true" outlineLevel="0" collapsed="false">
      <c r="K498" s="3"/>
    </row>
    <row r="499" customFormat="false" ht="18.75" hidden="false" customHeight="true" outlineLevel="0" collapsed="false">
      <c r="K499" s="3"/>
    </row>
    <row r="500" customFormat="false" ht="18.75" hidden="false" customHeight="true" outlineLevel="0" collapsed="false">
      <c r="K500" s="3"/>
    </row>
    <row r="501" customFormat="false" ht="18.75" hidden="false" customHeight="true" outlineLevel="0" collapsed="false">
      <c r="K501" s="3"/>
    </row>
    <row r="502" customFormat="false" ht="18.75" hidden="false" customHeight="true" outlineLevel="0" collapsed="false">
      <c r="K502" s="3"/>
    </row>
    <row r="503" customFormat="false" ht="18.75" hidden="false" customHeight="true" outlineLevel="0" collapsed="false">
      <c r="K503" s="3"/>
    </row>
    <row r="504" customFormat="false" ht="18.75" hidden="false" customHeight="true" outlineLevel="0" collapsed="false">
      <c r="K504" s="3"/>
    </row>
    <row r="505" customFormat="false" ht="18.75" hidden="false" customHeight="true" outlineLevel="0" collapsed="false">
      <c r="K505" s="3"/>
    </row>
    <row r="506" customFormat="false" ht="18.75" hidden="false" customHeight="true" outlineLevel="0" collapsed="false">
      <c r="K506" s="3"/>
    </row>
    <row r="507" customFormat="false" ht="18.75" hidden="false" customHeight="true" outlineLevel="0" collapsed="false">
      <c r="K507" s="3"/>
    </row>
    <row r="508" customFormat="false" ht="18.75" hidden="false" customHeight="true" outlineLevel="0" collapsed="false">
      <c r="K508" s="3"/>
    </row>
    <row r="509" customFormat="false" ht="18.75" hidden="false" customHeight="true" outlineLevel="0" collapsed="false">
      <c r="K509" s="3"/>
    </row>
    <row r="510" customFormat="false" ht="18.75" hidden="false" customHeight="true" outlineLevel="0" collapsed="false">
      <c r="K510" s="3"/>
    </row>
    <row r="511" customFormat="false" ht="18.75" hidden="false" customHeight="true" outlineLevel="0" collapsed="false">
      <c r="K511" s="3"/>
    </row>
    <row r="512" customFormat="false" ht="18.75" hidden="false" customHeight="true" outlineLevel="0" collapsed="false">
      <c r="K512" s="3"/>
    </row>
    <row r="513" customFormat="false" ht="18.75" hidden="false" customHeight="true" outlineLevel="0" collapsed="false">
      <c r="K513" s="3"/>
    </row>
    <row r="514" customFormat="false" ht="18.75" hidden="false" customHeight="true" outlineLevel="0" collapsed="false">
      <c r="K514" s="3"/>
    </row>
    <row r="515" customFormat="false" ht="18.75" hidden="false" customHeight="true" outlineLevel="0" collapsed="false">
      <c r="K515" s="3"/>
    </row>
    <row r="516" customFormat="false" ht="18.75" hidden="false" customHeight="true" outlineLevel="0" collapsed="false">
      <c r="K516" s="3"/>
    </row>
    <row r="517" customFormat="false" ht="18.75" hidden="false" customHeight="true" outlineLevel="0" collapsed="false">
      <c r="K517" s="3"/>
    </row>
    <row r="518" customFormat="false" ht="18.75" hidden="false" customHeight="true" outlineLevel="0" collapsed="false">
      <c r="K518" s="3"/>
    </row>
    <row r="519" customFormat="false" ht="18.75" hidden="false" customHeight="true" outlineLevel="0" collapsed="false">
      <c r="K519" s="3"/>
    </row>
    <row r="520" customFormat="false" ht="18.75" hidden="false" customHeight="true" outlineLevel="0" collapsed="false">
      <c r="K520" s="3"/>
    </row>
    <row r="521" customFormat="false" ht="18.75" hidden="false" customHeight="true" outlineLevel="0" collapsed="false">
      <c r="K521" s="3"/>
    </row>
    <row r="522" customFormat="false" ht="18.75" hidden="false" customHeight="true" outlineLevel="0" collapsed="false">
      <c r="K522" s="3"/>
    </row>
    <row r="523" customFormat="false" ht="18.75" hidden="false" customHeight="true" outlineLevel="0" collapsed="false">
      <c r="K523" s="3"/>
    </row>
    <row r="524" customFormat="false" ht="18.75" hidden="false" customHeight="true" outlineLevel="0" collapsed="false">
      <c r="K524" s="3"/>
    </row>
    <row r="525" customFormat="false" ht="18.75" hidden="false" customHeight="true" outlineLevel="0" collapsed="false">
      <c r="K525" s="3"/>
    </row>
    <row r="526" customFormat="false" ht="18.75" hidden="false" customHeight="true" outlineLevel="0" collapsed="false">
      <c r="K526" s="3"/>
    </row>
    <row r="527" customFormat="false" ht="18.75" hidden="false" customHeight="true" outlineLevel="0" collapsed="false">
      <c r="K527" s="3"/>
    </row>
    <row r="528" customFormat="false" ht="18.75" hidden="false" customHeight="true" outlineLevel="0" collapsed="false">
      <c r="K528" s="3"/>
    </row>
    <row r="529" customFormat="false" ht="18.75" hidden="false" customHeight="true" outlineLevel="0" collapsed="false">
      <c r="K529" s="3"/>
    </row>
    <row r="530" customFormat="false" ht="18.75" hidden="false" customHeight="true" outlineLevel="0" collapsed="false">
      <c r="K530" s="3"/>
    </row>
    <row r="531" customFormat="false" ht="18.75" hidden="false" customHeight="true" outlineLevel="0" collapsed="false">
      <c r="K531" s="3"/>
    </row>
    <row r="532" customFormat="false" ht="18.75" hidden="false" customHeight="true" outlineLevel="0" collapsed="false">
      <c r="K532" s="3"/>
    </row>
    <row r="533" customFormat="false" ht="18.75" hidden="false" customHeight="true" outlineLevel="0" collapsed="false">
      <c r="K533" s="3"/>
    </row>
    <row r="534" customFormat="false" ht="18.75" hidden="false" customHeight="true" outlineLevel="0" collapsed="false">
      <c r="K534" s="3"/>
    </row>
    <row r="535" customFormat="false" ht="18.75" hidden="false" customHeight="true" outlineLevel="0" collapsed="false">
      <c r="K535" s="3"/>
    </row>
    <row r="536" customFormat="false" ht="18.75" hidden="false" customHeight="true" outlineLevel="0" collapsed="false">
      <c r="K536" s="3"/>
    </row>
    <row r="537" customFormat="false" ht="18.75" hidden="false" customHeight="true" outlineLevel="0" collapsed="false">
      <c r="K537" s="3"/>
    </row>
    <row r="538" customFormat="false" ht="18.75" hidden="false" customHeight="true" outlineLevel="0" collapsed="false">
      <c r="K538" s="3"/>
    </row>
    <row r="539" customFormat="false" ht="18.75" hidden="false" customHeight="true" outlineLevel="0" collapsed="false">
      <c r="K539" s="3"/>
    </row>
    <row r="540" customFormat="false" ht="18.75" hidden="false" customHeight="true" outlineLevel="0" collapsed="false">
      <c r="K540" s="3"/>
    </row>
    <row r="541" customFormat="false" ht="18.75" hidden="false" customHeight="true" outlineLevel="0" collapsed="false">
      <c r="K541" s="3"/>
    </row>
    <row r="542" customFormat="false" ht="18.75" hidden="false" customHeight="true" outlineLevel="0" collapsed="false">
      <c r="K542" s="3"/>
    </row>
    <row r="543" customFormat="false" ht="18.75" hidden="false" customHeight="true" outlineLevel="0" collapsed="false">
      <c r="K543" s="3"/>
    </row>
    <row r="544" customFormat="false" ht="18.75" hidden="false" customHeight="true" outlineLevel="0" collapsed="false">
      <c r="K544" s="3"/>
    </row>
    <row r="545" customFormat="false" ht="18.75" hidden="false" customHeight="true" outlineLevel="0" collapsed="false">
      <c r="K545" s="3"/>
    </row>
    <row r="546" customFormat="false" ht="18.75" hidden="false" customHeight="true" outlineLevel="0" collapsed="false">
      <c r="K546" s="3"/>
    </row>
    <row r="547" customFormat="false" ht="18.75" hidden="false" customHeight="true" outlineLevel="0" collapsed="false">
      <c r="K547" s="3"/>
    </row>
    <row r="548" customFormat="false" ht="18.75" hidden="false" customHeight="true" outlineLevel="0" collapsed="false">
      <c r="K548" s="3"/>
    </row>
    <row r="549" customFormat="false" ht="18.75" hidden="false" customHeight="true" outlineLevel="0" collapsed="false">
      <c r="K549" s="3"/>
    </row>
    <row r="550" customFormat="false" ht="18.75" hidden="false" customHeight="true" outlineLevel="0" collapsed="false">
      <c r="K550" s="3"/>
    </row>
    <row r="551" customFormat="false" ht="18.75" hidden="false" customHeight="true" outlineLevel="0" collapsed="false">
      <c r="K551" s="3"/>
    </row>
    <row r="552" customFormat="false" ht="18.75" hidden="false" customHeight="true" outlineLevel="0" collapsed="false">
      <c r="K552" s="3"/>
    </row>
    <row r="553" customFormat="false" ht="18.75" hidden="false" customHeight="true" outlineLevel="0" collapsed="false">
      <c r="K553" s="3"/>
    </row>
    <row r="554" customFormat="false" ht="18.75" hidden="false" customHeight="true" outlineLevel="0" collapsed="false">
      <c r="K554" s="3"/>
    </row>
    <row r="555" customFormat="false" ht="18.75" hidden="false" customHeight="true" outlineLevel="0" collapsed="false">
      <c r="K555" s="3"/>
    </row>
    <row r="556" customFormat="false" ht="18.75" hidden="false" customHeight="true" outlineLevel="0" collapsed="false">
      <c r="K556" s="3"/>
    </row>
    <row r="557" customFormat="false" ht="18.75" hidden="false" customHeight="true" outlineLevel="0" collapsed="false">
      <c r="K557" s="3"/>
    </row>
    <row r="558" customFormat="false" ht="18.75" hidden="false" customHeight="true" outlineLevel="0" collapsed="false">
      <c r="K558" s="3"/>
    </row>
    <row r="559" customFormat="false" ht="18.75" hidden="false" customHeight="true" outlineLevel="0" collapsed="false">
      <c r="K559" s="3"/>
    </row>
    <row r="560" customFormat="false" ht="18.75" hidden="false" customHeight="true" outlineLevel="0" collapsed="false">
      <c r="K560" s="3"/>
    </row>
    <row r="561" customFormat="false" ht="18.75" hidden="false" customHeight="true" outlineLevel="0" collapsed="false">
      <c r="K561" s="3"/>
    </row>
    <row r="562" customFormat="false" ht="18.75" hidden="false" customHeight="true" outlineLevel="0" collapsed="false">
      <c r="K562" s="3"/>
    </row>
    <row r="563" customFormat="false" ht="18.75" hidden="false" customHeight="true" outlineLevel="0" collapsed="false">
      <c r="K563" s="3"/>
    </row>
    <row r="564" customFormat="false" ht="18.75" hidden="false" customHeight="true" outlineLevel="0" collapsed="false">
      <c r="K564" s="3"/>
    </row>
    <row r="565" customFormat="false" ht="18.75" hidden="false" customHeight="true" outlineLevel="0" collapsed="false">
      <c r="K565" s="3"/>
    </row>
    <row r="566" customFormat="false" ht="18.75" hidden="false" customHeight="true" outlineLevel="0" collapsed="false">
      <c r="K566" s="3"/>
    </row>
    <row r="567" customFormat="false" ht="18.75" hidden="false" customHeight="true" outlineLevel="0" collapsed="false">
      <c r="K567" s="3"/>
    </row>
    <row r="568" customFormat="false" ht="18.75" hidden="false" customHeight="true" outlineLevel="0" collapsed="false">
      <c r="K568" s="3"/>
    </row>
    <row r="569" customFormat="false" ht="18.75" hidden="false" customHeight="true" outlineLevel="0" collapsed="false">
      <c r="K569" s="3"/>
    </row>
    <row r="570" customFormat="false" ht="18.75" hidden="false" customHeight="true" outlineLevel="0" collapsed="false">
      <c r="K570" s="3"/>
    </row>
    <row r="571" customFormat="false" ht="18.75" hidden="false" customHeight="true" outlineLevel="0" collapsed="false">
      <c r="K571" s="3"/>
    </row>
    <row r="572" customFormat="false" ht="18.75" hidden="false" customHeight="true" outlineLevel="0" collapsed="false">
      <c r="K572" s="3"/>
    </row>
    <row r="573" customFormat="false" ht="18.75" hidden="false" customHeight="true" outlineLevel="0" collapsed="false">
      <c r="K573" s="3"/>
    </row>
    <row r="574" customFormat="false" ht="18.75" hidden="false" customHeight="true" outlineLevel="0" collapsed="false">
      <c r="K574" s="3"/>
    </row>
    <row r="575" customFormat="false" ht="18.75" hidden="false" customHeight="true" outlineLevel="0" collapsed="false">
      <c r="K575" s="3"/>
    </row>
    <row r="576" customFormat="false" ht="18.75" hidden="false" customHeight="true" outlineLevel="0" collapsed="false">
      <c r="K576" s="3"/>
    </row>
    <row r="577" customFormat="false" ht="18.75" hidden="false" customHeight="true" outlineLevel="0" collapsed="false">
      <c r="K577" s="3"/>
    </row>
    <row r="578" customFormat="false" ht="18.75" hidden="false" customHeight="true" outlineLevel="0" collapsed="false">
      <c r="K578" s="3"/>
    </row>
    <row r="579" customFormat="false" ht="18.75" hidden="false" customHeight="true" outlineLevel="0" collapsed="false">
      <c r="K579" s="3"/>
    </row>
    <row r="580" customFormat="false" ht="18.75" hidden="false" customHeight="true" outlineLevel="0" collapsed="false">
      <c r="K580" s="3"/>
    </row>
    <row r="581" customFormat="false" ht="18.75" hidden="false" customHeight="true" outlineLevel="0" collapsed="false">
      <c r="K581" s="3"/>
    </row>
    <row r="582" customFormat="false" ht="18.75" hidden="false" customHeight="true" outlineLevel="0" collapsed="false">
      <c r="K582" s="3"/>
    </row>
    <row r="583" customFormat="false" ht="18.75" hidden="false" customHeight="true" outlineLevel="0" collapsed="false">
      <c r="K583" s="3"/>
    </row>
    <row r="584" customFormat="false" ht="18.75" hidden="false" customHeight="true" outlineLevel="0" collapsed="false">
      <c r="K584" s="3"/>
    </row>
    <row r="585" customFormat="false" ht="18.75" hidden="false" customHeight="true" outlineLevel="0" collapsed="false">
      <c r="K585" s="3"/>
    </row>
    <row r="586" customFormat="false" ht="18.75" hidden="false" customHeight="true" outlineLevel="0" collapsed="false">
      <c r="K586" s="3"/>
    </row>
    <row r="587" customFormat="false" ht="18.75" hidden="false" customHeight="true" outlineLevel="0" collapsed="false">
      <c r="K587" s="3"/>
    </row>
    <row r="588" customFormat="false" ht="18.75" hidden="false" customHeight="true" outlineLevel="0" collapsed="false">
      <c r="K588" s="3"/>
    </row>
    <row r="589" customFormat="false" ht="18.75" hidden="false" customHeight="true" outlineLevel="0" collapsed="false">
      <c r="K589" s="3"/>
    </row>
    <row r="590" customFormat="false" ht="18.75" hidden="false" customHeight="true" outlineLevel="0" collapsed="false">
      <c r="K590" s="3"/>
    </row>
    <row r="591" customFormat="false" ht="18.75" hidden="false" customHeight="true" outlineLevel="0" collapsed="false">
      <c r="K591" s="3"/>
    </row>
    <row r="592" customFormat="false" ht="18.75" hidden="false" customHeight="true" outlineLevel="0" collapsed="false">
      <c r="K592" s="3"/>
    </row>
    <row r="593" customFormat="false" ht="18.75" hidden="false" customHeight="true" outlineLevel="0" collapsed="false">
      <c r="K593" s="3"/>
    </row>
    <row r="594" customFormat="false" ht="18.75" hidden="false" customHeight="true" outlineLevel="0" collapsed="false">
      <c r="K594" s="3"/>
    </row>
    <row r="595" customFormat="false" ht="18.75" hidden="false" customHeight="true" outlineLevel="0" collapsed="false">
      <c r="K595" s="3"/>
    </row>
    <row r="596" customFormat="false" ht="18.75" hidden="false" customHeight="true" outlineLevel="0" collapsed="false">
      <c r="K596" s="3"/>
    </row>
    <row r="597" customFormat="false" ht="18.75" hidden="false" customHeight="true" outlineLevel="0" collapsed="false">
      <c r="K597" s="3"/>
    </row>
    <row r="598" customFormat="false" ht="18.75" hidden="false" customHeight="true" outlineLevel="0" collapsed="false">
      <c r="K598" s="3"/>
    </row>
    <row r="599" customFormat="false" ht="18.75" hidden="false" customHeight="true" outlineLevel="0" collapsed="false">
      <c r="K599" s="3"/>
    </row>
  </sheetData>
  <mergeCells count="23">
    <mergeCell ref="A2:U2"/>
    <mergeCell ref="A4:J4"/>
    <mergeCell ref="L4:U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conditionalFormatting sqref="J7:J600">
    <cfRule type="cellIs" priority="2" operator="lessThan" aboveAverage="0" equalAverage="0" bottom="0" percent="0" rank="0" text="" dxfId="0">
      <formula>0.4</formula>
    </cfRule>
    <cfRule type="cellIs" priority="3" operator="between" aboveAverage="0" equalAverage="0" bottom="0" percent="0" rank="0" text="" dxfId="1">
      <formula>0.4</formula>
      <formula>0.6499</formula>
    </cfRule>
    <cfRule type="cellIs" priority="4" operator="greaterThanOrEqual" aboveAverage="0" equalAverage="0" bottom="0" percent="0" rank="0" text="" dxfId="2">
      <formula>0.65</formula>
    </cfRule>
  </conditionalFormatting>
  <conditionalFormatting sqref="U7:U600">
    <cfRule type="cellIs" priority="5" operator="lessThan" aboveAverage="0" equalAverage="0" bottom="0" percent="0" rank="0" text="" dxfId="0">
      <formula>0.4</formula>
    </cfRule>
    <cfRule type="cellIs" priority="6" operator="between" aboveAverage="0" equalAverage="0" bottom="0" percent="0" rank="0" text="" dxfId="1">
      <formula>0.4</formula>
      <formula>0.6499</formula>
    </cfRule>
    <cfRule type="cellIs" priority="7" operator="greaterThanOrEqual" aboveAverage="0" equalAverage="0" bottom="0" percent="0" rank="0" text="" dxfId="2">
      <formula>0.65</formula>
    </cfRule>
  </conditionalFormatting>
  <dataValidations count="1">
    <dataValidation allowBlank="true" errorStyle="stop" operator="between" showDropDown="false" showErrorMessage="false" showInputMessage="false" sqref="D7:D600 O7:O600" type="list">
      <formula1>"Agent CDI,Agent,Support,Déplacement,Autre"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</cols>
  <sheetData>
    <row r="1" customFormat="false" ht="33.75" hidden="false" customHeight="true" outlineLevel="0" collapsed="false">
      <c r="A1" s="129" t="s">
        <v>933</v>
      </c>
      <c r="B1" s="129"/>
      <c r="C1" s="129"/>
    </row>
    <row r="2" customFormat="false" ht="7.5" hidden="false" customHeight="true" outlineLevel="0" collapsed="false"/>
    <row r="3" customFormat="false" ht="19.5" hidden="false" customHeight="true" outlineLevel="0" collapsed="false">
      <c r="B3" s="130" t="s">
        <v>934</v>
      </c>
      <c r="C3" s="130"/>
    </row>
    <row r="4" customFormat="false" ht="19.5" hidden="false" customHeight="true" outlineLevel="0" collapsed="false">
      <c r="B4" s="14" t="s">
        <v>935</v>
      </c>
      <c r="C4" s="14" t="s">
        <v>936</v>
      </c>
    </row>
    <row r="5" customFormat="false" ht="19.5" hidden="false" customHeight="true" outlineLevel="0" collapsed="false">
      <c r="B5" s="84" t="s">
        <v>91</v>
      </c>
      <c r="C5" s="40" t="n">
        <v>2022</v>
      </c>
    </row>
    <row r="6" customFormat="false" ht="19.5" hidden="false" customHeight="true" outlineLevel="0" collapsed="false">
      <c r="B6" s="84" t="s">
        <v>113</v>
      </c>
      <c r="C6" s="40" t="n">
        <v>2026</v>
      </c>
    </row>
    <row r="7" customFormat="false" ht="19.5" hidden="false" customHeight="true" outlineLevel="0" collapsed="false">
      <c r="B7" s="112"/>
      <c r="C7" s="112"/>
    </row>
    <row r="8" customFormat="false" ht="19.5" hidden="false" customHeight="true" outlineLevel="0" collapsed="false">
      <c r="B8" s="112"/>
      <c r="C8" s="112"/>
    </row>
    <row r="9" customFormat="false" ht="19.5" hidden="false" customHeight="true" outlineLevel="0" collapsed="false">
      <c r="B9" s="112"/>
      <c r="C9" s="112"/>
    </row>
    <row r="10" customFormat="false" ht="19.5" hidden="false" customHeight="true" outlineLevel="0" collapsed="false">
      <c r="B10" s="112"/>
      <c r="C10" s="112"/>
    </row>
    <row r="11" customFormat="false" ht="19.5" hidden="false" customHeight="true" outlineLevel="0" collapsed="false">
      <c r="B11" s="112"/>
      <c r="C11" s="112"/>
    </row>
    <row r="12" customFormat="false" ht="19.5" hidden="false" customHeight="true" outlineLevel="0" collapsed="false"/>
    <row r="13" customFormat="false" ht="19.5" hidden="false" customHeight="true" outlineLevel="0" collapsed="false">
      <c r="B13" s="130" t="s">
        <v>937</v>
      </c>
      <c r="C13" s="130"/>
    </row>
    <row r="14" customFormat="false" ht="19.5" hidden="false" customHeight="true" outlineLevel="0" collapsed="false">
      <c r="B14" s="131"/>
      <c r="C14" s="132" t="s">
        <v>938</v>
      </c>
    </row>
    <row r="15" customFormat="false" ht="19.5" hidden="false" customHeight="true" outlineLevel="0" collapsed="false">
      <c r="B15" s="133"/>
      <c r="C15" s="134" t="s">
        <v>939</v>
      </c>
    </row>
    <row r="16" customFormat="false" ht="19.5" hidden="false" customHeight="true" outlineLevel="0" collapsed="false">
      <c r="B16" s="135"/>
      <c r="C16" s="136" t="s">
        <v>940</v>
      </c>
    </row>
    <row r="17" customFormat="false" ht="19.5" hidden="false" customHeight="true" outlineLevel="0" collapsed="false">
      <c r="B17" s="137"/>
      <c r="C17" s="138" t="s">
        <v>941</v>
      </c>
    </row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</sheetData>
  <mergeCells count="3">
    <mergeCell ref="A1:C1"/>
    <mergeCell ref="B3:C3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2026-03-25T16:15:20Z</dcterms:created>
  <dc:creator>openpyxl</dc:creator>
  <dc:description/>
  <dc:language>en-US</dc:language>
  <cp:lastModifiedBy/>
  <dcterms:modified xsi:type="dcterms:W3CDTF">2026-03-26T17:04:46Z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